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worksheets/sheet15.xml" ContentType="application/vnd.openxmlformats-officedocument.spreadsheetml.worksheet+xml"/>
  <Override PartName="/xl/tables/table17.xml" ContentType="application/vnd.openxmlformats-officedocument.spreadsheetml.table+xml"/>
  <Override PartName="/xl/worksheets/sheet16.xml" ContentType="application/vnd.openxmlformats-officedocument.spreadsheetml.worksheet+xml"/>
  <Override PartName="/xl/tables/table18.xml" ContentType="application/vnd.openxmlformats-officedocument.spreadsheetml.table+xml"/>
  <Override PartName="/xl/worksheets/sheet17.xml" ContentType="application/vnd.openxmlformats-officedocument.spreadsheetml.worksheet+xml"/>
  <Override PartName="/xl/tables/table19.xml" ContentType="application/vnd.openxmlformats-officedocument.spreadsheetml.table+xml"/>
  <Override PartName="/xl/worksheets/sheet18.xml" ContentType="application/vnd.openxmlformats-officedocument.spreadsheetml.worksheet+xml"/>
  <Override PartName="/xl/tables/table20.xml" ContentType="application/vnd.openxmlformats-officedocument.spreadsheetml.table+xml"/>
  <Override PartName="/xl/worksheets/sheet19.xml" ContentType="application/vnd.openxmlformats-officedocument.spreadsheetml.worksheet+xml"/>
  <Override PartName="/xl/tables/table2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4fe6ea84e84968" /></Relationships>
</file>

<file path=xl/workbook.xml><?xml version="1.0" encoding="utf-8"?>
<x:workbook xmlns:x="http://schemas.openxmlformats.org/spreadsheetml/2006/main">
  <x:sheets>
    <x:sheet xmlns:r="http://schemas.openxmlformats.org/officeDocument/2006/relationships" name="Start Here" sheetId="1" r:id="R417f422c362749c7"/>
    <x:sheet xmlns:r="http://schemas.openxmlformats.org/officeDocument/2006/relationships" name="Merged Plant List" sheetId="2" r:id="R799622e2dff04279"/>
    <x:sheet xmlns:r="http://schemas.openxmlformats.org/officeDocument/2006/relationships" name="Family Queue" sheetId="3" r:id="R0cdadd560cc742e7"/>
    <x:sheet xmlns:r="http://schemas.openxmlformats.org/officeDocument/2006/relationships" name="Research Queue" sheetId="4" r:id="R7cf3e210b19c4c81"/>
    <x:sheet xmlns:r="http://schemas.openxmlformats.org/officeDocument/2006/relationships" name="Taxonomy Review" sheetId="5" r:id="Rda3919f4db164be4"/>
    <x:sheet xmlns:r="http://schemas.openxmlformats.org/officeDocument/2006/relationships" name="Source Records" sheetId="6" r:id="R8e2b014a0f184da0"/>
    <x:sheet xmlns:r="http://schemas.openxmlformats.org/officeDocument/2006/relationships" name="Euph Family Guide" sheetId="7" r:id="Ref315db090df4021"/>
    <x:sheet xmlns:r="http://schemas.openxmlformats.org/officeDocument/2006/relationships" name="Euph Genus Map" sheetId="8" r:id="Rcca3a63e8362450a"/>
    <x:sheet xmlns:r="http://schemas.openxmlformats.org/officeDocument/2006/relationships" name="Euph Character Evidence" sheetId="9" r:id="R3dba08769a834795"/>
    <x:sheet xmlns:r="http://schemas.openxmlformats.org/officeDocument/2006/relationships" name="Euph Comparison Sets" sheetId="10" r:id="Rd30304eb5ac24e63"/>
    <x:sheet xmlns:r="http://schemas.openxmlformats.org/officeDocument/2006/relationships" name="Euph C04 Field Guide" sheetId="11" r:id="R270403c8fdae4351"/>
    <x:sheet xmlns:r="http://schemas.openxmlformats.org/officeDocument/2006/relationships" name="Euph C04 Matrix" sheetId="12" r:id="R5d02dd18c0b743ac"/>
    <x:sheet xmlns:r="http://schemas.openxmlformats.org/officeDocument/2006/relationships" name="Euph C04 Pairs" sheetId="13" r:id="Re0c8eba020024b0d"/>
    <x:sheet xmlns:r="http://schemas.openxmlformats.org/officeDocument/2006/relationships" name="Euph C06 Field Guide" sheetId="14" r:id="R4bc50b0b7b5f485c"/>
    <x:sheet xmlns:r="http://schemas.openxmlformats.org/officeDocument/2006/relationships" name="Euph C06 Matrix" sheetId="15" r:id="R867ad22213764638"/>
    <x:sheet xmlns:r="http://schemas.openxmlformats.org/officeDocument/2006/relationships" name="Euph C06 Pairs" sheetId="16" r:id="R1ddf74a9fe114fa5"/>
    <x:sheet xmlns:r="http://schemas.openxmlformats.org/officeDocument/2006/relationships" name="Family Evidence Overview" sheetId="17" r:id="Ra6682b31cdaa4afd"/>
    <x:sheet xmlns:r="http://schemas.openxmlformats.org/officeDocument/2006/relationships" name="Family Evidence Raw" sheetId="18" r:id="R6fb4c9c2dcb54b8d"/>
    <x:sheet xmlns:r="http://schemas.openxmlformats.org/officeDocument/2006/relationships" name="Family Evidence Model" sheetId="19" r:id="R9fe0cffa01944ab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yyyy-mm-dd"/>
    <x:numFmt numFmtId="203" formatCode="0%"/>
  </x:numFmts>
  <x:fonts count="21">
    <x:font>
      <x:sz val="11"/>
      <x:name val="Carlito"/>
    </x:font>
    <x:font>
      <x:b/>
      <x:sz val="18"/>
      <x:color rgb="FFFFFFFF"/>
      <x:name val="Aptos Display"/>
    </x:font>
    <x:font>
      <x:sz val="11"/>
      <x:color rgb="FF21332B"/>
      <x:name val="Aptos"/>
    </x:font>
    <x:font>
      <x:b/>
      <x:sz val="10"/>
      <x:color rgb="FFFFFFFF"/>
      <x:name val="Aptos"/>
    </x:font>
    <x:font>
      <x:b/>
      <x:sz val="10"/>
      <x:color rgb="FF21332B"/>
      <x:name val="Aptos"/>
    </x:font>
    <x:font>
      <x:sz val="10"/>
      <x:color rgb="FF21332B"/>
      <x:name val="Aptos"/>
    </x:font>
    <x:font>
      <x:b/>
      <x:sz val="12"/>
      <x:color rgb="FFFFFFFF"/>
      <x:name val="Aptos"/>
    </x:font>
    <x:font>
      <x:i/>
      <x:sz val="10"/>
      <x:color rgb="FF21332B"/>
      <x:name val="Aptos"/>
    </x:font>
    <x:font>
      <x:b/>
      <x:sz val="18"/>
      <x:color rgb="FFFFFFFF"/>
      <x:name val="Carlito"/>
    </x:font>
    <x:font>
      <x:i/>
      <x:sz val="10"/>
      <x:color rgb="FF1F2A22"/>
      <x:name val="Carlito"/>
    </x:font>
    <x:font>
      <x:b/>
      <x:sz val="13"/>
      <x:color rgb="FFFFFFFF"/>
      <x:name val="Carlito"/>
    </x:font>
    <x:font>
      <x:b/>
      <x:sz val="11"/>
      <x:color rgb="FF234A32"/>
      <x:name val="Carlito"/>
    </x:font>
    <x:font>
      <x:b/>
      <x:sz val="11"/>
      <x:color rgb="FF1F2A22"/>
      <x:name val="Carlito"/>
    </x:font>
    <x:font>
      <x:b/>
      <x:sz val="12"/>
      <x:color rgb="FF7F1D1D"/>
      <x:name val="Carlito"/>
    </x:font>
    <x:font>
      <x:i/>
      <x:sz val="10"/>
      <x:color rgb="FF20342C"/>
      <x:name val="Carlito"/>
    </x:font>
    <x:font>
      <x:b/>
      <x:sz val="10"/>
      <x:color rgb="FFFFFFFF"/>
      <x:name val="Carlito"/>
    </x:font>
    <x:font>
      <x:b/>
      <x:sz val="20"/>
      <x:color rgb="FF1F5D46"/>
      <x:name val="Carlito"/>
    </x:font>
    <x:font>
      <x:b/>
      <x:sz val="11"/>
      <x:color rgb="FFFFFFFF"/>
      <x:name val="Carlito"/>
    </x:font>
    <x:font>
      <x:sz val="10"/>
      <x:color rgb="FF20342C"/>
      <x:name val="Carlito"/>
    </x:font>
    <x:font>
      <x:sz val="9"/>
      <x:color rgb="FF20342C"/>
      <x:name val="Carlito"/>
    </x:font>
    <x:font>
      <x:b/>
      <x:sz val="17"/>
      <x:color rgb="FFFFFFFF"/>
      <x:name val="Carlito"/>
    </x:font>
  </x:fonts>
  <x:fills count="27">
    <x:fill>
      <x:patternFill patternType="none"/>
    </x:fill>
    <x:fill>
      <x:patternFill patternType="gray125"/>
    </x:fill>
    <x:fill>
      <x:patternFill patternType="solid">
        <x:fgColor rgb="FF1F5D45"/>
      </x:patternFill>
    </x:fill>
    <x:fill>
      <x:patternFill patternType="solid">
        <x:fgColor rgb="FFE8F2EC"/>
      </x:patternFill>
    </x:fill>
    <x:fill>
      <x:patternFill patternType="solid">
        <x:fgColor rgb="FF4F7D68"/>
      </x:patternFill>
    </x:fill>
    <x:fill>
      <x:patternFill patternType="solid">
        <x:fgColor rgb="FFE8F0F7"/>
      </x:patternFill>
    </x:fill>
    <x:fill>
      <x:patternFill patternType="solid">
        <x:fgColor rgb="FF234A32"/>
      </x:patternFill>
    </x:fill>
    <x:fill>
      <x:patternFill patternType="solid">
        <x:fgColor rgb="FFE8F1E9"/>
      </x:patternFill>
    </x:fill>
    <x:fill>
      <x:patternFill patternType="solid">
        <x:fgColor rgb="FF4E7A59"/>
      </x:patternFill>
    </x:fill>
    <x:fill>
      <x:patternFill patternType="solid">
        <x:fgColor rgb="FFC9972B"/>
      </x:patternFill>
    </x:fill>
    <x:fill>
      <x:patternFill patternType="solid">
        <x:fgColor rgb="FFF5F8F5"/>
      </x:patternFill>
    </x:fill>
    <x:fill>
      <x:patternFill patternType="solid">
        <x:fgColor rgb="FF234A32"/>
      </x:patternFill>
    </x:fill>
    <x:fill>
      <x:patternFill patternType="solid">
        <x:fgColor rgb="FFE8F1E9"/>
      </x:patternFill>
    </x:fill>
    <x:fill>
      <x:patternFill patternType="solid">
        <x:fgColor rgb="FF4E7A59"/>
      </x:patternFill>
    </x:fill>
    <x:fill>
      <x:patternFill patternType="solid">
        <x:fgColor rgb="FFC9972B"/>
      </x:patternFill>
    </x:fill>
    <x:fill>
      <x:patternFill patternType="solid">
        <x:fgColor rgb="FFFFF2CC"/>
      </x:patternFill>
    </x:fill>
    <x:fill>
      <x:patternFill patternType="solid">
        <x:fgColor rgb="FF234A32"/>
      </x:patternFill>
    </x:fill>
    <x:fill>
      <x:patternFill patternType="solid">
        <x:fgColor rgb="FFE8F1E9"/>
      </x:patternFill>
    </x:fill>
    <x:fill>
      <x:patternFill patternType="solid">
        <x:fgColor rgb="FFF4CCCC"/>
      </x:patternFill>
    </x:fill>
    <x:fill>
      <x:patternFill patternType="solid">
        <x:fgColor rgb="FF4E7A59"/>
      </x:patternFill>
    </x:fill>
    <x:fill>
      <x:patternFill patternType="solid">
        <x:fgColor rgb="FFC9972B"/>
      </x:patternFill>
    </x:fill>
    <x:fill>
      <x:patternFill patternType="solid">
        <x:fgColor rgb="FFFFF2CC"/>
      </x:patternFill>
    </x:fill>
    <x:fill>
      <x:patternFill patternType="solid">
        <x:fgColor rgb="FFE8F1F7"/>
      </x:patternFill>
    </x:fill>
    <x:fill>
      <x:patternFill patternType="solid">
        <x:fgColor rgb="FF1F5D46"/>
      </x:patternFill>
    </x:fill>
    <x:fill>
      <x:patternFill patternType="solid">
        <x:fgColor rgb="FFE7F1EC"/>
      </x:patternFill>
    </x:fill>
    <x:fill>
      <x:patternFill patternType="solid">
        <x:fgColor rgb="FF4B7F6B"/>
      </x:patternFill>
    </x:fill>
    <x:fill>
      <x:patternFill patternType="solid">
        <x:fgColor rgb="FFFFFFFF"/>
      </x:patternFill>
    </x:fill>
  </x:fills>
  <x:borders count="29">
    <x:border/>
    <x:border>
      <x:right style="thin">
        <x:color rgb="FFCCD8D1"/>
      </x:right>
      <x:bottom style="thin">
        <x:color rgb="FFCCD8D1"/>
      </x:bottom>
    </x:border>
    <x:border>
      <x:left style="thin">
        <x:color rgb="FFCCD8D1"/>
      </x:left>
      <x:bottom style="thin">
        <x:color rgb="FFCCD8D1"/>
      </x:bottom>
    </x:border>
    <x:border>
      <x:right style="thin">
        <x:color rgb="FFCCD8D1"/>
      </x:right>
      <x:top style="thin">
        <x:color rgb="FFCCD8D1"/>
      </x:top>
      <x:bottom style="thin">
        <x:color rgb="FFCCD8D1"/>
      </x:bottom>
    </x:border>
    <x:border>
      <x:left style="thin">
        <x:color rgb="FFCCD8D1"/>
      </x:left>
      <x:top style="thin">
        <x:color rgb="FFCCD8D1"/>
      </x:top>
      <x:bottom style="thin">
        <x:color rgb="FFCCD8D1"/>
      </x:bottom>
    </x:border>
    <x:border>
      <x:right style="thin">
        <x:color rgb="FFCCD8D1"/>
      </x:right>
      <x:top style="thin">
        <x:color rgb="FFCCD8D1"/>
      </x:top>
    </x:border>
    <x:border>
      <x:left style="thin">
        <x:color rgb="FFCCD8D1"/>
      </x:left>
      <x:top style="thin">
        <x:color rgb="FFCCD8D1"/>
      </x:top>
    </x:border>
    <x:border>
      <x:left style="thin">
        <x:color rgb="FFCCD8D1"/>
      </x:left>
      <x:right style="thin">
        <x:color rgb="FFCCD8D1"/>
      </x:right>
      <x:bottom style="thin">
        <x:color rgb="FFCCD8D1"/>
      </x:bottom>
    </x:border>
    <x:border>
      <x:left style="thin">
        <x:color rgb="FFCCD8D1"/>
      </x:left>
      <x:right style="thin">
        <x:color rgb="FFCCD8D1"/>
      </x:right>
      <x:top style="thin">
        <x:color rgb="FFCCD8D1"/>
      </x:top>
      <x:bottom style="thin">
        <x:color rgb="FFCCD8D1"/>
      </x:bottom>
    </x:border>
    <x:border>
      <x:left style="thin">
        <x:color rgb="FFCCD8D1"/>
      </x:left>
      <x:right style="thin">
        <x:color rgb="FFCCD8D1"/>
      </x:right>
      <x:top style="thin">
        <x:color rgb="FFCCD8D1"/>
      </x:top>
    </x:border>
    <x:border>
      <x:top style="thin">
        <x:color rgb="FFCCD8D1"/>
      </x:top>
      <x:bottom style="thin">
        <x:color rgb="FFCCD8D1"/>
      </x:bottom>
    </x:border>
    <x:border>
      <x:left style="thin">
        <x:color rgb="FF1F5D45"/>
      </x:left>
      <x:top style="thin">
        <x:color rgb="FF1F5D45"/>
      </x:top>
      <x:bottom style="thin">
        <x:color rgb="FF1F5D45"/>
      </x:bottom>
    </x:border>
    <x:border>
      <x:top style="thin">
        <x:color rgb="FF1F5D45"/>
      </x:top>
      <x:bottom style="thin">
        <x:color rgb="FF1F5D45"/>
      </x:bottom>
    </x:border>
    <x:border>
      <x:right style="thin">
        <x:color rgb="FF1F5D45"/>
      </x:right>
      <x:top style="thin">
        <x:color rgb="FF1F5D45"/>
      </x:top>
      <x:bottom style="thin">
        <x:color rgb="FF1F5D45"/>
      </x:bottom>
    </x:border>
    <x:border>
      <x:left style="thin">
        <x:color rgb="FF1F5D45"/>
      </x:left>
      <x:top style="thin">
        <x:color rgb="FF1F5D45"/>
      </x:top>
      <x:bottom style="thin">
        <x:color rgb="FFCCD8D1"/>
      </x:bottom>
    </x:border>
    <x:border>
      <x:top style="thin">
        <x:color rgb="FF1F5D45"/>
      </x:top>
      <x:bottom style="thin">
        <x:color rgb="FFCCD8D1"/>
      </x:bottom>
    </x:border>
    <x:border>
      <x:left style="thin">
        <x:color rgb="FF1F5D45"/>
      </x:left>
      <x:top style="thin">
        <x:color rgb="FFCCD8D1"/>
      </x:top>
      <x:bottom style="thin">
        <x:color rgb="FFCCD8D1"/>
      </x:bottom>
    </x:border>
    <x:border>
      <x:left style="thin">
        <x:color rgb="FF1F5D45"/>
      </x:left>
      <x:top style="thin">
        <x:color rgb="FFCCD8D1"/>
      </x:top>
      <x:bottom style="thin">
        <x:color rgb="FF1F5D45"/>
      </x:bottom>
    </x:border>
    <x:border>
      <x:top style="thin">
        <x:color rgb="FFCCD8D1"/>
      </x:top>
      <x:bottom style="thin">
        <x:color rgb="FF1F5D45"/>
      </x:bottom>
    </x:border>
    <x:border>
      <x:left style="thin">
        <x:color rgb="FFC8D4CA"/>
      </x:left>
      <x:right style="thin">
        <x:color rgb="FFC8D4CA"/>
      </x:right>
      <x:top style="thin">
        <x:color rgb="FFC8D4CA"/>
      </x:top>
      <x:bottom style="thin">
        <x:color rgb="FFC8D4CA"/>
      </x:bottom>
    </x:border>
    <x:border>
      <x:left style="thin">
        <x:color rgb="FFC7D8D0"/>
      </x:left>
      <x:right style="thin">
        <x:color rgb="FFC7D8D0"/>
      </x:right>
      <x:top style="thin">
        <x:color rgb="FFC7D8D0"/>
      </x:top>
      <x:bottom style="thin">
        <x:color rgb="FFC7D8D0"/>
      </x:bottom>
    </x:border>
    <x:border>
      <x:left style="thin">
        <x:color rgb="FF1F5D46"/>
      </x:left>
      <x:top style="thin">
        <x:color rgb="FF1F5D46"/>
      </x:top>
      <x:bottom style="thin">
        <x:color rgb="FF1F5D46"/>
      </x:bottom>
    </x:border>
    <x:border>
      <x:right style="thin">
        <x:color rgb="FF1F5D46"/>
      </x:right>
      <x:top style="thin">
        <x:color rgb="FF1F5D46"/>
      </x:top>
      <x:bottom style="thin">
        <x:color rgb="FF1F5D46"/>
      </x:bottom>
    </x:border>
    <x:border>
      <x:left style="thin">
        <x:color rgb="FFC7D8D0"/>
      </x:left>
      <x:top style="thin">
        <x:color rgb="FFC7D8D0"/>
      </x:top>
    </x:border>
    <x:border>
      <x:right style="thin">
        <x:color rgb="FFC7D8D0"/>
      </x:right>
      <x:top style="thin">
        <x:color rgb="FFC7D8D0"/>
      </x:top>
    </x:border>
    <x:border>
      <x:left style="thin">
        <x:color rgb="FFC7D8D0"/>
      </x:left>
      <x:bottom style="thin">
        <x:color rgb="FFC7D8D0"/>
      </x:bottom>
    </x:border>
    <x:border>
      <x:right style="thin">
        <x:color rgb="FFC7D8D0"/>
      </x:right>
      <x:bottom style="thin">
        <x:color rgb="FFC7D8D0"/>
      </x:bottom>
    </x:border>
    <x:border>
      <x:top style="thin">
        <x:color rgb="FFC7D8D0"/>
      </x:top>
    </x:border>
    <x:border>
      <x:bottom style="thin">
        <x:color rgb="FFC7D8D0"/>
      </x:bottom>
    </x:border>
  </x:borders>
  <x:cellStyleXfs count="1">
    <x:xf numFmtId="0" fontId="0" fillId="0" borderId="0"/>
  </x:cellStyleXfs>
  <x:cellXfs count="2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3" fillId="4" borderId="7" xfId="0" applyNumberFormat="1" applyFont="1" applyFill="1" applyBorder="1" applyAlignment="1">
      <x:alignment wrapText="1"/>
    </x:xf>
    <x:xf numFmtId="0" fontId="0" fillId="0" borderId="8" xfId="0" applyNumberFormat="1" applyFont="1" applyFill="1" applyBorder="1"/>
    <x:xf numFmtId="0" fontId="0" fillId="0" borderId="9" xfId="0" applyNumberFormat="1" applyFont="1" applyFill="1" applyBorder="1"/>
    <x:xf numFmtId="0" fontId="4" fillId="4" borderId="1" xfId="0" applyNumberFormat="1" applyFont="1" applyFill="1" applyBorder="1" applyAlignment="1">
      <x:alignment wrapText="1"/>
    </x:xf>
    <x:xf numFmtId="0" fontId="4" fillId="4" borderId="2" xfId="0" applyNumberFormat="1" applyFont="1" applyFill="1" applyBorder="1" applyAlignment="1">
      <x:alignment wrapText="1"/>
    </x:xf>
    <x:xf numFmtId="0" fontId="5" fillId="0" borderId="0" xfId="0" applyNumberFormat="1" applyFont="1" applyFill="1" applyBorder="1"/>
    <x:xf numFmtId="0" fontId="4" fillId="4" borderId="7" xfId="0" applyNumberFormat="1" applyFont="1" applyFill="1" applyBorder="1" applyAlignment="1">
      <x:alignment wrapText="1"/>
    </x:xf>
    <x:xf numFmtId="0" fontId="5" fillId="0" borderId="3" xfId="0" applyNumberFormat="1" applyFont="1" applyFill="1" applyBorder="1"/>
    <x:xf numFmtId="0" fontId="5" fillId="0" borderId="4" xfId="0" applyNumberFormat="1" applyFont="1" applyFill="1" applyBorder="1"/>
    <x:xf numFmtId="0" fontId="5" fillId="0" borderId="8"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9" xfId="0" applyNumberFormat="1" applyFont="1" applyFill="1" applyBorder="1"/>
    <x:xf numFmtId="0" fontId="5" fillId="0" borderId="3"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6" xfId="0" applyNumberFormat="1" applyFont="1" applyFill="1" applyBorder="1" applyAlignment="1">
      <x:alignment wrapText="1"/>
    </x:xf>
    <x:xf numFmtId="200" fontId="5" fillId="0" borderId="4" xfId="0" applyNumberFormat="1" applyFont="1" applyFill="1" applyBorder="1"/>
    <x:xf numFmtId="200" fontId="5" fillId="0" borderId="6" xfId="0" applyNumberFormat="1" applyFont="1" applyFill="1" applyBorder="1"/>
    <x:xf numFmtId="200" fontId="5" fillId="0" borderId="8" xfId="0" applyNumberFormat="1" applyFont="1" applyFill="1" applyBorder="1" applyAlignment="1">
      <x:alignment wrapText="1"/>
    </x:xf>
    <x:xf numFmtId="200" fontId="5" fillId="0" borderId="9" xfId="0" applyNumberFormat="1" applyFont="1" applyFill="1" applyBorder="1" applyAlignment="1">
      <x:alignment wrapText="1"/>
    </x:xf>
    <x:xf numFmtId="0" fontId="6" fillId="2" borderId="0" xfId="0" applyNumberFormat="1" applyFont="1" applyFill="1" applyBorder="1"/>
    <x:xf numFmtId="0" fontId="0" fillId="0" borderId="1" xfId="0" applyNumberFormat="1" applyFont="1" applyFill="1" applyBorder="1"/>
    <x:xf numFmtId="0" fontId="0" fillId="0" borderId="7" xfId="0" applyNumberFormat="1" applyFont="1" applyFill="1" applyBorder="1"/>
    <x:xf numFmtId="0" fontId="0" fillId="0" borderId="2" xfId="0" applyNumberFormat="1" applyFont="1" applyFill="1" applyBorder="1"/>
    <x:xf numFmtId="0" fontId="0" fillId="4" borderId="1" xfId="0" applyNumberFormat="1" applyFont="1" applyFill="1" applyBorder="1"/>
    <x:xf numFmtId="0" fontId="0" fillId="4" borderId="7" xfId="0" applyNumberFormat="1" applyFont="1" applyFill="1" applyBorder="1"/>
    <x:xf numFmtId="0" fontId="0" fillId="4" borderId="2" xfId="0" applyNumberFormat="1" applyFont="1" applyFill="1" applyBorder="1"/>
    <x:xf numFmtId="0" fontId="3" fillId="4" borderId="1" xfId="0" applyNumberFormat="1" applyFont="1" applyFill="1" applyBorder="1"/>
    <x:xf numFmtId="0" fontId="3" fillId="4" borderId="7" xfId="0" applyNumberFormat="1" applyFont="1" applyFill="1" applyBorder="1"/>
    <x:xf numFmtId="0" fontId="3" fillId="4" borderId="2" xfId="0" applyNumberFormat="1" applyFont="1" applyFill="1" applyBorder="1"/>
    <x:xf numFmtId="0" fontId="5" fillId="0" borderId="3"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4" xfId="0" applyNumberFormat="1" applyFont="1" applyFill="1" applyBorder="1"/>
    <x:xf numFmtId="0" fontId="5" fillId="5" borderId="10" xfId="0" applyNumberFormat="1" applyFont="1" applyFill="1" applyBorder="1"/>
    <x:xf numFmtId="0" fontId="5" fillId="5" borderId="3" xfId="0" applyNumberFormat="1" applyFont="1" applyFill="1" applyBorder="1"/>
    <x:xf numFmtId="0" fontId="5" fillId="5" borderId="4" xfId="0" applyNumberFormat="1" applyFont="1" applyFill="1" applyBorder="1" applyAlignment="1">
      <x:alignment wrapText="1"/>
    </x:xf>
    <x:xf numFmtId="0" fontId="5" fillId="5" borderId="10"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vertical="top" wrapText="1"/>
    </x:xf>
    <x:xf numFmtId="0" fontId="5" fillId="5" borderId="10"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0" borderId="0" xfId="0" applyNumberFormat="1" applyFont="1" applyFill="1" applyBorder="1" applyAlignment="1">
      <x:alignment wrapText="1"/>
    </x:xf>
    <x:xf numFmtId="0" fontId="3" fillId="2" borderId="0" xfId="0" applyNumberFormat="1" applyFont="1" applyFill="1" applyBorder="1"/>
    <x:xf numFmtId="0" fontId="3" fillId="2" borderId="11" xfId="0" applyNumberFormat="1" applyFont="1" applyFill="1" applyBorder="1"/>
    <x:xf numFmtId="0" fontId="3" fillId="2" borderId="12" xfId="0" applyNumberFormat="1" applyFont="1" applyFill="1" applyBorder="1"/>
    <x:xf numFmtId="0" fontId="3" fillId="2" borderId="13" xfId="0" applyNumberFormat="1" applyFont="1" applyFill="1" applyBorder="1"/>
    <x:xf numFmtId="0" fontId="3" fillId="2" borderId="11" xfId="0" applyNumberFormat="1" applyFont="1" applyFill="1" applyBorder="1" applyAlignment="1">
      <x:alignment wrapText="1"/>
    </x:xf>
    <x:xf numFmtId="0" fontId="3" fillId="2" borderId="12" xfId="0" applyNumberFormat="1" applyFont="1" applyFill="1" applyBorder="1" applyAlignment="1">
      <x:alignment wrapText="1"/>
    </x:xf>
    <x:xf numFmtId="0" fontId="3" fillId="2" borderId="13" xfId="0" applyNumberFormat="1" applyFont="1" applyFill="1" applyBorder="1" applyAlignment="1">
      <x:alignment wrapText="1"/>
    </x:xf>
    <x:xf numFmtId="0" fontId="3" fillId="2" borderId="11" xfId="0" applyNumberFormat="1" applyFont="1" applyFill="1" applyBorder="1" applyAlignment="1">
      <x:alignment vertical="center" wrapText="1"/>
    </x:xf>
    <x:xf numFmtId="0" fontId="3" fillId="2" borderId="12" xfId="0" applyNumberFormat="1" applyFont="1" applyFill="1" applyBorder="1" applyAlignment="1">
      <x:alignment vertical="center" wrapText="1"/>
    </x:xf>
    <x:xf numFmtId="0" fontId="3" fillId="2" borderId="13" xfId="0" applyNumberFormat="1" applyFont="1" applyFill="1" applyBorder="1" applyAlignment="1">
      <x:alignment vertical="center" wrapText="1"/>
    </x:xf>
    <x:xf numFmtId="0" fontId="4" fillId="2" borderId="11" xfId="0" applyNumberFormat="1" applyFont="1" applyFill="1" applyBorder="1" applyAlignment="1">
      <x:alignment vertical="center" wrapText="1"/>
    </x:xf>
    <x:xf numFmtId="0" fontId="4" fillId="2" borderId="12" xfId="0" applyNumberFormat="1" applyFont="1" applyFill="1" applyBorder="1" applyAlignment="1">
      <x:alignment vertical="center" wrapText="1"/>
    </x:xf>
    <x:xf numFmtId="0" fontId="4" fillId="2" borderId="13" xfId="0" applyNumberFormat="1" applyFont="1" applyFill="1" applyBorder="1" applyAlignment="1">
      <x:alignment vertical="center" wrapText="1"/>
    </x:xf>
    <x:xf numFmtId="0" fontId="4" fillId="2" borderId="14" xfId="0" applyNumberFormat="1" applyFont="1" applyFill="1" applyBorder="1" applyAlignment="1">
      <x:alignment vertical="center" wrapText="1"/>
    </x:xf>
    <x:xf numFmtId="0" fontId="4" fillId="2" borderId="15" xfId="0" applyNumberFormat="1" applyFont="1" applyFill="1" applyBorder="1" applyAlignment="1">
      <x:alignment vertical="center" wrapText="1"/>
    </x:xf>
    <x:xf numFmtId="0" fontId="5" fillId="0" borderId="16" xfId="0" applyNumberFormat="1" applyFont="1" applyFill="1" applyBorder="1"/>
    <x:xf numFmtId="0" fontId="5" fillId="0" borderId="10" xfId="0" applyNumberFormat="1" applyFont="1" applyFill="1" applyBorder="1"/>
    <x:xf numFmtId="0" fontId="5" fillId="0" borderId="17" xfId="0" applyNumberFormat="1" applyFont="1" applyFill="1" applyBorder="1"/>
    <x:xf numFmtId="0" fontId="5" fillId="0" borderId="18" xfId="0" applyNumberFormat="1" applyFont="1" applyFill="1" applyBorder="1"/>
    <x:xf numFmtId="0" fontId="7" fillId="0" borderId="10" xfId="0" applyNumberFormat="1" applyFont="1" applyFill="1" applyBorder="1"/>
    <x:xf numFmtId="0" fontId="7" fillId="0" borderId="18" xfId="0" applyNumberFormat="1" applyFont="1" applyFill="1" applyBorder="1"/>
    <x:xf numFmtId="201" fontId="5" fillId="0" borderId="10" xfId="0" applyNumberFormat="1" applyFont="1" applyFill="1" applyBorder="1"/>
    <x:xf numFmtId="201" fontId="5" fillId="0" borderId="18" xfId="0" applyNumberFormat="1" applyFont="1" applyFill="1" applyBorder="1"/>
    <x:xf numFmtId="202" fontId="5" fillId="0" borderId="10" xfId="0" applyNumberFormat="1" applyFont="1" applyFill="1" applyBorder="1"/>
    <x:xf numFmtId="202" fontId="5" fillId="0" borderId="18" xfId="0" applyNumberFormat="1" applyFont="1" applyFill="1" applyBorder="1"/>
    <x:xf numFmtId="203" fontId="5" fillId="0" borderId="10" xfId="0" applyNumberFormat="1" applyFont="1" applyFill="1" applyBorder="1"/>
    <x:xf numFmtId="203" fontId="5" fillId="0" borderId="18" xfId="0" applyNumberFormat="1" applyFont="1" applyFill="1" applyBorder="1"/>
    <x:xf numFmtId="0" fontId="5" fillId="0" borderId="10" xfId="0" applyNumberFormat="1" applyFont="1" applyFill="1" applyBorder="1" applyAlignment="1">
      <x:alignment wrapText="1"/>
    </x:xf>
    <x:xf numFmtId="0" fontId="5" fillId="0" borderId="18" xfId="0" applyNumberFormat="1" applyFont="1" applyFill="1" applyBorder="1" applyAlignment="1">
      <x:alignment wrapText="1"/>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vertical="center"/>
    </x:xf>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vertical="center" wrapText="1"/>
    </x:xf>
    <x:xf numFmtId="0" fontId="0" fillId="8" borderId="0" xfId="0" applyNumberFormat="1" applyFont="1" applyFill="1" applyBorder="1"/>
    <x:xf numFmtId="0" fontId="10" fillId="8"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9" borderId="0" xfId="0" applyNumberFormat="1" applyFont="1" applyFill="1" applyBorder="1"/>
    <x:xf numFmtId="0" fontId="10" fillId="9" borderId="0" xfId="0" applyNumberFormat="1" applyFont="1" applyFill="1" applyBorder="1"/>
    <x:xf numFmtId="0" fontId="0" fillId="0" borderId="19" xfId="0" applyNumberFormat="1" applyFont="1" applyFill="1" applyBorder="1" applyAlignment="1">
      <x:alignment wrapText="1"/>
    </x:xf>
    <x:xf numFmtId="0" fontId="0" fillId="7" borderId="19" xfId="0" applyNumberFormat="1" applyFont="1" applyFill="1" applyBorder="1" applyAlignment="1">
      <x:alignment wrapText="1"/>
    </x:xf>
    <x:xf numFmtId="0" fontId="11" fillId="7" borderId="19" xfId="0" applyNumberFormat="1" applyFont="1" applyFill="1" applyBorder="1" applyAlignment="1">
      <x:alignment wrapText="1"/>
    </x:xf>
    <x:xf numFmtId="0" fontId="0" fillId="10" borderId="19" xfId="0" applyNumberFormat="1" applyFont="1" applyFill="1" applyBorder="1" applyAlignment="1">
      <x:alignment wrapText="1"/>
    </x:xf>
    <x:xf numFmtId="0" fontId="0" fillId="0" borderId="0" xfId="0" applyNumberFormat="1" applyFont="1" applyFill="1" applyBorder="1" applyAlignment="1">
      <x:alignment vertical="top"/>
    </x:xf>
    <x:xf numFmtId="0" fontId="5" fillId="0" borderId="10" xfId="0" applyNumberFormat="1" applyFont="1" applyFill="1" applyBorder="1" applyAlignment="1">
      <x:alignment vertical="top"/>
    </x:xf>
    <x:xf numFmtId="202" fontId="5" fillId="0" borderId="10" xfId="0" applyNumberFormat="1" applyFont="1" applyFill="1" applyBorder="1" applyAlignment="1">
      <x:alignment vertical="top"/>
    </x:xf>
    <x:xf numFmtId="0" fontId="5" fillId="0" borderId="18" xfId="0" applyNumberFormat="1" applyFont="1" applyFill="1" applyBorder="1" applyAlignment="1">
      <x:alignment vertical="top"/>
    </x:xf>
    <x:xf numFmtId="202" fontId="5" fillId="0" borderId="18" xfId="0" applyNumberFormat="1" applyFont="1" applyFill="1" applyBorder="1" applyAlignment="1">
      <x:alignment vertical="top"/>
    </x:xf>
    <x:xf numFmtId="0" fontId="5" fillId="0" borderId="10"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0" fillId="11" borderId="0" xfId="0" applyNumberFormat="1" applyFont="1" applyFill="1" applyBorder="1"/>
    <x:xf numFmtId="0" fontId="8" fillId="11" borderId="0" xfId="0" applyNumberFormat="1" applyFont="1" applyFill="1" applyBorder="1"/>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0" fillId="13" borderId="0" xfId="0" applyNumberFormat="1" applyFont="1" applyFill="1" applyBorder="1"/>
    <x:xf numFmtId="0" fontId="10" fillId="13" borderId="0" xfId="0" applyNumberFormat="1" applyFont="1" applyFill="1" applyBorder="1"/>
    <x:xf numFmtId="0" fontId="0" fillId="0" borderId="19" xfId="0" applyNumberFormat="1" applyFont="1" applyFill="1" applyBorder="1" applyAlignment="1">
      <x:alignment vertical="top" wrapText="1"/>
    </x:xf>
    <x:xf numFmtId="0" fontId="0" fillId="12" borderId="19" xfId="0" applyNumberFormat="1" applyFont="1" applyFill="1" applyBorder="1" applyAlignment="1">
      <x:alignment vertical="top" wrapText="1"/>
    </x:xf>
    <x:xf numFmtId="0" fontId="11" fillId="0" borderId="19" xfId="0" applyNumberFormat="1" applyFont="1" applyFill="1" applyBorder="1" applyAlignment="1">
      <x:alignment vertical="top" wrapText="1"/>
    </x:xf>
    <x:xf numFmtId="0" fontId="0" fillId="14" borderId="0" xfId="0" applyNumberFormat="1" applyFont="1" applyFill="1" applyBorder="1"/>
    <x:xf numFmtId="0" fontId="10" fillId="14" borderId="0" xfId="0" applyNumberFormat="1" applyFont="1" applyFill="1" applyBorder="1"/>
    <x:xf numFmtId="0" fontId="0" fillId="15" borderId="0" xfId="0" applyNumberFormat="1" applyFont="1" applyFill="1" applyBorder="1"/>
    <x:xf numFmtId="0" fontId="12" fillId="15" borderId="0" xfId="0" applyNumberFormat="1" applyFont="1" applyFill="1" applyBorder="1"/>
    <x:xf numFmtId="0" fontId="12" fillId="15" borderId="0" xfId="0" applyNumberFormat="1" applyFont="1" applyFill="1" applyBorder="1" applyAlignment="1">
      <x:alignment wrapText="1"/>
    </x:xf>
    <x:xf numFmtId="0" fontId="0" fillId="16" borderId="0" xfId="0" applyNumberFormat="1" applyFont="1" applyFill="1" applyBorder="1"/>
    <x:xf numFmtId="0" fontId="8"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wrapText="1"/>
    </x:xf>
    <x:xf numFmtId="0" fontId="0" fillId="18" borderId="0" xfId="0" applyNumberFormat="1" applyFont="1" applyFill="1" applyBorder="1"/>
    <x:xf numFmtId="0" fontId="13" fillId="18" borderId="0" xfId="0" applyNumberFormat="1" applyFont="1" applyFill="1" applyBorder="1"/>
    <x:xf numFmtId="0" fontId="13" fillId="18" borderId="0" xfId="0" applyNumberFormat="1" applyFont="1" applyFill="1" applyBorder="1" applyAlignment="1">
      <x:alignment wrapText="1"/>
    </x:xf>
    <x:xf numFmtId="0" fontId="0" fillId="19" borderId="0" xfId="0" applyNumberFormat="1" applyFont="1" applyFill="1" applyBorder="1"/>
    <x:xf numFmtId="0" fontId="10" fillId="19" borderId="0" xfId="0" applyNumberFormat="1" applyFont="1" applyFill="1" applyBorder="1"/>
    <x:xf numFmtId="0" fontId="0" fillId="17" borderId="19" xfId="0" applyNumberFormat="1" applyFont="1" applyFill="1" applyBorder="1" applyAlignment="1">
      <x:alignment vertical="top" wrapText="1"/>
    </x:xf>
    <x:xf numFmtId="0" fontId="11" fillId="17" borderId="19" xfId="0" applyNumberFormat="1" applyFont="1" applyFill="1" applyBorder="1" applyAlignment="1">
      <x:alignment vertical="top" wrapText="1"/>
    </x:xf>
    <x:xf numFmtId="0" fontId="0" fillId="20" borderId="0" xfId="0" applyNumberFormat="1" applyFont="1" applyFill="1" applyBorder="1"/>
    <x:xf numFmtId="0" fontId="10" fillId="20" borderId="0" xfId="0" applyNumberFormat="1" applyFont="1" applyFill="1" applyBorder="1"/>
    <x:xf numFmtId="0" fontId="0" fillId="21" borderId="0" xfId="0" applyNumberFormat="1" applyFont="1" applyFill="1" applyBorder="1"/>
    <x:xf numFmtId="0" fontId="12" fillId="21" borderId="0" xfId="0" applyNumberFormat="1" applyFont="1" applyFill="1" applyBorder="1"/>
    <x:xf numFmtId="0" fontId="12" fillId="21" borderId="0" xfId="0" applyNumberFormat="1" applyFont="1" applyFill="1" applyBorder="1" applyAlignment="1">
      <x:alignment wrapText="1"/>
    </x:xf>
    <x:xf numFmtId="0" fontId="0" fillId="22" borderId="0" xfId="0" applyNumberFormat="1" applyFont="1" applyFill="1" applyBorder="1"/>
    <x:xf numFmtId="0" fontId="0" fillId="22" borderId="20" xfId="0" applyNumberFormat="1" applyFont="1" applyFill="1" applyBorder="1"/>
    <x:xf numFmtId="0" fontId="0" fillId="22" borderId="20" xfId="0" applyNumberFormat="1" applyFont="1" applyFill="1" applyBorder="1" applyAlignment="1">
      <x:alignment wrapText="1"/>
    </x:xf>
    <x:xf numFmtId="0" fontId="0" fillId="22" borderId="20" xfId="0" applyNumberFormat="1" applyFont="1" applyFill="1" applyBorder="1" applyAlignment="1">
      <x:alignment vertical="center" wrapText="1"/>
    </x:xf>
    <x:xf numFmtId="201" fontId="0" fillId="22" borderId="20" xfId="0" applyNumberFormat="1" applyFont="1" applyFill="1" applyBorder="1" applyAlignment="1">
      <x:alignment vertical="center" wrapText="1"/>
    </x:xf>
    <x:xf numFmtId="0" fontId="0" fillId="23" borderId="0" xfId="0" applyNumberFormat="1" applyFont="1" applyFill="1" applyBorder="1"/>
    <x:xf numFmtId="0" fontId="8" fillId="23" borderId="0" xfId="0" applyNumberFormat="1" applyFont="1" applyFill="1" applyBorder="1"/>
    <x:xf numFmtId="0" fontId="8" fillId="23" borderId="0" xfId="0" applyNumberFormat="1" applyFont="1" applyFill="1" applyBorder="1" applyAlignment="1">
      <x:alignment vertical="center"/>
    </x:xf>
    <x:xf numFmtId="0" fontId="0" fillId="24" borderId="0" xfId="0" applyNumberFormat="1" applyFont="1" applyFill="1" applyBorder="1"/>
    <x:xf numFmtId="0" fontId="14" fillId="24" borderId="0" xfId="0" applyNumberFormat="1" applyFont="1" applyFill="1" applyBorder="1"/>
    <x:xf numFmtId="0" fontId="14" fillId="24" borderId="0" xfId="0" applyNumberFormat="1" applyFont="1" applyFill="1" applyBorder="1" applyAlignment="1">
      <x:alignment wrapText="1"/>
    </x:xf>
    <x:xf numFmtId="0" fontId="14" fillId="24" borderId="0" xfId="0" applyNumberFormat="1" applyFont="1" applyFill="1" applyBorder="1" applyAlignment="1">
      <x:alignment vertical="center" wrapText="1"/>
    </x:xf>
    <x:xf numFmtId="0" fontId="0" fillId="25" borderId="0" xfId="0" applyNumberFormat="1" applyFont="1" applyFill="1" applyBorder="1"/>
    <x:xf numFmtId="0" fontId="15" fillId="25" borderId="0" xfId="0" applyNumberFormat="1" applyFont="1" applyFill="1" applyBorder="1"/>
    <x:xf numFmtId="0" fontId="15" fillId="25" borderId="21" xfId="0" applyNumberFormat="1" applyFont="1" applyFill="1" applyBorder="1"/>
    <x:xf numFmtId="0" fontId="15" fillId="25" borderId="22" xfId="0" applyNumberFormat="1" applyFont="1" applyFill="1" applyBorder="1"/>
    <x:xf numFmtId="0" fontId="15" fillId="25" borderId="21" xfId="0" applyNumberFormat="1" applyFont="1" applyFill="1" applyBorder="1" applyAlignment="1">
      <x:alignment wrapText="1"/>
    </x:xf>
    <x:xf numFmtId="0" fontId="15" fillId="25" borderId="22" xfId="0" applyNumberFormat="1" applyFont="1" applyFill="1" applyBorder="1" applyAlignment="1">
      <x:alignment wrapText="1"/>
    </x:xf>
    <x:xf numFmtId="0" fontId="15" fillId="25" borderId="21" xfId="0" applyNumberFormat="1" applyFont="1" applyFill="1" applyBorder="1" applyAlignment="1">
      <x:alignment horizontal="center" wrapText="1"/>
    </x:xf>
    <x:xf numFmtId="0" fontId="15" fillId="25" borderId="22" xfId="0" applyNumberFormat="1" applyFont="1" applyFill="1" applyBorder="1" applyAlignment="1">
      <x:alignment horizontal="center" wrapText="1"/>
    </x:xf>
    <x:xf numFmtId="0" fontId="15" fillId="25" borderId="21" xfId="0" applyNumberFormat="1" applyFont="1" applyFill="1" applyBorder="1" applyAlignment="1">
      <x:alignment horizontal="center" vertical="center" wrapText="1"/>
    </x:xf>
    <x:xf numFmtId="0" fontId="15" fillId="25" borderId="22" xfId="0" applyNumberFormat="1" applyFont="1" applyFill="1" applyBorder="1" applyAlignment="1">
      <x:alignment horizontal="center" vertical="center" wrapText="1"/>
    </x:xf>
    <x:xf numFmtId="0" fontId="0" fillId="26" borderId="0" xfId="0" applyNumberFormat="1" applyFont="1" applyFill="1" applyBorder="1"/>
    <x:xf numFmtId="0" fontId="16" fillId="26" borderId="0" xfId="0" applyNumberFormat="1" applyFont="1" applyFill="1" applyBorder="1"/>
    <x:xf numFmtId="0" fontId="16" fillId="26" borderId="23" xfId="0" applyNumberFormat="1" applyFont="1" applyFill="1" applyBorder="1"/>
    <x:xf numFmtId="0" fontId="16" fillId="26" borderId="24" xfId="0" applyNumberFormat="1" applyFont="1" applyFill="1" applyBorder="1"/>
    <x:xf numFmtId="0" fontId="16" fillId="26" borderId="25" xfId="0" applyNumberFormat="1" applyFont="1" applyFill="1" applyBorder="1"/>
    <x:xf numFmtId="0" fontId="16" fillId="26" borderId="26" xfId="0" applyNumberFormat="1" applyFont="1" applyFill="1" applyBorder="1"/>
    <x:xf numFmtId="0" fontId="16" fillId="26" borderId="23" xfId="0" applyNumberFormat="1" applyFont="1" applyFill="1" applyBorder="1" applyAlignment="1">
      <x:alignment horizontal="center"/>
    </x:xf>
    <x:xf numFmtId="0" fontId="16" fillId="26" borderId="24" xfId="0" applyNumberFormat="1" applyFont="1" applyFill="1" applyBorder="1" applyAlignment="1">
      <x:alignment horizontal="center"/>
    </x:xf>
    <x:xf numFmtId="0" fontId="16" fillId="26" borderId="25" xfId="0" applyNumberFormat="1" applyFont="1" applyFill="1" applyBorder="1" applyAlignment="1">
      <x:alignment horizontal="center"/>
    </x:xf>
    <x:xf numFmtId="0" fontId="16" fillId="26" borderId="26" xfId="0" applyNumberFormat="1" applyFont="1" applyFill="1" applyBorder="1" applyAlignment="1">
      <x:alignment horizontal="center"/>
    </x:xf>
    <x:xf numFmtId="0" fontId="16" fillId="26" borderId="23" xfId="0" applyNumberFormat="1" applyFont="1" applyFill="1" applyBorder="1" applyAlignment="1">
      <x:alignment horizontal="center" vertical="center"/>
    </x:xf>
    <x:xf numFmtId="0" fontId="16" fillId="26" borderId="24" xfId="0" applyNumberFormat="1" applyFont="1" applyFill="1" applyBorder="1" applyAlignment="1">
      <x:alignment horizontal="center" vertical="center"/>
    </x:xf>
    <x:xf numFmtId="0" fontId="16" fillId="26" borderId="25" xfId="0" applyNumberFormat="1" applyFont="1" applyFill="1" applyBorder="1" applyAlignment="1">
      <x:alignment horizontal="center" vertical="center"/>
    </x:xf>
    <x:xf numFmtId="0" fontId="16" fillId="26" borderId="26" xfId="0" applyNumberFormat="1" applyFont="1" applyFill="1" applyBorder="1" applyAlignment="1">
      <x:alignment horizontal="center" vertical="center"/>
    </x:xf>
    <x:xf numFmtId="0" fontId="17" fillId="23" borderId="0" xfId="0" applyNumberFormat="1" applyFont="1" applyFill="1" applyBorder="1"/>
    <x:xf numFmtId="0" fontId="17" fillId="23" borderId="0" xfId="0" applyNumberFormat="1" applyFont="1" applyFill="1" applyBorder="1" applyAlignment="1">
      <x:alignment vertical="center"/>
    </x:xf>
    <x:xf numFmtId="0" fontId="18" fillId="22" borderId="0" xfId="0" applyNumberFormat="1" applyFont="1" applyFill="1" applyBorder="1"/>
    <x:xf numFmtId="0" fontId="18" fillId="22" borderId="23" xfId="0" applyNumberFormat="1" applyFont="1" applyFill="1" applyBorder="1"/>
    <x:xf numFmtId="0" fontId="18" fillId="22" borderId="27" xfId="0" applyNumberFormat="1" applyFont="1" applyFill="1" applyBorder="1"/>
    <x:xf numFmtId="0" fontId="18" fillId="22" borderId="24" xfId="0" applyNumberFormat="1" applyFont="1" applyFill="1" applyBorder="1"/>
    <x:xf numFmtId="0" fontId="18" fillId="22" borderId="25" xfId="0" applyNumberFormat="1" applyFont="1" applyFill="1" applyBorder="1"/>
    <x:xf numFmtId="0" fontId="18" fillId="22" borderId="28" xfId="0" applyNumberFormat="1" applyFont="1" applyFill="1" applyBorder="1"/>
    <x:xf numFmtId="0" fontId="18" fillId="22" borderId="26" xfId="0" applyNumberFormat="1" applyFont="1" applyFill="1" applyBorder="1"/>
    <x:xf numFmtId="0" fontId="18" fillId="22" borderId="23" xfId="0" applyNumberFormat="1" applyFont="1" applyFill="1" applyBorder="1" applyAlignment="1">
      <x:alignment wrapText="1"/>
    </x:xf>
    <x:xf numFmtId="0" fontId="18" fillId="22" borderId="27" xfId="0" applyNumberFormat="1" applyFont="1" applyFill="1" applyBorder="1" applyAlignment="1">
      <x:alignment wrapText="1"/>
    </x:xf>
    <x:xf numFmtId="0" fontId="18" fillId="22" borderId="24" xfId="0" applyNumberFormat="1" applyFont="1" applyFill="1" applyBorder="1" applyAlignment="1">
      <x:alignment wrapText="1"/>
    </x:xf>
    <x:xf numFmtId="0" fontId="18" fillId="22" borderId="25" xfId="0" applyNumberFormat="1" applyFont="1" applyFill="1" applyBorder="1" applyAlignment="1">
      <x:alignment wrapText="1"/>
    </x:xf>
    <x:xf numFmtId="0" fontId="18" fillId="22" borderId="28" xfId="0" applyNumberFormat="1" applyFont="1" applyFill="1" applyBorder="1" applyAlignment="1">
      <x:alignment wrapText="1"/>
    </x:xf>
    <x:xf numFmtId="0" fontId="18" fillId="22" borderId="26" xfId="0" applyNumberFormat="1" applyFont="1" applyFill="1" applyBorder="1" applyAlignment="1">
      <x:alignment wrapText="1"/>
    </x:xf>
    <x:xf numFmtId="0" fontId="18" fillId="22" borderId="23" xfId="0" applyNumberFormat="1" applyFont="1" applyFill="1" applyBorder="1" applyAlignment="1">
      <x:alignment vertical="top" wrapText="1"/>
    </x:xf>
    <x:xf numFmtId="0" fontId="18" fillId="22" borderId="27" xfId="0" applyNumberFormat="1" applyFont="1" applyFill="1" applyBorder="1" applyAlignment="1">
      <x:alignment vertical="top" wrapText="1"/>
    </x:xf>
    <x:xf numFmtId="0" fontId="18" fillId="22" borderId="24" xfId="0" applyNumberFormat="1" applyFont="1" applyFill="1" applyBorder="1" applyAlignment="1">
      <x:alignment vertical="top" wrapText="1"/>
    </x:xf>
    <x:xf numFmtId="0" fontId="18" fillId="22" borderId="25" xfId="0" applyNumberFormat="1" applyFont="1" applyFill="1" applyBorder="1" applyAlignment="1">
      <x:alignment vertical="top" wrapText="1"/>
    </x:xf>
    <x:xf numFmtId="0" fontId="18" fillId="22" borderId="28" xfId="0" applyNumberFormat="1" applyFont="1" applyFill="1" applyBorder="1" applyAlignment="1">
      <x:alignment vertical="top" wrapText="1"/>
    </x:xf>
    <x:xf numFmtId="0" fontId="18" fillId="22" borderId="26" xfId="0" applyNumberFormat="1" applyFont="1" applyFill="1" applyBorder="1" applyAlignment="1">
      <x:alignment vertical="top" wrapText="1"/>
    </x:xf>
    <x:xf numFmtId="0" fontId="15" fillId="23" borderId="0" xfId="0" applyNumberFormat="1" applyFont="1" applyFill="1" applyBorder="1"/>
    <x:xf numFmtId="0" fontId="15" fillId="23" borderId="0" xfId="0" applyNumberFormat="1" applyFont="1" applyFill="1" applyBorder="1" applyAlignment="1">
      <x:alignment wrapText="1"/>
    </x:xf>
    <x:xf numFmtId="0" fontId="15" fillId="23" borderId="0" xfId="0" applyNumberFormat="1" applyFont="1" applyFill="1" applyBorder="1" applyAlignment="1">
      <x:alignment vertical="center" wrapText="1"/>
    </x:xf>
    <x:xf numFmtId="0" fontId="19" fillId="0" borderId="0" xfId="0" applyNumberFormat="1" applyFont="1" applyFill="1" applyBorder="1"/>
    <x:xf numFmtId="0" fontId="19" fillId="0" borderId="0" xfId="0" applyNumberFormat="1" applyFont="1" applyFill="1" applyBorder="1" applyAlignment="1">
      <x:alignment wrapText="1"/>
    </x:xf>
    <x:xf numFmtId="0" fontId="19" fillId="0" borderId="0" xfId="0" applyNumberFormat="1" applyFont="1" applyFill="1" applyBorder="1" applyAlignment="1">
      <x:alignment vertical="top" wrapText="1"/>
    </x:xf>
    <x:xf numFmtId="0" fontId="20" fillId="23" borderId="0" xfId="0" applyNumberFormat="1" applyFont="1" applyFill="1" applyBorder="1"/>
    <x:xf numFmtId="0" fontId="20" fillId="23" borderId="0" xfId="0" applyNumberFormat="1" applyFont="1" applyFill="1" applyBorder="1" applyAlignment="1">
      <x:alignment vertical="center"/>
    </x:xf>
  </x:cellXfs>
  <x:cellStyles count="1">
    <x:cellStyle name="Normal" xfId="0"/>
  </x:cellStyles>
  <x:dxfs count="23">
    <x:dxf>
      <x:font>
        <x:b/>
        <x:color rgb="FF8A2D23"/>
      </x:font>
      <x:fill>
        <x:patternFill>
          <x:bgColor rgb="FFFCE8E6"/>
        </x:patternFill>
      </x:fill>
    </x:dxf>
    <x:dxf>
      <x:font>
        <x:b/>
        <x:color rgb="FF1F5D45"/>
      </x:font>
      <x:fill>
        <x:patternFill>
          <x:bgColor rgb="FFE8F2EC"/>
        </x:patternFill>
      </x:fill>
    </x:dxf>
    <x:dxf>
      <x:font>
        <x:b/>
        <x:color rgb="FF765B12"/>
      </x:font>
      <x:fill>
        <x:patternFill>
          <x:bgColor rgb="FFFFF4D6"/>
        </x:patternFill>
      </x:fill>
    </x:dxf>
    <x:dxf>
      <x:font>
        <x:b/>
        <x:color rgb="FF1F5D45"/>
      </x:font>
      <x:fill>
        <x:patternFill>
          <x:bgColor rgb="FFE8F2EC"/>
        </x:patternFill>
      </x:fill>
    </x:dxf>
    <x:dxf>
      <x:font>
        <x:color rgb="FF8A2D23"/>
      </x:font>
      <x:fill>
        <x:patternFill>
          <x:bgColor rgb="FFFCE8E6"/>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ont>
        <x:b/>
        <x:color rgb="FF234A32"/>
      </x:font>
      <x:fill>
        <x:patternFill>
          <x:bgColor rgb="FFD9EAD3"/>
        </x:patternFill>
      </x:fill>
    </x:dxf>
    <x:dxf>
      <x:fill>
        <x:patternFill>
          <x:bgColor rgb="FFFFF2CC"/>
        </x:patternFill>
      </x:fill>
    </x:dxf>
    <x:dxf>
      <x:font>
        <x:b/>
        <x:color rgb="FF234A32"/>
      </x:font>
      <x:fill>
        <x:patternFill>
          <x:bgColor rgb="FFD9EAD3"/>
        </x:patternFill>
      </x:fill>
    </x:dxf>
    <x:dxf>
      <x:fill>
        <x:patternFill>
          <x:bgColor rgb="FFFFF2CC"/>
        </x:patternFill>
      </x:fill>
    </x:dxf>
    <x:dxf>
      <x:font>
        <x:b/>
        <x:color rgb="FF1F5D46"/>
      </x:font>
      <x:fill>
        <x:patternFill patternType="solid">
          <x:bgColor rgb="FFE7F1EC"/>
        </x:patternFill>
      </x:fill>
    </x:dxf>
    <x:dxf>
      <x:font>
        <x:color rgb="FF5B6460"/>
      </x:font>
      <x:fill>
        <x:patternFill patternType="solid">
          <x:bgColor rgb="FFF3F5F4"/>
        </x:patternFill>
      </x:fill>
    </x:dxf>
    <x:dxf>
      <x:font>
        <x:color rgb="FF705418"/>
      </x:font>
      <x:fill>
        <x:patternFill patternType="solid">
          <x:bgColor rgb="FFF5EEDC"/>
        </x:patternFill>
      </x:fill>
    </x:dxf>
    <x:dxf>
      <x:font>
        <x:b/>
        <x:color rgb="FF164C63"/>
      </x:font>
      <x:fill>
        <x:patternFill patternType="solid">
          <x:bgColor rgb="FFE8F1F7"/>
        </x:patternFill>
      </x:fill>
    </x:dxf>
    <x:dxf>
      <x:font>
        <x:b/>
        <x:color rgb="FF8B1E18"/>
      </x:font>
      <x:fill>
        <x:patternFill patternType="solid">
          <x:bgColor rgb="FFFBE8E6"/>
        </x:patternFill>
      </x:fill>
    </x:dxf>
    <x:dxf>
      <x:font>
        <x:b/>
        <x:color rgb="FF8B1E18"/>
      </x:font>
      <x:fill>
        <x:patternFill patternType="solid">
          <x:bgColor rgb="FFFBE8E6"/>
        </x:patternFill>
      </x:fill>
    </x:dxf>
    <x:dxf>
      <x:font>
        <x:b/>
        <x:color rgb="FF8B1E18"/>
      </x:font>
      <x:fill>
        <x:patternFill patternType="solid">
          <x:bgColor rgb="FFFBE8E6"/>
        </x:patternFill>
      </x:fill>
    </x:dxf>
    <x:dxf>
      <x:font>
        <x:b/>
        <x:color rgb="FF8B1E18"/>
      </x:font>
      <x:fill>
        <x:patternFill patternType="solid">
          <x:bgColor rgb="FFFBE8E6"/>
        </x:patternFill>
      </x:fill>
    </x:dxf>
    <x:dxf>
      <x:font>
        <x:b/>
        <x:color rgb="FF705418"/>
      </x:font>
      <x:fill>
        <x:patternFill patternType="solid">
          <x:bgColor rgb="FFF5EEDC"/>
        </x:patternFill>
      </x:fill>
    </x:dxf>
    <x:dxf>
      <x:font>
        <x:color rgb="FF705418"/>
      </x:font>
      <x:fill>
        <x:patternFill patternType="solid">
          <x:bgColor rgb="FFF5EE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8ab2e843634f7a" /><Relationship Type="http://schemas.openxmlformats.org/officeDocument/2006/relationships/theme" Target="/xl/theme/theme1.xml" Id="Ref91225d68044bc1" /><Relationship Type="http://schemas.openxmlformats.org/officeDocument/2006/relationships/sharedStrings" Target="/xl/sharedStrings.xml" Id="R1b392cebb05f45de" /><Relationship Type="http://schemas.openxmlformats.org/officeDocument/2006/relationships/worksheet" Target="/xl/worksheets/sheet1.xml" Id="R417f422c362749c7" /><Relationship Type="http://schemas.openxmlformats.org/officeDocument/2006/relationships/worksheet" Target="/xl/worksheets/sheet2.xml" Id="R799622e2dff04279" /><Relationship Type="http://schemas.openxmlformats.org/officeDocument/2006/relationships/worksheet" Target="/xl/worksheets/sheet3.xml" Id="R0cdadd560cc742e7" /><Relationship Type="http://schemas.openxmlformats.org/officeDocument/2006/relationships/worksheet" Target="/xl/worksheets/sheet4.xml" Id="R7cf3e210b19c4c81" /><Relationship Type="http://schemas.openxmlformats.org/officeDocument/2006/relationships/worksheet" Target="/xl/worksheets/sheet5.xml" Id="Rda3919f4db164be4" /><Relationship Type="http://schemas.openxmlformats.org/officeDocument/2006/relationships/worksheet" Target="/xl/worksheets/sheet6.xml" Id="R8e2b014a0f184da0" /><Relationship Type="http://schemas.openxmlformats.org/officeDocument/2006/relationships/worksheet" Target="/xl/worksheets/sheet7.xml" Id="Ref315db090df4021" /><Relationship Type="http://schemas.openxmlformats.org/officeDocument/2006/relationships/worksheet" Target="/xl/worksheets/sheet8.xml" Id="Rcca3a63e8362450a" /><Relationship Type="http://schemas.openxmlformats.org/officeDocument/2006/relationships/worksheet" Target="/xl/worksheets/sheet9.xml" Id="R3dba08769a834795" /><Relationship Type="http://schemas.openxmlformats.org/officeDocument/2006/relationships/worksheet" Target="/xl/worksheets/sheet10.xml" Id="Rd30304eb5ac24e63" /><Relationship Type="http://schemas.openxmlformats.org/officeDocument/2006/relationships/worksheet" Target="/xl/worksheets/sheet11.xml" Id="R270403c8fdae4351" /><Relationship Type="http://schemas.openxmlformats.org/officeDocument/2006/relationships/worksheet" Target="/xl/worksheets/sheet12.xml" Id="R5d02dd18c0b743ac" /><Relationship Type="http://schemas.openxmlformats.org/officeDocument/2006/relationships/worksheet" Target="/xl/worksheets/sheet13.xml" Id="Re0c8eba020024b0d" /><Relationship Type="http://schemas.openxmlformats.org/officeDocument/2006/relationships/worksheet" Target="/xl/worksheets/sheet14.xml" Id="R4bc50b0b7b5f485c" /><Relationship Type="http://schemas.openxmlformats.org/officeDocument/2006/relationships/worksheet" Target="/xl/worksheets/sheet15.xml" Id="R867ad22213764638" /><Relationship Type="http://schemas.openxmlformats.org/officeDocument/2006/relationships/worksheet" Target="/xl/worksheets/sheet16.xml" Id="R1ddf74a9fe114fa5" /><Relationship Type="http://schemas.openxmlformats.org/officeDocument/2006/relationships/worksheet" Target="/xl/worksheets/sheet17.xml" Id="Ra6682b31cdaa4afd" /><Relationship Type="http://schemas.openxmlformats.org/officeDocument/2006/relationships/worksheet" Target="/xl/worksheets/sheet18.xml" Id="R6fb4c9c2dcb54b8d" /><Relationship Type="http://schemas.openxmlformats.org/officeDocument/2006/relationships/worksheet" Target="/xl/worksheets/sheet19.xml" Id="R9fe0cffa01944ab4" /></Relationships>
</file>

<file path=xl/tables/table1.xml><?xml version="1.0" encoding="utf-8"?>
<x:table xmlns:x="http://schemas.openxmlformats.org/spreadsheetml/2006/main" id="1" name="MergedPlantInventory" displayName="MergedPlantInventory" ref="A1:W880" headerRowCount="1" totalsRowCount="0" totalsRowShown="0">
  <x:tableColumns count="23">
    <x:tableColumn id="1" name="Record ID"/>
    <x:tableColumn id="2" name="Submitted Scientific Name"/>
    <x:tableColumn id="3" name="Accepted Scientific Name (WCVP)"/>
    <x:tableColumn id="4" name="Family"/>
    <x:tableColumn id="5" name="Genus"/>
    <x:tableColumn id="6" name="Taxon Rank"/>
    <x:tableColumn id="7" name="Submitted Name Status"/>
    <x:tableColumn id="8" name="Common Name(s)"/>
    <x:tableColumn id="9" name="Duration"/>
    <x:tableColumn id="10" name="Habit / Growth Form"/>
    <x:tableColumn id="11" name="Sun"/>
    <x:tableColumn id="12" name="Water"/>
    <x:tableColumn id="13" name="BONAP/NAPA Records"/>
    <x:tableColumn id="14" name="Wildflower Paste Records"/>
    <x:tableColumn id="15" name="Existing Master Records"/>
    <x:tableColumn id="16" name="Total Source Records"/>
    <x:tableColumn id="17" name="WCVP Match Note"/>
    <x:tableColumn id="18" name="WCVP Matched Name"/>
    <x:tableColumn id="19" name="WCVP Name ID"/>
    <x:tableColumn id="20" name="Accepted Name ID"/>
    <x:tableColumn id="21" name="POWO ID"/>
    <x:tableColumn id="22" name="Accepted POWO ID"/>
    <x:tableColumn id="23" name="Taxonomy Review Flag"/>
  </x:tableColumns>
  <x:tableStyleInfo name="TableStyleMedium2" showFirstColumn="0" showLastColumn="0" showRowStripes="1" showColumnStripes="0"/>
</x:table>
</file>

<file path=xl/tables/table2.xml><?xml version="1.0" encoding="utf-8"?>
<x:table xmlns:x="http://schemas.openxmlformats.org/spreadsheetml/2006/main" id="3" name="FamilyResearchQueue" displayName="FamilyResearchQueue" ref="A1:J119" headerRowCount="1" totalsRowCount="0" totalsRowShown="0">
  <x:tableColumns count="10">
    <x:tableColumn id="1" name="Family"/>
    <x:tableColumn id="2" name="Plant Names"/>
    <x:tableColumn id="3" name="Not Started"/>
    <x:tableColumn id="4" name="Assigned / In Progress"/>
    <x:tableColumn id="5" name="Ready for Review"/>
    <x:tableColumn id="6" name="Reviewed"/>
    <x:tableColumn id="7" name="% Reviewed"/>
    <x:tableColumn id="8" name="Family Profile Status"/>
    <x:tableColumn id="9" name="Synapomorphies / Family Pattern Notes"/>
    <x:tableColumn id="10" name="Next Genus or Comparison Set"/>
  </x:tableColumns>
  <x:tableStyleInfo name="TableStyleMedium2" showFirstColumn="0" showLastColumn="0" showRowStripes="1" showColumnStripes="0"/>
</x:table>
</file>

<file path=xl/tables/table3.xml><?xml version="1.0" encoding="utf-8"?>
<x:table xmlns:x="http://schemas.openxmlformats.org/spreadsheetml/2006/main" id="2" name="PlantResearchQueue" displayName="PlantResearchQueue" ref="A1:Q880" headerRowCount="1" totalsRowCount="0" totalsRowShown="0">
  <x:tableColumns count="17">
    <x:tableColumn id="1" name="Record ID"/>
    <x:tableColumn id="2" name="Submitted Scientific Name"/>
    <x:tableColumn id="3" name="Accepted Scientific Name"/>
    <x:tableColumn id="4" name="Family"/>
    <x:tableColumn id="5" name="Genus"/>
    <x:tableColumn id="6" name="Common Name(s)"/>
    <x:tableColumn id="7" name="Plain-Language Recognition"/>
    <x:tableColumn id="8" name="Key Botanical Characters"/>
    <x:tableColumn id="9" name="Similar Hays Taxa / Lookalikes"/>
    <x:tableColumn id="10" name="How To Tell Apart"/>
    <x:tableColumn id="11" name="What To Inspect or Photograph"/>
    <x:tableColumn id="12" name="Season and Habitat Clues"/>
    <x:tableColumn id="13" name="Evidence URLs"/>
    <x:tableColumn id="14" name="Status"/>
    <x:tableColumn id="15" name="Researcher"/>
    <x:tableColumn id="16" name="Reviewer Notes"/>
    <x:tableColumn id="17" name="Last Reviewed"/>
  </x:tableColumns>
  <x:tableStyleInfo name="TableStyleMedium4" showFirstColumn="0" showLastColumn="0" showRowStripes="1" showColumnStripes="0"/>
</x:table>
</file>

<file path=xl/tables/table4.xml><?xml version="1.0" encoding="utf-8"?>
<x:table xmlns:x="http://schemas.openxmlformats.org/spreadsheetml/2006/main" id="4" name="TaxonomyReviewQueue" displayName="TaxonomyReviewQueue" ref="A1:M37" headerRowCount="1" totalsRowCount="0" totalsRowShown="0">
  <x:tableColumns count="13">
    <x:tableColumn id="1" name="Issue Type"/>
    <x:tableColumn id="2" name="Record ID"/>
    <x:tableColumn id="3" name="Submitted Name"/>
    <x:tableColumn id="4" name="Source Evidence"/>
    <x:tableColumn id="5" name="Match / Issue Note"/>
    <x:tableColumn id="6" name="Match or Row Count"/>
    <x:tableColumn id="7" name="WCVP Matched Name"/>
    <x:tableColumn id="8" name="WCVP Status"/>
    <x:tableColumn id="9" name="Family"/>
    <x:tableColumn id="10" name="Accepted Name"/>
    <x:tableColumn id="11" name="Recommended Action"/>
    <x:tableColumn id="12" name="Resolution Status"/>
    <x:tableColumn id="13" name="Reviewer Notes"/>
  </x:tableColumns>
  <x:tableStyleInfo name="TableStyleMedium3" showFirstColumn="0" showLastColumn="0" showRowStripes="1" showColumnStripes="0"/>
</x:table>
</file>

<file path=xl/tables/table5.xml><?xml version="1.0" encoding="utf-8"?>
<x:table xmlns:x="http://schemas.openxmlformats.org/spreadsheetml/2006/main" id="5" name="RawSourceRecords" displayName="RawSourceRecords" ref="A1:I1893" headerRowCount="1" totalsRowCount="0" totalsRowShown="0">
  <x:tableColumns count="9">
    <x:tableColumn id="1" name="Source"/>
    <x:tableColumn id="2" name="Source Row"/>
    <x:tableColumn id="3" name="Scientific Name as Supplied"/>
    <x:tableColumn id="4" name="Common Name(s)"/>
    <x:tableColumn id="5" name="Duration"/>
    <x:tableColumn id="6" name="Habit / Growth Form"/>
    <x:tableColumn id="7" name="Sun"/>
    <x:tableColumn id="8" name="Water"/>
    <x:tableColumn id="9" name="Mechanical Match Key"/>
  </x:tableColumns>
  <x:tableStyleInfo name="TableStyleMedium2" showFirstColumn="0" showLastColumn="0" showRowStripes="1" showColumnStripes="0"/>
</x:table>
</file>

<file path=xl/tables/table6.xml><?xml version="1.0" encoding="utf-8"?>
<x:table xmlns:x="http://schemas.openxmlformats.org/spreadsheetml/2006/main" id="6" name="EuphFamilyFingerprintTable" displayName="EuphFamilyFingerprintTable" ref="A6:E11" headerRowCount="1" totalsRowCount="0" totalsRowShown="0">
  <x:tableColumns count="5">
    <x:tableColumn id="1" name="Weight"/>
    <x:tableColumn id="2" name="What you see"/>
    <x:tableColumn id="3" name="Botanical translation"/>
    <x:tableColumn id="4" name="Best part"/>
    <x:tableColumn id="5" name="How to use it"/>
  </x:tableColumns>
  <x:tableStyleInfo name="TableStyleMedium4" showFirstColumn="0" showLastColumn="0" showRowStripes="1" showColumnStripes="0"/>
</x:table>
</file>

<file path=xl/tables/table7.xml><?xml version="1.0" encoding="utf-8"?>
<x:table xmlns:x="http://schemas.openxmlformats.org/spreadsheetml/2006/main" id="7" name="EuphFieldWorkflowTable" displayName="EuphFieldWorkflowTable" ref="A15:H20" headerRowCount="1" totalsRowCount="0" totalsRowShown="0">
  <x:tableColumns count="8">
    <x:tableColumn id="1" name="Step"/>
    <x:tableColumn id="2" name="Plain-language question"/>
    <x:tableColumn id="3" name="Technical target"/>
    <x:tableColumn id="4" name="Acalypha"/>
    <x:tableColumn id="5" name="Croton"/>
    <x:tableColumn id="6" name="Euphorbia"/>
    <x:tableColumn id="7" name="Stinging branch"/>
    <x:tableColumn id="8" name="What to photograph"/>
  </x:tableColumns>
  <x:tableStyleInfo name="TableStyleMedium4" showFirstColumn="0" showLastColumn="0" showRowStripes="1" showColumnStripes="0"/>
</x:table>
</file>

<file path=xl/tables/table8.xml><?xml version="1.0" encoding="utf-8"?>
<x:table xmlns:x="http://schemas.openxmlformats.org/spreadsheetml/2006/main" id="8" name="EuphGenusMapTable" displayName="EuphGenusMapTable" ref="A1:J9" headerRowCount="1" totalsRowCount="0" totalsRowShown="0">
  <x:tableColumns count="10">
    <x:tableColumn id="1" name="Genus"/>
    <x:tableColumn id="2" name="Plant Records"/>
    <x:tableColumn id="3" name="Plain-Language Recognition"/>
    <x:tableColumn id="4" name="Botanical Character Suite"/>
    <x:tableColumn id="5" name="Best Parts to Inspect / Photograph"/>
    <x:tableColumn id="6" name="Common Trap"/>
    <x:tableColumn id="7" name="Primary Lookalikes"/>
    <x:tableColumn id="8" name="Current Accepted Names"/>
    <x:tableColumn id="9" name="Evidence Status"/>
    <x:tableColumn id="10" name="Source URLs"/>
  </x:tableColumns>
  <x:tableStyleInfo name="TableStyleMedium4" showFirstColumn="0" showLastColumn="0" showRowStripes="1" showColumnStripes="0"/>
</x:table>
</file>

<file path=xl/tables/table9.xml><?xml version="1.0" encoding="utf-8"?>
<x:table xmlns:x="http://schemas.openxmlformats.org/spreadsheetml/2006/main" id="9" name="EuphCharacterEvidenceTable" displayName="EuphCharacterEvidenceTable" ref="A1:P39" headerRowCount="1" totalsRowCount="0" totalsRowShown="0">
  <x:tableColumns count="16">
    <x:tableColumn id="1" name="Evidence ID"/>
    <x:tableColumn id="2" name="Level"/>
    <x:tableColumn id="3" name="Taxon / Group"/>
    <x:tableColumn id="4" name="Organ"/>
    <x:tableColumn id="5" name="Plain-Language Character"/>
    <x:tableColumn id="6" name="Botanical State"/>
    <x:tableColumn id="7" name="Evidence Strength"/>
    <x:tableColumn id="8" name="Reliability"/>
    <x:tableColumn id="9" name="Field Visibility"/>
    <x:tableColumn id="10" name="Season / Required Part"/>
    <x:tableColumn id="11" name="Exceptions / Variation"/>
    <x:tableColumn id="12" name="Lookalike Separation"/>
    <x:tableColumn id="13" name="Source"/>
    <x:tableColumn id="14" name="Source URL"/>
    <x:tableColumn id="15" name="Source Note"/>
    <x:tableColumn id="16" name="Human Review"/>
  </x:tableColumns>
  <x:tableStyleInfo name="TableStyleMedium4" showFirstColumn="0" showLastColumn="0" showRowStripes="1" showColumnStripes="0"/>
</x:table>
</file>

<file path=xl/tables/table10.xml><?xml version="1.0" encoding="utf-8"?>
<x:table xmlns:x="http://schemas.openxmlformats.org/spreadsheetml/2006/main" id="10" name="EuphComparisonSetsTable" displayName="EuphComparisonSetsTable" ref="A1:O29" headerRowCount="1" totalsRowCount="0" totalsRowShown="0">
  <x:tableColumns count="15">
    <x:tableColumn id="1" name="Group ID"/>
    <x:tableColumn id="2" name="Comparison Group"/>
    <x:tableColumn id="3" name="Record ID"/>
    <x:tableColumn id="4" name="Submitted Scientific Name"/>
    <x:tableColumn id="5" name="Accepted Scientific Name"/>
    <x:tableColumn id="6" name="Common Name(s)"/>
    <x:tableColumn id="7" name="First-Pass ID Clue"/>
    <x:tableColumn id="8" name="Compare Against"/>
    <x:tableColumn id="9" name="Strong Separation Evidence"/>
    <x:tableColumn id="10" name="Best Parts to Inspect / Photograph"/>
    <x:tableColumn id="11" name="Magnification"/>
    <x:tableColumn id="12" name="Season / Habitat"/>
    <x:tableColumn id="13" name="Current Confidence"/>
    <x:tableColumn id="14" name="Next Research Gap"/>
    <x:tableColumn id="15" name="Evidence URLs"/>
  </x:tableColumns>
  <x:tableStyleInfo name="TableStyleMedium4" showFirstColumn="0" showLastColumn="0" showRowStripes="1" showColumnStripes="0"/>
</x:table>
</file>

<file path=xl/tables/table11.xml><?xml version="1.0" encoding="utf-8"?>
<x:table xmlns:x="http://schemas.openxmlformats.org/spreadsheetml/2006/main" id="11" name="EuphC04QuickPathTable" displayName="EuphC04QuickPathTable" ref="A6:H12" headerRowCount="1" totalsRowCount="0" totalsRowShown="0">
  <x:tableColumns count="8">
    <x:tableColumn id="1" name="What you notice first"/>
    <x:tableColumn id="2" name="Likely candidate"/>
    <x:tableColumn id="3" name="Required confirmation"/>
    <x:tableColumn id="4" name="Best tie-breaker"/>
    <x:tableColumn id="5" name="Confidence"/>
    <x:tableColumn id="6" name="Magnification"/>
    <x:tableColumn id="7" name="Trap"/>
    <x:tableColumn id="8" name="Best photo"/>
  </x:tableColumns>
  <x:tableStyleInfo name="TableStyleMedium4" showFirstColumn="0" showLastColumn="0" showRowStripes="1" showColumnStripes="0"/>
</x:table>
</file>

<file path=xl/tables/table12.xml><?xml version="1.0" encoding="utf-8"?>
<x:table xmlns:x="http://schemas.openxmlformats.org/spreadsheetml/2006/main" id="12" name="EuphC04PhotoTable" displayName="EuphC04PhotoTable" ref="A23:H29" headerRowCount="1" totalsRowCount="0" totalsRowShown="0">
  <x:tableColumns count="8">
    <x:tableColumn id="1" name="Shot"/>
    <x:tableColumn id="2" name="What to capture"/>
    <x:tableColumn id="3" name="Why it matters"/>
    <x:tableColumn id="4" name="Scale"/>
    <x:tableColumn id="5" name="Angle"/>
    <x:tableColumn id="6" name="Minimum focus"/>
    <x:tableColumn id="7" name="Safety / ethics"/>
    <x:tableColumn id="8" name="File label example"/>
  </x:tableColumns>
  <x:tableStyleInfo name="TableStyleMedium4" showFirstColumn="0" showLastColumn="0" showRowStripes="1" showColumnStripes="0"/>
</x:table>
</file>

<file path=xl/tables/table13.xml><?xml version="1.0" encoding="utf-8"?>
<x:table xmlns:x="http://schemas.openxmlformats.org/spreadsheetml/2006/main" id="13" name="EuphC04MorphologyMatrix" displayName="EuphC04MorphologyMatrix" ref="A1:AC7" headerRowCount="1" totalsRowCount="0" totalsRowShown="0">
  <x:tableColumns count="29">
    <x:tableColumn id="1" name="Record ID"/>
    <x:tableColumn id="2" name="Submitted Scientific Name"/>
    <x:tableColumn id="3" name="Accepted Scientific Name"/>
    <x:tableColumn id="4" name="Common Name(s)"/>
    <x:tableColumn id="5" name="Life History"/>
    <x:tableColumn id="6" name="Root / Crown"/>
    <x:tableColumn id="7" name="Habit and Size"/>
    <x:tableColumn id="8" name="Roots at Nodes"/>
    <x:tableColumn id="9" name="Stem Hair — Plain + Botanical"/>
    <x:tableColumn id="10" name="Leaf Shape"/>
    <x:tableColumn id="11" name="Leaf Size"/>
    <x:tableColumn id="12" name="Leaf Base"/>
    <x:tableColumn id="13" name="Leaf Margin"/>
    <x:tableColumn id="14" name="Leaf Hair"/>
    <x:tableColumn id="15" name="Stipules"/>
    <x:tableColumn id="16" name="Cyathium Position"/>
    <x:tableColumn id="17" name="Glands / Appendages"/>
    <x:tableColumn id="18" name="Ovary / Capsule Hair"/>
    <x:tableColumn id="19" name="Capsule Size"/>
    <x:tableColumn id="20" name="Seed Size"/>
    <x:tableColumn id="21" name="Seed Surface"/>
    <x:tableColumn id="22" name="Strongest Field Signal"/>
    <x:tableColumn id="23" name="Required Confirmation"/>
    <x:tableColumn id="24" name="Weak / Variable Clues"/>
    <x:tableColumn id="25" name="Habitat / Season"/>
    <x:tableColumn id="26" name="Evidence Strength"/>
    <x:tableColumn id="27" name="Standard Photo Set"/>
    <x:tableColumn id="28" name="Source URLs"/>
    <x:tableColumn id="29" name="Source Note"/>
  </x:tableColumns>
  <x:tableStyleInfo name="TableStyleMedium4" showFirstColumn="0" showLastColumn="0" showRowStripes="1" showColumnStripes="0"/>
</x:table>
</file>

<file path=xl/tables/table14.xml><?xml version="1.0" encoding="utf-8"?>
<x:table xmlns:x="http://schemas.openxmlformats.org/spreadsheetml/2006/main" id="14" name="EuphC04PairGuide" displayName="EuphC04PairGuide" ref="A1:L16" headerRowCount="1" totalsRowCount="0" totalsRowShown="0">
  <x:tableColumns count="12">
    <x:tableColumn id="1" name="Pair ID"/>
    <x:tableColumn id="2" name="Species A"/>
    <x:tableColumn id="3" name="Species B"/>
    <x:tableColumn id="4" name="Why They Can Be Confused"/>
    <x:tableColumn id="5" name="First Split — Plain Language"/>
    <x:tableColumn id="6" name="Confirm Species A"/>
    <x:tableColumn id="7" name="Confirm Species B"/>
    <x:tableColumn id="8" name="Best Part to Compare"/>
    <x:tableColumn id="9" name="Magnification"/>
    <x:tableColumn id="10" name="Evidence Strength"/>
    <x:tableColumn id="11" name="Exception / Warning"/>
    <x:tableColumn id="12" name="Source URLs"/>
  </x:tableColumns>
  <x:tableStyleInfo name="TableStyleMedium4" showFirstColumn="0" showLastColumn="0" showRowStripes="1" showColumnStripes="0"/>
</x:table>
</file>

<file path=xl/tables/table15.xml><?xml version="1.0" encoding="utf-8"?>
<x:table xmlns:x="http://schemas.openxmlformats.org/spreadsheetml/2006/main" id="15" name="EuphC06QuickPathTable" displayName="EuphC06QuickPathTable" ref="A8:H12" headerRowCount="1" totalsRowCount="0" totalsRowShown="0">
  <x:tableColumns count="8">
    <x:tableColumn id="1" name="What you notice first"/>
    <x:tableColumn id="2" name="Likely candidate"/>
    <x:tableColumn id="3" name="Required field suite"/>
    <x:tableColumn id="4" name="Best tie-breaker"/>
    <x:tableColumn id="5" name="Confidence"/>
    <x:tableColumn id="6" name="Magnification"/>
    <x:tableColumn id="7" name="Trap"/>
    <x:tableColumn id="8" name="Best photo"/>
  </x:tableColumns>
  <x:tableStyleInfo name="TableStyleMedium4" showFirstColumn="0" showLastColumn="0" showRowStripes="1" showColumnStripes="0"/>
</x:table>
</file>

<file path=xl/tables/table16.xml><?xml version="1.0" encoding="utf-8"?>
<x:table xmlns:x="http://schemas.openxmlformats.org/spreadsheetml/2006/main" id="16" name="EuphC06PhotoTable" displayName="EuphC06PhotoTable" ref="A24:H31" headerRowCount="1" totalsRowCount="0" totalsRowShown="0">
  <x:tableColumns count="8">
    <x:tableColumn id="1" name="Shot"/>
    <x:tableColumn id="2" name="What to capture"/>
    <x:tableColumn id="3" name="Why it matters"/>
    <x:tableColumn id="4" name="Scale"/>
    <x:tableColumn id="5" name="Angle"/>
    <x:tableColumn id="6" name="Minimum focus"/>
    <x:tableColumn id="7" name="Safety / ethics"/>
    <x:tableColumn id="8" name="File label example"/>
  </x:tableColumns>
  <x:tableStyleInfo name="TableStyleMedium4" showFirstColumn="0" showLastColumn="0" showRowStripes="1" showColumnStripes="0"/>
</x:table>
</file>

<file path=xl/tables/table17.xml><?xml version="1.0" encoding="utf-8"?>
<x:table xmlns:x="http://schemas.openxmlformats.org/spreadsheetml/2006/main" id="17" name="EuphC06MorphologyMatrix" displayName="EuphC06MorphologyMatrix" ref="A1:AE5" headerRowCount="1" totalsRowCount="0" totalsRowShown="0">
  <x:tableColumns count="31">
    <x:tableColumn id="1" name="Record ID"/>
    <x:tableColumn id="2" name="Submitted Scientific Name"/>
    <x:tableColumn id="3" name="Accepted Scientific Name"/>
    <x:tableColumn id="4" name="Common Name(s)"/>
    <x:tableColumn id="5" name="Life History"/>
    <x:tableColumn id="6" name="Habit and Size"/>
    <x:tableColumn id="7" name="Stem Color / Apex"/>
    <x:tableColumn id="8" name="Twining Tendency"/>
    <x:tableColumn id="9" name="Hairs / Sap"/>
    <x:tableColumn id="10" name="Petiole Length"/>
    <x:tableColumn id="11" name="Leaf Shape"/>
    <x:tableColumn id="12" name="Leaf Size"/>
    <x:tableColumn id="13" name="Leaf Base"/>
    <x:tableColumn id="14" name="Leaf Margin"/>
    <x:tableColumn id="15" name="Leaf Proportion / Field Signal"/>
    <x:tableColumn id="16" name="Inflorescence Position / Sex Zones"/>
    <x:tableColumn id="17" name="Inflorescence Glands"/>
    <x:tableColumn id="18" name="Staminate Flowers per Raceme"/>
    <x:tableColumn id="19" name="Staminate Pedicel / Persistent Base"/>
    <x:tableColumn id="20" name="Stamens / Filament Fusion"/>
    <x:tableColumn id="21" name="Pistillate Flower / Styles / Stigmas"/>
    <x:tableColumn id="22" name="Capsule / Mature Carpels"/>
    <x:tableColumn id="23" name="Seed"/>
    <x:tableColumn id="24" name="Strongest Field Signal"/>
    <x:tableColumn id="25" name="Required Confirmation"/>
    <x:tableColumn id="26" name="Weak / Variable Clues"/>
    <x:tableColumn id="27" name="Habitat / Season"/>
    <x:tableColumn id="28" name="Evidence Strength"/>
    <x:tableColumn id="29" name="Standard Photo Set"/>
    <x:tableColumn id="30" name="Source URLs"/>
    <x:tableColumn id="31" name="Source Note"/>
  </x:tableColumns>
  <x:tableStyleInfo name="TableStyleMedium4" showFirstColumn="0" showLastColumn="0" showRowStripes="1" showColumnStripes="0"/>
</x:table>
</file>

<file path=xl/tables/table18.xml><?xml version="1.0" encoding="utf-8"?>
<x:table xmlns:x="http://schemas.openxmlformats.org/spreadsheetml/2006/main" id="18" name="EuphC06PairGuide" displayName="EuphC06PairGuide" ref="A1:L7" headerRowCount="1" totalsRowCount="0" totalsRowShown="0">
  <x:tableColumns count="12">
    <x:tableColumn id="1" name="Pair ID"/>
    <x:tableColumn id="2" name="Species A"/>
    <x:tableColumn id="3" name="Species B"/>
    <x:tableColumn id="4" name="Why They Can Be Confused"/>
    <x:tableColumn id="5" name="First Split — Plain Language"/>
    <x:tableColumn id="6" name="Confirm Species A"/>
    <x:tableColumn id="7" name="Confirm Species B"/>
    <x:tableColumn id="8" name="Best Part to Compare"/>
    <x:tableColumn id="9" name="Magnification"/>
    <x:tableColumn id="10" name="Evidence Strength"/>
    <x:tableColumn id="11" name="Exception / Warning"/>
    <x:tableColumn id="12" name="Source URLs"/>
  </x:tableColumns>
  <x:tableStyleInfo name="TableStyleMedium4" showFirstColumn="0" showLastColumn="0" showRowStripes="1" showColumnStripes="0"/>
</x:table>
</file>

<file path=xl/tables/table19.xml><?xml version="1.0" encoding="utf-8"?>
<x:table xmlns:x="http://schemas.openxmlformats.org/spreadsheetml/2006/main" id="19" name="FamilyEvidenceCoverageTable" displayName="FamilyEvidenceCoverageTable" ref="A12:L133" headerRowCount="1" totalsRowCount="0" totalsRowShown="0">
  <x:tableColumns count="12">
    <x:tableColumn id="1" name="Family"/>
    <x:tableColumn id="2" name="Current Inventory Plant Names"/>
    <x:tableColumn id="3" name="Automated Records"/>
    <x:tableColumn id="4" name="Core / Strong"/>
    <x:tableColumn id="5" name="Weight 4–5"/>
    <x:tableColumn id="6" name="Field / Lens"/>
    <x:tableColumn id="7" name="Human Review"/>
    <x:tableColumn id="8" name="Highest Uncertainty"/>
    <x:tableColumn id="9" name="Citation URLs"/>
    <x:tableColumn id="10" name="Evidence Status"/>
    <x:tableColumn id="11" name="Best Next Action"/>
    <x:tableColumn id="12" name="Notes"/>
  </x:tableColumns>
  <x:tableStyleInfo name="TableStyleMedium4" showFirstColumn="0" showLastColumn="0" showRowStripes="1" showColumnStripes="0"/>
</x:table>
</file>

<file path=xl/tables/table20.xml><?xml version="1.0" encoding="utf-8"?>
<x:table xmlns:x="http://schemas.openxmlformats.org/spreadsheetml/2006/main" id="20" name="FamilyEvidenceRawTable" displayName="FamilyEvidenceRawTable" ref="A1:Z743" headerRowCount="1" totalsRowCount="0" totalsRowShown="0">
  <x:tableColumns count="26">
    <x:tableColumn id="1" name="Family"/>
    <x:tableColumn id="2" name="Character Code"/>
    <x:tableColumn id="3" name="Scope"/>
    <x:tableColumn id="4" name="Organ System"/>
    <x:tableColumn id="5" name="Character State"/>
    <x:tableColumn id="6" name="Evidence Strength"/>
    <x:tableColumn id="7" name="Suggested Weight"/>
    <x:tableColumn id="8" name="Reliability"/>
    <x:tableColumn id="9" name="Field Visibility"/>
    <x:tableColumn id="10" name="Best Season / Material"/>
    <x:tableColumn id="11" name="Plain-language Meaning"/>
    <x:tableColumn id="12" name="Exceptions / Limits"/>
    <x:tableColumn id="13" name="What It Separates / How to Use"/>
    <x:tableColumn id="14" name="Local Hays Relevance"/>
    <x:tableColumn id="15" name="Uncertainty"/>
    <x:tableColumn id="16" name="Human Review?"/>
    <x:tableColumn id="17" name="Review Reason"/>
    <x:tableColumn id="18" name="Related Lookalike IDs"/>
    <x:tableColumn id="19" name="Source IDs"/>
    <x:tableColumn id="20" name="APweb Direct URL"/>
    <x:tableColumn id="21" name="Practical Flora Direct URL(s)"/>
    <x:tableColumn id="22" name="POWO/WCVP Direct URL"/>
    <x:tableColumn id="23" name="All Direct Citation URLs"/>
    <x:tableColumn id="24" name="Universal Claim Permitted?"/>
    <x:tableColumn id="25" name="Unknown Allowed?"/>
    <x:tableColumn id="26" name="Review Status"/>
  </x:tableColumns>
  <x:tableStyleInfo name="TableStyleMedium4" showFirstColumn="0" showLastColumn="0" showRowStripes="1" showColumnStripes="0"/>
</x:table>
</file>

<file path=xl/tables/table21.xml><?xml version="1.0" encoding="utf-8"?>
<x:table xmlns:x="http://schemas.openxmlformats.org/spreadsheetml/2006/main" id="21" name="FamilyEvidenceModelTable" displayName="FamilyEvidenceModelTable" ref="A4:AH746" headerRowCount="1" totalsRowCount="0" totalsRowShown="0">
  <x:tableColumns count="34">
    <x:tableColumn id="1" name="Family"/>
    <x:tableColumn id="2" name="Character Code"/>
    <x:tableColumn id="3" name="Scope"/>
    <x:tableColumn id="4" name="Organ System"/>
    <x:tableColumn id="5" name="Character State"/>
    <x:tableColumn id="6" name="Evidence Strength"/>
    <x:tableColumn id="7" name="Suggested Weight"/>
    <x:tableColumn id="8" name="Reliability"/>
    <x:tableColumn id="9" name="Field Visibility"/>
    <x:tableColumn id="10" name="Best Season / Material"/>
    <x:tableColumn id="11" name="Plain-language Meaning"/>
    <x:tableColumn id="12" name="Exceptions / Limits"/>
    <x:tableColumn id="13" name="What It Separates / How to Use"/>
    <x:tableColumn id="14" name="Local Hays Relevance"/>
    <x:tableColumn id="15" name="Uncertainty"/>
    <x:tableColumn id="16" name="Human Review?"/>
    <x:tableColumn id="17" name="Review Reason"/>
    <x:tableColumn id="18" name="Related Lookalike IDs"/>
    <x:tableColumn id="19" name="Source IDs"/>
    <x:tableColumn id="20" name="APweb Direct URL"/>
    <x:tableColumn id="21" name="Practical Flora Direct URL(s)"/>
    <x:tableColumn id="22" name="POWO/WCVP Direct URL"/>
    <x:tableColumn id="23" name="All Direct Citation URLs"/>
    <x:tableColumn id="24" name="Universal Claim Permitted?"/>
    <x:tableColumn id="25" name="Unknown Allowed?"/>
    <x:tableColumn id="26" name="Review Status"/>
    <x:tableColumn id="27" name="Scope Class"/>
    <x:tableColumn id="28" name="Evidence Function"/>
    <x:tableColumn id="29" name="Reliability Class"/>
    <x:tableColumn id="30" name="Visibility Class"/>
    <x:tableColumn id="31" name="Uncertainty Class"/>
    <x:tableColumn id="32" name="Field Use Class"/>
    <x:tableColumn id="33" name="Review Priority"/>
    <x:tableColumn id="34" name="Inventory Scop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44239b6f8c4b88" /></Relationships>
</file>

<file path=xl/worksheets/_rels/sheet3.xml.rels>&#65279;<?xml version="1.0" encoding="utf-8"?><Relationships xmlns="http://schemas.openxmlformats.org/package/2006/relationships"><Relationship Type="http://schemas.openxmlformats.org/officeDocument/2006/relationships/table" Target="/xl/tables/table2.xml" Id="R59a9a0a34e174f1e" /></Relationships>
</file>

<file path=xl/worksheets/_rels/sheet4.xml.rels>&#65279;<?xml version="1.0" encoding="utf-8"?><Relationships xmlns="http://schemas.openxmlformats.org/package/2006/relationships"><Relationship Type="http://schemas.openxmlformats.org/officeDocument/2006/relationships/table" Target="/xl/tables/table3.xml" Id="Re55f408eb86048b9" /></Relationships>
</file>

<file path=xl/worksheets/_rels/sheet5.xml.rels>&#65279;<?xml version="1.0" encoding="utf-8"?><Relationships xmlns="http://schemas.openxmlformats.org/package/2006/relationships"><Relationship Type="http://schemas.openxmlformats.org/officeDocument/2006/relationships/table" Target="/xl/tables/table4.xml" Id="R5bd40a623f0e4b30" /></Relationships>
</file>

<file path=xl/worksheets/_rels/sheet6.xml.rels>&#65279;<?xml version="1.0" encoding="utf-8"?><Relationships xmlns="http://schemas.openxmlformats.org/package/2006/relationships"><Relationship Type="http://schemas.openxmlformats.org/officeDocument/2006/relationships/table" Target="/xl/tables/table5.xml" Id="Rd6b8726ac6f44dae" /></Relationships>
</file>

<file path=xl/worksheets/_rels/sheet7.xml.rels>&#65279;<?xml version="1.0" encoding="utf-8"?><Relationships xmlns="http://schemas.openxmlformats.org/package/2006/relationships"><Relationship Type="http://schemas.openxmlformats.org/officeDocument/2006/relationships/table" Target="/xl/tables/table6.xml" Id="R7e8ce4cedda34237" /><Relationship Type="http://schemas.openxmlformats.org/officeDocument/2006/relationships/table" Target="/xl/tables/table7.xml" Id="Rf2a8a0d9502a4147" /></Relationships>
</file>

<file path=xl/worksheets/_rels/sheet8.xml.rels>&#65279;<?xml version="1.0" encoding="utf-8"?><Relationships xmlns="http://schemas.openxmlformats.org/package/2006/relationships"><Relationship Type="http://schemas.openxmlformats.org/officeDocument/2006/relationships/table" Target="/xl/tables/table8.xml" Id="Rd4bb47181ea5450f" /></Relationships>
</file>

<file path=xl/worksheets/_rels/sheet9.xml.rels>&#65279;<?xml version="1.0" encoding="utf-8"?><Relationships xmlns="http://schemas.openxmlformats.org/package/2006/relationships"><Relationship Type="http://schemas.openxmlformats.org/officeDocument/2006/relationships/table" Target="/xl/tables/table9.xml" Id="R200abfce2ba043d4" /></Relationships>
</file>

<file path=xl/worksheets/_rels/sheet10.xml.rels>&#65279;<?xml version="1.0" encoding="utf-8"?><Relationships xmlns="http://schemas.openxmlformats.org/package/2006/relationships"><Relationship Type="http://schemas.openxmlformats.org/officeDocument/2006/relationships/table" Target="/xl/tables/table10.xml" Id="R6b4bace25887468c" /></Relationships>
</file>

<file path=xl/worksheets/_rels/sheet11.xml.rels>&#65279;<?xml version="1.0" encoding="utf-8"?><Relationships xmlns="http://schemas.openxmlformats.org/package/2006/relationships"><Relationship Type="http://schemas.openxmlformats.org/officeDocument/2006/relationships/table" Target="/xl/tables/table11.xml" Id="R8ae4374238884acc" /><Relationship Type="http://schemas.openxmlformats.org/officeDocument/2006/relationships/table" Target="/xl/tables/table12.xml" Id="R79d75ca722204080" /></Relationships>
</file>

<file path=xl/worksheets/_rels/sheet12.xml.rels>&#65279;<?xml version="1.0" encoding="utf-8"?><Relationships xmlns="http://schemas.openxmlformats.org/package/2006/relationships"><Relationship Type="http://schemas.openxmlformats.org/officeDocument/2006/relationships/table" Target="/xl/tables/table13.xml" Id="R847aca5ca5064aa7" /></Relationships>
</file>

<file path=xl/worksheets/_rels/sheet13.xml.rels>&#65279;<?xml version="1.0" encoding="utf-8"?><Relationships xmlns="http://schemas.openxmlformats.org/package/2006/relationships"><Relationship Type="http://schemas.openxmlformats.org/officeDocument/2006/relationships/table" Target="/xl/tables/table14.xml" Id="R078d5dd248e54456" /></Relationships>
</file>

<file path=xl/worksheets/_rels/sheet14.xml.rels>&#65279;<?xml version="1.0" encoding="utf-8"?><Relationships xmlns="http://schemas.openxmlformats.org/package/2006/relationships"><Relationship Type="http://schemas.openxmlformats.org/officeDocument/2006/relationships/table" Target="/xl/tables/table15.xml" Id="R67f501040657423f" /><Relationship Type="http://schemas.openxmlformats.org/officeDocument/2006/relationships/table" Target="/xl/tables/table16.xml" Id="Rdb69cbe2295341b6" /></Relationships>
</file>

<file path=xl/worksheets/_rels/sheet15.xml.rels>&#65279;<?xml version="1.0" encoding="utf-8"?><Relationships xmlns="http://schemas.openxmlformats.org/package/2006/relationships"><Relationship Type="http://schemas.openxmlformats.org/officeDocument/2006/relationships/table" Target="/xl/tables/table17.xml" Id="R6298b8ac23cb4bea" /></Relationships>
</file>

<file path=xl/worksheets/_rels/sheet16.xml.rels>&#65279;<?xml version="1.0" encoding="utf-8"?><Relationships xmlns="http://schemas.openxmlformats.org/package/2006/relationships"><Relationship Type="http://schemas.openxmlformats.org/officeDocument/2006/relationships/table" Target="/xl/tables/table18.xml" Id="Rd9fdf114391c4dbf" /></Relationships>
</file>

<file path=xl/worksheets/_rels/sheet17.xml.rels>&#65279;<?xml version="1.0" encoding="utf-8"?><Relationships xmlns="http://schemas.openxmlformats.org/package/2006/relationships"><Relationship Type="http://schemas.openxmlformats.org/officeDocument/2006/relationships/table" Target="/xl/tables/table19.xml" Id="R7ed77072265246d0" /></Relationships>
</file>

<file path=xl/worksheets/_rels/sheet18.xml.rels>&#65279;<?xml version="1.0" encoding="utf-8"?><Relationships xmlns="http://schemas.openxmlformats.org/package/2006/relationships"><Relationship Type="http://schemas.openxmlformats.org/officeDocument/2006/relationships/table" Target="/xl/tables/table20.xml" Id="R78b4eacd740c42a2" /></Relationships>
</file>

<file path=xl/worksheets/_rels/sheet19.xml.rels>&#65279;<?xml version="1.0" encoding="utf-8"?><Relationships xmlns="http://schemas.openxmlformats.org/package/2006/relationships"><Relationship Type="http://schemas.openxmlformats.org/officeDocument/2006/relationships/table" Target="/xl/tables/table21.xml" Id="R6871c2ab4e834eea"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40" hidden="0" customWidth="1"/>
    <x:col min="4" max="4" width="30" hidden="0" customWidth="1"/>
    <x:col min="5" max="5" width="14" hidden="0" customWidth="1"/>
    <x:col min="6" max="6" width="14" hidden="0" customWidth="1"/>
    <x:col min="7" max="7" width="28" hidden="0" customWidth="1"/>
    <x:col min="8" max="8" width="42" hidden="0" customWidth="1"/>
  </x:cols>
  <x:sheetData>
    <x:row r="1" ht="34" customHeight="1">
      <x:c r="A1" s="3" t="str">
        <x:v>Hays County Botany Identification — Master Plant Inventory</x:v>
      </x:c>
      <x:c r="B1" s="3"/>
      <x:c r="C1" s="3"/>
      <x:c r="D1" s="3"/>
      <x:c r="E1" s="3"/>
      <x:c r="F1" s="3"/>
      <x:c r="G1" s="3"/>
      <x:c r="H1" s="3"/>
    </x:row>
    <x:row r="2" ht="42" customHeight="1">
      <x:c r="A2" s="7" t="str">
        <x:v>A source-preserving list for family → genus → species identification. Family evidence now includes 742 source-backed draft characters across 63 families (60 in the current Hays queue), plus the detailed Euphorbiaceae pilot and C04/C06 comparison guides.</x:v>
      </x:c>
      <x:c r="B2" s="7"/>
      <x:c r="C2" s="7"/>
      <x:c r="D2" s="7"/>
      <x:c r="E2" s="7"/>
      <x:c r="F2" s="7"/>
      <x:c r="G2" s="7"/>
      <x:c r="H2" s="7"/>
    </x:row>
    <x:row r="4">
      <x:c r="A4" s="20" t="str">
        <x:v>Inventory metric</x:v>
      </x:c>
      <x:c r="B4" s="21" t="str">
        <x:v>Value</x:v>
      </x:c>
      <x:c r="C4" s="22"/>
      <x:c r="D4" s="20" t="str">
        <x:v>Source</x:v>
      </x:c>
      <x:c r="E4" s="23" t="str">
        <x:v>Rows</x:v>
      </x:c>
      <x:c r="F4" s="23" t="str">
        <x:v>Unique names</x:v>
      </x:c>
      <x:c r="G4" s="23" t="str">
        <x:v>Role</x:v>
      </x:c>
      <x:c r="H4" s="21" t="str">
        <x:v>Notes</x:v>
      </x:c>
    </x:row>
    <x:row r="5" ht="26" customHeight="1">
      <x:c r="A5" s="24" t="str">
        <x:v>Unique submitted names</x:v>
      </x:c>
      <x:c r="B5" s="36" t="n">
        <x:f>COUNTA('Merged Plant List'!$A$2:$A$880)</x:f>
        <x:v>879</x:v>
      </x:c>
      <x:c r="C5" s="22"/>
      <x:c r="D5" s="30" t="str">
        <x:v>BONAP/NAPA Hays workbook</x:v>
      </x:c>
      <x:c r="E5" s="38" t="n">
        <x:v>788</x:v>
      </x:c>
      <x:c r="F5" s="38" t="n">
        <x:v>788</x:v>
      </x:c>
      <x:c r="G5" s="31" t="str">
        <x:v>Occurrence candidate list</x:v>
      </x:c>
      <x:c r="H5" s="32" t="str">
        <x:v>Preserved as supplied</x:v>
      </x:c>
    </x:row>
    <x:row r="6" ht="26" customHeight="1">
      <x:c r="A6" s="24" t="str">
        <x:v>Exact WCVP name matches</x:v>
      </x:c>
      <x:c r="B6" s="36" t="n">
        <x:f>B5-B7</x:f>
        <x:v>846</x:v>
      </x:c>
      <x:c r="C6" s="22"/>
      <x:c r="D6" s="30" t="str">
        <x:v>Wildflower Center pasted list</x:v>
      </x:c>
      <x:c r="E6" s="38" t="n">
        <x:v>788</x:v>
      </x:c>
      <x:c r="F6" s="38" t="n">
        <x:v>788</x:v>
      </x:c>
      <x:c r="G6" s="31" t="str">
        <x:v>Plant attributes / second list</x:v>
      </x:c>
      <x:c r="H6" s="32" t="str">
        <x:v>Differs from BONAP/NAPA at one submitted name</x:v>
      </x:c>
    </x:row>
    <x:row r="7" ht="26" customHeight="1">
      <x:c r="A7" s="24" t="str">
        <x:v>Names needing taxonomy review</x:v>
      </x:c>
      <x:c r="B7" s="36" t="n">
        <x:f>COUNTIF('Merged Plant List'!$W$2:$W$880,"Review")</x:f>
        <x:v>33</x:v>
      </x:c>
      <x:c r="C7" s="22"/>
      <x:c r="D7" s="30" t="str">
        <x:v>Existing master workbook</x:v>
      </x:c>
      <x:c r="E7" s="38" t="n">
        <x:v>316</x:v>
      </x:c>
      <x:c r="F7" s="38" t="n">
        <x:v>314</x:v>
      </x:c>
      <x:c r="G7" s="31" t="str">
        <x:v>Previously enriched records</x:v>
      </x:c>
      <x:c r="H7" s="32" t="str">
        <x:v>Contains two duplicated scientific names</x:v>
      </x:c>
    </x:row>
    <x:row r="8" ht="26" customHeight="1">
      <x:c r="A8" s="24" t="str">
        <x:v>Submitted names accepted by WCVP</x:v>
      </x:c>
      <x:c r="B8" s="36" t="n">
        <x:f>COUNTIF('Merged Plant List'!$G$2:$G$880,"Accepted")</x:f>
        <x:v>730</x:v>
      </x:c>
      <x:c r="C8" s="22"/>
      <x:c r="D8" s="30" t="str">
        <x:v>Combined inventory</x:v>
      </x:c>
      <x:c r="E8" s="38" t="n">
        <x:v>1892</x:v>
      </x:c>
      <x:c r="F8" s="38" t="n">
        <x:v>879</x:v>
      </x:c>
      <x:c r="G8" s="31" t="str">
        <x:v>Working research universe</x:v>
      </x:c>
      <x:c r="H8" s="32" t="str">
        <x:v>Merge key uses trimmed, case-normalized scientific names</x:v>
      </x:c>
    </x:row>
    <x:row r="9" ht="26" customHeight="1">
      <x:c r="A9" s="24" t="str">
        <x:v>Submitted names not currently accepted</x:v>
      </x:c>
      <x:c r="B9" s="36" t="n">
        <x:f>COUNTIF('Merged Plant List'!$G$2:$G$880,"Synonym")+COUNTIF('Merged Plant List'!$G$2:$G$880,"Invalid")</x:f>
        <x:v>116</x:v>
      </x:c>
      <x:c r="C9" s="22"/>
      <x:c r="D9" s="30" t="str">
        <x:v>WCVP names</x:v>
      </x:c>
      <x:c r="E9" s="38" t="n">
        <x:v>879</x:v>
      </x:c>
      <x:c r="F9" s="38" t="n">
        <x:v>846</x:v>
      </x:c>
      <x:c r="G9" s="31" t="str">
        <x:v>Taxonomy backbone</x:v>
      </x:c>
      <x:c r="H9" s="32" t="str">
        <x:v>Exact submitted-name matches only</x:v>
      </x:c>
    </x:row>
    <x:row r="10" ht="26" customHeight="1">
      <x:c r="A10" s="24" t="str">
        <x:v>Families represented</x:v>
      </x:c>
      <x:c r="B10" s="36" t="n">
        <x:f>COUNTA('Family Queue'!$A$2:$A$119)-1</x:f>
        <x:v>117</x:v>
      </x:c>
      <x:c r="C10" s="22"/>
      <x:c r="D10" s="30" t="str">
        <x:v>Name pair to retain</x:v>
      </x:c>
      <x:c r="E10" s="38" t="n">
        <x:v>2</x:v>
      </x:c>
      <x:c r="F10" s="38" t="n">
        <x:v>2</x:v>
      </x:c>
      <x:c r="G10" s="31" t="str">
        <x:v>Synonym trail</x:v>
      </x:c>
      <x:c r="H10" s="32" t="str">
        <x:v>Evax candida / Diaperia candida</x:v>
      </x:c>
    </x:row>
    <x:row r="11" ht="26" customHeight="1">
      <x:c r="A11" s="27" t="str">
        <x:v>Raw source records retained</x:v>
      </x:c>
      <x:c r="B11" s="37" t="n">
        <x:f>COUNTA('Source Records'!$A$2:$A$1893)</x:f>
        <x:v>1892</x:v>
      </x:c>
      <x:c r="C11" s="22"/>
      <x:c r="D11" s="33" t="str">
        <x:v>Taxonomy caution</x:v>
      </x:c>
      <x:c r="E11" s="39"/>
      <x:c r="F11" s="39"/>
      <x:c r="G11" s="34" t="str">
        <x:v>Review queue</x:v>
      </x:c>
      <x:c r="H11" s="35" t="str">
        <x:v>Accepted names do not prove Hays County occurrence or nativity</x:v>
      </x:c>
    </x:row>
    <x:row r="12" ht="34" customHeight="1">
      <x:c r="A12" s="156" t="str">
        <x:v>Imported family-character rows</x:v>
      </x:c>
      <x:c r="B12" s="157" t="n">
        <x:v>742</x:v>
      </x:c>
      <x:c r="D12" s="156" t="str">
        <x:v>Family evidence automation</x:v>
      </x:c>
      <x:c r="E12" s="156" t="n">
        <x:v>742</x:v>
      </x:c>
      <x:c r="F12" s="156" t="str">
        <x:v>63 families</x:v>
      </x:c>
      <x:c r="G12" s="156" t="str">
        <x:v>Family-level ID characters</x:v>
      </x:c>
      <x:c r="H12" s="156" t="str">
        <x:v>60 current inventory families + 3 reference-expansion families; raw claims and citations preserved</x:v>
      </x:c>
    </x:row>
    <x:row r="13">
      <x:c r="A13" s="40" t="str">
        <x:v>Recommended chat workflow</x:v>
      </x:c>
      <x:c r="B13" s="40"/>
      <x:c r="C13" s="40"/>
      <x:c r="D13" s="40"/>
      <x:c r="E13" s="40"/>
      <x:c r="F13" s="40"/>
      <x:c r="G13" s="40"/>
      <x:c r="H13" s="40"/>
    </x:row>
    <x:row r="14">
      <x:c r="A14" s="11" t="str">
        <x:v>Where</x:v>
      </x:c>
      <x:c r="B14" s="17" t="str">
        <x:v>Use it for</x:v>
      </x:c>
      <x:c r="C14" s="17" t="str">
        <x:v>Unit of work</x:v>
      </x:c>
      <x:c r="D14" s="12" t="str">
        <x:v>Return format</x:v>
      </x:c>
      <x:c r="E14"/>
      <x:c r="F14"/>
      <x:c r="G14"/>
      <x:c r="H14"/>
    </x:row>
    <x:row r="15">
      <x:c r="A15" s="50" t="str">
        <x:v>This main chat</x:v>
      </x:c>
      <x:c r="B15" s="51" t="str">
        <x:v>Database rules, family/genus structure, Hays-specific comparison sets, integrating and reviewing research</x:v>
      </x:c>
      <x:c r="C15" s="51" t="str">
        <x:v>One design decision or comparison group</x:v>
      </x:c>
      <x:c r="D15" s="52" t="str">
        <x:v>Updated master workbook / field guide</x:v>
      </x:c>
      <x:c r="E15"/>
      <x:c r="F15"/>
      <x:c r="G15"/>
      <x:c r="H15"/>
    </x:row>
    <x:row r="16">
      <x:c r="A16" s="50" t="str">
        <x:v>Another research chat</x:v>
      </x:c>
      <x:c r="B16" s="51" t="str">
        <x:v>Bounded collection of standardized facts and citations</x:v>
      </x:c>
      <x:c r="C16" s="51" t="str">
        <x:v>One family, one genus, or 25–40 plant names</x:v>
      </x:c>
      <x:c r="D16" s="52" t="str">
        <x:v>Rows keyed by Record ID</x:v>
      </x:c>
      <x:c r="E16"/>
      <x:c r="F16"/>
      <x:c r="G16"/>
      <x:c r="H16"/>
    </x:row>
    <x:row r="17">
      <x:c r="A17" s="53" t="str">
        <x:v>Field use</x:v>
      </x:c>
      <x:c r="B17" s="54" t="str">
        <x:v>Photographs, observations, and uncertain specimens</x:v>
      </x:c>
      <x:c r="C17" s="54" t="str">
        <x:v>One encounter or confusion pair</x:v>
      </x:c>
      <x:c r="D17" s="55" t="str">
        <x:v>Photo set + date + location + visible structures</x:v>
      </x:c>
      <x:c r="E17"/>
      <x:c r="F17"/>
      <x:c r="G17"/>
      <x:c r="H17"/>
    </x:row>
    <x:row r="19">
      <x:c r="A19" s="40" t="str">
        <x:v>Copy/paste prompt for a research chat</x:v>
      </x:c>
      <x:c r="B19" s="40"/>
      <x:c r="C19" s="40"/>
      <x:c r="D19" s="40"/>
      <x:c r="E19" s="40"/>
      <x:c r="F19" s="40"/>
      <x:c r="G19" s="40"/>
      <x:c r="H19" s="40"/>
    </x:row>
    <x:row r="20" ht="132" customHeight="1">
      <x:c r="A20" s="64" t="str">
        <x:v>Use the attached Hays County Botany Master List. Work only on the Record IDs or family/genus I specify. For every row, preserve the submitted scientific name and WCVP accepted name separately. Fill: plain-language recognition; key botanical characters; similar Hays County taxa or realistic lookalikes; observable differences; what to inspect or photograph; seasonal/habitat clues; and evidence URLs. Explain each technical term in plain language the first time it appears. Treat traits as ranges, note exceptions, and distinguish reliable characters from supporting clues. Do not claim Hays County occurrence or nativity without county-level evidence. Use authoritative floras, revisions, herbarium treatments, POWO/WCVP, USDA PLANTS, BONAP, and the Lady Bird Johnson Wildflower Center as appropriate. Return the completed rows keyed by Record ID, with no silent name changes.</x:v>
      </x:c>
      <x:c r="B20" s="65"/>
      <x:c r="C20" s="65"/>
      <x:c r="D20" s="65"/>
      <x:c r="E20" s="65"/>
      <x:c r="F20" s="65"/>
      <x:c r="G20" s="65"/>
      <x:c r="H20" s="66"/>
    </x:row>
    <x:row r="22">
      <x:c r="A22" s="47" t="str">
        <x:v>Important merge rules</x:v>
      </x:c>
      <x:c r="B22" s="48"/>
      <x:c r="C22" s="49"/>
      <x:c r="D22" s="9"/>
      <x:c r="E22" s="9"/>
      <x:c r="F22" s="9"/>
      <x:c r="G22" s="9"/>
      <x:c r="H22" s="9"/>
    </x:row>
    <x:row r="23">
      <x:c r="A23" s="30" t="str">
        <x:v>1</x:v>
      </x:c>
      <x:c r="B23" s="31" t="str">
        <x:v>Mechanical normalization only</x:v>
      </x:c>
      <x:c r="C23" s="32" t="str">
        <x:v>Trimmed whitespace, normalized repeated spaces, and compared names without regard to letter case.</x:v>
      </x:c>
      <x:c r="D23"/>
      <x:c r="E23"/>
      <x:c r="F23"/>
      <x:c r="G23"/>
      <x:c r="H23"/>
    </x:row>
    <x:row r="24">
      <x:c r="A24" s="30" t="str">
        <x:v>2</x:v>
      </x:c>
      <x:c r="B24" s="31" t="str">
        <x:v>No silent synonym collapse</x:v>
      </x:c>
      <x:c r="C24" s="32" t="str">
        <x:v>Older and newer submitted names remain separate inventory rows; accepted names are added in their own column.</x:v>
      </x:c>
      <x:c r="D24"/>
      <x:c r="E24"/>
      <x:c r="F24"/>
      <x:c r="G24"/>
      <x:c r="H24"/>
    </x:row>
    <x:row r="25" ht="42" customHeight="1">
      <x:c r="A25" s="33" t="str">
        <x:v>3</x:v>
      </x:c>
      <x:c r="B25" s="34" t="str">
        <x:v>Nativity deferred</x:v>
      </x:c>
      <x:c r="C25" s="55" t="str">
        <x:v>This inventory is intentionally inclusive: native, naturalized, invasive, garden escape, persistent cultivated, and common nursery lookalike plants may all belong in the identification universe. Occurrence context and nativity will be tagged separately when supported by evidence, not used as reasons to delete a plant.</x:v>
      </x:c>
      <x:c r="D25" s="107"/>
      <x:c r="E25" s="107"/>
      <x:c r="F25" s="107"/>
      <x:c r="G25" s="107"/>
      <x:c r="H25" s="107"/>
    </x:row>
  </x:sheetData>
  <x:mergeCells>
    <x:mergeCell ref="A1:H1"/>
    <x:mergeCell ref="A2:H2"/>
    <x:mergeCell ref="A13:H13"/>
    <x:mergeCell ref="A19:H19"/>
    <x:mergeCell ref="A20:H20"/>
    <x:mergeCell ref="C25: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30" hidden="0" customWidth="1"/>
    <x:col min="4" max="4" width="20" hidden="0" customWidth="1"/>
    <x:col min="5" max="5" width="20" hidden="0" customWidth="1"/>
    <x:col min="6" max="6" width="17" hidden="0" customWidth="1"/>
    <x:col min="7" max="7" width="17" hidden="0" customWidth="1"/>
    <x:col min="8" max="8" width="42" hidden="0" customWidth="1"/>
    <x:col min="9" max="9" width="18" hidden="0" customWidth="1"/>
    <x:col min="10" max="10" width="18" hidden="0" customWidth="1"/>
    <x:col min="11" max="11" width="18" hidden="0" customWidth="1"/>
    <x:col min="12" max="12" width="18" hidden="0" customWidth="1"/>
    <x:col min="13" max="13" width="14" hidden="0" customWidth="1"/>
    <x:col min="14" max="14" width="14" hidden="0" customWidth="1"/>
    <x:col min="15" max="15" width="14" hidden="0" customWidth="1"/>
    <x:col min="16" max="16" width="14" hidden="0" customWidth="1"/>
    <x:col min="17" max="17" width="30" hidden="0" customWidth="1"/>
    <x:col min="18" max="18" width="30" hidden="0" customWidth="1"/>
    <x:col min="19" max="19" width="17" hidden="0" customWidth="1"/>
    <x:col min="20" max="20" width="17" hidden="0" customWidth="1"/>
    <x:col min="21" max="21" width="17" hidden="0" customWidth="1"/>
    <x:col min="22" max="22" width="17" hidden="0" customWidth="1"/>
    <x:col min="23" max="23" width="16" hidden="0" customWidth="1"/>
  </x:cols>
  <x:sheetData>
    <x:row r="1" ht="36" customHeight="1">
      <x:c r="A1" s="81" t="str">
        <x:v>Record ID</x:v>
      </x:c>
      <x:c r="B1" s="82" t="str">
        <x:v>Submitted Scientific Name</x:v>
      </x:c>
      <x:c r="C1" s="82" t="str">
        <x:v>Accepted Scientific Name (WCVP)</x:v>
      </x:c>
      <x:c r="D1" s="82" t="str">
        <x:v>Family</x:v>
      </x:c>
      <x:c r="E1" s="82" t="str">
        <x:v>Genus</x:v>
      </x:c>
      <x:c r="F1" s="82" t="str">
        <x:v>Taxon Rank</x:v>
      </x:c>
      <x:c r="G1" s="82" t="str">
        <x:v>Submitted Name Status</x:v>
      </x:c>
      <x:c r="H1" s="82" t="str">
        <x:v>Common Name(s)</x:v>
      </x:c>
      <x:c r="I1" s="82" t="str">
        <x:v>Duration</x:v>
      </x:c>
      <x:c r="J1" s="82" t="str">
        <x:v>Habit / Growth Form</x:v>
      </x:c>
      <x:c r="K1" s="82" t="str">
        <x:v>Sun</x:v>
      </x:c>
      <x:c r="L1" s="82" t="str">
        <x:v>Water</x:v>
      </x:c>
      <x:c r="M1" s="82" t="str">
        <x:v>BONAP/NAPA Records</x:v>
      </x:c>
      <x:c r="N1" s="82" t="str">
        <x:v>Wildflower Paste Records</x:v>
      </x:c>
      <x:c r="O1" s="82" t="str">
        <x:v>Existing Master Records</x:v>
      </x:c>
      <x:c r="P1" s="82" t="str">
        <x:v>Total Source Records</x:v>
      </x:c>
      <x:c r="Q1" s="82" t="str">
        <x:v>WCVP Match Note</x:v>
      </x:c>
      <x:c r="R1" s="82" t="str">
        <x:v>WCVP Matched Name</x:v>
      </x:c>
      <x:c r="S1" s="82" t="str">
        <x:v>WCVP Name ID</x:v>
      </x:c>
      <x:c r="T1" s="82" t="str">
        <x:v>Accepted Name ID</x:v>
      </x:c>
      <x:c r="U1" s="82" t="str">
        <x:v>POWO ID</x:v>
      </x:c>
      <x:c r="V1" s="82" t="str">
        <x:v>Accepted POWO ID</x:v>
      </x:c>
      <x:c r="W1" s="82" t="str">
        <x:v>Taxonomy Review Flag</x:v>
      </x:c>
    </x:row>
    <x:row r="2" ht="18" customHeight="1">
      <x:c r="A2" s="83" t="str">
        <x:v>HAYS-0001</x:v>
      </x:c>
      <x:c r="B2" s="87" t="str">
        <x:v>Abutilon fruticosum</x:v>
      </x:c>
      <x:c r="C2" s="87" t="str">
        <x:v>Abutilon fruticosum</x:v>
      </x:c>
      <x:c r="D2" s="84" t="str">
        <x:v>Malvaceae</x:v>
      </x:c>
      <x:c r="E2" s="84" t="str">
        <x:v>Abutilon</x:v>
      </x:c>
      <x:c r="F2" s="84" t="str">
        <x:v>Species</x:v>
      </x:c>
      <x:c r="G2" s="84" t="str">
        <x:v>Accepted</x:v>
      </x:c>
      <x:c r="H2" s="84" t="str">
        <x:v>Indian Mallow, Texas Indian Mallow</x:v>
      </x:c>
      <x:c r="I2" s="84" t="str">
        <x:v>Perennial</x:v>
      </x:c>
      <x:c r="J2" s="84" t="str">
        <x:v>Subshrub</x:v>
      </x:c>
      <x:c r="K2" s="84" t="str">
        <x:v>Sun</x:v>
      </x:c>
      <x:c r="L2" s="84" t="str">
        <x:v>Low</x:v>
      </x:c>
      <x:c r="M2" s="89" t="n">
        <x:v>1</x:v>
      </x:c>
      <x:c r="N2" s="89" t="n">
        <x:v>1</x:v>
      </x:c>
      <x:c r="O2" s="89" t="n">
        <x:v>1</x:v>
      </x:c>
      <x:c r="P2" s="89" t="n">
        <x:f>SUM(M2:O2)</x:f>
        <x:v>3</x:v>
      </x:c>
      <x:c r="Q2" s="84" t="str">
        <x:v>Exact accepted-name match</x:v>
      </x:c>
      <x:c r="R2" s="84" t="str">
        <x:v>Abutilon fruticosum</x:v>
      </x:c>
      <x:c r="S2" s="84" t="str">
        <x:v>2610628</x:v>
      </x:c>
      <x:c r="T2" s="84" t="str">
        <x:v>2610628</x:v>
      </x:c>
      <x:c r="U2" s="84" t="str">
        <x:v>326450-2</x:v>
      </x:c>
      <x:c r="V2" s="84" t="str">
        <x:v>326450-2</x:v>
      </x:c>
      <x:c r="W2" s="84" t="str"/>
    </x:row>
    <x:row r="3" ht="18" customHeight="1">
      <x:c r="A3" s="83" t="str">
        <x:v>HAYS-0002</x:v>
      </x:c>
      <x:c r="B3" s="87" t="str">
        <x:v>Abutilon incanum</x:v>
      </x:c>
      <x:c r="C3" s="87" t="str">
        <x:v>Abutilon incanum</x:v>
      </x:c>
      <x:c r="D3" s="84" t="str">
        <x:v>Malvaceae</x:v>
      </x:c>
      <x:c r="E3" s="84" t="str">
        <x:v>Abutilon</x:v>
      </x:c>
      <x:c r="F3" s="84" t="str">
        <x:v>Species</x:v>
      </x:c>
      <x:c r="G3" s="84" t="str">
        <x:v>Accepted</x:v>
      </x:c>
      <x:c r="H3" s="84" t="str">
        <x:v>Pelotazo, Indian Mallow, Shrubby Indian Mallow</x:v>
      </x:c>
      <x:c r="I3" s="84" t="str">
        <x:v>Perennial</x:v>
      </x:c>
      <x:c r="J3" s="84" t="str">
        <x:v>Shrub</x:v>
      </x:c>
      <x:c r="K3" s="84" t="str">
        <x:v>Sun</x:v>
      </x:c>
      <x:c r="L3" s="84" t="str">
        <x:v>Dry</x:v>
      </x:c>
      <x:c r="M3" s="89" t="n">
        <x:v>1</x:v>
      </x:c>
      <x:c r="N3" s="89" t="n">
        <x:v>1</x:v>
      </x:c>
      <x:c r="O3" s="89" t="n">
        <x:v>0</x:v>
      </x:c>
      <x:c r="P3" s="89" t="n">
        <x:f>SUM(M3:O3)</x:f>
        <x:v>2</x:v>
      </x:c>
      <x:c r="Q3" s="84" t="str">
        <x:v>Exact accepted-name match</x:v>
      </x:c>
      <x:c r="R3" s="84" t="str">
        <x:v>Abutilon incanum</x:v>
      </x:c>
      <x:c r="S3" s="84" t="str">
        <x:v>2610695</x:v>
      </x:c>
      <x:c r="T3" s="84" t="str">
        <x:v>2610695</x:v>
      </x:c>
      <x:c r="U3" s="84" t="str">
        <x:v>1196159-2</x:v>
      </x:c>
      <x:c r="V3" s="84" t="str">
        <x:v>1196159-2</x:v>
      </x:c>
      <x:c r="W3" s="84" t="str"/>
    </x:row>
    <x:row r="4" ht="18" customHeight="1">
      <x:c r="A4" s="83" t="str">
        <x:v>HAYS-0003</x:v>
      </x:c>
      <x:c r="B4" s="87" t="str">
        <x:v>Acaciella angustissima var. hirta</x:v>
      </x:c>
      <x:c r="C4" s="87" t="str">
        <x:v>Acaciella angustissima var. texensis</x:v>
      </x:c>
      <x:c r="D4" s="84" t="str">
        <x:v>Fabaceae</x:v>
      </x:c>
      <x:c r="E4" s="84" t="str">
        <x:v>Acaciella</x:v>
      </x:c>
      <x:c r="F4" s="84" t="str">
        <x:v>Variety</x:v>
      </x:c>
      <x:c r="G4" s="84" t="str">
        <x:v>Synonym</x:v>
      </x:c>
      <x:c r="H4" s="84" t="str">
        <x:v>Prairie Acacia, Texas Prairie Acacia, Texas Fern Acacia, Prairie Wattle</x:v>
      </x:c>
      <x:c r="I4" s="84" t="str">
        <x:v>Perennial</x:v>
      </x:c>
      <x:c r="J4" s="84" t="str">
        <x:v>Subshrub</x:v>
      </x:c>
      <x:c r="K4" s="84" t="str">
        <x:v>Sun, Shade, Part-shade</x:v>
      </x:c>
      <x:c r="L4" s="84" t="str">
        <x:v>Moist, Dry</x:v>
      </x:c>
      <x:c r="M4" s="89" t="n">
        <x:v>1</x:v>
      </x:c>
      <x:c r="N4" s="89" t="n">
        <x:v>1</x:v>
      </x:c>
      <x:c r="O4" s="89" t="n">
        <x:v>0</x:v>
      </x:c>
      <x:c r="P4" s="89" t="n">
        <x:f>SUM(M4:O4)</x:f>
        <x:v>2</x:v>
      </x:c>
      <x:c r="Q4" s="84" t="str">
        <x:v>Exact synonym-name match</x:v>
      </x:c>
      <x:c r="R4" s="84" t="str">
        <x:v>Acaciella angustissima var. hirta</x:v>
      </x:c>
      <x:c r="S4" s="84" t="str">
        <x:v>3001641</x:v>
      </x:c>
      <x:c r="T4" s="84" t="str">
        <x:v>2614370</x:v>
      </x:c>
      <x:c r="U4" s="84" t="str">
        <x:v>77147108-1</x:v>
      </x:c>
      <x:c r="V4" s="84" t="str">
        <x:v>77071380-1</x:v>
      </x:c>
      <x:c r="W4" s="84" t="str"/>
    </x:row>
    <x:row r="5" ht="18" customHeight="1">
      <x:c r="A5" s="83" t="str">
        <x:v>HAYS-0004</x:v>
      </x:c>
      <x:c r="B5" s="87" t="str">
        <x:v>Acalypha persimilis</x:v>
      </x:c>
      <x:c r="C5" s="87" t="str">
        <x:v>Acalypha persimilis</x:v>
      </x:c>
      <x:c r="D5" s="84" t="str">
        <x:v>Euphorbiaceae</x:v>
      </x:c>
      <x:c r="E5" s="84" t="str">
        <x:v>Acalypha</x:v>
      </x:c>
      <x:c r="F5" s="84" t="str">
        <x:v>Species</x:v>
      </x:c>
      <x:c r="G5" s="84" t="str">
        <x:v>Accepted</x:v>
      </x:c>
      <x:c r="H5" s="84" t="str">
        <x:v>Hornbeam Copperleaf</x:v>
      </x:c>
      <x:c r="I5" s="84" t="str">
        <x:v>Annual</x:v>
      </x:c>
      <x:c r="J5" s="84" t="str">
        <x:v>Herb</x:v>
      </x:c>
      <x:c r="K5" s="84" t="str">
        <x:v>Sun</x:v>
      </x:c>
      <x:c r="L5" s="84" t="str">
        <x:v>Moist, Dry</x:v>
      </x:c>
      <x:c r="M5" s="89" t="n">
        <x:v>1</x:v>
      </x:c>
      <x:c r="N5" s="89" t="n">
        <x:v>1</x:v>
      </x:c>
      <x:c r="O5" s="89" t="n">
        <x:v>0</x:v>
      </x:c>
      <x:c r="P5" s="89" t="n">
        <x:f>SUM(M5:O5)</x:f>
        <x:v>2</x:v>
      </x:c>
      <x:c r="Q5" s="84" t="str">
        <x:v>Exact accepted-name match</x:v>
      </x:c>
      <x:c r="R5" s="84" t="str">
        <x:v>Acalypha persimilis</x:v>
      </x:c>
      <x:c r="S5" s="84" t="str">
        <x:v>1015</x:v>
      </x:c>
      <x:c r="T5" s="84" t="str">
        <x:v>1015</x:v>
      </x:c>
      <x:c r="U5" s="84" t="str">
        <x:v>337688-1</x:v>
      </x:c>
      <x:c r="V5" s="84" t="str">
        <x:v>337688-1</x:v>
      </x:c>
      <x:c r="W5" s="84" t="str"/>
    </x:row>
    <x:row r="6" ht="18" customHeight="1">
      <x:c r="A6" s="83" t="str">
        <x:v>HAYS-0005</x:v>
      </x:c>
      <x:c r="B6" s="87" t="str">
        <x:v>Acalypha phleoides</x:v>
      </x:c>
      <x:c r="C6" s="87" t="str">
        <x:v>Acalypha phleoides</x:v>
      </x:c>
      <x:c r="D6" s="84" t="str">
        <x:v>Euphorbiaceae</x:v>
      </x:c>
      <x:c r="E6" s="84" t="str">
        <x:v>Acalypha</x:v>
      </x:c>
      <x:c r="F6" s="84" t="str">
        <x:v>Species</x:v>
      </x:c>
      <x:c r="G6" s="84" t="str">
        <x:v>Accepted</x:v>
      </x:c>
      <x:c r="H6" s="84" t="str">
        <x:v>Shrubby Copperleaf, Three-seeded Mercury</x:v>
      </x:c>
      <x:c r="I6" s="84" t="str">
        <x:v>Perennial</x:v>
      </x:c>
      <x:c r="J6" s="84" t="str">
        <x:v>Herb</x:v>
      </x:c>
      <x:c r="K6" s="84" t="str">
        <x:v>Part-shade</x:v>
      </x:c>
      <x:c r="L6" s="84" t="str"/>
      <x:c r="M6" s="89" t="n">
        <x:v>1</x:v>
      </x:c>
      <x:c r="N6" s="89" t="n">
        <x:v>1</x:v>
      </x:c>
      <x:c r="O6" s="89" t="n">
        <x:v>0</x:v>
      </x:c>
      <x:c r="P6" s="89" t="n">
        <x:f>SUM(M6:O6)</x:f>
        <x:v>2</x:v>
      </x:c>
      <x:c r="Q6" s="84" t="str">
        <x:v>Exact accepted-name match</x:v>
      </x:c>
      <x:c r="R6" s="84" t="str">
        <x:v>Acalypha phleoides</x:v>
      </x:c>
      <x:c r="S6" s="84" t="str">
        <x:v>1023</x:v>
      </x:c>
      <x:c r="T6" s="84" t="str">
        <x:v>1023</x:v>
      </x:c>
      <x:c r="U6" s="84" t="str">
        <x:v>1435-2</x:v>
      </x:c>
      <x:c r="V6" s="84" t="str">
        <x:v>1435-2</x:v>
      </x:c>
      <x:c r="W6" s="84" t="str"/>
    </x:row>
    <x:row r="7" ht="18" customHeight="1">
      <x:c r="A7" s="83" t="str">
        <x:v>HAYS-0006</x:v>
      </x:c>
      <x:c r="B7" s="87" t="str">
        <x:v>Acalypha radians</x:v>
      </x:c>
      <x:c r="C7" s="87" t="str">
        <x:v>Acalypha radians</x:v>
      </x:c>
      <x:c r="D7" s="84" t="str">
        <x:v>Euphorbiaceae</x:v>
      </x:c>
      <x:c r="E7" s="84" t="str">
        <x:v>Acalypha</x:v>
      </x:c>
      <x:c r="F7" s="84" t="str">
        <x:v>Species</x:v>
      </x:c>
      <x:c r="G7" s="84" t="str">
        <x:v>Accepted</x:v>
      </x:c>
      <x:c r="H7" s="84" t="str">
        <x:v>Cardinal's Feather, Cardinal Feather</x:v>
      </x:c>
      <x:c r="I7" s="84" t="str">
        <x:v>Perennial</x:v>
      </x:c>
      <x:c r="J7" s="84" t="str">
        <x:v>Herb</x:v>
      </x:c>
      <x:c r="K7" s="84" t="str">
        <x:v>Sun</x:v>
      </x:c>
      <x:c r="L7" s="84" t="str">
        <x:v>Dry</x:v>
      </x:c>
      <x:c r="M7" s="89" t="n">
        <x:v>1</x:v>
      </x:c>
      <x:c r="N7" s="89" t="n">
        <x:v>1</x:v>
      </x:c>
      <x:c r="O7" s="89" t="n">
        <x:v>0</x:v>
      </x:c>
      <x:c r="P7" s="89" t="n">
        <x:f>SUM(M7:O7)</x:f>
        <x:v>2</x:v>
      </x:c>
      <x:c r="Q7" s="84" t="str">
        <x:v>Exact accepted-name match</x:v>
      </x:c>
      <x:c r="R7" s="84" t="str">
        <x:v>Acalypha radians</x:v>
      </x:c>
      <x:c r="S7" s="84" t="str">
        <x:v>1088</x:v>
      </x:c>
      <x:c r="T7" s="84" t="str">
        <x:v>1088</x:v>
      </x:c>
      <x:c r="U7" s="84" t="str">
        <x:v>337736-1</x:v>
      </x:c>
      <x:c r="V7" s="84" t="str">
        <x:v>337736-1</x:v>
      </x:c>
      <x:c r="W7" s="84" t="str"/>
    </x:row>
    <x:row r="8" ht="18" customHeight="1">
      <x:c r="A8" s="83" t="str">
        <x:v>HAYS-0007</x:v>
      </x:c>
      <x:c r="B8" s="87" t="str">
        <x:v>Acer grandidentatum</x:v>
      </x:c>
      <x:c r="C8" s="87" t="str">
        <x:v>Acer grandidentatum</x:v>
      </x:c>
      <x:c r="D8" s="84" t="str">
        <x:v>Sapindaceae</x:v>
      </x:c>
      <x:c r="E8" s="84" t="str">
        <x:v>Acer</x:v>
      </x:c>
      <x:c r="F8" s="84" t="str">
        <x:v>Species</x:v>
      </x:c>
      <x:c r="G8" s="84" t="str">
        <x:v>Accepted</x:v>
      </x:c>
      <x:c r="H8" s="84" t="str">
        <x:v>Bigtooth Maple, Big-toothed Maple, Uvalde Bigtooth Maple, Southwestern Bigtooth Maple, Canyon Maple, Sabinal Maple, Western Sugar Maple</x:v>
      </x:c>
      <x:c r="I8" s="84" t="str">
        <x:v>Perennial</x:v>
      </x:c>
      <x:c r="J8" s="84" t="str">
        <x:v>Tree</x:v>
      </x:c>
      <x:c r="K8" s="84" t="str">
        <x:v>Sun, Part Shade</x:v>
      </x:c>
      <x:c r="L8" s="84" t="str">
        <x:v>Medium</x:v>
      </x:c>
      <x:c r="M8" s="89" t="n">
        <x:v>0</x:v>
      </x:c>
      <x:c r="N8" s="89" t="n">
        <x:v>0</x:v>
      </x:c>
      <x:c r="O8" s="89" t="n">
        <x:v>1</x:v>
      </x:c>
      <x:c r="P8" s="89" t="n">
        <x:f>SUM(M8:O8)</x:f>
        <x:v>1</x:v>
      </x:c>
      <x:c r="Q8" s="84" t="str">
        <x:v>Exact accepted-name match</x:v>
      </x:c>
      <x:c r="R8" s="84" t="str">
        <x:v>Acer grandidentatum</x:v>
      </x:c>
      <x:c r="S8" s="84" t="str">
        <x:v>2615689</x:v>
      </x:c>
      <x:c r="T8" s="84" t="str">
        <x:v>2615689</x:v>
      </x:c>
      <x:c r="U8" s="84" t="str">
        <x:v>1798-2</x:v>
      </x:c>
      <x:c r="V8" s="84" t="str">
        <x:v>1798-2</x:v>
      </x:c>
      <x:c r="W8" s="84" t="str"/>
    </x:row>
    <x:row r="9" ht="18" customHeight="1">
      <x:c r="A9" s="83" t="str">
        <x:v>HAYS-0008</x:v>
      </x:c>
      <x:c r="B9" s="87" t="str">
        <x:v>Acer negundo</x:v>
      </x:c>
      <x:c r="C9" s="87" t="str">
        <x:v>Acer negundo</x:v>
      </x:c>
      <x:c r="D9" s="84" t="str">
        <x:v>Sapindaceae</x:v>
      </x:c>
      <x:c r="E9" s="84" t="str">
        <x:v>Acer</x:v>
      </x:c>
      <x:c r="F9" s="84" t="str">
        <x:v>Species</x:v>
      </x:c>
      <x:c r="G9" s="84" t="str">
        <x:v>Accepted</x:v>
      </x:c>
      <x:c r="H9" s="84" t="str">
        <x:v>Box Elder</x:v>
      </x:c>
      <x:c r="I9" s="84" t="str">
        <x:v>Perennial</x:v>
      </x:c>
      <x:c r="J9" s="84" t="str">
        <x:v>Tree</x:v>
      </x:c>
      <x:c r="K9" s="84" t="str">
        <x:v>Sun, Part Shade</x:v>
      </x:c>
      <x:c r="L9" s="84" t="str">
        <x:v>Medium</x:v>
      </x:c>
      <x:c r="M9" s="89" t="n">
        <x:v>1</x:v>
      </x:c>
      <x:c r="N9" s="89" t="n">
        <x:v>1</x:v>
      </x:c>
      <x:c r="O9" s="89" t="n">
        <x:v>1</x:v>
      </x:c>
      <x:c r="P9" s="89" t="n">
        <x:f>SUM(M9:O9)</x:f>
        <x:v>3</x:v>
      </x:c>
      <x:c r="Q9" s="84" t="str">
        <x:v>Exact accepted-name match</x:v>
      </x:c>
      <x:c r="R9" s="84" t="str">
        <x:v>Acer negundo</x:v>
      </x:c>
      <x:c r="S9" s="84" t="str">
        <x:v>2616024</x:v>
      </x:c>
      <x:c r="T9" s="84" t="str">
        <x:v>2616024</x:v>
      </x:c>
      <x:c r="U9" s="84" t="str">
        <x:v>781412-1</x:v>
      </x:c>
      <x:c r="V9" s="84" t="str">
        <x:v>781412-1</x:v>
      </x:c>
      <x:c r="W9" s="84" t="str"/>
    </x:row>
    <x:row r="10" ht="18" customHeight="1">
      <x:c r="A10" s="83" t="str">
        <x:v>HAYS-0009</x:v>
      </x:c>
      <x:c r="B10" s="87" t="str">
        <x:v>Achillea millefolium</x:v>
      </x:c>
      <x:c r="C10" s="87" t="str">
        <x:v>Achillea millefolium</x:v>
      </x:c>
      <x:c r="D10" s="84" t="str">
        <x:v>Asteraceae</x:v>
      </x:c>
      <x:c r="E10" s="84" t="str">
        <x:v>Achillea</x:v>
      </x:c>
      <x:c r="F10" s="84" t="str">
        <x:v>Species</x:v>
      </x:c>
      <x:c r="G10" s="84" t="str">
        <x:v>Accepted</x:v>
      </x:c>
      <x:c r="H10" s="84" t="str">
        <x:v>Common Yarrow, Western Yarrow, Yarrow, Milfoil</x:v>
      </x:c>
      <x:c r="I10" s="84" t="str">
        <x:v>Perennial</x:v>
      </x:c>
      <x:c r="J10" s="84" t="str">
        <x:v>Herb</x:v>
      </x:c>
      <x:c r="K10" s="84" t="str">
        <x:v>Sun, Part Shade</x:v>
      </x:c>
      <x:c r="L10" s="84" t="str">
        <x:v>Medium</x:v>
      </x:c>
      <x:c r="M10" s="89" t="n">
        <x:v>1</x:v>
      </x:c>
      <x:c r="N10" s="89" t="n">
        <x:v>1</x:v>
      </x:c>
      <x:c r="O10" s="89" t="n">
        <x:v>1</x:v>
      </x:c>
      <x:c r="P10" s="89" t="n">
        <x:f>SUM(M10:O10)</x:f>
        <x:v>3</x:v>
      </x:c>
      <x:c r="Q10" s="84" t="str">
        <x:v>Exact accepted-name match</x:v>
      </x:c>
      <x:c r="R10" s="84" t="str">
        <x:v>Achillea millefolium</x:v>
      </x:c>
      <x:c r="S10" s="84" t="str">
        <x:v>2908230</x:v>
      </x:c>
      <x:c r="T10" s="84" t="str">
        <x:v>2908230</x:v>
      </x:c>
      <x:c r="U10" s="84" t="str">
        <x:v>2294-2</x:v>
      </x:c>
      <x:c r="V10" s="84" t="str">
        <x:v>2294-2</x:v>
      </x:c>
      <x:c r="W10" s="84" t="str"/>
    </x:row>
    <x:row r="11" ht="18" customHeight="1">
      <x:c r="A11" s="83" t="str">
        <x:v>HAYS-0010</x:v>
      </x:c>
      <x:c r="B11" s="87" t="str">
        <x:v>Acleisanthes longiflora</x:v>
      </x:c>
      <x:c r="C11" s="87" t="str">
        <x:v>Acleisanthes longiflora</x:v>
      </x:c>
      <x:c r="D11" s="84" t="str">
        <x:v>Nyctaginaceae</x:v>
      </x:c>
      <x:c r="E11" s="84" t="str">
        <x:v>Acleisanthes</x:v>
      </x:c>
      <x:c r="F11" s="84" t="str">
        <x:v>Species</x:v>
      </x:c>
      <x:c r="G11" s="84" t="str">
        <x:v>Accepted</x:v>
      </x:c>
      <x:c r="H11" s="84" t="str">
        <x:v>Angel's Trumpets, Angel Trumpets</x:v>
      </x:c>
      <x:c r="I11" s="84" t="str">
        <x:v>Perennial</x:v>
      </x:c>
      <x:c r="J11" s="84" t="str">
        <x:v>Herb</x:v>
      </x:c>
      <x:c r="K11" s="84" t="str">
        <x:v>Sun</x:v>
      </x:c>
      <x:c r="L11" s="84" t="str">
        <x:v>Moist, Dry</x:v>
      </x:c>
      <x:c r="M11" s="89" t="n">
        <x:v>1</x:v>
      </x:c>
      <x:c r="N11" s="89" t="n">
        <x:v>1</x:v>
      </x:c>
      <x:c r="O11" s="89" t="n">
        <x:v>0</x:v>
      </x:c>
      <x:c r="P11" s="89" t="n">
        <x:f>SUM(M11:O11)</x:f>
        <x:v>2</x:v>
      </x:c>
      <x:c r="Q11" s="84" t="str">
        <x:v>Exact accepted-name match</x:v>
      </x:c>
      <x:c r="R11" s="84" t="str">
        <x:v>Acleisanthes longiflora</x:v>
      </x:c>
      <x:c r="S11" s="84" t="str">
        <x:v>2618100</x:v>
      </x:c>
      <x:c r="T11" s="84" t="str">
        <x:v>2618100</x:v>
      </x:c>
      <x:c r="U11" s="84" t="str">
        <x:v>326877-2</x:v>
      </x:c>
      <x:c r="V11" s="84" t="str">
        <x:v>326877-2</x:v>
      </x:c>
      <x:c r="W11" s="84" t="str"/>
    </x:row>
    <x:row r="12" ht="18" customHeight="1">
      <x:c r="A12" s="83" t="str">
        <x:v>HAYS-0011</x:v>
      </x:c>
      <x:c r="B12" s="87" t="str">
        <x:v>Acleisanthes obtusa</x:v>
      </x:c>
      <x:c r="C12" s="87" t="str">
        <x:v>Acleisanthes obtusa</x:v>
      </x:c>
      <x:c r="D12" s="84" t="str">
        <x:v>Nyctaginaceae</x:v>
      </x:c>
      <x:c r="E12" s="84" t="str">
        <x:v>Acleisanthes</x:v>
      </x:c>
      <x:c r="F12" s="84" t="str">
        <x:v>Species</x:v>
      </x:c>
      <x:c r="G12" s="84" t="str">
        <x:v>Accepted</x:v>
      </x:c>
      <x:c r="H12" s="84" t="str">
        <x:v>Berlandier's Trumpet</x:v>
      </x:c>
      <x:c r="I12" s="84" t="str">
        <x:v>Perennial</x:v>
      </x:c>
      <x:c r="J12" s="84" t="str">
        <x:v>Vine</x:v>
      </x:c>
      <x:c r="K12" s="84" t="str">
        <x:v>Sun, Part Shade</x:v>
      </x:c>
      <x:c r="L12" s="84" t="str">
        <x:v>Low</x:v>
      </x:c>
      <x:c r="M12" s="89" t="n">
        <x:v>0</x:v>
      </x:c>
      <x:c r="N12" s="89" t="n">
        <x:v>0</x:v>
      </x:c>
      <x:c r="O12" s="89" t="n">
        <x:v>1</x:v>
      </x:c>
      <x:c r="P12" s="89" t="n">
        <x:f>SUM(M12:O12)</x:f>
        <x:v>1</x:v>
      </x:c>
      <x:c r="Q12" s="84" t="str">
        <x:v>Exact accepted-name match</x:v>
      </x:c>
      <x:c r="R12" s="84" t="str">
        <x:v>Acleisanthes obtusa</x:v>
      </x:c>
      <x:c r="S12" s="84" t="str">
        <x:v>2618105</x:v>
      </x:c>
      <x:c r="T12" s="84" t="str">
        <x:v>2618105</x:v>
      </x:c>
      <x:c r="U12" s="84" t="str">
        <x:v>3261-2</x:v>
      </x:c>
      <x:c r="V12" s="84" t="str">
        <x:v>3261-2</x:v>
      </x:c>
      <x:c r="W12" s="84" t="str"/>
    </x:row>
    <x:row r="13" ht="18" customHeight="1">
      <x:c r="A13" s="83" t="str">
        <x:v>HAYS-0012</x:v>
      </x:c>
      <x:c r="B13" s="87" t="str">
        <x:v>Acmella oppositifolia var. repens</x:v>
      </x:c>
      <x:c r="C13" s="87" t="str">
        <x:v>Acmella repens</x:v>
      </x:c>
      <x:c r="D13" s="84" t="str">
        <x:v>Asteraceae</x:v>
      </x:c>
      <x:c r="E13" s="84" t="str">
        <x:v>Acmella</x:v>
      </x:c>
      <x:c r="F13" s="84" t="str">
        <x:v>Variety</x:v>
      </x:c>
      <x:c r="G13" s="84" t="str">
        <x:v>Synonym</x:v>
      </x:c>
      <x:c r="H13" s="84" t="str">
        <x:v>Spotflower</x:v>
      </x:c>
      <x:c r="I13" s="84" t="str">
        <x:v>Perennial</x:v>
      </x:c>
      <x:c r="J13" s="84" t="str">
        <x:v>Herb</x:v>
      </x:c>
      <x:c r="K13" s="84" t="str">
        <x:v>Sun, Part Shade</x:v>
      </x:c>
      <x:c r="L13" s="84" t="str">
        <x:v>Medium</x:v>
      </x:c>
      <x:c r="M13" s="89" t="n">
        <x:v>0</x:v>
      </x:c>
      <x:c r="N13" s="89" t="n">
        <x:v>0</x:v>
      </x:c>
      <x:c r="O13" s="89" t="n">
        <x:v>1</x:v>
      </x:c>
      <x:c r="P13" s="89" t="n">
        <x:f>SUM(M13:O13)</x:f>
        <x:v>1</x:v>
      </x:c>
      <x:c r="Q13" s="84" t="str">
        <x:v>Exact synonym-name match</x:v>
      </x:c>
      <x:c r="R13" s="84" t="str">
        <x:v>Acmella oppositifolia var. repens</x:v>
      </x:c>
      <x:c r="S13" s="84" t="str">
        <x:v>3123802</x:v>
      </x:c>
      <x:c r="T13" s="84" t="str">
        <x:v>3123787</x:v>
      </x:c>
      <x:c r="U13" s="84" t="str">
        <x:v>271541-2</x:v>
      </x:c>
      <x:c r="V13" s="84" t="str">
        <x:v>174552-1</x:v>
      </x:c>
      <x:c r="W13" s="84" t="str"/>
    </x:row>
    <x:row r="14" ht="18" customHeight="1">
      <x:c r="A14" s="83" t="str">
        <x:v>HAYS-0013</x:v>
      </x:c>
      <x:c r="B14" s="87" t="str">
        <x:v>Acourtia runcinata</x:v>
      </x:c>
      <x:c r="C14" s="87" t="str">
        <x:v>Acourtia runcinata</x:v>
      </x:c>
      <x:c r="D14" s="84" t="str">
        <x:v>Asteraceae</x:v>
      </x:c>
      <x:c r="E14" s="84" t="str">
        <x:v>Acourtia</x:v>
      </x:c>
      <x:c r="F14" s="84" t="str">
        <x:v>Species</x:v>
      </x:c>
      <x:c r="G14" s="84" t="str">
        <x:v>Accepted</x:v>
      </x:c>
      <x:c r="H14" s="84" t="str">
        <x:v>Featherleaf Desertpeony, Peonia</x:v>
      </x:c>
      <x:c r="I14" s="84" t="str">
        <x:v>Perennial</x:v>
      </x:c>
      <x:c r="J14" s="84" t="str">
        <x:v>Herb</x:v>
      </x:c>
      <x:c r="K14" s="84" t="str">
        <x:v>Sun</x:v>
      </x:c>
      <x:c r="L14" s="84" t="str">
        <x:v>Low</x:v>
      </x:c>
      <x:c r="M14" s="89" t="n">
        <x:v>0</x:v>
      </x:c>
      <x:c r="N14" s="89" t="n">
        <x:v>0</x:v>
      </x:c>
      <x:c r="O14" s="89" t="n">
        <x:v>1</x:v>
      </x:c>
      <x:c r="P14" s="89" t="n">
        <x:f>SUM(M14:O14)</x:f>
        <x:v>1</x:v>
      </x:c>
      <x:c r="Q14" s="84" t="str">
        <x:v>Exact accepted-name match</x:v>
      </x:c>
      <x:c r="R14" s="84" t="str">
        <x:v>Acourtia runcinata</x:v>
      </x:c>
      <x:c r="S14" s="84" t="str">
        <x:v>3037807</x:v>
      </x:c>
      <x:c r="T14" s="84" t="str">
        <x:v>3037807</x:v>
      </x:c>
      <x:c r="U14" s="84" t="str">
        <x:v>3499-2</x:v>
      </x:c>
      <x:c r="V14" s="84" t="str">
        <x:v>3499-2</x:v>
      </x:c>
      <x:c r="W14" s="84" t="str"/>
    </x:row>
    <x:row r="15" ht="18" customHeight="1">
      <x:c r="A15" s="83" t="str">
        <x:v>HAYS-0014</x:v>
      </x:c>
      <x:c r="B15" s="87" t="str">
        <x:v>Acourtia wrightii</x:v>
      </x:c>
      <x:c r="C15" s="87" t="str">
        <x:v>Acourtia wrightii</x:v>
      </x:c>
      <x:c r="D15" s="84" t="str">
        <x:v>Asteraceae</x:v>
      </x:c>
      <x:c r="E15" s="84" t="str">
        <x:v>Acourtia</x:v>
      </x:c>
      <x:c r="F15" s="84" t="str">
        <x:v>Species</x:v>
      </x:c>
      <x:c r="G15" s="84" t="str">
        <x:v>Accepted</x:v>
      </x:c>
      <x:c r="H15" s="84" t="str">
        <x:v>Brownfoot, Pink Perezia</x:v>
      </x:c>
      <x:c r="I15" s="84" t="str">
        <x:v>Perennial</x:v>
      </x:c>
      <x:c r="J15" s="84" t="str">
        <x:v>Herb</x:v>
      </x:c>
      <x:c r="K15" s="84" t="str">
        <x:v>Sun</x:v>
      </x:c>
      <x:c r="L15" s="84" t="str">
        <x:v>Low</x:v>
      </x:c>
      <x:c r="M15" s="89" t="n">
        <x:v>0</x:v>
      </x:c>
      <x:c r="N15" s="89" t="n">
        <x:v>0</x:v>
      </x:c>
      <x:c r="O15" s="89" t="n">
        <x:v>1</x:v>
      </x:c>
      <x:c r="P15" s="89" t="n">
        <x:f>SUM(M15:O15)</x:f>
        <x:v>1</x:v>
      </x:c>
      <x:c r="Q15" s="84" t="str">
        <x:v>Exact accepted-name match</x:v>
      </x:c>
      <x:c r="R15" s="84" t="str">
        <x:v>Acourtia wrightii</x:v>
      </x:c>
      <x:c r="S15" s="84" t="str">
        <x:v>3037841</x:v>
      </x:c>
      <x:c r="T15" s="84" t="str">
        <x:v>3037841</x:v>
      </x:c>
      <x:c r="U15" s="84" t="str">
        <x:v>3512-2</x:v>
      </x:c>
      <x:c r="V15" s="84" t="str">
        <x:v>3512-2</x:v>
      </x:c>
      <x:c r="W15" s="84" t="str"/>
    </x:row>
    <x:row r="16" ht="18" customHeight="1">
      <x:c r="A16" s="83" t="str">
        <x:v>HAYS-0015</x:v>
      </x:c>
      <x:c r="B16" s="87" t="str">
        <x:v>Adiantum capillus-veneris</x:v>
      </x:c>
      <x:c r="C16" s="87" t="str">
        <x:v>Adiantum capillus-veneris</x:v>
      </x:c>
      <x:c r="D16" s="84" t="str">
        <x:v>Pteridaceae</x:v>
      </x:c>
      <x:c r="E16" s="84" t="str">
        <x:v>Adiantum</x:v>
      </x:c>
      <x:c r="F16" s="84" t="str">
        <x:v>Species</x:v>
      </x:c>
      <x:c r="G16" s="84" t="str">
        <x:v>Accepted</x:v>
      </x:c>
      <x:c r="H16" s="84" t="str">
        <x:v>Southern Maidenhair Fern, Common Maidenhair Fern, Maidenhair Fern, Venus Hair Fern</x:v>
      </x:c>
      <x:c r="I16" s="84" t="str">
        <x:v>Perennial</x:v>
      </x:c>
      <x:c r="J16" s="84" t="str">
        <x:v>Fern</x:v>
      </x:c>
      <x:c r="K16" s="84" t="str">
        <x:v>Shade, Part-shade</x:v>
      </x:c>
      <x:c r="L16" s="84" t="str">
        <x:v>Wet, Moist</x:v>
      </x:c>
      <x:c r="M16" s="89" t="n">
        <x:v>1</x:v>
      </x:c>
      <x:c r="N16" s="89" t="n">
        <x:v>1</x:v>
      </x:c>
      <x:c r="O16" s="89" t="n">
        <x:v>0</x:v>
      </x:c>
      <x:c r="P16" s="89" t="n">
        <x:f>SUM(M16:O16)</x:f>
        <x:v>2</x:v>
      </x:c>
      <x:c r="Q16" s="84" t="str">
        <x:v>Exact accepted-name match</x:v>
      </x:c>
      <x:c r="R16" s="84" t="str">
        <x:v>Adiantum capillus-veneris</x:v>
      </x:c>
      <x:c r="S16" s="84" t="str">
        <x:v>3147345</x:v>
      </x:c>
      <x:c r="T16" s="84" t="str">
        <x:v>3147345</x:v>
      </x:c>
      <x:c r="U16" s="84" t="str">
        <x:v>325030-2</x:v>
      </x:c>
      <x:c r="V16" s="84" t="str">
        <x:v>325030-2</x:v>
      </x:c>
      <x:c r="W16" s="84" t="str"/>
    </x:row>
    <x:row r="17" ht="18" customHeight="1">
      <x:c r="A17" s="83" t="str">
        <x:v>HAYS-0016</x:v>
      </x:c>
      <x:c r="B17" s="87" t="str">
        <x:v>Adiantum pedatum</x:v>
      </x:c>
      <x:c r="C17" s="87" t="str">
        <x:v>Adiantum pedatum</x:v>
      </x:c>
      <x:c r="D17" s="84" t="str">
        <x:v>Pteridaceae</x:v>
      </x:c>
      <x:c r="E17" s="84" t="str">
        <x:v>Adiantum</x:v>
      </x:c>
      <x:c r="F17" s="84" t="str">
        <x:v>Species</x:v>
      </x:c>
      <x:c r="G17" s="84" t="str">
        <x:v>Accepted</x:v>
      </x:c>
      <x:c r="H17" s="84" t="str">
        <x:v>Maidenhair Fern</x:v>
      </x:c>
      <x:c r="I17" s="84" t="str">
        <x:v>Perennial</x:v>
      </x:c>
      <x:c r="J17" s="84" t="str">
        <x:v>Fern</x:v>
      </x:c>
      <x:c r="K17" s="84" t="str">
        <x:v>Shade, Part Shade</x:v>
      </x:c>
      <x:c r="L17" s="84" t="str">
        <x:v>Medium</x:v>
      </x:c>
      <x:c r="M17" s="89" t="n">
        <x:v>0</x:v>
      </x:c>
      <x:c r="N17" s="89" t="n">
        <x:v>0</x:v>
      </x:c>
      <x:c r="O17" s="89" t="n">
        <x:v>1</x:v>
      </x:c>
      <x:c r="P17" s="89" t="n">
        <x:f>SUM(M17:O17)</x:f>
        <x:v>1</x:v>
      </x:c>
      <x:c r="Q17" s="84" t="str">
        <x:v>Exact accepted-name match</x:v>
      </x:c>
      <x:c r="R17" s="84" t="str">
        <x:v>Adiantum pedatum</x:v>
      </x:c>
      <x:c r="S17" s="84" t="str">
        <x:v>2929259</x:v>
      </x:c>
      <x:c r="T17" s="84" t="str">
        <x:v>2929259</x:v>
      </x:c>
      <x:c r="U17" s="84" t="str">
        <x:v>30004419-2</x:v>
      </x:c>
      <x:c r="V17" s="84" t="str">
        <x:v>30004419-2</x:v>
      </x:c>
      <x:c r="W17" s="84" t="str"/>
    </x:row>
    <x:row r="18" ht="18" customHeight="1">
      <x:c r="A18" s="83" t="str">
        <x:v>HAYS-0017</x:v>
      </x:c>
      <x:c r="B18" s="87" t="str">
        <x:v>Aesculus glabra</x:v>
      </x:c>
      <x:c r="C18" s="87" t="str">
        <x:v>Aesculus glabra</x:v>
      </x:c>
      <x:c r="D18" s="84" t="str">
        <x:v>Sapindaceae</x:v>
      </x:c>
      <x:c r="E18" s="84" t="str">
        <x:v>Aesculus</x:v>
      </x:c>
      <x:c r="F18" s="84" t="str">
        <x:v>Species</x:v>
      </x:c>
      <x:c r="G18" s="84" t="str">
        <x:v>Accepted</x:v>
      </x:c>
      <x:c r="H18" s="84" t="str">
        <x:v>Ohio Buckeye, Texas Buckeye, Fetid Buckeye, Horse Chestnut</x:v>
      </x:c>
      <x:c r="I18" s="84" t="str">
        <x:v>Perennial</x:v>
      </x:c>
      <x:c r="J18" s="84" t="str">
        <x:v>Tree</x:v>
      </x:c>
      <x:c r="K18" s="84" t="str">
        <x:v>Shade, Part Shade</x:v>
      </x:c>
      <x:c r="L18" s="84" t="str">
        <x:v>Medium</x:v>
      </x:c>
      <x:c r="M18" s="89" t="n">
        <x:v>0</x:v>
      </x:c>
      <x:c r="N18" s="89" t="n">
        <x:v>0</x:v>
      </x:c>
      <x:c r="O18" s="89" t="n">
        <x:v>1</x:v>
      </x:c>
      <x:c r="P18" s="89" t="n">
        <x:f>SUM(M18:O18)</x:f>
        <x:v>1</x:v>
      </x:c>
      <x:c r="Q18" s="84" t="str">
        <x:v>Exact accepted-name match</x:v>
      </x:c>
      <x:c r="R18" s="84" t="str">
        <x:v>Aesculus glabra</x:v>
      </x:c>
      <x:c r="S18" s="84" t="str">
        <x:v>2624506</x:v>
      </x:c>
      <x:c r="T18" s="84" t="str">
        <x:v>2624506</x:v>
      </x:c>
      <x:c r="U18" s="84" t="str">
        <x:v>30124420-2</x:v>
      </x:c>
      <x:c r="V18" s="84" t="str">
        <x:v>30124420-2</x:v>
      </x:c>
      <x:c r="W18" s="84" t="str"/>
    </x:row>
    <x:row r="19" ht="18" customHeight="1">
      <x:c r="A19" s="83" t="str">
        <x:v>HAYS-0018</x:v>
      </x:c>
      <x:c r="B19" s="87" t="str">
        <x:v>Aesculus pavia</x:v>
      </x:c>
      <x:c r="C19" s="87" t="str">
        <x:v>Aesculus pavia</x:v>
      </x:c>
      <x:c r="D19" s="84" t="str">
        <x:v>Sapindaceae</x:v>
      </x:c>
      <x:c r="E19" s="84" t="str">
        <x:v>Aesculus</x:v>
      </x:c>
      <x:c r="F19" s="84" t="str">
        <x:v>Species</x:v>
      </x:c>
      <x:c r="G19" s="84" t="str">
        <x:v>Accepted</x:v>
      </x:c>
      <x:c r="H19" s="84" t="str">
        <x:v>Red Buckeye, Scarlet Buckeye , Firecracker Plant</x:v>
      </x:c>
      <x:c r="I19" s="84" t="str">
        <x:v>Perennial Habit: Shrub , Tree Root Type: Tap Leaf Retention: Deciduous Leaf Arrangement: Opposite Leaf Complexity: Palmate Leaf Shape: Elliptic Leaf Venation: Pinnate Leaf Pubescence: Glabrous , Tomentose Leaf Margin: Crenate , Serrate Leaf Apex: Acuminate Breeding System: Flowers Unisexual , Monoecious Inflorescence: Thyrse Fruit Type: Capsule , Caryopsis Size Notes: 10-40 feet, Texas specimens usually on the short end of that range, with those in central Texas commonly no more than 15 feet. Leaf: Opposite , palmately compound , with 5, rarely 7, leaflets; leaflets elliptic to ovate , pointed at the tip, tapering to the base, toothed , green and smooth on the upper surface, paler and finely hairy on the lower surface, up to 6 inches long, up to 3 inches wide. Flower: Numerous, red, in large, loosely-flowered clusters nearly 1 foot long. Fruit: Capsules spherical, up to 2 inches across, light brown, not prickly, containing 1 or 2 light reddish brown seeds.</x:v>
      </x:c>
      <x:c r="J19" s="84" t="str">
        <x:v>Tree</x:v>
      </x:c>
      <x:c r="K19" s="84" t="str">
        <x:v>Part Shade</x:v>
      </x:c>
      <x:c r="L19" s="84" t="str">
        <x:v>Medium</x:v>
      </x:c>
      <x:c r="M19" s="89" t="n">
        <x:v>1</x:v>
      </x:c>
      <x:c r="N19" s="89" t="n">
        <x:v>1</x:v>
      </x:c>
      <x:c r="O19" s="89" t="n">
        <x:v>1</x:v>
      </x:c>
      <x:c r="P19" s="89" t="n">
        <x:f>SUM(M19:O19)</x:f>
        <x:v>3</x:v>
      </x:c>
      <x:c r="Q19" s="84" t="str">
        <x:v>Exact accepted-name match</x:v>
      </x:c>
      <x:c r="R19" s="84" t="str">
        <x:v>Aesculus pavia</x:v>
      </x:c>
      <x:c r="S19" s="84" t="str">
        <x:v>2624568</x:v>
      </x:c>
      <x:c r="T19" s="84" t="str">
        <x:v>2624568</x:v>
      </x:c>
      <x:c r="U19" s="84" t="str">
        <x:v>781619-1</x:v>
      </x:c>
      <x:c r="V19" s="84" t="str">
        <x:v>781619-1</x:v>
      </x:c>
      <x:c r="W19" s="84" t="str"/>
    </x:row>
    <x:row r="20" ht="18" customHeight="1">
      <x:c r="A20" s="83" t="str">
        <x:v>HAYS-0019</x:v>
      </x:c>
      <x:c r="B20" s="87" t="str">
        <x:v>Aesculus pavia var. pavia</x:v>
      </x:c>
      <x:c r="C20" s="87" t="str">
        <x:v>Aesculus pavia var. pavia</x:v>
      </x:c>
      <x:c r="D20" s="84" t="str">
        <x:v>Sapindaceae</x:v>
      </x:c>
      <x:c r="E20" s="84" t="str">
        <x:v>Aesculus</x:v>
      </x:c>
      <x:c r="F20" s="84" t="str">
        <x:v>Variety</x:v>
      </x:c>
      <x:c r="G20" s="84" t="str">
        <x:v>Accepted</x:v>
      </x:c>
      <x:c r="H20" s="84" t="str">
        <x:v>Scarlet Buckeye, Red Buckeye, Southern Buckeye, Firecracker Plant</x:v>
      </x:c>
      <x:c r="I20" s="84" t="str">
        <x:v>Perennial</x:v>
      </x:c>
      <x:c r="J20" s="84" t="str">
        <x:v>Shrub, Tree</x:v>
      </x:c>
      <x:c r="K20" s="84" t="str">
        <x:v>Part-shade</x:v>
      </x:c>
      <x:c r="L20" s="84" t="str">
        <x:v>Moist, Dry</x:v>
      </x:c>
      <x:c r="M20" s="89" t="n">
        <x:v>1</x:v>
      </x:c>
      <x:c r="N20" s="89" t="n">
        <x:v>1</x:v>
      </x:c>
      <x:c r="O20" s="89" t="n">
        <x:v>0</x:v>
      </x:c>
      <x:c r="P20" s="89" t="n">
        <x:f>SUM(M20:O20)</x:f>
        <x:v>2</x:v>
      </x:c>
      <x:c r="Q20" s="84" t="str">
        <x:v>Exact accepted-name match</x:v>
      </x:c>
      <x:c r="R20" s="84" t="str">
        <x:v>Aesculus pavia var. pavia</x:v>
      </x:c>
      <x:c r="S20" s="84" t="str">
        <x:v>3261712</x:v>
      </x:c>
      <x:c r="T20" s="84" t="str">
        <x:v>3261712</x:v>
      </x:c>
      <x:c r="U20" s="84" t="str">
        <x:v>77227082-1</x:v>
      </x:c>
      <x:c r="V20" s="84" t="str">
        <x:v>77227082-1</x:v>
      </x:c>
      <x:c r="W20" s="84" t="str"/>
    </x:row>
    <x:row r="21" ht="18" customHeight="1">
      <x:c r="A21" s="83" t="str">
        <x:v>HAYS-0020</x:v>
      </x:c>
      <x:c r="B21" s="87" t="str">
        <x:v>Agalinis edwardsiana</x:v>
      </x:c>
      <x:c r="C21" s="87" t="str">
        <x:v>Agalinis edwardsiana</x:v>
      </x:c>
      <x:c r="D21" s="84" t="str">
        <x:v>Orobanchaceae</x:v>
      </x:c>
      <x:c r="E21" s="84" t="str">
        <x:v>Agalinis</x:v>
      </x:c>
      <x:c r="F21" s="84" t="str">
        <x:v>Species</x:v>
      </x:c>
      <x:c r="G21" s="84" t="str">
        <x:v>Accepted</x:v>
      </x:c>
      <x:c r="H21" s="84" t="str">
        <x:v>Plateau False Foxglove, Plateau Agalinis, Plateau Gerardia, Plateau False-foxglove</x:v>
      </x:c>
      <x:c r="I21" s="84" t="str">
        <x:v>Annual</x:v>
      </x:c>
      <x:c r="J21" s="84" t="str">
        <x:v>Herb</x:v>
      </x:c>
      <x:c r="K21" s="84" t="str">
        <x:v>Part-shade</x:v>
      </x:c>
      <x:c r="L21" s="84" t="str"/>
      <x:c r="M21" s="89" t="n">
        <x:v>1</x:v>
      </x:c>
      <x:c r="N21" s="89" t="n">
        <x:v>1</x:v>
      </x:c>
      <x:c r="O21" s="89" t="n">
        <x:v>0</x:v>
      </x:c>
      <x:c r="P21" s="89" t="n">
        <x:f>SUM(M21:O21)</x:f>
        <x:v>2</x:v>
      </x:c>
      <x:c r="Q21" s="84" t="str">
        <x:v>Exact accepted-name match</x:v>
      </x:c>
      <x:c r="R21" s="84" t="str">
        <x:v>Agalinis edwardsiana</x:v>
      </x:c>
      <x:c r="S21" s="84" t="str">
        <x:v>2625039</x:v>
      </x:c>
      <x:c r="T21" s="84" t="str">
        <x:v>2625039</x:v>
      </x:c>
      <x:c r="U21" s="84" t="str">
        <x:v>6161-2</x:v>
      </x:c>
      <x:c r="V21" s="84" t="str">
        <x:v>6161-2</x:v>
      </x:c>
      <x:c r="W21" s="84" t="str"/>
    </x:row>
    <x:row r="22" ht="18" customHeight="1">
      <x:c r="A22" s="83" t="str">
        <x:v>HAYS-0021</x:v>
      </x:c>
      <x:c r="B22" s="87" t="str">
        <x:v>Agalinis heterophylla</x:v>
      </x:c>
      <x:c r="C22" s="87" t="str">
        <x:v>Agalinis heterophylla</x:v>
      </x:c>
      <x:c r="D22" s="84" t="str">
        <x:v>Orobanchaceae</x:v>
      </x:c>
      <x:c r="E22" s="84" t="str">
        <x:v>Agalinis</x:v>
      </x:c>
      <x:c r="F22" s="84" t="str">
        <x:v>Species</x:v>
      </x:c>
      <x:c r="G22" s="84" t="str">
        <x:v>Accepted</x:v>
      </x:c>
      <x:c r="H22" s="84" t="str">
        <x:v>Prairie Agalinis, Prairie False-foxglove</x:v>
      </x:c>
      <x:c r="I22" s="84" t="str">
        <x:v>Annual</x:v>
      </x:c>
      <x:c r="J22" s="84" t="str">
        <x:v>Herb</x:v>
      </x:c>
      <x:c r="K22" s="84" t="str">
        <x:v>Part-shade</x:v>
      </x:c>
      <x:c r="L22" s="84" t="str">
        <x:v>Moist, Dry</x:v>
      </x:c>
      <x:c r="M22" s="89" t="n">
        <x:v>1</x:v>
      </x:c>
      <x:c r="N22" s="89" t="n">
        <x:v>1</x:v>
      </x:c>
      <x:c r="O22" s="89" t="n">
        <x:v>0</x:v>
      </x:c>
      <x:c r="P22" s="89" t="n">
        <x:f>SUM(M22:O22)</x:f>
        <x:v>2</x:v>
      </x:c>
      <x:c r="Q22" s="84" t="str">
        <x:v>Exact accepted-name match</x:v>
      </x:c>
      <x:c r="R22" s="84" t="str">
        <x:v>Agalinis heterophylla</x:v>
      </x:c>
      <x:c r="S22" s="84" t="str">
        <x:v>2625059</x:v>
      </x:c>
      <x:c r="T22" s="84" t="str">
        <x:v>2625059</x:v>
      </x:c>
      <x:c r="U22" s="84" t="str">
        <x:v>6178-2</x:v>
      </x:c>
      <x:c r="V22" s="84" t="str">
        <x:v>6178-2</x:v>
      </x:c>
      <x:c r="W22" s="84" t="str"/>
    </x:row>
    <x:row r="23" ht="18" customHeight="1">
      <x:c r="A23" s="83" t="str">
        <x:v>HAYS-0022</x:v>
      </x:c>
      <x:c r="B23" s="87" t="str">
        <x:v>Agave americana</x:v>
      </x:c>
      <x:c r="C23" s="87" t="str">
        <x:v>Agave americana</x:v>
      </x:c>
      <x:c r="D23" s="84" t="str">
        <x:v>Asparagaceae</x:v>
      </x:c>
      <x:c r="E23" s="84" t="str">
        <x:v>Agave</x:v>
      </x:c>
      <x:c r="F23" s="84" t="str">
        <x:v>Species</x:v>
      </x:c>
      <x:c r="G23" s="84" t="str">
        <x:v>Accepted</x:v>
      </x:c>
      <x:c r="H23" s="84" t="str">
        <x:v>Blue Agave (Century Plant)</x:v>
      </x:c>
      <x:c r="I23" s="84" t="str">
        <x:v>Perennial</x:v>
      </x:c>
      <x:c r="J23" s="84" t="str">
        <x:v>Succulent</x:v>
      </x:c>
      <x:c r="K23" s="84" t="str">
        <x:v>Sun</x:v>
      </x:c>
      <x:c r="L23" s="84" t="str">
        <x:v>Low</x:v>
      </x:c>
      <x:c r="M23" s="89" t="n">
        <x:v>0</x:v>
      </x:c>
      <x:c r="N23" s="89" t="n">
        <x:v>0</x:v>
      </x:c>
      <x:c r="O23" s="89" t="n">
        <x:v>1</x:v>
      </x:c>
      <x:c r="P23" s="89" t="n">
        <x:f>SUM(M23:O23)</x:f>
        <x:v>1</x:v>
      </x:c>
      <x:c r="Q23" s="84" t="str">
        <x:v>Exact accepted-name match</x:v>
      </x:c>
      <x:c r="R23" s="84" t="str">
        <x:v>Agave americana</x:v>
      </x:c>
      <x:c r="S23" s="84" t="str">
        <x:v>293578</x:v>
      </x:c>
      <x:c r="T23" s="84" t="str">
        <x:v>293578</x:v>
      </x:c>
      <x:c r="U23" s="84" t="str">
        <x:v>319063-2</x:v>
      </x:c>
      <x:c r="V23" s="84" t="str">
        <x:v>319063-2</x:v>
      </x:c>
      <x:c r="W23" s="84" t="str"/>
    </x:row>
    <x:row r="24" ht="18" customHeight="1">
      <x:c r="A24" s="83" t="str">
        <x:v>HAYS-0023</x:v>
      </x:c>
      <x:c r="B24" s="87" t="str">
        <x:v>Ageratina altissima</x:v>
      </x:c>
      <x:c r="C24" s="87" t="str">
        <x:v>Ageratina altissima</x:v>
      </x:c>
      <x:c r="D24" s="84" t="str">
        <x:v>Asteraceae</x:v>
      </x:c>
      <x:c r="E24" s="84" t="str">
        <x:v>Ageratina</x:v>
      </x:c>
      <x:c r="F24" s="84" t="str">
        <x:v>Species</x:v>
      </x:c>
      <x:c r="G24" s="84" t="str">
        <x:v>Accepted</x:v>
      </x:c>
      <x:c r="H24" s="84" t="str">
        <x:v>White Snakeroot</x:v>
      </x:c>
      <x:c r="I24" s="84" t="str">
        <x:v>Perennial</x:v>
      </x:c>
      <x:c r="J24" s="84" t="str">
        <x:v>Herb</x:v>
      </x:c>
      <x:c r="K24" s="84" t="str">
        <x:v>Sun, Part-shade</x:v>
      </x:c>
      <x:c r="L24" s="84" t="str">
        <x:v>Moist, Dry</x:v>
      </x:c>
      <x:c r="M24" s="89" t="n">
        <x:v>1</x:v>
      </x:c>
      <x:c r="N24" s="89" t="n">
        <x:v>1</x:v>
      </x:c>
      <x:c r="O24" s="89" t="n">
        <x:v>0</x:v>
      </x:c>
      <x:c r="P24" s="89" t="n">
        <x:f>SUM(M24:O24)</x:f>
        <x:v>2</x:v>
      </x:c>
      <x:c r="Q24" s="84" t="str">
        <x:v>Exact accepted-name match</x:v>
      </x:c>
      <x:c r="R24" s="84" t="str">
        <x:v>Ageratina altissima</x:v>
      </x:c>
      <x:c r="S24" s="84" t="str">
        <x:v>3126945</x:v>
      </x:c>
      <x:c r="T24" s="84" t="str">
        <x:v>3126945</x:v>
      </x:c>
      <x:c r="U24" s="84" t="str">
        <x:v>6815-2</x:v>
      </x:c>
      <x:c r="V24" s="84" t="str">
        <x:v>6815-2</x:v>
      </x:c>
      <x:c r="W24" s="84" t="str"/>
    </x:row>
    <x:row r="25" ht="18" customHeight="1">
      <x:c r="A25" s="83" t="str">
        <x:v>HAYS-0024</x:v>
      </x:c>
      <x:c r="B25" s="87" t="str">
        <x:v>Ageratina havanensis</x:v>
      </x:c>
      <x:c r="C25" s="87" t="str">
        <x:v>Ageratina havanensis</x:v>
      </x:c>
      <x:c r="D25" s="84" t="str">
        <x:v>Asteraceae</x:v>
      </x:c>
      <x:c r="E25" s="84" t="str">
        <x:v>Ageratina</x:v>
      </x:c>
      <x:c r="F25" s="84" t="str">
        <x:v>Species</x:v>
      </x:c>
      <x:c r="G25" s="84" t="str">
        <x:v>Accepted</x:v>
      </x:c>
      <x:c r="H25" s="84" t="str">
        <x:v>Shrubby Boneset, White Mistflower, White Shrub Mistflower, Havana Snakeroot</x:v>
      </x:c>
      <x:c r="I25" s="84" t="str">
        <x:v>Perennial</x:v>
      </x:c>
      <x:c r="J25" s="84" t="str">
        <x:v>Shrub</x:v>
      </x:c>
      <x:c r="K25" s="84" t="str">
        <x:v>Sun, Part Shade</x:v>
      </x:c>
      <x:c r="L25" s="84" t="str">
        <x:v>Low</x:v>
      </x:c>
      <x:c r="M25" s="89" t="n">
        <x:v>1</x:v>
      </x:c>
      <x:c r="N25" s="89" t="n">
        <x:v>1</x:v>
      </x:c>
      <x:c r="O25" s="89" t="n">
        <x:v>1</x:v>
      </x:c>
      <x:c r="P25" s="89" t="n">
        <x:f>SUM(M25:O25)</x:f>
        <x:v>3</x:v>
      </x:c>
      <x:c r="Q25" s="84" t="str">
        <x:v>Exact accepted-name match</x:v>
      </x:c>
      <x:c r="R25" s="84" t="str">
        <x:v>Ageratina havanensis</x:v>
      </x:c>
      <x:c r="S25" s="84" t="str">
        <x:v>3127223</x:v>
      </x:c>
      <x:c r="T25" s="84" t="str">
        <x:v>3127223</x:v>
      </x:c>
      <x:c r="U25" s="84" t="str">
        <x:v>6920-2</x:v>
      </x:c>
      <x:c r="V25" s="84" t="str">
        <x:v>6920-2</x:v>
      </x:c>
      <x:c r="W25" s="84" t="str"/>
    </x:row>
    <x:row r="26" ht="18" customHeight="1">
      <x:c r="A26" s="83" t="str">
        <x:v>HAYS-0025</x:v>
      </x:c>
      <x:c r="B26" s="87" t="str">
        <x:v>Allium canadense</x:v>
      </x:c>
      <x:c r="C26" s="87" t="str">
        <x:v>Allium canadense</x:v>
      </x:c>
      <x:c r="D26" s="84" t="str">
        <x:v>Amaryllidaceae</x:v>
      </x:c>
      <x:c r="E26" s="84" t="str">
        <x:v>Allium</x:v>
      </x:c>
      <x:c r="F26" s="84" t="str">
        <x:v>Species</x:v>
      </x:c>
      <x:c r="G26" s="84" t="str">
        <x:v>Accepted</x:v>
      </x:c>
      <x:c r="H26" s="84" t="str">
        <x:v>Meadow Garlic, Wild Garlic, Wild Onion</x:v>
      </x:c>
      <x:c r="I26" s="84" t="str">
        <x:v>Perennial</x:v>
      </x:c>
      <x:c r="J26" s="84" t="str">
        <x:v>Grass/Grass-like</x:v>
      </x:c>
      <x:c r="K26" s="84" t="str">
        <x:v>Sun</x:v>
      </x:c>
      <x:c r="L26" s="84" t="str">
        <x:v>Moist</x:v>
      </x:c>
      <x:c r="M26" s="89" t="n">
        <x:v>1</x:v>
      </x:c>
      <x:c r="N26" s="89" t="n">
        <x:v>1</x:v>
      </x:c>
      <x:c r="O26" s="89" t="n">
        <x:v>0</x:v>
      </x:c>
      <x:c r="P26" s="89" t="n">
        <x:f>SUM(M26:O26)</x:f>
        <x:v>2</x:v>
      </x:c>
      <x:c r="Q26" s="84" t="str">
        <x:v>Exact accepted-name match</x:v>
      </x:c>
      <x:c r="R26" s="84" t="str">
        <x:v>Allium canadense</x:v>
      </x:c>
      <x:c r="S26" s="84" t="str">
        <x:v>295220</x:v>
      </x:c>
      <x:c r="T26" s="84" t="str">
        <x:v>295220</x:v>
      </x:c>
      <x:c r="U26" s="84" t="str">
        <x:v>527759-1</x:v>
      </x:c>
      <x:c r="V26" s="84" t="str">
        <x:v>527759-1</x:v>
      </x:c>
      <x:c r="W26" s="84" t="str"/>
    </x:row>
    <x:row r="27" ht="18" customHeight="1">
      <x:c r="A27" s="83" t="str">
        <x:v>HAYS-0026</x:v>
      </x:c>
      <x:c r="B27" s="87" t="str">
        <x:v>Allium drummondii</x:v>
      </x:c>
      <x:c r="C27" s="87" t="str">
        <x:v>Allium drummondii</x:v>
      </x:c>
      <x:c r="D27" s="84" t="str">
        <x:v>Amaryllidaceae</x:v>
      </x:c>
      <x:c r="E27" s="84" t="str">
        <x:v>Allium</x:v>
      </x:c>
      <x:c r="F27" s="84" t="str">
        <x:v>Species</x:v>
      </x:c>
      <x:c r="G27" s="84" t="str">
        <x:v>Accepted</x:v>
      </x:c>
      <x:c r="H27" s="84" t="str">
        <x:v>Drummond's Onion, Wild Garlic, Drummond Wild Onion</x:v>
      </x:c>
      <x:c r="I27" s="84" t="str">
        <x:v>Perennial</x:v>
      </x:c>
      <x:c r="J27" s="84" t="str">
        <x:v>Herb</x:v>
      </x:c>
      <x:c r="K27" s="84" t="str">
        <x:v>Sun</x:v>
      </x:c>
      <x:c r="L27" s="84" t="str">
        <x:v>Dry</x:v>
      </x:c>
      <x:c r="M27" s="89" t="n">
        <x:v>1</x:v>
      </x:c>
      <x:c r="N27" s="89" t="n">
        <x:v>1</x:v>
      </x:c>
      <x:c r="O27" s="89" t="n">
        <x:v>0</x:v>
      </x:c>
      <x:c r="P27" s="89" t="n">
        <x:f>SUM(M27:O27)</x:f>
        <x:v>2</x:v>
      </x:c>
      <x:c r="Q27" s="84" t="str">
        <x:v>Exact accepted-name match</x:v>
      </x:c>
      <x:c r="R27" s="84" t="str">
        <x:v>Allium drummondii</x:v>
      </x:c>
      <x:c r="S27" s="84" t="str">
        <x:v>295467</x:v>
      </x:c>
      <x:c r="T27" s="84" t="str">
        <x:v>295467</x:v>
      </x:c>
      <x:c r="U27" s="84" t="str">
        <x:v>527963-1</x:v>
      </x:c>
      <x:c r="V27" s="84" t="str">
        <x:v>527963-1</x:v>
      </x:c>
      <x:c r="W27" s="84" t="str"/>
    </x:row>
    <x:row r="28" ht="18" customHeight="1">
      <x:c r="A28" s="83" t="str">
        <x:v>HAYS-0027</x:v>
      </x:c>
      <x:c r="B28" s="87" t="str">
        <x:v>Allowissadula holosericea</x:v>
      </x:c>
      <x:c r="C28" s="87" t="str">
        <x:v>Allowissadula holosericea</x:v>
      </x:c>
      <x:c r="D28" s="84" t="str">
        <x:v>Malvaceae</x:v>
      </x:c>
      <x:c r="E28" s="84" t="str">
        <x:v>Allowissadula</x:v>
      </x:c>
      <x:c r="F28" s="84" t="str">
        <x:v>Species</x:v>
      </x:c>
      <x:c r="G28" s="84" t="str">
        <x:v>Accepted</x:v>
      </x:c>
      <x:c r="H28" s="84" t="str">
        <x:v>Velvet-leaf Mallow, Chisos Mountain False Indianmallow</x:v>
      </x:c>
      <x:c r="I28" s="84" t="str">
        <x:v>Perennial</x:v>
      </x:c>
      <x:c r="J28" s="84" t="str">
        <x:v>Shrub</x:v>
      </x:c>
      <x:c r="K28" s="84" t="str">
        <x:v>Part-shade</x:v>
      </x:c>
      <x:c r="L28" s="84" t="str">
        <x:v>Moist</x:v>
      </x:c>
      <x:c r="M28" s="89" t="n">
        <x:v>1</x:v>
      </x:c>
      <x:c r="N28" s="89" t="n">
        <x:v>1</x:v>
      </x:c>
      <x:c r="O28" s="89" t="n">
        <x:v>0</x:v>
      </x:c>
      <x:c r="P28" s="89" t="n">
        <x:f>SUM(M28:O28)</x:f>
        <x:v>2</x:v>
      </x:c>
      <x:c r="Q28" s="84" t="str">
        <x:v>Exact accepted-name match</x:v>
      </x:c>
      <x:c r="R28" s="84" t="str">
        <x:v>Allowissadula holosericea</x:v>
      </x:c>
      <x:c r="S28" s="84" t="str">
        <x:v>2629766</x:v>
      </x:c>
      <x:c r="T28" s="84" t="str">
        <x:v>2629766</x:v>
      </x:c>
      <x:c r="U28" s="84" t="str">
        <x:v>9368-2</x:v>
      </x:c>
      <x:c r="V28" s="84" t="str">
        <x:v>9368-2</x:v>
      </x:c>
      <x:c r="W28" s="84" t="str"/>
    </x:row>
    <x:row r="29" ht="18" customHeight="1">
      <x:c r="A29" s="83" t="str">
        <x:v>HAYS-0028</x:v>
      </x:c>
      <x:c r="B29" s="87" t="str">
        <x:v>Aloysia gratissima</x:v>
      </x:c>
      <x:c r="C29" s="87" t="str">
        <x:v>Aloysia gratissima</x:v>
      </x:c>
      <x:c r="D29" s="84" t="str">
        <x:v>Verbenaceae</x:v>
      </x:c>
      <x:c r="E29" s="84" t="str">
        <x:v>Aloysia</x:v>
      </x:c>
      <x:c r="F29" s="84" t="str">
        <x:v>Species</x:v>
      </x:c>
      <x:c r="G29" s="84" t="str">
        <x:v>Accepted</x:v>
      </x:c>
      <x:c r="H29" s="84" t="str">
        <x:v>Whitebrush, Bee-brush, White-brush, Common Bee-brush, Beebrush, Privet Lippia</x:v>
      </x:c>
      <x:c r="I29" s="84" t="str">
        <x:v>Perennial</x:v>
      </x:c>
      <x:c r="J29" s="84" t="str">
        <x:v>Shrub</x:v>
      </x:c>
      <x:c r="K29" s="84" t="str">
        <x:v>Sun</x:v>
      </x:c>
      <x:c r="L29" s="84" t="str">
        <x:v>Low</x:v>
      </x:c>
      <x:c r="M29" s="89" t="n">
        <x:v>1</x:v>
      </x:c>
      <x:c r="N29" s="89" t="n">
        <x:v>1</x:v>
      </x:c>
      <x:c r="O29" s="89" t="n">
        <x:v>1</x:v>
      </x:c>
      <x:c r="P29" s="89" t="n">
        <x:f>SUM(M29:O29)</x:f>
        <x:v>3</x:v>
      </x:c>
      <x:c r="Q29" s="84" t="str">
        <x:v>Exact accepted-name match</x:v>
      </x:c>
      <x:c r="R29" s="84" t="str">
        <x:v>Aloysia gratissima</x:v>
      </x:c>
      <x:c r="S29" s="84" t="str">
        <x:v>6904</x:v>
      </x:c>
      <x:c r="T29" s="84" t="str">
        <x:v>6904</x:v>
      </x:c>
      <x:c r="U29" s="84" t="str">
        <x:v>9643-2</x:v>
      </x:c>
      <x:c r="V29" s="84" t="str">
        <x:v>9643-2</x:v>
      </x:c>
      <x:c r="W29" s="84" t="str"/>
    </x:row>
    <x:row r="30" ht="18" customHeight="1">
      <x:c r="A30" s="83" t="str">
        <x:v>HAYS-0029</x:v>
      </x:c>
      <x:c r="B30" s="87" t="str">
        <x:v>Amaranthus palmeri</x:v>
      </x:c>
      <x:c r="C30" s="87" t="str">
        <x:v>Amaranthus palmeri</x:v>
      </x:c>
      <x:c r="D30" s="84" t="str">
        <x:v>Amaranthaceae</x:v>
      </x:c>
      <x:c r="E30" s="84" t="str">
        <x:v>Amaranthus</x:v>
      </x:c>
      <x:c r="F30" s="84" t="str">
        <x:v>Species</x:v>
      </x:c>
      <x:c r="G30" s="84" t="str">
        <x:v>Accepted</x:v>
      </x:c>
      <x:c r="H30" s="84" t="str">
        <x:v>Carelessweed</x:v>
      </x:c>
      <x:c r="I30" s="84" t="str">
        <x:v>Annual</x:v>
      </x:c>
      <x:c r="J30" s="84" t="str">
        <x:v>Herb</x:v>
      </x:c>
      <x:c r="K30" s="84" t="str"/>
      <x:c r="L30" s="84" t="str"/>
      <x:c r="M30" s="89" t="n">
        <x:v>1</x:v>
      </x:c>
      <x:c r="N30" s="89" t="n">
        <x:v>1</x:v>
      </x:c>
      <x:c r="O30" s="89" t="n">
        <x:v>0</x:v>
      </x:c>
      <x:c r="P30" s="89" t="n">
        <x:f>SUM(M30:O30)</x:f>
        <x:v>2</x:v>
      </x:c>
      <x:c r="Q30" s="84" t="str">
        <x:v>Exact accepted-name match</x:v>
      </x:c>
      <x:c r="R30" s="84" t="str">
        <x:v>Amaranthus palmeri</x:v>
      </x:c>
      <x:c r="S30" s="84" t="str">
        <x:v>2633009</x:v>
      </x:c>
      <x:c r="T30" s="84" t="str">
        <x:v>2633009</x:v>
      </x:c>
      <x:c r="U30" s="84" t="str">
        <x:v>327376-2</x:v>
      </x:c>
      <x:c r="V30" s="84" t="str">
        <x:v>327376-2</x:v>
      </x:c>
      <x:c r="W30" s="84" t="str"/>
    </x:row>
    <x:row r="31" ht="18" customHeight="1">
      <x:c r="A31" s="83" t="str">
        <x:v>HAYS-0030</x:v>
      </x:c>
      <x:c r="B31" s="87" t="str">
        <x:v>Amaranthus polygonoides</x:v>
      </x:c>
      <x:c r="C31" s="87" t="str">
        <x:v>Amaranthus polygonoides</x:v>
      </x:c>
      <x:c r="D31" s="84" t="str">
        <x:v>Amaranthaceae</x:v>
      </x:c>
      <x:c r="E31" s="84" t="str">
        <x:v>Amaranthus</x:v>
      </x:c>
      <x:c r="F31" s="84" t="str">
        <x:v>Species</x:v>
      </x:c>
      <x:c r="G31" s="84" t="str">
        <x:v>Accepted</x:v>
      </x:c>
      <x:c r="H31" s="84" t="str">
        <x:v>Tropical Amaranth</x:v>
      </x:c>
      <x:c r="I31" s="84" t="str">
        <x:v>Annual</x:v>
      </x:c>
      <x:c r="J31" s="84" t="str">
        <x:v>Herb</x:v>
      </x:c>
      <x:c r="K31" s="84" t="str"/>
      <x:c r="L31" s="84" t="str"/>
      <x:c r="M31" s="89" t="n">
        <x:v>1</x:v>
      </x:c>
      <x:c r="N31" s="89" t="n">
        <x:v>1</x:v>
      </x:c>
      <x:c r="O31" s="89" t="n">
        <x:v>0</x:v>
      </x:c>
      <x:c r="P31" s="89" t="n">
        <x:f>SUM(M31:O31)</x:f>
        <x:v>2</x:v>
      </x:c>
      <x:c r="Q31" s="84" t="str">
        <x:v>Exact accepted-name match</x:v>
      </x:c>
      <x:c r="R31" s="84" t="str">
        <x:v>Amaranthus polygonoides</x:v>
      </x:c>
      <x:c r="S31" s="84" t="str">
        <x:v>2633039</x:v>
      </x:c>
      <x:c r="T31" s="84" t="str">
        <x:v>2633039</x:v>
      </x:c>
      <x:c r="U31" s="84" t="str">
        <x:v>316348-2</x:v>
      </x:c>
      <x:c r="V31" s="84" t="str">
        <x:v>316348-2</x:v>
      </x:c>
      <x:c r="W31" s="84" t="str"/>
    </x:row>
    <x:row r="32" ht="18" customHeight="1">
      <x:c r="A32" s="83" t="str">
        <x:v>HAYS-0031</x:v>
      </x:c>
      <x:c r="B32" s="87" t="str">
        <x:v>Amaranthus retroflexus</x:v>
      </x:c>
      <x:c r="C32" s="87" t="str">
        <x:v>Amaranthus retroflexus</x:v>
      </x:c>
      <x:c r="D32" s="84" t="str">
        <x:v>Amaranthaceae</x:v>
      </x:c>
      <x:c r="E32" s="84" t="str">
        <x:v>Amaranthus</x:v>
      </x:c>
      <x:c r="F32" s="84" t="str">
        <x:v>Species</x:v>
      </x:c>
      <x:c r="G32" s="84" t="str">
        <x:v>Accepted</x:v>
      </x:c>
      <x:c r="H32" s="84" t="str">
        <x:v>Redroot Amaranth</x:v>
      </x:c>
      <x:c r="I32" s="84" t="str">
        <x:v>Annual</x:v>
      </x:c>
      <x:c r="J32" s="84" t="str">
        <x:v>Herb</x:v>
      </x:c>
      <x:c r="K32" s="84" t="str"/>
      <x:c r="L32" s="84" t="str"/>
      <x:c r="M32" s="89" t="n">
        <x:v>1</x:v>
      </x:c>
      <x:c r="N32" s="89" t="n">
        <x:v>1</x:v>
      </x:c>
      <x:c r="O32" s="89" t="n">
        <x:v>0</x:v>
      </x:c>
      <x:c r="P32" s="89" t="n">
        <x:f>SUM(M32:O32)</x:f>
        <x:v>2</x:v>
      </x:c>
      <x:c r="Q32" s="84" t="str">
        <x:v>Exact accepted-name match</x:v>
      </x:c>
      <x:c r="R32" s="84" t="str">
        <x:v>Amaranthus retroflexus</x:v>
      </x:c>
      <x:c r="S32" s="84" t="str">
        <x:v>2633061</x:v>
      </x:c>
      <x:c r="T32" s="84" t="str">
        <x:v>2633061</x:v>
      </x:c>
      <x:c r="U32" s="84" t="str">
        <x:v>10698-2</x:v>
      </x:c>
      <x:c r="V32" s="84" t="str">
        <x:v>10698-2</x:v>
      </x:c>
      <x:c r="W32" s="84" t="str"/>
    </x:row>
    <x:row r="33" ht="18" customHeight="1">
      <x:c r="A33" s="83" t="str">
        <x:v>HAYS-0032</x:v>
      </x:c>
      <x:c r="B33" s="87" t="str">
        <x:v>Amaranthus scleropoides</x:v>
      </x:c>
      <x:c r="C33" s="87" t="str">
        <x:v>Amaranthus scleropoides</x:v>
      </x:c>
      <x:c r="D33" s="84" t="str">
        <x:v>Amaranthaceae</x:v>
      </x:c>
      <x:c r="E33" s="84" t="str">
        <x:v>Amaranthus</x:v>
      </x:c>
      <x:c r="F33" s="84" t="str">
        <x:v>Species</x:v>
      </x:c>
      <x:c r="G33" s="84" t="str">
        <x:v>Accepted</x:v>
      </x:c>
      <x:c r="H33" s="84" t="str">
        <x:v>Bonebract Amaranth</x:v>
      </x:c>
      <x:c r="I33" s="84" t="str">
        <x:v>Annual</x:v>
      </x:c>
      <x:c r="J33" s="84" t="str">
        <x:v>Herb</x:v>
      </x:c>
      <x:c r="K33" s="84" t="str">
        <x:v>Sun</x:v>
      </x:c>
      <x:c r="L33" s="84" t="str">
        <x:v>Moist</x:v>
      </x:c>
      <x:c r="M33" s="89" t="n">
        <x:v>1</x:v>
      </x:c>
      <x:c r="N33" s="89" t="n">
        <x:v>1</x:v>
      </x:c>
      <x:c r="O33" s="89" t="n">
        <x:v>0</x:v>
      </x:c>
      <x:c r="P33" s="89" t="n">
        <x:f>SUM(M33:O33)</x:f>
        <x:v>2</x:v>
      </x:c>
      <x:c r="Q33" s="84" t="str">
        <x:v>Exact accepted-name match</x:v>
      </x:c>
      <x:c r="R33" s="84" t="str">
        <x:v>Amaranthus scleropoides</x:v>
      </x:c>
      <x:c r="S33" s="84" t="str">
        <x:v>2633098</x:v>
      </x:c>
      <x:c r="T33" s="84" t="str">
        <x:v>2633098</x:v>
      </x:c>
      <x:c r="U33" s="84" t="str">
        <x:v>10709-2</x:v>
      </x:c>
      <x:c r="V33" s="84" t="str">
        <x:v>10709-2</x:v>
      </x:c>
      <x:c r="W33" s="84" t="str"/>
    </x:row>
    <x:row r="34" ht="18" customHeight="1">
      <x:c r="A34" s="83" t="str">
        <x:v>HAYS-0033</x:v>
      </x:c>
      <x:c r="B34" s="87" t="str">
        <x:v>Amaranthus spinosus</x:v>
      </x:c>
      <x:c r="C34" s="87" t="str">
        <x:v>Amaranthus spinosus</x:v>
      </x:c>
      <x:c r="D34" s="84" t="str">
        <x:v>Amaranthaceae</x:v>
      </x:c>
      <x:c r="E34" s="84" t="str">
        <x:v>Amaranthus</x:v>
      </x:c>
      <x:c r="F34" s="84" t="str">
        <x:v>Species</x:v>
      </x:c>
      <x:c r="G34" s="84" t="str">
        <x:v>Accepted</x:v>
      </x:c>
      <x:c r="H34" s="84" t="str">
        <x:v>Spiny Amaranth, Thorny Pigweed</x:v>
      </x:c>
      <x:c r="I34" s="84" t="str">
        <x:v>Annual</x:v>
      </x:c>
      <x:c r="J34" s="84" t="str">
        <x:v>Herb</x:v>
      </x:c>
      <x:c r="K34" s="84" t="str"/>
      <x:c r="L34" s="84" t="str"/>
      <x:c r="M34" s="89" t="n">
        <x:v>1</x:v>
      </x:c>
      <x:c r="N34" s="89" t="n">
        <x:v>1</x:v>
      </x:c>
      <x:c r="O34" s="89" t="n">
        <x:v>0</x:v>
      </x:c>
      <x:c r="P34" s="89" t="n">
        <x:f>SUM(M34:O34)</x:f>
        <x:v>2</x:v>
      </x:c>
      <x:c r="Q34" s="84" t="str">
        <x:v>Exact accepted-name match</x:v>
      </x:c>
      <x:c r="R34" s="84" t="str">
        <x:v>Amaranthus spinosus</x:v>
      </x:c>
      <x:c r="S34" s="84" t="str">
        <x:v>2633107</x:v>
      </x:c>
      <x:c r="T34" s="84" t="str">
        <x:v>2633107</x:v>
      </x:c>
      <x:c r="U34" s="84" t="str">
        <x:v>10711-2</x:v>
      </x:c>
      <x:c r="V34" s="84" t="str">
        <x:v>10711-2</x:v>
      </x:c>
      <x:c r="W34" s="84" t="str"/>
    </x:row>
    <x:row r="35" ht="18" customHeight="1">
      <x:c r="A35" s="83" t="str">
        <x:v>HAYS-0034</x:v>
      </x:c>
      <x:c r="B35" s="87" t="str">
        <x:v>Ambrosia artemisiifolia</x:v>
      </x:c>
      <x:c r="C35" s="87" t="str">
        <x:v>Ambrosia artemisiifolia</x:v>
      </x:c>
      <x:c r="D35" s="84" t="str">
        <x:v>Asteraceae</x:v>
      </x:c>
      <x:c r="E35" s="84" t="str">
        <x:v>Ambrosia</x:v>
      </x:c>
      <x:c r="F35" s="84" t="str">
        <x:v>Species</x:v>
      </x:c>
      <x:c r="G35" s="84" t="str">
        <x:v>Accepted</x:v>
      </x:c>
      <x:c r="H35" s="84" t="str">
        <x:v>Annual Ragweed, Short Ragweed</x:v>
      </x:c>
      <x:c r="I35" s="84" t="str">
        <x:v>Annual</x:v>
      </x:c>
      <x:c r="J35" s="84" t="str">
        <x:v>Herb</x:v>
      </x:c>
      <x:c r="K35" s="84" t="str">
        <x:v>Sun, Shade, Part-shade</x:v>
      </x:c>
      <x:c r="L35" s="84" t="str">
        <x:v>Dry</x:v>
      </x:c>
      <x:c r="M35" s="89" t="n">
        <x:v>1</x:v>
      </x:c>
      <x:c r="N35" s="89" t="n">
        <x:v>1</x:v>
      </x:c>
      <x:c r="O35" s="89" t="n">
        <x:v>0</x:v>
      </x:c>
      <x:c r="P35" s="89" t="n">
        <x:f>SUM(M35:O35)</x:f>
        <x:v>2</x:v>
      </x:c>
      <x:c r="Q35" s="84" t="str">
        <x:v>Exact accepted-name match</x:v>
      </x:c>
      <x:c r="R35" s="84" t="str">
        <x:v>Ambrosia artemisiifolia</x:v>
      </x:c>
      <x:c r="S35" s="84" t="str">
        <x:v>2922382</x:v>
      </x:c>
      <x:c r="T35" s="84" t="str">
        <x:v>2922382</x:v>
      </x:c>
      <x:c r="U35" s="84" t="str">
        <x:v>176058-1</x:v>
      </x:c>
      <x:c r="V35" s="84" t="str">
        <x:v>176058-1</x:v>
      </x:c>
      <x:c r="W35" s="84" t="str"/>
    </x:row>
    <x:row r="36" ht="18" customHeight="1">
      <x:c r="A36" s="83" t="str">
        <x:v>HAYS-0035</x:v>
      </x:c>
      <x:c r="B36" s="87" t="str">
        <x:v>Ambrosia psilostachya</x:v>
      </x:c>
      <x:c r="C36" s="87" t="str">
        <x:v>Ambrosia psilostachya</x:v>
      </x:c>
      <x:c r="D36" s="84" t="str">
        <x:v>Asteraceae</x:v>
      </x:c>
      <x:c r="E36" s="84" t="str">
        <x:v>Ambrosia</x:v>
      </x:c>
      <x:c r="F36" s="84" t="str">
        <x:v>Species</x:v>
      </x:c>
      <x:c r="G36" s="84" t="str">
        <x:v>Accepted</x:v>
      </x:c>
      <x:c r="H36" s="84" t="str">
        <x:v>Cuman Ragweed, Western Ragweed, Perennial Ragweed, Common Ragweed</x:v>
      </x:c>
      <x:c r="I36" s="84" t="str">
        <x:v>Perennial</x:v>
      </x:c>
      <x:c r="J36" s="84" t="str">
        <x:v>Herb</x:v>
      </x:c>
      <x:c r="K36" s="84" t="str">
        <x:v>Sun, Part-shade</x:v>
      </x:c>
      <x:c r="L36" s="84" t="str">
        <x:v>Dry</x:v>
      </x:c>
      <x:c r="M36" s="89" t="n">
        <x:v>1</x:v>
      </x:c>
      <x:c r="N36" s="89" t="n">
        <x:v>1</x:v>
      </x:c>
      <x:c r="O36" s="89" t="n">
        <x:v>0</x:v>
      </x:c>
      <x:c r="P36" s="89" t="n">
        <x:f>SUM(M36:O36)</x:f>
        <x:v>2</x:v>
      </x:c>
      <x:c r="Q36" s="84" t="str">
        <x:v>Exact accepted-name match</x:v>
      </x:c>
      <x:c r="R36" s="84" t="str">
        <x:v>Ambrosia psilostachya</x:v>
      </x:c>
      <x:c r="S36" s="84" t="str">
        <x:v>2922398</x:v>
      </x:c>
      <x:c r="T36" s="84" t="str">
        <x:v>2922398</x:v>
      </x:c>
      <x:c r="U36" s="84" t="str">
        <x:v>30153070-2</x:v>
      </x:c>
      <x:c r="V36" s="84" t="str">
        <x:v>30153070-2</x:v>
      </x:c>
      <x:c r="W36" s="84" t="str"/>
    </x:row>
    <x:row r="37" ht="18" customHeight="1">
      <x:c r="A37" s="83" t="str">
        <x:v>HAYS-0036</x:v>
      </x:c>
      <x:c r="B37" s="87" t="str">
        <x:v>Ambrosia trifida</x:v>
      </x:c>
      <x:c r="C37" s="87" t="str">
        <x:v>Ambrosia trifida</x:v>
      </x:c>
      <x:c r="D37" s="84" t="str">
        <x:v>Asteraceae</x:v>
      </x:c>
      <x:c r="E37" s="84" t="str">
        <x:v>Ambrosia</x:v>
      </x:c>
      <x:c r="F37" s="84" t="str">
        <x:v>Species</x:v>
      </x:c>
      <x:c r="G37" s="84" t="str">
        <x:v>Accepted</x:v>
      </x:c>
      <x:c r="H37" s="84" t="str">
        <x:v>Great Ragweed, Giant Ragweed</x:v>
      </x:c>
      <x:c r="I37" s="84" t="str">
        <x:v>Annual</x:v>
      </x:c>
      <x:c r="J37" s="84" t="str">
        <x:v>Subshrub</x:v>
      </x:c>
      <x:c r="K37" s="84" t="str">
        <x:v>Shade, Part-shade</x:v>
      </x:c>
      <x:c r="L37" s="84" t="str">
        <x:v>Moist</x:v>
      </x:c>
      <x:c r="M37" s="89" t="n">
        <x:v>1</x:v>
      </x:c>
      <x:c r="N37" s="89" t="n">
        <x:v>1</x:v>
      </x:c>
      <x:c r="O37" s="89" t="n">
        <x:v>0</x:v>
      </x:c>
      <x:c r="P37" s="89" t="n">
        <x:f>SUM(M37:O37)</x:f>
        <x:v>2</x:v>
      </x:c>
      <x:c r="Q37" s="84" t="str">
        <x:v>Exact accepted-name match</x:v>
      </x:c>
      <x:c r="R37" s="84" t="str">
        <x:v>Ambrosia trifida</x:v>
      </x:c>
      <x:c r="S37" s="84" t="str">
        <x:v>3119556</x:v>
      </x:c>
      <x:c r="T37" s="84" t="str">
        <x:v>3119556</x:v>
      </x:c>
      <x:c r="U37" s="84" t="str">
        <x:v>315739-2</x:v>
      </x:c>
      <x:c r="V37" s="84" t="str">
        <x:v>315739-2</x:v>
      </x:c>
      <x:c r="W37" s="84" t="str"/>
    </x:row>
    <x:row r="38" ht="18" customHeight="1">
      <x:c r="A38" s="83" t="str">
        <x:v>HAYS-0037</x:v>
      </x:c>
      <x:c r="B38" s="87" t="str">
        <x:v>Ammannia auriculata</x:v>
      </x:c>
      <x:c r="C38" s="87" t="str">
        <x:v>Ammannia auriculata</x:v>
      </x:c>
      <x:c r="D38" s="84" t="str">
        <x:v>Lythraceae</x:v>
      </x:c>
      <x:c r="E38" s="84" t="str">
        <x:v>Ammannia</x:v>
      </x:c>
      <x:c r="F38" s="84" t="str">
        <x:v>Species</x:v>
      </x:c>
      <x:c r="G38" s="84" t="str">
        <x:v>Accepted</x:v>
      </x:c>
      <x:c r="H38" s="84" t="str">
        <x:v>Eared Redstem</x:v>
      </x:c>
      <x:c r="I38" s="84" t="str">
        <x:v>Annual</x:v>
      </x:c>
      <x:c r="J38" s="84" t="str">
        <x:v>Herb</x:v>
      </x:c>
      <x:c r="K38" s="84" t="str"/>
      <x:c r="L38" s="84" t="str"/>
      <x:c r="M38" s="89" t="n">
        <x:v>1</x:v>
      </x:c>
      <x:c r="N38" s="89" t="n">
        <x:v>1</x:v>
      </x:c>
      <x:c r="O38" s="89" t="n">
        <x:v>0</x:v>
      </x:c>
      <x:c r="P38" s="89" t="n">
        <x:f>SUM(M38:O38)</x:f>
        <x:v>2</x:v>
      </x:c>
      <x:c r="Q38" s="84" t="str">
        <x:v>Exact accepted-name match</x:v>
      </x:c>
      <x:c r="R38" s="84" t="str">
        <x:v>Ammannia auriculata</x:v>
      </x:c>
      <x:c r="S38" s="84" t="str">
        <x:v>2633653</x:v>
      </x:c>
      <x:c r="T38" s="84" t="str">
        <x:v>2633653</x:v>
      </x:c>
      <x:c r="U38" s="84" t="str">
        <x:v>30030870-2</x:v>
      </x:c>
      <x:c r="V38" s="84" t="str">
        <x:v>30030870-2</x:v>
      </x:c>
      <x:c r="W38" s="84" t="str"/>
    </x:row>
    <x:row r="39" ht="18" customHeight="1">
      <x:c r="A39" s="83" t="str">
        <x:v>HAYS-0038</x:v>
      </x:c>
      <x:c r="B39" s="87" t="str">
        <x:v>Ammannia coccinea</x:v>
      </x:c>
      <x:c r="C39" s="87" t="str">
        <x:v>Ammannia coccinea</x:v>
      </x:c>
      <x:c r="D39" s="84" t="str">
        <x:v>Lythraceae</x:v>
      </x:c>
      <x:c r="E39" s="84" t="str">
        <x:v>Ammannia</x:v>
      </x:c>
      <x:c r="F39" s="84" t="str">
        <x:v>Species</x:v>
      </x:c>
      <x:c r="G39" s="84" t="str">
        <x:v>Accepted</x:v>
      </x:c>
      <x:c r="H39" s="84" t="str">
        <x:v>Valley Redstem, Scarlet Tooth-cup</x:v>
      </x:c>
      <x:c r="I39" s="84" t="str">
        <x:v>Annual</x:v>
      </x:c>
      <x:c r="J39" s="84" t="str">
        <x:v>Herb</x:v>
      </x:c>
      <x:c r="K39" s="84" t="str">
        <x:v>Sun</x:v>
      </x:c>
      <x:c r="L39" s="84" t="str"/>
      <x:c r="M39" s="89" t="n">
        <x:v>1</x:v>
      </x:c>
      <x:c r="N39" s="89" t="n">
        <x:v>1</x:v>
      </x:c>
      <x:c r="O39" s="89" t="n">
        <x:v>0</x:v>
      </x:c>
      <x:c r="P39" s="89" t="n">
        <x:f>SUM(M39:O39)</x:f>
        <x:v>2</x:v>
      </x:c>
      <x:c r="Q39" s="84" t="str">
        <x:v>Exact accepted-name match</x:v>
      </x:c>
      <x:c r="R39" s="84" t="str">
        <x:v>Ammannia coccinea</x:v>
      </x:c>
      <x:c r="S39" s="84" t="str">
        <x:v>2633687</x:v>
      </x:c>
      <x:c r="T39" s="84" t="str">
        <x:v>2633687</x:v>
      </x:c>
      <x:c r="U39" s="84" t="str">
        <x:v>552672-1</x:v>
      </x:c>
      <x:c r="V39" s="84" t="str">
        <x:v>552672-1</x:v>
      </x:c>
      <x:c r="W39" s="84" t="str"/>
    </x:row>
    <x:row r="40" ht="18" customHeight="1">
      <x:c r="A40" s="83" t="str">
        <x:v>HAYS-0039</x:v>
      </x:c>
      <x:c r="B40" s="87" t="str">
        <x:v>Amorpha canescens</x:v>
      </x:c>
      <x:c r="C40" s="87" t="str">
        <x:v>Amorpha canescens</x:v>
      </x:c>
      <x:c r="D40" s="84" t="str">
        <x:v>Fabaceae</x:v>
      </x:c>
      <x:c r="E40" s="84" t="str">
        <x:v>Amorpha</x:v>
      </x:c>
      <x:c r="F40" s="84" t="str">
        <x:v>Species</x:v>
      </x:c>
      <x:c r="G40" s="84" t="str">
        <x:v>Accepted</x:v>
      </x:c>
      <x:c r="H40" s="84" t="str">
        <x:v>Leadplant</x:v>
      </x:c>
      <x:c r="I40" s="84" t="str">
        <x:v>Perennial</x:v>
      </x:c>
      <x:c r="J40" s="84" t="str">
        <x:v>Shrub</x:v>
      </x:c>
      <x:c r="K40" s="84" t="str">
        <x:v>Sun, Part Shade</x:v>
      </x:c>
      <x:c r="L40" s="84" t="str">
        <x:v>Low</x:v>
      </x:c>
      <x:c r="M40" s="89" t="n">
        <x:v>0</x:v>
      </x:c>
      <x:c r="N40" s="89" t="n">
        <x:v>0</x:v>
      </x:c>
      <x:c r="O40" s="89" t="n">
        <x:v>1</x:v>
      </x:c>
      <x:c r="P40" s="89" t="n">
        <x:f>SUM(M40:O40)</x:f>
        <x:v>1</x:v>
      </x:c>
      <x:c r="Q40" s="84" t="str">
        <x:v>Exact accepted-name match</x:v>
      </x:c>
      <x:c r="R40" s="84" t="str">
        <x:v>Amorpha canescens</x:v>
      </x:c>
      <x:c r="S40" s="84" t="str">
        <x:v>2634126</x:v>
      </x:c>
      <x:c r="T40" s="84" t="str">
        <x:v>2634126</x:v>
      </x:c>
      <x:c r="U40" s="84" t="str">
        <x:v>60431313-2</x:v>
      </x:c>
      <x:c r="V40" s="84" t="str">
        <x:v>60431313-2</x:v>
      </x:c>
      <x:c r="W40" s="84" t="str"/>
    </x:row>
    <x:row r="41" ht="18" customHeight="1">
      <x:c r="A41" s="83" t="str">
        <x:v>HAYS-0040</x:v>
      </x:c>
      <x:c r="B41" s="87" t="str">
        <x:v>Amorpha fruticosa</x:v>
      </x:c>
      <x:c r="C41" s="87" t="str">
        <x:v>Amorpha fruticosa</x:v>
      </x:c>
      <x:c r="D41" s="84" t="str">
        <x:v>Fabaceae</x:v>
      </x:c>
      <x:c r="E41" s="84" t="str">
        <x:v>Amorpha</x:v>
      </x:c>
      <x:c r="F41" s="84" t="str">
        <x:v>Species</x:v>
      </x:c>
      <x:c r="G41" s="84" t="str">
        <x:v>Accepted</x:v>
      </x:c>
      <x:c r="H41" s="84" t="str">
        <x:v>Indigo Bush, False Indigo Bush, False Indigo, Desert False Indigo</x:v>
      </x:c>
      <x:c r="I41" s="84" t="str">
        <x:v>Perennial</x:v>
      </x:c>
      <x:c r="J41" s="84" t="str">
        <x:v>Shrub</x:v>
      </x:c>
      <x:c r="K41" s="84" t="str">
        <x:v>Sun, Part Shade</x:v>
      </x:c>
      <x:c r="L41" s="84" t="str">
        <x:v>Medium</x:v>
      </x:c>
      <x:c r="M41" s="89" t="n">
        <x:v>1</x:v>
      </x:c>
      <x:c r="N41" s="89" t="n">
        <x:v>1</x:v>
      </x:c>
      <x:c r="O41" s="89" t="n">
        <x:v>1</x:v>
      </x:c>
      <x:c r="P41" s="89" t="n">
        <x:f>SUM(M41:O41)</x:f>
        <x:v>3</x:v>
      </x:c>
      <x:c r="Q41" s="84" t="str">
        <x:v>Exact accepted-name match</x:v>
      </x:c>
      <x:c r="R41" s="84" t="str">
        <x:v>Amorpha fruticosa</x:v>
      </x:c>
      <x:c r="S41" s="84" t="str">
        <x:v>2634148</x:v>
      </x:c>
      <x:c r="T41" s="84" t="str">
        <x:v>2634148</x:v>
      </x:c>
      <x:c r="U41" s="84" t="str">
        <x:v>11421-2</x:v>
      </x:c>
      <x:c r="V41" s="84" t="str">
        <x:v>11421-2</x:v>
      </x:c>
      <x:c r="W41" s="84" t="str"/>
    </x:row>
    <x:row r="42" ht="18" customHeight="1">
      <x:c r="A42" s="83" t="str">
        <x:v>HAYS-0041</x:v>
      </x:c>
      <x:c r="B42" s="87" t="str">
        <x:v>Amorpha roemeriana</x:v>
      </x:c>
      <x:c r="C42" s="87" t="str">
        <x:v>Amorpha roemeriana</x:v>
      </x:c>
      <x:c r="D42" s="84" t="str">
        <x:v>Fabaceae</x:v>
      </x:c>
      <x:c r="E42" s="84" t="str">
        <x:v>Amorpha</x:v>
      </x:c>
      <x:c r="F42" s="84" t="str">
        <x:v>Species</x:v>
      </x:c>
      <x:c r="G42" s="84" t="str">
        <x:v>Accepted</x:v>
      </x:c>
      <x:c r="H42" s="84" t="str">
        <x:v>Texas Indigo Bush, Roemer's false indigo</x:v>
      </x:c>
      <x:c r="I42" s="84" t="str">
        <x:v>Perennial</x:v>
      </x:c>
      <x:c r="J42" s="84" t="str">
        <x:v>Shrub</x:v>
      </x:c>
      <x:c r="K42" s="84" t="str">
        <x:v>Sun</x:v>
      </x:c>
      <x:c r="L42" s="84" t="str">
        <x:v>Low</x:v>
      </x:c>
      <x:c r="M42" s="89" t="n">
        <x:v>1</x:v>
      </x:c>
      <x:c r="N42" s="89" t="n">
        <x:v>1</x:v>
      </x:c>
      <x:c r="O42" s="89" t="n">
        <x:v>1</x:v>
      </x:c>
      <x:c r="P42" s="89" t="n">
        <x:f>SUM(M42:O42)</x:f>
        <x:v>3</x:v>
      </x:c>
      <x:c r="Q42" s="84" t="str">
        <x:v>Exact accepted-name match</x:v>
      </x:c>
      <x:c r="R42" s="84" t="str">
        <x:v>Amorpha roemeriana</x:v>
      </x:c>
      <x:c r="S42" s="84" t="str">
        <x:v>2634225</x:v>
      </x:c>
      <x:c r="T42" s="84" t="str">
        <x:v>2634225</x:v>
      </x:c>
      <x:c r="U42" s="84" t="str">
        <x:v>1080190-2</x:v>
      </x:c>
      <x:c r="V42" s="84" t="str">
        <x:v>1080190-2</x:v>
      </x:c>
      <x:c r="W42" s="84" t="str"/>
    </x:row>
    <x:row r="43" ht="18" customHeight="1">
      <x:c r="A43" s="83" t="str">
        <x:v>HAYS-0042</x:v>
      </x:c>
      <x:c r="B43" s="87" t="str">
        <x:v>Ampelopsis cordata</x:v>
      </x:c>
      <x:c r="C43" s="87" t="str">
        <x:v>Ampelopsis cordata</x:v>
      </x:c>
      <x:c r="D43" s="84" t="str">
        <x:v>Vitaceae</x:v>
      </x:c>
      <x:c r="E43" s="84" t="str">
        <x:v>Ampelopsis</x:v>
      </x:c>
      <x:c r="F43" s="84" t="str">
        <x:v>Species</x:v>
      </x:c>
      <x:c r="G43" s="84" t="str">
        <x:v>Accepted</x:v>
      </x:c>
      <x:c r="H43" s="84" t="str">
        <x:v>Heartleaf Peppervine, Heart-leaf Ampelopsis</x:v>
      </x:c>
      <x:c r="I43" s="84" t="str">
        <x:v>Perennial</x:v>
      </x:c>
      <x:c r="J43" s="84" t="str">
        <x:v>Vine</x:v>
      </x:c>
      <x:c r="K43" s="84" t="str">
        <x:v>Part-shade</x:v>
      </x:c>
      <x:c r="L43" s="84" t="str">
        <x:v>Dry</x:v>
      </x:c>
      <x:c r="M43" s="89" t="n">
        <x:v>1</x:v>
      </x:c>
      <x:c r="N43" s="89" t="n">
        <x:v>1</x:v>
      </x:c>
      <x:c r="O43" s="89" t="n">
        <x:v>0</x:v>
      </x:c>
      <x:c r="P43" s="89" t="n">
        <x:f>SUM(M43:O43)</x:f>
        <x:v>2</x:v>
      </x:c>
      <x:c r="Q43" s="84" t="str">
        <x:v>Exact accepted-name match</x:v>
      </x:c>
      <x:c r="R43" s="84" t="str">
        <x:v>Ampelopsis cordata</x:v>
      </x:c>
      <x:c r="S43" s="84" t="str">
        <x:v>2634490</x:v>
      </x:c>
      <x:c r="T43" s="84" t="str">
        <x:v>2634490</x:v>
      </x:c>
      <x:c r="U43" s="84" t="str">
        <x:v>67418-1</x:v>
      </x:c>
      <x:c r="V43" s="84" t="str">
        <x:v>67418-1</x:v>
      </x:c>
      <x:c r="W43" s="84" t="str"/>
    </x:row>
    <x:row r="44" ht="18" customHeight="1">
      <x:c r="A44" s="83" t="str">
        <x:v>HAYS-0043</x:v>
      </x:c>
      <x:c r="B44" s="87" t="str">
        <x:v>Amphiachyris amoena</x:v>
      </x:c>
      <x:c r="C44" s="87" t="str">
        <x:v>Amphiachyris amoena</x:v>
      </x:c>
      <x:c r="D44" s="84" t="str">
        <x:v>Asteraceae</x:v>
      </x:c>
      <x:c r="E44" s="84" t="str">
        <x:v>Amphiachyris</x:v>
      </x:c>
      <x:c r="F44" s="84" t="str">
        <x:v>Species</x:v>
      </x:c>
      <x:c r="G44" s="84" t="str">
        <x:v>Accepted</x:v>
      </x:c>
      <x:c r="H44" s="84" t="str">
        <x:v>Texas Broomweed</x:v>
      </x:c>
      <x:c r="I44" s="84" t="str">
        <x:v>Annual</x:v>
      </x:c>
      <x:c r="J44" s="84" t="str">
        <x:v>Herb</x:v>
      </x:c>
      <x:c r="K44" s="84" t="str"/>
      <x:c r="L44" s="84" t="str"/>
      <x:c r="M44" s="89" t="n">
        <x:v>1</x:v>
      </x:c>
      <x:c r="N44" s="89" t="n">
        <x:v>1</x:v>
      </x:c>
      <x:c r="O44" s="89" t="n">
        <x:v>0</x:v>
      </x:c>
      <x:c r="P44" s="89" t="n">
        <x:f>SUM(M44:O44)</x:f>
        <x:v>2</x:v>
      </x:c>
      <x:c r="Q44" s="84" t="str">
        <x:v>Exact accepted-name match</x:v>
      </x:c>
      <x:c r="R44" s="84" t="str">
        <x:v>Amphiachyris amoena</x:v>
      </x:c>
      <x:c r="S44" s="84" t="str">
        <x:v>3102227</x:v>
      </x:c>
      <x:c r="T44" s="84" t="str">
        <x:v>3102227</x:v>
      </x:c>
      <x:c r="U44" s="84" t="str">
        <x:v>11514-2</x:v>
      </x:c>
      <x:c r="V44" s="84" t="str">
        <x:v>11514-2</x:v>
      </x:c>
      <x:c r="W44" s="84" t="str"/>
    </x:row>
    <x:row r="45" ht="18" customHeight="1">
      <x:c r="A45" s="83" t="str">
        <x:v>HAYS-0044</x:v>
      </x:c>
      <x:c r="B45" s="87" t="str">
        <x:v>Amphiachyris dracunculoides</x:v>
      </x:c>
      <x:c r="C45" s="87" t="str">
        <x:v>Amphiachyris dracunculoides</x:v>
      </x:c>
      <x:c r="D45" s="84" t="str">
        <x:v>Asteraceae</x:v>
      </x:c>
      <x:c r="E45" s="84" t="str">
        <x:v>Amphiachyris</x:v>
      </x:c>
      <x:c r="F45" s="84" t="str">
        <x:v>Species</x:v>
      </x:c>
      <x:c r="G45" s="84" t="str">
        <x:v>Accepted</x:v>
      </x:c>
      <x:c r="H45" s="84" t="str">
        <x:v>Prairie Broomweed, Broomweed</x:v>
      </x:c>
      <x:c r="I45" s="84" t="str">
        <x:v>Annual</x:v>
      </x:c>
      <x:c r="J45" s="84" t="str">
        <x:v>Herb</x:v>
      </x:c>
      <x:c r="K45" s="84" t="str"/>
      <x:c r="L45" s="84" t="str"/>
      <x:c r="M45" s="89" t="n">
        <x:v>1</x:v>
      </x:c>
      <x:c r="N45" s="89" t="n">
        <x:v>1</x:v>
      </x:c>
      <x:c r="O45" s="89" t="n">
        <x:v>0</x:v>
      </x:c>
      <x:c r="P45" s="89" t="n">
        <x:f>SUM(M45:O45)</x:f>
        <x:v>2</x:v>
      </x:c>
      <x:c r="Q45" s="84" t="str">
        <x:v>Exact accepted-name match</x:v>
      </x:c>
      <x:c r="R45" s="84" t="str">
        <x:v>Amphiachyris dracunculoides</x:v>
      </x:c>
      <x:c r="S45" s="84" t="str">
        <x:v>3101859</x:v>
      </x:c>
      <x:c r="T45" s="84" t="str">
        <x:v>3101859</x:v>
      </x:c>
      <x:c r="U45" s="84" t="str">
        <x:v>176235-1</x:v>
      </x:c>
      <x:c r="V45" s="84" t="str">
        <x:v>176235-1</x:v>
      </x:c>
      <x:c r="W45" s="84" t="str"/>
    </x:row>
    <x:row r="46" ht="18" customHeight="1">
      <x:c r="A46" s="83" t="str">
        <x:v>HAYS-0045</x:v>
      </x:c>
      <x:c r="B46" s="87" t="str">
        <x:v>Amsonia ciliata</x:v>
      </x:c>
      <x:c r="C46" s="87" t="str">
        <x:v>Amsonia ciliata</x:v>
      </x:c>
      <x:c r="D46" s="84" t="str">
        <x:v>Apocynaceae</x:v>
      </x:c>
      <x:c r="E46" s="84" t="str">
        <x:v>Amsonia</x:v>
      </x:c>
      <x:c r="F46" s="84" t="str">
        <x:v>Species</x:v>
      </x:c>
      <x:c r="G46" s="84" t="str">
        <x:v>Accepted</x:v>
      </x:c>
      <x:c r="H46" s="84" t="str">
        <x:v>Blue Amsonia, Fringed bluestar</x:v>
      </x:c>
      <x:c r="I46" s="84" t="str">
        <x:v>Perennial</x:v>
      </x:c>
      <x:c r="J46" s="84" t="str">
        <x:v>Herb</x:v>
      </x:c>
      <x:c r="K46" s="84" t="str">
        <x:v>Sun</x:v>
      </x:c>
      <x:c r="L46" s="84" t="str">
        <x:v>Medium</x:v>
      </x:c>
      <x:c r="M46" s="89" t="n">
        <x:v>0</x:v>
      </x:c>
      <x:c r="N46" s="89" t="n">
        <x:v>0</x:v>
      </x:c>
      <x:c r="O46" s="89" t="n">
        <x:v>1</x:v>
      </x:c>
      <x:c r="P46" s="89" t="n">
        <x:f>SUM(M46:O46)</x:f>
        <x:v>1</x:v>
      </x:c>
      <x:c r="Q46" s="84" t="str">
        <x:v>Exact accepted-name match</x:v>
      </x:c>
      <x:c r="R46" s="84" t="str">
        <x:v>Amsonia ciliata</x:v>
      </x:c>
      <x:c r="S46" s="84" t="str">
        <x:v>8441</x:v>
      </x:c>
      <x:c r="T46" s="84" t="str">
        <x:v>8441</x:v>
      </x:c>
      <x:c r="U46" s="84" t="str">
        <x:v>76904-1</x:v>
      </x:c>
      <x:c r="V46" s="84" t="str">
        <x:v>76904-1</x:v>
      </x:c>
      <x:c r="W46" s="84" t="str"/>
    </x:row>
    <x:row r="47" ht="18" customHeight="1">
      <x:c r="A47" s="83" t="str">
        <x:v>HAYS-0046</x:v>
      </x:c>
      <x:c r="B47" s="87" t="str">
        <x:v>Amsonia ciliata var. texana</x:v>
      </x:c>
      <x:c r="C47" s="87" t="str">
        <x:v>Amsonia ciliata var. texana</x:v>
      </x:c>
      <x:c r="D47" s="84" t="str">
        <x:v>Apocynaceae</x:v>
      </x:c>
      <x:c r="E47" s="84" t="str">
        <x:v>Amsonia</x:v>
      </x:c>
      <x:c r="F47" s="84" t="str">
        <x:v>Variety</x:v>
      </x:c>
      <x:c r="G47" s="84" t="str">
        <x:v>Accepted</x:v>
      </x:c>
      <x:c r="H47" s="84" t="str">
        <x:v>Texas Bluestar</x:v>
      </x:c>
      <x:c r="I47" s="84" t="str">
        <x:v>Perennial</x:v>
      </x:c>
      <x:c r="J47" s="84" t="str">
        <x:v>Herb</x:v>
      </x:c>
      <x:c r="K47" s="84" t="str">
        <x:v>Sun, Part-shade</x:v>
      </x:c>
      <x:c r="L47" s="84" t="str">
        <x:v>Moist</x:v>
      </x:c>
      <x:c r="M47" s="89" t="n">
        <x:v>1</x:v>
      </x:c>
      <x:c r="N47" s="89" t="n">
        <x:v>1</x:v>
      </x:c>
      <x:c r="O47" s="89" t="n">
        <x:v>0</x:v>
      </x:c>
      <x:c r="P47" s="89" t="n">
        <x:f>SUM(M47:O47)</x:f>
        <x:v>2</x:v>
      </x:c>
      <x:c r="Q47" s="84" t="str">
        <x:v>Exact accepted-name match</x:v>
      </x:c>
      <x:c r="R47" s="84" t="str">
        <x:v>Amsonia ciliata var. texana</x:v>
      </x:c>
      <x:c r="S47" s="84" t="str">
        <x:v>8445</x:v>
      </x:c>
      <x:c r="T47" s="84" t="str">
        <x:v>8445</x:v>
      </x:c>
      <x:c r="U47" s="84" t="str">
        <x:v>11959-2</x:v>
      </x:c>
      <x:c r="V47" s="84" t="str">
        <x:v>11959-2</x:v>
      </x:c>
      <x:c r="W47" s="84" t="str"/>
    </x:row>
    <x:row r="48" ht="18" customHeight="1">
      <x:c r="A48" s="83" t="str">
        <x:v>HAYS-0047</x:v>
      </x:c>
      <x:c r="B48" s="87" t="str">
        <x:v>Amsonia longiflora</x:v>
      </x:c>
      <x:c r="C48" s="87" t="str">
        <x:v>Amsonia longiflora</x:v>
      </x:c>
      <x:c r="D48" s="84" t="str">
        <x:v>Apocynaceae</x:v>
      </x:c>
      <x:c r="E48" s="84" t="str">
        <x:v>Amsonia</x:v>
      </x:c>
      <x:c r="F48" s="84" t="str">
        <x:v>Species</x:v>
      </x:c>
      <x:c r="G48" s="84" t="str">
        <x:v>Accepted</x:v>
      </x:c>
      <x:c r="H48" s="84" t="str">
        <x:v>Tubular Bluestar, Trumpet Slimpod</x:v>
      </x:c>
      <x:c r="I48" s="84" t="str">
        <x:v>Perennial</x:v>
      </x:c>
      <x:c r="J48" s="84" t="str">
        <x:v>Herb</x:v>
      </x:c>
      <x:c r="K48" s="84" t="str"/>
      <x:c r="L48" s="84" t="str"/>
      <x:c r="M48" s="89" t="n">
        <x:v>1</x:v>
      </x:c>
      <x:c r="N48" s="89" t="n">
        <x:v>1</x:v>
      </x:c>
      <x:c r="O48" s="89" t="n">
        <x:v>0</x:v>
      </x:c>
      <x:c r="P48" s="89" t="n">
        <x:f>SUM(M48:O48)</x:f>
        <x:v>2</x:v>
      </x:c>
      <x:c r="Q48" s="84" t="str">
        <x:v>Exact accepted-name match</x:v>
      </x:c>
      <x:c r="R48" s="84" t="str">
        <x:v>Amsonia longiflora</x:v>
      </x:c>
      <x:c r="S48" s="84" t="str">
        <x:v>8460</x:v>
      </x:c>
      <x:c r="T48" s="84" t="str">
        <x:v>8460</x:v>
      </x:c>
      <x:c r="U48" s="84" t="str">
        <x:v>76919-1</x:v>
      </x:c>
      <x:c r="V48" s="84" t="str">
        <x:v>76919-1</x:v>
      </x:c>
      <x:c r="W48" s="84" t="str"/>
    </x:row>
    <x:row r="49" ht="18" customHeight="1">
      <x:c r="A49" s="83" t="str">
        <x:v>HAYS-0048</x:v>
      </x:c>
      <x:c r="B49" s="87" t="str">
        <x:v>Andropogon gerardii</x:v>
      </x:c>
      <x:c r="C49" s="87" t="str"/>
      <x:c r="D49" s="84" t="str"/>
      <x:c r="E49" s="84" t="str">
        <x:v>Andropogon</x:v>
      </x:c>
      <x:c r="F49" s="84" t="str"/>
      <x:c r="G49" s="84" t="str"/>
      <x:c r="H49" s="84" t="str">
        <x:v>Big Bluestem, Tall Bluestem, Turkeyfoot</x:v>
      </x:c>
      <x:c r="I49" s="84" t="str">
        <x:v>Perennial</x:v>
      </x:c>
      <x:c r="J49" s="84" t="str">
        <x:v>Grass</x:v>
      </x:c>
      <x:c r="K49" s="84" t="str">
        <x:v>Sun</x:v>
      </x:c>
      <x:c r="L49" s="84" t="str">
        <x:v>Low</x:v>
      </x:c>
      <x:c r="M49" s="89" t="n">
        <x:v>1</x:v>
      </x:c>
      <x:c r="N49" s="89" t="n">
        <x:v>1</x:v>
      </x:c>
      <x:c r="O49" s="89" t="n">
        <x:v>1</x:v>
      </x:c>
      <x:c r="P49" s="89" t="n">
        <x:f>SUM(M49:O49)</x:f>
        <x:v>3</x:v>
      </x:c>
      <x:c r="Q49" s="84" t="str">
        <x:v>No exact WCVP name match</x:v>
      </x:c>
      <x:c r="R49" s="84" t="str"/>
      <x:c r="S49" s="84" t="str"/>
      <x:c r="T49" s="84" t="str"/>
      <x:c r="U49" s="84" t="str"/>
      <x:c r="V49" s="84" t="str"/>
      <x:c r="W49" s="84" t="str">
        <x:v>Review</x:v>
      </x:c>
    </x:row>
    <x:row r="50" ht="18" customHeight="1">
      <x:c r="A50" s="83" t="str">
        <x:v>HAYS-0049</x:v>
      </x:c>
      <x:c r="B50" s="87" t="str">
        <x:v>Andropogon glomeratus</x:v>
      </x:c>
      <x:c r="C50" s="87" t="str">
        <x:v>Anatherum glomeratum</x:v>
      </x:c>
      <x:c r="D50" s="84" t="str">
        <x:v>Poaceae</x:v>
      </x:c>
      <x:c r="E50" s="84" t="str">
        <x:v>Anatherum</x:v>
      </x:c>
      <x:c r="F50" s="84" t="str">
        <x:v>Species</x:v>
      </x:c>
      <x:c r="G50" s="84" t="str">
        <x:v>Synonym</x:v>
      </x:c>
      <x:c r="H50" s="84" t="str">
        <x:v>Bushy Bluestem, Brushy Bluestem</x:v>
      </x:c>
      <x:c r="I50" s="84" t="str">
        <x:v>Perennial</x:v>
      </x:c>
      <x:c r="J50" s="84" t="str">
        <x:v>Grass</x:v>
      </x:c>
      <x:c r="K50" s="84" t="str">
        <x:v>Sun</x:v>
      </x:c>
      <x:c r="L50" s="84" t="str">
        <x:v>Medium</x:v>
      </x:c>
      <x:c r="M50" s="89" t="n">
        <x:v>1</x:v>
      </x:c>
      <x:c r="N50" s="89" t="n">
        <x:v>1</x:v>
      </x:c>
      <x:c r="O50" s="89" t="n">
        <x:v>1</x:v>
      </x:c>
      <x:c r="P50" s="89" t="n">
        <x:f>SUM(M50:O50)</x:f>
        <x:v>3</x:v>
      </x:c>
      <x:c r="Q50" s="84" t="str">
        <x:v>Exact synonym-name match</x:v>
      </x:c>
      <x:c r="R50" s="84" t="str">
        <x:v>Andropogon glomeratus</x:v>
      </x:c>
      <x:c r="S50" s="84" t="str">
        <x:v>392498</x:v>
      </x:c>
      <x:c r="T50" s="84" t="str">
        <x:v>3311853</x:v>
      </x:c>
      <x:c r="U50" s="84" t="str">
        <x:v>12850-2</x:v>
      </x:c>
      <x:c r="V50" s="84" t="str">
        <x:v>77339188-1</x:v>
      </x:c>
      <x:c r="W50" s="84" t="str"/>
    </x:row>
    <x:row r="51" ht="18" customHeight="1">
      <x:c r="A51" s="83" t="str">
        <x:v>HAYS-0050</x:v>
      </x:c>
      <x:c r="B51" s="87" t="str">
        <x:v>Andropogon virginicus</x:v>
      </x:c>
      <x:c r="C51" s="87" t="str"/>
      <x:c r="D51" s="84" t="str"/>
      <x:c r="E51" s="84" t="str">
        <x:v>Andropogon</x:v>
      </x:c>
      <x:c r="F51" s="84" t="str"/>
      <x:c r="G51" s="84" t="str"/>
      <x:c r="H51" s="84" t="str">
        <x:v>Broomsedge Bluestem</x:v>
      </x:c>
      <x:c r="I51" s="84" t="str">
        <x:v>Perennial</x:v>
      </x:c>
      <x:c r="J51" s="84" t="str">
        <x:v>Grass</x:v>
      </x:c>
      <x:c r="K51" s="84" t="str">
        <x:v>Sun</x:v>
      </x:c>
      <x:c r="L51" s="84" t="str">
        <x:v>Low</x:v>
      </x:c>
      <x:c r="M51" s="89" t="n">
        <x:v>1</x:v>
      </x:c>
      <x:c r="N51" s="89" t="n">
        <x:v>1</x:v>
      </x:c>
      <x:c r="O51" s="89" t="n">
        <x:v>1</x:v>
      </x:c>
      <x:c r="P51" s="89" t="n">
        <x:f>SUM(M51:O51)</x:f>
        <x:v>3</x:v>
      </x:c>
      <x:c r="Q51" s="84" t="str">
        <x:v>Ambiguous: 2 WCVP records</x:v>
      </x:c>
      <x:c r="R51" s="84" t="str"/>
      <x:c r="S51" s="84" t="str"/>
      <x:c r="T51" s="84" t="str"/>
      <x:c r="U51" s="84" t="str"/>
      <x:c r="V51" s="84" t="str"/>
      <x:c r="W51" s="84" t="str">
        <x:v>Review</x:v>
      </x:c>
    </x:row>
    <x:row r="52" ht="18" customHeight="1">
      <x:c r="A52" s="83" t="str">
        <x:v>HAYS-0051</x:v>
      </x:c>
      <x:c r="B52" s="87" t="str">
        <x:v>Androstephium coeruleum</x:v>
      </x:c>
      <x:c r="C52" s="87" t="str">
        <x:v>Androstephium coeruleum</x:v>
      </x:c>
      <x:c r="D52" s="84" t="str">
        <x:v>Asparagaceae</x:v>
      </x:c>
      <x:c r="E52" s="84" t="str">
        <x:v>Androstephium</x:v>
      </x:c>
      <x:c r="F52" s="84" t="str">
        <x:v>Species</x:v>
      </x:c>
      <x:c r="G52" s="84" t="str">
        <x:v>Accepted</x:v>
      </x:c>
      <x:c r="H52" s="84" t="str">
        <x:v>Blue Funnel-lily, Prairie Lily, Funnel-flower, Fragrant Lily</x:v>
      </x:c>
      <x:c r="I52" s="84" t="str">
        <x:v>Perennial</x:v>
      </x:c>
      <x:c r="J52" s="84" t="str">
        <x:v>Herb</x:v>
      </x:c>
      <x:c r="K52" s="84" t="str"/>
      <x:c r="L52" s="84" t="str"/>
      <x:c r="M52" s="89" t="n">
        <x:v>1</x:v>
      </x:c>
      <x:c r="N52" s="89" t="n">
        <x:v>1</x:v>
      </x:c>
      <x:c r="O52" s="89" t="n">
        <x:v>0</x:v>
      </x:c>
      <x:c r="P52" s="89" t="n">
        <x:f>SUM(M52:O52)</x:f>
        <x:v>2</x:v>
      </x:c>
      <x:c r="Q52" s="84" t="str">
        <x:v>Exact accepted-name match</x:v>
      </x:c>
      <x:c r="R52" s="84" t="str">
        <x:v>Androstephium coeruleum</x:v>
      </x:c>
      <x:c r="S52" s="84" t="str">
        <x:v>299130</x:v>
      </x:c>
      <x:c r="T52" s="84" t="str">
        <x:v>299130</x:v>
      </x:c>
      <x:c r="U52" s="84" t="str">
        <x:v>13188-2</x:v>
      </x:c>
      <x:c r="V52" s="84" t="str">
        <x:v>13188-2</x:v>
      </x:c>
      <x:c r="W52" s="84" t="str"/>
    </x:row>
    <x:row r="53" ht="18" customHeight="1">
      <x:c r="A53" s="83" t="str">
        <x:v>HAYS-0052</x:v>
      </x:c>
      <x:c r="B53" s="87" t="str">
        <x:v>Anemia mexicana</x:v>
      </x:c>
      <x:c r="C53" s="87" t="str">
        <x:v>Anemia mexicana</x:v>
      </x:c>
      <x:c r="D53" s="84" t="str">
        <x:v>Schizaeaceae</x:v>
      </x:c>
      <x:c r="E53" s="84" t="str">
        <x:v>Anemia</x:v>
      </x:c>
      <x:c r="F53" s="84" t="str">
        <x:v>Species</x:v>
      </x:c>
      <x:c r="G53" s="84" t="str">
        <x:v>Accepted</x:v>
      </x:c>
      <x:c r="H53" s="84" t="str">
        <x:v>Mexican Fern, Mexican Flowering Fern</x:v>
      </x:c>
      <x:c r="I53" s="84" t="str">
        <x:v>Perennial</x:v>
      </x:c>
      <x:c r="J53" s="84" t="str">
        <x:v>Herb, Fern</x:v>
      </x:c>
      <x:c r="K53" s="84" t="str"/>
      <x:c r="L53" s="84" t="str"/>
      <x:c r="M53" s="89" t="n">
        <x:v>1</x:v>
      </x:c>
      <x:c r="N53" s="89" t="n">
        <x:v>1</x:v>
      </x:c>
      <x:c r="O53" s="89" t="n">
        <x:v>0</x:v>
      </x:c>
      <x:c r="P53" s="89" t="n">
        <x:f>SUM(M53:O53)</x:f>
        <x:v>2</x:v>
      </x:c>
      <x:c r="Q53" s="84" t="str">
        <x:v>Exact accepted-name match</x:v>
      </x:c>
      <x:c r="R53" s="84" t="str">
        <x:v>Anemia mexicana</x:v>
      </x:c>
      <x:c r="S53" s="84" t="str">
        <x:v>3144674</x:v>
      </x:c>
      <x:c r="T53" s="84" t="str">
        <x:v>3144674</x:v>
      </x:c>
      <x:c r="U53" s="84" t="str">
        <x:v>17264720-1</x:v>
      </x:c>
      <x:c r="V53" s="84" t="str">
        <x:v>17264720-1</x:v>
      </x:c>
      <x:c r="W53" s="84" t="str"/>
    </x:row>
    <x:row r="54" ht="18" customHeight="1">
      <x:c r="A54" s="83" t="str">
        <x:v>HAYS-0053</x:v>
      </x:c>
      <x:c r="B54" s="87" t="str">
        <x:v>Anemone berlandieri</x:v>
      </x:c>
      <x:c r="C54" s="87" t="str">
        <x:v>Anemone berlandieri</x:v>
      </x:c>
      <x:c r="D54" s="84" t="str">
        <x:v>Ranunculaceae</x:v>
      </x:c>
      <x:c r="E54" s="84" t="str">
        <x:v>Anemone</x:v>
      </x:c>
      <x:c r="F54" s="84" t="str">
        <x:v>Species</x:v>
      </x:c>
      <x:c r="G54" s="84" t="str">
        <x:v>Accepted</x:v>
      </x:c>
      <x:c r="H54" s="84" t="str">
        <x:v>Tenpetal Anemone, Tenpetal Thimbleweed, Windflower, Southern Anemone, Granny's Nightcap</x:v>
      </x:c>
      <x:c r="I54" s="84" t="str">
        <x:v>Perennial</x:v>
      </x:c>
      <x:c r="J54" s="84" t="str">
        <x:v>Herb</x:v>
      </x:c>
      <x:c r="K54" s="84" t="str">
        <x:v>Part-shade</x:v>
      </x:c>
      <x:c r="L54" s="84" t="str"/>
      <x:c r="M54" s="89" t="n">
        <x:v>1</x:v>
      </x:c>
      <x:c r="N54" s="89" t="n">
        <x:v>1</x:v>
      </x:c>
      <x:c r="O54" s="89" t="n">
        <x:v>0</x:v>
      </x:c>
      <x:c r="P54" s="89" t="n">
        <x:f>SUM(M54:O54)</x:f>
        <x:v>2</x:v>
      </x:c>
      <x:c r="Q54" s="84" t="str">
        <x:v>Exact accepted-name match</x:v>
      </x:c>
      <x:c r="R54" s="84" t="str">
        <x:v>Anemone berlandieri</x:v>
      </x:c>
      <x:c r="S54" s="84" t="str">
        <x:v>2638061</x:v>
      </x:c>
      <x:c r="T54" s="84" t="str">
        <x:v>2638061</x:v>
      </x:c>
      <x:c r="U54" s="84" t="str">
        <x:v>708260-1</x:v>
      </x:c>
      <x:c r="V54" s="84" t="str">
        <x:v>708260-1</x:v>
      </x:c>
      <x:c r="W54" s="84" t="str"/>
    </x:row>
    <x:row r="55" ht="18" customHeight="1">
      <x:c r="A55" s="83" t="str">
        <x:v>HAYS-0054</x:v>
      </x:c>
      <x:c r="B55" s="87" t="str">
        <x:v>Anemone caroliniana</x:v>
      </x:c>
      <x:c r="C55" s="87" t="str">
        <x:v>Anemone caroliniana</x:v>
      </x:c>
      <x:c r="D55" s="84" t="str">
        <x:v>Ranunculaceae</x:v>
      </x:c>
      <x:c r="E55" s="84" t="str">
        <x:v>Anemone</x:v>
      </x:c>
      <x:c r="F55" s="84" t="str">
        <x:v>Species</x:v>
      </x:c>
      <x:c r="G55" s="84" t="str">
        <x:v>Accepted</x:v>
      </x:c>
      <x:c r="H55" s="84" t="str">
        <x:v>Carolina Anemone, Carolina Thimbleweed, Southern Thimbleweed</x:v>
      </x:c>
      <x:c r="I55" s="84" t="str">
        <x:v>Perennial</x:v>
      </x:c>
      <x:c r="J55" s="84" t="str">
        <x:v>Herb</x:v>
      </x:c>
      <x:c r="K55" s="84" t="str">
        <x:v>Sun</x:v>
      </x:c>
      <x:c r="L55" s="84" t="str"/>
      <x:c r="M55" s="89" t="n">
        <x:v>1</x:v>
      </x:c>
      <x:c r="N55" s="89" t="n">
        <x:v>1</x:v>
      </x:c>
      <x:c r="O55" s="89" t="n">
        <x:v>0</x:v>
      </x:c>
      <x:c r="P55" s="89" t="n">
        <x:f>SUM(M55:O55)</x:f>
        <x:v>2</x:v>
      </x:c>
      <x:c r="Q55" s="84" t="str">
        <x:v>Exact accepted-name match</x:v>
      </x:c>
      <x:c r="R55" s="84" t="str">
        <x:v>Anemone caroliniana</x:v>
      </x:c>
      <x:c r="S55" s="84" t="str">
        <x:v>2638101</x:v>
      </x:c>
      <x:c r="T55" s="84" t="str">
        <x:v>2638101</x:v>
      </x:c>
      <x:c r="U55" s="84" t="str">
        <x:v>30319536-2</x:v>
      </x:c>
      <x:c r="V55" s="84" t="str">
        <x:v>30319536-2</x:v>
      </x:c>
      <x:c r="W55" s="84" t="str"/>
    </x:row>
    <x:row r="56" ht="18" customHeight="1">
      <x:c r="A56" s="83" t="str">
        <x:v>HAYS-0055</x:v>
      </x:c>
      <x:c r="B56" s="87" t="str">
        <x:v>Anemone edwardsiana var. edwardsiana</x:v>
      </x:c>
      <x:c r="C56" s="87" t="str"/>
      <x:c r="D56" s="84" t="str"/>
      <x:c r="E56" s="84" t="str">
        <x:v>Anemone</x:v>
      </x:c>
      <x:c r="F56" s="84" t="str"/>
      <x:c r="G56" s="84" t="str"/>
      <x:c r="H56" s="84" t="str">
        <x:v>Edwards Plateau Thimbleweed, Edwards Thimbleweed , Two-flower Anemone</x:v>
      </x:c>
      <x:c r="I56" s="84" t="str">
        <x:v>Perennial</x:v>
      </x:c>
      <x:c r="J56" s="84" t="str">
        <x:v>Herb</x:v>
      </x:c>
      <x:c r="K56" s="84" t="str"/>
      <x:c r="L56" s="84" t="str"/>
      <x:c r="M56" s="89" t="n">
        <x:v>1</x:v>
      </x:c>
      <x:c r="N56" s="89" t="n">
        <x:v>1</x:v>
      </x:c>
      <x:c r="O56" s="89" t="n">
        <x:v>0</x:v>
      </x:c>
      <x:c r="P56" s="89" t="n">
        <x:f>SUM(M56:O56)</x:f>
        <x:v>2</x:v>
      </x:c>
      <x:c r="Q56" s="84" t="str">
        <x:v>No exact WCVP name match</x:v>
      </x:c>
      <x:c r="R56" s="84" t="str"/>
      <x:c r="S56" s="84" t="str"/>
      <x:c r="T56" s="84" t="str"/>
      <x:c r="U56" s="84" t="str"/>
      <x:c r="V56" s="84" t="str"/>
      <x:c r="W56" s="84" t="str">
        <x:v>Review</x:v>
      </x:c>
    </x:row>
    <x:row r="57" ht="18" customHeight="1">
      <x:c r="A57" s="83" t="str">
        <x:v>HAYS-0056</x:v>
      </x:c>
      <x:c r="B57" s="87" t="str">
        <x:v>Anisacanthus quadrifidus var. wrightii</x:v>
      </x:c>
      <x:c r="C57" s="87" t="str">
        <x:v>Anisacanthus quadrifidus var. wrightii</x:v>
      </x:c>
      <x:c r="D57" s="84" t="str">
        <x:v>Acanthaceae</x:v>
      </x:c>
      <x:c r="E57" s="84" t="str">
        <x:v>Anisacanthus</x:v>
      </x:c>
      <x:c r="F57" s="84" t="str">
        <x:v>Variety</x:v>
      </x:c>
      <x:c r="G57" s="84" t="str">
        <x:v>Accepted</x:v>
      </x:c>
      <x:c r="H57" s="84" t="str">
        <x:v>Flame Acanthus</x:v>
      </x:c>
      <x:c r="I57" s="84" t="str">
        <x:v>Perennial</x:v>
      </x:c>
      <x:c r="J57" s="84" t="str">
        <x:v>Shrub</x:v>
      </x:c>
      <x:c r="K57" s="84" t="str">
        <x:v>Sun</x:v>
      </x:c>
      <x:c r="L57" s="84" t="str">
        <x:v>Low</x:v>
      </x:c>
      <x:c r="M57" s="89" t="n">
        <x:v>0</x:v>
      </x:c>
      <x:c r="N57" s="89" t="n">
        <x:v>0</x:v>
      </x:c>
      <x:c r="O57" s="89" t="n">
        <x:v>1</x:v>
      </x:c>
      <x:c r="P57" s="89" t="n">
        <x:f>SUM(M57:O57)</x:f>
        <x:v>1</x:v>
      </x:c>
      <x:c r="Q57" s="84" t="str">
        <x:v>Exact accepted-name match</x:v>
      </x:c>
      <x:c r="R57" s="84" t="str">
        <x:v>Anisacanthus quadrifidus var. wrightii</x:v>
      </x:c>
      <x:c r="S57" s="84" t="str">
        <x:v>2640120</x:v>
      </x:c>
      <x:c r="T57" s="84" t="str">
        <x:v>2640120</x:v>
      </x:c>
      <x:c r="U57" s="84" t="str">
        <x:v>952518-1</x:v>
      </x:c>
      <x:c r="V57" s="84" t="str">
        <x:v>952518-1</x:v>
      </x:c>
      <x:c r="W57" s="84" t="str"/>
    </x:row>
    <x:row r="58" ht="18" customHeight="1">
      <x:c r="A58" s="83" t="str">
        <x:v>HAYS-0057</x:v>
      </x:c>
      <x:c r="B58" s="87" t="str">
        <x:v>Anoda cristata</x:v>
      </x:c>
      <x:c r="C58" s="87" t="str">
        <x:v>Anoda cristata</x:v>
      </x:c>
      <x:c r="D58" s="84" t="str">
        <x:v>Malvaceae</x:v>
      </x:c>
      <x:c r="E58" s="84" t="str">
        <x:v>Anoda</x:v>
      </x:c>
      <x:c r="F58" s="84" t="str">
        <x:v>Species</x:v>
      </x:c>
      <x:c r="G58" s="84" t="str">
        <x:v>Accepted</x:v>
      </x:c>
      <x:c r="H58" s="84" t="str">
        <x:v>Crested Anoda</x:v>
      </x:c>
      <x:c r="I58" s="84" t="str">
        <x:v>Annual</x:v>
      </x:c>
      <x:c r="J58" s="84" t="str">
        <x:v>Herb</x:v>
      </x:c>
      <x:c r="K58" s="84" t="str"/>
      <x:c r="L58" s="84" t="str"/>
      <x:c r="M58" s="89" t="n">
        <x:v>1</x:v>
      </x:c>
      <x:c r="N58" s="89" t="n">
        <x:v>1</x:v>
      </x:c>
      <x:c r="O58" s="89" t="n">
        <x:v>0</x:v>
      </x:c>
      <x:c r="P58" s="89" t="n">
        <x:f>SUM(M58:O58)</x:f>
        <x:v>2</x:v>
      </x:c>
      <x:c r="Q58" s="84" t="str">
        <x:v>Exact accepted-name match</x:v>
      </x:c>
      <x:c r="R58" s="84" t="str">
        <x:v>Anoda cristata</x:v>
      </x:c>
      <x:c r="S58" s="84" t="str">
        <x:v>2641086</x:v>
      </x:c>
      <x:c r="T58" s="84" t="str">
        <x:v>2641086</x:v>
      </x:c>
      <x:c r="U58" s="84" t="str">
        <x:v>1218005-2</x:v>
      </x:c>
      <x:c r="V58" s="84" t="str">
        <x:v>1218005-2</x:v>
      </x:c>
      <x:c r="W58" s="84" t="str"/>
    </x:row>
    <x:row r="59" ht="18" customHeight="1">
      <x:c r="A59" s="83" t="str">
        <x:v>HAYS-0058</x:v>
      </x:c>
      <x:c r="B59" s="87" t="str">
        <x:v>Aphanostephus riddellii</x:v>
      </x:c>
      <x:c r="C59" s="87" t="str">
        <x:v>Aphanostephus riddellii</x:v>
      </x:c>
      <x:c r="D59" s="84" t="str">
        <x:v>Asteraceae</x:v>
      </x:c>
      <x:c r="E59" s="84" t="str">
        <x:v>Aphanostephus</x:v>
      </x:c>
      <x:c r="F59" s="84" t="str">
        <x:v>Species</x:v>
      </x:c>
      <x:c r="G59" s="84" t="str">
        <x:v>Accepted</x:v>
      </x:c>
      <x:c r="H59" s="84" t="str">
        <x:v>Riddell's Dozedaisy, Lazy Daisy</x:v>
      </x:c>
      <x:c r="I59" s="84" t="str">
        <x:v>Perennial</x:v>
      </x:c>
      <x:c r="J59" s="84" t="str">
        <x:v>Herb</x:v>
      </x:c>
      <x:c r="K59" s="84" t="str">
        <x:v>Sun</x:v>
      </x:c>
      <x:c r="L59" s="84" t="str">
        <x:v>Moist</x:v>
      </x:c>
      <x:c r="M59" s="89" t="n">
        <x:v>1</x:v>
      </x:c>
      <x:c r="N59" s="89" t="n">
        <x:v>1</x:v>
      </x:c>
      <x:c r="O59" s="89" t="n">
        <x:v>0</x:v>
      </x:c>
      <x:c r="P59" s="89" t="n">
        <x:f>SUM(M59:O59)</x:f>
        <x:v>2</x:v>
      </x:c>
      <x:c r="Q59" s="84" t="str">
        <x:v>Exact accepted-name match</x:v>
      </x:c>
      <x:c r="R59" s="84" t="str">
        <x:v>Aphanostephus riddellii</x:v>
      </x:c>
      <x:c r="S59" s="84" t="str">
        <x:v>3103959</x:v>
      </x:c>
      <x:c r="T59" s="84" t="str">
        <x:v>3103959</x:v>
      </x:c>
      <x:c r="U59" s="84" t="str">
        <x:v>177843-1</x:v>
      </x:c>
      <x:c r="V59" s="84" t="str">
        <x:v>177843-1</x:v>
      </x:c>
      <x:c r="W59" s="84" t="str"/>
    </x:row>
    <x:row r="60" ht="18" customHeight="1">
      <x:c r="A60" s="83" t="str">
        <x:v>HAYS-0059</x:v>
      </x:c>
      <x:c r="B60" s="87" t="str">
        <x:v>Aphanostephus skirrhobasis</x:v>
      </x:c>
      <x:c r="C60" s="87" t="str">
        <x:v>Aphanostephus skirrhobasis</x:v>
      </x:c>
      <x:c r="D60" s="84" t="str">
        <x:v>Asteraceae</x:v>
      </x:c>
      <x:c r="E60" s="84" t="str">
        <x:v>Aphanostephus</x:v>
      </x:c>
      <x:c r="F60" s="84" t="str">
        <x:v>Species</x:v>
      </x:c>
      <x:c r="G60" s="84" t="str">
        <x:v>Accepted</x:v>
      </x:c>
      <x:c r="H60" s="84" t="str">
        <x:v>Lazy Daisy, Arkansas Lazy Daisy, Arkansas Doze-daisy</x:v>
      </x:c>
      <x:c r="I60" s="84" t="str">
        <x:v>Annual</x:v>
      </x:c>
      <x:c r="J60" s="84" t="str">
        <x:v>Herb</x:v>
      </x:c>
      <x:c r="K60" s="84" t="str">
        <x:v>Sun</x:v>
      </x:c>
      <x:c r="L60" s="84" t="str">
        <x:v>Dry</x:v>
      </x:c>
      <x:c r="M60" s="89" t="n">
        <x:v>1</x:v>
      </x:c>
      <x:c r="N60" s="89" t="n">
        <x:v>1</x:v>
      </x:c>
      <x:c r="O60" s="89" t="n">
        <x:v>0</x:v>
      </x:c>
      <x:c r="P60" s="89" t="n">
        <x:f>SUM(M60:O60)</x:f>
        <x:v>2</x:v>
      </x:c>
      <x:c r="Q60" s="84" t="str">
        <x:v>Exact accepted-name match</x:v>
      </x:c>
      <x:c r="R60" s="84" t="str">
        <x:v>Aphanostephus skirrhobasis</x:v>
      </x:c>
      <x:c r="S60" s="84" t="str">
        <x:v>3103966</x:v>
      </x:c>
      <x:c r="T60" s="84" t="str">
        <x:v>3103966</x:v>
      </x:c>
      <x:c r="U60" s="84" t="str">
        <x:v>15959-2</x:v>
      </x:c>
      <x:c r="V60" s="84" t="str">
        <x:v>15959-2</x:v>
      </x:c>
      <x:c r="W60" s="84" t="str"/>
    </x:row>
    <x:row r="61" ht="18" customHeight="1">
      <x:c r="A61" s="83" t="str">
        <x:v>HAYS-0060</x:v>
      </x:c>
      <x:c r="B61" s="87" t="str">
        <x:v>Aquilegia canadensis</x:v>
      </x:c>
      <x:c r="C61" s="87" t="str">
        <x:v>Aquilegia canadensis</x:v>
      </x:c>
      <x:c r="D61" s="84" t="str">
        <x:v>Ranunculaceae</x:v>
      </x:c>
      <x:c r="E61" s="84" t="str">
        <x:v>Aquilegia</x:v>
      </x:c>
      <x:c r="F61" s="84" t="str">
        <x:v>Species</x:v>
      </x:c>
      <x:c r="G61" s="84" t="str">
        <x:v>Accepted</x:v>
      </x:c>
      <x:c r="H61" s="84" t="str">
        <x:v>Eastern Red Columbine, Wild Red Columbine</x:v>
      </x:c>
      <x:c r="I61" s="84" t="str">
        <x:v>Perennial</x:v>
      </x:c>
      <x:c r="J61" s="84" t="str">
        <x:v>Herb</x:v>
      </x:c>
      <x:c r="K61" s="84" t="str">
        <x:v>Part Shade</x:v>
      </x:c>
      <x:c r="L61" s="84" t="str">
        <x:v>Medium</x:v>
      </x:c>
      <x:c r="M61" s="89" t="n">
        <x:v>1</x:v>
      </x:c>
      <x:c r="N61" s="89" t="n">
        <x:v>1</x:v>
      </x:c>
      <x:c r="O61" s="89" t="n">
        <x:v>1</x:v>
      </x:c>
      <x:c r="P61" s="89" t="n">
        <x:f>SUM(M61:O61)</x:f>
        <x:v>3</x:v>
      </x:c>
      <x:c r="Q61" s="84" t="str">
        <x:v>Exact accepted-name match</x:v>
      </x:c>
      <x:c r="R61" s="84" t="str">
        <x:v>Aquilegia canadensis</x:v>
      </x:c>
      <x:c r="S61" s="84" t="str">
        <x:v>2644676</x:v>
      </x:c>
      <x:c r="T61" s="84" t="str">
        <x:v>2644676</x:v>
      </x:c>
      <x:c r="U61" s="84" t="str">
        <x:v>30028287-2</x:v>
      </x:c>
      <x:c r="V61" s="84" t="str">
        <x:v>30028287-2</x:v>
      </x:c>
      <x:c r="W61" s="84" t="str"/>
    </x:row>
    <x:row r="62" ht="18" customHeight="1">
      <x:c r="A62" s="83" t="str">
        <x:v>HAYS-0061</x:v>
      </x:c>
      <x:c r="B62" s="87" t="str">
        <x:v>Arabis petiolaris</x:v>
      </x:c>
      <x:c r="C62" s="87" t="str">
        <x:v>Streptanthus petiolaris</x:v>
      </x:c>
      <x:c r="D62" s="84" t="str">
        <x:v>Brassicaceae</x:v>
      </x:c>
      <x:c r="E62" s="84" t="str">
        <x:v>Streptanthus</x:v>
      </x:c>
      <x:c r="F62" s="84" t="str">
        <x:v>Species</x:v>
      </x:c>
      <x:c r="G62" s="84" t="str">
        <x:v>Synonym</x:v>
      </x:c>
      <x:c r="H62" s="84" t="str">
        <x:v>Brazos Rockcress, Rock-cress, Brazos Rock-cress</x:v>
      </x:c>
      <x:c r="I62" s="84" t="str">
        <x:v>Annual</x:v>
      </x:c>
      <x:c r="J62" s="84" t="str">
        <x:v>Herb</x:v>
      </x:c>
      <x:c r="K62" s="84" t="str">
        <x:v>Sun</x:v>
      </x:c>
      <x:c r="L62" s="84" t="str"/>
      <x:c r="M62" s="89" t="n">
        <x:v>1</x:v>
      </x:c>
      <x:c r="N62" s="89" t="n">
        <x:v>1</x:v>
      </x:c>
      <x:c r="O62" s="89" t="n">
        <x:v>0</x:v>
      </x:c>
      <x:c r="P62" s="89" t="n">
        <x:f>SUM(M62:O62)</x:f>
        <x:v>2</x:v>
      </x:c>
      <x:c r="Q62" s="84" t="str">
        <x:v>Exact synonym-name match</x:v>
      </x:c>
      <x:c r="R62" s="84" t="str">
        <x:v>Arabis petiolaris</x:v>
      </x:c>
      <x:c r="S62" s="84" t="str">
        <x:v>2646038</x:v>
      </x:c>
      <x:c r="T62" s="84" t="str">
        <x:v>2475069</x:v>
      </x:c>
      <x:c r="U62" s="84" t="str">
        <x:v>1059490-2</x:v>
      </x:c>
      <x:c r="V62" s="84" t="str">
        <x:v>307217-2</x:v>
      </x:c>
      <x:c r="W62" s="84" t="str"/>
    </x:row>
    <x:row r="63" ht="18" customHeight="1">
      <x:c r="A63" s="83" t="str">
        <x:v>HAYS-0062</x:v>
      </x:c>
      <x:c r="B63" s="87" t="str">
        <x:v>Arbutus xalapensis</x:v>
      </x:c>
      <x:c r="C63" s="87" t="str">
        <x:v>Arbutus xalapensis</x:v>
      </x:c>
      <x:c r="D63" s="84" t="str">
        <x:v>Ericaceae</x:v>
      </x:c>
      <x:c r="E63" s="84" t="str">
        <x:v>Arbutus</x:v>
      </x:c>
      <x:c r="F63" s="84" t="str">
        <x:v>Species</x:v>
      </x:c>
      <x:c r="G63" s="84" t="str">
        <x:v>Accepted</x:v>
      </x:c>
      <x:c r="H63" s="84" t="str">
        <x:v>Texas Madrone</x:v>
      </x:c>
      <x:c r="I63" s="84" t="str">
        <x:v>Perennial</x:v>
      </x:c>
      <x:c r="J63" s="84" t="str">
        <x:v>Tree</x:v>
      </x:c>
      <x:c r="K63" s="84" t="str">
        <x:v>Sun</x:v>
      </x:c>
      <x:c r="L63" s="84" t="str">
        <x:v>Low</x:v>
      </x:c>
      <x:c r="M63" s="89" t="n">
        <x:v>1</x:v>
      </x:c>
      <x:c r="N63" s="89" t="n">
        <x:v>1</x:v>
      </x:c>
      <x:c r="O63" s="89" t="n">
        <x:v>1</x:v>
      </x:c>
      <x:c r="P63" s="89" t="n">
        <x:f>SUM(M63:O63)</x:f>
        <x:v>3</x:v>
      </x:c>
      <x:c r="Q63" s="84" t="str">
        <x:v>Exact accepted-name match</x:v>
      </x:c>
      <x:c r="R63" s="84" t="str">
        <x:v>Arbutus xalapensis</x:v>
      </x:c>
      <x:c r="S63" s="84" t="str">
        <x:v>2646755</x:v>
      </x:c>
      <x:c r="T63" s="84" t="str">
        <x:v>2646755</x:v>
      </x:c>
      <x:c r="U63" s="84" t="str">
        <x:v>309483-2</x:v>
      </x:c>
      <x:c r="V63" s="84" t="str">
        <x:v>309483-2</x:v>
      </x:c>
      <x:c r="W63" s="84" t="str"/>
    </x:row>
    <x:row r="64" ht="18" customHeight="1">
      <x:c r="A64" s="83" t="str">
        <x:v>HAYS-0063</x:v>
      </x:c>
      <x:c r="B64" s="87" t="str">
        <x:v>Arenaria benthamii</x:v>
      </x:c>
      <x:c r="C64" s="87" t="str">
        <x:v>Arenaria benthamii</x:v>
      </x:c>
      <x:c r="D64" s="84" t="str">
        <x:v>Caryophyllaceae</x:v>
      </x:c>
      <x:c r="E64" s="84" t="str">
        <x:v>Arenaria</x:v>
      </x:c>
      <x:c r="F64" s="84" t="str">
        <x:v>Species</x:v>
      </x:c>
      <x:c r="G64" s="84" t="str">
        <x:v>Accepted</x:v>
      </x:c>
      <x:c r="H64" s="84" t="str">
        <x:v>Hilly Sandwort</x:v>
      </x:c>
      <x:c r="I64" s="84" t="str">
        <x:v>Annual</x:v>
      </x:c>
      <x:c r="J64" s="84" t="str">
        <x:v>Herb</x:v>
      </x:c>
      <x:c r="K64" s="84" t="str">
        <x:v>Sun, Part-shade</x:v>
      </x:c>
      <x:c r="L64" s="84" t="str">
        <x:v>Moist</x:v>
      </x:c>
      <x:c r="M64" s="89" t="n">
        <x:v>1</x:v>
      </x:c>
      <x:c r="N64" s="89" t="n">
        <x:v>1</x:v>
      </x:c>
      <x:c r="O64" s="89" t="n">
        <x:v>0</x:v>
      </x:c>
      <x:c r="P64" s="89" t="n">
        <x:f>SUM(M64:O64)</x:f>
        <x:v>2</x:v>
      </x:c>
      <x:c r="Q64" s="84" t="str">
        <x:v>Exact accepted-name match</x:v>
      </x:c>
      <x:c r="R64" s="84" t="str">
        <x:v>Arenaria benthamii</x:v>
      </x:c>
      <x:c r="S64" s="84" t="str">
        <x:v>2649116</x:v>
      </x:c>
      <x:c r="T64" s="84" t="str">
        <x:v>2649116</x:v>
      </x:c>
      <x:c r="U64" s="84" t="str">
        <x:v>150998-1</x:v>
      </x:c>
      <x:c r="V64" s="84" t="str">
        <x:v>150998-1</x:v>
      </x:c>
      <x:c r="W64" s="84" t="str"/>
    </x:row>
    <x:row r="65" ht="18" customHeight="1">
      <x:c r="A65" s="83" t="str">
        <x:v>HAYS-0064</x:v>
      </x:c>
      <x:c r="B65" s="87" t="str">
        <x:v>Argemone albiflora</x:v>
      </x:c>
      <x:c r="C65" s="87" t="str">
        <x:v>Argemone albiflora</x:v>
      </x:c>
      <x:c r="D65" s="84" t="str">
        <x:v>Papaveraceae</x:v>
      </x:c>
      <x:c r="E65" s="84" t="str">
        <x:v>Argemone</x:v>
      </x:c>
      <x:c r="F65" s="84" t="str">
        <x:v>Species</x:v>
      </x:c>
      <x:c r="G65" s="84" t="str">
        <x:v>Accepted</x:v>
      </x:c>
      <x:c r="H65" s="84" t="str">
        <x:v>Bluestem Pricklypoppy, White Pricklypoppy, White Prickly Poppy</x:v>
      </x:c>
      <x:c r="I65" s="84" t="str">
        <x:v>Annual</x:v>
      </x:c>
      <x:c r="J65" s="84" t="str">
        <x:v>Herb</x:v>
      </x:c>
      <x:c r="K65" s="84" t="str">
        <x:v>Part-shade</x:v>
      </x:c>
      <x:c r="L65" s="84" t="str">
        <x:v>Dry</x:v>
      </x:c>
      <x:c r="M65" s="89" t="n">
        <x:v>1</x:v>
      </x:c>
      <x:c r="N65" s="89" t="n">
        <x:v>1</x:v>
      </x:c>
      <x:c r="O65" s="89" t="n">
        <x:v>0</x:v>
      </x:c>
      <x:c r="P65" s="89" t="n">
        <x:f>SUM(M65:O65)</x:f>
        <x:v>2</x:v>
      </x:c>
      <x:c r="Q65" s="84" t="str">
        <x:v>Exact accepted-name match</x:v>
      </x:c>
      <x:c r="R65" s="84" t="str">
        <x:v>Argemone albiflora</x:v>
      </x:c>
      <x:c r="S65" s="84" t="str">
        <x:v>2650467</x:v>
      </x:c>
      <x:c r="T65" s="84" t="str">
        <x:v>2650467</x:v>
      </x:c>
      <x:c r="U65" s="84" t="str">
        <x:v>671680-1</x:v>
      </x:c>
      <x:c r="V65" s="84" t="str">
        <x:v>671680-1</x:v>
      </x:c>
      <x:c r="W65" s="84" t="str"/>
    </x:row>
    <x:row r="66" ht="18" customHeight="1">
      <x:c r="A66" s="83" t="str">
        <x:v>HAYS-0065</x:v>
      </x:c>
      <x:c r="B66" s="87" t="str">
        <x:v>Argemone aurantiaca</x:v>
      </x:c>
      <x:c r="C66" s="87" t="str">
        <x:v>Argemone aurantiaca</x:v>
      </x:c>
      <x:c r="D66" s="84" t="str">
        <x:v>Papaveraceae</x:v>
      </x:c>
      <x:c r="E66" s="84" t="str">
        <x:v>Argemone</x:v>
      </x:c>
      <x:c r="F66" s="84" t="str">
        <x:v>Species</x:v>
      </x:c>
      <x:c r="G66" s="84" t="str">
        <x:v>Accepted</x:v>
      </x:c>
      <x:c r="H66" s="84" t="str">
        <x:v>Texas Pricklypoppy, Texas Prickly Poppy</x:v>
      </x:c>
      <x:c r="I66" s="84" t="str">
        <x:v>Annual, Biennial</x:v>
      </x:c>
      <x:c r="J66" s="84" t="str">
        <x:v>Herb</x:v>
      </x:c>
      <x:c r="K66" s="84" t="str">
        <x:v>Sun</x:v>
      </x:c>
      <x:c r="L66" s="84" t="str">
        <x:v>Moist, Dry</x:v>
      </x:c>
      <x:c r="M66" s="89" t="n">
        <x:v>1</x:v>
      </x:c>
      <x:c r="N66" s="89" t="n">
        <x:v>1</x:v>
      </x:c>
      <x:c r="O66" s="89" t="n">
        <x:v>0</x:v>
      </x:c>
      <x:c r="P66" s="89" t="n">
        <x:f>SUM(M66:O66)</x:f>
        <x:v>2</x:v>
      </x:c>
      <x:c r="Q66" s="84" t="str">
        <x:v>Exact accepted-name match</x:v>
      </x:c>
      <x:c r="R66" s="84" t="str">
        <x:v>Argemone aurantiaca</x:v>
      </x:c>
      <x:c r="S66" s="84" t="str">
        <x:v>2650473</x:v>
      </x:c>
      <x:c r="T66" s="84" t="str">
        <x:v>2650473</x:v>
      </x:c>
      <x:c r="U66" s="84" t="str">
        <x:v>18790-2</x:v>
      </x:c>
      <x:c r="V66" s="84" t="str">
        <x:v>18790-2</x:v>
      </x:c>
      <x:c r="W66" s="84" t="str"/>
    </x:row>
    <x:row r="67" ht="18" customHeight="1">
      <x:c r="A67" s="83" t="str">
        <x:v>HAYS-0066</x:v>
      </x:c>
      <x:c r="B67" s="87" t="str">
        <x:v>Argemone polyanthemos</x:v>
      </x:c>
      <x:c r="C67" s="87" t="str">
        <x:v>Argemone polyanthemos</x:v>
      </x:c>
      <x:c r="D67" s="84" t="str">
        <x:v>Papaveraceae</x:v>
      </x:c>
      <x:c r="E67" s="84" t="str">
        <x:v>Argemone</x:v>
      </x:c>
      <x:c r="F67" s="84" t="str">
        <x:v>Species</x:v>
      </x:c>
      <x:c r="G67" s="84" t="str">
        <x:v>Accepted</x:v>
      </x:c>
      <x:c r="H67" s="84" t="str">
        <x:v>White Prickly Poppy</x:v>
      </x:c>
      <x:c r="I67" s="84" t="str">
        <x:v>Annual</x:v>
      </x:c>
      <x:c r="J67" s="84" t="str">
        <x:v>Herb</x:v>
      </x:c>
      <x:c r="K67" s="84" t="str">
        <x:v>Full Sun</x:v>
      </x:c>
      <x:c r="L67" s="84" t="str">
        <x:v>Dry</x:v>
      </x:c>
      <x:c r="M67" s="89" t="n">
        <x:v>0</x:v>
      </x:c>
      <x:c r="N67" s="89" t="n">
        <x:v>0</x:v>
      </x:c>
      <x:c r="O67" s="89" t="n">
        <x:v>1</x:v>
      </x:c>
      <x:c r="P67" s="89" t="n">
        <x:f>SUM(M67:O67)</x:f>
        <x:v>1</x:v>
      </x:c>
      <x:c r="Q67" s="84" t="str">
        <x:v>Exact accepted-name match</x:v>
      </x:c>
      <x:c r="R67" s="84" t="str">
        <x:v>Argemone polyanthemos</x:v>
      </x:c>
      <x:c r="S67" s="84" t="str">
        <x:v>2650567</x:v>
      </x:c>
      <x:c r="T67" s="84" t="str">
        <x:v>2650567</x:v>
      </x:c>
      <x:c r="U67" s="84" t="str">
        <x:v>18861-2</x:v>
      </x:c>
      <x:c r="V67" s="84" t="str">
        <x:v>18861-2</x:v>
      </x:c>
      <x:c r="W67" s="84" t="str"/>
    </x:row>
    <x:row r="68" ht="18" customHeight="1">
      <x:c r="A68" s="83" t="str">
        <x:v>HAYS-0067</x:v>
      </x:c>
      <x:c r="B68" s="87" t="str">
        <x:v>Argemone sanguinea</x:v>
      </x:c>
      <x:c r="C68" s="87" t="str">
        <x:v>Argemone sanguinea</x:v>
      </x:c>
      <x:c r="D68" s="84" t="str">
        <x:v>Papaveraceae</x:v>
      </x:c>
      <x:c r="E68" s="84" t="str">
        <x:v>Argemone</x:v>
      </x:c>
      <x:c r="F68" s="84" t="str">
        <x:v>Species</x:v>
      </x:c>
      <x:c r="G68" s="84" t="str">
        <x:v>Accepted</x:v>
      </x:c>
      <x:c r="H68" s="84" t="str">
        <x:v>Red Pricklypoppy, Rose Prickly Poppy, Red Prickly Poppy</x:v>
      </x:c>
      <x:c r="I68" s="84" t="str">
        <x:v>Annual</x:v>
      </x:c>
      <x:c r="J68" s="84" t="str">
        <x:v>Herb</x:v>
      </x:c>
      <x:c r="K68" s="84" t="str">
        <x:v>Sun</x:v>
      </x:c>
      <x:c r="L68" s="84" t="str">
        <x:v>Low</x:v>
      </x:c>
      <x:c r="M68" s="89" t="n">
        <x:v>0</x:v>
      </x:c>
      <x:c r="N68" s="89" t="n">
        <x:v>0</x:v>
      </x:c>
      <x:c r="O68" s="89" t="n">
        <x:v>1</x:v>
      </x:c>
      <x:c r="P68" s="89" t="n">
        <x:f>SUM(M68:O68)</x:f>
        <x:v>1</x:v>
      </x:c>
      <x:c r="Q68" s="84" t="str">
        <x:v>Exact accepted-name match</x:v>
      </x:c>
      <x:c r="R68" s="84" t="str">
        <x:v>Argemone sanguinea</x:v>
      </x:c>
      <x:c r="S68" s="84" t="str">
        <x:v>2650572</x:v>
      </x:c>
      <x:c r="T68" s="84" t="str">
        <x:v>2650572</x:v>
      </x:c>
      <x:c r="U68" s="84" t="str">
        <x:v>18865-2</x:v>
      </x:c>
      <x:c r="V68" s="84" t="str">
        <x:v>18865-2</x:v>
      </x:c>
      <x:c r="W68" s="84" t="str"/>
    </x:row>
    <x:row r="69" ht="18" customHeight="1">
      <x:c r="A69" s="83" t="str">
        <x:v>HAYS-0068</x:v>
      </x:c>
      <x:c r="B69" s="87" t="str">
        <x:v>Argyrochosma dealbata</x:v>
      </x:c>
      <x:c r="C69" s="87" t="str">
        <x:v>Hemionitis artax</x:v>
      </x:c>
      <x:c r="D69" s="84" t="str">
        <x:v>Pteridaceae</x:v>
      </x:c>
      <x:c r="E69" s="84" t="str">
        <x:v>Hemionitis</x:v>
      </x:c>
      <x:c r="F69" s="84" t="str">
        <x:v>Species</x:v>
      </x:c>
      <x:c r="G69" s="84" t="str">
        <x:v>Synonym</x:v>
      </x:c>
      <x:c r="H69" s="84" t="str">
        <x:v>Powdery False Cloak Fern, Powdery Cloak Fern, False Cloak Fern</x:v>
      </x:c>
      <x:c r="I69" s="84" t="str">
        <x:v>Perennial</x:v>
      </x:c>
      <x:c r="J69" s="84" t="str">
        <x:v>Herb, Fern</x:v>
      </x:c>
      <x:c r="K69" s="84" t="str">
        <x:v>Shade</x:v>
      </x:c>
      <x:c r="L69" s="84" t="str">
        <x:v>Moist</x:v>
      </x:c>
      <x:c r="M69" s="89" t="n">
        <x:v>1</x:v>
      </x:c>
      <x:c r="N69" s="89" t="n">
        <x:v>1</x:v>
      </x:c>
      <x:c r="O69" s="89" t="n">
        <x:v>0</x:v>
      </x:c>
      <x:c r="P69" s="89" t="n">
        <x:f>SUM(M69:O69)</x:f>
        <x:v>2</x:v>
      </x:c>
      <x:c r="Q69" s="84" t="str">
        <x:v>Exact synonym-name match</x:v>
      </x:c>
      <x:c r="R69" s="84" t="str">
        <x:v>Argyrochosma dealbata</x:v>
      </x:c>
      <x:c r="S69" s="84" t="str">
        <x:v>3147092</x:v>
      </x:c>
      <x:c r="T69" s="84" t="str">
        <x:v>3218061</x:v>
      </x:c>
      <x:c r="U69" s="84" t="str">
        <x:v>272601-2</x:v>
      </x:c>
      <x:c r="V69" s="84" t="str">
        <x:v>77182269-1</x:v>
      </x:c>
      <x:c r="W69" s="84" t="str"/>
    </x:row>
    <x:row r="70" ht="18" customHeight="1">
      <x:c r="A70" s="83" t="str">
        <x:v>HAYS-0069</x:v>
      </x:c>
      <x:c r="B70" s="87" t="str">
        <x:v>Argythamnia aphoroides</x:v>
      </x:c>
      <x:c r="C70" s="87" t="str">
        <x:v>Argythamnia aphoroides</x:v>
      </x:c>
      <x:c r="D70" s="84" t="str">
        <x:v>Euphorbiaceae</x:v>
      </x:c>
      <x:c r="E70" s="84" t="str">
        <x:v>Argythamnia</x:v>
      </x:c>
      <x:c r="F70" s="84" t="str">
        <x:v>Species</x:v>
      </x:c>
      <x:c r="G70" s="84" t="str">
        <x:v>Accepted</x:v>
      </x:c>
      <x:c r="H70" s="84" t="str">
        <x:v>Hill Country Silverbush</x:v>
      </x:c>
      <x:c r="I70" s="84" t="str">
        <x:v>Perennial</x:v>
      </x:c>
      <x:c r="J70" s="84" t="str">
        <x:v>Herb</x:v>
      </x:c>
      <x:c r="K70" s="84" t="str"/>
      <x:c r="L70" s="84" t="str"/>
      <x:c r="M70" s="89" t="n">
        <x:v>1</x:v>
      </x:c>
      <x:c r="N70" s="89" t="n">
        <x:v>1</x:v>
      </x:c>
      <x:c r="O70" s="89" t="n">
        <x:v>0</x:v>
      </x:c>
      <x:c r="P70" s="89" t="n">
        <x:f>SUM(M70:O70)</x:f>
        <x:v>2</x:v>
      </x:c>
      <x:c r="Q70" s="84" t="str">
        <x:v>Exact accepted-name match</x:v>
      </x:c>
      <x:c r="R70" s="84" t="str">
        <x:v>Argythamnia aphoroides</x:v>
      </x:c>
      <x:c r="S70" s="84" t="str">
        <x:v>15044</x:v>
      </x:c>
      <x:c r="T70" s="84" t="str">
        <x:v>15044</x:v>
      </x:c>
      <x:c r="U70" s="84" t="str">
        <x:v>339338-1</x:v>
      </x:c>
      <x:c r="V70" s="84" t="str">
        <x:v>339338-1</x:v>
      </x:c>
      <x:c r="W70" s="84" t="str"/>
    </x:row>
    <x:row r="71" ht="18" customHeight="1">
      <x:c r="A71" s="83" t="str">
        <x:v>HAYS-0070</x:v>
      </x:c>
      <x:c r="B71" s="87" t="str">
        <x:v>Argythamnia humilis</x:v>
      </x:c>
      <x:c r="C71" s="87" t="str">
        <x:v>Argythamnia humilis</x:v>
      </x:c>
      <x:c r="D71" s="84" t="str">
        <x:v>Euphorbiaceae</x:v>
      </x:c>
      <x:c r="E71" s="84" t="str">
        <x:v>Argythamnia</x:v>
      </x:c>
      <x:c r="F71" s="84" t="str">
        <x:v>Species</x:v>
      </x:c>
      <x:c r="G71" s="84" t="str">
        <x:v>Accepted</x:v>
      </x:c>
      <x:c r="H71" s="84" t="str">
        <x:v>Low Silverbush</x:v>
      </x:c>
      <x:c r="I71" s="84" t="str">
        <x:v>Perennial</x:v>
      </x:c>
      <x:c r="J71" s="84" t="str">
        <x:v>Subshrub</x:v>
      </x:c>
      <x:c r="K71" s="84" t="str">
        <x:v>Sun, Part-shade</x:v>
      </x:c>
      <x:c r="L71" s="84" t="str">
        <x:v>Dry</x:v>
      </x:c>
      <x:c r="M71" s="89" t="n">
        <x:v>1</x:v>
      </x:c>
      <x:c r="N71" s="89" t="n">
        <x:v>1</x:v>
      </x:c>
      <x:c r="O71" s="89" t="n">
        <x:v>0</x:v>
      </x:c>
      <x:c r="P71" s="89" t="n">
        <x:f>SUM(M71:O71)</x:f>
        <x:v>2</x:v>
      </x:c>
      <x:c r="Q71" s="84" t="str">
        <x:v>Exact accepted-name match</x:v>
      </x:c>
      <x:c r="R71" s="84" t="str">
        <x:v>Argythamnia humilis</x:v>
      </x:c>
      <x:c r="S71" s="84" t="str">
        <x:v>15103</x:v>
      </x:c>
      <x:c r="T71" s="84" t="str">
        <x:v>15103</x:v>
      </x:c>
      <x:c r="U71" s="84" t="str">
        <x:v>18922-2</x:v>
      </x:c>
      <x:c r="V71" s="84" t="str">
        <x:v>18922-2</x:v>
      </x:c>
      <x:c r="W71" s="84" t="str"/>
    </x:row>
    <x:row r="72" ht="18" customHeight="1">
      <x:c r="A72" s="83" t="str">
        <x:v>HAYS-0071</x:v>
      </x:c>
      <x:c r="B72" s="87" t="str">
        <x:v>Argythamnia simulans</x:v>
      </x:c>
      <x:c r="C72" s="87" t="str">
        <x:v>Argythamnia simulans</x:v>
      </x:c>
      <x:c r="D72" s="84" t="str">
        <x:v>Euphorbiaceae</x:v>
      </x:c>
      <x:c r="E72" s="84" t="str">
        <x:v>Argythamnia</x:v>
      </x:c>
      <x:c r="F72" s="84" t="str">
        <x:v>Species</x:v>
      </x:c>
      <x:c r="G72" s="84" t="str">
        <x:v>Accepted</x:v>
      </x:c>
      <x:c r="H72" s="84" t="str">
        <x:v>Plateau Silverbush, Tall Wild-mercury</x:v>
      </x:c>
      <x:c r="I72" s="84" t="str">
        <x:v>Perennial</x:v>
      </x:c>
      <x:c r="J72" s="84" t="str">
        <x:v>Herb</x:v>
      </x:c>
      <x:c r="K72" s="84" t="str"/>
      <x:c r="L72" s="84" t="str"/>
      <x:c r="M72" s="89" t="n">
        <x:v>1</x:v>
      </x:c>
      <x:c r="N72" s="89" t="n">
        <x:v>1</x:v>
      </x:c>
      <x:c r="O72" s="89" t="n">
        <x:v>0</x:v>
      </x:c>
      <x:c r="P72" s="89" t="n">
        <x:f>SUM(M72:O72)</x:f>
        <x:v>2</x:v>
      </x:c>
      <x:c r="Q72" s="84" t="str">
        <x:v>Exact accepted-name match</x:v>
      </x:c>
      <x:c r="R72" s="84" t="str">
        <x:v>Argythamnia simulans</x:v>
      </x:c>
      <x:c r="S72" s="84" t="str">
        <x:v>15170</x:v>
      </x:c>
      <x:c r="T72" s="84" t="str">
        <x:v>15170</x:v>
      </x:c>
      <x:c r="U72" s="84" t="str">
        <x:v>19032-2</x:v>
      </x:c>
      <x:c r="V72" s="84" t="str">
        <x:v>19032-2</x:v>
      </x:c>
      <x:c r="W72" s="84" t="str"/>
    </x:row>
    <x:row r="73" ht="18" customHeight="1">
      <x:c r="A73" s="83" t="str">
        <x:v>HAYS-0072</x:v>
      </x:c>
      <x:c r="B73" s="87" t="str">
        <x:v>Arisaema dracontium</x:v>
      </x:c>
      <x:c r="C73" s="87" t="str">
        <x:v>Arisaema dracontium</x:v>
      </x:c>
      <x:c r="D73" s="84" t="str">
        <x:v>Araceae</x:v>
      </x:c>
      <x:c r="E73" s="84" t="str">
        <x:v>Arisaema</x:v>
      </x:c>
      <x:c r="F73" s="84" t="str">
        <x:v>Species</x:v>
      </x:c>
      <x:c r="G73" s="84" t="str">
        <x:v>Accepted</x:v>
      </x:c>
      <x:c r="H73" s="84" t="str">
        <x:v>Green Dragon, Dragonroot, Greendragon</x:v>
      </x:c>
      <x:c r="I73" s="84" t="str">
        <x:v>Perennial</x:v>
      </x:c>
      <x:c r="J73" s="84" t="str">
        <x:v>Herb</x:v>
      </x:c>
      <x:c r="K73" s="84" t="str">
        <x:v>Sun, Shade</x:v>
      </x:c>
      <x:c r="L73" s="84" t="str">
        <x:v>Moist</x:v>
      </x:c>
      <x:c r="M73" s="89" t="n">
        <x:v>1</x:v>
      </x:c>
      <x:c r="N73" s="89" t="n">
        <x:v>1</x:v>
      </x:c>
      <x:c r="O73" s="89" t="n">
        <x:v>0</x:v>
      </x:c>
      <x:c r="P73" s="89" t="n">
        <x:f>SUM(M73:O73)</x:f>
        <x:v>2</x:v>
      </x:c>
      <x:c r="Q73" s="84" t="str">
        <x:v>Exact accepted-name match</x:v>
      </x:c>
      <x:c r="R73" s="84" t="str">
        <x:v>Arisaema dracontium</x:v>
      </x:c>
      <x:c r="S73" s="84" t="str">
        <x:v>15343</x:v>
      </x:c>
      <x:c r="T73" s="84" t="str">
        <x:v>15343</x:v>
      </x:c>
      <x:c r="U73" s="84" t="str">
        <x:v>85629-1</x:v>
      </x:c>
      <x:c r="V73" s="84" t="str">
        <x:v>85629-1</x:v>
      </x:c>
      <x:c r="W73" s="84" t="str"/>
    </x:row>
    <x:row r="74" ht="18" customHeight="1">
      <x:c r="A74" s="83" t="str">
        <x:v>HAYS-0073</x:v>
      </x:c>
      <x:c r="B74" s="87" t="str">
        <x:v>Aristida oligantha</x:v>
      </x:c>
      <x:c r="C74" s="87" t="str">
        <x:v>Aristida oligantha</x:v>
      </x:c>
      <x:c r="D74" s="84" t="str">
        <x:v>Poaceae</x:v>
      </x:c>
      <x:c r="E74" s="84" t="str">
        <x:v>Aristida</x:v>
      </x:c>
      <x:c r="F74" s="84" t="str">
        <x:v>Species</x:v>
      </x:c>
      <x:c r="G74" s="84" t="str">
        <x:v>Accepted</x:v>
      </x:c>
      <x:c r="H74" s="84" t="str">
        <x:v>Prairie Threeawn, Oldfield (Prairie) 3-awn, Oldfield Threeawn</x:v>
      </x:c>
      <x:c r="I74" s="84" t="str">
        <x:v>Annual</x:v>
      </x:c>
      <x:c r="J74" s="84" t="str">
        <x:v>Grass/Grass-like</x:v>
      </x:c>
      <x:c r="K74" s="84" t="str">
        <x:v>Sun</x:v>
      </x:c>
      <x:c r="L74" s="84" t="str">
        <x:v>Dry</x:v>
      </x:c>
      <x:c r="M74" s="89" t="n">
        <x:v>1</x:v>
      </x:c>
      <x:c r="N74" s="89" t="n">
        <x:v>1</x:v>
      </x:c>
      <x:c r="O74" s="89" t="n">
        <x:v>0</x:v>
      </x:c>
      <x:c r="P74" s="89" t="n">
        <x:f>SUM(M74:O74)</x:f>
        <x:v>2</x:v>
      </x:c>
      <x:c r="Q74" s="84" t="str">
        <x:v>Exact accepted-name match</x:v>
      </x:c>
      <x:c r="R74" s="84" t="str">
        <x:v>Aristida oligantha</x:v>
      </x:c>
      <x:c r="S74" s="84" t="str">
        <x:v>394928</x:v>
      </x:c>
      <x:c r="T74" s="84" t="str">
        <x:v>394928</x:v>
      </x:c>
      <x:c r="U74" s="84" t="str">
        <x:v>325343-2</x:v>
      </x:c>
      <x:c r="V74" s="84" t="str">
        <x:v>325343-2</x:v>
      </x:c>
      <x:c r="W74" s="84" t="str"/>
    </x:row>
    <x:row r="75" ht="18" customHeight="1">
      <x:c r="A75" s="83" t="str">
        <x:v>HAYS-0074</x:v>
      </x:c>
      <x:c r="B75" s="87" t="str">
        <x:v>Aristida purpurea</x:v>
      </x:c>
      <x:c r="C75" s="87" t="str">
        <x:v>Aristida purpurea</x:v>
      </x:c>
      <x:c r="D75" s="84" t="str">
        <x:v>Poaceae</x:v>
      </x:c>
      <x:c r="E75" s="84" t="str">
        <x:v>Aristida</x:v>
      </x:c>
      <x:c r="F75" s="84" t="str">
        <x:v>Species</x:v>
      </x:c>
      <x:c r="G75" s="84" t="str">
        <x:v>Accepted</x:v>
      </x:c>
      <x:c r="H75" s="84" t="str">
        <x:v>Purple Threeawn, Purple 3-awn, Purple Three-awn, Red Threeawn</x:v>
      </x:c>
      <x:c r="I75" s="84" t="str">
        <x:v>Annual</x:v>
      </x:c>
      <x:c r="J75" s="84" t="str">
        <x:v>Grass</x:v>
      </x:c>
      <x:c r="K75" s="84" t="str">
        <x:v>Sun</x:v>
      </x:c>
      <x:c r="L75" s="84" t="str">
        <x:v>Low</x:v>
      </x:c>
      <x:c r="M75" s="89" t="n">
        <x:v>1</x:v>
      </x:c>
      <x:c r="N75" s="89" t="n">
        <x:v>1</x:v>
      </x:c>
      <x:c r="O75" s="89" t="n">
        <x:v>1</x:v>
      </x:c>
      <x:c r="P75" s="89" t="n">
        <x:f>SUM(M75:O75)</x:f>
        <x:v>3</x:v>
      </x:c>
      <x:c r="Q75" s="84" t="str">
        <x:v>Exact accepted-name match</x:v>
      </x:c>
      <x:c r="R75" s="84" t="str">
        <x:v>Aristida purpurea</x:v>
      </x:c>
      <x:c r="S75" s="84" t="str">
        <x:v>395056</x:v>
      </x:c>
      <x:c r="T75" s="84" t="str">
        <x:v>395056</x:v>
      </x:c>
      <x:c r="U75" s="84" t="str">
        <x:v>327975-2</x:v>
      </x:c>
      <x:c r="V75" s="84" t="str">
        <x:v>327975-2</x:v>
      </x:c>
      <x:c r="W75" s="84" t="str"/>
    </x:row>
    <x:row r="76" ht="18" customHeight="1">
      <x:c r="A76" s="83" t="str">
        <x:v>HAYS-0075</x:v>
      </x:c>
      <x:c r="B76" s="87" t="str">
        <x:v>Aristolochia erecta</x:v>
      </x:c>
      <x:c r="C76" s="87" t="str">
        <x:v>Aristolochia erecta</x:v>
      </x:c>
      <x:c r="D76" s="84" t="str">
        <x:v>Aristolochiaceae</x:v>
      </x:c>
      <x:c r="E76" s="84" t="str">
        <x:v>Aristolochia</x:v>
      </x:c>
      <x:c r="F76" s="84" t="str">
        <x:v>Species</x:v>
      </x:c>
      <x:c r="G76" s="84" t="str">
        <x:v>Accepted</x:v>
      </x:c>
      <x:c r="H76" s="84" t="str">
        <x:v>Swanflower</x:v>
      </x:c>
      <x:c r="I76" s="84" t="str">
        <x:v>Perennial</x:v>
      </x:c>
      <x:c r="J76" s="84" t="str">
        <x:v>Herb</x:v>
      </x:c>
      <x:c r="K76" s="84" t="str">
        <x:v>Sun, Part Shade</x:v>
      </x:c>
      <x:c r="L76" s="84" t="str">
        <x:v>Low</x:v>
      </x:c>
      <x:c r="M76" s="89" t="n">
        <x:v>1</x:v>
      </x:c>
      <x:c r="N76" s="89" t="n">
        <x:v>1</x:v>
      </x:c>
      <x:c r="O76" s="89" t="n">
        <x:v>1</x:v>
      </x:c>
      <x:c r="P76" s="89" t="n">
        <x:f>SUM(M76:O76)</x:f>
        <x:v>3</x:v>
      </x:c>
      <x:c r="Q76" s="84" t="str">
        <x:v>Exact accepted-name match</x:v>
      </x:c>
      <x:c r="R76" s="84" t="str">
        <x:v>Aristolochia erecta</x:v>
      </x:c>
      <x:c r="S76" s="84" t="str">
        <x:v>2651381</x:v>
      </x:c>
      <x:c r="T76" s="84" t="str">
        <x:v>2651381</x:v>
      </x:c>
      <x:c r="U76" s="84" t="str">
        <x:v>92916-1</x:v>
      </x:c>
      <x:c r="V76" s="84" t="str">
        <x:v>92916-1</x:v>
      </x:c>
      <x:c r="W76" s="84" t="str"/>
    </x:row>
    <x:row r="77" ht="18" customHeight="1">
      <x:c r="A77" s="83" t="str">
        <x:v>HAYS-0076</x:v>
      </x:c>
      <x:c r="B77" s="87" t="str">
        <x:v>Aristolochia serpentaria</x:v>
      </x:c>
      <x:c r="C77" s="87" t="str">
        <x:v>Aristolochia serpentaria</x:v>
      </x:c>
      <x:c r="D77" s="84" t="str">
        <x:v>Aristolochiaceae</x:v>
      </x:c>
      <x:c r="E77" s="84" t="str">
        <x:v>Aristolochia</x:v>
      </x:c>
      <x:c r="F77" s="84" t="str">
        <x:v>Species</x:v>
      </x:c>
      <x:c r="G77" s="84" t="str">
        <x:v>Accepted</x:v>
      </x:c>
      <x:c r="H77" s="84" t="str">
        <x:v>Virginia Snakeroot, Virginia Dutchmanspipe</x:v>
      </x:c>
      <x:c r="I77" s="84" t="str">
        <x:v>Perennial</x:v>
      </x:c>
      <x:c r="J77" s="84" t="str">
        <x:v>Herb</x:v>
      </x:c>
      <x:c r="K77" s="84" t="str">
        <x:v>Shade</x:v>
      </x:c>
      <x:c r="L77" s="84" t="str">
        <x:v>Dry</x:v>
      </x:c>
      <x:c r="M77" s="89" t="n">
        <x:v>1</x:v>
      </x:c>
      <x:c r="N77" s="89" t="n">
        <x:v>1</x:v>
      </x:c>
      <x:c r="O77" s="89" t="n">
        <x:v>0</x:v>
      </x:c>
      <x:c r="P77" s="89" t="n">
        <x:f>SUM(M77:O77)</x:f>
        <x:v>2</x:v>
      </x:c>
      <x:c r="Q77" s="84" t="str">
        <x:v>Exact accepted-name match</x:v>
      </x:c>
      <x:c r="R77" s="84" t="str">
        <x:v>Aristolochia serpentaria</x:v>
      </x:c>
      <x:c r="S77" s="84" t="str">
        <x:v>2651896</x:v>
      </x:c>
      <x:c r="T77" s="84" t="str">
        <x:v>2651896</x:v>
      </x:c>
      <x:c r="U77" s="84" t="str">
        <x:v>93333-1</x:v>
      </x:c>
      <x:c r="V77" s="84" t="str">
        <x:v>93333-1</x:v>
      </x:c>
      <x:c r="W77" s="84" t="str"/>
    </x:row>
    <x:row r="78" ht="18" customHeight="1">
      <x:c r="A78" s="83" t="str">
        <x:v>HAYS-0077</x:v>
      </x:c>
      <x:c r="B78" s="87" t="str">
        <x:v>Arnoglossum plantagineum</x:v>
      </x:c>
      <x:c r="C78" s="87" t="str">
        <x:v>Arnoglossum plantagineum</x:v>
      </x:c>
      <x:c r="D78" s="84" t="str">
        <x:v>Asteraceae</x:v>
      </x:c>
      <x:c r="E78" s="84" t="str">
        <x:v>Arnoglossum</x:v>
      </x:c>
      <x:c r="F78" s="84" t="str">
        <x:v>Species</x:v>
      </x:c>
      <x:c r="G78" s="84" t="str">
        <x:v>Accepted</x:v>
      </x:c>
      <x:c r="H78" s="84" t="str">
        <x:v>Groovestem Indian Plantain, Indian Plantain, Prairie Plantain, Prairie Indian Plantain</x:v>
      </x:c>
      <x:c r="I78" s="84" t="str">
        <x:v>Perennial</x:v>
      </x:c>
      <x:c r="J78" s="84" t="str">
        <x:v>Herb</x:v>
      </x:c>
      <x:c r="K78" s="84" t="str">
        <x:v>Sun</x:v>
      </x:c>
      <x:c r="L78" s="84" t="str">
        <x:v>Moist</x:v>
      </x:c>
      <x:c r="M78" s="89" t="n">
        <x:v>1</x:v>
      </x:c>
      <x:c r="N78" s="89" t="n">
        <x:v>1</x:v>
      </x:c>
      <x:c r="O78" s="89" t="n">
        <x:v>0</x:v>
      </x:c>
      <x:c r="P78" s="89" t="n">
        <x:f>SUM(M78:O78)</x:f>
        <x:v>2</x:v>
      </x:c>
      <x:c r="Q78" s="84" t="str">
        <x:v>Exact accepted-name match</x:v>
      </x:c>
      <x:c r="R78" s="84" t="str">
        <x:v>Arnoglossum plantagineum</x:v>
      </x:c>
      <x:c r="S78" s="84" t="str">
        <x:v>3078458</x:v>
      </x:c>
      <x:c r="T78" s="84" t="str">
        <x:v>3078458</x:v>
      </x:c>
      <x:c r="U78" s="84" t="str">
        <x:v>20123-2</x:v>
      </x:c>
      <x:c r="V78" s="84" t="str">
        <x:v>20123-2</x:v>
      </x:c>
      <x:c r="W78" s="84" t="str"/>
    </x:row>
    <x:row r="79" ht="18" customHeight="1">
      <x:c r="A79" s="83" t="str">
        <x:v>HAYS-0078</x:v>
      </x:c>
      <x:c r="B79" s="87" t="str">
        <x:v>Artemisia ludoviciana</x:v>
      </x:c>
      <x:c r="C79" s="87" t="str">
        <x:v>Artemisia ludoviciana</x:v>
      </x:c>
      <x:c r="D79" s="84" t="str">
        <x:v>Asteraceae</x:v>
      </x:c>
      <x:c r="E79" s="84" t="str">
        <x:v>Artemisia</x:v>
      </x:c>
      <x:c r="F79" s="84" t="str">
        <x:v>Species</x:v>
      </x:c>
      <x:c r="G79" s="84" t="str">
        <x:v>Accepted</x:v>
      </x:c>
      <x:c r="H79" s="84" t="str">
        <x:v>Louisiana Artemisia, Louisiana Sage, White Sage, Prairie Sage, Silver Sage, White Sagebrush, Louisiana Wormwood, Silver Wormwood, Louisiana Sagewort, Gray Sagewort, Cudweed Sagewort, Mugwort Wormwood</x:v>
      </x:c>
      <x:c r="I79" s="84" t="str">
        <x:v>Perennial</x:v>
      </x:c>
      <x:c r="J79" s="84" t="str">
        <x:v>Subshrub</x:v>
      </x:c>
      <x:c r="K79" s="84" t="str">
        <x:v>Sun</x:v>
      </x:c>
      <x:c r="L79" s="84" t="str">
        <x:v>Dry</x:v>
      </x:c>
      <x:c r="M79" s="89" t="n">
        <x:v>1</x:v>
      </x:c>
      <x:c r="N79" s="89" t="n">
        <x:v>1</x:v>
      </x:c>
      <x:c r="O79" s="89" t="n">
        <x:v>0</x:v>
      </x:c>
      <x:c r="P79" s="89" t="n">
        <x:f>SUM(M79:O79)</x:f>
        <x:v>2</x:v>
      </x:c>
      <x:c r="Q79" s="84" t="str">
        <x:v>Exact accepted-name match</x:v>
      </x:c>
      <x:c r="R79" s="84" t="str">
        <x:v>Artemisia ludoviciana</x:v>
      </x:c>
      <x:c r="S79" s="84" t="str">
        <x:v>2922554</x:v>
      </x:c>
      <x:c r="T79" s="84" t="str">
        <x:v>2922554</x:v>
      </x:c>
      <x:c r="U79" s="84" t="str">
        <x:v>303755-2</x:v>
      </x:c>
      <x:c r="V79" s="84" t="str">
        <x:v>303755-2</x:v>
      </x:c>
      <x:c r="W79" s="84" t="str"/>
    </x:row>
    <x:row r="80" ht="18" customHeight="1">
      <x:c r="A80" s="83" t="str">
        <x:v>HAYS-0079</x:v>
      </x:c>
      <x:c r="B80" s="87" t="str">
        <x:v>Asclepias asperula</x:v>
      </x:c>
      <x:c r="C80" s="87" t="str">
        <x:v>Asclepias asperula</x:v>
      </x:c>
      <x:c r="D80" s="84" t="str">
        <x:v>Apocynaceae</x:v>
      </x:c>
      <x:c r="E80" s="84" t="str">
        <x:v>Asclepias</x:v>
      </x:c>
      <x:c r="F80" s="84" t="str">
        <x:v>Species</x:v>
      </x:c>
      <x:c r="G80" s="84" t="str">
        <x:v>Accepted</x:v>
      </x:c>
      <x:c r="H80" s="84" t="str">
        <x:v>Antelope-horns, Spider Milkweed, Green-flowered Milkweed, Spider Antelope-horns, Antelope Horns</x:v>
      </x:c>
      <x:c r="I80" s="84" t="str">
        <x:v>Perennial</x:v>
      </x:c>
      <x:c r="J80" s="84" t="str">
        <x:v>Herb</x:v>
      </x:c>
      <x:c r="K80" s="84" t="str">
        <x:v>Sun</x:v>
      </x:c>
      <x:c r="L80" s="84" t="str">
        <x:v>Low</x:v>
      </x:c>
      <x:c r="M80" s="89" t="n">
        <x:v>1</x:v>
      </x:c>
      <x:c r="N80" s="89" t="n">
        <x:v>1</x:v>
      </x:c>
      <x:c r="O80" s="89" t="n">
        <x:v>1</x:v>
      </x:c>
      <x:c r="P80" s="89" t="n">
        <x:f>SUM(M80:O80)</x:f>
        <x:v>3</x:v>
      </x:c>
      <x:c r="Q80" s="84" t="str">
        <x:v>Exact accepted-name match</x:v>
      </x:c>
      <x:c r="R80" s="84" t="str">
        <x:v>Asclepias asperula</x:v>
      </x:c>
      <x:c r="S80" s="84" t="str">
        <x:v>500728</x:v>
      </x:c>
      <x:c r="T80" s="84" t="str">
        <x:v>500728</x:v>
      </x:c>
      <x:c r="U80" s="84" t="str">
        <x:v>21143-2</x:v>
      </x:c>
      <x:c r="V80" s="84" t="str">
        <x:v>21143-2</x:v>
      </x:c>
      <x:c r="W80" s="84" t="str"/>
    </x:row>
    <x:row r="81" ht="18" customHeight="1">
      <x:c r="A81" s="83" t="str">
        <x:v>HAYS-0080</x:v>
      </x:c>
      <x:c r="B81" s="87" t="str">
        <x:v>Asclepias incarnata</x:v>
      </x:c>
      <x:c r="C81" s="87" t="str">
        <x:v>Asclepias incarnata</x:v>
      </x:c>
      <x:c r="D81" s="84" t="str">
        <x:v>Apocynaceae</x:v>
      </x:c>
      <x:c r="E81" s="84" t="str">
        <x:v>Asclepias</x:v>
      </x:c>
      <x:c r="F81" s="84" t="str">
        <x:v>Species</x:v>
      </x:c>
      <x:c r="G81" s="84" t="str">
        <x:v>Accepted</x:v>
      </x:c>
      <x:c r="H81" s="84" t="str">
        <x:v>Swamp Milkweed, Pink Milkweed</x:v>
      </x:c>
      <x:c r="I81" s="84" t="str">
        <x:v>Perennial</x:v>
      </x:c>
      <x:c r="J81" s="84" t="str">
        <x:v>Herb</x:v>
      </x:c>
      <x:c r="K81" s="84" t="str">
        <x:v>Sun</x:v>
      </x:c>
      <x:c r="L81" s="84" t="str">
        <x:v>Medium</x:v>
      </x:c>
      <x:c r="M81" s="89" t="n">
        <x:v>0</x:v>
      </x:c>
      <x:c r="N81" s="89" t="n">
        <x:v>0</x:v>
      </x:c>
      <x:c r="O81" s="89" t="n">
        <x:v>1</x:v>
      </x:c>
      <x:c r="P81" s="89" t="n">
        <x:f>SUM(M81:O81)</x:f>
        <x:v>1</x:v>
      </x:c>
      <x:c r="Q81" s="84" t="str">
        <x:v>Exact accepted-name match</x:v>
      </x:c>
      <x:c r="R81" s="84" t="str">
        <x:v>Asclepias incarnata</x:v>
      </x:c>
      <x:c r="S81" s="84" t="str">
        <x:v>501004</x:v>
      </x:c>
      <x:c r="T81" s="84" t="str">
        <x:v>501004</x:v>
      </x:c>
      <x:c r="U81" s="84" t="str">
        <x:v>94351-1</x:v>
      </x:c>
      <x:c r="V81" s="84" t="str">
        <x:v>94351-1</x:v>
      </x:c>
      <x:c r="W81" s="84" t="str"/>
    </x:row>
    <x:row r="82" ht="18" customHeight="1">
      <x:c r="A82" s="83" t="str">
        <x:v>HAYS-0081</x:v>
      </x:c>
      <x:c r="B82" s="87" t="str">
        <x:v>Asclepias oenotheroides</x:v>
      </x:c>
      <x:c r="C82" s="87" t="str">
        <x:v>Asclepias oenotheroides</x:v>
      </x:c>
      <x:c r="D82" s="84" t="str">
        <x:v>Apocynaceae</x:v>
      </x:c>
      <x:c r="E82" s="84" t="str">
        <x:v>Asclepias</x:v>
      </x:c>
      <x:c r="F82" s="84" t="str">
        <x:v>Species</x:v>
      </x:c>
      <x:c r="G82" s="84" t="str">
        <x:v>Accepted</x:v>
      </x:c>
      <x:c r="H82" s="84" t="str">
        <x:v>Zizotes Milkweed, Hierba De Zizotes, Side-cluster Milkweed, Longhorn Milkweed, Primrose Milkweed, Lindheimer's Milkweed</x:v>
      </x:c>
      <x:c r="I82" s="84" t="str">
        <x:v>Perennial</x:v>
      </x:c>
      <x:c r="J82" s="84" t="str">
        <x:v>Herb</x:v>
      </x:c>
      <x:c r="K82" s="84" t="str">
        <x:v>Sun</x:v>
      </x:c>
      <x:c r="L82" s="84" t="str">
        <x:v>Low</x:v>
      </x:c>
      <x:c r="M82" s="89" t="n">
        <x:v>1</x:v>
      </x:c>
      <x:c r="N82" s="89" t="n">
        <x:v>1</x:v>
      </x:c>
      <x:c r="O82" s="89" t="n">
        <x:v>1</x:v>
      </x:c>
      <x:c r="P82" s="89" t="n">
        <x:f>SUM(M82:O82)</x:f>
        <x:v>3</x:v>
      </x:c>
      <x:c r="Q82" s="84" t="str">
        <x:v>Exact accepted-name match</x:v>
      </x:c>
      <x:c r="R82" s="84" t="str">
        <x:v>Asclepias oenotheroides</x:v>
      </x:c>
      <x:c r="S82" s="84" t="str">
        <x:v>501232</x:v>
      </x:c>
      <x:c r="T82" s="84" t="str">
        <x:v>501232</x:v>
      </x:c>
      <x:c r="U82" s="84" t="str">
        <x:v>94504-1</x:v>
      </x:c>
      <x:c r="V82" s="84" t="str">
        <x:v>94504-1</x:v>
      </x:c>
      <x:c r="W82" s="84" t="str"/>
    </x:row>
    <x:row r="83" ht="18" customHeight="1">
      <x:c r="A83" s="83" t="str">
        <x:v>HAYS-0082</x:v>
      </x:c>
      <x:c r="B83" s="87" t="str">
        <x:v>Asclepias texana</x:v>
      </x:c>
      <x:c r="C83" s="87" t="str">
        <x:v>Asclepias texana</x:v>
      </x:c>
      <x:c r="D83" s="84" t="str">
        <x:v>Apocynaceae</x:v>
      </x:c>
      <x:c r="E83" s="84" t="str">
        <x:v>Asclepias</x:v>
      </x:c>
      <x:c r="F83" s="84" t="str">
        <x:v>Species</x:v>
      </x:c>
      <x:c r="G83" s="84" t="str">
        <x:v>Accepted</x:v>
      </x:c>
      <x:c r="H83" s="84" t="str">
        <x:v>Texas Milkweed</x:v>
      </x:c>
      <x:c r="I83" s="84" t="str">
        <x:v>Perennial</x:v>
      </x:c>
      <x:c r="J83" s="84" t="str">
        <x:v>Herb</x:v>
      </x:c>
      <x:c r="K83" s="84" t="str">
        <x:v>Sun</x:v>
      </x:c>
      <x:c r="L83" s="84" t="str">
        <x:v>Low</x:v>
      </x:c>
      <x:c r="M83" s="89" t="n">
        <x:v>1</x:v>
      </x:c>
      <x:c r="N83" s="89" t="n">
        <x:v>1</x:v>
      </x:c>
      <x:c r="O83" s="89" t="n">
        <x:v>1</x:v>
      </x:c>
      <x:c r="P83" s="89" t="n">
        <x:f>SUM(M83:O83)</x:f>
        <x:v>3</x:v>
      </x:c>
      <x:c r="Q83" s="84" t="str">
        <x:v>Exact accepted-name match</x:v>
      </x:c>
      <x:c r="R83" s="84" t="str">
        <x:v>Asclepias texana</x:v>
      </x:c>
      <x:c r="S83" s="84" t="str">
        <x:v>501443</x:v>
      </x:c>
      <x:c r="T83" s="84" t="str">
        <x:v>501443</x:v>
      </x:c>
      <x:c r="U83" s="84" t="str">
        <x:v>21305-2</x:v>
      </x:c>
      <x:c r="V83" s="84" t="str">
        <x:v>21305-2</x:v>
      </x:c>
      <x:c r="W83" s="84" t="str"/>
    </x:row>
    <x:row r="84" ht="18" customHeight="1">
      <x:c r="A84" s="83" t="str">
        <x:v>HAYS-0083</x:v>
      </x:c>
      <x:c r="B84" s="87" t="str">
        <x:v>Asclepias tuberosa</x:v>
      </x:c>
      <x:c r="C84" s="87" t="str">
        <x:v>Asclepias tuberosa</x:v>
      </x:c>
      <x:c r="D84" s="84" t="str">
        <x:v>Apocynaceae</x:v>
      </x:c>
      <x:c r="E84" s="84" t="str">
        <x:v>Asclepias</x:v>
      </x:c>
      <x:c r="F84" s="84" t="str">
        <x:v>Species</x:v>
      </x:c>
      <x:c r="G84" s="84" t="str">
        <x:v>Accepted</x:v>
      </x:c>
      <x:c r="H84" s="84" t="str">
        <x:v>Butterflyweed, Butterfly Weed, Butterfly Milkweed, Orange Milkweed, Pleurisy Root, Chigger Flower, Chiggerweed</x:v>
      </x:c>
      <x:c r="I84" s="84" t="str">
        <x:v>Perennial</x:v>
      </x:c>
      <x:c r="J84" s="84" t="str">
        <x:v>Herb</x:v>
      </x:c>
      <x:c r="K84" s="84" t="str">
        <x:v>Sun</x:v>
      </x:c>
      <x:c r="L84" s="84" t="str">
        <x:v>Low</x:v>
      </x:c>
      <x:c r="M84" s="89" t="n">
        <x:v>0</x:v>
      </x:c>
      <x:c r="N84" s="89" t="n">
        <x:v>0</x:v>
      </x:c>
      <x:c r="O84" s="89" t="n">
        <x:v>1</x:v>
      </x:c>
      <x:c r="P84" s="89" t="n">
        <x:f>SUM(M84:O84)</x:f>
        <x:v>1</x:v>
      </x:c>
      <x:c r="Q84" s="84" t="str">
        <x:v>Exact accepted-name match</x:v>
      </x:c>
      <x:c r="R84" s="84" t="str">
        <x:v>Asclepias tuberosa</x:v>
      </x:c>
      <x:c r="S84" s="84" t="str">
        <x:v>501455</x:v>
      </x:c>
      <x:c r="T84" s="84" t="str">
        <x:v>501455</x:v>
      </x:c>
      <x:c r="U84" s="84" t="str">
        <x:v>94704-1</x:v>
      </x:c>
      <x:c r="V84" s="84" t="str">
        <x:v>94704-1</x:v>
      </x:c>
      <x:c r="W84" s="84" t="str"/>
    </x:row>
    <x:row r="85" ht="18" customHeight="1">
      <x:c r="A85" s="83" t="str">
        <x:v>HAYS-0084</x:v>
      </x:c>
      <x:c r="B85" s="87" t="str">
        <x:v>Asclepias viridiflora</x:v>
      </x:c>
      <x:c r="C85" s="87" t="str">
        <x:v>Asclepias viridiflora</x:v>
      </x:c>
      <x:c r="D85" s="84" t="str">
        <x:v>Apocynaceae</x:v>
      </x:c>
      <x:c r="E85" s="84" t="str">
        <x:v>Asclepias</x:v>
      </x:c>
      <x:c r="F85" s="84" t="str">
        <x:v>Species</x:v>
      </x:c>
      <x:c r="G85" s="84" t="str">
        <x:v>Accepted</x:v>
      </x:c>
      <x:c r="H85" s="84" t="str">
        <x:v>Green Comet Milkweed, Green-flowered Milkweed, Green Milkweed, Wand Milkweed</x:v>
      </x:c>
      <x:c r="I85" s="84" t="str">
        <x:v>Perennial</x:v>
      </x:c>
      <x:c r="J85" s="84" t="str">
        <x:v>Herb</x:v>
      </x:c>
      <x:c r="K85" s="84" t="str">
        <x:v>Sun</x:v>
      </x:c>
      <x:c r="L85" s="84" t="str">
        <x:v>Dry</x:v>
      </x:c>
      <x:c r="M85" s="89" t="n">
        <x:v>1</x:v>
      </x:c>
      <x:c r="N85" s="89" t="n">
        <x:v>1</x:v>
      </x:c>
      <x:c r="O85" s="89" t="n">
        <x:v>0</x:v>
      </x:c>
      <x:c r="P85" s="89" t="n">
        <x:f>SUM(M85:O85)</x:f>
        <x:v>2</x:v>
      </x:c>
      <x:c r="Q85" s="84" t="str">
        <x:v>Exact accepted-name match</x:v>
      </x:c>
      <x:c r="R85" s="84" t="str">
        <x:v>Asclepias viridiflora</x:v>
      </x:c>
      <x:c r="S85" s="84" t="str">
        <x:v>501517</x:v>
      </x:c>
      <x:c r="T85" s="84" t="str">
        <x:v>501517</x:v>
      </x:c>
      <x:c r="U85" s="84" t="str">
        <x:v>1167930-2</x:v>
      </x:c>
      <x:c r="V85" s="84" t="str">
        <x:v>1167930-2</x:v>
      </x:c>
      <x:c r="W85" s="84" t="str"/>
    </x:row>
    <x:row r="86" ht="18" customHeight="1">
      <x:c r="A86" s="83" t="str">
        <x:v>HAYS-0085</x:v>
      </x:c>
      <x:c r="B86" s="87" t="str">
        <x:v>Asclepias viridis</x:v>
      </x:c>
      <x:c r="C86" s="87" t="str">
        <x:v>Asclepias viridis</x:v>
      </x:c>
      <x:c r="D86" s="84" t="str">
        <x:v>Apocynaceae</x:v>
      </x:c>
      <x:c r="E86" s="84" t="str">
        <x:v>Asclepias</x:v>
      </x:c>
      <x:c r="F86" s="84" t="str">
        <x:v>Species</x:v>
      </x:c>
      <x:c r="G86" s="84" t="str">
        <x:v>Accepted</x:v>
      </x:c>
      <x:c r="H86" s="84" t="str">
        <x:v>Green Milkweed, Spider Milkweed</x:v>
      </x:c>
      <x:c r="I86" s="84" t="str">
        <x:v>Perennial</x:v>
      </x:c>
      <x:c r="J86" s="84" t="str">
        <x:v>Herb</x:v>
      </x:c>
      <x:c r="K86" s="84" t="str">
        <x:v>Sun</x:v>
      </x:c>
      <x:c r="L86" s="84" t="str">
        <x:v>Low</x:v>
      </x:c>
      <x:c r="M86" s="89" t="n">
        <x:v>1</x:v>
      </x:c>
      <x:c r="N86" s="89" t="n">
        <x:v>1</x:v>
      </x:c>
      <x:c r="O86" s="89" t="n">
        <x:v>1</x:v>
      </x:c>
      <x:c r="P86" s="89" t="n">
        <x:f>SUM(M86:O86)</x:f>
        <x:v>3</x:v>
      </x:c>
      <x:c r="Q86" s="84" t="str">
        <x:v>Exact accepted-name match</x:v>
      </x:c>
      <x:c r="R86" s="84" t="str">
        <x:v>Asclepias viridis</x:v>
      </x:c>
      <x:c r="S86" s="84" t="str">
        <x:v>501522</x:v>
      </x:c>
      <x:c r="T86" s="84" t="str">
        <x:v>501522</x:v>
      </x:c>
      <x:c r="U86" s="84" t="str">
        <x:v>94737-1</x:v>
      </x:c>
      <x:c r="V86" s="84" t="str">
        <x:v>94737-1</x:v>
      </x:c>
      <x:c r="W86" s="84" t="str"/>
    </x:row>
    <x:row r="87" ht="18" customHeight="1">
      <x:c r="A87" s="83" t="str">
        <x:v>HAYS-0086</x:v>
      </x:c>
      <x:c r="B87" s="87" t="str">
        <x:v>Asplenium resiliens</x:v>
      </x:c>
      <x:c r="C87" s="87" t="str">
        <x:v>Asplenium resiliens</x:v>
      </x:c>
      <x:c r="D87" s="84" t="str">
        <x:v>Aspleniaceae</x:v>
      </x:c>
      <x:c r="E87" s="84" t="str">
        <x:v>Asplenium</x:v>
      </x:c>
      <x:c r="F87" s="84" t="str">
        <x:v>Species</x:v>
      </x:c>
      <x:c r="G87" s="84" t="str">
        <x:v>Accepted</x:v>
      </x:c>
      <x:c r="H87" s="84" t="str">
        <x:v>Blackstem Spleenwort</x:v>
      </x:c>
      <x:c r="I87" s="84" t="str">
        <x:v>Perennial</x:v>
      </x:c>
      <x:c r="J87" s="84" t="str">
        <x:v>Herb, Fern</x:v>
      </x:c>
      <x:c r="K87" s="84" t="str"/>
      <x:c r="L87" s="84" t="str"/>
      <x:c r="M87" s="89" t="n">
        <x:v>1</x:v>
      </x:c>
      <x:c r="N87" s="89" t="n">
        <x:v>1</x:v>
      </x:c>
      <x:c r="O87" s="89" t="n">
        <x:v>0</x:v>
      </x:c>
      <x:c r="P87" s="89" t="n">
        <x:f>SUM(M87:O87)</x:f>
        <x:v>2</x:v>
      </x:c>
      <x:c r="Q87" s="84" t="str">
        <x:v>Exact accepted-name match</x:v>
      </x:c>
      <x:c r="R87" s="84" t="str">
        <x:v>Asplenium resiliens</x:v>
      </x:c>
      <x:c r="S87" s="84" t="str">
        <x:v>3145871</x:v>
      </x:c>
      <x:c r="T87" s="84" t="str">
        <x:v>3145871</x:v>
      </x:c>
      <x:c r="U87" s="84" t="str">
        <x:v>17050370-1</x:v>
      </x:c>
      <x:c r="V87" s="84" t="str">
        <x:v>17050370-1</x:v>
      </x:c>
      <x:c r="W87" s="84" t="str"/>
    </x:row>
    <x:row r="88" ht="18" customHeight="1">
      <x:c r="A88" s="83" t="str">
        <x:v>HAYS-0087</x:v>
      </x:c>
      <x:c r="B88" s="87" t="str">
        <x:v>Astragalus crassicarpus var. berlandieri</x:v>
      </x:c>
      <x:c r="C88" s="87" t="str">
        <x:v>Astragalus crassicarpus var. berlandieri</x:v>
      </x:c>
      <x:c r="D88" s="84" t="str">
        <x:v>Fabaceae</x:v>
      </x:c>
      <x:c r="E88" s="84" t="str">
        <x:v>Astragalus</x:v>
      </x:c>
      <x:c r="F88" s="84" t="str">
        <x:v>Variety</x:v>
      </x:c>
      <x:c r="G88" s="84" t="str">
        <x:v>Accepted</x:v>
      </x:c>
      <x:c r="H88" s="84" t="str">
        <x:v>Berlandier's Groundplum, Groundplum Milkvetch, Groundplum</x:v>
      </x:c>
      <x:c r="I88" s="84" t="str">
        <x:v>Perennial</x:v>
      </x:c>
      <x:c r="J88" s="84" t="str">
        <x:v>Herb</x:v>
      </x:c>
      <x:c r="K88" s="84" t="str">
        <x:v>Sun</x:v>
      </x:c>
      <x:c r="L88" s="84" t="str">
        <x:v>Dry</x:v>
      </x:c>
      <x:c r="M88" s="89" t="n">
        <x:v>1</x:v>
      </x:c>
      <x:c r="N88" s="89" t="n">
        <x:v>1</x:v>
      </x:c>
      <x:c r="O88" s="89" t="n">
        <x:v>0</x:v>
      </x:c>
      <x:c r="P88" s="89" t="n">
        <x:f>SUM(M88:O88)</x:f>
        <x:v>2</x:v>
      </x:c>
      <x:c r="Q88" s="84" t="str">
        <x:v>Exact accepted-name match</x:v>
      </x:c>
      <x:c r="R88" s="84" t="str">
        <x:v>Astragalus crassicarpus var. berlandieri</x:v>
      </x:c>
      <x:c r="S88" s="84" t="str">
        <x:v>2658622</x:v>
      </x:c>
      <x:c r="T88" s="84" t="str">
        <x:v>2658622</x:v>
      </x:c>
      <x:c r="U88" s="84" t="str">
        <x:v>24706-2</x:v>
      </x:c>
      <x:c r="V88" s="84" t="str">
        <x:v>24706-2</x:v>
      </x:c>
      <x:c r="W88" s="84" t="str"/>
    </x:row>
    <x:row r="89" ht="18" customHeight="1">
      <x:c r="A89" s="83" t="str">
        <x:v>HAYS-0088</x:v>
      </x:c>
      <x:c r="B89" s="87" t="str">
        <x:v>Astragalus leptocarpus</x:v>
      </x:c>
      <x:c r="C89" s="87" t="str">
        <x:v>Astragalus leptocarpus</x:v>
      </x:c>
      <x:c r="D89" s="84" t="str">
        <x:v>Fabaceae</x:v>
      </x:c>
      <x:c r="E89" s="84" t="str">
        <x:v>Astragalus</x:v>
      </x:c>
      <x:c r="F89" s="84" t="str">
        <x:v>Species</x:v>
      </x:c>
      <x:c r="G89" s="84" t="str">
        <x:v>Accepted</x:v>
      </x:c>
      <x:c r="H89" s="84" t="str">
        <x:v>Rare Loco Milkvetch, Slimpod Milkvetch</x:v>
      </x:c>
      <x:c r="I89" s="84" t="str">
        <x:v>Annual</x:v>
      </x:c>
      <x:c r="J89" s="84" t="str">
        <x:v>Herb</x:v>
      </x:c>
      <x:c r="K89" s="84" t="str"/>
      <x:c r="L89" s="84" t="str"/>
      <x:c r="M89" s="89" t="n">
        <x:v>1</x:v>
      </x:c>
      <x:c r="N89" s="89" t="n">
        <x:v>1</x:v>
      </x:c>
      <x:c r="O89" s="89" t="n">
        <x:v>0</x:v>
      </x:c>
      <x:c r="P89" s="89" t="n">
        <x:f>SUM(M89:O89)</x:f>
        <x:v>2</x:v>
      </x:c>
      <x:c r="Q89" s="84" t="str">
        <x:v>Exact accepted-name match</x:v>
      </x:c>
      <x:c r="R89" s="84" t="str">
        <x:v>Astragalus leptocarpus</x:v>
      </x:c>
      <x:c r="S89" s="84" t="str">
        <x:v>2660619</x:v>
      </x:c>
      <x:c r="T89" s="84" t="str">
        <x:v>2660619</x:v>
      </x:c>
      <x:c r="U89" s="84" t="str">
        <x:v>25144-2</x:v>
      </x:c>
      <x:c r="V89" s="84" t="str">
        <x:v>25144-2</x:v>
      </x:c>
      <x:c r="W89" s="84" t="str"/>
    </x:row>
    <x:row r="90" ht="18" customHeight="1">
      <x:c r="A90" s="83" t="str">
        <x:v>HAYS-0089</x:v>
      </x:c>
      <x:c r="B90" s="87" t="str">
        <x:v>Astragalus lindheimeri</x:v>
      </x:c>
      <x:c r="C90" s="87" t="str">
        <x:v>Astragalus lindheimeri</x:v>
      </x:c>
      <x:c r="D90" s="84" t="str">
        <x:v>Fabaceae</x:v>
      </x:c>
      <x:c r="E90" s="84" t="str">
        <x:v>Astragalus</x:v>
      </x:c>
      <x:c r="F90" s="84" t="str">
        <x:v>Species</x:v>
      </x:c>
      <x:c r="G90" s="84" t="str">
        <x:v>Accepted</x:v>
      </x:c>
      <x:c r="H90" s="84" t="str">
        <x:v>Lindheimer's Milkvetch, Lindheimer's Astragulus</x:v>
      </x:c>
      <x:c r="I90" s="84" t="str">
        <x:v>Annual</x:v>
      </x:c>
      <x:c r="J90" s="84" t="str">
        <x:v>Herb</x:v>
      </x:c>
      <x:c r="K90" s="84" t="str">
        <x:v>Sun</x:v>
      </x:c>
      <x:c r="L90" s="84" t="str">
        <x:v>Dry</x:v>
      </x:c>
      <x:c r="M90" s="89" t="n">
        <x:v>1</x:v>
      </x:c>
      <x:c r="N90" s="89" t="n">
        <x:v>1</x:v>
      </x:c>
      <x:c r="O90" s="89" t="n">
        <x:v>0</x:v>
      </x:c>
      <x:c r="P90" s="89" t="n">
        <x:f>SUM(M90:O90)</x:f>
        <x:v>2</x:v>
      </x:c>
      <x:c r="Q90" s="84" t="str">
        <x:v>Exact accepted-name match</x:v>
      </x:c>
      <x:c r="R90" s="84" t="str">
        <x:v>Astragalus lindheimeri</x:v>
      </x:c>
      <x:c r="S90" s="84" t="str">
        <x:v>2660698</x:v>
      </x:c>
      <x:c r="T90" s="84" t="str">
        <x:v>2660698</x:v>
      </x:c>
      <x:c r="U90" s="84" t="str">
        <x:v>478362-1</x:v>
      </x:c>
      <x:c r="V90" s="84" t="str">
        <x:v>478362-1</x:v>
      </x:c>
      <x:c r="W90" s="84" t="str"/>
    </x:row>
    <x:row r="91" ht="18" customHeight="1">
      <x:c r="A91" s="83" t="str">
        <x:v>HAYS-0090</x:v>
      </x:c>
      <x:c r="B91" s="87" t="str">
        <x:v>Astragalus nuttallianus</x:v>
      </x:c>
      <x:c r="C91" s="87" t="str">
        <x:v>Astragalus nuttallianus</x:v>
      </x:c>
      <x:c r="D91" s="84" t="str">
        <x:v>Fabaceae</x:v>
      </x:c>
      <x:c r="E91" s="84" t="str">
        <x:v>Astragalus</x:v>
      </x:c>
      <x:c r="F91" s="84" t="str">
        <x:v>Species</x:v>
      </x:c>
      <x:c r="G91" s="84" t="str">
        <x:v>Accepted</x:v>
      </x:c>
      <x:c r="H91" s="84" t="str">
        <x:v>Nuttall's Milkvetch, Small-flowered Milkvetch</x:v>
      </x:c>
      <x:c r="I91" s="84" t="str">
        <x:v>Annual</x:v>
      </x:c>
      <x:c r="J91" s="84" t="str">
        <x:v>Herb</x:v>
      </x:c>
      <x:c r="K91" s="84" t="str"/>
      <x:c r="L91" s="84" t="str"/>
      <x:c r="M91" s="89" t="n">
        <x:v>1</x:v>
      </x:c>
      <x:c r="N91" s="89" t="n">
        <x:v>1</x:v>
      </x:c>
      <x:c r="O91" s="89" t="n">
        <x:v>0</x:v>
      </x:c>
      <x:c r="P91" s="89" t="n">
        <x:f>SUM(M91:O91)</x:f>
        <x:v>2</x:v>
      </x:c>
      <x:c r="Q91" s="84" t="str">
        <x:v>Exact accepted-name match</x:v>
      </x:c>
      <x:c r="R91" s="84" t="str">
        <x:v>Astragalus nuttallianus</x:v>
      </x:c>
      <x:c r="S91" s="84" t="str">
        <x:v>2661516</x:v>
      </x:c>
      <x:c r="T91" s="84" t="str">
        <x:v>2661516</x:v>
      </x:c>
      <x:c r="U91" s="84" t="str">
        <x:v>25331-2</x:v>
      </x:c>
      <x:c r="V91" s="84" t="str">
        <x:v>25331-2</x:v>
      </x:c>
      <x:c r="W91" s="84" t="str"/>
    </x:row>
    <x:row r="92" ht="18" customHeight="1">
      <x:c r="A92" s="83" t="str">
        <x:v>HAYS-0091</x:v>
      </x:c>
      <x:c r="B92" s="87" t="str">
        <x:v>Astragalus plattensis</x:v>
      </x:c>
      <x:c r="C92" s="87" t="str">
        <x:v>Astragalus plattensis</x:v>
      </x:c>
      <x:c r="D92" s="84" t="str">
        <x:v>Fabaceae</x:v>
      </x:c>
      <x:c r="E92" s="84" t="str">
        <x:v>Astragalus</x:v>
      </x:c>
      <x:c r="F92" s="84" t="str">
        <x:v>Species</x:v>
      </x:c>
      <x:c r="G92" s="84" t="str">
        <x:v>Accepted</x:v>
      </x:c>
      <x:c r="H92" s="84" t="str">
        <x:v>Platte River Milkvetch</x:v>
      </x:c>
      <x:c r="I92" s="84" t="str">
        <x:v>Perennial</x:v>
      </x:c>
      <x:c r="J92" s="84" t="str">
        <x:v>Herb</x:v>
      </x:c>
      <x:c r="K92" s="84" t="str">
        <x:v>Sun</x:v>
      </x:c>
      <x:c r="L92" s="84" t="str">
        <x:v>Dry</x:v>
      </x:c>
      <x:c r="M92" s="89" t="n">
        <x:v>1</x:v>
      </x:c>
      <x:c r="N92" s="89" t="n">
        <x:v>1</x:v>
      </x:c>
      <x:c r="O92" s="89" t="n">
        <x:v>0</x:v>
      </x:c>
      <x:c r="P92" s="89" t="n">
        <x:f>SUM(M92:O92)</x:f>
        <x:v>2</x:v>
      </x:c>
      <x:c r="Q92" s="84" t="str">
        <x:v>Exact accepted-name match</x:v>
      </x:c>
      <x:c r="R92" s="84" t="str">
        <x:v>Astragalus plattensis</x:v>
      </x:c>
      <x:c r="S92" s="84" t="str">
        <x:v>2661965</x:v>
      </x:c>
      <x:c r="T92" s="84" t="str">
        <x:v>2661965</x:v>
      </x:c>
      <x:c r="U92" s="84" t="str">
        <x:v>25448-2</x:v>
      </x:c>
      <x:c r="V92" s="84" t="str">
        <x:v>25448-2</x:v>
      </x:c>
      <x:c r="W92" s="84" t="str"/>
    </x:row>
    <x:row r="93" ht="18" customHeight="1">
      <x:c r="A93" s="83" t="str">
        <x:v>HAYS-0092</x:v>
      </x:c>
      <x:c r="B93" s="87" t="str">
        <x:v>Astragalus pleianthus</x:v>
      </x:c>
      <x:c r="C93" s="87" t="str">
        <x:v>Astragalus nuttallianus var. pleianthus</x:v>
      </x:c>
      <x:c r="D93" s="84" t="str">
        <x:v>Fabaceae</x:v>
      </x:c>
      <x:c r="E93" s="84" t="str">
        <x:v>Astragalus</x:v>
      </x:c>
      <x:c r="F93" s="84" t="str">
        <x:v>Species</x:v>
      </x:c>
      <x:c r="G93" s="84" t="str">
        <x:v>Synonym</x:v>
      </x:c>
      <x:c r="H93" s="84" t="str">
        <x:v>Edwards Plateau Milkvetch</x:v>
      </x:c>
      <x:c r="I93" s="84" t="str">
        <x:v>Annual</x:v>
      </x:c>
      <x:c r="J93" s="84" t="str">
        <x:v>Herb</x:v>
      </x:c>
      <x:c r="K93" s="84" t="str"/>
      <x:c r="L93" s="84" t="str"/>
      <x:c r="M93" s="89" t="n">
        <x:v>1</x:v>
      </x:c>
      <x:c r="N93" s="89" t="n">
        <x:v>1</x:v>
      </x:c>
      <x:c r="O93" s="89" t="n">
        <x:v>0</x:v>
      </x:c>
      <x:c r="P93" s="89" t="n">
        <x:f>SUM(M93:O93)</x:f>
        <x:v>2</x:v>
      </x:c>
      <x:c r="Q93" s="84" t="str">
        <x:v>Exact synonym-name match</x:v>
      </x:c>
      <x:c r="R93" s="84" t="str">
        <x:v>Astragalus pleianthus</x:v>
      </x:c>
      <x:c r="S93" s="84" t="str">
        <x:v>2661979</x:v>
      </x:c>
      <x:c r="T93" s="84" t="str">
        <x:v>2661527</x:v>
      </x:c>
      <x:c r="U93" s="84" t="str">
        <x:v>985325-1</x:v>
      </x:c>
      <x:c r="V93" s="84" t="str">
        <x:v>25341-2</x:v>
      </x:c>
      <x:c r="W93" s="84" t="str"/>
    </x:row>
    <x:row r="94" ht="18" customHeight="1">
      <x:c r="A94" s="83" t="str">
        <x:v>HAYS-0093</x:v>
      </x:c>
      <x:c r="B94" s="87" t="str">
        <x:v>Atriplex canescens</x:v>
      </x:c>
      <x:c r="C94" s="87" t="str">
        <x:v>Atriplex canescens</x:v>
      </x:c>
      <x:c r="D94" s="84" t="str">
        <x:v>Amaranthaceae</x:v>
      </x:c>
      <x:c r="E94" s="84" t="str">
        <x:v>Atriplex</x:v>
      </x:c>
      <x:c r="F94" s="84" t="str">
        <x:v>Species</x:v>
      </x:c>
      <x:c r="G94" s="84" t="str">
        <x:v>Accepted</x:v>
      </x:c>
      <x:c r="H94" s="84" t="str">
        <x:v>Chamiso, Four-wing Saltbush, Wing-scale</x:v>
      </x:c>
      <x:c r="I94" s="84" t="str">
        <x:v>Perennial</x:v>
      </x:c>
      <x:c r="J94" s="84" t="str">
        <x:v>Shrub</x:v>
      </x:c>
      <x:c r="K94" s="84" t="str">
        <x:v>Part-shade</x:v>
      </x:c>
      <x:c r="L94" s="84" t="str">
        <x:v>Dry</x:v>
      </x:c>
      <x:c r="M94" s="89" t="n">
        <x:v>1</x:v>
      </x:c>
      <x:c r="N94" s="89" t="n">
        <x:v>1</x:v>
      </x:c>
      <x:c r="O94" s="89" t="n">
        <x:v>0</x:v>
      </x:c>
      <x:c r="P94" s="89" t="n">
        <x:f>SUM(M94:O94)</x:f>
        <x:v>2</x:v>
      </x:c>
      <x:c r="Q94" s="84" t="str">
        <x:v>Exact accepted-name match</x:v>
      </x:c>
      <x:c r="R94" s="84" t="str">
        <x:v>Atriplex canescens</x:v>
      </x:c>
      <x:c r="S94" s="84" t="str">
        <x:v>2665120</x:v>
      </x:c>
      <x:c r="T94" s="84" t="str">
        <x:v>2665120</x:v>
      </x:c>
      <x:c r="U94" s="84" t="str">
        <x:v>1175090-2</x:v>
      </x:c>
      <x:c r="V94" s="84" t="str">
        <x:v>1175090-2</x:v>
      </x:c>
      <x:c r="W94" s="84" t="str"/>
    </x:row>
    <x:row r="95" ht="18" customHeight="1">
      <x:c r="A95" s="83" t="str">
        <x:v>HAYS-0094</x:v>
      </x:c>
      <x:c r="B95" s="87" t="str">
        <x:v>Azolla caroliniana</x:v>
      </x:c>
      <x:c r="C95" s="87" t="str">
        <x:v>Azolla caroliniana</x:v>
      </x:c>
      <x:c r="D95" s="84" t="str">
        <x:v>Salviniaceae</x:v>
      </x:c>
      <x:c r="E95" s="84" t="str">
        <x:v>Azolla</x:v>
      </x:c>
      <x:c r="F95" s="84" t="str">
        <x:v>Species</x:v>
      </x:c>
      <x:c r="G95" s="84" t="str">
        <x:v>Accepted</x:v>
      </x:c>
      <x:c r="H95" s="84" t="str">
        <x:v>Carolina Mosquitofern</x:v>
      </x:c>
      <x:c r="I95" s="84" t="str">
        <x:v>Annual</x:v>
      </x:c>
      <x:c r="J95" s="84" t="str">
        <x:v>Fern</x:v>
      </x:c>
      <x:c r="K95" s="84" t="str"/>
      <x:c r="L95" s="84" t="str"/>
      <x:c r="M95" s="89" t="n">
        <x:v>1</x:v>
      </x:c>
      <x:c r="N95" s="89" t="n">
        <x:v>1</x:v>
      </x:c>
      <x:c r="O95" s="89" t="n">
        <x:v>0</x:v>
      </x:c>
      <x:c r="P95" s="89" t="n">
        <x:f>SUM(M95:O95)</x:f>
        <x:v>2</x:v>
      </x:c>
      <x:c r="Q95" s="84" t="str">
        <x:v>Exact accepted-name match</x:v>
      </x:c>
      <x:c r="R95" s="84" t="str">
        <x:v>Azolla caroliniana</x:v>
      </x:c>
      <x:c r="S95" s="84" t="str">
        <x:v>3145488</x:v>
      </x:c>
      <x:c r="T95" s="84" t="str">
        <x:v>3145488</x:v>
      </x:c>
      <x:c r="U95" s="84" t="str">
        <x:v>17056910-1</x:v>
      </x:c>
      <x:c r="V95" s="84" t="str">
        <x:v>17056910-1</x:v>
      </x:c>
      <x:c r="W95" s="84" t="str"/>
    </x:row>
    <x:row r="96" ht="18" customHeight="1">
      <x:c r="A96" s="83" t="str">
        <x:v>HAYS-0095</x:v>
      </x:c>
      <x:c r="B96" s="87" t="str">
        <x:v>Baccharis neglecta</x:v>
      </x:c>
      <x:c r="C96" s="87" t="str">
        <x:v>Baccharis neglecta</x:v>
      </x:c>
      <x:c r="D96" s="84" t="str">
        <x:v>Asteraceae</x:v>
      </x:c>
      <x:c r="E96" s="84" t="str">
        <x:v>Baccharis</x:v>
      </x:c>
      <x:c r="F96" s="84" t="str">
        <x:v>Species</x:v>
      </x:c>
      <x:c r="G96" s="84" t="str">
        <x:v>Accepted</x:v>
      </x:c>
      <x:c r="H96" s="84" t="str">
        <x:v>False Willow, Jara Dulce, Poverty Weed, Roosevelt Weed</x:v>
      </x:c>
      <x:c r="I96" s="84" t="str">
        <x:v>Perennial</x:v>
      </x:c>
      <x:c r="J96" s="84" t="str">
        <x:v>Shrub</x:v>
      </x:c>
      <x:c r="K96" s="84" t="str">
        <x:v>Part-shade</x:v>
      </x:c>
      <x:c r="L96" s="84" t="str">
        <x:v>Dry</x:v>
      </x:c>
      <x:c r="M96" s="89" t="n">
        <x:v>1</x:v>
      </x:c>
      <x:c r="N96" s="89" t="n">
        <x:v>1</x:v>
      </x:c>
      <x:c r="O96" s="89" t="n">
        <x:v>0</x:v>
      </x:c>
      <x:c r="P96" s="89" t="n">
        <x:f>SUM(M96:O96)</x:f>
        <x:v>2</x:v>
      </x:c>
      <x:c r="Q96" s="84" t="str">
        <x:v>Exact accepted-name match</x:v>
      </x:c>
      <x:c r="R96" s="84" t="str">
        <x:v>Baccharis neglecta</x:v>
      </x:c>
      <x:c r="S96" s="84" t="str">
        <x:v>3098279</x:v>
      </x:c>
      <x:c r="T96" s="84" t="str">
        <x:v>3098279</x:v>
      </x:c>
      <x:c r="U96" s="84" t="str">
        <x:v>28034-2</x:v>
      </x:c>
      <x:c r="V96" s="84" t="str">
        <x:v>28034-2</x:v>
      </x:c>
      <x:c r="W96" s="84" t="str"/>
    </x:row>
    <x:row r="97" ht="18" customHeight="1">
      <x:c r="A97" s="83" t="str">
        <x:v>HAYS-0096</x:v>
      </x:c>
      <x:c r="B97" s="87" t="str">
        <x:v>Bacopa monnieri</x:v>
      </x:c>
      <x:c r="C97" s="87" t="str">
        <x:v>Bacopa monnieri</x:v>
      </x:c>
      <x:c r="D97" s="84" t="str">
        <x:v>Plantaginaceae</x:v>
      </x:c>
      <x:c r="E97" s="84" t="str">
        <x:v>Bacopa</x:v>
      </x:c>
      <x:c r="F97" s="84" t="str">
        <x:v>Species</x:v>
      </x:c>
      <x:c r="G97" s="84" t="str">
        <x:v>Accepted</x:v>
      </x:c>
      <x:c r="H97" s="84" t="str">
        <x:v>Herb-of-grace, Water Hyssop, Coastal Water-hyssop</x:v>
      </x:c>
      <x:c r="I97" s="84" t="str">
        <x:v>Perennial</x:v>
      </x:c>
      <x:c r="J97" s="84" t="str">
        <x:v>Herb</x:v>
      </x:c>
      <x:c r="K97" s="84" t="str">
        <x:v>Sun, Part-shade</x:v>
      </x:c>
      <x:c r="L97" s="84" t="str">
        <x:v>Wet, Moist</x:v>
      </x:c>
      <x:c r="M97" s="89" t="n">
        <x:v>1</x:v>
      </x:c>
      <x:c r="N97" s="89" t="n">
        <x:v>1</x:v>
      </x:c>
      <x:c r="O97" s="89" t="n">
        <x:v>0</x:v>
      </x:c>
      <x:c r="P97" s="89" t="n">
        <x:f>SUM(M97:O97)</x:f>
        <x:v>2</x:v>
      </x:c>
      <x:c r="Q97" s="84" t="str">
        <x:v>Exact accepted-name match</x:v>
      </x:c>
      <x:c r="R97" s="84" t="str">
        <x:v>Bacopa monnieri</x:v>
      </x:c>
      <x:c r="S97" s="84" t="str">
        <x:v>2667648</x:v>
      </x:c>
      <x:c r="T97" s="84" t="str">
        <x:v>2667648</x:v>
      </x:c>
      <x:c r="U97" s="84" t="str">
        <x:v>1072674-2</x:v>
      </x:c>
      <x:c r="V97" s="84" t="str">
        <x:v>1072674-2</x:v>
      </x:c>
      <x:c r="W97" s="84" t="str"/>
    </x:row>
    <x:row r="98" ht="18" customHeight="1">
      <x:c r="A98" s="83" t="str">
        <x:v>HAYS-0097</x:v>
      </x:c>
      <x:c r="B98" s="87" t="str">
        <x:v>Baptisia bracteata</x:v>
      </x:c>
      <x:c r="C98" s="87" t="str">
        <x:v>Baptisia bracteata</x:v>
      </x:c>
      <x:c r="D98" s="84" t="str">
        <x:v>Fabaceae</x:v>
      </x:c>
      <x:c r="E98" s="84" t="str">
        <x:v>Baptisia</x:v>
      </x:c>
      <x:c r="F98" s="84" t="str">
        <x:v>Species</x:v>
      </x:c>
      <x:c r="G98" s="84" t="str">
        <x:v>Accepted</x:v>
      </x:c>
      <x:c r="H98" s="84" t="str">
        <x:v>Wild Indigo</x:v>
      </x:c>
      <x:c r="I98" s="84" t="str">
        <x:v>Perennial</x:v>
      </x:c>
      <x:c r="J98" s="84" t="str">
        <x:v>Herb</x:v>
      </x:c>
      <x:c r="K98" s="84" t="str">
        <x:v>Full Sun, Part Shade</x:v>
      </x:c>
      <x:c r="L98" s="84" t="str">
        <x:v>Medium</x:v>
      </x:c>
      <x:c r="M98" s="89" t="n">
        <x:v>0</x:v>
      </x:c>
      <x:c r="N98" s="89" t="n">
        <x:v>0</x:v>
      </x:c>
      <x:c r="O98" s="89" t="n">
        <x:v>1</x:v>
      </x:c>
      <x:c r="P98" s="89" t="n">
        <x:f>SUM(M98:O98)</x:f>
        <x:v>1</x:v>
      </x:c>
      <x:c r="Q98" s="84" t="str">
        <x:v>Exact accepted-name match</x:v>
      </x:c>
      <x:c r="R98" s="84" t="str">
        <x:v>Baptisia bracteata</x:v>
      </x:c>
      <x:c r="S98" s="84" t="str">
        <x:v>2669499</x:v>
      </x:c>
      <x:c r="T98" s="84" t="str">
        <x:v>2669499</x:v>
      </x:c>
      <x:c r="U98" s="84" t="str">
        <x:v>480955-1</x:v>
      </x:c>
      <x:c r="V98" s="84" t="str">
        <x:v>480955-1</x:v>
      </x:c>
      <x:c r="W98" s="84" t="str"/>
    </x:row>
    <x:row r="99" ht="18" customHeight="1">
      <x:c r="A99" s="83" t="str">
        <x:v>HAYS-0098</x:v>
      </x:c>
      <x:c r="B99" s="87" t="str">
        <x:v>Berlandiera betonicifolia</x:v>
      </x:c>
      <x:c r="C99" s="87" t="str">
        <x:v>Berlandiera betonicifolia</x:v>
      </x:c>
      <x:c r="D99" s="84" t="str">
        <x:v>Asteraceae</x:v>
      </x:c>
      <x:c r="E99" s="84" t="str">
        <x:v>Berlandiera</x:v>
      </x:c>
      <x:c r="F99" s="84" t="str">
        <x:v>Species</x:v>
      </x:c>
      <x:c r="G99" s="84" t="str">
        <x:v>Accepted</x:v>
      </x:c>
      <x:c r="H99" s="84" t="str">
        <x:v>Texas Greeneyes, Broochflower</x:v>
      </x:c>
      <x:c r="I99" s="84" t="str">
        <x:v>Perennial</x:v>
      </x:c>
      <x:c r="J99" s="84" t="str">
        <x:v>Herb</x:v>
      </x:c>
      <x:c r="K99" s="84" t="str">
        <x:v>Part-shade</x:v>
      </x:c>
      <x:c r="L99" s="84" t="str">
        <x:v>Moist</x:v>
      </x:c>
      <x:c r="M99" s="89" t="n">
        <x:v>1</x:v>
      </x:c>
      <x:c r="N99" s="89" t="n">
        <x:v>1</x:v>
      </x:c>
      <x:c r="O99" s="89" t="n">
        <x:v>0</x:v>
      </x:c>
      <x:c r="P99" s="89" t="n">
        <x:f>SUM(M99:O99)</x:f>
        <x:v>2</x:v>
      </x:c>
      <x:c r="Q99" s="84" t="str">
        <x:v>Exact accepted-name match</x:v>
      </x:c>
      <x:c r="R99" s="84" t="str">
        <x:v>Berlandiera betonicifolia</x:v>
      </x:c>
      <x:c r="S99" s="84" t="str">
        <x:v>3122238</x:v>
      </x:c>
      <x:c r="T99" s="84" t="str">
        <x:v>3122238</x:v>
      </x:c>
      <x:c r="U99" s="84" t="str">
        <x:v>31598-2</x:v>
      </x:c>
      <x:c r="V99" s="84" t="str">
        <x:v>31598-2</x:v>
      </x:c>
      <x:c r="W99" s="84" t="str"/>
    </x:row>
    <x:row r="100" ht="18" customHeight="1">
      <x:c r="A100" s="83" t="str">
        <x:v>HAYS-0099</x:v>
      </x:c>
      <x:c r="B100" s="87" t="str">
        <x:v>Berlandiera lyrata</x:v>
      </x:c>
      <x:c r="C100" s="87" t="str">
        <x:v>Berlandiera lyrata</x:v>
      </x:c>
      <x:c r="D100" s="84" t="str">
        <x:v>Asteraceae</x:v>
      </x:c>
      <x:c r="E100" s="84" t="str">
        <x:v>Berlandiera</x:v>
      </x:c>
      <x:c r="F100" s="84" t="str">
        <x:v>Species</x:v>
      </x:c>
      <x:c r="G100" s="84" t="str">
        <x:v>Accepted</x:v>
      </x:c>
      <x:c r="H100" s="84" t="str">
        <x:v>Chocolate Daisy, Chocolate Flower, Lyreleaf Greeneyes, Green-eyed Lyre Leaf</x:v>
      </x:c>
      <x:c r="I100" s="84" t="str">
        <x:v>Perennial</x:v>
      </x:c>
      <x:c r="J100" s="84" t="str">
        <x:v>Herb</x:v>
      </x:c>
      <x:c r="K100" s="84" t="str">
        <x:v>Sun</x:v>
      </x:c>
      <x:c r="L100" s="84" t="str">
        <x:v>Low</x:v>
      </x:c>
      <x:c r="M100" s="89" t="n">
        <x:v>0</x:v>
      </x:c>
      <x:c r="N100" s="89" t="n">
        <x:v>0</x:v>
      </x:c>
      <x:c r="O100" s="89" t="n">
        <x:v>1</x:v>
      </x:c>
      <x:c r="P100" s="89" t="n">
        <x:f>SUM(M100:O100)</x:f>
        <x:v>1</x:v>
      </x:c>
      <x:c r="Q100" s="84" t="str">
        <x:v>Exact accepted-name match</x:v>
      </x:c>
      <x:c r="R100" s="84" t="str">
        <x:v>Berlandiera lyrata</x:v>
      </x:c>
      <x:c r="S100" s="84" t="str">
        <x:v>3122411</x:v>
      </x:c>
      <x:c r="T100" s="84" t="str">
        <x:v>3122411</x:v>
      </x:c>
      <x:c r="U100" s="84" t="str">
        <x:v>184670-1</x:v>
      </x:c>
      <x:c r="V100" s="84" t="str">
        <x:v>184670-1</x:v>
      </x:c>
      <x:c r="W100" s="84" t="str"/>
    </x:row>
    <x:row r="101" ht="18" customHeight="1">
      <x:c r="A101" s="83" t="str">
        <x:v>HAYS-0100</x:v>
      </x:c>
      <x:c r="B101" s="87" t="str">
        <x:v>Bernardia myricifolia</x:v>
      </x:c>
      <x:c r="C101" s="87" t="str">
        <x:v>Bernardia myricifolia</x:v>
      </x:c>
      <x:c r="D101" s="84" t="str">
        <x:v>Euphorbiaceae</x:v>
      </x:c>
      <x:c r="E101" s="84" t="str">
        <x:v>Bernardia</x:v>
      </x:c>
      <x:c r="F101" s="84" t="str">
        <x:v>Species</x:v>
      </x:c>
      <x:c r="G101" s="84" t="str">
        <x:v>Accepted</x:v>
      </x:c>
      <x:c r="H101" s="84" t="str">
        <x:v>Mouse Ears</x:v>
      </x:c>
      <x:c r="I101" s="84" t="str">
        <x:v>Perennial</x:v>
      </x:c>
      <x:c r="J101" s="84" t="str">
        <x:v>Shrub</x:v>
      </x:c>
      <x:c r="K101" s="84" t="str">
        <x:v>Full Sun, Part Shade</x:v>
      </x:c>
      <x:c r="L101" s="84" t="str">
        <x:v>Low</x:v>
      </x:c>
      <x:c r="M101" s="89" t="n">
        <x:v>1</x:v>
      </x:c>
      <x:c r="N101" s="89" t="n">
        <x:v>1</x:v>
      </x:c>
      <x:c r="O101" s="89" t="n">
        <x:v>1</x:v>
      </x:c>
      <x:c r="P101" s="89" t="n">
        <x:f>SUM(M101:O101)</x:f>
        <x:v>3</x:v>
      </x:c>
      <x:c r="Q101" s="84" t="str">
        <x:v>Exact accepted-name match</x:v>
      </x:c>
      <x:c r="R101" s="84" t="str">
        <x:v>Bernardia myricifolia</x:v>
      </x:c>
      <x:c r="S101" s="84" t="str">
        <x:v>20746</x:v>
      </x:c>
      <x:c r="T101" s="84" t="str">
        <x:v>20746</x:v>
      </x:c>
      <x:c r="U101" s="84" t="str">
        <x:v>30144516-2</x:v>
      </x:c>
      <x:c r="V101" s="84" t="str">
        <x:v>30144516-2</x:v>
      </x:c>
      <x:c r="W101" s="84" t="str"/>
    </x:row>
    <x:row r="102" ht="18" customHeight="1">
      <x:c r="A102" s="83" t="str">
        <x:v>HAYS-0101</x:v>
      </x:c>
      <x:c r="B102" s="87" t="str">
        <x:v>Bidens laevis</x:v>
      </x:c>
      <x:c r="C102" s="87" t="str">
        <x:v>Bidens laevis</x:v>
      </x:c>
      <x:c r="D102" s="84" t="str">
        <x:v>Asteraceae</x:v>
      </x:c>
      <x:c r="E102" s="84" t="str">
        <x:v>Bidens</x:v>
      </x:c>
      <x:c r="F102" s="84" t="str">
        <x:v>Species</x:v>
      </x:c>
      <x:c r="G102" s="84" t="str">
        <x:v>Accepted</x:v>
      </x:c>
      <x:c r="H102" s="84" t="str">
        <x:v>Smooth Beggartick, Smooth Bidens, Smooth Bur Marigold, Larger Bur Marigold</x:v>
      </x:c>
      <x:c r="I102" s="84" t="str">
        <x:v>Annual</x:v>
      </x:c>
      <x:c r="J102" s="84" t="str">
        <x:v>Herb</x:v>
      </x:c>
      <x:c r="K102" s="84" t="str">
        <x:v>Sun, Part-shade</x:v>
      </x:c>
      <x:c r="L102" s="84" t="str">
        <x:v>Wet, Moist</x:v>
      </x:c>
      <x:c r="M102" s="89" t="n">
        <x:v>1</x:v>
      </x:c>
      <x:c r="N102" s="89" t="n">
        <x:v>1</x:v>
      </x:c>
      <x:c r="O102" s="89" t="n">
        <x:v>0</x:v>
      </x:c>
      <x:c r="P102" s="89" t="n">
        <x:f>SUM(M102:O102)</x:f>
        <x:v>2</x:v>
      </x:c>
      <x:c r="Q102" s="84" t="str">
        <x:v>Exact accepted-name match</x:v>
      </x:c>
      <x:c r="R102" s="84" t="str">
        <x:v>Bidens laevis</x:v>
      </x:c>
      <x:c r="S102" s="84" t="str">
        <x:v>3116782</x:v>
      </x:c>
      <x:c r="T102" s="84" t="str">
        <x:v>3116782</x:v>
      </x:c>
      <x:c r="U102" s="84" t="str">
        <x:v>32497-2</x:v>
      </x:c>
      <x:c r="V102" s="84" t="str">
        <x:v>32497-2</x:v>
      </x:c>
      <x:c r="W102" s="84" t="str"/>
    </x:row>
    <x:row r="103" ht="18" customHeight="1">
      <x:c r="A103" s="83" t="str">
        <x:v>HAYS-0102</x:v>
      </x:c>
      <x:c r="B103" s="87" t="str">
        <x:v>Bifora americana</x:v>
      </x:c>
      <x:c r="C103" s="87" t="str">
        <x:v>Atrema americanum</x:v>
      </x:c>
      <x:c r="D103" s="84" t="str">
        <x:v>Apiaceae</x:v>
      </x:c>
      <x:c r="E103" s="84" t="str">
        <x:v>Atrema</x:v>
      </x:c>
      <x:c r="F103" s="84" t="str">
        <x:v>Species</x:v>
      </x:c>
      <x:c r="G103" s="84" t="str">
        <x:v>Synonym</x:v>
      </x:c>
      <x:c r="H103" s="84" t="str">
        <x:v>Prairie Bishop, Prairie Bishop's Weed</x:v>
      </x:c>
      <x:c r="I103" s="84" t="str">
        <x:v>Annual</x:v>
      </x:c>
      <x:c r="J103" s="84" t="str">
        <x:v>Herb</x:v>
      </x:c>
      <x:c r="K103" s="84" t="str">
        <x:v>Sun, Part-shade</x:v>
      </x:c>
      <x:c r="L103" s="84" t="str"/>
      <x:c r="M103" s="89" t="n">
        <x:v>1</x:v>
      </x:c>
      <x:c r="N103" s="89" t="n">
        <x:v>1</x:v>
      </x:c>
      <x:c r="O103" s="89" t="n">
        <x:v>0</x:v>
      </x:c>
      <x:c r="P103" s="89" t="n">
        <x:f>SUM(M103:O103)</x:f>
        <x:v>2</x:v>
      </x:c>
      <x:c r="Q103" s="84" t="str">
        <x:v>Exact synonym-name match</x:v>
      </x:c>
      <x:c r="R103" s="84" t="str">
        <x:v>Bifora americana</x:v>
      </x:c>
      <x:c r="S103" s="84" t="str">
        <x:v>2675864</x:v>
      </x:c>
      <x:c r="T103" s="84" t="str">
        <x:v>2664989</x:v>
      </x:c>
      <x:c r="U103" s="84" t="str">
        <x:v>838706-1</x:v>
      </x:c>
      <x:c r="V103" s="84" t="str">
        <x:v>838497-1</x:v>
      </x:c>
      <x:c r="W103" s="84" t="str"/>
    </x:row>
    <x:row r="104" ht="18" customHeight="1">
      <x:c r="A104" s="83" t="str">
        <x:v>HAYS-0103</x:v>
      </x:c>
      <x:c r="B104" s="87" t="str">
        <x:v>Boehmeria cylindrica</x:v>
      </x:c>
      <x:c r="C104" s="87" t="str">
        <x:v>Boehmeria cylindrica</x:v>
      </x:c>
      <x:c r="D104" s="84" t="str">
        <x:v>Urticaceae</x:v>
      </x:c>
      <x:c r="E104" s="84" t="str">
        <x:v>Boehmeria</x:v>
      </x:c>
      <x:c r="F104" s="84" t="str">
        <x:v>Species</x:v>
      </x:c>
      <x:c r="G104" s="84" t="str">
        <x:v>Accepted</x:v>
      </x:c>
      <x:c r="H104" s="84" t="str">
        <x:v>Smallspike False Nettle, Bog Hemp</x:v>
      </x:c>
      <x:c r="I104" s="84" t="str">
        <x:v>Perennial</x:v>
      </x:c>
      <x:c r="J104" s="84" t="str">
        <x:v>Herb</x:v>
      </x:c>
      <x:c r="K104" s="84" t="str">
        <x:v>Sun, Shade, Part-shade</x:v>
      </x:c>
      <x:c r="L104" s="84" t="str">
        <x:v>Moist</x:v>
      </x:c>
      <x:c r="M104" s="89" t="n">
        <x:v>1</x:v>
      </x:c>
      <x:c r="N104" s="89" t="n">
        <x:v>1</x:v>
      </x:c>
      <x:c r="O104" s="89" t="n">
        <x:v>0</x:v>
      </x:c>
      <x:c r="P104" s="89" t="n">
        <x:f>SUM(M104:O104)</x:f>
        <x:v>2</x:v>
      </x:c>
      <x:c r="Q104" s="84" t="str">
        <x:v>Exact accepted-name match</x:v>
      </x:c>
      <x:c r="R104" s="84" t="str">
        <x:v>Boehmeria cylindrica</x:v>
      </x:c>
      <x:c r="S104" s="84" t="str">
        <x:v>2678186</x:v>
      </x:c>
      <x:c r="T104" s="84" t="str">
        <x:v>2678186</x:v>
      </x:c>
      <x:c r="U104" s="84" t="str">
        <x:v>850563-1</x:v>
      </x:c>
      <x:c r="V104" s="84" t="str">
        <x:v>850563-1</x:v>
      </x:c>
      <x:c r="W104" s="84" t="str"/>
    </x:row>
    <x:row r="105" ht="18" customHeight="1">
      <x:c r="A105" s="83" t="str">
        <x:v>HAYS-0104</x:v>
      </x:c>
      <x:c r="B105" s="87" t="str">
        <x:v>Boerhavia coccinea</x:v>
      </x:c>
      <x:c r="C105" s="87" t="str">
        <x:v>Boerhavia coccinea</x:v>
      </x:c>
      <x:c r="D105" s="84" t="str">
        <x:v>Nyctaginaceae</x:v>
      </x:c>
      <x:c r="E105" s="84" t="str">
        <x:v>Boerhavia</x:v>
      </x:c>
      <x:c r="F105" s="84" t="str">
        <x:v>Species</x:v>
      </x:c>
      <x:c r="G105" s="84" t="str">
        <x:v>Accepted</x:v>
      </x:c>
      <x:c r="H105" s="84" t="str">
        <x:v>Scarlet Spiderling</x:v>
      </x:c>
      <x:c r="I105" s="84" t="str">
        <x:v>Perennial</x:v>
      </x:c>
      <x:c r="J105" s="84" t="str">
        <x:v>Herb</x:v>
      </x:c>
      <x:c r="K105" s="84" t="str"/>
      <x:c r="L105" s="84" t="str"/>
      <x:c r="M105" s="89" t="n">
        <x:v>1</x:v>
      </x:c>
      <x:c r="N105" s="89" t="n">
        <x:v>1</x:v>
      </x:c>
      <x:c r="O105" s="89" t="n">
        <x:v>0</x:v>
      </x:c>
      <x:c r="P105" s="89" t="n">
        <x:f>SUM(M105:O105)</x:f>
        <x:v>2</x:v>
      </x:c>
      <x:c r="Q105" s="84" t="str">
        <x:v>Exact accepted-name match</x:v>
      </x:c>
      <x:c r="R105" s="84" t="str">
        <x:v>Boerhavia coccinea</x:v>
      </x:c>
      <x:c r="S105" s="84" t="str">
        <x:v>2678604</x:v>
      </x:c>
      <x:c r="T105" s="84" t="str">
        <x:v>2678604</x:v>
      </x:c>
      <x:c r="U105" s="84" t="str">
        <x:v>326873-2</x:v>
      </x:c>
      <x:c r="V105" s="84" t="str">
        <x:v>326873-2</x:v>
      </x:c>
      <x:c r="W105" s="84" t="str"/>
    </x:row>
    <x:row r="106" ht="18" customHeight="1">
      <x:c r="A106" s="83" t="str">
        <x:v>HAYS-0105</x:v>
      </x:c>
      <x:c r="B106" s="87" t="str">
        <x:v>Boerhavia linearifolia</x:v>
      </x:c>
      <x:c r="C106" s="87" t="str">
        <x:v>Boerhavia linearifolia</x:v>
      </x:c>
      <x:c r="D106" s="84" t="str">
        <x:v>Nyctaginaceae</x:v>
      </x:c>
      <x:c r="E106" s="84" t="str">
        <x:v>Boerhavia</x:v>
      </x:c>
      <x:c r="F106" s="84" t="str">
        <x:v>Species</x:v>
      </x:c>
      <x:c r="G106" s="84" t="str">
        <x:v>Accepted</x:v>
      </x:c>
      <x:c r="H106" s="84" t="str">
        <x:v>Narrowleaf Spiderling</x:v>
      </x:c>
      <x:c r="I106" s="84" t="str">
        <x:v>Perennial</x:v>
      </x:c>
      <x:c r="J106" s="84" t="str">
        <x:v>Subshrub</x:v>
      </x:c>
      <x:c r="K106" s="84" t="str"/>
      <x:c r="L106" s="84" t="str"/>
      <x:c r="M106" s="89" t="n">
        <x:v>1</x:v>
      </x:c>
      <x:c r="N106" s="89" t="n">
        <x:v>1</x:v>
      </x:c>
      <x:c r="O106" s="89" t="n">
        <x:v>0</x:v>
      </x:c>
      <x:c r="P106" s="89" t="n">
        <x:f>SUM(M106:O106)</x:f>
        <x:v>2</x:v>
      </x:c>
      <x:c r="Q106" s="84" t="str">
        <x:v>Exact accepted-name match</x:v>
      </x:c>
      <x:c r="R106" s="84" t="str">
        <x:v>Boerhavia linearifolia</x:v>
      </x:c>
      <x:c r="S106" s="84" t="str">
        <x:v>2678700</x:v>
      </x:c>
      <x:c r="T106" s="84" t="str">
        <x:v>2678700</x:v>
      </x:c>
      <x:c r="U106" s="84" t="str">
        <x:v>326901-2</x:v>
      </x:c>
      <x:c r="V106" s="84" t="str">
        <x:v>326901-2</x:v>
      </x:c>
      <x:c r="W106" s="84" t="str"/>
    </x:row>
    <x:row r="107" ht="18" customHeight="1">
      <x:c r="A107" s="83" t="str">
        <x:v>HAYS-0106</x:v>
      </x:c>
      <x:c r="B107" s="87" t="str">
        <x:v>Boltonia diffusa</x:v>
      </x:c>
      <x:c r="C107" s="87" t="str">
        <x:v>Boltonia diffusa</x:v>
      </x:c>
      <x:c r="D107" s="84" t="str">
        <x:v>Asteraceae</x:v>
      </x:c>
      <x:c r="E107" s="84" t="str">
        <x:v>Boltonia</x:v>
      </x:c>
      <x:c r="F107" s="84" t="str">
        <x:v>Species</x:v>
      </x:c>
      <x:c r="G107" s="84" t="str">
        <x:v>Accepted</x:v>
      </x:c>
      <x:c r="H107" s="84" t="str">
        <x:v>Doll's Daisy, Smallhead Doll's Daisy</x:v>
      </x:c>
      <x:c r="I107" s="84" t="str">
        <x:v>Perennial</x:v>
      </x:c>
      <x:c r="J107" s="84" t="str">
        <x:v>Herb</x:v>
      </x:c>
      <x:c r="K107" s="84" t="str"/>
      <x:c r="L107" s="84" t="str">
        <x:v>Wet, Moist, Dry</x:v>
      </x:c>
      <x:c r="M107" s="89" t="n">
        <x:v>1</x:v>
      </x:c>
      <x:c r="N107" s="89" t="n">
        <x:v>1</x:v>
      </x:c>
      <x:c r="O107" s="89" t="n">
        <x:v>0</x:v>
      </x:c>
      <x:c r="P107" s="89" t="n">
        <x:f>SUM(M107:O107)</x:f>
        <x:v>2</x:v>
      </x:c>
      <x:c r="Q107" s="84" t="str">
        <x:v>Exact accepted-name match</x:v>
      </x:c>
      <x:c r="R107" s="84" t="str">
        <x:v>Boltonia diffusa</x:v>
      </x:c>
      <x:c r="S107" s="84" t="str">
        <x:v>3102471</x:v>
      </x:c>
      <x:c r="T107" s="84" t="str">
        <x:v>3102471</x:v>
      </x:c>
      <x:c r="U107" s="84" t="str">
        <x:v>185784-1</x:v>
      </x:c>
      <x:c r="V107" s="84" t="str">
        <x:v>185784-1</x:v>
      </x:c>
      <x:c r="W107" s="84" t="str"/>
    </x:row>
    <x:row r="108" ht="18" customHeight="1">
      <x:c r="A108" s="83" t="str">
        <x:v>HAYS-0107</x:v>
      </x:c>
      <x:c r="B108" s="87" t="str">
        <x:v>Bothriochloa barbinodis</x:v>
      </x:c>
      <x:c r="C108" s="87" t="str">
        <x:v>Bothriochloa barbinodis</x:v>
      </x:c>
      <x:c r="D108" s="84" t="str">
        <x:v>Poaceae</x:v>
      </x:c>
      <x:c r="E108" s="84" t="str">
        <x:v>Bothriochloa</x:v>
      </x:c>
      <x:c r="F108" s="84" t="str">
        <x:v>Species</x:v>
      </x:c>
      <x:c r="G108" s="84" t="str">
        <x:v>Accepted</x:v>
      </x:c>
      <x:c r="H108" s="84" t="str">
        <x:v>Pinhole Bluestem, Cane Bluestem, Cane Beardgrass, Feather Bluestem, Plains Beardgrass</x:v>
      </x:c>
      <x:c r="I108" s="84" t="str">
        <x:v>Perennial</x:v>
      </x:c>
      <x:c r="J108" s="84" t="str">
        <x:v>Grass/Grass-like</x:v>
      </x:c>
      <x:c r="K108" s="84" t="str">
        <x:v>Sun</x:v>
      </x:c>
      <x:c r="L108" s="84" t="str">
        <x:v>Dry</x:v>
      </x:c>
      <x:c r="M108" s="89" t="n">
        <x:v>1</x:v>
      </x:c>
      <x:c r="N108" s="89" t="n">
        <x:v>1</x:v>
      </x:c>
      <x:c r="O108" s="89" t="n">
        <x:v>0</x:v>
      </x:c>
      <x:c r="P108" s="89" t="n">
        <x:f>SUM(M108:O108)</x:f>
        <x:v>2</x:v>
      </x:c>
      <x:c r="Q108" s="84" t="str">
        <x:v>Exact accepted-name match</x:v>
      </x:c>
      <x:c r="R108" s="84" t="str">
        <x:v>Bothriochloa barbinodis</x:v>
      </x:c>
      <x:c r="S108" s="84" t="str">
        <x:v>399292</x:v>
      </x:c>
      <x:c r="T108" s="84" t="str">
        <x:v>399292</x:v>
      </x:c>
      <x:c r="U108" s="84" t="str">
        <x:v>35184-2</x:v>
      </x:c>
      <x:c r="V108" s="84" t="str">
        <x:v>35184-2</x:v>
      </x:c>
      <x:c r="W108" s="84" t="str"/>
    </x:row>
    <x:row r="109" ht="18" customHeight="1">
      <x:c r="A109" s="83" t="str">
        <x:v>HAYS-0108</x:v>
      </x:c>
      <x:c r="B109" s="87" t="str">
        <x:v>Bothriochloa laguroides</x:v>
      </x:c>
      <x:c r="C109" s="87" t="str">
        <x:v>Bothriochloa laguroides</x:v>
      </x:c>
      <x:c r="D109" s="84" t="str">
        <x:v>Poaceae</x:v>
      </x:c>
      <x:c r="E109" s="84" t="str">
        <x:v>Bothriochloa</x:v>
      </x:c>
      <x:c r="F109" s="84" t="str">
        <x:v>Species</x:v>
      </x:c>
      <x:c r="G109" s="84" t="str">
        <x:v>Accepted</x:v>
      </x:c>
      <x:c r="H109" s="84" t="str">
        <x:v>Silver Bluestem, Silver Beardgrass</x:v>
      </x:c>
      <x:c r="I109" s="84" t="str">
        <x:v>Perennial</x:v>
      </x:c>
      <x:c r="J109" s="84" t="str">
        <x:v>Grass</x:v>
      </x:c>
      <x:c r="K109" s="84" t="str">
        <x:v>Sun</x:v>
      </x:c>
      <x:c r="L109" s="84" t="str">
        <x:v>Low</x:v>
      </x:c>
      <x:c r="M109" s="89" t="n">
        <x:v>1</x:v>
      </x:c>
      <x:c r="N109" s="89" t="n">
        <x:v>1</x:v>
      </x:c>
      <x:c r="O109" s="89" t="n">
        <x:v>1</x:v>
      </x:c>
      <x:c r="P109" s="89" t="n">
        <x:f>SUM(M109:O109)</x:f>
        <x:v>3</x:v>
      </x:c>
      <x:c r="Q109" s="84" t="str">
        <x:v>Exact accepted-name match</x:v>
      </x:c>
      <x:c r="R109" s="84" t="str">
        <x:v>Bothriochloa laguroides</x:v>
      </x:c>
      <x:c r="S109" s="84" t="str">
        <x:v>399341</x:v>
      </x:c>
      <x:c r="T109" s="84" t="str">
        <x:v>399341</x:v>
      </x:c>
      <x:c r="U109" s="84" t="str">
        <x:v>35197-2</x:v>
      </x:c>
      <x:c r="V109" s="84" t="str">
        <x:v>35197-2</x:v>
      </x:c>
      <x:c r="W109" s="84" t="str"/>
    </x:row>
    <x:row r="110" ht="18" customHeight="1">
      <x:c r="A110" s="83" t="str">
        <x:v>HAYS-0109</x:v>
      </x:c>
      <x:c r="B110" s="87" t="str">
        <x:v>Bouchetia erecta</x:v>
      </x:c>
      <x:c r="C110" s="87" t="str">
        <x:v>Bouchetia erecta</x:v>
      </x:c>
      <x:c r="D110" s="84" t="str">
        <x:v>Solanaceae</x:v>
      </x:c>
      <x:c r="E110" s="84" t="str">
        <x:v>Bouchetia</x:v>
      </x:c>
      <x:c r="F110" s="84" t="str">
        <x:v>Species</x:v>
      </x:c>
      <x:c r="G110" s="84" t="str">
        <x:v>Accepted</x:v>
      </x:c>
      <x:c r="H110" s="84" t="str">
        <x:v>Erect Bouchetia, Painted-tongue, Paintedtongue, Painted Tongue</x:v>
      </x:c>
      <x:c r="I110" s="84" t="str">
        <x:v>Perennial</x:v>
      </x:c>
      <x:c r="J110" s="84" t="str">
        <x:v>Herb</x:v>
      </x:c>
      <x:c r="K110" s="84" t="str">
        <x:v>Sun</x:v>
      </x:c>
      <x:c r="L110" s="84" t="str">
        <x:v>Moist</x:v>
      </x:c>
      <x:c r="M110" s="89" t="n">
        <x:v>1</x:v>
      </x:c>
      <x:c r="N110" s="89" t="n">
        <x:v>1</x:v>
      </x:c>
      <x:c r="O110" s="89" t="n">
        <x:v>0</x:v>
      </x:c>
      <x:c r="P110" s="89" t="n">
        <x:f>SUM(M110:O110)</x:f>
        <x:v>2</x:v>
      </x:c>
      <x:c r="Q110" s="84" t="str">
        <x:v>Exact accepted-name match</x:v>
      </x:c>
      <x:c r="R110" s="84" t="str">
        <x:v>Bouchetia erecta</x:v>
      </x:c>
      <x:c r="S110" s="84" t="str">
        <x:v>2680729</x:v>
      </x:c>
      <x:c r="T110" s="84" t="str">
        <x:v>2680729</x:v>
      </x:c>
      <x:c r="U110" s="84" t="str">
        <x:v>35438-2</x:v>
      </x:c>
      <x:c r="V110" s="84" t="str">
        <x:v>35438-2</x:v>
      </x:c>
      <x:c r="W110" s="84" t="str"/>
    </x:row>
    <x:row r="111" ht="18" customHeight="1">
      <x:c r="A111" s="83" t="str">
        <x:v>HAYS-0110</x:v>
      </x:c>
      <x:c r="B111" s="87" t="str">
        <x:v>Bouteloua curtipendula</x:v>
      </x:c>
      <x:c r="C111" s="87" t="str">
        <x:v>Bouteloua curtipendula</x:v>
      </x:c>
      <x:c r="D111" s="84" t="str">
        <x:v>Poaceae</x:v>
      </x:c>
      <x:c r="E111" s="84" t="str">
        <x:v>Bouteloua</x:v>
      </x:c>
      <x:c r="F111" s="84" t="str">
        <x:v>Species</x:v>
      </x:c>
      <x:c r="G111" s="84" t="str">
        <x:v>Accepted</x:v>
      </x:c>
      <x:c r="H111" s="84" t="str">
        <x:v>Sideoats Grama, Banderilla, Banderita, Navajita</x:v>
      </x:c>
      <x:c r="I111" s="84" t="str">
        <x:v>Perennial</x:v>
      </x:c>
      <x:c r="J111" s="84" t="str">
        <x:v>Grass</x:v>
      </x:c>
      <x:c r="K111" s="84" t="str">
        <x:v>Sun</x:v>
      </x:c>
      <x:c r="L111" s="84" t="str">
        <x:v>Low</x:v>
      </x:c>
      <x:c r="M111" s="89" t="n">
        <x:v>1</x:v>
      </x:c>
      <x:c r="N111" s="89" t="n">
        <x:v>1</x:v>
      </x:c>
      <x:c r="O111" s="89" t="n">
        <x:v>1</x:v>
      </x:c>
      <x:c r="P111" s="89" t="n">
        <x:f>SUM(M111:O111)</x:f>
        <x:v>3</x:v>
      </x:c>
      <x:c r="Q111" s="84" t="str">
        <x:v>Exact accepted-name match</x:v>
      </x:c>
      <x:c r="R111" s="84" t="str">
        <x:v>Bouteloua curtipendula</x:v>
      </x:c>
      <x:c r="S111" s="84" t="str">
        <x:v>399418</x:v>
      </x:c>
      <x:c r="T111" s="84" t="str">
        <x:v>399418</x:v>
      </x:c>
      <x:c r="U111" s="84" t="str">
        <x:v>1198286-2</x:v>
      </x:c>
      <x:c r="V111" s="84" t="str">
        <x:v>1198286-2</x:v>
      </x:c>
      <x:c r="W111" s="84" t="str"/>
    </x:row>
    <x:row r="112" ht="18" customHeight="1">
      <x:c r="A112" s="83" t="str">
        <x:v>HAYS-0111</x:v>
      </x:c>
      <x:c r="B112" s="87" t="str">
        <x:v>Bouteloua dactyloides</x:v>
      </x:c>
      <x:c r="C112" s="87" t="str">
        <x:v>Bouteloua dactyloides</x:v>
      </x:c>
      <x:c r="D112" s="84" t="str">
        <x:v>Poaceae</x:v>
      </x:c>
      <x:c r="E112" s="84" t="str">
        <x:v>Bouteloua</x:v>
      </x:c>
      <x:c r="F112" s="84" t="str">
        <x:v>Species</x:v>
      </x:c>
      <x:c r="G112" s="84" t="str">
        <x:v>Accepted</x:v>
      </x:c>
      <x:c r="H112" s="84" t="str">
        <x:v>Buffalograss, Buffalo Grass</x:v>
      </x:c>
      <x:c r="I112" s="84" t="str">
        <x:v>Perennial</x:v>
      </x:c>
      <x:c r="J112" s="84" t="str">
        <x:v>Grass</x:v>
      </x:c>
      <x:c r="K112" s="84" t="str">
        <x:v>Sun</x:v>
      </x:c>
      <x:c r="L112" s="84" t="str">
        <x:v>Low</x:v>
      </x:c>
      <x:c r="M112" s="89" t="n">
        <x:v>1</x:v>
      </x:c>
      <x:c r="N112" s="89" t="n">
        <x:v>1</x:v>
      </x:c>
      <x:c r="O112" s="89" t="n">
        <x:v>1</x:v>
      </x:c>
      <x:c r="P112" s="89" t="n">
        <x:f>SUM(M112:O112)</x:f>
        <x:v>3</x:v>
      </x:c>
      <x:c r="Q112" s="84" t="str">
        <x:v>Exact accepted-name match</x:v>
      </x:c>
      <x:c r="R112" s="84" t="str">
        <x:v>Bouteloua dactyloides</x:v>
      </x:c>
      <x:c r="S112" s="84" t="str">
        <x:v>399423</x:v>
      </x:c>
      <x:c r="T112" s="84" t="str">
        <x:v>399423</x:v>
      </x:c>
      <x:c r="U112" s="84" t="str">
        <x:v>1008094-1</x:v>
      </x:c>
      <x:c r="V112" s="84" t="str">
        <x:v>1008094-1</x:v>
      </x:c>
      <x:c r="W112" s="84" t="str"/>
    </x:row>
    <x:row r="113" ht="18" customHeight="1">
      <x:c r="A113" s="83" t="str">
        <x:v>HAYS-0112</x:v>
      </x:c>
      <x:c r="B113" s="87" t="str">
        <x:v>Bouteloua gracilis</x:v>
      </x:c>
      <x:c r="C113" s="87" t="str">
        <x:v>Bouteloua gracilis</x:v>
      </x:c>
      <x:c r="D113" s="84" t="str">
        <x:v>Poaceae</x:v>
      </x:c>
      <x:c r="E113" s="84" t="str">
        <x:v>Bouteloua</x:v>
      </x:c>
      <x:c r="F113" s="84" t="str">
        <x:v>Species</x:v>
      </x:c>
      <x:c r="G113" s="84" t="str">
        <x:v>Accepted</x:v>
      </x:c>
      <x:c r="H113" s="84" t="str">
        <x:v>Blue Grama</x:v>
      </x:c>
      <x:c r="I113" s="84" t="str">
        <x:v>Perennial</x:v>
      </x:c>
      <x:c r="J113" s="84" t="str">
        <x:v>Grass</x:v>
      </x:c>
      <x:c r="K113" s="84" t="str">
        <x:v>Sun</x:v>
      </x:c>
      <x:c r="L113" s="84" t="str">
        <x:v>Low</x:v>
      </x:c>
      <x:c r="M113" s="89" t="n">
        <x:v>0</x:v>
      </x:c>
      <x:c r="N113" s="89" t="n">
        <x:v>0</x:v>
      </x:c>
      <x:c r="O113" s="89" t="n">
        <x:v>1</x:v>
      </x:c>
      <x:c r="P113" s="89" t="n">
        <x:f>SUM(M113:O113)</x:f>
        <x:v>1</x:v>
      </x:c>
      <x:c r="Q113" s="84" t="str">
        <x:v>Exact accepted-name match</x:v>
      </x:c>
      <x:c r="R113" s="84" t="str">
        <x:v>Bouteloua gracilis</x:v>
      </x:c>
      <x:c r="S113" s="84" t="str">
        <x:v>399440</x:v>
      </x:c>
      <x:c r="T113" s="84" t="str">
        <x:v>399440</x:v>
      </x:c>
      <x:c r="U113" s="84" t="str">
        <x:v>1026047-2</x:v>
      </x:c>
      <x:c r="V113" s="84" t="str">
        <x:v>1026047-2</x:v>
      </x:c>
      <x:c r="W113" s="84" t="str"/>
    </x:row>
    <x:row r="114" ht="18" customHeight="1">
      <x:c r="A114" s="83" t="str">
        <x:v>HAYS-0113</x:v>
      </x:c>
      <x:c r="B114" s="87" t="str">
        <x:v>Bouteloua hirsuta</x:v>
      </x:c>
      <x:c r="C114" s="87" t="str">
        <x:v>Bouteloua hirsuta</x:v>
      </x:c>
      <x:c r="D114" s="84" t="str">
        <x:v>Poaceae</x:v>
      </x:c>
      <x:c r="E114" s="84" t="str">
        <x:v>Bouteloua</x:v>
      </x:c>
      <x:c r="F114" s="84" t="str">
        <x:v>Species</x:v>
      </x:c>
      <x:c r="G114" s="84" t="str">
        <x:v>Accepted</x:v>
      </x:c>
      <x:c r="H114" s="84" t="str">
        <x:v>Hairy Grama</x:v>
      </x:c>
      <x:c r="I114" s="84" t="str">
        <x:v>Perennial</x:v>
      </x:c>
      <x:c r="J114" s="84" t="str">
        <x:v>Grass/Grass-like</x:v>
      </x:c>
      <x:c r="K114" s="84" t="str">
        <x:v>Part-shade</x:v>
      </x:c>
      <x:c r="L114" s="84" t="str">
        <x:v>Dry</x:v>
      </x:c>
      <x:c r="M114" s="89" t="n">
        <x:v>1</x:v>
      </x:c>
      <x:c r="N114" s="89" t="n">
        <x:v>1</x:v>
      </x:c>
      <x:c r="O114" s="89" t="n">
        <x:v>0</x:v>
      </x:c>
      <x:c r="P114" s="89" t="n">
        <x:f>SUM(M114:O114)</x:f>
        <x:v>2</x:v>
      </x:c>
      <x:c r="Q114" s="84" t="str">
        <x:v>Exact accepted-name match</x:v>
      </x:c>
      <x:c r="R114" s="84" t="str">
        <x:v>Bouteloua hirsuta</x:v>
      </x:c>
      <x:c r="S114" s="84" t="str">
        <x:v>399448</x:v>
      </x:c>
      <x:c r="T114" s="84" t="str">
        <x:v>399448</x:v>
      </x:c>
      <x:c r="U114" s="84" t="str">
        <x:v>30403082-2</x:v>
      </x:c>
      <x:c r="V114" s="84" t="str">
        <x:v>30403082-2</x:v>
      </x:c>
      <x:c r="W114" s="84" t="str"/>
    </x:row>
    <x:row r="115" ht="18" customHeight="1">
      <x:c r="A115" s="83" t="str">
        <x:v>HAYS-0114</x:v>
      </x:c>
      <x:c r="B115" s="87" t="str">
        <x:v>Bouteloua hirsuta var. pectinata</x:v>
      </x:c>
      <x:c r="C115" s="87" t="str">
        <x:v>Bouteloua pectinata</x:v>
      </x:c>
      <x:c r="D115" s="84" t="str">
        <x:v>Poaceae</x:v>
      </x:c>
      <x:c r="E115" s="84" t="str">
        <x:v>Bouteloua</x:v>
      </x:c>
      <x:c r="F115" s="84" t="str">
        <x:v>Variety</x:v>
      </x:c>
      <x:c r="G115" s="84" t="str">
        <x:v>Synonym</x:v>
      </x:c>
      <x:c r="H115" s="84" t="str">
        <x:v>Tall Grama, Hairy Grama</x:v>
      </x:c>
      <x:c r="I115" s="84" t="str">
        <x:v>Perennial</x:v>
      </x:c>
      <x:c r="J115" s="84" t="str">
        <x:v>Grass/Grass-like</x:v>
      </x:c>
      <x:c r="K115" s="84" t="str"/>
      <x:c r="L115" s="84" t="str"/>
      <x:c r="M115" s="89" t="n">
        <x:v>1</x:v>
      </x:c>
      <x:c r="N115" s="89" t="n">
        <x:v>1</x:v>
      </x:c>
      <x:c r="O115" s="89" t="n">
        <x:v>0</x:v>
      </x:c>
      <x:c r="P115" s="89" t="n">
        <x:f>SUM(M115:O115)</x:f>
        <x:v>2</x:v>
      </x:c>
      <x:c r="Q115" s="84" t="str">
        <x:v>Exact synonym-name match</x:v>
      </x:c>
      <x:c r="R115" s="84" t="str">
        <x:v>Bouteloua hirsuta var. pectinata</x:v>
      </x:c>
      <x:c r="S115" s="84" t="str">
        <x:v>399455</x:v>
      </x:c>
      <x:c r="T115" s="84" t="str">
        <x:v>399497</x:v>
      </x:c>
      <x:c r="U115" s="84" t="str">
        <x:v>35603-2</x:v>
      </x:c>
      <x:c r="V115" s="84" t="str">
        <x:v>35626-2</x:v>
      </x:c>
      <x:c r="W115" s="84" t="str"/>
    </x:row>
    <x:row r="116" ht="18" customHeight="1">
      <x:c r="A116" s="83" t="str">
        <x:v>HAYS-0115</x:v>
      </x:c>
      <x:c r="B116" s="87" t="str">
        <x:v>Bouteloua rigidiseta</x:v>
      </x:c>
      <x:c r="C116" s="87" t="str">
        <x:v>Bouteloua rigidiseta</x:v>
      </x:c>
      <x:c r="D116" s="84" t="str">
        <x:v>Poaceae</x:v>
      </x:c>
      <x:c r="E116" s="84" t="str">
        <x:v>Bouteloua</x:v>
      </x:c>
      <x:c r="F116" s="84" t="str">
        <x:v>Species</x:v>
      </x:c>
      <x:c r="G116" s="84" t="str">
        <x:v>Accepted</x:v>
      </x:c>
      <x:c r="H116" s="84" t="str">
        <x:v>Texas Grama</x:v>
      </x:c>
      <x:c r="I116" s="84" t="str">
        <x:v>Perennial</x:v>
      </x:c>
      <x:c r="J116" s="84" t="str">
        <x:v>Grass</x:v>
      </x:c>
      <x:c r="K116" s="84" t="str">
        <x:v>Sun</x:v>
      </x:c>
      <x:c r="L116" s="84" t="str">
        <x:v>Low</x:v>
      </x:c>
      <x:c r="M116" s="89" t="n">
        <x:v>1</x:v>
      </x:c>
      <x:c r="N116" s="89" t="n">
        <x:v>1</x:v>
      </x:c>
      <x:c r="O116" s="89" t="n">
        <x:v>1</x:v>
      </x:c>
      <x:c r="P116" s="89" t="n">
        <x:f>SUM(M116:O116)</x:f>
        <x:v>3</x:v>
      </x:c>
      <x:c r="Q116" s="84" t="str">
        <x:v>Exact accepted-name match</x:v>
      </x:c>
      <x:c r="R116" s="84" t="str">
        <x:v>Bouteloua rigidiseta</x:v>
      </x:c>
      <x:c r="S116" s="84" t="str">
        <x:v>399524</x:v>
      </x:c>
      <x:c r="T116" s="84" t="str">
        <x:v>399524</x:v>
      </x:c>
      <x:c r="U116" s="84" t="str">
        <x:v>35641-2</x:v>
      </x:c>
      <x:c r="V116" s="84" t="str">
        <x:v>35641-2</x:v>
      </x:c>
      <x:c r="W116" s="84" t="str"/>
    </x:row>
    <x:row r="117" ht="18" customHeight="1">
      <x:c r="A117" s="83" t="str">
        <x:v>HAYS-0116</x:v>
      </x:c>
      <x:c r="B117" s="87" t="str">
        <x:v>Bouteloua trifida</x:v>
      </x:c>
      <x:c r="C117" s="87" t="str">
        <x:v>Bouteloua trifida</x:v>
      </x:c>
      <x:c r="D117" s="84" t="str">
        <x:v>Poaceae</x:v>
      </x:c>
      <x:c r="E117" s="84" t="str">
        <x:v>Bouteloua</x:v>
      </x:c>
      <x:c r="F117" s="84" t="str">
        <x:v>Species</x:v>
      </x:c>
      <x:c r="G117" s="84" t="str">
        <x:v>Accepted</x:v>
      </x:c>
      <x:c r="H117" s="84" t="str">
        <x:v>Red Grama</x:v>
      </x:c>
      <x:c r="I117" s="84" t="str">
        <x:v>Perennial</x:v>
      </x:c>
      <x:c r="J117" s="84" t="str">
        <x:v>Grass/Grass-like</x:v>
      </x:c>
      <x:c r="K117" s="84" t="str">
        <x:v>Sun</x:v>
      </x:c>
      <x:c r="L117" s="84" t="str"/>
      <x:c r="M117" s="89" t="n">
        <x:v>1</x:v>
      </x:c>
      <x:c r="N117" s="89" t="n">
        <x:v>1</x:v>
      </x:c>
      <x:c r="O117" s="89" t="n">
        <x:v>0</x:v>
      </x:c>
      <x:c r="P117" s="89" t="n">
        <x:f>SUM(M117:O117)</x:f>
        <x:v>2</x:v>
      </x:c>
      <x:c r="Q117" s="84" t="str">
        <x:v>Exact accepted-name match</x:v>
      </x:c>
      <x:c r="R117" s="84" t="str">
        <x:v>Bouteloua trifida</x:v>
      </x:c>
      <x:c r="S117" s="84" t="str">
        <x:v>399541</x:v>
      </x:c>
      <x:c r="T117" s="84" t="str">
        <x:v>399541</x:v>
      </x:c>
      <x:c r="U117" s="84" t="str">
        <x:v>35652-2</x:v>
      </x:c>
      <x:c r="V117" s="84" t="str">
        <x:v>35652-2</x:v>
      </x:c>
      <x:c r="W117" s="84" t="str"/>
    </x:row>
    <x:row r="118" ht="18" customHeight="1">
      <x:c r="A118" s="83" t="str">
        <x:v>HAYS-0117</x:v>
      </x:c>
      <x:c r="B118" s="87" t="str">
        <x:v>Brickellia cylindracea</x:v>
      </x:c>
      <x:c r="C118" s="87" t="str">
        <x:v>Brickellia cylindracea</x:v>
      </x:c>
      <x:c r="D118" s="84" t="str">
        <x:v>Asteraceae</x:v>
      </x:c>
      <x:c r="E118" s="84" t="str">
        <x:v>Brickellia</x:v>
      </x:c>
      <x:c r="F118" s="84" t="str">
        <x:v>Species</x:v>
      </x:c>
      <x:c r="G118" s="84" t="str">
        <x:v>Accepted</x:v>
      </x:c>
      <x:c r="H118" s="84" t="str">
        <x:v>Gravel-bar Brickellbush</x:v>
      </x:c>
      <x:c r="I118" s="84" t="str">
        <x:v>Perennial</x:v>
      </x:c>
      <x:c r="J118" s="84" t="str">
        <x:v>Herb</x:v>
      </x:c>
      <x:c r="K118" s="84" t="str">
        <x:v>Sun, Part-shade</x:v>
      </x:c>
      <x:c r="L118" s="84" t="str">
        <x:v>Moist, Dry</x:v>
      </x:c>
      <x:c r="M118" s="89" t="n">
        <x:v>1</x:v>
      </x:c>
      <x:c r="N118" s="89" t="n">
        <x:v>1</x:v>
      </x:c>
      <x:c r="O118" s="89" t="n">
        <x:v>0</x:v>
      </x:c>
      <x:c r="P118" s="89" t="n">
        <x:f>SUM(M118:O118)</x:f>
        <x:v>2</x:v>
      </x:c>
      <x:c r="Q118" s="84" t="str">
        <x:v>Exact accepted-name match</x:v>
      </x:c>
      <x:c r="R118" s="84" t="str">
        <x:v>Brickellia cylindracea</x:v>
      </x:c>
      <x:c r="S118" s="84" t="str">
        <x:v>3132243</x:v>
      </x:c>
      <x:c r="T118" s="84" t="str">
        <x:v>3132243</x:v>
      </x:c>
      <x:c r="U118" s="84" t="str">
        <x:v>36404-2</x:v>
      </x:c>
      <x:c r="V118" s="84" t="str">
        <x:v>36404-2</x:v>
      </x:c>
      <x:c r="W118" s="84" t="str"/>
    </x:row>
    <x:row r="119" ht="18" customHeight="1">
      <x:c r="A119" s="83" t="str">
        <x:v>HAYS-0118</x:v>
      </x:c>
      <x:c r="B119" s="87" t="str">
        <x:v>Brickellia dentata</x:v>
      </x:c>
      <x:c r="C119" s="87" t="str">
        <x:v>Brickellia dentata</x:v>
      </x:c>
      <x:c r="D119" s="84" t="str">
        <x:v>Asteraceae</x:v>
      </x:c>
      <x:c r="E119" s="84" t="str">
        <x:v>Brickellia</x:v>
      </x:c>
      <x:c r="F119" s="84" t="str">
        <x:v>Species</x:v>
      </x:c>
      <x:c r="G119" s="84" t="str">
        <x:v>Accepted</x:v>
      </x:c>
      <x:c r="H119" s="84" t="str">
        <x:v>Leafy Brickellbush</x:v>
      </x:c>
      <x:c r="I119" s="84" t="str">
        <x:v>Perennial</x:v>
      </x:c>
      <x:c r="J119" s="84" t="str">
        <x:v>Subshrub</x:v>
      </x:c>
      <x:c r="K119" s="84" t="str"/>
      <x:c r="L119" s="84" t="str"/>
      <x:c r="M119" s="89" t="n">
        <x:v>1</x:v>
      </x:c>
      <x:c r="N119" s="89" t="n">
        <x:v>1</x:v>
      </x:c>
      <x:c r="O119" s="89" t="n">
        <x:v>0</x:v>
      </x:c>
      <x:c r="P119" s="89" t="n">
        <x:f>SUM(M119:O119)</x:f>
        <x:v>2</x:v>
      </x:c>
      <x:c r="Q119" s="84" t="str">
        <x:v>Exact accepted-name match</x:v>
      </x:c>
      <x:c r="R119" s="84" t="str">
        <x:v>Brickellia dentata</x:v>
      </x:c>
      <x:c r="S119" s="84" t="str">
        <x:v>3132249</x:v>
      </x:c>
      <x:c r="T119" s="84" t="str">
        <x:v>3132249</x:v>
      </x:c>
      <x:c r="U119" s="84" t="str">
        <x:v>186222-1</x:v>
      </x:c>
      <x:c r="V119" s="84" t="str">
        <x:v>186222-1</x:v>
      </x:c>
      <x:c r="W119" s="84" t="str"/>
    </x:row>
    <x:row r="120" ht="18" customHeight="1">
      <x:c r="A120" s="83" t="str">
        <x:v>HAYS-0119</x:v>
      </x:c>
      <x:c r="B120" s="87" t="str">
        <x:v>Brickellia eupatorioides</x:v>
      </x:c>
      <x:c r="C120" s="87" t="str">
        <x:v>Brickellia eupatorioides</x:v>
      </x:c>
      <x:c r="D120" s="84" t="str">
        <x:v>Asteraceae</x:v>
      </x:c>
      <x:c r="E120" s="84" t="str">
        <x:v>Brickellia</x:v>
      </x:c>
      <x:c r="F120" s="84" t="str">
        <x:v>Species</x:v>
      </x:c>
      <x:c r="G120" s="84" t="str">
        <x:v>Accepted</x:v>
      </x:c>
      <x:c r="H120" s="84" t="str">
        <x:v>False Boneset</x:v>
      </x:c>
      <x:c r="I120" s="84" t="str">
        <x:v>Perennial</x:v>
      </x:c>
      <x:c r="J120" s="84" t="str">
        <x:v>Herb</x:v>
      </x:c>
      <x:c r="K120" s="84" t="str">
        <x:v>Sun</x:v>
      </x:c>
      <x:c r="L120" s="84" t="str">
        <x:v>Medium</x:v>
      </x:c>
      <x:c r="M120" s="89" t="n">
        <x:v>0</x:v>
      </x:c>
      <x:c r="N120" s="89" t="n">
        <x:v>0</x:v>
      </x:c>
      <x:c r="O120" s="89" t="n">
        <x:v>1</x:v>
      </x:c>
      <x:c r="P120" s="89" t="n">
        <x:f>SUM(M120:O120)</x:f>
        <x:v>1</x:v>
      </x:c>
      <x:c r="Q120" s="84" t="str">
        <x:v>Exact accepted-name match</x:v>
      </x:c>
      <x:c r="R120" s="84" t="str">
        <x:v>Brickellia eupatorioides</x:v>
      </x:c>
      <x:c r="S120" s="84" t="str">
        <x:v>3132293</x:v>
      </x:c>
      <x:c r="T120" s="84" t="str">
        <x:v>3132293</x:v>
      </x:c>
      <x:c r="U120" s="84" t="str">
        <x:v>36409-2</x:v>
      </x:c>
      <x:c r="V120" s="84" t="str">
        <x:v>36409-2</x:v>
      </x:c>
      <x:c r="W120" s="84" t="str"/>
    </x:row>
    <x:row r="121" ht="18" customHeight="1">
      <x:c r="A121" s="83" t="str">
        <x:v>HAYS-0120</x:v>
      </x:c>
      <x:c r="B121" s="87" t="str">
        <x:v>Brickellia eupatorioides var. gracillima</x:v>
      </x:c>
      <x:c r="C121" s="87" t="str">
        <x:v>Brickellia leptophylla</x:v>
      </x:c>
      <x:c r="D121" s="84" t="str">
        <x:v>Asteraceae</x:v>
      </x:c>
      <x:c r="E121" s="84" t="str">
        <x:v>Brickellia</x:v>
      </x:c>
      <x:c r="F121" s="84" t="str">
        <x:v>Variety</x:v>
      </x:c>
      <x:c r="G121" s="84" t="str">
        <x:v>Synonym</x:v>
      </x:c>
      <x:c r="H121" s="84" t="str">
        <x:v>False Boneset</x:v>
      </x:c>
      <x:c r="I121" s="84" t="str">
        <x:v>Perennial</x:v>
      </x:c>
      <x:c r="J121" s="84" t="str">
        <x:v>Herb, Subshrub</x:v>
      </x:c>
      <x:c r="K121" s="84" t="str">
        <x:v>Sun</x:v>
      </x:c>
      <x:c r="L121" s="84" t="str">
        <x:v>Dry</x:v>
      </x:c>
      <x:c r="M121" s="89" t="n">
        <x:v>1</x:v>
      </x:c>
      <x:c r="N121" s="89" t="n">
        <x:v>1</x:v>
      </x:c>
      <x:c r="O121" s="89" t="n">
        <x:v>0</x:v>
      </x:c>
      <x:c r="P121" s="89" t="n">
        <x:f>SUM(M121:O121)</x:f>
        <x:v>2</x:v>
      </x:c>
      <x:c r="Q121" s="84" t="str">
        <x:v>Exact synonym-name match</x:v>
      </x:c>
      <x:c r="R121" s="84" t="str">
        <x:v>Brickellia eupatorioides var. gracillima</x:v>
      </x:c>
      <x:c r="S121" s="84" t="str">
        <x:v>3132309</x:v>
      </x:c>
      <x:c r="T121" s="84" t="str">
        <x:v>3132307</x:v>
      </x:c>
      <x:c r="U121" s="84" t="str">
        <x:v>273477-2</x:v>
      </x:c>
      <x:c r="V121" s="84" t="str">
        <x:v>36451-2</x:v>
      </x:c>
      <x:c r="W121" s="84" t="str"/>
    </x:row>
    <x:row r="122" ht="18" customHeight="1">
      <x:c r="A122" s="83" t="str">
        <x:v>HAYS-0121</x:v>
      </x:c>
      <x:c r="B122" s="87" t="str">
        <x:v>Bromus pubescens</x:v>
      </x:c>
      <x:c r="C122" s="87" t="str">
        <x:v>Bromus pubescens</x:v>
      </x:c>
      <x:c r="D122" s="84" t="str">
        <x:v>Poaceae</x:v>
      </x:c>
      <x:c r="E122" s="84" t="str">
        <x:v>Bromus</x:v>
      </x:c>
      <x:c r="F122" s="84" t="str">
        <x:v>Species</x:v>
      </x:c>
      <x:c r="G122" s="84" t="str">
        <x:v>Accepted</x:v>
      </x:c>
      <x:c r="H122" s="84" t="str">
        <x:v>Hairy Woodland Brome</x:v>
      </x:c>
      <x:c r="I122" s="84" t="str">
        <x:v>Perennial</x:v>
      </x:c>
      <x:c r="J122" s="84" t="str">
        <x:v>Grass/Grass-like</x:v>
      </x:c>
      <x:c r="K122" s="84" t="str"/>
      <x:c r="L122" s="84" t="str"/>
      <x:c r="M122" s="89" t="n">
        <x:v>1</x:v>
      </x:c>
      <x:c r="N122" s="89" t="n">
        <x:v>1</x:v>
      </x:c>
      <x:c r="O122" s="89" t="n">
        <x:v>0</x:v>
      </x:c>
      <x:c r="P122" s="89" t="n">
        <x:f>SUM(M122:O122)</x:f>
        <x:v>2</x:v>
      </x:c>
      <x:c r="Q122" s="84" t="str">
        <x:v>Exact accepted-name match</x:v>
      </x:c>
      <x:c r="R122" s="84" t="str">
        <x:v>Bromus pubescens</x:v>
      </x:c>
      <x:c r="S122" s="84" t="str">
        <x:v>401695</x:v>
      </x:c>
      <x:c r="T122" s="84" t="str">
        <x:v>401695</x:v>
      </x:c>
      <x:c r="U122" s="84" t="str">
        <x:v>37133-2</x:v>
      </x:c>
      <x:c r="V122" s="84" t="str">
        <x:v>37133-2</x:v>
      </x:c>
      <x:c r="W122" s="84" t="str"/>
    </x:row>
    <x:row r="123" ht="18" customHeight="1">
      <x:c r="A123" s="83" t="str">
        <x:v>HAYS-0122</x:v>
      </x:c>
      <x:c r="B123" s="87" t="str">
        <x:v>Bromus texensis</x:v>
      </x:c>
      <x:c r="C123" s="87" t="str">
        <x:v>Bromus texensis</x:v>
      </x:c>
      <x:c r="D123" s="84" t="str">
        <x:v>Poaceae</x:v>
      </x:c>
      <x:c r="E123" s="84" t="str">
        <x:v>Bromus</x:v>
      </x:c>
      <x:c r="F123" s="84" t="str">
        <x:v>Species</x:v>
      </x:c>
      <x:c r="G123" s="84" t="str">
        <x:v>Accepted</x:v>
      </x:c>
      <x:c r="H123" s="84" t="str">
        <x:v>Texas Brome</x:v>
      </x:c>
      <x:c r="I123" s="84" t="str">
        <x:v>Perennial</x:v>
      </x:c>
      <x:c r="J123" s="84" t="str">
        <x:v>Grass/Grass-like</x:v>
      </x:c>
      <x:c r="K123" s="84" t="str"/>
      <x:c r="L123" s="84" t="str"/>
      <x:c r="M123" s="89" t="n">
        <x:v>1</x:v>
      </x:c>
      <x:c r="N123" s="89" t="n">
        <x:v>1</x:v>
      </x:c>
      <x:c r="O123" s="89" t="n">
        <x:v>0</x:v>
      </x:c>
      <x:c r="P123" s="89" t="n">
        <x:f>SUM(M123:O123)</x:f>
        <x:v>2</x:v>
      </x:c>
      <x:c r="Q123" s="84" t="str">
        <x:v>Exact accepted-name match</x:v>
      </x:c>
      <x:c r="R123" s="84" t="str">
        <x:v>Bromus texensis</x:v>
      </x:c>
      <x:c r="S123" s="84" t="str">
        <x:v>402101</x:v>
      </x:c>
      <x:c r="T123" s="84" t="str">
        <x:v>402101</x:v>
      </x:c>
      <x:c r="U123" s="84" t="str">
        <x:v>37176-2</x:v>
      </x:c>
      <x:c r="V123" s="84" t="str">
        <x:v>37176-2</x:v>
      </x:c>
      <x:c r="W123" s="84" t="str"/>
    </x:row>
    <x:row r="124" ht="18" customHeight="1">
      <x:c r="A124" s="83" t="str">
        <x:v>HAYS-0123</x:v>
      </x:c>
      <x:c r="B124" s="87" t="str">
        <x:v>Buchnera americana</x:v>
      </x:c>
      <x:c r="C124" s="87" t="str">
        <x:v>Buchnera americana</x:v>
      </x:c>
      <x:c r="D124" s="84" t="str">
        <x:v>Orobanchaceae</x:v>
      </x:c>
      <x:c r="E124" s="84" t="str">
        <x:v>Buchnera</x:v>
      </x:c>
      <x:c r="F124" s="84" t="str">
        <x:v>Species</x:v>
      </x:c>
      <x:c r="G124" s="84" t="str">
        <x:v>Accepted</x:v>
      </x:c>
      <x:c r="H124" s="84" t="str">
        <x:v>American Bluehearts, Bluehearts</x:v>
      </x:c>
      <x:c r="I124" s="84" t="str">
        <x:v>Annual</x:v>
      </x:c>
      <x:c r="J124" s="84" t="str">
        <x:v>Herb</x:v>
      </x:c>
      <x:c r="K124" s="84" t="str">
        <x:v>Sun</x:v>
      </x:c>
      <x:c r="L124" s="84" t="str">
        <x:v>Moist</x:v>
      </x:c>
      <x:c r="M124" s="89" t="n">
        <x:v>1</x:v>
      </x:c>
      <x:c r="N124" s="89" t="n">
        <x:v>1</x:v>
      </x:c>
      <x:c r="O124" s="89" t="n">
        <x:v>0</x:v>
      </x:c>
      <x:c r="P124" s="89" t="n">
        <x:f>SUM(M124:O124)</x:f>
        <x:v>2</x:v>
      </x:c>
      <x:c r="Q124" s="84" t="str">
        <x:v>Exact accepted-name match</x:v>
      </x:c>
      <x:c r="R124" s="84" t="str">
        <x:v>Buchnera americana</x:v>
      </x:c>
      <x:c r="S124" s="84" t="str">
        <x:v>2684926</x:v>
      </x:c>
      <x:c r="T124" s="84" t="str">
        <x:v>2684926</x:v>
      </x:c>
      <x:c r="U124" s="84" t="str">
        <x:v>319121-2</x:v>
      </x:c>
      <x:c r="V124" s="84" t="str">
        <x:v>319121-2</x:v>
      </x:c>
      <x:c r="W124" s="84" t="str"/>
    </x:row>
    <x:row r="125" ht="18" customHeight="1">
      <x:c r="A125" s="83" t="str">
        <x:v>HAYS-0124</x:v>
      </x:c>
      <x:c r="B125" s="87" t="str">
        <x:v>Buddleja racemosa</x:v>
      </x:c>
      <x:c r="C125" s="87" t="str">
        <x:v>Buddleja racemosa</x:v>
      </x:c>
      <x:c r="D125" s="84" t="str">
        <x:v>Scrophulariaceae</x:v>
      </x:c>
      <x:c r="E125" s="84" t="str">
        <x:v>Buddleja</x:v>
      </x:c>
      <x:c r="F125" s="84" t="str">
        <x:v>Species</x:v>
      </x:c>
      <x:c r="G125" s="84" t="str">
        <x:v>Accepted</x:v>
      </x:c>
      <x:c r="H125" s="84" t="str">
        <x:v>Wand Butterflybush, Wand Butterfly-bush</x:v>
      </x:c>
      <x:c r="I125" s="84" t="str">
        <x:v>Perennial</x:v>
      </x:c>
      <x:c r="J125" s="84" t="str">
        <x:v>Shrub</x:v>
      </x:c>
      <x:c r="K125" s="84" t="str"/>
      <x:c r="L125" s="84" t="str"/>
      <x:c r="M125" s="89" t="n">
        <x:v>1</x:v>
      </x:c>
      <x:c r="N125" s="89" t="n">
        <x:v>1</x:v>
      </x:c>
      <x:c r="O125" s="89" t="n">
        <x:v>0</x:v>
      </x:c>
      <x:c r="P125" s="89" t="n">
        <x:f>SUM(M125:O125)</x:f>
        <x:v>2</x:v>
      </x:c>
      <x:c r="Q125" s="84" t="str">
        <x:v>Exact accepted-name match</x:v>
      </x:c>
      <x:c r="R125" s="84" t="str">
        <x:v>Buddleja racemosa</x:v>
      </x:c>
      <x:c r="S125" s="84" t="str">
        <x:v>2685582</x:v>
      </x:c>
      <x:c r="T125" s="84" t="str">
        <x:v>2685582</x:v>
      </x:c>
      <x:c r="U125" s="84" t="str">
        <x:v>545866-1</x:v>
      </x:c>
      <x:c r="V125" s="84" t="str">
        <x:v>545866-1</x:v>
      </x:c>
      <x:c r="W125" s="84" t="str"/>
    </x:row>
    <x:row r="126" ht="18" customHeight="1">
      <x:c r="A126" s="83" t="str">
        <x:v>HAYS-0125</x:v>
      </x:c>
      <x:c r="B126" s="87" t="str">
        <x:v>Buddleja racemosa ssp. racemosa</x:v>
      </x:c>
      <x:c r="C126" s="87" t="str"/>
      <x:c r="D126" s="84" t="str"/>
      <x:c r="E126" s="84" t="str">
        <x:v>Buddleja</x:v>
      </x:c>
      <x:c r="F126" s="84" t="str"/>
      <x:c r="G126" s="84" t="str"/>
      <x:c r="H126" s="84" t="str">
        <x:v>Wand Butterflybush</x:v>
      </x:c>
      <x:c r="I126" s="84" t="str">
        <x:v>Perennial</x:v>
      </x:c>
      <x:c r="J126" s="84" t="str">
        <x:v>Shrub</x:v>
      </x:c>
      <x:c r="K126" s="84" t="str">
        <x:v>Shade</x:v>
      </x:c>
      <x:c r="L126" s="84" t="str">
        <x:v>Dry</x:v>
      </x:c>
      <x:c r="M126" s="89" t="n">
        <x:v>1</x:v>
      </x:c>
      <x:c r="N126" s="89" t="n">
        <x:v>1</x:v>
      </x:c>
      <x:c r="O126" s="89" t="n">
        <x:v>0</x:v>
      </x:c>
      <x:c r="P126" s="89" t="n">
        <x:f>SUM(M126:O126)</x:f>
        <x:v>2</x:v>
      </x:c>
      <x:c r="Q126" s="84" t="str">
        <x:v>No exact WCVP name match</x:v>
      </x:c>
      <x:c r="R126" s="84" t="str"/>
      <x:c r="S126" s="84" t="str"/>
      <x:c r="T126" s="84" t="str"/>
      <x:c r="U126" s="84" t="str"/>
      <x:c r="V126" s="84" t="str"/>
      <x:c r="W126" s="84" t="str">
        <x:v>Review</x:v>
      </x:c>
    </x:row>
    <x:row r="127" ht="18" customHeight="1">
      <x:c r="A127" s="83" t="str">
        <x:v>HAYS-0126</x:v>
      </x:c>
      <x:c r="B127" s="87" t="str">
        <x:v>Cabomba caroliniana</x:v>
      </x:c>
      <x:c r="C127" s="87" t="str">
        <x:v>Cabomba caroliniana</x:v>
      </x:c>
      <x:c r="D127" s="84" t="str">
        <x:v>Cabombaceae</x:v>
      </x:c>
      <x:c r="E127" s="84" t="str">
        <x:v>Cabomba</x:v>
      </x:c>
      <x:c r="F127" s="84" t="str">
        <x:v>Species</x:v>
      </x:c>
      <x:c r="G127" s="84" t="str">
        <x:v>Accepted</x:v>
      </x:c>
      <x:c r="H127" s="84" t="str">
        <x:v>Carolina Fanwort, Green Cabomba, Fish-grass, Washington-grass, Carolina Watershield, Washington-plant</x:v>
      </x:c>
      <x:c r="I127" s="84" t="str">
        <x:v>Perennial</x:v>
      </x:c>
      <x:c r="J127" s="84" t="str">
        <x:v>Herb</x:v>
      </x:c>
      <x:c r="K127" s="84" t="str"/>
      <x:c r="L127" s="84" t="str"/>
      <x:c r="M127" s="89" t="n">
        <x:v>1</x:v>
      </x:c>
      <x:c r="N127" s="89" t="n">
        <x:v>1</x:v>
      </x:c>
      <x:c r="O127" s="89" t="n">
        <x:v>0</x:v>
      </x:c>
      <x:c r="P127" s="89" t="n">
        <x:f>SUM(M127:O127)</x:f>
        <x:v>2</x:v>
      </x:c>
      <x:c r="Q127" s="84" t="str">
        <x:v>Exact accepted-name match</x:v>
      </x:c>
      <x:c r="R127" s="84" t="str">
        <x:v>Cabomba caroliniana</x:v>
      </x:c>
      <x:c r="S127" s="84" t="str">
        <x:v>28282</x:v>
      </x:c>
      <x:c r="T127" s="84" t="str">
        <x:v>28282</x:v>
      </x:c>
      <x:c r="U127" s="84" t="str">
        <x:v>273581-2</x:v>
      </x:c>
      <x:c r="V127" s="84" t="str">
        <x:v>273581-2</x:v>
      </x:c>
      <x:c r="W127" s="84" t="str"/>
    </x:row>
    <x:row r="128" ht="18" customHeight="1">
      <x:c r="A128" s="83" t="str">
        <x:v>HAYS-0127</x:v>
      </x:c>
      <x:c r="B128" s="87" t="str">
        <x:v>Callicarpa americana</x:v>
      </x:c>
      <x:c r="C128" s="87" t="str">
        <x:v>Callicarpa americana</x:v>
      </x:c>
      <x:c r="D128" s="84" t="str">
        <x:v>Lamiaceae</x:v>
      </x:c>
      <x:c r="E128" s="84" t="str">
        <x:v>Callicarpa</x:v>
      </x:c>
      <x:c r="F128" s="84" t="str">
        <x:v>Species</x:v>
      </x:c>
      <x:c r="G128" s="84" t="str">
        <x:v>Accepted</x:v>
      </x:c>
      <x:c r="H128" s="84" t="str">
        <x:v>American Beautyberry , French Mulberry</x:v>
      </x:c>
      <x:c r="I128" s="84" t="str">
        <x:v>Perennial</x:v>
      </x:c>
      <x:c r="J128" s="84" t="str">
        <x:v>Shrub</x:v>
      </x:c>
      <x:c r="K128" s="84" t="str">
        <x:v>Part Shade</x:v>
      </x:c>
      <x:c r="L128" s="84" t="str">
        <x:v>Medium</x:v>
      </x:c>
      <x:c r="M128" s="89" t="n">
        <x:v>1</x:v>
      </x:c>
      <x:c r="N128" s="89" t="n">
        <x:v>1</x:v>
      </x:c>
      <x:c r="O128" s="89" t="n">
        <x:v>1</x:v>
      </x:c>
      <x:c r="P128" s="89" t="n">
        <x:f>SUM(M128:O128)</x:f>
        <x:v>3</x:v>
      </x:c>
      <x:c r="Q128" s="84" t="str">
        <x:v>Exact accepted-name match</x:v>
      </x:c>
      <x:c r="R128" s="84" t="str">
        <x:v>Callicarpa americana</x:v>
      </x:c>
      <x:c r="S128" s="84" t="str">
        <x:v>30660</x:v>
      </x:c>
      <x:c r="T128" s="84" t="str">
        <x:v>30660</x:v>
      </x:c>
      <x:c r="U128" s="84" t="str">
        <x:v>319128-2</x:v>
      </x:c>
      <x:c r="V128" s="84" t="str">
        <x:v>319128-2</x:v>
      </x:c>
      <x:c r="W128" s="84" t="str"/>
    </x:row>
    <x:row r="129" ht="18" customHeight="1">
      <x:c r="A129" s="83" t="str">
        <x:v>HAYS-0128</x:v>
      </x:c>
      <x:c r="B129" s="87" t="str">
        <x:v>Callirhoe digitata</x:v>
      </x:c>
      <x:c r="C129" s="87" t="str">
        <x:v>Callirhoe digitata</x:v>
      </x:c>
      <x:c r="D129" s="84" t="str">
        <x:v>Malvaceae</x:v>
      </x:c>
      <x:c r="E129" s="84" t="str">
        <x:v>Callirhoe</x:v>
      </x:c>
      <x:c r="F129" s="84" t="str">
        <x:v>Species</x:v>
      </x:c>
      <x:c r="G129" s="84" t="str">
        <x:v>Accepted</x:v>
      </x:c>
      <x:c r="H129" s="84" t="str">
        <x:v>Winecup, Standing Winecup, Poppy Mallow, Wine Cup, Finger Poppy-mallow</x:v>
      </x:c>
      <x:c r="I129" s="84" t="str">
        <x:v>Perennial</x:v>
      </x:c>
      <x:c r="J129" s="84" t="str">
        <x:v>Herb</x:v>
      </x:c>
      <x:c r="K129" s="84" t="str">
        <x:v>Sun</x:v>
      </x:c>
      <x:c r="L129" s="84" t="str">
        <x:v>Dry</x:v>
      </x:c>
      <x:c r="M129" s="89" t="n">
        <x:v>1</x:v>
      </x:c>
      <x:c r="N129" s="89" t="n">
        <x:v>1</x:v>
      </x:c>
      <x:c r="O129" s="89" t="n">
        <x:v>0</x:v>
      </x:c>
      <x:c r="P129" s="89" t="n">
        <x:f>SUM(M129:O129)</x:f>
        <x:v>2</x:v>
      </x:c>
      <x:c r="Q129" s="84" t="str">
        <x:v>Exact accepted-name match</x:v>
      </x:c>
      <x:c r="R129" s="84" t="str">
        <x:v>Callirhoe digitata</x:v>
      </x:c>
      <x:c r="S129" s="84" t="str">
        <x:v>2692665</x:v>
      </x:c>
      <x:c r="T129" s="84" t="str">
        <x:v>2692665</x:v>
      </x:c>
      <x:c r="U129" s="84" t="str">
        <x:v>30067326-2</x:v>
      </x:c>
      <x:c r="V129" s="84" t="str">
        <x:v>30067326-2</x:v>
      </x:c>
      <x:c r="W129" s="84" t="str"/>
    </x:row>
    <x:row r="130" ht="18" customHeight="1">
      <x:c r="A130" s="83" t="str">
        <x:v>HAYS-0129</x:v>
      </x:c>
      <x:c r="B130" s="87" t="str">
        <x:v>Callirhoe involucrata</x:v>
      </x:c>
      <x:c r="C130" s="87" t="str">
        <x:v>Callirhoe involucrata</x:v>
      </x:c>
      <x:c r="D130" s="84" t="str">
        <x:v>Malvaceae</x:v>
      </x:c>
      <x:c r="E130" s="84" t="str">
        <x:v>Callirhoe</x:v>
      </x:c>
      <x:c r="F130" s="84" t="str">
        <x:v>Species</x:v>
      </x:c>
      <x:c r="G130" s="84" t="str">
        <x:v>Accepted</x:v>
      </x:c>
      <x:c r="H130" s="84" t="str">
        <x:v>Winecup, Purple Poppy Mallow</x:v>
      </x:c>
      <x:c r="I130" s="84" t="str">
        <x:v>Perennial</x:v>
      </x:c>
      <x:c r="J130" s="84" t="str">
        <x:v>Herb</x:v>
      </x:c>
      <x:c r="K130" s="84" t="str">
        <x:v>Sun</x:v>
      </x:c>
      <x:c r="L130" s="84" t="str">
        <x:v>Low</x:v>
      </x:c>
      <x:c r="M130" s="89" t="n">
        <x:v>1</x:v>
      </x:c>
      <x:c r="N130" s="89" t="n">
        <x:v>1</x:v>
      </x:c>
      <x:c r="O130" s="89" t="n">
        <x:v>1</x:v>
      </x:c>
      <x:c r="P130" s="89" t="n">
        <x:f>SUM(M130:O130)</x:f>
        <x:v>3</x:v>
      </x:c>
      <x:c r="Q130" s="84" t="str">
        <x:v>Exact accepted-name match</x:v>
      </x:c>
      <x:c r="R130" s="84" t="str">
        <x:v>Callirhoe involucrata</x:v>
      </x:c>
      <x:c r="S130" s="84" t="str">
        <x:v>2692669</x:v>
      </x:c>
      <x:c r="T130" s="84" t="str">
        <x:v>2692669</x:v>
      </x:c>
      <x:c r="U130" s="84" t="str">
        <x:v>559229-1</x:v>
      </x:c>
      <x:c r="V130" s="84" t="str">
        <x:v>559229-1</x:v>
      </x:c>
      <x:c r="W130" s="84" t="str"/>
    </x:row>
    <x:row r="131" ht="18" customHeight="1">
      <x:c r="A131" s="83" t="str">
        <x:v>HAYS-0130</x:v>
      </x:c>
      <x:c r="B131" s="87" t="str">
        <x:v>Callirhoe leiocarpa</x:v>
      </x:c>
      <x:c r="C131" s="87" t="str">
        <x:v>Callirhoe leiocarpa</x:v>
      </x:c>
      <x:c r="D131" s="84" t="str">
        <x:v>Malvaceae</x:v>
      </x:c>
      <x:c r="E131" s="84" t="str">
        <x:v>Callirhoe</x:v>
      </x:c>
      <x:c r="F131" s="84" t="str">
        <x:v>Species</x:v>
      </x:c>
      <x:c r="G131" s="84" t="str">
        <x:v>Accepted</x:v>
      </x:c>
      <x:c r="H131" s="84" t="str">
        <x:v>Tall Poppymallow, Annual Winecup, Tall Poppy-mallow, Tall Poppy Mallow</x:v>
      </x:c>
      <x:c r="I131" s="84" t="str">
        <x:v>Annual</x:v>
      </x:c>
      <x:c r="J131" s="84" t="str">
        <x:v>Herb</x:v>
      </x:c>
      <x:c r="K131" s="84" t="str">
        <x:v>Part-shade</x:v>
      </x:c>
      <x:c r="L131" s="84" t="str">
        <x:v>Moist</x:v>
      </x:c>
      <x:c r="M131" s="89" t="n">
        <x:v>1</x:v>
      </x:c>
      <x:c r="N131" s="89" t="n">
        <x:v>1</x:v>
      </x:c>
      <x:c r="O131" s="89" t="n">
        <x:v>0</x:v>
      </x:c>
      <x:c r="P131" s="89" t="n">
        <x:f>SUM(M131:O131)</x:f>
        <x:v>2</x:v>
      </x:c>
      <x:c r="Q131" s="84" t="str">
        <x:v>Exact accepted-name match</x:v>
      </x:c>
      <x:c r="R131" s="84" t="str">
        <x:v>Callirhoe leiocarpa</x:v>
      </x:c>
      <x:c r="S131" s="84" t="str">
        <x:v>2692678</x:v>
      </x:c>
      <x:c r="T131" s="84" t="str">
        <x:v>2692678</x:v>
      </x:c>
      <x:c r="U131" s="84" t="str">
        <x:v>42431-2</x:v>
      </x:c>
      <x:c r="V131" s="84" t="str">
        <x:v>42431-2</x:v>
      </x:c>
      <x:c r="W131" s="84" t="str"/>
    </x:row>
    <x:row r="132" ht="18" customHeight="1">
      <x:c r="A132" s="83" t="str">
        <x:v>HAYS-0131</x:v>
      </x:c>
      <x:c r="B132" s="87" t="str">
        <x:v>Callirhoe pedata</x:v>
      </x:c>
      <x:c r="C132" s="87" t="str">
        <x:v>Callirhoe pedata</x:v>
      </x:c>
      <x:c r="D132" s="84" t="str">
        <x:v>Malvaceae</x:v>
      </x:c>
      <x:c r="E132" s="84" t="str">
        <x:v>Callirhoe</x:v>
      </x:c>
      <x:c r="F132" s="84" t="str">
        <x:v>Species</x:v>
      </x:c>
      <x:c r="G132" s="84" t="str">
        <x:v>Accepted</x:v>
      </x:c>
      <x:c r="H132" s="84" t="str">
        <x:v>Palmleaf Poppymallow, Standing Winecup, Finger Poppymallow, Palmleaf Poppy Mallow</x:v>
      </x:c>
      <x:c r="I132" s="84" t="str">
        <x:v>Perennial</x:v>
      </x:c>
      <x:c r="J132" s="84" t="str">
        <x:v>Herb</x:v>
      </x:c>
      <x:c r="K132" s="84" t="str">
        <x:v>Sun, Part-shade</x:v>
      </x:c>
      <x:c r="L132" s="84" t="str">
        <x:v>Moist, Dry</x:v>
      </x:c>
      <x:c r="M132" s="89" t="n">
        <x:v>1</x:v>
      </x:c>
      <x:c r="N132" s="89" t="n">
        <x:v>1</x:v>
      </x:c>
      <x:c r="O132" s="89" t="n">
        <x:v>0</x:v>
      </x:c>
      <x:c r="P132" s="89" t="n">
        <x:f>SUM(M132:O132)</x:f>
        <x:v>2</x:v>
      </x:c>
      <x:c r="Q132" s="84" t="str">
        <x:v>Exact accepted-name match</x:v>
      </x:c>
      <x:c r="R132" s="84" t="str">
        <x:v>Callirhoe pedata</x:v>
      </x:c>
      <x:c r="S132" s="84" t="str">
        <x:v>2692685</x:v>
      </x:c>
      <x:c r="T132" s="84" t="str">
        <x:v>2692685</x:v>
      </x:c>
      <x:c r="U132" s="84" t="str">
        <x:v>559236-1</x:v>
      </x:c>
      <x:c r="V132" s="84" t="str">
        <x:v>559236-1</x:v>
      </x:c>
      <x:c r="W132" s="84" t="str"/>
    </x:row>
    <x:row r="133" ht="18" customHeight="1">
      <x:c r="A133" s="83" t="str">
        <x:v>HAYS-0132</x:v>
      </x:c>
      <x:c r="B133" s="87" t="str">
        <x:v>Calylophus berlandieri</x:v>
      </x:c>
      <x:c r="C133" s="87" t="str">
        <x:v>Oenothera capillifolia subsp. berlandieri</x:v>
      </x:c>
      <x:c r="D133" s="84" t="str">
        <x:v>Onagraceae</x:v>
      </x:c>
      <x:c r="E133" s="84" t="str">
        <x:v>Oenothera</x:v>
      </x:c>
      <x:c r="F133" s="84" t="str">
        <x:v>Species</x:v>
      </x:c>
      <x:c r="G133" s="84" t="str">
        <x:v>Synonym</x:v>
      </x:c>
      <x:c r="H133" s="84" t="str">
        <x:v>Berlandier's Sundrops , Square-bud Primrose, Sundrops</x:v>
      </x:c>
      <x:c r="I133" s="84" t="str">
        <x:v>Perennial</x:v>
      </x:c>
      <x:c r="J133" s="84" t="str">
        <x:v>Herb</x:v>
      </x:c>
      <x:c r="K133" s="84" t="str">
        <x:v>Sun</x:v>
      </x:c>
      <x:c r="L133" s="84" t="str">
        <x:v>Low</x:v>
      </x:c>
      <x:c r="M133" s="89" t="n">
        <x:v>1</x:v>
      </x:c>
      <x:c r="N133" s="89" t="n">
        <x:v>1</x:v>
      </x:c>
      <x:c r="O133" s="89" t="n">
        <x:v>1</x:v>
      </x:c>
      <x:c r="P133" s="89" t="n">
        <x:f>SUM(M133:O133)</x:f>
        <x:v>3</x:v>
      </x:c>
      <x:c r="Q133" s="84" t="str">
        <x:v>Exact synonym-name match</x:v>
      </x:c>
      <x:c r="R133" s="84" t="str">
        <x:v>Calylophus berlandieri</x:v>
      </x:c>
      <x:c r="S133" s="84" t="str">
        <x:v>2694112</x:v>
      </x:c>
      <x:c r="T133" s="84" t="str">
        <x:v>2997169</x:v>
      </x:c>
      <x:c r="U133" s="84" t="str">
        <x:v>43101-2</x:v>
      </x:c>
      <x:c r="V133" s="84" t="str">
        <x:v>77133601-1</x:v>
      </x:c>
      <x:c r="W133" s="84" t="str"/>
    </x:row>
    <x:row r="134" ht="18" customHeight="1">
      <x:c r="A134" s="83" t="str">
        <x:v>HAYS-0133</x:v>
      </x:c>
      <x:c r="B134" s="87" t="str">
        <x:v>Calylophus serrulatus</x:v>
      </x:c>
      <x:c r="C134" s="87" t="str"/>
      <x:c r="D134" s="84" t="str"/>
      <x:c r="E134" s="84" t="str">
        <x:v>Calylophus</x:v>
      </x:c>
      <x:c r="F134" s="84" t="str"/>
      <x:c r="G134" s="84" t="str"/>
      <x:c r="H134" s="84" t="str">
        <x:v>Yellow Sundrops, Yellow Evening Primrose, Plains Evening Primrose</x:v>
      </x:c>
      <x:c r="I134" s="84" t="str">
        <x:v>Perennial</x:v>
      </x:c>
      <x:c r="J134" s="84" t="str">
        <x:v>Herb</x:v>
      </x:c>
      <x:c r="K134" s="84" t="str">
        <x:v>Sun</x:v>
      </x:c>
      <x:c r="L134" s="84" t="str">
        <x:v>Dry</x:v>
      </x:c>
      <x:c r="M134" s="89" t="n">
        <x:v>1</x:v>
      </x:c>
      <x:c r="N134" s="89" t="n">
        <x:v>1</x:v>
      </x:c>
      <x:c r="O134" s="89" t="n">
        <x:v>0</x:v>
      </x:c>
      <x:c r="P134" s="89" t="n">
        <x:f>SUM(M134:O134)</x:f>
        <x:v>2</x:v>
      </x:c>
      <x:c r="Q134" s="84" t="str">
        <x:v>No exact WCVP name match</x:v>
      </x:c>
      <x:c r="R134" s="84" t="str"/>
      <x:c r="S134" s="84" t="str"/>
      <x:c r="T134" s="84" t="str"/>
      <x:c r="U134" s="84" t="str"/>
      <x:c r="V134" s="84" t="str"/>
      <x:c r="W134" s="84" t="str">
        <x:v>Review</x:v>
      </x:c>
    </x:row>
    <x:row r="135" ht="18" customHeight="1">
      <x:c r="A135" s="83" t="str">
        <x:v>HAYS-0134</x:v>
      </x:c>
      <x:c r="B135" s="87" t="str">
        <x:v>Calyptocarpus vialis</x:v>
      </x:c>
      <x:c r="C135" s="87" t="str">
        <x:v>Calyptocarpus vialis</x:v>
      </x:c>
      <x:c r="D135" s="84" t="str">
        <x:v>Asteraceae</x:v>
      </x:c>
      <x:c r="E135" s="84" t="str">
        <x:v>Calyptocarpus</x:v>
      </x:c>
      <x:c r="F135" s="84" t="str">
        <x:v>Species</x:v>
      </x:c>
      <x:c r="G135" s="84" t="str">
        <x:v>Accepted</x:v>
      </x:c>
      <x:c r="H135" s="84" t="str">
        <x:v>Horseherb</x:v>
      </x:c>
      <x:c r="I135" s="84" t="str">
        <x:v>Perennial Habit: Herb Leaf Retention: Semi-evergreen Leaf Arrangement: Opposite Leaf Complexity: Simple Leaf Shape: Deltoid Leaf Pubescence: Strigose Leaf Margin: Serrate Inflorescence: Axillary Size Notes: 6-12 inches high Leaf: medium green Fruit: Fruit is a cypsela (pl. cypselae). Though technically incorrect, the fruit is often referred to as an achene.</x:v>
      </x:c>
      <x:c r="J135" s="84" t="str">
        <x:v>Herb</x:v>
      </x:c>
      <x:c r="K135" s="84" t="str">
        <x:v>Part Shade</x:v>
      </x:c>
      <x:c r="L135" s="84" t="str">
        <x:v>Medium</x:v>
      </x:c>
      <x:c r="M135" s="89" t="n">
        <x:v>1</x:v>
      </x:c>
      <x:c r="N135" s="89" t="n">
        <x:v>1</x:v>
      </x:c>
      <x:c r="O135" s="89" t="n">
        <x:v>1</x:v>
      </x:c>
      <x:c r="P135" s="89" t="n">
        <x:f>SUM(M135:O135)</x:f>
        <x:v>3</x:v>
      </x:c>
      <x:c r="Q135" s="84" t="str">
        <x:v>Exact accepted-name match</x:v>
      </x:c>
      <x:c r="R135" s="84" t="str">
        <x:v>Calyptocarpus vialis</x:v>
      </x:c>
      <x:c r="S135" s="84" t="str">
        <x:v>3120171</x:v>
      </x:c>
      <x:c r="T135" s="84" t="str">
        <x:v>3120171</x:v>
      </x:c>
      <x:c r="U135" s="84" t="str">
        <x:v>188166-1</x:v>
      </x:c>
      <x:c r="V135" s="84" t="str">
        <x:v>188166-1</x:v>
      </x:c>
      <x:c r="W135" s="84" t="str"/>
    </x:row>
    <x:row r="136" ht="18" customHeight="1">
      <x:c r="A136" s="83" t="str">
        <x:v>HAYS-0135</x:v>
      </x:c>
      <x:c r="B136" s="87" t="str">
        <x:v>Camassia scilloides</x:v>
      </x:c>
      <x:c r="C136" s="87" t="str">
        <x:v>Camassia scilloides</x:v>
      </x:c>
      <x:c r="D136" s="84" t="str">
        <x:v>Asparagaceae</x:v>
      </x:c>
      <x:c r="E136" s="84" t="str">
        <x:v>Camassia</x:v>
      </x:c>
      <x:c r="F136" s="84" t="str">
        <x:v>Species</x:v>
      </x:c>
      <x:c r="G136" s="84" t="str">
        <x:v>Accepted</x:v>
      </x:c>
      <x:c r="H136" s="84" t="str">
        <x:v>Atlantic Camas, Wild Hyacinth</x:v>
      </x:c>
      <x:c r="I136" s="84" t="str">
        <x:v>Perennial</x:v>
      </x:c>
      <x:c r="J136" s="84" t="str">
        <x:v>Herb</x:v>
      </x:c>
      <x:c r="K136" s="84" t="str">
        <x:v>Shade, Part-shade</x:v>
      </x:c>
      <x:c r="L136" s="84" t="str">
        <x:v>Dry</x:v>
      </x:c>
      <x:c r="M136" s="89" t="n">
        <x:v>1</x:v>
      </x:c>
      <x:c r="N136" s="89" t="n">
        <x:v>1</x:v>
      </x:c>
      <x:c r="O136" s="89" t="n">
        <x:v>0</x:v>
      </x:c>
      <x:c r="P136" s="89" t="n">
        <x:f>SUM(M136:O136)</x:f>
        <x:v>2</x:v>
      </x:c>
      <x:c r="Q136" s="84" t="str">
        <x:v>Exact accepted-name match</x:v>
      </x:c>
      <x:c r="R136" s="84" t="str">
        <x:v>Camassia scilloides</x:v>
      </x:c>
      <x:c r="S136" s="84" t="str">
        <x:v>301866</x:v>
      </x:c>
      <x:c r="T136" s="84" t="str">
        <x:v>301866</x:v>
      </x:c>
      <x:c r="U136" s="84" t="str">
        <x:v>43771-2</x:v>
      </x:c>
      <x:c r="V136" s="84" t="str">
        <x:v>43771-2</x:v>
      </x:c>
      <x:c r="W136" s="84" t="str"/>
    </x:row>
    <x:row r="137" ht="18" customHeight="1">
      <x:c r="A137" s="83" t="str">
        <x:v>HAYS-0136</x:v>
      </x:c>
      <x:c r="B137" s="87" t="str">
        <x:v>Campsis radicans</x:v>
      </x:c>
      <x:c r="C137" s="87" t="str">
        <x:v>Campsis radicans</x:v>
      </x:c>
      <x:c r="D137" s="84" t="str">
        <x:v>Bignoniaceae</x:v>
      </x:c>
      <x:c r="E137" s="84" t="str">
        <x:v>Campsis</x:v>
      </x:c>
      <x:c r="F137" s="84" t="str">
        <x:v>Species</x:v>
      </x:c>
      <x:c r="G137" s="84" t="str">
        <x:v>Accepted</x:v>
      </x:c>
      <x:c r="H137" s="84" t="str">
        <x:v>Trumpet Creeper, Trumpet Vine, Common Trumpet Creeper, Cow Vine, Foxglove Vine, Hellvine, Devil's Shoestring</x:v>
      </x:c>
      <x:c r="I137" s="84" t="str">
        <x:v>Perennial</x:v>
      </x:c>
      <x:c r="J137" s="84" t="str">
        <x:v>Vine</x:v>
      </x:c>
      <x:c r="K137" s="84" t="str">
        <x:v>Sun</x:v>
      </x:c>
      <x:c r="L137" s="84" t="str">
        <x:v>Medium</x:v>
      </x:c>
      <x:c r="M137" s="89" t="n">
        <x:v>1</x:v>
      </x:c>
      <x:c r="N137" s="89" t="n">
        <x:v>1</x:v>
      </x:c>
      <x:c r="O137" s="89" t="n">
        <x:v>1</x:v>
      </x:c>
      <x:c r="P137" s="89" t="n">
        <x:f>SUM(M137:O137)</x:f>
        <x:v>3</x:v>
      </x:c>
      <x:c r="Q137" s="84" t="str">
        <x:v>Exact accepted-name match</x:v>
      </x:c>
      <x:c r="R137" s="84" t="str">
        <x:v>Campsis radicans</x:v>
      </x:c>
      <x:c r="S137" s="84" t="str">
        <x:v>320348</x:v>
      </x:c>
      <x:c r="T137" s="84" t="str">
        <x:v>320348</x:v>
      </x:c>
      <x:c r="U137" s="84" t="str">
        <x:v>30332621-2</x:v>
      </x:c>
      <x:c r="V137" s="84" t="str">
        <x:v>30332621-2</x:v>
      </x:c>
      <x:c r="W137" s="84" t="str"/>
    </x:row>
    <x:row r="138" ht="18" customHeight="1">
      <x:c r="A138" s="83" t="str">
        <x:v>HAYS-0137</x:v>
      </x:c>
      <x:c r="B138" s="87" t="str">
        <x:v>Capsicum annuum</x:v>
      </x:c>
      <x:c r="C138" s="87" t="str">
        <x:v>Capsicum annuum</x:v>
      </x:c>
      <x:c r="D138" s="84" t="str">
        <x:v>Solanaceae</x:v>
      </x:c>
      <x:c r="E138" s="84" t="str">
        <x:v>Capsicum</x:v>
      </x:c>
      <x:c r="F138" s="84" t="str">
        <x:v>Species</x:v>
      </x:c>
      <x:c r="G138" s="84" t="str">
        <x:v>Accepted</x:v>
      </x:c>
      <x:c r="H138" s="84" t="str">
        <x:v>Chile Tepin, Chile Pequin, Chiltepin, Chile Petin, Bird Pepper, Turkey Pepper , Cayenne Pepper</x:v>
      </x:c>
      <x:c r="I138" s="84" t="str">
        <x:v>Annual , Perennial</x:v>
      </x:c>
      <x:c r="J138" s="84" t="str">
        <x:v>Herb</x:v>
      </x:c>
      <x:c r="K138" s="84" t="str">
        <x:v>Sun</x:v>
      </x:c>
      <x:c r="L138" s="84" t="str">
        <x:v>Medium</x:v>
      </x:c>
      <x:c r="M138" s="89" t="n">
        <x:v>1</x:v>
      </x:c>
      <x:c r="N138" s="89" t="n">
        <x:v>1</x:v>
      </x:c>
      <x:c r="O138" s="89" t="n">
        <x:v>1</x:v>
      </x:c>
      <x:c r="P138" s="89" t="n">
        <x:f>SUM(M138:O138)</x:f>
        <x:v>3</x:v>
      </x:c>
      <x:c r="Q138" s="84" t="str">
        <x:v>Exact accepted-name match</x:v>
      </x:c>
      <x:c r="R138" s="84" t="str">
        <x:v>Capsicum annuum</x:v>
      </x:c>
      <x:c r="S138" s="84" t="str">
        <x:v>2698415</x:v>
      </x:c>
      <x:c r="T138" s="84" t="str">
        <x:v>2698415</x:v>
      </x:c>
      <x:c r="U138" s="84" t="str">
        <x:v>316944-2</x:v>
      </x:c>
      <x:c r="V138" s="84" t="str">
        <x:v>316944-2</x:v>
      </x:c>
      <x:c r="W138" s="84" t="str"/>
    </x:row>
    <x:row r="139" ht="18" customHeight="1">
      <x:c r="A139" s="83" t="str">
        <x:v>HAYS-0138</x:v>
      </x:c>
      <x:c r="B139" s="87" t="str">
        <x:v>Carex blanda</x:v>
      </x:c>
      <x:c r="C139" s="87" t="str">
        <x:v>Carex blanda</x:v>
      </x:c>
      <x:c r="D139" s="84" t="str">
        <x:v>Cyperaceae</x:v>
      </x:c>
      <x:c r="E139" s="84" t="str">
        <x:v>Carex</x:v>
      </x:c>
      <x:c r="F139" s="84" t="str">
        <x:v>Species</x:v>
      </x:c>
      <x:c r="G139" s="84" t="str">
        <x:v>Accepted</x:v>
      </x:c>
      <x:c r="H139" s="84" t="str">
        <x:v>Eastern Woodland Sedge, Creek Sedge, Common Wood Sedge</x:v>
      </x:c>
      <x:c r="I139" s="84" t="str">
        <x:v>Perennial</x:v>
      </x:c>
      <x:c r="J139" s="84" t="str">
        <x:v>Herb</x:v>
      </x:c>
      <x:c r="K139" s="84" t="str">
        <x:v>Part Shade</x:v>
      </x:c>
      <x:c r="L139" s="84" t="str">
        <x:v>Medium</x:v>
      </x:c>
      <x:c r="M139" s="89" t="n">
        <x:v>1</x:v>
      </x:c>
      <x:c r="N139" s="89" t="n">
        <x:v>1</x:v>
      </x:c>
      <x:c r="O139" s="89" t="n">
        <x:v>1</x:v>
      </x:c>
      <x:c r="P139" s="89" t="n">
        <x:f>SUM(M139:O139)</x:f>
        <x:v>3</x:v>
      </x:c>
      <x:c r="Q139" s="84" t="str">
        <x:v>Exact accepted-name match</x:v>
      </x:c>
      <x:c r="R139" s="84" t="str">
        <x:v>Carex blanda</x:v>
      </x:c>
      <x:c r="S139" s="84" t="str">
        <x:v>224985</x:v>
      </x:c>
      <x:c r="T139" s="84" t="str">
        <x:v>224985</x:v>
      </x:c>
      <x:c r="U139" s="84" t="str">
        <x:v>298848-1</x:v>
      </x:c>
      <x:c r="V139" s="84" t="str">
        <x:v>298848-1</x:v>
      </x:c>
      <x:c r="W139" s="84" t="str"/>
    </x:row>
    <x:row r="140" ht="18" customHeight="1">
      <x:c r="A140" s="83" t="str">
        <x:v>HAYS-0139</x:v>
      </x:c>
      <x:c r="B140" s="87" t="str">
        <x:v>Carex cherokeensis</x:v>
      </x:c>
      <x:c r="C140" s="87" t="str">
        <x:v>Carex cherokeensis</x:v>
      </x:c>
      <x:c r="D140" s="84" t="str">
        <x:v>Cyperaceae</x:v>
      </x:c>
      <x:c r="E140" s="84" t="str">
        <x:v>Carex</x:v>
      </x:c>
      <x:c r="F140" s="84" t="str">
        <x:v>Species</x:v>
      </x:c>
      <x:c r="G140" s="84" t="str">
        <x:v>Accepted</x:v>
      </x:c>
      <x:c r="H140" s="84" t="str">
        <x:v>Cherokee Sedge</x:v>
      </x:c>
      <x:c r="I140" s="84" t="str">
        <x:v>Perennial</x:v>
      </x:c>
      <x:c r="J140" s="84" t="str">
        <x:v>Herb</x:v>
      </x:c>
      <x:c r="K140" s="84" t="str">
        <x:v>Part Shade</x:v>
      </x:c>
      <x:c r="L140" s="84" t="str">
        <x:v>Medium</x:v>
      </x:c>
      <x:c r="M140" s="89" t="n">
        <x:v>0</x:v>
      </x:c>
      <x:c r="N140" s="89" t="n">
        <x:v>0</x:v>
      </x:c>
      <x:c r="O140" s="89" t="n">
        <x:v>1</x:v>
      </x:c>
      <x:c r="P140" s="89" t="n">
        <x:f>SUM(M140:O140)</x:f>
        <x:v>1</x:v>
      </x:c>
      <x:c r="Q140" s="84" t="str">
        <x:v>Exact accepted-name match</x:v>
      </x:c>
      <x:c r="R140" s="84" t="str">
        <x:v>Carex cherokeensis</x:v>
      </x:c>
      <x:c r="S140" s="84" t="str">
        <x:v>225482</x:v>
      </x:c>
      <x:c r="T140" s="84" t="str">
        <x:v>225482</x:v>
      </x:c>
      <x:c r="U140" s="84" t="str">
        <x:v>324489-2</x:v>
      </x:c>
      <x:c r="V140" s="84" t="str">
        <x:v>324489-2</x:v>
      </x:c>
      <x:c r="W140" s="84" t="str"/>
    </x:row>
    <x:row r="141" ht="18" customHeight="1">
      <x:c r="A141" s="83" t="str">
        <x:v>HAYS-0140</x:v>
      </x:c>
      <x:c r="B141" s="87" t="str">
        <x:v>Carex crus-corvi</x:v>
      </x:c>
      <x:c r="C141" s="87" t="str">
        <x:v>Carex crus-corvi</x:v>
      </x:c>
      <x:c r="D141" s="84" t="str">
        <x:v>Cyperaceae</x:v>
      </x:c>
      <x:c r="E141" s="84" t="str">
        <x:v>Carex</x:v>
      </x:c>
      <x:c r="F141" s="84" t="str">
        <x:v>Species</x:v>
      </x:c>
      <x:c r="G141" s="84" t="str">
        <x:v>Accepted</x:v>
      </x:c>
      <x:c r="H141" s="84" t="str">
        <x:v>Ravenfoot Sedge</x:v>
      </x:c>
      <x:c r="I141" s="84" t="str">
        <x:v>Perennial</x:v>
      </x:c>
      <x:c r="J141" s="84" t="str">
        <x:v>Grass/Grass-like</x:v>
      </x:c>
      <x:c r="K141" s="84" t="str"/>
      <x:c r="L141" s="84" t="str"/>
      <x:c r="M141" s="89" t="n">
        <x:v>1</x:v>
      </x:c>
      <x:c r="N141" s="89" t="n">
        <x:v>1</x:v>
      </x:c>
      <x:c r="O141" s="89" t="n">
        <x:v>0</x:v>
      </x:c>
      <x:c r="P141" s="89" t="n">
        <x:f>SUM(M141:O141)</x:f>
        <x:v>2</x:v>
      </x:c>
      <x:c r="Q141" s="84" t="str">
        <x:v>Exact accepted-name match</x:v>
      </x:c>
      <x:c r="R141" s="84" t="str">
        <x:v>Carex crus-corvi</x:v>
      </x:c>
      <x:c r="S141" s="84" t="str">
        <x:v>225763</x:v>
      </x:c>
      <x:c r="T141" s="84" t="str">
        <x:v>225763</x:v>
      </x:c>
      <x:c r="U141" s="84" t="str">
        <x:v>299314-1</x:v>
      </x:c>
      <x:c r="V141" s="84" t="str">
        <x:v>299314-1</x:v>
      </x:c>
      <x:c r="W141" s="84" t="str"/>
    </x:row>
    <x:row r="142" ht="18" customHeight="1">
      <x:c r="A142" s="83" t="str">
        <x:v>HAYS-0141</x:v>
      </x:c>
      <x:c r="B142" s="87" t="str">
        <x:v>Carex edwardsiana</x:v>
      </x:c>
      <x:c r="C142" s="87" t="str">
        <x:v>Carex edwardsiana</x:v>
      </x:c>
      <x:c r="D142" s="84" t="str">
        <x:v>Cyperaceae</x:v>
      </x:c>
      <x:c r="E142" s="84" t="str">
        <x:v>Carex</x:v>
      </x:c>
      <x:c r="F142" s="84" t="str">
        <x:v>Species</x:v>
      </x:c>
      <x:c r="G142" s="84" t="str">
        <x:v>Accepted</x:v>
      </x:c>
      <x:c r="H142" s="84" t="str">
        <x:v>Edwards Plateau Sedge</x:v>
      </x:c>
      <x:c r="I142" s="84" t="str">
        <x:v>Perennial</x:v>
      </x:c>
      <x:c r="J142" s="84" t="str">
        <x:v>Grass/Grass-like</x:v>
      </x:c>
      <x:c r="K142" s="84" t="str"/>
      <x:c r="L142" s="84" t="str"/>
      <x:c r="M142" s="89" t="n">
        <x:v>1</x:v>
      </x:c>
      <x:c r="N142" s="89" t="n">
        <x:v>1</x:v>
      </x:c>
      <x:c r="O142" s="89" t="n">
        <x:v>0</x:v>
      </x:c>
      <x:c r="P142" s="89" t="n">
        <x:f>SUM(M142:O142)</x:f>
        <x:v>2</x:v>
      </x:c>
      <x:c r="Q142" s="84" t="str">
        <x:v>Exact accepted-name match</x:v>
      </x:c>
      <x:c r="R142" s="84" t="str">
        <x:v>Carex edwardsiana</x:v>
      </x:c>
      <x:c r="S142" s="84" t="str">
        <x:v>226271</x:v>
      </x:c>
      <x:c r="T142" s="84" t="str">
        <x:v>226271</x:v>
      </x:c>
      <x:c r="U142" s="84" t="str">
        <x:v>274053-2</x:v>
      </x:c>
      <x:c r="V142" s="84" t="str">
        <x:v>274053-2</x:v>
      </x:c>
      <x:c r="W142" s="84" t="str"/>
    </x:row>
    <x:row r="143" ht="18" customHeight="1">
      <x:c r="A143" s="83" t="str">
        <x:v>HAYS-0142</x:v>
      </x:c>
      <x:c r="B143" s="87" t="str">
        <x:v>Carex emoryi</x:v>
      </x:c>
      <x:c r="C143" s="87" t="str">
        <x:v>Carex emoryi</x:v>
      </x:c>
      <x:c r="D143" s="84" t="str">
        <x:v>Cyperaceae</x:v>
      </x:c>
      <x:c r="E143" s="84" t="str">
        <x:v>Carex</x:v>
      </x:c>
      <x:c r="F143" s="84" t="str">
        <x:v>Species</x:v>
      </x:c>
      <x:c r="G143" s="84" t="str">
        <x:v>Accepted</x:v>
      </x:c>
      <x:c r="H143" s="84" t="str">
        <x:v>Emory's Sedge, Emory Sedge</x:v>
      </x:c>
      <x:c r="I143" s="84" t="str">
        <x:v>Perennial</x:v>
      </x:c>
      <x:c r="J143" s="84" t="str">
        <x:v>Herb</x:v>
      </x:c>
      <x:c r="K143" s="84" t="str">
        <x:v>Sun</x:v>
      </x:c>
      <x:c r="L143" s="84" t="str">
        <x:v>Medium</x:v>
      </x:c>
      <x:c r="M143" s="89" t="n">
        <x:v>1</x:v>
      </x:c>
      <x:c r="N143" s="89" t="n">
        <x:v>1</x:v>
      </x:c>
      <x:c r="O143" s="89" t="n">
        <x:v>1</x:v>
      </x:c>
      <x:c r="P143" s="89" t="n">
        <x:f>SUM(M143:O143)</x:f>
        <x:v>3</x:v>
      </x:c>
      <x:c r="Q143" s="84" t="str">
        <x:v>Exact accepted-name match</x:v>
      </x:c>
      <x:c r="R143" s="84" t="str">
        <x:v>Carex emoryi</x:v>
      </x:c>
      <x:c r="S143" s="84" t="str">
        <x:v>226339</x:v>
      </x:c>
      <x:c r="T143" s="84" t="str">
        <x:v>226339</x:v>
      </x:c>
      <x:c r="U143" s="84" t="str">
        <x:v>299625-1</x:v>
      </x:c>
      <x:c r="V143" s="84" t="str">
        <x:v>299625-1</x:v>
      </x:c>
      <x:c r="W143" s="84" t="str"/>
    </x:row>
    <x:row r="144" ht="18" customHeight="1">
      <x:c r="A144" s="83" t="str">
        <x:v>HAYS-0143</x:v>
      </x:c>
      <x:c r="B144" s="87" t="str">
        <x:v>Carex microdonta</x:v>
      </x:c>
      <x:c r="C144" s="87" t="str">
        <x:v>Carex microdonta</x:v>
      </x:c>
      <x:c r="D144" s="84" t="str">
        <x:v>Cyperaceae</x:v>
      </x:c>
      <x:c r="E144" s="84" t="str">
        <x:v>Carex</x:v>
      </x:c>
      <x:c r="F144" s="84" t="str">
        <x:v>Species</x:v>
      </x:c>
      <x:c r="G144" s="84" t="str">
        <x:v>Accepted</x:v>
      </x:c>
      <x:c r="H144" s="84" t="str">
        <x:v>Littletooth Sedge</x:v>
      </x:c>
      <x:c r="I144" s="84" t="str">
        <x:v>Perennial</x:v>
      </x:c>
      <x:c r="J144" s="84" t="str">
        <x:v>Grass/Grass-like</x:v>
      </x:c>
      <x:c r="K144" s="84" t="str"/>
      <x:c r="L144" s="84" t="str"/>
      <x:c r="M144" s="89" t="n">
        <x:v>1</x:v>
      </x:c>
      <x:c r="N144" s="89" t="n">
        <x:v>1</x:v>
      </x:c>
      <x:c r="O144" s="89" t="n">
        <x:v>0</x:v>
      </x:c>
      <x:c r="P144" s="89" t="n">
        <x:f>SUM(M144:O144)</x:f>
        <x:v>2</x:v>
      </x:c>
      <x:c r="Q144" s="84" t="str">
        <x:v>Exact accepted-name match</x:v>
      </x:c>
      <x:c r="R144" s="84" t="str">
        <x:v>Carex microdonta</x:v>
      </x:c>
      <x:c r="S144" s="84" t="str">
        <x:v>228635</x:v>
      </x:c>
      <x:c r="T144" s="84" t="str">
        <x:v>228635</x:v>
      </x:c>
      <x:c r="U144" s="84" t="str">
        <x:v>30323373-2</x:v>
      </x:c>
      <x:c r="V144" s="84" t="str">
        <x:v>30323373-2</x:v>
      </x:c>
      <x:c r="W144" s="84" t="str"/>
    </x:row>
    <x:row r="145" ht="18" customHeight="1">
      <x:c r="A145" s="83" t="str">
        <x:v>HAYS-0144</x:v>
      </x:c>
      <x:c r="B145" s="87" t="str">
        <x:v>Carex perdentata</x:v>
      </x:c>
      <x:c r="C145" s="87" t="str">
        <x:v>Carex perdentata</x:v>
      </x:c>
      <x:c r="D145" s="84" t="str">
        <x:v>Cyperaceae</x:v>
      </x:c>
      <x:c r="E145" s="84" t="str">
        <x:v>Carex</x:v>
      </x:c>
      <x:c r="F145" s="84" t="str">
        <x:v>Species</x:v>
      </x:c>
      <x:c r="G145" s="84" t="str">
        <x:v>Accepted</x:v>
      </x:c>
      <x:c r="H145" s="84" t="str">
        <x:v>Sand Sedge, Meadow Sedge</x:v>
      </x:c>
      <x:c r="I145" s="84" t="str">
        <x:v>Perennial</x:v>
      </x:c>
      <x:c r="J145" s="84" t="str">
        <x:v>Herb</x:v>
      </x:c>
      <x:c r="K145" s="84" t="str">
        <x:v>Sun</x:v>
      </x:c>
      <x:c r="L145" s="84" t="str">
        <x:v>Low</x:v>
      </x:c>
      <x:c r="M145" s="89" t="n">
        <x:v>1</x:v>
      </x:c>
      <x:c r="N145" s="89" t="n">
        <x:v>1</x:v>
      </x:c>
      <x:c r="O145" s="89" t="n">
        <x:v>1</x:v>
      </x:c>
      <x:c r="P145" s="89" t="n">
        <x:f>SUM(M145:O145)</x:f>
        <x:v>3</x:v>
      </x:c>
      <x:c r="Q145" s="84" t="str">
        <x:v>Exact accepted-name match</x:v>
      </x:c>
      <x:c r="R145" s="84" t="str">
        <x:v>Carex perdentata</x:v>
      </x:c>
      <x:c r="S145" s="84" t="str">
        <x:v>229654</x:v>
      </x:c>
      <x:c r="T145" s="84" t="str">
        <x:v>229654</x:v>
      </x:c>
      <x:c r="U145" s="84" t="str">
        <x:v>302016-2</x:v>
      </x:c>
      <x:c r="V145" s="84" t="str">
        <x:v>302016-2</x:v>
      </x:c>
      <x:c r="W145" s="84" t="str"/>
    </x:row>
    <x:row r="146" ht="18" customHeight="1">
      <x:c r="A146" s="83" t="str">
        <x:v>HAYS-0145</x:v>
      </x:c>
      <x:c r="B146" s="87" t="str">
        <x:v>Carex planostachys</x:v>
      </x:c>
      <x:c r="C146" s="87" t="str">
        <x:v>Carex planostachys</x:v>
      </x:c>
      <x:c r="D146" s="84" t="str">
        <x:v>Cyperaceae</x:v>
      </x:c>
      <x:c r="E146" s="84" t="str">
        <x:v>Carex</x:v>
      </x:c>
      <x:c r="F146" s="84" t="str">
        <x:v>Species</x:v>
      </x:c>
      <x:c r="G146" s="84" t="str">
        <x:v>Accepted</x:v>
      </x:c>
      <x:c r="H146" s="84" t="str">
        <x:v>Cedar Sedge</x:v>
      </x:c>
      <x:c r="I146" s="84" t="str">
        <x:v>Perennial</x:v>
      </x:c>
      <x:c r="J146" s="84" t="str">
        <x:v>Grass/Grass-like</x:v>
      </x:c>
      <x:c r="K146" s="84" t="str">
        <x:v>Part-shade</x:v>
      </x:c>
      <x:c r="L146" s="84" t="str">
        <x:v>Dry</x:v>
      </x:c>
      <x:c r="M146" s="89" t="n">
        <x:v>1</x:v>
      </x:c>
      <x:c r="N146" s="89" t="n">
        <x:v>1</x:v>
      </x:c>
      <x:c r="O146" s="89" t="n">
        <x:v>0</x:v>
      </x:c>
      <x:c r="P146" s="89" t="n">
        <x:f>SUM(M146:O146)</x:f>
        <x:v>2</x:v>
      </x:c>
      <x:c r="Q146" s="84" t="str">
        <x:v>Exact accepted-name match</x:v>
      </x:c>
      <x:c r="R146" s="84" t="str">
        <x:v>Carex planostachys</x:v>
      </x:c>
      <x:c r="S146" s="84" t="str">
        <x:v>229817</x:v>
      </x:c>
      <x:c r="T146" s="84" t="str">
        <x:v>229817</x:v>
      </x:c>
      <x:c r="U146" s="84" t="str">
        <x:v>301609-1</x:v>
      </x:c>
      <x:c r="V146" s="84" t="str">
        <x:v>301609-1</x:v>
      </x:c>
      <x:c r="W146" s="84" t="str"/>
    </x:row>
    <x:row r="147" ht="18" customHeight="1">
      <x:c r="A147" s="83" t="str">
        <x:v>HAYS-0146</x:v>
      </x:c>
      <x:c r="B147" s="87" t="str">
        <x:v>Carex texensis</x:v>
      </x:c>
      <x:c r="C147" s="87" t="str">
        <x:v>Carex texensis</x:v>
      </x:c>
      <x:c r="D147" s="84" t="str">
        <x:v>Cyperaceae</x:v>
      </x:c>
      <x:c r="E147" s="84" t="str">
        <x:v>Carex</x:v>
      </x:c>
      <x:c r="F147" s="84" t="str">
        <x:v>Species</x:v>
      </x:c>
      <x:c r="G147" s="84" t="str">
        <x:v>Accepted</x:v>
      </x:c>
      <x:c r="H147" s="84" t="str">
        <x:v>Texas Sedge</x:v>
      </x:c>
      <x:c r="I147" s="84" t="str">
        <x:v>Perennial</x:v>
      </x:c>
      <x:c r="J147" s="84" t="str">
        <x:v>Herb</x:v>
      </x:c>
      <x:c r="K147" s="84" t="str">
        <x:v>Sun</x:v>
      </x:c>
      <x:c r="L147" s="84" t="str">
        <x:v>Low</x:v>
      </x:c>
      <x:c r="M147" s="89" t="n">
        <x:v>0</x:v>
      </x:c>
      <x:c r="N147" s="89" t="n">
        <x:v>0</x:v>
      </x:c>
      <x:c r="O147" s="89" t="n">
        <x:v>1</x:v>
      </x:c>
      <x:c r="P147" s="89" t="n">
        <x:f>SUM(M147:O147)</x:f>
        <x:v>1</x:v>
      </x:c>
      <x:c r="Q147" s="84" t="str">
        <x:v>Exact accepted-name match</x:v>
      </x:c>
      <x:c r="R147" s="84" t="str">
        <x:v>Carex texensis</x:v>
      </x:c>
      <x:c r="S147" s="84" t="str">
        <x:v>231541</x:v>
      </x:c>
      <x:c r="T147" s="84" t="str">
        <x:v>231541</x:v>
      </x:c>
      <x:c r="U147" s="84" t="str">
        <x:v>47277-2</x:v>
      </x:c>
      <x:c r="V147" s="84" t="str">
        <x:v>47277-2</x:v>
      </x:c>
      <x:c r="W147" s="84" t="str"/>
    </x:row>
    <x:row r="148" ht="18" customHeight="1">
      <x:c r="A148" s="83" t="str">
        <x:v>HAYS-0147</x:v>
      </x:c>
      <x:c r="B148" s="87" t="str">
        <x:v>Carphochaete bigelovii</x:v>
      </x:c>
      <x:c r="C148" s="87" t="str">
        <x:v>Carphochaete bigelovii</x:v>
      </x:c>
      <x:c r="D148" s="84" t="str">
        <x:v>Asteraceae</x:v>
      </x:c>
      <x:c r="E148" s="84" t="str">
        <x:v>Carphochaete</x:v>
      </x:c>
      <x:c r="F148" s="84" t="str">
        <x:v>Species</x:v>
      </x:c>
      <x:c r="G148" s="84" t="str">
        <x:v>Accepted</x:v>
      </x:c>
      <x:c r="H148" s="84" t="str">
        <x:v>Bigelow's Bristlehead, Bigelow Bush</x:v>
      </x:c>
      <x:c r="I148" s="84" t="str">
        <x:v>Perennial</x:v>
      </x:c>
      <x:c r="J148" s="84" t="str">
        <x:v>Subshrub</x:v>
      </x:c>
      <x:c r="K148" s="84" t="str">
        <x:v>Sun, Part-shade</x:v>
      </x:c>
      <x:c r="L148" s="84" t="str"/>
      <x:c r="M148" s="89" t="n">
        <x:v>1</x:v>
      </x:c>
      <x:c r="N148" s="89" t="n">
        <x:v>1</x:v>
      </x:c>
      <x:c r="O148" s="89" t="n">
        <x:v>0</x:v>
      </x:c>
      <x:c r="P148" s="89" t="n">
        <x:f>SUM(M148:O148)</x:f>
        <x:v>2</x:v>
      </x:c>
      <x:c r="Q148" s="84" t="str">
        <x:v>Exact accepted-name match</x:v>
      </x:c>
      <x:c r="R148" s="84" t="str">
        <x:v>Carphochaete bigelovii</x:v>
      </x:c>
      <x:c r="S148" s="84" t="str">
        <x:v>3130329</x:v>
      </x:c>
      <x:c r="T148" s="84" t="str">
        <x:v>3130329</x:v>
      </x:c>
      <x:c r="U148" s="84" t="str">
        <x:v>189421-1</x:v>
      </x:c>
      <x:c r="V148" s="84" t="str">
        <x:v>189421-1</x:v>
      </x:c>
      <x:c r="W148" s="84" t="str"/>
    </x:row>
    <x:row r="149" ht="18" customHeight="1">
      <x:c r="A149" s="83" t="str">
        <x:v>HAYS-0148</x:v>
      </x:c>
      <x:c r="B149" s="87" t="str">
        <x:v>Carya illinoinensis</x:v>
      </x:c>
      <x:c r="C149" s="87" t="str">
        <x:v>Carya illinoinensis</x:v>
      </x:c>
      <x:c r="D149" s="84" t="str">
        <x:v>Juglandaceae</x:v>
      </x:c>
      <x:c r="E149" s="84" t="str">
        <x:v>Carya</x:v>
      </x:c>
      <x:c r="F149" s="84" t="str">
        <x:v>Species</x:v>
      </x:c>
      <x:c r="G149" s="84" t="str">
        <x:v>Accepted</x:v>
      </x:c>
      <x:c r="H149" s="84" t="str">
        <x:v>Pecan</x:v>
      </x:c>
      <x:c r="I149" s="84" t="str">
        <x:v>Perennial</x:v>
      </x:c>
      <x:c r="J149" s="84" t="str">
        <x:v>Tree</x:v>
      </x:c>
      <x:c r="K149" s="84" t="str">
        <x:v>Sun, Part Shade</x:v>
      </x:c>
      <x:c r="L149" s="84" t="str">
        <x:v>Medium</x:v>
      </x:c>
      <x:c r="M149" s="89" t="n">
        <x:v>1</x:v>
      </x:c>
      <x:c r="N149" s="89" t="n">
        <x:v>1</x:v>
      </x:c>
      <x:c r="O149" s="89" t="n">
        <x:v>1</x:v>
      </x:c>
      <x:c r="P149" s="89" t="n">
        <x:f>SUM(M149:O149)</x:f>
        <x:v>3</x:v>
      </x:c>
      <x:c r="Q149" s="84" t="str">
        <x:v>Exact accepted-name match</x:v>
      </x:c>
      <x:c r="R149" s="84" t="str">
        <x:v>Carya illinoinensis</x:v>
      </x:c>
      <x:c r="S149" s="84" t="str">
        <x:v>2701784</x:v>
      </x:c>
      <x:c r="T149" s="84" t="str">
        <x:v>2701784</x:v>
      </x:c>
      <x:c r="U149" s="84" t="str">
        <x:v>442167-1</x:v>
      </x:c>
      <x:c r="V149" s="84" t="str">
        <x:v>442167-1</x:v>
      </x:c>
      <x:c r="W149" s="84" t="str"/>
    </x:row>
    <x:row r="150" ht="18" customHeight="1">
      <x:c r="A150" s="83" t="str">
        <x:v>HAYS-0149</x:v>
      </x:c>
      <x:c r="B150" s="87" t="str">
        <x:v>Castilleja indivisa</x:v>
      </x:c>
      <x:c r="C150" s="87" t="str">
        <x:v>Castilleja indivisa</x:v>
      </x:c>
      <x:c r="D150" s="84" t="str">
        <x:v>Orobanchaceae</x:v>
      </x:c>
      <x:c r="E150" s="84" t="str">
        <x:v>Castilleja</x:v>
      </x:c>
      <x:c r="F150" s="84" t="str">
        <x:v>Species</x:v>
      </x:c>
      <x:c r="G150" s="84" t="str">
        <x:v>Accepted</x:v>
      </x:c>
      <x:c r="H150" s="84" t="str">
        <x:v>Texas Indian Paintbrush, Entireleaf Indian Paintbrush, Texas Paintbrush, Indian Paintbrush, Scarlet Paintbrush</x:v>
      </x:c>
      <x:c r="I150" s="84" t="str">
        <x:v>Annual</x:v>
      </x:c>
      <x:c r="J150" s="84" t="str">
        <x:v>Herb</x:v>
      </x:c>
      <x:c r="K150" s="84" t="str">
        <x:v>Sun</x:v>
      </x:c>
      <x:c r="L150" s="84" t="str">
        <x:v>Dry</x:v>
      </x:c>
      <x:c r="M150" s="89" t="n">
        <x:v>1</x:v>
      </x:c>
      <x:c r="N150" s="89" t="n">
        <x:v>1</x:v>
      </x:c>
      <x:c r="O150" s="89" t="n">
        <x:v>0</x:v>
      </x:c>
      <x:c r="P150" s="89" t="n">
        <x:f>SUM(M150:O150)</x:f>
        <x:v>2</x:v>
      </x:c>
      <x:c r="Q150" s="84" t="str">
        <x:v>Exact accepted-name match</x:v>
      </x:c>
      <x:c r="R150" s="84" t="str">
        <x:v>Castilleja indivisa</x:v>
      </x:c>
      <x:c r="S150" s="84" t="str">
        <x:v>2705066</x:v>
      </x:c>
      <x:c r="T150" s="84" t="str">
        <x:v>2705066</x:v>
      </x:c>
      <x:c r="U150" s="84" t="str">
        <x:v>800998-1</x:v>
      </x:c>
      <x:c r="V150" s="84" t="str">
        <x:v>800998-1</x:v>
      </x:c>
      <x:c r="W150" s="84" t="str"/>
    </x:row>
    <x:row r="151" ht="18" customHeight="1">
      <x:c r="A151" s="83" t="str">
        <x:v>HAYS-0150</x:v>
      </x:c>
      <x:c r="B151" s="87" t="str">
        <x:v>Castilleja purpurea var. lindheimeri</x:v>
      </x:c>
      <x:c r="C151" s="87" t="str">
        <x:v>Castilleja lindheimeri</x:v>
      </x:c>
      <x:c r="D151" s="84" t="str">
        <x:v>Orobanchaceae</x:v>
      </x:c>
      <x:c r="E151" s="84" t="str">
        <x:v>Castilleja</x:v>
      </x:c>
      <x:c r="F151" s="84" t="str">
        <x:v>Variety</x:v>
      </x:c>
      <x:c r="G151" s="84" t="str">
        <x:v>Synonym</x:v>
      </x:c>
      <x:c r="H151" s="84" t="str">
        <x:v>Lindheimer's Paintbrush, Lindheimer's Prairie Paintbrush, Lindheimer's Indian Paintbrush, Prairie Paintbrush</x:v>
      </x:c>
      <x:c r="I151" s="84" t="str">
        <x:v>Perennial</x:v>
      </x:c>
      <x:c r="J151" s="84" t="str">
        <x:v>Herb</x:v>
      </x:c>
      <x:c r="K151" s="84" t="str">
        <x:v>Sun</x:v>
      </x:c>
      <x:c r="L151" s="84" t="str">
        <x:v>Dry</x:v>
      </x:c>
      <x:c r="M151" s="89" t="n">
        <x:v>1</x:v>
      </x:c>
      <x:c r="N151" s="89" t="n">
        <x:v>1</x:v>
      </x:c>
      <x:c r="O151" s="89" t="n">
        <x:v>0</x:v>
      </x:c>
      <x:c r="P151" s="89" t="n">
        <x:f>SUM(M151:O151)</x:f>
        <x:v>2</x:v>
      </x:c>
      <x:c r="Q151" s="84" t="str">
        <x:v>Exact synonym-name match</x:v>
      </x:c>
      <x:c r="R151" s="84" t="str">
        <x:v>Castilleja purpurea var. lindheimeri</x:v>
      </x:c>
      <x:c r="S151" s="84" t="str">
        <x:v>2705285</x:v>
      </x:c>
      <x:c r="T151" s="84" t="str">
        <x:v>2705119</x:v>
      </x:c>
      <x:c r="U151" s="84" t="str">
        <x:v>49695-2</x:v>
      </x:c>
      <x:c r="V151" s="84" t="str">
        <x:v>801028-1</x:v>
      </x:c>
      <x:c r="W151" s="84" t="str"/>
    </x:row>
    <x:row r="152" ht="18" customHeight="1">
      <x:c r="A152" s="83" t="str">
        <x:v>HAYS-0151</x:v>
      </x:c>
      <x:c r="B152" s="87" t="str">
        <x:v>Catalpa speciosa</x:v>
      </x:c>
      <x:c r="C152" s="87" t="str">
        <x:v>Catalpa speciosa</x:v>
      </x:c>
      <x:c r="D152" s="84" t="str">
        <x:v>Bignoniaceae</x:v>
      </x:c>
      <x:c r="E152" s="84" t="str">
        <x:v>Catalpa</x:v>
      </x:c>
      <x:c r="F152" s="84" t="str">
        <x:v>Species</x:v>
      </x:c>
      <x:c r="G152" s="84" t="str">
        <x:v>Accepted</x:v>
      </x:c>
      <x:c r="H152" s="84" t="str">
        <x:v>Northern Catalpa, Catalpa Tree, Cigar Tree, Indian Bean</x:v>
      </x:c>
      <x:c r="I152" s="84" t="str">
        <x:v>Perennial</x:v>
      </x:c>
      <x:c r="J152" s="84" t="str">
        <x:v>Tree</x:v>
      </x:c>
      <x:c r="K152" s="84" t="str">
        <x:v>Part-shade</x:v>
      </x:c>
      <x:c r="L152" s="84" t="str">
        <x:v>Moist</x:v>
      </x:c>
      <x:c r="M152" s="89" t="n">
        <x:v>1</x:v>
      </x:c>
      <x:c r="N152" s="89" t="n">
        <x:v>1</x:v>
      </x:c>
      <x:c r="O152" s="89" t="n">
        <x:v>0</x:v>
      </x:c>
      <x:c r="P152" s="89" t="n">
        <x:f>SUM(M152:O152)</x:f>
        <x:v>2</x:v>
      </x:c>
      <x:c r="Q152" s="84" t="str">
        <x:v>Exact accepted-name match</x:v>
      </x:c>
      <x:c r="R152" s="84" t="str">
        <x:v>Catalpa speciosa</x:v>
      </x:c>
      <x:c r="S152" s="84" t="str">
        <x:v>320410</x:v>
      </x:c>
      <x:c r="T152" s="84" t="str">
        <x:v>320410</x:v>
      </x:c>
      <x:c r="U152" s="84" t="str">
        <x:v>77117561-1</x:v>
      </x:c>
      <x:c r="V152" s="84" t="str">
        <x:v>77117561-1</x:v>
      </x:c>
      <x:c r="W152" s="84" t="str"/>
    </x:row>
    <x:row r="153" ht="18" customHeight="1">
      <x:c r="A153" s="83" t="str">
        <x:v>HAYS-0152</x:v>
      </x:c>
      <x:c r="B153" s="87" t="str">
        <x:v>Ceanothus herbaceus</x:v>
      </x:c>
      <x:c r="C153" s="87" t="str">
        <x:v>Ceanothus herbaceus</x:v>
      </x:c>
      <x:c r="D153" s="84" t="str">
        <x:v>Rhamnaceae</x:v>
      </x:c>
      <x:c r="E153" s="84" t="str">
        <x:v>Ceanothus</x:v>
      </x:c>
      <x:c r="F153" s="84" t="str">
        <x:v>Species</x:v>
      </x:c>
      <x:c r="G153" s="84" t="str">
        <x:v>Accepted</x:v>
      </x:c>
      <x:c r="H153" s="84" t="str">
        <x:v>Prairie Redroot, Smaller Redroot, Small Redroot, Inland Ceanothus, Fuzzy Ceanothus, Jersey Tea, Redroot</x:v>
      </x:c>
      <x:c r="I153" s="84" t="str">
        <x:v>Perennial</x:v>
      </x:c>
      <x:c r="J153" s="84" t="str">
        <x:v>Shrub</x:v>
      </x:c>
      <x:c r="K153" s="84" t="str">
        <x:v>Sun</x:v>
      </x:c>
      <x:c r="L153" s="84" t="str">
        <x:v>Dry</x:v>
      </x:c>
      <x:c r="M153" s="89" t="n">
        <x:v>1</x:v>
      </x:c>
      <x:c r="N153" s="89" t="n">
        <x:v>1</x:v>
      </x:c>
      <x:c r="O153" s="89" t="n">
        <x:v>0</x:v>
      </x:c>
      <x:c r="P153" s="89" t="n">
        <x:f>SUM(M153:O153)</x:f>
        <x:v>2</x:v>
      </x:c>
      <x:c r="Q153" s="84" t="str">
        <x:v>Exact accepted-name match</x:v>
      </x:c>
      <x:c r="R153" s="84" t="str">
        <x:v>Ceanothus herbaceus</x:v>
      </x:c>
      <x:c r="S153" s="84" t="str">
        <x:v>2706739</x:v>
      </x:c>
      <x:c r="T153" s="84" t="str">
        <x:v>2706739</x:v>
      </x:c>
      <x:c r="U153" s="84" t="str">
        <x:v>716840-1</x:v>
      </x:c>
      <x:c r="V153" s="84" t="str">
        <x:v>716840-1</x:v>
      </x:c>
      <x:c r="W153" s="84" t="str"/>
    </x:row>
    <x:row r="154" ht="18" customHeight="1">
      <x:c r="A154" s="83" t="str">
        <x:v>HAYS-0153</x:v>
      </x:c>
      <x:c r="B154" s="87" t="str">
        <x:v>Celosia nitida</x:v>
      </x:c>
      <x:c r="C154" s="87" t="str">
        <x:v>Celosia nitida</x:v>
      </x:c>
      <x:c r="D154" s="84" t="str">
        <x:v>Amaranthaceae</x:v>
      </x:c>
      <x:c r="E154" s="84" t="str">
        <x:v>Celosia</x:v>
      </x:c>
      <x:c r="F154" s="84" t="str">
        <x:v>Species</x:v>
      </x:c>
      <x:c r="G154" s="84" t="str">
        <x:v>Accepted</x:v>
      </x:c>
      <x:c r="H154" s="84" t="str">
        <x:v>West Indian Cock's Comb</x:v>
      </x:c>
      <x:c r="I154" s="84" t="str">
        <x:v>Perennial</x:v>
      </x:c>
      <x:c r="J154" s="84" t="str">
        <x:v>Herb</x:v>
      </x:c>
      <x:c r="K154" s="84" t="str">
        <x:v>Sun</x:v>
      </x:c>
      <x:c r="L154" s="84" t="str">
        <x:v>Moist</x:v>
      </x:c>
      <x:c r="M154" s="89" t="n">
        <x:v>1</x:v>
      </x:c>
      <x:c r="N154" s="89" t="n">
        <x:v>1</x:v>
      </x:c>
      <x:c r="O154" s="89" t="n">
        <x:v>0</x:v>
      </x:c>
      <x:c r="P154" s="89" t="n">
        <x:f>SUM(M154:O154)</x:f>
        <x:v>2</x:v>
      </x:c>
      <x:c r="Q154" s="84" t="str">
        <x:v>Exact accepted-name match</x:v>
      </x:c>
      <x:c r="R154" s="84" t="str">
        <x:v>Celosia nitida</x:v>
      </x:c>
      <x:c r="S154" s="84" t="str">
        <x:v>2707897</x:v>
      </x:c>
      <x:c r="T154" s="84" t="str">
        <x:v>2707897</x:v>
      </x:c>
      <x:c r="U154" s="84" t="str">
        <x:v>327367-2</x:v>
      </x:c>
      <x:c r="V154" s="84" t="str">
        <x:v>327367-2</x:v>
      </x:c>
      <x:c r="W154" s="84" t="str"/>
    </x:row>
    <x:row r="155" ht="18" customHeight="1">
      <x:c r="A155" s="83" t="str">
        <x:v>HAYS-0154</x:v>
      </x:c>
      <x:c r="B155" s="87" t="str">
        <x:v>Celtis ehrenbergiana</x:v>
      </x:c>
      <x:c r="C155" s="87" t="str">
        <x:v>Celtis iguanaea</x:v>
      </x:c>
      <x:c r="D155" s="84" t="str">
        <x:v>Cannabaceae</x:v>
      </x:c>
      <x:c r="E155" s="84" t="str">
        <x:v>Celtis</x:v>
      </x:c>
      <x:c r="F155" s="84" t="str">
        <x:v>Species</x:v>
      </x:c>
      <x:c r="G155" s="84" t="str">
        <x:v>Synonym</x:v>
      </x:c>
      <x:c r="H155" s="84" t="str">
        <x:v>Desert (Spiny) Hackberry</x:v>
      </x:c>
      <x:c r="I155" s="84" t="str">
        <x:v>Perennial</x:v>
      </x:c>
      <x:c r="J155" s="84" t="str">
        <x:v>Shrub</x:v>
      </x:c>
      <x:c r="K155" s="84" t="str">
        <x:v>Sun, Part Shade</x:v>
      </x:c>
      <x:c r="L155" s="84" t="str">
        <x:v>Low</x:v>
      </x:c>
      <x:c r="M155" s="89" t="n">
        <x:v>1</x:v>
      </x:c>
      <x:c r="N155" s="89" t="n">
        <x:v>1</x:v>
      </x:c>
      <x:c r="O155" s="89" t="n">
        <x:v>1</x:v>
      </x:c>
      <x:c r="P155" s="89" t="n">
        <x:f>SUM(M155:O155)</x:f>
        <x:v>3</x:v>
      </x:c>
      <x:c r="Q155" s="84" t="str">
        <x:v>Exact synonym-name match</x:v>
      </x:c>
      <x:c r="R155" s="84" t="str">
        <x:v>Celtis ehrenbergiana</x:v>
      </x:c>
      <x:c r="S155" s="84" t="str">
        <x:v>2708249</x:v>
      </x:c>
      <x:c r="T155" s="84" t="str">
        <x:v>2708300</x:v>
      </x:c>
      <x:c r="U155" s="84" t="str">
        <x:v>1044320-2</x:v>
      </x:c>
      <x:c r="V155" s="84" t="str">
        <x:v>1213898-2</x:v>
      </x:c>
      <x:c r="W155" s="84" t="str"/>
    </x:row>
    <x:row r="156" ht="18" customHeight="1">
      <x:c r="A156" s="83" t="str">
        <x:v>HAYS-0155</x:v>
      </x:c>
      <x:c r="B156" s="87" t="str">
        <x:v>Celtis laevigata var. laevigata</x:v>
      </x:c>
      <x:c r="C156" s="87" t="str"/>
      <x:c r="D156" s="84" t="str"/>
      <x:c r="E156" s="84" t="str">
        <x:v>Celtis</x:v>
      </x:c>
      <x:c r="F156" s="84" t="str"/>
      <x:c r="G156" s="84" t="str"/>
      <x:c r="H156" s="84" t="str">
        <x:v>Sugarberry, Palo Blanco</x:v>
      </x:c>
      <x:c r="I156" s="84" t="str">
        <x:v>Perennial</x:v>
      </x:c>
      <x:c r="J156" s="84" t="str">
        <x:v>Shrub, Tree</x:v>
      </x:c>
      <x:c r="K156" s="84" t="str"/>
      <x:c r="L156" s="84" t="str"/>
      <x:c r="M156" s="89" t="n">
        <x:v>1</x:v>
      </x:c>
      <x:c r="N156" s="89" t="n">
        <x:v>1</x:v>
      </x:c>
      <x:c r="O156" s="89" t="n">
        <x:v>0</x:v>
      </x:c>
      <x:c r="P156" s="89" t="n">
        <x:f>SUM(M156:O156)</x:f>
        <x:v>2</x:v>
      </x:c>
      <x:c r="Q156" s="84" t="str">
        <x:v>No exact WCVP name match</x:v>
      </x:c>
      <x:c r="R156" s="84" t="str"/>
      <x:c r="S156" s="84" t="str"/>
      <x:c r="T156" s="84" t="str"/>
      <x:c r="U156" s="84" t="str"/>
      <x:c r="V156" s="84" t="str"/>
      <x:c r="W156" s="84" t="str">
        <x:v>Review</x:v>
      </x:c>
    </x:row>
    <x:row r="157" ht="18" customHeight="1">
      <x:c r="A157" s="83" t="str">
        <x:v>HAYS-0156</x:v>
      </x:c>
      <x:c r="B157" s="87" t="str">
        <x:v>Celtis laevigata var. reticulata</x:v>
      </x:c>
      <x:c r="C157" s="87" t="str">
        <x:v>Celtis reticulata</x:v>
      </x:c>
      <x:c r="D157" s="84" t="str">
        <x:v>Cannabaceae</x:v>
      </x:c>
      <x:c r="E157" s="84" t="str">
        <x:v>Celtis</x:v>
      </x:c>
      <x:c r="F157" s="84" t="str">
        <x:v>Variety</x:v>
      </x:c>
      <x:c r="G157" s="84" t="str">
        <x:v>Synonym</x:v>
      </x:c>
      <x:c r="H157" s="84" t="str">
        <x:v>Netleaf Hackberry, Netleaf Sugar Hackberry, Western Hackberry, Sugar Hackberry, Texas Sugarberry, Palo Blanco, Acibuche</x:v>
      </x:c>
      <x:c r="I157" s="84" t="str">
        <x:v>Perennial</x:v>
      </x:c>
      <x:c r="J157" s="84" t="str">
        <x:v>Tree</x:v>
      </x:c>
      <x:c r="K157" s="84" t="str">
        <x:v>Part-shade</x:v>
      </x:c>
      <x:c r="L157" s="84" t="str"/>
      <x:c r="M157" s="89" t="n">
        <x:v>1</x:v>
      </x:c>
      <x:c r="N157" s="89" t="n">
        <x:v>1</x:v>
      </x:c>
      <x:c r="O157" s="89" t="n">
        <x:v>0</x:v>
      </x:c>
      <x:c r="P157" s="89" t="n">
        <x:f>SUM(M157:O157)</x:f>
        <x:v>2</x:v>
      </x:c>
      <x:c r="Q157" s="84" t="str">
        <x:v>Exact synonym-name match</x:v>
      </x:c>
      <x:c r="R157" s="84" t="str">
        <x:v>Celtis laevigata var. reticulata</x:v>
      </x:c>
      <x:c r="S157" s="84" t="str">
        <x:v>2708331</x:v>
      </x:c>
      <x:c r="T157" s="84" t="str">
        <x:v>2708432</x:v>
      </x:c>
      <x:c r="U157" s="84" t="str">
        <x:v>51176-2</x:v>
      </x:c>
      <x:c r="V157" s="84" t="str">
        <x:v>851150-1</x:v>
      </x:c>
      <x:c r="W157" s="84" t="str"/>
    </x:row>
    <x:row r="158" ht="18" customHeight="1">
      <x:c r="A158" s="83" t="str">
        <x:v>HAYS-0157</x:v>
      </x:c>
      <x:c r="B158" s="87" t="str">
        <x:v>Celtis lindheimeri</x:v>
      </x:c>
      <x:c r="C158" s="87" t="str">
        <x:v>Celtis lindheimeri</x:v>
      </x:c>
      <x:c r="D158" s="84" t="str">
        <x:v>Cannabaceae</x:v>
      </x:c>
      <x:c r="E158" s="84" t="str">
        <x:v>Celtis</x:v>
      </x:c>
      <x:c r="F158" s="84" t="str">
        <x:v>Species</x:v>
      </x:c>
      <x:c r="G158" s="84" t="str">
        <x:v>Accepted</x:v>
      </x:c>
      <x:c r="H158" s="84" t="str">
        <x:v>Lindheimer's Hackberry, Lindheimer Hackberry</x:v>
      </x:c>
      <x:c r="I158" s="84" t="str">
        <x:v>Perennial</x:v>
      </x:c>
      <x:c r="J158" s="84" t="str">
        <x:v>Tree</x:v>
      </x:c>
      <x:c r="K158" s="84" t="str">
        <x:v>Sun</x:v>
      </x:c>
      <x:c r="L158" s="84" t="str"/>
      <x:c r="M158" s="89" t="n">
        <x:v>1</x:v>
      </x:c>
      <x:c r="N158" s="89" t="n">
        <x:v>1</x:v>
      </x:c>
      <x:c r="O158" s="89" t="n">
        <x:v>0</x:v>
      </x:c>
      <x:c r="P158" s="89" t="n">
        <x:f>SUM(M158:O158)</x:f>
        <x:v>2</x:v>
      </x:c>
      <x:c r="Q158" s="84" t="str">
        <x:v>Exact accepted-name match</x:v>
      </x:c>
      <x:c r="R158" s="84" t="str">
        <x:v>Celtis lindheimeri</x:v>
      </x:c>
      <x:c r="S158" s="84" t="str">
        <x:v>2708344</x:v>
      </x:c>
      <x:c r="T158" s="84" t="str">
        <x:v>2708344</x:v>
      </x:c>
      <x:c r="U158" s="84" t="str">
        <x:v>305661-2</x:v>
      </x:c>
      <x:c r="V158" s="84" t="str">
        <x:v>305661-2</x:v>
      </x:c>
      <x:c r="W158" s="84" t="str"/>
    </x:row>
    <x:row r="159" ht="18" customHeight="1">
      <x:c r="A159" s="83" t="str">
        <x:v>HAYS-0158</x:v>
      </x:c>
      <x:c r="B159" s="87" t="str">
        <x:v>Cenchrus spinifex</x:v>
      </x:c>
      <x:c r="C159" s="87" t="str">
        <x:v>Cenchrus spinifex</x:v>
      </x:c>
      <x:c r="D159" s="84" t="str">
        <x:v>Poaceae</x:v>
      </x:c>
      <x:c r="E159" s="84" t="str">
        <x:v>Cenchrus</x:v>
      </x:c>
      <x:c r="F159" s="84" t="str">
        <x:v>Species</x:v>
      </x:c>
      <x:c r="G159" s="84" t="str">
        <x:v>Accepted</x:v>
      </x:c>
      <x:c r="H159" s="84" t="str">
        <x:v>Grass Bur, Coastal Sandbur, Field Sandspur, Southern Sandbur, Spiny Burrgrass</x:v>
      </x:c>
      <x:c r="I159" s="84" t="str">
        <x:v>Annual</x:v>
      </x:c>
      <x:c r="J159" s="84" t="str">
        <x:v>Grass/Grass-like</x:v>
      </x:c>
      <x:c r="K159" s="84" t="str">
        <x:v>Sun, Part-shade</x:v>
      </x:c>
      <x:c r="L159" s="84" t="str">
        <x:v>Moist, Dry</x:v>
      </x:c>
      <x:c r="M159" s="89" t="n">
        <x:v>1</x:v>
      </x:c>
      <x:c r="N159" s="89" t="n">
        <x:v>1</x:v>
      </x:c>
      <x:c r="O159" s="89" t="n">
        <x:v>0</x:v>
      </x:c>
      <x:c r="P159" s="89" t="n">
        <x:f>SUM(M159:O159)</x:f>
        <x:v>2</x:v>
      </x:c>
      <x:c r="Q159" s="84" t="str">
        <x:v>Exact accepted-name match</x:v>
      </x:c>
      <x:c r="R159" s="84" t="str">
        <x:v>Cenchrus spinifex</x:v>
      </x:c>
      <x:c r="S159" s="84" t="str">
        <x:v>404022</x:v>
      </x:c>
      <x:c r="T159" s="84" t="str">
        <x:v>404022</x:v>
      </x:c>
      <x:c r="U159" s="84" t="str">
        <x:v>395325-1</x:v>
      </x:c>
      <x:c r="V159" s="84" t="str">
        <x:v>395325-1</x:v>
      </x:c>
      <x:c r="W159" s="84" t="str"/>
    </x:row>
    <x:row r="160" ht="18" customHeight="1">
      <x:c r="A160" s="83" t="str">
        <x:v>HAYS-0159</x:v>
      </x:c>
      <x:c r="B160" s="87" t="str">
        <x:v>Centaurium beyrichii</x:v>
      </x:c>
      <x:c r="C160" s="87" t="str">
        <x:v>Zeltnera beyrichii</x:v>
      </x:c>
      <x:c r="D160" s="84" t="str">
        <x:v>Gentianaceae</x:v>
      </x:c>
      <x:c r="E160" s="84" t="str">
        <x:v>Zeltnera</x:v>
      </x:c>
      <x:c r="F160" s="84" t="str">
        <x:v>Species</x:v>
      </x:c>
      <x:c r="G160" s="84" t="str">
        <x:v>Synonym</x:v>
      </x:c>
      <x:c r="H160" s="84" t="str">
        <x:v>Mountain Pink, Mountain Centaury, Quinineweed, Rock Centaury, Meadow Pink, Catchfly</x:v>
      </x:c>
      <x:c r="I160" s="84" t="str">
        <x:v>Annual</x:v>
      </x:c>
      <x:c r="J160" s="84" t="str">
        <x:v>Herb</x:v>
      </x:c>
      <x:c r="K160" s="84" t="str">
        <x:v>Part-shade</x:v>
      </x:c>
      <x:c r="L160" s="84" t="str">
        <x:v>Dry</x:v>
      </x:c>
      <x:c r="M160" s="89" t="n">
        <x:v>1</x:v>
      </x:c>
      <x:c r="N160" s="89" t="n">
        <x:v>1</x:v>
      </x:c>
      <x:c r="O160" s="89" t="n">
        <x:v>0</x:v>
      </x:c>
      <x:c r="P160" s="89" t="n">
        <x:f>SUM(M160:O160)</x:f>
        <x:v>2</x:v>
      </x:c>
      <x:c r="Q160" s="84" t="str">
        <x:v>Exact synonym-name match</x:v>
      </x:c>
      <x:c r="R160" s="84" t="str">
        <x:v>Centaurium beyrichii</x:v>
      </x:c>
      <x:c r="S160" s="84" t="str">
        <x:v>2708589</x:v>
      </x:c>
      <x:c r="T160" s="84" t="str">
        <x:v>2470496</x:v>
      </x:c>
      <x:c r="U160" s="84" t="str">
        <x:v>51303-2</x:v>
      </x:c>
      <x:c r="V160" s="84" t="str">
        <x:v>77061760-1</x:v>
      </x:c>
      <x:c r="W160" s="84" t="str"/>
    </x:row>
    <x:row r="161" ht="18" customHeight="1">
      <x:c r="A161" s="83" t="str">
        <x:v>HAYS-0160</x:v>
      </x:c>
      <x:c r="B161" s="87" t="str">
        <x:v>Centaurium calycosum</x:v>
      </x:c>
      <x:c r="C161" s="87" t="str">
        <x:v>Zeltnera calycosa</x:v>
      </x:c>
      <x:c r="D161" s="84" t="str">
        <x:v>Gentianaceae</x:v>
      </x:c>
      <x:c r="E161" s="84" t="str">
        <x:v>Zeltnera</x:v>
      </x:c>
      <x:c r="F161" s="84" t="str">
        <x:v>Species</x:v>
      </x:c>
      <x:c r="G161" s="84" t="str">
        <x:v>Synonym</x:v>
      </x:c>
      <x:c r="H161" s="84" t="str">
        <x:v>Buckley Centaury, Rosita, Shortflower Centaury</x:v>
      </x:c>
      <x:c r="I161" s="84" t="str">
        <x:v>Annual</x:v>
      </x:c>
      <x:c r="J161" s="84" t="str">
        <x:v>Herb</x:v>
      </x:c>
      <x:c r="K161" s="84" t="str"/>
      <x:c r="L161" s="84" t="str"/>
      <x:c r="M161" s="89" t="n">
        <x:v>1</x:v>
      </x:c>
      <x:c r="N161" s="89" t="n">
        <x:v>1</x:v>
      </x:c>
      <x:c r="O161" s="89" t="n">
        <x:v>0</x:v>
      </x:c>
      <x:c r="P161" s="89" t="n">
        <x:f>SUM(M161:O161)</x:f>
        <x:v>2</x:v>
      </x:c>
      <x:c r="Q161" s="84" t="str">
        <x:v>Exact synonym-name match</x:v>
      </x:c>
      <x:c r="R161" s="84" t="str">
        <x:v>Centaurium calycosum</x:v>
      </x:c>
      <x:c r="S161" s="84" t="str">
        <x:v>2708601</x:v>
      </x:c>
      <x:c r="T161" s="84" t="str">
        <x:v>2470514</x:v>
      </x:c>
      <x:c r="U161" s="84" t="str">
        <x:v>51310-2</x:v>
      </x:c>
      <x:c r="V161" s="84" t="str">
        <x:v>77061748-1</x:v>
      </x:c>
      <x:c r="W161" s="84" t="str"/>
    </x:row>
    <x:row r="162" ht="18" customHeight="1">
      <x:c r="A162" s="83" t="str">
        <x:v>HAYS-0161</x:v>
      </x:c>
      <x:c r="B162" s="87" t="str">
        <x:v>Centaurium texense</x:v>
      </x:c>
      <x:c r="C162" s="87" t="str">
        <x:v>Zeltnera texensis</x:v>
      </x:c>
      <x:c r="D162" s="84" t="str">
        <x:v>Gentianaceae</x:v>
      </x:c>
      <x:c r="E162" s="84" t="str">
        <x:v>Zeltnera</x:v>
      </x:c>
      <x:c r="F162" s="84" t="str">
        <x:v>Species</x:v>
      </x:c>
      <x:c r="G162" s="84" t="str">
        <x:v>Synonym</x:v>
      </x:c>
      <x:c r="H162" s="84" t="str">
        <x:v>Lady Bird's Centaury, Texas Centaury</x:v>
      </x:c>
      <x:c r="I162" s="84" t="str">
        <x:v>Annual</x:v>
      </x:c>
      <x:c r="J162" s="84" t="str">
        <x:v>Herb</x:v>
      </x:c>
      <x:c r="K162" s="84" t="str">
        <x:v>Sun, Part-shade</x:v>
      </x:c>
      <x:c r="L162" s="84" t="str"/>
      <x:c r="M162" s="89" t="n">
        <x:v>1</x:v>
      </x:c>
      <x:c r="N162" s="89" t="n">
        <x:v>1</x:v>
      </x:c>
      <x:c r="O162" s="89" t="n">
        <x:v>0</x:v>
      </x:c>
      <x:c r="P162" s="89" t="n">
        <x:f>SUM(M162:O162)</x:f>
        <x:v>2</x:v>
      </x:c>
      <x:c r="Q162" s="84" t="str">
        <x:v>Exact synonym-name match</x:v>
      </x:c>
      <x:c r="R162" s="84" t="str">
        <x:v>Centaurium texense</x:v>
      </x:c>
      <x:c r="S162" s="84" t="str">
        <x:v>2708788</x:v>
      </x:c>
      <x:c r="T162" s="84" t="str">
        <x:v>2915258</x:v>
      </x:c>
      <x:c r="U162" s="84" t="str">
        <x:v>51351-2</x:v>
      </x:c>
      <x:c r="V162" s="84" t="str">
        <x:v>77120285-1</x:v>
      </x:c>
      <x:c r="W162" s="84" t="str"/>
    </x:row>
    <x:row r="163" ht="18" customHeight="1">
      <x:c r="A163" s="83" t="str">
        <x:v>HAYS-0162</x:v>
      </x:c>
      <x:c r="B163" s="87" t="str">
        <x:v>Centella erecta</x:v>
      </x:c>
      <x:c r="C163" s="87" t="str">
        <x:v>Centella erecta</x:v>
      </x:c>
      <x:c r="D163" s="84" t="str">
        <x:v>Apiaceae</x:v>
      </x:c>
      <x:c r="E163" s="84" t="str">
        <x:v>Centella</x:v>
      </x:c>
      <x:c r="F163" s="84" t="str">
        <x:v>Species</x:v>
      </x:c>
      <x:c r="G163" s="84" t="str">
        <x:v>Accepted</x:v>
      </x:c>
      <x:c r="H163" s="84" t="str">
        <x:v>Erect Centella, Erect Spadeleaf</x:v>
      </x:c>
      <x:c r="I163" s="84" t="str">
        <x:v>Perennial</x:v>
      </x:c>
      <x:c r="J163" s="84" t="str">
        <x:v>Herb</x:v>
      </x:c>
      <x:c r="K163" s="84" t="str">
        <x:v>Sun</x:v>
      </x:c>
      <x:c r="L163" s="84" t="str">
        <x:v>Moist</x:v>
      </x:c>
      <x:c r="M163" s="89" t="n">
        <x:v>1</x:v>
      </x:c>
      <x:c r="N163" s="89" t="n">
        <x:v>1</x:v>
      </x:c>
      <x:c r="O163" s="89" t="n">
        <x:v>0</x:v>
      </x:c>
      <x:c r="P163" s="89" t="n">
        <x:f>SUM(M163:O163)</x:f>
        <x:v>2</x:v>
      </x:c>
      <x:c r="Q163" s="84" t="str">
        <x:v>Exact accepted-name match</x:v>
      </x:c>
      <x:c r="R163" s="84" t="str">
        <x:v>Centella erecta</x:v>
      </x:c>
      <x:c r="S163" s="84" t="str">
        <x:v>2708841</x:v>
      </x:c>
      <x:c r="T163" s="84" t="str">
        <x:v>2708841</x:v>
      </x:c>
      <x:c r="U163" s="84" t="str">
        <x:v>51383-2</x:v>
      </x:c>
      <x:c r="V163" s="84" t="str">
        <x:v>51383-2</x:v>
      </x:c>
      <x:c r="W163" s="84" t="str"/>
    </x:row>
    <x:row r="164" ht="18" customHeight="1">
      <x:c r="A164" s="83" t="str">
        <x:v>HAYS-0163</x:v>
      </x:c>
      <x:c r="B164" s="87" t="str">
        <x:v>Cephalanthus occidentalis</x:v>
      </x:c>
      <x:c r="C164" s="87" t="str">
        <x:v>Cephalanthus occidentalis</x:v>
      </x:c>
      <x:c r="D164" s="84" t="str">
        <x:v>Rubiaceae</x:v>
      </x:c>
      <x:c r="E164" s="84" t="str">
        <x:v>Cephalanthus</x:v>
      </x:c>
      <x:c r="F164" s="84" t="str">
        <x:v>Species</x:v>
      </x:c>
      <x:c r="G164" s="84" t="str">
        <x:v>Accepted</x:v>
      </x:c>
      <x:c r="H164" s="84" t="str">
        <x:v>Common Buttonbush, Buttonbush, Button Willow, Honey Bells, Honeybells, Honey Balls, Honeyballs, Button-bush</x:v>
      </x:c>
      <x:c r="I164" s="84" t="str">
        <x:v>Perennial</x:v>
      </x:c>
      <x:c r="J164" s="84" t="str">
        <x:v>Shrub</x:v>
      </x:c>
      <x:c r="K164" s="84" t="str">
        <x:v>Sun, Part Shade</x:v>
      </x:c>
      <x:c r="L164" s="84" t="str">
        <x:v>Wet</x:v>
      </x:c>
      <x:c r="M164" s="89" t="n">
        <x:v>1</x:v>
      </x:c>
      <x:c r="N164" s="89" t="n">
        <x:v>1</x:v>
      </x:c>
      <x:c r="O164" s="89" t="n">
        <x:v>1</x:v>
      </x:c>
      <x:c r="P164" s="89" t="n">
        <x:f>SUM(M164:O164)</x:f>
        <x:v>3</x:v>
      </x:c>
      <x:c r="Q164" s="84" t="str">
        <x:v>Exact accepted-name match</x:v>
      </x:c>
      <x:c r="R164" s="84" t="str">
        <x:v>Cephalanthus occidentalis</x:v>
      </x:c>
      <x:c r="S164" s="84" t="str">
        <x:v>36721</x:v>
      </x:c>
      <x:c r="T164" s="84" t="str">
        <x:v>36721</x:v>
      </x:c>
      <x:c r="U164" s="84" t="str">
        <x:v>319140-2</x:v>
      </x:c>
      <x:c r="V164" s="84" t="str">
        <x:v>319140-2</x:v>
      </x:c>
      <x:c r="W164" s="84" t="str"/>
    </x:row>
    <x:row r="165" ht="18" customHeight="1">
      <x:c r="A165" s="83" t="str">
        <x:v>HAYS-0164</x:v>
      </x:c>
      <x:c r="B165" s="87" t="str">
        <x:v>Cerastium brachypodum</x:v>
      </x:c>
      <x:c r="C165" s="87" t="str">
        <x:v>Cerastium brachypodum</x:v>
      </x:c>
      <x:c r="D165" s="84" t="str">
        <x:v>Caryophyllaceae</x:v>
      </x:c>
      <x:c r="E165" s="84" t="str">
        <x:v>Cerastium</x:v>
      </x:c>
      <x:c r="F165" s="84" t="str">
        <x:v>Species</x:v>
      </x:c>
      <x:c r="G165" s="84" t="str">
        <x:v>Accepted</x:v>
      </x:c>
      <x:c r="H165" s="84" t="str">
        <x:v>Shortstalk Chickweed, Short-stalk Chickweed</x:v>
      </x:c>
      <x:c r="I165" s="84" t="str">
        <x:v>Annual, Perennial</x:v>
      </x:c>
      <x:c r="J165" s="84" t="str">
        <x:v>Herb</x:v>
      </x:c>
      <x:c r="K165" s="84" t="str"/>
      <x:c r="L165" s="84" t="str"/>
      <x:c r="M165" s="89" t="n">
        <x:v>1</x:v>
      </x:c>
      <x:c r="N165" s="89" t="n">
        <x:v>1</x:v>
      </x:c>
      <x:c r="O165" s="89" t="n">
        <x:v>0</x:v>
      </x:c>
      <x:c r="P165" s="89" t="n">
        <x:f>SUM(M165:O165)</x:f>
        <x:v>2</x:v>
      </x:c>
      <x:c r="Q165" s="84" t="str">
        <x:v>Exact accepted-name match</x:v>
      </x:c>
      <x:c r="R165" s="84" t="str">
        <x:v>Cerastium brachypodum</x:v>
      </x:c>
      <x:c r="S165" s="84" t="str">
        <x:v>2710097</x:v>
      </x:c>
      <x:c r="T165" s="84" t="str">
        <x:v>2710097</x:v>
      </x:c>
      <x:c r="U165" s="84" t="str">
        <x:v>152119-1</x:v>
      </x:c>
      <x:c r="V165" s="84" t="str">
        <x:v>152119-1</x:v>
      </x:c>
      <x:c r="W165" s="84" t="str"/>
    </x:row>
    <x:row r="166" ht="18" customHeight="1">
      <x:c r="A166" s="83" t="str">
        <x:v>HAYS-0165</x:v>
      </x:c>
      <x:c r="B166" s="87" t="str">
        <x:v>Ceratophyllum demersum</x:v>
      </x:c>
      <x:c r="C166" s="87" t="str">
        <x:v>Ceratophyllum demersum</x:v>
      </x:c>
      <x:c r="D166" s="84" t="str">
        <x:v>Ceratophyllaceae</x:v>
      </x:c>
      <x:c r="E166" s="84" t="str">
        <x:v>Ceratophyllum</x:v>
      </x:c>
      <x:c r="F166" s="84" t="str">
        <x:v>Species</x:v>
      </x:c>
      <x:c r="G166" s="84" t="str">
        <x:v>Accepted</x:v>
      </x:c>
      <x:c r="H166" s="84" t="str">
        <x:v>Coon's Tail</x:v>
      </x:c>
      <x:c r="I166" s="84" t="str">
        <x:v>Perennial</x:v>
      </x:c>
      <x:c r="J166" s="84" t="str">
        <x:v>Herb</x:v>
      </x:c>
      <x:c r="K166" s="84" t="str">
        <x:v>Part-shade</x:v>
      </x:c>
      <x:c r="L166" s="84" t="str"/>
      <x:c r="M166" s="89" t="n">
        <x:v>1</x:v>
      </x:c>
      <x:c r="N166" s="89" t="n">
        <x:v>1</x:v>
      </x:c>
      <x:c r="O166" s="89" t="n">
        <x:v>0</x:v>
      </x:c>
      <x:c r="P166" s="89" t="n">
        <x:f>SUM(M166:O166)</x:f>
        <x:v>2</x:v>
      </x:c>
      <x:c r="Q166" s="84" t="str">
        <x:v>Exact accepted-name match</x:v>
      </x:c>
      <x:c r="R166" s="84" t="str">
        <x:v>Ceratophyllum demersum</x:v>
      </x:c>
      <x:c r="S166" s="84" t="str">
        <x:v>36902</x:v>
      </x:c>
      <x:c r="T166" s="84" t="str">
        <x:v>36902</x:v>
      </x:c>
      <x:c r="U166" s="84" t="str">
        <x:v>30006047-2</x:v>
      </x:c>
      <x:c r="V166" s="84" t="str">
        <x:v>30006047-2</x:v>
      </x:c>
      <x:c r="W166" s="84" t="str"/>
    </x:row>
    <x:row r="167" ht="18" customHeight="1">
      <x:c r="A167" s="83" t="str">
        <x:v>HAYS-0166</x:v>
      </x:c>
      <x:c r="B167" s="87" t="str">
        <x:v>Cercis canadensis var. mexicana</x:v>
      </x:c>
      <x:c r="C167" s="87" t="str">
        <x:v>Cercis canadensis subsp. mexicana</x:v>
      </x:c>
      <x:c r="D167" s="84" t="str">
        <x:v>Fabaceae</x:v>
      </x:c>
      <x:c r="E167" s="84" t="str">
        <x:v>Cercis</x:v>
      </x:c>
      <x:c r="F167" s="84" t="str">
        <x:v>Variety</x:v>
      </x:c>
      <x:c r="G167" s="84" t="str">
        <x:v>Synonym</x:v>
      </x:c>
      <x:c r="H167" s="84" t="str">
        <x:v>Mexican Redbud</x:v>
      </x:c>
      <x:c r="I167" s="84" t="str">
        <x:v>Perennial</x:v>
      </x:c>
      <x:c r="J167" s="84" t="str">
        <x:v>Tree</x:v>
      </x:c>
      <x:c r="K167" s="84" t="str">
        <x:v>Sun, Part Shade</x:v>
      </x:c>
      <x:c r="L167" s="84" t="str">
        <x:v>Moist</x:v>
      </x:c>
      <x:c r="M167" s="89" t="n">
        <x:v>0</x:v>
      </x:c>
      <x:c r="N167" s="89" t="n">
        <x:v>0</x:v>
      </x:c>
      <x:c r="O167" s="89" t="n">
        <x:v>1</x:v>
      </x:c>
      <x:c r="P167" s="89" t="n">
        <x:f>SUM(M167:O167)</x:f>
        <x:v>1</x:v>
      </x:c>
      <x:c r="Q167" s="84" t="str">
        <x:v>Exact synonym-name match</x:v>
      </x:c>
      <x:c r="R167" s="84" t="str">
        <x:v>Cercis canadensis var. mexicana</x:v>
      </x:c>
      <x:c r="S167" s="84" t="str">
        <x:v>2711407</x:v>
      </x:c>
      <x:c r="T167" s="84" t="str">
        <x:v>2711408</x:v>
      </x:c>
      <x:c r="U167" s="84" t="str">
        <x:v>52650-2</x:v>
      </x:c>
      <x:c r="V167" s="84" t="str">
        <x:v>52649-2</x:v>
      </x:c>
      <x:c r="W167" s="84" t="str"/>
    </x:row>
    <x:row r="168" ht="18" customHeight="1">
      <x:c r="A168" s="83" t="str">
        <x:v>HAYS-0167</x:v>
      </x:c>
      <x:c r="B168" s="87" t="str">
        <x:v>Cercis canadensis var. texensis</x:v>
      </x:c>
      <x:c r="C168" s="87" t="str">
        <x:v>Cercis canadensis subsp. texensis</x:v>
      </x:c>
      <x:c r="D168" s="84" t="str">
        <x:v>Fabaceae</x:v>
      </x:c>
      <x:c r="E168" s="84" t="str">
        <x:v>Cercis</x:v>
      </x:c>
      <x:c r="F168" s="84" t="str">
        <x:v>Variety</x:v>
      </x:c>
      <x:c r="G168" s="84" t="str">
        <x:v>Synonym</x:v>
      </x:c>
      <x:c r="H168" s="84" t="str">
        <x:v>Texas Redbud</x:v>
      </x:c>
      <x:c r="I168" s="84" t="str">
        <x:v>Perennial</x:v>
      </x:c>
      <x:c r="J168" s="84" t="str">
        <x:v>Tree</x:v>
      </x:c>
      <x:c r="K168" s="84" t="str">
        <x:v>Sun, Part Shade</x:v>
      </x:c>
      <x:c r="L168" s="84" t="str">
        <x:v>Medium</x:v>
      </x:c>
      <x:c r="M168" s="89" t="n">
        <x:v>1</x:v>
      </x:c>
      <x:c r="N168" s="89" t="n">
        <x:v>1</x:v>
      </x:c>
      <x:c r="O168" s="89" t="n">
        <x:v>1</x:v>
      </x:c>
      <x:c r="P168" s="89" t="n">
        <x:f>SUM(M168:O168)</x:f>
        <x:v>3</x:v>
      </x:c>
      <x:c r="Q168" s="84" t="str">
        <x:v>Exact synonym-name match</x:v>
      </x:c>
      <x:c r="R168" s="84" t="str">
        <x:v>Cercis canadensis var. texensis</x:v>
      </x:c>
      <x:c r="S168" s="84" t="str">
        <x:v>2711412</x:v>
      </x:c>
      <x:c r="T168" s="84" t="str">
        <x:v>2711413</x:v>
      </x:c>
      <x:c r="U168" s="84" t="str">
        <x:v>1149131-2</x:v>
      </x:c>
      <x:c r="V168" s="84" t="str">
        <x:v>920638-1</x:v>
      </x:c>
      <x:c r="W168" s="84" t="str"/>
    </x:row>
    <x:row r="169" ht="18" customHeight="1">
      <x:c r="A169" s="83" t="str">
        <x:v>HAYS-0168</x:v>
      </x:c>
      <x:c r="B169" s="87" t="str">
        <x:v>Chaerophyllum tainturieri</x:v>
      </x:c>
      <x:c r="C169" s="87" t="str">
        <x:v>Chaerophyllum tainturieri</x:v>
      </x:c>
      <x:c r="D169" s="84" t="str">
        <x:v>Apiaceae</x:v>
      </x:c>
      <x:c r="E169" s="84" t="str">
        <x:v>Chaerophyllum</x:v>
      </x:c>
      <x:c r="F169" s="84" t="str">
        <x:v>Species</x:v>
      </x:c>
      <x:c r="G169" s="84" t="str">
        <x:v>Accepted</x:v>
      </x:c>
      <x:c r="H169" s="84" t="str">
        <x:v>Hairyfruit Chervil, Southern Chervil</x:v>
      </x:c>
      <x:c r="I169" s="84" t="str">
        <x:v>Annual</x:v>
      </x:c>
      <x:c r="J169" s="84" t="str">
        <x:v>Herb</x:v>
      </x:c>
      <x:c r="K169" s="84" t="str"/>
      <x:c r="L169" s="84" t="str"/>
      <x:c r="M169" s="89" t="n">
        <x:v>1</x:v>
      </x:c>
      <x:c r="N169" s="89" t="n">
        <x:v>1</x:v>
      </x:c>
      <x:c r="O169" s="89" t="n">
        <x:v>0</x:v>
      </x:c>
      <x:c r="P169" s="89" t="n">
        <x:f>SUM(M169:O169)</x:f>
        <x:v>2</x:v>
      </x:c>
      <x:c r="Q169" s="84" t="str">
        <x:v>Exact accepted-name match</x:v>
      </x:c>
      <x:c r="R169" s="84" t="str">
        <x:v>Chaerophyllum tainturieri</x:v>
      </x:c>
      <x:c r="S169" s="84" t="str">
        <x:v>2714327</x:v>
      </x:c>
      <x:c r="T169" s="84" t="str">
        <x:v>2714327</x:v>
      </x:c>
      <x:c r="U169" s="84" t="str">
        <x:v>1115327-2</x:v>
      </x:c>
      <x:c r="V169" s="84" t="str">
        <x:v>1115327-2</x:v>
      </x:c>
      <x:c r="W169" s="84" t="str"/>
    </x:row>
    <x:row r="170" ht="18" customHeight="1">
      <x:c r="A170" s="83" t="str">
        <x:v>HAYS-0169</x:v>
      </x:c>
      <x:c r="B170" s="87" t="str">
        <x:v>Chaetopappa bellidifolia</x:v>
      </x:c>
      <x:c r="C170" s="87" t="str">
        <x:v>Chaetopappa bellidifolia</x:v>
      </x:c>
      <x:c r="D170" s="84" t="str">
        <x:v>Asteraceae</x:v>
      </x:c>
      <x:c r="E170" s="84" t="str">
        <x:v>Chaetopappa</x:v>
      </x:c>
      <x:c r="F170" s="84" t="str">
        <x:v>Species</x:v>
      </x:c>
      <x:c r="G170" s="84" t="str">
        <x:v>Accepted</x:v>
      </x:c>
      <x:c r="H170" s="84" t="str">
        <x:v>Whiteray Leastdaisy, Dwarf White Aster, Edwards Lazy Daisy</x:v>
      </x:c>
      <x:c r="I170" s="84" t="str">
        <x:v>Annual</x:v>
      </x:c>
      <x:c r="J170" s="84" t="str">
        <x:v>Herb</x:v>
      </x:c>
      <x:c r="K170" s="84" t="str">
        <x:v>Sun</x:v>
      </x:c>
      <x:c r="L170" s="84" t="str"/>
      <x:c r="M170" s="89" t="n">
        <x:v>1</x:v>
      </x:c>
      <x:c r="N170" s="89" t="n">
        <x:v>1</x:v>
      </x:c>
      <x:c r="O170" s="89" t="n">
        <x:v>0</x:v>
      </x:c>
      <x:c r="P170" s="89" t="n">
        <x:f>SUM(M170:O170)</x:f>
        <x:v>2</x:v>
      </x:c>
      <x:c r="Q170" s="84" t="str">
        <x:v>Exact accepted-name match</x:v>
      </x:c>
      <x:c r="R170" s="84" t="str">
        <x:v>Chaetopappa bellidifolia</x:v>
      </x:c>
      <x:c r="S170" s="84" t="str">
        <x:v>3104119</x:v>
      </x:c>
      <x:c r="T170" s="84" t="str">
        <x:v>3104119</x:v>
      </x:c>
      <x:c r="U170" s="84" t="str">
        <x:v>54225-2</x:v>
      </x:c>
      <x:c r="V170" s="84" t="str">
        <x:v>54225-2</x:v>
      </x:c>
      <x:c r="W170" s="84" t="str"/>
    </x:row>
    <x:row r="171" ht="18" customHeight="1">
      <x:c r="A171" s="83" t="str">
        <x:v>HAYS-0170</x:v>
      </x:c>
      <x:c r="B171" s="87" t="str">
        <x:v>Chaetopappa effusa</x:v>
      </x:c>
      <x:c r="C171" s="87" t="str">
        <x:v>Chaetopappa effusa</x:v>
      </x:c>
      <x:c r="D171" s="84" t="str">
        <x:v>Asteraceae</x:v>
      </x:c>
      <x:c r="E171" s="84" t="str">
        <x:v>Chaetopappa</x:v>
      </x:c>
      <x:c r="F171" s="84" t="str">
        <x:v>Species</x:v>
      </x:c>
      <x:c r="G171" s="84" t="str">
        <x:v>Accepted</x:v>
      </x:c>
      <x:c r="H171" s="84" t="str">
        <x:v>Spreading Leastdaisy</x:v>
      </x:c>
      <x:c r="I171" s="84" t="str">
        <x:v>Perennial</x:v>
      </x:c>
      <x:c r="J171" s="84" t="str">
        <x:v>Subshrub</x:v>
      </x:c>
      <x:c r="K171" s="84" t="str"/>
      <x:c r="L171" s="84" t="str"/>
      <x:c r="M171" s="89" t="n">
        <x:v>1</x:v>
      </x:c>
      <x:c r="N171" s="89" t="n">
        <x:v>1</x:v>
      </x:c>
      <x:c r="O171" s="89" t="n">
        <x:v>0</x:v>
      </x:c>
      <x:c r="P171" s="89" t="n">
        <x:f>SUM(M171:O171)</x:f>
        <x:v>2</x:v>
      </x:c>
      <x:c r="Q171" s="84" t="str">
        <x:v>Exact accepted-name match</x:v>
      </x:c>
      <x:c r="R171" s="84" t="str">
        <x:v>Chaetopappa effusa</x:v>
      </x:c>
      <x:c r="S171" s="84" t="str">
        <x:v>3104124</x:v>
      </x:c>
      <x:c r="T171" s="84" t="str">
        <x:v>3104124</x:v>
      </x:c>
      <x:c r="U171" s="84" t="str">
        <x:v>54228-2</x:v>
      </x:c>
      <x:c r="V171" s="84" t="str">
        <x:v>54228-2</x:v>
      </x:c>
      <x:c r="W171" s="84" t="str"/>
    </x:row>
    <x:row r="172" ht="18" customHeight="1">
      <x:c r="A172" s="83" t="str">
        <x:v>HAYS-0171</x:v>
      </x:c>
      <x:c r="B172" s="87" t="str">
        <x:v>Chaetopappa ericoides</x:v>
      </x:c>
      <x:c r="C172" s="87" t="str">
        <x:v>Chaetopappa ericoides</x:v>
      </x:c>
      <x:c r="D172" s="84" t="str">
        <x:v>Asteraceae</x:v>
      </x:c>
      <x:c r="E172" s="84" t="str">
        <x:v>Chaetopappa</x:v>
      </x:c>
      <x:c r="F172" s="84" t="str">
        <x:v>Species</x:v>
      </x:c>
      <x:c r="G172" s="84" t="str">
        <x:v>Accepted</x:v>
      </x:c>
      <x:c r="H172" s="84" t="str">
        <x:v>Rose Heath</x:v>
      </x:c>
      <x:c r="I172" s="84" t="str">
        <x:v>Perennial</x:v>
      </x:c>
      <x:c r="J172" s="84" t="str">
        <x:v>Herb</x:v>
      </x:c>
      <x:c r="K172" s="84" t="str">
        <x:v>Full Sun</x:v>
      </x:c>
      <x:c r="L172" s="84" t="str">
        <x:v>Dry</x:v>
      </x:c>
      <x:c r="M172" s="89" t="n">
        <x:v>0</x:v>
      </x:c>
      <x:c r="N172" s="89" t="n">
        <x:v>0</x:v>
      </x:c>
      <x:c r="O172" s="89" t="n">
        <x:v>1</x:v>
      </x:c>
      <x:c r="P172" s="89" t="n">
        <x:f>SUM(M172:O172)</x:f>
        <x:v>1</x:v>
      </x:c>
      <x:c r="Q172" s="84" t="str">
        <x:v>Exact accepted-name match</x:v>
      </x:c>
      <x:c r="R172" s="84" t="str">
        <x:v>Chaetopappa ericoides</x:v>
      </x:c>
      <x:c r="S172" s="84" t="str">
        <x:v>3104137</x:v>
      </x:c>
      <x:c r="T172" s="84" t="str">
        <x:v>3104137</x:v>
      </x:c>
      <x:c r="U172" s="84" t="str">
        <x:v>274379-2</x:v>
      </x:c>
      <x:c r="V172" s="84" t="str">
        <x:v>274379-2</x:v>
      </x:c>
      <x:c r="W172" s="84" t="str"/>
    </x:row>
    <x:row r="173" ht="18" customHeight="1">
      <x:c r="A173" s="83" t="str">
        <x:v>HAYS-0172</x:v>
      </x:c>
      <x:c r="B173" s="87" t="str">
        <x:v>Chamaecrista fasciculata</x:v>
      </x:c>
      <x:c r="C173" s="87" t="str">
        <x:v>Chamaecrista fasciculata</x:v>
      </x:c>
      <x:c r="D173" s="84" t="str">
        <x:v>Fabaceae</x:v>
      </x:c>
      <x:c r="E173" s="84" t="str">
        <x:v>Chamaecrista</x:v>
      </x:c>
      <x:c r="F173" s="84" t="str">
        <x:v>Species</x:v>
      </x:c>
      <x:c r="G173" s="84" t="str">
        <x:v>Accepted</x:v>
      </x:c>
      <x:c r="H173" s="84" t="str">
        <x:v>Partridge Pea, Sleepingplant, Sensitive Plant</x:v>
      </x:c>
      <x:c r="I173" s="84" t="str">
        <x:v>Annual</x:v>
      </x:c>
      <x:c r="J173" s="84" t="str">
        <x:v>Herb</x:v>
      </x:c>
      <x:c r="K173" s="84" t="str">
        <x:v>Sun</x:v>
      </x:c>
      <x:c r="L173" s="84" t="str">
        <x:v>Low</x:v>
      </x:c>
      <x:c r="M173" s="89" t="n">
        <x:v>1</x:v>
      </x:c>
      <x:c r="N173" s="89" t="n">
        <x:v>1</x:v>
      </x:c>
      <x:c r="O173" s="89" t="n">
        <x:v>1</x:v>
      </x:c>
      <x:c r="P173" s="89" t="n">
        <x:f>SUM(M173:O173)</x:f>
        <x:v>3</x:v>
      </x:c>
      <x:c r="Q173" s="84" t="str">
        <x:v>Exact accepted-name match</x:v>
      </x:c>
      <x:c r="R173" s="84" t="str">
        <x:v>Chamaecrista fasciculata</x:v>
      </x:c>
      <x:c r="S173" s="84" t="str">
        <x:v>2714856</x:v>
      </x:c>
      <x:c r="T173" s="84" t="str">
        <x:v>2714856</x:v>
      </x:c>
      <x:c r="U173" s="84" t="str">
        <x:v>54500-2</x:v>
      </x:c>
      <x:c r="V173" s="84" t="str">
        <x:v>54500-2</x:v>
      </x:c>
      <x:c r="W173" s="84" t="str"/>
    </x:row>
    <x:row r="174" ht="18" customHeight="1">
      <x:c r="A174" s="83" t="str">
        <x:v>HAYS-0173</x:v>
      </x:c>
      <x:c r="B174" s="87" t="str">
        <x:v>Chamaesaracha coniodes</x:v>
      </x:c>
      <x:c r="C174" s="87" t="str">
        <x:v>Chamaesaracha coniodes</x:v>
      </x:c>
      <x:c r="D174" s="84" t="str">
        <x:v>Solanaceae</x:v>
      </x:c>
      <x:c r="E174" s="84" t="str">
        <x:v>Chamaesaracha</x:v>
      </x:c>
      <x:c r="F174" s="84" t="str">
        <x:v>Species</x:v>
      </x:c>
      <x:c r="G174" s="84" t="str">
        <x:v>Accepted</x:v>
      </x:c>
      <x:c r="H174" s="84" t="str">
        <x:v>Gray Five Eyes, False Nightshade, Ground Saracha, Prostrate Ground-cherry</x:v>
      </x:c>
      <x:c r="I174" s="84" t="str">
        <x:v>Perennial</x:v>
      </x:c>
      <x:c r="J174" s="84" t="str">
        <x:v>Herb</x:v>
      </x:c>
      <x:c r="K174" s="84" t="str">
        <x:v>Part-shade</x:v>
      </x:c>
      <x:c r="L174" s="84" t="str"/>
      <x:c r="M174" s="89" t="n">
        <x:v>1</x:v>
      </x:c>
      <x:c r="N174" s="89" t="n">
        <x:v>1</x:v>
      </x:c>
      <x:c r="O174" s="89" t="n">
        <x:v>0</x:v>
      </x:c>
      <x:c r="P174" s="89" t="n">
        <x:f>SUM(M174:O174)</x:f>
        <x:v>2</x:v>
      </x:c>
      <x:c r="Q174" s="84" t="str">
        <x:v>Exact accepted-name match</x:v>
      </x:c>
      <x:c r="R174" s="84" t="str">
        <x:v>Chamaesaracha coniodes</x:v>
      </x:c>
      <x:c r="S174" s="84" t="str">
        <x:v>2715697</x:v>
      </x:c>
      <x:c r="T174" s="84" t="str">
        <x:v>2715697</x:v>
      </x:c>
      <x:c r="U174" s="84" t="str">
        <x:v>55167-2</x:v>
      </x:c>
      <x:c r="V174" s="84" t="str">
        <x:v>55167-2</x:v>
      </x:c>
      <x:c r="W174" s="84" t="str"/>
    </x:row>
    <x:row r="175" ht="18" customHeight="1">
      <x:c r="A175" s="83" t="str">
        <x:v>HAYS-0174</x:v>
      </x:c>
      <x:c r="B175" s="87" t="str">
        <x:v>Chamaesaracha coronopus</x:v>
      </x:c>
      <x:c r="C175" s="87" t="str">
        <x:v>Chamaesaracha coronopus</x:v>
      </x:c>
      <x:c r="D175" s="84" t="str">
        <x:v>Solanaceae</x:v>
      </x:c>
      <x:c r="E175" s="84" t="str">
        <x:v>Chamaesaracha</x:v>
      </x:c>
      <x:c r="F175" s="84" t="str">
        <x:v>Species</x:v>
      </x:c>
      <x:c r="G175" s="84" t="str">
        <x:v>Accepted</x:v>
      </x:c>
      <x:c r="H175" s="84" t="str">
        <x:v>Greenleaf Five Eyes, Green False Nightshade</x:v>
      </x:c>
      <x:c r="I175" s="84" t="str">
        <x:v>Perennial</x:v>
      </x:c>
      <x:c r="J175" s="84" t="str">
        <x:v>Herb</x:v>
      </x:c>
      <x:c r="K175" s="84" t="str"/>
      <x:c r="L175" s="84" t="str"/>
      <x:c r="M175" s="89" t="n">
        <x:v>1</x:v>
      </x:c>
      <x:c r="N175" s="89" t="n">
        <x:v>1</x:v>
      </x:c>
      <x:c r="O175" s="89" t="n">
        <x:v>0</x:v>
      </x:c>
      <x:c r="P175" s="89" t="n">
        <x:f>SUM(M175:O175)</x:f>
        <x:v>2</x:v>
      </x:c>
      <x:c r="Q175" s="84" t="str">
        <x:v>Exact accepted-name match</x:v>
      </x:c>
      <x:c r="R175" s="84" t="str">
        <x:v>Chamaesaracha coronopus</x:v>
      </x:c>
      <x:c r="S175" s="84" t="str">
        <x:v>2715698</x:v>
      </x:c>
      <x:c r="T175" s="84" t="str">
        <x:v>2715698</x:v>
      </x:c>
      <x:c r="U175" s="84" t="str">
        <x:v>815386-1</x:v>
      </x:c>
      <x:c r="V175" s="84" t="str">
        <x:v>815386-1</x:v>
      </x:c>
      <x:c r="W175" s="84" t="str"/>
    </x:row>
    <x:row r="176" ht="18" customHeight="1">
      <x:c r="A176" s="83" t="str">
        <x:v>HAYS-0175</x:v>
      </x:c>
      <x:c r="B176" s="87" t="str">
        <x:v>Chamaesaracha edwardsiana</x:v>
      </x:c>
      <x:c r="C176" s="87" t="str">
        <x:v>Chamaesaracha edwardsiana</x:v>
      </x:c>
      <x:c r="D176" s="84" t="str">
        <x:v>Solanaceae</x:v>
      </x:c>
      <x:c r="E176" s="84" t="str">
        <x:v>Chamaesaracha</x:v>
      </x:c>
      <x:c r="F176" s="84" t="str">
        <x:v>Species</x:v>
      </x:c>
      <x:c r="G176" s="84" t="str">
        <x:v>Accepted</x:v>
      </x:c>
      <x:c r="H176" s="84" t="str">
        <x:v>Edwards Plateau Five Eyes</x:v>
      </x:c>
      <x:c r="I176" s="84" t="str">
        <x:v>Perennial</x:v>
      </x:c>
      <x:c r="J176" s="84" t="str">
        <x:v>Herb</x:v>
      </x:c>
      <x:c r="K176" s="84" t="str">
        <x:v>Sun, Part-shade</x:v>
      </x:c>
      <x:c r="L176" s="84" t="str"/>
      <x:c r="M176" s="89" t="n">
        <x:v>1</x:v>
      </x:c>
      <x:c r="N176" s="89" t="n">
        <x:v>1</x:v>
      </x:c>
      <x:c r="O176" s="89" t="n">
        <x:v>0</x:v>
      </x:c>
      <x:c r="P176" s="89" t="n">
        <x:f>SUM(M176:O176)</x:f>
        <x:v>2</x:v>
      </x:c>
      <x:c r="Q176" s="84" t="str">
        <x:v>Exact accepted-name match</x:v>
      </x:c>
      <x:c r="R176" s="84" t="str">
        <x:v>Chamaesaracha edwardsiana</x:v>
      </x:c>
      <x:c r="S176" s="84" t="str">
        <x:v>2715702</x:v>
      </x:c>
      <x:c r="T176" s="84" t="str">
        <x:v>2715702</x:v>
      </x:c>
      <x:c r="U176" s="84" t="str">
        <x:v>55169-2</x:v>
      </x:c>
      <x:c r="V176" s="84" t="str">
        <x:v>55169-2</x:v>
      </x:c>
      <x:c r="W176" s="84" t="str"/>
    </x:row>
    <x:row r="177" ht="18" customHeight="1">
      <x:c r="A177" s="83" t="str">
        <x:v>HAYS-0176</x:v>
      </x:c>
      <x:c r="B177" s="87" t="str">
        <x:v>Chamaesyce angusta</x:v>
      </x:c>
      <x:c r="C177" s="87" t="str">
        <x:v>Euphorbia angusta</x:v>
      </x:c>
      <x:c r="D177" s="84" t="str">
        <x:v>Euphorbiaceae</x:v>
      </x:c>
      <x:c r="E177" s="84" t="str">
        <x:v>Euphorbia</x:v>
      </x:c>
      <x:c r="F177" s="84" t="str">
        <x:v>Species</x:v>
      </x:c>
      <x:c r="G177" s="84" t="str">
        <x:v>Synonym</x:v>
      </x:c>
      <x:c r="H177" s="84" t="str">
        <x:v>Blackfoot Sandmat, Narrow-leaf Spurge</x:v>
      </x:c>
      <x:c r="I177" s="84" t="str">
        <x:v>Perennial</x:v>
      </x:c>
      <x:c r="J177" s="84" t="str">
        <x:v>Herb</x:v>
      </x:c>
      <x:c r="K177" s="84" t="str"/>
      <x:c r="L177" s="84" t="str"/>
      <x:c r="M177" s="89" t="n">
        <x:v>1</x:v>
      </x:c>
      <x:c r="N177" s="89" t="n">
        <x:v>1</x:v>
      </x:c>
      <x:c r="O177" s="89" t="n">
        <x:v>0</x:v>
      </x:c>
      <x:c r="P177" s="89" t="n">
        <x:f>SUM(M177:O177)</x:f>
        <x:v>2</x:v>
      </x:c>
      <x:c r="Q177" s="84" t="str">
        <x:v>Exact synonym-name match</x:v>
      </x:c>
      <x:c r="R177" s="84" t="str">
        <x:v>Chamaesyce angusta</x:v>
      </x:c>
      <x:c r="S177" s="84" t="str">
        <x:v>37849</x:v>
      </x:c>
      <x:c r="T177" s="84" t="str">
        <x:v>78354</x:v>
      </x:c>
      <x:c r="U177" s="84" t="str">
        <x:v>55202-2</x:v>
      </x:c>
      <x:c r="V177" s="84" t="str">
        <x:v>345593-1</x:v>
      </x:c>
      <x:c r="W177" s="84" t="str"/>
    </x:row>
    <x:row r="178" ht="18" customHeight="1">
      <x:c r="A178" s="83" t="str">
        <x:v>HAYS-0177</x:v>
      </x:c>
      <x:c r="B178" s="87" t="str">
        <x:v>Chamaesyce fendleri</x:v>
      </x:c>
      <x:c r="C178" s="87" t="str">
        <x:v>Euphorbia fendleri</x:v>
      </x:c>
      <x:c r="D178" s="84" t="str">
        <x:v>Euphorbiaceae</x:v>
      </x:c>
      <x:c r="E178" s="84" t="str">
        <x:v>Euphorbia</x:v>
      </x:c>
      <x:c r="F178" s="84" t="str">
        <x:v>Species</x:v>
      </x:c>
      <x:c r="G178" s="84" t="str">
        <x:v>Synonym</x:v>
      </x:c>
      <x:c r="H178" s="84" t="str">
        <x:v>Fendler's Sandmat, Fendler's Spurge, Fendler's Carpetweed, Fendler's Euphorb</x:v>
      </x:c>
      <x:c r="I178" s="84" t="str">
        <x:v>Perennial</x:v>
      </x:c>
      <x:c r="J178" s="84" t="str">
        <x:v>Herb</x:v>
      </x:c>
      <x:c r="K178" s="84" t="str"/>
      <x:c r="L178" s="84" t="str"/>
      <x:c r="M178" s="89" t="n">
        <x:v>1</x:v>
      </x:c>
      <x:c r="N178" s="89" t="n">
        <x:v>1</x:v>
      </x:c>
      <x:c r="O178" s="89" t="n">
        <x:v>0</x:v>
      </x:c>
      <x:c r="P178" s="89" t="n">
        <x:f>SUM(M178:O178)</x:f>
        <x:v>2</x:v>
      </x:c>
      <x:c r="Q178" s="84" t="str">
        <x:v>Exact synonym-name match</x:v>
      </x:c>
      <x:c r="R178" s="84" t="str">
        <x:v>Chamaesyce fendleri</x:v>
      </x:c>
      <x:c r="S178" s="84" t="str">
        <x:v>37960</x:v>
      </x:c>
      <x:c r="T178" s="84" t="str">
        <x:v>79655</x:v>
      </x:c>
      <x:c r="U178" s="84" t="str">
        <x:v>55266-2</x:v>
      </x:c>
      <x:c r="V178" s="84" t="str">
        <x:v>346486-1</x:v>
      </x:c>
      <x:c r="W178" s="84" t="str"/>
    </x:row>
    <x:row r="179" ht="18" customHeight="1">
      <x:c r="A179" s="83" t="str">
        <x:v>HAYS-0178</x:v>
      </x:c>
      <x:c r="B179" s="87" t="str">
        <x:v>Chamaesyce nutans</x:v>
      </x:c>
      <x:c r="C179" s="87" t="str">
        <x:v>Euphorbia nutans</x:v>
      </x:c>
      <x:c r="D179" s="84" t="str">
        <x:v>Euphorbiaceae</x:v>
      </x:c>
      <x:c r="E179" s="84" t="str">
        <x:v>Euphorbia</x:v>
      </x:c>
      <x:c r="F179" s="84" t="str">
        <x:v>Species</x:v>
      </x:c>
      <x:c r="G179" s="84" t="str">
        <x:v>Synonym</x:v>
      </x:c>
      <x:c r="H179" s="84" t="str">
        <x:v>Nodding Spurge, Eyebane</x:v>
      </x:c>
      <x:c r="I179" s="84" t="str">
        <x:v>Annual</x:v>
      </x:c>
      <x:c r="J179" s="84" t="str">
        <x:v>Herb</x:v>
      </x:c>
      <x:c r="K179" s="84" t="str">
        <x:v>Sun</x:v>
      </x:c>
      <x:c r="L179" s="84" t="str">
        <x:v>Dry</x:v>
      </x:c>
      <x:c r="M179" s="89" t="n">
        <x:v>1</x:v>
      </x:c>
      <x:c r="N179" s="89" t="n">
        <x:v>1</x:v>
      </x:c>
      <x:c r="O179" s="89" t="n">
        <x:v>0</x:v>
      </x:c>
      <x:c r="P179" s="89" t="n">
        <x:f>SUM(M179:O179)</x:f>
        <x:v>2</x:v>
      </x:c>
      <x:c r="Q179" s="84" t="str">
        <x:v>Exact synonym-name match</x:v>
      </x:c>
      <x:c r="R179" s="84" t="str">
        <x:v>Chamaesyce nutans</x:v>
      </x:c>
      <x:c r="S179" s="84" t="str">
        <x:v>38130</x:v>
      </x:c>
      <x:c r="T179" s="84" t="str">
        <x:v>81148</x:v>
      </x:c>
      <x:c r="U179" s="84" t="str">
        <x:v>55361-2</x:v>
      </x:c>
      <x:c r="V179" s="84" t="str">
        <x:v>101777-2</x:v>
      </x:c>
      <x:c r="W179" s="84" t="str"/>
    </x:row>
    <x:row r="180" ht="18" customHeight="1">
      <x:c r="A180" s="83" t="str">
        <x:v>HAYS-0179</x:v>
      </x:c>
      <x:c r="B180" s="87" t="str">
        <x:v>Chamaesyce prostrata</x:v>
      </x:c>
      <x:c r="C180" s="87" t="str">
        <x:v>Euphorbia prostrata</x:v>
      </x:c>
      <x:c r="D180" s="84" t="str">
        <x:v>Euphorbiaceae</x:v>
      </x:c>
      <x:c r="E180" s="84" t="str">
        <x:v>Euphorbia</x:v>
      </x:c>
      <x:c r="F180" s="84" t="str">
        <x:v>Species</x:v>
      </x:c>
      <x:c r="G180" s="84" t="str">
        <x:v>Synonym</x:v>
      </x:c>
      <x:c r="H180" s="84" t="str">
        <x:v>Prostrate Spurge, Prostrate Sandmat, Ground Spurge</x:v>
      </x:c>
      <x:c r="I180" s="84" t="str">
        <x:v>Annual</x:v>
      </x:c>
      <x:c r="J180" s="84" t="str">
        <x:v>Herb</x:v>
      </x:c>
      <x:c r="K180" s="84" t="str">
        <x:v>Sun, Part-shade</x:v>
      </x:c>
      <x:c r="L180" s="84" t="str">
        <x:v>Dry</x:v>
      </x:c>
      <x:c r="M180" s="89" t="n">
        <x:v>1</x:v>
      </x:c>
      <x:c r="N180" s="89" t="n">
        <x:v>1</x:v>
      </x:c>
      <x:c r="O180" s="89" t="n">
        <x:v>0</x:v>
      </x:c>
      <x:c r="P180" s="89" t="n">
        <x:f>SUM(M180:O180)</x:f>
        <x:v>2</x:v>
      </x:c>
      <x:c r="Q180" s="84" t="str">
        <x:v>Exact synonym-name match</x:v>
      </x:c>
      <x:c r="R180" s="84" t="str">
        <x:v>Chamaesyce prostrata</x:v>
      </x:c>
      <x:c r="S180" s="84" t="str">
        <x:v>38189</x:v>
      </x:c>
      <x:c r="T180" s="84" t="str">
        <x:v>81685</x:v>
      </x:c>
      <x:c r="U180" s="84" t="str">
        <x:v>55403-2</x:v>
      </x:c>
      <x:c r="V180" s="84" t="str">
        <x:v>101913-2</x:v>
      </x:c>
      <x:c r="W180" s="84" t="str"/>
    </x:row>
    <x:row r="181" ht="18" customHeight="1">
      <x:c r="A181" s="83" t="str">
        <x:v>HAYS-0180</x:v>
      </x:c>
      <x:c r="B181" s="87" t="str">
        <x:v>Chamaesyce serpens</x:v>
      </x:c>
      <x:c r="C181" s="87" t="str">
        <x:v>Euphorbia serpens</x:v>
      </x:c>
      <x:c r="D181" s="84" t="str">
        <x:v>Euphorbiaceae</x:v>
      </x:c>
      <x:c r="E181" s="84" t="str">
        <x:v>Euphorbia</x:v>
      </x:c>
      <x:c r="F181" s="84" t="str">
        <x:v>Species</x:v>
      </x:c>
      <x:c r="G181" s="84" t="str">
        <x:v>Synonym</x:v>
      </x:c>
      <x:c r="H181" s="84" t="str">
        <x:v>Matted Sandmat, Prostrate Spurge, Creeping Spurge</x:v>
      </x:c>
      <x:c r="I181" s="84" t="str">
        <x:v>Annual</x:v>
      </x:c>
      <x:c r="J181" s="84" t="str">
        <x:v>Herb</x:v>
      </x:c>
      <x:c r="K181" s="84" t="str"/>
      <x:c r="L181" s="84" t="str"/>
      <x:c r="M181" s="89" t="n">
        <x:v>1</x:v>
      </x:c>
      <x:c r="N181" s="89" t="n">
        <x:v>1</x:v>
      </x:c>
      <x:c r="O181" s="89" t="n">
        <x:v>0</x:v>
      </x:c>
      <x:c r="P181" s="89" t="n">
        <x:f>SUM(M181:O181)</x:f>
        <x:v>2</x:v>
      </x:c>
      <x:c r="Q181" s="84" t="str">
        <x:v>Exact synonym-name match</x:v>
      </x:c>
      <x:c r="R181" s="84" t="str">
        <x:v>Chamaesyce serpens</x:v>
      </x:c>
      <x:c r="S181" s="84" t="str">
        <x:v>38237</x:v>
      </x:c>
      <x:c r="T181" s="84" t="str">
        <x:v>82151</x:v>
      </x:c>
      <x:c r="U181" s="84" t="str">
        <x:v>55432-2</x:v>
      </x:c>
      <x:c r="V181" s="84" t="str">
        <x:v>101976-2</x:v>
      </x:c>
      <x:c r="W181" s="84" t="str"/>
    </x:row>
    <x:row r="182" ht="18" customHeight="1">
      <x:c r="A182" s="83" t="str">
        <x:v>HAYS-0181</x:v>
      </x:c>
      <x:c r="B182" s="87" t="str">
        <x:v>Chamaesyce villifera</x:v>
      </x:c>
      <x:c r="C182" s="87" t="str">
        <x:v>Euphorbia villifera</x:v>
      </x:c>
      <x:c r="D182" s="84" t="str">
        <x:v>Euphorbiaceae</x:v>
      </x:c>
      <x:c r="E182" s="84" t="str">
        <x:v>Euphorbia</x:v>
      </x:c>
      <x:c r="F182" s="84" t="str">
        <x:v>Species</x:v>
      </x:c>
      <x:c r="G182" s="84" t="str">
        <x:v>Synonym</x:v>
      </x:c>
      <x:c r="H182" s="84" t="str">
        <x:v>Hairy Sandmat</x:v>
      </x:c>
      <x:c r="I182" s="84" t="str">
        <x:v>Perennial</x:v>
      </x:c>
      <x:c r="J182" s="84" t="str">
        <x:v>Herb</x:v>
      </x:c>
      <x:c r="K182" s="84" t="str"/>
      <x:c r="L182" s="84" t="str"/>
      <x:c r="M182" s="89" t="n">
        <x:v>1</x:v>
      </x:c>
      <x:c r="N182" s="89" t="n">
        <x:v>1</x:v>
      </x:c>
      <x:c r="O182" s="89" t="n">
        <x:v>0</x:v>
      </x:c>
      <x:c r="P182" s="89" t="n">
        <x:f>SUM(M182:O182)</x:f>
        <x:v>2</x:v>
      </x:c>
      <x:c r="Q182" s="84" t="str">
        <x:v>Exact synonym-name match</x:v>
      </x:c>
      <x:c r="R182" s="84" t="str">
        <x:v>Chamaesyce villifera</x:v>
      </x:c>
      <x:c r="S182" s="84" t="str">
        <x:v>38289</x:v>
      </x:c>
      <x:c r="T182" s="84" t="str">
        <x:v>82747</x:v>
      </x:c>
      <x:c r="U182" s="84" t="str">
        <x:v>55465-2</x:v>
      </x:c>
      <x:c r="V182" s="84" t="str">
        <x:v>348693-1</x:v>
      </x:c>
      <x:c r="W182" s="84" t="str"/>
    </x:row>
    <x:row r="183" ht="18" customHeight="1">
      <x:c r="A183" s="83" t="str">
        <x:v>HAYS-0182</x:v>
      </x:c>
      <x:c r="B183" s="87" t="str">
        <x:v>Chaptalia texana</x:v>
      </x:c>
      <x:c r="C183" s="87" t="str">
        <x:v>Chaptalia texana</x:v>
      </x:c>
      <x:c r="D183" s="84" t="str">
        <x:v>Asteraceae</x:v>
      </x:c>
      <x:c r="E183" s="84" t="str">
        <x:v>Chaptalia</x:v>
      </x:c>
      <x:c r="F183" s="84" t="str">
        <x:v>Species</x:v>
      </x:c>
      <x:c r="G183" s="84" t="str">
        <x:v>Accepted</x:v>
      </x:c>
      <x:c r="H183" s="84" t="str">
        <x:v>Texas Silverpuff, Silverpuff, Nodding Lettuce, Silver Puff</x:v>
      </x:c>
      <x:c r="I183" s="84" t="str">
        <x:v>Perennial</x:v>
      </x:c>
      <x:c r="J183" s="84" t="str">
        <x:v>Herb</x:v>
      </x:c>
      <x:c r="K183" s="84" t="str">
        <x:v>Shade, Part-shade</x:v>
      </x:c>
      <x:c r="L183" s="84" t="str">
        <x:v>Dry</x:v>
      </x:c>
      <x:c r="M183" s="89" t="n">
        <x:v>1</x:v>
      </x:c>
      <x:c r="N183" s="89" t="n">
        <x:v>1</x:v>
      </x:c>
      <x:c r="O183" s="89" t="n">
        <x:v>0</x:v>
      </x:c>
      <x:c r="P183" s="89" t="n">
        <x:f>SUM(M183:O183)</x:f>
        <x:v>2</x:v>
      </x:c>
      <x:c r="Q183" s="84" t="str">
        <x:v>Exact accepted-name match</x:v>
      </x:c>
      <x:c r="R183" s="84" t="str">
        <x:v>Chaptalia texana</x:v>
      </x:c>
      <x:c r="S183" s="84" t="str">
        <x:v>3039197</x:v>
      </x:c>
      <x:c r="T183" s="84" t="str">
        <x:v>3039197</x:v>
      </x:c>
      <x:c r="U183" s="84" t="str">
        <x:v>55610-2</x:v>
      </x:c>
      <x:c r="V183" s="84" t="str">
        <x:v>55610-2</x:v>
      </x:c>
      <x:c r="W183" s="84" t="str"/>
    </x:row>
    <x:row r="184" ht="18" customHeight="1">
      <x:c r="A184" s="83" t="str">
        <x:v>HAYS-0183</x:v>
      </x:c>
      <x:c r="B184" s="87" t="str">
        <x:v>Chasmanthium latifolium</x:v>
      </x:c>
      <x:c r="C184" s="87" t="str">
        <x:v>Chasmanthium latifolium</x:v>
      </x:c>
      <x:c r="D184" s="84" t="str">
        <x:v>Poaceae</x:v>
      </x:c>
      <x:c r="E184" s="84" t="str">
        <x:v>Chasmanthium</x:v>
      </x:c>
      <x:c r="F184" s="84" t="str">
        <x:v>Species</x:v>
      </x:c>
      <x:c r="G184" s="84" t="str">
        <x:v>Accepted</x:v>
      </x:c>
      <x:c r="H184" s="84" t="str">
        <x:v>Inland Sea Oats, Indian Wood Oats, Wild Oats, River Oats, Flathead Oats, Upland Oats, Upland Sea Oats</x:v>
      </x:c>
      <x:c r="I184" s="84" t="str">
        <x:v>Perennial</x:v>
      </x:c>
      <x:c r="J184" s="84" t="str">
        <x:v>Grass</x:v>
      </x:c>
      <x:c r="K184" s="84" t="str">
        <x:v>Part Shade, Shade</x:v>
      </x:c>
      <x:c r="L184" s="84" t="str">
        <x:v>Medium</x:v>
      </x:c>
      <x:c r="M184" s="89" t="n">
        <x:v>1</x:v>
      </x:c>
      <x:c r="N184" s="89" t="n">
        <x:v>1</x:v>
      </x:c>
      <x:c r="O184" s="89" t="n">
        <x:v>1</x:v>
      </x:c>
      <x:c r="P184" s="89" t="n">
        <x:f>SUM(M184:O184)</x:f>
        <x:v>3</x:v>
      </x:c>
      <x:c r="Q184" s="84" t="str">
        <x:v>Exact accepted-name match</x:v>
      </x:c>
      <x:c r="R184" s="84" t="str">
        <x:v>Chasmanthium latifolium</x:v>
      </x:c>
      <x:c r="S184" s="84" t="str">
        <x:v>404466</x:v>
      </x:c>
      <x:c r="T184" s="84" t="str">
        <x:v>404466</x:v>
      </x:c>
      <x:c r="U184" s="84" t="str">
        <x:v>55649-2</x:v>
      </x:c>
      <x:c r="V184" s="84" t="str">
        <x:v>55649-2</x:v>
      </x:c>
      <x:c r="W184" s="84" t="str"/>
    </x:row>
    <x:row r="185" ht="18" customHeight="1">
      <x:c r="A185" s="83" t="str">
        <x:v>HAYS-0184</x:v>
      </x:c>
      <x:c r="B185" s="87" t="str">
        <x:v>Cheilanthes horridula</x:v>
      </x:c>
      <x:c r="C185" s="87" t="str">
        <x:v>Hemionitis aspera</x:v>
      </x:c>
      <x:c r="D185" s="84" t="str">
        <x:v>Pteridaceae</x:v>
      </x:c>
      <x:c r="E185" s="84" t="str">
        <x:v>Hemionitis</x:v>
      </x:c>
      <x:c r="F185" s="84" t="str">
        <x:v>Species</x:v>
      </x:c>
      <x:c r="G185" s="84" t="str">
        <x:v>Synonym</x:v>
      </x:c>
      <x:c r="H185" s="84" t="str">
        <x:v>Rough Lipfern</x:v>
      </x:c>
      <x:c r="I185" s="84" t="str">
        <x:v>Perennial</x:v>
      </x:c>
      <x:c r="J185" s="84" t="str">
        <x:v>Fern</x:v>
      </x:c>
      <x:c r="K185" s="84" t="str">
        <x:v>Sun</x:v>
      </x:c>
      <x:c r="L185" s="84" t="str">
        <x:v>Dry</x:v>
      </x:c>
      <x:c r="M185" s="89" t="n">
        <x:v>1</x:v>
      </x:c>
      <x:c r="N185" s="89" t="n">
        <x:v>1</x:v>
      </x:c>
      <x:c r="O185" s="89" t="n">
        <x:v>0</x:v>
      </x:c>
      <x:c r="P185" s="89" t="n">
        <x:f>SUM(M185:O185)</x:f>
        <x:v>2</x:v>
      </x:c>
      <x:c r="Q185" s="84" t="str">
        <x:v>Exact synonym-name match</x:v>
      </x:c>
      <x:c r="R185" s="84" t="str">
        <x:v>Cheilanthes horridula</x:v>
      </x:c>
      <x:c r="S185" s="84" t="str">
        <x:v>3163628</x:v>
      </x:c>
      <x:c r="T185" s="84" t="str">
        <x:v>3298177</x:v>
      </x:c>
      <x:c r="U185" s="84" t="str">
        <x:v>55737-2</x:v>
      </x:c>
      <x:c r="V185" s="84" t="str">
        <x:v>3298177-4</x:v>
      </x:c>
      <x:c r="W185" s="84" t="str"/>
    </x:row>
    <x:row r="186" ht="18" customHeight="1">
      <x:c r="A186" s="83" t="str">
        <x:v>HAYS-0185</x:v>
      </x:c>
      <x:c r="B186" s="87" t="str">
        <x:v>Chilopsis linearis</x:v>
      </x:c>
      <x:c r="C186" s="87" t="str">
        <x:v>Chilopsis linearis</x:v>
      </x:c>
      <x:c r="D186" s="84" t="str">
        <x:v>Bignoniaceae</x:v>
      </x:c>
      <x:c r="E186" s="84" t="str">
        <x:v>Chilopsis</x:v>
      </x:c>
      <x:c r="F186" s="84" t="str">
        <x:v>Species</x:v>
      </x:c>
      <x:c r="G186" s="84" t="str">
        <x:v>Accepted</x:v>
      </x:c>
      <x:c r="H186" s="84" t="str">
        <x:v>Desert Willow, Flowering Willow, Willow-leaved Catalpa, Willowleaf Catalpa, Bow Willow, Flor De Mimbre, Mimbre</x:v>
      </x:c>
      <x:c r="I186" s="84" t="str">
        <x:v>Perennial</x:v>
      </x:c>
      <x:c r="J186" s="84" t="str">
        <x:v>Tree</x:v>
      </x:c>
      <x:c r="K186" s="84" t="str">
        <x:v>Sun</x:v>
      </x:c>
      <x:c r="L186" s="84" t="str">
        <x:v>Low</x:v>
      </x:c>
      <x:c r="M186" s="89" t="n">
        <x:v>0</x:v>
      </x:c>
      <x:c r="N186" s="89" t="n">
        <x:v>0</x:v>
      </x:c>
      <x:c r="O186" s="89" t="n">
        <x:v>1</x:v>
      </x:c>
      <x:c r="P186" s="89" t="n">
        <x:f>SUM(M186:O186)</x:f>
        <x:v>1</x:v>
      </x:c>
      <x:c r="Q186" s="84" t="str">
        <x:v>Exact accepted-name match</x:v>
      </x:c>
      <x:c r="R186" s="84" t="str">
        <x:v>Chilopsis linearis</x:v>
      </x:c>
      <x:c r="S186" s="84" t="str">
        <x:v>320433</x:v>
      </x:c>
      <x:c r="T186" s="84" t="str">
        <x:v>320433</x:v>
      </x:c>
      <x:c r="U186" s="84" t="str">
        <x:v>30013523-2</x:v>
      </x:c>
      <x:c r="V186" s="84" t="str">
        <x:v>30013523-2</x:v>
      </x:c>
      <x:c r="W186" s="84" t="str"/>
    </x:row>
    <x:row r="187" ht="18" customHeight="1">
      <x:c r="A187" s="83" t="str">
        <x:v>HAYS-0186</x:v>
      </x:c>
      <x:c r="B187" s="87" t="str">
        <x:v>Chloracantha spinosa</x:v>
      </x:c>
      <x:c r="C187" s="87" t="str">
        <x:v>Chloracantha spinosa</x:v>
      </x:c>
      <x:c r="D187" s="84" t="str">
        <x:v>Asteraceae</x:v>
      </x:c>
      <x:c r="E187" s="84" t="str">
        <x:v>Chloracantha</x:v>
      </x:c>
      <x:c r="F187" s="84" t="str">
        <x:v>Species</x:v>
      </x:c>
      <x:c r="G187" s="84" t="str">
        <x:v>Accepted</x:v>
      </x:c>
      <x:c r="H187" s="84" t="str">
        <x:v>Spiny Chloracantha, Mexican Devil-weed</x:v>
      </x:c>
      <x:c r="I187" s="84" t="str">
        <x:v>Perennial</x:v>
      </x:c>
      <x:c r="J187" s="84" t="str">
        <x:v>Shrub</x:v>
      </x:c>
      <x:c r="K187" s="84" t="str">
        <x:v>Sun, Part Shade</x:v>
      </x:c>
      <x:c r="L187" s="84" t="str">
        <x:v>Medium</x:v>
      </x:c>
      <x:c r="M187" s="89" t="n">
        <x:v>1</x:v>
      </x:c>
      <x:c r="N187" s="89" t="n">
        <x:v>1</x:v>
      </x:c>
      <x:c r="O187" s="89" t="n">
        <x:v>1</x:v>
      </x:c>
      <x:c r="P187" s="89" t="n">
        <x:f>SUM(M187:O187)</x:f>
        <x:v>3</x:v>
      </x:c>
      <x:c r="Q187" s="84" t="str">
        <x:v>Exact accepted-name match</x:v>
      </x:c>
      <x:c r="R187" s="84" t="str">
        <x:v>Chloracantha spinosa</x:v>
      </x:c>
      <x:c r="S187" s="84" t="str">
        <x:v>3102478</x:v>
      </x:c>
      <x:c r="T187" s="84" t="str">
        <x:v>3102478</x:v>
      </x:c>
      <x:c r="U187" s="84" t="str">
        <x:v>274523-2</x:v>
      </x:c>
      <x:c r="V187" s="84" t="str">
        <x:v>274523-2</x:v>
      </x:c>
      <x:c r="W187" s="84" t="str"/>
    </x:row>
    <x:row r="188" ht="18" customHeight="1">
      <x:c r="A188" s="83" t="str">
        <x:v>HAYS-0187</x:v>
      </x:c>
      <x:c r="B188" s="87" t="str">
        <x:v>Chloris andropogonoides</x:v>
      </x:c>
      <x:c r="C188" s="87" t="str">
        <x:v>Chloris andropogonoides</x:v>
      </x:c>
      <x:c r="D188" s="84" t="str">
        <x:v>Poaceae</x:v>
      </x:c>
      <x:c r="E188" s="84" t="str">
        <x:v>Chloris</x:v>
      </x:c>
      <x:c r="F188" s="84" t="str">
        <x:v>Species</x:v>
      </x:c>
      <x:c r="G188" s="84" t="str">
        <x:v>Accepted</x:v>
      </x:c>
      <x:c r="H188" s="84" t="str">
        <x:v>Slimspike Windmill Grass</x:v>
      </x:c>
      <x:c r="I188" s="84" t="str">
        <x:v>Perennial</x:v>
      </x:c>
      <x:c r="J188" s="84" t="str">
        <x:v>Grass/Grass-like</x:v>
      </x:c>
      <x:c r="K188" s="84" t="str">
        <x:v>Sun</x:v>
      </x:c>
      <x:c r="L188" s="84" t="str">
        <x:v>Moist, Dry</x:v>
      </x:c>
      <x:c r="M188" s="89" t="n">
        <x:v>1</x:v>
      </x:c>
      <x:c r="N188" s="89" t="n">
        <x:v>1</x:v>
      </x:c>
      <x:c r="O188" s="89" t="n">
        <x:v>0</x:v>
      </x:c>
      <x:c r="P188" s="89" t="n">
        <x:f>SUM(M188:O188)</x:f>
        <x:v>2</x:v>
      </x:c>
      <x:c r="Q188" s="84" t="str">
        <x:v>Exact accepted-name match</x:v>
      </x:c>
      <x:c r="R188" s="84" t="str">
        <x:v>Chloris andropogonoides</x:v>
      </x:c>
      <x:c r="S188" s="84" t="str">
        <x:v>404676</x:v>
      </x:c>
      <x:c r="T188" s="84" t="str">
        <x:v>404676</x:v>
      </x:c>
      <x:c r="U188" s="84" t="str">
        <x:v>395792-1</x:v>
      </x:c>
      <x:c r="V188" s="84" t="str">
        <x:v>395792-1</x:v>
      </x:c>
      <x:c r="W188" s="84" t="str"/>
    </x:row>
    <x:row r="189" ht="18" customHeight="1">
      <x:c r="A189" s="83" t="str">
        <x:v>HAYS-0188</x:v>
      </x:c>
      <x:c r="B189" s="87" t="str">
        <x:v>Chloris cucullata</x:v>
      </x:c>
      <x:c r="C189" s="87" t="str">
        <x:v>Chloris cucullata</x:v>
      </x:c>
      <x:c r="D189" s="84" t="str">
        <x:v>Poaceae</x:v>
      </x:c>
      <x:c r="E189" s="84" t="str">
        <x:v>Chloris</x:v>
      </x:c>
      <x:c r="F189" s="84" t="str">
        <x:v>Species</x:v>
      </x:c>
      <x:c r="G189" s="84" t="str">
        <x:v>Accepted</x:v>
      </x:c>
      <x:c r="H189" s="84" t="str">
        <x:v>Hooded Windmill Grass, Hooded Windmillgrass</x:v>
      </x:c>
      <x:c r="I189" s="84" t="str">
        <x:v>Perennial</x:v>
      </x:c>
      <x:c r="J189" s="84" t="str">
        <x:v>Grass/Grass-like</x:v>
      </x:c>
      <x:c r="K189" s="84" t="str">
        <x:v>Part-shade</x:v>
      </x:c>
      <x:c r="L189" s="84" t="str">
        <x:v>Moist</x:v>
      </x:c>
      <x:c r="M189" s="89" t="n">
        <x:v>1</x:v>
      </x:c>
      <x:c r="N189" s="89" t="n">
        <x:v>1</x:v>
      </x:c>
      <x:c r="O189" s="89" t="n">
        <x:v>0</x:v>
      </x:c>
      <x:c r="P189" s="89" t="n">
        <x:f>SUM(M189:O189)</x:f>
        <x:v>2</x:v>
      </x:c>
      <x:c r="Q189" s="84" t="str">
        <x:v>Exact accepted-name match</x:v>
      </x:c>
      <x:c r="R189" s="84" t="str">
        <x:v>Chloris cucullata</x:v>
      </x:c>
      <x:c r="S189" s="84" t="str">
        <x:v>404742</x:v>
      </x:c>
      <x:c r="T189" s="84" t="str">
        <x:v>404742</x:v>
      </x:c>
      <x:c r="U189" s="84" t="str">
        <x:v>395849-1</x:v>
      </x:c>
      <x:c r="V189" s="84" t="str">
        <x:v>395849-1</x:v>
      </x:c>
      <x:c r="W189" s="84" t="str"/>
    </x:row>
    <x:row r="190" ht="18" customHeight="1">
      <x:c r="A190" s="83" t="str">
        <x:v>HAYS-0189</x:v>
      </x:c>
      <x:c r="B190" s="87" t="str">
        <x:v>Chloris verticillata</x:v>
      </x:c>
      <x:c r="C190" s="87" t="str">
        <x:v>Chloris verticillata</x:v>
      </x:c>
      <x:c r="D190" s="84" t="str">
        <x:v>Poaceae</x:v>
      </x:c>
      <x:c r="E190" s="84" t="str">
        <x:v>Chloris</x:v>
      </x:c>
      <x:c r="F190" s="84" t="str">
        <x:v>Species</x:v>
      </x:c>
      <x:c r="G190" s="84" t="str">
        <x:v>Accepted</x:v>
      </x:c>
      <x:c r="H190" s="84" t="str">
        <x:v>Tumble Windmill Grass, Windmillgrass</x:v>
      </x:c>
      <x:c r="I190" s="84" t="str">
        <x:v>Perennial</x:v>
      </x:c>
      <x:c r="J190" s="84" t="str">
        <x:v>Grass/Grass-like</x:v>
      </x:c>
      <x:c r="K190" s="84" t="str">
        <x:v>Sun, Part-shade</x:v>
      </x:c>
      <x:c r="L190" s="84" t="str"/>
      <x:c r="M190" s="89" t="n">
        <x:v>1</x:v>
      </x:c>
      <x:c r="N190" s="89" t="n">
        <x:v>1</x:v>
      </x:c>
      <x:c r="O190" s="89" t="n">
        <x:v>0</x:v>
      </x:c>
      <x:c r="P190" s="89" t="n">
        <x:f>SUM(M190:O190)</x:f>
        <x:v>2</x:v>
      </x:c>
      <x:c r="Q190" s="84" t="str">
        <x:v>Exact accepted-name match</x:v>
      </x:c>
      <x:c r="R190" s="84" t="str">
        <x:v>Chloris verticillata</x:v>
      </x:c>
      <x:c r="S190" s="84" t="str">
        <x:v>404971</x:v>
      </x:c>
      <x:c r="T190" s="84" t="str">
        <x:v>404971</x:v>
      </x:c>
      <x:c r="U190" s="84" t="str">
        <x:v>991601-1</x:v>
      </x:c>
      <x:c r="V190" s="84" t="str">
        <x:v>991601-1</x:v>
      </x:c>
      <x:c r="W190" s="84" t="str"/>
    </x:row>
    <x:row r="191" ht="18" customHeight="1">
      <x:c r="A191" s="83" t="str">
        <x:v>HAYS-0190</x:v>
      </x:c>
      <x:c r="B191" s="87" t="str">
        <x:v>Chloris ×subdolichostachya</x:v>
      </x:c>
      <x:c r="C191" s="87" t="str"/>
      <x:c r="D191" s="84" t="str"/>
      <x:c r="E191" s="84" t="str">
        <x:v>Chloris</x:v>
      </x:c>
      <x:c r="F191" s="84" t="str"/>
      <x:c r="G191" s="84" t="str"/>
      <x:c r="H191" s="84" t="str">
        <x:v>Shortspike Windmillgrass</x:v>
      </x:c>
      <x:c r="I191" s="84" t="str">
        <x:v>Perennial</x:v>
      </x:c>
      <x:c r="J191" s="84" t="str">
        <x:v>Grass/Grass-like</x:v>
      </x:c>
      <x:c r="K191" s="84" t="str">
        <x:v>Sun</x:v>
      </x:c>
      <x:c r="L191" s="84" t="str">
        <x:v>Moist, Dry</x:v>
      </x:c>
      <x:c r="M191" s="89" t="n">
        <x:v>1</x:v>
      </x:c>
      <x:c r="N191" s="89" t="n">
        <x:v>1</x:v>
      </x:c>
      <x:c r="O191" s="89" t="n">
        <x:v>0</x:v>
      </x:c>
      <x:c r="P191" s="89" t="n">
        <x:f>SUM(M191:O191)</x:f>
        <x:v>2</x:v>
      </x:c>
      <x:c r="Q191" s="84" t="str">
        <x:v>No exact WCVP name match</x:v>
      </x:c>
      <x:c r="R191" s="84" t="str"/>
      <x:c r="S191" s="84" t="str"/>
      <x:c r="T191" s="84" t="str"/>
      <x:c r="U191" s="84" t="str"/>
      <x:c r="V191" s="84" t="str"/>
      <x:c r="W191" s="84" t="str">
        <x:v>Review</x:v>
      </x:c>
    </x:row>
    <x:row r="192" ht="18" customHeight="1">
      <x:c r="A192" s="83" t="str">
        <x:v>HAYS-0191</x:v>
      </x:c>
      <x:c r="B192" s="87" t="str">
        <x:v>Chrysactinia mexicana</x:v>
      </x:c>
      <x:c r="C192" s="87" t="str">
        <x:v>Chrysactinia mexicana</x:v>
      </x:c>
      <x:c r="D192" s="84" t="str">
        <x:v>Asteraceae</x:v>
      </x:c>
      <x:c r="E192" s="84" t="str">
        <x:v>Chrysactinia</x:v>
      </x:c>
      <x:c r="F192" s="84" t="str">
        <x:v>Species</x:v>
      </x:c>
      <x:c r="G192" s="84" t="str">
        <x:v>Accepted</x:v>
      </x:c>
      <x:c r="H192" s="84" t="str">
        <x:v>Damianita</x:v>
      </x:c>
      <x:c r="I192" s="84" t="str">
        <x:v>Perennial</x:v>
      </x:c>
      <x:c r="J192" s="84" t="str">
        <x:v>Subshrub</x:v>
      </x:c>
      <x:c r="K192" s="84" t="str">
        <x:v>Sun</x:v>
      </x:c>
      <x:c r="L192" s="84" t="str">
        <x:v>Low</x:v>
      </x:c>
      <x:c r="M192" s="89" t="n">
        <x:v>0</x:v>
      </x:c>
      <x:c r="N192" s="89" t="n">
        <x:v>0</x:v>
      </x:c>
      <x:c r="O192" s="89" t="n">
        <x:v>1</x:v>
      </x:c>
      <x:c r="P192" s="89" t="n">
        <x:f>SUM(M192:O192)</x:f>
        <x:v>1</x:v>
      </x:c>
      <x:c r="Q192" s="84" t="str">
        <x:v>Exact accepted-name match</x:v>
      </x:c>
      <x:c r="R192" s="84" t="str">
        <x:v>Chrysactinia mexicana</x:v>
      </x:c>
      <x:c r="S192" s="84" t="str">
        <x:v>3118798</x:v>
      </x:c>
      <x:c r="T192" s="84" t="str">
        <x:v>3118798</x:v>
      </x:c>
      <x:c r="U192" s="84" t="str">
        <x:v>57524-2</x:v>
      </x:c>
      <x:c r="V192" s="84" t="str">
        <x:v>57524-2</x:v>
      </x:c>
      <x:c r="W192" s="84" t="str"/>
    </x:row>
    <x:row r="193" ht="18" customHeight="1">
      <x:c r="A193" s="83" t="str">
        <x:v>HAYS-0192</x:v>
      </x:c>
      <x:c r="B193" s="87" t="str">
        <x:v>Chrysopsis texana</x:v>
      </x:c>
      <x:c r="C193" s="87" t="str">
        <x:v>Bradburia hirtella</x:v>
      </x:c>
      <x:c r="D193" s="84" t="str">
        <x:v>Asteraceae</x:v>
      </x:c>
      <x:c r="E193" s="84" t="str">
        <x:v>Bradburia</x:v>
      </x:c>
      <x:c r="F193" s="84" t="str">
        <x:v>Species</x:v>
      </x:c>
      <x:c r="G193" s="84" t="str">
        <x:v>Synonym</x:v>
      </x:c>
      <x:c r="H193" s="84" t="str">
        <x:v>Texas Chrysopsis</x:v>
      </x:c>
      <x:c r="I193" s="84" t="str">
        <x:v>Annual</x:v>
      </x:c>
      <x:c r="J193" s="84" t="str">
        <x:v>Herb</x:v>
      </x:c>
      <x:c r="K193" s="84" t="str"/>
      <x:c r="L193" s="84" t="str"/>
      <x:c r="M193" s="89" t="n">
        <x:v>1</x:v>
      </x:c>
      <x:c r="N193" s="89" t="n">
        <x:v>1</x:v>
      </x:c>
      <x:c r="O193" s="89" t="n">
        <x:v>0</x:v>
      </x:c>
      <x:c r="P193" s="89" t="n">
        <x:f>SUM(M193:O193)</x:f>
        <x:v>2</x:v>
      </x:c>
      <x:c r="Q193" s="84" t="str">
        <x:v>Exact synonym-name match</x:v>
      </x:c>
      <x:c r="R193" s="84" t="str">
        <x:v>Chrysopsis texana</x:v>
      </x:c>
      <x:c r="S193" s="84" t="str">
        <x:v>3104293</x:v>
      </x:c>
      <x:c r="T193" s="84" t="str">
        <x:v>3104295</x:v>
      </x:c>
      <x:c r="U193" s="84" t="str">
        <x:v>961695-1</x:v>
      </x:c>
      <x:c r="V193" s="84" t="str">
        <x:v>307985-2</x:v>
      </x:c>
      <x:c r="W193" s="84" t="str"/>
    </x:row>
    <x:row r="194" ht="18" customHeight="1">
      <x:c r="A194" s="83" t="str">
        <x:v>HAYS-0193</x:v>
      </x:c>
      <x:c r="B194" s="87" t="str">
        <x:v>Cirsium ochrocentrum</x:v>
      </x:c>
      <x:c r="C194" s="87" t="str">
        <x:v>Cirsium ochrocentrum</x:v>
      </x:c>
      <x:c r="D194" s="84" t="str">
        <x:v>Asteraceae</x:v>
      </x:c>
      <x:c r="E194" s="84" t="str">
        <x:v>Cirsium</x:v>
      </x:c>
      <x:c r="F194" s="84" t="str">
        <x:v>Species</x:v>
      </x:c>
      <x:c r="G194" s="84" t="str">
        <x:v>Accepted</x:v>
      </x:c>
      <x:c r="H194" s="84" t="str">
        <x:v>Yellowspine Thistle</x:v>
      </x:c>
      <x:c r="I194" s="84" t="str">
        <x:v>Biennial</x:v>
      </x:c>
      <x:c r="J194" s="84" t="str">
        <x:v>Herb</x:v>
      </x:c>
      <x:c r="K194" s="84" t="str"/>
      <x:c r="L194" s="84" t="str"/>
      <x:c r="M194" s="89" t="n">
        <x:v>1</x:v>
      </x:c>
      <x:c r="N194" s="89" t="n">
        <x:v>1</x:v>
      </x:c>
      <x:c r="O194" s="89" t="n">
        <x:v>0</x:v>
      </x:c>
      <x:c r="P194" s="89" t="n">
        <x:f>SUM(M194:O194)</x:f>
        <x:v>2</x:v>
      </x:c>
      <x:c r="Q194" s="84" t="str">
        <x:v>Exact accepted-name match</x:v>
      </x:c>
      <x:c r="R194" s="84" t="str">
        <x:v>Cirsium ochrocentrum</x:v>
      </x:c>
      <x:c r="S194" s="84" t="str">
        <x:v>3042174</x:v>
      </x:c>
      <x:c r="T194" s="84" t="str">
        <x:v>3042174</x:v>
      </x:c>
      <x:c r="U194" s="84" t="str">
        <x:v>59099-2</x:v>
      </x:c>
      <x:c r="V194" s="84" t="str">
        <x:v>59099-2</x:v>
      </x:c>
      <x:c r="W194" s="84" t="str"/>
    </x:row>
    <x:row r="195" ht="18" customHeight="1">
      <x:c r="A195" s="83" t="str">
        <x:v>HAYS-0194</x:v>
      </x:c>
      <x:c r="B195" s="87" t="str">
        <x:v>Cirsium texanum</x:v>
      </x:c>
      <x:c r="C195" s="87" t="str">
        <x:v>Cirsium texanum</x:v>
      </x:c>
      <x:c r="D195" s="84" t="str">
        <x:v>Asteraceae</x:v>
      </x:c>
      <x:c r="E195" s="84" t="str">
        <x:v>Cirsium</x:v>
      </x:c>
      <x:c r="F195" s="84" t="str">
        <x:v>Species</x:v>
      </x:c>
      <x:c r="G195" s="84" t="str">
        <x:v>Accepted</x:v>
      </x:c>
      <x:c r="H195" s="84" t="str">
        <x:v>Texas Thistle, Purple Thistle</x:v>
      </x:c>
      <x:c r="I195" s="84" t="str">
        <x:v>Biennial</x:v>
      </x:c>
      <x:c r="J195" s="84" t="str">
        <x:v>Herb</x:v>
      </x:c>
      <x:c r="K195" s="84" t="str">
        <x:v>Sun</x:v>
      </x:c>
      <x:c r="L195" s="84" t="str">
        <x:v>Dry</x:v>
      </x:c>
      <x:c r="M195" s="89" t="n">
        <x:v>1</x:v>
      </x:c>
      <x:c r="N195" s="89" t="n">
        <x:v>1</x:v>
      </x:c>
      <x:c r="O195" s="89" t="n">
        <x:v>0</x:v>
      </x:c>
      <x:c r="P195" s="89" t="n">
        <x:f>SUM(M195:O195)</x:f>
        <x:v>2</x:v>
      </x:c>
      <x:c r="Q195" s="84" t="str">
        <x:v>Exact accepted-name match</x:v>
      </x:c>
      <x:c r="R195" s="84" t="str">
        <x:v>Cirsium texanum</x:v>
      </x:c>
      <x:c r="S195" s="84" t="str">
        <x:v>3042317</x:v>
      </x:c>
      <x:c r="T195" s="84" t="str">
        <x:v>3042317</x:v>
      </x:c>
      <x:c r="U195" s="84" t="str">
        <x:v>196112-1</x:v>
      </x:c>
      <x:c r="V195" s="84" t="str">
        <x:v>196112-1</x:v>
      </x:c>
      <x:c r="W195" s="84" t="str"/>
    </x:row>
    <x:row r="196" ht="18" customHeight="1">
      <x:c r="A196" s="83" t="str">
        <x:v>HAYS-0195</x:v>
      </x:c>
      <x:c r="B196" s="87" t="str">
        <x:v>Cissus trifoliata</x:v>
      </x:c>
      <x:c r="C196" s="87" t="str">
        <x:v>Cissus trifoliata</x:v>
      </x:c>
      <x:c r="D196" s="84" t="str">
        <x:v>Vitaceae</x:v>
      </x:c>
      <x:c r="E196" s="84" t="str">
        <x:v>Cissus</x:v>
      </x:c>
      <x:c r="F196" s="84" t="str">
        <x:v>Species</x:v>
      </x:c>
      <x:c r="G196" s="84" t="str">
        <x:v>Accepted</x:v>
      </x:c>
      <x:c r="H196" s="84" t="str">
        <x:v>Cow-itch Vine, Cow Itch Vine, Sorrelvine, Grape Ivy, Possum Grape, Arizona Grape Ivy</x:v>
      </x:c>
      <x:c r="I196" s="84" t="str">
        <x:v>Perennial</x:v>
      </x:c>
      <x:c r="J196" s="84" t="str">
        <x:v>Vine</x:v>
      </x:c>
      <x:c r="K196" s="84" t="str">
        <x:v>Part-shade</x:v>
      </x:c>
      <x:c r="L196" s="84" t="str"/>
      <x:c r="M196" s="89" t="n">
        <x:v>1</x:v>
      </x:c>
      <x:c r="N196" s="89" t="n">
        <x:v>1</x:v>
      </x:c>
      <x:c r="O196" s="89" t="n">
        <x:v>0</x:v>
      </x:c>
      <x:c r="P196" s="89" t="n">
        <x:f>SUM(M196:O196)</x:f>
        <x:v>2</x:v>
      </x:c>
      <x:c r="Q196" s="84" t="str">
        <x:v>Exact accepted-name match</x:v>
      </x:c>
      <x:c r="R196" s="84" t="str">
        <x:v>Cissus trifoliata</x:v>
      </x:c>
      <x:c r="S196" s="84" t="str">
        <x:v>2723057</x:v>
      </x:c>
      <x:c r="T196" s="84" t="str">
        <x:v>2723057</x:v>
      </x:c>
      <x:c r="U196" s="84" t="str">
        <x:v>68021-1</x:v>
      </x:c>
      <x:c r="V196" s="84" t="str">
        <x:v>68021-1</x:v>
      </x:c>
      <x:c r="W196" s="84" t="str"/>
    </x:row>
    <x:row r="197" ht="18" customHeight="1">
      <x:c r="A197" s="83" t="str">
        <x:v>HAYS-0196</x:v>
      </x:c>
      <x:c r="B197" s="87" t="str">
        <x:v>Cladium mariscus ssp. jamaicense</x:v>
      </x:c>
      <x:c r="C197" s="87" t="str">
        <x:v>Cladium mariscus subsp. jamaicense</x:v>
      </x:c>
      <x:c r="D197" s="84" t="str">
        <x:v>Cyperaceae</x:v>
      </x:c>
      <x:c r="E197" s="84" t="str">
        <x:v>Cladium</x:v>
      </x:c>
      <x:c r="F197" s="84" t="str">
        <x:v>Subspecies</x:v>
      </x:c>
      <x:c r="G197" s="84" t="str">
        <x:v>Accepted</x:v>
      </x:c>
      <x:c r="H197" s="84" t="str">
        <x:v>Jamaica Swamp Sawgrass, Jamaican Saw-grass, Saw-grass</x:v>
      </x:c>
      <x:c r="I197" s="84" t="str">
        <x:v>Perennial</x:v>
      </x:c>
      <x:c r="J197" s="84" t="str">
        <x:v>Grass/Grass-like</x:v>
      </x:c>
      <x:c r="K197" s="84" t="str">
        <x:v>Sun, Part-shade</x:v>
      </x:c>
      <x:c r="L197" s="84" t="str">
        <x:v>Wet, Moist</x:v>
      </x:c>
      <x:c r="M197" s="89" t="n">
        <x:v>1</x:v>
      </x:c>
      <x:c r="N197" s="89" t="n">
        <x:v>1</x:v>
      </x:c>
      <x:c r="O197" s="89" t="n">
        <x:v>0</x:v>
      </x:c>
      <x:c r="P197" s="89" t="n">
        <x:f>SUM(M197:O197)</x:f>
        <x:v>2</x:v>
      </x:c>
      <x:c r="Q197" s="84" t="str">
        <x:v>Exact accepted-name match</x:v>
      </x:c>
      <x:c r="R197" s="84" t="str">
        <x:v>Cladium mariscus subsp. jamaicense</x:v>
      </x:c>
      <x:c r="S197" s="84" t="str">
        <x:v>233417</x:v>
      </x:c>
      <x:c r="T197" s="84" t="str">
        <x:v>233417</x:v>
      </x:c>
      <x:c r="U197" s="84" t="str">
        <x:v>80337-3</x:v>
      </x:c>
      <x:c r="V197" s="84" t="str">
        <x:v>80337-3</x:v>
      </x:c>
      <x:c r="W197" s="84" t="str"/>
    </x:row>
    <x:row r="198" ht="18" customHeight="1">
      <x:c r="A198" s="83" t="str">
        <x:v>HAYS-0197</x:v>
      </x:c>
      <x:c r="B198" s="87" t="str">
        <x:v>Clematis drummondii</x:v>
      </x:c>
      <x:c r="C198" s="87" t="str">
        <x:v>Clematis drummondii</x:v>
      </x:c>
      <x:c r="D198" s="84" t="str">
        <x:v>Ranunculaceae</x:v>
      </x:c>
      <x:c r="E198" s="84" t="str">
        <x:v>Clematis</x:v>
      </x:c>
      <x:c r="F198" s="84" t="str">
        <x:v>Species</x:v>
      </x:c>
      <x:c r="G198" s="84" t="str">
        <x:v>Accepted</x:v>
      </x:c>
      <x:c r="H198" s="84" t="str">
        <x:v>Old Man's Beard</x:v>
      </x:c>
      <x:c r="I198" s="84" t="str">
        <x:v>Perennial</x:v>
      </x:c>
      <x:c r="J198" s="84" t="str">
        <x:v>Vine</x:v>
      </x:c>
      <x:c r="K198" s="84" t="str">
        <x:v>Full Sun to Part Shade</x:v>
      </x:c>
      <x:c r="L198" s="84" t="str">
        <x:v>Dry to Moist</x:v>
      </x:c>
      <x:c r="M198" s="89" t="n">
        <x:v>1</x:v>
      </x:c>
      <x:c r="N198" s="89" t="n">
        <x:v>1</x:v>
      </x:c>
      <x:c r="O198" s="89" t="n">
        <x:v>1</x:v>
      </x:c>
      <x:c r="P198" s="89" t="n">
        <x:f>SUM(M198:O198)</x:f>
        <x:v>3</x:v>
      </x:c>
      <x:c r="Q198" s="84" t="str">
        <x:v>Exact accepted-name match</x:v>
      </x:c>
      <x:c r="R198" s="84" t="str">
        <x:v>Clematis drummondii</x:v>
      </x:c>
      <x:c r="S198" s="84" t="str">
        <x:v>2725950</x:v>
      </x:c>
      <x:c r="T198" s="84" t="str">
        <x:v>2725950</x:v>
      </x:c>
      <x:c r="U198" s="84" t="str">
        <x:v>709659-1</x:v>
      </x:c>
      <x:c r="V198" s="84" t="str">
        <x:v>709659-1</x:v>
      </x:c>
      <x:c r="W198" s="84" t="str"/>
    </x:row>
    <x:row r="199" ht="18" customHeight="1">
      <x:c r="A199" s="83" t="str">
        <x:v>HAYS-0198</x:v>
      </x:c>
      <x:c r="B199" s="87" t="str">
        <x:v>Clematis pitcheri</x:v>
      </x:c>
      <x:c r="C199" s="87" t="str">
        <x:v>Clematis pitcheri</x:v>
      </x:c>
      <x:c r="D199" s="84" t="str">
        <x:v>Ranunculaceae</x:v>
      </x:c>
      <x:c r="E199" s="84" t="str">
        <x:v>Clematis</x:v>
      </x:c>
      <x:c r="F199" s="84" t="str">
        <x:v>Species</x:v>
      </x:c>
      <x:c r="G199" s="84" t="str">
        <x:v>Accepted</x:v>
      </x:c>
      <x:c r="H199" s="84" t="str">
        <x:v>Purple Leatherflower, Purple Clematis, Leatherflower, Bluebill, Bellflower Clematis, Pitcher's Clematis</x:v>
      </x:c>
      <x:c r="I199" s="84" t="str">
        <x:v>Perennial</x:v>
      </x:c>
      <x:c r="J199" s="84" t="str">
        <x:v>Vine</x:v>
      </x:c>
      <x:c r="K199" s="84" t="str">
        <x:v>Sun, Part Shade</x:v>
      </x:c>
      <x:c r="L199" s="84" t="str">
        <x:v>Medium</x:v>
      </x:c>
      <x:c r="M199" s="89" t="n">
        <x:v>0</x:v>
      </x:c>
      <x:c r="N199" s="89" t="n">
        <x:v>0</x:v>
      </x:c>
      <x:c r="O199" s="89" t="n">
        <x:v>1</x:v>
      </x:c>
      <x:c r="P199" s="89" t="n">
        <x:f>SUM(M199:O199)</x:f>
        <x:v>1</x:v>
      </x:c>
      <x:c r="Q199" s="84" t="str">
        <x:v>Exact accepted-name match</x:v>
      </x:c>
      <x:c r="R199" s="84" t="str">
        <x:v>Clematis pitcheri</x:v>
      </x:c>
      <x:c r="S199" s="84" t="str">
        <x:v>2726570</x:v>
      </x:c>
      <x:c r="T199" s="84" t="str">
        <x:v>2726570</x:v>
      </x:c>
      <x:c r="U199" s="84" t="str">
        <x:v>60399-2</x:v>
      </x:c>
      <x:c r="V199" s="84" t="str">
        <x:v>60399-2</x:v>
      </x:c>
      <x:c r="W199" s="84" t="str"/>
    </x:row>
    <x:row r="200" ht="18" customHeight="1">
      <x:c r="A200" s="83" t="str">
        <x:v>HAYS-0199</x:v>
      </x:c>
      <x:c r="B200" s="87" t="str">
        <x:v>Clematis reticulata</x:v>
      </x:c>
      <x:c r="C200" s="87" t="str">
        <x:v>Clematis reticulata</x:v>
      </x:c>
      <x:c r="D200" s="84" t="str">
        <x:v>Ranunculaceae</x:v>
      </x:c>
      <x:c r="E200" s="84" t="str">
        <x:v>Clematis</x:v>
      </x:c>
      <x:c r="F200" s="84" t="str">
        <x:v>Species</x:v>
      </x:c>
      <x:c r="G200" s="84" t="str">
        <x:v>Accepted</x:v>
      </x:c>
      <x:c r="H200" s="84" t="str">
        <x:v>Netleaf Leather Flower</x:v>
      </x:c>
      <x:c r="I200" s="84" t="str">
        <x:v>Perennial</x:v>
      </x:c>
      <x:c r="J200" s="84" t="str">
        <x:v>Vine</x:v>
      </x:c>
      <x:c r="K200" s="84" t="str">
        <x:v>Sun, Part-shade</x:v>
      </x:c>
      <x:c r="L200" s="84" t="str"/>
      <x:c r="M200" s="89" t="n">
        <x:v>1</x:v>
      </x:c>
      <x:c r="N200" s="89" t="n">
        <x:v>1</x:v>
      </x:c>
      <x:c r="O200" s="89" t="n">
        <x:v>0</x:v>
      </x:c>
      <x:c r="P200" s="89" t="n">
        <x:f>SUM(M200:O200)</x:f>
        <x:v>2</x:v>
      </x:c>
      <x:c r="Q200" s="84" t="str">
        <x:v>Exact accepted-name match</x:v>
      </x:c>
      <x:c r="R200" s="84" t="str">
        <x:v>Clematis reticulata</x:v>
      </x:c>
      <x:c r="S200" s="84" t="str">
        <x:v>2726641</x:v>
      </x:c>
      <x:c r="T200" s="84" t="str">
        <x:v>2726641</x:v>
      </x:c>
      <x:c r="U200" s="84" t="str">
        <x:v>60413-2</x:v>
      </x:c>
      <x:c r="V200" s="84" t="str">
        <x:v>60413-2</x:v>
      </x:c>
      <x:c r="W200" s="84" t="str"/>
    </x:row>
    <x:row r="201" ht="18" customHeight="1">
      <x:c r="A201" s="83" t="str">
        <x:v>HAYS-0200</x:v>
      </x:c>
      <x:c r="B201" s="87" t="str">
        <x:v>Clematis texensis</x:v>
      </x:c>
      <x:c r="C201" s="87" t="str">
        <x:v>Clematis texensis</x:v>
      </x:c>
      <x:c r="D201" s="84" t="str">
        <x:v>Ranunculaceae</x:v>
      </x:c>
      <x:c r="E201" s="84" t="str">
        <x:v>Clematis</x:v>
      </x:c>
      <x:c r="F201" s="84" t="str">
        <x:v>Species</x:v>
      </x:c>
      <x:c r="G201" s="84" t="str">
        <x:v>Accepted</x:v>
      </x:c>
      <x:c r="H201" s="84" t="str">
        <x:v>Scarlet Clematis, Scarlet Leatherflower, Texas Clematis</x:v>
      </x:c>
      <x:c r="I201" s="84" t="str">
        <x:v>Perennial</x:v>
      </x:c>
      <x:c r="J201" s="84" t="str">
        <x:v>Vine</x:v>
      </x:c>
      <x:c r="K201" s="84" t="str">
        <x:v>Sun, Part Shade</x:v>
      </x:c>
      <x:c r="L201" s="84" t="str">
        <x:v>Medium</x:v>
      </x:c>
      <x:c r="M201" s="89" t="n">
        <x:v>1</x:v>
      </x:c>
      <x:c r="N201" s="89" t="n">
        <x:v>1</x:v>
      </x:c>
      <x:c r="O201" s="89" t="n">
        <x:v>1</x:v>
      </x:c>
      <x:c r="P201" s="89" t="n">
        <x:f>SUM(M201:O201)</x:f>
        <x:v>3</x:v>
      </x:c>
      <x:c r="Q201" s="84" t="str">
        <x:v>Exact accepted-name match</x:v>
      </x:c>
      <x:c r="R201" s="84" t="str">
        <x:v>Clematis texensis</x:v>
      </x:c>
      <x:c r="S201" s="84" t="str">
        <x:v>2726814</x:v>
      </x:c>
      <x:c r="T201" s="84" t="str">
        <x:v>2726814</x:v>
      </x:c>
      <x:c r="U201" s="84" t="str">
        <x:v>710126-1</x:v>
      </x:c>
      <x:c r="V201" s="84" t="str">
        <x:v>710126-1</x:v>
      </x:c>
      <x:c r="W201" s="84" t="str"/>
    </x:row>
    <x:row r="202" ht="18" customHeight="1">
      <x:c r="A202" s="83" t="str">
        <x:v>HAYS-0201</x:v>
      </x:c>
      <x:c r="B202" s="87" t="str">
        <x:v>Cnidoscolus texanus</x:v>
      </x:c>
      <x:c r="C202" s="87" t="str">
        <x:v>Cnidoscolus texanus</x:v>
      </x:c>
      <x:c r="D202" s="84" t="str">
        <x:v>Euphorbiaceae</x:v>
      </x:c>
      <x:c r="E202" s="84" t="str">
        <x:v>Cnidoscolus</x:v>
      </x:c>
      <x:c r="F202" s="84" t="str">
        <x:v>Species</x:v>
      </x:c>
      <x:c r="G202" s="84" t="str">
        <x:v>Accepted</x:v>
      </x:c>
      <x:c r="H202" s="84" t="str">
        <x:v>Texas Bullnettle, Bull Nettle, Tread-softly, Spurge Nettle</x:v>
      </x:c>
      <x:c r="I202" s="84" t="str">
        <x:v>Perennial</x:v>
      </x:c>
      <x:c r="J202" s="84" t="str">
        <x:v>Herb</x:v>
      </x:c>
      <x:c r="K202" s="84" t="str"/>
      <x:c r="L202" s="84" t="str"/>
      <x:c r="M202" s="89" t="n">
        <x:v>1</x:v>
      </x:c>
      <x:c r="N202" s="89" t="n">
        <x:v>1</x:v>
      </x:c>
      <x:c r="O202" s="89" t="n">
        <x:v>0</x:v>
      </x:c>
      <x:c r="P202" s="89" t="n">
        <x:f>SUM(M202:O202)</x:f>
        <x:v>2</x:v>
      </x:c>
      <x:c r="Q202" s="84" t="str">
        <x:v>Exact accepted-name match</x:v>
      </x:c>
      <x:c r="R202" s="84" t="str">
        <x:v>Cnidoscolus texanus</x:v>
      </x:c>
      <x:c r="S202" s="84" t="str">
        <x:v>44250</x:v>
      </x:c>
      <x:c r="T202" s="84" t="str">
        <x:v>44250</x:v>
      </x:c>
      <x:c r="U202" s="84" t="str">
        <x:v>61895-2</x:v>
      </x:c>
      <x:c r="V202" s="84" t="str">
        <x:v>61895-2</x:v>
      </x:c>
      <x:c r="W202" s="84" t="str"/>
    </x:row>
    <x:row r="203" ht="18" customHeight="1">
      <x:c r="A203" s="83" t="str">
        <x:v>HAYS-0202</x:v>
      </x:c>
      <x:c r="B203" s="87" t="str">
        <x:v>Cocculus carolinus</x:v>
      </x:c>
      <x:c r="C203" s="87" t="str">
        <x:v>Nephroia carolina</x:v>
      </x:c>
      <x:c r="D203" s="84" t="str">
        <x:v>Menispermaceae</x:v>
      </x:c>
      <x:c r="E203" s="84" t="str">
        <x:v>Nephroia</x:v>
      </x:c>
      <x:c r="F203" s="84" t="str">
        <x:v>Species</x:v>
      </x:c>
      <x:c r="G203" s="84" t="str">
        <x:v>Synonym</x:v>
      </x:c>
      <x:c r="H203" s="84" t="str">
        <x:v>Carolina Snailseed</x:v>
      </x:c>
      <x:c r="I203" s="84" t="str">
        <x:v>Perennial</x:v>
      </x:c>
      <x:c r="J203" s="84" t="str">
        <x:v>Vine</x:v>
      </x:c>
      <x:c r="K203" s="84" t="str">
        <x:v>Part Shade</x:v>
      </x:c>
      <x:c r="L203" s="84" t="str">
        <x:v>Moist</x:v>
      </x:c>
      <x:c r="M203" s="89" t="n">
        <x:v>1</x:v>
      </x:c>
      <x:c r="N203" s="89" t="n">
        <x:v>1</x:v>
      </x:c>
      <x:c r="O203" s="89" t="n">
        <x:v>1</x:v>
      </x:c>
      <x:c r="P203" s="89" t="n">
        <x:f>SUM(M203:O203)</x:f>
        <x:v>3</x:v>
      </x:c>
      <x:c r="Q203" s="84" t="str">
        <x:v>Exact synonym-name match</x:v>
      </x:c>
      <x:c r="R203" s="84" t="str">
        <x:v>Cocculus carolinus</x:v>
      </x:c>
      <x:c r="S203" s="84" t="str">
        <x:v>2729616</x:v>
      </x:c>
      <x:c r="T203" s="84" t="str">
        <x:v>3297787</x:v>
      </x:c>
      <x:c r="U203" s="84" t="str">
        <x:v>580515-1</x:v>
      </x:c>
      <x:c r="V203" s="84" t="str">
        <x:v>77318396-1</x:v>
      </x:c>
      <x:c r="W203" s="84" t="str"/>
    </x:row>
    <x:row r="204" ht="18" customHeight="1">
      <x:c r="A204" s="83" t="str">
        <x:v>HAYS-0203</x:v>
      </x:c>
      <x:c r="B204" s="87" t="str">
        <x:v>Colubrina texensis</x:v>
      </x:c>
      <x:c r="C204" s="87" t="str">
        <x:v>Colubrina texensis</x:v>
      </x:c>
      <x:c r="D204" s="84" t="str">
        <x:v>Rhamnaceae</x:v>
      </x:c>
      <x:c r="E204" s="84" t="str">
        <x:v>Colubrina</x:v>
      </x:c>
      <x:c r="F204" s="84" t="str">
        <x:v>Species</x:v>
      </x:c>
      <x:c r="G204" s="84" t="str">
        <x:v>Accepted</x:v>
      </x:c>
      <x:c r="H204" s="84" t="str">
        <x:v>Texas Hogplum</x:v>
      </x:c>
      <x:c r="I204" s="84" t="str">
        <x:v>Perennial</x:v>
      </x:c>
      <x:c r="J204" s="84" t="str">
        <x:v>Shrub</x:v>
      </x:c>
      <x:c r="K204" s="84" t="str">
        <x:v>Part Shade</x:v>
      </x:c>
      <x:c r="L204" s="84" t="str">
        <x:v>Low</x:v>
      </x:c>
      <x:c r="M204" s="89" t="n">
        <x:v>1</x:v>
      </x:c>
      <x:c r="N204" s="89" t="n">
        <x:v>1</x:v>
      </x:c>
      <x:c r="O204" s="89" t="n">
        <x:v>2</x:v>
      </x:c>
      <x:c r="P204" s="89" t="n">
        <x:f>SUM(M204:O204)</x:f>
        <x:v>4</x:v>
      </x:c>
      <x:c r="Q204" s="84" t="str">
        <x:v>Exact accepted-name match</x:v>
      </x:c>
      <x:c r="R204" s="84" t="str">
        <x:v>Colubrina texensis</x:v>
      </x:c>
      <x:c r="S204" s="84" t="str">
        <x:v>2731559</x:v>
      </x:c>
      <x:c r="T204" s="84" t="str">
        <x:v>2731559</x:v>
      </x:c>
      <x:c r="U204" s="84" t="str">
        <x:v>717125-1</x:v>
      </x:c>
      <x:c r="V204" s="84" t="str">
        <x:v>717125-1</x:v>
      </x:c>
      <x:c r="W204" s="84" t="str"/>
    </x:row>
    <x:row r="205" ht="18" customHeight="1">
      <x:c r="A205" s="83" t="str">
        <x:v>HAYS-0204</x:v>
      </x:c>
      <x:c r="B205" s="87" t="str">
        <x:v>Commelina erecta</x:v>
      </x:c>
      <x:c r="C205" s="87" t="str">
        <x:v>Commelina erecta</x:v>
      </x:c>
      <x:c r="D205" s="84" t="str">
        <x:v>Commelinaceae</x:v>
      </x:c>
      <x:c r="E205" s="84" t="str">
        <x:v>Commelina</x:v>
      </x:c>
      <x:c r="F205" s="84" t="str">
        <x:v>Species</x:v>
      </x:c>
      <x:c r="G205" s="84" t="str">
        <x:v>Accepted</x:v>
      </x:c>
      <x:c r="H205" s="84" t="str">
        <x:v>Dayflower, Widow's Tears, White-mouth Dayflower, Whitemouth Dayflower</x:v>
      </x:c>
      <x:c r="I205" s="84" t="str">
        <x:v>Perennial</x:v>
      </x:c>
      <x:c r="J205" s="84" t="str">
        <x:v>Herb</x:v>
      </x:c>
      <x:c r="K205" s="84" t="str">
        <x:v>Sun, Part Shade</x:v>
      </x:c>
      <x:c r="L205" s="84" t="str">
        <x:v>Medium</x:v>
      </x:c>
      <x:c r="M205" s="89" t="n">
        <x:v>1</x:v>
      </x:c>
      <x:c r="N205" s="89" t="n">
        <x:v>1</x:v>
      </x:c>
      <x:c r="O205" s="89" t="n">
        <x:v>1</x:v>
      </x:c>
      <x:c r="P205" s="89" t="n">
        <x:f>SUM(M205:O205)</x:f>
        <x:v>3</x:v>
      </x:c>
      <x:c r="Q205" s="84" t="str">
        <x:v>Exact accepted-name match</x:v>
      </x:c>
      <x:c r="R205" s="84" t="str">
        <x:v>Commelina erecta</x:v>
      </x:c>
      <x:c r="S205" s="84" t="str">
        <x:v>233875</x:v>
      </x:c>
      <x:c r="T205" s="84" t="str">
        <x:v>233875</x:v>
      </x:c>
      <x:c r="U205" s="84" t="str">
        <x:v>172048-1</x:v>
      </x:c>
      <x:c r="V205" s="84" t="str">
        <x:v>172048-1</x:v>
      </x:c>
      <x:c r="W205" s="84" t="str"/>
    </x:row>
    <x:row r="206" ht="18" customHeight="1">
      <x:c r="A206" s="83" t="str">
        <x:v>HAYS-0205</x:v>
      </x:c>
      <x:c r="B206" s="87" t="str">
        <x:v>Commelina erecta var. angustifolia</x:v>
      </x:c>
      <x:c r="C206" s="87" t="str">
        <x:v>Commelina erecta subsp. erecta</x:v>
      </x:c>
      <x:c r="D206" s="84" t="str">
        <x:v>Commelinaceae</x:v>
      </x:c>
      <x:c r="E206" s="84" t="str">
        <x:v>Commelina</x:v>
      </x:c>
      <x:c r="F206" s="84" t="str">
        <x:v>Variety</x:v>
      </x:c>
      <x:c r="G206" s="84" t="str">
        <x:v>Synonym</x:v>
      </x:c>
      <x:c r="H206" s="84" t="str">
        <x:v>Whitemouth Dayflower, Narrow-leaf Dayflower, Widow's Tears</x:v>
      </x:c>
      <x:c r="I206" s="84" t="str">
        <x:v>Perennial</x:v>
      </x:c>
      <x:c r="J206" s="84" t="str">
        <x:v>Herb</x:v>
      </x:c>
      <x:c r="K206" s="84" t="str">
        <x:v>Sun, Part-shade</x:v>
      </x:c>
      <x:c r="L206" s="84" t="str">
        <x:v>Moist, Dry</x:v>
      </x:c>
      <x:c r="M206" s="89" t="n">
        <x:v>1</x:v>
      </x:c>
      <x:c r="N206" s="89" t="n">
        <x:v>1</x:v>
      </x:c>
      <x:c r="O206" s="89" t="n">
        <x:v>0</x:v>
      </x:c>
      <x:c r="P206" s="89" t="n">
        <x:f>SUM(M206:O206)</x:f>
        <x:v>2</x:v>
      </x:c>
      <x:c r="Q206" s="84" t="str">
        <x:v>Exact synonym-name match</x:v>
      </x:c>
      <x:c r="R206" s="84" t="str">
        <x:v>Commelina erecta var. angustifolia</x:v>
      </x:c>
      <x:c r="S206" s="84" t="str">
        <x:v>233877</x:v>
      </x:c>
      <x:c r="T206" s="84" t="str">
        <x:v>233881</x:v>
      </x:c>
      <x:c r="U206" s="84" t="str">
        <x:v>63873-2</x:v>
      </x:c>
      <x:c r="V206" s="84" t="str">
        <x:v>77168998-1</x:v>
      </x:c>
      <x:c r="W206" s="84" t="str"/>
    </x:row>
    <x:row r="207" ht="18" customHeight="1">
      <x:c r="A207" s="83" t="str">
        <x:v>HAYS-0206</x:v>
      </x:c>
      <x:c r="B207" s="87" t="str">
        <x:v>Commelina erecta var. deamiana</x:v>
      </x:c>
      <x:c r="C207" s="87" t="str">
        <x:v>Commelina erecta subsp. erecta</x:v>
      </x:c>
      <x:c r="D207" s="84" t="str">
        <x:v>Commelinaceae</x:v>
      </x:c>
      <x:c r="E207" s="84" t="str">
        <x:v>Commelina</x:v>
      </x:c>
      <x:c r="F207" s="84" t="str">
        <x:v>Variety</x:v>
      </x:c>
      <x:c r="G207" s="84" t="str">
        <x:v>Synonym</x:v>
      </x:c>
      <x:c r="H207" s="84" t="str">
        <x:v>Whitemouth Dayflower, Erect Dayflower, Narrowleaved Dayflower, Widow's Tears</x:v>
      </x:c>
      <x:c r="I207" s="84" t="str">
        <x:v>Perennial</x:v>
      </x:c>
      <x:c r="J207" s="84" t="str">
        <x:v>Herb</x:v>
      </x:c>
      <x:c r="K207" s="84" t="str"/>
      <x:c r="L207" s="84" t="str"/>
      <x:c r="M207" s="89" t="n">
        <x:v>1</x:v>
      </x:c>
      <x:c r="N207" s="89" t="n">
        <x:v>1</x:v>
      </x:c>
      <x:c r="O207" s="89" t="n">
        <x:v>0</x:v>
      </x:c>
      <x:c r="P207" s="89" t="n">
        <x:f>SUM(M207:O207)</x:f>
        <x:v>2</x:v>
      </x:c>
      <x:c r="Q207" s="84" t="str">
        <x:v>Exact synonym-name match</x:v>
      </x:c>
      <x:c r="R207" s="84" t="str">
        <x:v>Commelina erecta var. deamiana</x:v>
      </x:c>
      <x:c r="S207" s="84" t="str">
        <x:v>233879</x:v>
      </x:c>
      <x:c r="T207" s="84" t="str">
        <x:v>233881</x:v>
      </x:c>
      <x:c r="U207" s="84" t="str">
        <x:v>63876-2</x:v>
      </x:c>
      <x:c r="V207" s="84" t="str">
        <x:v>77168998-1</x:v>
      </x:c>
      <x:c r="W207" s="84" t="str"/>
    </x:row>
    <x:row r="208" ht="18" customHeight="1">
      <x:c r="A208" s="83" t="str">
        <x:v>HAYS-0207</x:v>
      </x:c>
      <x:c r="B208" s="87" t="str">
        <x:v>Commelina erecta var. erecta</x:v>
      </x:c>
      <x:c r="C208" s="87" t="str"/>
      <x:c r="D208" s="84" t="str"/>
      <x:c r="E208" s="84" t="str">
        <x:v>Commelina</x:v>
      </x:c>
      <x:c r="F208" s="84" t="str"/>
      <x:c r="G208" s="84" t="str"/>
      <x:c r="H208" s="84" t="str">
        <x:v>Whitemouth Dayflower, Day Flower, Widow's Tears</x:v>
      </x:c>
      <x:c r="I208" s="84" t="str">
        <x:v>Perennial</x:v>
      </x:c>
      <x:c r="J208" s="84" t="str">
        <x:v>Herb</x:v>
      </x:c>
      <x:c r="K208" s="84" t="str"/>
      <x:c r="L208" s="84" t="str"/>
      <x:c r="M208" s="89" t="n">
        <x:v>1</x:v>
      </x:c>
      <x:c r="N208" s="89" t="n">
        <x:v>1</x:v>
      </x:c>
      <x:c r="O208" s="89" t="n">
        <x:v>0</x:v>
      </x:c>
      <x:c r="P208" s="89" t="n">
        <x:f>SUM(M208:O208)</x:f>
        <x:v>2</x:v>
      </x:c>
      <x:c r="Q208" s="84" t="str">
        <x:v>No exact WCVP name match</x:v>
      </x:c>
      <x:c r="R208" s="84" t="str"/>
      <x:c r="S208" s="84" t="str"/>
      <x:c r="T208" s="84" t="str"/>
      <x:c r="U208" s="84" t="str"/>
      <x:c r="V208" s="84" t="str"/>
      <x:c r="W208" s="84" t="str">
        <x:v>Review</x:v>
      </x:c>
    </x:row>
    <x:row r="209" ht="18" customHeight="1">
      <x:c r="A209" s="83" t="str">
        <x:v>HAYS-0208</x:v>
      </x:c>
      <x:c r="B209" s="87" t="str">
        <x:v>Condalia hookeri</x:v>
      </x:c>
      <x:c r="C209" s="87" t="str">
        <x:v>Condalia hookeri</x:v>
      </x:c>
      <x:c r="D209" s="84" t="str">
        <x:v>Rhamnaceae</x:v>
      </x:c>
      <x:c r="E209" s="84" t="str">
        <x:v>Condalia</x:v>
      </x:c>
      <x:c r="F209" s="84" t="str">
        <x:v>Species</x:v>
      </x:c>
      <x:c r="G209" s="84" t="str">
        <x:v>Accepted</x:v>
      </x:c>
      <x:c r="H209" s="84" t="str">
        <x:v>Brasil</x:v>
      </x:c>
      <x:c r="I209" s="84" t="str">
        <x:v>Perennial</x:v>
      </x:c>
      <x:c r="J209" s="84" t="str">
        <x:v>Shrub</x:v>
      </x:c>
      <x:c r="K209" s="84" t="str">
        <x:v>Part Shade</x:v>
      </x:c>
      <x:c r="L209" s="84" t="str">
        <x:v>Low</x:v>
      </x:c>
      <x:c r="M209" s="89" t="n">
        <x:v>1</x:v>
      </x:c>
      <x:c r="N209" s="89" t="n">
        <x:v>1</x:v>
      </x:c>
      <x:c r="O209" s="89" t="n">
        <x:v>1</x:v>
      </x:c>
      <x:c r="P209" s="89" t="n">
        <x:f>SUM(M209:O209)</x:f>
        <x:v>3</x:v>
      </x:c>
      <x:c r="Q209" s="84" t="str">
        <x:v>Exact accepted-name match</x:v>
      </x:c>
      <x:c r="R209" s="84" t="str">
        <x:v>Condalia hookeri</x:v>
      </x:c>
      <x:c r="S209" s="84" t="str">
        <x:v>2733979</x:v>
      </x:c>
      <x:c r="T209" s="84" t="str">
        <x:v>2733979</x:v>
      </x:c>
      <x:c r="U209" s="84" t="str">
        <x:v>295989-2</x:v>
      </x:c>
      <x:c r="V209" s="84" t="str">
        <x:v>295989-2</x:v>
      </x:c>
      <x:c r="W209" s="84" t="str"/>
    </x:row>
    <x:row r="210" ht="18" customHeight="1">
      <x:c r="A210" s="83" t="str">
        <x:v>HAYS-0209</x:v>
      </x:c>
      <x:c r="B210" s="87" t="str">
        <x:v>Conoclinium coelestinum</x:v>
      </x:c>
      <x:c r="C210" s="87" t="str">
        <x:v>Conoclinium coelestinum</x:v>
      </x:c>
      <x:c r="D210" s="84" t="str">
        <x:v>Asteraceae</x:v>
      </x:c>
      <x:c r="E210" s="84" t="str">
        <x:v>Conoclinium</x:v>
      </x:c>
      <x:c r="F210" s="84" t="str">
        <x:v>Species</x:v>
      </x:c>
      <x:c r="G210" s="84" t="str">
        <x:v>Accepted</x:v>
      </x:c>
      <x:c r="H210" s="84" t="str">
        <x:v>Blue Mistflower, Wild Ageratum, Blue Boneset</x:v>
      </x:c>
      <x:c r="I210" s="84" t="str">
        <x:v>Perennial</x:v>
      </x:c>
      <x:c r="J210" s="84" t="str">
        <x:v>Herb</x:v>
      </x:c>
      <x:c r="K210" s="84" t="str">
        <x:v>Sun, Part Shade</x:v>
      </x:c>
      <x:c r="L210" s="84" t="str">
        <x:v>Medium</x:v>
      </x:c>
      <x:c r="M210" s="89" t="n">
        <x:v>1</x:v>
      </x:c>
      <x:c r="N210" s="89" t="n">
        <x:v>1</x:v>
      </x:c>
      <x:c r="O210" s="89" t="n">
        <x:v>2</x:v>
      </x:c>
      <x:c r="P210" s="89" t="n">
        <x:f>SUM(M210:O210)</x:f>
        <x:v>4</x:v>
      </x:c>
      <x:c r="Q210" s="84" t="str">
        <x:v>Exact accepted-name match</x:v>
      </x:c>
      <x:c r="R210" s="84" t="str">
        <x:v>Conoclinium coelestinum</x:v>
      </x:c>
      <x:c r="S210" s="84" t="str">
        <x:v>3131697</x:v>
      </x:c>
      <x:c r="T210" s="84" t="str">
        <x:v>3131697</x:v>
      </x:c>
      <x:c r="U210" s="84" t="str">
        <x:v>197044-1</x:v>
      </x:c>
      <x:c r="V210" s="84" t="str">
        <x:v>197044-1</x:v>
      </x:c>
      <x:c r="W210" s="84" t="str"/>
    </x:row>
    <x:row r="211" ht="18" customHeight="1">
      <x:c r="A211" s="83" t="str">
        <x:v>HAYS-0210</x:v>
      </x:c>
      <x:c r="B211" s="87" t="str">
        <x:v>Convolvulus equitans</x:v>
      </x:c>
      <x:c r="C211" s="87" t="str">
        <x:v>Convolvulus equitans</x:v>
      </x:c>
      <x:c r="D211" s="84" t="str">
        <x:v>Convolvulaceae</x:v>
      </x:c>
      <x:c r="E211" s="84" t="str">
        <x:v>Convolvulus</x:v>
      </x:c>
      <x:c r="F211" s="84" t="str">
        <x:v>Species</x:v>
      </x:c>
      <x:c r="G211" s="84" t="str">
        <x:v>Accepted</x:v>
      </x:c>
      <x:c r="H211" s="84" t="str">
        <x:v>Texas Bindweed, Bindweed</x:v>
      </x:c>
      <x:c r="I211" s="84" t="str">
        <x:v>Annual</x:v>
      </x:c>
      <x:c r="J211" s="84" t="str">
        <x:v>Vine</x:v>
      </x:c>
      <x:c r="K211" s="84" t="str">
        <x:v>Part-shade</x:v>
      </x:c>
      <x:c r="L211" s="84" t="str">
        <x:v>Dry</x:v>
      </x:c>
      <x:c r="M211" s="89" t="n">
        <x:v>1</x:v>
      </x:c>
      <x:c r="N211" s="89" t="n">
        <x:v>1</x:v>
      </x:c>
      <x:c r="O211" s="89" t="n">
        <x:v>0</x:v>
      </x:c>
      <x:c r="P211" s="89" t="n">
        <x:f>SUM(M211:O211)</x:f>
        <x:v>2</x:v>
      </x:c>
      <x:c r="Q211" s="84" t="str">
        <x:v>Exact accepted-name match</x:v>
      </x:c>
      <x:c r="R211" s="84" t="str">
        <x:v>Convolvulus equitans</x:v>
      </x:c>
      <x:c r="S211" s="84" t="str">
        <x:v>484185</x:v>
      </x:c>
      <x:c r="T211" s="84" t="str">
        <x:v>484185</x:v>
      </x:c>
      <x:c r="U211" s="84" t="str">
        <x:v>266168-1</x:v>
      </x:c>
      <x:c r="V211" s="84" t="str">
        <x:v>266168-1</x:v>
      </x:c>
      <x:c r="W211" s="84" t="str"/>
    </x:row>
    <x:row r="212" ht="18" customHeight="1">
      <x:c r="A212" s="83" t="str">
        <x:v>HAYS-0211</x:v>
      </x:c>
      <x:c r="B212" s="87" t="str">
        <x:v>Conyza canadensis</x:v>
      </x:c>
      <x:c r="C212" s="87" t="str">
        <x:v>Erigeron canadensis</x:v>
      </x:c>
      <x:c r="D212" s="84" t="str">
        <x:v>Asteraceae</x:v>
      </x:c>
      <x:c r="E212" s="84" t="str">
        <x:v>Erigeron</x:v>
      </x:c>
      <x:c r="F212" s="84" t="str">
        <x:v>Species</x:v>
      </x:c>
      <x:c r="G212" s="84" t="str">
        <x:v>Synonym</x:v>
      </x:c>
      <x:c r="H212" s="84" t="str">
        <x:v>Horseweed, Canadian Horseweed</x:v>
      </x:c>
      <x:c r="I212" s="84" t="str">
        <x:v>Annual</x:v>
      </x:c>
      <x:c r="J212" s="84" t="str">
        <x:v>Herb</x:v>
      </x:c>
      <x:c r="K212" s="84" t="str">
        <x:v>Sun</x:v>
      </x:c>
      <x:c r="L212" s="84" t="str"/>
      <x:c r="M212" s="89" t="n">
        <x:v>1</x:v>
      </x:c>
      <x:c r="N212" s="89" t="n">
        <x:v>1</x:v>
      </x:c>
      <x:c r="O212" s="89" t="n">
        <x:v>0</x:v>
      </x:c>
      <x:c r="P212" s="89" t="n">
        <x:f>SUM(M212:O212)</x:f>
        <x:v>2</x:v>
      </x:c>
      <x:c r="Q212" s="84" t="str">
        <x:v>Exact synonym-name match</x:v>
      </x:c>
      <x:c r="R212" s="84" t="str">
        <x:v>Conyza canadensis</x:v>
      </x:c>
      <x:c r="S212" s="84" t="str">
        <x:v>2926300</x:v>
      </x:c>
      <x:c r="T212" s="84" t="str">
        <x:v>2926303</x:v>
      </x:c>
      <x:c r="U212" s="84" t="str">
        <x:v>64815-2</x:v>
      </x:c>
      <x:c r="V212" s="84" t="str">
        <x:v>203653-1</x:v>
      </x:c>
      <x:c r="W212" s="84" t="str"/>
    </x:row>
    <x:row r="213" ht="18" customHeight="1">
      <x:c r="A213" s="83" t="str">
        <x:v>HAYS-0212</x:v>
      </x:c>
      <x:c r="B213" s="87" t="str">
        <x:v>Cooperia drummondii</x:v>
      </x:c>
      <x:c r="C213" s="87" t="str">
        <x:v>Zephyranthes chlorosolen</x:v>
      </x:c>
      <x:c r="D213" s="84" t="str">
        <x:v>Amaryllidaceae</x:v>
      </x:c>
      <x:c r="E213" s="84" t="str">
        <x:v>Zephyranthes</x:v>
      </x:c>
      <x:c r="F213" s="84" t="str">
        <x:v>Species</x:v>
      </x:c>
      <x:c r="G213" s="84" t="str">
        <x:v>Synonym</x:v>
      </x:c>
      <x:c r="H213" s="84" t="str">
        <x:v>Evening Rain Lily, Evening Star Rain Lily</x:v>
      </x:c>
      <x:c r="I213" s="84" t="str">
        <x:v>Perennial</x:v>
      </x:c>
      <x:c r="J213" s="84" t="str">
        <x:v>Herb</x:v>
      </x:c>
      <x:c r="K213" s="84" t="str">
        <x:v>Sun, Part-shade</x:v>
      </x:c>
      <x:c r="L213" s="84" t="str">
        <x:v>Moist, Dry</x:v>
      </x:c>
      <x:c r="M213" s="89" t="n">
        <x:v>1</x:v>
      </x:c>
      <x:c r="N213" s="89" t="n">
        <x:v>1</x:v>
      </x:c>
      <x:c r="O213" s="89" t="n">
        <x:v>0</x:v>
      </x:c>
      <x:c r="P213" s="89" t="n">
        <x:f>SUM(M213:O213)</x:f>
        <x:v>2</x:v>
      </x:c>
      <x:c r="Q213" s="84" t="str">
        <x:v>Exact synonym-name match</x:v>
      </x:c>
      <x:c r="R213" s="84" t="str">
        <x:v>Cooperia drummondii</x:v>
      </x:c>
      <x:c r="S213" s="84" t="str">
        <x:v>276405</x:v>
      </x:c>
      <x:c r="T213" s="84" t="str">
        <x:v>292000</x:v>
      </x:c>
      <x:c r="U213" s="84" t="str">
        <x:v>64869-2</x:v>
      </x:c>
      <x:c r="V213" s="84" t="str">
        <x:v>67209-1</x:v>
      </x:c>
      <x:c r="W213" s="84" t="str"/>
    </x:row>
    <x:row r="214" ht="18" customHeight="1">
      <x:c r="A214" s="83" t="str">
        <x:v>HAYS-0213</x:v>
      </x:c>
      <x:c r="B214" s="87" t="str">
        <x:v>Cooperia pedunculata</x:v>
      </x:c>
      <x:c r="C214" s="87" t="str">
        <x:v>Zephyranthes drummondii</x:v>
      </x:c>
      <x:c r="D214" s="84" t="str">
        <x:v>Amaryllidaceae</x:v>
      </x:c>
      <x:c r="E214" s="84" t="str">
        <x:v>Zephyranthes</x:v>
      </x:c>
      <x:c r="F214" s="84" t="str">
        <x:v>Species</x:v>
      </x:c>
      <x:c r="G214" s="84" t="str">
        <x:v>Synonym</x:v>
      </x:c>
      <x:c r="H214" s="84" t="str">
        <x:v>Hill Country Rain Lily, Prairie Lily, Rain Lily, Flor De Mayo</x:v>
      </x:c>
      <x:c r="I214" s="84" t="str">
        <x:v>Perennial</x:v>
      </x:c>
      <x:c r="J214" s="84" t="str">
        <x:v>Herb</x:v>
      </x:c>
      <x:c r="K214" s="84" t="str">
        <x:v>Sun</x:v>
      </x:c>
      <x:c r="L214" s="84" t="str">
        <x:v>Moist</x:v>
      </x:c>
      <x:c r="M214" s="89" t="n">
        <x:v>1</x:v>
      </x:c>
      <x:c r="N214" s="89" t="n">
        <x:v>1</x:v>
      </x:c>
      <x:c r="O214" s="89" t="n">
        <x:v>0</x:v>
      </x:c>
      <x:c r="P214" s="89" t="n">
        <x:f>SUM(M214:O214)</x:f>
        <x:v>2</x:v>
      </x:c>
      <x:c r="Q214" s="84" t="str">
        <x:v>Exact synonym-name match</x:v>
      </x:c>
      <x:c r="R214" s="84" t="str">
        <x:v>Cooperia pedunculata</x:v>
      </x:c>
      <x:c r="S214" s="84" t="str">
        <x:v>276410</x:v>
      </x:c>
      <x:c r="T214" s="84" t="str">
        <x:v>291890</x:v>
      </x:c>
      <x:c r="U214" s="84" t="str">
        <x:v>63738-1</x:v>
      </x:c>
      <x:c r="V214" s="84" t="str">
        <x:v>67221-1</x:v>
      </x:c>
      <x:c r="W214" s="84" t="str"/>
    </x:row>
    <x:row r="215" ht="18" customHeight="1">
      <x:c r="A215" s="83" t="str">
        <x:v>HAYS-0214</x:v>
      </x:c>
      <x:c r="B215" s="87" t="str">
        <x:v>Corallorhiza wisteriana</x:v>
      </x:c>
      <x:c r="C215" s="87" t="str">
        <x:v>Corallorhiza wisteriana</x:v>
      </x:c>
      <x:c r="D215" s="84" t="str">
        <x:v>Orchidaceae</x:v>
      </x:c>
      <x:c r="E215" s="84" t="str">
        <x:v>Corallorhiza</x:v>
      </x:c>
      <x:c r="F215" s="84" t="str">
        <x:v>Species</x:v>
      </x:c>
      <x:c r="G215" s="84" t="str">
        <x:v>Accepted</x:v>
      </x:c>
      <x:c r="H215" s="84" t="str">
        <x:v>Spring Coral-root, Spring Coral Root, Early Southern Coral-root, Wister's Coral-root, Yellow Coral-root, Arousing Coral-root, Spring Coralroot</x:v>
      </x:c>
      <x:c r="I215" s="84" t="str">
        <x:v>Perennial</x:v>
      </x:c>
      <x:c r="J215" s="84" t="str">
        <x:v>Herb</x:v>
      </x:c>
      <x:c r="K215" s="84" t="str"/>
      <x:c r="L215" s="84" t="str"/>
      <x:c r="M215" s="89" t="n">
        <x:v>1</x:v>
      </x:c>
      <x:c r="N215" s="89" t="n">
        <x:v>1</x:v>
      </x:c>
      <x:c r="O215" s="89" t="n">
        <x:v>0</x:v>
      </x:c>
      <x:c r="P215" s="89" t="n">
        <x:f>SUM(M215:O215)</x:f>
        <x:v>2</x:v>
      </x:c>
      <x:c r="Q215" s="84" t="str">
        <x:v>Exact accepted-name match</x:v>
      </x:c>
      <x:c r="R215" s="84" t="str">
        <x:v>Corallorhiza wisteriana</x:v>
      </x:c>
      <x:c r="S215" s="84" t="str">
        <x:v>47099</x:v>
      </x:c>
      <x:c r="T215" s="84" t="str">
        <x:v>47099</x:v>
      </x:c>
      <x:c r="U215" s="84" t="str">
        <x:v>30092460-2</x:v>
      </x:c>
      <x:c r="V215" s="84" t="str">
        <x:v>30092460-2</x:v>
      </x:c>
      <x:c r="W215" s="84" t="str"/>
    </x:row>
    <x:row r="216" ht="18" customHeight="1">
      <x:c r="A216" s="83" t="str">
        <x:v>HAYS-0215</x:v>
      </x:c>
      <x:c r="B216" s="87" t="str">
        <x:v>Coreopsis basalis</x:v>
      </x:c>
      <x:c r="C216" s="87" t="str">
        <x:v>Coreopsis basalis</x:v>
      </x:c>
      <x:c r="D216" s="84" t="str">
        <x:v>Asteraceae</x:v>
      </x:c>
      <x:c r="E216" s="84" t="str">
        <x:v>Coreopsis</x:v>
      </x:c>
      <x:c r="F216" s="84" t="str">
        <x:v>Species</x:v>
      </x:c>
      <x:c r="G216" s="84" t="str">
        <x:v>Accepted</x:v>
      </x:c>
      <x:c r="H216" s="84" t="str">
        <x:v>Goldenmane Tickseed, Golden-wave</x:v>
      </x:c>
      <x:c r="I216" s="84" t="str">
        <x:v>Annual</x:v>
      </x:c>
      <x:c r="J216" s="84" t="str">
        <x:v>Herb</x:v>
      </x:c>
      <x:c r="K216" s="84" t="str">
        <x:v>Sun</x:v>
      </x:c>
      <x:c r="L216" s="84" t="str">
        <x:v>Dry–Medium</x:v>
      </x:c>
      <x:c r="M216" s="89" t="n">
        <x:v>1</x:v>
      </x:c>
      <x:c r="N216" s="89" t="n">
        <x:v>1</x:v>
      </x:c>
      <x:c r="O216" s="89" t="n">
        <x:v>1</x:v>
      </x:c>
      <x:c r="P216" s="89" t="n">
        <x:f>SUM(M216:O216)</x:f>
        <x:v>3</x:v>
      </x:c>
      <x:c r="Q216" s="84" t="str">
        <x:v>Exact accepted-name match</x:v>
      </x:c>
      <x:c r="R216" s="84" t="str">
        <x:v>Coreopsis basalis</x:v>
      </x:c>
      <x:c r="S216" s="84" t="str">
        <x:v>3116738</x:v>
      </x:c>
      <x:c r="T216" s="84" t="str">
        <x:v>3116738</x:v>
      </x:c>
      <x:c r="U216" s="84" t="str">
        <x:v>65770-2</x:v>
      </x:c>
      <x:c r="V216" s="84" t="str">
        <x:v>65770-2</x:v>
      </x:c>
      <x:c r="W216" s="84" t="str"/>
    </x:row>
    <x:row r="217" ht="18" customHeight="1">
      <x:c r="A217" s="83" t="str">
        <x:v>HAYS-0216</x:v>
      </x:c>
      <x:c r="B217" s="87" t="str">
        <x:v>Coreopsis lanceolata</x:v>
      </x:c>
      <x:c r="C217" s="87" t="str">
        <x:v>Coreopsis lanceolata</x:v>
      </x:c>
      <x:c r="D217" s="84" t="str">
        <x:v>Asteraceae</x:v>
      </x:c>
      <x:c r="E217" s="84" t="str">
        <x:v>Coreopsis</x:v>
      </x:c>
      <x:c r="F217" s="84" t="str">
        <x:v>Species</x:v>
      </x:c>
      <x:c r="G217" s="84" t="str">
        <x:v>Accepted</x:v>
      </x:c>
      <x:c r="H217" s="84" t="str">
        <x:v>Lanceleaf Coreopsis, Lance-leaved Coreopsis, Lanceleaf Tickseed, Sand Coreopsis</x:v>
      </x:c>
      <x:c r="I217" s="84" t="str">
        <x:v>Perennial</x:v>
      </x:c>
      <x:c r="J217" s="84" t="str">
        <x:v>Herb</x:v>
      </x:c>
      <x:c r="K217" s="84" t="str">
        <x:v>Sun</x:v>
      </x:c>
      <x:c r="L217" s="84" t="str">
        <x:v>Medium</x:v>
      </x:c>
      <x:c r="M217" s="89" t="n">
        <x:v>0</x:v>
      </x:c>
      <x:c r="N217" s="89" t="n">
        <x:v>0</x:v>
      </x:c>
      <x:c r="O217" s="89" t="n">
        <x:v>1</x:v>
      </x:c>
      <x:c r="P217" s="89" t="n">
        <x:f>SUM(M217:O217)</x:f>
        <x:v>1</x:v>
      </x:c>
      <x:c r="Q217" s="84" t="str">
        <x:v>Exact accepted-name match</x:v>
      </x:c>
      <x:c r="R217" s="84" t="str">
        <x:v>Coreopsis lanceolata</x:v>
      </x:c>
      <x:c r="S217" s="84" t="str">
        <x:v>3117374</x:v>
      </x:c>
      <x:c r="T217" s="84" t="str">
        <x:v>3117374</x:v>
      </x:c>
      <x:c r="U217" s="84" t="str">
        <x:v>319152-2</x:v>
      </x:c>
      <x:c r="V217" s="84" t="str">
        <x:v>319152-2</x:v>
      </x:c>
      <x:c r="W217" s="84" t="str"/>
    </x:row>
    <x:row r="218" ht="18" customHeight="1">
      <x:c r="A218" s="83" t="str">
        <x:v>HAYS-0217</x:v>
      </x:c>
      <x:c r="B218" s="87" t="str">
        <x:v>Coreopsis tinctoria</x:v>
      </x:c>
      <x:c r="C218" s="87" t="str">
        <x:v>Coreopsis tinctoria</x:v>
      </x:c>
      <x:c r="D218" s="84" t="str">
        <x:v>Asteraceae</x:v>
      </x:c>
      <x:c r="E218" s="84" t="str">
        <x:v>Coreopsis</x:v>
      </x:c>
      <x:c r="F218" s="84" t="str">
        <x:v>Species</x:v>
      </x:c>
      <x:c r="G218" s="84" t="str">
        <x:v>Accepted</x:v>
      </x:c>
      <x:c r="H218" s="84" t="str">
        <x:v>Plains Coreopsis, Golden Tickseed, Goldenwave, Calliopsis</x:v>
      </x:c>
      <x:c r="I218" s="84" t="str">
        <x:v>Annual</x:v>
      </x:c>
      <x:c r="J218" s="84" t="str">
        <x:v>Herb</x:v>
      </x:c>
      <x:c r="K218" s="84" t="str">
        <x:v>Sun, Part-shade</x:v>
      </x:c>
      <x:c r="L218" s="84" t="str">
        <x:v>Moist</x:v>
      </x:c>
      <x:c r="M218" s="89" t="n">
        <x:v>1</x:v>
      </x:c>
      <x:c r="N218" s="89" t="n">
        <x:v>1</x:v>
      </x:c>
      <x:c r="O218" s="89" t="n">
        <x:v>0</x:v>
      </x:c>
      <x:c r="P218" s="89" t="n">
        <x:f>SUM(M218:O218)</x:f>
        <x:v>2</x:v>
      </x:c>
      <x:c r="Q218" s="84" t="str">
        <x:v>Exact accepted-name match</x:v>
      </x:c>
      <x:c r="R218" s="84" t="str">
        <x:v>Coreopsis tinctoria</x:v>
      </x:c>
      <x:c r="S218" s="84" t="str">
        <x:v>3117449</x:v>
      </x:c>
      <x:c r="T218" s="84" t="str">
        <x:v>3117449</x:v>
      </x:c>
      <x:c r="U218" s="84" t="str">
        <x:v>198219-1</x:v>
      </x:c>
      <x:c r="V218" s="84" t="str">
        <x:v>198219-1</x:v>
      </x:c>
      <x:c r="W218" s="84" t="str"/>
    </x:row>
    <x:row r="219" ht="18" customHeight="1">
      <x:c r="A219" s="83" t="str">
        <x:v>HAYS-0218</x:v>
      </x:c>
      <x:c r="B219" s="87" t="str">
        <x:v>Coreopsis wrightii</x:v>
      </x:c>
      <x:c r="C219" s="87" t="str">
        <x:v>Coreopsis wrightii</x:v>
      </x:c>
      <x:c r="D219" s="84" t="str">
        <x:v>Asteraceae</x:v>
      </x:c>
      <x:c r="E219" s="84" t="str">
        <x:v>Coreopsis</x:v>
      </x:c>
      <x:c r="F219" s="84" t="str">
        <x:v>Species</x:v>
      </x:c>
      <x:c r="G219" s="84" t="str">
        <x:v>Accepted</x:v>
      </x:c>
      <x:c r="H219" s="84" t="str">
        <x:v>Rock Tickseed, Golden-wave</x:v>
      </x:c>
      <x:c r="I219" s="84" t="str">
        <x:v>Annual</x:v>
      </x:c>
      <x:c r="J219" s="84" t="str">
        <x:v>Herb</x:v>
      </x:c>
      <x:c r="K219" s="84" t="str"/>
      <x:c r="L219" s="84" t="str"/>
      <x:c r="M219" s="89" t="n">
        <x:v>1</x:v>
      </x:c>
      <x:c r="N219" s="89" t="n">
        <x:v>1</x:v>
      </x:c>
      <x:c r="O219" s="89" t="n">
        <x:v>0</x:v>
      </x:c>
      <x:c r="P219" s="89" t="n">
        <x:f>SUM(M219:O219)</x:f>
        <x:v>2</x:v>
      </x:c>
      <x:c r="Q219" s="84" t="str">
        <x:v>Exact accepted-name match</x:v>
      </x:c>
      <x:c r="R219" s="84" t="str">
        <x:v>Coreopsis wrightii</x:v>
      </x:c>
      <x:c r="S219" s="84" t="str">
        <x:v>3116737</x:v>
      </x:c>
      <x:c r="T219" s="84" t="str">
        <x:v>3116737</x:v>
      </x:c>
      <x:c r="U219" s="84" t="str">
        <x:v>1103177-2</x:v>
      </x:c>
      <x:c r="V219" s="84" t="str">
        <x:v>1103177-2</x:v>
      </x:c>
      <x:c r="W219" s="84" t="str"/>
    </x:row>
    <x:row r="220" ht="18" customHeight="1">
      <x:c r="A220" s="83" t="str">
        <x:v>HAYS-0219</x:v>
      </x:c>
      <x:c r="B220" s="87" t="str">
        <x:v>Cornus drummondii</x:v>
      </x:c>
      <x:c r="C220" s="87" t="str">
        <x:v>Cornus drummondii</x:v>
      </x:c>
      <x:c r="D220" s="84" t="str">
        <x:v>Cornaceae</x:v>
      </x:c>
      <x:c r="E220" s="84" t="str">
        <x:v>Cornus</x:v>
      </x:c>
      <x:c r="F220" s="84" t="str">
        <x:v>Species</x:v>
      </x:c>
      <x:c r="G220" s="84" t="str">
        <x:v>Accepted</x:v>
      </x:c>
      <x:c r="H220" s="84" t="str">
        <x:v>Roughleaf Dogwood, Drummond's Dogwood, Rough-leaf Dogwood</x:v>
      </x:c>
      <x:c r="I220" s="84" t="str">
        <x:v>Perennial</x:v>
      </x:c>
      <x:c r="J220" s="84" t="str">
        <x:v>Shrub, Tree</x:v>
      </x:c>
      <x:c r="K220" s="84" t="str">
        <x:v>Sun, Part Shade</x:v>
      </x:c>
      <x:c r="L220" s="84" t="str">
        <x:v>Medium</x:v>
      </x:c>
      <x:c r="M220" s="89" t="n">
        <x:v>1</x:v>
      </x:c>
      <x:c r="N220" s="89" t="n">
        <x:v>1</x:v>
      </x:c>
      <x:c r="O220" s="89" t="n">
        <x:v>1</x:v>
      </x:c>
      <x:c r="P220" s="89" t="n">
        <x:f>SUM(M220:O220)</x:f>
        <x:v>3</x:v>
      </x:c>
      <x:c r="Q220" s="84" t="str">
        <x:v>Exact accepted-name match</x:v>
      </x:c>
      <x:c r="R220" s="84" t="str">
        <x:v>Cornus drummondii</x:v>
      </x:c>
      <x:c r="S220" s="84" t="str">
        <x:v>47348</x:v>
      </x:c>
      <x:c r="T220" s="84" t="str">
        <x:v>47348</x:v>
      </x:c>
      <x:c r="U220" s="84" t="str">
        <x:v>271556-1</x:v>
      </x:c>
      <x:c r="V220" s="84" t="str">
        <x:v>271556-1</x:v>
      </x:c>
      <x:c r="W220" s="84" t="str"/>
    </x:row>
    <x:row r="221" ht="18" customHeight="1">
      <x:c r="A221" s="83" t="str">
        <x:v>HAYS-0220</x:v>
      </x:c>
      <x:c r="B221" s="87" t="str">
        <x:v>Corydalis curvisiliqua ssp. curvisiliqua</x:v>
      </x:c>
      <x:c r="C221" s="87" t="str">
        <x:v>Corydalis curvisiliqua subsp. curvisiliqua</x:v>
      </x:c>
      <x:c r="D221" s="84" t="str">
        <x:v>Papaveraceae</x:v>
      </x:c>
      <x:c r="E221" s="84" t="str">
        <x:v>Corydalis</x:v>
      </x:c>
      <x:c r="F221" s="84" t="str">
        <x:v>Subspecies</x:v>
      </x:c>
      <x:c r="G221" s="84" t="str">
        <x:v>Accepted</x:v>
      </x:c>
      <x:c r="H221" s="84" t="str">
        <x:v>Curvepod Fumewort</x:v>
      </x:c>
      <x:c r="I221" s="84" t="str">
        <x:v>Annual, Biennial</x:v>
      </x:c>
      <x:c r="J221" s="84" t="str">
        <x:v>Herb</x:v>
      </x:c>
      <x:c r="K221" s="84" t="str"/>
      <x:c r="L221" s="84" t="str"/>
      <x:c r="M221" s="89" t="n">
        <x:v>1</x:v>
      </x:c>
      <x:c r="N221" s="89" t="n">
        <x:v>1</x:v>
      </x:c>
      <x:c r="O221" s="89" t="n">
        <x:v>0</x:v>
      </x:c>
      <x:c r="P221" s="89" t="n">
        <x:f>SUM(M221:O221)</x:f>
        <x:v>2</x:v>
      </x:c>
      <x:c r="Q221" s="84" t="str">
        <x:v>Exact accepted-name match</x:v>
      </x:c>
      <x:c r="R221" s="84" t="str">
        <x:v>Corydalis curvisiliqua subsp. curvisiliqua</x:v>
      </x:c>
      <x:c r="S221" s="84" t="str">
        <x:v>3263133</x:v>
      </x:c>
      <x:c r="T221" s="84" t="str">
        <x:v>3263133</x:v>
      </x:c>
      <x:c r="U221" s="84" t="str">
        <x:v>66374-2</x:v>
      </x:c>
      <x:c r="V221" s="84" t="str">
        <x:v>66374-2</x:v>
      </x:c>
      <x:c r="W221" s="84" t="str"/>
    </x:row>
    <x:row r="222" ht="18" customHeight="1">
      <x:c r="A222" s="83" t="str">
        <x:v>HAYS-0221</x:v>
      </x:c>
      <x:c r="B222" s="87" t="str">
        <x:v>Corydalis micrantha</x:v>
      </x:c>
      <x:c r="C222" s="87" t="str">
        <x:v>Corydalis micrantha</x:v>
      </x:c>
      <x:c r="D222" s="84" t="str">
        <x:v>Papaveraceae</x:v>
      </x:c>
      <x:c r="E222" s="84" t="str">
        <x:v>Corydalis</x:v>
      </x:c>
      <x:c r="F222" s="84" t="str">
        <x:v>Species</x:v>
      </x:c>
      <x:c r="G222" s="84" t="str">
        <x:v>Accepted</x:v>
      </x:c>
      <x:c r="H222" s="84" t="str">
        <x:v>Smallflower Fumewort, Southern Corydalis, Golden Corydalis</x:v>
      </x:c>
      <x:c r="I222" s="84" t="str">
        <x:v>Annual</x:v>
      </x:c>
      <x:c r="J222" s="84" t="str">
        <x:v>Herb</x:v>
      </x:c>
      <x:c r="K222" s="84" t="str"/>
      <x:c r="L222" s="84" t="str"/>
      <x:c r="M222" s="89" t="n">
        <x:v>1</x:v>
      </x:c>
      <x:c r="N222" s="89" t="n">
        <x:v>1</x:v>
      </x:c>
      <x:c r="O222" s="89" t="n">
        <x:v>0</x:v>
      </x:c>
      <x:c r="P222" s="89" t="n">
        <x:f>SUM(M222:O222)</x:f>
        <x:v>2</x:v>
      </x:c>
      <x:c r="Q222" s="84" t="str">
        <x:v>Exact accepted-name match</x:v>
      </x:c>
      <x:c r="R222" s="84" t="str">
        <x:v>Corydalis micrantha</x:v>
      </x:c>
      <x:c r="S222" s="84" t="str">
        <x:v>2738990</x:v>
      </x:c>
      <x:c r="T222" s="84" t="str">
        <x:v>2738990</x:v>
      </x:c>
      <x:c r="U222" s="84" t="str">
        <x:v>66396-2</x:v>
      </x:c>
      <x:c r="V222" s="84" t="str">
        <x:v>66396-2</x:v>
      </x:c>
      <x:c r="W222" s="84" t="str"/>
    </x:row>
    <x:row r="223" ht="18" customHeight="1">
      <x:c r="A223" s="83" t="str">
        <x:v>HAYS-0222</x:v>
      </x:c>
      <x:c r="B223" s="87" t="str">
        <x:v>Coryphantha sulcata</x:v>
      </x:c>
      <x:c r="C223" s="87" t="str">
        <x:v>Coryphantha sulcata</x:v>
      </x:c>
      <x:c r="D223" s="84" t="str">
        <x:v>Cactaceae</x:v>
      </x:c>
      <x:c r="E223" s="84" t="str">
        <x:v>Coryphantha</x:v>
      </x:c>
      <x:c r="F223" s="84" t="str">
        <x:v>Species</x:v>
      </x:c>
      <x:c r="G223" s="84" t="str">
        <x:v>Accepted</x:v>
      </x:c>
      <x:c r="H223" s="84" t="str">
        <x:v>Pineapple Cactus, Nipple Cactus</x:v>
      </x:c>
      <x:c r="I223" s="84" t="str">
        <x:v>Perennial</x:v>
      </x:c>
      <x:c r="J223" s="84" t="str">
        <x:v>Cactus/Succulent</x:v>
      </x:c>
      <x:c r="K223" s="84" t="str">
        <x:v>Sun</x:v>
      </x:c>
      <x:c r="L223" s="84" t="str">
        <x:v>Dry</x:v>
      </x:c>
      <x:c r="M223" s="89" t="n">
        <x:v>1</x:v>
      </x:c>
      <x:c r="N223" s="89" t="n">
        <x:v>1</x:v>
      </x:c>
      <x:c r="O223" s="89" t="n">
        <x:v>0</x:v>
      </x:c>
      <x:c r="P223" s="89" t="n">
        <x:f>SUM(M223:O223)</x:f>
        <x:v>2</x:v>
      </x:c>
      <x:c r="Q223" s="84" t="str">
        <x:v>Exact accepted-name match</x:v>
      </x:c>
      <x:c r="R223" s="84" t="str">
        <x:v>Coryphantha sulcata</x:v>
      </x:c>
      <x:c r="S223" s="84" t="str">
        <x:v>2739777</x:v>
      </x:c>
      <x:c r="T223" s="84" t="str">
        <x:v>2739777</x:v>
      </x:c>
      <x:c r="U223" s="84" t="str">
        <x:v>66642-2</x:v>
      </x:c>
      <x:c r="V223" s="84" t="str">
        <x:v>66642-2</x:v>
      </x:c>
      <x:c r="W223" s="84" t="str"/>
    </x:row>
    <x:row r="224" ht="18" customHeight="1">
      <x:c r="A224" s="83" t="str">
        <x:v>HAYS-0223</x:v>
      </x:c>
      <x:c r="B224" s="87" t="str">
        <x:v>Cotinus obovatus</x:v>
      </x:c>
      <x:c r="C224" s="87" t="str">
        <x:v>Cotinus obovatus</x:v>
      </x:c>
      <x:c r="D224" s="84" t="str">
        <x:v>Anacardiaceae</x:v>
      </x:c>
      <x:c r="E224" s="84" t="str">
        <x:v>Cotinus</x:v>
      </x:c>
      <x:c r="F224" s="84" t="str">
        <x:v>Species</x:v>
      </x:c>
      <x:c r="G224" s="84" t="str">
        <x:v>Accepted</x:v>
      </x:c>
      <x:c r="H224" s="84" t="str">
        <x:v>American Smoke Tree, Texas Smoke Tree, Wild Smoke Tree, Smoke Tree, Smokebush, Chittamwood</x:v>
      </x:c>
      <x:c r="I224" s="84" t="str">
        <x:v>Perennial</x:v>
      </x:c>
      <x:c r="J224" s="84" t="str">
        <x:v>Tree</x:v>
      </x:c>
      <x:c r="K224" s="84" t="str">
        <x:v>Sun</x:v>
      </x:c>
      <x:c r="L224" s="84" t="str">
        <x:v>Medium</x:v>
      </x:c>
      <x:c r="M224" s="89" t="n">
        <x:v>1</x:v>
      </x:c>
      <x:c r="N224" s="89" t="n">
        <x:v>1</x:v>
      </x:c>
      <x:c r="O224" s="89" t="n">
        <x:v>1</x:v>
      </x:c>
      <x:c r="P224" s="89" t="n">
        <x:f>SUM(M224:O224)</x:f>
        <x:v>3</x:v>
      </x:c>
      <x:c r="Q224" s="84" t="str">
        <x:v>Exact accepted-name match</x:v>
      </x:c>
      <x:c r="R224" s="84" t="str">
        <x:v>Cotinus obovatus</x:v>
      </x:c>
      <x:c r="S224" s="84" t="str">
        <x:v>2740014</x:v>
      </x:c>
      <x:c r="T224" s="84" t="str">
        <x:v>2740014</x:v>
      </x:c>
      <x:c r="U224" s="84" t="str">
        <x:v>69506-1</x:v>
      </x:c>
      <x:c r="V224" s="84" t="str">
        <x:v>69506-1</x:v>
      </x:c>
      <x:c r="W224" s="84" t="str"/>
    </x:row>
    <x:row r="225" ht="18" customHeight="1">
      <x:c r="A225" s="83" t="str">
        <x:v>HAYS-0224</x:v>
      </x:c>
      <x:c r="B225" s="87" t="str">
        <x:v>Croton capitatus</x:v>
      </x:c>
      <x:c r="C225" s="87" t="str">
        <x:v>Croton capitatus</x:v>
      </x:c>
      <x:c r="D225" s="84" t="str">
        <x:v>Euphorbiaceae</x:v>
      </x:c>
      <x:c r="E225" s="84" t="str">
        <x:v>Croton</x:v>
      </x:c>
      <x:c r="F225" s="84" t="str">
        <x:v>Species</x:v>
      </x:c>
      <x:c r="G225" s="84" t="str">
        <x:v>Accepted</x:v>
      </x:c>
      <x:c r="H225" s="84" t="str">
        <x:v>Hogwort, Texas Goatweed</x:v>
      </x:c>
      <x:c r="I225" s="84" t="str">
        <x:v>Annual</x:v>
      </x:c>
      <x:c r="J225" s="84" t="str">
        <x:v>Herb</x:v>
      </x:c>
      <x:c r="K225" s="84" t="str"/>
      <x:c r="L225" s="84" t="str"/>
      <x:c r="M225" s="89" t="n">
        <x:v>1</x:v>
      </x:c>
      <x:c r="N225" s="89" t="n">
        <x:v>1</x:v>
      </x:c>
      <x:c r="O225" s="89" t="n">
        <x:v>0</x:v>
      </x:c>
      <x:c r="P225" s="89" t="n">
        <x:f>SUM(M225:O225)</x:f>
        <x:v>2</x:v>
      </x:c>
      <x:c r="Q225" s="84" t="str">
        <x:v>Exact accepted-name match</x:v>
      </x:c>
      <x:c r="R225" s="84" t="str">
        <x:v>Croton capitatus</x:v>
      </x:c>
      <x:c r="S225" s="84" t="str">
        <x:v>49532</x:v>
      </x:c>
      <x:c r="T225" s="84" t="str">
        <x:v>49532</x:v>
      </x:c>
      <x:c r="U225" s="84" t="str">
        <x:v>342226-1</x:v>
      </x:c>
      <x:c r="V225" s="84" t="str">
        <x:v>342226-1</x:v>
      </x:c>
      <x:c r="W225" s="84" t="str"/>
    </x:row>
    <x:row r="226" ht="18" customHeight="1">
      <x:c r="A226" s="83" t="str">
        <x:v>HAYS-0225</x:v>
      </x:c>
      <x:c r="B226" s="87" t="str">
        <x:v>Croton fruticulosus</x:v>
      </x:c>
      <x:c r="C226" s="87" t="str">
        <x:v>Croton fruticulosus</x:v>
      </x:c>
      <x:c r="D226" s="84" t="str">
        <x:v>Euphorbiaceae</x:v>
      </x:c>
      <x:c r="E226" s="84" t="str">
        <x:v>Croton</x:v>
      </x:c>
      <x:c r="F226" s="84" t="str">
        <x:v>Species</x:v>
      </x:c>
      <x:c r="G226" s="84" t="str">
        <x:v>Accepted</x:v>
      </x:c>
      <x:c r="H226" s="84" t="str">
        <x:v>Bush Croton, Encinilla, Hierba Loca</x:v>
      </x:c>
      <x:c r="I226" s="84" t="str">
        <x:v>Perennial</x:v>
      </x:c>
      <x:c r="J226" s="84" t="str">
        <x:v>Herb</x:v>
      </x:c>
      <x:c r="K226" s="84" t="str">
        <x:v>Part-shade</x:v>
      </x:c>
      <x:c r="L226" s="84" t="str">
        <x:v>Dry</x:v>
      </x:c>
      <x:c r="M226" s="89" t="n">
        <x:v>1</x:v>
      </x:c>
      <x:c r="N226" s="89" t="n">
        <x:v>1</x:v>
      </x:c>
      <x:c r="O226" s="89" t="n">
        <x:v>0</x:v>
      </x:c>
      <x:c r="P226" s="89" t="n">
        <x:f>SUM(M226:O226)</x:f>
        <x:v>2</x:v>
      </x:c>
      <x:c r="Q226" s="84" t="str">
        <x:v>Exact accepted-name match</x:v>
      </x:c>
      <x:c r="R226" s="84" t="str">
        <x:v>Croton fruticulosus</x:v>
      </x:c>
      <x:c r="S226" s="84" t="str">
        <x:v>49940</x:v>
      </x:c>
      <x:c r="T226" s="84" t="str">
        <x:v>49940</x:v>
      </x:c>
      <x:c r="U226" s="84" t="str">
        <x:v>342559-1</x:v>
      </x:c>
      <x:c r="V226" s="84" t="str">
        <x:v>342559-1</x:v>
      </x:c>
      <x:c r="W226" s="84" t="str"/>
    </x:row>
    <x:row r="227" ht="18" customHeight="1">
      <x:c r="A227" s="83" t="str">
        <x:v>HAYS-0226</x:v>
      </x:c>
      <x:c r="B227" s="87" t="str">
        <x:v>Croton lindheimerianus</x:v>
      </x:c>
      <x:c r="C227" s="87" t="str">
        <x:v>Croton lindheimerianus</x:v>
      </x:c>
      <x:c r="D227" s="84" t="str">
        <x:v>Euphorbiaceae</x:v>
      </x:c>
      <x:c r="E227" s="84" t="str">
        <x:v>Croton</x:v>
      </x:c>
      <x:c r="F227" s="84" t="str">
        <x:v>Species</x:v>
      </x:c>
      <x:c r="G227" s="84" t="str">
        <x:v>Accepted</x:v>
      </x:c>
      <x:c r="H227" s="84" t="str">
        <x:v>Threeseed Croton</x:v>
      </x:c>
      <x:c r="I227" s="84" t="str">
        <x:v>Annual</x:v>
      </x:c>
      <x:c r="J227" s="84" t="str">
        <x:v>Herb</x:v>
      </x:c>
      <x:c r="K227" s="84" t="str">
        <x:v>Sun</x:v>
      </x:c>
      <x:c r="L227" s="84" t="str"/>
      <x:c r="M227" s="89" t="n">
        <x:v>1</x:v>
      </x:c>
      <x:c r="N227" s="89" t="n">
        <x:v>1</x:v>
      </x:c>
      <x:c r="O227" s="89" t="n">
        <x:v>0</x:v>
      </x:c>
      <x:c r="P227" s="89" t="n">
        <x:f>SUM(M227:O227)</x:f>
        <x:v>2</x:v>
      </x:c>
      <x:c r="Q227" s="84" t="str">
        <x:v>Exact accepted-name match</x:v>
      </x:c>
      <x:c r="R227" s="84" t="str">
        <x:v>Croton lindheimerianus</x:v>
      </x:c>
      <x:c r="S227" s="84" t="str">
        <x:v>50368</x:v>
      </x:c>
      <x:c r="T227" s="84" t="str">
        <x:v>50368</x:v>
      </x:c>
      <x:c r="U227" s="84" t="str">
        <x:v>70436-2</x:v>
      </x:c>
      <x:c r="V227" s="84" t="str">
        <x:v>70436-2</x:v>
      </x:c>
      <x:c r="W227" s="84" t="str"/>
    </x:row>
    <x:row r="228" ht="18" customHeight="1">
      <x:c r="A228" s="83" t="str">
        <x:v>HAYS-0227</x:v>
      </x:c>
      <x:c r="B228" s="87" t="str">
        <x:v>Croton monanthogynus</x:v>
      </x:c>
      <x:c r="C228" s="87" t="str">
        <x:v>Croton monanthogynus</x:v>
      </x:c>
      <x:c r="D228" s="84" t="str">
        <x:v>Euphorbiaceae</x:v>
      </x:c>
      <x:c r="E228" s="84" t="str">
        <x:v>Croton</x:v>
      </x:c>
      <x:c r="F228" s="84" t="str">
        <x:v>Species</x:v>
      </x:c>
      <x:c r="G228" s="84" t="str">
        <x:v>Accepted</x:v>
      </x:c>
      <x:c r="H228" s="84" t="str">
        <x:v>Prairie Tea, One-seed Croton, Doveweed, Dove Weed, Prairie Goatweed</x:v>
      </x:c>
      <x:c r="I228" s="84" t="str">
        <x:v>Annual</x:v>
      </x:c>
      <x:c r="J228" s="84" t="str">
        <x:v>Herb</x:v>
      </x:c>
      <x:c r="K228" s="84" t="str">
        <x:v>Sun</x:v>
      </x:c>
      <x:c r="L228" s="84" t="str">
        <x:v>Moist, Dry</x:v>
      </x:c>
      <x:c r="M228" s="89" t="n">
        <x:v>1</x:v>
      </x:c>
      <x:c r="N228" s="89" t="n">
        <x:v>1</x:v>
      </x:c>
      <x:c r="O228" s="89" t="n">
        <x:v>0</x:v>
      </x:c>
      <x:c r="P228" s="89" t="n">
        <x:f>SUM(M228:O228)</x:f>
        <x:v>2</x:v>
      </x:c>
      <x:c r="Q228" s="84" t="str">
        <x:v>Exact accepted-name match</x:v>
      </x:c>
      <x:c r="R228" s="84" t="str">
        <x:v>Croton monanthogynus</x:v>
      </x:c>
      <x:c r="S228" s="84" t="str">
        <x:v>50591</x:v>
      </x:c>
      <x:c r="T228" s="84" t="str">
        <x:v>50591</x:v>
      </x:c>
      <x:c r="U228" s="84" t="str">
        <x:v>70559-2</x:v>
      </x:c>
      <x:c r="V228" s="84" t="str">
        <x:v>70559-2</x:v>
      </x:c>
      <x:c r="W228" s="84" t="str"/>
    </x:row>
    <x:row r="229" ht="18" customHeight="1">
      <x:c r="A229" s="83" t="str">
        <x:v>HAYS-0228</x:v>
      </x:c>
      <x:c r="B229" s="87" t="str">
        <x:v>Croton texensis</x:v>
      </x:c>
      <x:c r="C229" s="87" t="str">
        <x:v>Croton texensis</x:v>
      </x:c>
      <x:c r="D229" s="84" t="str">
        <x:v>Euphorbiaceae</x:v>
      </x:c>
      <x:c r="E229" s="84" t="str">
        <x:v>Croton</x:v>
      </x:c>
      <x:c r="F229" s="84" t="str">
        <x:v>Species</x:v>
      </x:c>
      <x:c r="G229" s="84" t="str">
        <x:v>Accepted</x:v>
      </x:c>
      <x:c r="H229" s="84" t="str">
        <x:v>Texas Croton, Doveweed, Texas Goatweed</x:v>
      </x:c>
      <x:c r="I229" s="84" t="str">
        <x:v>Annual</x:v>
      </x:c>
      <x:c r="J229" s="84" t="str">
        <x:v>Herb</x:v>
      </x:c>
      <x:c r="K229" s="84" t="str">
        <x:v>Sun</x:v>
      </x:c>
      <x:c r="L229" s="84" t="str">
        <x:v>Dry–Medium</x:v>
      </x:c>
      <x:c r="M229" s="89" t="n">
        <x:v>1</x:v>
      </x:c>
      <x:c r="N229" s="89" t="n">
        <x:v>1</x:v>
      </x:c>
      <x:c r="O229" s="89" t="n">
        <x:v>1</x:v>
      </x:c>
      <x:c r="P229" s="89" t="n">
        <x:f>SUM(M229:O229)</x:f>
        <x:v>3</x:v>
      </x:c>
      <x:c r="Q229" s="84" t="str">
        <x:v>Exact accepted-name match</x:v>
      </x:c>
      <x:c r="R229" s="84" t="str">
        <x:v>Croton texensis</x:v>
      </x:c>
      <x:c r="S229" s="84" t="str">
        <x:v>51344</x:v>
      </x:c>
      <x:c r="T229" s="84" t="str">
        <x:v>51344</x:v>
      </x:c>
      <x:c r="U229" s="84" t="str">
        <x:v>1197425-2</x:v>
      </x:c>
      <x:c r="V229" s="84" t="str">
        <x:v>1197425-2</x:v>
      </x:c>
      <x:c r="W229" s="84" t="str"/>
    </x:row>
    <x:row r="230" ht="18" customHeight="1">
      <x:c r="A230" s="83" t="str">
        <x:v>HAYS-0229</x:v>
      </x:c>
      <x:c r="B230" s="87" t="str">
        <x:v>Cryptantha texana</x:v>
      </x:c>
      <x:c r="C230" s="87" t="str">
        <x:v>Cryptantha texana</x:v>
      </x:c>
      <x:c r="D230" s="84" t="str">
        <x:v>Boraginaceae</x:v>
      </x:c>
      <x:c r="E230" s="84" t="str">
        <x:v>Cryptantha</x:v>
      </x:c>
      <x:c r="F230" s="84" t="str">
        <x:v>Species</x:v>
      </x:c>
      <x:c r="G230" s="84" t="str">
        <x:v>Accepted</x:v>
      </x:c>
      <x:c r="H230" s="84" t="str">
        <x:v>Pick Me Nots</x:v>
      </x:c>
      <x:c r="I230" s="84" t="str">
        <x:v>Annual</x:v>
      </x:c>
      <x:c r="J230" s="84" t="str">
        <x:v>Herb</x:v>
      </x:c>
      <x:c r="K230" s="84" t="str"/>
      <x:c r="L230" s="84" t="str"/>
      <x:c r="M230" s="89" t="n">
        <x:v>1</x:v>
      </x:c>
      <x:c r="N230" s="89" t="n">
        <x:v>1</x:v>
      </x:c>
      <x:c r="O230" s="89" t="n">
        <x:v>0</x:v>
      </x:c>
      <x:c r="P230" s="89" t="n">
        <x:f>SUM(M230:O230)</x:f>
        <x:v>2</x:v>
      </x:c>
      <x:c r="Q230" s="84" t="str">
        <x:v>Exact accepted-name match</x:v>
      </x:c>
      <x:c r="R230" s="84" t="str">
        <x:v>Cryptantha texana</x:v>
      </x:c>
      <x:c r="S230" s="84" t="str">
        <x:v>2745758</x:v>
      </x:c>
      <x:c r="T230" s="84" t="str">
        <x:v>2745758</x:v>
      </x:c>
      <x:c r="U230" s="84" t="str">
        <x:v>71591-2</x:v>
      </x:c>
      <x:c r="V230" s="84" t="str">
        <x:v>71591-2</x:v>
      </x:c>
      <x:c r="W230" s="84" t="str"/>
    </x:row>
    <x:row r="231" ht="18" customHeight="1">
      <x:c r="A231" s="83" t="str">
        <x:v>HAYS-0230</x:v>
      </x:c>
      <x:c r="B231" s="87" t="str">
        <x:v>Cucurbita foetidissima</x:v>
      </x:c>
      <x:c r="C231" s="87" t="str">
        <x:v>Cucurbita foetidissima</x:v>
      </x:c>
      <x:c r="D231" s="84" t="str">
        <x:v>Cucurbitaceae</x:v>
      </x:c>
      <x:c r="E231" s="84" t="str">
        <x:v>Cucurbita</x:v>
      </x:c>
      <x:c r="F231" s="84" t="str">
        <x:v>Species</x:v>
      </x:c>
      <x:c r="G231" s="84" t="str">
        <x:v>Accepted</x:v>
      </x:c>
      <x:c r="H231" s="84" t="str">
        <x:v>Stinking Gourd, Buffalo Gourd, Missouri Gourd, Stink Gourd, Wild Gourd</x:v>
      </x:c>
      <x:c r="I231" s="84" t="str">
        <x:v>Perennial</x:v>
      </x:c>
      <x:c r="J231" s="84" t="str">
        <x:v>Herb</x:v>
      </x:c>
      <x:c r="K231" s="84" t="str">
        <x:v>Sun</x:v>
      </x:c>
      <x:c r="L231" s="84" t="str"/>
      <x:c r="M231" s="89" t="n">
        <x:v>1</x:v>
      </x:c>
      <x:c r="N231" s="89" t="n">
        <x:v>1</x:v>
      </x:c>
      <x:c r="O231" s="89" t="n">
        <x:v>0</x:v>
      </x:c>
      <x:c r="P231" s="89" t="n">
        <x:f>SUM(M231:O231)</x:f>
        <x:v>2</x:v>
      </x:c>
      <x:c r="Q231" s="84" t="str">
        <x:v>Exact accepted-name match</x:v>
      </x:c>
      <x:c r="R231" s="84" t="str">
        <x:v>Cucurbita foetidissima</x:v>
      </x:c>
      <x:c r="S231" s="84" t="str">
        <x:v>2747138</x:v>
      </x:c>
      <x:c r="T231" s="84" t="str">
        <x:v>2747138</x:v>
      </x:c>
      <x:c r="U231" s="84" t="str">
        <x:v>292371-1</x:v>
      </x:c>
      <x:c r="V231" s="84" t="str">
        <x:v>292371-1</x:v>
      </x:c>
      <x:c r="W231" s="84" t="str"/>
    </x:row>
    <x:row r="232" ht="18" customHeight="1">
      <x:c r="A232" s="83" t="str">
        <x:v>HAYS-0231</x:v>
      </x:c>
      <x:c r="B232" s="87" t="str">
        <x:v>Cuscuta exaltata</x:v>
      </x:c>
      <x:c r="C232" s="87" t="str">
        <x:v>Cuscuta exaltata</x:v>
      </x:c>
      <x:c r="D232" s="84" t="str">
        <x:v>Convolvulaceae</x:v>
      </x:c>
      <x:c r="E232" s="84" t="str">
        <x:v>Cuscuta</x:v>
      </x:c>
      <x:c r="F232" s="84" t="str">
        <x:v>Species</x:v>
      </x:c>
      <x:c r="G232" s="84" t="str">
        <x:v>Accepted</x:v>
      </x:c>
      <x:c r="H232" s="84" t="str">
        <x:v>Tree Dodder, Tall Dodder</x:v>
      </x:c>
      <x:c r="I232" s="84" t="str">
        <x:v>Annual</x:v>
      </x:c>
      <x:c r="J232" s="84" t="str">
        <x:v>Vine</x:v>
      </x:c>
      <x:c r="K232" s="84" t="str"/>
      <x:c r="L232" s="84" t="str"/>
      <x:c r="M232" s="89" t="n">
        <x:v>1</x:v>
      </x:c>
      <x:c r="N232" s="89" t="n">
        <x:v>1</x:v>
      </x:c>
      <x:c r="O232" s="89" t="n">
        <x:v>0</x:v>
      </x:c>
      <x:c r="P232" s="89" t="n">
        <x:f>SUM(M232:O232)</x:f>
        <x:v>2</x:v>
      </x:c>
      <x:c r="Q232" s="84" t="str">
        <x:v>Exact accepted-name match</x:v>
      </x:c>
      <x:c r="R232" s="84" t="str">
        <x:v>Cuscuta exaltata</x:v>
      </x:c>
      <x:c r="S232" s="84" t="str">
        <x:v>485547</x:v>
      </x:c>
      <x:c r="T232" s="84" t="str">
        <x:v>485547</x:v>
      </x:c>
      <x:c r="U232" s="84" t="str">
        <x:v>72831-2</x:v>
      </x:c>
      <x:c r="V232" s="84" t="str">
        <x:v>72831-2</x:v>
      </x:c>
      <x:c r="W232" s="84" t="str"/>
    </x:row>
    <x:row r="233" ht="18" customHeight="1">
      <x:c r="A233" s="83" t="str">
        <x:v>HAYS-0232</x:v>
      </x:c>
      <x:c r="B233" s="87" t="str">
        <x:v>Cuscuta indecora</x:v>
      </x:c>
      <x:c r="C233" s="87" t="str">
        <x:v>Cuscuta indecora</x:v>
      </x:c>
      <x:c r="D233" s="84" t="str">
        <x:v>Convolvulaceae</x:v>
      </x:c>
      <x:c r="E233" s="84" t="str">
        <x:v>Cuscuta</x:v>
      </x:c>
      <x:c r="F233" s="84" t="str">
        <x:v>Species</x:v>
      </x:c>
      <x:c r="G233" s="84" t="str">
        <x:v>Accepted</x:v>
      </x:c>
      <x:c r="H233" s="84" t="str">
        <x:v>Bigseed Alfalfa Dodder, Largeseed Dodder, Pretty Dodder</x:v>
      </x:c>
      <x:c r="I233" s="84" t="str">
        <x:v>Perennial</x:v>
      </x:c>
      <x:c r="J233" s="84" t="str">
        <x:v>Herb, Vine</x:v>
      </x:c>
      <x:c r="K233" s="84" t="str"/>
      <x:c r="L233" s="84" t="str"/>
      <x:c r="M233" s="89" t="n">
        <x:v>1</x:v>
      </x:c>
      <x:c r="N233" s="89" t="n">
        <x:v>1</x:v>
      </x:c>
      <x:c r="O233" s="89" t="n">
        <x:v>0</x:v>
      </x:c>
      <x:c r="P233" s="89" t="n">
        <x:f>SUM(M233:O233)</x:f>
        <x:v>2</x:v>
      </x:c>
      <x:c r="Q233" s="84" t="str">
        <x:v>Exact accepted-name match</x:v>
      </x:c>
      <x:c r="R233" s="84" t="str">
        <x:v>Cuscuta indecora</x:v>
      </x:c>
      <x:c r="S233" s="84" t="str">
        <x:v>485121</x:v>
      </x:c>
      <x:c r="T233" s="84" t="str">
        <x:v>485121</x:v>
      </x:c>
      <x:c r="U233" s="84" t="str">
        <x:v>72866-2</x:v>
      </x:c>
      <x:c r="V233" s="84" t="str">
        <x:v>72866-2</x:v>
      </x:c>
      <x:c r="W233" s="84" t="str"/>
    </x:row>
    <x:row r="234" ht="18" customHeight="1">
      <x:c r="A234" s="83" t="str">
        <x:v>HAYS-0233</x:v>
      </x:c>
      <x:c r="B234" s="87" t="str">
        <x:v>Cuscuta obtusiflora</x:v>
      </x:c>
      <x:c r="C234" s="87" t="str">
        <x:v>Cuscuta obtusiflora</x:v>
      </x:c>
      <x:c r="D234" s="84" t="str">
        <x:v>Convolvulaceae</x:v>
      </x:c>
      <x:c r="E234" s="84" t="str">
        <x:v>Cuscuta</x:v>
      </x:c>
      <x:c r="F234" s="84" t="str">
        <x:v>Species</x:v>
      </x:c>
      <x:c r="G234" s="84" t="str">
        <x:v>Accepted</x:v>
      </x:c>
      <x:c r="H234" s="84" t="str">
        <x:v>Peruvian Dodder</x:v>
      </x:c>
      <x:c r="I234" s="84" t="str">
        <x:v>Annual, Perennial</x:v>
      </x:c>
      <x:c r="J234" s="84" t="str">
        <x:v>Herb, Vine</x:v>
      </x:c>
      <x:c r="K234" s="84" t="str"/>
      <x:c r="L234" s="84" t="str"/>
      <x:c r="M234" s="89" t="n">
        <x:v>1</x:v>
      </x:c>
      <x:c r="N234" s="89" t="n">
        <x:v>1</x:v>
      </x:c>
      <x:c r="O234" s="89" t="n">
        <x:v>0</x:v>
      </x:c>
      <x:c r="P234" s="89" t="n">
        <x:f>SUM(M234:O234)</x:f>
        <x:v>2</x:v>
      </x:c>
      <x:c r="Q234" s="84" t="str">
        <x:v>Exact accepted-name match</x:v>
      </x:c>
      <x:c r="R234" s="84" t="str">
        <x:v>Cuscuta obtusiflora</x:v>
      </x:c>
      <x:c r="S234" s="84" t="str">
        <x:v>485591</x:v>
      </x:c>
      <x:c r="T234" s="84" t="str">
        <x:v>485591</x:v>
      </x:c>
      <x:c r="U234" s="84" t="str">
        <x:v>72898-2</x:v>
      </x:c>
      <x:c r="V234" s="84" t="str">
        <x:v>72898-2</x:v>
      </x:c>
      <x:c r="W234" s="84" t="str"/>
    </x:row>
    <x:row r="235" ht="18" customHeight="1">
      <x:c r="A235" s="83" t="str">
        <x:v>HAYS-0234</x:v>
      </x:c>
      <x:c r="B235" s="87" t="str">
        <x:v>Cuscuta pentagona</x:v>
      </x:c>
      <x:c r="C235" s="87" t="str">
        <x:v>Cuscuta pentagona</x:v>
      </x:c>
      <x:c r="D235" s="84" t="str">
        <x:v>Convolvulaceae</x:v>
      </x:c>
      <x:c r="E235" s="84" t="str">
        <x:v>Cuscuta</x:v>
      </x:c>
      <x:c r="F235" s="84" t="str">
        <x:v>Species</x:v>
      </x:c>
      <x:c r="G235" s="84" t="str">
        <x:v>Accepted</x:v>
      </x:c>
      <x:c r="H235" s="84" t="str">
        <x:v>Fiveangled Dodder</x:v>
      </x:c>
      <x:c r="I235" s="84" t="str">
        <x:v>Annual</x:v>
      </x:c>
      <x:c r="J235" s="84" t="str">
        <x:v>Vine</x:v>
      </x:c>
      <x:c r="K235" s="84" t="str"/>
      <x:c r="L235" s="84" t="str"/>
      <x:c r="M235" s="89" t="n">
        <x:v>1</x:v>
      </x:c>
      <x:c r="N235" s="89" t="n">
        <x:v>1</x:v>
      </x:c>
      <x:c r="O235" s="89" t="n">
        <x:v>0</x:v>
      </x:c>
      <x:c r="P235" s="89" t="n">
        <x:f>SUM(M235:O235)</x:f>
        <x:v>2</x:v>
      </x:c>
      <x:c r="Q235" s="84" t="str">
        <x:v>Exact accepted-name match</x:v>
      </x:c>
      <x:c r="R235" s="84" t="str">
        <x:v>Cuscuta pentagona</x:v>
      </x:c>
      <x:c r="S235" s="84" t="str">
        <x:v>485629</x:v>
      </x:c>
      <x:c r="T235" s="84" t="str">
        <x:v>485629</x:v>
      </x:c>
      <x:c r="U235" s="84" t="str">
        <x:v>72922-2</x:v>
      </x:c>
      <x:c r="V235" s="84" t="str">
        <x:v>72922-2</x:v>
      </x:c>
      <x:c r="W235" s="84" t="str"/>
    </x:row>
    <x:row r="236" ht="18" customHeight="1">
      <x:c r="A236" s="83" t="str">
        <x:v>HAYS-0235</x:v>
      </x:c>
      <x:c r="B236" s="87" t="str">
        <x:v>Cylindropuntia leptocaulis</x:v>
      </x:c>
      <x:c r="C236" s="87" t="str">
        <x:v>Cylindropuntia leptocaulis</x:v>
      </x:c>
      <x:c r="D236" s="84" t="str">
        <x:v>Cactaceae</x:v>
      </x:c>
      <x:c r="E236" s="84" t="str">
        <x:v>Cylindropuntia</x:v>
      </x:c>
      <x:c r="F236" s="84" t="str">
        <x:v>Species</x:v>
      </x:c>
      <x:c r="G236" s="84" t="str">
        <x:v>Accepted</x:v>
      </x:c>
      <x:c r="H236" s="84" t="str">
        <x:v>Tasajillo, Christmas Cactus, Pencil Cactus, Christmas Cholla, Desert Christmas Cactus</x:v>
      </x:c>
      <x:c r="I236" s="84" t="str">
        <x:v>Perennial</x:v>
      </x:c>
      <x:c r="J236" s="84" t="str">
        <x:v>Cactus/Succulent</x:v>
      </x:c>
      <x:c r="K236" s="84" t="str">
        <x:v>Sun</x:v>
      </x:c>
      <x:c r="L236" s="84" t="str">
        <x:v>Dry</x:v>
      </x:c>
      <x:c r="M236" s="89" t="n">
        <x:v>1</x:v>
      </x:c>
      <x:c r="N236" s="89" t="n">
        <x:v>1</x:v>
      </x:c>
      <x:c r="O236" s="89" t="n">
        <x:v>0</x:v>
      </x:c>
      <x:c r="P236" s="89" t="n">
        <x:f>SUM(M236:O236)</x:f>
        <x:v>2</x:v>
      </x:c>
      <x:c r="Q236" s="84" t="str">
        <x:v>Exact accepted-name match</x:v>
      </x:c>
      <x:c r="R236" s="84" t="str">
        <x:v>Cylindropuntia leptocaulis</x:v>
      </x:c>
      <x:c r="S236" s="84" t="str">
        <x:v>2750418</x:v>
      </x:c>
      <x:c r="T236" s="84" t="str">
        <x:v>2750418</x:v>
      </x:c>
      <x:c r="U236" s="84" t="str">
        <x:v>73874-2</x:v>
      </x:c>
      <x:c r="V236" s="84" t="str">
        <x:v>73874-2</x:v>
      </x:c>
      <x:c r="W236" s="84" t="str"/>
    </x:row>
    <x:row r="237" ht="18" customHeight="1">
      <x:c r="A237" s="83" t="str">
        <x:v>HAYS-0236</x:v>
      </x:c>
      <x:c r="B237" s="87" t="str">
        <x:v>Cymopterus macrorhizus</x:v>
      </x:c>
      <x:c r="C237" s="87" t="str">
        <x:v>Vesper macrorhizus</x:v>
      </x:c>
      <x:c r="D237" s="84" t="str">
        <x:v>Apiaceae</x:v>
      </x:c>
      <x:c r="E237" s="84" t="str">
        <x:v>Vesper</x:v>
      </x:c>
      <x:c r="F237" s="84" t="str">
        <x:v>Species</x:v>
      </x:c>
      <x:c r="G237" s="84" t="str">
        <x:v>Synonym</x:v>
      </x:c>
      <x:c r="H237" s="84" t="str">
        <x:v>Bigroot Springparsley, Big-root Cymopterus</x:v>
      </x:c>
      <x:c r="I237" s="84" t="str">
        <x:v>Perennial</x:v>
      </x:c>
      <x:c r="J237" s="84" t="str">
        <x:v>Herb</x:v>
      </x:c>
      <x:c r="K237" s="84" t="str"/>
      <x:c r="L237" s="84" t="str"/>
      <x:c r="M237" s="89" t="n">
        <x:v>1</x:v>
      </x:c>
      <x:c r="N237" s="89" t="n">
        <x:v>1</x:v>
      </x:c>
      <x:c r="O237" s="89" t="n">
        <x:v>0</x:v>
      </x:c>
      <x:c r="P237" s="89" t="n">
        <x:f>SUM(M237:O237)</x:f>
        <x:v>2</x:v>
      </x:c>
      <x:c r="Q237" s="84" t="str">
        <x:v>Exact synonym-name match</x:v>
      </x:c>
      <x:c r="R237" s="84" t="str">
        <x:v>Cymopterus macrorhizus</x:v>
      </x:c>
      <x:c r="S237" s="84" t="str">
        <x:v>2750726</x:v>
      </x:c>
      <x:c r="T237" s="84" t="str">
        <x:v>2999145</x:v>
      </x:c>
      <x:c r="U237" s="84" t="str">
        <x:v>840953-1</x:v>
      </x:c>
      <x:c r="V237" s="84" t="str">
        <x:v>77128529-1</x:v>
      </x:c>
      <x:c r="W237" s="84" t="str"/>
    </x:row>
    <x:row r="238" ht="18" customHeight="1">
      <x:c r="A238" s="83" t="str">
        <x:v>HAYS-0237</x:v>
      </x:c>
      <x:c r="B238" s="87" t="str">
        <x:v>Cynanchum barbigerum</x:v>
      </x:c>
      <x:c r="C238" s="87" t="str">
        <x:v>Metastelma barbigerum</x:v>
      </x:c>
      <x:c r="D238" s="84" t="str">
        <x:v>Apocynaceae</x:v>
      </x:c>
      <x:c r="E238" s="84" t="str">
        <x:v>Metastelma</x:v>
      </x:c>
      <x:c r="F238" s="84" t="str">
        <x:v>Species</x:v>
      </x:c>
      <x:c r="G238" s="84" t="str">
        <x:v>Synonym</x:v>
      </x:c>
      <x:c r="H238" s="84" t="str">
        <x:v>Cynanchum, Bearded Swallow-wort, Thicket Threadvine</x:v>
      </x:c>
      <x:c r="I238" s="84" t="str">
        <x:v>Perennial</x:v>
      </x:c>
      <x:c r="J238" s="84" t="str">
        <x:v>Vine</x:v>
      </x:c>
      <x:c r="K238" s="84" t="str">
        <x:v>Sun</x:v>
      </x:c>
      <x:c r="L238" s="84" t="str">
        <x:v>Low</x:v>
      </x:c>
      <x:c r="M238" s="89" t="n">
        <x:v>1</x:v>
      </x:c>
      <x:c r="N238" s="89" t="n">
        <x:v>1</x:v>
      </x:c>
      <x:c r="O238" s="89" t="n">
        <x:v>1</x:v>
      </x:c>
      <x:c r="P238" s="89" t="n">
        <x:f>SUM(M238:O238)</x:f>
        <x:v>3</x:v>
      </x:c>
      <x:c r="Q238" s="84" t="str">
        <x:v>Exact synonym-name match</x:v>
      </x:c>
      <x:c r="R238" s="84" t="str">
        <x:v>Cynanchum barbigerum</x:v>
      </x:c>
      <x:c r="S238" s="84" t="str">
        <x:v>503422</x:v>
      </x:c>
      <x:c r="T238" s="84" t="str">
        <x:v>508852</x:v>
      </x:c>
      <x:c r="U238" s="84" t="str">
        <x:v>74070-2</x:v>
      </x:c>
      <x:c r="V238" s="84" t="str">
        <x:v>99605-1</x:v>
      </x:c>
      <x:c r="W238" s="84" t="str"/>
    </x:row>
    <x:row r="239" ht="18" customHeight="1">
      <x:c r="A239" s="83" t="str">
        <x:v>HAYS-0238</x:v>
      </x:c>
      <x:c r="B239" s="87" t="str">
        <x:v>Cyperus esculentus</x:v>
      </x:c>
      <x:c r="C239" s="87" t="str">
        <x:v>Cyperus esculentus</x:v>
      </x:c>
      <x:c r="D239" s="84" t="str">
        <x:v>Cyperaceae</x:v>
      </x:c>
      <x:c r="E239" s="84" t="str">
        <x:v>Cyperus</x:v>
      </x:c>
      <x:c r="F239" s="84" t="str">
        <x:v>Species</x:v>
      </x:c>
      <x:c r="G239" s="84" t="str">
        <x:v>Accepted</x:v>
      </x:c>
      <x:c r="H239" s="84" t="str">
        <x:v>Yellow Nutsedge, Chufa Sedge, Yellow Nut-grass</x:v>
      </x:c>
      <x:c r="I239" s="84" t="str">
        <x:v>Perennial</x:v>
      </x:c>
      <x:c r="J239" s="84" t="str">
        <x:v>Grass/Grass-like</x:v>
      </x:c>
      <x:c r="K239" s="84" t="str">
        <x:v>Sun, Part-shade</x:v>
      </x:c>
      <x:c r="L239" s="84" t="str">
        <x:v>Moist</x:v>
      </x:c>
      <x:c r="M239" s="89" t="n">
        <x:v>1</x:v>
      </x:c>
      <x:c r="N239" s="89" t="n">
        <x:v>1</x:v>
      </x:c>
      <x:c r="O239" s="89" t="n">
        <x:v>0</x:v>
      </x:c>
      <x:c r="P239" s="89" t="n">
        <x:f>SUM(M239:O239)</x:f>
        <x:v>2</x:v>
      </x:c>
      <x:c r="Q239" s="84" t="str">
        <x:v>Exact accepted-name match</x:v>
      </x:c>
      <x:c r="R239" s="84" t="str">
        <x:v>Cyperus esculentus</x:v>
      </x:c>
      <x:c r="S239" s="84" t="str">
        <x:v>236532</x:v>
      </x:c>
      <x:c r="T239" s="84" t="str">
        <x:v>236532</x:v>
      </x:c>
      <x:c r="U239" s="84" t="str">
        <x:v>300668-2</x:v>
      </x:c>
      <x:c r="V239" s="84" t="str">
        <x:v>300668-2</x:v>
      </x:c>
      <x:c r="W239" s="84" t="str"/>
    </x:row>
    <x:row r="240" ht="18" customHeight="1">
      <x:c r="A240" s="83" t="str">
        <x:v>HAYS-0239</x:v>
      </x:c>
      <x:c r="B240" s="87" t="str">
        <x:v>Cyperus odoratus</x:v>
      </x:c>
      <x:c r="C240" s="87" t="str">
        <x:v>Cyperus odoratus</x:v>
      </x:c>
      <x:c r="D240" s="84" t="str">
        <x:v>Cyperaceae</x:v>
      </x:c>
      <x:c r="E240" s="84" t="str">
        <x:v>Cyperus</x:v>
      </x:c>
      <x:c r="F240" s="84" t="str">
        <x:v>Species</x:v>
      </x:c>
      <x:c r="G240" s="84" t="str">
        <x:v>Accepted</x:v>
      </x:c>
      <x:c r="H240" s="84" t="str">
        <x:v>Fragrant Flatsedge, Fragrant Sedge</x:v>
      </x:c>
      <x:c r="I240" s="84" t="str">
        <x:v>Annual</x:v>
      </x:c>
      <x:c r="J240" s="84" t="str">
        <x:v>Grass/Grass-like</x:v>
      </x:c>
      <x:c r="K240" s="84" t="str">
        <x:v>Sun</x:v>
      </x:c>
      <x:c r="L240" s="84" t="str"/>
      <x:c r="M240" s="89" t="n">
        <x:v>1</x:v>
      </x:c>
      <x:c r="N240" s="89" t="n">
        <x:v>1</x:v>
      </x:c>
      <x:c r="O240" s="89" t="n">
        <x:v>0</x:v>
      </x:c>
      <x:c r="P240" s="89" t="n">
        <x:f>SUM(M240:O240)</x:f>
        <x:v>2</x:v>
      </x:c>
      <x:c r="Q240" s="84" t="str">
        <x:v>Exact accepted-name match</x:v>
      </x:c>
      <x:c r="R240" s="84" t="str">
        <x:v>Cyperus odoratus</x:v>
      </x:c>
      <x:c r="S240" s="84" t="str">
        <x:v>237787</x:v>
      </x:c>
      <x:c r="T240" s="84" t="str">
        <x:v>237787</x:v>
      </x:c>
      <x:c r="U240" s="84" t="str">
        <x:v>74939-2</x:v>
      </x:c>
      <x:c r="V240" s="84" t="str">
        <x:v>74939-2</x:v>
      </x:c>
      <x:c r="W240" s="84" t="str"/>
    </x:row>
    <x:row r="241" ht="18" customHeight="1">
      <x:c r="A241" s="83" t="str">
        <x:v>HAYS-0240</x:v>
      </x:c>
      <x:c r="B241" s="87" t="str">
        <x:v>Cyperus retroflexus</x:v>
      </x:c>
      <x:c r="C241" s="87" t="str">
        <x:v>Cyperus retroflexus</x:v>
      </x:c>
      <x:c r="D241" s="84" t="str">
        <x:v>Cyperaceae</x:v>
      </x:c>
      <x:c r="E241" s="84" t="str">
        <x:v>Cyperus</x:v>
      </x:c>
      <x:c r="F241" s="84" t="str">
        <x:v>Species</x:v>
      </x:c>
      <x:c r="G241" s="84" t="str">
        <x:v>Accepted</x:v>
      </x:c>
      <x:c r="H241" s="84" t="str">
        <x:v>Oneflower Flatsedge</x:v>
      </x:c>
      <x:c r="I241" s="84" t="str">
        <x:v>Perennial</x:v>
      </x:c>
      <x:c r="J241" s="84" t="str">
        <x:v>Grass/Grass-like</x:v>
      </x:c>
      <x:c r="K241" s="84" t="str"/>
      <x:c r="L241" s="84" t="str"/>
      <x:c r="M241" s="89" t="n">
        <x:v>1</x:v>
      </x:c>
      <x:c r="N241" s="89" t="n">
        <x:v>1</x:v>
      </x:c>
      <x:c r="O241" s="89" t="n">
        <x:v>0</x:v>
      </x:c>
      <x:c r="P241" s="89" t="n">
        <x:f>SUM(M241:O241)</x:f>
        <x:v>2</x:v>
      </x:c>
      <x:c r="Q241" s="84" t="str">
        <x:v>Exact accepted-name match</x:v>
      </x:c>
      <x:c r="R241" s="84" t="str">
        <x:v>Cyperus retroflexus</x:v>
      </x:c>
      <x:c r="S241" s="84" t="str">
        <x:v>238279</x:v>
      </x:c>
      <x:c r="T241" s="84" t="str">
        <x:v>238279</x:v>
      </x:c>
      <x:c r="U241" s="84" t="str">
        <x:v>75051-2</x:v>
      </x:c>
      <x:c r="V241" s="84" t="str">
        <x:v>75051-2</x:v>
      </x:c>
      <x:c r="W241" s="84" t="str"/>
    </x:row>
    <x:row r="242" ht="18" customHeight="1">
      <x:c r="A242" s="83" t="str">
        <x:v>HAYS-0241</x:v>
      </x:c>
      <x:c r="B242" s="87" t="str">
        <x:v>Cyperus strigosus</x:v>
      </x:c>
      <x:c r="C242" s="87" t="str">
        <x:v>Cyperus strigosus</x:v>
      </x:c>
      <x:c r="D242" s="84" t="str">
        <x:v>Cyperaceae</x:v>
      </x:c>
      <x:c r="E242" s="84" t="str">
        <x:v>Cyperus</x:v>
      </x:c>
      <x:c r="F242" s="84" t="str">
        <x:v>Species</x:v>
      </x:c>
      <x:c r="G242" s="84" t="str">
        <x:v>Accepted</x:v>
      </x:c>
      <x:c r="H242" s="84" t="str">
        <x:v>Straw-colored Flatsedge</x:v>
      </x:c>
      <x:c r="I242" s="84" t="str">
        <x:v>Perennial</x:v>
      </x:c>
      <x:c r="J242" s="84" t="str">
        <x:v>Grass/Grass-like</x:v>
      </x:c>
      <x:c r="K242" s="84" t="str"/>
      <x:c r="L242" s="84" t="str"/>
      <x:c r="M242" s="89" t="n">
        <x:v>1</x:v>
      </x:c>
      <x:c r="N242" s="89" t="n">
        <x:v>1</x:v>
      </x:c>
      <x:c r="O242" s="89" t="n">
        <x:v>0</x:v>
      </x:c>
      <x:c r="P242" s="89" t="n">
        <x:f>SUM(M242:O242)</x:f>
        <x:v>2</x:v>
      </x:c>
      <x:c r="Q242" s="84" t="str">
        <x:v>Exact accepted-name match</x:v>
      </x:c>
      <x:c r="R242" s="84" t="str">
        <x:v>Cyperus strigosus</x:v>
      </x:c>
      <x:c r="S242" s="84" t="str">
        <x:v>238655</x:v>
      </x:c>
      <x:c r="T242" s="84" t="str">
        <x:v>238655</x:v>
      </x:c>
      <x:c r="U242" s="84" t="str">
        <x:v>306028-1</x:v>
      </x:c>
      <x:c r="V242" s="84" t="str">
        <x:v>306028-1</x:v>
      </x:c>
      <x:c r="W242" s="84" t="str"/>
    </x:row>
    <x:row r="243" ht="18" customHeight="1">
      <x:c r="A243" s="83" t="str">
        <x:v>HAYS-0242</x:v>
      </x:c>
      <x:c r="B243" s="87" t="str">
        <x:v>Dalea aurea</x:v>
      </x:c>
      <x:c r="C243" s="87" t="str">
        <x:v>Dalea aurea</x:v>
      </x:c>
      <x:c r="D243" s="84" t="str">
        <x:v>Fabaceae</x:v>
      </x:c>
      <x:c r="E243" s="84" t="str">
        <x:v>Dalea</x:v>
      </x:c>
      <x:c r="F243" s="84" t="str">
        <x:v>Species</x:v>
      </x:c>
      <x:c r="G243" s="84" t="str">
        <x:v>Accepted</x:v>
      </x:c>
      <x:c r="H243" s="84" t="str">
        <x:v>Golden Dalea, Golden Prairie Clover</x:v>
      </x:c>
      <x:c r="I243" s="84" t="str">
        <x:v>Perennial</x:v>
      </x:c>
      <x:c r="J243" s="84" t="str">
        <x:v>Herb</x:v>
      </x:c>
      <x:c r="K243" s="84" t="str">
        <x:v>Sun</x:v>
      </x:c>
      <x:c r="L243" s="84" t="str">
        <x:v>Dry–Medium</x:v>
      </x:c>
      <x:c r="M243" s="89" t="n">
        <x:v>1</x:v>
      </x:c>
      <x:c r="N243" s="89" t="n">
        <x:v>1</x:v>
      </x:c>
      <x:c r="O243" s="89" t="n">
        <x:v>1</x:v>
      </x:c>
      <x:c r="P243" s="89" t="n">
        <x:f>SUM(M243:O243)</x:f>
        <x:v>3</x:v>
      </x:c>
      <x:c r="Q243" s="84" t="str">
        <x:v>Exact accepted-name match</x:v>
      </x:c>
      <x:c r="R243" s="84" t="str">
        <x:v>Dalea aurea</x:v>
      </x:c>
      <x:c r="S243" s="84" t="str">
        <x:v>2756021</x:v>
      </x:c>
      <x:c r="T243" s="84" t="str">
        <x:v>2756021</x:v>
      </x:c>
      <x:c r="U243" s="84" t="str">
        <x:v>76022-2</x:v>
      </x:c>
      <x:c r="V243" s="84" t="str">
        <x:v>76022-2</x:v>
      </x:c>
      <x:c r="W243" s="84" t="str"/>
    </x:row>
    <x:row r="244" ht="18" customHeight="1">
      <x:c r="A244" s="83" t="str">
        <x:v>HAYS-0243</x:v>
      </x:c>
      <x:c r="B244" s="87" t="str">
        <x:v>Dalea compacta</x:v>
      </x:c>
      <x:c r="C244" s="87" t="str">
        <x:v>Dalea compacta</x:v>
      </x:c>
      <x:c r="D244" s="84" t="str">
        <x:v>Fabaceae</x:v>
      </x:c>
      <x:c r="E244" s="84" t="str">
        <x:v>Dalea</x:v>
      </x:c>
      <x:c r="F244" s="84" t="str">
        <x:v>Species</x:v>
      </x:c>
      <x:c r="G244" s="84" t="str">
        <x:v>Accepted</x:v>
      </x:c>
      <x:c r="H244" s="84" t="str">
        <x:v>Compact Prairie Clover, Purple Prairie Clover</x:v>
      </x:c>
      <x:c r="I244" s="84" t="str">
        <x:v>Perennial</x:v>
      </x:c>
      <x:c r="J244" s="84" t="str">
        <x:v>Herb</x:v>
      </x:c>
      <x:c r="K244" s="84" t="str"/>
      <x:c r="L244" s="84" t="str"/>
      <x:c r="M244" s="89" t="n">
        <x:v>1</x:v>
      </x:c>
      <x:c r="N244" s="89" t="n">
        <x:v>1</x:v>
      </x:c>
      <x:c r="O244" s="89" t="n">
        <x:v>0</x:v>
      </x:c>
      <x:c r="P244" s="89" t="n">
        <x:f>SUM(M244:O244)</x:f>
        <x:v>2</x:v>
      </x:c>
      <x:c r="Q244" s="84" t="str">
        <x:v>Exact accepted-name match</x:v>
      </x:c>
      <x:c r="R244" s="84" t="str">
        <x:v>Dalea compacta</x:v>
      </x:c>
      <x:c r="S244" s="84" t="str">
        <x:v>2756093</x:v>
      </x:c>
      <x:c r="T244" s="84" t="str">
        <x:v>2756093</x:v>
      </x:c>
      <x:c r="U244" s="84" t="str">
        <x:v>490608-1</x:v>
      </x:c>
      <x:c r="V244" s="84" t="str">
        <x:v>490608-1</x:v>
      </x:c>
      <x:c r="W244" s="84" t="str"/>
    </x:row>
    <x:row r="245" ht="18" customHeight="1">
      <x:c r="A245" s="83" t="str">
        <x:v>HAYS-0244</x:v>
      </x:c>
      <x:c r="B245" s="87" t="str">
        <x:v>Dalea frutescens</x:v>
      </x:c>
      <x:c r="C245" s="87" t="str">
        <x:v>Dalea frutescens</x:v>
      </x:c>
      <x:c r="D245" s="84" t="str">
        <x:v>Fabaceae</x:v>
      </x:c>
      <x:c r="E245" s="84" t="str">
        <x:v>Dalea</x:v>
      </x:c>
      <x:c r="F245" s="84" t="str">
        <x:v>Species</x:v>
      </x:c>
      <x:c r="G245" s="84" t="str">
        <x:v>Accepted</x:v>
      </x:c>
      <x:c r="H245" s="84" t="str">
        <x:v>Black Dalea, Black Prairie Clover</x:v>
      </x:c>
      <x:c r="I245" s="84" t="str">
        <x:v>Perennial</x:v>
      </x:c>
      <x:c r="J245" s="84" t="str">
        <x:v>Subshrub</x:v>
      </x:c>
      <x:c r="K245" s="84" t="str">
        <x:v>Sun</x:v>
      </x:c>
      <x:c r="L245" s="84" t="str">
        <x:v>Low (Dry)</x:v>
      </x:c>
      <x:c r="M245" s="89" t="n">
        <x:v>1</x:v>
      </x:c>
      <x:c r="N245" s="89" t="n">
        <x:v>1</x:v>
      </x:c>
      <x:c r="O245" s="89" t="n">
        <x:v>1</x:v>
      </x:c>
      <x:c r="P245" s="89" t="n">
        <x:f>SUM(M245:O245)</x:f>
        <x:v>3</x:v>
      </x:c>
      <x:c r="Q245" s="84" t="str">
        <x:v>Exact accepted-name match</x:v>
      </x:c>
      <x:c r="R245" s="84" t="str">
        <x:v>Dalea frutescens</x:v>
      </x:c>
      <x:c r="S245" s="84" t="str">
        <x:v>2756178</x:v>
      </x:c>
      <x:c r="T245" s="84" t="str">
        <x:v>2756178</x:v>
      </x:c>
      <x:c r="U245" s="84" t="str">
        <x:v>490668-1</x:v>
      </x:c>
      <x:c r="V245" s="84" t="str">
        <x:v>490668-1</x:v>
      </x:c>
      <x:c r="W245" s="84" t="str"/>
    </x:row>
    <x:row r="246" ht="18" customHeight="1">
      <x:c r="A246" s="83" t="str">
        <x:v>HAYS-0245</x:v>
      </x:c>
      <x:c r="B246" s="87" t="str">
        <x:v>Dalea hallii</x:v>
      </x:c>
      <x:c r="C246" s="87" t="str">
        <x:v>Dalea hallii</x:v>
      </x:c>
      <x:c r="D246" s="84" t="str">
        <x:v>Fabaceae</x:v>
      </x:c>
      <x:c r="E246" s="84" t="str">
        <x:v>Dalea</x:v>
      </x:c>
      <x:c r="F246" s="84" t="str">
        <x:v>Species</x:v>
      </x:c>
      <x:c r="G246" s="84" t="str">
        <x:v>Accepted</x:v>
      </x:c>
      <x:c r="H246" s="84" t="str">
        <x:v>Hall's Prairie Clover, Hall's Dalea</x:v>
      </x:c>
      <x:c r="I246" s="84" t="str">
        <x:v>Perennial</x:v>
      </x:c>
      <x:c r="J246" s="84" t="str">
        <x:v>Shrub</x:v>
      </x:c>
      <x:c r="K246" s="84" t="str"/>
      <x:c r="L246" s="84" t="str"/>
      <x:c r="M246" s="89" t="n">
        <x:v>1</x:v>
      </x:c>
      <x:c r="N246" s="89" t="n">
        <x:v>1</x:v>
      </x:c>
      <x:c r="O246" s="89" t="n">
        <x:v>0</x:v>
      </x:c>
      <x:c r="P246" s="89" t="n">
        <x:f>SUM(M246:O246)</x:f>
        <x:v>2</x:v>
      </x:c>
      <x:c r="Q246" s="84" t="str">
        <x:v>Exact accepted-name match</x:v>
      </x:c>
      <x:c r="R246" s="84" t="str">
        <x:v>Dalea hallii</x:v>
      </x:c>
      <x:c r="S246" s="84" t="str">
        <x:v>2756202</x:v>
      </x:c>
      <x:c r="T246" s="84" t="str">
        <x:v>2756202</x:v>
      </x:c>
      <x:c r="U246" s="84" t="str">
        <x:v>490690-1</x:v>
      </x:c>
      <x:c r="V246" s="84" t="str">
        <x:v>490690-1</x:v>
      </x:c>
      <x:c r="W246" s="84" t="str"/>
    </x:row>
    <x:row r="247" ht="18" customHeight="1">
      <x:c r="A247" s="83" t="str">
        <x:v>HAYS-0246</x:v>
      </x:c>
      <x:c r="B247" s="87" t="str">
        <x:v>Dalea multiflora</x:v>
      </x:c>
      <x:c r="C247" s="87" t="str">
        <x:v>Dalea multiflora</x:v>
      </x:c>
      <x:c r="D247" s="84" t="str">
        <x:v>Fabaceae</x:v>
      </x:c>
      <x:c r="E247" s="84" t="str">
        <x:v>Dalea</x:v>
      </x:c>
      <x:c r="F247" s="84" t="str">
        <x:v>Species</x:v>
      </x:c>
      <x:c r="G247" s="84" t="str">
        <x:v>Accepted</x:v>
      </x:c>
      <x:c r="H247" s="84" t="str">
        <x:v>Roundhead Prairie Clover, White Prairie Clover, Round Headed Dalea, Round Headed Clover</x:v>
      </x:c>
      <x:c r="I247" s="84" t="str">
        <x:v>Perennial</x:v>
      </x:c>
      <x:c r="J247" s="84" t="str">
        <x:v>Herb</x:v>
      </x:c>
      <x:c r="K247" s="84" t="str">
        <x:v>Sun</x:v>
      </x:c>
      <x:c r="L247" s="84" t="str">
        <x:v>Dry</x:v>
      </x:c>
      <x:c r="M247" s="89" t="n">
        <x:v>1</x:v>
      </x:c>
      <x:c r="N247" s="89" t="n">
        <x:v>1</x:v>
      </x:c>
      <x:c r="O247" s="89" t="n">
        <x:v>0</x:v>
      </x:c>
      <x:c r="P247" s="89" t="n">
        <x:f>SUM(M247:O247)</x:f>
        <x:v>2</x:v>
      </x:c>
      <x:c r="Q247" s="84" t="str">
        <x:v>Exact accepted-name match</x:v>
      </x:c>
      <x:c r="R247" s="84" t="str">
        <x:v>Dalea multiflora</x:v>
      </x:c>
      <x:c r="S247" s="84" t="str">
        <x:v>2756300</x:v>
      </x:c>
      <x:c r="T247" s="84" t="str">
        <x:v>2756300</x:v>
      </x:c>
      <x:c r="U247" s="84" t="str">
        <x:v>76251-2</x:v>
      </x:c>
      <x:c r="V247" s="84" t="str">
        <x:v>76251-2</x:v>
      </x:c>
      <x:c r="W247" s="84" t="str"/>
    </x:row>
    <x:row r="248" ht="18" customHeight="1">
      <x:c r="A248" s="83" t="str">
        <x:v>HAYS-0247</x:v>
      </x:c>
      <x:c r="B248" s="87" t="str">
        <x:v>Dalea nana</x:v>
      </x:c>
      <x:c r="C248" s="87" t="str">
        <x:v>Dalea nana</x:v>
      </x:c>
      <x:c r="D248" s="84" t="str">
        <x:v>Fabaceae</x:v>
      </x:c>
      <x:c r="E248" s="84" t="str">
        <x:v>Dalea</x:v>
      </x:c>
      <x:c r="F248" s="84" t="str">
        <x:v>Species</x:v>
      </x:c>
      <x:c r="G248" s="84" t="str">
        <x:v>Accepted</x:v>
      </x:c>
      <x:c r="H248" s="84" t="str">
        <x:v>Dwarf Prairie Clover, Dwarf Dalea</x:v>
      </x:c>
      <x:c r="I248" s="84" t="str">
        <x:v>Perennial</x:v>
      </x:c>
      <x:c r="J248" s="84" t="str">
        <x:v>Shrub</x:v>
      </x:c>
      <x:c r="K248" s="84" t="str"/>
      <x:c r="L248" s="84" t="str"/>
      <x:c r="M248" s="89" t="n">
        <x:v>1</x:v>
      </x:c>
      <x:c r="N248" s="89" t="n">
        <x:v>1</x:v>
      </x:c>
      <x:c r="O248" s="89" t="n">
        <x:v>0</x:v>
      </x:c>
      <x:c r="P248" s="89" t="n">
        <x:f>SUM(M248:O248)</x:f>
        <x:v>2</x:v>
      </x:c>
      <x:c r="Q248" s="84" t="str">
        <x:v>Exact accepted-name match</x:v>
      </x:c>
      <x:c r="R248" s="84" t="str">
        <x:v>Dalea nana</x:v>
      </x:c>
      <x:c r="S248" s="84" t="str">
        <x:v>2756305</x:v>
      </x:c>
      <x:c r="T248" s="84" t="str">
        <x:v>2756305</x:v>
      </x:c>
      <x:c r="U248" s="84" t="str">
        <x:v>76254-2</x:v>
      </x:c>
      <x:c r="V248" s="84" t="str">
        <x:v>76254-2</x:v>
      </x:c>
      <x:c r="W248" s="84" t="str"/>
    </x:row>
    <x:row r="249" ht="18" customHeight="1">
      <x:c r="A249" s="83" t="str">
        <x:v>HAYS-0248</x:v>
      </x:c>
      <x:c r="B249" s="87" t="str">
        <x:v>Dalea purpurea</x:v>
      </x:c>
      <x:c r="C249" s="87" t="str">
        <x:v>Dalea purpurea</x:v>
      </x:c>
      <x:c r="D249" s="84" t="str">
        <x:v>Fabaceae</x:v>
      </x:c>
      <x:c r="E249" s="84" t="str">
        <x:v>Dalea</x:v>
      </x:c>
      <x:c r="F249" s="84" t="str">
        <x:v>Species</x:v>
      </x:c>
      <x:c r="G249" s="84" t="str">
        <x:v>Accepted</x:v>
      </x:c>
      <x:c r="H249" s="84" t="str">
        <x:v>Purple Prairie Clover</x:v>
      </x:c>
      <x:c r="I249" s="84" t="str">
        <x:v>Perennial</x:v>
      </x:c>
      <x:c r="J249" s="84" t="str">
        <x:v>Herb</x:v>
      </x:c>
      <x:c r="K249" s="84" t="str">
        <x:v>Sun</x:v>
      </x:c>
      <x:c r="L249" s="84" t="str">
        <x:v>Low</x:v>
      </x:c>
      <x:c r="M249" s="89" t="n">
        <x:v>1</x:v>
      </x:c>
      <x:c r="N249" s="89" t="n">
        <x:v>1</x:v>
      </x:c>
      <x:c r="O249" s="89" t="n">
        <x:v>1</x:v>
      </x:c>
      <x:c r="P249" s="89" t="n">
        <x:f>SUM(M249:O249)</x:f>
        <x:v>3</x:v>
      </x:c>
      <x:c r="Q249" s="84" t="str">
        <x:v>Exact accepted-name match</x:v>
      </x:c>
      <x:c r="R249" s="84" t="str">
        <x:v>Dalea purpurea</x:v>
      </x:c>
      <x:c r="S249" s="84" t="str">
        <x:v>2756391</x:v>
      </x:c>
      <x:c r="T249" s="84" t="str">
        <x:v>2756391</x:v>
      </x:c>
      <x:c r="U249" s="84" t="str">
        <x:v>490847-1</x:v>
      </x:c>
      <x:c r="V249" s="84" t="str">
        <x:v>490847-1</x:v>
      </x:c>
      <x:c r="W249" s="84" t="str"/>
    </x:row>
    <x:row r="250" ht="18" customHeight="1">
      <x:c r="A250" s="83" t="str">
        <x:v>HAYS-0249</x:v>
      </x:c>
      <x:c r="B250" s="87" t="str">
        <x:v>Dalea tenuis</x:v>
      </x:c>
      <x:c r="C250" s="87" t="str">
        <x:v>Dalea tenuis</x:v>
      </x:c>
      <x:c r="D250" s="84" t="str">
        <x:v>Fabaceae</x:v>
      </x:c>
      <x:c r="E250" s="84" t="str">
        <x:v>Dalea</x:v>
      </x:c>
      <x:c r="F250" s="84" t="str">
        <x:v>Species</x:v>
      </x:c>
      <x:c r="G250" s="84" t="str">
        <x:v>Accepted</x:v>
      </x:c>
      <x:c r="H250" s="84" t="str">
        <x:v>Pinkglobe Prairie Clover</x:v>
      </x:c>
      <x:c r="I250" s="84" t="str">
        <x:v>Perennial</x:v>
      </x:c>
      <x:c r="J250" s="84" t="str">
        <x:v>Subshrub</x:v>
      </x:c>
      <x:c r="K250" s="84" t="str"/>
      <x:c r="L250" s="84" t="str"/>
      <x:c r="M250" s="89" t="n">
        <x:v>1</x:v>
      </x:c>
      <x:c r="N250" s="89" t="n">
        <x:v>1</x:v>
      </x:c>
      <x:c r="O250" s="89" t="n">
        <x:v>0</x:v>
      </x:c>
      <x:c r="P250" s="89" t="n">
        <x:f>SUM(M250:O250)</x:f>
        <x:v>2</x:v>
      </x:c>
      <x:c r="Q250" s="84" t="str">
        <x:v>Exact accepted-name match</x:v>
      </x:c>
      <x:c r="R250" s="84" t="str">
        <x:v>Dalea tenuis</x:v>
      </x:c>
      <x:c r="S250" s="84" t="str">
        <x:v>2756462</x:v>
      </x:c>
      <x:c r="T250" s="84" t="str">
        <x:v>2756462</x:v>
      </x:c>
      <x:c r="U250" s="84" t="str">
        <x:v>76388-2</x:v>
      </x:c>
      <x:c r="V250" s="84" t="str">
        <x:v>76388-2</x:v>
      </x:c>
      <x:c r="W250" s="84" t="str"/>
    </x:row>
    <x:row r="251" ht="18" customHeight="1">
      <x:c r="A251" s="83" t="str">
        <x:v>HAYS-0250</x:v>
      </x:c>
      <x:c r="B251" s="87" t="str">
        <x:v>Dasylirion texanum</x:v>
      </x:c>
      <x:c r="C251" s="87" t="str">
        <x:v>Dasylirion texanum</x:v>
      </x:c>
      <x:c r="D251" s="84" t="str">
        <x:v>Asparagaceae</x:v>
      </x:c>
      <x:c r="E251" s="84" t="str">
        <x:v>Dasylirion</x:v>
      </x:c>
      <x:c r="F251" s="84" t="str">
        <x:v>Species</x:v>
      </x:c>
      <x:c r="G251" s="84" t="str">
        <x:v>Accepted</x:v>
      </x:c>
      <x:c r="H251" s="84" t="str">
        <x:v>Texas Sotol, Sotol</x:v>
      </x:c>
      <x:c r="I251" s="84" t="str">
        <x:v>Perennial</x:v>
      </x:c>
      <x:c r="J251" s="84" t="str">
        <x:v>Succulent</x:v>
      </x:c>
      <x:c r="K251" s="84" t="str">
        <x:v>Sun</x:v>
      </x:c>
      <x:c r="L251" s="84" t="str">
        <x:v>Low (Dry)</x:v>
      </x:c>
      <x:c r="M251" s="89" t="n">
        <x:v>1</x:v>
      </x:c>
      <x:c r="N251" s="89" t="n">
        <x:v>1</x:v>
      </x:c>
      <x:c r="O251" s="89" t="n">
        <x:v>1</x:v>
      </x:c>
      <x:c r="P251" s="89" t="n">
        <x:f>SUM(M251:O251)</x:f>
        <x:v>3</x:v>
      </x:c>
      <x:c r="Q251" s="84" t="str">
        <x:v>Exact accepted-name match</x:v>
      </x:c>
      <x:c r="R251" s="84" t="str">
        <x:v>Dasylirion texanum</x:v>
      </x:c>
      <x:c r="S251" s="84" t="str">
        <x:v>303993</x:v>
      </x:c>
      <x:c r="T251" s="84" t="str">
        <x:v>303993</x:v>
      </x:c>
      <x:c r="U251" s="84" t="str">
        <x:v>533757-1</x:v>
      </x:c>
      <x:c r="V251" s="84" t="str">
        <x:v>533757-1</x:v>
      </x:c>
      <x:c r="W251" s="84" t="str"/>
    </x:row>
    <x:row r="252" ht="18" customHeight="1">
      <x:c r="A252" s="83" t="str">
        <x:v>HAYS-0251</x:v>
      </x:c>
      <x:c r="B252" s="87" t="str">
        <x:v>Datura wrightii</x:v>
      </x:c>
      <x:c r="C252" s="87" t="str">
        <x:v>Datura wrightii</x:v>
      </x:c>
      <x:c r="D252" s="84" t="str">
        <x:v>Solanaceae</x:v>
      </x:c>
      <x:c r="E252" s="84" t="str">
        <x:v>Datura</x:v>
      </x:c>
      <x:c r="F252" s="84" t="str">
        <x:v>Species</x:v>
      </x:c>
      <x:c r="G252" s="84" t="str">
        <x:v>Accepted</x:v>
      </x:c>
      <x:c r="H252" s="84" t="str">
        <x:v>Jimsonweed, Sacred Thorn-apple, Thorn-apple, Angel Trumpet, Sacred Datura, Western Jimson Weed</x:v>
      </x:c>
      <x:c r="I252" s="84" t="str">
        <x:v>Perennial</x:v>
      </x:c>
      <x:c r="J252" s="84" t="str">
        <x:v>Herb</x:v>
      </x:c>
      <x:c r="K252" s="84" t="str">
        <x:v>Sun, Part Shade</x:v>
      </x:c>
      <x:c r="L252" s="84" t="str">
        <x:v>Low–Medium</x:v>
      </x:c>
      <x:c r="M252" s="89" t="n">
        <x:v>0</x:v>
      </x:c>
      <x:c r="N252" s="89" t="n">
        <x:v>0</x:v>
      </x:c>
      <x:c r="O252" s="89" t="n">
        <x:v>1</x:v>
      </x:c>
      <x:c r="P252" s="89" t="n">
        <x:f>SUM(M252:O252)</x:f>
        <x:v>1</x:v>
      </x:c>
      <x:c r="Q252" s="84" t="str">
        <x:v>Exact accepted-name match</x:v>
      </x:c>
      <x:c r="R252" s="84" t="str">
        <x:v>Datura wrightii</x:v>
      </x:c>
      <x:c r="S252" s="84" t="str">
        <x:v>2757870</x:v>
      </x:c>
      <x:c r="T252" s="84" t="str">
        <x:v>2757870</x:v>
      </x:c>
      <x:c r="U252" s="84" t="str">
        <x:v>815620-1</x:v>
      </x:c>
      <x:c r="V252" s="84" t="str">
        <x:v>815620-1</x:v>
      </x:c>
      <x:c r="W252" s="84" t="str"/>
    </x:row>
    <x:row r="253" ht="18" customHeight="1">
      <x:c r="A253" s="83" t="str">
        <x:v>HAYS-0252</x:v>
      </x:c>
      <x:c r="B253" s="87" t="str">
        <x:v>Daucosma laciniata</x:v>
      </x:c>
      <x:c r="C253" s="87" t="str">
        <x:v>Daucosma laciniata</x:v>
      </x:c>
      <x:c r="D253" s="84" t="str">
        <x:v>Apiaceae</x:v>
      </x:c>
      <x:c r="E253" s="84" t="str">
        <x:v>Daucosma</x:v>
      </x:c>
      <x:c r="F253" s="84" t="str">
        <x:v>Species</x:v>
      </x:c>
      <x:c r="G253" s="84" t="str">
        <x:v>Accepted</x:v>
      </x:c>
      <x:c r="H253" s="84" t="str">
        <x:v>Meadow Parasol, Daucosma</x:v>
      </x:c>
      <x:c r="I253" s="84" t="str">
        <x:v>Annual</x:v>
      </x:c>
      <x:c r="J253" s="84" t="str">
        <x:v>Herb</x:v>
      </x:c>
      <x:c r="K253" s="84" t="str"/>
      <x:c r="L253" s="84" t="str"/>
      <x:c r="M253" s="89" t="n">
        <x:v>1</x:v>
      </x:c>
      <x:c r="N253" s="89" t="n">
        <x:v>1</x:v>
      </x:c>
      <x:c r="O253" s="89" t="n">
        <x:v>0</x:v>
      </x:c>
      <x:c r="P253" s="89" t="n">
        <x:f>SUM(M253:O253)</x:f>
        <x:v>2</x:v>
      </x:c>
      <x:c r="Q253" s="84" t="str">
        <x:v>Exact accepted-name match</x:v>
      </x:c>
      <x:c r="R253" s="84" t="str">
        <x:v>Daucosma laciniata</x:v>
      </x:c>
      <x:c r="S253" s="84" t="str">
        <x:v>2757894</x:v>
      </x:c>
      <x:c r="T253" s="84" t="str">
        <x:v>2757894</x:v>
      </x:c>
      <x:c r="U253" s="84" t="str">
        <x:v>76978-2</x:v>
      </x:c>
      <x:c r="V253" s="84" t="str">
        <x:v>76978-2</x:v>
      </x:c>
      <x:c r="W253" s="84" t="str"/>
    </x:row>
    <x:row r="254" ht="18" customHeight="1">
      <x:c r="A254" s="83" t="str">
        <x:v>HAYS-0253</x:v>
      </x:c>
      <x:c r="B254" s="87" t="str">
        <x:v>Daucus pusillus</x:v>
      </x:c>
      <x:c r="C254" s="87" t="str">
        <x:v>Daucus pusillus</x:v>
      </x:c>
      <x:c r="D254" s="84" t="str">
        <x:v>Apiaceae</x:v>
      </x:c>
      <x:c r="E254" s="84" t="str">
        <x:v>Daucus</x:v>
      </x:c>
      <x:c r="F254" s="84" t="str">
        <x:v>Species</x:v>
      </x:c>
      <x:c r="G254" s="84" t="str">
        <x:v>Accepted</x:v>
      </x:c>
      <x:c r="H254" s="84" t="str">
        <x:v>American Wild Carrot, Rattlesnake-weed, Wild Carrot</x:v>
      </x:c>
      <x:c r="I254" s="84" t="str">
        <x:v>Annual, Biennial</x:v>
      </x:c>
      <x:c r="J254" s="84" t="str">
        <x:v>Herb</x:v>
      </x:c>
      <x:c r="K254" s="84" t="str"/>
      <x:c r="L254" s="84" t="str"/>
      <x:c r="M254" s="89" t="n">
        <x:v>1</x:v>
      </x:c>
      <x:c r="N254" s="89" t="n">
        <x:v>1</x:v>
      </x:c>
      <x:c r="O254" s="89" t="n">
        <x:v>0</x:v>
      </x:c>
      <x:c r="P254" s="89" t="n">
        <x:f>SUM(M254:O254)</x:f>
        <x:v>2</x:v>
      </x:c>
      <x:c r="Q254" s="84" t="str">
        <x:v>Exact accepted-name match</x:v>
      </x:c>
      <x:c r="R254" s="84" t="str">
        <x:v>Daucus pusillus</x:v>
      </x:c>
      <x:c r="S254" s="84" t="str">
        <x:v>2758113</x:v>
      </x:c>
      <x:c r="T254" s="84" t="str">
        <x:v>2758113</x:v>
      </x:c>
      <x:c r="U254" s="84" t="str">
        <x:v>841198-1</x:v>
      </x:c>
      <x:c r="V254" s="84" t="str">
        <x:v>841198-1</x:v>
      </x:c>
      <x:c r="W254" s="84" t="str"/>
    </x:row>
    <x:row r="255" ht="18" customHeight="1">
      <x:c r="A255" s="83" t="str">
        <x:v>HAYS-0254</x:v>
      </x:c>
      <x:c r="B255" s="87" t="str">
        <x:v>Delphinium carolinianum</x:v>
      </x:c>
      <x:c r="C255" s="87" t="str">
        <x:v>Delphinium carolinianum</x:v>
      </x:c>
      <x:c r="D255" s="84" t="str">
        <x:v>Ranunculaceae</x:v>
      </x:c>
      <x:c r="E255" s="84" t="str">
        <x:v>Delphinium</x:v>
      </x:c>
      <x:c r="F255" s="84" t="str">
        <x:v>Species</x:v>
      </x:c>
      <x:c r="G255" s="84" t="str">
        <x:v>Accepted</x:v>
      </x:c>
      <x:c r="H255" s="84" t="str">
        <x:v>Larkspur, Carolina larkspur</x:v>
      </x:c>
      <x:c r="I255" s="84" t="str">
        <x:v>Perennial</x:v>
      </x:c>
      <x:c r="J255" s="84" t="str">
        <x:v>Herb</x:v>
      </x:c>
      <x:c r="K255" s="84" t="str">
        <x:v>Sun</x:v>
      </x:c>
      <x:c r="L255" s="84" t="str">
        <x:v>Low</x:v>
      </x:c>
      <x:c r="M255" s="89" t="n">
        <x:v>0</x:v>
      </x:c>
      <x:c r="N255" s="89" t="n">
        <x:v>0</x:v>
      </x:c>
      <x:c r="O255" s="89" t="n">
        <x:v>1</x:v>
      </x:c>
      <x:c r="P255" s="89" t="n">
        <x:f>SUM(M255:O255)</x:f>
        <x:v>1</x:v>
      </x:c>
      <x:c r="Q255" s="84" t="str">
        <x:v>Exact accepted-name match</x:v>
      </x:c>
      <x:c r="R255" s="84" t="str">
        <x:v>Delphinium carolinianum</x:v>
      </x:c>
      <x:c r="S255" s="84" t="str">
        <x:v>2759562</x:v>
      </x:c>
      <x:c r="T255" s="84" t="str">
        <x:v>2759562</x:v>
      </x:c>
      <x:c r="U255" s="84" t="str">
        <x:v>710479-1</x:v>
      </x:c>
      <x:c r="V255" s="84" t="str">
        <x:v>710479-1</x:v>
      </x:c>
      <x:c r="W255" s="84" t="str"/>
    </x:row>
    <x:row r="256" ht="18" customHeight="1">
      <x:c r="A256" s="83" t="str">
        <x:v>HAYS-0255</x:v>
      </x:c>
      <x:c r="B256" s="87" t="str">
        <x:v>Delphinium carolinianum ssp. vimineum</x:v>
      </x:c>
      <x:c r="C256" s="87" t="str">
        <x:v>Delphinium carolinianum subsp. vimineum</x:v>
      </x:c>
      <x:c r="D256" s="84" t="str">
        <x:v>Ranunculaceae</x:v>
      </x:c>
      <x:c r="E256" s="84" t="str">
        <x:v>Delphinium</x:v>
      </x:c>
      <x:c r="F256" s="84" t="str">
        <x:v>Subspecies</x:v>
      </x:c>
      <x:c r="G256" s="84" t="str">
        <x:v>Accepted</x:v>
      </x:c>
      <x:c r="H256" s="84" t="str">
        <x:v>Carolina Larkspur, Prairie Larkspur</x:v>
      </x:c>
      <x:c r="I256" s="84" t="str">
        <x:v>Perennial</x:v>
      </x:c>
      <x:c r="J256" s="84" t="str">
        <x:v>Herb</x:v>
      </x:c>
      <x:c r="K256" s="84" t="str">
        <x:v>Part-shade</x:v>
      </x:c>
      <x:c r="L256" s="84" t="str">
        <x:v>Dry</x:v>
      </x:c>
      <x:c r="M256" s="89" t="n">
        <x:v>1</x:v>
      </x:c>
      <x:c r="N256" s="89" t="n">
        <x:v>1</x:v>
      </x:c>
      <x:c r="O256" s="89" t="n">
        <x:v>0</x:v>
      </x:c>
      <x:c r="P256" s="89" t="n">
        <x:f>SUM(M256:O256)</x:f>
        <x:v>2</x:v>
      </x:c>
      <x:c r="Q256" s="84" t="str">
        <x:v>Exact accepted-name match</x:v>
      </x:c>
      <x:c r="R256" s="84" t="str">
        <x:v>Delphinium carolinianum subsp. vimineum</x:v>
      </x:c>
      <x:c r="S256" s="84" t="str">
        <x:v>2759568</x:v>
      </x:c>
      <x:c r="T256" s="84" t="str">
        <x:v>2759568</x:v>
      </x:c>
      <x:c r="U256" s="84" t="str">
        <x:v>77324-2</x:v>
      </x:c>
      <x:c r="V256" s="84" t="str">
        <x:v>77324-2</x:v>
      </x:c>
      <x:c r="W256" s="84" t="str"/>
    </x:row>
    <x:row r="257" ht="18" customHeight="1">
      <x:c r="A257" s="83" t="str">
        <x:v>HAYS-0256</x:v>
      </x:c>
      <x:c r="B257" s="87" t="str">
        <x:v>Dermatophyllum secundiflorum</x:v>
      </x:c>
      <x:c r="C257" s="87" t="str">
        <x:v>Dermatophyllum secundiflorum</x:v>
      </x:c>
      <x:c r="D257" s="84" t="str">
        <x:v>Fabaceae</x:v>
      </x:c>
      <x:c r="E257" s="84" t="str">
        <x:v>Dermatophyllum</x:v>
      </x:c>
      <x:c r="F257" s="84" t="str">
        <x:v>Species</x:v>
      </x:c>
      <x:c r="G257" s="84" t="str">
        <x:v>Accepted</x:v>
      </x:c>
      <x:c r="H257" s="84" t="str">
        <x:v>Texas Mountain Laurel</x:v>
      </x:c>
      <x:c r="I257" s="84" t="str">
        <x:v>Perennial</x:v>
      </x:c>
      <x:c r="J257" s="84" t="str">
        <x:v>Shrub, Tree</x:v>
      </x:c>
      <x:c r="K257" s="84" t="str">
        <x:v>Sun, Part Shade</x:v>
      </x:c>
      <x:c r="L257" s="84" t="str">
        <x:v>Low (Dry)</x:v>
      </x:c>
      <x:c r="M257" s="89" t="n">
        <x:v>1</x:v>
      </x:c>
      <x:c r="N257" s="89" t="n">
        <x:v>1</x:v>
      </x:c>
      <x:c r="O257" s="89" t="n">
        <x:v>1</x:v>
      </x:c>
      <x:c r="P257" s="89" t="n">
        <x:f>SUM(M257:O257)</x:f>
        <x:v>3</x:v>
      </x:c>
      <x:c r="Q257" s="84" t="str">
        <x:v>Exact accepted-name match</x:v>
      </x:c>
      <x:c r="R257" s="84" t="str">
        <x:v>Dermatophyllum secundiflorum</x:v>
      </x:c>
      <x:c r="S257" s="84" t="str">
        <x:v>2913729</x:v>
      </x:c>
      <x:c r="T257" s="84" t="str">
        <x:v>2913729</x:v>
      </x:c>
      <x:c r="U257" s="84" t="str">
        <x:v>77116898-1</x:v>
      </x:c>
      <x:c r="V257" s="84" t="str">
        <x:v>77116898-1</x:v>
      </x:c>
      <x:c r="W257" s="84" t="str"/>
    </x:row>
    <x:row r="258" ht="18" customHeight="1">
      <x:c r="A258" s="83" t="str">
        <x:v>HAYS-0257</x:v>
      </x:c>
      <x:c r="B258" s="87" t="str">
        <x:v>Descurainia pinnata</x:v>
      </x:c>
      <x:c r="C258" s="87" t="str">
        <x:v>Descurainia pinnata</x:v>
      </x:c>
      <x:c r="D258" s="84" t="str">
        <x:v>Brassicaceae</x:v>
      </x:c>
      <x:c r="E258" s="84" t="str">
        <x:v>Descurainia</x:v>
      </x:c>
      <x:c r="F258" s="84" t="str">
        <x:v>Species</x:v>
      </x:c>
      <x:c r="G258" s="84" t="str">
        <x:v>Accepted</x:v>
      </x:c>
      <x:c r="H258" s="84" t="str">
        <x:v>Western Tansymustard, Tansy-mustard</x:v>
      </x:c>
      <x:c r="I258" s="84" t="str">
        <x:v>Annual</x:v>
      </x:c>
      <x:c r="J258" s="84" t="str">
        <x:v>Herb</x:v>
      </x:c>
      <x:c r="K258" s="84" t="str">
        <x:v>Sun</x:v>
      </x:c>
      <x:c r="L258" s="84" t="str">
        <x:v>Dry</x:v>
      </x:c>
      <x:c r="M258" s="89" t="n">
        <x:v>1</x:v>
      </x:c>
      <x:c r="N258" s="89" t="n">
        <x:v>1</x:v>
      </x:c>
      <x:c r="O258" s="89" t="n">
        <x:v>0</x:v>
      </x:c>
      <x:c r="P258" s="89" t="n">
        <x:f>SUM(M258:O258)</x:f>
        <x:v>2</x:v>
      </x:c>
      <x:c r="Q258" s="84" t="str">
        <x:v>Exact accepted-name match</x:v>
      </x:c>
      <x:c r="R258" s="84" t="str">
        <x:v>Descurainia pinnata</x:v>
      </x:c>
      <x:c r="S258" s="84" t="str">
        <x:v>2761807</x:v>
      </x:c>
      <x:c r="T258" s="84" t="str">
        <x:v>2761807</x:v>
      </x:c>
      <x:c r="U258" s="84" t="str">
        <x:v>78208-2</x:v>
      </x:c>
      <x:c r="V258" s="84" t="str">
        <x:v>78208-2</x:v>
      </x:c>
      <x:c r="W258" s="84" t="str"/>
    </x:row>
    <x:row r="259" ht="18" customHeight="1">
      <x:c r="A259" s="83" t="str">
        <x:v>HAYS-0258</x:v>
      </x:c>
      <x:c r="B259" s="87" t="str">
        <x:v>Desmanthus illinoensis</x:v>
      </x:c>
      <x:c r="C259" s="87" t="str">
        <x:v>Desmanthus illinoensis</x:v>
      </x:c>
      <x:c r="D259" s="84" t="str">
        <x:v>Fabaceae</x:v>
      </x:c>
      <x:c r="E259" s="84" t="str">
        <x:v>Desmanthus</x:v>
      </x:c>
      <x:c r="F259" s="84" t="str">
        <x:v>Species</x:v>
      </x:c>
      <x:c r="G259" s="84" t="str">
        <x:v>Accepted</x:v>
      </x:c>
      <x:c r="H259" s="84" t="str">
        <x:v>Illinois Bundleflower, Bundleflower, Prairie Bundle Flower, Prickleweed, Illinois Desmanthus, Prairie Mimosa</x:v>
      </x:c>
      <x:c r="I259" s="84" t="str">
        <x:v>Perennial</x:v>
      </x:c>
      <x:c r="J259" s="84" t="str">
        <x:v>Herb</x:v>
      </x:c>
      <x:c r="K259" s="84" t="str">
        <x:v>Sun</x:v>
      </x:c>
      <x:c r="L259" s="84" t="str">
        <x:v>Medium</x:v>
      </x:c>
      <x:c r="M259" s="89" t="n">
        <x:v>1</x:v>
      </x:c>
      <x:c r="N259" s="89" t="n">
        <x:v>1</x:v>
      </x:c>
      <x:c r="O259" s="89" t="n">
        <x:v>1</x:v>
      </x:c>
      <x:c r="P259" s="89" t="n">
        <x:f>SUM(M259:O259)</x:f>
        <x:v>3</x:v>
      </x:c>
      <x:c r="Q259" s="84" t="str">
        <x:v>Exact accepted-name match</x:v>
      </x:c>
      <x:c r="R259" s="84" t="str">
        <x:v>Desmanthus illinoensis</x:v>
      </x:c>
      <x:c r="S259" s="84" t="str">
        <x:v>2761939</x:v>
      </x:c>
      <x:c r="T259" s="84" t="str">
        <x:v>2761939</x:v>
      </x:c>
      <x:c r="U259" s="84" t="str">
        <x:v>30211162-2</x:v>
      </x:c>
      <x:c r="V259" s="84" t="str">
        <x:v>30211162-2</x:v>
      </x:c>
      <x:c r="W259" s="84" t="str"/>
    </x:row>
    <x:row r="260" ht="18" customHeight="1">
      <x:c r="A260" s="83" t="str">
        <x:v>HAYS-0259</x:v>
      </x:c>
      <x:c r="B260" s="87" t="str">
        <x:v>Desmanthus leptolobus</x:v>
      </x:c>
      <x:c r="C260" s="87" t="str">
        <x:v>Desmanthus leptolobus</x:v>
      </x:c>
      <x:c r="D260" s="84" t="str">
        <x:v>Fabaceae</x:v>
      </x:c>
      <x:c r="E260" s="84" t="str">
        <x:v>Desmanthus</x:v>
      </x:c>
      <x:c r="F260" s="84" t="str">
        <x:v>Species</x:v>
      </x:c>
      <x:c r="G260" s="84" t="str">
        <x:v>Accepted</x:v>
      </x:c>
      <x:c r="H260" s="84" t="str">
        <x:v>Slenderlobe Bundleflower</x:v>
      </x:c>
      <x:c r="I260" s="84" t="str">
        <x:v>Perennial</x:v>
      </x:c>
      <x:c r="J260" s="84" t="str">
        <x:v>Herb</x:v>
      </x:c>
      <x:c r="K260" s="84" t="str"/>
      <x:c r="L260" s="84" t="str"/>
      <x:c r="M260" s="89" t="n">
        <x:v>1</x:v>
      </x:c>
      <x:c r="N260" s="89" t="n">
        <x:v>1</x:v>
      </x:c>
      <x:c r="O260" s="89" t="n">
        <x:v>0</x:v>
      </x:c>
      <x:c r="P260" s="89" t="n">
        <x:f>SUM(M260:O260)</x:f>
        <x:v>2</x:v>
      </x:c>
      <x:c r="Q260" s="84" t="str">
        <x:v>Exact accepted-name match</x:v>
      </x:c>
      <x:c r="R260" s="84" t="str">
        <x:v>Desmanthus leptolobus</x:v>
      </x:c>
      <x:c r="S260" s="84" t="str">
        <x:v>2761948</x:v>
      </x:c>
      <x:c r="T260" s="84" t="str">
        <x:v>2761948</x:v>
      </x:c>
      <x:c r="U260" s="84" t="str">
        <x:v>491498-1</x:v>
      </x:c>
      <x:c r="V260" s="84" t="str">
        <x:v>491498-1</x:v>
      </x:c>
      <x:c r="W260" s="84" t="str"/>
    </x:row>
    <x:row r="261" ht="18" customHeight="1">
      <x:c r="A261" s="83" t="str">
        <x:v>HAYS-0260</x:v>
      </x:c>
      <x:c r="B261" s="87" t="str">
        <x:v>Desmanthus velutinus</x:v>
      </x:c>
      <x:c r="C261" s="87" t="str">
        <x:v>Desmanthus velutinus</x:v>
      </x:c>
      <x:c r="D261" s="84" t="str">
        <x:v>Fabaceae</x:v>
      </x:c>
      <x:c r="E261" s="84" t="str">
        <x:v>Desmanthus</x:v>
      </x:c>
      <x:c r="F261" s="84" t="str">
        <x:v>Species</x:v>
      </x:c>
      <x:c r="G261" s="84" t="str">
        <x:v>Accepted</x:v>
      </x:c>
      <x:c r="H261" s="84" t="str">
        <x:v>Velvet Bundleflower</x:v>
      </x:c>
      <x:c r="I261" s="84" t="str">
        <x:v>Perennial</x:v>
      </x:c>
      <x:c r="J261" s="84" t="str">
        <x:v>Herb</x:v>
      </x:c>
      <x:c r="K261" s="84" t="str"/>
      <x:c r="L261" s="84" t="str"/>
      <x:c r="M261" s="89" t="n">
        <x:v>1</x:v>
      </x:c>
      <x:c r="N261" s="89" t="n">
        <x:v>1</x:v>
      </x:c>
      <x:c r="O261" s="89" t="n">
        <x:v>0</x:v>
      </x:c>
      <x:c r="P261" s="89" t="n">
        <x:f>SUM(M261:O261)</x:f>
        <x:v>2</x:v>
      </x:c>
      <x:c r="Q261" s="84" t="str">
        <x:v>Exact accepted-name match</x:v>
      </x:c>
      <x:c r="R261" s="84" t="str">
        <x:v>Desmanthus velutinus</x:v>
      </x:c>
      <x:c r="S261" s="84" t="str">
        <x:v>2761994</x:v>
      </x:c>
      <x:c r="T261" s="84" t="str">
        <x:v>2761994</x:v>
      </x:c>
      <x:c r="U261" s="84" t="str">
        <x:v>491539-1</x:v>
      </x:c>
      <x:c r="V261" s="84" t="str">
        <x:v>491539-1</x:v>
      </x:c>
      <x:c r="W261" s="84" t="str"/>
    </x:row>
    <x:row r="262" ht="18" customHeight="1">
      <x:c r="A262" s="83" t="str">
        <x:v>HAYS-0261</x:v>
      </x:c>
      <x:c r="B262" s="87" t="str">
        <x:v>Desmanthus virgatus</x:v>
      </x:c>
      <x:c r="C262" s="87" t="str">
        <x:v>Desmanthus virgatus</x:v>
      </x:c>
      <x:c r="D262" s="84" t="str">
        <x:v>Fabaceae</x:v>
      </x:c>
      <x:c r="E262" s="84" t="str">
        <x:v>Desmanthus</x:v>
      </x:c>
      <x:c r="F262" s="84" t="str">
        <x:v>Species</x:v>
      </x:c>
      <x:c r="G262" s="84" t="str">
        <x:v>Accepted</x:v>
      </x:c>
      <x:c r="H262" s="84" t="str">
        <x:v>Prostrate Bundleflower, Wild Tantan, Slender Mimosa</x:v>
      </x:c>
      <x:c r="I262" s="84" t="str">
        <x:v>Perennial</x:v>
      </x:c>
      <x:c r="J262" s="84" t="str">
        <x:v>Herb, Subshrub</x:v>
      </x:c>
      <x:c r="K262" s="84" t="str"/>
      <x:c r="L262" s="84" t="str"/>
      <x:c r="M262" s="89" t="n">
        <x:v>1</x:v>
      </x:c>
      <x:c r="N262" s="89" t="n">
        <x:v>1</x:v>
      </x:c>
      <x:c r="O262" s="89" t="n">
        <x:v>0</x:v>
      </x:c>
      <x:c r="P262" s="89" t="n">
        <x:f>SUM(M262:O262)</x:f>
        <x:v>2</x:v>
      </x:c>
      <x:c r="Q262" s="84" t="str">
        <x:v>Exact accepted-name match</x:v>
      </x:c>
      <x:c r="R262" s="84" t="str">
        <x:v>Desmanthus virgatus</x:v>
      </x:c>
      <x:c r="S262" s="84" t="str">
        <x:v>2761995</x:v>
      </x:c>
      <x:c r="T262" s="84" t="str">
        <x:v>2761995</x:v>
      </x:c>
      <x:c r="U262" s="84" t="str">
        <x:v>1125234-2</x:v>
      </x:c>
      <x:c r="V262" s="84" t="str">
        <x:v>1125234-2</x:v>
      </x:c>
      <x:c r="W262" s="84" t="str"/>
    </x:row>
    <x:row r="263" ht="18" customHeight="1">
      <x:c r="A263" s="83" t="str">
        <x:v>HAYS-0262</x:v>
      </x:c>
      <x:c r="B263" s="87" t="str">
        <x:v>Desmodium nudiflorum</x:v>
      </x:c>
      <x:c r="C263" s="87" t="str">
        <x:v>Hylodesmum nudiflorum</x:v>
      </x:c>
      <x:c r="D263" s="84" t="str">
        <x:v>Fabaceae</x:v>
      </x:c>
      <x:c r="E263" s="84" t="str">
        <x:v>Hylodesmum</x:v>
      </x:c>
      <x:c r="F263" s="84" t="str">
        <x:v>Species</x:v>
      </x:c>
      <x:c r="G263" s="84" t="str">
        <x:v>Synonym</x:v>
      </x:c>
      <x:c r="H263" s="84" t="str">
        <x:v>Nakedflower Ticktrefoil</x:v>
      </x:c>
      <x:c r="I263" s="84" t="str">
        <x:v>Perennial</x:v>
      </x:c>
      <x:c r="J263" s="84" t="str">
        <x:v>Herb</x:v>
      </x:c>
      <x:c r="K263" s="84" t="str">
        <x:v>Part-shade</x:v>
      </x:c>
      <x:c r="L263" s="84" t="str">
        <x:v>Moist</x:v>
      </x:c>
      <x:c r="M263" s="89" t="n">
        <x:v>1</x:v>
      </x:c>
      <x:c r="N263" s="89" t="n">
        <x:v>1</x:v>
      </x:c>
      <x:c r="O263" s="89" t="n">
        <x:v>0</x:v>
      </x:c>
      <x:c r="P263" s="89" t="n">
        <x:f>SUM(M263:O263)</x:f>
        <x:v>2</x:v>
      </x:c>
      <x:c r="Q263" s="84" t="str">
        <x:v>Exact synonym-name match</x:v>
      </x:c>
      <x:c r="R263" s="84" t="str">
        <x:v>Desmodium nudiflorum</x:v>
      </x:c>
      <x:c r="S263" s="84" t="str">
        <x:v>2762564</x:v>
      </x:c>
      <x:c r="T263" s="84" t="str">
        <x:v>2856896</x:v>
      </x:c>
      <x:c r="U263" s="84" t="str">
        <x:v>1024739-2</x:v>
      </x:c>
      <x:c r="V263" s="84" t="str">
        <x:v>1014619-1</x:v>
      </x:c>
      <x:c r="W263" s="84" t="str"/>
    </x:row>
    <x:row r="264" ht="18" customHeight="1">
      <x:c r="A264" s="83" t="str">
        <x:v>HAYS-0263</x:v>
      </x:c>
      <x:c r="B264" s="87" t="str">
        <x:v>Desmodium paniculatum</x:v>
      </x:c>
      <x:c r="C264" s="87" t="str">
        <x:v>Desmodium paniculatum</x:v>
      </x:c>
      <x:c r="D264" s="84" t="str">
        <x:v>Fabaceae</x:v>
      </x:c>
      <x:c r="E264" s="84" t="str">
        <x:v>Desmodium</x:v>
      </x:c>
      <x:c r="F264" s="84" t="str">
        <x:v>Species</x:v>
      </x:c>
      <x:c r="G264" s="84" t="str">
        <x:v>Accepted</x:v>
      </x:c>
      <x:c r="H264" s="84" t="str">
        <x:v>Panicledleaf Ticktrefoil, Panicled Tick Trefoil, Velcro Vine</x:v>
      </x:c>
      <x:c r="I264" s="84" t="str">
        <x:v>Perennial</x:v>
      </x:c>
      <x:c r="J264" s="84" t="str">
        <x:v>Herb</x:v>
      </x:c>
      <x:c r="K264" s="84" t="str">
        <x:v>Part-shade</x:v>
      </x:c>
      <x:c r="L264" s="84" t="str">
        <x:v>Dry</x:v>
      </x:c>
      <x:c r="M264" s="89" t="n">
        <x:v>1</x:v>
      </x:c>
      <x:c r="N264" s="89" t="n">
        <x:v>1</x:v>
      </x:c>
      <x:c r="O264" s="89" t="n">
        <x:v>0</x:v>
      </x:c>
      <x:c r="P264" s="89" t="n">
        <x:f>SUM(M264:O264)</x:f>
        <x:v>2</x:v>
      </x:c>
      <x:c r="Q264" s="84" t="str">
        <x:v>Exact accepted-name match</x:v>
      </x:c>
      <x:c r="R264" s="84" t="str">
        <x:v>Desmodium paniculatum</x:v>
      </x:c>
      <x:c r="S264" s="84" t="str">
        <x:v>2762606</x:v>
      </x:c>
      <x:c r="T264" s="84" t="str">
        <x:v>2762606</x:v>
      </x:c>
      <x:c r="U264" s="84" t="str">
        <x:v>491980-1</x:v>
      </x:c>
      <x:c r="V264" s="84" t="str">
        <x:v>491980-1</x:v>
      </x:c>
      <x:c r="W264" s="84" t="str"/>
    </x:row>
    <x:row r="265" ht="18" customHeight="1">
      <x:c r="A265" s="83" t="str">
        <x:v>HAYS-0264</x:v>
      </x:c>
      <x:c r="B265" s="87" t="str">
        <x:v>Desmodium psilophyllum</x:v>
      </x:c>
      <x:c r="C265" s="87" t="str">
        <x:v>Desmodium psilophyllum</x:v>
      </x:c>
      <x:c r="D265" s="84" t="str">
        <x:v>Fabaceae</x:v>
      </x:c>
      <x:c r="E265" s="84" t="str">
        <x:v>Desmodium</x:v>
      </x:c>
      <x:c r="F265" s="84" t="str">
        <x:v>Species</x:v>
      </x:c>
      <x:c r="G265" s="84" t="str">
        <x:v>Accepted</x:v>
      </x:c>
      <x:c r="H265" s="84" t="str">
        <x:v>Simpleleaf Ticktrefoil, Wright's Tickclover, Beggar's Ticks, Sticktights</x:v>
      </x:c>
      <x:c r="I265" s="84" t="str">
        <x:v>Perennial</x:v>
      </x:c>
      <x:c r="J265" s="84" t="str">
        <x:v>Herb</x:v>
      </x:c>
      <x:c r="K265" s="84" t="str"/>
      <x:c r="L265" s="84" t="str"/>
      <x:c r="M265" s="89" t="n">
        <x:v>1</x:v>
      </x:c>
      <x:c r="N265" s="89" t="n">
        <x:v>1</x:v>
      </x:c>
      <x:c r="O265" s="89" t="n">
        <x:v>0</x:v>
      </x:c>
      <x:c r="P265" s="89" t="n">
        <x:f>SUM(M265:O265)</x:f>
        <x:v>2</x:v>
      </x:c>
      <x:c r="Q265" s="84" t="str">
        <x:v>Exact accepted-name match</x:v>
      </x:c>
      <x:c r="R265" s="84" t="str">
        <x:v>Desmodium psilophyllum</x:v>
      </x:c>
      <x:c r="S265" s="84" t="str">
        <x:v>2762687</x:v>
      </x:c>
      <x:c r="T265" s="84" t="str">
        <x:v>2762687</x:v>
      </x:c>
      <x:c r="U265" s="84" t="str">
        <x:v>492040-1</x:v>
      </x:c>
      <x:c r="V265" s="84" t="str">
        <x:v>492040-1</x:v>
      </x:c>
      <x:c r="W265" s="84" t="str"/>
    </x:row>
    <x:row r="266" ht="18" customHeight="1">
      <x:c r="A266" s="83" t="str">
        <x:v>HAYS-0265</x:v>
      </x:c>
      <x:c r="B266" s="87" t="str">
        <x:v>Desmodium sessilifolium</x:v>
      </x:c>
      <x:c r="C266" s="87" t="str">
        <x:v>Desmodium sessilifolium</x:v>
      </x:c>
      <x:c r="D266" s="84" t="str">
        <x:v>Fabaceae</x:v>
      </x:c>
      <x:c r="E266" s="84" t="str">
        <x:v>Desmodium</x:v>
      </x:c>
      <x:c r="F266" s="84" t="str">
        <x:v>Species</x:v>
      </x:c>
      <x:c r="G266" s="84" t="str">
        <x:v>Accepted</x:v>
      </x:c>
      <x:c r="H266" s="84" t="str">
        <x:v>Sessileleaf Ticktrefoil</x:v>
      </x:c>
      <x:c r="I266" s="84" t="str">
        <x:v>Perennial</x:v>
      </x:c>
      <x:c r="J266" s="84" t="str">
        <x:v>Herb</x:v>
      </x:c>
      <x:c r="K266" s="84" t="str">
        <x:v>Sun</x:v>
      </x:c>
      <x:c r="L266" s="84" t="str">
        <x:v>Dry</x:v>
      </x:c>
      <x:c r="M266" s="89" t="n">
        <x:v>1</x:v>
      </x:c>
      <x:c r="N266" s="89" t="n">
        <x:v>1</x:v>
      </x:c>
      <x:c r="O266" s="89" t="n">
        <x:v>0</x:v>
      </x:c>
      <x:c r="P266" s="89" t="n">
        <x:f>SUM(M266:O266)</x:f>
        <x:v>2</x:v>
      </x:c>
      <x:c r="Q266" s="84" t="str">
        <x:v>Exact accepted-name match</x:v>
      </x:c>
      <x:c r="R266" s="84" t="str">
        <x:v>Desmodium sessilifolium</x:v>
      </x:c>
      <x:c r="S266" s="84" t="str">
        <x:v>2762793</x:v>
      </x:c>
      <x:c r="T266" s="84" t="str">
        <x:v>2762793</x:v>
      </x:c>
      <x:c r="U266" s="84" t="str">
        <x:v>78577-2</x:v>
      </x:c>
      <x:c r="V266" s="84" t="str">
        <x:v>78577-2</x:v>
      </x:c>
      <x:c r="W266" s="84" t="str"/>
    </x:row>
    <x:row r="267" ht="18" customHeight="1">
      <x:c r="A267" s="83" t="str">
        <x:v>HAYS-0266</x:v>
      </x:c>
      <x:c r="B267" s="87" t="str">
        <x:v>Diaperia candida</x:v>
      </x:c>
      <x:c r="C267" s="87" t="str">
        <x:v>Diaperia candida</x:v>
      </x:c>
      <x:c r="D267" s="84" t="str">
        <x:v>Asteraceae</x:v>
      </x:c>
      <x:c r="E267" s="84" t="str">
        <x:v>Diaperia</x:v>
      </x:c>
      <x:c r="F267" s="84" t="str">
        <x:v>Species</x:v>
      </x:c>
      <x:c r="G267" s="84" t="str">
        <x:v>Accepted</x:v>
      </x:c>
      <x:c r="H267" s="84" t="str">
        <x:v>Silver Pygmycudweed</x:v>
      </x:c>
      <x:c r="I267" s="84" t="str">
        <x:v>Annual</x:v>
      </x:c>
      <x:c r="J267" s="84" t="str">
        <x:v>Herb</x:v>
      </x:c>
      <x:c r="K267" s="84" t="str"/>
      <x:c r="L267" s="84" t="str"/>
      <x:c r="M267" s="89" t="n">
        <x:v>0</x:v>
      </x:c>
      <x:c r="N267" s="89" t="n">
        <x:v>1</x:v>
      </x:c>
      <x:c r="O267" s="89" t="n">
        <x:v>0</x:v>
      </x:c>
      <x:c r="P267" s="89" t="n">
        <x:f>SUM(M267:O267)</x:f>
        <x:v>1</x:v>
      </x:c>
      <x:c r="Q267" s="84" t="str">
        <x:v>Exact accepted-name match</x:v>
      </x:c>
      <x:c r="R267" s="84" t="str">
        <x:v>Diaperia candida</x:v>
      </x:c>
      <x:c r="S267" s="84" t="str">
        <x:v>3093726</x:v>
      </x:c>
      <x:c r="T267" s="84" t="str">
        <x:v>3093726</x:v>
      </x:c>
      <x:c r="U267" s="84" t="str">
        <x:v>60437966-2</x:v>
      </x:c>
      <x:c r="V267" s="84" t="str">
        <x:v>60437966-2</x:v>
      </x:c>
      <x:c r="W267" s="84" t="str"/>
    </x:row>
    <x:row r="268" ht="18" customHeight="1">
      <x:c r="A268" s="83" t="str">
        <x:v>HAYS-0267</x:v>
      </x:c>
      <x:c r="B268" s="87" t="str">
        <x:v>Dichanthelium acuminatum var. lindheimeri</x:v>
      </x:c>
      <x:c r="C268" s="87" t="str">
        <x:v>Dichanthelium lindheimeri</x:v>
      </x:c>
      <x:c r="D268" s="84" t="str">
        <x:v>Poaceae</x:v>
      </x:c>
      <x:c r="E268" s="84" t="str">
        <x:v>Dichanthelium</x:v>
      </x:c>
      <x:c r="F268" s="84" t="str">
        <x:v>Variety</x:v>
      </x:c>
      <x:c r="G268" s="84" t="str">
        <x:v>Synonym</x:v>
      </x:c>
      <x:c r="H268" s="84" t="str">
        <x:v>Lindheimer Panicgrass, Lindheimer's Rosettegrass, Lindheimer's Rosette Grass</x:v>
      </x:c>
      <x:c r="I268" s="84" t="str">
        <x:v>Perennial</x:v>
      </x:c>
      <x:c r="J268" s="84" t="str">
        <x:v>Grass/Grass-like</x:v>
      </x:c>
      <x:c r="K268" s="84" t="str">
        <x:v>Sun, Part-shade</x:v>
      </x:c>
      <x:c r="L268" s="84" t="str"/>
      <x:c r="M268" s="89" t="n">
        <x:v>1</x:v>
      </x:c>
      <x:c r="N268" s="89" t="n">
        <x:v>1</x:v>
      </x:c>
      <x:c r="O268" s="89" t="n">
        <x:v>0</x:v>
      </x:c>
      <x:c r="P268" s="89" t="n">
        <x:f>SUM(M268:O268)</x:f>
        <x:v>2</x:v>
      </x:c>
      <x:c r="Q268" s="84" t="str">
        <x:v>Exact synonym-name match</x:v>
      </x:c>
      <x:c r="R268" s="84" t="str">
        <x:v>Dichanthelium acuminatum var. lindheimeri</x:v>
      </x:c>
      <x:c r="S268" s="84" t="str">
        <x:v>408432</x:v>
      </x:c>
      <x:c r="T268" s="84" t="str">
        <x:v>408520</x:v>
      </x:c>
      <x:c r="U268" s="84" t="str">
        <x:v>79332-2</x:v>
      </x:c>
      <x:c r="V268" s="84" t="str">
        <x:v>79371-2</x:v>
      </x:c>
      <x:c r="W268" s="84" t="str"/>
    </x:row>
    <x:row r="269" ht="18" customHeight="1">
      <x:c r="A269" s="83" t="str">
        <x:v>HAYS-0268</x:v>
      </x:c>
      <x:c r="B269" s="87" t="str">
        <x:v>Dichanthelium oligosanthes</x:v>
      </x:c>
      <x:c r="C269" s="87" t="str">
        <x:v>Dichanthelium oligosanthes</x:v>
      </x:c>
      <x:c r="D269" s="84" t="str">
        <x:v>Poaceae</x:v>
      </x:c>
      <x:c r="E269" s="84" t="str">
        <x:v>Dichanthelium</x:v>
      </x:c>
      <x:c r="F269" s="84" t="str">
        <x:v>Species</x:v>
      </x:c>
      <x:c r="G269" s="84" t="str">
        <x:v>Accepted</x:v>
      </x:c>
      <x:c r="H269" s="84" t="str">
        <x:v>Heller's Rosette Grass</x:v>
      </x:c>
      <x:c r="I269" s="84" t="str">
        <x:v>Perennial</x:v>
      </x:c>
      <x:c r="J269" s="84" t="str">
        <x:v>Grass/Grass-like</x:v>
      </x:c>
      <x:c r="K269" s="84" t="str"/>
      <x:c r="L269" s="84" t="str"/>
      <x:c r="M269" s="89" t="n">
        <x:v>1</x:v>
      </x:c>
      <x:c r="N269" s="89" t="n">
        <x:v>1</x:v>
      </x:c>
      <x:c r="O269" s="89" t="n">
        <x:v>0</x:v>
      </x:c>
      <x:c r="P269" s="89" t="n">
        <x:f>SUM(M269:O269)</x:f>
        <x:v>2</x:v>
      </x:c>
      <x:c r="Q269" s="84" t="str">
        <x:v>Exact accepted-name match</x:v>
      </x:c>
      <x:c r="R269" s="84" t="str">
        <x:v>Dichanthelium oligosanthes</x:v>
      </x:c>
      <x:c r="S269" s="84" t="str">
        <x:v>408534</x:v>
      </x:c>
      <x:c r="T269" s="84" t="str">
        <x:v>408534</x:v>
      </x:c>
      <x:c r="U269" s="84" t="str">
        <x:v>79378-2</x:v>
      </x:c>
      <x:c r="V269" s="84" t="str">
        <x:v>79378-2</x:v>
      </x:c>
      <x:c r="W269" s="84" t="str"/>
    </x:row>
    <x:row r="270" ht="18" customHeight="1">
      <x:c r="A270" s="83" t="str">
        <x:v>HAYS-0269</x:v>
      </x:c>
      <x:c r="B270" s="87" t="str">
        <x:v>Dichanthelium pedicellatum</x:v>
      </x:c>
      <x:c r="C270" s="87" t="str">
        <x:v>Dichanthelium pedicellatum</x:v>
      </x:c>
      <x:c r="D270" s="84" t="str">
        <x:v>Poaceae</x:v>
      </x:c>
      <x:c r="E270" s="84" t="str">
        <x:v>Dichanthelium</x:v>
      </x:c>
      <x:c r="F270" s="84" t="str">
        <x:v>Species</x:v>
      </x:c>
      <x:c r="G270" s="84" t="str">
        <x:v>Accepted</x:v>
      </x:c>
      <x:c r="H270" s="84" t="str">
        <x:v>Cedar Rosette Grass, Corm-based Panicgrass</x:v>
      </x:c>
      <x:c r="I270" s="84" t="str">
        <x:v>Perennial</x:v>
      </x:c>
      <x:c r="J270" s="84" t="str">
        <x:v>Grass/Grass-like</x:v>
      </x:c>
      <x:c r="K270" s="84" t="str"/>
      <x:c r="L270" s="84" t="str"/>
      <x:c r="M270" s="89" t="n">
        <x:v>1</x:v>
      </x:c>
      <x:c r="N270" s="89" t="n">
        <x:v>1</x:v>
      </x:c>
      <x:c r="O270" s="89" t="n">
        <x:v>0</x:v>
      </x:c>
      <x:c r="P270" s="89" t="n">
        <x:f>SUM(M270:O270)</x:f>
        <x:v>2</x:v>
      </x:c>
      <x:c r="Q270" s="84" t="str">
        <x:v>Exact accepted-name match</x:v>
      </x:c>
      <x:c r="R270" s="84" t="str">
        <x:v>Dichanthelium pedicellatum</x:v>
      </x:c>
      <x:c r="S270" s="84" t="str">
        <x:v>408545</x:v>
      </x:c>
      <x:c r="T270" s="84" t="str">
        <x:v>408545</x:v>
      </x:c>
      <x:c r="U270" s="84" t="str">
        <x:v>79383-2</x:v>
      </x:c>
      <x:c r="V270" s="84" t="str">
        <x:v>79383-2</x:v>
      </x:c>
      <x:c r="W270" s="84" t="str"/>
    </x:row>
    <x:row r="271" ht="18" customHeight="1">
      <x:c r="A271" s="83" t="str">
        <x:v>HAYS-0270</x:v>
      </x:c>
      <x:c r="B271" s="87" t="str">
        <x:v>Dichondra carolinensis</x:v>
      </x:c>
      <x:c r="C271" s="87" t="str">
        <x:v>Dichondra carolinensis</x:v>
      </x:c>
      <x:c r="D271" s="84" t="str">
        <x:v>Convolvulaceae</x:v>
      </x:c>
      <x:c r="E271" s="84" t="str">
        <x:v>Dichondra</x:v>
      </x:c>
      <x:c r="F271" s="84" t="str">
        <x:v>Species</x:v>
      </x:c>
      <x:c r="G271" s="84" t="str">
        <x:v>Accepted</x:v>
      </x:c>
      <x:c r="H271" s="84" t="str">
        <x:v>Carolina Ponyfoot, Ponyfoot</x:v>
      </x:c>
      <x:c r="I271" s="84" t="str">
        <x:v>Perennial</x:v>
      </x:c>
      <x:c r="J271" s="84" t="str">
        <x:v>Herb</x:v>
      </x:c>
      <x:c r="K271" s="84" t="str">
        <x:v>Part Shade</x:v>
      </x:c>
      <x:c r="L271" s="84" t="str">
        <x:v>Medium</x:v>
      </x:c>
      <x:c r="M271" s="89" t="n">
        <x:v>1</x:v>
      </x:c>
      <x:c r="N271" s="89" t="n">
        <x:v>1</x:v>
      </x:c>
      <x:c r="O271" s="89" t="n">
        <x:v>1</x:v>
      </x:c>
      <x:c r="P271" s="89" t="n">
        <x:f>SUM(M271:O271)</x:f>
        <x:v>3</x:v>
      </x:c>
      <x:c r="Q271" s="84" t="str">
        <x:v>Exact accepted-name match</x:v>
      </x:c>
      <x:c r="R271" s="84" t="str">
        <x:v>Dichondra carolinensis</x:v>
      </x:c>
      <x:c r="S271" s="84" t="str">
        <x:v>485842</x:v>
      </x:c>
      <x:c r="T271" s="84" t="str">
        <x:v>485842</x:v>
      </x:c>
      <x:c r="U271" s="84" t="str">
        <x:v>79450-2</x:v>
      </x:c>
      <x:c r="V271" s="84" t="str">
        <x:v>79450-2</x:v>
      </x:c>
      <x:c r="W271" s="84" t="str"/>
    </x:row>
    <x:row r="272" ht="18" customHeight="1">
      <x:c r="A272" s="83" t="str">
        <x:v>HAYS-0271</x:v>
      </x:c>
      <x:c r="B272" s="87" t="str">
        <x:v>Dichondra recurvata</x:v>
      </x:c>
      <x:c r="C272" s="87" t="str">
        <x:v>Dichondra recurvata</x:v>
      </x:c>
      <x:c r="D272" s="84" t="str">
        <x:v>Convolvulaceae</x:v>
      </x:c>
      <x:c r="E272" s="84" t="str">
        <x:v>Dichondra</x:v>
      </x:c>
      <x:c r="F272" s="84" t="str">
        <x:v>Species</x:v>
      </x:c>
      <x:c r="G272" s="84" t="str">
        <x:v>Accepted</x:v>
      </x:c>
      <x:c r="H272" s="84" t="str">
        <x:v>Oakwoods Ponysfoot, Oakwoods Ponyfoot</x:v>
      </x:c>
      <x:c r="I272" s="84" t="str">
        <x:v>Perennial</x:v>
      </x:c>
      <x:c r="J272" s="84" t="str">
        <x:v>Herb</x:v>
      </x:c>
      <x:c r="K272" s="84" t="str"/>
      <x:c r="L272" s="84" t="str"/>
      <x:c r="M272" s="89" t="n">
        <x:v>1</x:v>
      </x:c>
      <x:c r="N272" s="89" t="n">
        <x:v>1</x:v>
      </x:c>
      <x:c r="O272" s="89" t="n">
        <x:v>0</x:v>
      </x:c>
      <x:c r="P272" s="89" t="n">
        <x:f>SUM(M272:O272)</x:f>
        <x:v>2</x:v>
      </x:c>
      <x:c r="Q272" s="84" t="str">
        <x:v>Exact accepted-name match</x:v>
      </x:c>
      <x:c r="R272" s="84" t="str">
        <x:v>Dichondra recurvata</x:v>
      </x:c>
      <x:c r="S272" s="84" t="str">
        <x:v>485860</x:v>
      </x:c>
      <x:c r="T272" s="84" t="str">
        <x:v>485860</x:v>
      </x:c>
      <x:c r="U272" s="84" t="str">
        <x:v>79462-2</x:v>
      </x:c>
      <x:c r="V272" s="84" t="str">
        <x:v>79462-2</x:v>
      </x:c>
      <x:c r="W272" s="84" t="str"/>
    </x:row>
    <x:row r="273" ht="18" customHeight="1">
      <x:c r="A273" s="83" t="str">
        <x:v>HAYS-0272</x:v>
      </x:c>
      <x:c r="B273" s="87" t="str">
        <x:v>Dicliptera brachiata</x:v>
      </x:c>
      <x:c r="C273" s="87" t="str">
        <x:v>Dicliptera brachiata</x:v>
      </x:c>
      <x:c r="D273" s="84" t="str">
        <x:v>Acanthaceae</x:v>
      </x:c>
      <x:c r="E273" s="84" t="str">
        <x:v>Dicliptera</x:v>
      </x:c>
      <x:c r="F273" s="84" t="str">
        <x:v>Species</x:v>
      </x:c>
      <x:c r="G273" s="84" t="str">
        <x:v>Accepted</x:v>
      </x:c>
      <x:c r="H273" s="84" t="str">
        <x:v>Branched Foldwing, Branched Dicliptera</x:v>
      </x:c>
      <x:c r="I273" s="84" t="str">
        <x:v>Perennial</x:v>
      </x:c>
      <x:c r="J273" s="84" t="str">
        <x:v>Herb</x:v>
      </x:c>
      <x:c r="K273" s="84" t="str">
        <x:v>Part-shade</x:v>
      </x:c>
      <x:c r="L273" s="84" t="str">
        <x:v>Moist</x:v>
      </x:c>
      <x:c r="M273" s="89" t="n">
        <x:v>1</x:v>
      </x:c>
      <x:c r="N273" s="89" t="n">
        <x:v>1</x:v>
      </x:c>
      <x:c r="O273" s="89" t="n">
        <x:v>0</x:v>
      </x:c>
      <x:c r="P273" s="89" t="n">
        <x:f>SUM(M273:O273)</x:f>
        <x:v>2</x:v>
      </x:c>
      <x:c r="Q273" s="84" t="str">
        <x:v>Exact accepted-name match</x:v>
      </x:c>
      <x:c r="R273" s="84" t="str">
        <x:v>Dicliptera brachiata</x:v>
      </x:c>
      <x:c r="S273" s="84" t="str">
        <x:v>2766457</x:v>
      </x:c>
      <x:c r="T273" s="84" t="str">
        <x:v>2766457</x:v>
      </x:c>
      <x:c r="U273" s="84" t="str">
        <x:v>79689-2</x:v>
      </x:c>
      <x:c r="V273" s="84" t="str">
        <x:v>79689-2</x:v>
      </x:c>
      <x:c r="W273" s="84" t="str"/>
    </x:row>
    <x:row r="274" ht="18" customHeight="1">
      <x:c r="A274" s="83" t="str">
        <x:v>HAYS-0273</x:v>
      </x:c>
      <x:c r="B274" s="87" t="str">
        <x:v>Digitaria ciliaris</x:v>
      </x:c>
      <x:c r="C274" s="87" t="str">
        <x:v>Digitaria ciliaris</x:v>
      </x:c>
      <x:c r="D274" s="84" t="str">
        <x:v>Poaceae</x:v>
      </x:c>
      <x:c r="E274" s="84" t="str">
        <x:v>Digitaria</x:v>
      </x:c>
      <x:c r="F274" s="84" t="str">
        <x:v>Species</x:v>
      </x:c>
      <x:c r="G274" s="84" t="str">
        <x:v>Accepted</x:v>
      </x:c>
      <x:c r="H274" s="84" t="str">
        <x:v>Southern Crabgrass</x:v>
      </x:c>
      <x:c r="I274" s="84" t="str">
        <x:v>Annual, Perennial</x:v>
      </x:c>
      <x:c r="J274" s="84" t="str">
        <x:v>Grass/Grass-like</x:v>
      </x:c>
      <x:c r="K274" s="84" t="str"/>
      <x:c r="L274" s="84" t="str"/>
      <x:c r="M274" s="89" t="n">
        <x:v>1</x:v>
      </x:c>
      <x:c r="N274" s="89" t="n">
        <x:v>1</x:v>
      </x:c>
      <x:c r="O274" s="89" t="n">
        <x:v>0</x:v>
      </x:c>
      <x:c r="P274" s="89" t="n">
        <x:f>SUM(M274:O274)</x:f>
        <x:v>2</x:v>
      </x:c>
      <x:c r="Q274" s="84" t="str">
        <x:v>Exact accepted-name match</x:v>
      </x:c>
      <x:c r="R274" s="84" t="str">
        <x:v>Digitaria ciliaris</x:v>
      </x:c>
      <x:c r="S274" s="84" t="str">
        <x:v>408848</x:v>
      </x:c>
      <x:c r="T274" s="84" t="str">
        <x:v>408848</x:v>
      </x:c>
      <x:c r="U274" s="84" t="str">
        <x:v>1038558-2</x:v>
      </x:c>
      <x:c r="V274" s="84" t="str">
        <x:v>1038558-2</x:v>
      </x:c>
      <x:c r="W274" s="84" t="str"/>
    </x:row>
    <x:row r="275" ht="18" customHeight="1">
      <x:c r="A275" s="83" t="str">
        <x:v>HAYS-0274</x:v>
      </x:c>
      <x:c r="B275" s="87" t="str">
        <x:v>Digitaria cognata</x:v>
      </x:c>
      <x:c r="C275" s="87" t="str">
        <x:v>Digitaria cognata</x:v>
      </x:c>
      <x:c r="D275" s="84" t="str">
        <x:v>Poaceae</x:v>
      </x:c>
      <x:c r="E275" s="84" t="str">
        <x:v>Digitaria</x:v>
      </x:c>
      <x:c r="F275" s="84" t="str">
        <x:v>Species</x:v>
      </x:c>
      <x:c r="G275" s="84" t="str">
        <x:v>Accepted</x:v>
      </x:c>
      <x:c r="H275" s="84" t="str">
        <x:v>Carolina Crabgrass, Fall Witchgrass</x:v>
      </x:c>
      <x:c r="I275" s="84" t="str">
        <x:v>Perennial</x:v>
      </x:c>
      <x:c r="J275" s="84" t="str">
        <x:v>Grass/Grass-like</x:v>
      </x:c>
      <x:c r="K275" s="84" t="str">
        <x:v>Sun, Shade, Part-shade</x:v>
      </x:c>
      <x:c r="L275" s="84" t="str">
        <x:v>Dry</x:v>
      </x:c>
      <x:c r="M275" s="89" t="n">
        <x:v>1</x:v>
      </x:c>
      <x:c r="N275" s="89" t="n">
        <x:v>1</x:v>
      </x:c>
      <x:c r="O275" s="89" t="n">
        <x:v>0</x:v>
      </x:c>
      <x:c r="P275" s="89" t="n">
        <x:f>SUM(M275:O275)</x:f>
        <x:v>2</x:v>
      </x:c>
      <x:c r="Q275" s="84" t="str">
        <x:v>Exact accepted-name match</x:v>
      </x:c>
      <x:c r="R275" s="84" t="str">
        <x:v>Digitaria cognata</x:v>
      </x:c>
      <x:c r="S275" s="84" t="str">
        <x:v>408867</x:v>
      </x:c>
      <x:c r="T275" s="84" t="str">
        <x:v>408867</x:v>
      </x:c>
      <x:c r="U275" s="84" t="str">
        <x:v>80227-2</x:v>
      </x:c>
      <x:c r="V275" s="84" t="str">
        <x:v>80227-2</x:v>
      </x:c>
      <x:c r="W275" s="84" t="str"/>
    </x:row>
    <x:row r="276" ht="18" customHeight="1">
      <x:c r="A276" s="83" t="str">
        <x:v>HAYS-0275</x:v>
      </x:c>
      <x:c r="B276" s="87" t="str">
        <x:v>Diospyros texana</x:v>
      </x:c>
      <x:c r="C276" s="87" t="str">
        <x:v>Diospyros texana</x:v>
      </x:c>
      <x:c r="D276" s="84" t="str">
        <x:v>Ebenaceae</x:v>
      </x:c>
      <x:c r="E276" s="84" t="str">
        <x:v>Diospyros</x:v>
      </x:c>
      <x:c r="F276" s="84" t="str">
        <x:v>Species</x:v>
      </x:c>
      <x:c r="G276" s="84" t="str">
        <x:v>Accepted</x:v>
      </x:c>
      <x:c r="H276" s="84" t="str">
        <x:v>Texas Persimmon, Mexican Persimmon, Black Persimmon, Chapote, Chapote Prieto</x:v>
      </x:c>
      <x:c r="I276" s="84" t="str">
        <x:v>Perennial</x:v>
      </x:c>
      <x:c r="J276" s="84" t="str">
        <x:v>Tree</x:v>
      </x:c>
      <x:c r="K276" s="84" t="str">
        <x:v>Sun, Part Shade</x:v>
      </x:c>
      <x:c r="L276" s="84" t="str">
        <x:v>Low (Dry)</x:v>
      </x:c>
      <x:c r="M276" s="89" t="n">
        <x:v>1</x:v>
      </x:c>
      <x:c r="N276" s="89" t="n">
        <x:v>1</x:v>
      </x:c>
      <x:c r="O276" s="89" t="n">
        <x:v>1</x:v>
      </x:c>
      <x:c r="P276" s="89" t="n">
        <x:f>SUM(M276:O276)</x:f>
        <x:v>3</x:v>
      </x:c>
      <x:c r="Q276" s="84" t="str">
        <x:v>Exact accepted-name match</x:v>
      </x:c>
      <x:c r="R276" s="84" t="str">
        <x:v>Diospyros texana</x:v>
      </x:c>
      <x:c r="S276" s="84" t="str">
        <x:v>384904</x:v>
      </x:c>
      <x:c r="T276" s="84" t="str">
        <x:v>384904</x:v>
      </x:c>
      <x:c r="U276" s="84" t="str">
        <x:v>323100-1</x:v>
      </x:c>
      <x:c r="V276" s="84" t="str">
        <x:v>323100-1</x:v>
      </x:c>
      <x:c r="W276" s="84" t="str"/>
    </x:row>
    <x:row r="277" ht="18" customHeight="1">
      <x:c r="A277" s="83" t="str">
        <x:v>HAYS-0276</x:v>
      </x:c>
      <x:c r="B277" s="87" t="str">
        <x:v>Diospyros virginiana</x:v>
      </x:c>
      <x:c r="C277" s="87" t="str">
        <x:v>Diospyros virginiana</x:v>
      </x:c>
      <x:c r="D277" s="84" t="str">
        <x:v>Ebenaceae</x:v>
      </x:c>
      <x:c r="E277" s="84" t="str">
        <x:v>Diospyros</x:v>
      </x:c>
      <x:c r="F277" s="84" t="str">
        <x:v>Species</x:v>
      </x:c>
      <x:c r="G277" s="84" t="str">
        <x:v>Accepted</x:v>
      </x:c>
      <x:c r="H277" s="84" t="str">
        <x:v>Common Persimmon, Eastern Persimmon, Possumwood, Date Plum, Winter Plum, Jove's Fruit</x:v>
      </x:c>
      <x:c r="I277" s="84" t="str">
        <x:v>Perennial</x:v>
      </x:c>
      <x:c r="J277" s="84" t="str">
        <x:v>Tree</x:v>
      </x:c>
      <x:c r="K277" s="84" t="str">
        <x:v>Sun, Part Shade</x:v>
      </x:c>
      <x:c r="L277" s="84" t="str">
        <x:v>Medium</x:v>
      </x:c>
      <x:c r="M277" s="89" t="n">
        <x:v>0</x:v>
      </x:c>
      <x:c r="N277" s="89" t="n">
        <x:v>0</x:v>
      </x:c>
      <x:c r="O277" s="89" t="n">
        <x:v>1</x:v>
      </x:c>
      <x:c r="P277" s="89" t="n">
        <x:f>SUM(M277:O277)</x:f>
        <x:v>1</x:v>
      </x:c>
      <x:c r="Q277" s="84" t="str">
        <x:v>Exact accepted-name match</x:v>
      </x:c>
      <x:c r="R277" s="84" t="str">
        <x:v>Diospyros virginiana</x:v>
      </x:c>
      <x:c r="S277" s="84" t="str">
        <x:v>385000</x:v>
      </x:c>
      <x:c r="T277" s="84" t="str">
        <x:v>385000</x:v>
      </x:c>
      <x:c r="U277" s="84" t="str">
        <x:v>323180-1</x:v>
      </x:c>
      <x:c r="V277" s="84" t="str">
        <x:v>323180-1</x:v>
      </x:c>
      <x:c r="W277" s="84" t="str"/>
    </x:row>
    <x:row r="278" ht="18" customHeight="1">
      <x:c r="A278" s="83" t="str">
        <x:v>HAYS-0277</x:v>
      </x:c>
      <x:c r="B278" s="87" t="str">
        <x:v>Draba cuneifolia</x:v>
      </x:c>
      <x:c r="C278" s="87" t="str">
        <x:v>Tomostima cuneifolia</x:v>
      </x:c>
      <x:c r="D278" s="84" t="str">
        <x:v>Brassicaceae</x:v>
      </x:c>
      <x:c r="E278" s="84" t="str">
        <x:v>Tomostima</x:v>
      </x:c>
      <x:c r="F278" s="84" t="str">
        <x:v>Species</x:v>
      </x:c>
      <x:c r="G278" s="84" t="str">
        <x:v>Synonym</x:v>
      </x:c>
      <x:c r="H278" s="84" t="str">
        <x:v>Wedgeleaf Draba, Whitlow-grass</x:v>
      </x:c>
      <x:c r="I278" s="84" t="str">
        <x:v>Annual</x:v>
      </x:c>
      <x:c r="J278" s="84" t="str">
        <x:v>Herb</x:v>
      </x:c>
      <x:c r="K278" s="84" t="str"/>
      <x:c r="L278" s="84" t="str"/>
      <x:c r="M278" s="89" t="n">
        <x:v>1</x:v>
      </x:c>
      <x:c r="N278" s="89" t="n">
        <x:v>1</x:v>
      </x:c>
      <x:c r="O278" s="89" t="n">
        <x:v>0</x:v>
      </x:c>
      <x:c r="P278" s="89" t="n">
        <x:f>SUM(M278:O278)</x:f>
        <x:v>2</x:v>
      </x:c>
      <x:c r="Q278" s="84" t="str">
        <x:v>Exact synonym-name match</x:v>
      </x:c>
      <x:c r="R278" s="84" t="str">
        <x:v>Draba cuneifolia</x:v>
      </x:c>
      <x:c r="S278" s="84" t="str">
        <x:v>2776505</x:v>
      </x:c>
      <x:c r="T278" s="84" t="str">
        <x:v>2915164</x:v>
      </x:c>
      <x:c r="U278" s="84" t="str">
        <x:v>2776505-4</x:v>
      </x:c>
      <x:c r="V278" s="84" t="str">
        <x:v>77122974-1</x:v>
      </x:c>
      <x:c r="W278" s="84" t="str"/>
    </x:row>
    <x:row r="279" ht="18" customHeight="1">
      <x:c r="A279" s="83" t="str">
        <x:v>HAYS-0278</x:v>
      </x:c>
      <x:c r="B279" s="87" t="str">
        <x:v>Dracopis amplexicaulis</x:v>
      </x:c>
      <x:c r="C279" s="87" t="str">
        <x:v>Rudbeckia amplexicaulis</x:v>
      </x:c>
      <x:c r="D279" s="84" t="str">
        <x:v>Asteraceae</x:v>
      </x:c>
      <x:c r="E279" s="84" t="str">
        <x:v>Rudbeckia</x:v>
      </x:c>
      <x:c r="F279" s="84" t="str">
        <x:v>Species</x:v>
      </x:c>
      <x:c r="G279" s="84" t="str">
        <x:v>Synonym</x:v>
      </x:c>
      <x:c r="H279" s="84" t="str">
        <x:v>Clasping Coneflower, Clasping-leaf Coneflower</x:v>
      </x:c>
      <x:c r="I279" s="84" t="str">
        <x:v>Annual</x:v>
      </x:c>
      <x:c r="J279" s="84" t="str">
        <x:v>Herb</x:v>
      </x:c>
      <x:c r="K279" s="84" t="str">
        <x:v>Sun</x:v>
      </x:c>
      <x:c r="L279" s="84" t="str">
        <x:v>Medium</x:v>
      </x:c>
      <x:c r="M279" s="89" t="n">
        <x:v>1</x:v>
      </x:c>
      <x:c r="N279" s="89" t="n">
        <x:v>1</x:v>
      </x:c>
      <x:c r="O279" s="89" t="n">
        <x:v>1</x:v>
      </x:c>
      <x:c r="P279" s="89" t="n">
        <x:f>SUM(M279:O279)</x:f>
        <x:v>3</x:v>
      </x:c>
      <x:c r="Q279" s="84" t="str">
        <x:v>Exact synonym-name match</x:v>
      </x:c>
      <x:c r="R279" s="84" t="str">
        <x:v>Dracopis amplexicaulis</x:v>
      </x:c>
      <x:c r="S279" s="84" t="str">
        <x:v>3123561</x:v>
      </x:c>
      <x:c r="T279" s="84" t="str">
        <x:v>3123565</x:v>
      </x:c>
      <x:c r="U279" s="84" t="str">
        <x:v>202167-1</x:v>
      </x:c>
      <x:c r="V279" s="84" t="str">
        <x:v>241660-1</x:v>
      </x:c>
      <x:c r="W279" s="84" t="str"/>
    </x:row>
    <x:row r="280" ht="18" customHeight="1">
      <x:c r="A280" s="83" t="str">
        <x:v>HAYS-0279</x:v>
      </x:c>
      <x:c r="B280" s="87" t="str">
        <x:v>Dyschoriste linearis</x:v>
      </x:c>
      <x:c r="C280" s="87" t="str">
        <x:v>Dyschoriste linearis</x:v>
      </x:c>
      <x:c r="D280" s="84" t="str">
        <x:v>Acanthaceae</x:v>
      </x:c>
      <x:c r="E280" s="84" t="str">
        <x:v>Dyschoriste</x:v>
      </x:c>
      <x:c r="F280" s="84" t="str">
        <x:v>Species</x:v>
      </x:c>
      <x:c r="G280" s="84" t="str">
        <x:v>Accepted</x:v>
      </x:c>
      <x:c r="H280" s="84" t="str">
        <x:v>Snake Herb, Polkadots, Narrowleaf Dyschoriste</x:v>
      </x:c>
      <x:c r="I280" s="84" t="str">
        <x:v>Perennial</x:v>
      </x:c>
      <x:c r="J280" s="84" t="str">
        <x:v>Herb</x:v>
      </x:c>
      <x:c r="K280" s="84" t="str">
        <x:v>Sun</x:v>
      </x:c>
      <x:c r="L280" s="84" t="str">
        <x:v>Low–Medium</x:v>
      </x:c>
      <x:c r="M280" s="89" t="n">
        <x:v>1</x:v>
      </x:c>
      <x:c r="N280" s="89" t="n">
        <x:v>1</x:v>
      </x:c>
      <x:c r="O280" s="89" t="n">
        <x:v>1</x:v>
      </x:c>
      <x:c r="P280" s="89" t="n">
        <x:f>SUM(M280:O280)</x:f>
        <x:v>3</x:v>
      </x:c>
      <x:c r="Q280" s="84" t="str">
        <x:v>Exact accepted-name match</x:v>
      </x:c>
      <x:c r="R280" s="84" t="str">
        <x:v>Dyschoriste linearis</x:v>
      </x:c>
      <x:c r="S280" s="84" t="str">
        <x:v>2779710</x:v>
      </x:c>
      <x:c r="T280" s="84" t="str">
        <x:v>2779710</x:v>
      </x:c>
      <x:c r="U280" s="84" t="str">
        <x:v>48146-1</x:v>
      </x:c>
      <x:c r="V280" s="84" t="str">
        <x:v>48146-1</x:v>
      </x:c>
      <x:c r="W280" s="84" t="str"/>
    </x:row>
    <x:row r="281" ht="18" customHeight="1">
      <x:c r="A281" s="83" t="str">
        <x:v>HAYS-0280</x:v>
      </x:c>
      <x:c r="B281" s="87" t="str">
        <x:v>Dysodiopsis tagetoides</x:v>
      </x:c>
      <x:c r="C281" s="87" t="str">
        <x:v>Dysodiopsis tagetoides</x:v>
      </x:c>
      <x:c r="D281" s="84" t="str">
        <x:v>Asteraceae</x:v>
      </x:c>
      <x:c r="E281" s="84" t="str">
        <x:v>Dysodiopsis</x:v>
      </x:c>
      <x:c r="F281" s="84" t="str">
        <x:v>Species</x:v>
      </x:c>
      <x:c r="G281" s="84" t="str">
        <x:v>Accepted</x:v>
      </x:c>
      <x:c r="H281" s="84" t="str">
        <x:v>False Dogfennel, Dogweed</x:v>
      </x:c>
      <x:c r="I281" s="84" t="str">
        <x:v>Perennial</x:v>
      </x:c>
      <x:c r="J281" s="84" t="str">
        <x:v>Herb</x:v>
      </x:c>
      <x:c r="K281" s="84" t="str"/>
      <x:c r="L281" s="84" t="str"/>
      <x:c r="M281" s="89" t="n">
        <x:v>1</x:v>
      </x:c>
      <x:c r="N281" s="89" t="n">
        <x:v>1</x:v>
      </x:c>
      <x:c r="O281" s="89" t="n">
        <x:v>0</x:v>
      </x:c>
      <x:c r="P281" s="89" t="n">
        <x:f>SUM(M281:O281)</x:f>
        <x:v>2</x:v>
      </x:c>
      <x:c r="Q281" s="84" t="str">
        <x:v>Exact accepted-name match</x:v>
      </x:c>
      <x:c r="R281" s="84" t="str">
        <x:v>Dysodiopsis tagetoides</x:v>
      </x:c>
      <x:c r="S281" s="84" t="str">
        <x:v>3118812</x:v>
      </x:c>
      <x:c r="T281" s="84" t="str">
        <x:v>3118812</x:v>
      </x:c>
      <x:c r="U281" s="84" t="str">
        <x:v>86492-2</x:v>
      </x:c>
      <x:c r="V281" s="84" t="str">
        <x:v>86492-2</x:v>
      </x:c>
      <x:c r="W281" s="84" t="str"/>
    </x:row>
    <x:row r="282" ht="18" customHeight="1">
      <x:c r="A282" s="83" t="str">
        <x:v>HAYS-0281</x:v>
      </x:c>
      <x:c r="B282" s="87" t="str">
        <x:v>Echinacea angustifolia</x:v>
      </x:c>
      <x:c r="C282" s="87" t="str">
        <x:v>Echinacea angustifolia</x:v>
      </x:c>
      <x:c r="D282" s="84" t="str">
        <x:v>Asteraceae</x:v>
      </x:c>
      <x:c r="E282" s="84" t="str">
        <x:v>Echinacea</x:v>
      </x:c>
      <x:c r="F282" s="84" t="str">
        <x:v>Species</x:v>
      </x:c>
      <x:c r="G282" s="84" t="str">
        <x:v>Accepted</x:v>
      </x:c>
      <x:c r="H282" s="84" t="str">
        <x:v>Black Samson, Black Samson Echinacea, Narrow-leaf Coneflower</x:v>
      </x:c>
      <x:c r="I282" s="84" t="str">
        <x:v>Perennial</x:v>
      </x:c>
      <x:c r="J282" s="84" t="str">
        <x:v>Herb</x:v>
      </x:c>
      <x:c r="K282" s="84" t="str">
        <x:v>Sun</x:v>
      </x:c>
      <x:c r="L282" s="84" t="str">
        <x:v>Medium</x:v>
      </x:c>
      <x:c r="M282" s="89" t="n">
        <x:v>1</x:v>
      </x:c>
      <x:c r="N282" s="89" t="n">
        <x:v>1</x:v>
      </x:c>
      <x:c r="O282" s="89" t="n">
        <x:v>1</x:v>
      </x:c>
      <x:c r="P282" s="89" t="n">
        <x:f>SUM(M282:O282)</x:f>
        <x:v>3</x:v>
      </x:c>
      <x:c r="Q282" s="84" t="str">
        <x:v>Exact accepted-name match</x:v>
      </x:c>
      <x:c r="R282" s="84" t="str">
        <x:v>Echinacea angustifolia</x:v>
      </x:c>
      <x:c r="S282" s="84" t="str">
        <x:v>2910344</x:v>
      </x:c>
      <x:c r="T282" s="84" t="str">
        <x:v>2910344</x:v>
      </x:c>
      <x:c r="U282" s="84" t="str">
        <x:v>87143-2</x:v>
      </x:c>
      <x:c r="V282" s="84" t="str">
        <x:v>87143-2</x:v>
      </x:c>
      <x:c r="W282" s="84" t="str"/>
    </x:row>
    <x:row r="283" ht="18" customHeight="1">
      <x:c r="A283" s="83" t="str">
        <x:v>HAYS-0282</x:v>
      </x:c>
      <x:c r="B283" s="87" t="str">
        <x:v>Echinocactus texensis</x:v>
      </x:c>
      <x:c r="C283" s="87" t="str">
        <x:v>Homalocephala texensis</x:v>
      </x:c>
      <x:c r="D283" s="84" t="str">
        <x:v>Cactaceae</x:v>
      </x:c>
      <x:c r="E283" s="84" t="str">
        <x:v>Homalocephala</x:v>
      </x:c>
      <x:c r="F283" s="84" t="str">
        <x:v>Species</x:v>
      </x:c>
      <x:c r="G283" s="84" t="str">
        <x:v>Synonym</x:v>
      </x:c>
      <x:c r="H283" s="84" t="str">
        <x:v>Horse Crippler, Horse Crippler Cactus, Devil's Head, Chisos Hedgehog Cactus, Chisos Hedgehog</x:v>
      </x:c>
      <x:c r="I283" s="84" t="str">
        <x:v>Perennial</x:v>
      </x:c>
      <x:c r="J283" s="84" t="str">
        <x:v>Cactus/Succulent</x:v>
      </x:c>
      <x:c r="K283" s="84" t="str">
        <x:v>Sun</x:v>
      </x:c>
      <x:c r="L283" s="84" t="str">
        <x:v>Dry</x:v>
      </x:c>
      <x:c r="M283" s="89" t="n">
        <x:v>1</x:v>
      </x:c>
      <x:c r="N283" s="89" t="n">
        <x:v>1</x:v>
      </x:c>
      <x:c r="O283" s="89" t="n">
        <x:v>0</x:v>
      </x:c>
      <x:c r="P283" s="89" t="n">
        <x:f>SUM(M283:O283)</x:f>
        <x:v>2</x:v>
      </x:c>
      <x:c r="Q283" s="84" t="str">
        <x:v>Exact synonym-name match</x:v>
      </x:c>
      <x:c r="R283" s="84" t="str">
        <x:v>Echinocactus texensis</x:v>
      </x:c>
      <x:c r="S283" s="84" t="str">
        <x:v>2782367</x:v>
      </x:c>
      <x:c r="T283" s="84" t="str">
        <x:v>2852976</x:v>
      </x:c>
      <x:c r="U283" s="84" t="str">
        <x:v>132232-1</x:v>
      </x:c>
      <x:c r="V283" s="84" t="str">
        <x:v>123733-2</x:v>
      </x:c>
      <x:c r="W283" s="84" t="str"/>
    </x:row>
    <x:row r="284" ht="18" customHeight="1">
      <x:c r="A284" s="83" t="str">
        <x:v>HAYS-0283</x:v>
      </x:c>
      <x:c r="B284" s="87" t="str">
        <x:v>Echinocereus reichenbachii</x:v>
      </x:c>
      <x:c r="C284" s="87" t="str">
        <x:v>Echinocereus reichenbachii</x:v>
      </x:c>
      <x:c r="D284" s="84" t="str">
        <x:v>Cactaceae</x:v>
      </x:c>
      <x:c r="E284" s="84" t="str">
        <x:v>Echinocereus</x:v>
      </x:c>
      <x:c r="F284" s="84" t="str">
        <x:v>Species</x:v>
      </x:c>
      <x:c r="G284" s="84" t="str">
        <x:v>Accepted</x:v>
      </x:c>
      <x:c r="H284" s="84" t="str">
        <x:v>Lace Hedgehog Cactus, Lace Cactus, Lace Hedgehog, Purple Candle</x:v>
      </x:c>
      <x:c r="I284" s="84" t="str">
        <x:v>Perennial</x:v>
      </x:c>
      <x:c r="J284" s="84" t="str">
        <x:v>Cactus/Succulent</x:v>
      </x:c>
      <x:c r="K284" s="84" t="str">
        <x:v>Sun</x:v>
      </x:c>
      <x:c r="L284" s="84" t="str">
        <x:v>Dry</x:v>
      </x:c>
      <x:c r="M284" s="89" t="n">
        <x:v>1</x:v>
      </x:c>
      <x:c r="N284" s="89" t="n">
        <x:v>1</x:v>
      </x:c>
      <x:c r="O284" s="89" t="n">
        <x:v>0</x:v>
      </x:c>
      <x:c r="P284" s="89" t="n">
        <x:f>SUM(M284:O284)</x:f>
        <x:v>2</x:v>
      </x:c>
      <x:c r="Q284" s="84" t="str">
        <x:v>Exact accepted-name match</x:v>
      </x:c>
      <x:c r="R284" s="84" t="str">
        <x:v>Echinocereus reichenbachii</x:v>
      </x:c>
      <x:c r="S284" s="84" t="str">
        <x:v>2782795</x:v>
      </x:c>
      <x:c r="T284" s="84" t="str">
        <x:v>2782795</x:v>
      </x:c>
      <x:c r="U284" s="84" t="str">
        <x:v>132437-1</x:v>
      </x:c>
      <x:c r="V284" s="84" t="str">
        <x:v>132437-1</x:v>
      </x:c>
      <x:c r="W284" s="84" t="str"/>
    </x:row>
    <x:row r="285" ht="18" customHeight="1">
      <x:c r="A285" s="83" t="str">
        <x:v>HAYS-0284</x:v>
      </x:c>
      <x:c r="B285" s="87" t="str">
        <x:v>Echinocereus triglochidiatus</x:v>
      </x:c>
      <x:c r="C285" s="87" t="str">
        <x:v>Echinocereus triglochidiatus</x:v>
      </x:c>
      <x:c r="D285" s="84" t="str">
        <x:v>Cactaceae</x:v>
      </x:c>
      <x:c r="E285" s="84" t="str">
        <x:v>Echinocereus</x:v>
      </x:c>
      <x:c r="F285" s="84" t="str">
        <x:v>Species</x:v>
      </x:c>
      <x:c r="G285" s="84" t="str">
        <x:v>Accepted</x:v>
      </x:c>
      <x:c r="H285" s="84" t="str">
        <x:v>Claret Cup, Claret Cup Cactus, Hedgehog Cactus, Kingcup Cactus, Mojave Mound, Mohave Mound</x:v>
      </x:c>
      <x:c r="I285" s="84" t="str">
        <x:v>Perennial</x:v>
      </x:c>
      <x:c r="J285" s="84" t="str">
        <x:v>Cactus/Succulent</x:v>
      </x:c>
      <x:c r="K285" s="84" t="str">
        <x:v>Sun</x:v>
      </x:c>
      <x:c r="L285" s="84" t="str">
        <x:v>Dry</x:v>
      </x:c>
      <x:c r="M285" s="89" t="n">
        <x:v>1</x:v>
      </x:c>
      <x:c r="N285" s="89" t="n">
        <x:v>1</x:v>
      </x:c>
      <x:c r="O285" s="89" t="n">
        <x:v>0</x:v>
      </x:c>
      <x:c r="P285" s="89" t="n">
        <x:f>SUM(M285:O285)</x:f>
        <x:v>2</x:v>
      </x:c>
      <x:c r="Q285" s="84" t="str">
        <x:v>Exact accepted-name match</x:v>
      </x:c>
      <x:c r="R285" s="84" t="str">
        <x:v>Echinocereus triglochidiatus</x:v>
      </x:c>
      <x:c r="S285" s="84" t="str">
        <x:v>2782884</x:v>
      </x:c>
      <x:c r="T285" s="84" t="str">
        <x:v>2782884</x:v>
      </x:c>
      <x:c r="U285" s="84" t="str">
        <x:v>30030656-2</x:v>
      </x:c>
      <x:c r="V285" s="84" t="str">
        <x:v>30030656-2</x:v>
      </x:c>
      <x:c r="W285" s="84" t="str"/>
    </x:row>
    <x:row r="286" ht="18" customHeight="1">
      <x:c r="A286" s="83" t="str">
        <x:v>HAYS-0285</x:v>
      </x:c>
      <x:c r="B286" s="87" t="str">
        <x:v>Echinodorus berteroi</x:v>
      </x:c>
      <x:c r="C286" s="87" t="str">
        <x:v>Echinodorus berteroi</x:v>
      </x:c>
      <x:c r="D286" s="84" t="str">
        <x:v>Alismataceae</x:v>
      </x:c>
      <x:c r="E286" s="84" t="str">
        <x:v>Echinodorus</x:v>
      </x:c>
      <x:c r="F286" s="84" t="str">
        <x:v>Species</x:v>
      </x:c>
      <x:c r="G286" s="84" t="str">
        <x:v>Accepted</x:v>
      </x:c>
      <x:c r="H286" s="84" t="str">
        <x:v>Upright Burrhead</x:v>
      </x:c>
      <x:c r="I286" s="84" t="str">
        <x:v>Annual</x:v>
      </x:c>
      <x:c r="J286" s="84" t="str">
        <x:v>Herb</x:v>
      </x:c>
      <x:c r="K286" s="84" t="str"/>
      <x:c r="L286" s="84" t="str"/>
      <x:c r="M286" s="89" t="n">
        <x:v>1</x:v>
      </x:c>
      <x:c r="N286" s="89" t="n">
        <x:v>1</x:v>
      </x:c>
      <x:c r="O286" s="89" t="n">
        <x:v>0</x:v>
      </x:c>
      <x:c r="P286" s="89" t="n">
        <x:f>SUM(M286:O286)</x:f>
        <x:v>2</x:v>
      </x:c>
      <x:c r="Q286" s="84" t="str">
        <x:v>Exact accepted-name match</x:v>
      </x:c>
      <x:c r="R286" s="84" t="str">
        <x:v>Echinodorus berteroi</x:v>
      </x:c>
      <x:c r="S286" s="84" t="str">
        <x:v>305228</x:v>
      </x:c>
      <x:c r="T286" s="84" t="str">
        <x:v>305228</x:v>
      </x:c>
      <x:c r="U286" s="84" t="str">
        <x:v>88149-2</x:v>
      </x:c>
      <x:c r="V286" s="84" t="str">
        <x:v>88149-2</x:v>
      </x:c>
      <x:c r="W286" s="84" t="str"/>
    </x:row>
    <x:row r="287" ht="18" customHeight="1">
      <x:c r="A287" s="83" t="str">
        <x:v>HAYS-0286</x:v>
      </x:c>
      <x:c r="B287" s="87" t="str">
        <x:v>Eclipta prostrata</x:v>
      </x:c>
      <x:c r="C287" s="87" t="str">
        <x:v>Eclipta prostrata</x:v>
      </x:c>
      <x:c r="D287" s="84" t="str">
        <x:v>Asteraceae</x:v>
      </x:c>
      <x:c r="E287" s="84" t="str">
        <x:v>Eclipta</x:v>
      </x:c>
      <x:c r="F287" s="84" t="str">
        <x:v>Species</x:v>
      </x:c>
      <x:c r="G287" s="84" t="str">
        <x:v>Accepted</x:v>
      </x:c>
      <x:c r="H287" s="84" t="str">
        <x:v>Pie Plant, False Daisy, Eclipta</x:v>
      </x:c>
      <x:c r="I287" s="84" t="str">
        <x:v>Annual, Perennial</x:v>
      </x:c>
      <x:c r="J287" s="84" t="str">
        <x:v>Herb</x:v>
      </x:c>
      <x:c r="K287" s="84" t="str"/>
      <x:c r="L287" s="84" t="str"/>
      <x:c r="M287" s="89" t="n">
        <x:v>1</x:v>
      </x:c>
      <x:c r="N287" s="89" t="n">
        <x:v>1</x:v>
      </x:c>
      <x:c r="O287" s="89" t="n">
        <x:v>0</x:v>
      </x:c>
      <x:c r="P287" s="89" t="n">
        <x:f>SUM(M287:O287)</x:f>
        <x:v>2</x:v>
      </x:c>
      <x:c r="Q287" s="84" t="str">
        <x:v>Exact accepted-name match</x:v>
      </x:c>
      <x:c r="R287" s="84" t="str">
        <x:v>Eclipta prostrata</x:v>
      </x:c>
      <x:c r="S287" s="84" t="str">
        <x:v>2901074</x:v>
      </x:c>
      <x:c r="T287" s="84" t="str">
        <x:v>2901074</x:v>
      </x:c>
      <x:c r="U287" s="84" t="str">
        <x:v>1186403-2</x:v>
      </x:c>
      <x:c r="V287" s="84" t="str">
        <x:v>1186403-2</x:v>
      </x:c>
      <x:c r="W287" s="84" t="str"/>
    </x:row>
    <x:row r="288" ht="18" customHeight="1">
      <x:c r="A288" s="83" t="str">
        <x:v>HAYS-0287</x:v>
      </x:c>
      <x:c r="B288" s="87" t="str">
        <x:v>Ehretia anacua</x:v>
      </x:c>
      <x:c r="C288" s="87" t="str">
        <x:v>Ehretia anacua</x:v>
      </x:c>
      <x:c r="D288" s="84" t="str">
        <x:v>Boraginaceae</x:v>
      </x:c>
      <x:c r="E288" s="84" t="str">
        <x:v>Ehretia</x:v>
      </x:c>
      <x:c r="F288" s="84" t="str">
        <x:v>Species</x:v>
      </x:c>
      <x:c r="G288" s="84" t="str">
        <x:v>Accepted</x:v>
      </x:c>
      <x:c r="H288" s="84" t="str">
        <x:v>Anacua, Sugarberry Anacua, Anaqua, Anacahuita, Knockaway, Knackaway, Sandpaper Tree, Manzanita, Manzanillo, Tlalahuacate</x:v>
      </x:c>
      <x:c r="I288" s="84" t="str">
        <x:v>Perennial</x:v>
      </x:c>
      <x:c r="J288" s="84" t="str">
        <x:v>Tree</x:v>
      </x:c>
      <x:c r="K288" s="84" t="str">
        <x:v>Sun</x:v>
      </x:c>
      <x:c r="L288" s="84" t="str">
        <x:v>Medium</x:v>
      </x:c>
      <x:c r="M288" s="89" t="n">
        <x:v>1</x:v>
      </x:c>
      <x:c r="N288" s="89" t="n">
        <x:v>1</x:v>
      </x:c>
      <x:c r="O288" s="89" t="n">
        <x:v>1</x:v>
      </x:c>
      <x:c r="P288" s="89" t="n">
        <x:f>SUM(M288:O288)</x:f>
        <x:v>3</x:v>
      </x:c>
      <x:c r="Q288" s="84" t="str">
        <x:v>Exact accepted-name match</x:v>
      </x:c>
      <x:c r="R288" s="84" t="str">
        <x:v>Ehretia anacua</x:v>
      </x:c>
      <x:c r="S288" s="84" t="str">
        <x:v>2784654</x:v>
      </x:c>
      <x:c r="T288" s="84" t="str">
        <x:v>2784654</x:v>
      </x:c>
      <x:c r="U288" s="84" t="str">
        <x:v>88877-2</x:v>
      </x:c>
      <x:c r="V288" s="84" t="str">
        <x:v>88877-2</x:v>
      </x:c>
      <x:c r="W288" s="84" t="str"/>
    </x:row>
    <x:row r="289" ht="18" customHeight="1">
      <x:c r="A289" s="83" t="str">
        <x:v>HAYS-0288</x:v>
      </x:c>
      <x:c r="B289" s="87" t="str">
        <x:v>Eleocharis atropurpurea</x:v>
      </x:c>
      <x:c r="C289" s="87" t="str">
        <x:v>Eleocharis atropurpurea</x:v>
      </x:c>
      <x:c r="D289" s="84" t="str">
        <x:v>Cyperaceae</x:v>
      </x:c>
      <x:c r="E289" s="84" t="str">
        <x:v>Eleocharis</x:v>
      </x:c>
      <x:c r="F289" s="84" t="str">
        <x:v>Species</x:v>
      </x:c>
      <x:c r="G289" s="84" t="str">
        <x:v>Accepted</x:v>
      </x:c>
      <x:c r="H289" s="84" t="str">
        <x:v>Purple Spikerush</x:v>
      </x:c>
      <x:c r="I289" s="84" t="str">
        <x:v>Annual</x:v>
      </x:c>
      <x:c r="J289" s="84" t="str">
        <x:v>Grass/Grass-like</x:v>
      </x:c>
      <x:c r="K289" s="84" t="str"/>
      <x:c r="L289" s="84" t="str"/>
      <x:c r="M289" s="89" t="n">
        <x:v>1</x:v>
      </x:c>
      <x:c r="N289" s="89" t="n">
        <x:v>1</x:v>
      </x:c>
      <x:c r="O289" s="89" t="n">
        <x:v>0</x:v>
      </x:c>
      <x:c r="P289" s="89" t="n">
        <x:f>SUM(M289:O289)</x:f>
        <x:v>2</x:v>
      </x:c>
      <x:c r="Q289" s="84" t="str">
        <x:v>Exact accepted-name match</x:v>
      </x:c>
      <x:c r="R289" s="84" t="str">
        <x:v>Eleocharis atropurpurea</x:v>
      </x:c>
      <x:c r="S289" s="84" t="str">
        <x:v>242319</x:v>
      </x:c>
      <x:c r="T289" s="84" t="str">
        <x:v>242319</x:v>
      </x:c>
      <x:c r="U289" s="84" t="str">
        <x:v>306687-1</x:v>
      </x:c>
      <x:c r="V289" s="84" t="str">
        <x:v>306687-1</x:v>
      </x:c>
      <x:c r="W289" s="84" t="str"/>
    </x:row>
    <x:row r="290" ht="18" customHeight="1">
      <x:c r="A290" s="83" t="str">
        <x:v>HAYS-0289</x:v>
      </x:c>
      <x:c r="B290" s="87" t="str">
        <x:v>Eleocharis montevidensis</x:v>
      </x:c>
      <x:c r="C290" s="87" t="str">
        <x:v>Eleocharis montevidensis</x:v>
      </x:c>
      <x:c r="D290" s="84" t="str">
        <x:v>Cyperaceae</x:v>
      </x:c>
      <x:c r="E290" s="84" t="str">
        <x:v>Eleocharis</x:v>
      </x:c>
      <x:c r="F290" s="84" t="str">
        <x:v>Species</x:v>
      </x:c>
      <x:c r="G290" s="84" t="str">
        <x:v>Accepted</x:v>
      </x:c>
      <x:c r="H290" s="84" t="str">
        <x:v>Sand Spikerush, Spike Rush</x:v>
      </x:c>
      <x:c r="I290" s="84" t="str">
        <x:v>Perennial</x:v>
      </x:c>
      <x:c r="J290" s="84" t="str">
        <x:v>Grass/Grass-like</x:v>
      </x:c>
      <x:c r="K290" s="84" t="str">
        <x:v>Sun</x:v>
      </x:c>
      <x:c r="L290" s="84" t="str">
        <x:v>Wet, Moist</x:v>
      </x:c>
      <x:c r="M290" s="89" t="n">
        <x:v>1</x:v>
      </x:c>
      <x:c r="N290" s="89" t="n">
        <x:v>1</x:v>
      </x:c>
      <x:c r="O290" s="89" t="n">
        <x:v>0</x:v>
      </x:c>
      <x:c r="P290" s="89" t="n">
        <x:f>SUM(M290:O290)</x:f>
        <x:v>2</x:v>
      </x:c>
      <x:c r="Q290" s="84" t="str">
        <x:v>Exact accepted-name match</x:v>
      </x:c>
      <x:c r="R290" s="84" t="str">
        <x:v>Eleocharis montevidensis</x:v>
      </x:c>
      <x:c r="S290" s="84" t="str">
        <x:v>242672</x:v>
      </x:c>
      <x:c r="T290" s="84" t="str">
        <x:v>242672</x:v>
      </x:c>
      <x:c r="U290" s="84" t="str">
        <x:v>306963-1</x:v>
      </x:c>
      <x:c r="V290" s="84" t="str">
        <x:v>306963-1</x:v>
      </x:c>
      <x:c r="W290" s="84" t="str"/>
    </x:row>
    <x:row r="291" ht="18" customHeight="1">
      <x:c r="A291" s="83" t="str">
        <x:v>HAYS-0290</x:v>
      </x:c>
      <x:c r="B291" s="87" t="str">
        <x:v>Eleocharis rostellata</x:v>
      </x:c>
      <x:c r="C291" s="87" t="str">
        <x:v>Eleocharis rostellata</x:v>
      </x:c>
      <x:c r="D291" s="84" t="str">
        <x:v>Cyperaceae</x:v>
      </x:c>
      <x:c r="E291" s="84" t="str">
        <x:v>Eleocharis</x:v>
      </x:c>
      <x:c r="F291" s="84" t="str">
        <x:v>Species</x:v>
      </x:c>
      <x:c r="G291" s="84" t="str">
        <x:v>Accepted</x:v>
      </x:c>
      <x:c r="H291" s="84" t="str">
        <x:v>Beaked Spikerush, Leap Frog Spike Rush</x:v>
      </x:c>
      <x:c r="I291" s="84" t="str">
        <x:v>Perennial</x:v>
      </x:c>
      <x:c r="J291" s="84" t="str">
        <x:v>Grass/Grass-like</x:v>
      </x:c>
      <x:c r="K291" s="84" t="str">
        <x:v>Part-shade</x:v>
      </x:c>
      <x:c r="L291" s="84" t="str">
        <x:v>Wet</x:v>
      </x:c>
      <x:c r="M291" s="89" t="n">
        <x:v>1</x:v>
      </x:c>
      <x:c r="N291" s="89" t="n">
        <x:v>1</x:v>
      </x:c>
      <x:c r="O291" s="89" t="n">
        <x:v>0</x:v>
      </x:c>
      <x:c r="P291" s="89" t="n">
        <x:f>SUM(M291:O291)</x:f>
        <x:v>2</x:v>
      </x:c>
      <x:c r="Q291" s="84" t="str">
        <x:v>Exact accepted-name match</x:v>
      </x:c>
      <x:c r="R291" s="84" t="str">
        <x:v>Eleocharis rostellata</x:v>
      </x:c>
      <x:c r="S291" s="84" t="str">
        <x:v>242834</x:v>
      </x:c>
      <x:c r="T291" s="84" t="str">
        <x:v>242834</x:v>
      </x:c>
      <x:c r="U291" s="84" t="str">
        <x:v>307079-1</x:v>
      </x:c>
      <x:c r="V291" s="84" t="str">
        <x:v>307079-1</x:v>
      </x:c>
      <x:c r="W291" s="84" t="str"/>
    </x:row>
    <x:row r="292" ht="18" customHeight="1">
      <x:c r="A292" s="83" t="str">
        <x:v>HAYS-0291</x:v>
      </x:c>
      <x:c r="B292" s="87" t="str">
        <x:v>Elymus canadensis</x:v>
      </x:c>
      <x:c r="C292" s="87" t="str">
        <x:v>Elymus canadensis</x:v>
      </x:c>
      <x:c r="D292" s="84" t="str">
        <x:v>Poaceae</x:v>
      </x:c>
      <x:c r="E292" s="84" t="str">
        <x:v>Elymus</x:v>
      </x:c>
      <x:c r="F292" s="84" t="str">
        <x:v>Species</x:v>
      </x:c>
      <x:c r="G292" s="84" t="str">
        <x:v>Accepted</x:v>
      </x:c>
      <x:c r="H292" s="84" t="str">
        <x:v>Canada Wildrye</x:v>
      </x:c>
      <x:c r="I292" s="84" t="str">
        <x:v>Perennial</x:v>
      </x:c>
      <x:c r="J292" s="84" t="str">
        <x:v>Grass</x:v>
      </x:c>
      <x:c r="K292" s="84" t="str">
        <x:v>Sun, Part Shade</x:v>
      </x:c>
      <x:c r="L292" s="84" t="str">
        <x:v>Medium</x:v>
      </x:c>
      <x:c r="M292" s="89" t="n">
        <x:v>1</x:v>
      </x:c>
      <x:c r="N292" s="89" t="n">
        <x:v>1</x:v>
      </x:c>
      <x:c r="O292" s="89" t="n">
        <x:v>1</x:v>
      </x:c>
      <x:c r="P292" s="89" t="n">
        <x:f>SUM(M292:O292)</x:f>
        <x:v>3</x:v>
      </x:c>
      <x:c r="Q292" s="84" t="str">
        <x:v>Exact accepted-name match</x:v>
      </x:c>
      <x:c r="R292" s="84" t="str">
        <x:v>Elymus canadensis</x:v>
      </x:c>
      <x:c r="S292" s="84" t="str">
        <x:v>410973</x:v>
      </x:c>
      <x:c r="T292" s="84" t="str">
        <x:v>410973</x:v>
      </x:c>
      <x:c r="U292" s="84" t="str">
        <x:v>400194-1</x:v>
      </x:c>
      <x:c r="V292" s="84" t="str">
        <x:v>400194-1</x:v>
      </x:c>
      <x:c r="W292" s="84" t="str"/>
    </x:row>
    <x:row r="293" ht="18" customHeight="1">
      <x:c r="A293" s="83" t="str">
        <x:v>HAYS-0292</x:v>
      </x:c>
      <x:c r="B293" s="87" t="str">
        <x:v>Elymus virginicus</x:v>
      </x:c>
      <x:c r="C293" s="87" t="str">
        <x:v>Elymus virginicus</x:v>
      </x:c>
      <x:c r="D293" s="84" t="str">
        <x:v>Poaceae</x:v>
      </x:c>
      <x:c r="E293" s="84" t="str">
        <x:v>Elymus</x:v>
      </x:c>
      <x:c r="F293" s="84" t="str">
        <x:v>Species</x:v>
      </x:c>
      <x:c r="G293" s="84" t="str">
        <x:v>Accepted</x:v>
      </x:c>
      <x:c r="H293" s="84" t="str">
        <x:v>Virginia Wild Rye, Virginia Wildrye</x:v>
      </x:c>
      <x:c r="I293" s="84" t="str">
        <x:v>Perennial</x:v>
      </x:c>
      <x:c r="J293" s="84" t="str">
        <x:v>Grass/Grass-like</x:v>
      </x:c>
      <x:c r="K293" s="84" t="str">
        <x:v>Part-shade</x:v>
      </x:c>
      <x:c r="L293" s="84" t="str">
        <x:v>Moist</x:v>
      </x:c>
      <x:c r="M293" s="89" t="n">
        <x:v>1</x:v>
      </x:c>
      <x:c r="N293" s="89" t="n">
        <x:v>1</x:v>
      </x:c>
      <x:c r="O293" s="89" t="n">
        <x:v>0</x:v>
      </x:c>
      <x:c r="P293" s="89" t="n">
        <x:f>SUM(M293:O293)</x:f>
        <x:v>2</x:v>
      </x:c>
      <x:c r="Q293" s="84" t="str">
        <x:v>Exact accepted-name match</x:v>
      </x:c>
      <x:c r="R293" s="84" t="str">
        <x:v>Elymus virginicus</x:v>
      </x:c>
      <x:c r="S293" s="84" t="str">
        <x:v>411707</x:v>
      </x:c>
      <x:c r="T293" s="84" t="str">
        <x:v>411707</x:v>
      </x:c>
      <x:c r="U293" s="84" t="str">
        <x:v>90367-2</x:v>
      </x:c>
      <x:c r="V293" s="84" t="str">
        <x:v>90367-2</x:v>
      </x:c>
      <x:c r="W293" s="84" t="str"/>
    </x:row>
    <x:row r="294" ht="18" customHeight="1">
      <x:c r="A294" s="83" t="str">
        <x:v>HAYS-0293</x:v>
      </x:c>
      <x:c r="B294" s="87" t="str">
        <x:v>Engelmannia peristenia</x:v>
      </x:c>
      <x:c r="C294" s="87" t="str">
        <x:v>Engelmannia peristenia</x:v>
      </x:c>
      <x:c r="D294" s="84" t="str">
        <x:v>Asteraceae</x:v>
      </x:c>
      <x:c r="E294" s="84" t="str">
        <x:v>Engelmannia</x:v>
      </x:c>
      <x:c r="F294" s="84" t="str">
        <x:v>Species</x:v>
      </x:c>
      <x:c r="G294" s="84" t="str">
        <x:v>Accepted</x:v>
      </x:c>
      <x:c r="H294" s="84" t="str">
        <x:v>Engelmann's Daisy, Engelmann Daisy, Cutleaf Daisy</x:v>
      </x:c>
      <x:c r="I294" s="84" t="str">
        <x:v>Perennial</x:v>
      </x:c>
      <x:c r="J294" s="84" t="str">
        <x:v>Herb</x:v>
      </x:c>
      <x:c r="K294" s="84" t="str">
        <x:v>Sun</x:v>
      </x:c>
      <x:c r="L294" s="84" t="str">
        <x:v>Low</x:v>
      </x:c>
      <x:c r="M294" s="89" t="n">
        <x:v>1</x:v>
      </x:c>
      <x:c r="N294" s="89" t="n">
        <x:v>1</x:v>
      </x:c>
      <x:c r="O294" s="89" t="n">
        <x:v>1</x:v>
      </x:c>
      <x:c r="P294" s="89" t="n">
        <x:f>SUM(M294:O294)</x:f>
        <x:v>3</x:v>
      </x:c>
      <x:c r="Q294" s="84" t="str">
        <x:v>Exact accepted-name match</x:v>
      </x:c>
      <x:c r="R294" s="84" t="str">
        <x:v>Engelmannia peristenia</x:v>
      </x:c>
      <x:c r="S294" s="84" t="str">
        <x:v>3121852</x:v>
      </x:c>
      <x:c r="T294" s="84" t="str">
        <x:v>3121852</x:v>
      </x:c>
      <x:c r="U294" s="84" t="str">
        <x:v>969625-1</x:v>
      </x:c>
      <x:c r="V294" s="84" t="str">
        <x:v>969625-1</x:v>
      </x:c>
      <x:c r="W294" s="84" t="str"/>
    </x:row>
    <x:row r="295" ht="18" customHeight="1">
      <x:c r="A295" s="83" t="str">
        <x:v>HAYS-0294</x:v>
      </x:c>
      <x:c r="B295" s="87" t="str">
        <x:v>Ephedra antisyphilitica</x:v>
      </x:c>
      <x:c r="C295" s="87" t="str">
        <x:v>Ephedra antisyphilitica</x:v>
      </x:c>
      <x:c r="D295" s="84" t="str">
        <x:v>Ephedraceae</x:v>
      </x:c>
      <x:c r="E295" s="84" t="str">
        <x:v>Ephedra</x:v>
      </x:c>
      <x:c r="F295" s="84" t="str">
        <x:v>Species</x:v>
      </x:c>
      <x:c r="G295" s="84" t="str">
        <x:v>Accepted</x:v>
      </x:c>
      <x:c r="H295" s="84" t="str">
        <x:v>Mormon Tea, Joint-fir, Clapweed, Popote</x:v>
      </x:c>
      <x:c r="I295" s="84" t="str">
        <x:v>Perennial</x:v>
      </x:c>
      <x:c r="J295" s="84" t="str">
        <x:v>Shrub</x:v>
      </x:c>
      <x:c r="K295" s="84" t="str">
        <x:v>Part-shade</x:v>
      </x:c>
      <x:c r="L295" s="84" t="str">
        <x:v>Dry</x:v>
      </x:c>
      <x:c r="M295" s="89" t="n">
        <x:v>1</x:v>
      </x:c>
      <x:c r="N295" s="89" t="n">
        <x:v>1</x:v>
      </x:c>
      <x:c r="O295" s="89" t="n">
        <x:v>0</x:v>
      </x:c>
      <x:c r="P295" s="89" t="n">
        <x:f>SUM(M295:O295)</x:f>
        <x:v>2</x:v>
      </x:c>
      <x:c r="Q295" s="84" t="str">
        <x:v>Exact accepted-name match</x:v>
      </x:c>
      <x:c r="R295" s="84" t="str">
        <x:v>Ephedra antisyphilitica</x:v>
      </x:c>
      <x:c r="S295" s="84" t="str">
        <x:v>332871</x:v>
      </x:c>
      <x:c r="T295" s="84" t="str">
        <x:v>332871</x:v>
      </x:c>
      <x:c r="U295" s="84" t="str">
        <x:v>383355-1</x:v>
      </x:c>
      <x:c r="V295" s="84" t="str">
        <x:v>383355-1</x:v>
      </x:c>
      <x:c r="W295" s="84" t="str"/>
    </x:row>
    <x:row r="296" ht="18" customHeight="1">
      <x:c r="A296" s="83" t="str">
        <x:v>HAYS-0295</x:v>
      </x:c>
      <x:c r="B296" s="87" t="str">
        <x:v>Epipactis gigantea</x:v>
      </x:c>
      <x:c r="C296" s="87" t="str">
        <x:v>Epipactis gigantea</x:v>
      </x:c>
      <x:c r="D296" s="84" t="str">
        <x:v>Orchidaceae</x:v>
      </x:c>
      <x:c r="E296" s="84" t="str">
        <x:v>Epipactis</x:v>
      </x:c>
      <x:c r="F296" s="84" t="str">
        <x:v>Species</x:v>
      </x:c>
      <x:c r="G296" s="84" t="str">
        <x:v>Accepted</x:v>
      </x:c>
      <x:c r="H296" s="84" t="str">
        <x:v>Stream Orchid, Chatterbox Orchid, Giant Hellebore</x:v>
      </x:c>
      <x:c r="I296" s="84" t="str">
        <x:v>Perennial</x:v>
      </x:c>
      <x:c r="J296" s="84" t="str">
        <x:v>Herb</x:v>
      </x:c>
      <x:c r="K296" s="84" t="str">
        <x:v>Shade, Part-shade</x:v>
      </x:c>
      <x:c r="L296" s="84" t="str">
        <x:v>Wet, Moist</x:v>
      </x:c>
      <x:c r="M296" s="89" t="n">
        <x:v>1</x:v>
      </x:c>
      <x:c r="N296" s="89" t="n">
        <x:v>1</x:v>
      </x:c>
      <x:c r="O296" s="89" t="n">
        <x:v>0</x:v>
      </x:c>
      <x:c r="P296" s="89" t="n">
        <x:f>SUM(M296:O296)</x:f>
        <x:v>2</x:v>
      </x:c>
      <x:c r="Q296" s="84" t="str">
        <x:v>Exact accepted-name match</x:v>
      </x:c>
      <x:c r="R296" s="84" t="str">
        <x:v>Epipactis gigantea</x:v>
      </x:c>
      <x:c r="S296" s="84" t="str">
        <x:v>70166</x:v>
      </x:c>
      <x:c r="T296" s="84" t="str">
        <x:v>70166</x:v>
      </x:c>
      <x:c r="U296" s="84" t="str">
        <x:v>92675-2</x:v>
      </x:c>
      <x:c r="V296" s="84" t="str">
        <x:v>92675-2</x:v>
      </x:c>
      <x:c r="W296" s="84" t="str"/>
    </x:row>
    <x:row r="297" ht="18" customHeight="1">
      <x:c r="A297" s="83" t="str">
        <x:v>HAYS-0296</x:v>
      </x:c>
      <x:c r="B297" s="87" t="str">
        <x:v>Equisetum hyemale</x:v>
      </x:c>
      <x:c r="C297" s="87" t="str">
        <x:v>Equisetum hyemale</x:v>
      </x:c>
      <x:c r="D297" s="84" t="str">
        <x:v>Equisetaceae</x:v>
      </x:c>
      <x:c r="E297" s="84" t="str">
        <x:v>Equisetum</x:v>
      </x:c>
      <x:c r="F297" s="84" t="str">
        <x:v>Species</x:v>
      </x:c>
      <x:c r="G297" s="84" t="str">
        <x:v>Accepted</x:v>
      </x:c>
      <x:c r="H297" s="84" t="str">
        <x:v>Scouring-rush Horsetail, Horsetail, Scouring Rush, Canuela</x:v>
      </x:c>
      <x:c r="I297" s="84" t="str">
        <x:v>Perennial</x:v>
      </x:c>
      <x:c r="J297" s="84" t="str">
        <x:v>Fern</x:v>
      </x:c>
      <x:c r="K297" s="84" t="str">
        <x:v>Sun, Part Shade, Shade</x:v>
      </x:c>
      <x:c r="L297" s="84" t="str">
        <x:v>Medium–High</x:v>
      </x:c>
      <x:c r="M297" s="89" t="n">
        <x:v>1</x:v>
      </x:c>
      <x:c r="N297" s="89" t="n">
        <x:v>1</x:v>
      </x:c>
      <x:c r="O297" s="89" t="n">
        <x:v>1</x:v>
      </x:c>
      <x:c r="P297" s="89" t="n">
        <x:f>SUM(M297:O297)</x:f>
        <x:v>3</x:v>
      </x:c>
      <x:c r="Q297" s="84" t="str">
        <x:v>Exact accepted-name match</x:v>
      </x:c>
      <x:c r="R297" s="84" t="str">
        <x:v>Equisetum hyemale</x:v>
      </x:c>
      <x:c r="S297" s="84" t="str">
        <x:v>2902170</x:v>
      </x:c>
      <x:c r="T297" s="84" t="str">
        <x:v>2902170</x:v>
      </x:c>
      <x:c r="U297" s="84" t="str">
        <x:v>92939-2</x:v>
      </x:c>
      <x:c r="V297" s="84" t="str">
        <x:v>92939-2</x:v>
      </x:c>
      <x:c r="W297" s="84" t="str"/>
    </x:row>
    <x:row r="298" ht="18" customHeight="1">
      <x:c r="A298" s="83" t="str">
        <x:v>HAYS-0297</x:v>
      </x:c>
      <x:c r="B298" s="87" t="str">
        <x:v>Eragrostis hirsuta</x:v>
      </x:c>
      <x:c r="C298" s="87" t="str">
        <x:v>Eragrostis hirsuta</x:v>
      </x:c>
      <x:c r="D298" s="84" t="str">
        <x:v>Poaceae</x:v>
      </x:c>
      <x:c r="E298" s="84" t="str">
        <x:v>Eragrostis</x:v>
      </x:c>
      <x:c r="F298" s="84" t="str">
        <x:v>Species</x:v>
      </x:c>
      <x:c r="G298" s="84" t="str">
        <x:v>Accepted</x:v>
      </x:c>
      <x:c r="H298" s="84" t="str">
        <x:v>Big Top Love Grass</x:v>
      </x:c>
      <x:c r="I298" s="84" t="str">
        <x:v>Perennial</x:v>
      </x:c>
      <x:c r="J298" s="84" t="str">
        <x:v>Grass</x:v>
      </x:c>
      <x:c r="K298" s="84" t="str">
        <x:v>Full Sun</x:v>
      </x:c>
      <x:c r="L298" s="84" t="str">
        <x:v>Dry to Moist</x:v>
      </x:c>
      <x:c r="M298" s="89" t="n">
        <x:v>1</x:v>
      </x:c>
      <x:c r="N298" s="89" t="n">
        <x:v>1</x:v>
      </x:c>
      <x:c r="O298" s="89" t="n">
        <x:v>1</x:v>
      </x:c>
      <x:c r="P298" s="89" t="n">
        <x:f>SUM(M298:O298)</x:f>
        <x:v>3</x:v>
      </x:c>
      <x:c r="Q298" s="84" t="str">
        <x:v>Exact accepted-name match</x:v>
      </x:c>
      <x:c r="R298" s="84" t="str">
        <x:v>Eragrostis hirsuta</x:v>
      </x:c>
      <x:c r="S298" s="84" t="str">
        <x:v>412632</x:v>
      </x:c>
      <x:c r="T298" s="84" t="str">
        <x:v>412632</x:v>
      </x:c>
      <x:c r="U298" s="84" t="str">
        <x:v>93109-2</x:v>
      </x:c>
      <x:c r="V298" s="84" t="str">
        <x:v>93109-2</x:v>
      </x:c>
      <x:c r="W298" s="84" t="str"/>
    </x:row>
    <x:row r="299" ht="18" customHeight="1">
      <x:c r="A299" s="83" t="str">
        <x:v>HAYS-0298</x:v>
      </x:c>
      <x:c r="B299" s="87" t="str">
        <x:v>Eragrostis intermedia</x:v>
      </x:c>
      <x:c r="C299" s="87" t="str">
        <x:v>Eragrostis intermedia</x:v>
      </x:c>
      <x:c r="D299" s="84" t="str">
        <x:v>Poaceae</x:v>
      </x:c>
      <x:c r="E299" s="84" t="str">
        <x:v>Eragrostis</x:v>
      </x:c>
      <x:c r="F299" s="84" t="str">
        <x:v>Species</x:v>
      </x:c>
      <x:c r="G299" s="84" t="str">
        <x:v>Accepted</x:v>
      </x:c>
      <x:c r="H299" s="84" t="str">
        <x:v>Plains Lovegrass, Plains Love Grass</x:v>
      </x:c>
      <x:c r="I299" s="84" t="str">
        <x:v>Perennial</x:v>
      </x:c>
      <x:c r="J299" s="84" t="str">
        <x:v>Grass/Grass-like</x:v>
      </x:c>
      <x:c r="K299" s="84" t="str">
        <x:v>Part-shade</x:v>
      </x:c>
      <x:c r="L299" s="84" t="str">
        <x:v>Dry</x:v>
      </x:c>
      <x:c r="M299" s="89" t="n">
        <x:v>1</x:v>
      </x:c>
      <x:c r="N299" s="89" t="n">
        <x:v>1</x:v>
      </x:c>
      <x:c r="O299" s="89" t="n">
        <x:v>0</x:v>
      </x:c>
      <x:c r="P299" s="89" t="n">
        <x:f>SUM(M299:O299)</x:f>
        <x:v>2</x:v>
      </x:c>
      <x:c r="Q299" s="84" t="str">
        <x:v>Exact accepted-name match</x:v>
      </x:c>
      <x:c r="R299" s="84" t="str">
        <x:v>Eragrostis intermedia</x:v>
      </x:c>
      <x:c r="S299" s="84" t="str">
        <x:v>412671</x:v>
      </x:c>
      <x:c r="T299" s="84" t="str">
        <x:v>412671</x:v>
      </x:c>
      <x:c r="U299" s="84" t="str">
        <x:v>93115-2</x:v>
      </x:c>
      <x:c r="V299" s="84" t="str">
        <x:v>93115-2</x:v>
      </x:c>
      <x:c r="W299" s="84" t="str"/>
    </x:row>
    <x:row r="300" ht="18" customHeight="1">
      <x:c r="A300" s="83" t="str">
        <x:v>HAYS-0299</x:v>
      </x:c>
      <x:c r="B300" s="87" t="str">
        <x:v>Eragrostis lugens</x:v>
      </x:c>
      <x:c r="C300" s="87" t="str">
        <x:v>Eragrostis lugens</x:v>
      </x:c>
      <x:c r="D300" s="84" t="str">
        <x:v>Poaceae</x:v>
      </x:c>
      <x:c r="E300" s="84" t="str">
        <x:v>Eragrostis</x:v>
      </x:c>
      <x:c r="F300" s="84" t="str">
        <x:v>Species</x:v>
      </x:c>
      <x:c r="G300" s="84" t="str">
        <x:v>Accepted</x:v>
      </x:c>
      <x:c r="H300" s="84" t="str">
        <x:v>Mourning Lovegrass , Mourning Love Grass</x:v>
      </x:c>
      <x:c r="I300" s="84" t="str">
        <x:v>Perennial</x:v>
      </x:c>
      <x:c r="J300" s="84" t="str">
        <x:v>Grass/Grass-like</x:v>
      </x:c>
      <x:c r="K300" s="84" t="str"/>
      <x:c r="L300" s="84" t="str"/>
      <x:c r="M300" s="89" t="n">
        <x:v>1</x:v>
      </x:c>
      <x:c r="N300" s="89" t="n">
        <x:v>1</x:v>
      </x:c>
      <x:c r="O300" s="89" t="n">
        <x:v>0</x:v>
      </x:c>
      <x:c r="P300" s="89" t="n">
        <x:f>SUM(M300:O300)</x:f>
        <x:v>2</x:v>
      </x:c>
      <x:c r="Q300" s="84" t="str">
        <x:v>Exact accepted-name match</x:v>
      </x:c>
      <x:c r="R300" s="84" t="str">
        <x:v>Eragrostis lugens</x:v>
      </x:c>
      <x:c r="S300" s="84" t="str">
        <x:v>412775</x:v>
      </x:c>
      <x:c r="T300" s="84" t="str">
        <x:v>412775</x:v>
      </x:c>
      <x:c r="U300" s="84" t="str">
        <x:v>93132-2</x:v>
      </x:c>
      <x:c r="V300" s="84" t="str">
        <x:v>93132-2</x:v>
      </x:c>
      <x:c r="W300" s="84" t="str"/>
    </x:row>
    <x:row r="301" ht="18" customHeight="1">
      <x:c r="A301" s="83" t="str">
        <x:v>HAYS-0300</x:v>
      </x:c>
      <x:c r="B301" s="87" t="str">
        <x:v>Eragrostis secundiflora</x:v>
      </x:c>
      <x:c r="C301" s="87" t="str">
        <x:v>Eragrostis secundiflora</x:v>
      </x:c>
      <x:c r="D301" s="84" t="str">
        <x:v>Poaceae</x:v>
      </x:c>
      <x:c r="E301" s="84" t="str">
        <x:v>Eragrostis</x:v>
      </x:c>
      <x:c r="F301" s="84" t="str">
        <x:v>Species</x:v>
      </x:c>
      <x:c r="G301" s="84" t="str">
        <x:v>Accepted</x:v>
      </x:c>
      <x:c r="H301" s="84" t="str">
        <x:v>Red Lovegrass , Red Love Grass</x:v>
      </x:c>
      <x:c r="I301" s="84" t="str">
        <x:v>Perennial</x:v>
      </x:c>
      <x:c r="J301" s="84" t="str">
        <x:v>Grass/Grass-like</x:v>
      </x:c>
      <x:c r="K301" s="84" t="str"/>
      <x:c r="L301" s="84" t="str"/>
      <x:c r="M301" s="89" t="n">
        <x:v>1</x:v>
      </x:c>
      <x:c r="N301" s="89" t="n">
        <x:v>1</x:v>
      </x:c>
      <x:c r="O301" s="89" t="n">
        <x:v>0</x:v>
      </x:c>
      <x:c r="P301" s="89" t="n">
        <x:f>SUM(M301:O301)</x:f>
        <x:v>2</x:v>
      </x:c>
      <x:c r="Q301" s="84" t="str">
        <x:v>Exact accepted-name match</x:v>
      </x:c>
      <x:c r="R301" s="84" t="str">
        <x:v>Eragrostis secundiflora</x:v>
      </x:c>
      <x:c r="S301" s="84" t="str">
        <x:v>413184</x:v>
      </x:c>
      <x:c r="T301" s="84" t="str">
        <x:v>413184</x:v>
      </x:c>
      <x:c r="U301" s="84" t="str">
        <x:v>322572-2</x:v>
      </x:c>
      <x:c r="V301" s="84" t="str">
        <x:v>322572-2</x:v>
      </x:c>
      <x:c r="W301" s="84" t="str"/>
    </x:row>
    <x:row r="302" ht="18" customHeight="1">
      <x:c r="A302" s="83" t="str">
        <x:v>HAYS-0301</x:v>
      </x:c>
      <x:c r="B302" s="87" t="str">
        <x:v>Eragrostis spectabilis</x:v>
      </x:c>
      <x:c r="C302" s="87" t="str">
        <x:v>Eragrostis spectabilis</x:v>
      </x:c>
      <x:c r="D302" s="84" t="str">
        <x:v>Poaceae</x:v>
      </x:c>
      <x:c r="E302" s="84" t="str">
        <x:v>Eragrostis</x:v>
      </x:c>
      <x:c r="F302" s="84" t="str">
        <x:v>Species</x:v>
      </x:c>
      <x:c r="G302" s="84" t="str">
        <x:v>Accepted</x:v>
      </x:c>
      <x:c r="H302" s="84" t="str">
        <x:v>Purple Lovegrass, Purple Love Grass, Purple Plains Lovegrass, Tumblegrass, Petticoat Climber</x:v>
      </x:c>
      <x:c r="I302" s="84" t="str">
        <x:v>Perennial</x:v>
      </x:c>
      <x:c r="J302" s="84" t="str">
        <x:v>Grass</x:v>
      </x:c>
      <x:c r="K302" s="84" t="str">
        <x:v>Sun</x:v>
      </x:c>
      <x:c r="L302" s="84" t="str">
        <x:v>Low–Medium</x:v>
      </x:c>
      <x:c r="M302" s="89" t="n">
        <x:v>0</x:v>
      </x:c>
      <x:c r="N302" s="89" t="n">
        <x:v>0</x:v>
      </x:c>
      <x:c r="O302" s="89" t="n">
        <x:v>1</x:v>
      </x:c>
      <x:c r="P302" s="89" t="n">
        <x:f>SUM(M302:O302)</x:f>
        <x:v>1</x:v>
      </x:c>
      <x:c r="Q302" s="84" t="str">
        <x:v>Exact accepted-name match</x:v>
      </x:c>
      <x:c r="R302" s="84" t="str">
        <x:v>Eragrostis spectabilis</x:v>
      </x:c>
      <x:c r="S302" s="84" t="str">
        <x:v>413215</x:v>
      </x:c>
      <x:c r="T302" s="84" t="str">
        <x:v>413215</x:v>
      </x:c>
      <x:c r="U302" s="84" t="str">
        <x:v>1137778-2</x:v>
      </x:c>
      <x:c r="V302" s="84" t="str">
        <x:v>1137778-2</x:v>
      </x:c>
      <x:c r="W302" s="84" t="str"/>
    </x:row>
    <x:row r="303" ht="18" customHeight="1">
      <x:c r="A303" s="83" t="str">
        <x:v>HAYS-0302</x:v>
      </x:c>
      <x:c r="B303" s="87" t="str">
        <x:v>Eragrostis trichodes</x:v>
      </x:c>
      <x:c r="C303" s="87" t="str">
        <x:v>Eragrostis trichodes</x:v>
      </x:c>
      <x:c r="D303" s="84" t="str">
        <x:v>Poaceae</x:v>
      </x:c>
      <x:c r="E303" s="84" t="str">
        <x:v>Eragrostis</x:v>
      </x:c>
      <x:c r="F303" s="84" t="str">
        <x:v>Species</x:v>
      </x:c>
      <x:c r="G303" s="84" t="str">
        <x:v>Accepted</x:v>
      </x:c>
      <x:c r="H303" s="84" t="str">
        <x:v>Sand Love Grass, Sand lovegrass</x:v>
      </x:c>
      <x:c r="I303" s="84" t="str">
        <x:v>Perennial</x:v>
      </x:c>
      <x:c r="J303" s="84" t="str">
        <x:v>Grass</x:v>
      </x:c>
      <x:c r="K303" s="84" t="str">
        <x:v>Sun</x:v>
      </x:c>
      <x:c r="L303" s="84" t="str">
        <x:v>Low</x:v>
      </x:c>
      <x:c r="M303" s="89" t="n">
        <x:v>1</x:v>
      </x:c>
      <x:c r="N303" s="89" t="n">
        <x:v>1</x:v>
      </x:c>
      <x:c r="O303" s="89" t="n">
        <x:v>1</x:v>
      </x:c>
      <x:c r="P303" s="89" t="n">
        <x:f>SUM(M303:O303)</x:f>
        <x:v>3</x:v>
      </x:c>
      <x:c r="Q303" s="84" t="str">
        <x:v>Exact accepted-name match</x:v>
      </x:c>
      <x:c r="R303" s="84" t="str">
        <x:v>Eragrostis trichodes</x:v>
      </x:c>
      <x:c r="S303" s="84" t="str">
        <x:v>413314</x:v>
      </x:c>
      <x:c r="T303" s="84" t="str">
        <x:v>413314</x:v>
      </x:c>
      <x:c r="U303" s="84" t="str">
        <x:v>401659-1</x:v>
      </x:c>
      <x:c r="V303" s="84" t="str">
        <x:v>401659-1</x:v>
      </x:c>
      <x:c r="W303" s="84" t="str"/>
    </x:row>
    <x:row r="304" ht="18" customHeight="1">
      <x:c r="A304" s="83" t="str">
        <x:v>HAYS-0303</x:v>
      </x:c>
      <x:c r="B304" s="87" t="str">
        <x:v>Erigeron geiseri</x:v>
      </x:c>
      <x:c r="C304" s="87" t="str">
        <x:v>Erigeron geiseri</x:v>
      </x:c>
      <x:c r="D304" s="84" t="str">
        <x:v>Asteraceae</x:v>
      </x:c>
      <x:c r="E304" s="84" t="str">
        <x:v>Erigeron</x:v>
      </x:c>
      <x:c r="F304" s="84" t="str">
        <x:v>Species</x:v>
      </x:c>
      <x:c r="G304" s="84" t="str">
        <x:v>Accepted</x:v>
      </x:c>
      <x:c r="H304" s="84" t="str">
        <x:v>Geiser's Fleabane</x:v>
      </x:c>
      <x:c r="I304" s="84" t="str">
        <x:v>Annual</x:v>
      </x:c>
      <x:c r="J304" s="84" t="str">
        <x:v>Herb</x:v>
      </x:c>
      <x:c r="K304" s="84" t="str"/>
      <x:c r="L304" s="84" t="str"/>
      <x:c r="M304" s="89" t="n">
        <x:v>1</x:v>
      </x:c>
      <x:c r="N304" s="89" t="n">
        <x:v>1</x:v>
      </x:c>
      <x:c r="O304" s="89" t="n">
        <x:v>0</x:v>
      </x:c>
      <x:c r="P304" s="89" t="n">
        <x:f>SUM(M304:O304)</x:f>
        <x:v>2</x:v>
      </x:c>
      <x:c r="Q304" s="84" t="str">
        <x:v>Exact accepted-name match</x:v>
      </x:c>
      <x:c r="R304" s="84" t="str">
        <x:v>Erigeron geiseri</x:v>
      </x:c>
      <x:c r="S304" s="84" t="str">
        <x:v>3105124</x:v>
      </x:c>
      <x:c r="T304" s="84" t="str">
        <x:v>3105124</x:v>
      </x:c>
      <x:c r="U304" s="84" t="str">
        <x:v>93795-2</x:v>
      </x:c>
      <x:c r="V304" s="84" t="str">
        <x:v>93795-2</x:v>
      </x:c>
      <x:c r="W304" s="84" t="str"/>
    </x:row>
    <x:row r="305" ht="18" customHeight="1">
      <x:c r="A305" s="83" t="str">
        <x:v>HAYS-0304</x:v>
      </x:c>
      <x:c r="B305" s="87" t="str">
        <x:v>Erigeron modestus</x:v>
      </x:c>
      <x:c r="C305" s="87" t="str">
        <x:v>Erigeron modestus</x:v>
      </x:c>
      <x:c r="D305" s="84" t="str">
        <x:v>Asteraceae</x:v>
      </x:c>
      <x:c r="E305" s="84" t="str">
        <x:v>Erigeron</x:v>
      </x:c>
      <x:c r="F305" s="84" t="str">
        <x:v>Species</x:v>
      </x:c>
      <x:c r="G305" s="84" t="str">
        <x:v>Accepted</x:v>
      </x:c>
      <x:c r="H305" s="84" t="str">
        <x:v>Plains Fleabane, Prairie Fleabane</x:v>
      </x:c>
      <x:c r="I305" s="84" t="str">
        <x:v>Perennial</x:v>
      </x:c>
      <x:c r="J305" s="84" t="str">
        <x:v>Herb</x:v>
      </x:c>
      <x:c r="K305" s="84" t="str">
        <x:v>Sun</x:v>
      </x:c>
      <x:c r="L305" s="84" t="str">
        <x:v>Dry</x:v>
      </x:c>
      <x:c r="M305" s="89" t="n">
        <x:v>1</x:v>
      </x:c>
      <x:c r="N305" s="89" t="n">
        <x:v>1</x:v>
      </x:c>
      <x:c r="O305" s="89" t="n">
        <x:v>0</x:v>
      </x:c>
      <x:c r="P305" s="89" t="n">
        <x:f>SUM(M305:O305)</x:f>
        <x:v>2</x:v>
      </x:c>
      <x:c r="Q305" s="84" t="str">
        <x:v>Exact accepted-name match</x:v>
      </x:c>
      <x:c r="R305" s="84" t="str">
        <x:v>Erigeron modestus</x:v>
      </x:c>
      <x:c r="S305" s="84" t="str">
        <x:v>3105777</x:v>
      </x:c>
      <x:c r="T305" s="84" t="str">
        <x:v>3105777</x:v>
      </x:c>
      <x:c r="U305" s="84" t="str">
        <x:v>204164-1</x:v>
      </x:c>
      <x:c r="V305" s="84" t="str">
        <x:v>204164-1</x:v>
      </x:c>
      <x:c r="W305" s="84" t="str"/>
    </x:row>
    <x:row r="306" ht="18" customHeight="1">
      <x:c r="A306" s="83" t="str">
        <x:v>HAYS-0305</x:v>
      </x:c>
      <x:c r="B306" s="87" t="str">
        <x:v>Erigeron philadelphicus</x:v>
      </x:c>
      <x:c r="C306" s="87" t="str">
        <x:v>Erigeron philadelphicus</x:v>
      </x:c>
      <x:c r="D306" s="84" t="str">
        <x:v>Asteraceae</x:v>
      </x:c>
      <x:c r="E306" s="84" t="str">
        <x:v>Erigeron</x:v>
      </x:c>
      <x:c r="F306" s="84" t="str">
        <x:v>Species</x:v>
      </x:c>
      <x:c r="G306" s="84" t="str">
        <x:v>Accepted</x:v>
      </x:c>
      <x:c r="H306" s="84" t="str">
        <x:v>Philadelphia Fleabane</x:v>
      </x:c>
      <x:c r="I306" s="84" t="str">
        <x:v>Biennial</x:v>
      </x:c>
      <x:c r="J306" s="84" t="str">
        <x:v>Herb</x:v>
      </x:c>
      <x:c r="K306" s="84" t="str">
        <x:v>Full Sun to Part Shade</x:v>
      </x:c>
      <x:c r="L306" s="84" t="str">
        <x:v>Moist</x:v>
      </x:c>
      <x:c r="M306" s="89" t="n">
        <x:v>1</x:v>
      </x:c>
      <x:c r="N306" s="89" t="n">
        <x:v>1</x:v>
      </x:c>
      <x:c r="O306" s="89" t="n">
        <x:v>1</x:v>
      </x:c>
      <x:c r="P306" s="89" t="n">
        <x:f>SUM(M306:O306)</x:f>
        <x:v>3</x:v>
      </x:c>
      <x:c r="Q306" s="84" t="str">
        <x:v>Exact accepted-name match</x:v>
      </x:c>
      <x:c r="R306" s="84" t="str">
        <x:v>Erigeron philadelphicus</x:v>
      </x:c>
      <x:c r="S306" s="84" t="str">
        <x:v>2926485</x:v>
      </x:c>
      <x:c r="T306" s="84" t="str">
        <x:v>2926485</x:v>
      </x:c>
      <x:c r="U306" s="84" t="str">
        <x:v>204312-1</x:v>
      </x:c>
      <x:c r="V306" s="84" t="str">
        <x:v>204312-1</x:v>
      </x:c>
      <x:c r="W306" s="84" t="str"/>
    </x:row>
    <x:row r="307" ht="18" customHeight="1">
      <x:c r="A307" s="83" t="str">
        <x:v>HAYS-0306</x:v>
      </x:c>
      <x:c r="B307" s="87" t="str">
        <x:v>Eriochloa sericea</x:v>
      </x:c>
      <x:c r="C307" s="87" t="str">
        <x:v>Eriochloa sericea</x:v>
      </x:c>
      <x:c r="D307" s="84" t="str">
        <x:v>Poaceae</x:v>
      </x:c>
      <x:c r="E307" s="84" t="str">
        <x:v>Eriochloa</x:v>
      </x:c>
      <x:c r="F307" s="84" t="str">
        <x:v>Species</x:v>
      </x:c>
      <x:c r="G307" s="84" t="str">
        <x:v>Accepted</x:v>
      </x:c>
      <x:c r="H307" s="84" t="str">
        <x:v>Texas Cupgrass</x:v>
      </x:c>
      <x:c r="I307" s="84" t="str">
        <x:v>Perennial</x:v>
      </x:c>
      <x:c r="J307" s="84" t="str">
        <x:v>Grass</x:v>
      </x:c>
      <x:c r="K307" s="84" t="str">
        <x:v>Sun</x:v>
      </x:c>
      <x:c r="L307" s="84" t="str">
        <x:v>Medium</x:v>
      </x:c>
      <x:c r="M307" s="89" t="n">
        <x:v>1</x:v>
      </x:c>
      <x:c r="N307" s="89" t="n">
        <x:v>1</x:v>
      </x:c>
      <x:c r="O307" s="89" t="n">
        <x:v>1</x:v>
      </x:c>
      <x:c r="P307" s="89" t="n">
        <x:f>SUM(M307:O307)</x:f>
        <x:v>3</x:v>
      </x:c>
      <x:c r="Q307" s="84" t="str">
        <x:v>Exact accepted-name match</x:v>
      </x:c>
      <x:c r="R307" s="84" t="str">
        <x:v>Eriochloa sericea</x:v>
      </x:c>
      <x:c r="S307" s="84" t="str">
        <x:v>413865</x:v>
      </x:c>
      <x:c r="T307" s="84" t="str">
        <x:v>413865</x:v>
      </x:c>
      <x:c r="U307" s="84" t="str">
        <x:v>402055-1</x:v>
      </x:c>
      <x:c r="V307" s="84" t="str">
        <x:v>402055-1</x:v>
      </x:c>
      <x:c r="W307" s="84" t="str"/>
    </x:row>
    <x:row r="308" ht="18" customHeight="1">
      <x:c r="A308" s="83" t="str">
        <x:v>HAYS-0307</x:v>
      </x:c>
      <x:c r="B308" s="87" t="str">
        <x:v>Eriogonum longifolium</x:v>
      </x:c>
      <x:c r="C308" s="87" t="str">
        <x:v>Eriogonum longifolium</x:v>
      </x:c>
      <x:c r="D308" s="84" t="str">
        <x:v>Polygonaceae</x:v>
      </x:c>
      <x:c r="E308" s="84" t="str">
        <x:v>Eriogonum</x:v>
      </x:c>
      <x:c r="F308" s="84" t="str">
        <x:v>Species</x:v>
      </x:c>
      <x:c r="G308" s="84" t="str">
        <x:v>Accepted</x:v>
      </x:c>
      <x:c r="H308" s="84" t="str">
        <x:v>Longleaf Buckwheat, Longleaf Wild Buckwheat</x:v>
      </x:c>
      <x:c r="I308" s="84" t="str">
        <x:v>Perennial</x:v>
      </x:c>
      <x:c r="J308" s="84" t="str">
        <x:v>Herb</x:v>
      </x:c>
      <x:c r="K308" s="84" t="str">
        <x:v>Sun</x:v>
      </x:c>
      <x:c r="L308" s="84" t="str">
        <x:v>Low</x:v>
      </x:c>
      <x:c r="M308" s="89" t="n">
        <x:v>0</x:v>
      </x:c>
      <x:c r="N308" s="89" t="n">
        <x:v>0</x:v>
      </x:c>
      <x:c r="O308" s="89" t="n">
        <x:v>1</x:v>
      </x:c>
      <x:c r="P308" s="89" t="n">
        <x:f>SUM(M308:O308)</x:f>
        <x:v>1</x:v>
      </x:c>
      <x:c r="Q308" s="84" t="str">
        <x:v>Exact accepted-name match</x:v>
      </x:c>
      <x:c r="R308" s="84" t="str">
        <x:v>Eriogonum longifolium</x:v>
      </x:c>
      <x:c r="S308" s="84" t="str">
        <x:v>2796210</x:v>
      </x:c>
      <x:c r="T308" s="84" t="str">
        <x:v>2796210</x:v>
      </x:c>
      <x:c r="U308" s="84" t="str">
        <x:v>694264-1</x:v>
      </x:c>
      <x:c r="V308" s="84" t="str">
        <x:v>694264-1</x:v>
      </x:c>
      <x:c r="W308" s="84" t="str"/>
    </x:row>
    <x:row r="309" ht="18" customHeight="1">
      <x:c r="A309" s="83" t="str">
        <x:v>HAYS-0308</x:v>
      </x:c>
      <x:c r="B309" s="87" t="str">
        <x:v>Erioneuron pilosum</x:v>
      </x:c>
      <x:c r="C309" s="87" t="str">
        <x:v>Erioneuron pilosum</x:v>
      </x:c>
      <x:c r="D309" s="84" t="str">
        <x:v>Poaceae</x:v>
      </x:c>
      <x:c r="E309" s="84" t="str">
        <x:v>Erioneuron</x:v>
      </x:c>
      <x:c r="F309" s="84" t="str">
        <x:v>Species</x:v>
      </x:c>
      <x:c r="G309" s="84" t="str">
        <x:v>Accepted</x:v>
      </x:c>
      <x:c r="H309" s="84" t="str">
        <x:v>Hairy Woollygrass, Hairy Tridens</x:v>
      </x:c>
      <x:c r="I309" s="84" t="str">
        <x:v>Perennial</x:v>
      </x:c>
      <x:c r="J309" s="84" t="str">
        <x:v>Grass/Grass-like</x:v>
      </x:c>
      <x:c r="K309" s="84" t="str">
        <x:v>Sun</x:v>
      </x:c>
      <x:c r="L309" s="84" t="str">
        <x:v>Dry</x:v>
      </x:c>
      <x:c r="M309" s="89" t="n">
        <x:v>1</x:v>
      </x:c>
      <x:c r="N309" s="89" t="n">
        <x:v>1</x:v>
      </x:c>
      <x:c r="O309" s="89" t="n">
        <x:v>0</x:v>
      </x:c>
      <x:c r="P309" s="89" t="n">
        <x:f>SUM(M309:O309)</x:f>
        <x:v>2</x:v>
      </x:c>
      <x:c r="Q309" s="84" t="str">
        <x:v>Exact accepted-name match</x:v>
      </x:c>
      <x:c r="R309" s="84" t="str">
        <x:v>Erioneuron pilosum</x:v>
      </x:c>
      <x:c r="S309" s="84" t="str">
        <x:v>413923</x:v>
      </x:c>
      <x:c r="T309" s="84" t="str">
        <x:v>413923</x:v>
      </x:c>
      <x:c r="U309" s="84" t="str">
        <x:v>95653-2</x:v>
      </x:c>
      <x:c r="V309" s="84" t="str">
        <x:v>95653-2</x:v>
      </x:c>
      <x:c r="W309" s="84" t="str"/>
    </x:row>
    <x:row r="310" ht="18" customHeight="1">
      <x:c r="A310" s="83" t="str">
        <x:v>HAYS-0309</x:v>
      </x:c>
      <x:c r="B310" s="87" t="str">
        <x:v>Erodium texanum</x:v>
      </x:c>
      <x:c r="C310" s="87" t="str">
        <x:v>Erodium texanum</x:v>
      </x:c>
      <x:c r="D310" s="84" t="str">
        <x:v>Geraniaceae</x:v>
      </x:c>
      <x:c r="E310" s="84" t="str">
        <x:v>Erodium</x:v>
      </x:c>
      <x:c r="F310" s="84" t="str">
        <x:v>Species</x:v>
      </x:c>
      <x:c r="G310" s="84" t="str">
        <x:v>Accepted</x:v>
      </x:c>
      <x:c r="H310" s="84" t="str">
        <x:v>Texas Stork's Bill, Stork's Bill, Pine Needle, Fillaree</x:v>
      </x:c>
      <x:c r="I310" s="84" t="str">
        <x:v>Annual, Biennial</x:v>
      </x:c>
      <x:c r="J310" s="84" t="str">
        <x:v>Herb</x:v>
      </x:c>
      <x:c r="K310" s="84" t="str">
        <x:v>Sun</x:v>
      </x:c>
      <x:c r="L310" s="84" t="str">
        <x:v>Dry</x:v>
      </x:c>
      <x:c r="M310" s="89" t="n">
        <x:v>1</x:v>
      </x:c>
      <x:c r="N310" s="89" t="n">
        <x:v>1</x:v>
      </x:c>
      <x:c r="O310" s="89" t="n">
        <x:v>0</x:v>
      </x:c>
      <x:c r="P310" s="89" t="n">
        <x:f>SUM(M310:O310)</x:f>
        <x:v>2</x:v>
      </x:c>
      <x:c r="Q310" s="84" t="str">
        <x:v>Exact accepted-name match</x:v>
      </x:c>
      <x:c r="R310" s="84" t="str">
        <x:v>Erodium texanum</x:v>
      </x:c>
      <x:c r="S310" s="84" t="str">
        <x:v>2798460</x:v>
      </x:c>
      <x:c r="T310" s="84" t="str">
        <x:v>2798460</x:v>
      </x:c>
      <x:c r="U310" s="84" t="str">
        <x:v>372456-1</x:v>
      </x:c>
      <x:c r="V310" s="84" t="str">
        <x:v>372456-1</x:v>
      </x:c>
      <x:c r="W310" s="84" t="str"/>
    </x:row>
    <x:row r="311" ht="18" customHeight="1">
      <x:c r="A311" s="83" t="str">
        <x:v>HAYS-0310</x:v>
      </x:c>
      <x:c r="B311" s="87" t="str">
        <x:v>Eryngium leavenworthii</x:v>
      </x:c>
      <x:c r="C311" s="87" t="str">
        <x:v>Eryngium leavenworthii</x:v>
      </x:c>
      <x:c r="D311" s="84" t="str">
        <x:v>Apiaceae</x:v>
      </x:c>
      <x:c r="E311" s="84" t="str">
        <x:v>Eryngium</x:v>
      </x:c>
      <x:c r="F311" s="84" t="str">
        <x:v>Species</x:v>
      </x:c>
      <x:c r="G311" s="84" t="str">
        <x:v>Accepted</x:v>
      </x:c>
      <x:c r="H311" s="84" t="str">
        <x:v>Leavenworth's Eryngo, Eryngo, False Purple Thistle</x:v>
      </x:c>
      <x:c r="I311" s="84" t="str">
        <x:v>Annual</x:v>
      </x:c>
      <x:c r="J311" s="84" t="str">
        <x:v>Herb</x:v>
      </x:c>
      <x:c r="K311" s="84" t="str">
        <x:v>Sun</x:v>
      </x:c>
      <x:c r="L311" s="84" t="str">
        <x:v>Low</x:v>
      </x:c>
      <x:c r="M311" s="89" t="n">
        <x:v>1</x:v>
      </x:c>
      <x:c r="N311" s="89" t="n">
        <x:v>1</x:v>
      </x:c>
      <x:c r="O311" s="89" t="n">
        <x:v>1</x:v>
      </x:c>
      <x:c r="P311" s="89" t="n">
        <x:f>SUM(M311:O311)</x:f>
        <x:v>3</x:v>
      </x:c>
      <x:c r="Q311" s="84" t="str">
        <x:v>Exact accepted-name match</x:v>
      </x:c>
      <x:c r="R311" s="84" t="str">
        <x:v>Eryngium leavenworthii</x:v>
      </x:c>
      <x:c r="S311" s="84" t="str">
        <x:v>2799390</x:v>
      </x:c>
      <x:c r="T311" s="84" t="str">
        <x:v>2799390</x:v>
      </x:c>
      <x:c r="U311" s="84" t="str">
        <x:v>841878-1</x:v>
      </x:c>
      <x:c r="V311" s="84" t="str">
        <x:v>841878-1</x:v>
      </x:c>
      <x:c r="W311" s="84" t="str"/>
    </x:row>
    <x:row r="312" ht="18" customHeight="1">
      <x:c r="A312" s="83" t="str">
        <x:v>HAYS-0311</x:v>
      </x:c>
      <x:c r="B312" s="87" t="str">
        <x:v>Eryngium yuccifolium</x:v>
      </x:c>
      <x:c r="C312" s="87" t="str">
        <x:v>Eryngium yuccifolium</x:v>
      </x:c>
      <x:c r="D312" s="84" t="str">
        <x:v>Apiaceae</x:v>
      </x:c>
      <x:c r="E312" s="84" t="str">
        <x:v>Eryngium</x:v>
      </x:c>
      <x:c r="F312" s="84" t="str">
        <x:v>Species</x:v>
      </x:c>
      <x:c r="G312" s="84" t="str">
        <x:v>Accepted</x:v>
      </x:c>
      <x:c r="H312" s="84" t="str">
        <x:v>Rattlesnake Master, Button Eryngo, Button Snakeroot, Beargrass, Bear's Grass</x:v>
      </x:c>
      <x:c r="I312" s="84" t="str">
        <x:v>Perennial</x:v>
      </x:c>
      <x:c r="J312" s="84" t="str">
        <x:v>Herb</x:v>
      </x:c>
      <x:c r="K312" s="84" t="str">
        <x:v>Sun, Part Shade</x:v>
      </x:c>
      <x:c r="L312" s="84" t="str">
        <x:v>Medium</x:v>
      </x:c>
      <x:c r="M312" s="89" t="n">
        <x:v>0</x:v>
      </x:c>
      <x:c r="N312" s="89" t="n">
        <x:v>0</x:v>
      </x:c>
      <x:c r="O312" s="89" t="n">
        <x:v>1</x:v>
      </x:c>
      <x:c r="P312" s="89" t="n">
        <x:f>SUM(M312:O312)</x:f>
        <x:v>1</x:v>
      </x:c>
      <x:c r="Q312" s="84" t="str">
        <x:v>Exact accepted-name match</x:v>
      </x:c>
      <x:c r="R312" s="84" t="str">
        <x:v>Eryngium yuccifolium</x:v>
      </x:c>
      <x:c r="S312" s="84" t="str">
        <x:v>2799673</x:v>
      </x:c>
      <x:c r="T312" s="84" t="str">
        <x:v>2799673</x:v>
      </x:c>
      <x:c r="U312" s="84" t="str">
        <x:v>842103-1</x:v>
      </x:c>
      <x:c r="V312" s="84" t="str">
        <x:v>842103-1</x:v>
      </x:c>
      <x:c r="W312" s="84" t="str"/>
    </x:row>
    <x:row r="313" ht="18" customHeight="1">
      <x:c r="A313" s="83" t="str">
        <x:v>HAYS-0312</x:v>
      </x:c>
      <x:c r="B313" s="87" t="str">
        <x:v>Erythrina herbacea</x:v>
      </x:c>
      <x:c r="C313" s="87" t="str">
        <x:v>Erythrina herbacea</x:v>
      </x:c>
      <x:c r="D313" s="84" t="str">
        <x:v>Fabaceae</x:v>
      </x:c>
      <x:c r="E313" s="84" t="str">
        <x:v>Erythrina</x:v>
      </x:c>
      <x:c r="F313" s="84" t="str">
        <x:v>Species</x:v>
      </x:c>
      <x:c r="G313" s="84" t="str">
        <x:v>Accepted</x:v>
      </x:c>
      <x:c r="H313" s="84" t="str">
        <x:v>Coral Bean</x:v>
      </x:c>
      <x:c r="I313" s="84" t="str">
        <x:v>Perennial</x:v>
      </x:c>
      <x:c r="J313" s="84" t="str">
        <x:v>Shrub</x:v>
      </x:c>
      <x:c r="K313" s="84" t="str">
        <x:v>Sun, Part Shade</x:v>
      </x:c>
      <x:c r="L313" s="84" t="str">
        <x:v>Low–Medium</x:v>
      </x:c>
      <x:c r="M313" s="89" t="n">
        <x:v>0</x:v>
      </x:c>
      <x:c r="N313" s="89" t="n">
        <x:v>0</x:v>
      </x:c>
      <x:c r="O313" s="89" t="n">
        <x:v>1</x:v>
      </x:c>
      <x:c r="P313" s="89" t="n">
        <x:f>SUM(M313:O313)</x:f>
        <x:v>1</x:v>
      </x:c>
      <x:c r="Q313" s="84" t="str">
        <x:v>Exact accepted-name match</x:v>
      </x:c>
      <x:c r="R313" s="84" t="str">
        <x:v>Erythrina herbacea</x:v>
      </x:c>
      <x:c r="S313" s="84" t="str">
        <x:v>2800880</x:v>
      </x:c>
      <x:c r="T313" s="84" t="str">
        <x:v>2800880</x:v>
      </x:c>
      <x:c r="U313" s="84" t="str">
        <x:v>96601-2</x:v>
      </x:c>
      <x:c r="V313" s="84" t="str">
        <x:v>96601-2</x:v>
      </x:c>
      <x:c r="W313" s="84" t="str"/>
    </x:row>
    <x:row r="314" ht="18" customHeight="1">
      <x:c r="A314" s="83" t="str">
        <x:v>HAYS-0313</x:v>
      </x:c>
      <x:c r="B314" s="87" t="str">
        <x:v>Eupatorium serotinum</x:v>
      </x:c>
      <x:c r="C314" s="87" t="str">
        <x:v>Eupatorium serotinum</x:v>
      </x:c>
      <x:c r="D314" s="84" t="str">
        <x:v>Asteraceae</x:v>
      </x:c>
      <x:c r="E314" s="84" t="str">
        <x:v>Eupatorium</x:v>
      </x:c>
      <x:c r="F314" s="84" t="str">
        <x:v>Species</x:v>
      </x:c>
      <x:c r="G314" s="84" t="str">
        <x:v>Accepted</x:v>
      </x:c>
      <x:c r="H314" s="84" t="str">
        <x:v>White Boneset, Lateflowering Thoroughwort, Late Boneset, Late-flowering Boneset</x:v>
      </x:c>
      <x:c r="I314" s="84" t="str">
        <x:v>Perennial</x:v>
      </x:c>
      <x:c r="J314" s="84" t="str">
        <x:v>Herb</x:v>
      </x:c>
      <x:c r="K314" s="84" t="str">
        <x:v>Part-shade</x:v>
      </x:c>
      <x:c r="L314" s="84" t="str">
        <x:v>Moist</x:v>
      </x:c>
      <x:c r="M314" s="89" t="n">
        <x:v>1</x:v>
      </x:c>
      <x:c r="N314" s="89" t="n">
        <x:v>1</x:v>
      </x:c>
      <x:c r="O314" s="89" t="n">
        <x:v>0</x:v>
      </x:c>
      <x:c r="P314" s="89" t="n">
        <x:f>SUM(M314:O314)</x:f>
        <x:v>2</x:v>
      </x:c>
      <x:c r="Q314" s="84" t="str">
        <x:v>Exact accepted-name match</x:v>
      </x:c>
      <x:c r="R314" s="84" t="str">
        <x:v>Eupatorium serotinum</x:v>
      </x:c>
      <x:c r="S314" s="84" t="str">
        <x:v>3130585</x:v>
      </x:c>
      <x:c r="T314" s="84" t="str">
        <x:v>3130585</x:v>
      </x:c>
      <x:c r="U314" s="84" t="str">
        <x:v>206910-1</x:v>
      </x:c>
      <x:c r="V314" s="84" t="str">
        <x:v>206910-1</x:v>
      </x:c>
      <x:c r="W314" s="84" t="str"/>
    </x:row>
    <x:row r="315" ht="18" customHeight="1">
      <x:c r="A315" s="83" t="str">
        <x:v>HAYS-0314</x:v>
      </x:c>
      <x:c r="B315" s="87" t="str">
        <x:v>Euphorbia cyathophora</x:v>
      </x:c>
      <x:c r="C315" s="87" t="str">
        <x:v>Euphorbia cyathophora</x:v>
      </x:c>
      <x:c r="D315" s="84" t="str">
        <x:v>Euphorbiaceae</x:v>
      </x:c>
      <x:c r="E315" s="84" t="str">
        <x:v>Euphorbia</x:v>
      </x:c>
      <x:c r="F315" s="84" t="str">
        <x:v>Species</x:v>
      </x:c>
      <x:c r="G315" s="84" t="str">
        <x:v>Accepted</x:v>
      </x:c>
      <x:c r="H315" s="84" t="str">
        <x:v>Wild Poinsettia, Poinsettia, Fire On The Mountain</x:v>
      </x:c>
      <x:c r="I315" s="84" t="str">
        <x:v>Annual</x:v>
      </x:c>
      <x:c r="J315" s="84" t="str">
        <x:v>Herb</x:v>
      </x:c>
      <x:c r="K315" s="84" t="str">
        <x:v>Sun</x:v>
      </x:c>
      <x:c r="L315" s="84" t="str">
        <x:v>Moist</x:v>
      </x:c>
      <x:c r="M315" s="89" t="n">
        <x:v>1</x:v>
      </x:c>
      <x:c r="N315" s="89" t="n">
        <x:v>1</x:v>
      </x:c>
      <x:c r="O315" s="89" t="n">
        <x:v>0</x:v>
      </x:c>
      <x:c r="P315" s="89" t="n">
        <x:f>SUM(M315:O315)</x:f>
        <x:v>2</x:v>
      </x:c>
      <x:c r="Q315" s="84" t="str">
        <x:v>Exact accepted-name match</x:v>
      </x:c>
      <x:c r="R315" s="84" t="str">
        <x:v>Euphorbia cyathophora</x:v>
      </x:c>
      <x:c r="S315" s="84" t="str">
        <x:v>79218</x:v>
      </x:c>
      <x:c r="T315" s="84" t="str">
        <x:v>79218</x:v>
      </x:c>
      <x:c r="U315" s="84" t="str">
        <x:v>101468-2</x:v>
      </x:c>
      <x:c r="V315" s="84" t="str">
        <x:v>101468-2</x:v>
      </x:c>
      <x:c r="W315" s="84" t="str"/>
    </x:row>
    <x:row r="316" ht="18" customHeight="1">
      <x:c r="A316" s="83" t="str">
        <x:v>HAYS-0315</x:v>
      </x:c>
      <x:c r="B316" s="87" t="str">
        <x:v>Euphorbia dentata</x:v>
      </x:c>
      <x:c r="C316" s="87" t="str">
        <x:v>Euphorbia dentata</x:v>
      </x:c>
      <x:c r="D316" s="84" t="str">
        <x:v>Euphorbiaceae</x:v>
      </x:c>
      <x:c r="E316" s="84" t="str">
        <x:v>Euphorbia</x:v>
      </x:c>
      <x:c r="F316" s="84" t="str">
        <x:v>Species</x:v>
      </x:c>
      <x:c r="G316" s="84" t="str">
        <x:v>Accepted</x:v>
      </x:c>
      <x:c r="H316" s="84" t="str">
        <x:v>Toothed Spurge, Toothed-leaf Poinsettia</x:v>
      </x:c>
      <x:c r="I316" s="84" t="str">
        <x:v>Annual</x:v>
      </x:c>
      <x:c r="J316" s="84" t="str">
        <x:v>Herb</x:v>
      </x:c>
      <x:c r="K316" s="84" t="str"/>
      <x:c r="L316" s="84" t="str"/>
      <x:c r="M316" s="89" t="n">
        <x:v>1</x:v>
      </x:c>
      <x:c r="N316" s="89" t="n">
        <x:v>1</x:v>
      </x:c>
      <x:c r="O316" s="89" t="n">
        <x:v>0</x:v>
      </x:c>
      <x:c r="P316" s="89" t="n">
        <x:f>SUM(M316:O316)</x:f>
        <x:v>2</x:v>
      </x:c>
      <x:c r="Q316" s="84" t="str">
        <x:v>Exact accepted-name match</x:v>
      </x:c>
      <x:c r="R316" s="84" t="str">
        <x:v>Euphorbia dentata</x:v>
      </x:c>
      <x:c r="S316" s="84" t="str">
        <x:v>79313</x:v>
      </x:c>
      <x:c r="T316" s="84" t="str">
        <x:v>79313</x:v>
      </x:c>
      <x:c r="U316" s="84" t="str">
        <x:v>30169241-2</x:v>
      </x:c>
      <x:c r="V316" s="84" t="str">
        <x:v>30169241-2</x:v>
      </x:c>
      <x:c r="W316" s="84" t="str"/>
    </x:row>
    <x:row r="317" ht="18" customHeight="1">
      <x:c r="A317" s="83" t="str">
        <x:v>HAYS-0316</x:v>
      </x:c>
      <x:c r="B317" s="87" t="str">
        <x:v>Euphorbia marginata</x:v>
      </x:c>
      <x:c r="C317" s="87" t="str">
        <x:v>Euphorbia marginata</x:v>
      </x:c>
      <x:c r="D317" s="84" t="str">
        <x:v>Euphorbiaceae</x:v>
      </x:c>
      <x:c r="E317" s="84" t="str">
        <x:v>Euphorbia</x:v>
      </x:c>
      <x:c r="F317" s="84" t="str">
        <x:v>Species</x:v>
      </x:c>
      <x:c r="G317" s="84" t="str">
        <x:v>Accepted</x:v>
      </x:c>
      <x:c r="H317" s="84" t="str">
        <x:v>Snow On The Mountain, Snow-on-the-mountain</x:v>
      </x:c>
      <x:c r="I317" s="84" t="str">
        <x:v>Annual</x:v>
      </x:c>
      <x:c r="J317" s="84" t="str">
        <x:v>Herb</x:v>
      </x:c>
      <x:c r="K317" s="84" t="str">
        <x:v>Part-shade</x:v>
      </x:c>
      <x:c r="L317" s="84" t="str">
        <x:v>Moist</x:v>
      </x:c>
      <x:c r="M317" s="89" t="n">
        <x:v>1</x:v>
      </x:c>
      <x:c r="N317" s="89" t="n">
        <x:v>1</x:v>
      </x:c>
      <x:c r="O317" s="89" t="n">
        <x:v>0</x:v>
      </x:c>
      <x:c r="P317" s="89" t="n">
        <x:f>SUM(M317:O317)</x:f>
        <x:v>2</x:v>
      </x:c>
      <x:c r="Q317" s="84" t="str">
        <x:v>Exact accepted-name match</x:v>
      </x:c>
      <x:c r="R317" s="84" t="str">
        <x:v>Euphorbia marginata</x:v>
      </x:c>
      <x:c r="S317" s="84" t="str">
        <x:v>80774</x:v>
      </x:c>
      <x:c r="T317" s="84" t="str">
        <x:v>80774</x:v>
      </x:c>
      <x:c r="U317" s="84" t="str">
        <x:v>101724-2</x:v>
      </x:c>
      <x:c r="V317" s="84" t="str">
        <x:v>101724-2</x:v>
      </x:c>
      <x:c r="W317" s="84" t="str"/>
    </x:row>
    <x:row r="318" ht="18" customHeight="1">
      <x:c r="A318" s="83" t="str">
        <x:v>HAYS-0317</x:v>
      </x:c>
      <x:c r="B318" s="87" t="str">
        <x:v>Euphorbia roemeriana</x:v>
      </x:c>
      <x:c r="C318" s="87" t="str">
        <x:v>Euphorbia roemeriana</x:v>
      </x:c>
      <x:c r="D318" s="84" t="str">
        <x:v>Euphorbiaceae</x:v>
      </x:c>
      <x:c r="E318" s="84" t="str">
        <x:v>Euphorbia</x:v>
      </x:c>
      <x:c r="F318" s="84" t="str">
        <x:v>Species</x:v>
      </x:c>
      <x:c r="G318" s="84" t="str">
        <x:v>Accepted</x:v>
      </x:c>
      <x:c r="H318" s="84" t="str">
        <x:v>Roemer's Spurge</x:v>
      </x:c>
      <x:c r="I318" s="84" t="str">
        <x:v>Annual</x:v>
      </x:c>
      <x:c r="J318" s="84" t="str">
        <x:v>Herb</x:v>
      </x:c>
      <x:c r="K318" s="84" t="str"/>
      <x:c r="L318" s="84" t="str"/>
      <x:c r="M318" s="89" t="n">
        <x:v>1</x:v>
      </x:c>
      <x:c r="N318" s="89" t="n">
        <x:v>1</x:v>
      </x:c>
      <x:c r="O318" s="89" t="n">
        <x:v>0</x:v>
      </x:c>
      <x:c r="P318" s="89" t="n">
        <x:f>SUM(M318:O318)</x:f>
        <x:v>2</x:v>
      </x:c>
      <x:c r="Q318" s="84" t="str">
        <x:v>Exact accepted-name match</x:v>
      </x:c>
      <x:c r="R318" s="84" t="str">
        <x:v>Euphorbia roemeriana</x:v>
      </x:c>
      <x:c r="S318" s="84" t="str">
        <x:v>81929</x:v>
      </x:c>
      <x:c r="T318" s="84" t="str">
        <x:v>81929</x:v>
      </x:c>
      <x:c r="U318" s="84" t="str">
        <x:v>348077-1</x:v>
      </x:c>
      <x:c r="V318" s="84" t="str">
        <x:v>348077-1</x:v>
      </x:c>
      <x:c r="W318" s="84" t="str"/>
    </x:row>
    <x:row r="319" ht="18" customHeight="1">
      <x:c r="A319" s="83" t="str">
        <x:v>HAYS-0318</x:v>
      </x:c>
      <x:c r="B319" s="87" t="str">
        <x:v>Eustoma exaltatum</x:v>
      </x:c>
      <x:c r="C319" s="87" t="str">
        <x:v>Eustoma exaltatum</x:v>
      </x:c>
      <x:c r="D319" s="84" t="str">
        <x:v>Gentianaceae</x:v>
      </x:c>
      <x:c r="E319" s="84" t="str">
        <x:v>Eustoma</x:v>
      </x:c>
      <x:c r="F319" s="84" t="str">
        <x:v>Species</x:v>
      </x:c>
      <x:c r="G319" s="84" t="str">
        <x:v>Accepted</x:v>
      </x:c>
      <x:c r="H319" s="84" t="str">
        <x:v>Catchfly Prairie Gentian, Bluebell Gentian, Western Blue Gentian, Blue Marsh Lily, Small Bluebell, Catchfly Gentian, Seaside Gentian</x:v>
      </x:c>
      <x:c r="I319" s="84" t="str">
        <x:v>Annual</x:v>
      </x:c>
      <x:c r="J319" s="84" t="str">
        <x:v>Herb</x:v>
      </x:c>
      <x:c r="K319" s="84" t="str">
        <x:v>Sun, Part Shade</x:v>
      </x:c>
      <x:c r="L319" s="84" t="str">
        <x:v>Medium</x:v>
      </x:c>
      <x:c r="M319" s="89" t="n">
        <x:v>0</x:v>
      </x:c>
      <x:c r="N319" s="89" t="n">
        <x:v>0</x:v>
      </x:c>
      <x:c r="O319" s="89" t="n">
        <x:v>1</x:v>
      </x:c>
      <x:c r="P319" s="89" t="n">
        <x:f>SUM(M319:O319)</x:f>
        <x:v>1</x:v>
      </x:c>
      <x:c r="Q319" s="84" t="str">
        <x:v>Exact accepted-name match</x:v>
      </x:c>
      <x:c r="R319" s="84" t="str">
        <x:v>Eustoma exaltatum</x:v>
      </x:c>
      <x:c r="S319" s="84" t="str">
        <x:v>2805321</x:v>
      </x:c>
      <x:c r="T319" s="84" t="str">
        <x:v>2805321</x:v>
      </x:c>
      <x:c r="U319" s="84" t="str">
        <x:v>367440-1</x:v>
      </x:c>
      <x:c r="V319" s="84" t="str">
        <x:v>367440-1</x:v>
      </x:c>
      <x:c r="W319" s="84" t="str"/>
    </x:row>
    <x:row r="320" ht="18" customHeight="1">
      <x:c r="A320" s="83" t="str">
        <x:v>HAYS-0319</x:v>
      </x:c>
      <x:c r="B320" s="87" t="str">
        <x:v>Eustoma exaltatum ssp. russellianum</x:v>
      </x:c>
      <x:c r="C320" s="87" t="str">
        <x:v>Eustoma russellianum</x:v>
      </x:c>
      <x:c r="D320" s="84" t="str">
        <x:v>Gentianaceae</x:v>
      </x:c>
      <x:c r="E320" s="84" t="str">
        <x:v>Eustoma</x:v>
      </x:c>
      <x:c r="F320" s="84" t="str">
        <x:v>Subspecies</x:v>
      </x:c>
      <x:c r="G320" s="84" t="str">
        <x:v>Synonym</x:v>
      </x:c>
      <x:c r="H320" s="84" t="str">
        <x:v>Texas Bluebells, Texas Bluebell, Bluebell, Showy Prairie Gentian, Prairie Gentian</x:v>
      </x:c>
      <x:c r="I320" s="84" t="str">
        <x:v>Annual, Biennial, Perennial</x:v>
      </x:c>
      <x:c r="J320" s="84" t="str">
        <x:v>Herb</x:v>
      </x:c>
      <x:c r="K320" s="84" t="str">
        <x:v>Sun</x:v>
      </x:c>
      <x:c r="L320" s="84" t="str">
        <x:v>Moist</x:v>
      </x:c>
      <x:c r="M320" s="89" t="n">
        <x:v>1</x:v>
      </x:c>
      <x:c r="N320" s="89" t="n">
        <x:v>1</x:v>
      </x:c>
      <x:c r="O320" s="89" t="n">
        <x:v>0</x:v>
      </x:c>
      <x:c r="P320" s="89" t="n">
        <x:f>SUM(M320:O320)</x:f>
        <x:v>2</x:v>
      </x:c>
      <x:c r="Q320" s="84" t="str">
        <x:v>Exact synonym-name match</x:v>
      </x:c>
      <x:c r="R320" s="84" t="str">
        <x:v>Eustoma exaltatum subsp. russellianum</x:v>
      </x:c>
      <x:c r="S320" s="84" t="str">
        <x:v>2805323</x:v>
      </x:c>
      <x:c r="T320" s="84" t="str">
        <x:v>2805333</x:v>
      </x:c>
      <x:c r="U320" s="84" t="str">
        <x:v>1194726-2</x:v>
      </x:c>
      <x:c r="V320" s="84" t="str">
        <x:v>367445-1</x:v>
      </x:c>
      <x:c r="W320" s="84" t="str"/>
    </x:row>
    <x:row r="321" ht="18" customHeight="1">
      <x:c r="A321" s="83" t="str">
        <x:v>HAYS-0320</x:v>
      </x:c>
      <x:c r="B321" s="87" t="str">
        <x:v>Evax candida</x:v>
      </x:c>
      <x:c r="C321" s="87" t="str">
        <x:v>Diaperia candida</x:v>
      </x:c>
      <x:c r="D321" s="84" t="str">
        <x:v>Asteraceae</x:v>
      </x:c>
      <x:c r="E321" s="84" t="str">
        <x:v>Diaperia</x:v>
      </x:c>
      <x:c r="F321" s="84" t="str">
        <x:v>Species</x:v>
      </x:c>
      <x:c r="G321" s="84" t="str">
        <x:v>Synonym</x:v>
      </x:c>
      <x:c r="H321" s="84" t="str">
        <x:v>Silver Pygmycudweed</x:v>
      </x:c>
      <x:c r="I321" s="84" t="str">
        <x:v>Annual</x:v>
      </x:c>
      <x:c r="J321" s="84" t="str">
        <x:v>Herb</x:v>
      </x:c>
      <x:c r="K321" s="84" t="str"/>
      <x:c r="L321" s="84" t="str"/>
      <x:c r="M321" s="89" t="n">
        <x:v>1</x:v>
      </x:c>
      <x:c r="N321" s="89" t="n">
        <x:v>0</x:v>
      </x:c>
      <x:c r="O321" s="89" t="n">
        <x:v>0</x:v>
      </x:c>
      <x:c r="P321" s="89" t="n">
        <x:f>SUM(M321:O321)</x:f>
        <x:v>1</x:v>
      </x:c>
      <x:c r="Q321" s="84" t="str">
        <x:v>Exact synonym-name match</x:v>
      </x:c>
      <x:c r="R321" s="84" t="str">
        <x:v>Evax candida</x:v>
      </x:c>
      <x:c r="S321" s="84" t="str">
        <x:v>3093724</x:v>
      </x:c>
      <x:c r="T321" s="84" t="str">
        <x:v>3093726</x:v>
      </x:c>
      <x:c r="U321" s="84" t="str">
        <x:v>1116477-2</x:v>
      </x:c>
      <x:c r="V321" s="84" t="str">
        <x:v>60437966-2</x:v>
      </x:c>
      <x:c r="W321" s="84" t="str"/>
    </x:row>
    <x:row r="322" ht="18" customHeight="1">
      <x:c r="A322" s="83" t="str">
        <x:v>HAYS-0321</x:v>
      </x:c>
      <x:c r="B322" s="87" t="str">
        <x:v>Evax prolifera</x:v>
      </x:c>
      <x:c r="C322" s="87" t="str">
        <x:v>Diaperia prolifera</x:v>
      </x:c>
      <x:c r="D322" s="84" t="str">
        <x:v>Asteraceae</x:v>
      </x:c>
      <x:c r="E322" s="84" t="str">
        <x:v>Diaperia</x:v>
      </x:c>
      <x:c r="F322" s="84" t="str">
        <x:v>Species</x:v>
      </x:c>
      <x:c r="G322" s="84" t="str">
        <x:v>Synonym</x:v>
      </x:c>
      <x:c r="H322" s="84" t="str">
        <x:v>Bighead Pygmycudweed, Rabbit Tobacco</x:v>
      </x:c>
      <x:c r="I322" s="84" t="str">
        <x:v>Annual</x:v>
      </x:c>
      <x:c r="J322" s="84" t="str">
        <x:v>Herb</x:v>
      </x:c>
      <x:c r="K322" s="84" t="str">
        <x:v>Part-shade</x:v>
      </x:c>
      <x:c r="L322" s="84" t="str"/>
      <x:c r="M322" s="89" t="n">
        <x:v>1</x:v>
      </x:c>
      <x:c r="N322" s="89" t="n">
        <x:v>1</x:v>
      </x:c>
      <x:c r="O322" s="89" t="n">
        <x:v>0</x:v>
      </x:c>
      <x:c r="P322" s="89" t="n">
        <x:f>SUM(M322:O322)</x:f>
        <x:v>2</x:v>
      </x:c>
      <x:c r="Q322" s="84" t="str">
        <x:v>Exact synonym-name match</x:v>
      </x:c>
      <x:c r="R322" s="84" t="str">
        <x:v>Evax prolifera</x:v>
      </x:c>
      <x:c r="S322" s="84" t="str">
        <x:v>3093727</x:v>
      </x:c>
      <x:c r="T322" s="84" t="str">
        <x:v>3093730</x:v>
      </x:c>
      <x:c r="U322" s="84" t="str">
        <x:v>102496-2</x:v>
      </x:c>
      <x:c r="V322" s="84" t="str">
        <x:v>201258-1</x:v>
      </x:c>
      <x:c r="W322" s="84" t="str"/>
    </x:row>
    <x:row r="323" ht="18" customHeight="1">
      <x:c r="A323" s="83" t="str">
        <x:v>HAYS-0322</x:v>
      </x:c>
      <x:c r="B323" s="87" t="str">
        <x:v>Evax verna</x:v>
      </x:c>
      <x:c r="C323" s="87" t="str">
        <x:v>Diaperia verna</x:v>
      </x:c>
      <x:c r="D323" s="84" t="str">
        <x:v>Asteraceae</x:v>
      </x:c>
      <x:c r="E323" s="84" t="str">
        <x:v>Diaperia</x:v>
      </x:c>
      <x:c r="F323" s="84" t="str">
        <x:v>Species</x:v>
      </x:c>
      <x:c r="G323" s="84" t="str">
        <x:v>Synonym</x:v>
      </x:c>
      <x:c r="H323" s="84" t="str">
        <x:v>Spring Pygmycudweed</x:v>
      </x:c>
      <x:c r="I323" s="84" t="str">
        <x:v>Annual</x:v>
      </x:c>
      <x:c r="J323" s="84" t="str">
        <x:v>Herb</x:v>
      </x:c>
      <x:c r="K323" s="84" t="str"/>
      <x:c r="L323" s="84" t="str"/>
      <x:c r="M323" s="89" t="n">
        <x:v>1</x:v>
      </x:c>
      <x:c r="N323" s="89" t="n">
        <x:v>1</x:v>
      </x:c>
      <x:c r="O323" s="89" t="n">
        <x:v>0</x:v>
      </x:c>
      <x:c r="P323" s="89" t="n">
        <x:f>SUM(M323:O323)</x:f>
        <x:v>2</x:v>
      </x:c>
      <x:c r="Q323" s="84" t="str">
        <x:v>Exact synonym-name match</x:v>
      </x:c>
      <x:c r="R323" s="84" t="str">
        <x:v>Evax verna</x:v>
      </x:c>
      <x:c r="S323" s="84" t="str">
        <x:v>3093734</x:v>
      </x:c>
      <x:c r="T323" s="84" t="str">
        <x:v>3093739</x:v>
      </x:c>
      <x:c r="U323" s="84" t="str">
        <x:v>102500-2</x:v>
      </x:c>
      <x:c r="V323" s="84" t="str">
        <x:v>60437968-2</x:v>
      </x:c>
      <x:c r="W323" s="84" t="str"/>
    </x:row>
    <x:row r="324" ht="18" customHeight="1">
      <x:c r="A324" s="83" t="str">
        <x:v>HAYS-0323</x:v>
      </x:c>
      <x:c r="B324" s="87" t="str">
        <x:v>Evolvulus nuttallianus</x:v>
      </x:c>
      <x:c r="C324" s="87" t="str">
        <x:v>Evolvulus nuttallianus</x:v>
      </x:c>
      <x:c r="D324" s="84" t="str">
        <x:v>Convolvulaceae</x:v>
      </x:c>
      <x:c r="E324" s="84" t="str">
        <x:v>Evolvulus</x:v>
      </x:c>
      <x:c r="F324" s="84" t="str">
        <x:v>Species</x:v>
      </x:c>
      <x:c r="G324" s="84" t="str">
        <x:v>Accepted</x:v>
      </x:c>
      <x:c r="H324" s="84" t="str">
        <x:v>Shaggy Dwarf Morning-glory, Silky Evolvulus, Shaggy Evolvulus</x:v>
      </x:c>
      <x:c r="I324" s="84" t="str">
        <x:v>Perennial</x:v>
      </x:c>
      <x:c r="J324" s="84" t="str">
        <x:v>Herb</x:v>
      </x:c>
      <x:c r="K324" s="84" t="str"/>
      <x:c r="L324" s="84" t="str"/>
      <x:c r="M324" s="89" t="n">
        <x:v>1</x:v>
      </x:c>
      <x:c r="N324" s="89" t="n">
        <x:v>1</x:v>
      </x:c>
      <x:c r="O324" s="89" t="n">
        <x:v>0</x:v>
      </x:c>
      <x:c r="P324" s="89" t="n">
        <x:f>SUM(M324:O324)</x:f>
        <x:v>2</x:v>
      </x:c>
      <x:c r="Q324" s="84" t="str">
        <x:v>Exact accepted-name match</x:v>
      </x:c>
      <x:c r="R324" s="84" t="str">
        <x:v>Evolvulus nuttallianus</x:v>
      </x:c>
      <x:c r="S324" s="84" t="str">
        <x:v>486135</x:v>
      </x:c>
      <x:c r="T324" s="84" t="str">
        <x:v>486135</x:v>
      </x:c>
      <x:c r="U324" s="84" t="str">
        <x:v>268113-1</x:v>
      </x:c>
      <x:c r="V324" s="84" t="str">
        <x:v>268113-1</x:v>
      </x:c>
      <x:c r="W324" s="84" t="str"/>
    </x:row>
    <x:row r="325" ht="18" customHeight="1">
      <x:c r="A325" s="83" t="str">
        <x:v>HAYS-0324</x:v>
      </x:c>
      <x:c r="B325" s="87" t="str">
        <x:v>Evolvulus sericeus</x:v>
      </x:c>
      <x:c r="C325" s="87" t="str">
        <x:v>Evolvulus sericeus</x:v>
      </x:c>
      <x:c r="D325" s="84" t="str">
        <x:v>Convolvulaceae</x:v>
      </x:c>
      <x:c r="E325" s="84" t="str">
        <x:v>Evolvulus</x:v>
      </x:c>
      <x:c r="F325" s="84" t="str">
        <x:v>Species</x:v>
      </x:c>
      <x:c r="G325" s="84" t="str">
        <x:v>Accepted</x:v>
      </x:c>
      <x:c r="H325" s="84" t="str">
        <x:v>Silver Dwarf Morning-glory, White Evolvulus</x:v>
      </x:c>
      <x:c r="I325" s="84" t="str">
        <x:v>Perennial</x:v>
      </x:c>
      <x:c r="J325" s="84" t="str">
        <x:v>Herb</x:v>
      </x:c>
      <x:c r="K325" s="84" t="str">
        <x:v>Sun</x:v>
      </x:c>
      <x:c r="L325" s="84" t="str">
        <x:v>Dry</x:v>
      </x:c>
      <x:c r="M325" s="89" t="n">
        <x:v>1</x:v>
      </x:c>
      <x:c r="N325" s="89" t="n">
        <x:v>1</x:v>
      </x:c>
      <x:c r="O325" s="89" t="n">
        <x:v>0</x:v>
      </x:c>
      <x:c r="P325" s="89" t="n">
        <x:f>SUM(M325:O325)</x:f>
        <x:v>2</x:v>
      </x:c>
      <x:c r="Q325" s="84" t="str">
        <x:v>Exact accepted-name match</x:v>
      </x:c>
      <x:c r="R325" s="84" t="str">
        <x:v>Evolvulus sericeus</x:v>
      </x:c>
      <x:c r="S325" s="84" t="str">
        <x:v>486182</x:v>
      </x:c>
      <x:c r="T325" s="84" t="str">
        <x:v>486182</x:v>
      </x:c>
      <x:c r="U325" s="84" t="str">
        <x:v>268156-1</x:v>
      </x:c>
      <x:c r="V325" s="84" t="str">
        <x:v>268156-1</x:v>
      </x:c>
      <x:c r="W325" s="84" t="str"/>
    </x:row>
    <x:row r="326" ht="18" customHeight="1">
      <x:c r="A326" s="83" t="str">
        <x:v>HAYS-0325</x:v>
      </x:c>
      <x:c r="B326" s="87" t="str">
        <x:v>Eysenhardtia texana</x:v>
      </x:c>
      <x:c r="C326" s="87" t="str">
        <x:v>Eysenhardtia texana</x:v>
      </x:c>
      <x:c r="D326" s="84" t="str">
        <x:v>Fabaceae</x:v>
      </x:c>
      <x:c r="E326" s="84" t="str">
        <x:v>Eysenhardtia</x:v>
      </x:c>
      <x:c r="F326" s="84" t="str">
        <x:v>Species</x:v>
      </x:c>
      <x:c r="G326" s="84" t="str">
        <x:v>Accepted</x:v>
      </x:c>
      <x:c r="H326" s="84" t="str">
        <x:v>Texas Kidneywood, Kidneywood, Bee Brush, Vara Dulce, Palo Dulce</x:v>
      </x:c>
      <x:c r="I326" s="84" t="str">
        <x:v>Perennial</x:v>
      </x:c>
      <x:c r="J326" s="84" t="str">
        <x:v>Shrub</x:v>
      </x:c>
      <x:c r="K326" s="84" t="str">
        <x:v>Sun, Part Shade</x:v>
      </x:c>
      <x:c r="L326" s="84" t="str">
        <x:v>Low</x:v>
      </x:c>
      <x:c r="M326" s="89" t="n">
        <x:v>1</x:v>
      </x:c>
      <x:c r="N326" s="89" t="n">
        <x:v>1</x:v>
      </x:c>
      <x:c r="O326" s="89" t="n">
        <x:v>1</x:v>
      </x:c>
      <x:c r="P326" s="89" t="n">
        <x:f>SUM(M326:O326)</x:f>
        <x:v>3</x:v>
      </x:c>
      <x:c r="Q326" s="84" t="str">
        <x:v>Exact accepted-name match</x:v>
      </x:c>
      <x:c r="R326" s="84" t="str">
        <x:v>Eysenhardtia texana</x:v>
      </x:c>
      <x:c r="S326" s="84" t="str">
        <x:v>2806383</x:v>
      </x:c>
      <x:c r="T326" s="84" t="str">
        <x:v>2806383</x:v>
      </x:c>
      <x:c r="U326" s="84" t="str">
        <x:v>494732-1</x:v>
      </x:c>
      <x:c r="V326" s="84" t="str">
        <x:v>494732-1</x:v>
      </x:c>
      <x:c r="W326" s="84" t="str"/>
    </x:row>
    <x:row r="327" ht="18" customHeight="1">
      <x:c r="A327" s="83" t="str">
        <x:v>HAYS-0326</x:v>
      </x:c>
      <x:c r="B327" s="87" t="str">
        <x:v>Festuca versuta</x:v>
      </x:c>
      <x:c r="C327" s="87" t="str">
        <x:v>Festuca versuta</x:v>
      </x:c>
      <x:c r="D327" s="84" t="str">
        <x:v>Poaceae</x:v>
      </x:c>
      <x:c r="E327" s="84" t="str">
        <x:v>Festuca</x:v>
      </x:c>
      <x:c r="F327" s="84" t="str">
        <x:v>Species</x:v>
      </x:c>
      <x:c r="G327" s="84" t="str">
        <x:v>Accepted</x:v>
      </x:c>
      <x:c r="H327" s="84" t="str">
        <x:v>Texas Fescue</x:v>
      </x:c>
      <x:c r="I327" s="84" t="str">
        <x:v>Perennial</x:v>
      </x:c>
      <x:c r="J327" s="84" t="str">
        <x:v>Grass/Grass-like</x:v>
      </x:c>
      <x:c r="K327" s="84" t="str"/>
      <x:c r="L327" s="84" t="str"/>
      <x:c r="M327" s="89" t="n">
        <x:v>1</x:v>
      </x:c>
      <x:c r="N327" s="89" t="n">
        <x:v>1</x:v>
      </x:c>
      <x:c r="O327" s="89" t="n">
        <x:v>0</x:v>
      </x:c>
      <x:c r="P327" s="89" t="n">
        <x:f>SUM(M327:O327)</x:f>
        <x:v>2</x:v>
      </x:c>
      <x:c r="Q327" s="84" t="str">
        <x:v>Exact accepted-name match</x:v>
      </x:c>
      <x:c r="R327" s="84" t="str">
        <x:v>Festuca versuta</x:v>
      </x:c>
      <x:c r="S327" s="84" t="str">
        <x:v>417158</x:v>
      </x:c>
      <x:c r="T327" s="84" t="str">
        <x:v>417158</x:v>
      </x:c>
      <x:c r="U327" s="84" t="str">
        <x:v>297796-2</x:v>
      </x:c>
      <x:c r="V327" s="84" t="str">
        <x:v>297796-2</x:v>
      </x:c>
      <x:c r="W327" s="84" t="str"/>
    </x:row>
    <x:row r="328" ht="18" customHeight="1">
      <x:c r="A328" s="83" t="str">
        <x:v>HAYS-0327</x:v>
      </x:c>
      <x:c r="B328" s="87" t="str">
        <x:v>Fimbristylis puberula</x:v>
      </x:c>
      <x:c r="C328" s="87" t="str">
        <x:v>Fimbristylis puberula</x:v>
      </x:c>
      <x:c r="D328" s="84" t="str">
        <x:v>Cyperaceae</x:v>
      </x:c>
      <x:c r="E328" s="84" t="str">
        <x:v>Fimbristylis</x:v>
      </x:c>
      <x:c r="F328" s="84" t="str">
        <x:v>Species</x:v>
      </x:c>
      <x:c r="G328" s="84" t="str">
        <x:v>Accepted</x:v>
      </x:c>
      <x:c r="H328" s="84" t="str">
        <x:v>Hairy Fimbry</x:v>
      </x:c>
      <x:c r="I328" s="84" t="str">
        <x:v>Perennial</x:v>
      </x:c>
      <x:c r="J328" s="84" t="str">
        <x:v>Grass/Grass-like</x:v>
      </x:c>
      <x:c r="K328" s="84" t="str"/>
      <x:c r="L328" s="84" t="str"/>
      <x:c r="M328" s="89" t="n">
        <x:v>1</x:v>
      </x:c>
      <x:c r="N328" s="89" t="n">
        <x:v>1</x:v>
      </x:c>
      <x:c r="O328" s="89" t="n">
        <x:v>0</x:v>
      </x:c>
      <x:c r="P328" s="89" t="n">
        <x:f>SUM(M328:O328)</x:f>
        <x:v>2</x:v>
      </x:c>
      <x:c r="Q328" s="84" t="str">
        <x:v>Exact accepted-name match</x:v>
      </x:c>
      <x:c r="R328" s="84" t="str">
        <x:v>Fimbristylis puberula</x:v>
      </x:c>
      <x:c r="S328" s="84" t="str">
        <x:v>245847</x:v>
      </x:c>
      <x:c r="T328" s="84" t="str">
        <x:v>245847</x:v>
      </x:c>
      <x:c r="U328" s="84" t="str">
        <x:v>308185-1</x:v>
      </x:c>
      <x:c r="V328" s="84" t="str">
        <x:v>308185-1</x:v>
      </x:c>
      <x:c r="W328" s="84" t="str"/>
    </x:row>
    <x:row r="329" ht="18" customHeight="1">
      <x:c r="A329" s="83" t="str">
        <x:v>HAYS-0328</x:v>
      </x:c>
      <x:c r="B329" s="87" t="str">
        <x:v>Fimbristylis vahlii</x:v>
      </x:c>
      <x:c r="C329" s="87" t="str">
        <x:v>Fimbristylis vahlii</x:v>
      </x:c>
      <x:c r="D329" s="84" t="str">
        <x:v>Cyperaceae</x:v>
      </x:c>
      <x:c r="E329" s="84" t="str">
        <x:v>Fimbristylis</x:v>
      </x:c>
      <x:c r="F329" s="84" t="str">
        <x:v>Species</x:v>
      </x:c>
      <x:c r="G329" s="84" t="str">
        <x:v>Accepted</x:v>
      </x:c>
      <x:c r="H329" s="84" t="str">
        <x:v>Vahl's Fimbry</x:v>
      </x:c>
      <x:c r="I329" s="84" t="str">
        <x:v>Annual</x:v>
      </x:c>
      <x:c r="J329" s="84" t="str">
        <x:v>Grass/Grass-like</x:v>
      </x:c>
      <x:c r="K329" s="84" t="str"/>
      <x:c r="L329" s="84" t="str"/>
      <x:c r="M329" s="89" t="n">
        <x:v>1</x:v>
      </x:c>
      <x:c r="N329" s="89" t="n">
        <x:v>1</x:v>
      </x:c>
      <x:c r="O329" s="89" t="n">
        <x:v>0</x:v>
      </x:c>
      <x:c r="P329" s="89" t="n">
        <x:f>SUM(M329:O329)</x:f>
        <x:v>2</x:v>
      </x:c>
      <x:c r="Q329" s="84" t="str">
        <x:v>Exact accepted-name match</x:v>
      </x:c>
      <x:c r="R329" s="84" t="str">
        <x:v>Fimbristylis vahlii</x:v>
      </x:c>
      <x:c r="S329" s="84" t="str">
        <x:v>246081</x:v>
      </x:c>
      <x:c r="T329" s="84" t="str">
        <x:v>246081</x:v>
      </x:c>
      <x:c r="U329" s="84" t="str">
        <x:v>1064734-2</x:v>
      </x:c>
      <x:c r="V329" s="84" t="str">
        <x:v>1064734-2</x:v>
      </x:c>
      <x:c r="W329" s="84" t="str"/>
    </x:row>
    <x:row r="330" ht="18" customHeight="1">
      <x:c r="A330" s="83" t="str">
        <x:v>HAYS-0329</x:v>
      </x:c>
      <x:c r="B330" s="87" t="str">
        <x:v>Fleischmannia incarnata</x:v>
      </x:c>
      <x:c r="C330" s="87" t="str">
        <x:v>Fleischmannia incarnata</x:v>
      </x:c>
      <x:c r="D330" s="84" t="str">
        <x:v>Asteraceae</x:v>
      </x:c>
      <x:c r="E330" s="84" t="str">
        <x:v>Fleischmannia</x:v>
      </x:c>
      <x:c r="F330" s="84" t="str">
        <x:v>Species</x:v>
      </x:c>
      <x:c r="G330" s="84" t="str">
        <x:v>Accepted</x:v>
      </x:c>
      <x:c r="H330" s="84" t="str">
        <x:v>Pink Thoroughwort</x:v>
      </x:c>
      <x:c r="I330" s="84" t="str">
        <x:v>Perennial</x:v>
      </x:c>
      <x:c r="J330" s="84" t="str">
        <x:v>Herb</x:v>
      </x:c>
      <x:c r="K330" s="84" t="str">
        <x:v>Sun, Part Shade</x:v>
      </x:c>
      <x:c r="L330" s="84" t="str">
        <x:v>Medium</x:v>
      </x:c>
      <x:c r="M330" s="89" t="n">
        <x:v>0</x:v>
      </x:c>
      <x:c r="N330" s="89" t="n">
        <x:v>0</x:v>
      </x:c>
      <x:c r="O330" s="89" t="n">
        <x:v>1</x:v>
      </x:c>
      <x:c r="P330" s="89" t="n">
        <x:f>SUM(M330:O330)</x:f>
        <x:v>1</x:v>
      </x:c>
      <x:c r="Q330" s="84" t="str">
        <x:v>Exact accepted-name match</x:v>
      </x:c>
      <x:c r="R330" s="84" t="str">
        <x:v>Fleischmannia incarnata</x:v>
      </x:c>
      <x:c r="S330" s="84" t="str">
        <x:v>3129043</x:v>
      </x:c>
      <x:c r="T330" s="84" t="str">
        <x:v>3129043</x:v>
      </x:c>
      <x:c r="U330" s="84" t="str">
        <x:v>105095-2</x:v>
      </x:c>
      <x:c r="V330" s="84" t="str">
        <x:v>105095-2</x:v>
      </x:c>
      <x:c r="W330" s="84" t="str"/>
    </x:row>
    <x:row r="331" ht="18" customHeight="1">
      <x:c r="A331" s="83" t="str">
        <x:v>HAYS-0330</x:v>
      </x:c>
      <x:c r="B331" s="87" t="str">
        <x:v>Forestiera pubescens</x:v>
      </x:c>
      <x:c r="C331" s="87" t="str">
        <x:v>Forestiera pubescens</x:v>
      </x:c>
      <x:c r="D331" s="84" t="str">
        <x:v>Oleaceae</x:v>
      </x:c>
      <x:c r="E331" s="84" t="str">
        <x:v>Forestiera</x:v>
      </x:c>
      <x:c r="F331" s="84" t="str">
        <x:v>Species</x:v>
      </x:c>
      <x:c r="G331" s="84" t="str">
        <x:v>Accepted</x:v>
      </x:c>
      <x:c r="H331" s="84" t="str">
        <x:v>Elbowbush, Stretchberry, Spring Herald, Desert Olive, Tanglewood, Devil's Elbow, Spring Goldenglow, New Mexico Privet, Texas Forsythia</x:v>
      </x:c>
      <x:c r="I331" s="84" t="str">
        <x:v>Perennial</x:v>
      </x:c>
      <x:c r="J331" s="84" t="str">
        <x:v>Shrub</x:v>
      </x:c>
      <x:c r="K331" s="84" t="str">
        <x:v>Sun, Part Shade</x:v>
      </x:c>
      <x:c r="L331" s="84" t="str">
        <x:v>Low–Medium</x:v>
      </x:c>
      <x:c r="M331" s="89" t="n">
        <x:v>1</x:v>
      </x:c>
      <x:c r="N331" s="89" t="n">
        <x:v>1</x:v>
      </x:c>
      <x:c r="O331" s="89" t="n">
        <x:v>1</x:v>
      </x:c>
      <x:c r="P331" s="89" t="n">
        <x:f>SUM(M331:O331)</x:f>
        <x:v>3</x:v>
      </x:c>
      <x:c r="Q331" s="84" t="str">
        <x:v>Exact accepted-name match</x:v>
      </x:c>
      <x:c r="R331" s="84" t="str">
        <x:v>Forestiera pubescens</x:v>
      </x:c>
      <x:c r="S331" s="84" t="str">
        <x:v>369382</x:v>
      </x:c>
      <x:c r="T331" s="84" t="str">
        <x:v>369382</x:v>
      </x:c>
      <x:c r="U331" s="84" t="str">
        <x:v>608873-1</x:v>
      </x:c>
      <x:c r="V331" s="84" t="str">
        <x:v>608873-1</x:v>
      </x:c>
      <x:c r="W331" s="84" t="str"/>
    </x:row>
    <x:row r="332" ht="18" customHeight="1">
      <x:c r="A332" s="83" t="str">
        <x:v>HAYS-0331</x:v>
      </x:c>
      <x:c r="B332" s="87" t="str">
        <x:v>Frangula caroliniana</x:v>
      </x:c>
      <x:c r="C332" s="87" t="str">
        <x:v>Frangula caroliniana</x:v>
      </x:c>
      <x:c r="D332" s="84" t="str">
        <x:v>Rhamnaceae</x:v>
      </x:c>
      <x:c r="E332" s="84" t="str">
        <x:v>Frangula</x:v>
      </x:c>
      <x:c r="F332" s="84" t="str">
        <x:v>Species</x:v>
      </x:c>
      <x:c r="G332" s="84" t="str">
        <x:v>Accepted</x:v>
      </x:c>
      <x:c r="H332" s="84" t="str">
        <x:v>Carolina Buckthorn, Carolina False Buckthorn, Yellow Buckthorn, Indian Cherry, Yellowwood</x:v>
      </x:c>
      <x:c r="I332" s="84" t="str">
        <x:v>Perennial</x:v>
      </x:c>
      <x:c r="J332" s="84" t="str">
        <x:v>Shrub</x:v>
      </x:c>
      <x:c r="K332" s="84" t="str">
        <x:v>Sun, Part Shade</x:v>
      </x:c>
      <x:c r="L332" s="84" t="str">
        <x:v>Medium</x:v>
      </x:c>
      <x:c r="M332" s="89" t="n">
        <x:v>1</x:v>
      </x:c>
      <x:c r="N332" s="89" t="n">
        <x:v>1</x:v>
      </x:c>
      <x:c r="O332" s="89" t="n">
        <x:v>1</x:v>
      </x:c>
      <x:c r="P332" s="89" t="n">
        <x:f>SUM(M332:O332)</x:f>
        <x:v>3</x:v>
      </x:c>
      <x:c r="Q332" s="84" t="str">
        <x:v>Exact accepted-name match</x:v>
      </x:c>
      <x:c r="R332" s="84" t="str">
        <x:v>Frangula caroliniana</x:v>
      </x:c>
      <x:c r="S332" s="84" t="str">
        <x:v>2814059</x:v>
      </x:c>
      <x:c r="T332" s="84" t="str">
        <x:v>2814059</x:v>
      </x:c>
      <x:c r="U332" s="84" t="str">
        <x:v>717360-1</x:v>
      </x:c>
      <x:c r="V332" s="84" t="str">
        <x:v>717360-1</x:v>
      </x:c>
      <x:c r="W332" s="84" t="str"/>
    </x:row>
    <x:row r="333" ht="18" customHeight="1">
      <x:c r="A333" s="83" t="str">
        <x:v>HAYS-0332</x:v>
      </x:c>
      <x:c r="B333" s="87" t="str">
        <x:v>Fraxinus albicans</x:v>
      </x:c>
      <x:c r="C333" s="87" t="str">
        <x:v>Fraxinus albicans</x:v>
      </x:c>
      <x:c r="D333" s="84" t="str">
        <x:v>Oleaceae</x:v>
      </x:c>
      <x:c r="E333" s="84" t="str">
        <x:v>Fraxinus</x:v>
      </x:c>
      <x:c r="F333" s="84" t="str">
        <x:v>Species</x:v>
      </x:c>
      <x:c r="G333" s="84" t="str">
        <x:v>Accepted</x:v>
      </x:c>
      <x:c r="H333" s="84" t="str">
        <x:v>Texas Ash, Mountain Ash</x:v>
      </x:c>
      <x:c r="I333" s="84" t="str">
        <x:v>Perennial</x:v>
      </x:c>
      <x:c r="J333" s="84" t="str">
        <x:v>Tree</x:v>
      </x:c>
      <x:c r="K333" s="84" t="str">
        <x:v>Sun</x:v>
      </x:c>
      <x:c r="L333" s="84" t="str">
        <x:v>Low–Medium</x:v>
      </x:c>
      <x:c r="M333" s="89" t="n">
        <x:v>1</x:v>
      </x:c>
      <x:c r="N333" s="89" t="n">
        <x:v>1</x:v>
      </x:c>
      <x:c r="O333" s="89" t="n">
        <x:v>1</x:v>
      </x:c>
      <x:c r="P333" s="89" t="n">
        <x:f>SUM(M333:O333)</x:f>
        <x:v>3</x:v>
      </x:c>
      <x:c r="Q333" s="84" t="str">
        <x:v>Exact accepted-name match</x:v>
      </x:c>
      <x:c r="R333" s="84" t="str">
        <x:v>Fraxinus albicans</x:v>
      </x:c>
      <x:c r="S333" s="84" t="str">
        <x:v>369466</x:v>
      </x:c>
      <x:c r="T333" s="84" t="str">
        <x:v>369466</x:v>
      </x:c>
      <x:c r="U333" s="84" t="str">
        <x:v>608909-1</x:v>
      </x:c>
      <x:c r="V333" s="84" t="str">
        <x:v>608909-1</x:v>
      </x:c>
      <x:c r="W333" s="84" t="str"/>
    </x:row>
    <x:row r="334" ht="18" customHeight="1">
      <x:c r="A334" s="83" t="str">
        <x:v>HAYS-0333</x:v>
      </x:c>
      <x:c r="B334" s="87" t="str">
        <x:v>Fraxinus pennsylvanica</x:v>
      </x:c>
      <x:c r="C334" s="87" t="str">
        <x:v>Fraxinus pennsylvanica</x:v>
      </x:c>
      <x:c r="D334" s="84" t="str">
        <x:v>Oleaceae</x:v>
      </x:c>
      <x:c r="E334" s="84" t="str">
        <x:v>Fraxinus</x:v>
      </x:c>
      <x:c r="F334" s="84" t="str">
        <x:v>Species</x:v>
      </x:c>
      <x:c r="G334" s="84" t="str">
        <x:v>Accepted</x:v>
      </x:c>
      <x:c r="H334" s="84" t="str">
        <x:v>Green Ash Tree / Water Ash</x:v>
      </x:c>
      <x:c r="I334" s="84" t="str">
        <x:v>Perennial</x:v>
      </x:c>
      <x:c r="J334" s="84" t="str">
        <x:v>Tree</x:v>
      </x:c>
      <x:c r="K334" s="84" t="str">
        <x:v>Full Sun</x:v>
      </x:c>
      <x:c r="L334" s="84" t="str">
        <x:v>Moist</x:v>
      </x:c>
      <x:c r="M334" s="89" t="n">
        <x:v>1</x:v>
      </x:c>
      <x:c r="N334" s="89" t="n">
        <x:v>1</x:v>
      </x:c>
      <x:c r="O334" s="89" t="n">
        <x:v>1</x:v>
      </x:c>
      <x:c r="P334" s="89" t="n">
        <x:f>SUM(M334:O334)</x:f>
        <x:v>3</x:v>
      </x:c>
      <x:c r="Q334" s="84" t="str">
        <x:v>Exact accepted-name match</x:v>
      </x:c>
      <x:c r="R334" s="84" t="str">
        <x:v>Fraxinus pennsylvanica</x:v>
      </x:c>
      <x:c r="S334" s="84" t="str">
        <x:v>370006</x:v>
      </x:c>
      <x:c r="T334" s="84" t="str">
        <x:v>370006</x:v>
      </x:c>
      <x:c r="U334" s="84" t="str">
        <x:v>105864-2</x:v>
      </x:c>
      <x:c r="V334" s="84" t="str">
        <x:v>105864-2</x:v>
      </x:c>
      <x:c r="W334" s="84" t="str"/>
    </x:row>
    <x:row r="335" ht="18" customHeight="1">
      <x:c r="A335" s="83" t="str">
        <x:v>HAYS-0334</x:v>
      </x:c>
      <x:c r="B335" s="87" t="str">
        <x:v>Froelichia gracilis</x:v>
      </x:c>
      <x:c r="C335" s="87" t="str">
        <x:v>Froelichia gracilis</x:v>
      </x:c>
      <x:c r="D335" s="84" t="str">
        <x:v>Amaranthaceae</x:v>
      </x:c>
      <x:c r="E335" s="84" t="str">
        <x:v>Froelichia</x:v>
      </x:c>
      <x:c r="F335" s="84" t="str">
        <x:v>Species</x:v>
      </x:c>
      <x:c r="G335" s="84" t="str">
        <x:v>Accepted</x:v>
      </x:c>
      <x:c r="H335" s="84" t="str">
        <x:v>Slender Snakecotton, Snake-cotton</x:v>
      </x:c>
      <x:c r="I335" s="84" t="str">
        <x:v>Annual</x:v>
      </x:c>
      <x:c r="J335" s="84" t="str">
        <x:v>Herb</x:v>
      </x:c>
      <x:c r="K335" s="84" t="str"/>
      <x:c r="L335" s="84" t="str"/>
      <x:c r="M335" s="89" t="n">
        <x:v>1</x:v>
      </x:c>
      <x:c r="N335" s="89" t="n">
        <x:v>1</x:v>
      </x:c>
      <x:c r="O335" s="89" t="n">
        <x:v>0</x:v>
      </x:c>
      <x:c r="P335" s="89" t="n">
        <x:f>SUM(M335:O335)</x:f>
        <x:v>2</x:v>
      </x:c>
      <x:c r="Q335" s="84" t="str">
        <x:v>Exact accepted-name match</x:v>
      </x:c>
      <x:c r="R335" s="84" t="str">
        <x:v>Froelichia gracilis</x:v>
      </x:c>
      <x:c r="S335" s="84" t="str">
        <x:v>2814740</x:v>
      </x:c>
      <x:c r="T335" s="84" t="str">
        <x:v>2814740</x:v>
      </x:c>
      <x:c r="U335" s="84" t="str">
        <x:v>1034070-2</x:v>
      </x:c>
      <x:c r="V335" s="84" t="str">
        <x:v>1034070-2</x:v>
      </x:c>
      <x:c r="W335" s="84" t="str"/>
    </x:row>
    <x:row r="336" ht="18" customHeight="1">
      <x:c r="A336" s="83" t="str">
        <x:v>HAYS-0335</x:v>
      </x:c>
      <x:c r="B336" s="87" t="str">
        <x:v>Fuirena simplex</x:v>
      </x:c>
      <x:c r="C336" s="87" t="str">
        <x:v>Fuirena simplex</x:v>
      </x:c>
      <x:c r="D336" s="84" t="str">
        <x:v>Cyperaceae</x:v>
      </x:c>
      <x:c r="E336" s="84" t="str">
        <x:v>Fuirena</x:v>
      </x:c>
      <x:c r="F336" s="84" t="str">
        <x:v>Species</x:v>
      </x:c>
      <x:c r="G336" s="84" t="str">
        <x:v>Accepted</x:v>
      </x:c>
      <x:c r="H336" s="84" t="str">
        <x:v>Western Umbrella-sedge, Umbrellagrass, Western Umbrella Sedge</x:v>
      </x:c>
      <x:c r="I336" s="84" t="str">
        <x:v>Perennial</x:v>
      </x:c>
      <x:c r="J336" s="84" t="str">
        <x:v>Grass/Grass-like</x:v>
      </x:c>
      <x:c r="K336" s="84" t="str"/>
      <x:c r="L336" s="84" t="str"/>
      <x:c r="M336" s="89" t="n">
        <x:v>1</x:v>
      </x:c>
      <x:c r="N336" s="89" t="n">
        <x:v>1</x:v>
      </x:c>
      <x:c r="O336" s="89" t="n">
        <x:v>0</x:v>
      </x:c>
      <x:c r="P336" s="89" t="n">
        <x:f>SUM(M336:O336)</x:f>
        <x:v>2</x:v>
      </x:c>
      <x:c r="Q336" s="84" t="str">
        <x:v>Exact accepted-name match</x:v>
      </x:c>
      <x:c r="R336" s="84" t="str">
        <x:v>Fuirena simplex</x:v>
      </x:c>
      <x:c r="S336" s="84" t="str">
        <x:v>246400</x:v>
      </x:c>
      <x:c r="T336" s="84" t="str">
        <x:v>246400</x:v>
      </x:c>
      <x:c r="U336" s="84" t="str">
        <x:v>308541-1</x:v>
      </x:c>
      <x:c r="V336" s="84" t="str">
        <x:v>308541-1</x:v>
      </x:c>
      <x:c r="W336" s="84" t="str"/>
    </x:row>
    <x:row r="337" ht="18" customHeight="1">
      <x:c r="A337" s="83" t="str">
        <x:v>HAYS-0336</x:v>
      </x:c>
      <x:c r="B337" s="87" t="str">
        <x:v>Funastrum cynanchoides</x:v>
      </x:c>
      <x:c r="C337" s="87" t="str">
        <x:v>Funastrum cynanchoides</x:v>
      </x:c>
      <x:c r="D337" s="84" t="str">
        <x:v>Apocynaceae</x:v>
      </x:c>
      <x:c r="E337" s="84" t="str">
        <x:v>Funastrum</x:v>
      </x:c>
      <x:c r="F337" s="84" t="str">
        <x:v>Species</x:v>
      </x:c>
      <x:c r="G337" s="84" t="str">
        <x:v>Accepted</x:v>
      </x:c>
      <x:c r="H337" s="84" t="str">
        <x:v>Fringed Twinevine, Climbing Milkweed Vine, Twine-vine</x:v>
      </x:c>
      <x:c r="I337" s="84" t="str">
        <x:v>Perennial</x:v>
      </x:c>
      <x:c r="J337" s="84" t="str">
        <x:v>Vine</x:v>
      </x:c>
      <x:c r="K337" s="84" t="str">
        <x:v>Sun, Part Shade</x:v>
      </x:c>
      <x:c r="L337" s="84" t="str">
        <x:v>Low</x:v>
      </x:c>
      <x:c r="M337" s="89" t="n">
        <x:v>1</x:v>
      </x:c>
      <x:c r="N337" s="89" t="n">
        <x:v>1</x:v>
      </x:c>
      <x:c r="O337" s="89" t="n">
        <x:v>1</x:v>
      </x:c>
      <x:c r="P337" s="89" t="n">
        <x:f>SUM(M337:O337)</x:f>
        <x:v>3</x:v>
      </x:c>
      <x:c r="Q337" s="84" t="str">
        <x:v>Exact accepted-name match</x:v>
      </x:c>
      <x:c r="R337" s="84" t="str">
        <x:v>Funastrum cynanchoides</x:v>
      </x:c>
      <x:c r="S337" s="84" t="str">
        <x:v>505246</x:v>
      </x:c>
      <x:c r="T337" s="84" t="str">
        <x:v>505246</x:v>
      </x:c>
      <x:c r="U337" s="84" t="str">
        <x:v>106371-2</x:v>
      </x:c>
      <x:c r="V337" s="84" t="str">
        <x:v>106371-2</x:v>
      </x:c>
      <x:c r="W337" s="84" t="str"/>
    </x:row>
    <x:row r="338" ht="18" customHeight="1">
      <x:c r="A338" s="83" t="str">
        <x:v>HAYS-0337</x:v>
      </x:c>
      <x:c r="B338" s="87" t="str">
        <x:v>Gaillardia aestivalis</x:v>
      </x:c>
      <x:c r="C338" s="87" t="str">
        <x:v>Gaillardia aestivalis</x:v>
      </x:c>
      <x:c r="D338" s="84" t="str">
        <x:v>Asteraceae</x:v>
      </x:c>
      <x:c r="E338" s="84" t="str">
        <x:v>Gaillardia</x:v>
      </x:c>
      <x:c r="F338" s="84" t="str">
        <x:v>Species</x:v>
      </x:c>
      <x:c r="G338" s="84" t="str">
        <x:v>Accepted</x:v>
      </x:c>
      <x:c r="H338" s="84" t="str">
        <x:v>Lanceleaf blanketflower</x:v>
      </x:c>
      <x:c r="I338" s="84" t="str">
        <x:v>Perennial</x:v>
      </x:c>
      <x:c r="J338" s="84" t="str">
        <x:v>Herb</x:v>
      </x:c>
      <x:c r="K338" s="84" t="str">
        <x:v>Sun</x:v>
      </x:c>
      <x:c r="L338" s="84" t="str">
        <x:v>Low</x:v>
      </x:c>
      <x:c r="M338" s="89" t="n">
        <x:v>0</x:v>
      </x:c>
      <x:c r="N338" s="89" t="n">
        <x:v>0</x:v>
      </x:c>
      <x:c r="O338" s="89" t="n">
        <x:v>1</x:v>
      </x:c>
      <x:c r="P338" s="89" t="n">
        <x:f>SUM(M338:O338)</x:f>
        <x:v>1</x:v>
      </x:c>
      <x:c r="Q338" s="84" t="str">
        <x:v>Exact accepted-name match</x:v>
      </x:c>
      <x:c r="R338" s="84" t="str">
        <x:v>Gaillardia aestivalis</x:v>
      </x:c>
      <x:c r="S338" s="84" t="str">
        <x:v>3115648</x:v>
      </x:c>
      <x:c r="T338" s="84" t="str">
        <x:v>3115648</x:v>
      </x:c>
      <x:c r="U338" s="84" t="str">
        <x:v>106481-2</x:v>
      </x:c>
      <x:c r="V338" s="84" t="str">
        <x:v>106481-2</x:v>
      </x:c>
      <x:c r="W338" s="84" t="str"/>
    </x:row>
    <x:row r="339" ht="18" customHeight="1">
      <x:c r="A339" s="83" t="str">
        <x:v>HAYS-0338</x:v>
      </x:c>
      <x:c r="B339" s="87" t="str">
        <x:v>Gaillardia amblyodon</x:v>
      </x:c>
      <x:c r="C339" s="87" t="str">
        <x:v>Gaillardia amblyodon</x:v>
      </x:c>
      <x:c r="D339" s="84" t="str">
        <x:v>Asteraceae</x:v>
      </x:c>
      <x:c r="E339" s="84" t="str">
        <x:v>Gaillardia</x:v>
      </x:c>
      <x:c r="F339" s="84" t="str">
        <x:v>Species</x:v>
      </x:c>
      <x:c r="G339" s="84" t="str">
        <x:v>Accepted</x:v>
      </x:c>
      <x:c r="H339" s="84" t="str">
        <x:v>Maroon Blanket Flower</x:v>
      </x:c>
      <x:c r="I339" s="84" t="str">
        <x:v>Annual</x:v>
      </x:c>
      <x:c r="J339" s="84" t="str">
        <x:v>Herb</x:v>
      </x:c>
      <x:c r="K339" s="84" t="str">
        <x:v>Full Sun</x:v>
      </x:c>
      <x:c r="L339" s="84" t="str">
        <x:v>Dry to Moist</x:v>
      </x:c>
      <x:c r="M339" s="89" t="n">
        <x:v>0</x:v>
      </x:c>
      <x:c r="N339" s="89" t="n">
        <x:v>0</x:v>
      </x:c>
      <x:c r="O339" s="89" t="n">
        <x:v>1</x:v>
      </x:c>
      <x:c r="P339" s="89" t="n">
        <x:f>SUM(M339:O339)</x:f>
        <x:v>1</x:v>
      </x:c>
      <x:c r="Q339" s="84" t="str">
        <x:v>Exact accepted-name match</x:v>
      </x:c>
      <x:c r="R339" s="84" t="str">
        <x:v>Gaillardia amblyodon</x:v>
      </x:c>
      <x:c r="S339" s="84" t="str">
        <x:v>3115650</x:v>
      </x:c>
      <x:c r="T339" s="84" t="str">
        <x:v>3115650</x:v>
      </x:c>
      <x:c r="U339" s="84" t="str">
        <x:v>208338-1</x:v>
      </x:c>
      <x:c r="V339" s="84" t="str">
        <x:v>208338-1</x:v>
      </x:c>
      <x:c r="W339" s="84" t="str"/>
    </x:row>
    <x:row r="340" ht="18" customHeight="1">
      <x:c r="A340" s="83" t="str">
        <x:v>HAYS-0339</x:v>
      </x:c>
      <x:c r="B340" s="87" t="str">
        <x:v>Gaillardia pulchella</x:v>
      </x:c>
      <x:c r="C340" s="87" t="str">
        <x:v>Gaillardia pulchella</x:v>
      </x:c>
      <x:c r="D340" s="84" t="str">
        <x:v>Asteraceae</x:v>
      </x:c>
      <x:c r="E340" s="84" t="str">
        <x:v>Gaillardia</x:v>
      </x:c>
      <x:c r="F340" s="84" t="str">
        <x:v>Species</x:v>
      </x:c>
      <x:c r="G340" s="84" t="str">
        <x:v>Accepted</x:v>
      </x:c>
      <x:c r="H340" s="84" t="str">
        <x:v>Indian Blanket, Firewheel, Girasol Rojo</x:v>
      </x:c>
      <x:c r="I340" s="84" t="str">
        <x:v>Annual</x:v>
      </x:c>
      <x:c r="J340" s="84" t="str">
        <x:v>Herb</x:v>
      </x:c>
      <x:c r="K340" s="84" t="str">
        <x:v>Sun</x:v>
      </x:c>
      <x:c r="L340" s="84" t="str">
        <x:v>Low–Medium</x:v>
      </x:c>
      <x:c r="M340" s="89" t="n">
        <x:v>1</x:v>
      </x:c>
      <x:c r="N340" s="89" t="n">
        <x:v>1</x:v>
      </x:c>
      <x:c r="O340" s="89" t="n">
        <x:v>1</x:v>
      </x:c>
      <x:c r="P340" s="89" t="n">
        <x:f>SUM(M340:O340)</x:f>
        <x:v>3</x:v>
      </x:c>
      <x:c r="Q340" s="84" t="str">
        <x:v>Exact accepted-name match</x:v>
      </x:c>
      <x:c r="R340" s="84" t="str">
        <x:v>Gaillardia pulchella</x:v>
      </x:c>
      <x:c r="S340" s="84" t="str">
        <x:v>3115709</x:v>
      </x:c>
      <x:c r="T340" s="84" t="str">
        <x:v>3115709</x:v>
      </x:c>
      <x:c r="U340" s="84" t="str">
        <x:v>329185-2</x:v>
      </x:c>
      <x:c r="V340" s="84" t="str">
        <x:v>329185-2</x:v>
      </x:c>
      <x:c r="W340" s="84" t="str"/>
    </x:row>
    <x:row r="341" ht="18" customHeight="1">
      <x:c r="A341" s="83" t="str">
        <x:v>HAYS-0340</x:v>
      </x:c>
      <x:c r="B341" s="87" t="str">
        <x:v>Gaillardia suavis</x:v>
      </x:c>
      <x:c r="C341" s="87" t="str">
        <x:v>Gaillardia suavis</x:v>
      </x:c>
      <x:c r="D341" s="84" t="str">
        <x:v>Asteraceae</x:v>
      </x:c>
      <x:c r="E341" s="84" t="str">
        <x:v>Gaillardia</x:v>
      </x:c>
      <x:c r="F341" s="84" t="str">
        <x:v>Species</x:v>
      </x:c>
      <x:c r="G341" s="84" t="str">
        <x:v>Accepted</x:v>
      </x:c>
      <x:c r="H341" s="84" t="str">
        <x:v>Pincushion Daisy, Fragrant Gaillardia, Rayless Gaillardia, Perfumeballs</x:v>
      </x:c>
      <x:c r="I341" s="84" t="str">
        <x:v>Perennial</x:v>
      </x:c>
      <x:c r="J341" s="84" t="str">
        <x:v>Herb</x:v>
      </x:c>
      <x:c r="K341" s="84" t="str">
        <x:v>Sun</x:v>
      </x:c>
      <x:c r="L341" s="84" t="str">
        <x:v>Low</x:v>
      </x:c>
      <x:c r="M341" s="89" t="n">
        <x:v>1</x:v>
      </x:c>
      <x:c r="N341" s="89" t="n">
        <x:v>1</x:v>
      </x:c>
      <x:c r="O341" s="89" t="n">
        <x:v>1</x:v>
      </x:c>
      <x:c r="P341" s="89" t="n">
        <x:f>SUM(M341:O341)</x:f>
        <x:v>3</x:v>
      </x:c>
      <x:c r="Q341" s="84" t="str">
        <x:v>Exact accepted-name match</x:v>
      </x:c>
      <x:c r="R341" s="84" t="str">
        <x:v>Gaillardia suavis</x:v>
      </x:c>
      <x:c r="S341" s="84" t="str">
        <x:v>3115715</x:v>
      </x:c>
      <x:c r="T341" s="84" t="str">
        <x:v>3115715</x:v>
      </x:c>
      <x:c r="U341" s="84" t="str">
        <x:v>106534-2</x:v>
      </x:c>
      <x:c r="V341" s="84" t="str">
        <x:v>106534-2</x:v>
      </x:c>
      <x:c r="W341" s="84" t="str"/>
    </x:row>
    <x:row r="342" ht="18" customHeight="1">
      <x:c r="A342" s="83" t="str">
        <x:v>HAYS-0341</x:v>
      </x:c>
      <x:c r="B342" s="87" t="str">
        <x:v>Galactia canescens</x:v>
      </x:c>
      <x:c r="C342" s="87" t="str">
        <x:v>Galactia canescens</x:v>
      </x:c>
      <x:c r="D342" s="84" t="str">
        <x:v>Fabaceae</x:v>
      </x:c>
      <x:c r="E342" s="84" t="str">
        <x:v>Galactia</x:v>
      </x:c>
      <x:c r="F342" s="84" t="str">
        <x:v>Species</x:v>
      </x:c>
      <x:c r="G342" s="84" t="str">
        <x:v>Accepted</x:v>
      </x:c>
      <x:c r="H342" s="84" t="str">
        <x:v>Hoary Milkpea</x:v>
      </x:c>
      <x:c r="I342" s="84" t="str">
        <x:v>Perennial</x:v>
      </x:c>
      <x:c r="J342" s="84" t="str">
        <x:v>Herb</x:v>
      </x:c>
      <x:c r="K342" s="84" t="str"/>
      <x:c r="L342" s="84" t="str"/>
      <x:c r="M342" s="89" t="n">
        <x:v>1</x:v>
      </x:c>
      <x:c r="N342" s="89" t="n">
        <x:v>1</x:v>
      </x:c>
      <x:c r="O342" s="89" t="n">
        <x:v>0</x:v>
      </x:c>
      <x:c r="P342" s="89" t="n">
        <x:f>SUM(M342:O342)</x:f>
        <x:v>2</x:v>
      </x:c>
      <x:c r="Q342" s="84" t="str">
        <x:v>Exact accepted-name match</x:v>
      </x:c>
      <x:c r="R342" s="84" t="str">
        <x:v>Galactia canescens</x:v>
      </x:c>
      <x:c r="S342" s="84" t="str">
        <x:v>2815840</x:v>
      </x:c>
      <x:c r="T342" s="84" t="str">
        <x:v>2815840</x:v>
      </x:c>
      <x:c r="U342" s="84" t="str">
        <x:v>495381-1</x:v>
      </x:c>
      <x:c r="V342" s="84" t="str">
        <x:v>495381-1</x:v>
      </x:c>
      <x:c r="W342" s="84" t="str"/>
    </x:row>
    <x:row r="343" ht="18" customHeight="1">
      <x:c r="A343" s="83" t="str">
        <x:v>HAYS-0342</x:v>
      </x:c>
      <x:c r="B343" s="87" t="str">
        <x:v>Galactia texana</x:v>
      </x:c>
      <x:c r="C343" s="87" t="str">
        <x:v>Galactia texana</x:v>
      </x:c>
      <x:c r="D343" s="84" t="str">
        <x:v>Fabaceae</x:v>
      </x:c>
      <x:c r="E343" s="84" t="str">
        <x:v>Galactia</x:v>
      </x:c>
      <x:c r="F343" s="84" t="str">
        <x:v>Species</x:v>
      </x:c>
      <x:c r="G343" s="84" t="str">
        <x:v>Accepted</x:v>
      </x:c>
      <x:c r="H343" s="84" t="str">
        <x:v>Texas Milkpea</x:v>
      </x:c>
      <x:c r="I343" s="84" t="str">
        <x:v>Perennial</x:v>
      </x:c>
      <x:c r="J343" s="84" t="str">
        <x:v>Vine</x:v>
      </x:c>
      <x:c r="K343" s="84" t="str"/>
      <x:c r="L343" s="84" t="str"/>
      <x:c r="M343" s="89" t="n">
        <x:v>1</x:v>
      </x:c>
      <x:c r="N343" s="89" t="n">
        <x:v>1</x:v>
      </x:c>
      <x:c r="O343" s="89" t="n">
        <x:v>0</x:v>
      </x:c>
      <x:c r="P343" s="89" t="n">
        <x:f>SUM(M343:O343)</x:f>
        <x:v>2</x:v>
      </x:c>
      <x:c r="Q343" s="84" t="str">
        <x:v>Exact accepted-name match</x:v>
      </x:c>
      <x:c r="R343" s="84" t="str">
        <x:v>Galactia texana</x:v>
      </x:c>
      <x:c r="S343" s="84" t="str">
        <x:v>2816114</x:v>
      </x:c>
      <x:c r="T343" s="84" t="str">
        <x:v>2816114</x:v>
      </x:c>
      <x:c r="U343" s="84" t="str">
        <x:v>495556-1</x:v>
      </x:c>
      <x:c r="V343" s="84" t="str">
        <x:v>495556-1</x:v>
      </x:c>
      <x:c r="W343" s="84" t="str"/>
    </x:row>
    <x:row r="344" ht="18" customHeight="1">
      <x:c r="A344" s="83" t="str">
        <x:v>HAYS-0343</x:v>
      </x:c>
      <x:c r="B344" s="87" t="str">
        <x:v>Galium aparine</x:v>
      </x:c>
      <x:c r="C344" s="87" t="str">
        <x:v>Galium aparine</x:v>
      </x:c>
      <x:c r="D344" s="84" t="str">
        <x:v>Rubiaceae</x:v>
      </x:c>
      <x:c r="E344" s="84" t="str">
        <x:v>Galium</x:v>
      </x:c>
      <x:c r="F344" s="84" t="str">
        <x:v>Species</x:v>
      </x:c>
      <x:c r="G344" s="84" t="str">
        <x:v>Accepted</x:v>
      </x:c>
      <x:c r="H344" s="84" t="str">
        <x:v>Stickywilly, Catchweed Bedstraw, Cleavers, Common Bedstraw, Sticky Weed, Goose Grass</x:v>
      </x:c>
      <x:c r="I344" s="84" t="str">
        <x:v>Annual</x:v>
      </x:c>
      <x:c r="J344" s="84" t="str">
        <x:v>Herb, Vine</x:v>
      </x:c>
      <x:c r="K344" s="84" t="str">
        <x:v>Shade</x:v>
      </x:c>
      <x:c r="L344" s="84" t="str"/>
      <x:c r="M344" s="89" t="n">
        <x:v>1</x:v>
      </x:c>
      <x:c r="N344" s="89" t="n">
        <x:v>1</x:v>
      </x:c>
      <x:c r="O344" s="89" t="n">
        <x:v>0</x:v>
      </x:c>
      <x:c r="P344" s="89" t="n">
        <x:f>SUM(M344:O344)</x:f>
        <x:v>2</x:v>
      </x:c>
      <x:c r="Q344" s="84" t="str">
        <x:v>Exact accepted-name match</x:v>
      </x:c>
      <x:c r="R344" s="84" t="str">
        <x:v>Galium aparine</x:v>
      </x:c>
      <x:c r="S344" s="84" t="str">
        <x:v>85676</x:v>
      </x:c>
      <x:c r="T344" s="84" t="str">
        <x:v>85676</x:v>
      </x:c>
      <x:c r="U344" s="84" t="str">
        <x:v>30007294-2</x:v>
      </x:c>
      <x:c r="V344" s="84" t="str">
        <x:v>30007294-2</x:v>
      </x:c>
      <x:c r="W344" s="84" t="str"/>
    </x:row>
    <x:row r="345" ht="18" customHeight="1">
      <x:c r="A345" s="83" t="str">
        <x:v>HAYS-0344</x:v>
      </x:c>
      <x:c r="B345" s="87" t="str">
        <x:v>Galium texense</x:v>
      </x:c>
      <x:c r="C345" s="87" t="str">
        <x:v>Galium texense</x:v>
      </x:c>
      <x:c r="D345" s="84" t="str">
        <x:v>Rubiaceae</x:v>
      </x:c>
      <x:c r="E345" s="84" t="str">
        <x:v>Galium</x:v>
      </x:c>
      <x:c r="F345" s="84" t="str">
        <x:v>Species</x:v>
      </x:c>
      <x:c r="G345" s="84" t="str">
        <x:v>Accepted</x:v>
      </x:c>
      <x:c r="H345" s="84" t="str">
        <x:v>Texas Bedstraw</x:v>
      </x:c>
      <x:c r="I345" s="84" t="str">
        <x:v>Annual</x:v>
      </x:c>
      <x:c r="J345" s="84" t="str">
        <x:v>Herb</x:v>
      </x:c>
      <x:c r="K345" s="84" t="str"/>
      <x:c r="L345" s="84" t="str"/>
      <x:c r="M345" s="89" t="n">
        <x:v>1</x:v>
      </x:c>
      <x:c r="N345" s="89" t="n">
        <x:v>1</x:v>
      </x:c>
      <x:c r="O345" s="89" t="n">
        <x:v>0</x:v>
      </x:c>
      <x:c r="P345" s="89" t="n">
        <x:f>SUM(M345:O345)</x:f>
        <x:v>2</x:v>
      </x:c>
      <x:c r="Q345" s="84" t="str">
        <x:v>Exact accepted-name match</x:v>
      </x:c>
      <x:c r="R345" s="84" t="str">
        <x:v>Galium texense</x:v>
      </x:c>
      <x:c r="S345" s="84" t="str">
        <x:v>87684</x:v>
      </x:c>
      <x:c r="T345" s="84" t="str">
        <x:v>87684</x:v>
      </x:c>
      <x:c r="U345" s="84" t="str">
        <x:v>750734-1</x:v>
      </x:c>
      <x:c r="V345" s="84" t="str">
        <x:v>750734-1</x:v>
      </x:c>
      <x:c r="W345" s="84" t="str"/>
    </x:row>
    <x:row r="346" ht="18" customHeight="1">
      <x:c r="A346" s="83" t="str">
        <x:v>HAYS-0345</x:v>
      </x:c>
      <x:c r="B346" s="87" t="str">
        <x:v>Galium virgatum</x:v>
      </x:c>
      <x:c r="C346" s="87" t="str">
        <x:v>Galium virgatum</x:v>
      </x:c>
      <x:c r="D346" s="84" t="str">
        <x:v>Rubiaceae</x:v>
      </x:c>
      <x:c r="E346" s="84" t="str">
        <x:v>Galium</x:v>
      </x:c>
      <x:c r="F346" s="84" t="str">
        <x:v>Species</x:v>
      </x:c>
      <x:c r="G346" s="84" t="str">
        <x:v>Accepted</x:v>
      </x:c>
      <x:c r="H346" s="84" t="str">
        <x:v>Southwestern Bedstraw, Southwest Bedstraw</x:v>
      </x:c>
      <x:c r="I346" s="84" t="str">
        <x:v>Annual</x:v>
      </x:c>
      <x:c r="J346" s="84" t="str">
        <x:v>Herb</x:v>
      </x:c>
      <x:c r="K346" s="84" t="str"/>
      <x:c r="L346" s="84" t="str"/>
      <x:c r="M346" s="89" t="n">
        <x:v>1</x:v>
      </x:c>
      <x:c r="N346" s="89" t="n">
        <x:v>1</x:v>
      </x:c>
      <x:c r="O346" s="89" t="n">
        <x:v>0</x:v>
      </x:c>
      <x:c r="P346" s="89" t="n">
        <x:f>SUM(M346:O346)</x:f>
        <x:v>2</x:v>
      </x:c>
      <x:c r="Q346" s="84" t="str">
        <x:v>Exact accepted-name match</x:v>
      </x:c>
      <x:c r="R346" s="84" t="str">
        <x:v>Galium virgatum</x:v>
      </x:c>
      <x:c r="S346" s="84" t="str">
        <x:v>87912</x:v>
      </x:c>
      <x:c r="T346" s="84" t="str">
        <x:v>87912</x:v>
      </x:c>
      <x:c r="U346" s="84" t="str">
        <x:v>750836-1</x:v>
      </x:c>
      <x:c r="V346" s="84" t="str">
        <x:v>750836-1</x:v>
      </x:c>
      <x:c r="W346" s="84" t="str"/>
    </x:row>
    <x:row r="347" ht="18" customHeight="1">
      <x:c r="A347" s="83" t="str">
        <x:v>HAYS-0346</x:v>
      </x:c>
      <x:c r="B347" s="87" t="str">
        <x:v>Galphimia angustifolia</x:v>
      </x:c>
      <x:c r="C347" s="87" t="str">
        <x:v>Galphimia angustifolia</x:v>
      </x:c>
      <x:c r="D347" s="84" t="str">
        <x:v>Malpighiaceae</x:v>
      </x:c>
      <x:c r="E347" s="84" t="str">
        <x:v>Galphimia</x:v>
      </x:c>
      <x:c r="F347" s="84" t="str">
        <x:v>Species</x:v>
      </x:c>
      <x:c r="G347" s="84" t="str">
        <x:v>Accepted</x:v>
      </x:c>
      <x:c r="H347" s="84" t="str">
        <x:v>Narrowleaf Goldshower, Thryallis, Narrow-leaf Goldshower</x:v>
      </x:c>
      <x:c r="I347" s="84" t="str">
        <x:v>Perennial</x:v>
      </x:c>
      <x:c r="J347" s="84" t="str">
        <x:v>Shrub</x:v>
      </x:c>
      <x:c r="K347" s="84" t="str">
        <x:v>Part-shade</x:v>
      </x:c>
      <x:c r="L347" s="84" t="str">
        <x:v>Moist, Dry</x:v>
      </x:c>
      <x:c r="M347" s="89" t="n">
        <x:v>1</x:v>
      </x:c>
      <x:c r="N347" s="89" t="n">
        <x:v>1</x:v>
      </x:c>
      <x:c r="O347" s="89" t="n">
        <x:v>0</x:v>
      </x:c>
      <x:c r="P347" s="89" t="n">
        <x:f>SUM(M347:O347)</x:f>
        <x:v>2</x:v>
      </x:c>
      <x:c r="Q347" s="84" t="str">
        <x:v>Exact accepted-name match</x:v>
      </x:c>
      <x:c r="R347" s="84" t="str">
        <x:v>Galphimia angustifolia</x:v>
      </x:c>
      <x:c r="S347" s="84" t="str">
        <x:v>2816487</x:v>
      </x:c>
      <x:c r="T347" s="84" t="str">
        <x:v>2816487</x:v>
      </x:c>
      <x:c r="U347" s="84" t="str">
        <x:v>556338-1</x:v>
      </x:c>
      <x:c r="V347" s="84" t="str">
        <x:v>556338-1</x:v>
      </x:c>
      <x:c r="W347" s="84" t="str"/>
    </x:row>
    <x:row r="348" ht="18" customHeight="1">
      <x:c r="A348" s="83" t="str">
        <x:v>HAYS-0347</x:v>
      </x:c>
      <x:c r="B348" s="87" t="str">
        <x:v>Gamochaeta purpurea</x:v>
      </x:c>
      <x:c r="C348" s="87" t="str">
        <x:v>Gamochaeta purpurea</x:v>
      </x:c>
      <x:c r="D348" s="84" t="str">
        <x:v>Asteraceae</x:v>
      </x:c>
      <x:c r="E348" s="84" t="str">
        <x:v>Gamochaeta</x:v>
      </x:c>
      <x:c r="F348" s="84" t="str">
        <x:v>Species</x:v>
      </x:c>
      <x:c r="G348" s="84" t="str">
        <x:v>Accepted</x:v>
      </x:c>
      <x:c r="H348" s="84" t="str">
        <x:v>Spoonleaf Purple Everlasting , Early Cudweed</x:v>
      </x:c>
      <x:c r="I348" s="84" t="str">
        <x:v>Annual, Biennial</x:v>
      </x:c>
      <x:c r="J348" s="84" t="str">
        <x:v>Herb</x:v>
      </x:c>
      <x:c r="K348" s="84" t="str"/>
      <x:c r="L348" s="84" t="str"/>
      <x:c r="M348" s="89" t="n">
        <x:v>1</x:v>
      </x:c>
      <x:c r="N348" s="89" t="n">
        <x:v>1</x:v>
      </x:c>
      <x:c r="O348" s="89" t="n">
        <x:v>0</x:v>
      </x:c>
      <x:c r="P348" s="89" t="n">
        <x:f>SUM(M348:O348)</x:f>
        <x:v>2</x:v>
      </x:c>
      <x:c r="Q348" s="84" t="str">
        <x:v>Exact accepted-name match</x:v>
      </x:c>
      <x:c r="R348" s="84" t="str">
        <x:v>Gamochaeta purpurea</x:v>
      </x:c>
      <x:c r="S348" s="84" t="str">
        <x:v>3093031</x:v>
      </x:c>
      <x:c r="T348" s="84" t="str">
        <x:v>3093031</x:v>
      </x:c>
      <x:c r="U348" s="84" t="str">
        <x:v>107379-2</x:v>
      </x:c>
      <x:c r="V348" s="84" t="str">
        <x:v>107379-2</x:v>
      </x:c>
      <x:c r="W348" s="84" t="str"/>
    </x:row>
    <x:row r="349" ht="18" customHeight="1">
      <x:c r="A349" s="83" t="str">
        <x:v>HAYS-0348</x:v>
      </x:c>
      <x:c r="B349" s="87" t="str">
        <x:v>Garrya ovata ssp. lindheimeri</x:v>
      </x:c>
      <x:c r="C349" s="87" t="str">
        <x:v>Garrya lindheimeri</x:v>
      </x:c>
      <x:c r="D349" s="84" t="str">
        <x:v>Garryaceae</x:v>
      </x:c>
      <x:c r="E349" s="84" t="str">
        <x:v>Garrya</x:v>
      </x:c>
      <x:c r="F349" s="84" t="str">
        <x:v>Subspecies</x:v>
      </x:c>
      <x:c r="G349" s="84" t="str">
        <x:v>Synonym</x:v>
      </x:c>
      <x:c r="H349" s="84" t="str">
        <x:v>Mexican Silktassel, Lindheimer's Silktassel</x:v>
      </x:c>
      <x:c r="I349" s="84" t="str">
        <x:v>Perennial</x:v>
      </x:c>
      <x:c r="J349" s="84" t="str">
        <x:v>Shrub</x:v>
      </x:c>
      <x:c r="K349" s="84" t="str">
        <x:v>Sun, Part Shade</x:v>
      </x:c>
      <x:c r="L349" s="84" t="str">
        <x:v>Low–Medium</x:v>
      </x:c>
      <x:c r="M349" s="89" t="n">
        <x:v>1</x:v>
      </x:c>
      <x:c r="N349" s="89" t="n">
        <x:v>1</x:v>
      </x:c>
      <x:c r="O349" s="89" t="n">
        <x:v>1</x:v>
      </x:c>
      <x:c r="P349" s="89" t="n">
        <x:f>SUM(M349:O349)</x:f>
        <x:v>3</x:v>
      </x:c>
      <x:c r="Q349" s="84" t="str">
        <x:v>Exact synonym-name match</x:v>
      </x:c>
      <x:c r="R349" s="84" t="str">
        <x:v>Garrya ovata subsp. lindheimeri</x:v>
      </x:c>
      <x:c r="S349" s="84" t="str">
        <x:v>333976</x:v>
      </x:c>
      <x:c r="T349" s="84" t="str">
        <x:v>246734</x:v>
      </x:c>
      <x:c r="U349" s="84" t="str">
        <x:v>880960-1</x:v>
      </x:c>
      <x:c r="V349" s="84" t="str">
        <x:v>107490-2</x:v>
      </x:c>
      <x:c r="W349" s="84" t="str"/>
    </x:row>
    <x:row r="350" ht="18" customHeight="1">
      <x:c r="A350" s="83" t="str">
        <x:v>HAYS-0349</x:v>
      </x:c>
      <x:c r="B350" s="87" t="str">
        <x:v>Geranium carolinianum</x:v>
      </x:c>
      <x:c r="C350" s="87" t="str">
        <x:v>Geranium carolinianum</x:v>
      </x:c>
      <x:c r="D350" s="84" t="str">
        <x:v>Geraniaceae</x:v>
      </x:c>
      <x:c r="E350" s="84" t="str">
        <x:v>Geranium</x:v>
      </x:c>
      <x:c r="F350" s="84" t="str">
        <x:v>Species</x:v>
      </x:c>
      <x:c r="G350" s="84" t="str">
        <x:v>Accepted</x:v>
      </x:c>
      <x:c r="H350" s="84" t="str">
        <x:v>Carolina Geranium, Wild Geranium, Carolina Cranesbill</x:v>
      </x:c>
      <x:c r="I350" s="84" t="str">
        <x:v>Annual</x:v>
      </x:c>
      <x:c r="J350" s="84" t="str">
        <x:v>Herb</x:v>
      </x:c>
      <x:c r="K350" s="84" t="str">
        <x:v>Part-shade</x:v>
      </x:c>
      <x:c r="L350" s="84" t="str"/>
      <x:c r="M350" s="89" t="n">
        <x:v>1</x:v>
      </x:c>
      <x:c r="N350" s="89" t="n">
        <x:v>1</x:v>
      </x:c>
      <x:c r="O350" s="89" t="n">
        <x:v>0</x:v>
      </x:c>
      <x:c r="P350" s="89" t="n">
        <x:f>SUM(M350:O350)</x:f>
        <x:v>2</x:v>
      </x:c>
      <x:c r="Q350" s="84" t="str">
        <x:v>Exact accepted-name match</x:v>
      </x:c>
      <x:c r="R350" s="84" t="str">
        <x:v>Geranium carolinianum</x:v>
      </x:c>
      <x:c r="S350" s="84" t="str">
        <x:v>2822997</x:v>
      </x:c>
      <x:c r="T350" s="84" t="str">
        <x:v>2822997</x:v>
      </x:c>
      <x:c r="U350" s="84" t="str">
        <x:v>320496-2</x:v>
      </x:c>
      <x:c r="V350" s="84" t="str">
        <x:v>320496-2</x:v>
      </x:c>
      <x:c r="W350" s="84" t="str"/>
    </x:row>
    <x:row r="351" ht="18" customHeight="1">
      <x:c r="A351" s="83" t="str">
        <x:v>HAYS-0350</x:v>
      </x:c>
      <x:c r="B351" s="87" t="str">
        <x:v>Geranium texanum</x:v>
      </x:c>
      <x:c r="C351" s="87" t="str">
        <x:v>Geranium texanum</x:v>
      </x:c>
      <x:c r="D351" s="84" t="str">
        <x:v>Geraniaceae</x:v>
      </x:c>
      <x:c r="E351" s="84" t="str">
        <x:v>Geranium</x:v>
      </x:c>
      <x:c r="F351" s="84" t="str">
        <x:v>Species</x:v>
      </x:c>
      <x:c r="G351" s="84" t="str">
        <x:v>Accepted</x:v>
      </x:c>
      <x:c r="H351" s="84" t="str">
        <x:v>Texas Geranium</x:v>
      </x:c>
      <x:c r="I351" s="84" t="str">
        <x:v>Annual</x:v>
      </x:c>
      <x:c r="J351" s="84" t="str">
        <x:v>Herb</x:v>
      </x:c>
      <x:c r="K351" s="84" t="str"/>
      <x:c r="L351" s="84" t="str"/>
      <x:c r="M351" s="89" t="n">
        <x:v>1</x:v>
      </x:c>
      <x:c r="N351" s="89" t="n">
        <x:v>1</x:v>
      </x:c>
      <x:c r="O351" s="89" t="n">
        <x:v>0</x:v>
      </x:c>
      <x:c r="P351" s="89" t="n">
        <x:f>SUM(M351:O351)</x:f>
        <x:v>2</x:v>
      </x:c>
      <x:c r="Q351" s="84" t="str">
        <x:v>Exact accepted-name match</x:v>
      </x:c>
      <x:c r="R351" s="84" t="str">
        <x:v>Geranium texanum</x:v>
      </x:c>
      <x:c r="S351" s="84" t="str">
        <x:v>2824163</x:v>
      </x:c>
      <x:c r="T351" s="84" t="str">
        <x:v>2824163</x:v>
      </x:c>
      <x:c r="U351" s="84" t="str">
        <x:v>109317-2</x:v>
      </x:c>
      <x:c r="V351" s="84" t="str">
        <x:v>109317-2</x:v>
      </x:c>
      <x:c r="W351" s="84" t="str"/>
    </x:row>
    <x:row r="352" ht="18" customHeight="1">
      <x:c r="A352" s="83" t="str">
        <x:v>HAYS-0351</x:v>
      </x:c>
      <x:c r="B352" s="87" t="str">
        <x:v>Geum canadense</x:v>
      </x:c>
      <x:c r="C352" s="87" t="str">
        <x:v>Geum canadense</x:v>
      </x:c>
      <x:c r="D352" s="84" t="str">
        <x:v>Rosaceae</x:v>
      </x:c>
      <x:c r="E352" s="84" t="str">
        <x:v>Geum</x:v>
      </x:c>
      <x:c r="F352" s="84" t="str">
        <x:v>Species</x:v>
      </x:c>
      <x:c r="G352" s="84" t="str">
        <x:v>Accepted</x:v>
      </x:c>
      <x:c r="H352" s="84" t="str">
        <x:v>White Avens</x:v>
      </x:c>
      <x:c r="I352" s="84" t="str">
        <x:v>Perennial Habit: Herb Leaf Retention: Semi-evergreen Fruit Type: Achene , Aggregate , Caryopsis Size Notes: Usually 4 to 18 inches, but can reach 4 feet. Leaf: Green Flower: Flowers 1/2 inch. Fruit: Aggregated achenes.</x:v>
      </x:c>
      <x:c r="J352" s="84" t="str">
        <x:v>Herb</x:v>
      </x:c>
      <x:c r="K352" s="84" t="str">
        <x:v>Shade, Part Shade</x:v>
      </x:c>
      <x:c r="L352" s="84" t="str">
        <x:v>Medium</x:v>
      </x:c>
      <x:c r="M352" s="89" t="n">
        <x:v>1</x:v>
      </x:c>
      <x:c r="N352" s="89" t="n">
        <x:v>1</x:v>
      </x:c>
      <x:c r="O352" s="89" t="n">
        <x:v>1</x:v>
      </x:c>
      <x:c r="P352" s="89" t="n">
        <x:f>SUM(M352:O352)</x:f>
        <x:v>3</x:v>
      </x:c>
      <x:c r="Q352" s="84" t="str">
        <x:v>Exact accepted-name match</x:v>
      </x:c>
      <x:c r="R352" s="84" t="str">
        <x:v>Geum canadense</x:v>
      </x:c>
      <x:c r="S352" s="84" t="str">
        <x:v>2949200</x:v>
      </x:c>
      <x:c r="T352" s="84" t="str">
        <x:v>2949200</x:v>
      </x:c>
      <x:c r="U352" s="84" t="str">
        <x:v>30065568-2</x:v>
      </x:c>
      <x:c r="V352" s="84" t="str">
        <x:v>30065568-2</x:v>
      </x:c>
      <x:c r="W352" s="84" t="str"/>
    </x:row>
    <x:row r="353" ht="18" customHeight="1">
      <x:c r="A353" s="83" t="str">
        <x:v>HAYS-0352</x:v>
      </x:c>
      <x:c r="B353" s="87" t="str">
        <x:v>Giliastrum incisum</x:v>
      </x:c>
      <x:c r="C353" s="87" t="str">
        <x:v>Giliastrum incisum</x:v>
      </x:c>
      <x:c r="D353" s="84" t="str">
        <x:v>Polemoniaceae</x:v>
      </x:c>
      <x:c r="E353" s="84" t="str">
        <x:v>Giliastrum</x:v>
      </x:c>
      <x:c r="F353" s="84" t="str">
        <x:v>Species</x:v>
      </x:c>
      <x:c r="G353" s="84" t="str">
        <x:v>Accepted</x:v>
      </x:c>
      <x:c r="H353" s="84" t="str">
        <x:v>Splitleaf Gilia, Split-leaf Gilia, Cut-leaf Gilia</x:v>
      </x:c>
      <x:c r="I353" s="84" t="str">
        <x:v>Annual, Biennial, Perennial</x:v>
      </x:c>
      <x:c r="J353" s="84" t="str">
        <x:v>Herb</x:v>
      </x:c>
      <x:c r="K353" s="84" t="str">
        <x:v>Sun</x:v>
      </x:c>
      <x:c r="L353" s="84" t="str">
        <x:v>Dry</x:v>
      </x:c>
      <x:c r="M353" s="89" t="n">
        <x:v>1</x:v>
      </x:c>
      <x:c r="N353" s="89" t="n">
        <x:v>1</x:v>
      </x:c>
      <x:c r="O353" s="89" t="n">
        <x:v>0</x:v>
      </x:c>
      <x:c r="P353" s="89" t="n">
        <x:f>SUM(M353:O353)</x:f>
        <x:v>2</x:v>
      </x:c>
      <x:c r="Q353" s="84" t="str">
        <x:v>Exact accepted-name match</x:v>
      </x:c>
      <x:c r="R353" s="84" t="str">
        <x:v>Giliastrum incisum</x:v>
      </x:c>
      <x:c r="S353" s="84" t="str">
        <x:v>2825984</x:v>
      </x:c>
      <x:c r="T353" s="84" t="str">
        <x:v>2825984</x:v>
      </x:c>
      <x:c r="U353" s="84" t="str">
        <x:v>1001847-1</x:v>
      </x:c>
      <x:c r="V353" s="84" t="str">
        <x:v>1001847-1</x:v>
      </x:c>
      <x:c r="W353" s="84" t="str"/>
    </x:row>
    <x:row r="354" ht="18" customHeight="1">
      <x:c r="A354" s="83" t="str">
        <x:v>HAYS-0353</x:v>
      </x:c>
      <x:c r="B354" s="87" t="str">
        <x:v>Giliastrum rigidulum</x:v>
      </x:c>
      <x:c r="C354" s="87" t="str">
        <x:v>Giliastrum rigidulum</x:v>
      </x:c>
      <x:c r="D354" s="84" t="str">
        <x:v>Polemoniaceae</x:v>
      </x:c>
      <x:c r="E354" s="84" t="str">
        <x:v>Giliastrum</x:v>
      </x:c>
      <x:c r="F354" s="84" t="str">
        <x:v>Species</x:v>
      </x:c>
      <x:c r="G354" s="84" t="str">
        <x:v>Accepted</x:v>
      </x:c>
      <x:c r="H354" s="84" t="str">
        <x:v>Bluebowls, Blue Gilia</x:v>
      </x:c>
      <x:c r="I354" s="84" t="str">
        <x:v>Annual</x:v>
      </x:c>
      <x:c r="J354" s="84" t="str">
        <x:v>Herb</x:v>
      </x:c>
      <x:c r="K354" s="84" t="str">
        <x:v>Sun</x:v>
      </x:c>
      <x:c r="L354" s="84" t="str"/>
      <x:c r="M354" s="89" t="n">
        <x:v>1</x:v>
      </x:c>
      <x:c r="N354" s="89" t="n">
        <x:v>1</x:v>
      </x:c>
      <x:c r="O354" s="89" t="n">
        <x:v>0</x:v>
      </x:c>
      <x:c r="P354" s="89" t="n">
        <x:f>SUM(M354:O354)</x:f>
        <x:v>2</x:v>
      </x:c>
      <x:c r="Q354" s="84" t="str">
        <x:v>Exact accepted-name match</x:v>
      </x:c>
      <x:c r="R354" s="84" t="str">
        <x:v>Giliastrum rigidulum</x:v>
      </x:c>
      <x:c r="S354" s="84" t="str">
        <x:v>2825990</x:v>
      </x:c>
      <x:c r="T354" s="84" t="str">
        <x:v>2825990</x:v>
      </x:c>
      <x:c r="U354" s="84" t="str">
        <x:v>110495-2</x:v>
      </x:c>
      <x:c r="V354" s="84" t="str">
        <x:v>110495-2</x:v>
      </x:c>
      <x:c r="W354" s="84" t="str"/>
    </x:row>
    <x:row r="355" ht="18" customHeight="1">
      <x:c r="A355" s="83" t="str">
        <x:v>HAYS-0354</x:v>
      </x:c>
      <x:c r="B355" s="87" t="str">
        <x:v>Glandularia bipinnatifida</x:v>
      </x:c>
      <x:c r="C355" s="87" t="str">
        <x:v>Glandularia bipinnatifida</x:v>
      </x:c>
      <x:c r="D355" s="84" t="str">
        <x:v>Verbenaceae</x:v>
      </x:c>
      <x:c r="E355" s="84" t="str">
        <x:v>Glandularia</x:v>
      </x:c>
      <x:c r="F355" s="84" t="str">
        <x:v>Species</x:v>
      </x:c>
      <x:c r="G355" s="84" t="str">
        <x:v>Accepted</x:v>
      </x:c>
      <x:c r="H355" s="84" t="str">
        <x:v>Prairie Verbena, Purple Prairie Verbena, Dakota Vervain, Dakota Mock Vervain, Moradilla, Alfombrilla</x:v>
      </x:c>
      <x:c r="I355" s="84" t="str">
        <x:v>Perennial</x:v>
      </x:c>
      <x:c r="J355" s="84" t="str">
        <x:v>Herb</x:v>
      </x:c>
      <x:c r="K355" s="84" t="str">
        <x:v>Sun</x:v>
      </x:c>
      <x:c r="L355" s="84" t="str">
        <x:v>Low–Medium</x:v>
      </x:c>
      <x:c r="M355" s="89" t="n">
        <x:v>0</x:v>
      </x:c>
      <x:c r="N355" s="89" t="n">
        <x:v>0</x:v>
      </x:c>
      <x:c r="O355" s="89" t="n">
        <x:v>1</x:v>
      </x:c>
      <x:c r="P355" s="89" t="n">
        <x:f>SUM(M355:O355)</x:f>
        <x:v>1</x:v>
      </x:c>
      <x:c r="Q355" s="84" t="str">
        <x:v>Exact accepted-name match</x:v>
      </x:c>
      <x:c r="R355" s="84" t="str">
        <x:v>Glandularia bipinnatifida</x:v>
      </x:c>
      <x:c r="S355" s="84" t="str">
        <x:v>89924</x:v>
      </x:c>
      <x:c r="T355" s="84" t="str">
        <x:v>89924</x:v>
      </x:c>
      <x:c r="U355" s="84" t="str">
        <x:v>862854-1</x:v>
      </x:c>
      <x:c r="V355" s="84" t="str">
        <x:v>862854-1</x:v>
      </x:c>
      <x:c r="W355" s="84" t="str"/>
    </x:row>
    <x:row r="356" ht="18" customHeight="1">
      <x:c r="A356" s="83" t="str">
        <x:v>HAYS-0355</x:v>
      </x:c>
      <x:c r="B356" s="87" t="str">
        <x:v>Glandularia bipinnatifida var. bipinnatifida</x:v>
      </x:c>
      <x:c r="C356" s="87" t="str"/>
      <x:c r="D356" s="84" t="str"/>
      <x:c r="E356" s="84" t="str">
        <x:v>Glandularia</x:v>
      </x:c>
      <x:c r="F356" s="84" t="str"/>
      <x:c r="G356" s="84" t="str"/>
      <x:c r="H356" s="84" t="str">
        <x:v>Prairie Verbena, Purple Prairie Verbena, Dakota Mock Vervain, Dakota Vervain</x:v>
      </x:c>
      <x:c r="I356" s="84" t="str">
        <x:v>Annual, Perennial</x:v>
      </x:c>
      <x:c r="J356" s="84" t="str">
        <x:v>Herb</x:v>
      </x:c>
      <x:c r="K356" s="84" t="str">
        <x:v>Sun, Part-shade</x:v>
      </x:c>
      <x:c r="L356" s="84" t="str">
        <x:v>Dry</x:v>
      </x:c>
      <x:c r="M356" s="89" t="n">
        <x:v>1</x:v>
      </x:c>
      <x:c r="N356" s="89" t="n">
        <x:v>1</x:v>
      </x:c>
      <x:c r="O356" s="89" t="n">
        <x:v>0</x:v>
      </x:c>
      <x:c r="P356" s="89" t="n">
        <x:f>SUM(M356:O356)</x:f>
        <x:v>2</x:v>
      </x:c>
      <x:c r="Q356" s="84" t="str">
        <x:v>No exact WCVP name match</x:v>
      </x:c>
      <x:c r="R356" s="84" t="str"/>
      <x:c r="S356" s="84" t="str"/>
      <x:c r="T356" s="84" t="str"/>
      <x:c r="U356" s="84" t="str"/>
      <x:c r="V356" s="84" t="str"/>
      <x:c r="W356" s="84" t="str">
        <x:v>Review</x:v>
      </x:c>
    </x:row>
    <x:row r="357" ht="18" customHeight="1">
      <x:c r="A357" s="83" t="str">
        <x:v>HAYS-0356</x:v>
      </x:c>
      <x:c r="B357" s="87" t="str">
        <x:v>Glandularia pumila</x:v>
      </x:c>
      <x:c r="C357" s="87" t="str">
        <x:v>Glandularia pumila</x:v>
      </x:c>
      <x:c r="D357" s="84" t="str">
        <x:v>Verbenaceae</x:v>
      </x:c>
      <x:c r="E357" s="84" t="str">
        <x:v>Glandularia</x:v>
      </x:c>
      <x:c r="F357" s="84" t="str">
        <x:v>Species</x:v>
      </x:c>
      <x:c r="G357" s="84" t="str">
        <x:v>Accepted</x:v>
      </x:c>
      <x:c r="H357" s="84" t="str">
        <x:v>Dwarf Vervain, Low Verbena, Pink Mock Vervain, Pink Verbena, Wild Vervain</x:v>
      </x:c>
      <x:c r="I357" s="84" t="str">
        <x:v>Annual</x:v>
      </x:c>
      <x:c r="J357" s="84" t="str">
        <x:v>Herb</x:v>
      </x:c>
      <x:c r="K357" s="84" t="str"/>
      <x:c r="L357" s="84" t="str"/>
      <x:c r="M357" s="89" t="n">
        <x:v>1</x:v>
      </x:c>
      <x:c r="N357" s="89" t="n">
        <x:v>1</x:v>
      </x:c>
      <x:c r="O357" s="89" t="n">
        <x:v>0</x:v>
      </x:c>
      <x:c r="P357" s="89" t="n">
        <x:f>SUM(M357:O357)</x:f>
        <x:v>2</x:v>
      </x:c>
      <x:c r="Q357" s="84" t="str">
        <x:v>Exact accepted-name match</x:v>
      </x:c>
      <x:c r="R357" s="84" t="str">
        <x:v>Glandularia pumila</x:v>
      </x:c>
      <x:c r="S357" s="84" t="str">
        <x:v>89982</x:v>
      </x:c>
      <x:c r="T357" s="84" t="str">
        <x:v>89982</x:v>
      </x:c>
      <x:c r="U357" s="84" t="str">
        <x:v>110644-2</x:v>
      </x:c>
      <x:c r="V357" s="84" t="str">
        <x:v>110644-2</x:v>
      </x:c>
      <x:c r="W357" s="84" t="str"/>
    </x:row>
    <x:row r="358" ht="18" customHeight="1">
      <x:c r="A358" s="83" t="str">
        <x:v>HAYS-0357</x:v>
      </x:c>
      <x:c r="B358" s="87" t="str">
        <x:v>Gleditsia triacanthos</x:v>
      </x:c>
      <x:c r="C358" s="87" t="str">
        <x:v>Gleditsia triacanthos</x:v>
      </x:c>
      <x:c r="D358" s="84" t="str">
        <x:v>Fabaceae</x:v>
      </x:c>
      <x:c r="E358" s="84" t="str">
        <x:v>Gleditsia</x:v>
      </x:c>
      <x:c r="F358" s="84" t="str">
        <x:v>Species</x:v>
      </x:c>
      <x:c r="G358" s="84" t="str">
        <x:v>Accepted</x:v>
      </x:c>
      <x:c r="H358" s="84" t="str">
        <x:v>Honey Locust, Common Honey Locust, Thorny Common Honey Locust, Honey Shucks Locust, Sweet Locust, Thorny Locust, Honey Shucks, Sweet Bean Tree</x:v>
      </x:c>
      <x:c r="I358" s="84" t="str">
        <x:v>Perennial</x:v>
      </x:c>
      <x:c r="J358" s="84" t="str">
        <x:v>Tree</x:v>
      </x:c>
      <x:c r="K358" s="84" t="str">
        <x:v>Sun</x:v>
      </x:c>
      <x:c r="L358" s="84" t="str">
        <x:v>Medium</x:v>
      </x:c>
      <x:c r="M358" s="89" t="n">
        <x:v>0</x:v>
      </x:c>
      <x:c r="N358" s="89" t="n">
        <x:v>0</x:v>
      </x:c>
      <x:c r="O358" s="89" t="n">
        <x:v>1</x:v>
      </x:c>
      <x:c r="P358" s="89" t="n">
        <x:f>SUM(M358:O358)</x:f>
        <x:v>1</x:v>
      </x:c>
      <x:c r="Q358" s="84" t="str">
        <x:v>Exact accepted-name match</x:v>
      </x:c>
      <x:c r="R358" s="84" t="str">
        <x:v>Gleditsia triacanthos</x:v>
      </x:c>
      <x:c r="S358" s="84" t="str">
        <x:v>2826513</x:v>
      </x:c>
      <x:c r="T358" s="84" t="str">
        <x:v>2826513</x:v>
      </x:c>
      <x:c r="U358" s="84" t="str">
        <x:v>110723-2</x:v>
      </x:c>
      <x:c r="V358" s="84" t="str">
        <x:v>110723-2</x:v>
      </x:c>
      <x:c r="W358" s="84" t="str"/>
    </x:row>
    <x:row r="359" ht="18" customHeight="1">
      <x:c r="A359" s="83" t="str">
        <x:v>HAYS-0358</x:v>
      </x:c>
      <x:c r="B359" s="87" t="str">
        <x:v>Grindelia lanceolata</x:v>
      </x:c>
      <x:c r="C359" s="87" t="str">
        <x:v>Grindelia lanceolata</x:v>
      </x:c>
      <x:c r="D359" s="84" t="str">
        <x:v>Asteraceae</x:v>
      </x:c>
      <x:c r="E359" s="84" t="str">
        <x:v>Grindelia</x:v>
      </x:c>
      <x:c r="F359" s="84" t="str">
        <x:v>Species</x:v>
      </x:c>
      <x:c r="G359" s="84" t="str">
        <x:v>Accepted</x:v>
      </x:c>
      <x:c r="H359" s="84" t="str">
        <x:v>Narrowleaf Gumweed</x:v>
      </x:c>
      <x:c r="I359" s="84" t="str">
        <x:v>Perennial , Biennial</x:v>
      </x:c>
      <x:c r="J359" s="84" t="str">
        <x:v>Herb</x:v>
      </x:c>
      <x:c r="K359" s="84" t="str">
        <x:v>Full Sun</x:v>
      </x:c>
      <x:c r="L359" s="84" t="str">
        <x:v>Dry to Moist</x:v>
      </x:c>
      <x:c r="M359" s="89" t="n">
        <x:v>0</x:v>
      </x:c>
      <x:c r="N359" s="89" t="n">
        <x:v>0</x:v>
      </x:c>
      <x:c r="O359" s="89" t="n">
        <x:v>1</x:v>
      </x:c>
      <x:c r="P359" s="89" t="n">
        <x:f>SUM(M359:O359)</x:f>
        <x:v>1</x:v>
      </x:c>
      <x:c r="Q359" s="84" t="str">
        <x:v>Exact accepted-name match</x:v>
      </x:c>
      <x:c r="R359" s="84" t="str">
        <x:v>Grindelia lanceolata</x:v>
      </x:c>
      <x:c r="S359" s="84" t="str">
        <x:v>3100550</x:v>
      </x:c>
      <x:c r="T359" s="84" t="str">
        <x:v>3100550</x:v>
      </x:c>
      <x:c r="U359" s="84" t="str">
        <x:v>210616-1</x:v>
      </x:c>
      <x:c r="V359" s="84" t="str">
        <x:v>210616-1</x:v>
      </x:c>
      <x:c r="W359" s="84" t="str"/>
    </x:row>
    <x:row r="360" ht="18" customHeight="1">
      <x:c r="A360" s="83" t="str">
        <x:v>HAYS-0359</x:v>
      </x:c>
      <x:c r="B360" s="87" t="str">
        <x:v>Grindelia nuda var. nuda</x:v>
      </x:c>
      <x:c r="C360" s="87" t="str"/>
      <x:c r="D360" s="84" t="str"/>
      <x:c r="E360" s="84" t="str">
        <x:v>Grindelia</x:v>
      </x:c>
      <x:c r="F360" s="84" t="str"/>
      <x:c r="G360" s="84" t="str"/>
      <x:c r="H360" s="84" t="str">
        <x:v>Curlytop Gumweed</x:v>
      </x:c>
      <x:c r="I360" s="84" t="str">
        <x:v>Annual, Biennial, Perennial</x:v>
      </x:c>
      <x:c r="J360" s="84" t="str">
        <x:v>Herb</x:v>
      </x:c>
      <x:c r="K360" s="84" t="str"/>
      <x:c r="L360" s="84" t="str"/>
      <x:c r="M360" s="89" t="n">
        <x:v>1</x:v>
      </x:c>
      <x:c r="N360" s="89" t="n">
        <x:v>1</x:v>
      </x:c>
      <x:c r="O360" s="89" t="n">
        <x:v>0</x:v>
      </x:c>
      <x:c r="P360" s="89" t="n">
        <x:f>SUM(M360:O360)</x:f>
        <x:v>2</x:v>
      </x:c>
      <x:c r="Q360" s="84" t="str">
        <x:v>No exact WCVP name match</x:v>
      </x:c>
      <x:c r="R360" s="84" t="str"/>
      <x:c r="S360" s="84" t="str"/>
      <x:c r="T360" s="84" t="str"/>
      <x:c r="U360" s="84" t="str"/>
      <x:c r="V360" s="84" t="str"/>
      <x:c r="W360" s="84" t="str">
        <x:v>Review</x:v>
      </x:c>
    </x:row>
    <x:row r="361" ht="18" customHeight="1">
      <x:c r="A361" s="83" t="str">
        <x:v>HAYS-0360</x:v>
      </x:c>
      <x:c r="B361" s="87" t="str">
        <x:v>Grindelia papposa</x:v>
      </x:c>
      <x:c r="C361" s="87" t="str">
        <x:v>Grindelia ciliata</x:v>
      </x:c>
      <x:c r="D361" s="84" t="str">
        <x:v>Asteraceae</x:v>
      </x:c>
      <x:c r="E361" s="84" t="str">
        <x:v>Grindelia</x:v>
      </x:c>
      <x:c r="F361" s="84" t="str">
        <x:v>Species</x:v>
      </x:c>
      <x:c r="G361" s="84" t="str">
        <x:v>Synonym</x:v>
      </x:c>
      <x:c r="H361" s="84" t="str">
        <x:v>Spanish Gold, Clasping-leaved Haplopappus, Saw-leaf Daisy</x:v>
      </x:c>
      <x:c r="I361" s="84" t="str">
        <x:v>Annual</x:v>
      </x:c>
      <x:c r="J361" s="84" t="str">
        <x:v>Herb</x:v>
      </x:c>
      <x:c r="K361" s="84" t="str"/>
      <x:c r="L361" s="84" t="str"/>
      <x:c r="M361" s="89" t="n">
        <x:v>1</x:v>
      </x:c>
      <x:c r="N361" s="89" t="n">
        <x:v>1</x:v>
      </x:c>
      <x:c r="O361" s="89" t="n">
        <x:v>0</x:v>
      </x:c>
      <x:c r="P361" s="89" t="n">
        <x:f>SUM(M361:O361)</x:f>
        <x:v>2</x:v>
      </x:c>
      <x:c r="Q361" s="84" t="str">
        <x:v>Exact synonym-name match</x:v>
      </x:c>
      <x:c r="R361" s="84" t="str">
        <x:v>Grindelia papposa</x:v>
      </x:c>
      <x:c r="S361" s="84" t="str">
        <x:v>3100251</x:v>
      </x:c>
      <x:c r="T361" s="84" t="str">
        <x:v>3100254</x:v>
      </x:c>
      <x:c r="U361" s="84" t="str">
        <x:v>976418-1</x:v>
      </x:c>
      <x:c r="V361" s="84" t="str">
        <x:v>1202587-2</x:v>
      </x:c>
      <x:c r="W361" s="84" t="str"/>
    </x:row>
    <x:row r="362" ht="18" customHeight="1">
      <x:c r="A362" s="83" t="str">
        <x:v>HAYS-0361</x:v>
      </x:c>
      <x:c r="B362" s="87" t="str">
        <x:v>Grindelia squarrosa</x:v>
      </x:c>
      <x:c r="C362" s="87" t="str">
        <x:v>Grindelia squarrosa</x:v>
      </x:c>
      <x:c r="D362" s="84" t="str">
        <x:v>Asteraceae</x:v>
      </x:c>
      <x:c r="E362" s="84" t="str">
        <x:v>Grindelia</x:v>
      </x:c>
      <x:c r="F362" s="84" t="str">
        <x:v>Species</x:v>
      </x:c>
      <x:c r="G362" s="84" t="str">
        <x:v>Accepted</x:v>
      </x:c>
      <x:c r="H362" s="84" t="str">
        <x:v>Curlycup Gumweed</x:v>
      </x:c>
      <x:c r="I362" s="84" t="str">
        <x:v>Annual , Perennial , Biennial</x:v>
      </x:c>
      <x:c r="J362" s="84" t="str">
        <x:v>Herb</x:v>
      </x:c>
      <x:c r="K362" s="84" t="str">
        <x:v>Sun</x:v>
      </x:c>
      <x:c r="L362" s="84" t="str">
        <x:v>Low–Medium</x:v>
      </x:c>
      <x:c r="M362" s="89" t="n">
        <x:v>1</x:v>
      </x:c>
      <x:c r="N362" s="89" t="n">
        <x:v>1</x:v>
      </x:c>
      <x:c r="O362" s="89" t="n">
        <x:v>1</x:v>
      </x:c>
      <x:c r="P362" s="89" t="n">
        <x:f>SUM(M362:O362)</x:f>
        <x:v>3</x:v>
      </x:c>
      <x:c r="Q362" s="84" t="str">
        <x:v>Exact accepted-name match</x:v>
      </x:c>
      <x:c r="R362" s="84" t="str">
        <x:v>Grindelia squarrosa</x:v>
      </x:c>
      <x:c r="S362" s="84" t="str">
        <x:v>2927094</x:v>
      </x:c>
      <x:c r="T362" s="84" t="str">
        <x:v>2927094</x:v>
      </x:c>
      <x:c r="U362" s="84" t="str">
        <x:v>210665-1</x:v>
      </x:c>
      <x:c r="V362" s="84" t="str">
        <x:v>210665-1</x:v>
      </x:c>
      <x:c r="W362" s="84" t="str"/>
    </x:row>
    <x:row r="363" ht="18" customHeight="1">
      <x:c r="A363" s="83" t="str">
        <x:v>HAYS-0362</x:v>
      </x:c>
      <x:c r="B363" s="87" t="str">
        <x:v>Gutierrezia texana</x:v>
      </x:c>
      <x:c r="C363" s="87" t="str">
        <x:v>Gutierrezia texana</x:v>
      </x:c>
      <x:c r="D363" s="84" t="str">
        <x:v>Asteraceae</x:v>
      </x:c>
      <x:c r="E363" s="84" t="str">
        <x:v>Gutierrezia</x:v>
      </x:c>
      <x:c r="F363" s="84" t="str">
        <x:v>Species</x:v>
      </x:c>
      <x:c r="G363" s="84" t="str">
        <x:v>Accepted</x:v>
      </x:c>
      <x:c r="H363" s="84" t="str">
        <x:v>Texas Snakeweed</x:v>
      </x:c>
      <x:c r="I363" s="84" t="str">
        <x:v>Annual, Perennial</x:v>
      </x:c>
      <x:c r="J363" s="84" t="str">
        <x:v>Herb, Subshrub</x:v>
      </x:c>
      <x:c r="K363" s="84" t="str"/>
      <x:c r="L363" s="84" t="str"/>
      <x:c r="M363" s="89" t="n">
        <x:v>1</x:v>
      </x:c>
      <x:c r="N363" s="89" t="n">
        <x:v>1</x:v>
      </x:c>
      <x:c r="O363" s="89" t="n">
        <x:v>0</x:v>
      </x:c>
      <x:c r="P363" s="89" t="n">
        <x:f>SUM(M363:O363)</x:f>
        <x:v>2</x:v>
      </x:c>
      <x:c r="Q363" s="84" t="str">
        <x:v>Exact accepted-name match</x:v>
      </x:c>
      <x:c r="R363" s="84" t="str">
        <x:v>Gutierrezia texana</x:v>
      </x:c>
      <x:c r="S363" s="84" t="str">
        <x:v>3102398</x:v>
      </x:c>
      <x:c r="T363" s="84" t="str">
        <x:v>3102398</x:v>
      </x:c>
      <x:c r="U363" s="84" t="str">
        <x:v>210880-1</x:v>
      </x:c>
      <x:c r="V363" s="84" t="str">
        <x:v>210880-1</x:v>
      </x:c>
      <x:c r="W363" s="84" t="str"/>
    </x:row>
    <x:row r="364" ht="18" customHeight="1">
      <x:c r="A364" s="83" t="str">
        <x:v>HAYS-0363</x:v>
      </x:c>
      <x:c r="B364" s="87" t="str">
        <x:v>Gymnosperma glutinosum</x:v>
      </x:c>
      <x:c r="C364" s="87" t="str">
        <x:v>Gymnosperma glutinosum</x:v>
      </x:c>
      <x:c r="D364" s="84" t="str">
        <x:v>Asteraceae</x:v>
      </x:c>
      <x:c r="E364" s="84" t="str">
        <x:v>Gymnosperma</x:v>
      </x:c>
      <x:c r="F364" s="84" t="str">
        <x:v>Species</x:v>
      </x:c>
      <x:c r="G364" s="84" t="str">
        <x:v>Accepted</x:v>
      </x:c>
      <x:c r="H364" s="84" t="str">
        <x:v>Gumhead, Tatalencho</x:v>
      </x:c>
      <x:c r="I364" s="84" t="str">
        <x:v>Perennial</x:v>
      </x:c>
      <x:c r="J364" s="84" t="str">
        <x:v>Herb</x:v>
      </x:c>
      <x:c r="K364" s="84" t="str"/>
      <x:c r="L364" s="84" t="str"/>
      <x:c r="M364" s="89" t="n">
        <x:v>1</x:v>
      </x:c>
      <x:c r="N364" s="89" t="n">
        <x:v>1</x:v>
      </x:c>
      <x:c r="O364" s="89" t="n">
        <x:v>0</x:v>
      </x:c>
      <x:c r="P364" s="89" t="n">
        <x:f>SUM(M364:O364)</x:f>
        <x:v>2</x:v>
      </x:c>
      <x:c r="Q364" s="84" t="str">
        <x:v>Exact accepted-name match</x:v>
      </x:c>
      <x:c r="R364" s="84" t="str">
        <x:v>Gymnosperma glutinosum</x:v>
      </x:c>
      <x:c r="S364" s="84" t="str">
        <x:v>3102417</x:v>
      </x:c>
      <x:c r="T364" s="84" t="str">
        <x:v>3102417</x:v>
      </x:c>
      <x:c r="U364" s="84" t="str">
        <x:v>211032-1</x:v>
      </x:c>
      <x:c r="V364" s="84" t="str">
        <x:v>211032-1</x:v>
      </x:c>
      <x:c r="W364" s="84" t="str"/>
    </x:row>
    <x:row r="365" ht="18" customHeight="1">
      <x:c r="A365" s="83" t="str">
        <x:v>HAYS-0364</x:v>
      </x:c>
      <x:c r="B365" s="87" t="str">
        <x:v>Hedeoma acinoides</x:v>
      </x:c>
      <x:c r="C365" s="87" t="str">
        <x:v>Hedeoma acinoides</x:v>
      </x:c>
      <x:c r="D365" s="84" t="str">
        <x:v>Lamiaceae</x:v>
      </x:c>
      <x:c r="E365" s="84" t="str">
        <x:v>Hedeoma</x:v>
      </x:c>
      <x:c r="F365" s="84" t="str">
        <x:v>Species</x:v>
      </x:c>
      <x:c r="G365" s="84" t="str">
        <x:v>Accepted</x:v>
      </x:c>
      <x:c r="H365" s="84" t="str">
        <x:v>Pannyroyal (annual), Slender False Pennyroyal</x:v>
      </x:c>
      <x:c r="I365" s="84" t="str">
        <x:v>Annual</x:v>
      </x:c>
      <x:c r="J365" s="84" t="str">
        <x:v>Herb</x:v>
      </x:c>
      <x:c r="K365" s="84" t="str">
        <x:v>Sun</x:v>
      </x:c>
      <x:c r="L365" s="84" t="str">
        <x:v>Low</x:v>
      </x:c>
      <x:c r="M365" s="89" t="n">
        <x:v>1</x:v>
      </x:c>
      <x:c r="N365" s="89" t="n">
        <x:v>1</x:v>
      </x:c>
      <x:c r="O365" s="89" t="n">
        <x:v>1</x:v>
      </x:c>
      <x:c r="P365" s="89" t="n">
        <x:f>SUM(M365:O365)</x:f>
        <x:v>3</x:v>
      </x:c>
      <x:c r="Q365" s="84" t="str">
        <x:v>Exact accepted-name match</x:v>
      </x:c>
      <x:c r="R365" s="84" t="str">
        <x:v>Hedeoma acinoides</x:v>
      </x:c>
      <x:c r="S365" s="84" t="str">
        <x:v>96434</x:v>
      </x:c>
      <x:c r="T365" s="84" t="str">
        <x:v>96434</x:v>
      </x:c>
      <x:c r="U365" s="84" t="str">
        <x:v>447602-1</x:v>
      </x:c>
      <x:c r="V365" s="84" t="str">
        <x:v>447602-1</x:v>
      </x:c>
      <x:c r="W365" s="84" t="str"/>
    </x:row>
    <x:row r="366" ht="18" customHeight="1">
      <x:c r="A366" s="83" t="str">
        <x:v>HAYS-0365</x:v>
      </x:c>
      <x:c r="B366" s="87" t="str">
        <x:v>Hedeoma drummondii</x:v>
      </x:c>
      <x:c r="C366" s="87" t="str">
        <x:v>Hedeoma drummondii</x:v>
      </x:c>
      <x:c r="D366" s="84" t="str">
        <x:v>Lamiaceae</x:v>
      </x:c>
      <x:c r="E366" s="84" t="str">
        <x:v>Hedeoma</x:v>
      </x:c>
      <x:c r="F366" s="84" t="str">
        <x:v>Species</x:v>
      </x:c>
      <x:c r="G366" s="84" t="str">
        <x:v>Accepted</x:v>
      </x:c>
      <x:c r="H366" s="84" t="str">
        <x:v>Drummond's False Pennyroyal, Limoncillo, Mock Pennyroyal</x:v>
      </x:c>
      <x:c r="I366" s="84" t="str">
        <x:v>Annual</x:v>
      </x:c>
      <x:c r="J366" s="84" t="str">
        <x:v>Herb</x:v>
      </x:c>
      <x:c r="K366" s="84" t="str">
        <x:v>Part-shade</x:v>
      </x:c>
      <x:c r="L366" s="84" t="str">
        <x:v>Dry</x:v>
      </x:c>
      <x:c r="M366" s="89" t="n">
        <x:v>1</x:v>
      </x:c>
      <x:c r="N366" s="89" t="n">
        <x:v>1</x:v>
      </x:c>
      <x:c r="O366" s="89" t="n">
        <x:v>0</x:v>
      </x:c>
      <x:c r="P366" s="89" t="n">
        <x:f>SUM(M366:O366)</x:f>
        <x:v>2</x:v>
      </x:c>
      <x:c r="Q366" s="84" t="str">
        <x:v>Exact accepted-name match</x:v>
      </x:c>
      <x:c r="R366" s="84" t="str">
        <x:v>Hedeoma drummondii</x:v>
      </x:c>
      <x:c r="S366" s="84" t="str">
        <x:v>96462</x:v>
      </x:c>
      <x:c r="T366" s="84" t="str">
        <x:v>96462</x:v>
      </x:c>
      <x:c r="U366" s="84" t="str">
        <x:v>447626-1</x:v>
      </x:c>
      <x:c r="V366" s="84" t="str">
        <x:v>447626-1</x:v>
      </x:c>
      <x:c r="W366" s="84" t="str"/>
    </x:row>
    <x:row r="367" ht="18" customHeight="1">
      <x:c r="A367" s="83" t="str">
        <x:v>HAYS-0366</x:v>
      </x:c>
      <x:c r="B367" s="87" t="str">
        <x:v>Hedeoma reverchonii</x:v>
      </x:c>
      <x:c r="C367" s="87" t="str">
        <x:v>Hedeoma reverchonii</x:v>
      </x:c>
      <x:c r="D367" s="84" t="str">
        <x:v>Lamiaceae</x:v>
      </x:c>
      <x:c r="E367" s="84" t="str">
        <x:v>Hedeoma</x:v>
      </x:c>
      <x:c r="F367" s="84" t="str">
        <x:v>Species</x:v>
      </x:c>
      <x:c r="G367" s="84" t="str">
        <x:v>Accepted</x:v>
      </x:c>
      <x:c r="H367" s="84" t="str">
        <x:v>Reverchon's False Pennyroyal</x:v>
      </x:c>
      <x:c r="I367" s="84" t="str">
        <x:v>Perennial</x:v>
      </x:c>
      <x:c r="J367" s="84" t="str">
        <x:v>Herb</x:v>
      </x:c>
      <x:c r="K367" s="84" t="str">
        <x:v>Sun</x:v>
      </x:c>
      <x:c r="L367" s="84" t="str">
        <x:v>Low</x:v>
      </x:c>
      <x:c r="M367" s="89" t="n">
        <x:v>0</x:v>
      </x:c>
      <x:c r="N367" s="89" t="n">
        <x:v>0</x:v>
      </x:c>
      <x:c r="O367" s="89" t="n">
        <x:v>1</x:v>
      </x:c>
      <x:c r="P367" s="89" t="n">
        <x:f>SUM(M367:O367)</x:f>
        <x:v>1</x:v>
      </x:c>
      <x:c r="Q367" s="84" t="str">
        <x:v>Exact accepted-name match</x:v>
      </x:c>
      <x:c r="R367" s="84" t="str">
        <x:v>Hedeoma reverchonii</x:v>
      </x:c>
      <x:c r="S367" s="84" t="str">
        <x:v>96534</x:v>
      </x:c>
      <x:c r="T367" s="84" t="str">
        <x:v>96534</x:v>
      </x:c>
      <x:c r="U367" s="84" t="str">
        <x:v>1161230-2</x:v>
      </x:c>
      <x:c r="V367" s="84" t="str">
        <x:v>1161230-2</x:v>
      </x:c>
      <x:c r="W367" s="84" t="str"/>
    </x:row>
    <x:row r="368" ht="18" customHeight="1">
      <x:c r="A368" s="83" t="str">
        <x:v>HAYS-0367</x:v>
      </x:c>
      <x:c r="B368" s="87" t="str">
        <x:v>Hedeoma reverchonii var. serpyllifolia</x:v>
      </x:c>
      <x:c r="C368" s="87" t="str">
        <x:v>Hedeoma serpyllifolia</x:v>
      </x:c>
      <x:c r="D368" s="84" t="str">
        <x:v>Lamiaceae</x:v>
      </x:c>
      <x:c r="E368" s="84" t="str">
        <x:v>Hedeoma</x:v>
      </x:c>
      <x:c r="F368" s="84" t="str">
        <x:v>Variety</x:v>
      </x:c>
      <x:c r="G368" s="84" t="str">
        <x:v>Invalid</x:v>
      </x:c>
      <x:c r="H368" s="84" t="str">
        <x:v>Reverchon's False Pennyroyal, Rock Hedeoma</x:v>
      </x:c>
      <x:c r="I368" s="84" t="str">
        <x:v>Perennial</x:v>
      </x:c>
      <x:c r="J368" s="84" t="str">
        <x:v>Herb</x:v>
      </x:c>
      <x:c r="K368" s="84" t="str"/>
      <x:c r="L368" s="84" t="str"/>
      <x:c r="M368" s="89" t="n">
        <x:v>1</x:v>
      </x:c>
      <x:c r="N368" s="89" t="n">
        <x:v>1</x:v>
      </x:c>
      <x:c r="O368" s="89" t="n">
        <x:v>0</x:v>
      </x:c>
      <x:c r="P368" s="89" t="n">
        <x:f>SUM(M368:O368)</x:f>
        <x:v>2</x:v>
      </x:c>
      <x:c r="Q368" s="84" t="str">
        <x:v>Exact synonym-name match</x:v>
      </x:c>
      <x:c r="R368" s="84" t="str">
        <x:v>Hedeoma reverchonii var. serpyllifolia</x:v>
      </x:c>
      <x:c r="S368" s="84" t="str">
        <x:v>96536</x:v>
      </x:c>
      <x:c r="T368" s="84" t="str">
        <x:v>96543</x:v>
      </x:c>
      <x:c r="U368" s="84" t="str">
        <x:v>883877-1</x:v>
      </x:c>
      <x:c r="V368" s="84" t="str">
        <x:v>447686-1</x:v>
      </x:c>
      <x:c r="W368" s="84" t="str"/>
    </x:row>
    <x:row r="369" ht="18" customHeight="1">
      <x:c r="A369" s="83" t="str">
        <x:v>HAYS-0368</x:v>
      </x:c>
      <x:c r="B369" s="87" t="str">
        <x:v>Helenium amarum</x:v>
      </x:c>
      <x:c r="C369" s="87" t="str">
        <x:v>Helenium amarum</x:v>
      </x:c>
      <x:c r="D369" s="84" t="str">
        <x:v>Asteraceae</x:v>
      </x:c>
      <x:c r="E369" s="84" t="str">
        <x:v>Helenium</x:v>
      </x:c>
      <x:c r="F369" s="84" t="str">
        <x:v>Species</x:v>
      </x:c>
      <x:c r="G369" s="84" t="str">
        <x:v>Accepted</x:v>
      </x:c>
      <x:c r="H369" s="84" t="str">
        <x:v>Southern Wild Hyacinth</x:v>
      </x:c>
      <x:c r="I369" s="84" t="str">
        <x:v>Annual</x:v>
      </x:c>
      <x:c r="J369" s="84" t="str">
        <x:v>Herb</x:v>
      </x:c>
      <x:c r="K369" s="84" t="str">
        <x:v>Sun</x:v>
      </x:c>
      <x:c r="L369" s="84" t="str">
        <x:v>Low</x:v>
      </x:c>
      <x:c r="M369" s="89" t="n">
        <x:v>0</x:v>
      </x:c>
      <x:c r="N369" s="89" t="n">
        <x:v>0</x:v>
      </x:c>
      <x:c r="O369" s="89" t="n">
        <x:v>1</x:v>
      </x:c>
      <x:c r="P369" s="89" t="n">
        <x:f>SUM(M369:O369)</x:f>
        <x:v>1</x:v>
      </x:c>
      <x:c r="Q369" s="84" t="str">
        <x:v>Exact accepted-name match</x:v>
      </x:c>
      <x:c r="R369" s="84" t="str">
        <x:v>Helenium amarum</x:v>
      </x:c>
      <x:c r="S369" s="84" t="str">
        <x:v>3115721</x:v>
      </x:c>
      <x:c r="T369" s="84" t="str">
        <x:v>3115721</x:v>
      </x:c>
      <x:c r="U369" s="84" t="str">
        <x:v>118685-2</x:v>
      </x:c>
      <x:c r="V369" s="84" t="str">
        <x:v>118685-2</x:v>
      </x:c>
      <x:c r="W369" s="84" t="str"/>
    </x:row>
    <x:row r="370" ht="18" customHeight="1">
      <x:c r="A370" s="83" t="str">
        <x:v>HAYS-0369</x:v>
      </x:c>
      <x:c r="B370" s="87" t="str">
        <x:v>Helenium amarum var. amarum</x:v>
      </x:c>
      <x:c r="C370" s="87" t="str">
        <x:v>Helenium amarum var. amarum</x:v>
      </x:c>
      <x:c r="D370" s="84" t="str">
        <x:v>Asteraceae</x:v>
      </x:c>
      <x:c r="E370" s="84" t="str">
        <x:v>Helenium</x:v>
      </x:c>
      <x:c r="F370" s="84" t="str">
        <x:v>Variety</x:v>
      </x:c>
      <x:c r="G370" s="84" t="str">
        <x:v>Accepted</x:v>
      </x:c>
      <x:c r="H370" s="84" t="str">
        <x:v>Yellow Bitterweed, Yellowdicks</x:v>
      </x:c>
      <x:c r="I370" s="84" t="str">
        <x:v>Annual</x:v>
      </x:c>
      <x:c r="J370" s="84" t="str">
        <x:v>Herb</x:v>
      </x:c>
      <x:c r="K370" s="84" t="str"/>
      <x:c r="L370" s="84" t="str"/>
      <x:c r="M370" s="89" t="n">
        <x:v>1</x:v>
      </x:c>
      <x:c r="N370" s="89" t="n">
        <x:v>1</x:v>
      </x:c>
      <x:c r="O370" s="89" t="n">
        <x:v>0</x:v>
      </x:c>
      <x:c r="P370" s="89" t="n">
        <x:f>SUM(M370:O370)</x:f>
        <x:v>2</x:v>
      </x:c>
      <x:c r="Q370" s="84" t="str">
        <x:v>Exact accepted-name match</x:v>
      </x:c>
      <x:c r="R370" s="84" t="str">
        <x:v>Helenium amarum var. amarum</x:v>
      </x:c>
      <x:c r="S370" s="84" t="str">
        <x:v>3267208</x:v>
      </x:c>
      <x:c r="T370" s="84" t="str">
        <x:v>3267208</x:v>
      </x:c>
      <x:c r="U370" s="84" t="str">
        <x:v>77233414-1</x:v>
      </x:c>
      <x:c r="V370" s="84" t="str">
        <x:v>77233414-1</x:v>
      </x:c>
      <x:c r="W370" s="84" t="str"/>
    </x:row>
    <x:row r="371" ht="18" customHeight="1">
      <x:c r="A371" s="83" t="str">
        <x:v>HAYS-0370</x:v>
      </x:c>
      <x:c r="B371" s="87" t="str">
        <x:v>Helenium amarum var. badium</x:v>
      </x:c>
      <x:c r="C371" s="87" t="str">
        <x:v>Helenium amarum var. badium</x:v>
      </x:c>
      <x:c r="D371" s="84" t="str">
        <x:v>Asteraceae</x:v>
      </x:c>
      <x:c r="E371" s="84" t="str">
        <x:v>Helenium</x:v>
      </x:c>
      <x:c r="F371" s="84" t="str">
        <x:v>Variety</x:v>
      </x:c>
      <x:c r="G371" s="84" t="str">
        <x:v>Accepted</x:v>
      </x:c>
      <x:c r="H371" s="84" t="str">
        <x:v>Brown Bitterweed, Basin Sneezeweed</x:v>
      </x:c>
      <x:c r="I371" s="84" t="str">
        <x:v>Annual</x:v>
      </x:c>
      <x:c r="J371" s="84" t="str">
        <x:v>Herb</x:v>
      </x:c>
      <x:c r="K371" s="84" t="str"/>
      <x:c r="L371" s="84" t="str"/>
      <x:c r="M371" s="89" t="n">
        <x:v>1</x:v>
      </x:c>
      <x:c r="N371" s="89" t="n">
        <x:v>1</x:v>
      </x:c>
      <x:c r="O371" s="89" t="n">
        <x:v>0</x:v>
      </x:c>
      <x:c r="P371" s="89" t="n">
        <x:f>SUM(M371:O371)</x:f>
        <x:v>2</x:v>
      </x:c>
      <x:c r="Q371" s="84" t="str">
        <x:v>Exact accepted-name match</x:v>
      </x:c>
      <x:c r="R371" s="84" t="str">
        <x:v>Helenium amarum var. badium</x:v>
      </x:c>
      <x:c r="S371" s="84" t="str">
        <x:v>3115723</x:v>
      </x:c>
      <x:c r="T371" s="84" t="str">
        <x:v>3115723</x:v>
      </x:c>
      <x:c r="U371" s="84" t="str">
        <x:v>118686-2</x:v>
      </x:c>
      <x:c r="V371" s="84" t="str">
        <x:v>118686-2</x:v>
      </x:c>
      <x:c r="W371" s="84" t="str"/>
    </x:row>
    <x:row r="372" ht="18" customHeight="1">
      <x:c r="A372" s="83" t="str">
        <x:v>HAYS-0371</x:v>
      </x:c>
      <x:c r="B372" s="87" t="str">
        <x:v>Helenium autumnale</x:v>
      </x:c>
      <x:c r="C372" s="87" t="str">
        <x:v>Helenium autumnale</x:v>
      </x:c>
      <x:c r="D372" s="84" t="str">
        <x:v>Asteraceae</x:v>
      </x:c>
      <x:c r="E372" s="84" t="str">
        <x:v>Helenium</x:v>
      </x:c>
      <x:c r="F372" s="84" t="str">
        <x:v>Species</x:v>
      </x:c>
      <x:c r="G372" s="84" t="str">
        <x:v>Accepted</x:v>
      </x:c>
      <x:c r="H372" s="84" t="str">
        <x:v>Common Sneezeweed, Fall Sneezeweed, Autumn Sneezeweed</x:v>
      </x:c>
      <x:c r="I372" s="84" t="str">
        <x:v>Perennial</x:v>
      </x:c>
      <x:c r="J372" s="84" t="str">
        <x:v>Herb</x:v>
      </x:c>
      <x:c r="K372" s="84" t="str">
        <x:v>Sun, Part Shade</x:v>
      </x:c>
      <x:c r="L372" s="84" t="str">
        <x:v>Medium</x:v>
      </x:c>
      <x:c r="M372" s="89" t="n">
        <x:v>1</x:v>
      </x:c>
      <x:c r="N372" s="89" t="n">
        <x:v>1</x:v>
      </x:c>
      <x:c r="O372" s="89" t="n">
        <x:v>1</x:v>
      </x:c>
      <x:c r="P372" s="89" t="n">
        <x:f>SUM(M372:O372)</x:f>
        <x:v>3</x:v>
      </x:c>
      <x:c r="Q372" s="84" t="str">
        <x:v>Exact accepted-name match</x:v>
      </x:c>
      <x:c r="R372" s="84" t="str">
        <x:v>Helenium autumnale</x:v>
      </x:c>
      <x:c r="S372" s="84" t="str">
        <x:v>3115760</x:v>
      </x:c>
      <x:c r="T372" s="84" t="str">
        <x:v>3115760</x:v>
      </x:c>
      <x:c r="U372" s="84" t="str">
        <x:v>211760-1</x:v>
      </x:c>
      <x:c r="V372" s="84" t="str">
        <x:v>211760-1</x:v>
      </x:c>
      <x:c r="W372" s="84" t="str"/>
    </x:row>
    <x:row r="373" ht="18" customHeight="1">
      <x:c r="A373" s="83" t="str">
        <x:v>HAYS-0372</x:v>
      </x:c>
      <x:c r="B373" s="87" t="str">
        <x:v>Helenium elegans</x:v>
      </x:c>
      <x:c r="C373" s="87" t="str">
        <x:v>Helenium elegans</x:v>
      </x:c>
      <x:c r="D373" s="84" t="str">
        <x:v>Asteraceae</x:v>
      </x:c>
      <x:c r="E373" s="84" t="str">
        <x:v>Helenium</x:v>
      </x:c>
      <x:c r="F373" s="84" t="str">
        <x:v>Species</x:v>
      </x:c>
      <x:c r="G373" s="84" t="str">
        <x:v>Accepted</x:v>
      </x:c>
      <x:c r="H373" s="84" t="str">
        <x:v>Pretty Sneezeweed</x:v>
      </x:c>
      <x:c r="I373" s="84" t="str">
        <x:v>Annual</x:v>
      </x:c>
      <x:c r="J373" s="84" t="str">
        <x:v>Herb</x:v>
      </x:c>
      <x:c r="K373" s="84" t="str"/>
      <x:c r="L373" s="84" t="str"/>
      <x:c r="M373" s="89" t="n">
        <x:v>1</x:v>
      </x:c>
      <x:c r="N373" s="89" t="n">
        <x:v>1</x:v>
      </x:c>
      <x:c r="O373" s="89" t="n">
        <x:v>0</x:v>
      </x:c>
      <x:c r="P373" s="89" t="n">
        <x:f>SUM(M373:O373)</x:f>
        <x:v>2</x:v>
      </x:c>
      <x:c r="Q373" s="84" t="str">
        <x:v>Exact accepted-name match</x:v>
      </x:c>
      <x:c r="R373" s="84" t="str">
        <x:v>Helenium elegans</x:v>
      </x:c>
      <x:c r="S373" s="84" t="str">
        <x:v>3115786</x:v>
      </x:c>
      <x:c r="T373" s="84" t="str">
        <x:v>3115786</x:v>
      </x:c>
      <x:c r="U373" s="84" t="str">
        <x:v>211796-1</x:v>
      </x:c>
      <x:c r="V373" s="84" t="str">
        <x:v>211796-1</x:v>
      </x:c>
      <x:c r="W373" s="84" t="str"/>
    </x:row>
    <x:row r="374" ht="18" customHeight="1">
      <x:c r="A374" s="83" t="str">
        <x:v>HAYS-0373</x:v>
      </x:c>
      <x:c r="B374" s="87" t="str">
        <x:v>Helenium quadridentatum</x:v>
      </x:c>
      <x:c r="C374" s="87" t="str">
        <x:v>Helenium quadridentatum</x:v>
      </x:c>
      <x:c r="D374" s="84" t="str">
        <x:v>Asteraceae</x:v>
      </x:c>
      <x:c r="E374" s="84" t="str">
        <x:v>Helenium</x:v>
      </x:c>
      <x:c r="F374" s="84" t="str">
        <x:v>Species</x:v>
      </x:c>
      <x:c r="G374" s="84" t="str">
        <x:v>Accepted</x:v>
      </x:c>
      <x:c r="H374" s="84" t="str">
        <x:v>Longdisk Sneezeweed, Sneezeweed</x:v>
      </x:c>
      <x:c r="I374" s="84" t="str">
        <x:v>Annual</x:v>
      </x:c>
      <x:c r="J374" s="84" t="str">
        <x:v>Herb</x:v>
      </x:c>
      <x:c r="K374" s="84" t="str"/>
      <x:c r="L374" s="84" t="str"/>
      <x:c r="M374" s="89" t="n">
        <x:v>1</x:v>
      </x:c>
      <x:c r="N374" s="89" t="n">
        <x:v>1</x:v>
      </x:c>
      <x:c r="O374" s="89" t="n">
        <x:v>0</x:v>
      </x:c>
      <x:c r="P374" s="89" t="n">
        <x:f>SUM(M374:O374)</x:f>
        <x:v>2</x:v>
      </x:c>
      <x:c r="Q374" s="84" t="str">
        <x:v>Exact accepted-name match</x:v>
      </x:c>
      <x:c r="R374" s="84" t="str">
        <x:v>Helenium quadridentatum</x:v>
      </x:c>
      <x:c r="S374" s="84" t="str">
        <x:v>3115917</x:v>
      </x:c>
      <x:c r="T374" s="84" t="str">
        <x:v>3115917</x:v>
      </x:c>
      <x:c r="U374" s="84" t="str">
        <x:v>211887-1</x:v>
      </x:c>
      <x:c r="V374" s="84" t="str">
        <x:v>211887-1</x:v>
      </x:c>
      <x:c r="W374" s="84" t="str"/>
    </x:row>
    <x:row r="375" ht="18" customHeight="1">
      <x:c r="A375" s="83" t="str">
        <x:v>HAYS-0374</x:v>
      </x:c>
      <x:c r="B375" s="87" t="str">
        <x:v>Helianthus annuus</x:v>
      </x:c>
      <x:c r="C375" s="87" t="str">
        <x:v>Helianthus annuus</x:v>
      </x:c>
      <x:c r="D375" s="84" t="str">
        <x:v>Asteraceae</x:v>
      </x:c>
      <x:c r="E375" s="84" t="str">
        <x:v>Helianthus</x:v>
      </x:c>
      <x:c r="F375" s="84" t="str">
        <x:v>Species</x:v>
      </x:c>
      <x:c r="G375" s="84" t="str">
        <x:v>Accepted</x:v>
      </x:c>
      <x:c r="H375" s="84" t="str">
        <x:v>Common Sunflower, Annual Sunflower</x:v>
      </x:c>
      <x:c r="I375" s="84" t="str">
        <x:v>Annual</x:v>
      </x:c>
      <x:c r="J375" s="84" t="str">
        <x:v>Herb</x:v>
      </x:c>
      <x:c r="K375" s="84" t="str">
        <x:v>Sun</x:v>
      </x:c>
      <x:c r="L375" s="84" t="str">
        <x:v>Dry</x:v>
      </x:c>
      <x:c r="M375" s="89" t="n">
        <x:v>1</x:v>
      </x:c>
      <x:c r="N375" s="89" t="n">
        <x:v>1</x:v>
      </x:c>
      <x:c r="O375" s="89" t="n">
        <x:v>0</x:v>
      </x:c>
      <x:c r="P375" s="89" t="n">
        <x:f>SUM(M375:O375)</x:f>
        <x:v>2</x:v>
      </x:c>
      <x:c r="Q375" s="84" t="str">
        <x:v>Exact accepted-name match</x:v>
      </x:c>
      <x:c r="R375" s="84" t="str">
        <x:v>Helianthus annuus</x:v>
      </x:c>
      <x:c r="S375" s="84" t="str">
        <x:v>2910966</x:v>
      </x:c>
      <x:c r="T375" s="84" t="str">
        <x:v>2910966</x:v>
      </x:c>
      <x:c r="U375" s="84" t="str">
        <x:v>119003-2</x:v>
      </x:c>
      <x:c r="V375" s="84" t="str">
        <x:v>119003-2</x:v>
      </x:c>
      <x:c r="W375" s="84" t="str"/>
    </x:row>
    <x:row r="376" ht="18" customHeight="1">
      <x:c r="A376" s="83" t="str">
        <x:v>HAYS-0375</x:v>
      </x:c>
      <x:c r="B376" s="87" t="str">
        <x:v>Helianthus maximiliani</x:v>
      </x:c>
      <x:c r="C376" s="87" t="str">
        <x:v>Helianthus maximiliani</x:v>
      </x:c>
      <x:c r="D376" s="84" t="str">
        <x:v>Asteraceae</x:v>
      </x:c>
      <x:c r="E376" s="84" t="str">
        <x:v>Helianthus</x:v>
      </x:c>
      <x:c r="F376" s="84" t="str">
        <x:v>Species</x:v>
      </x:c>
      <x:c r="G376" s="84" t="str">
        <x:v>Accepted</x:v>
      </x:c>
      <x:c r="H376" s="84" t="str">
        <x:v>Maximilian Sunflower, Max Sunflower</x:v>
      </x:c>
      <x:c r="I376" s="84" t="str">
        <x:v>Perennial</x:v>
      </x:c>
      <x:c r="J376" s="84" t="str">
        <x:v>Herb</x:v>
      </x:c>
      <x:c r="K376" s="84" t="str">
        <x:v>Sun</x:v>
      </x:c>
      <x:c r="L376" s="84" t="str">
        <x:v>Low–Medium</x:v>
      </x:c>
      <x:c r="M376" s="89" t="n">
        <x:v>1</x:v>
      </x:c>
      <x:c r="N376" s="89" t="n">
        <x:v>1</x:v>
      </x:c>
      <x:c r="O376" s="89" t="n">
        <x:v>1</x:v>
      </x:c>
      <x:c r="P376" s="89" t="n">
        <x:f>SUM(M376:O376)</x:f>
        <x:v>3</x:v>
      </x:c>
      <x:c r="Q376" s="84" t="str">
        <x:v>Exact accepted-name match</x:v>
      </x:c>
      <x:c r="R376" s="84" t="str">
        <x:v>Helianthus maximiliani</x:v>
      </x:c>
      <x:c r="S376" s="84" t="str">
        <x:v>3120963</x:v>
      </x:c>
      <x:c r="T376" s="84" t="str">
        <x:v>3120963</x:v>
      </x:c>
      <x:c r="U376" s="84" t="str">
        <x:v>329260-2</x:v>
      </x:c>
      <x:c r="V376" s="84" t="str">
        <x:v>329260-2</x:v>
      </x:c>
      <x:c r="W376" s="84" t="str"/>
    </x:row>
    <x:row r="377" ht="18" customHeight="1">
      <x:c r="A377" s="83" t="str">
        <x:v>HAYS-0376</x:v>
      </x:c>
      <x:c r="B377" s="87" t="str">
        <x:v>Heliotropium procumbens</x:v>
      </x:c>
      <x:c r="C377" s="87" t="str">
        <x:v>Euploca procumbens</x:v>
      </x:c>
      <x:c r="D377" s="84" t="str">
        <x:v>Boraginaceae</x:v>
      </x:c>
      <x:c r="E377" s="84" t="str">
        <x:v>Euploca</x:v>
      </x:c>
      <x:c r="F377" s="84" t="str">
        <x:v>Species</x:v>
      </x:c>
      <x:c r="G377" s="84" t="str">
        <x:v>Synonym</x:v>
      </x:c>
      <x:c r="H377" s="84" t="str">
        <x:v>Fourspike Heliotrope</x:v>
      </x:c>
      <x:c r="I377" s="84" t="str">
        <x:v>Annual, Perennial</x:v>
      </x:c>
      <x:c r="J377" s="84" t="str">
        <x:v>Herb, Subshrub</x:v>
      </x:c>
      <x:c r="K377" s="84" t="str"/>
      <x:c r="L377" s="84" t="str"/>
      <x:c r="M377" s="89" t="n">
        <x:v>1</x:v>
      </x:c>
      <x:c r="N377" s="89" t="n">
        <x:v>1</x:v>
      </x:c>
      <x:c r="O377" s="89" t="n">
        <x:v>0</x:v>
      </x:c>
      <x:c r="P377" s="89" t="n">
        <x:f>SUM(M377:O377)</x:f>
        <x:v>2</x:v>
      </x:c>
      <x:c r="Q377" s="84" t="str">
        <x:v>Multiple records resolve to one accepted taxon</x:v>
      </x:c>
      <x:c r="R377" s="84" t="str">
        <x:v>Heliotropium procumbens</x:v>
      </x:c>
      <x:c r="S377" s="84" t="str">
        <x:v>2844382</x:v>
      </x:c>
      <x:c r="T377" s="84" t="str">
        <x:v>2804626</x:v>
      </x:c>
      <x:c r="U377" s="84" t="str">
        <x:v>316178-2</x:v>
      </x:c>
      <x:c r="V377" s="84" t="str">
        <x:v>60430582-2</x:v>
      </x:c>
      <x:c r="W377" s="84" t="str"/>
    </x:row>
    <x:row r="378" ht="18" customHeight="1">
      <x:c r="A378" s="83" t="str">
        <x:v>HAYS-0377</x:v>
      </x:c>
      <x:c r="B378" s="87" t="str">
        <x:v>Heliotropium tenellum</x:v>
      </x:c>
      <x:c r="C378" s="87" t="str">
        <x:v>Euploca tenella</x:v>
      </x:c>
      <x:c r="D378" s="84" t="str">
        <x:v>Boraginaceae</x:v>
      </x:c>
      <x:c r="E378" s="84" t="str">
        <x:v>Euploca</x:v>
      </x:c>
      <x:c r="F378" s="84" t="str">
        <x:v>Species</x:v>
      </x:c>
      <x:c r="G378" s="84" t="str">
        <x:v>Synonym</x:v>
      </x:c>
      <x:c r="H378" s="84" t="str">
        <x:v>Pasture Heliotrope, White Heliotrope</x:v>
      </x:c>
      <x:c r="I378" s="84" t="str">
        <x:v>Annual</x:v>
      </x:c>
      <x:c r="J378" s="84" t="str">
        <x:v>Herb</x:v>
      </x:c>
      <x:c r="K378" s="84" t="str">
        <x:v>Sun</x:v>
      </x:c>
      <x:c r="L378" s="84" t="str">
        <x:v>Dry</x:v>
      </x:c>
      <x:c r="M378" s="89" t="n">
        <x:v>1</x:v>
      </x:c>
      <x:c r="N378" s="89" t="n">
        <x:v>1</x:v>
      </x:c>
      <x:c r="O378" s="89" t="n">
        <x:v>0</x:v>
      </x:c>
      <x:c r="P378" s="89" t="n">
        <x:f>SUM(M378:O378)</x:f>
        <x:v>2</x:v>
      </x:c>
      <x:c r="Q378" s="84" t="str">
        <x:v>Exact synonym-name match</x:v>
      </x:c>
      <x:c r="R378" s="84" t="str">
        <x:v>Heliotropium tenellum</x:v>
      </x:c>
      <x:c r="S378" s="84" t="str">
        <x:v>2844536</x:v>
      </x:c>
      <x:c r="T378" s="84" t="str">
        <x:v>3010891</x:v>
      </x:c>
      <x:c r="U378" s="84" t="str">
        <x:v>117278-1</x:v>
      </x:c>
      <x:c r="V378" s="84" t="str">
        <x:v>60471386-2</x:v>
      </x:c>
      <x:c r="W378" s="84" t="str"/>
    </x:row>
    <x:row r="379" ht="18" customHeight="1">
      <x:c r="A379" s="83" t="str">
        <x:v>HAYS-0378</x:v>
      </x:c>
      <x:c r="B379" s="87" t="str">
        <x:v>Hesperaloe parviflora</x:v>
      </x:c>
      <x:c r="C379" s="87" t="str">
        <x:v>Hesperaloe parviflora</x:v>
      </x:c>
      <x:c r="D379" s="84" t="str">
        <x:v>Asparagaceae</x:v>
      </x:c>
      <x:c r="E379" s="84" t="str">
        <x:v>Hesperaloe</x:v>
      </x:c>
      <x:c r="F379" s="84" t="str">
        <x:v>Species</x:v>
      </x:c>
      <x:c r="G379" s="84" t="str">
        <x:v>Accepted</x:v>
      </x:c>
      <x:c r="H379" s="84" t="str">
        <x:v>Red Yucca, Coral Yucca, Red-flowered False Yucca, Redflower False Yucca, Yellow Yucca, Hummingbird Yucca, Samandoque</x:v>
      </x:c>
      <x:c r="I379" s="84" t="str">
        <x:v>Perennial</x:v>
      </x:c>
      <x:c r="J379" s="84" t="str">
        <x:v>Succulent</x:v>
      </x:c>
      <x:c r="K379" s="84" t="str">
        <x:v>Sun</x:v>
      </x:c>
      <x:c r="L379" s="84" t="str">
        <x:v>Low</x:v>
      </x:c>
      <x:c r="M379" s="89" t="n">
        <x:v>0</x:v>
      </x:c>
      <x:c r="N379" s="89" t="n">
        <x:v>0</x:v>
      </x:c>
      <x:c r="O379" s="89" t="n">
        <x:v>1</x:v>
      </x:c>
      <x:c r="P379" s="89" t="n">
        <x:f>SUM(M379:O379)</x:f>
        <x:v>1</x:v>
      </x:c>
      <x:c r="Q379" s="84" t="str">
        <x:v>Exact accepted-name match</x:v>
      </x:c>
      <x:c r="R379" s="84" t="str">
        <x:v>Hesperaloe parviflora</x:v>
      </x:c>
      <x:c r="S379" s="84" t="str">
        <x:v>277924</x:v>
      </x:c>
      <x:c r="T379" s="84" t="str">
        <x:v>277924</x:v>
      </x:c>
      <x:c r="U379" s="84" t="str">
        <x:v>1213420-2</x:v>
      </x:c>
      <x:c r="V379" s="84" t="str">
        <x:v>1213420-2</x:v>
      </x:c>
      <x:c r="W379" s="84" t="str"/>
    </x:row>
    <x:row r="380" ht="18" customHeight="1">
      <x:c r="A380" s="83" t="str">
        <x:v>HAYS-0379</x:v>
      </x:c>
      <x:c r="B380" s="87" t="str">
        <x:v>Heteranthera dubia</x:v>
      </x:c>
      <x:c r="C380" s="87" t="str">
        <x:v>Heteranthera dubia</x:v>
      </x:c>
      <x:c r="D380" s="84" t="str">
        <x:v>Pontederiaceae</x:v>
      </x:c>
      <x:c r="E380" s="84" t="str">
        <x:v>Heteranthera</x:v>
      </x:c>
      <x:c r="F380" s="84" t="str">
        <x:v>Species</x:v>
      </x:c>
      <x:c r="G380" s="84" t="str">
        <x:v>Accepted</x:v>
      </x:c>
      <x:c r="H380" s="84" t="str">
        <x:v>Grassleaf Mudplantain, Water Stargrass</x:v>
      </x:c>
      <x:c r="I380" s="84" t="str">
        <x:v>Annual</x:v>
      </x:c>
      <x:c r="J380" s="84" t="str">
        <x:v>Herb</x:v>
      </x:c>
      <x:c r="K380" s="84" t="str"/>
      <x:c r="L380" s="84" t="str"/>
      <x:c r="M380" s="89" t="n">
        <x:v>1</x:v>
      </x:c>
      <x:c r="N380" s="89" t="n">
        <x:v>1</x:v>
      </x:c>
      <x:c r="O380" s="89" t="n">
        <x:v>0</x:v>
      </x:c>
      <x:c r="P380" s="89" t="n">
        <x:f>SUM(M380:O380)</x:f>
        <x:v>2</x:v>
      </x:c>
      <x:c r="Q380" s="84" t="str">
        <x:v>Exact accepted-name match</x:v>
      </x:c>
      <x:c r="R380" s="84" t="str">
        <x:v>Heteranthera dubia</x:v>
      </x:c>
      <x:c r="S380" s="84" t="str">
        <x:v>248965</x:v>
      </x:c>
      <x:c r="T380" s="84" t="str">
        <x:v>248965</x:v>
      </x:c>
      <x:c r="U380" s="84" t="str">
        <x:v>121025-2</x:v>
      </x:c>
      <x:c r="V380" s="84" t="str">
        <x:v>121025-2</x:v>
      </x:c>
      <x:c r="W380" s="84" t="str"/>
    </x:row>
    <x:row r="381" ht="18" customHeight="1">
      <x:c r="A381" s="83" t="str">
        <x:v>HAYS-0380</x:v>
      </x:c>
      <x:c r="B381" s="87" t="str">
        <x:v>Heterotheca canescens</x:v>
      </x:c>
      <x:c r="C381" s="87" t="str">
        <x:v>Heterotheca canescens</x:v>
      </x:c>
      <x:c r="D381" s="84" t="str">
        <x:v>Asteraceae</x:v>
      </x:c>
      <x:c r="E381" s="84" t="str">
        <x:v>Heterotheca</x:v>
      </x:c>
      <x:c r="F381" s="84" t="str">
        <x:v>Species</x:v>
      </x:c>
      <x:c r="G381" s="84" t="str">
        <x:v>Accepted</x:v>
      </x:c>
      <x:c r="H381" s="84" t="str">
        <x:v>Hoary False Goldenaster, Gray Golden-aster</x:v>
      </x:c>
      <x:c r="I381" s="84" t="str">
        <x:v>Perennial</x:v>
      </x:c>
      <x:c r="J381" s="84" t="str">
        <x:v>Herb</x:v>
      </x:c>
      <x:c r="K381" s="84" t="str">
        <x:v>Sun</x:v>
      </x:c>
      <x:c r="L381" s="84" t="str">
        <x:v>Dry</x:v>
      </x:c>
      <x:c r="M381" s="89" t="n">
        <x:v>1</x:v>
      </x:c>
      <x:c r="N381" s="89" t="n">
        <x:v>1</x:v>
      </x:c>
      <x:c r="O381" s="89" t="n">
        <x:v>0</x:v>
      </x:c>
      <x:c r="P381" s="89" t="n">
        <x:f>SUM(M381:O381)</x:f>
        <x:v>2</x:v>
      </x:c>
      <x:c r="Q381" s="84" t="str">
        <x:v>Exact accepted-name match</x:v>
      </x:c>
      <x:c r="R381" s="84" t="str">
        <x:v>Heterotheca canescens</x:v>
      </x:c>
      <x:c r="S381" s="84" t="str">
        <x:v>3104331</x:v>
      </x:c>
      <x:c r="T381" s="84" t="str">
        <x:v>3104331</x:v>
      </x:c>
      <x:c r="U381" s="84" t="str">
        <x:v>121434-2</x:v>
      </x:c>
      <x:c r="V381" s="84" t="str">
        <x:v>121434-2</x:v>
      </x:c>
      <x:c r="W381" s="84" t="str"/>
    </x:row>
    <x:row r="382" ht="18" customHeight="1">
      <x:c r="A382" s="83" t="str">
        <x:v>HAYS-0381</x:v>
      </x:c>
      <x:c r="B382" s="87" t="str">
        <x:v>Heterotheca stenophylla</x:v>
      </x:c>
      <x:c r="C382" s="87" t="str">
        <x:v>Heterotheca stenophylla</x:v>
      </x:c>
      <x:c r="D382" s="84" t="str">
        <x:v>Asteraceae</x:v>
      </x:c>
      <x:c r="E382" s="84" t="str">
        <x:v>Heterotheca</x:v>
      </x:c>
      <x:c r="F382" s="84" t="str">
        <x:v>Species</x:v>
      </x:c>
      <x:c r="G382" s="84" t="str">
        <x:v>Accepted</x:v>
      </x:c>
      <x:c r="H382" s="84" t="str">
        <x:v>Stiffleaf False Goldenaster, Sticky Granite-daisy</x:v>
      </x:c>
      <x:c r="I382" s="84" t="str">
        <x:v>Perennial</x:v>
      </x:c>
      <x:c r="J382" s="84" t="str">
        <x:v>Herb</x:v>
      </x:c>
      <x:c r="K382" s="84" t="str"/>
      <x:c r="L382" s="84" t="str"/>
      <x:c r="M382" s="89" t="n">
        <x:v>1</x:v>
      </x:c>
      <x:c r="N382" s="89" t="n">
        <x:v>1</x:v>
      </x:c>
      <x:c r="O382" s="89" t="n">
        <x:v>0</x:v>
      </x:c>
      <x:c r="P382" s="89" t="n">
        <x:f>SUM(M382:O382)</x:f>
        <x:v>2</x:v>
      </x:c>
      <x:c r="Q382" s="84" t="str">
        <x:v>Exact accepted-name match</x:v>
      </x:c>
      <x:c r="R382" s="84" t="str">
        <x:v>Heterotheca stenophylla</x:v>
      </x:c>
      <x:c r="S382" s="84" t="str">
        <x:v>3104417</x:v>
      </x:c>
      <x:c r="T382" s="84" t="str">
        <x:v>3104417</x:v>
      </x:c>
      <x:c r="U382" s="84" t="str">
        <x:v>121477-2</x:v>
      </x:c>
      <x:c r="V382" s="84" t="str">
        <x:v>121477-2</x:v>
      </x:c>
      <x:c r="W382" s="84" t="str"/>
    </x:row>
    <x:row r="383" ht="18" customHeight="1">
      <x:c r="A383" s="83" t="str">
        <x:v>HAYS-0382</x:v>
      </x:c>
      <x:c r="B383" s="87" t="str">
        <x:v>Heterotheca subaxillaris</x:v>
      </x:c>
      <x:c r="C383" s="87" t="str">
        <x:v>Heterotheca subaxillaris</x:v>
      </x:c>
      <x:c r="D383" s="84" t="str">
        <x:v>Asteraceae</x:v>
      </x:c>
      <x:c r="E383" s="84" t="str">
        <x:v>Heterotheca</x:v>
      </x:c>
      <x:c r="F383" s="84" t="str">
        <x:v>Species</x:v>
      </x:c>
      <x:c r="G383" s="84" t="str">
        <x:v>Accepted</x:v>
      </x:c>
      <x:c r="H383" s="84" t="str">
        <x:v>Camphorweed, Camphor Weed</x:v>
      </x:c>
      <x:c r="I383" s="84" t="str">
        <x:v>Annual</x:v>
      </x:c>
      <x:c r="J383" s="84" t="str">
        <x:v>Herb</x:v>
      </x:c>
      <x:c r="K383" s="84" t="str"/>
      <x:c r="L383" s="84" t="str"/>
      <x:c r="M383" s="89" t="n">
        <x:v>1</x:v>
      </x:c>
      <x:c r="N383" s="89" t="n">
        <x:v>1</x:v>
      </x:c>
      <x:c r="O383" s="89" t="n">
        <x:v>0</x:v>
      </x:c>
      <x:c r="P383" s="89" t="n">
        <x:f>SUM(M383:O383)</x:f>
        <x:v>2</x:v>
      </x:c>
      <x:c r="Q383" s="84" t="str">
        <x:v>Exact accepted-name match</x:v>
      </x:c>
      <x:c r="R383" s="84" t="str">
        <x:v>Heterotheca subaxillaris</x:v>
      </x:c>
      <x:c r="S383" s="84" t="str">
        <x:v>3104422</x:v>
      </x:c>
      <x:c r="T383" s="84" t="str">
        <x:v>3104422</x:v>
      </x:c>
      <x:c r="U383" s="84" t="str">
        <x:v>121478-2</x:v>
      </x:c>
      <x:c r="V383" s="84" t="str">
        <x:v>121478-2</x:v>
      </x:c>
      <x:c r="W383" s="84" t="str"/>
    </x:row>
    <x:row r="384" ht="18" customHeight="1">
      <x:c r="A384" s="83" t="str">
        <x:v>HAYS-0383</x:v>
      </x:c>
      <x:c r="B384" s="87" t="str">
        <x:v>Heterotheca villosa</x:v>
      </x:c>
      <x:c r="C384" s="87" t="str">
        <x:v>Heterotheca villosa</x:v>
      </x:c>
      <x:c r="D384" s="84" t="str">
        <x:v>Asteraceae</x:v>
      </x:c>
      <x:c r="E384" s="84" t="str">
        <x:v>Heterotheca</x:v>
      </x:c>
      <x:c r="F384" s="84" t="str">
        <x:v>Species</x:v>
      </x:c>
      <x:c r="G384" s="84" t="str">
        <x:v>Accepted</x:v>
      </x:c>
      <x:c r="H384" s="84" t="str">
        <x:v>Hairy False Goldenaster, Hairy Golden-aster</x:v>
      </x:c>
      <x:c r="I384" s="84" t="str">
        <x:v>Perennial</x:v>
      </x:c>
      <x:c r="J384" s="84" t="str">
        <x:v>Herb, Subshrub</x:v>
      </x:c>
      <x:c r="K384" s="84" t="str">
        <x:v>Sun</x:v>
      </x:c>
      <x:c r="L384" s="84" t="str">
        <x:v>Dry</x:v>
      </x:c>
      <x:c r="M384" s="89" t="n">
        <x:v>1</x:v>
      </x:c>
      <x:c r="N384" s="89" t="n">
        <x:v>1</x:v>
      </x:c>
      <x:c r="O384" s="89" t="n">
        <x:v>0</x:v>
      </x:c>
      <x:c r="P384" s="89" t="n">
        <x:f>SUM(M384:O384)</x:f>
        <x:v>2</x:v>
      </x:c>
      <x:c r="Q384" s="84" t="str">
        <x:v>Exact accepted-name match</x:v>
      </x:c>
      <x:c r="R384" s="84" t="str">
        <x:v>Heterotheca villosa</x:v>
      </x:c>
      <x:c r="S384" s="84" t="str">
        <x:v>3104454</x:v>
      </x:c>
      <x:c r="T384" s="84" t="str">
        <x:v>3104454</x:v>
      </x:c>
      <x:c r="U384" s="84" t="str">
        <x:v>121482-2</x:v>
      </x:c>
      <x:c r="V384" s="84" t="str">
        <x:v>121482-2</x:v>
      </x:c>
      <x:c r="W384" s="84" t="str"/>
    </x:row>
    <x:row r="385" ht="18" customHeight="1">
      <x:c r="A385" s="83" t="str">
        <x:v>HAYS-0384</x:v>
      </x:c>
      <x:c r="B385" s="87" t="str">
        <x:v>Hexalectris nitida</x:v>
      </x:c>
      <x:c r="C385" s="87" t="str">
        <x:v>Bletia nitida</x:v>
      </x:c>
      <x:c r="D385" s="84" t="str">
        <x:v>Orchidaceae</x:v>
      </x:c>
      <x:c r="E385" s="84" t="str">
        <x:v>Bletia</x:v>
      </x:c>
      <x:c r="F385" s="84" t="str">
        <x:v>Species</x:v>
      </x:c>
      <x:c r="G385" s="84" t="str">
        <x:v>Synonym</x:v>
      </x:c>
      <x:c r="H385" s="84" t="str">
        <x:v>Glass Mountain Crested Coralroot, Glass Mountain Crested Coral Root</x:v>
      </x:c>
      <x:c r="I385" s="84" t="str">
        <x:v>Perennial</x:v>
      </x:c>
      <x:c r="J385" s="84" t="str">
        <x:v>Herb</x:v>
      </x:c>
      <x:c r="K385" s="84" t="str"/>
      <x:c r="L385" s="84" t="str"/>
      <x:c r="M385" s="89" t="n">
        <x:v>1</x:v>
      </x:c>
      <x:c r="N385" s="89" t="n">
        <x:v>1</x:v>
      </x:c>
      <x:c r="O385" s="89" t="n">
        <x:v>0</x:v>
      </x:c>
      <x:c r="P385" s="89" t="n">
        <x:f>SUM(M385:O385)</x:f>
        <x:v>2</x:v>
      </x:c>
      <x:c r="Q385" s="84" t="str">
        <x:v>Exact synonym-name match</x:v>
      </x:c>
      <x:c r="R385" s="84" t="str">
        <x:v>Hexalectris nitida</x:v>
      </x:c>
      <x:c r="S385" s="84" t="str">
        <x:v>99076</x:v>
      </x:c>
      <x:c r="T385" s="84" t="str">
        <x:v>539592</x:v>
      </x:c>
      <x:c r="U385" s="84" t="str">
        <x:v>121814-2</x:v>
      </x:c>
      <x:c r="V385" s="84" t="str">
        <x:v>77211341-1</x:v>
      </x:c>
      <x:c r="W385" s="84" t="str"/>
    </x:row>
    <x:row r="386" ht="18" customHeight="1">
      <x:c r="A386" s="83" t="str">
        <x:v>HAYS-0385</x:v>
      </x:c>
      <x:c r="B386" s="87" t="str">
        <x:v>Hexalectris warnockii</x:v>
      </x:c>
      <x:c r="C386" s="87" t="str">
        <x:v>Bletia warnockii</x:v>
      </x:c>
      <x:c r="D386" s="84" t="str">
        <x:v>Orchidaceae</x:v>
      </x:c>
      <x:c r="E386" s="84" t="str">
        <x:v>Bletia</x:v>
      </x:c>
      <x:c r="F386" s="84" t="str">
        <x:v>Species</x:v>
      </x:c>
      <x:c r="G386" s="84" t="str">
        <x:v>Synonym</x:v>
      </x:c>
      <x:c r="H386" s="84" t="str">
        <x:v>Texas Crested Coralroot, Texas Purple Spike, Texas Crested Coral Root</x:v>
      </x:c>
      <x:c r="I386" s="84" t="str">
        <x:v>Perennial</x:v>
      </x:c>
      <x:c r="J386" s="84" t="str">
        <x:v>Herb</x:v>
      </x:c>
      <x:c r="K386" s="84" t="str"/>
      <x:c r="L386" s="84" t="str"/>
      <x:c r="M386" s="89" t="n">
        <x:v>1</x:v>
      </x:c>
      <x:c r="N386" s="89" t="n">
        <x:v>1</x:v>
      </x:c>
      <x:c r="O386" s="89" t="n">
        <x:v>0</x:v>
      </x:c>
      <x:c r="P386" s="89" t="n">
        <x:f>SUM(M386:O386)</x:f>
        <x:v>2</x:v>
      </x:c>
      <x:c r="Q386" s="84" t="str">
        <x:v>Exact synonym-name match</x:v>
      </x:c>
      <x:c r="R386" s="84" t="str">
        <x:v>Hexalectris warnockii</x:v>
      </x:c>
      <x:c r="S386" s="84" t="str">
        <x:v>99084</x:v>
      </x:c>
      <x:c r="T386" s="84" t="str">
        <x:v>539596</x:v>
      </x:c>
      <x:c r="U386" s="84" t="str">
        <x:v>121818-2</x:v>
      </x:c>
      <x:c r="V386" s="84" t="str">
        <x:v>77211345-1</x:v>
      </x:c>
      <x:c r="W386" s="84" t="str"/>
    </x:row>
    <x:row r="387" ht="18" customHeight="1">
      <x:c r="A387" s="83" t="str">
        <x:v>HAYS-0386</x:v>
      </x:c>
      <x:c r="B387" s="87" t="str">
        <x:v>Hibiscus laevis</x:v>
      </x:c>
      <x:c r="C387" s="87" t="str">
        <x:v>Muenchhusia laevis</x:v>
      </x:c>
      <x:c r="D387" s="84" t="str">
        <x:v>Malvaceae</x:v>
      </x:c>
      <x:c r="E387" s="84" t="str">
        <x:v>Muenchhusia</x:v>
      </x:c>
      <x:c r="F387" s="84" t="str">
        <x:v>Species</x:v>
      </x:c>
      <x:c r="G387" s="84" t="str">
        <x:v>Synonym</x:v>
      </x:c>
      <x:c r="H387" s="84" t="str">
        <x:v>Halberdleaf Rosemallow, Halberdleaf Hibiscus, Scarlet Rose Mallow, Halberd-leaved Hibiscus, Halberd-leaved Rose-mallow</x:v>
      </x:c>
      <x:c r="I387" s="84" t="str">
        <x:v>Perennial</x:v>
      </x:c>
      <x:c r="J387" s="84" t="str">
        <x:v>Herb</x:v>
      </x:c>
      <x:c r="K387" s="84" t="str">
        <x:v>Sun</x:v>
      </x:c>
      <x:c r="L387" s="84" t="str">
        <x:v>Medium–High</x:v>
      </x:c>
      <x:c r="M387" s="89" t="n">
        <x:v>0</x:v>
      </x:c>
      <x:c r="N387" s="89" t="n">
        <x:v>0</x:v>
      </x:c>
      <x:c r="O387" s="89" t="n">
        <x:v>1</x:v>
      </x:c>
      <x:c r="P387" s="89" t="n">
        <x:f>SUM(M387:O387)</x:f>
        <x:v>1</x:v>
      </x:c>
      <x:c r="Q387" s="84" t="str">
        <x:v>Exact synonym-name match</x:v>
      </x:c>
      <x:c r="R387" s="84" t="str">
        <x:v>Hibiscus laevis</x:v>
      </x:c>
      <x:c r="S387" s="84" t="str">
        <x:v>2904018</x:v>
      </x:c>
      <x:c r="T387" s="84" t="str">
        <x:v>3327627</x:v>
      </x:c>
      <x:c r="U387" s="84" t="str">
        <x:v>60457224-2</x:v>
      </x:c>
      <x:c r="V387" s="84" t="str">
        <x:v>77372182-1</x:v>
      </x:c>
      <x:c r="W387" s="84" t="str"/>
    </x:row>
    <x:row r="388" ht="18" customHeight="1">
      <x:c r="A388" s="83" t="str">
        <x:v>HAYS-0387</x:v>
      </x:c>
      <x:c r="B388" s="87" t="str">
        <x:v>Hibiscus moscheutos</x:v>
      </x:c>
      <x:c r="C388" s="87" t="str">
        <x:v>Muenchhusia moscheutos</x:v>
      </x:c>
      <x:c r="D388" s="84" t="str">
        <x:v>Malvaceae</x:v>
      </x:c>
      <x:c r="E388" s="84" t="str">
        <x:v>Muenchhusia</x:v>
      </x:c>
      <x:c r="F388" s="84" t="str">
        <x:v>Species</x:v>
      </x:c>
      <x:c r="G388" s="84" t="str">
        <x:v>Synonym</x:v>
      </x:c>
      <x:c r="H388" s="84" t="str">
        <x:v>Crimson-eyed Rose-mallow, Marshmallow Hibiscus</x:v>
      </x:c>
      <x:c r="I388" s="84" t="str">
        <x:v>Perennial</x:v>
      </x:c>
      <x:c r="J388" s="84" t="str">
        <x:v>Herb</x:v>
      </x:c>
      <x:c r="K388" s="84" t="str">
        <x:v>Sun</x:v>
      </x:c>
      <x:c r="L388" s="84" t="str">
        <x:v>Medium–High</x:v>
      </x:c>
      <x:c r="M388" s="89" t="n">
        <x:v>0</x:v>
      </x:c>
      <x:c r="N388" s="89" t="n">
        <x:v>0</x:v>
      </x:c>
      <x:c r="O388" s="89" t="n">
        <x:v>1</x:v>
      </x:c>
      <x:c r="P388" s="89" t="n">
        <x:f>SUM(M388:O388)</x:f>
        <x:v>1</x:v>
      </x:c>
      <x:c r="Q388" s="84" t="str">
        <x:v>Exact synonym-name match</x:v>
      </x:c>
      <x:c r="R388" s="84" t="str">
        <x:v>Hibiscus moscheutos</x:v>
      </x:c>
      <x:c r="S388" s="84" t="str">
        <x:v>2850211</x:v>
      </x:c>
      <x:c r="T388" s="84" t="str">
        <x:v>3327624</x:v>
      </x:c>
      <x:c r="U388" s="84" t="str">
        <x:v>30181863-2</x:v>
      </x:c>
      <x:c r="V388" s="84" t="str">
        <x:v>77372183-1</x:v>
      </x:c>
      <x:c r="W388" s="84" t="str"/>
    </x:row>
    <x:row r="389" ht="18" customHeight="1">
      <x:c r="A389" s="83" t="str">
        <x:v>HAYS-0388</x:v>
      </x:c>
      <x:c r="B389" s="87" t="str">
        <x:v>Hilaria belangeri</x:v>
      </x:c>
      <x:c r="C389" s="87" t="str">
        <x:v>Hilaria belangeri</x:v>
      </x:c>
      <x:c r="D389" s="84" t="str">
        <x:v>Poaceae</x:v>
      </x:c>
      <x:c r="E389" s="84" t="str">
        <x:v>Hilaria</x:v>
      </x:c>
      <x:c r="F389" s="84" t="str">
        <x:v>Species</x:v>
      </x:c>
      <x:c r="G389" s="84" t="str">
        <x:v>Accepted</x:v>
      </x:c>
      <x:c r="H389" s="84" t="str">
        <x:v>Curly Mesquite Grass, Curly Mesquite</x:v>
      </x:c>
      <x:c r="I389" s="84" t="str">
        <x:v>Perennial</x:v>
      </x:c>
      <x:c r="J389" s="84" t="str">
        <x:v>Grass/Grass-like</x:v>
      </x:c>
      <x:c r="K389" s="84" t="str">
        <x:v>Sun</x:v>
      </x:c>
      <x:c r="L389" s="84" t="str">
        <x:v>Dry</x:v>
      </x:c>
      <x:c r="M389" s="89" t="n">
        <x:v>1</x:v>
      </x:c>
      <x:c r="N389" s="89" t="n">
        <x:v>1</x:v>
      </x:c>
      <x:c r="O389" s="89" t="n">
        <x:v>0</x:v>
      </x:c>
      <x:c r="P389" s="89" t="n">
        <x:f>SUM(M389:O389)</x:f>
        <x:v>2</x:v>
      </x:c>
      <x:c r="Q389" s="84" t="str">
        <x:v>Exact accepted-name match</x:v>
      </x:c>
      <x:c r="R389" s="84" t="str">
        <x:v>Hilaria belangeri</x:v>
      </x:c>
      <x:c r="S389" s="84" t="str">
        <x:v>418947</x:v>
      </x:c>
      <x:c r="T389" s="84" t="str">
        <x:v>418947</x:v>
      </x:c>
      <x:c r="U389" s="84" t="str">
        <x:v>122613-2</x:v>
      </x:c>
      <x:c r="V389" s="84" t="str">
        <x:v>122613-2</x:v>
      </x:c>
      <x:c r="W389" s="84" t="str"/>
    </x:row>
    <x:row r="390" ht="18" customHeight="1">
      <x:c r="A390" s="83" t="str">
        <x:v>HAYS-0389</x:v>
      </x:c>
      <x:c r="B390" s="87" t="str">
        <x:v>Hordeum pusillum</x:v>
      </x:c>
      <x:c r="C390" s="87" t="str">
        <x:v>Hordeum pusillum</x:v>
      </x:c>
      <x:c r="D390" s="84" t="str">
        <x:v>Poaceae</x:v>
      </x:c>
      <x:c r="E390" s="84" t="str">
        <x:v>Hordeum</x:v>
      </x:c>
      <x:c r="F390" s="84" t="str">
        <x:v>Species</x:v>
      </x:c>
      <x:c r="G390" s="84" t="str">
        <x:v>Accepted</x:v>
      </x:c>
      <x:c r="H390" s="84" t="str">
        <x:v>Little Barley</x:v>
      </x:c>
      <x:c r="I390" s="84" t="str">
        <x:v>Annual</x:v>
      </x:c>
      <x:c r="J390" s="84" t="str">
        <x:v>Grass/Grass-like</x:v>
      </x:c>
      <x:c r="K390" s="84" t="str">
        <x:v>Sun</x:v>
      </x:c>
      <x:c r="L390" s="84" t="str"/>
      <x:c r="M390" s="89" t="n">
        <x:v>1</x:v>
      </x:c>
      <x:c r="N390" s="89" t="n">
        <x:v>1</x:v>
      </x:c>
      <x:c r="O390" s="89" t="n">
        <x:v>0</x:v>
      </x:c>
      <x:c r="P390" s="89" t="n">
        <x:f>SUM(M390:O390)</x:f>
        <x:v>2</x:v>
      </x:c>
      <x:c r="Q390" s="84" t="str">
        <x:v>Exact accepted-name match</x:v>
      </x:c>
      <x:c r="R390" s="84" t="str">
        <x:v>Hordeum pusillum</x:v>
      </x:c>
      <x:c r="S390" s="84" t="str">
        <x:v>419482</x:v>
      </x:c>
      <x:c r="T390" s="84" t="str">
        <x:v>419482</x:v>
      </x:c>
      <x:c r="U390" s="84" t="str">
        <x:v>123933-2</x:v>
      </x:c>
      <x:c r="V390" s="84" t="str">
        <x:v>123933-2</x:v>
      </x:c>
      <x:c r="W390" s="84" t="str"/>
    </x:row>
    <x:row r="391" ht="18" customHeight="1">
      <x:c r="A391" s="83" t="str">
        <x:v>HAYS-0390</x:v>
      </x:c>
      <x:c r="B391" s="87" t="str">
        <x:v>Hydrocotyle umbellata</x:v>
      </x:c>
      <x:c r="C391" s="87" t="str">
        <x:v>Hydrocotyle umbellata</x:v>
      </x:c>
      <x:c r="D391" s="84" t="str">
        <x:v>Araliaceae</x:v>
      </x:c>
      <x:c r="E391" s="84" t="str">
        <x:v>Hydrocotyle</x:v>
      </x:c>
      <x:c r="F391" s="84" t="str">
        <x:v>Species</x:v>
      </x:c>
      <x:c r="G391" s="84" t="str">
        <x:v>Accepted</x:v>
      </x:c>
      <x:c r="H391" s="84" t="str">
        <x:v>Manyflower Marsh-pennywort, Many-flowered Marsh-pennywort, Marsh Pennywort, Water Pennywort, Money Plant</x:v>
      </x:c>
      <x:c r="I391" s="84" t="str">
        <x:v>Perennial</x:v>
      </x:c>
      <x:c r="J391" s="84" t="str">
        <x:v>Herb</x:v>
      </x:c>
      <x:c r="K391" s="84" t="str">
        <x:v>Sun, Part Shade</x:v>
      </x:c>
      <x:c r="L391" s="84" t="str">
        <x:v>High</x:v>
      </x:c>
      <x:c r="M391" s="89" t="n">
        <x:v>1</x:v>
      </x:c>
      <x:c r="N391" s="89" t="n">
        <x:v>1</x:v>
      </x:c>
      <x:c r="O391" s="89" t="n">
        <x:v>1</x:v>
      </x:c>
      <x:c r="P391" s="89" t="n">
        <x:f>SUM(M391:O391)</x:f>
        <x:v>3</x:v>
      </x:c>
      <x:c r="Q391" s="84" t="str">
        <x:v>Exact accepted-name match</x:v>
      </x:c>
      <x:c r="R391" s="84" t="str">
        <x:v>Hydrocotyle umbellata</x:v>
      </x:c>
      <x:c r="S391" s="84" t="str">
        <x:v>2856369</x:v>
      </x:c>
      <x:c r="T391" s="84" t="str">
        <x:v>2856369</x:v>
      </x:c>
      <x:c r="U391" s="84" t="str">
        <x:v>843746-1</x:v>
      </x:c>
      <x:c r="V391" s="84" t="str">
        <x:v>843746-1</x:v>
      </x:c>
      <x:c r="W391" s="84" t="str"/>
    </x:row>
    <x:row r="392" ht="18" customHeight="1">
      <x:c r="A392" s="83" t="str">
        <x:v>HAYS-0391</x:v>
      </x:c>
      <x:c r="B392" s="87" t="str">
        <x:v>Hydrocotyle verticillata</x:v>
      </x:c>
      <x:c r="C392" s="87" t="str">
        <x:v>Hydrocotyle verticillata</x:v>
      </x:c>
      <x:c r="D392" s="84" t="str">
        <x:v>Araliaceae</x:v>
      </x:c>
      <x:c r="E392" s="84" t="str">
        <x:v>Hydrocotyle</x:v>
      </x:c>
      <x:c r="F392" s="84" t="str">
        <x:v>Species</x:v>
      </x:c>
      <x:c r="G392" s="84" t="str">
        <x:v>Accepted</x:v>
      </x:c>
      <x:c r="H392" s="84" t="str">
        <x:v>Whorled Marshpennywort</x:v>
      </x:c>
      <x:c r="I392" s="84" t="str">
        <x:v>Perennial</x:v>
      </x:c>
      <x:c r="J392" s="84" t="str">
        <x:v>Herb</x:v>
      </x:c>
      <x:c r="K392" s="84" t="str"/>
      <x:c r="L392" s="84" t="str"/>
      <x:c r="M392" s="89" t="n">
        <x:v>1</x:v>
      </x:c>
      <x:c r="N392" s="89" t="n">
        <x:v>1</x:v>
      </x:c>
      <x:c r="O392" s="89" t="n">
        <x:v>0</x:v>
      </x:c>
      <x:c r="P392" s="89" t="n">
        <x:f>SUM(M392:O392)</x:f>
        <x:v>2</x:v>
      </x:c>
      <x:c r="Q392" s="84" t="str">
        <x:v>Exact accepted-name match</x:v>
      </x:c>
      <x:c r="R392" s="84" t="str">
        <x:v>Hydrocotyle verticillata</x:v>
      </x:c>
      <x:c r="S392" s="84" t="str">
        <x:v>2856386</x:v>
      </x:c>
      <x:c r="T392" s="84" t="str">
        <x:v>2856386</x:v>
      </x:c>
      <x:c r="U392" s="84" t="str">
        <x:v>843759-1</x:v>
      </x:c>
      <x:c r="V392" s="84" t="str">
        <x:v>843759-1</x:v>
      </x:c>
      <x:c r="W392" s="84" t="str"/>
    </x:row>
    <x:row r="393" ht="18" customHeight="1">
      <x:c r="A393" s="83" t="str">
        <x:v>HAYS-0392</x:v>
      </x:c>
      <x:c r="B393" s="87" t="str">
        <x:v>Hygrophila lacustris</x:v>
      </x:c>
      <x:c r="C393" s="87" t="str">
        <x:v>Hygrophila costata</x:v>
      </x:c>
      <x:c r="D393" s="84" t="str">
        <x:v>Acanthaceae</x:v>
      </x:c>
      <x:c r="E393" s="84" t="str">
        <x:v>Hygrophila</x:v>
      </x:c>
      <x:c r="F393" s="84" t="str">
        <x:v>Species</x:v>
      </x:c>
      <x:c r="G393" s="84" t="str">
        <x:v>Synonym</x:v>
      </x:c>
      <x:c r="H393" s="84" t="str">
        <x:v>Gulf Swampweed</x:v>
      </x:c>
      <x:c r="I393" s="84" t="str">
        <x:v>Perennial</x:v>
      </x:c>
      <x:c r="J393" s="84" t="str">
        <x:v>Herb</x:v>
      </x:c>
      <x:c r="K393" s="84" t="str"/>
      <x:c r="L393" s="84" t="str"/>
      <x:c r="M393" s="89" t="n">
        <x:v>1</x:v>
      </x:c>
      <x:c r="N393" s="89" t="n">
        <x:v>1</x:v>
      </x:c>
      <x:c r="O393" s="89" t="n">
        <x:v>0</x:v>
      </x:c>
      <x:c r="P393" s="89" t="n">
        <x:f>SUM(M393:O393)</x:f>
        <x:v>2</x:v>
      </x:c>
      <x:c r="Q393" s="84" t="str">
        <x:v>Exact synonym-name match</x:v>
      </x:c>
      <x:c r="R393" s="84" t="str">
        <x:v>Hygrophila lacustris</x:v>
      </x:c>
      <x:c r="S393" s="84" t="str">
        <x:v>2856732</x:v>
      </x:c>
      <x:c r="T393" s="84" t="str">
        <x:v>2856690</x:v>
      </x:c>
      <x:c r="U393" s="84" t="str">
        <x:v>49712-1</x:v>
      </x:c>
      <x:c r="V393" s="84" t="str">
        <x:v>49672-1</x:v>
      </x:c>
      <x:c r="W393" s="84" t="str"/>
    </x:row>
    <x:row r="394" ht="18" customHeight="1">
      <x:c r="A394" s="83" t="str">
        <x:v>HAYS-0393</x:v>
      </x:c>
      <x:c r="B394" s="87" t="str">
        <x:v>Hymenopappus artemisiifolius var. artemisiifolius</x:v>
      </x:c>
      <x:c r="C394" s="87" t="str">
        <x:v>Hymenopappus artemisiifolius var. artemisiifolius</x:v>
      </x:c>
      <x:c r="D394" s="84" t="str">
        <x:v>Asteraceae</x:v>
      </x:c>
      <x:c r="E394" s="84" t="str">
        <x:v>Hymenopappus</x:v>
      </x:c>
      <x:c r="F394" s="84" t="str">
        <x:v>Variety</x:v>
      </x:c>
      <x:c r="G394" s="84" t="str">
        <x:v>Accepted</x:v>
      </x:c>
      <x:c r="H394" s="84" t="str">
        <x:v>Oldplainsman</x:v>
      </x:c>
      <x:c r="I394" s="84" t="str">
        <x:v>Biennial</x:v>
      </x:c>
      <x:c r="J394" s="84" t="str">
        <x:v>Herb</x:v>
      </x:c>
      <x:c r="K394" s="84" t="str"/>
      <x:c r="L394" s="84" t="str"/>
      <x:c r="M394" s="89" t="n">
        <x:v>1</x:v>
      </x:c>
      <x:c r="N394" s="89" t="n">
        <x:v>1</x:v>
      </x:c>
      <x:c r="O394" s="89" t="n">
        <x:v>0</x:v>
      </x:c>
      <x:c r="P394" s="89" t="n">
        <x:f>SUM(M394:O394)</x:f>
        <x:v>2</x:v>
      </x:c>
      <x:c r="Q394" s="84" t="str">
        <x:v>Exact accepted-name match</x:v>
      </x:c>
      <x:c r="R394" s="84" t="str">
        <x:v>Hymenopappus artemisiifolius var. artemisiifolius</x:v>
      </x:c>
      <x:c r="S394" s="84" t="str">
        <x:v>3267279</x:v>
      </x:c>
      <x:c r="T394" s="84" t="str">
        <x:v>3267279</x:v>
      </x:c>
      <x:c r="U394" s="84" t="str">
        <x:v>77233640-1</x:v>
      </x:c>
      <x:c r="V394" s="84" t="str">
        <x:v>77233640-1</x:v>
      </x:c>
      <x:c r="W394" s="84" t="str"/>
    </x:row>
    <x:row r="395" ht="18" customHeight="1">
      <x:c r="A395" s="83" t="str">
        <x:v>HAYS-0394</x:v>
      </x:c>
      <x:c r="B395" s="87" t="str">
        <x:v>Hymenopappus scabiosaeus var. corymbosus</x:v>
      </x:c>
      <x:c r="C395" s="87" t="str">
        <x:v>Hymenopappus scabiosaeus var. corymbosus</x:v>
      </x:c>
      <x:c r="D395" s="84" t="str">
        <x:v>Asteraceae</x:v>
      </x:c>
      <x:c r="E395" s="84" t="str">
        <x:v>Hymenopappus</x:v>
      </x:c>
      <x:c r="F395" s="84" t="str">
        <x:v>Variety</x:v>
      </x:c>
      <x:c r="G395" s="84" t="str">
        <x:v>Accepted</x:v>
      </x:c>
      <x:c r="H395" s="84" t="str">
        <x:v>Carolina Woollywhite, Old Plainsman</x:v>
      </x:c>
      <x:c r="I395" s="84" t="str">
        <x:v>Biennial</x:v>
      </x:c>
      <x:c r="J395" s="84" t="str">
        <x:v>Herb</x:v>
      </x:c>
      <x:c r="K395" s="84" t="str"/>
      <x:c r="L395" s="84" t="str"/>
      <x:c r="M395" s="89" t="n">
        <x:v>1</x:v>
      </x:c>
      <x:c r="N395" s="89" t="n">
        <x:v>1</x:v>
      </x:c>
      <x:c r="O395" s="89" t="n">
        <x:v>0</x:v>
      </x:c>
      <x:c r="P395" s="89" t="n">
        <x:f>SUM(M395:O395)</x:f>
        <x:v>2</x:v>
      </x:c>
      <x:c r="Q395" s="84" t="str">
        <x:v>Exact accepted-name match</x:v>
      </x:c>
      <x:c r="R395" s="84" t="str">
        <x:v>Hymenopappus scabiosaeus var. corymbosus</x:v>
      </x:c>
      <x:c r="S395" s="84" t="str">
        <x:v>3117942</x:v>
      </x:c>
      <x:c r="T395" s="84" t="str">
        <x:v>3117942</x:v>
      </x:c>
      <x:c r="U395" s="84" t="str">
        <x:v>1022446-2</x:v>
      </x:c>
      <x:c r="V395" s="84" t="str">
        <x:v>1022446-2</x:v>
      </x:c>
      <x:c r="W395" s="84" t="str"/>
    </x:row>
    <x:row r="396" ht="18" customHeight="1">
      <x:c r="A396" s="83" t="str">
        <x:v>HAYS-0395</x:v>
      </x:c>
      <x:c r="B396" s="87" t="str">
        <x:v>Hymenopappus tenuifolius</x:v>
      </x:c>
      <x:c r="C396" s="87" t="str">
        <x:v>Hymenopappus tenuifolius</x:v>
      </x:c>
      <x:c r="D396" s="84" t="str">
        <x:v>Asteraceae</x:v>
      </x:c>
      <x:c r="E396" s="84" t="str">
        <x:v>Hymenopappus</x:v>
      </x:c>
      <x:c r="F396" s="84" t="str">
        <x:v>Species</x:v>
      </x:c>
      <x:c r="G396" s="84" t="str">
        <x:v>Accepted</x:v>
      </x:c>
      <x:c r="H396" s="84" t="str">
        <x:v>Chalk Hill Hymenopappus, Chalkhill Woolywhite</x:v>
      </x:c>
      <x:c r="I396" s="84" t="str">
        <x:v>Biennial</x:v>
      </x:c>
      <x:c r="J396" s="84" t="str">
        <x:v>Herb</x:v>
      </x:c>
      <x:c r="K396" s="84" t="str"/>
      <x:c r="L396" s="84" t="str"/>
      <x:c r="M396" s="89" t="n">
        <x:v>1</x:v>
      </x:c>
      <x:c r="N396" s="89" t="n">
        <x:v>1</x:v>
      </x:c>
      <x:c r="O396" s="89" t="n">
        <x:v>0</x:v>
      </x:c>
      <x:c r="P396" s="89" t="n">
        <x:f>SUM(M396:O396)</x:f>
        <x:v>2</x:v>
      </x:c>
      <x:c r="Q396" s="84" t="str">
        <x:v>Exact accepted-name match</x:v>
      </x:c>
      <x:c r="R396" s="84" t="str">
        <x:v>Hymenopappus tenuifolius</x:v>
      </x:c>
      <x:c r="S396" s="84" t="str">
        <x:v>3117944</x:v>
      </x:c>
      <x:c r="T396" s="84" t="str">
        <x:v>3117944</x:v>
      </x:c>
      <x:c r="U396" s="84" t="str">
        <x:v>125678-2</x:v>
      </x:c>
      <x:c r="V396" s="84" t="str">
        <x:v>125678-2</x:v>
      </x:c>
      <x:c r="W396" s="84" t="str"/>
    </x:row>
    <x:row r="397" ht="18" customHeight="1">
      <x:c r="A397" s="83" t="str">
        <x:v>HAYS-0396</x:v>
      </x:c>
      <x:c r="B397" s="87" t="str">
        <x:v>Hypericum hypericoides</x:v>
      </x:c>
      <x:c r="C397" s="87" t="str">
        <x:v>Hypericum hypericoides</x:v>
      </x:c>
      <x:c r="D397" s="84" t="str">
        <x:v>Hypericaceae</x:v>
      </x:c>
      <x:c r="E397" s="84" t="str">
        <x:v>Hypericum</x:v>
      </x:c>
      <x:c r="F397" s="84" t="str">
        <x:v>Species</x:v>
      </x:c>
      <x:c r="G397" s="84" t="str">
        <x:v>Accepted</x:v>
      </x:c>
      <x:c r="H397" s="84" t="str">
        <x:v>St. Andrew's-cross</x:v>
      </x:c>
      <x:c r="I397" s="84" t="str">
        <x:v>Perennial</x:v>
      </x:c>
      <x:c r="J397" s="84" t="str">
        <x:v>Subshrub</x:v>
      </x:c>
      <x:c r="K397" s="84" t="str"/>
      <x:c r="L397" s="84" t="str"/>
      <x:c r="M397" s="89" t="n">
        <x:v>1</x:v>
      </x:c>
      <x:c r="N397" s="89" t="n">
        <x:v>1</x:v>
      </x:c>
      <x:c r="O397" s="89" t="n">
        <x:v>0</x:v>
      </x:c>
      <x:c r="P397" s="89" t="n">
        <x:f>SUM(M397:O397)</x:f>
        <x:v>2</x:v>
      </x:c>
      <x:c r="Q397" s="84" t="str">
        <x:v>Exact accepted-name match</x:v>
      </x:c>
      <x:c r="R397" s="84" t="str">
        <x:v>Hypericum hypericoides</x:v>
      </x:c>
      <x:c r="S397" s="84" t="str">
        <x:v>515678</x:v>
      </x:c>
      <x:c r="T397" s="84" t="str">
        <x:v>515678</x:v>
      </x:c>
      <x:c r="U397" s="84" t="str">
        <x:v>30080839-2</x:v>
      </x:c>
      <x:c r="V397" s="84" t="str">
        <x:v>30080839-2</x:v>
      </x:c>
      <x:c r="W397" s="84" t="str"/>
    </x:row>
    <x:row r="398" ht="18" customHeight="1">
      <x:c r="A398" s="83" t="str">
        <x:v>HAYS-0397</x:v>
      </x:c>
      <x:c r="B398" s="87" t="str">
        <x:v>Ibervillea lindheimeri</x:v>
      </x:c>
      <x:c r="C398" s="87" t="str">
        <x:v>Ibervillea lindheimeri</x:v>
      </x:c>
      <x:c r="D398" s="84" t="str">
        <x:v>Cucurbitaceae</x:v>
      </x:c>
      <x:c r="E398" s="84" t="str">
        <x:v>Ibervillea</x:v>
      </x:c>
      <x:c r="F398" s="84" t="str">
        <x:v>Species</x:v>
      </x:c>
      <x:c r="G398" s="84" t="str">
        <x:v>Accepted</x:v>
      </x:c>
      <x:c r="H398" s="84" t="str">
        <x:v>Balsam Gourd, Lindheimer's Globeberry, Globe Berry, Snake-apple, Balsam-apple</x:v>
      </x:c>
      <x:c r="I398" s="84" t="str">
        <x:v>Perennial</x:v>
      </x:c>
      <x:c r="J398" s="84" t="str">
        <x:v>Vine</x:v>
      </x:c>
      <x:c r="K398" s="84" t="str">
        <x:v>Sun</x:v>
      </x:c>
      <x:c r="L398" s="84" t="str">
        <x:v>Moist</x:v>
      </x:c>
      <x:c r="M398" s="89" t="n">
        <x:v>1</x:v>
      </x:c>
      <x:c r="N398" s="89" t="n">
        <x:v>1</x:v>
      </x:c>
      <x:c r="O398" s="89" t="n">
        <x:v>0</x:v>
      </x:c>
      <x:c r="P398" s="89" t="n">
        <x:f>SUM(M398:O398)</x:f>
        <x:v>2</x:v>
      </x:c>
      <x:c r="Q398" s="84" t="str">
        <x:v>Exact accepted-name match</x:v>
      </x:c>
      <x:c r="R398" s="84" t="str">
        <x:v>Ibervillea lindheimeri</x:v>
      </x:c>
      <x:c r="S398" s="84" t="str">
        <x:v>2859953</x:v>
      </x:c>
      <x:c r="T398" s="84" t="str">
        <x:v>2859953</x:v>
      </x:c>
      <x:c r="U398" s="84" t="str">
        <x:v>127275-2</x:v>
      </x:c>
      <x:c r="V398" s="84" t="str">
        <x:v>127275-2</x:v>
      </x:c>
      <x:c r="W398" s="84" t="str"/>
    </x:row>
    <x:row r="399" ht="18" customHeight="1">
      <x:c r="A399" s="83" t="str">
        <x:v>HAYS-0398</x:v>
      </x:c>
      <x:c r="B399" s="87" t="str">
        <x:v>Ilex decidua</x:v>
      </x:c>
      <x:c r="C399" s="87" t="str">
        <x:v>Ilex decidua</x:v>
      </x:c>
      <x:c r="D399" s="84" t="str">
        <x:v>Aquifoliaceae</x:v>
      </x:c>
      <x:c r="E399" s="84" t="str">
        <x:v>Ilex</x:v>
      </x:c>
      <x:c r="F399" s="84" t="str">
        <x:v>Species</x:v>
      </x:c>
      <x:c r="G399" s="84" t="str">
        <x:v>Accepted</x:v>
      </x:c>
      <x:c r="H399" s="84" t="str">
        <x:v>Possumhaw, Possumhaw Holly, Deciduous Holly, Meadow Holly, Prairie Holly, Swamp Holly, Welk Holly, Deciduous Yaupon, Bearberry, Winterberry</x:v>
      </x:c>
      <x:c r="I399" s="84" t="str">
        <x:v>Perennial</x:v>
      </x:c>
      <x:c r="J399" s="84" t="str">
        <x:v>Shrub, Tree</x:v>
      </x:c>
      <x:c r="K399" s="84" t="str">
        <x:v>Sun, Part Shade</x:v>
      </x:c>
      <x:c r="L399" s="84" t="str">
        <x:v>Medium</x:v>
      </x:c>
      <x:c r="M399" s="89" t="n">
        <x:v>1</x:v>
      </x:c>
      <x:c r="N399" s="89" t="n">
        <x:v>1</x:v>
      </x:c>
      <x:c r="O399" s="89" t="n">
        <x:v>1</x:v>
      </x:c>
      <x:c r="P399" s="89" t="n">
        <x:f>SUM(M399:O399)</x:f>
        <x:v>3</x:v>
      </x:c>
      <x:c r="Q399" s="84" t="str">
        <x:v>Exact accepted-name match</x:v>
      </x:c>
      <x:c r="R399" s="84" t="str">
        <x:v>Ilex decidua</x:v>
      </x:c>
      <x:c r="S399" s="84" t="str">
        <x:v>2860638</x:v>
      </x:c>
      <x:c r="T399" s="84" t="str">
        <x:v>2860638</x:v>
      </x:c>
      <x:c r="U399" s="84" t="str">
        <x:v>30032254-2</x:v>
      </x:c>
      <x:c r="V399" s="84" t="str">
        <x:v>30032254-2</x:v>
      </x:c>
      <x:c r="W399" s="84" t="str"/>
    </x:row>
    <x:row r="400" ht="18" customHeight="1">
      <x:c r="A400" s="83" t="str">
        <x:v>HAYS-0399</x:v>
      </x:c>
      <x:c r="B400" s="87" t="str">
        <x:v>Ilex vomitoria</x:v>
      </x:c>
      <x:c r="C400" s="87" t="str">
        <x:v>Ilex vomitoria</x:v>
      </x:c>
      <x:c r="D400" s="84" t="str">
        <x:v>Aquifoliaceae</x:v>
      </x:c>
      <x:c r="E400" s="84" t="str">
        <x:v>Ilex</x:v>
      </x:c>
      <x:c r="F400" s="84" t="str">
        <x:v>Species</x:v>
      </x:c>
      <x:c r="G400" s="84" t="str">
        <x:v>Accepted</x:v>
      </x:c>
      <x:c r="H400" s="84" t="str">
        <x:v>Yaupon, Yaupon Holly, Cassina</x:v>
      </x:c>
      <x:c r="I400" s="84" t="str">
        <x:v>Perennial</x:v>
      </x:c>
      <x:c r="J400" s="84" t="str">
        <x:v>Shrub, Tree</x:v>
      </x:c>
      <x:c r="K400" s="84" t="str">
        <x:v>Sun, Part Shade</x:v>
      </x:c>
      <x:c r="L400" s="84" t="str">
        <x:v>Low–Medium</x:v>
      </x:c>
      <x:c r="M400" s="89" t="n">
        <x:v>1</x:v>
      </x:c>
      <x:c r="N400" s="89" t="n">
        <x:v>1</x:v>
      </x:c>
      <x:c r="O400" s="89" t="n">
        <x:v>1</x:v>
      </x:c>
      <x:c r="P400" s="89" t="n">
        <x:f>SUM(M400:O400)</x:f>
        <x:v>3</x:v>
      </x:c>
      <x:c r="Q400" s="84" t="str">
        <x:v>Exact accepted-name match</x:v>
      </x:c>
      <x:c r="R400" s="84" t="str">
        <x:v>Ilex vomitoria</x:v>
      </x:c>
      <x:c r="S400" s="84" t="str">
        <x:v>2861645</x:v>
      </x:c>
      <x:c r="T400" s="84" t="str">
        <x:v>2861645</x:v>
      </x:c>
      <x:c r="U400" s="84" t="str">
        <x:v>83863-1</x:v>
      </x:c>
      <x:c r="V400" s="84" t="str">
        <x:v>83863-1</x:v>
      </x:c>
      <x:c r="W400" s="84" t="str"/>
    </x:row>
    <x:row r="401" ht="18" customHeight="1">
      <x:c r="A401" s="83" t="str">
        <x:v>HAYS-0400</x:v>
      </x:c>
      <x:c r="B401" s="87" t="str">
        <x:v>Indigofera miniata</x:v>
      </x:c>
      <x:c r="C401" s="87" t="str">
        <x:v>Indigofera miniata</x:v>
      </x:c>
      <x:c r="D401" s="84" t="str">
        <x:v>Fabaceae</x:v>
      </x:c>
      <x:c r="E401" s="84" t="str">
        <x:v>Indigofera</x:v>
      </x:c>
      <x:c r="F401" s="84" t="str">
        <x:v>Species</x:v>
      </x:c>
      <x:c r="G401" s="84" t="str">
        <x:v>Accepted</x:v>
      </x:c>
      <x:c r="H401" s="84" t="str">
        <x:v>Scarlet Pea, Coastal Indigo, Texas Indigo, Western Indigo</x:v>
      </x:c>
      <x:c r="I401" s="84" t="str">
        <x:v>Perennial</x:v>
      </x:c>
      <x:c r="J401" s="84" t="str">
        <x:v>Herb</x:v>
      </x:c>
      <x:c r="K401" s="84" t="str">
        <x:v>Sun, Part-shade</x:v>
      </x:c>
      <x:c r="L401" s="84" t="str">
        <x:v>Moist, Dry</x:v>
      </x:c>
      <x:c r="M401" s="89" t="n">
        <x:v>1</x:v>
      </x:c>
      <x:c r="N401" s="89" t="n">
        <x:v>1</x:v>
      </x:c>
      <x:c r="O401" s="89" t="n">
        <x:v>0</x:v>
      </x:c>
      <x:c r="P401" s="89" t="n">
        <x:f>SUM(M401:O401)</x:f>
        <x:v>2</x:v>
      </x:c>
      <x:c r="Q401" s="84" t="str">
        <x:v>Exact accepted-name match</x:v>
      </x:c>
      <x:c r="R401" s="84" t="str">
        <x:v>Indigofera miniata</x:v>
      </x:c>
      <x:c r="S401" s="84" t="str">
        <x:v>2864352</x:v>
      </x:c>
      <x:c r="T401" s="84" t="str">
        <x:v>2864352</x:v>
      </x:c>
      <x:c r="U401" s="84" t="str">
        <x:v>499672-1</x:v>
      </x:c>
      <x:c r="V401" s="84" t="str">
        <x:v>499672-1</x:v>
      </x:c>
      <x:c r="W401" s="84" t="str"/>
    </x:row>
    <x:row r="402" ht="18" customHeight="1">
      <x:c r="A402" s="83" t="str">
        <x:v>HAYS-0401</x:v>
      </x:c>
      <x:c r="B402" s="87" t="str">
        <x:v>Ipomoea cordatotriloba var. cordatotriloba</x:v>
      </x:c>
      <x:c r="C402" s="87" t="str"/>
      <x:c r="D402" s="84" t="str"/>
      <x:c r="E402" s="84" t="str">
        <x:v>Ipomoea</x:v>
      </x:c>
      <x:c r="F402" s="84" t="str"/>
      <x:c r="G402" s="84" t="str"/>
      <x:c r="H402" s="84" t="str">
        <x:v>Tievine, Sharp-pod Morning Glory, Purple Bindweed, Tie Vine</x:v>
      </x:c>
      <x:c r="I402" s="84" t="str">
        <x:v>Perennial</x:v>
      </x:c>
      <x:c r="J402" s="84" t="str">
        <x:v>Vine</x:v>
      </x:c>
      <x:c r="K402" s="84" t="str">
        <x:v>Part-shade</x:v>
      </x:c>
      <x:c r="L402" s="84" t="str"/>
      <x:c r="M402" s="89" t="n">
        <x:v>1</x:v>
      </x:c>
      <x:c r="N402" s="89" t="n">
        <x:v>1</x:v>
      </x:c>
      <x:c r="O402" s="89" t="n">
        <x:v>0</x:v>
      </x:c>
      <x:c r="P402" s="89" t="n">
        <x:f>SUM(M402:O402)</x:f>
        <x:v>2</x:v>
      </x:c>
      <x:c r="Q402" s="84" t="str">
        <x:v>No exact WCVP name match</x:v>
      </x:c>
      <x:c r="R402" s="84" t="str"/>
      <x:c r="S402" s="84" t="str"/>
      <x:c r="T402" s="84" t="str"/>
      <x:c r="U402" s="84" t="str"/>
      <x:c r="V402" s="84" t="str"/>
      <x:c r="W402" s="84" t="str">
        <x:v>Review</x:v>
      </x:c>
    </x:row>
    <x:row r="403" ht="18" customHeight="1">
      <x:c r="A403" s="83" t="str">
        <x:v>HAYS-0402</x:v>
      </x:c>
      <x:c r="B403" s="87" t="str">
        <x:v>Ipomoea lindheimeri</x:v>
      </x:c>
      <x:c r="C403" s="87" t="str">
        <x:v>Ipomoea lindheimeri</x:v>
      </x:c>
      <x:c r="D403" s="84" t="str">
        <x:v>Convolvulaceae</x:v>
      </x:c>
      <x:c r="E403" s="84" t="str">
        <x:v>Ipomoea</x:v>
      </x:c>
      <x:c r="F403" s="84" t="str">
        <x:v>Species</x:v>
      </x:c>
      <x:c r="G403" s="84" t="str">
        <x:v>Accepted</x:v>
      </x:c>
      <x:c r="H403" s="84" t="str">
        <x:v>Lindheimer's Morning-glory, Blue Morning Glory</x:v>
      </x:c>
      <x:c r="I403" s="84" t="str">
        <x:v>Perennial</x:v>
      </x:c>
      <x:c r="J403" s="84" t="str">
        <x:v>Vine</x:v>
      </x:c>
      <x:c r="K403" s="84" t="str">
        <x:v>Sun</x:v>
      </x:c>
      <x:c r="L403" s="84" t="str">
        <x:v>Dry</x:v>
      </x:c>
      <x:c r="M403" s="89" t="n">
        <x:v>1</x:v>
      </x:c>
      <x:c r="N403" s="89" t="n">
        <x:v>1</x:v>
      </x:c>
      <x:c r="O403" s="89" t="n">
        <x:v>0</x:v>
      </x:c>
      <x:c r="P403" s="89" t="n">
        <x:f>SUM(M403:O403)</x:f>
        <x:v>2</x:v>
      </x:c>
      <x:c r="Q403" s="84" t="str">
        <x:v>Exact accepted-name match</x:v>
      </x:c>
      <x:c r="R403" s="84" t="str">
        <x:v>Ipomoea lindheimeri</x:v>
      </x:c>
      <x:c r="S403" s="84" t="str">
        <x:v>481739</x:v>
      </x:c>
      <x:c r="T403" s="84" t="str">
        <x:v>481739</x:v>
      </x:c>
      <x:c r="U403" s="84" t="str">
        <x:v>269203-1</x:v>
      </x:c>
      <x:c r="V403" s="84" t="str">
        <x:v>269203-1</x:v>
      </x:c>
      <x:c r="W403" s="84" t="str"/>
    </x:row>
    <x:row r="404" ht="18" customHeight="1">
      <x:c r="A404" s="83" t="str">
        <x:v>HAYS-0403</x:v>
      </x:c>
      <x:c r="B404" s="87" t="str">
        <x:v>Ipomopsis rubra</x:v>
      </x:c>
      <x:c r="C404" s="87" t="str">
        <x:v>Ipomopsis rubra</x:v>
      </x:c>
      <x:c r="D404" s="84" t="str">
        <x:v>Polemoniaceae</x:v>
      </x:c>
      <x:c r="E404" s="84" t="str">
        <x:v>Ipomopsis</x:v>
      </x:c>
      <x:c r="F404" s="84" t="str">
        <x:v>Species</x:v>
      </x:c>
      <x:c r="G404" s="84" t="str">
        <x:v>Accepted</x:v>
      </x:c>
      <x:c r="H404" s="84" t="str">
        <x:v>Standing Cypress, Texas Plume, Red Texas Star, Red Gilia</x:v>
      </x:c>
      <x:c r="I404" s="84" t="str">
        <x:v>Biennial</x:v>
      </x:c>
      <x:c r="J404" s="84" t="str">
        <x:v>Herb</x:v>
      </x:c>
      <x:c r="K404" s="84" t="str">
        <x:v>Sun</x:v>
      </x:c>
      <x:c r="L404" s="84" t="str">
        <x:v>Low</x:v>
      </x:c>
      <x:c r="M404" s="89" t="n">
        <x:v>1</x:v>
      </x:c>
      <x:c r="N404" s="89" t="n">
        <x:v>1</x:v>
      </x:c>
      <x:c r="O404" s="89" t="n">
        <x:v>1</x:v>
      </x:c>
      <x:c r="P404" s="89" t="n">
        <x:f>SUM(M404:O404)</x:f>
        <x:v>3</x:v>
      </x:c>
      <x:c r="Q404" s="84" t="str">
        <x:v>Exact accepted-name match</x:v>
      </x:c>
      <x:c r="R404" s="84" t="str">
        <x:v>Ipomopsis rubra</x:v>
      </x:c>
      <x:c r="S404" s="84" t="str">
        <x:v>2866475</x:v>
      </x:c>
      <x:c r="T404" s="84" t="str">
        <x:v>2866475</x:v>
      </x:c>
      <x:c r="U404" s="84" t="str">
        <x:v>129855-2</x:v>
      </x:c>
      <x:c r="V404" s="84" t="str">
        <x:v>129855-2</x:v>
      </x:c>
      <x:c r="W404" s="84" t="str"/>
    </x:row>
    <x:row r="405" ht="18" customHeight="1">
      <x:c r="A405" s="83" t="str">
        <x:v>HAYS-0404</x:v>
      </x:c>
      <x:c r="B405" s="87" t="str">
        <x:v>Iva angustifolia</x:v>
      </x:c>
      <x:c r="C405" s="87" t="str">
        <x:v>Iva asperifolia var. angustifolia</x:v>
      </x:c>
      <x:c r="D405" s="84" t="str">
        <x:v>Asteraceae</x:v>
      </x:c>
      <x:c r="E405" s="84" t="str">
        <x:v>Iva</x:v>
      </x:c>
      <x:c r="F405" s="84" t="str">
        <x:v>Species</x:v>
      </x:c>
      <x:c r="G405" s="84" t="str">
        <x:v>Synonym</x:v>
      </x:c>
      <x:c r="H405" s="84" t="str">
        <x:v>Narrowleaf Marshelder, Narrow-leaf Sumpweed, Narrowleaf Marsh Elder</x:v>
      </x:c>
      <x:c r="I405" s="84" t="str">
        <x:v>Annual</x:v>
      </x:c>
      <x:c r="J405" s="84" t="str">
        <x:v>Herb</x:v>
      </x:c>
      <x:c r="K405" s="84" t="str"/>
      <x:c r="L405" s="84" t="str"/>
      <x:c r="M405" s="89" t="n">
        <x:v>1</x:v>
      </x:c>
      <x:c r="N405" s="89" t="n">
        <x:v>1</x:v>
      </x:c>
      <x:c r="O405" s="89" t="n">
        <x:v>0</x:v>
      </x:c>
      <x:c r="P405" s="89" t="n">
        <x:f>SUM(M405:O405)</x:f>
        <x:v>2</x:v>
      </x:c>
      <x:c r="Q405" s="84" t="str">
        <x:v>Exact synonym-name match</x:v>
      </x:c>
      <x:c r="R405" s="84" t="str">
        <x:v>Iva angustifolia</x:v>
      </x:c>
      <x:c r="S405" s="84" t="str">
        <x:v>3119613</x:v>
      </x:c>
      <x:c r="T405" s="84" t="str">
        <x:v>3119614</x:v>
      </x:c>
      <x:c r="U405" s="84" t="str">
        <x:v>30361801-2</x:v>
      </x:c>
      <x:c r="V405" s="84" t="str">
        <x:v>60451320-2</x:v>
      </x:c>
      <x:c r="W405" s="84" t="str"/>
    </x:row>
    <x:row r="406" ht="18" customHeight="1">
      <x:c r="A406" s="83" t="str">
        <x:v>HAYS-0405</x:v>
      </x:c>
      <x:c r="B406" s="87" t="str">
        <x:v>Iva annua</x:v>
      </x:c>
      <x:c r="C406" s="87" t="str">
        <x:v>Iva annua</x:v>
      </x:c>
      <x:c r="D406" s="84" t="str">
        <x:v>Asteraceae</x:v>
      </x:c>
      <x:c r="E406" s="84" t="str">
        <x:v>Iva</x:v>
      </x:c>
      <x:c r="F406" s="84" t="str">
        <x:v>Species</x:v>
      </x:c>
      <x:c r="G406" s="84" t="str">
        <x:v>Accepted</x:v>
      </x:c>
      <x:c r="H406" s="84" t="str">
        <x:v>Annual Marshelder, Marshelder, Sumpweed, Annual Marsh Elder, Marsh Elder</x:v>
      </x:c>
      <x:c r="I406" s="84" t="str">
        <x:v>Annual</x:v>
      </x:c>
      <x:c r="J406" s="84" t="str">
        <x:v>Herb</x:v>
      </x:c>
      <x:c r="K406" s="84" t="str"/>
      <x:c r="L406" s="84" t="str"/>
      <x:c r="M406" s="89" t="n">
        <x:v>1</x:v>
      </x:c>
      <x:c r="N406" s="89" t="n">
        <x:v>1</x:v>
      </x:c>
      <x:c r="O406" s="89" t="n">
        <x:v>0</x:v>
      </x:c>
      <x:c r="P406" s="89" t="n">
        <x:f>SUM(M406:O406)</x:f>
        <x:v>2</x:v>
      </x:c>
      <x:c r="Q406" s="84" t="str">
        <x:v>Exact accepted-name match</x:v>
      </x:c>
      <x:c r="R406" s="84" t="str">
        <x:v>Iva annua</x:v>
      </x:c>
      <x:c r="S406" s="84" t="str">
        <x:v>3119607</x:v>
      </x:c>
      <x:c r="T406" s="84" t="str">
        <x:v>3119607</x:v>
      </x:c>
      <x:c r="U406" s="84" t="str">
        <x:v>226339-1</x:v>
      </x:c>
      <x:c r="V406" s="84" t="str">
        <x:v>226339-1</x:v>
      </x:c>
      <x:c r="W406" s="84" t="str"/>
    </x:row>
    <x:row r="407" ht="18" customHeight="1">
      <x:c r="A407" s="83" t="str">
        <x:v>HAYS-0406</x:v>
      </x:c>
      <x:c r="B407" s="87" t="str">
        <x:v>Juglans major</x:v>
      </x:c>
      <x:c r="C407" s="87" t="str">
        <x:v>Juglans major</x:v>
      </x:c>
      <x:c r="D407" s="84" t="str">
        <x:v>Juglandaceae</x:v>
      </x:c>
      <x:c r="E407" s="84" t="str">
        <x:v>Juglans</x:v>
      </x:c>
      <x:c r="F407" s="84" t="str">
        <x:v>Species</x:v>
      </x:c>
      <x:c r="G407" s="84" t="str">
        <x:v>Accepted</x:v>
      </x:c>
      <x:c r="H407" s="84" t="str">
        <x:v>Arizona Walnut, Arizona Black Walnut, River Walnut, Mountain Walnut, Nogal Silvestre</x:v>
      </x:c>
      <x:c r="I407" s="84" t="str">
        <x:v>Perennial</x:v>
      </x:c>
      <x:c r="J407" s="84" t="str">
        <x:v>Tree</x:v>
      </x:c>
      <x:c r="K407" s="84" t="str">
        <x:v>Sun, Part-shade</x:v>
      </x:c>
      <x:c r="L407" s="84" t="str">
        <x:v>Dry</x:v>
      </x:c>
      <x:c r="M407" s="89" t="n">
        <x:v>1</x:v>
      </x:c>
      <x:c r="N407" s="89" t="n">
        <x:v>1</x:v>
      </x:c>
      <x:c r="O407" s="89" t="n">
        <x:v>0</x:v>
      </x:c>
      <x:c r="P407" s="89" t="n">
        <x:f>SUM(M407:O407)</x:f>
        <x:v>2</x:v>
      </x:c>
      <x:c r="Q407" s="84" t="str">
        <x:v>Exact accepted-name match</x:v>
      </x:c>
      <x:c r="R407" s="84" t="str">
        <x:v>Juglans major</x:v>
      </x:c>
      <x:c r="S407" s="84" t="str">
        <x:v>2331814</x:v>
      </x:c>
      <x:c r="T407" s="84" t="str">
        <x:v>2331814</x:v>
      </x:c>
      <x:c r="U407" s="84" t="str">
        <x:v>131762-2</x:v>
      </x:c>
      <x:c r="V407" s="84" t="str">
        <x:v>131762-2</x:v>
      </x:c>
      <x:c r="W407" s="84" t="str"/>
    </x:row>
    <x:row r="408" ht="18" customHeight="1">
      <x:c r="A408" s="83" t="str">
        <x:v>HAYS-0407</x:v>
      </x:c>
      <x:c r="B408" s="87" t="str">
        <x:v>Juglans microcarpa</x:v>
      </x:c>
      <x:c r="C408" s="87" t="str">
        <x:v>Juglans microcarpa</x:v>
      </x:c>
      <x:c r="D408" s="84" t="str">
        <x:v>Juglandaceae</x:v>
      </x:c>
      <x:c r="E408" s="84" t="str">
        <x:v>Juglans</x:v>
      </x:c>
      <x:c r="F408" s="84" t="str">
        <x:v>Species</x:v>
      </x:c>
      <x:c r="G408" s="84" t="str">
        <x:v>Accepted</x:v>
      </x:c>
      <x:c r="H408" s="84" t="str">
        <x:v>Littleleaf Walnut, Little walnut</x:v>
      </x:c>
      <x:c r="I408" s="84" t="str">
        <x:v>Perennial</x:v>
      </x:c>
      <x:c r="J408" s="84" t="str">
        <x:v>Tree</x:v>
      </x:c>
      <x:c r="K408" s="84" t="str">
        <x:v>Sun</x:v>
      </x:c>
      <x:c r="L408" s="84" t="str">
        <x:v>Low</x:v>
      </x:c>
      <x:c r="M408" s="89" t="n">
        <x:v>1</x:v>
      </x:c>
      <x:c r="N408" s="89" t="n">
        <x:v>1</x:v>
      </x:c>
      <x:c r="O408" s="89" t="n">
        <x:v>1</x:v>
      </x:c>
      <x:c r="P408" s="89" t="n">
        <x:f>SUM(M408:O408)</x:f>
        <x:v>3</x:v>
      </x:c>
      <x:c r="Q408" s="84" t="str">
        <x:v>Exact accepted-name match</x:v>
      </x:c>
      <x:c r="R408" s="84" t="str">
        <x:v>Juglans microcarpa</x:v>
      </x:c>
      <x:c r="S408" s="84" t="str">
        <x:v>2331862</x:v>
      </x:c>
      <x:c r="T408" s="84" t="str">
        <x:v>2331862</x:v>
      </x:c>
      <x:c r="U408" s="84" t="str">
        <x:v>442391-1</x:v>
      </x:c>
      <x:c r="V408" s="84" t="str">
        <x:v>442391-1</x:v>
      </x:c>
      <x:c r="W408" s="84" t="str"/>
    </x:row>
    <x:row r="409" ht="18" customHeight="1">
      <x:c r="A409" s="83" t="str">
        <x:v>HAYS-0408</x:v>
      </x:c>
      <x:c r="B409" s="87" t="str">
        <x:v>Juglans nigra</x:v>
      </x:c>
      <x:c r="C409" s="87" t="str">
        <x:v>Juglans nigra</x:v>
      </x:c>
      <x:c r="D409" s="84" t="str">
        <x:v>Juglandaceae</x:v>
      </x:c>
      <x:c r="E409" s="84" t="str">
        <x:v>Juglans</x:v>
      </x:c>
      <x:c r="F409" s="84" t="str">
        <x:v>Species</x:v>
      </x:c>
      <x:c r="G409" s="84" t="str">
        <x:v>Accepted</x:v>
      </x:c>
      <x:c r="H409" s="84" t="str">
        <x:v>Black Walnut</x:v>
      </x:c>
      <x:c r="I409" s="84" t="str">
        <x:v>Perennial</x:v>
      </x:c>
      <x:c r="J409" s="84" t="str">
        <x:v>Tree</x:v>
      </x:c>
      <x:c r="K409" s="84" t="str">
        <x:v>Sun</x:v>
      </x:c>
      <x:c r="L409" s="84" t="str">
        <x:v>Medium</x:v>
      </x:c>
      <x:c r="M409" s="89" t="n">
        <x:v>0</x:v>
      </x:c>
      <x:c r="N409" s="89" t="n">
        <x:v>0</x:v>
      </x:c>
      <x:c r="O409" s="89" t="n">
        <x:v>1</x:v>
      </x:c>
      <x:c r="P409" s="89" t="n">
        <x:f>SUM(M409:O409)</x:f>
        <x:v>1</x:v>
      </x:c>
      <x:c r="Q409" s="84" t="str">
        <x:v>Exact accepted-name match</x:v>
      </x:c>
      <x:c r="R409" s="84" t="str">
        <x:v>Juglans nigra</x:v>
      </x:c>
      <x:c r="S409" s="84" t="str">
        <x:v>2331834</x:v>
      </x:c>
      <x:c r="T409" s="84" t="str">
        <x:v>2331834</x:v>
      </x:c>
      <x:c r="U409" s="84" t="str">
        <x:v>279034-2</x:v>
      </x:c>
      <x:c r="V409" s="84" t="str">
        <x:v>279034-2</x:v>
      </x:c>
      <x:c r="W409" s="84" t="str"/>
    </x:row>
    <x:row r="410" ht="18" customHeight="1">
      <x:c r="A410" s="83" t="str">
        <x:v>HAYS-0409</x:v>
      </x:c>
      <x:c r="B410" s="87" t="str">
        <x:v>Juncus dichotomus</x:v>
      </x:c>
      <x:c r="C410" s="87" t="str">
        <x:v>Juncus dichotomus</x:v>
      </x:c>
      <x:c r="D410" s="84" t="str">
        <x:v>Juncaceae</x:v>
      </x:c>
      <x:c r="E410" s="84" t="str">
        <x:v>Juncus</x:v>
      </x:c>
      <x:c r="F410" s="84" t="str">
        <x:v>Species</x:v>
      </x:c>
      <x:c r="G410" s="84" t="str">
        <x:v>Accepted</x:v>
      </x:c>
      <x:c r="H410" s="84" t="str">
        <x:v>Forked Rush</x:v>
      </x:c>
      <x:c r="I410" s="84" t="str">
        <x:v>Perennial</x:v>
      </x:c>
      <x:c r="J410" s="84" t="str">
        <x:v>Grass/Grass-like</x:v>
      </x:c>
      <x:c r="K410" s="84" t="str"/>
      <x:c r="L410" s="84" t="str"/>
      <x:c r="M410" s="89" t="n">
        <x:v>1</x:v>
      </x:c>
      <x:c r="N410" s="89" t="n">
        <x:v>1</x:v>
      </x:c>
      <x:c r="O410" s="89" t="n">
        <x:v>0</x:v>
      </x:c>
      <x:c r="P410" s="89" t="n">
        <x:f>SUM(M410:O410)</x:f>
        <x:v>2</x:v>
      </x:c>
      <x:c r="Q410" s="84" t="str">
        <x:v>Exact accepted-name match</x:v>
      </x:c>
      <x:c r="R410" s="84" t="str">
        <x:v>Juncus dichotomus</x:v>
      </x:c>
      <x:c r="S410" s="84" t="str">
        <x:v>314861</x:v>
      </x:c>
      <x:c r="T410" s="84" t="str">
        <x:v>314861</x:v>
      </x:c>
      <x:c r="U410" s="84" t="str">
        <x:v>442886-1</x:v>
      </x:c>
      <x:c r="V410" s="84" t="str">
        <x:v>442886-1</x:v>
      </x:c>
      <x:c r="W410" s="84" t="str"/>
    </x:row>
    <x:row r="411" ht="18" customHeight="1">
      <x:c r="A411" s="83" t="str">
        <x:v>HAYS-0410</x:v>
      </x:c>
      <x:c r="B411" s="87" t="str">
        <x:v>Juncus filipendulus</x:v>
      </x:c>
      <x:c r="C411" s="87" t="str">
        <x:v>Juncus filipendulus</x:v>
      </x:c>
      <x:c r="D411" s="84" t="str">
        <x:v>Juncaceae</x:v>
      </x:c>
      <x:c r="E411" s="84" t="str">
        <x:v>Juncus</x:v>
      </x:c>
      <x:c r="F411" s="84" t="str">
        <x:v>Species</x:v>
      </x:c>
      <x:c r="G411" s="84" t="str">
        <x:v>Accepted</x:v>
      </x:c>
      <x:c r="H411" s="84" t="str">
        <x:v>Ringseed Rush</x:v>
      </x:c>
      <x:c r="I411" s="84" t="str">
        <x:v>Perennial</x:v>
      </x:c>
      <x:c r="J411" s="84" t="str">
        <x:v>Grass/Grass-like</x:v>
      </x:c>
      <x:c r="K411" s="84" t="str"/>
      <x:c r="L411" s="84" t="str"/>
      <x:c r="M411" s="89" t="n">
        <x:v>1</x:v>
      </x:c>
      <x:c r="N411" s="89" t="n">
        <x:v>1</x:v>
      </x:c>
      <x:c r="O411" s="89" t="n">
        <x:v>0</x:v>
      </x:c>
      <x:c r="P411" s="89" t="n">
        <x:f>SUM(M411:O411)</x:f>
        <x:v>2</x:v>
      </x:c>
      <x:c r="Q411" s="84" t="str">
        <x:v>Exact accepted-name match</x:v>
      </x:c>
      <x:c r="R411" s="84" t="str">
        <x:v>Juncus filipendulus</x:v>
      </x:c>
      <x:c r="S411" s="84" t="str">
        <x:v>315012</x:v>
      </x:c>
      <x:c r="T411" s="84" t="str">
        <x:v>315012</x:v>
      </x:c>
      <x:c r="U411" s="84" t="str">
        <x:v>442962-1</x:v>
      </x:c>
      <x:c r="V411" s="84" t="str">
        <x:v>442962-1</x:v>
      </x:c>
      <x:c r="W411" s="84" t="str"/>
    </x:row>
    <x:row r="412" ht="18" customHeight="1">
      <x:c r="A412" s="83" t="str">
        <x:v>HAYS-0411</x:v>
      </x:c>
      <x:c r="B412" s="87" t="str">
        <x:v>Juncus texanus</x:v>
      </x:c>
      <x:c r="C412" s="87" t="str">
        <x:v>Juncus texanus</x:v>
      </x:c>
      <x:c r="D412" s="84" t="str">
        <x:v>Juncaceae</x:v>
      </x:c>
      <x:c r="E412" s="84" t="str">
        <x:v>Juncus</x:v>
      </x:c>
      <x:c r="F412" s="84" t="str">
        <x:v>Species</x:v>
      </x:c>
      <x:c r="G412" s="84" t="str">
        <x:v>Accepted</x:v>
      </x:c>
      <x:c r="H412" s="84" t="str">
        <x:v>Texas Rush</x:v>
      </x:c>
      <x:c r="I412" s="84" t="str">
        <x:v>Perennial</x:v>
      </x:c>
      <x:c r="J412" s="84" t="str">
        <x:v>Grass/Grass-like</x:v>
      </x:c>
      <x:c r="K412" s="84" t="str"/>
      <x:c r="L412" s="84" t="str"/>
      <x:c r="M412" s="89" t="n">
        <x:v>1</x:v>
      </x:c>
      <x:c r="N412" s="89" t="n">
        <x:v>1</x:v>
      </x:c>
      <x:c r="O412" s="89" t="n">
        <x:v>1</x:v>
      </x:c>
      <x:c r="P412" s="89" t="n">
        <x:f>SUM(M412:O412)</x:f>
        <x:v>3</x:v>
      </x:c>
      <x:c r="Q412" s="84" t="str">
        <x:v>Exact accepted-name match</x:v>
      </x:c>
      <x:c r="R412" s="84" t="str">
        <x:v>Juncus texanus</x:v>
      </x:c>
      <x:c r="S412" s="84" t="str">
        <x:v>315980</x:v>
      </x:c>
      <x:c r="T412" s="84" t="str">
        <x:v>315980</x:v>
      </x:c>
      <x:c r="U412" s="84" t="str">
        <x:v>132341-2</x:v>
      </x:c>
      <x:c r="V412" s="84" t="str">
        <x:v>132341-2</x:v>
      </x:c>
      <x:c r="W412" s="84" t="str"/>
    </x:row>
    <x:row r="413" ht="18" customHeight="1">
      <x:c r="A413" s="83" t="str">
        <x:v>HAYS-0412</x:v>
      </x:c>
      <x:c r="B413" s="87" t="str">
        <x:v>Juniperus ashei</x:v>
      </x:c>
      <x:c r="C413" s="87" t="str">
        <x:v>Juniperus ashei</x:v>
      </x:c>
      <x:c r="D413" s="84" t="str">
        <x:v>Cupressaceae</x:v>
      </x:c>
      <x:c r="E413" s="84" t="str">
        <x:v>Juniperus</x:v>
      </x:c>
      <x:c r="F413" s="84" t="str">
        <x:v>Species</x:v>
      </x:c>
      <x:c r="G413" s="84" t="str">
        <x:v>Accepted</x:v>
      </x:c>
      <x:c r="H413" s="84" t="str">
        <x:v>Ashe Juniper</x:v>
      </x:c>
      <x:c r="I413" s="84" t="str">
        <x:v>Perennial</x:v>
      </x:c>
      <x:c r="J413" s="84" t="str">
        <x:v>Tree</x:v>
      </x:c>
      <x:c r="K413" s="84" t="str">
        <x:v>Sun, Part Shade</x:v>
      </x:c>
      <x:c r="L413" s="84" t="str">
        <x:v>Low</x:v>
      </x:c>
      <x:c r="M413" s="89" t="n">
        <x:v>1</x:v>
      </x:c>
      <x:c r="N413" s="89" t="n">
        <x:v>1</x:v>
      </x:c>
      <x:c r="O413" s="89" t="n">
        <x:v>1</x:v>
      </x:c>
      <x:c r="P413" s="89" t="n">
        <x:f>SUM(M413:O413)</x:f>
        <x:v>3</x:v>
      </x:c>
      <x:c r="Q413" s="84" t="str">
        <x:v>Exact accepted-name match</x:v>
      </x:c>
      <x:c r="R413" s="84" t="str">
        <x:v>Juniperus ashei</x:v>
      </x:c>
      <x:c r="S413" s="84" t="str">
        <x:v>377454</x:v>
      </x:c>
      <x:c r="T413" s="84" t="str">
        <x:v>377454</x:v>
      </x:c>
      <x:c r="U413" s="84" t="str">
        <x:v>132457-2</x:v>
      </x:c>
      <x:c r="V413" s="84" t="str">
        <x:v>132457-2</x:v>
      </x:c>
      <x:c r="W413" s="84" t="str"/>
    </x:row>
    <x:row r="414" ht="18" customHeight="1">
      <x:c r="A414" s="83" t="str">
        <x:v>HAYS-0413</x:v>
      </x:c>
      <x:c r="B414" s="87" t="str">
        <x:v>Juniperus virginiana</x:v>
      </x:c>
      <x:c r="C414" s="87" t="str">
        <x:v>Juniperus virginiana</x:v>
      </x:c>
      <x:c r="D414" s="84" t="str">
        <x:v>Cupressaceae</x:v>
      </x:c>
      <x:c r="E414" s="84" t="str">
        <x:v>Juniperus</x:v>
      </x:c>
      <x:c r="F414" s="84" t="str">
        <x:v>Species</x:v>
      </x:c>
      <x:c r="G414" s="84" t="str">
        <x:v>Accepted</x:v>
      </x:c>
      <x:c r="H414" s="84" t="str">
        <x:v>Eastern Red Cedar, Eastern Redcedar, Virginia Juniper, Red Juniper, Pencil Cedar, Carolina Cedar, Red Savin</x:v>
      </x:c>
      <x:c r="I414" s="84" t="str">
        <x:v>Perennial</x:v>
      </x:c>
      <x:c r="J414" s="84" t="str">
        <x:v>Tree</x:v>
      </x:c>
      <x:c r="K414" s="84" t="str">
        <x:v>Sun, Part Shade</x:v>
      </x:c>
      <x:c r="L414" s="84" t="str">
        <x:v>Low–Medium</x:v>
      </x:c>
      <x:c r="M414" s="89" t="n">
        <x:v>1</x:v>
      </x:c>
      <x:c r="N414" s="89" t="n">
        <x:v>1</x:v>
      </x:c>
      <x:c r="O414" s="89" t="n">
        <x:v>1</x:v>
      </x:c>
      <x:c r="P414" s="89" t="n">
        <x:f>SUM(M414:O414)</x:f>
        <x:v>3</x:v>
      </x:c>
      <x:c r="Q414" s="84" t="str">
        <x:v>Exact accepted-name match</x:v>
      </x:c>
      <x:c r="R414" s="84" t="str">
        <x:v>Juniperus virginiana</x:v>
      </x:c>
      <x:c r="S414" s="84" t="str">
        <x:v>377287</x:v>
      </x:c>
      <x:c r="T414" s="84" t="str">
        <x:v>377287</x:v>
      </x:c>
      <x:c r="U414" s="84" t="str">
        <x:v>132551-2</x:v>
      </x:c>
      <x:c r="V414" s="84" t="str">
        <x:v>132551-2</x:v>
      </x:c>
      <x:c r="W414" s="84" t="str"/>
    </x:row>
    <x:row r="415" ht="18" customHeight="1">
      <x:c r="A415" s="83" t="str">
        <x:v>HAYS-0414</x:v>
      </x:c>
      <x:c r="B415" s="87" t="str">
        <x:v>Justicia americana</x:v>
      </x:c>
      <x:c r="C415" s="87" t="str">
        <x:v>Dianthera americana</x:v>
      </x:c>
      <x:c r="D415" s="84" t="str">
        <x:v>Acanthaceae</x:v>
      </x:c>
      <x:c r="E415" s="84" t="str">
        <x:v>Dianthera</x:v>
      </x:c>
      <x:c r="F415" s="84" t="str">
        <x:v>Species</x:v>
      </x:c>
      <x:c r="G415" s="84" t="str">
        <x:v>Synonym</x:v>
      </x:c>
      <x:c r="H415" s="84" t="str">
        <x:v>American Water-willow, Water-willow</x:v>
      </x:c>
      <x:c r="I415" s="84" t="str">
        <x:v>Perennial</x:v>
      </x:c>
      <x:c r="J415" s="84" t="str">
        <x:v>Herb</x:v>
      </x:c>
      <x:c r="K415" s="84" t="str">
        <x:v>Sun, Part Shade</x:v>
      </x:c>
      <x:c r="L415" s="84" t="str">
        <x:v>Medium</x:v>
      </x:c>
      <x:c r="M415" s="89" t="n">
        <x:v>1</x:v>
      </x:c>
      <x:c r="N415" s="89" t="n">
        <x:v>1</x:v>
      </x:c>
      <x:c r="O415" s="89" t="n">
        <x:v>1</x:v>
      </x:c>
      <x:c r="P415" s="89" t="n">
        <x:f>SUM(M415:O415)</x:f>
        <x:v>3</x:v>
      </x:c>
      <x:c r="Q415" s="84" t="str">
        <x:v>Exact synonym-name match</x:v>
      </x:c>
      <x:c r="R415" s="84" t="str">
        <x:v>Justicia americana</x:v>
      </x:c>
      <x:c r="S415" s="84" t="str">
        <x:v>2330261</x:v>
      </x:c>
      <x:c r="T415" s="84" t="str">
        <x:v>2763577</x:v>
      </x:c>
      <x:c r="U415" s="84" t="str">
        <x:v>1049911-2</x:v>
      </x:c>
      <x:c r="V415" s="84" t="str">
        <x:v>78915-2</x:v>
      </x:c>
      <x:c r="W415" s="84" t="str"/>
    </x:row>
    <x:row r="416" ht="18" customHeight="1">
      <x:c r="A416" s="83" t="str">
        <x:v>HAYS-0415</x:v>
      </x:c>
      <x:c r="B416" s="87" t="str">
        <x:v>Justicia pilosella</x:v>
      </x:c>
      <x:c r="C416" s="87" t="str">
        <x:v>Justicia pilosella</x:v>
      </x:c>
      <x:c r="D416" s="84" t="str">
        <x:v>Acanthaceae</x:v>
      </x:c>
      <x:c r="E416" s="84" t="str">
        <x:v>Justicia</x:v>
      </x:c>
      <x:c r="F416" s="84" t="str">
        <x:v>Species</x:v>
      </x:c>
      <x:c r="G416" s="84" t="str">
        <x:v>Accepted</x:v>
      </x:c>
      <x:c r="H416" s="84" t="str">
        <x:v>Hairy Tube-tongue, Gregg's Tube-tongue, False Honeysuckle</x:v>
      </x:c>
      <x:c r="I416" s="84" t="str">
        <x:v>Perennial</x:v>
      </x:c>
      <x:c r="J416" s="84" t="str">
        <x:v>Herb</x:v>
      </x:c>
      <x:c r="K416" s="84" t="str">
        <x:v>Part-shade</x:v>
      </x:c>
      <x:c r="L416" s="84" t="str">
        <x:v>Moist, Dry</x:v>
      </x:c>
      <x:c r="M416" s="89" t="n">
        <x:v>1</x:v>
      </x:c>
      <x:c r="N416" s="89" t="n">
        <x:v>1</x:v>
      </x:c>
      <x:c r="O416" s="89" t="n">
        <x:v>0</x:v>
      </x:c>
      <x:c r="P416" s="89" t="n">
        <x:f>SUM(M416:O416)</x:f>
        <x:v>2</x:v>
      </x:c>
      <x:c r="Q416" s="84" t="str">
        <x:v>Exact accepted-name match</x:v>
      </x:c>
      <x:c r="R416" s="84" t="str">
        <x:v>Justicia pilosella</x:v>
      </x:c>
      <x:c r="S416" s="84" t="str">
        <x:v>2329274</x:v>
      </x:c>
      <x:c r="T416" s="84" t="str">
        <x:v>2329274</x:v>
      </x:c>
      <x:c r="U416" s="84" t="str">
        <x:v>962380-1</x:v>
      </x:c>
      <x:c r="V416" s="84" t="str">
        <x:v>962380-1</x:v>
      </x:c>
      <x:c r="W416" s="84" t="str"/>
    </x:row>
    <x:row r="417" ht="18" customHeight="1">
      <x:c r="A417" s="83" t="str">
        <x:v>HAYS-0416</x:v>
      </x:c>
      <x:c r="B417" s="87" t="str">
        <x:v>Kallstroemia parviflora</x:v>
      </x:c>
      <x:c r="C417" s="87" t="str">
        <x:v>Kallstroemia parviflora</x:v>
      </x:c>
      <x:c r="D417" s="84" t="str">
        <x:v>Zygophyllaceae</x:v>
      </x:c>
      <x:c r="E417" s="84" t="str">
        <x:v>Kallstroemia</x:v>
      </x:c>
      <x:c r="F417" s="84" t="str">
        <x:v>Species</x:v>
      </x:c>
      <x:c r="G417" s="84" t="str">
        <x:v>Accepted</x:v>
      </x:c>
      <x:c r="H417" s="84" t="str">
        <x:v>Warty Caltrop, Small-flowered Carpetweed</x:v>
      </x:c>
      <x:c r="I417" s="84" t="str">
        <x:v>Annual</x:v>
      </x:c>
      <x:c r="J417" s="84" t="str">
        <x:v>Herb</x:v>
      </x:c>
      <x:c r="K417" s="84" t="str">
        <x:v>Sun</x:v>
      </x:c>
      <x:c r="L417" s="84" t="str">
        <x:v>Dry</x:v>
      </x:c>
      <x:c r="M417" s="89" t="n">
        <x:v>1</x:v>
      </x:c>
      <x:c r="N417" s="89" t="n">
        <x:v>1</x:v>
      </x:c>
      <x:c r="O417" s="89" t="n">
        <x:v>0</x:v>
      </x:c>
      <x:c r="P417" s="89" t="n">
        <x:f>SUM(M417:O417)</x:f>
        <x:v>2</x:v>
      </x:c>
      <x:c r="Q417" s="84" t="str">
        <x:v>Exact accepted-name match</x:v>
      </x:c>
      <x:c r="R417" s="84" t="str">
        <x:v>Kallstroemia parviflora</x:v>
      </x:c>
      <x:c r="S417" s="84" t="str">
        <x:v>2335216</x:v>
      </x:c>
      <x:c r="T417" s="84" t="str">
        <x:v>2335216</x:v>
      </x:c>
      <x:c r="U417" s="84" t="str">
        <x:v>873291-1</x:v>
      </x:c>
      <x:c r="V417" s="84" t="str">
        <x:v>873291-1</x:v>
      </x:c>
      <x:c r="W417" s="84" t="str"/>
    </x:row>
    <x:row r="418" ht="18" customHeight="1">
      <x:c r="A418" s="83" t="str">
        <x:v>HAYS-0417</x:v>
      </x:c>
      <x:c r="B418" s="87" t="str">
        <x:v>Krameria lanceolata</x:v>
      </x:c>
      <x:c r="C418" s="87" t="str">
        <x:v>Krameria lanceolata</x:v>
      </x:c>
      <x:c r="D418" s="84" t="str">
        <x:v>Krameriaceae</x:v>
      </x:c>
      <x:c r="E418" s="84" t="str">
        <x:v>Krameria</x:v>
      </x:c>
      <x:c r="F418" s="84" t="str">
        <x:v>Species</x:v>
      </x:c>
      <x:c r="G418" s="84" t="str">
        <x:v>Accepted</x:v>
      </x:c>
      <x:c r="H418" s="84" t="str">
        <x:v>Trailing Krameria, Ratany, Crameria, Prairie Sandbur, Trailing Ratany</x:v>
      </x:c>
      <x:c r="I418" s="84" t="str">
        <x:v>Perennial</x:v>
      </x:c>
      <x:c r="J418" s="84" t="str">
        <x:v>Herb</x:v>
      </x:c>
      <x:c r="K418" s="84" t="str">
        <x:v>Part-shade</x:v>
      </x:c>
      <x:c r="L418" s="84" t="str"/>
      <x:c r="M418" s="89" t="n">
        <x:v>1</x:v>
      </x:c>
      <x:c r="N418" s="89" t="n">
        <x:v>1</x:v>
      </x:c>
      <x:c r="O418" s="89" t="n">
        <x:v>0</x:v>
      </x:c>
      <x:c r="P418" s="89" t="n">
        <x:f>SUM(M418:O418)</x:f>
        <x:v>2</x:v>
      </x:c>
      <x:c r="Q418" s="84" t="str">
        <x:v>Exact accepted-name match</x:v>
      </x:c>
      <x:c r="R418" s="84" t="str">
        <x:v>Krameria lanceolata</x:v>
      </x:c>
      <x:c r="S418" s="84" t="str">
        <x:v>2336139</x:v>
      </x:c>
      <x:c r="T418" s="84" t="str">
        <x:v>2336139</x:v>
      </x:c>
      <x:c r="U418" s="84" t="str">
        <x:v>279251-2</x:v>
      </x:c>
      <x:c r="V418" s="84" t="str">
        <x:v>279251-2</x:v>
      </x:c>
      <x:c r="W418" s="84" t="str"/>
    </x:row>
    <x:row r="419" ht="18" customHeight="1">
      <x:c r="A419" s="83" t="str">
        <x:v>HAYS-0418</x:v>
      </x:c>
      <x:c r="B419" s="87" t="str">
        <x:v>Krigia caespitosa</x:v>
      </x:c>
      <x:c r="C419" s="87" t="str"/>
      <x:c r="D419" s="84" t="str"/>
      <x:c r="E419" s="84" t="str">
        <x:v>Krigia</x:v>
      </x:c>
      <x:c r="F419" s="84" t="str"/>
      <x:c r="G419" s="84" t="str"/>
      <x:c r="H419" s="84" t="str">
        <x:v>Weedy Dwarfdandelion, Dwarf Dandelion</x:v>
      </x:c>
      <x:c r="I419" s="84" t="str">
        <x:v>Annual</x:v>
      </x:c>
      <x:c r="J419" s="84" t="str">
        <x:v>Herb</x:v>
      </x:c>
      <x:c r="K419" s="84" t="str"/>
      <x:c r="L419" s="84" t="str"/>
      <x:c r="M419" s="89" t="n">
        <x:v>1</x:v>
      </x:c>
      <x:c r="N419" s="89" t="n">
        <x:v>1</x:v>
      </x:c>
      <x:c r="O419" s="89" t="n">
        <x:v>0</x:v>
      </x:c>
      <x:c r="P419" s="89" t="n">
        <x:f>SUM(M419:O419)</x:f>
        <x:v>2</x:v>
      </x:c>
      <x:c r="Q419" s="84" t="str">
        <x:v>No exact WCVP name match</x:v>
      </x:c>
      <x:c r="R419" s="84" t="str"/>
      <x:c r="S419" s="84" t="str"/>
      <x:c r="T419" s="84" t="str"/>
      <x:c r="U419" s="84" t="str"/>
      <x:c r="V419" s="84" t="str"/>
      <x:c r="W419" s="84" t="str">
        <x:v>Review</x:v>
      </x:c>
    </x:row>
    <x:row r="420" ht="18" customHeight="1">
      <x:c r="A420" s="83" t="str">
        <x:v>HAYS-0419</x:v>
      </x:c>
      <x:c r="B420" s="87" t="str">
        <x:v>Krigia occidentalis</x:v>
      </x:c>
      <x:c r="C420" s="87" t="str">
        <x:v>Krigia occidentalis</x:v>
      </x:c>
      <x:c r="D420" s="84" t="str">
        <x:v>Asteraceae</x:v>
      </x:c>
      <x:c r="E420" s="84" t="str">
        <x:v>Krigia</x:v>
      </x:c>
      <x:c r="F420" s="84" t="str">
        <x:v>Species</x:v>
      </x:c>
      <x:c r="G420" s="84" t="str">
        <x:v>Accepted</x:v>
      </x:c>
      <x:c r="H420" s="84" t="str">
        <x:v>Western Dwarfdandelion</x:v>
      </x:c>
      <x:c r="I420" s="84" t="str">
        <x:v>Annual</x:v>
      </x:c>
      <x:c r="J420" s="84" t="str">
        <x:v>Herb</x:v>
      </x:c>
      <x:c r="K420" s="84" t="str"/>
      <x:c r="L420" s="84" t="str"/>
      <x:c r="M420" s="89" t="n">
        <x:v>1</x:v>
      </x:c>
      <x:c r="N420" s="89" t="n">
        <x:v>1</x:v>
      </x:c>
      <x:c r="O420" s="89" t="n">
        <x:v>0</x:v>
      </x:c>
      <x:c r="P420" s="89" t="n">
        <x:f>SUM(M420:O420)</x:f>
        <x:v>2</x:v>
      </x:c>
      <x:c r="Q420" s="84" t="str">
        <x:v>Exact accepted-name match</x:v>
      </x:c>
      <x:c r="R420" s="84" t="str">
        <x:v>Krigia occidentalis</x:v>
      </x:c>
      <x:c r="S420" s="84" t="str">
        <x:v>3063421</x:v>
      </x:c>
      <x:c r="T420" s="84" t="str">
        <x:v>3063421</x:v>
      </x:c>
      <x:c r="U420" s="84" t="str">
        <x:v>227651-1</x:v>
      </x:c>
      <x:c r="V420" s="84" t="str">
        <x:v>227651-1</x:v>
      </x:c>
      <x:c r="W420" s="84" t="str"/>
    </x:row>
    <x:row r="421" ht="18" customHeight="1">
      <x:c r="A421" s="83" t="str">
        <x:v>HAYS-0420</x:v>
      </x:c>
      <x:c r="B421" s="87" t="str">
        <x:v>Lactuca ludoviciana</x:v>
      </x:c>
      <x:c r="C421" s="87" t="str">
        <x:v>Lactuca ludoviciana</x:v>
      </x:c>
      <x:c r="D421" s="84" t="str">
        <x:v>Asteraceae</x:v>
      </x:c>
      <x:c r="E421" s="84" t="str">
        <x:v>Lactuca</x:v>
      </x:c>
      <x:c r="F421" s="84" t="str">
        <x:v>Species</x:v>
      </x:c>
      <x:c r="G421" s="84" t="str">
        <x:v>Accepted</x:v>
      </x:c>
      <x:c r="H421" s="84" t="str">
        <x:v>Western Wild Lettuce, Louisiana Wild Lettuce, Prairie Lettuce, Prairie Wild Lettuce, Biannual Lettuce</x:v>
      </x:c>
      <x:c r="I421" s="84" t="str">
        <x:v>Biennial, Perennial</x:v>
      </x:c>
      <x:c r="J421" s="84" t="str">
        <x:v>Herb</x:v>
      </x:c>
      <x:c r="K421" s="84" t="str">
        <x:v>Sun, Part-shade</x:v>
      </x:c>
      <x:c r="L421" s="84" t="str">
        <x:v>Moist, Dry</x:v>
      </x:c>
      <x:c r="M421" s="89" t="n">
        <x:v>1</x:v>
      </x:c>
      <x:c r="N421" s="89" t="n">
        <x:v>1</x:v>
      </x:c>
      <x:c r="O421" s="89" t="n">
        <x:v>0</x:v>
      </x:c>
      <x:c r="P421" s="89" t="n">
        <x:f>SUM(M421:O421)</x:f>
        <x:v>2</x:v>
      </x:c>
      <x:c r="Q421" s="84" t="str">
        <x:v>Exact accepted-name match</x:v>
      </x:c>
      <x:c r="R421" s="84" t="str">
        <x:v>Lactuca ludoviciana</x:v>
      </x:c>
      <x:c r="S421" s="84" t="str">
        <x:v>3062211</x:v>
      </x:c>
      <x:c r="T421" s="84" t="str">
        <x:v>3062211</x:v>
      </x:c>
      <x:c r="U421" s="84" t="str">
        <x:v>1120029-2</x:v>
      </x:c>
      <x:c r="V421" s="84" t="str">
        <x:v>1120029-2</x:v>
      </x:c>
      <x:c r="W421" s="84" t="str"/>
    </x:row>
    <x:row r="422" ht="18" customHeight="1">
      <x:c r="A422" s="83" t="str">
        <x:v>HAYS-0421</x:v>
      </x:c>
      <x:c r="B422" s="87" t="str">
        <x:v>Lantana urticoides</x:v>
      </x:c>
      <x:c r="C422" s="87" t="str">
        <x:v>Lantana urticoides</x:v>
      </x:c>
      <x:c r="D422" s="84" t="str">
        <x:v>Verbenaceae</x:v>
      </x:c>
      <x:c r="E422" s="84" t="str">
        <x:v>Lantana</x:v>
      </x:c>
      <x:c r="F422" s="84" t="str">
        <x:v>Species</x:v>
      </x:c>
      <x:c r="G422" s="84" t="str">
        <x:v>Accepted</x:v>
      </x:c>
      <x:c r="H422" s="84" t="str">
        <x:v>Texas Lantana, Calico Bush</x:v>
      </x:c>
      <x:c r="I422" s="84" t="str">
        <x:v>Perennial</x:v>
      </x:c>
      <x:c r="J422" s="84" t="str">
        <x:v>Shrub</x:v>
      </x:c>
      <x:c r="K422" s="84" t="str">
        <x:v>Sun</x:v>
      </x:c>
      <x:c r="L422" s="84" t="str">
        <x:v>Low</x:v>
      </x:c>
      <x:c r="M422" s="89" t="n">
        <x:v>1</x:v>
      </x:c>
      <x:c r="N422" s="89" t="n">
        <x:v>1</x:v>
      </x:c>
      <x:c r="O422" s="89" t="n">
        <x:v>1</x:v>
      </x:c>
      <x:c r="P422" s="89" t="n">
        <x:f>SUM(M422:O422)</x:f>
        <x:v>3</x:v>
      </x:c>
      <x:c r="Q422" s="84" t="str">
        <x:v>Exact accepted-name match</x:v>
      </x:c>
      <x:c r="R422" s="84" t="str">
        <x:v>Lantana urticoides</x:v>
      </x:c>
      <x:c r="S422" s="84" t="str">
        <x:v>108340</x:v>
      </x:c>
      <x:c r="T422" s="84" t="str">
        <x:v>108340</x:v>
      </x:c>
      <x:c r="U422" s="84" t="str">
        <x:v>135351-2</x:v>
      </x:c>
      <x:c r="V422" s="84" t="str">
        <x:v>135351-2</x:v>
      </x:c>
      <x:c r="W422" s="84" t="str"/>
    </x:row>
    <x:row r="423" ht="18" customHeight="1">
      <x:c r="A423" s="83" t="str">
        <x:v>HAYS-0422</x:v>
      </x:c>
      <x:c r="B423" s="87" t="str">
        <x:v>Lappula occidentalis var. cupulata</x:v>
      </x:c>
      <x:c r="C423" s="87" t="str">
        <x:v>Lappula texana</x:v>
      </x:c>
      <x:c r="D423" s="84" t="str">
        <x:v>Boraginaceae</x:v>
      </x:c>
      <x:c r="E423" s="84" t="str">
        <x:v>Lappula</x:v>
      </x:c>
      <x:c r="F423" s="84" t="str">
        <x:v>Variety</x:v>
      </x:c>
      <x:c r="G423" s="84" t="str">
        <x:v>Synonym</x:v>
      </x:c>
      <x:c r="H423" s="84" t="str">
        <x:v>Flatspine Stickseed, Western Stickseed</x:v>
      </x:c>
      <x:c r="I423" s="84" t="str">
        <x:v>Annual, Biennial</x:v>
      </x:c>
      <x:c r="J423" s="84" t="str">
        <x:v>Herb</x:v>
      </x:c>
      <x:c r="K423" s="84" t="str"/>
      <x:c r="L423" s="84" t="str"/>
      <x:c r="M423" s="89" t="n">
        <x:v>1</x:v>
      </x:c>
      <x:c r="N423" s="89" t="n">
        <x:v>1</x:v>
      </x:c>
      <x:c r="O423" s="89" t="n">
        <x:v>0</x:v>
      </x:c>
      <x:c r="P423" s="89" t="n">
        <x:f>SUM(M423:O423)</x:f>
        <x:v>2</x:v>
      </x:c>
      <x:c r="Q423" s="84" t="str">
        <x:v>Exact synonym-name match</x:v>
      </x:c>
      <x:c r="R423" s="84" t="str">
        <x:v>Lappula occidentalis var. cupulata</x:v>
      </x:c>
      <x:c r="S423" s="84" t="str">
        <x:v>2343161</x:v>
      </x:c>
      <x:c r="T423" s="84" t="str">
        <x:v>2342846</x:v>
      </x:c>
      <x:c r="U423" s="84" t="str">
        <x:v>874884-1</x:v>
      </x:c>
      <x:c r="V423" s="84" t="str">
        <x:v>135580-2</x:v>
      </x:c>
      <x:c r="W423" s="84" t="str"/>
    </x:row>
    <x:row r="424" ht="18" customHeight="1">
      <x:c r="A424" s="83" t="str">
        <x:v>HAYS-0423</x:v>
      </x:c>
      <x:c r="B424" s="87" t="str">
        <x:v>Leersia oryzoides</x:v>
      </x:c>
      <x:c r="C424" s="87" t="str">
        <x:v>Leersia oryzoides</x:v>
      </x:c>
      <x:c r="D424" s="84" t="str">
        <x:v>Poaceae</x:v>
      </x:c>
      <x:c r="E424" s="84" t="str">
        <x:v>Leersia</x:v>
      </x:c>
      <x:c r="F424" s="84" t="str">
        <x:v>Species</x:v>
      </x:c>
      <x:c r="G424" s="84" t="str">
        <x:v>Accepted</x:v>
      </x:c>
      <x:c r="H424" s="84" t="str">
        <x:v>Rice Cutgrass, Rice Cut Grass</x:v>
      </x:c>
      <x:c r="I424" s="84" t="str">
        <x:v>Perennial</x:v>
      </x:c>
      <x:c r="J424" s="84" t="str">
        <x:v>Grass</x:v>
      </x:c>
      <x:c r="K424" s="84" t="str">
        <x:v>Sun, Part Shade</x:v>
      </x:c>
      <x:c r="L424" s="84" t="str">
        <x:v>High</x:v>
      </x:c>
      <x:c r="M424" s="89" t="n">
        <x:v>1</x:v>
      </x:c>
      <x:c r="N424" s="89" t="n">
        <x:v>1</x:v>
      </x:c>
      <x:c r="O424" s="89" t="n">
        <x:v>1</x:v>
      </x:c>
      <x:c r="P424" s="89" t="n">
        <x:f>SUM(M424:O424)</x:f>
        <x:v>3</x:v>
      </x:c>
      <x:c r="Q424" s="84" t="str">
        <x:v>Exact accepted-name match</x:v>
      </x:c>
      <x:c r="R424" s="84" t="str">
        <x:v>Leersia oryzoides</x:v>
      </x:c>
      <x:c r="S424" s="84" t="str">
        <x:v>422108</x:v>
      </x:c>
      <x:c r="T424" s="84" t="str">
        <x:v>422108</x:v>
      </x:c>
      <x:c r="U424" s="84" t="str">
        <x:v>1109632-2</x:v>
      </x:c>
      <x:c r="V424" s="84" t="str">
        <x:v>1109632-2</x:v>
      </x:c>
      <x:c r="W424" s="84" t="str"/>
    </x:row>
    <x:row r="425" ht="18" customHeight="1">
      <x:c r="A425" s="83" t="str">
        <x:v>HAYS-0424</x:v>
      </x:c>
      <x:c r="B425" s="87" t="str">
        <x:v>Lemna minor</x:v>
      </x:c>
      <x:c r="C425" s="87" t="str">
        <x:v>Lemna minor</x:v>
      </x:c>
      <x:c r="D425" s="84" t="str">
        <x:v>Araceae</x:v>
      </x:c>
      <x:c r="E425" s="84" t="str">
        <x:v>Lemna</x:v>
      </x:c>
      <x:c r="F425" s="84" t="str">
        <x:v>Species</x:v>
      </x:c>
      <x:c r="G425" s="84" t="str">
        <x:v>Accepted</x:v>
      </x:c>
      <x:c r="H425" s="84" t="str">
        <x:v>Common Duckweed</x:v>
      </x:c>
      <x:c r="I425" s="84" t="str">
        <x:v>Perennial</x:v>
      </x:c>
      <x:c r="J425" s="84" t="str">
        <x:v>Herb</x:v>
      </x:c>
      <x:c r="K425" s="84" t="str">
        <x:v>Sun</x:v>
      </x:c>
      <x:c r="L425" s="84" t="str">
        <x:v>Wet</x:v>
      </x:c>
      <x:c r="M425" s="89" t="n">
        <x:v>1</x:v>
      </x:c>
      <x:c r="N425" s="89" t="n">
        <x:v>1</x:v>
      </x:c>
      <x:c r="O425" s="89" t="n">
        <x:v>0</x:v>
      </x:c>
      <x:c r="P425" s="89" t="n">
        <x:f>SUM(M425:O425)</x:f>
        <x:v>2</x:v>
      </x:c>
      <x:c r="Q425" s="84" t="str">
        <x:v>Exact accepted-name match</x:v>
      </x:c>
      <x:c r="R425" s="84" t="str">
        <x:v>Lemna minor</x:v>
      </x:c>
      <x:c r="S425" s="84" t="str">
        <x:v>109308</x:v>
      </x:c>
      <x:c r="T425" s="84" t="str">
        <x:v>109308</x:v>
      </x:c>
      <x:c r="U425" s="84" t="str">
        <x:v>526194-1</x:v>
      </x:c>
      <x:c r="V425" s="84" t="str">
        <x:v>526194-1</x:v>
      </x:c>
      <x:c r="W425" s="84" t="str"/>
    </x:row>
    <x:row r="426" ht="18" customHeight="1">
      <x:c r="A426" s="83" t="str">
        <x:v>HAYS-0425</x:v>
      </x:c>
      <x:c r="B426" s="87" t="str">
        <x:v>Lepidium austrinum</x:v>
      </x:c>
      <x:c r="C426" s="87" t="str">
        <x:v>Lepidium austrinum</x:v>
      </x:c>
      <x:c r="D426" s="84" t="str">
        <x:v>Brassicaceae</x:v>
      </x:c>
      <x:c r="E426" s="84" t="str">
        <x:v>Lepidium</x:v>
      </x:c>
      <x:c r="F426" s="84" t="str">
        <x:v>Species</x:v>
      </x:c>
      <x:c r="G426" s="84" t="str">
        <x:v>Accepted</x:v>
      </x:c>
      <x:c r="H426" s="84" t="str">
        <x:v>Southern Peppergrass, Southern Pepperwort</x:v>
      </x:c>
      <x:c r="I426" s="84" t="str">
        <x:v>Annual</x:v>
      </x:c>
      <x:c r="J426" s="84" t="str">
        <x:v>Herb</x:v>
      </x:c>
      <x:c r="K426" s="84" t="str"/>
      <x:c r="L426" s="84" t="str"/>
      <x:c r="M426" s="89" t="n">
        <x:v>1</x:v>
      </x:c>
      <x:c r="N426" s="89" t="n">
        <x:v>1</x:v>
      </x:c>
      <x:c r="O426" s="89" t="n">
        <x:v>0</x:v>
      </x:c>
      <x:c r="P426" s="89" t="n">
        <x:f>SUM(M426:O426)</x:f>
        <x:v>2</x:v>
      </x:c>
      <x:c r="Q426" s="84" t="str">
        <x:v>Exact accepted-name match</x:v>
      </x:c>
      <x:c r="R426" s="84" t="str">
        <x:v>Lepidium austrinum</x:v>
      </x:c>
      <x:c r="S426" s="84" t="str">
        <x:v>2338244</x:v>
      </x:c>
      <x:c r="T426" s="84" t="str">
        <x:v>2338244</x:v>
      </x:c>
      <x:c r="U426" s="84" t="str">
        <x:v>137950-2</x:v>
      </x:c>
      <x:c r="V426" s="84" t="str">
        <x:v>137950-2</x:v>
      </x:c>
      <x:c r="W426" s="84" t="str"/>
    </x:row>
    <x:row r="427" ht="18" customHeight="1">
      <x:c r="A427" s="83" t="str">
        <x:v>HAYS-0426</x:v>
      </x:c>
      <x:c r="B427" s="87" t="str">
        <x:v>Lepidium virginicum</x:v>
      </x:c>
      <x:c r="C427" s="87" t="str">
        <x:v>Lepidium virginicum</x:v>
      </x:c>
      <x:c r="D427" s="84" t="str">
        <x:v>Brassicaceae</x:v>
      </x:c>
      <x:c r="E427" s="84" t="str">
        <x:v>Lepidium</x:v>
      </x:c>
      <x:c r="F427" s="84" t="str">
        <x:v>Species</x:v>
      </x:c>
      <x:c r="G427" s="84" t="str">
        <x:v>Accepted</x:v>
      </x:c>
      <x:c r="H427" s="84" t="str">
        <x:v>Virginia Peppergrass, Virginia Pepperweed, Peppergrass, Poor Man's Pepper</x:v>
      </x:c>
      <x:c r="I427" s="84" t="str">
        <x:v>Annual</x:v>
      </x:c>
      <x:c r="J427" s="84" t="str">
        <x:v>Herb</x:v>
      </x:c>
      <x:c r="K427" s="84" t="str">
        <x:v>Sun</x:v>
      </x:c>
      <x:c r="L427" s="84" t="str">
        <x:v>Dry</x:v>
      </x:c>
      <x:c r="M427" s="89" t="n">
        <x:v>1</x:v>
      </x:c>
      <x:c r="N427" s="89" t="n">
        <x:v>1</x:v>
      </x:c>
      <x:c r="O427" s="89" t="n">
        <x:v>0</x:v>
      </x:c>
      <x:c r="P427" s="89" t="n">
        <x:f>SUM(M427:O427)</x:f>
        <x:v>2</x:v>
      </x:c>
      <x:c r="Q427" s="84" t="str">
        <x:v>Exact accepted-name match</x:v>
      </x:c>
      <x:c r="R427" s="84" t="str">
        <x:v>Lepidium virginicum</x:v>
      </x:c>
      <x:c r="S427" s="84" t="str">
        <x:v>2341702</x:v>
      </x:c>
      <x:c r="T427" s="84" t="str">
        <x:v>2341702</x:v>
      </x:c>
      <x:c r="U427" s="84" t="str">
        <x:v>138164-2</x:v>
      </x:c>
      <x:c r="V427" s="84" t="str">
        <x:v>138164-2</x:v>
      </x:c>
      <x:c r="W427" s="84" t="str"/>
    </x:row>
    <x:row r="428" ht="18" customHeight="1">
      <x:c r="A428" s="83" t="str">
        <x:v>HAYS-0427</x:v>
      </x:c>
      <x:c r="B428" s="87" t="str">
        <x:v>Leptochloa dubia</x:v>
      </x:c>
      <x:c r="C428" s="87" t="str">
        <x:v>Disakisperma dubium</x:v>
      </x:c>
      <x:c r="D428" s="84" t="str">
        <x:v>Poaceae</x:v>
      </x:c>
      <x:c r="E428" s="84" t="str">
        <x:v>Disakisperma</x:v>
      </x:c>
      <x:c r="F428" s="84" t="str">
        <x:v>Species</x:v>
      </x:c>
      <x:c r="G428" s="84" t="str">
        <x:v>Synonym</x:v>
      </x:c>
      <x:c r="H428" s="84" t="str">
        <x:v>Green Sprangletop</x:v>
      </x:c>
      <x:c r="I428" s="84" t="str">
        <x:v>Perennial</x:v>
      </x:c>
      <x:c r="J428" s="84" t="str">
        <x:v>Grass/Grass-like</x:v>
      </x:c>
      <x:c r="K428" s="84" t="str">
        <x:v>Part-shade</x:v>
      </x:c>
      <x:c r="L428" s="84" t="str">
        <x:v>Dry</x:v>
      </x:c>
      <x:c r="M428" s="89" t="n">
        <x:v>1</x:v>
      </x:c>
      <x:c r="N428" s="89" t="n">
        <x:v>1</x:v>
      </x:c>
      <x:c r="O428" s="89" t="n">
        <x:v>1</x:v>
      </x:c>
      <x:c r="P428" s="89" t="n">
        <x:f>SUM(M428:O428)</x:f>
        <x:v>3</x:v>
      </x:c>
      <x:c r="Q428" s="84" t="str">
        <x:v>Exact synonym-name match</x:v>
      </x:c>
      <x:c r="R428" s="84" t="str">
        <x:v>Leptochloa dubia</x:v>
      </x:c>
      <x:c r="S428" s="84" t="str">
        <x:v>422255</x:v>
      </x:c>
      <x:c r="T428" s="84" t="str">
        <x:v>474905</x:v>
      </x:c>
      <x:c r="U428" s="84" t="str">
        <x:v>1167588-2</x:v>
      </x:c>
      <x:c r="V428" s="84" t="str">
        <x:v>60458636-2</x:v>
      </x:c>
      <x:c r="W428" s="84" t="str"/>
    </x:row>
    <x:row r="429" ht="18" customHeight="1">
      <x:c r="A429" s="83" t="str">
        <x:v>HAYS-0428</x:v>
      </x:c>
      <x:c r="B429" s="87" t="str">
        <x:v>Leptochloa panicea ssp. mucronata</x:v>
      </x:c>
      <x:c r="C429" s="87" t="str">
        <x:v>Dinebra panicea subsp. mucronata</x:v>
      </x:c>
      <x:c r="D429" s="84" t="str">
        <x:v>Poaceae</x:v>
      </x:c>
      <x:c r="E429" s="84" t="str">
        <x:v>Dinebra</x:v>
      </x:c>
      <x:c r="F429" s="84" t="str">
        <x:v>Subspecies</x:v>
      </x:c>
      <x:c r="G429" s="84" t="str">
        <x:v>Synonym</x:v>
      </x:c>
      <x:c r="H429" s="84" t="str">
        <x:v>Mississippi Sprangletop, Mucronate Sprangletop</x:v>
      </x:c>
      <x:c r="I429" s="84" t="str">
        <x:v>Annual, Perennial</x:v>
      </x:c>
      <x:c r="J429" s="84" t="str">
        <x:v>Grass/Grass-like</x:v>
      </x:c>
      <x:c r="K429" s="84" t="str"/>
      <x:c r="L429" s="84" t="str"/>
      <x:c r="M429" s="89" t="n">
        <x:v>1</x:v>
      </x:c>
      <x:c r="N429" s="89" t="n">
        <x:v>1</x:v>
      </x:c>
      <x:c r="O429" s="89" t="n">
        <x:v>0</x:v>
      </x:c>
      <x:c r="P429" s="89" t="n">
        <x:f>SUM(M429:O429)</x:f>
        <x:v>2</x:v>
      </x:c>
      <x:c r="Q429" s="84" t="str">
        <x:v>Exact synonym-name match</x:v>
      </x:c>
      <x:c r="R429" s="84" t="str">
        <x:v>Leptochloa panicea subsp. mucronata</x:v>
      </x:c>
      <x:c r="S429" s="84" t="str">
        <x:v>422318</x:v>
      </x:c>
      <x:c r="T429" s="84" t="str">
        <x:v>474923</x:v>
      </x:c>
      <x:c r="U429" s="84" t="str">
        <x:v>1191195-2</x:v>
      </x:c>
      <x:c r="V429" s="84" t="str">
        <x:v>60458622-2</x:v>
      </x:c>
      <x:c r="W429" s="84" t="str"/>
    </x:row>
    <x:row r="430" ht="18" customHeight="1">
      <x:c r="A430" s="83" t="str">
        <x:v>HAYS-0429</x:v>
      </x:c>
      <x:c r="B430" s="87" t="str">
        <x:v>Lespedeza texana</x:v>
      </x:c>
      <x:c r="C430" s="87" t="str">
        <x:v>Lespedeza texana</x:v>
      </x:c>
      <x:c r="D430" s="84" t="str">
        <x:v>Fabaceae</x:v>
      </x:c>
      <x:c r="E430" s="84" t="str">
        <x:v>Lespedeza</x:v>
      </x:c>
      <x:c r="F430" s="84" t="str">
        <x:v>Species</x:v>
      </x:c>
      <x:c r="G430" s="84" t="str">
        <x:v>Accepted</x:v>
      </x:c>
      <x:c r="H430" s="84" t="str">
        <x:v>Texas Lespedeza, Texas Bush-clover</x:v>
      </x:c>
      <x:c r="I430" s="84" t="str">
        <x:v>Perennial</x:v>
      </x:c>
      <x:c r="J430" s="84" t="str">
        <x:v>Herb</x:v>
      </x:c>
      <x:c r="K430" s="84" t="str">
        <x:v>Sun</x:v>
      </x:c>
      <x:c r="L430" s="84" t="str"/>
      <x:c r="M430" s="89" t="n">
        <x:v>1</x:v>
      </x:c>
      <x:c r="N430" s="89" t="n">
        <x:v>1</x:v>
      </x:c>
      <x:c r="O430" s="89" t="n">
        <x:v>0</x:v>
      </x:c>
      <x:c r="P430" s="89" t="n">
        <x:f>SUM(M430:O430)</x:f>
        <x:v>2</x:v>
      </x:c>
      <x:c r="Q430" s="84" t="str">
        <x:v>Exact accepted-name match</x:v>
      </x:c>
      <x:c r="R430" s="84" t="str">
        <x:v>Lespedeza texana</x:v>
      </x:c>
      <x:c r="S430" s="84" t="str">
        <x:v>2345673</x:v>
      </x:c>
      <x:c r="T430" s="84" t="str">
        <x:v>2345673</x:v>
      </x:c>
      <x:c r="U430" s="84" t="str">
        <x:v>138676-2</x:v>
      </x:c>
      <x:c r="V430" s="84" t="str">
        <x:v>138676-2</x:v>
      </x:c>
      <x:c r="W430" s="84" t="str"/>
    </x:row>
    <x:row r="431" ht="18" customHeight="1">
      <x:c r="A431" s="83" t="str">
        <x:v>HAYS-0430</x:v>
      </x:c>
      <x:c r="B431" s="87" t="str">
        <x:v>Lesquerella densiflora</x:v>
      </x:c>
      <x:c r="C431" s="87" t="str">
        <x:v>Physaria densiflora</x:v>
      </x:c>
      <x:c r="D431" s="84" t="str">
        <x:v>Brassicaceae</x:v>
      </x:c>
      <x:c r="E431" s="84" t="str">
        <x:v>Physaria</x:v>
      </x:c>
      <x:c r="F431" s="84" t="str">
        <x:v>Species</x:v>
      </x:c>
      <x:c r="G431" s="84" t="str">
        <x:v>Synonym</x:v>
      </x:c>
      <x:c r="H431" s="84" t="str">
        <x:v>Denseflower Bladderpod, Low Bladderpod</x:v>
      </x:c>
      <x:c r="I431" s="84" t="str">
        <x:v>Annual</x:v>
      </x:c>
      <x:c r="J431" s="84" t="str">
        <x:v>Herb</x:v>
      </x:c>
      <x:c r="K431" s="84" t="str"/>
      <x:c r="L431" s="84" t="str"/>
      <x:c r="M431" s="89" t="n">
        <x:v>1</x:v>
      </x:c>
      <x:c r="N431" s="89" t="n">
        <x:v>1</x:v>
      </x:c>
      <x:c r="O431" s="89" t="n">
        <x:v>0</x:v>
      </x:c>
      <x:c r="P431" s="89" t="n">
        <x:f>SUM(M431:O431)</x:f>
        <x:v>2</x:v>
      </x:c>
      <x:c r="Q431" s="84" t="str">
        <x:v>Exact synonym-name match</x:v>
      </x:c>
      <x:c r="R431" s="84" t="str">
        <x:v>Lesquerella densiflora</x:v>
      </x:c>
      <x:c r="S431" s="84" t="str">
        <x:v>2338675</x:v>
      </x:c>
      <x:c r="T431" s="84" t="str">
        <x:v>2411687</x:v>
      </x:c>
      <x:c r="U431" s="84" t="str">
        <x:v>138726-2</x:v>
      </x:c>
      <x:c r="V431" s="84" t="str">
        <x:v>1135577-2</x:v>
      </x:c>
      <x:c r="W431" s="84" t="str"/>
    </x:row>
    <x:row r="432" ht="18" customHeight="1">
      <x:c r="A432" s="83" t="str">
        <x:v>HAYS-0431</x:v>
      </x:c>
      <x:c r="B432" s="87" t="str">
        <x:v>Lesquerella engelmannii</x:v>
      </x:c>
      <x:c r="C432" s="87" t="str">
        <x:v>Physaria engelmannii</x:v>
      </x:c>
      <x:c r="D432" s="84" t="str">
        <x:v>Brassicaceae</x:v>
      </x:c>
      <x:c r="E432" s="84" t="str">
        <x:v>Physaria</x:v>
      </x:c>
      <x:c r="F432" s="84" t="str">
        <x:v>Species</x:v>
      </x:c>
      <x:c r="G432" s="84" t="str">
        <x:v>Synonym</x:v>
      </x:c>
      <x:c r="H432" s="84" t="str">
        <x:v>Engelmann's Bladderpod</x:v>
      </x:c>
      <x:c r="I432" s="84" t="str">
        <x:v>Perennial</x:v>
      </x:c>
      <x:c r="J432" s="84" t="str">
        <x:v>Herb</x:v>
      </x:c>
      <x:c r="K432" s="84" t="str"/>
      <x:c r="L432" s="84" t="str"/>
      <x:c r="M432" s="89" t="n">
        <x:v>1</x:v>
      </x:c>
      <x:c r="N432" s="89" t="n">
        <x:v>1</x:v>
      </x:c>
      <x:c r="O432" s="89" t="n">
        <x:v>0</x:v>
      </x:c>
      <x:c r="P432" s="89" t="n">
        <x:f>SUM(M432:O432)</x:f>
        <x:v>2</x:v>
      </x:c>
      <x:c r="Q432" s="84" t="str">
        <x:v>Exact synonym-name match</x:v>
      </x:c>
      <x:c r="R432" s="84" t="str">
        <x:v>Lesquerella engelmannii</x:v>
      </x:c>
      <x:c r="S432" s="84" t="str">
        <x:v>2338681</x:v>
      </x:c>
      <x:c r="T432" s="84" t="str">
        <x:v>2411681</x:v>
      </x:c>
      <x:c r="U432" s="84" t="str">
        <x:v>138732-2</x:v>
      </x:c>
      <x:c r="V432" s="84" t="str">
        <x:v>1036114-2</x:v>
      </x:c>
      <x:c r="W432" s="84" t="str"/>
    </x:row>
    <x:row r="433" ht="18" customHeight="1">
      <x:c r="A433" s="83" t="str">
        <x:v>HAYS-0432</x:v>
      </x:c>
      <x:c r="B433" s="87" t="str">
        <x:v>Lesquerella gracilis</x:v>
      </x:c>
      <x:c r="C433" s="87" t="str">
        <x:v>Physaria gracilis subsp. gracilis</x:v>
      </x:c>
      <x:c r="D433" s="84" t="str">
        <x:v>Brassicaceae</x:v>
      </x:c>
      <x:c r="E433" s="84" t="str">
        <x:v>Physaria</x:v>
      </x:c>
      <x:c r="F433" s="84" t="str">
        <x:v>Species</x:v>
      </x:c>
      <x:c r="G433" s="84" t="str">
        <x:v>Synonym</x:v>
      </x:c>
      <x:c r="H433" s="84" t="str">
        <x:v>Spreading Bladderpod, Cloth-of-gold</x:v>
      </x:c>
      <x:c r="I433" s="84" t="str">
        <x:v>Annual</x:v>
      </x:c>
      <x:c r="J433" s="84" t="str">
        <x:v>Herb</x:v>
      </x:c>
      <x:c r="K433" s="84" t="str">
        <x:v>Sun</x:v>
      </x:c>
      <x:c r="L433" s="84" t="str"/>
      <x:c r="M433" s="89" t="n">
        <x:v>1</x:v>
      </x:c>
      <x:c r="N433" s="89" t="n">
        <x:v>1</x:v>
      </x:c>
      <x:c r="O433" s="89" t="n">
        <x:v>0</x:v>
      </x:c>
      <x:c r="P433" s="89" t="n">
        <x:f>SUM(M433:O433)</x:f>
        <x:v>2</x:v>
      </x:c>
      <x:c r="Q433" s="84" t="str">
        <x:v>Exact synonym-name match</x:v>
      </x:c>
      <x:c r="R433" s="84" t="str">
        <x:v>Lesquerella gracilis</x:v>
      </x:c>
      <x:c r="S433" s="84" t="str">
        <x:v>2338664</x:v>
      </x:c>
      <x:c r="T433" s="84" t="str">
        <x:v>3258082</x:v>
      </x:c>
      <x:c r="U433" s="84" t="str">
        <x:v>138748-2</x:v>
      </x:c>
      <x:c r="V433" s="84" t="str">
        <x:v>77224183-1</x:v>
      </x:c>
      <x:c r="W433" s="84" t="str"/>
    </x:row>
    <x:row r="434" ht="18" customHeight="1">
      <x:c r="A434" s="83" t="str">
        <x:v>HAYS-0433</x:v>
      </x:c>
      <x:c r="B434" s="87" t="str">
        <x:v>Lesquerella grandiflora</x:v>
      </x:c>
      <x:c r="C434" s="87" t="str">
        <x:v>Paysonia grandiflora</x:v>
      </x:c>
      <x:c r="D434" s="84" t="str">
        <x:v>Brassicaceae</x:v>
      </x:c>
      <x:c r="E434" s="84" t="str">
        <x:v>Paysonia</x:v>
      </x:c>
      <x:c r="F434" s="84" t="str">
        <x:v>Species</x:v>
      </x:c>
      <x:c r="G434" s="84" t="str">
        <x:v>Synonym</x:v>
      </x:c>
      <x:c r="H434" s="84" t="str">
        <x:v>Bigflower Bladderpod</x:v>
      </x:c>
      <x:c r="I434" s="84" t="str">
        <x:v>Annual</x:v>
      </x:c>
      <x:c r="J434" s="84" t="str">
        <x:v>Herb</x:v>
      </x:c>
      <x:c r="K434" s="84" t="str"/>
      <x:c r="L434" s="84" t="str"/>
      <x:c r="M434" s="89" t="n">
        <x:v>1</x:v>
      </x:c>
      <x:c r="N434" s="89" t="n">
        <x:v>1</x:v>
      </x:c>
      <x:c r="O434" s="89" t="n">
        <x:v>0</x:v>
      </x:c>
      <x:c r="P434" s="89" t="n">
        <x:f>SUM(M434:O434)</x:f>
        <x:v>2</x:v>
      </x:c>
      <x:c r="Q434" s="84" t="str">
        <x:v>Exact synonym-name match</x:v>
      </x:c>
      <x:c r="R434" s="84" t="str">
        <x:v>Lesquerella grandiflora</x:v>
      </x:c>
      <x:c r="S434" s="84" t="str">
        <x:v>2338667</x:v>
      </x:c>
      <x:c r="T434" s="84" t="str">
        <x:v>2412050</x:v>
      </x:c>
      <x:c r="U434" s="84" t="str">
        <x:v>138754-2</x:v>
      </x:c>
      <x:c r="V434" s="84" t="str">
        <x:v>1168293-2</x:v>
      </x:c>
      <x:c r="W434" s="84" t="str"/>
    </x:row>
    <x:row r="435" ht="18" customHeight="1">
      <x:c r="A435" s="83" t="str">
        <x:v>HAYS-0434</x:v>
      </x:c>
      <x:c r="B435" s="87" t="str">
        <x:v>Lesquerella recurvata</x:v>
      </x:c>
      <x:c r="C435" s="87" t="str">
        <x:v>Physaria recurvata</x:v>
      </x:c>
      <x:c r="D435" s="84" t="str">
        <x:v>Brassicaceae</x:v>
      </x:c>
      <x:c r="E435" s="84" t="str">
        <x:v>Physaria</x:v>
      </x:c>
      <x:c r="F435" s="84" t="str">
        <x:v>Species</x:v>
      </x:c>
      <x:c r="G435" s="84" t="str">
        <x:v>Synonym</x:v>
      </x:c>
      <x:c r="H435" s="84" t="str">
        <x:v>Gaslight Bladderpod, Slender Bladderpod</x:v>
      </x:c>
      <x:c r="I435" s="84" t="str">
        <x:v>Annual</x:v>
      </x:c>
      <x:c r="J435" s="84" t="str">
        <x:v>Herb</x:v>
      </x:c>
      <x:c r="K435" s="84" t="str"/>
      <x:c r="L435" s="84" t="str"/>
      <x:c r="M435" s="89" t="n">
        <x:v>1</x:v>
      </x:c>
      <x:c r="N435" s="89" t="n">
        <x:v>1</x:v>
      </x:c>
      <x:c r="O435" s="89" t="n">
        <x:v>0</x:v>
      </x:c>
      <x:c r="P435" s="89" t="n">
        <x:f>SUM(M435:O435)</x:f>
        <x:v>2</x:v>
      </x:c>
      <x:c r="Q435" s="84" t="str">
        <x:v>Exact synonym-name match</x:v>
      </x:c>
      <x:c r="R435" s="84" t="str">
        <x:v>Lesquerella recurvata</x:v>
      </x:c>
      <x:c r="S435" s="84" t="str">
        <x:v>2338315</x:v>
      </x:c>
      <x:c r="T435" s="84" t="str">
        <x:v>2411763</x:v>
      </x:c>
      <x:c r="U435" s="84" t="str">
        <x:v>286579-1</x:v>
      </x:c>
      <x:c r="V435" s="84" t="str">
        <x:v>1051306-2</x:v>
      </x:c>
      <x:c r="W435" s="84" t="str"/>
    </x:row>
    <x:row r="436" ht="18" customHeight="1">
      <x:c r="A436" s="83" t="str">
        <x:v>HAYS-0435</x:v>
      </x:c>
      <x:c r="B436" s="87" t="str">
        <x:v>Lesquerella sessilis</x:v>
      </x:c>
      <x:c r="C436" s="87" t="str">
        <x:v>Physaria sessilis</x:v>
      </x:c>
      <x:c r="D436" s="84" t="str">
        <x:v>Brassicaceae</x:v>
      </x:c>
      <x:c r="E436" s="84" t="str">
        <x:v>Physaria</x:v>
      </x:c>
      <x:c r="F436" s="84" t="str">
        <x:v>Species</x:v>
      </x:c>
      <x:c r="G436" s="84" t="str">
        <x:v>Synonym</x:v>
      </x:c>
      <x:c r="H436" s="84" t="str">
        <x:v>Sessile Bladderpod</x:v>
      </x:c>
      <x:c r="I436" s="84" t="str">
        <x:v>Annual</x:v>
      </x:c>
      <x:c r="J436" s="84" t="str">
        <x:v>Herb</x:v>
      </x:c>
      <x:c r="K436" s="84" t="str"/>
      <x:c r="L436" s="84" t="str"/>
      <x:c r="M436" s="89" t="n">
        <x:v>1</x:v>
      </x:c>
      <x:c r="N436" s="89" t="n">
        <x:v>1</x:v>
      </x:c>
      <x:c r="O436" s="89" t="n">
        <x:v>0</x:v>
      </x:c>
      <x:c r="P436" s="89" t="n">
        <x:f>SUM(M436:O436)</x:f>
        <x:v>2</x:v>
      </x:c>
      <x:c r="Q436" s="84" t="str">
        <x:v>Exact synonym-name match</x:v>
      </x:c>
      <x:c r="R436" s="84" t="str">
        <x:v>Lesquerella sessilis</x:v>
      </x:c>
      <x:c r="S436" s="84" t="str">
        <x:v>2338332</x:v>
      </x:c>
      <x:c r="T436" s="84" t="str">
        <x:v>2411753</x:v>
      </x:c>
      <x:c r="U436" s="84" t="str">
        <x:v>138847-2</x:v>
      </x:c>
      <x:c r="V436" s="84" t="str">
        <x:v>1150625-2</x:v>
      </x:c>
      <x:c r="W436" s="84" t="str"/>
    </x:row>
    <x:row r="437" ht="18" customHeight="1">
      <x:c r="A437" s="83" t="str">
        <x:v>HAYS-0436</x:v>
      </x:c>
      <x:c r="B437" s="87" t="str">
        <x:v>Leucaena retusa</x:v>
      </x:c>
      <x:c r="C437" s="87" t="str">
        <x:v>Leucaena retusa</x:v>
      </x:c>
      <x:c r="D437" s="84" t="str">
        <x:v>Fabaceae</x:v>
      </x:c>
      <x:c r="E437" s="84" t="str">
        <x:v>Leucaena</x:v>
      </x:c>
      <x:c r="F437" s="84" t="str">
        <x:v>Species</x:v>
      </x:c>
      <x:c r="G437" s="84" t="str">
        <x:v>Accepted</x:v>
      </x:c>
      <x:c r="H437" s="84" t="str">
        <x:v>Goldenball Leadtree, Littleleaf Leadtree, Little Leucaena, Lemonball, Wahoo Tree</x:v>
      </x:c>
      <x:c r="I437" s="84" t="str">
        <x:v>Perennial</x:v>
      </x:c>
      <x:c r="J437" s="84" t="str">
        <x:v>Shrub, Tree</x:v>
      </x:c>
      <x:c r="K437" s="84" t="str">
        <x:v>Sun</x:v>
      </x:c>
      <x:c r="L437" s="84" t="str">
        <x:v>Low</x:v>
      </x:c>
      <x:c r="M437" s="89" t="n">
        <x:v>0</x:v>
      </x:c>
      <x:c r="N437" s="89" t="n">
        <x:v>0</x:v>
      </x:c>
      <x:c r="O437" s="89" t="n">
        <x:v>1</x:v>
      </x:c>
      <x:c r="P437" s="89" t="n">
        <x:f>SUM(M437:O437)</x:f>
        <x:v>1</x:v>
      </x:c>
      <x:c r="Q437" s="84" t="str">
        <x:v>Exact accepted-name match</x:v>
      </x:c>
      <x:c r="R437" s="84" t="str">
        <x:v>Leucaena retusa</x:v>
      </x:c>
      <x:c r="S437" s="84" t="str">
        <x:v>2500103</x:v>
      </x:c>
      <x:c r="T437" s="84" t="str">
        <x:v>2500103</x:v>
      </x:c>
      <x:c r="U437" s="84" t="str">
        <x:v>138971-2</x:v>
      </x:c>
      <x:c r="V437" s="84" t="str">
        <x:v>138971-2</x:v>
      </x:c>
      <x:c r="W437" s="84" t="str"/>
    </x:row>
    <x:row r="438" ht="18" customHeight="1">
      <x:c r="A438" s="83" t="str">
        <x:v>HAYS-0437</x:v>
      </x:c>
      <x:c r="B438" s="87" t="str">
        <x:v>Leucophyllum frutescens</x:v>
      </x:c>
      <x:c r="C438" s="87" t="str">
        <x:v>Leucophyllum frutescens</x:v>
      </x:c>
      <x:c r="D438" s="84" t="str">
        <x:v>Scrophulariaceae</x:v>
      </x:c>
      <x:c r="E438" s="84" t="str">
        <x:v>Leucophyllum</x:v>
      </x:c>
      <x:c r="F438" s="84" t="str">
        <x:v>Species</x:v>
      </x:c>
      <x:c r="G438" s="84" t="str">
        <x:v>Accepted</x:v>
      </x:c>
      <x:c r="H438" s="84" t="str">
        <x:v>Cenizo, Purple Sage, Texas Ranger, Texas Barometer Bush, Texas Silverleaf, Texas Sage, Silverleaf</x:v>
      </x:c>
      <x:c r="I438" s="84" t="str">
        <x:v>Perennial</x:v>
      </x:c>
      <x:c r="J438" s="84" t="str">
        <x:v>Shrub</x:v>
      </x:c>
      <x:c r="K438" s="84" t="str">
        <x:v>Sun</x:v>
      </x:c>
      <x:c r="L438" s="84" t="str">
        <x:v>Low</x:v>
      </x:c>
      <x:c r="M438" s="89" t="n">
        <x:v>1</x:v>
      </x:c>
      <x:c r="N438" s="89" t="n">
        <x:v>1</x:v>
      </x:c>
      <x:c r="O438" s="89" t="n">
        <x:v>1</x:v>
      </x:c>
      <x:c r="P438" s="89" t="n">
        <x:f>SUM(M438:O438)</x:f>
        <x:v>3</x:v>
      </x:c>
      <x:c r="Q438" s="84" t="str">
        <x:v>Exact accepted-name match</x:v>
      </x:c>
      <x:c r="R438" s="84" t="str">
        <x:v>Leucophyllum frutescens</x:v>
      </x:c>
      <x:c r="S438" s="84" t="str">
        <x:v>2497711</x:v>
      </x:c>
      <x:c r="T438" s="84" t="str">
        <x:v>2497711</x:v>
      </x:c>
      <x:c r="U438" s="84" t="str">
        <x:v>139187-2</x:v>
      </x:c>
      <x:c r="V438" s="84" t="str">
        <x:v>139187-2</x:v>
      </x:c>
      <x:c r="W438" s="84" t="str"/>
    </x:row>
    <x:row r="439" ht="18" customHeight="1">
      <x:c r="A439" s="83" t="str">
        <x:v>HAYS-0438</x:v>
      </x:c>
      <x:c r="B439" s="87" t="str">
        <x:v>Leucospora multifida</x:v>
      </x:c>
      <x:c r="C439" s="87" t="str">
        <x:v>Leucospora multifida</x:v>
      </x:c>
      <x:c r="D439" s="84" t="str">
        <x:v>Plantaginaceae</x:v>
      </x:c>
      <x:c r="E439" s="84" t="str">
        <x:v>Leucospora</x:v>
      </x:c>
      <x:c r="F439" s="84" t="str">
        <x:v>Species</x:v>
      </x:c>
      <x:c r="G439" s="84" t="str">
        <x:v>Accepted</x:v>
      </x:c>
      <x:c r="H439" s="84" t="str">
        <x:v>Narrowleaf Paleseed</x:v>
      </x:c>
      <x:c r="I439" s="84" t="str">
        <x:v>Annual</x:v>
      </x:c>
      <x:c r="J439" s="84" t="str">
        <x:v>Herb</x:v>
      </x:c>
      <x:c r="K439" s="84" t="str"/>
      <x:c r="L439" s="84" t="str"/>
      <x:c r="M439" s="89" t="n">
        <x:v>1</x:v>
      </x:c>
      <x:c r="N439" s="89" t="n">
        <x:v>1</x:v>
      </x:c>
      <x:c r="O439" s="89" t="n">
        <x:v>0</x:v>
      </x:c>
      <x:c r="P439" s="89" t="n">
        <x:f>SUM(M439:O439)</x:f>
        <x:v>2</x:v>
      </x:c>
      <x:c r="Q439" s="84" t="str">
        <x:v>Exact accepted-name match</x:v>
      </x:c>
      <x:c r="R439" s="84" t="str">
        <x:v>Leucospora multifida</x:v>
      </x:c>
      <x:c r="S439" s="84" t="str">
        <x:v>2497686</x:v>
      </x:c>
      <x:c r="T439" s="84" t="str">
        <x:v>2497686</x:v>
      </x:c>
      <x:c r="U439" s="84" t="str">
        <x:v>804281-1</x:v>
      </x:c>
      <x:c r="V439" s="84" t="str">
        <x:v>804281-1</x:v>
      </x:c>
      <x:c r="W439" s="84" t="str"/>
    </x:row>
    <x:row r="440" ht="18" customHeight="1">
      <x:c r="A440" s="83" t="str">
        <x:v>HAYS-0439</x:v>
      </x:c>
      <x:c r="B440" s="87" t="str">
        <x:v>Liatris punctata</x:v>
      </x:c>
      <x:c r="C440" s="87" t="str">
        <x:v>Liatris punctata</x:v>
      </x:c>
      <x:c r="D440" s="84" t="str">
        <x:v>Asteraceae</x:v>
      </x:c>
      <x:c r="E440" s="84" t="str">
        <x:v>Liatris</x:v>
      </x:c>
      <x:c r="F440" s="84" t="str">
        <x:v>Species</x:v>
      </x:c>
      <x:c r="G440" s="84" t="str">
        <x:v>Accepted</x:v>
      </x:c>
      <x:c r="H440" s="84" t="str">
        <x:v>Dotted Blazing Star, Dotted Gayfeather, Dotted Liatris, Purples</x:v>
      </x:c>
      <x:c r="I440" s="84" t="str">
        <x:v>Perennial</x:v>
      </x:c>
      <x:c r="J440" s="84" t="str">
        <x:v>Herb</x:v>
      </x:c>
      <x:c r="K440" s="84" t="str">
        <x:v>Sun</x:v>
      </x:c>
      <x:c r="L440" s="84" t="str">
        <x:v>Dry</x:v>
      </x:c>
      <x:c r="M440" s="89" t="n">
        <x:v>1</x:v>
      </x:c>
      <x:c r="N440" s="89" t="n">
        <x:v>1</x:v>
      </x:c>
      <x:c r="O440" s="89" t="n">
        <x:v>0</x:v>
      </x:c>
      <x:c r="P440" s="89" t="n">
        <x:f>SUM(M440:O440)</x:f>
        <x:v>2</x:v>
      </x:c>
      <x:c r="Q440" s="84" t="str">
        <x:v>Exact accepted-name match</x:v>
      </x:c>
      <x:c r="R440" s="84" t="str">
        <x:v>Liatris punctata</x:v>
      </x:c>
      <x:c r="S440" s="84" t="str">
        <x:v>3131115</x:v>
      </x:c>
      <x:c r="T440" s="84" t="str">
        <x:v>3131115</x:v>
      </x:c>
      <x:c r="U440" s="84" t="str">
        <x:v>230622-1</x:v>
      </x:c>
      <x:c r="V440" s="84" t="str">
        <x:v>230622-1</x:v>
      </x:c>
      <x:c r="W440" s="84" t="str"/>
    </x:row>
    <x:row r="441" ht="18" customHeight="1">
      <x:c r="A441" s="83" t="str">
        <x:v>HAYS-0440</x:v>
      </x:c>
      <x:c r="B441" s="87" t="str">
        <x:v>Liatris punctata var. mucronata</x:v>
      </x:c>
      <x:c r="C441" s="87" t="str">
        <x:v>Liatris punctata var. mucronata</x:v>
      </x:c>
      <x:c r="D441" s="84" t="str">
        <x:v>Asteraceae</x:v>
      </x:c>
      <x:c r="E441" s="84" t="str">
        <x:v>Liatris</x:v>
      </x:c>
      <x:c r="F441" s="84" t="str">
        <x:v>Variety</x:v>
      </x:c>
      <x:c r="G441" s="84" t="str">
        <x:v>Accepted</x:v>
      </x:c>
      <x:c r="H441" s="84" t="str">
        <x:v>Gayfeather</x:v>
      </x:c>
      <x:c r="I441" s="84" t="str">
        <x:v>Perennial</x:v>
      </x:c>
      <x:c r="J441" s="84" t="str">
        <x:v>Herb</x:v>
      </x:c>
      <x:c r="K441" s="84" t="str">
        <x:v>Sun</x:v>
      </x:c>
      <x:c r="L441" s="84" t="str">
        <x:v>Low</x:v>
      </x:c>
      <x:c r="M441" s="89" t="n">
        <x:v>1</x:v>
      </x:c>
      <x:c r="N441" s="89" t="n">
        <x:v>1</x:v>
      </x:c>
      <x:c r="O441" s="89" t="n">
        <x:v>1</x:v>
      </x:c>
      <x:c r="P441" s="89" t="n">
        <x:f>SUM(M441:O441)</x:f>
        <x:v>3</x:v>
      </x:c>
      <x:c r="Q441" s="84" t="str">
        <x:v>Exact accepted-name match</x:v>
      </x:c>
      <x:c r="R441" s="84" t="str">
        <x:v>Liatris punctata var. mucronata</x:v>
      </x:c>
      <x:c r="S441" s="84" t="str">
        <x:v>3131123</x:v>
      </x:c>
      <x:c r="T441" s="84" t="str">
        <x:v>3131123</x:v>
      </x:c>
      <x:c r="U441" s="84" t="str">
        <x:v>1163025-2</x:v>
      </x:c>
      <x:c r="V441" s="84" t="str">
        <x:v>1163025-2</x:v>
      </x:c>
      <x:c r="W441" s="84" t="str"/>
    </x:row>
    <x:row r="442" ht="18" customHeight="1">
      <x:c r="A442" s="83" t="str">
        <x:v>HAYS-0441</x:v>
      </x:c>
      <x:c r="B442" s="87" t="str">
        <x:v>Limnodea arkansana</x:v>
      </x:c>
      <x:c r="C442" s="87" t="str">
        <x:v>Limnodea arkansana</x:v>
      </x:c>
      <x:c r="D442" s="84" t="str">
        <x:v>Poaceae</x:v>
      </x:c>
      <x:c r="E442" s="84" t="str">
        <x:v>Limnodea</x:v>
      </x:c>
      <x:c r="F442" s="84" t="str">
        <x:v>Species</x:v>
      </x:c>
      <x:c r="G442" s="84" t="str">
        <x:v>Accepted</x:v>
      </x:c>
      <x:c r="H442" s="84" t="str">
        <x:v>Ozark Grass, Ozarkgrass</x:v>
      </x:c>
      <x:c r="I442" s="84" t="str">
        <x:v>Annual</x:v>
      </x:c>
      <x:c r="J442" s="84" t="str">
        <x:v>Grass/Grass-like</x:v>
      </x:c>
      <x:c r="K442" s="84" t="str">
        <x:v>Sun, Shade, Part-shade</x:v>
      </x:c>
      <x:c r="L442" s="84" t="str">
        <x:v>Wet, Moist</x:v>
      </x:c>
      <x:c r="M442" s="89" t="n">
        <x:v>1</x:v>
      </x:c>
      <x:c r="N442" s="89" t="n">
        <x:v>1</x:v>
      </x:c>
      <x:c r="O442" s="89" t="n">
        <x:v>0</x:v>
      </x:c>
      <x:c r="P442" s="89" t="n">
        <x:f>SUM(M442:O442)</x:f>
        <x:v>2</x:v>
      </x:c>
      <x:c r="Q442" s="84" t="str">
        <x:v>Exact accepted-name match</x:v>
      </x:c>
      <x:c r="R442" s="84" t="str">
        <x:v>Limnodea arkansana</x:v>
      </x:c>
      <x:c r="S442" s="84" t="str">
        <x:v>422688</x:v>
      </x:c>
      <x:c r="T442" s="84" t="str">
        <x:v>422688</x:v>
      </x:c>
      <x:c r="U442" s="84" t="str">
        <x:v>140261-2</x:v>
      </x:c>
      <x:c r="V442" s="84" t="str">
        <x:v>140261-2</x:v>
      </x:c>
      <x:c r="W442" s="84" t="str"/>
    </x:row>
    <x:row r="443" ht="18" customHeight="1">
      <x:c r="A443" s="83" t="str">
        <x:v>HAYS-0442</x:v>
      </x:c>
      <x:c r="B443" s="87" t="str">
        <x:v>Lindera benzoin</x:v>
      </x:c>
      <x:c r="C443" s="87" t="str">
        <x:v>Lindera benzoin</x:v>
      </x:c>
      <x:c r="D443" s="84" t="str">
        <x:v>Lauraceae</x:v>
      </x:c>
      <x:c r="E443" s="84" t="str">
        <x:v>Lindera</x:v>
      </x:c>
      <x:c r="F443" s="84" t="str">
        <x:v>Species</x:v>
      </x:c>
      <x:c r="G443" s="84" t="str">
        <x:v>Accepted</x:v>
      </x:c>
      <x:c r="H443" s="84" t="str">
        <x:v>Northern Spicebush, Spicebush, Wild Allspice</x:v>
      </x:c>
      <x:c r="I443" s="84" t="str">
        <x:v>Perennial</x:v>
      </x:c>
      <x:c r="J443" s="84" t="str">
        <x:v>Shrub</x:v>
      </x:c>
      <x:c r="K443" s="84" t="str">
        <x:v>Shade, Part Shade</x:v>
      </x:c>
      <x:c r="L443" s="84" t="str">
        <x:v>Medium</x:v>
      </x:c>
      <x:c r="M443" s="89" t="n">
        <x:v>1</x:v>
      </x:c>
      <x:c r="N443" s="89" t="n">
        <x:v>1</x:v>
      </x:c>
      <x:c r="O443" s="89" t="n">
        <x:v>1</x:v>
      </x:c>
      <x:c r="P443" s="89" t="n">
        <x:f>SUM(M443:O443)</x:f>
        <x:v>3</x:v>
      </x:c>
      <x:c r="Q443" s="84" t="str">
        <x:v>Exact accepted-name match</x:v>
      </x:c>
      <x:c r="R443" s="84" t="str">
        <x:v>Lindera benzoin</x:v>
      </x:c>
      <x:c r="S443" s="84" t="str">
        <x:v>2351827</x:v>
      </x:c>
      <x:c r="T443" s="84" t="str">
        <x:v>2351827</x:v>
      </x:c>
      <x:c r="U443" s="84" t="str">
        <x:v>140503-2</x:v>
      </x:c>
      <x:c r="V443" s="84" t="str">
        <x:v>140503-2</x:v>
      </x:c>
      <x:c r="W443" s="84" t="str"/>
    </x:row>
    <x:row r="444" ht="18" customHeight="1">
      <x:c r="A444" s="83" t="str">
        <x:v>HAYS-0443</x:v>
      </x:c>
      <x:c r="B444" s="87" t="str">
        <x:v>Lindheimera texana</x:v>
      </x:c>
      <x:c r="C444" s="87" t="str">
        <x:v>Lindheimera texana</x:v>
      </x:c>
      <x:c r="D444" s="84" t="str">
        <x:v>Asteraceae</x:v>
      </x:c>
      <x:c r="E444" s="84" t="str">
        <x:v>Lindheimera</x:v>
      </x:c>
      <x:c r="F444" s="84" t="str">
        <x:v>Species</x:v>
      </x:c>
      <x:c r="G444" s="84" t="str">
        <x:v>Accepted</x:v>
      </x:c>
      <x:c r="H444" s="84" t="str">
        <x:v>Texas Yellowstar, Texas Star, Texas Yellow-star, Lindheimer Daisy</x:v>
      </x:c>
      <x:c r="I444" s="84" t="str">
        <x:v>Annual</x:v>
      </x:c>
      <x:c r="J444" s="84" t="str">
        <x:v>Herb</x:v>
      </x:c>
      <x:c r="K444" s="84" t="str">
        <x:v>Sun</x:v>
      </x:c>
      <x:c r="L444" s="84" t="str">
        <x:v>Low–Medium</x:v>
      </x:c>
      <x:c r="M444" s="89" t="n">
        <x:v>1</x:v>
      </x:c>
      <x:c r="N444" s="89" t="n">
        <x:v>1</x:v>
      </x:c>
      <x:c r="O444" s="89" t="n">
        <x:v>1</x:v>
      </x:c>
      <x:c r="P444" s="89" t="n">
        <x:f>SUM(M444:O444)</x:f>
        <x:v>3</x:v>
      </x:c>
      <x:c r="Q444" s="84" t="str">
        <x:v>Exact accepted-name match</x:v>
      </x:c>
      <x:c r="R444" s="84" t="str">
        <x:v>Lindheimera texana</x:v>
      </x:c>
      <x:c r="S444" s="84" t="str">
        <x:v>3121853</x:v>
      </x:c>
      <x:c r="T444" s="84" t="str">
        <x:v>3121853</x:v>
      </x:c>
      <x:c r="U444" s="84" t="str">
        <x:v>325176-2</x:v>
      </x:c>
      <x:c r="V444" s="84" t="str">
        <x:v>325176-2</x:v>
      </x:c>
      <x:c r="W444" s="84" t="str"/>
    </x:row>
    <x:row r="445" ht="18" customHeight="1">
      <x:c r="A445" s="83" t="str">
        <x:v>HAYS-0444</x:v>
      </x:c>
      <x:c r="B445" s="87" t="str">
        <x:v>Linum hudsonioides</x:v>
      </x:c>
      <x:c r="C445" s="87" t="str">
        <x:v>Linum hudsonioides</x:v>
      </x:c>
      <x:c r="D445" s="84" t="str">
        <x:v>Linaceae</x:v>
      </x:c>
      <x:c r="E445" s="84" t="str">
        <x:v>Linum</x:v>
      </x:c>
      <x:c r="F445" s="84" t="str">
        <x:v>Species</x:v>
      </x:c>
      <x:c r="G445" s="84" t="str">
        <x:v>Accepted</x:v>
      </x:c>
      <x:c r="H445" s="84" t="str">
        <x:v>Texas Flax, Yellow Flax, Hudson Flax</x:v>
      </x:c>
      <x:c r="I445" s="84" t="str">
        <x:v>Annual</x:v>
      </x:c>
      <x:c r="J445" s="84" t="str">
        <x:v>Herb</x:v>
      </x:c>
      <x:c r="K445" s="84" t="str">
        <x:v>Sun</x:v>
      </x:c>
      <x:c r="L445" s="84" t="str">
        <x:v>Dry</x:v>
      </x:c>
      <x:c r="M445" s="89" t="n">
        <x:v>1</x:v>
      </x:c>
      <x:c r="N445" s="89" t="n">
        <x:v>1</x:v>
      </x:c>
      <x:c r="O445" s="89" t="n">
        <x:v>0</x:v>
      </x:c>
      <x:c r="P445" s="89" t="n">
        <x:f>SUM(M445:O445)</x:f>
        <x:v>2</x:v>
      </x:c>
      <x:c r="Q445" s="84" t="str">
        <x:v>Exact accepted-name match</x:v>
      </x:c>
      <x:c r="R445" s="84" t="str">
        <x:v>Linum hudsonioides</x:v>
      </x:c>
      <x:c r="S445" s="84" t="str">
        <x:v>2347162</x:v>
      </x:c>
      <x:c r="T445" s="84" t="str">
        <x:v>2347162</x:v>
      </x:c>
      <x:c r="U445" s="84" t="str">
        <x:v>140840-2</x:v>
      </x:c>
      <x:c r="V445" s="84" t="str">
        <x:v>140840-2</x:v>
      </x:c>
      <x:c r="W445" s="84" t="str"/>
    </x:row>
    <x:row r="446" ht="18" customHeight="1">
      <x:c r="A446" s="83" t="str">
        <x:v>HAYS-0445</x:v>
      </x:c>
      <x:c r="B446" s="87" t="str">
        <x:v>Linum imbricatum</x:v>
      </x:c>
      <x:c r="C446" s="87" t="str">
        <x:v>Linum imbricatum</x:v>
      </x:c>
      <x:c r="D446" s="84" t="str">
        <x:v>Linaceae</x:v>
      </x:c>
      <x:c r="E446" s="84" t="str">
        <x:v>Linum</x:v>
      </x:c>
      <x:c r="F446" s="84" t="str">
        <x:v>Species</x:v>
      </x:c>
      <x:c r="G446" s="84" t="str">
        <x:v>Accepted</x:v>
      </x:c>
      <x:c r="H446" s="84" t="str">
        <x:v>Tufted Flax</x:v>
      </x:c>
      <x:c r="I446" s="84" t="str">
        <x:v>Annual</x:v>
      </x:c>
      <x:c r="J446" s="84" t="str">
        <x:v>Herb</x:v>
      </x:c>
      <x:c r="K446" s="84" t="str"/>
      <x:c r="L446" s="84" t="str"/>
      <x:c r="M446" s="89" t="n">
        <x:v>1</x:v>
      </x:c>
      <x:c r="N446" s="89" t="n">
        <x:v>1</x:v>
      </x:c>
      <x:c r="O446" s="89" t="n">
        <x:v>0</x:v>
      </x:c>
      <x:c r="P446" s="89" t="n">
        <x:f>SUM(M446:O446)</x:f>
        <x:v>2</x:v>
      </x:c>
      <x:c r="Q446" s="84" t="str">
        <x:v>Exact accepted-name match</x:v>
      </x:c>
      <x:c r="R446" s="84" t="str">
        <x:v>Linum imbricatum</x:v>
      </x:c>
      <x:c r="S446" s="84" t="str">
        <x:v>2347144</x:v>
      </x:c>
      <x:c r="T446" s="84" t="str">
        <x:v>2347144</x:v>
      </x:c>
      <x:c r="U446" s="84" t="str">
        <x:v>140842-2</x:v>
      </x:c>
      <x:c r="V446" s="84" t="str">
        <x:v>140842-2</x:v>
      </x:c>
      <x:c r="W446" s="84" t="str"/>
    </x:row>
    <x:row r="447" ht="18" customHeight="1">
      <x:c r="A447" s="83" t="str">
        <x:v>HAYS-0446</x:v>
      </x:c>
      <x:c r="B447" s="87" t="str">
        <x:v>Linum rigidum</x:v>
      </x:c>
      <x:c r="C447" s="87" t="str">
        <x:v>Linum rigidum</x:v>
      </x:c>
      <x:c r="D447" s="84" t="str">
        <x:v>Linaceae</x:v>
      </x:c>
      <x:c r="E447" s="84" t="str">
        <x:v>Linum</x:v>
      </x:c>
      <x:c r="F447" s="84" t="str">
        <x:v>Species</x:v>
      </x:c>
      <x:c r="G447" s="84" t="str">
        <x:v>Accepted</x:v>
      </x:c>
      <x:c r="H447" s="84" t="str">
        <x:v>Stiffstem Flax, Large-flower Yellow Flax, Yellow Flax</x:v>
      </x:c>
      <x:c r="I447" s="84" t="str">
        <x:v>Annual</x:v>
      </x:c>
      <x:c r="J447" s="84" t="str">
        <x:v>Herb</x:v>
      </x:c>
      <x:c r="K447" s="84" t="str">
        <x:v>Sun</x:v>
      </x:c>
      <x:c r="L447" s="84" t="str">
        <x:v>Dry</x:v>
      </x:c>
      <x:c r="M447" s="89" t="n">
        <x:v>1</x:v>
      </x:c>
      <x:c r="N447" s="89" t="n">
        <x:v>1</x:v>
      </x:c>
      <x:c r="O447" s="89" t="n">
        <x:v>0</x:v>
      </x:c>
      <x:c r="P447" s="89" t="n">
        <x:f>SUM(M447:O447)</x:f>
        <x:v>2</x:v>
      </x:c>
      <x:c r="Q447" s="84" t="str">
        <x:v>Exact accepted-name match</x:v>
      </x:c>
      <x:c r="R447" s="84" t="str">
        <x:v>Linum rigidum</x:v>
      </x:c>
      <x:c r="S447" s="84" t="str">
        <x:v>2347230</x:v>
      </x:c>
      <x:c r="T447" s="84" t="str">
        <x:v>2347230</x:v>
      </x:c>
      <x:c r="U447" s="84" t="str">
        <x:v>140913-2</x:v>
      </x:c>
      <x:c r="V447" s="84" t="str">
        <x:v>140913-2</x:v>
      </x:c>
      <x:c r="W447" s="84" t="str"/>
    </x:row>
    <x:row r="448" ht="18" customHeight="1">
      <x:c r="A448" s="83" t="str">
        <x:v>HAYS-0447</x:v>
      </x:c>
      <x:c r="B448" s="87" t="str">
        <x:v>Linum rupestre</x:v>
      </x:c>
      <x:c r="C448" s="87" t="str">
        <x:v>Linum rupestre</x:v>
      </x:c>
      <x:c r="D448" s="84" t="str">
        <x:v>Linaceae</x:v>
      </x:c>
      <x:c r="E448" s="84" t="str">
        <x:v>Linum</x:v>
      </x:c>
      <x:c r="F448" s="84" t="str">
        <x:v>Species</x:v>
      </x:c>
      <x:c r="G448" s="84" t="str">
        <x:v>Accepted</x:v>
      </x:c>
      <x:c r="H448" s="84" t="str">
        <x:v>Rock Flax</x:v>
      </x:c>
      <x:c r="I448" s="84" t="str">
        <x:v>Perennial</x:v>
      </x:c>
      <x:c r="J448" s="84" t="str">
        <x:v>Herb</x:v>
      </x:c>
      <x:c r="K448" s="84" t="str"/>
      <x:c r="L448" s="84" t="str"/>
      <x:c r="M448" s="89" t="n">
        <x:v>1</x:v>
      </x:c>
      <x:c r="N448" s="89" t="n">
        <x:v>1</x:v>
      </x:c>
      <x:c r="O448" s="89" t="n">
        <x:v>0</x:v>
      </x:c>
      <x:c r="P448" s="89" t="n">
        <x:f>SUM(M448:O448)</x:f>
        <x:v>2</x:v>
      </x:c>
      <x:c r="Q448" s="84" t="str">
        <x:v>Exact accepted-name match</x:v>
      </x:c>
      <x:c r="R448" s="84" t="str">
        <x:v>Linum rupestre</x:v>
      </x:c>
      <x:c r="S448" s="84" t="str">
        <x:v>2347228</x:v>
      </x:c>
      <x:c r="T448" s="84" t="str">
        <x:v>2347228</x:v>
      </x:c>
      <x:c r="U448" s="84" t="str">
        <x:v>544677-1</x:v>
      </x:c>
      <x:c r="V448" s="84" t="str">
        <x:v>544677-1</x:v>
      </x:c>
      <x:c r="W448" s="84" t="str"/>
    </x:row>
    <x:row r="449" ht="18" customHeight="1">
      <x:c r="A449" s="83" t="str">
        <x:v>HAYS-0448</x:v>
      </x:c>
      <x:c r="B449" s="87" t="str">
        <x:v>Lithospermum incisum</x:v>
      </x:c>
      <x:c r="C449" s="87" t="str">
        <x:v>Lithospermum incisum</x:v>
      </x:c>
      <x:c r="D449" s="84" t="str">
        <x:v>Boraginaceae</x:v>
      </x:c>
      <x:c r="E449" s="84" t="str">
        <x:v>Lithospermum</x:v>
      </x:c>
      <x:c r="F449" s="84" t="str">
        <x:v>Species</x:v>
      </x:c>
      <x:c r="G449" s="84" t="str">
        <x:v>Accepted</x:v>
      </x:c>
      <x:c r="H449" s="84" t="str">
        <x:v>Fringed Puccoon, Golden Puccoon, Narrowleaf Puccoon, Narrow-leaved Puccoon, Puccoon, Narrowleaf Gromwell, Fringed Gromwell, Narrowleaf Stoneseed</x:v>
      </x:c>
      <x:c r="I449" s="84" t="str">
        <x:v>Perennial</x:v>
      </x:c>
      <x:c r="J449" s="84" t="str">
        <x:v>Herb</x:v>
      </x:c>
      <x:c r="K449" s="84" t="str">
        <x:v>Sun</x:v>
      </x:c>
      <x:c r="L449" s="84" t="str">
        <x:v>Dry</x:v>
      </x:c>
      <x:c r="M449" s="89" t="n">
        <x:v>1</x:v>
      </x:c>
      <x:c r="N449" s="89" t="n">
        <x:v>1</x:v>
      </x:c>
      <x:c r="O449" s="89" t="n">
        <x:v>0</x:v>
      </x:c>
      <x:c r="P449" s="89" t="n">
        <x:f>SUM(M449:O449)</x:f>
        <x:v>2</x:v>
      </x:c>
      <x:c r="Q449" s="84" t="str">
        <x:v>Exact accepted-name match</x:v>
      </x:c>
      <x:c r="R449" s="84" t="str">
        <x:v>Lithospermum incisum</x:v>
      </x:c>
      <x:c r="S449" s="84" t="str">
        <x:v>2343412</x:v>
      </x:c>
      <x:c r="T449" s="84" t="str">
        <x:v>2343412</x:v>
      </x:c>
      <x:c r="U449" s="84" t="str">
        <x:v>118088-1</x:v>
      </x:c>
      <x:c r="V449" s="84" t="str">
        <x:v>118088-1</x:v>
      </x:c>
      <x:c r="W449" s="84" t="str"/>
    </x:row>
    <x:row r="450" ht="18" customHeight="1">
      <x:c r="A450" s="83" t="str">
        <x:v>HAYS-0449</x:v>
      </x:c>
      <x:c r="B450" s="87" t="str">
        <x:v>Lithospermum mirabile</x:v>
      </x:c>
      <x:c r="C450" s="87" t="str">
        <x:v>Lithospermum mirabile</x:v>
      </x:c>
      <x:c r="D450" s="84" t="str">
        <x:v>Boraginaceae</x:v>
      </x:c>
      <x:c r="E450" s="84" t="str">
        <x:v>Lithospermum</x:v>
      </x:c>
      <x:c r="F450" s="84" t="str">
        <x:v>Species</x:v>
      </x:c>
      <x:c r="G450" s="84" t="str">
        <x:v>Accepted</x:v>
      </x:c>
      <x:c r="H450" s="84" t="str">
        <x:v>San Antonio Stoneseed</x:v>
      </x:c>
      <x:c r="I450" s="84" t="str">
        <x:v>Perennial</x:v>
      </x:c>
      <x:c r="J450" s="84" t="str">
        <x:v>Herb</x:v>
      </x:c>
      <x:c r="K450" s="84" t="str"/>
      <x:c r="L450" s="84" t="str"/>
      <x:c r="M450" s="89" t="n">
        <x:v>1</x:v>
      </x:c>
      <x:c r="N450" s="89" t="n">
        <x:v>1</x:v>
      </x:c>
      <x:c r="O450" s="89" t="n">
        <x:v>0</x:v>
      </x:c>
      <x:c r="P450" s="89" t="n">
        <x:f>SUM(M450:O450)</x:f>
        <x:v>2</x:v>
      </x:c>
      <x:c r="Q450" s="84" t="str">
        <x:v>Exact accepted-name match</x:v>
      </x:c>
      <x:c r="R450" s="84" t="str">
        <x:v>Lithospermum mirabile</x:v>
      </x:c>
      <x:c r="S450" s="84" t="str">
        <x:v>2343346</x:v>
      </x:c>
      <x:c r="T450" s="84" t="str">
        <x:v>2343346</x:v>
      </x:c>
      <x:c r="U450" s="84" t="str">
        <x:v>141819-2</x:v>
      </x:c>
      <x:c r="V450" s="84" t="str">
        <x:v>141819-2</x:v>
      </x:c>
      <x:c r="W450" s="84" t="str"/>
    </x:row>
    <x:row r="451" ht="18" customHeight="1">
      <x:c r="A451" s="83" t="str">
        <x:v>HAYS-0450</x:v>
      </x:c>
      <x:c r="B451" s="87" t="str">
        <x:v>Lobelia cardinalis</x:v>
      </x:c>
      <x:c r="C451" s="87" t="str">
        <x:v>Lobelia cardinalis</x:v>
      </x:c>
      <x:c r="D451" s="84" t="str">
        <x:v>Campanulaceae</x:v>
      </x:c>
      <x:c r="E451" s="84" t="str">
        <x:v>Lobelia</x:v>
      </x:c>
      <x:c r="F451" s="84" t="str">
        <x:v>Species</x:v>
      </x:c>
      <x:c r="G451" s="84" t="str">
        <x:v>Accepted</x:v>
      </x:c>
      <x:c r="H451" s="84" t="str">
        <x:v>Cardinal Flower</x:v>
      </x:c>
      <x:c r="I451" s="84" t="str">
        <x:v>Perennial</x:v>
      </x:c>
      <x:c r="J451" s="84" t="str">
        <x:v>Herb</x:v>
      </x:c>
      <x:c r="K451" s="84" t="str">
        <x:v>Part Shade</x:v>
      </x:c>
      <x:c r="L451" s="84" t="str">
        <x:v>Medium–High</x:v>
      </x:c>
      <x:c r="M451" s="89" t="n">
        <x:v>1</x:v>
      </x:c>
      <x:c r="N451" s="89" t="n">
        <x:v>1</x:v>
      </x:c>
      <x:c r="O451" s="89" t="n">
        <x:v>1</x:v>
      </x:c>
      <x:c r="P451" s="89" t="n">
        <x:f>SUM(M451:O451)</x:f>
        <x:v>3</x:v>
      </x:c>
      <x:c r="Q451" s="84" t="str">
        <x:v>Exact accepted-name match</x:v>
      </x:c>
      <x:c r="R451" s="84" t="str">
        <x:v>Lobelia cardinalis</x:v>
      </x:c>
      <x:c r="S451" s="84" t="str">
        <x:v>352312</x:v>
      </x:c>
      <x:c r="T451" s="84" t="str">
        <x:v>352312</x:v>
      </x:c>
      <x:c r="U451" s="84" t="str">
        <x:v>142115-2</x:v>
      </x:c>
      <x:c r="V451" s="84" t="str">
        <x:v>142115-2</x:v>
      </x:c>
      <x:c r="W451" s="84" t="str"/>
    </x:row>
    <x:row r="452" ht="18" customHeight="1">
      <x:c r="A452" s="83" t="str">
        <x:v>HAYS-0451</x:v>
      </x:c>
      <x:c r="B452" s="87" t="str">
        <x:v>Lonicera albiflora</x:v>
      </x:c>
      <x:c r="C452" s="87" t="str">
        <x:v>Lonicera albiflora</x:v>
      </x:c>
      <x:c r="D452" s="84" t="str">
        <x:v>Caprifoliaceae</x:v>
      </x:c>
      <x:c r="E452" s="84" t="str">
        <x:v>Lonicera</x:v>
      </x:c>
      <x:c r="F452" s="84" t="str">
        <x:v>Species</x:v>
      </x:c>
      <x:c r="G452" s="84" t="str">
        <x:v>Accepted</x:v>
      </x:c>
      <x:c r="H452" s="84" t="str">
        <x:v>Western White Honeysuckle, White Shrub Honeysuckle, White Bush Honeysuckle, White Limestone Honeysuckle, Texas Honeysuckle, White Honeysuckle</x:v>
      </x:c>
      <x:c r="I452" s="84" t="str">
        <x:v>Perennial</x:v>
      </x:c>
      <x:c r="J452" s="84" t="str">
        <x:v>Vine</x:v>
      </x:c>
      <x:c r="K452" s="84" t="str">
        <x:v>Sun, Part Shade</x:v>
      </x:c>
      <x:c r="L452" s="84" t="str">
        <x:v>Low–Medium</x:v>
      </x:c>
      <x:c r="M452" s="89" t="n">
        <x:v>1</x:v>
      </x:c>
      <x:c r="N452" s="89" t="n">
        <x:v>1</x:v>
      </x:c>
      <x:c r="O452" s="89" t="n">
        <x:v>1</x:v>
      </x:c>
      <x:c r="P452" s="89" t="n">
        <x:f>SUM(M452:O452)</x:f>
        <x:v>3</x:v>
      </x:c>
      <x:c r="Q452" s="84" t="str">
        <x:v>Exact accepted-name match</x:v>
      </x:c>
      <x:c r="R452" s="84" t="str">
        <x:v>Lonicera albiflora</x:v>
      </x:c>
      <x:c r="S452" s="84" t="str">
        <x:v>2340045</x:v>
      </x:c>
      <x:c r="T452" s="84" t="str">
        <x:v>2340045</x:v>
      </x:c>
      <x:c r="U452" s="84" t="str">
        <x:v>148598-1</x:v>
      </x:c>
      <x:c r="V452" s="84" t="str">
        <x:v>148598-1</x:v>
      </x:c>
      <x:c r="W452" s="84" t="str"/>
    </x:row>
    <x:row r="453" ht="18" customHeight="1">
      <x:c r="A453" s="83" t="str">
        <x:v>HAYS-0452</x:v>
      </x:c>
      <x:c r="B453" s="87" t="str">
        <x:v>Lonicera sempervirens</x:v>
      </x:c>
      <x:c r="C453" s="87" t="str">
        <x:v>Lonicera sempervirens</x:v>
      </x:c>
      <x:c r="D453" s="84" t="str">
        <x:v>Caprifoliaceae</x:v>
      </x:c>
      <x:c r="E453" s="84" t="str">
        <x:v>Lonicera</x:v>
      </x:c>
      <x:c r="F453" s="84" t="str">
        <x:v>Species</x:v>
      </x:c>
      <x:c r="G453" s="84" t="str">
        <x:v>Accepted</x:v>
      </x:c>
      <x:c r="H453" s="84" t="str">
        <x:v>Coral Honeysuckle, Trumpet Honeysuckle, Woodbine</x:v>
      </x:c>
      <x:c r="I453" s="84" t="str">
        <x:v>Perennial</x:v>
      </x:c>
      <x:c r="J453" s="84" t="str">
        <x:v>Vine</x:v>
      </x:c>
      <x:c r="K453" s="84" t="str">
        <x:v>Sun, Part Shade</x:v>
      </x:c>
      <x:c r="L453" s="84" t="str">
        <x:v>Low–Medium</x:v>
      </x:c>
      <x:c r="M453" s="89" t="n">
        <x:v>1</x:v>
      </x:c>
      <x:c r="N453" s="89" t="n">
        <x:v>1</x:v>
      </x:c>
      <x:c r="O453" s="89" t="n">
        <x:v>1</x:v>
      </x:c>
      <x:c r="P453" s="89" t="n">
        <x:f>SUM(M453:O453)</x:f>
        <x:v>3</x:v>
      </x:c>
      <x:c r="Q453" s="84" t="str">
        <x:v>Exact accepted-name match</x:v>
      </x:c>
      <x:c r="R453" s="84" t="str">
        <x:v>Lonicera sempervirens</x:v>
      </x:c>
      <x:c r="S453" s="84" t="str">
        <x:v>2340488</x:v>
      </x:c>
      <x:c r="T453" s="84" t="str">
        <x:v>2340488</x:v>
      </x:c>
      <x:c r="U453" s="84" t="str">
        <x:v>30080890-2</x:v>
      </x:c>
      <x:c r="V453" s="84" t="str">
        <x:v>30080890-2</x:v>
      </x:c>
      <x:c r="W453" s="84" t="str"/>
    </x:row>
    <x:row r="454" ht="18" customHeight="1">
      <x:c r="A454" s="83" t="str">
        <x:v>HAYS-0453</x:v>
      </x:c>
      <x:c r="B454" s="87" t="str">
        <x:v>Ludwigia decurrens</x:v>
      </x:c>
      <x:c r="C454" s="87" t="str">
        <x:v>Ludwigia decurrens</x:v>
      </x:c>
      <x:c r="D454" s="84" t="str">
        <x:v>Onagraceae</x:v>
      </x:c>
      <x:c r="E454" s="84" t="str">
        <x:v>Ludwigia</x:v>
      </x:c>
      <x:c r="F454" s="84" t="str">
        <x:v>Species</x:v>
      </x:c>
      <x:c r="G454" s="84" t="str">
        <x:v>Accepted</x:v>
      </x:c>
      <x:c r="H454" s="84" t="str">
        <x:v>Wingleaf Primrose-willow</x:v>
      </x:c>
      <x:c r="I454" s="84" t="str">
        <x:v>Annual</x:v>
      </x:c>
      <x:c r="J454" s="84" t="str">
        <x:v>Herb</x:v>
      </x:c>
      <x:c r="K454" s="84" t="str"/>
      <x:c r="L454" s="84" t="str"/>
      <x:c r="M454" s="89" t="n">
        <x:v>1</x:v>
      </x:c>
      <x:c r="N454" s="89" t="n">
        <x:v>1</x:v>
      </x:c>
      <x:c r="O454" s="89" t="n">
        <x:v>0</x:v>
      </x:c>
      <x:c r="P454" s="89" t="n">
        <x:f>SUM(M454:O454)</x:f>
        <x:v>2</x:v>
      </x:c>
      <x:c r="Q454" s="84" t="str">
        <x:v>Exact accepted-name match</x:v>
      </x:c>
      <x:c r="R454" s="84" t="str">
        <x:v>Ludwigia decurrens</x:v>
      </x:c>
      <x:c r="S454" s="84" t="str">
        <x:v>2493693</x:v>
      </x:c>
      <x:c r="T454" s="84" t="str">
        <x:v>2493693</x:v>
      </x:c>
      <x:c r="U454" s="84" t="str">
        <x:v>613333-1</x:v>
      </x:c>
      <x:c r="V454" s="84" t="str">
        <x:v>613333-1</x:v>
      </x:c>
      <x:c r="W454" s="84" t="str"/>
    </x:row>
    <x:row r="455" ht="18" customHeight="1">
      <x:c r="A455" s="83" t="str">
        <x:v>HAYS-0454</x:v>
      </x:c>
      <x:c r="B455" s="87" t="str">
        <x:v>Ludwigia octovalvis</x:v>
      </x:c>
      <x:c r="C455" s="87" t="str">
        <x:v>Ludwigia octovalvis</x:v>
      </x:c>
      <x:c r="D455" s="84" t="str">
        <x:v>Onagraceae</x:v>
      </x:c>
      <x:c r="E455" s="84" t="str">
        <x:v>Ludwigia</x:v>
      </x:c>
      <x:c r="F455" s="84" t="str">
        <x:v>Species</x:v>
      </x:c>
      <x:c r="G455" s="84" t="str">
        <x:v>Accepted</x:v>
      </x:c>
      <x:c r="H455" s="84" t="str">
        <x:v>Mexican Primrose-willow, Narrow-leaf Water Primrose, Seedbox, Mexican Primrose Willow</x:v>
      </x:c>
      <x:c r="I455" s="84" t="str">
        <x:v>Perennial</x:v>
      </x:c>
      <x:c r="J455" s="84" t="str">
        <x:v>Herb</x:v>
      </x:c>
      <x:c r="K455" s="84" t="str">
        <x:v>Sun, Part Shade</x:v>
      </x:c>
      <x:c r="L455" s="84" t="str">
        <x:v>Medium–High</x:v>
      </x:c>
      <x:c r="M455" s="89" t="n">
        <x:v>1</x:v>
      </x:c>
      <x:c r="N455" s="89" t="n">
        <x:v>1</x:v>
      </x:c>
      <x:c r="O455" s="89" t="n">
        <x:v>1</x:v>
      </x:c>
      <x:c r="P455" s="89" t="n">
        <x:f>SUM(M455:O455)</x:f>
        <x:v>3</x:v>
      </x:c>
      <x:c r="Q455" s="84" t="str">
        <x:v>Exact accepted-name match</x:v>
      </x:c>
      <x:c r="R455" s="84" t="str">
        <x:v>Ludwigia octovalvis</x:v>
      </x:c>
      <x:c r="S455" s="84" t="str">
        <x:v>2494035</x:v>
      </x:c>
      <x:c r="T455" s="84" t="str">
        <x:v>2494035</x:v>
      </x:c>
      <x:c r="U455" s="84" t="str">
        <x:v>144385-2</x:v>
      </x:c>
      <x:c r="V455" s="84" t="str">
        <x:v>144385-2</x:v>
      </x:c>
      <x:c r="W455" s="84" t="str"/>
    </x:row>
    <x:row r="456" ht="18" customHeight="1">
      <x:c r="A456" s="83" t="str">
        <x:v>HAYS-0455</x:v>
      </x:c>
      <x:c r="B456" s="87" t="str">
        <x:v>Ludwigia palustris</x:v>
      </x:c>
      <x:c r="C456" s="87" t="str">
        <x:v>Ludwigia palustris</x:v>
      </x:c>
      <x:c r="D456" s="84" t="str">
        <x:v>Onagraceae</x:v>
      </x:c>
      <x:c r="E456" s="84" t="str">
        <x:v>Ludwigia</x:v>
      </x:c>
      <x:c r="F456" s="84" t="str">
        <x:v>Species</x:v>
      </x:c>
      <x:c r="G456" s="84" t="str">
        <x:v>Accepted</x:v>
      </x:c>
      <x:c r="H456" s="84" t="str">
        <x:v>Marsh Seedbox, Water Purslane</x:v>
      </x:c>
      <x:c r="I456" s="84" t="str">
        <x:v>Perennial</x:v>
      </x:c>
      <x:c r="J456" s="84" t="str">
        <x:v>Herb</x:v>
      </x:c>
      <x:c r="K456" s="84" t="str">
        <x:v>Sun</x:v>
      </x:c>
      <x:c r="L456" s="84" t="str">
        <x:v>Wet</x:v>
      </x:c>
      <x:c r="M456" s="89" t="n">
        <x:v>1</x:v>
      </x:c>
      <x:c r="N456" s="89" t="n">
        <x:v>1</x:v>
      </x:c>
      <x:c r="O456" s="89" t="n">
        <x:v>0</x:v>
      </x:c>
      <x:c r="P456" s="89" t="n">
        <x:f>SUM(M456:O456)</x:f>
        <x:v>2</x:v>
      </x:c>
      <x:c r="Q456" s="84" t="str">
        <x:v>Exact accepted-name match</x:v>
      </x:c>
      <x:c r="R456" s="84" t="str">
        <x:v>Ludwigia palustris</x:v>
      </x:c>
      <x:c r="S456" s="84" t="str">
        <x:v>2494015</x:v>
      </x:c>
      <x:c r="T456" s="84" t="str">
        <x:v>2494015</x:v>
      </x:c>
      <x:c r="U456" s="84" t="str">
        <x:v>30031106-2</x:v>
      </x:c>
      <x:c r="V456" s="84" t="str">
        <x:v>30031106-2</x:v>
      </x:c>
      <x:c r="W456" s="84" t="str"/>
    </x:row>
    <x:row r="457" ht="18" customHeight="1">
      <x:c r="A457" s="83" t="str">
        <x:v>HAYS-0456</x:v>
      </x:c>
      <x:c r="B457" s="87" t="str">
        <x:v>Ludwigia peploides</x:v>
      </x:c>
      <x:c r="C457" s="87" t="str">
        <x:v>Ludwigia peploides</x:v>
      </x:c>
      <x:c r="D457" s="84" t="str">
        <x:v>Onagraceae</x:v>
      </x:c>
      <x:c r="E457" s="84" t="str">
        <x:v>Ludwigia</x:v>
      </x:c>
      <x:c r="F457" s="84" t="str">
        <x:v>Species</x:v>
      </x:c>
      <x:c r="G457" s="84" t="str">
        <x:v>Accepted</x:v>
      </x:c>
      <x:c r="H457" s="84" t="str">
        <x:v>Floating Primrose-willow, Water-primrose, CreepingÂ Water-primrose</x:v>
      </x:c>
      <x:c r="I457" s="84" t="str">
        <x:v>Perennial</x:v>
      </x:c>
      <x:c r="J457" s="84" t="str">
        <x:v>Herb</x:v>
      </x:c>
      <x:c r="K457" s="84" t="str">
        <x:v>Sun</x:v>
      </x:c>
      <x:c r="L457" s="84" t="str"/>
      <x:c r="M457" s="89" t="n">
        <x:v>1</x:v>
      </x:c>
      <x:c r="N457" s="89" t="n">
        <x:v>1</x:v>
      </x:c>
      <x:c r="O457" s="89" t="n">
        <x:v>0</x:v>
      </x:c>
      <x:c r="P457" s="89" t="n">
        <x:f>SUM(M457:O457)</x:f>
        <x:v>2</x:v>
      </x:c>
      <x:c r="Q457" s="84" t="str">
        <x:v>Exact accepted-name match</x:v>
      </x:c>
      <x:c r="R457" s="84" t="str">
        <x:v>Ludwigia peploides</x:v>
      </x:c>
      <x:c r="S457" s="84" t="str">
        <x:v>2493829</x:v>
      </x:c>
      <x:c r="T457" s="84" t="str">
        <x:v>2493829</x:v>
      </x:c>
      <x:c r="U457" s="84" t="str">
        <x:v>613407-1</x:v>
      </x:c>
      <x:c r="V457" s="84" t="str">
        <x:v>613407-1</x:v>
      </x:c>
      <x:c r="W457" s="84" t="str"/>
    </x:row>
    <x:row r="458" ht="18" customHeight="1">
      <x:c r="A458" s="83" t="str">
        <x:v>HAYS-0457</x:v>
      </x:c>
      <x:c r="B458" s="87" t="str">
        <x:v>Ludwigia repens</x:v>
      </x:c>
      <x:c r="C458" s="87" t="str">
        <x:v>Ludwigia repens</x:v>
      </x:c>
      <x:c r="D458" s="84" t="str">
        <x:v>Onagraceae</x:v>
      </x:c>
      <x:c r="E458" s="84" t="str">
        <x:v>Ludwigia</x:v>
      </x:c>
      <x:c r="F458" s="84" t="str">
        <x:v>Species</x:v>
      </x:c>
      <x:c r="G458" s="84" t="str">
        <x:v>Accepted</x:v>
      </x:c>
      <x:c r="H458" s="84" t="str">
        <x:v>Creeping Primrose-willow, Floating Primrose-willow, Water Primrose</x:v>
      </x:c>
      <x:c r="I458" s="84" t="str">
        <x:v>Perennial</x:v>
      </x:c>
      <x:c r="J458" s="84" t="str">
        <x:v>Herb</x:v>
      </x:c>
      <x:c r="K458" s="84" t="str"/>
      <x:c r="L458" s="84" t="str"/>
      <x:c r="M458" s="89" t="n">
        <x:v>1</x:v>
      </x:c>
      <x:c r="N458" s="89" t="n">
        <x:v>1</x:v>
      </x:c>
      <x:c r="O458" s="89" t="n">
        <x:v>0</x:v>
      </x:c>
      <x:c r="P458" s="89" t="n">
        <x:f>SUM(M458:O458)</x:f>
        <x:v>2</x:v>
      </x:c>
      <x:c r="Q458" s="84" t="str">
        <x:v>Exact accepted-name match</x:v>
      </x:c>
      <x:c r="R458" s="84" t="str">
        <x:v>Ludwigia repens</x:v>
      </x:c>
      <x:c r="S458" s="84" t="str">
        <x:v>2494024</x:v>
      </x:c>
      <x:c r="T458" s="84" t="str">
        <x:v>2494024</x:v>
      </x:c>
      <x:c r="U458" s="84" t="str">
        <x:v>30121490-2</x:v>
      </x:c>
      <x:c r="V458" s="84" t="str">
        <x:v>30121490-2</x:v>
      </x:c>
      <x:c r="W458" s="84" t="str"/>
    </x:row>
    <x:row r="459" ht="18" customHeight="1">
      <x:c r="A459" s="83" t="str">
        <x:v>HAYS-0458</x:v>
      </x:c>
      <x:c r="B459" s="87" t="str">
        <x:v>Lupinus texensis</x:v>
      </x:c>
      <x:c r="C459" s="87" t="str">
        <x:v>Lupinus texensis</x:v>
      </x:c>
      <x:c r="D459" s="84" t="str">
        <x:v>Fabaceae</x:v>
      </x:c>
      <x:c r="E459" s="84" t="str">
        <x:v>Lupinus</x:v>
      </x:c>
      <x:c r="F459" s="84" t="str">
        <x:v>Species</x:v>
      </x:c>
      <x:c r="G459" s="84" t="str">
        <x:v>Accepted</x:v>
      </x:c>
      <x:c r="H459" s="84" t="str">
        <x:v>Texas Bluebonnet, Bluebonnet, Texas Lupine, Buffalo Clover, Wolf Flower</x:v>
      </x:c>
      <x:c r="I459" s="84" t="str">
        <x:v>Annual</x:v>
      </x:c>
      <x:c r="J459" s="84" t="str">
        <x:v>Herb</x:v>
      </x:c>
      <x:c r="K459" s="84" t="str">
        <x:v>Sun</x:v>
      </x:c>
      <x:c r="L459" s="84" t="str">
        <x:v>Low</x:v>
      </x:c>
      <x:c r="M459" s="89" t="n">
        <x:v>1</x:v>
      </x:c>
      <x:c r="N459" s="89" t="n">
        <x:v>1</x:v>
      </x:c>
      <x:c r="O459" s="89" t="n">
        <x:v>1</x:v>
      </x:c>
      <x:c r="P459" s="89" t="n">
        <x:f>SUM(M459:O459)</x:f>
        <x:v>3</x:v>
      </x:c>
      <x:c r="Q459" s="84" t="str">
        <x:v>Exact accepted-name match</x:v>
      </x:c>
      <x:c r="R459" s="84" t="str">
        <x:v>Lupinus texensis</x:v>
      </x:c>
      <x:c r="S459" s="84" t="str">
        <x:v>2346606</x:v>
      </x:c>
      <x:c r="T459" s="84" t="str">
        <x:v>2346606</x:v>
      </x:c>
      <x:c r="U459" s="84" t="str">
        <x:v>279946-2</x:v>
      </x:c>
      <x:c r="V459" s="84" t="str">
        <x:v>279946-2</x:v>
      </x:c>
      <x:c r="W459" s="84" t="str"/>
    </x:row>
    <x:row r="460" ht="18" customHeight="1">
      <x:c r="A460" s="83" t="str">
        <x:v>HAYS-0459</x:v>
      </x:c>
      <x:c r="B460" s="87" t="str">
        <x:v>Luzula bulbosa</x:v>
      </x:c>
      <x:c r="C460" s="87" t="str">
        <x:v>Luzula bulbosa</x:v>
      </x:c>
      <x:c r="D460" s="84" t="str">
        <x:v>Juncaceae</x:v>
      </x:c>
      <x:c r="E460" s="84" t="str">
        <x:v>Luzula</x:v>
      </x:c>
      <x:c r="F460" s="84" t="str">
        <x:v>Species</x:v>
      </x:c>
      <x:c r="G460" s="84" t="str">
        <x:v>Accepted</x:v>
      </x:c>
      <x:c r="H460" s="84" t="str">
        <x:v>Bulbous Woodrush</x:v>
      </x:c>
      <x:c r="I460" s="84" t="str">
        <x:v>Perennial</x:v>
      </x:c>
      <x:c r="J460" s="84" t="str">
        <x:v>Grass/Grass-like</x:v>
      </x:c>
      <x:c r="K460" s="84" t="str"/>
      <x:c r="L460" s="84" t="str"/>
      <x:c r="M460" s="89" t="n">
        <x:v>1</x:v>
      </x:c>
      <x:c r="N460" s="89" t="n">
        <x:v>1</x:v>
      </x:c>
      <x:c r="O460" s="89" t="n">
        <x:v>0</x:v>
      </x:c>
      <x:c r="P460" s="89" t="n">
        <x:f>SUM(M460:O460)</x:f>
        <x:v>2</x:v>
      </x:c>
      <x:c r="Q460" s="84" t="str">
        <x:v>Exact accepted-name match</x:v>
      </x:c>
      <x:c r="R460" s="84" t="str">
        <x:v>Luzula bulbosa</x:v>
      </x:c>
      <x:c r="S460" s="84" t="str">
        <x:v>316205</x:v>
      </x:c>
      <x:c r="T460" s="84" t="str">
        <x:v>316205</x:v>
      </x:c>
      <x:c r="U460" s="84" t="str">
        <x:v>77110958-1</x:v>
      </x:c>
      <x:c r="V460" s="84" t="str">
        <x:v>77110958-1</x:v>
      </x:c>
      <x:c r="W460" s="84" t="str"/>
    </x:row>
    <x:row r="461" ht="18" customHeight="1">
      <x:c r="A461" s="83" t="str">
        <x:v>HAYS-0460</x:v>
      </x:c>
      <x:c r="B461" s="87" t="str">
        <x:v>Lygodesmia texana</x:v>
      </x:c>
      <x:c r="C461" s="87" t="str">
        <x:v>Lygodesmia texana</x:v>
      </x:c>
      <x:c r="D461" s="84" t="str">
        <x:v>Asteraceae</x:v>
      </x:c>
      <x:c r="E461" s="84" t="str">
        <x:v>Lygodesmia</x:v>
      </x:c>
      <x:c r="F461" s="84" t="str">
        <x:v>Species</x:v>
      </x:c>
      <x:c r="G461" s="84" t="str">
        <x:v>Accepted</x:v>
      </x:c>
      <x:c r="H461" s="84" t="str">
        <x:v>Texas Skeleton Plant, Texas Skeleton Weed, Skeleton-plant, Purple Dandelion, Flowering Straw</x:v>
      </x:c>
      <x:c r="I461" s="84" t="str">
        <x:v>Perennial</x:v>
      </x:c>
      <x:c r="J461" s="84" t="str">
        <x:v>Herb</x:v>
      </x:c>
      <x:c r="K461" s="84" t="str">
        <x:v>Sun</x:v>
      </x:c>
      <x:c r="L461" s="84" t="str">
        <x:v>Dry</x:v>
      </x:c>
      <x:c r="M461" s="89" t="n">
        <x:v>1</x:v>
      </x:c>
      <x:c r="N461" s="89" t="n">
        <x:v>1</x:v>
      </x:c>
      <x:c r="O461" s="89" t="n">
        <x:v>0</x:v>
      </x:c>
      <x:c r="P461" s="89" t="n">
        <x:f>SUM(M461:O461)</x:f>
        <x:v>2</x:v>
      </x:c>
      <x:c r="Q461" s="84" t="str">
        <x:v>Exact accepted-name match</x:v>
      </x:c>
      <x:c r="R461" s="84" t="str">
        <x:v>Lygodesmia texana</x:v>
      </x:c>
      <x:c r="S461" s="84" t="str">
        <x:v>3063629</x:v>
      </x:c>
      <x:c r="T461" s="84" t="str">
        <x:v>3063629</x:v>
      </x:c>
      <x:c r="U461" s="84" t="str">
        <x:v>147821-2</x:v>
      </x:c>
      <x:c r="V461" s="84" t="str">
        <x:v>147821-2</x:v>
      </x:c>
      <x:c r="W461" s="84" t="str"/>
    </x:row>
    <x:row r="462" ht="18" customHeight="1">
      <x:c r="A462" s="83" t="str">
        <x:v>HAYS-0461</x:v>
      </x:c>
      <x:c r="B462" s="87" t="str">
        <x:v>Lythrum alatum</x:v>
      </x:c>
      <x:c r="C462" s="87" t="str">
        <x:v>Lythrum alatum</x:v>
      </x:c>
      <x:c r="D462" s="84" t="str">
        <x:v>Lythraceae</x:v>
      </x:c>
      <x:c r="E462" s="84" t="str">
        <x:v>Lythrum</x:v>
      </x:c>
      <x:c r="F462" s="84" t="str">
        <x:v>Species</x:v>
      </x:c>
      <x:c r="G462" s="84" t="str">
        <x:v>Accepted</x:v>
      </x:c>
      <x:c r="H462" s="84" t="str">
        <x:v>Winged Lythrum</x:v>
      </x:c>
      <x:c r="I462" s="84" t="str">
        <x:v>Perennial</x:v>
      </x:c>
      <x:c r="J462" s="84" t="str">
        <x:v>Subshrub</x:v>
      </x:c>
      <x:c r="K462" s="84" t="str">
        <x:v>Sun</x:v>
      </x:c>
      <x:c r="L462" s="84" t="str">
        <x:v>Wet, Moist</x:v>
      </x:c>
      <x:c r="M462" s="89" t="n">
        <x:v>1</x:v>
      </x:c>
      <x:c r="N462" s="89" t="n">
        <x:v>1</x:v>
      </x:c>
      <x:c r="O462" s="89" t="n">
        <x:v>0</x:v>
      </x:c>
      <x:c r="P462" s="89" t="n">
        <x:f>SUM(M462:O462)</x:f>
        <x:v>2</x:v>
      </x:c>
      <x:c r="Q462" s="84" t="str">
        <x:v>Exact accepted-name match</x:v>
      </x:c>
      <x:c r="R462" s="84" t="str">
        <x:v>Lythrum alatum</x:v>
      </x:c>
      <x:c r="S462" s="84" t="str">
        <x:v>2353973</x:v>
      </x:c>
      <x:c r="T462" s="84" t="str">
        <x:v>2353973</x:v>
      </x:c>
      <x:c r="U462" s="84" t="str">
        <x:v>553649-1</x:v>
      </x:c>
      <x:c r="V462" s="84" t="str">
        <x:v>553649-1</x:v>
      </x:c>
      <x:c r="W462" s="84" t="str"/>
    </x:row>
    <x:row r="463" ht="18" customHeight="1">
      <x:c r="A463" s="83" t="str">
        <x:v>HAYS-0462</x:v>
      </x:c>
      <x:c r="B463" s="87" t="str">
        <x:v>Lythrum californicum</x:v>
      </x:c>
      <x:c r="C463" s="87" t="str">
        <x:v>Lythrum californicum</x:v>
      </x:c>
      <x:c r="D463" s="84" t="str">
        <x:v>Lythraceae</x:v>
      </x:c>
      <x:c r="E463" s="84" t="str">
        <x:v>Lythrum</x:v>
      </x:c>
      <x:c r="F463" s="84" t="str">
        <x:v>Species</x:v>
      </x:c>
      <x:c r="G463" s="84" t="str">
        <x:v>Accepted</x:v>
      </x:c>
      <x:c r="H463" s="84" t="str">
        <x:v>California Loosestrife</x:v>
      </x:c>
      <x:c r="I463" s="84" t="str">
        <x:v>Perennial</x:v>
      </x:c>
      <x:c r="J463" s="84" t="str">
        <x:v>Herb</x:v>
      </x:c>
      <x:c r="K463" s="84" t="str">
        <x:v>Sun</x:v>
      </x:c>
      <x:c r="L463" s="84" t="str">
        <x:v>Moist</x:v>
      </x:c>
      <x:c r="M463" s="89" t="n">
        <x:v>1</x:v>
      </x:c>
      <x:c r="N463" s="89" t="n">
        <x:v>1</x:v>
      </x:c>
      <x:c r="O463" s="89" t="n">
        <x:v>0</x:v>
      </x:c>
      <x:c r="P463" s="89" t="n">
        <x:f>SUM(M463:O463)</x:f>
        <x:v>2</x:v>
      </x:c>
      <x:c r="Q463" s="84" t="str">
        <x:v>Exact accepted-name match</x:v>
      </x:c>
      <x:c r="R463" s="84" t="str">
        <x:v>Lythrum californicum</x:v>
      </x:c>
      <x:c r="S463" s="84" t="str">
        <x:v>2353987</x:v>
      </x:c>
      <x:c r="T463" s="84" t="str">
        <x:v>2353987</x:v>
      </x:c>
      <x:c r="U463" s="84" t="str">
        <x:v>553677-1</x:v>
      </x:c>
      <x:c r="V463" s="84" t="str">
        <x:v>553677-1</x:v>
      </x:c>
      <x:c r="W463" s="84" t="str"/>
    </x:row>
    <x:row r="464" ht="18" customHeight="1">
      <x:c r="A464" s="83" t="str">
        <x:v>HAYS-0463</x:v>
      </x:c>
      <x:c r="B464" s="87" t="str">
        <x:v>Maclura pomifera</x:v>
      </x:c>
      <x:c r="C464" s="87" t="str">
        <x:v>Maclura pomifera</x:v>
      </x:c>
      <x:c r="D464" s="84" t="str">
        <x:v>Moraceae</x:v>
      </x:c>
      <x:c r="E464" s="84" t="str">
        <x:v>Maclura</x:v>
      </x:c>
      <x:c r="F464" s="84" t="str">
        <x:v>Species</x:v>
      </x:c>
      <x:c r="G464" s="84" t="str">
        <x:v>Accepted</x:v>
      </x:c>
      <x:c r="H464" s="84" t="str">
        <x:v>Osage Orange, Bois d' Arc, Bodark, Horse Apple, Hedge Apple, Bowwood, Yellowwood, Naranjo Chino, Monkey Brains</x:v>
      </x:c>
      <x:c r="I464" s="84" t="str">
        <x:v>Perennial</x:v>
      </x:c>
      <x:c r="J464" s="84" t="str">
        <x:v>Tree</x:v>
      </x:c>
      <x:c r="K464" s="84" t="str">
        <x:v>Sun, Part Shade</x:v>
      </x:c>
      <x:c r="L464" s="84" t="str">
        <x:v>Low–Medium</x:v>
      </x:c>
      <x:c r="M464" s="89" t="n">
        <x:v>1</x:v>
      </x:c>
      <x:c r="N464" s="89" t="n">
        <x:v>1</x:v>
      </x:c>
      <x:c r="O464" s="89" t="n">
        <x:v>1</x:v>
      </x:c>
      <x:c r="P464" s="89" t="n">
        <x:f>SUM(M464:O464)</x:f>
        <x:v>3</x:v>
      </x:c>
      <x:c r="Q464" s="84" t="str">
        <x:v>Exact accepted-name match</x:v>
      </x:c>
      <x:c r="R464" s="84" t="str">
        <x:v>Maclura pomifera</x:v>
      </x:c>
      <x:c r="S464" s="84" t="str">
        <x:v>2501306</x:v>
      </x:c>
      <x:c r="T464" s="84" t="str">
        <x:v>2501306</x:v>
      </x:c>
      <x:c r="U464" s="84" t="str">
        <x:v>148738-2</x:v>
      </x:c>
      <x:c r="V464" s="84" t="str">
        <x:v>148738-2</x:v>
      </x:c>
      <x:c r="W464" s="84" t="str"/>
    </x:row>
    <x:row r="465" ht="18" customHeight="1">
      <x:c r="A465" s="83" t="str">
        <x:v>HAYS-0464</x:v>
      </x:c>
      <x:c r="B465" s="87" t="str">
        <x:v>Mahonia swaseyi</x:v>
      </x:c>
      <x:c r="C465" s="87" t="str">
        <x:v>Berberis swaseyi</x:v>
      </x:c>
      <x:c r="D465" s="84" t="str">
        <x:v>Berberidaceae</x:v>
      </x:c>
      <x:c r="E465" s="84" t="str">
        <x:v>Berberis</x:v>
      </x:c>
      <x:c r="F465" s="84" t="str">
        <x:v>Species</x:v>
      </x:c>
      <x:c r="G465" s="84" t="str">
        <x:v>Synonym</x:v>
      </x:c>
      <x:c r="H465" s="84" t="str">
        <x:v>Texas Barberry, Texas Oregon-grape</x:v>
      </x:c>
      <x:c r="I465" s="84" t="str">
        <x:v>Perennial</x:v>
      </x:c>
      <x:c r="J465" s="84" t="str">
        <x:v>Shrub</x:v>
      </x:c>
      <x:c r="K465" s="84" t="str">
        <x:v>Sun</x:v>
      </x:c>
      <x:c r="L465" s="84" t="str">
        <x:v>Low</x:v>
      </x:c>
      <x:c r="M465" s="89" t="n">
        <x:v>1</x:v>
      </x:c>
      <x:c r="N465" s="89" t="n">
        <x:v>1</x:v>
      </x:c>
      <x:c r="O465" s="89" t="n">
        <x:v>1</x:v>
      </x:c>
      <x:c r="P465" s="89" t="n">
        <x:f>SUM(M465:O465)</x:f>
        <x:v>3</x:v>
      </x:c>
      <x:c r="Q465" s="84" t="str">
        <x:v>Exact synonym-name match</x:v>
      </x:c>
      <x:c r="R465" s="84" t="str">
        <x:v>Mahonia swaseyi</x:v>
      </x:c>
      <x:c r="S465" s="84" t="str">
        <x:v>2359305</x:v>
      </x:c>
      <x:c r="T465" s="84" t="str">
        <x:v>2674498</x:v>
      </x:c>
      <x:c r="U465" s="84" t="str">
        <x:v>149405-2</x:v>
      </x:c>
      <x:c r="V465" s="84" t="str">
        <x:v>107126-1</x:v>
      </x:c>
      <x:c r="W465" s="84" t="str"/>
    </x:row>
    <x:row r="466" ht="18" customHeight="1">
      <x:c r="A466" s="83" t="str">
        <x:v>HAYS-0465</x:v>
      </x:c>
      <x:c r="B466" s="87" t="str">
        <x:v>Mahonia trifoliolata</x:v>
      </x:c>
      <x:c r="C466" s="87" t="str">
        <x:v>Berberis trifoliolata</x:v>
      </x:c>
      <x:c r="D466" s="84" t="str">
        <x:v>Berberidaceae</x:v>
      </x:c>
      <x:c r="E466" s="84" t="str">
        <x:v>Berberis</x:v>
      </x:c>
      <x:c r="F466" s="84" t="str">
        <x:v>Species</x:v>
      </x:c>
      <x:c r="G466" s="84" t="str">
        <x:v>Synonym</x:v>
      </x:c>
      <x:c r="H466" s="84" t="str">
        <x:v>Agarita, Agarito, Algerita, Laredo Mahonia, Laredo Oregon-grape, Trifoliate Barberry, Wild Currant</x:v>
      </x:c>
      <x:c r="I466" s="84" t="str">
        <x:v>Perennial</x:v>
      </x:c>
      <x:c r="J466" s="84" t="str">
        <x:v>Shrub</x:v>
      </x:c>
      <x:c r="K466" s="84" t="str">
        <x:v>Sun</x:v>
      </x:c>
      <x:c r="L466" s="84" t="str">
        <x:v>Low</x:v>
      </x:c>
      <x:c r="M466" s="89" t="n">
        <x:v>1</x:v>
      </x:c>
      <x:c r="N466" s="89" t="n">
        <x:v>1</x:v>
      </x:c>
      <x:c r="O466" s="89" t="n">
        <x:v>1</x:v>
      </x:c>
      <x:c r="P466" s="89" t="n">
        <x:f>SUM(M466:O466)</x:f>
        <x:v>3</x:v>
      </x:c>
      <x:c r="Q466" s="84" t="str">
        <x:v>Exact synonym-name match</x:v>
      </x:c>
      <x:c r="R466" s="84" t="str">
        <x:v>Mahonia trifoliolata</x:v>
      </x:c>
      <x:c r="S466" s="84" t="str">
        <x:v>2359313</x:v>
      </x:c>
      <x:c r="T466" s="84" t="str">
        <x:v>2674546</x:v>
      </x:c>
      <x:c r="U466" s="84" t="str">
        <x:v>149409-2</x:v>
      </x:c>
      <x:c r="V466" s="84" t="str">
        <x:v>107152-1</x:v>
      </x:c>
      <x:c r="W466" s="84" t="str"/>
    </x:row>
    <x:row r="467" ht="18" customHeight="1">
      <x:c r="A467" s="83" t="str">
        <x:v>HAYS-0466</x:v>
      </x:c>
      <x:c r="B467" s="87" t="str">
        <x:v>Malus ioensis var. texana</x:v>
      </x:c>
      <x:c r="C467" s="87" t="str">
        <x:v>Malus ioensis</x:v>
      </x:c>
      <x:c r="D467" s="84" t="str">
        <x:v>Rosaceae</x:v>
      </x:c>
      <x:c r="E467" s="84" t="str">
        <x:v>Malus</x:v>
      </x:c>
      <x:c r="F467" s="84" t="str">
        <x:v>Variety</x:v>
      </x:c>
      <x:c r="G467" s="84" t="str">
        <x:v>Synonym</x:v>
      </x:c>
      <x:c r="H467" s="84" t="str">
        <x:v>Blanco Crabapple</x:v>
      </x:c>
      <x:c r="I467" s="84" t="str">
        <x:v>Perennial</x:v>
      </x:c>
      <x:c r="J467" s="84" t="str">
        <x:v>Tree</x:v>
      </x:c>
      <x:c r="K467" s="84" t="str">
        <x:v>Sun</x:v>
      </x:c>
      <x:c r="L467" s="84" t="str">
        <x:v>Medium</x:v>
      </x:c>
      <x:c r="M467" s="89" t="n">
        <x:v>0</x:v>
      </x:c>
      <x:c r="N467" s="89" t="n">
        <x:v>0</x:v>
      </x:c>
      <x:c r="O467" s="89" t="n">
        <x:v>1</x:v>
      </x:c>
      <x:c r="P467" s="89" t="n">
        <x:f>SUM(M467:O467)</x:f>
        <x:v>1</x:v>
      </x:c>
      <x:c r="Q467" s="84" t="str">
        <x:v>Exact synonym-name match</x:v>
      </x:c>
      <x:c r="R467" s="84" t="str">
        <x:v>Malus ioensis var. texana</x:v>
      </x:c>
      <x:c r="S467" s="84" t="str">
        <x:v>2950713</x:v>
      </x:c>
      <x:c r="T467" s="84" t="str">
        <x:v>2950706</x:v>
      </x:c>
      <x:c r="U467" s="84" t="str">
        <x:v>150126-2</x:v>
      </x:c>
      <x:c r="V467" s="84" t="str">
        <x:v>150119-2</x:v>
      </x:c>
      <x:c r="W467" s="84" t="str"/>
    </x:row>
    <x:row r="468" ht="18" customHeight="1">
      <x:c r="A468" s="83" t="str">
        <x:v>HAYS-0467</x:v>
      </x:c>
      <x:c r="B468" s="87" t="str">
        <x:v>Malvastrum aurantiacum</x:v>
      </x:c>
      <x:c r="C468" s="87" t="str">
        <x:v>Malvastrum aurantiacum</x:v>
      </x:c>
      <x:c r="D468" s="84" t="str">
        <x:v>Malvaceae</x:v>
      </x:c>
      <x:c r="E468" s="84" t="str">
        <x:v>Malvastrum</x:v>
      </x:c>
      <x:c r="F468" s="84" t="str">
        <x:v>Species</x:v>
      </x:c>
      <x:c r="G468" s="84" t="str">
        <x:v>Accepted</x:v>
      </x:c>
      <x:c r="H468" s="84" t="str">
        <x:v>Wright's False Mallow</x:v>
      </x:c>
      <x:c r="I468" s="84" t="str">
        <x:v>Perennial</x:v>
      </x:c>
      <x:c r="J468" s="84" t="str">
        <x:v>Shrub</x:v>
      </x:c>
      <x:c r="K468" s="84" t="str">
        <x:v>Sun</x:v>
      </x:c>
      <x:c r="L468" s="84" t="str">
        <x:v>Dry</x:v>
      </x:c>
      <x:c r="M468" s="89" t="n">
        <x:v>1</x:v>
      </x:c>
      <x:c r="N468" s="89" t="n">
        <x:v>1</x:v>
      </x:c>
      <x:c r="O468" s="89" t="n">
        <x:v>0</x:v>
      </x:c>
      <x:c r="P468" s="89" t="n">
        <x:f>SUM(M468:O468)</x:f>
        <x:v>2</x:v>
      </x:c>
      <x:c r="Q468" s="84" t="str">
        <x:v>Exact accepted-name match</x:v>
      </x:c>
      <x:c r="R468" s="84" t="str">
        <x:v>Malvastrum aurantiacum</x:v>
      </x:c>
      <x:c r="S468" s="84" t="str">
        <x:v>2503854</x:v>
      </x:c>
      <x:c r="T468" s="84" t="str">
        <x:v>2503854</x:v>
      </x:c>
      <x:c r="U468" s="84" t="str">
        <x:v>562009-1</x:v>
      </x:c>
      <x:c r="V468" s="84" t="str">
        <x:v>562009-1</x:v>
      </x:c>
      <x:c r="W468" s="84" t="str"/>
    </x:row>
    <x:row r="469" ht="18" customHeight="1">
      <x:c r="A469" s="83" t="str">
        <x:v>HAYS-0468</x:v>
      </x:c>
      <x:c r="B469" s="87" t="str">
        <x:v>Malvaviscus arboreus var. drummondii</x:v>
      </x:c>
      <x:c r="C469" s="87" t="str">
        <x:v>Malvaviscus arboreus var. drummondii</x:v>
      </x:c>
      <x:c r="D469" s="84" t="str">
        <x:v>Malvaceae</x:v>
      </x:c>
      <x:c r="E469" s="84" t="str">
        <x:v>Malvaviscus</x:v>
      </x:c>
      <x:c r="F469" s="84" t="str">
        <x:v>Variety</x:v>
      </x:c>
      <x:c r="G469" s="84" t="str">
        <x:v>Accepted</x:v>
      </x:c>
      <x:c r="H469" s="84" t="str">
        <x:v>Turks Cap</x:v>
      </x:c>
      <x:c r="I469" s="84" t="str">
        <x:v>Perennial</x:v>
      </x:c>
      <x:c r="J469" s="84" t="str">
        <x:v>Shrub</x:v>
      </x:c>
      <x:c r="K469" s="84" t="str">
        <x:v>Shade, Part Shade</x:v>
      </x:c>
      <x:c r="L469" s="84" t="str">
        <x:v>Low–Medium</x:v>
      </x:c>
      <x:c r="M469" s="89" t="n">
        <x:v>1</x:v>
      </x:c>
      <x:c r="N469" s="89" t="n">
        <x:v>1</x:v>
      </x:c>
      <x:c r="O469" s="89" t="n">
        <x:v>1</x:v>
      </x:c>
      <x:c r="P469" s="89" t="n">
        <x:f>SUM(M469:O469)</x:f>
        <x:v>3</x:v>
      </x:c>
      <x:c r="Q469" s="84" t="str">
        <x:v>Exact accepted-name match</x:v>
      </x:c>
      <x:c r="R469" s="84" t="str">
        <x:v>Malvaviscus arboreus var. drummondii</x:v>
      </x:c>
      <x:c r="S469" s="84" t="str">
        <x:v>2886187</x:v>
      </x:c>
      <x:c r="T469" s="84" t="str">
        <x:v>2886187</x:v>
      </x:c>
      <x:c r="U469" s="84" t="str">
        <x:v>150445-2</x:v>
      </x:c>
      <x:c r="V469" s="84" t="str">
        <x:v>150445-2</x:v>
      </x:c>
      <x:c r="W469" s="84" t="str"/>
    </x:row>
    <x:row r="470" ht="18" customHeight="1">
      <x:c r="A470" s="83" t="str">
        <x:v>HAYS-0469</x:v>
      </x:c>
      <x:c r="B470" s="87" t="str">
        <x:v>Manfreda maculosa</x:v>
      </x:c>
      <x:c r="C470" s="87" t="str">
        <x:v>Manfreda maculosa</x:v>
      </x:c>
      <x:c r="D470" s="84" t="str">
        <x:v>Asparagaceae</x:v>
      </x:c>
      <x:c r="E470" s="84" t="str">
        <x:v>Manfreda</x:v>
      </x:c>
      <x:c r="F470" s="84" t="str">
        <x:v>Species</x:v>
      </x:c>
      <x:c r="G470" s="84" t="str">
        <x:v>Accepted</x:v>
      </x:c>
      <x:c r="H470" s="84" t="str">
        <x:v>False Aloe, Spice Lily, Spice-lily</x:v>
      </x:c>
      <x:c r="I470" s="84" t="str">
        <x:v>Perennial</x:v>
      </x:c>
      <x:c r="J470" s="84" t="str">
        <x:v>Succulent</x:v>
      </x:c>
      <x:c r="K470" s="84" t="str">
        <x:v>Sun</x:v>
      </x:c>
      <x:c r="L470" s="84" t="str">
        <x:v>Low-Medium</x:v>
      </x:c>
      <x:c r="M470" s="89" t="n">
        <x:v>0</x:v>
      </x:c>
      <x:c r="N470" s="89" t="n">
        <x:v>0</x:v>
      </x:c>
      <x:c r="O470" s="89" t="n">
        <x:v>1</x:v>
      </x:c>
      <x:c r="P470" s="89" t="n">
        <x:f>SUM(M470:O470)</x:f>
        <x:v>1</x:v>
      </x:c>
      <x:c r="Q470" s="84" t="str">
        <x:v>Exact accepted-name match</x:v>
      </x:c>
      <x:c r="R470" s="84" t="str">
        <x:v>Manfreda maculosa</x:v>
      </x:c>
      <x:c r="S470" s="84" t="str">
        <x:v>281400</x:v>
      </x:c>
      <x:c r="T470" s="84" t="str">
        <x:v>281400</x:v>
      </x:c>
      <x:c r="U470" s="84" t="str">
        <x:v>152314-2</x:v>
      </x:c>
      <x:c r="V470" s="84" t="str">
        <x:v>152314-2</x:v>
      </x:c>
      <x:c r="W470" s="84" t="str"/>
    </x:row>
    <x:row r="471" ht="18" customHeight="1">
      <x:c r="A471" s="83" t="str">
        <x:v>HAYS-0470</x:v>
      </x:c>
      <x:c r="B471" s="87" t="str">
        <x:v>Marshallia caespitosa</x:v>
      </x:c>
      <x:c r="C471" s="87" t="str">
        <x:v>Marshallia caespitosa</x:v>
      </x:c>
      <x:c r="D471" s="84" t="str">
        <x:v>Asteraceae</x:v>
      </x:c>
      <x:c r="E471" s="84" t="str">
        <x:v>Marshallia</x:v>
      </x:c>
      <x:c r="F471" s="84" t="str">
        <x:v>Species</x:v>
      </x:c>
      <x:c r="G471" s="84" t="str">
        <x:v>Accepted</x:v>
      </x:c>
      <x:c r="H471" s="84" t="str">
        <x:v>Barbara's-buttons, Puffballs, White Barbara's-buttons, Barbara's Buttons</x:v>
      </x:c>
      <x:c r="I471" s="84" t="str">
        <x:v>Perennial</x:v>
      </x:c>
      <x:c r="J471" s="84" t="str">
        <x:v>Herb</x:v>
      </x:c>
      <x:c r="K471" s="84" t="str">
        <x:v>Sun</x:v>
      </x:c>
      <x:c r="L471" s="84" t="str">
        <x:v>Medium</x:v>
      </x:c>
      <x:c r="M471" s="89" t="n">
        <x:v>0</x:v>
      </x:c>
      <x:c r="N471" s="89" t="n">
        <x:v>0</x:v>
      </x:c>
      <x:c r="O471" s="89" t="n">
        <x:v>1</x:v>
      </x:c>
      <x:c r="P471" s="89" t="n">
        <x:f>SUM(M471:O471)</x:f>
        <x:v>1</x:v>
      </x:c>
      <x:c r="Q471" s="84" t="str">
        <x:v>Exact accepted-name match</x:v>
      </x:c>
      <x:c r="R471" s="84" t="str">
        <x:v>Marshallia caespitosa</x:v>
      </x:c>
      <x:c r="S471" s="84" t="str">
        <x:v>3115962</x:v>
      </x:c>
      <x:c r="T471" s="84" t="str">
        <x:v>3115962</x:v>
      </x:c>
      <x:c r="U471" s="84" t="str">
        <x:v>231761-1</x:v>
      </x:c>
      <x:c r="V471" s="84" t="str">
        <x:v>231761-1</x:v>
      </x:c>
      <x:c r="W471" s="84" t="str"/>
    </x:row>
    <x:row r="472" ht="18" customHeight="1">
      <x:c r="A472" s="83" t="str">
        <x:v>HAYS-0471</x:v>
      </x:c>
      <x:c r="B472" s="87" t="str">
        <x:v>Marshallia caespitosa var. signata</x:v>
      </x:c>
      <x:c r="C472" s="87" t="str">
        <x:v>Marshallia caespitosa var. signata</x:v>
      </x:c>
      <x:c r="D472" s="84" t="str">
        <x:v>Asteraceae</x:v>
      </x:c>
      <x:c r="E472" s="84" t="str">
        <x:v>Marshallia</x:v>
      </x:c>
      <x:c r="F472" s="84" t="str">
        <x:v>Variety</x:v>
      </x:c>
      <x:c r="G472" s="84" t="str">
        <x:v>Accepted</x:v>
      </x:c>
      <x:c r="H472" s="84" t="str">
        <x:v>Marked Barbara's-buttons, Marked Barbara's Buttons, Puffballs</x:v>
      </x:c>
      <x:c r="I472" s="84" t="str">
        <x:v>Perennial</x:v>
      </x:c>
      <x:c r="J472" s="84" t="str">
        <x:v>Herb</x:v>
      </x:c>
      <x:c r="K472" s="84" t="str"/>
      <x:c r="L472" s="84" t="str"/>
      <x:c r="M472" s="89" t="n">
        <x:v>1</x:v>
      </x:c>
      <x:c r="N472" s="89" t="n">
        <x:v>1</x:v>
      </x:c>
      <x:c r="O472" s="89" t="n">
        <x:v>0</x:v>
      </x:c>
      <x:c r="P472" s="89" t="n">
        <x:f>SUM(M472:O472)</x:f>
        <x:v>2</x:v>
      </x:c>
      <x:c r="Q472" s="84" t="str">
        <x:v>Exact accepted-name match</x:v>
      </x:c>
      <x:c r="R472" s="84" t="str">
        <x:v>Marshallia caespitosa var. signata</x:v>
      </x:c>
      <x:c r="S472" s="84" t="str">
        <x:v>3115961</x:v>
      </x:c>
      <x:c r="T472" s="84" t="str">
        <x:v>3115961</x:v>
      </x:c>
      <x:c r="U472" s="84" t="str">
        <x:v>153639-2</x:v>
      </x:c>
      <x:c r="V472" s="84" t="str">
        <x:v>153639-2</x:v>
      </x:c>
      <x:c r="W472" s="84" t="str"/>
    </x:row>
    <x:row r="473" ht="18" customHeight="1">
      <x:c r="A473" s="83" t="str">
        <x:v>HAYS-0472</x:v>
      </x:c>
      <x:c r="B473" s="87" t="str">
        <x:v>Marsilea macropoda</x:v>
      </x:c>
      <x:c r="C473" s="87" t="str">
        <x:v>Marsilea macropoda</x:v>
      </x:c>
      <x:c r="D473" s="84" t="str">
        <x:v>Marsileaceae</x:v>
      </x:c>
      <x:c r="E473" s="84" t="str">
        <x:v>Marsilea</x:v>
      </x:c>
      <x:c r="F473" s="84" t="str">
        <x:v>Species</x:v>
      </x:c>
      <x:c r="G473" s="84" t="str">
        <x:v>Accepted</x:v>
      </x:c>
      <x:c r="H473" s="84" t="str">
        <x:v>Bigfoot Water-clover, Water-clover, Clover-fern, Largefoot Pepperwort</x:v>
      </x:c>
      <x:c r="I473" s="84" t="str">
        <x:v>Perennial</x:v>
      </x:c>
      <x:c r="J473" s="84" t="str">
        <x:v>Fern</x:v>
      </x:c>
      <x:c r="K473" s="84" t="str">
        <x:v>Sun, Part Shade</x:v>
      </x:c>
      <x:c r="L473" s="84" t="str">
        <x:v>Medium</x:v>
      </x:c>
      <x:c r="M473" s="89" t="n">
        <x:v>0</x:v>
      </x:c>
      <x:c r="N473" s="89" t="n">
        <x:v>0</x:v>
      </x:c>
      <x:c r="O473" s="89" t="n">
        <x:v>1</x:v>
      </x:c>
      <x:c r="P473" s="89" t="n">
        <x:f>SUM(M473:O473)</x:f>
        <x:v>1</x:v>
      </x:c>
      <x:c r="Q473" s="84" t="str">
        <x:v>Exact accepted-name match</x:v>
      </x:c>
      <x:c r="R473" s="84" t="str">
        <x:v>Marsilea macropoda</x:v>
      </x:c>
      <x:c r="S473" s="84" t="str">
        <x:v>3143461</x:v>
      </x:c>
      <x:c r="T473" s="84" t="str">
        <x:v>3143461</x:v>
      </x:c>
      <x:c r="U473" s="84" t="str">
        <x:v>17145090-1</x:v>
      </x:c>
      <x:c r="V473" s="84" t="str">
        <x:v>17145090-1</x:v>
      </x:c>
      <x:c r="W473" s="84" t="str"/>
    </x:row>
    <x:row r="474" ht="18" customHeight="1">
      <x:c r="A474" s="83" t="str">
        <x:v>HAYS-0473</x:v>
      </x:c>
      <x:c r="B474" s="87" t="str">
        <x:v>Marsilea vestita</x:v>
      </x:c>
      <x:c r="C474" s="87" t="str">
        <x:v>Marsilea vestita</x:v>
      </x:c>
      <x:c r="D474" s="84" t="str">
        <x:v>Marsileaceae</x:v>
      </x:c>
      <x:c r="E474" s="84" t="str">
        <x:v>Marsilea</x:v>
      </x:c>
      <x:c r="F474" s="84" t="str">
        <x:v>Species</x:v>
      </x:c>
      <x:c r="G474" s="84" t="str">
        <x:v>Accepted</x:v>
      </x:c>
      <x:c r="H474" s="84" t="str">
        <x:v>Hairy Water-clover, Hairy Waterclover, Hairy Water Clover, Clover Fern</x:v>
      </x:c>
      <x:c r="I474" s="84" t="str">
        <x:v>Perennial</x:v>
      </x:c>
      <x:c r="J474" s="84" t="str">
        <x:v>Herb, Fern</x:v>
      </x:c>
      <x:c r="K474" s="84" t="str">
        <x:v>Part-shade</x:v>
      </x:c>
      <x:c r="L474" s="84" t="str">
        <x:v>Wet</x:v>
      </x:c>
      <x:c r="M474" s="89" t="n">
        <x:v>1</x:v>
      </x:c>
      <x:c r="N474" s="89" t="n">
        <x:v>1</x:v>
      </x:c>
      <x:c r="O474" s="89" t="n">
        <x:v>0</x:v>
      </x:c>
      <x:c r="P474" s="89" t="n">
        <x:f>SUM(M474:O474)</x:f>
        <x:v>2</x:v>
      </x:c>
      <x:c r="Q474" s="84" t="str">
        <x:v>Exact accepted-name match</x:v>
      </x:c>
      <x:c r="R474" s="84" t="str">
        <x:v>Marsilea vestita</x:v>
      </x:c>
      <x:c r="S474" s="84" t="str">
        <x:v>3145465</x:v>
      </x:c>
      <x:c r="T474" s="84" t="str">
        <x:v>3145465</x:v>
      </x:c>
      <x:c r="U474" s="84" t="str">
        <x:v>280441-2</x:v>
      </x:c>
      <x:c r="V474" s="84" t="str">
        <x:v>280441-2</x:v>
      </x:c>
      <x:c r="W474" s="84" t="str"/>
    </x:row>
    <x:row r="475" ht="18" customHeight="1">
      <x:c r="A475" s="83" t="str">
        <x:v>HAYS-0474</x:v>
      </x:c>
      <x:c r="B475" s="87" t="str">
        <x:v>Matelea biflora</x:v>
      </x:c>
      <x:c r="C475" s="87" t="str">
        <x:v>Chthamalia biflora</x:v>
      </x:c>
      <x:c r="D475" s="84" t="str">
        <x:v>Apocynaceae</x:v>
      </x:c>
      <x:c r="E475" s="84" t="str">
        <x:v>Chthamalia</x:v>
      </x:c>
      <x:c r="F475" s="84" t="str">
        <x:v>Species</x:v>
      </x:c>
      <x:c r="G475" s="84" t="str">
        <x:v>Synonym</x:v>
      </x:c>
      <x:c r="H475" s="84" t="str">
        <x:v>Star Milkvine, Purple Milkweed Vine</x:v>
      </x:c>
      <x:c r="I475" s="84" t="str">
        <x:v>Perennial</x:v>
      </x:c>
      <x:c r="J475" s="84" t="str">
        <x:v>Vine</x:v>
      </x:c>
      <x:c r="K475" s="84" t="str">
        <x:v>Sun, Part Shade</x:v>
      </x:c>
      <x:c r="L475" s="84" t="str">
        <x:v>Low–Medium</x:v>
      </x:c>
      <x:c r="M475" s="89" t="n">
        <x:v>1</x:v>
      </x:c>
      <x:c r="N475" s="89" t="n">
        <x:v>1</x:v>
      </x:c>
      <x:c r="O475" s="89" t="n">
        <x:v>1</x:v>
      </x:c>
      <x:c r="P475" s="89" t="n">
        <x:f>SUM(M475:O475)</x:f>
        <x:v>3</x:v>
      </x:c>
      <x:c r="Q475" s="84" t="str">
        <x:v>Exact synonym-name match</x:v>
      </x:c>
      <x:c r="R475" s="84" t="str">
        <x:v>Matelea biflora</x:v>
      </x:c>
      <x:c r="S475" s="84" t="str">
        <x:v>508415</x:v>
      </x:c>
      <x:c r="T475" s="84" t="str">
        <x:v>503107</x:v>
      </x:c>
      <x:c r="U475" s="84" t="str">
        <x:v>154492-2</x:v>
      </x:c>
      <x:c r="V475" s="84" t="str">
        <x:v>95859-1</x:v>
      </x:c>
      <x:c r="W475" s="84" t="str"/>
    </x:row>
    <x:row r="476" ht="18" customHeight="1">
      <x:c r="A476" s="83" t="str">
        <x:v>HAYS-0475</x:v>
      </x:c>
      <x:c r="B476" s="87" t="str">
        <x:v>Matelea edwardsensis</x:v>
      </x:c>
      <x:c r="C476" s="87" t="str">
        <x:v>Matelea edwardsensis</x:v>
      </x:c>
      <x:c r="D476" s="84" t="str">
        <x:v>Apocynaceae</x:v>
      </x:c>
      <x:c r="E476" s="84" t="str">
        <x:v>Matelea</x:v>
      </x:c>
      <x:c r="F476" s="84" t="str">
        <x:v>Species</x:v>
      </x:c>
      <x:c r="G476" s="84" t="str">
        <x:v>Accepted</x:v>
      </x:c>
      <x:c r="H476" s="84" t="str">
        <x:v>Plateau Milkvine, Plateau Milkweed Vine</x:v>
      </x:c>
      <x:c r="I476" s="84" t="str">
        <x:v>Perennial</x:v>
      </x:c>
      <x:c r="J476" s="84" t="str">
        <x:v>Vine</x:v>
      </x:c>
      <x:c r="K476" s="84" t="str"/>
      <x:c r="L476" s="84" t="str"/>
      <x:c r="M476" s="89" t="n">
        <x:v>1</x:v>
      </x:c>
      <x:c r="N476" s="89" t="n">
        <x:v>1</x:v>
      </x:c>
      <x:c r="O476" s="89" t="n">
        <x:v>0</x:v>
      </x:c>
      <x:c r="P476" s="89" t="n">
        <x:f>SUM(M476:O476)</x:f>
        <x:v>2</x:v>
      </x:c>
      <x:c r="Q476" s="84" t="str">
        <x:v>Exact accepted-name match</x:v>
      </x:c>
      <x:c r="R476" s="84" t="str">
        <x:v>Matelea edwardsensis</x:v>
      </x:c>
      <x:c r="S476" s="84" t="str">
        <x:v>508490</x:v>
      </x:c>
      <x:c r="T476" s="84" t="str">
        <x:v>508490</x:v>
      </x:c>
      <x:c r="U476" s="84" t="str">
        <x:v>154525-2</x:v>
      </x:c>
      <x:c r="V476" s="84" t="str">
        <x:v>154525-2</x:v>
      </x:c>
      <x:c r="W476" s="84" t="str"/>
    </x:row>
    <x:row r="477" ht="18" customHeight="1">
      <x:c r="A477" s="83" t="str">
        <x:v>HAYS-0476</x:v>
      </x:c>
      <x:c r="B477" s="87" t="str">
        <x:v>Matelea gonocarpos</x:v>
      </x:c>
      <x:c r="C477" s="87" t="str">
        <x:v>Gonolobus suberosus var. suberosus</x:v>
      </x:c>
      <x:c r="D477" s="84" t="str">
        <x:v>Apocynaceae</x:v>
      </x:c>
      <x:c r="E477" s="84" t="str">
        <x:v>Gonolobus</x:v>
      </x:c>
      <x:c r="F477" s="84" t="str">
        <x:v>Species</x:v>
      </x:c>
      <x:c r="G477" s="84" t="str">
        <x:v>Synonym</x:v>
      </x:c>
      <x:c r="H477" s="84" t="str">
        <x:v>Anglepod, Angularfruit Milkvine</x:v>
      </x:c>
      <x:c r="I477" s="84" t="str">
        <x:v>Perennial</x:v>
      </x:c>
      <x:c r="J477" s="84" t="str">
        <x:v>Vine</x:v>
      </x:c>
      <x:c r="K477" s="84" t="str"/>
      <x:c r="L477" s="84" t="str"/>
      <x:c r="M477" s="89" t="n">
        <x:v>1</x:v>
      </x:c>
      <x:c r="N477" s="89" t="n">
        <x:v>1</x:v>
      </x:c>
      <x:c r="O477" s="89" t="n">
        <x:v>0</x:v>
      </x:c>
      <x:c r="P477" s="89" t="n">
        <x:f>SUM(M477:O477)</x:f>
        <x:v>2</x:v>
      </x:c>
      <x:c r="Q477" s="84" t="str">
        <x:v>Exact synonym-name match</x:v>
      </x:c>
      <x:c r="R477" s="84" t="str">
        <x:v>Matelea gonocarpos</x:v>
      </x:c>
      <x:c r="S477" s="84" t="str">
        <x:v>508524</x:v>
      </x:c>
      <x:c r="T477" s="84" t="str">
        <x:v>505999</x:v>
      </x:c>
      <x:c r="U477" s="84" t="str">
        <x:v>154535-2</x:v>
      </x:c>
      <x:c r="V477" s="84" t="str">
        <x:v>77172967-1</x:v>
      </x:c>
      <x:c r="W477" s="84" t="str"/>
    </x:row>
    <x:row r="478" ht="18" customHeight="1">
      <x:c r="A478" s="83" t="str">
        <x:v>HAYS-0477</x:v>
      </x:c>
      <x:c r="B478" s="87" t="str">
        <x:v>Matelea reticulata</x:v>
      </x:c>
      <x:c r="C478" s="87" t="str">
        <x:v>Matelea reticulata</x:v>
      </x:c>
      <x:c r="D478" s="84" t="str">
        <x:v>Apocynaceae</x:v>
      </x:c>
      <x:c r="E478" s="84" t="str">
        <x:v>Matelea</x:v>
      </x:c>
      <x:c r="F478" s="84" t="str">
        <x:v>Species</x:v>
      </x:c>
      <x:c r="G478" s="84" t="str">
        <x:v>Accepted</x:v>
      </x:c>
      <x:c r="H478" s="84" t="str">
        <x:v>Pearl Milkweed Vine, Netted Milkvine, Green Milkweed Vine, Net Vein Milkvine</x:v>
      </x:c>
      <x:c r="I478" s="84" t="str">
        <x:v>Perennial</x:v>
      </x:c>
      <x:c r="J478" s="84" t="str">
        <x:v>Vine</x:v>
      </x:c>
      <x:c r="K478" s="84" t="str">
        <x:v>Sun, Part Shade</x:v>
      </x:c>
      <x:c r="L478" s="84" t="str">
        <x:v>Low</x:v>
      </x:c>
      <x:c r="M478" s="89" t="n">
        <x:v>1</x:v>
      </x:c>
      <x:c r="N478" s="89" t="n">
        <x:v>1</x:v>
      </x:c>
      <x:c r="O478" s="89" t="n">
        <x:v>1</x:v>
      </x:c>
      <x:c r="P478" s="89" t="n">
        <x:f>SUM(M478:O478)</x:f>
        <x:v>3</x:v>
      </x:c>
      <x:c r="Q478" s="84" t="str">
        <x:v>Exact accepted-name match</x:v>
      </x:c>
      <x:c r="R478" s="84" t="str">
        <x:v>Matelea reticulata</x:v>
      </x:c>
      <x:c r="S478" s="84" t="str">
        <x:v>508685</x:v>
      </x:c>
      <x:c r="T478" s="84" t="str">
        <x:v>508685</x:v>
      </x:c>
      <x:c r="U478" s="84" t="str">
        <x:v>154604-2</x:v>
      </x:c>
      <x:c r="V478" s="84" t="str">
        <x:v>154604-2</x:v>
      </x:c>
      <x:c r="W478" s="84" t="str"/>
    </x:row>
    <x:row r="479" ht="18" customHeight="1">
      <x:c r="A479" s="83" t="str">
        <x:v>HAYS-0478</x:v>
      </x:c>
      <x:c r="B479" s="87" t="str">
        <x:v>Maurandella antirrhiniflora</x:v>
      </x:c>
      <x:c r="C479" s="87" t="str">
        <x:v>Maurandella antirrhiniflora</x:v>
      </x:c>
      <x:c r="D479" s="84" t="str">
        <x:v>Plantaginaceae</x:v>
      </x:c>
      <x:c r="E479" s="84" t="str">
        <x:v>Maurandella</x:v>
      </x:c>
      <x:c r="F479" s="84" t="str">
        <x:v>Species</x:v>
      </x:c>
      <x:c r="G479" s="84" t="str">
        <x:v>Accepted</x:v>
      </x:c>
      <x:c r="H479" s="84" t="str">
        <x:v>Snapdragon Vine , Roving Sailor, Climbing Snapdragon, Little Snapdragon Vine</x:v>
      </x:c>
      <x:c r="I479" s="84" t="str">
        <x:v>Perennial</x:v>
      </x:c>
      <x:c r="J479" s="84" t="str">
        <x:v>Vine</x:v>
      </x:c>
      <x:c r="K479" s="84" t="str">
        <x:v>Sun, Part Shade</x:v>
      </x:c>
      <x:c r="L479" s="84" t="str">
        <x:v>Low–Medium</x:v>
      </x:c>
      <x:c r="M479" s="89" t="n">
        <x:v>1</x:v>
      </x:c>
      <x:c r="N479" s="89" t="n">
        <x:v>1</x:v>
      </x:c>
      <x:c r="O479" s="89" t="n">
        <x:v>1</x:v>
      </x:c>
      <x:c r="P479" s="89" t="n">
        <x:f>SUM(M479:O479)</x:f>
        <x:v>3</x:v>
      </x:c>
      <x:c r="Q479" s="84" t="str">
        <x:v>Exact accepted-name match</x:v>
      </x:c>
      <x:c r="R479" s="84" t="str">
        <x:v>Maurandella antirrhiniflora</x:v>
      </x:c>
      <x:c r="S479" s="84" t="str">
        <x:v>2507301</x:v>
      </x:c>
      <x:c r="T479" s="84" t="str">
        <x:v>2507301</x:v>
      </x:c>
      <x:c r="U479" s="84" t="str">
        <x:v>805502-1</x:v>
      </x:c>
      <x:c r="V479" s="84" t="str">
        <x:v>805502-1</x:v>
      </x:c>
      <x:c r="W479" s="84" t="str"/>
    </x:row>
    <x:row r="480" ht="18" customHeight="1">
      <x:c r="A480" s="83" t="str">
        <x:v>HAYS-0479</x:v>
      </x:c>
      <x:c r="B480" s="87" t="str">
        <x:v>Mecardonia procumbens</x:v>
      </x:c>
      <x:c r="C480" s="87" t="str">
        <x:v>Mecardonia procumbens</x:v>
      </x:c>
      <x:c r="D480" s="84" t="str">
        <x:v>Plantaginaceae</x:v>
      </x:c>
      <x:c r="E480" s="84" t="str">
        <x:v>Mecardonia</x:v>
      </x:c>
      <x:c r="F480" s="84" t="str">
        <x:v>Species</x:v>
      </x:c>
      <x:c r="G480" s="84" t="str">
        <x:v>Accepted</x:v>
      </x:c>
      <x:c r="H480" s="84" t="str">
        <x:v>Baby Jump-up</x:v>
      </x:c>
      <x:c r="I480" s="84" t="str">
        <x:v>Annual</x:v>
      </x:c>
      <x:c r="J480" s="84" t="str">
        <x:v>Herb</x:v>
      </x:c>
      <x:c r="K480" s="84" t="str"/>
      <x:c r="L480" s="84" t="str"/>
      <x:c r="M480" s="89" t="n">
        <x:v>1</x:v>
      </x:c>
      <x:c r="N480" s="89" t="n">
        <x:v>1</x:v>
      </x:c>
      <x:c r="O480" s="89" t="n">
        <x:v>0</x:v>
      </x:c>
      <x:c r="P480" s="89" t="n">
        <x:f>SUM(M480:O480)</x:f>
        <x:v>2</x:v>
      </x:c>
      <x:c r="Q480" s="84" t="str">
        <x:v>Exact accepted-name match</x:v>
      </x:c>
      <x:c r="R480" s="84" t="str">
        <x:v>Mecardonia procumbens</x:v>
      </x:c>
      <x:c r="S480" s="84" t="str">
        <x:v>2507178</x:v>
      </x:c>
      <x:c r="T480" s="84" t="str">
        <x:v>2507178</x:v>
      </x:c>
      <x:c r="U480" s="84" t="str">
        <x:v>155661-2</x:v>
      </x:c>
      <x:c r="V480" s="84" t="str">
        <x:v>155661-2</x:v>
      </x:c>
      <x:c r="W480" s="84" t="str"/>
    </x:row>
    <x:row r="481" ht="18" customHeight="1">
      <x:c r="A481" s="83" t="str">
        <x:v>HAYS-0480</x:v>
      </x:c>
      <x:c r="B481" s="87" t="str">
        <x:v>Melampodium leucanthum</x:v>
      </x:c>
      <x:c r="C481" s="87" t="str">
        <x:v>Melampodium leucanthum</x:v>
      </x:c>
      <x:c r="D481" s="84" t="str">
        <x:v>Asteraceae</x:v>
      </x:c>
      <x:c r="E481" s="84" t="str">
        <x:v>Melampodium</x:v>
      </x:c>
      <x:c r="F481" s="84" t="str">
        <x:v>Species</x:v>
      </x:c>
      <x:c r="G481" s="84" t="str">
        <x:v>Accepted</x:v>
      </x:c>
      <x:c r="H481" s="84" t="str">
        <x:v>Blackfoot Daisy, Rock Daisy, Plains Blackfoot, Arnica</x:v>
      </x:c>
      <x:c r="I481" s="84" t="str">
        <x:v>Perennial</x:v>
      </x:c>
      <x:c r="J481" s="84" t="str">
        <x:v>Herb</x:v>
      </x:c>
      <x:c r="K481" s="84" t="str">
        <x:v>Sun</x:v>
      </x:c>
      <x:c r="L481" s="84" t="str">
        <x:v>Low</x:v>
      </x:c>
      <x:c r="M481" s="89" t="n">
        <x:v>1</x:v>
      </x:c>
      <x:c r="N481" s="89" t="n">
        <x:v>1</x:v>
      </x:c>
      <x:c r="O481" s="89" t="n">
        <x:v>1</x:v>
      </x:c>
      <x:c r="P481" s="89" t="n">
        <x:f>SUM(M481:O481)</x:f>
        <x:v>3</x:v>
      </x:c>
      <x:c r="Q481" s="84" t="str">
        <x:v>Exact accepted-name match</x:v>
      </x:c>
      <x:c r="R481" s="84" t="str">
        <x:v>Melampodium leucanthum</x:v>
      </x:c>
      <x:c r="S481" s="84" t="str">
        <x:v>3125571</x:v>
      </x:c>
      <x:c r="T481" s="84" t="str">
        <x:v>3125571</x:v>
      </x:c>
      <x:c r="U481" s="84" t="str">
        <x:v>232106-1</x:v>
      </x:c>
      <x:c r="V481" s="84" t="str">
        <x:v>232106-1</x:v>
      </x:c>
      <x:c r="W481" s="84" t="str"/>
    </x:row>
    <x:row r="482" ht="18" customHeight="1">
      <x:c r="A482" s="83" t="str">
        <x:v>HAYS-0481</x:v>
      </x:c>
      <x:c r="B482" s="87" t="str">
        <x:v>Melochia pyramidata</x:v>
      </x:c>
      <x:c r="C482" s="87" t="str">
        <x:v>Melochia pyramidata</x:v>
      </x:c>
      <x:c r="D482" s="84" t="str">
        <x:v>Malvaceae</x:v>
      </x:c>
      <x:c r="E482" s="84" t="str">
        <x:v>Melochia</x:v>
      </x:c>
      <x:c r="F482" s="84" t="str">
        <x:v>Species</x:v>
      </x:c>
      <x:c r="G482" s="84" t="str">
        <x:v>Accepted</x:v>
      </x:c>
      <x:c r="H482" s="84" t="str">
        <x:v>Pyramidflower, Broom-wood, Pyramid Flower</x:v>
      </x:c>
      <x:c r="I482" s="84" t="str">
        <x:v>Annual</x:v>
      </x:c>
      <x:c r="J482" s="84" t="str">
        <x:v>Herb, Subshrub, Shrub</x:v>
      </x:c>
      <x:c r="K482" s="84" t="str"/>
      <x:c r="L482" s="84" t="str"/>
      <x:c r="M482" s="89" t="n">
        <x:v>1</x:v>
      </x:c>
      <x:c r="N482" s="89" t="n">
        <x:v>1</x:v>
      </x:c>
      <x:c r="O482" s="89" t="n">
        <x:v>0</x:v>
      </x:c>
      <x:c r="P482" s="89" t="n">
        <x:f>SUM(M482:O482)</x:f>
        <x:v>2</x:v>
      </x:c>
      <x:c r="Q482" s="84" t="str">
        <x:v>Exact accepted-name match</x:v>
      </x:c>
      <x:c r="R482" s="84" t="str">
        <x:v>Melochia pyramidata</x:v>
      </x:c>
      <x:c r="S482" s="84" t="str">
        <x:v>2508647</x:v>
      </x:c>
      <x:c r="T482" s="84" t="str">
        <x:v>2508647</x:v>
      </x:c>
      <x:c r="U482" s="84" t="str">
        <x:v>157004-2</x:v>
      </x:c>
      <x:c r="V482" s="84" t="str">
        <x:v>157004-2</x:v>
      </x:c>
      <x:c r="W482" s="84" t="str"/>
    </x:row>
    <x:row r="483" ht="18" customHeight="1">
      <x:c r="A483" s="83" t="str">
        <x:v>HAYS-0482</x:v>
      </x:c>
      <x:c r="B483" s="87" t="str">
        <x:v>Melothria pendula</x:v>
      </x:c>
      <x:c r="C483" s="87" t="str">
        <x:v>Melothria pendula</x:v>
      </x:c>
      <x:c r="D483" s="84" t="str">
        <x:v>Cucurbitaceae</x:v>
      </x:c>
      <x:c r="E483" s="84" t="str">
        <x:v>Melothria</x:v>
      </x:c>
      <x:c r="F483" s="84" t="str">
        <x:v>Species</x:v>
      </x:c>
      <x:c r="G483" s="84" t="str">
        <x:v>Accepted</x:v>
      </x:c>
      <x:c r="H483" s="84" t="str">
        <x:v>Guadeloupe Cucumber, Meloncito, Speckled Gourd</x:v>
      </x:c>
      <x:c r="I483" s="84" t="str">
        <x:v>Perennial</x:v>
      </x:c>
      <x:c r="J483" s="84" t="str">
        <x:v>Vine</x:v>
      </x:c>
      <x:c r="K483" s="84" t="str"/>
      <x:c r="L483" s="84" t="str"/>
      <x:c r="M483" s="89" t="n">
        <x:v>1</x:v>
      </x:c>
      <x:c r="N483" s="89" t="n">
        <x:v>1</x:v>
      </x:c>
      <x:c r="O483" s="89" t="n">
        <x:v>0</x:v>
      </x:c>
      <x:c r="P483" s="89" t="n">
        <x:f>SUM(M483:O483)</x:f>
        <x:v>2</x:v>
      </x:c>
      <x:c r="Q483" s="84" t="str">
        <x:v>Exact accepted-name match</x:v>
      </x:c>
      <x:c r="R483" s="84" t="str">
        <x:v>Melothria pendula</x:v>
      </x:c>
      <x:c r="S483" s="84" t="str">
        <x:v>2373217</x:v>
      </x:c>
      <x:c r="T483" s="84" t="str">
        <x:v>2373217</x:v>
      </x:c>
      <x:c r="U483" s="84" t="str">
        <x:v>293293-1</x:v>
      </x:c>
      <x:c r="V483" s="84" t="str">
        <x:v>293293-1</x:v>
      </x:c>
      <x:c r="W483" s="84" t="str"/>
    </x:row>
    <x:row r="484" ht="18" customHeight="1">
      <x:c r="A484" s="83" t="str">
        <x:v>HAYS-0483</x:v>
      </x:c>
      <x:c r="B484" s="87" t="str">
        <x:v>Menodora heterophylla</x:v>
      </x:c>
      <x:c r="C484" s="87" t="str">
        <x:v>Menodora heterophylla</x:v>
      </x:c>
      <x:c r="D484" s="84" t="str">
        <x:v>Oleaceae</x:v>
      </x:c>
      <x:c r="E484" s="84" t="str">
        <x:v>Menodora</x:v>
      </x:c>
      <x:c r="F484" s="84" t="str">
        <x:v>Species</x:v>
      </x:c>
      <x:c r="G484" s="84" t="str">
        <x:v>Accepted</x:v>
      </x:c>
      <x:c r="H484" s="84" t="str">
        <x:v>Low Menodora, Redbud, Twinpod</x:v>
      </x:c>
      <x:c r="I484" s="84" t="str">
        <x:v>Perennial</x:v>
      </x:c>
      <x:c r="J484" s="84" t="str">
        <x:v>Herb</x:v>
      </x:c>
      <x:c r="K484" s="84" t="str">
        <x:v>Part-shade</x:v>
      </x:c>
      <x:c r="L484" s="84" t="str">
        <x:v>Dry</x:v>
      </x:c>
      <x:c r="M484" s="89" t="n">
        <x:v>1</x:v>
      </x:c>
      <x:c r="N484" s="89" t="n">
        <x:v>1</x:v>
      </x:c>
      <x:c r="O484" s="89" t="n">
        <x:v>0</x:v>
      </x:c>
      <x:c r="P484" s="89" t="n">
        <x:f>SUM(M484:O484)</x:f>
        <x:v>2</x:v>
      </x:c>
      <x:c r="Q484" s="84" t="str">
        <x:v>Exact accepted-name match</x:v>
      </x:c>
      <x:c r="R484" s="84" t="str">
        <x:v>Menodora heterophylla</x:v>
      </x:c>
      <x:c r="S484" s="84" t="str">
        <x:v>354352</x:v>
      </x:c>
      <x:c r="T484" s="84" t="str">
        <x:v>354352</x:v>
      </x:c>
      <x:c r="U484" s="84" t="str">
        <x:v>610434-1</x:v>
      </x:c>
      <x:c r="V484" s="84" t="str">
        <x:v>610434-1</x:v>
      </x:c>
      <x:c r="W484" s="84" t="str"/>
    </x:row>
    <x:row r="485" ht="18" customHeight="1">
      <x:c r="A485" s="83" t="str">
        <x:v>HAYS-0484</x:v>
      </x:c>
      <x:c r="B485" s="87" t="str">
        <x:v>Menodora longiflora</x:v>
      </x:c>
      <x:c r="C485" s="87" t="str">
        <x:v>Menodora longiflora</x:v>
      </x:c>
      <x:c r="D485" s="84" t="str">
        <x:v>Oleaceae</x:v>
      </x:c>
      <x:c r="E485" s="84" t="str">
        <x:v>Menodora</x:v>
      </x:c>
      <x:c r="F485" s="84" t="str">
        <x:v>Species</x:v>
      </x:c>
      <x:c r="G485" s="84" t="str">
        <x:v>Accepted</x:v>
      </x:c>
      <x:c r="H485" s="84" t="str">
        <x:v>Showy Menodora, Longflower menodora</x:v>
      </x:c>
      <x:c r="I485" s="84" t="str">
        <x:v>Perennial</x:v>
      </x:c>
      <x:c r="J485" s="84" t="str">
        <x:v>Herb</x:v>
      </x:c>
      <x:c r="K485" s="84" t="str">
        <x:v>Sun, Part Shade</x:v>
      </x:c>
      <x:c r="L485" s="84" t="str">
        <x:v>Low</x:v>
      </x:c>
      <x:c r="M485" s="89" t="n">
        <x:v>1</x:v>
      </x:c>
      <x:c r="N485" s="89" t="n">
        <x:v>1</x:v>
      </x:c>
      <x:c r="O485" s="89" t="n">
        <x:v>1</x:v>
      </x:c>
      <x:c r="P485" s="89" t="n">
        <x:f>SUM(M485:O485)</x:f>
        <x:v>3</x:v>
      </x:c>
      <x:c r="Q485" s="84" t="str">
        <x:v>Exact accepted-name match</x:v>
      </x:c>
      <x:c r="R485" s="84" t="str">
        <x:v>Menodora longiflora</x:v>
      </x:c>
      <x:c r="S485" s="84" t="str">
        <x:v>354345</x:v>
      </x:c>
      <x:c r="T485" s="84" t="str">
        <x:v>354345</x:v>
      </x:c>
      <x:c r="U485" s="84" t="str">
        <x:v>312106-2</x:v>
      </x:c>
      <x:c r="V485" s="84" t="str">
        <x:v>312106-2</x:v>
      </x:c>
      <x:c r="W485" s="84" t="str"/>
    </x:row>
    <x:row r="486" ht="18" customHeight="1">
      <x:c r="A486" s="83" t="str">
        <x:v>HAYS-0485</x:v>
      </x:c>
      <x:c r="B486" s="87" t="str">
        <x:v>Mentzelia oligosperma</x:v>
      </x:c>
      <x:c r="C486" s="87" t="str">
        <x:v>Mentzelia oligosperma</x:v>
      </x:c>
      <x:c r="D486" s="84" t="str">
        <x:v>Loasaceae</x:v>
      </x:c>
      <x:c r="E486" s="84" t="str">
        <x:v>Mentzelia</x:v>
      </x:c>
      <x:c r="F486" s="84" t="str">
        <x:v>Species</x:v>
      </x:c>
      <x:c r="G486" s="84" t="str">
        <x:v>Accepted</x:v>
      </x:c>
      <x:c r="H486" s="84" t="str">
        <x:v>Stick-leaf, Chickenthief</x:v>
      </x:c>
      <x:c r="I486" s="84" t="str">
        <x:v>Perennial</x:v>
      </x:c>
      <x:c r="J486" s="84" t="str">
        <x:v>Shrub</x:v>
      </x:c>
      <x:c r="K486" s="84" t="str"/>
      <x:c r="L486" s="84" t="str"/>
      <x:c r="M486" s="89" t="n">
        <x:v>1</x:v>
      </x:c>
      <x:c r="N486" s="89" t="n">
        <x:v>1</x:v>
      </x:c>
      <x:c r="O486" s="89" t="n">
        <x:v>0</x:v>
      </x:c>
      <x:c r="P486" s="89" t="n">
        <x:f>SUM(M486:O486)</x:f>
        <x:v>2</x:v>
      </x:c>
      <x:c r="Q486" s="84" t="str">
        <x:v>Exact accepted-name match</x:v>
      </x:c>
      <x:c r="R486" s="84" t="str">
        <x:v>Mentzelia oligosperma</x:v>
      </x:c>
      <x:c r="S486" s="84" t="str">
        <x:v>2375396</x:v>
      </x:c>
      <x:c r="T486" s="84" t="str">
        <x:v>2375396</x:v>
      </x:c>
      <x:c r="U486" s="84" t="str">
        <x:v>545450-1</x:v>
      </x:c>
      <x:c r="V486" s="84" t="str">
        <x:v>545450-1</x:v>
      </x:c>
      <x:c r="W486" s="84" t="str"/>
    </x:row>
    <x:row r="487" ht="18" customHeight="1">
      <x:c r="A487" s="83" t="str">
        <x:v>HAYS-0486</x:v>
      </x:c>
      <x:c r="B487" s="87" t="str">
        <x:v>Merremia dissecta</x:v>
      </x:c>
      <x:c r="C487" s="87" t="str">
        <x:v>Distimake dissectus</x:v>
      </x:c>
      <x:c r="D487" s="84" t="str">
        <x:v>Convolvulaceae</x:v>
      </x:c>
      <x:c r="E487" s="84" t="str">
        <x:v>Distimake</x:v>
      </x:c>
      <x:c r="F487" s="84" t="str">
        <x:v>Species</x:v>
      </x:c>
      <x:c r="G487" s="84" t="str">
        <x:v>Synonym</x:v>
      </x:c>
      <x:c r="H487" s="84" t="str">
        <x:v>Alamo Vine, Noyau Vine, Correhuela De Las Doce</x:v>
      </x:c>
      <x:c r="I487" s="84" t="str">
        <x:v>Perennial</x:v>
      </x:c>
      <x:c r="J487" s="84" t="str">
        <x:v>Vine</x:v>
      </x:c>
      <x:c r="K487" s="84" t="str">
        <x:v>Sun, Part Shade</x:v>
      </x:c>
      <x:c r="L487" s="84" t="str">
        <x:v>Low–Medium</x:v>
      </x:c>
      <x:c r="M487" s="89" t="n">
        <x:v>1</x:v>
      </x:c>
      <x:c r="N487" s="89" t="n">
        <x:v>1</x:v>
      </x:c>
      <x:c r="O487" s="89" t="n">
        <x:v>1</x:v>
      </x:c>
      <x:c r="P487" s="89" t="n">
        <x:f>SUM(M487:O487)</x:f>
        <x:v>3</x:v>
      </x:c>
      <x:c r="Q487" s="84" t="str">
        <x:v>Exact synonym-name match</x:v>
      </x:c>
      <x:c r="R487" s="84" t="str">
        <x:v>Merremia dissecta</x:v>
      </x:c>
      <x:c r="S487" s="84" t="str">
        <x:v>479300</x:v>
      </x:c>
      <x:c r="T487" s="84" t="str">
        <x:v>525356</x:v>
      </x:c>
      <x:c r="U487" s="84" t="str">
        <x:v>125607-3</x:v>
      </x:c>
      <x:c r="V487" s="84" t="str">
        <x:v>77163242-1</x:v>
      </x:c>
      <x:c r="W487" s="84" t="str"/>
    </x:row>
    <x:row r="488" ht="18" customHeight="1">
      <x:c r="A488" s="83" t="str">
        <x:v>HAYS-0487</x:v>
      </x:c>
      <x:c r="B488" s="87" t="str">
        <x:v>Mikania scandens</x:v>
      </x:c>
      <x:c r="C488" s="87" t="str">
        <x:v>Mikania scandens</x:v>
      </x:c>
      <x:c r="D488" s="84" t="str">
        <x:v>Asteraceae</x:v>
      </x:c>
      <x:c r="E488" s="84" t="str">
        <x:v>Mikania</x:v>
      </x:c>
      <x:c r="F488" s="84" t="str">
        <x:v>Species</x:v>
      </x:c>
      <x:c r="G488" s="84" t="str">
        <x:v>Accepted</x:v>
      </x:c>
      <x:c r="H488" s="84" t="str">
        <x:v>Climbing Hempvine, Climbing Hempweed</x:v>
      </x:c>
      <x:c r="I488" s="84" t="str">
        <x:v>Perennial</x:v>
      </x:c>
      <x:c r="J488" s="84" t="str">
        <x:v>Vine</x:v>
      </x:c>
      <x:c r="K488" s="84" t="str">
        <x:v>Shade</x:v>
      </x:c>
      <x:c r="L488" s="84" t="str">
        <x:v>Wet</x:v>
      </x:c>
      <x:c r="M488" s="89" t="n">
        <x:v>1</x:v>
      </x:c>
      <x:c r="N488" s="89" t="n">
        <x:v>1</x:v>
      </x:c>
      <x:c r="O488" s="89" t="n">
        <x:v>0</x:v>
      </x:c>
      <x:c r="P488" s="89" t="n">
        <x:f>SUM(M488:O488)</x:f>
        <x:v>2</x:v>
      </x:c>
      <x:c r="Q488" s="84" t="str">
        <x:v>Exact accepted-name match</x:v>
      </x:c>
      <x:c r="R488" s="84" t="str">
        <x:v>Mikania scandens</x:v>
      </x:c>
      <x:c r="S488" s="84" t="str">
        <x:v>3128442</x:v>
      </x:c>
      <x:c r="T488" s="84" t="str">
        <x:v>3128442</x:v>
      </x:c>
      <x:c r="U488" s="84" t="str">
        <x:v>233204-1</x:v>
      </x:c>
      <x:c r="V488" s="84" t="str">
        <x:v>233204-1</x:v>
      </x:c>
      <x:c r="W488" s="84" t="str"/>
    </x:row>
    <x:row r="489" ht="18" customHeight="1">
      <x:c r="A489" s="83" t="str">
        <x:v>HAYS-0488</x:v>
      </x:c>
      <x:c r="B489" s="87" t="str">
        <x:v>Mimosa aculeaticarpa var. biuncifera</x:v>
      </x:c>
      <x:c r="C489" s="87" t="str">
        <x:v>Mimosa biuncifera</x:v>
      </x:c>
      <x:c r="D489" s="84" t="str">
        <x:v>Fabaceae</x:v>
      </x:c>
      <x:c r="E489" s="84" t="str">
        <x:v>Mimosa</x:v>
      </x:c>
      <x:c r="F489" s="84" t="str">
        <x:v>Variety</x:v>
      </x:c>
      <x:c r="G489" s="84" t="str">
        <x:v>Synonym</x:v>
      </x:c>
      <x:c r="H489" s="84" t="str">
        <x:v>Catclaw Mimosa, Cat's-claw Mimosa, Wait-a-bit</x:v>
      </x:c>
      <x:c r="I489" s="84" t="str">
        <x:v>Perennial</x:v>
      </x:c>
      <x:c r="J489" s="84" t="str">
        <x:v>Tree</x:v>
      </x:c>
      <x:c r="K489" s="84" t="str"/>
      <x:c r="L489" s="84" t="str"/>
      <x:c r="M489" s="89" t="n">
        <x:v>1</x:v>
      </x:c>
      <x:c r="N489" s="89" t="n">
        <x:v>1</x:v>
      </x:c>
      <x:c r="O489" s="89" t="n">
        <x:v>0</x:v>
      </x:c>
      <x:c r="P489" s="89" t="n">
        <x:f>SUM(M489:O489)</x:f>
        <x:v>2</x:v>
      </x:c>
      <x:c r="Q489" s="84" t="str">
        <x:v>Exact synonym-name match</x:v>
      </x:c>
      <x:c r="R489" s="84" t="str">
        <x:v>Mimosa aculeaticarpa var. biuncifera</x:v>
      </x:c>
      <x:c r="S489" s="84" t="str">
        <x:v>2374540</x:v>
      </x:c>
      <x:c r="T489" s="84" t="str">
        <x:v>2369168</x:v>
      </x:c>
      <x:c r="U489" s="84" t="str">
        <x:v>967246-1</x:v>
      </x:c>
      <x:c r="V489" s="84" t="str">
        <x:v>161536-2</x:v>
      </x:c>
      <x:c r="W489" s="84" t="str"/>
    </x:row>
    <x:row r="490" ht="18" customHeight="1">
      <x:c r="A490" s="83" t="str">
        <x:v>HAYS-0489</x:v>
      </x:c>
      <x:c r="B490" s="87" t="str">
        <x:v>Mimosa borealis</x:v>
      </x:c>
      <x:c r="C490" s="87" t="str">
        <x:v>Mimosa borealis</x:v>
      </x:c>
      <x:c r="D490" s="84" t="str">
        <x:v>Fabaceae</x:v>
      </x:c>
      <x:c r="E490" s="84" t="str">
        <x:v>Mimosa</x:v>
      </x:c>
      <x:c r="F490" s="84" t="str">
        <x:v>Species</x:v>
      </x:c>
      <x:c r="G490" s="84" t="str">
        <x:v>Accepted</x:v>
      </x:c>
      <x:c r="H490" s="84" t="str">
        <x:v>Fragrant Mimosa, Pink Mimosa</x:v>
      </x:c>
      <x:c r="I490" s="84" t="str">
        <x:v>Perennial</x:v>
      </x:c>
      <x:c r="J490" s="84" t="str">
        <x:v>Shrub</x:v>
      </x:c>
      <x:c r="K490" s="84" t="str">
        <x:v>Sun, Part Shade</x:v>
      </x:c>
      <x:c r="L490" s="84" t="str">
        <x:v>Low</x:v>
      </x:c>
      <x:c r="M490" s="89" t="n">
        <x:v>1</x:v>
      </x:c>
      <x:c r="N490" s="89" t="n">
        <x:v>1</x:v>
      </x:c>
      <x:c r="O490" s="89" t="n">
        <x:v>1</x:v>
      </x:c>
      <x:c r="P490" s="89" t="n">
        <x:f>SUM(M490:O490)</x:f>
        <x:v>3</x:v>
      </x:c>
      <x:c r="Q490" s="84" t="str">
        <x:v>Exact accepted-name match</x:v>
      </x:c>
      <x:c r="R490" s="84" t="str">
        <x:v>Mimosa borealis</x:v>
      </x:c>
      <x:c r="S490" s="84" t="str">
        <x:v>2369202</x:v>
      </x:c>
      <x:c r="T490" s="84" t="str">
        <x:v>2369202</x:v>
      </x:c>
      <x:c r="U490" s="84" t="str">
        <x:v>507717-1</x:v>
      </x:c>
      <x:c r="V490" s="84" t="str">
        <x:v>507717-1</x:v>
      </x:c>
      <x:c r="W490" s="84" t="str"/>
    </x:row>
    <x:row r="491" ht="18" customHeight="1">
      <x:c r="A491" s="83" t="str">
        <x:v>HAYS-0490</x:v>
      </x:c>
      <x:c r="B491" s="87" t="str">
        <x:v>Mimosa latidens</x:v>
      </x:c>
      <x:c r="C491" s="87" t="str">
        <x:v>Mimosa latidens</x:v>
      </x:c>
      <x:c r="D491" s="84" t="str">
        <x:v>Fabaceae</x:v>
      </x:c>
      <x:c r="E491" s="84" t="str">
        <x:v>Mimosa</x:v>
      </x:c>
      <x:c r="F491" s="84" t="str">
        <x:v>Species</x:v>
      </x:c>
      <x:c r="G491" s="84" t="str">
        <x:v>Accepted</x:v>
      </x:c>
      <x:c r="H491" s="84" t="str">
        <x:v>Kairn's Sensitive Briar</x:v>
      </x:c>
      <x:c r="I491" s="84" t="str">
        <x:v>Perennial</x:v>
      </x:c>
      <x:c r="J491" s="84" t="str">
        <x:v>Herb</x:v>
      </x:c>
      <x:c r="K491" s="84" t="str"/>
      <x:c r="L491" s="84" t="str"/>
      <x:c r="M491" s="89" t="n">
        <x:v>1</x:v>
      </x:c>
      <x:c r="N491" s="89" t="n">
        <x:v>1</x:v>
      </x:c>
      <x:c r="O491" s="89" t="n">
        <x:v>0</x:v>
      </x:c>
      <x:c r="P491" s="89" t="n">
        <x:f>SUM(M491:O491)</x:f>
        <x:v>2</x:v>
      </x:c>
      <x:c r="Q491" s="84" t="str">
        <x:v>Exact accepted-name match</x:v>
      </x:c>
      <x:c r="R491" s="84" t="str">
        <x:v>Mimosa latidens</x:v>
      </x:c>
      <x:c r="S491" s="84" t="str">
        <x:v>2374801</x:v>
      </x:c>
      <x:c r="T491" s="84" t="str">
        <x:v>2374801</x:v>
      </x:c>
      <x:c r="U491" s="84" t="str">
        <x:v>1162343-2</x:v>
      </x:c>
      <x:c r="V491" s="84" t="str">
        <x:v>1162343-2</x:v>
      </x:c>
      <x:c r="W491" s="84" t="str"/>
    </x:row>
    <x:row r="492" ht="18" customHeight="1">
      <x:c r="A492" s="83" t="str">
        <x:v>HAYS-0491</x:v>
      </x:c>
      <x:c r="B492" s="87" t="str">
        <x:v>Mimosa roemeriana</x:v>
      </x:c>
      <x:c r="C492" s="87" t="str">
        <x:v>Mimosa roemeriana</x:v>
      </x:c>
      <x:c r="D492" s="84" t="str">
        <x:v>Fabaceae</x:v>
      </x:c>
      <x:c r="E492" s="84" t="str">
        <x:v>Mimosa</x:v>
      </x:c>
      <x:c r="F492" s="84" t="str">
        <x:v>Species</x:v>
      </x:c>
      <x:c r="G492" s="84" t="str">
        <x:v>Accepted</x:v>
      </x:c>
      <x:c r="H492" s="84" t="str">
        <x:v>Roemer's Mimosa, Sensitive Briar</x:v>
      </x:c>
      <x:c r="I492" s="84" t="str">
        <x:v>Perennial</x:v>
      </x:c>
      <x:c r="J492" s="84" t="str">
        <x:v>Herb</x:v>
      </x:c>
      <x:c r="K492" s="84" t="str">
        <x:v>Sun</x:v>
      </x:c>
      <x:c r="L492" s="84" t="str">
        <x:v>Dry</x:v>
      </x:c>
      <x:c r="M492" s="89" t="n">
        <x:v>1</x:v>
      </x:c>
      <x:c r="N492" s="89" t="n">
        <x:v>1</x:v>
      </x:c>
      <x:c r="O492" s="89" t="n">
        <x:v>0</x:v>
      </x:c>
      <x:c r="P492" s="89" t="n">
        <x:f>SUM(M492:O492)</x:f>
        <x:v>2</x:v>
      </x:c>
      <x:c r="Q492" s="84" t="str">
        <x:v>Exact accepted-name match</x:v>
      </x:c>
      <x:c r="R492" s="84" t="str">
        <x:v>Mimosa roemeriana</x:v>
      </x:c>
      <x:c r="S492" s="84" t="str">
        <x:v>2373332</x:v>
      </x:c>
      <x:c r="T492" s="84" t="str">
        <x:v>2373332</x:v>
      </x:c>
      <x:c r="U492" s="84" t="str">
        <x:v>161949-2</x:v>
      </x:c>
      <x:c r="V492" s="84" t="str">
        <x:v>161949-2</x:v>
      </x:c>
      <x:c r="W492" s="84" t="str"/>
    </x:row>
    <x:row r="493" ht="18" customHeight="1">
      <x:c r="A493" s="83" t="str">
        <x:v>HAYS-0492</x:v>
      </x:c>
      <x:c r="B493" s="87" t="str">
        <x:v>Mimosa texana</x:v>
      </x:c>
      <x:c r="C493" s="87" t="str">
        <x:v>Mimosa texana</x:v>
      </x:c>
      <x:c r="D493" s="84" t="str">
        <x:v>Fabaceae</x:v>
      </x:c>
      <x:c r="E493" s="84" t="str">
        <x:v>Mimosa</x:v>
      </x:c>
      <x:c r="F493" s="84" t="str">
        <x:v>Species</x:v>
      </x:c>
      <x:c r="G493" s="84" t="str">
        <x:v>Accepted</x:v>
      </x:c>
      <x:c r="H493" s="84" t="str">
        <x:v>Texas Mimosa</x:v>
      </x:c>
      <x:c r="I493" s="84" t="str">
        <x:v>Perennial</x:v>
      </x:c>
      <x:c r="J493" s="84" t="str">
        <x:v>Shrub</x:v>
      </x:c>
      <x:c r="K493" s="84" t="str">
        <x:v>Part Shade</x:v>
      </x:c>
      <x:c r="L493" s="84" t="str">
        <x:v>Low</x:v>
      </x:c>
      <x:c r="M493" s="89" t="n">
        <x:v>1</x:v>
      </x:c>
      <x:c r="N493" s="89" t="n">
        <x:v>1</x:v>
      </x:c>
      <x:c r="O493" s="89" t="n">
        <x:v>1</x:v>
      </x:c>
      <x:c r="P493" s="89" t="n">
        <x:f>SUM(M493:O493)</x:f>
        <x:v>3</x:v>
      </x:c>
      <x:c r="Q493" s="84" t="str">
        <x:v>Exact accepted-name match</x:v>
      </x:c>
      <x:c r="R493" s="84" t="str">
        <x:v>Mimosa texana</x:v>
      </x:c>
      <x:c r="S493" s="84" t="str">
        <x:v>2374078</x:v>
      </x:c>
      <x:c r="T493" s="84" t="str">
        <x:v>2374078</x:v>
      </x:c>
      <x:c r="U493" s="84" t="str">
        <x:v>162024-2</x:v>
      </x:c>
      <x:c r="V493" s="84" t="str">
        <x:v>162024-2</x:v>
      </x:c>
      <x:c r="W493" s="84" t="str"/>
    </x:row>
    <x:row r="494" ht="18" customHeight="1">
      <x:c r="A494" s="83" t="str">
        <x:v>HAYS-0493</x:v>
      </x:c>
      <x:c r="B494" s="87" t="str">
        <x:v>Mirabilis albida</x:v>
      </x:c>
      <x:c r="C494" s="87" t="str">
        <x:v>Mirabilis albida</x:v>
      </x:c>
      <x:c r="D494" s="84" t="str">
        <x:v>Nyctaginaceae</x:v>
      </x:c>
      <x:c r="E494" s="84" t="str">
        <x:v>Mirabilis</x:v>
      </x:c>
      <x:c r="F494" s="84" t="str">
        <x:v>Species</x:v>
      </x:c>
      <x:c r="G494" s="84" t="str">
        <x:v>Accepted</x:v>
      </x:c>
      <x:c r="H494" s="84" t="str">
        <x:v>White Four O'clock, Dwarf Four O'clock</x:v>
      </x:c>
      <x:c r="I494" s="84" t="str">
        <x:v>Perennial</x:v>
      </x:c>
      <x:c r="J494" s="84" t="str">
        <x:v>Herb</x:v>
      </x:c>
      <x:c r="K494" s="84" t="str">
        <x:v>Sun</x:v>
      </x:c>
      <x:c r="L494" s="84" t="str">
        <x:v>Dry</x:v>
      </x:c>
      <x:c r="M494" s="89" t="n">
        <x:v>1</x:v>
      </x:c>
      <x:c r="N494" s="89" t="n">
        <x:v>1</x:v>
      </x:c>
      <x:c r="O494" s="89" t="n">
        <x:v>0</x:v>
      </x:c>
      <x:c r="P494" s="89" t="n">
        <x:f>SUM(M494:O494)</x:f>
        <x:v>2</x:v>
      </x:c>
      <x:c r="Q494" s="84" t="str">
        <x:v>Exact accepted-name match</x:v>
      </x:c>
      <x:c r="R494" s="84" t="str">
        <x:v>Mirabilis albida</x:v>
      </x:c>
      <x:c r="S494" s="84" t="str">
        <x:v>2502202</x:v>
      </x:c>
      <x:c r="T494" s="84" t="str">
        <x:v>2502202</x:v>
      </x:c>
      <x:c r="U494" s="84" t="str">
        <x:v>162535-2</x:v>
      </x:c>
      <x:c r="V494" s="84" t="str">
        <x:v>162535-2</x:v>
      </x:c>
      <x:c r="W494" s="84" t="str"/>
    </x:row>
    <x:row r="495" ht="18" customHeight="1">
      <x:c r="A495" s="83" t="str">
        <x:v>HAYS-0494</x:v>
      </x:c>
      <x:c r="B495" s="87" t="str">
        <x:v>Mirabilis linearis</x:v>
      </x:c>
      <x:c r="C495" s="87" t="str">
        <x:v>Mirabilis linearis</x:v>
      </x:c>
      <x:c r="D495" s="84" t="str">
        <x:v>Nyctaginaceae</x:v>
      </x:c>
      <x:c r="E495" s="84" t="str">
        <x:v>Mirabilis</x:v>
      </x:c>
      <x:c r="F495" s="84" t="str">
        <x:v>Species</x:v>
      </x:c>
      <x:c r="G495" s="84" t="str">
        <x:v>Accepted</x:v>
      </x:c>
      <x:c r="H495" s="84" t="str">
        <x:v>Narrowleaf Four O'Clock</x:v>
      </x:c>
      <x:c r="I495" s="84" t="str">
        <x:v>Perennial</x:v>
      </x:c>
      <x:c r="J495" s="84" t="str">
        <x:v>Herb, Subshrub</x:v>
      </x:c>
      <x:c r="K495" s="84" t="str">
        <x:v>Sun</x:v>
      </x:c>
      <x:c r="L495" s="84" t="str">
        <x:v>Dry</x:v>
      </x:c>
      <x:c r="M495" s="89" t="n">
        <x:v>1</x:v>
      </x:c>
      <x:c r="N495" s="89" t="n">
        <x:v>1</x:v>
      </x:c>
      <x:c r="O495" s="89" t="n">
        <x:v>0</x:v>
      </x:c>
      <x:c r="P495" s="89" t="n">
        <x:f>SUM(M495:O495)</x:f>
        <x:v>2</x:v>
      </x:c>
      <x:c r="Q495" s="84" t="str">
        <x:v>Exact accepted-name match</x:v>
      </x:c>
      <x:c r="R495" s="84" t="str">
        <x:v>Mirabilis linearis</x:v>
      </x:c>
      <x:c r="S495" s="84" t="str">
        <x:v>2502289</x:v>
      </x:c>
      <x:c r="T495" s="84" t="str">
        <x:v>2502289</x:v>
      </x:c>
      <x:c r="U495" s="84" t="str">
        <x:v>604673-1</x:v>
      </x:c>
      <x:c r="V495" s="84" t="str">
        <x:v>604673-1</x:v>
      </x:c>
      <x:c r="W495" s="84" t="str"/>
    </x:row>
    <x:row r="496" ht="18" customHeight="1">
      <x:c r="A496" s="83" t="str">
        <x:v>HAYS-0495</x:v>
      </x:c>
      <x:c r="B496" s="87" t="str">
        <x:v>Mirabilis nyctaginea</x:v>
      </x:c>
      <x:c r="C496" s="87" t="str">
        <x:v>Mirabilis nyctaginea</x:v>
      </x:c>
      <x:c r="D496" s="84" t="str">
        <x:v>Nyctaginaceae</x:v>
      </x:c>
      <x:c r="E496" s="84" t="str">
        <x:v>Mirabilis</x:v>
      </x:c>
      <x:c r="F496" s="84" t="str">
        <x:v>Species</x:v>
      </x:c>
      <x:c r="G496" s="84" t="str">
        <x:v>Accepted</x:v>
      </x:c>
      <x:c r="H496" s="84" t="str">
        <x:v>Heartleaf Four O'Clock</x:v>
      </x:c>
      <x:c r="I496" s="84" t="str">
        <x:v>Perennial</x:v>
      </x:c>
      <x:c r="J496" s="84" t="str">
        <x:v>Herb</x:v>
      </x:c>
      <x:c r="K496" s="84" t="str">
        <x:v>Sun, Part-shade</x:v>
      </x:c>
      <x:c r="L496" s="84" t="str">
        <x:v>Dry</x:v>
      </x:c>
      <x:c r="M496" s="89" t="n">
        <x:v>1</x:v>
      </x:c>
      <x:c r="N496" s="89" t="n">
        <x:v>1</x:v>
      </x:c>
      <x:c r="O496" s="89" t="n">
        <x:v>0</x:v>
      </x:c>
      <x:c r="P496" s="89" t="n">
        <x:f>SUM(M496:O496)</x:f>
        <x:v>2</x:v>
      </x:c>
      <x:c r="Q496" s="84" t="str">
        <x:v>Exact accepted-name match</x:v>
      </x:c>
      <x:c r="R496" s="84" t="str">
        <x:v>Mirabilis nyctaginea</x:v>
      </x:c>
      <x:c r="S496" s="84" t="str">
        <x:v>2511506</x:v>
      </x:c>
      <x:c r="T496" s="84" t="str">
        <x:v>2511506</x:v>
      </x:c>
      <x:c r="U496" s="84" t="str">
        <x:v>1036852-2</x:v>
      </x:c>
      <x:c r="V496" s="84" t="str">
        <x:v>1036852-2</x:v>
      </x:c>
      <x:c r="W496" s="84" t="str"/>
    </x:row>
    <x:row r="497" ht="18" customHeight="1">
      <x:c r="A497" s="83" t="str">
        <x:v>HAYS-0496</x:v>
      </x:c>
      <x:c r="B497" s="87" t="str">
        <x:v>Mitreola petiolata</x:v>
      </x:c>
      <x:c r="C497" s="87" t="str">
        <x:v>Mitreola petiolata</x:v>
      </x:c>
      <x:c r="D497" s="84" t="str">
        <x:v>Loganiaceae</x:v>
      </x:c>
      <x:c r="E497" s="84" t="str">
        <x:v>Mitreola</x:v>
      </x:c>
      <x:c r="F497" s="84" t="str">
        <x:v>Species</x:v>
      </x:c>
      <x:c r="G497" s="84" t="str">
        <x:v>Accepted</x:v>
      </x:c>
      <x:c r="H497" s="84" t="str">
        <x:v>Lax Hornpod</x:v>
      </x:c>
      <x:c r="I497" s="84" t="str">
        <x:v>Annual</x:v>
      </x:c>
      <x:c r="J497" s="84" t="str">
        <x:v>Herb</x:v>
      </x:c>
      <x:c r="K497" s="84" t="str"/>
      <x:c r="L497" s="84" t="str"/>
      <x:c r="M497" s="89" t="n">
        <x:v>1</x:v>
      </x:c>
      <x:c r="N497" s="89" t="n">
        <x:v>1</x:v>
      </x:c>
      <x:c r="O497" s="89" t="n">
        <x:v>0</x:v>
      </x:c>
      <x:c r="P497" s="89" t="n">
        <x:f>SUM(M497:O497)</x:f>
        <x:v>2</x:v>
      </x:c>
      <x:c r="Q497" s="84" t="str">
        <x:v>Exact accepted-name match</x:v>
      </x:c>
      <x:c r="R497" s="84" t="str">
        <x:v>Mitreola petiolata</x:v>
      </x:c>
      <x:c r="S497" s="84" t="str">
        <x:v>2367552</x:v>
      </x:c>
      <x:c r="T497" s="84" t="str">
        <x:v>2367552</x:v>
      </x:c>
      <x:c r="U497" s="84" t="str">
        <x:v>546721-1</x:v>
      </x:c>
      <x:c r="V497" s="84" t="str">
        <x:v>546721-1</x:v>
      </x:c>
      <x:c r="W497" s="84" t="str"/>
    </x:row>
    <x:row r="498" ht="18" customHeight="1">
      <x:c r="A498" s="83" t="str">
        <x:v>HAYS-0497</x:v>
      </x:c>
      <x:c r="B498" s="87" t="str">
        <x:v>Monarda citriodora</x:v>
      </x:c>
      <x:c r="C498" s="87" t="str">
        <x:v>Monarda citriodora</x:v>
      </x:c>
      <x:c r="D498" s="84" t="str">
        <x:v>Lamiaceae</x:v>
      </x:c>
      <x:c r="E498" s="84" t="str">
        <x:v>Monarda</x:v>
      </x:c>
      <x:c r="F498" s="84" t="str">
        <x:v>Species</x:v>
      </x:c>
      <x:c r="G498" s="84" t="str">
        <x:v>Accepted</x:v>
      </x:c>
      <x:c r="H498" s="84" t="str">
        <x:v>Lemon Beebalm, Purple Horsemint, Lemon Mint, Plains Horsemint, Lemon Horsemint, Horsemint, Purple Lemon Mint</x:v>
      </x:c>
      <x:c r="I498" s="84" t="str">
        <x:v>Annual</x:v>
      </x:c>
      <x:c r="J498" s="84" t="str">
        <x:v>Herb</x:v>
      </x:c>
      <x:c r="K498" s="84" t="str">
        <x:v>Sun</x:v>
      </x:c>
      <x:c r="L498" s="84" t="str">
        <x:v>Low</x:v>
      </x:c>
      <x:c r="M498" s="89" t="n">
        <x:v>1</x:v>
      </x:c>
      <x:c r="N498" s="89" t="n">
        <x:v>1</x:v>
      </x:c>
      <x:c r="O498" s="89" t="n">
        <x:v>1</x:v>
      </x:c>
      <x:c r="P498" s="89" t="n">
        <x:f>SUM(M498:O498)</x:f>
        <x:v>3</x:v>
      </x:c>
      <x:c r="Q498" s="84" t="str">
        <x:v>Exact accepted-name match</x:v>
      </x:c>
      <x:c r="R498" s="84" t="str">
        <x:v>Monarda citriodora</x:v>
      </x:c>
      <x:c r="S498" s="84" t="str">
        <x:v>129163</x:v>
      </x:c>
      <x:c r="T498" s="84" t="str">
        <x:v>129163</x:v>
      </x:c>
      <x:c r="U498" s="84" t="str">
        <x:v>452023-1</x:v>
      </x:c>
      <x:c r="V498" s="84" t="str">
        <x:v>452023-1</x:v>
      </x:c>
      <x:c r="W498" s="84" t="str"/>
    </x:row>
    <x:row r="499" ht="18" customHeight="1">
      <x:c r="A499" s="83" t="str">
        <x:v>HAYS-0498</x:v>
      </x:c>
      <x:c r="B499" s="87" t="str">
        <x:v>Monarda fistulosa</x:v>
      </x:c>
      <x:c r="C499" s="87" t="str">
        <x:v>Monarda fistulosa</x:v>
      </x:c>
      <x:c r="D499" s="84" t="str">
        <x:v>Lamiaceae</x:v>
      </x:c>
      <x:c r="E499" s="84" t="str">
        <x:v>Monarda</x:v>
      </x:c>
      <x:c r="F499" s="84" t="str">
        <x:v>Species</x:v>
      </x:c>
      <x:c r="G499" s="84" t="str">
        <x:v>Accepted</x:v>
      </x:c>
      <x:c r="H499" s="84" t="str">
        <x:v>Wild Bergamot</x:v>
      </x:c>
      <x:c r="I499" s="84" t="str">
        <x:v>Perennial</x:v>
      </x:c>
      <x:c r="J499" s="84" t="str">
        <x:v>Herb</x:v>
      </x:c>
      <x:c r="K499" s="84" t="str">
        <x:v>Sun, Part Shade</x:v>
      </x:c>
      <x:c r="L499" s="84" t="str">
        <x:v>Medium</x:v>
      </x:c>
      <x:c r="M499" s="89" t="n">
        <x:v>0</x:v>
      </x:c>
      <x:c r="N499" s="89" t="n">
        <x:v>0</x:v>
      </x:c>
      <x:c r="O499" s="89" t="n">
        <x:v>1</x:v>
      </x:c>
      <x:c r="P499" s="89" t="n">
        <x:f>SUM(M499:O499)</x:f>
        <x:v>1</x:v>
      </x:c>
      <x:c r="Q499" s="84" t="str">
        <x:v>Exact accepted-name match</x:v>
      </x:c>
      <x:c r="R499" s="84" t="str">
        <x:v>Monarda fistulosa</x:v>
      </x:c>
      <x:c r="S499" s="84" t="str">
        <x:v>129185</x:v>
      </x:c>
      <x:c r="T499" s="84" t="str">
        <x:v>129185</x:v>
      </x:c>
      <x:c r="U499" s="84" t="str">
        <x:v>452042-1</x:v>
      </x:c>
      <x:c r="V499" s="84" t="str">
        <x:v>452042-1</x:v>
      </x:c>
      <x:c r="W499" s="84" t="str"/>
    </x:row>
    <x:row r="500" ht="18" customHeight="1">
      <x:c r="A500" s="83" t="str">
        <x:v>HAYS-0499</x:v>
      </x:c>
      <x:c r="B500" s="87" t="str">
        <x:v>Monarda punctata</x:v>
      </x:c>
      <x:c r="C500" s="87" t="str">
        <x:v>Monarda punctata</x:v>
      </x:c>
      <x:c r="D500" s="84" t="str">
        <x:v>Lamiaceae</x:v>
      </x:c>
      <x:c r="E500" s="84" t="str">
        <x:v>Monarda</x:v>
      </x:c>
      <x:c r="F500" s="84" t="str">
        <x:v>Species</x:v>
      </x:c>
      <x:c r="G500" s="84" t="str">
        <x:v>Accepted</x:v>
      </x:c>
      <x:c r="H500" s="84" t="str">
        <x:v>Spotted Beebalm</x:v>
      </x:c>
      <x:c r="I500" s="84" t="str">
        <x:v>Perennial</x:v>
      </x:c>
      <x:c r="J500" s="84" t="str">
        <x:v>Herb</x:v>
      </x:c>
      <x:c r="K500" s="84" t="str">
        <x:v>Full Sun to Part Shade</x:v>
      </x:c>
      <x:c r="L500" s="84" t="str">
        <x:v>Dry to Moist</x:v>
      </x:c>
      <x:c r="M500" s="89" t="n">
        <x:v>1</x:v>
      </x:c>
      <x:c r="N500" s="89" t="n">
        <x:v>1</x:v>
      </x:c>
      <x:c r="O500" s="89" t="n">
        <x:v>1</x:v>
      </x:c>
      <x:c r="P500" s="89" t="n">
        <x:f>SUM(M500:O500)</x:f>
        <x:v>3</x:v>
      </x:c>
      <x:c r="Q500" s="84" t="str">
        <x:v>Exact accepted-name match</x:v>
      </x:c>
      <x:c r="R500" s="84" t="str">
        <x:v>Monarda punctata</x:v>
      </x:c>
      <x:c r="S500" s="84" t="str">
        <x:v>129232</x:v>
      </x:c>
      <x:c r="T500" s="84" t="str">
        <x:v>129232</x:v>
      </x:c>
      <x:c r="U500" s="84" t="str">
        <x:v>452072-1</x:v>
      </x:c>
      <x:c r="V500" s="84" t="str">
        <x:v>452072-1</x:v>
      </x:c>
      <x:c r="W500" s="84" t="str"/>
    </x:row>
    <x:row r="501" ht="18" customHeight="1">
      <x:c r="A501" s="83" t="str">
        <x:v>HAYS-0500</x:v>
      </x:c>
      <x:c r="B501" s="87" t="str">
        <x:v>Monolepis nuttalliana</x:v>
      </x:c>
      <x:c r="C501" s="87" t="str">
        <x:v>Blitum nuttallianum</x:v>
      </x:c>
      <x:c r="D501" s="84" t="str">
        <x:v>Amaranthaceae</x:v>
      </x:c>
      <x:c r="E501" s="84" t="str">
        <x:v>Blitum</x:v>
      </x:c>
      <x:c r="F501" s="84" t="str">
        <x:v>Species</x:v>
      </x:c>
      <x:c r="G501" s="84" t="str">
        <x:v>Synonym</x:v>
      </x:c>
      <x:c r="H501" s="84" t="str">
        <x:v>Nuttall's Povertyweed</x:v>
      </x:c>
      <x:c r="I501" s="84" t="str">
        <x:v>Annual</x:v>
      </x:c>
      <x:c r="J501" s="84" t="str">
        <x:v>Herb</x:v>
      </x:c>
      <x:c r="K501" s="84" t="str"/>
      <x:c r="L501" s="84" t="str"/>
      <x:c r="M501" s="89" t="n">
        <x:v>1</x:v>
      </x:c>
      <x:c r="N501" s="89" t="n">
        <x:v>1</x:v>
      </x:c>
      <x:c r="O501" s="89" t="n">
        <x:v>0</x:v>
      </x:c>
      <x:c r="P501" s="89" t="n">
        <x:f>SUM(M501:O501)</x:f>
        <x:v>2</x:v>
      </x:c>
      <x:c r="Q501" s="84" t="str">
        <x:v>Exact synonym-name match</x:v>
      </x:c>
      <x:c r="R501" s="84" t="str">
        <x:v>Monolepis nuttalliana</x:v>
      </x:c>
      <x:c r="S501" s="84" t="str">
        <x:v>2369911</x:v>
      </x:c>
      <x:c r="T501" s="84" t="str">
        <x:v>2677615</x:v>
      </x:c>
      <x:c r="U501" s="84" t="str">
        <x:v>163794-2</x:v>
      </x:c>
      <x:c r="V501" s="84" t="str">
        <x:v>1069558-2</x:v>
      </x:c>
      <x:c r="W501" s="84" t="str"/>
    </x:row>
    <x:row r="502" ht="18" customHeight="1">
      <x:c r="A502" s="83" t="str">
        <x:v>HAYS-0501</x:v>
      </x:c>
      <x:c r="B502" s="87" t="str">
        <x:v>Morus microphylla</x:v>
      </x:c>
      <x:c r="C502" s="87" t="str">
        <x:v>Morus microphylla</x:v>
      </x:c>
      <x:c r="D502" s="84" t="str">
        <x:v>Moraceae</x:v>
      </x:c>
      <x:c r="E502" s="84" t="str">
        <x:v>Morus</x:v>
      </x:c>
      <x:c r="F502" s="84" t="str">
        <x:v>Species</x:v>
      </x:c>
      <x:c r="G502" s="84" t="str">
        <x:v>Accepted</x:v>
      </x:c>
      <x:c r="H502" s="84" t="str">
        <x:v>Texas Mulberry, Littleleaf Mulberry, Mountain Mulberry, Mexican Mulberry, Dwarf Mulberry</x:v>
      </x:c>
      <x:c r="I502" s="84" t="str">
        <x:v>Perennial</x:v>
      </x:c>
      <x:c r="J502" s="84" t="str">
        <x:v>Tree</x:v>
      </x:c>
      <x:c r="K502" s="84" t="str">
        <x:v>Sun, Part Shade</x:v>
      </x:c>
      <x:c r="L502" s="84" t="str">
        <x:v>Low–Medium</x:v>
      </x:c>
      <x:c r="M502" s="89" t="n">
        <x:v>1</x:v>
      </x:c>
      <x:c r="N502" s="89" t="n">
        <x:v>1</x:v>
      </x:c>
      <x:c r="O502" s="89" t="n">
        <x:v>1</x:v>
      </x:c>
      <x:c r="P502" s="89" t="n">
        <x:f>SUM(M502:O502)</x:f>
        <x:v>3</x:v>
      </x:c>
      <x:c r="Q502" s="84" t="str">
        <x:v>Exact accepted-name match</x:v>
      </x:c>
      <x:c r="R502" s="84" t="str">
        <x:v>Morus microphylla</x:v>
      </x:c>
      <x:c r="S502" s="84" t="str">
        <x:v>2501836</x:v>
      </x:c>
      <x:c r="T502" s="84" t="str">
        <x:v>2501836</x:v>
      </x:c>
      <x:c r="U502" s="84" t="str">
        <x:v>854680-1</x:v>
      </x:c>
      <x:c r="V502" s="84" t="str">
        <x:v>854680-1</x:v>
      </x:c>
      <x:c r="W502" s="84" t="str"/>
    </x:row>
    <x:row r="503" ht="18" customHeight="1">
      <x:c r="A503" s="83" t="str">
        <x:v>HAYS-0502</x:v>
      </x:c>
      <x:c r="B503" s="87" t="str">
        <x:v>Morus rubra</x:v>
      </x:c>
      <x:c r="C503" s="87" t="str">
        <x:v>Morus rubra</x:v>
      </x:c>
      <x:c r="D503" s="84" t="str">
        <x:v>Moraceae</x:v>
      </x:c>
      <x:c r="E503" s="84" t="str">
        <x:v>Morus</x:v>
      </x:c>
      <x:c r="F503" s="84" t="str">
        <x:v>Species</x:v>
      </x:c>
      <x:c r="G503" s="84" t="str">
        <x:v>Accepted</x:v>
      </x:c>
      <x:c r="H503" s="84" t="str">
        <x:v>Red Mulberry, Moral</x:v>
      </x:c>
      <x:c r="I503" s="84" t="str">
        <x:v>Perennial</x:v>
      </x:c>
      <x:c r="J503" s="84" t="str">
        <x:v>Tree</x:v>
      </x:c>
      <x:c r="K503" s="84" t="str">
        <x:v>Sun, Part Shade</x:v>
      </x:c>
      <x:c r="L503" s="84" t="str">
        <x:v>Medium</x:v>
      </x:c>
      <x:c r="M503" s="89" t="n">
        <x:v>1</x:v>
      </x:c>
      <x:c r="N503" s="89" t="n">
        <x:v>1</x:v>
      </x:c>
      <x:c r="O503" s="89" t="n">
        <x:v>1</x:v>
      </x:c>
      <x:c r="P503" s="89" t="n">
        <x:f>SUM(M503:O503)</x:f>
        <x:v>3</x:v>
      </x:c>
      <x:c r="Q503" s="84" t="str">
        <x:v>Exact accepted-name match</x:v>
      </x:c>
      <x:c r="R503" s="84" t="str">
        <x:v>Morus rubra</x:v>
      </x:c>
      <x:c r="S503" s="84" t="str">
        <x:v>2501906</x:v>
      </x:c>
      <x:c r="T503" s="84" t="str">
        <x:v>2501906</x:v>
      </x:c>
      <x:c r="U503" s="84" t="str">
        <x:v>854710-1</x:v>
      </x:c>
      <x:c r="V503" s="84" t="str">
        <x:v>854710-1</x:v>
      </x:c>
      <x:c r="W503" s="84" t="str"/>
    </x:row>
    <x:row r="504" ht="18" customHeight="1">
      <x:c r="A504" s="83" t="str">
        <x:v>HAYS-0503</x:v>
      </x:c>
      <x:c r="B504" s="87" t="str">
        <x:v>Muhlenbergia dubia</x:v>
      </x:c>
      <x:c r="C504" s="87" t="str">
        <x:v>Muhlenbergia dubia</x:v>
      </x:c>
      <x:c r="D504" s="84" t="str">
        <x:v>Poaceae</x:v>
      </x:c>
      <x:c r="E504" s="84" t="str">
        <x:v>Muhlenbergia</x:v>
      </x:c>
      <x:c r="F504" s="84" t="str">
        <x:v>Species</x:v>
      </x:c>
      <x:c r="G504" s="84" t="str">
        <x:v>Accepted</x:v>
      </x:c>
      <x:c r="H504" s="84" t="str">
        <x:v>Pine Muhly</x:v>
      </x:c>
      <x:c r="I504" s="84" t="str">
        <x:v>Perennial</x:v>
      </x:c>
      <x:c r="J504" s="84" t="str"/>
      <x:c r="K504" s="84" t="str"/>
      <x:c r="L504" s="84" t="str"/>
      <x:c r="M504" s="89" t="n">
        <x:v>0</x:v>
      </x:c>
      <x:c r="N504" s="89" t="n">
        <x:v>0</x:v>
      </x:c>
      <x:c r="O504" s="89" t="n">
        <x:v>1</x:v>
      </x:c>
      <x:c r="P504" s="89" t="n">
        <x:f>SUM(M504:O504)</x:f>
        <x:v>1</x:v>
      </x:c>
      <x:c r="Q504" s="84" t="str">
        <x:v>Exact accepted-name match</x:v>
      </x:c>
      <x:c r="R504" s="84" t="str">
        <x:v>Muhlenbergia dubia</x:v>
      </x:c>
      <x:c r="S504" s="84" t="str">
        <x:v>425042</x:v>
      </x:c>
      <x:c r="T504" s="84" t="str">
        <x:v>425042</x:v>
      </x:c>
      <x:c r="U504" s="84" t="str">
        <x:v>408994-1</x:v>
      </x:c>
      <x:c r="V504" s="84" t="str">
        <x:v>408994-1</x:v>
      </x:c>
      <x:c r="W504" s="84" t="str"/>
    </x:row>
    <x:row r="505" ht="18" customHeight="1">
      <x:c r="A505" s="83" t="str">
        <x:v>HAYS-0504</x:v>
      </x:c>
      <x:c r="B505" s="87" t="str">
        <x:v>Muhlenbergia lindheimeri</x:v>
      </x:c>
      <x:c r="C505" s="87" t="str">
        <x:v>Muhlenbergia lindheimeri</x:v>
      </x:c>
      <x:c r="D505" s="84" t="str">
        <x:v>Poaceae</x:v>
      </x:c>
      <x:c r="E505" s="84" t="str">
        <x:v>Muhlenbergia</x:v>
      </x:c>
      <x:c r="F505" s="84" t="str">
        <x:v>Species</x:v>
      </x:c>
      <x:c r="G505" s="84" t="str">
        <x:v>Accepted</x:v>
      </x:c>
      <x:c r="H505" s="84" t="str">
        <x:v>Lindheimer's Muhly, Lindheimer Muhly, Big Muhly, Blue Muhly</x:v>
      </x:c>
      <x:c r="I505" s="84" t="str">
        <x:v>Perennial Habit: Grass/Grass-like Root Type: Fibrous Leaf Retention: Semi-evergreen Leaf Arrangement: Alternate Leaf Complexity: Simple Leaf Shape: Linear Leaf Venation: Parallel Breeding System: Flowers Unisexual , Monoecious Inflorescence: Panicle Fruit Type: Caryopsis Size Notes: Normally 2-5 ft high Leaf: Light grey-green to light blue-green Autumn Foliage: yes Flower: Panicles 15-45 cm long Fruit: Greyish to whitish</x:v>
      </x:c>
      <x:c r="J505" s="84" t="str">
        <x:v>Grass</x:v>
      </x:c>
      <x:c r="K505" s="84" t="str">
        <x:v>Sun</x:v>
      </x:c>
      <x:c r="L505" s="84" t="str">
        <x:v>Low</x:v>
      </x:c>
      <x:c r="M505" s="89" t="n">
        <x:v>1</x:v>
      </x:c>
      <x:c r="N505" s="89" t="n">
        <x:v>1</x:v>
      </x:c>
      <x:c r="O505" s="89" t="n">
        <x:v>1</x:v>
      </x:c>
      <x:c r="P505" s="89" t="n">
        <x:f>SUM(M505:O505)</x:f>
        <x:v>3</x:v>
      </x:c>
      <x:c r="Q505" s="84" t="str">
        <x:v>Exact accepted-name match</x:v>
      </x:c>
      <x:c r="R505" s="84" t="str">
        <x:v>Muhlenbergia lindheimeri</x:v>
      </x:c>
      <x:c r="S505" s="84" t="str">
        <x:v>425135</x:v>
      </x:c>
      <x:c r="T505" s="84" t="str">
        <x:v>425135</x:v>
      </x:c>
      <x:c r="U505" s="84" t="str">
        <x:v>164816-2</x:v>
      </x:c>
      <x:c r="V505" s="84" t="str">
        <x:v>164816-2</x:v>
      </x:c>
      <x:c r="W505" s="84" t="str"/>
    </x:row>
    <x:row r="506" ht="18" customHeight="1">
      <x:c r="A506" s="83" t="str">
        <x:v>HAYS-0505</x:v>
      </x:c>
      <x:c r="B506" s="87" t="str">
        <x:v>Muhlenbergia reverchonii</x:v>
      </x:c>
      <x:c r="C506" s="87" t="str">
        <x:v>Muhlenbergia reverchonii</x:v>
      </x:c>
      <x:c r="D506" s="84" t="str">
        <x:v>Poaceae</x:v>
      </x:c>
      <x:c r="E506" s="84" t="str">
        <x:v>Muhlenbergia</x:v>
      </x:c>
      <x:c r="F506" s="84" t="str">
        <x:v>Species</x:v>
      </x:c>
      <x:c r="G506" s="84" t="str">
        <x:v>Accepted</x:v>
      </x:c>
      <x:c r="H506" s="84" t="str">
        <x:v>Seep Muhly</x:v>
      </x:c>
      <x:c r="I506" s="84" t="str">
        <x:v>Perennial</x:v>
      </x:c>
      <x:c r="J506" s="84" t="str">
        <x:v>Grass</x:v>
      </x:c>
      <x:c r="K506" s="84" t="str">
        <x:v>Sun, Part Shade</x:v>
      </x:c>
      <x:c r="L506" s="84" t="str">
        <x:v>Medium</x:v>
      </x:c>
      <x:c r="M506" s="89" t="n">
        <x:v>1</x:v>
      </x:c>
      <x:c r="N506" s="89" t="n">
        <x:v>1</x:v>
      </x:c>
      <x:c r="O506" s="89" t="n">
        <x:v>1</x:v>
      </x:c>
      <x:c r="P506" s="89" t="n">
        <x:f>SUM(M506:O506)</x:f>
        <x:v>3</x:v>
      </x:c>
      <x:c r="Q506" s="84" t="str">
        <x:v>Exact accepted-name match</x:v>
      </x:c>
      <x:c r="R506" s="84" t="str">
        <x:v>Muhlenbergia reverchonii</x:v>
      </x:c>
      <x:c r="S506" s="84" t="str">
        <x:v>425232</x:v>
      </x:c>
      <x:c r="T506" s="84" t="str">
        <x:v>425232</x:v>
      </x:c>
      <x:c r="U506" s="84" t="str">
        <x:v>164871-2</x:v>
      </x:c>
      <x:c r="V506" s="84" t="str">
        <x:v>164871-2</x:v>
      </x:c>
      <x:c r="W506" s="84" t="str"/>
    </x:row>
    <x:row r="507" ht="18" customHeight="1">
      <x:c r="A507" s="83" t="str">
        <x:v>HAYS-0506</x:v>
      </x:c>
      <x:c r="B507" s="87" t="str">
        <x:v>Muhlenbergia schreberi</x:v>
      </x:c>
      <x:c r="C507" s="87" t="str">
        <x:v>Muhlenbergia schreberi</x:v>
      </x:c>
      <x:c r="D507" s="84" t="str">
        <x:v>Poaceae</x:v>
      </x:c>
      <x:c r="E507" s="84" t="str">
        <x:v>Muhlenbergia</x:v>
      </x:c>
      <x:c r="F507" s="84" t="str">
        <x:v>Species</x:v>
      </x:c>
      <x:c r="G507" s="84" t="str">
        <x:v>Accepted</x:v>
      </x:c>
      <x:c r="H507" s="84" t="str">
        <x:v>Nimblewill</x:v>
      </x:c>
      <x:c r="I507" s="84" t="str">
        <x:v>Perennial</x:v>
      </x:c>
      <x:c r="J507" s="84" t="str">
        <x:v>Grass</x:v>
      </x:c>
      <x:c r="K507" s="84" t="str">
        <x:v>Shade, Part Shade</x:v>
      </x:c>
      <x:c r="L507" s="84" t="str">
        <x:v>Medium</x:v>
      </x:c>
      <x:c r="M507" s="89" t="n">
        <x:v>1</x:v>
      </x:c>
      <x:c r="N507" s="89" t="n">
        <x:v>1</x:v>
      </x:c>
      <x:c r="O507" s="89" t="n">
        <x:v>1</x:v>
      </x:c>
      <x:c r="P507" s="89" t="n">
        <x:f>SUM(M507:O507)</x:f>
        <x:v>3</x:v>
      </x:c>
      <x:c r="Q507" s="84" t="str">
        <x:v>Exact accepted-name match</x:v>
      </x:c>
      <x:c r="R507" s="84" t="str">
        <x:v>Muhlenbergia schreberi</x:v>
      </x:c>
      <x:c r="S507" s="84" t="str">
        <x:v>425243</x:v>
      </x:c>
      <x:c r="T507" s="84" t="str">
        <x:v>425243</x:v>
      </x:c>
      <x:c r="U507" s="84" t="str">
        <x:v>409143-1</x:v>
      </x:c>
      <x:c r="V507" s="84" t="str">
        <x:v>409143-1</x:v>
      </x:c>
      <x:c r="W507" s="84" t="str"/>
    </x:row>
    <x:row r="508" ht="18" customHeight="1">
      <x:c r="A508" s="83" t="str">
        <x:v>HAYS-0507</x:v>
      </x:c>
      <x:c r="B508" s="87" t="str">
        <x:v>Muhlenbergia utilis</x:v>
      </x:c>
      <x:c r="C508" s="87" t="str">
        <x:v>Muhlenbergia utilis</x:v>
      </x:c>
      <x:c r="D508" s="84" t="str">
        <x:v>Poaceae</x:v>
      </x:c>
      <x:c r="E508" s="84" t="str">
        <x:v>Muhlenbergia</x:v>
      </x:c>
      <x:c r="F508" s="84" t="str">
        <x:v>Species</x:v>
      </x:c>
      <x:c r="G508" s="84" t="str">
        <x:v>Accepted</x:v>
      </x:c>
      <x:c r="H508" s="84" t="str">
        <x:v>Aparejo Grass, Aparejo Muhly</x:v>
      </x:c>
      <x:c r="I508" s="84" t="str">
        <x:v>Perennial</x:v>
      </x:c>
      <x:c r="J508" s="84" t="str">
        <x:v>Grass</x:v>
      </x:c>
      <x:c r="K508" s="84" t="str">
        <x:v>Sun, Part Shade</x:v>
      </x:c>
      <x:c r="L508" s="84" t="str">
        <x:v>Medium</x:v>
      </x:c>
      <x:c r="M508" s="89" t="n">
        <x:v>1</x:v>
      </x:c>
      <x:c r="N508" s="89" t="n">
        <x:v>1</x:v>
      </x:c>
      <x:c r="O508" s="89" t="n">
        <x:v>1</x:v>
      </x:c>
      <x:c r="P508" s="89" t="n">
        <x:f>SUM(M508:O508)</x:f>
        <x:v>3</x:v>
      </x:c>
      <x:c r="Q508" s="84" t="str">
        <x:v>Exact accepted-name match</x:v>
      </x:c>
      <x:c r="R508" s="84" t="str">
        <x:v>Muhlenbergia utilis</x:v>
      </x:c>
      <x:c r="S508" s="84" t="str">
        <x:v>425317</x:v>
      </x:c>
      <x:c r="T508" s="84" t="str">
        <x:v>425317</x:v>
      </x:c>
      <x:c r="U508" s="84" t="str">
        <x:v>164921-2</x:v>
      </x:c>
      <x:c r="V508" s="84" t="str">
        <x:v>164921-2</x:v>
      </x:c>
      <x:c r="W508" s="84" t="str"/>
    </x:row>
    <x:row r="509" ht="18" customHeight="1">
      <x:c r="A509" s="83" t="str">
        <x:v>HAYS-0508</x:v>
      </x:c>
      <x:c r="B509" s="87" t="str">
        <x:v>Muhlenbergia ×involuta</x:v>
      </x:c>
      <x:c r="C509" s="87" t="str"/>
      <x:c r="D509" s="84" t="str"/>
      <x:c r="E509" s="84" t="str">
        <x:v>Muhlenbergia</x:v>
      </x:c>
      <x:c r="F509" s="84" t="str"/>
      <x:c r="G509" s="84" t="str"/>
      <x:c r="H509" s="84" t="str">
        <x:v>Canyon Muhly, Edwards Plateau Muhly</x:v>
      </x:c>
      <x:c r="I509" s="84" t="str">
        <x:v>Perennial</x:v>
      </x:c>
      <x:c r="J509" s="84" t="str">
        <x:v>Grass/Grass-like</x:v>
      </x:c>
      <x:c r="K509" s="84" t="str"/>
      <x:c r="L509" s="84" t="str"/>
      <x:c r="M509" s="89" t="n">
        <x:v>1</x:v>
      </x:c>
      <x:c r="N509" s="89" t="n">
        <x:v>1</x:v>
      </x:c>
      <x:c r="O509" s="89" t="n">
        <x:v>0</x:v>
      </x:c>
      <x:c r="P509" s="89" t="n">
        <x:f>SUM(M509:O509)</x:f>
        <x:v>2</x:v>
      </x:c>
      <x:c r="Q509" s="84" t="str">
        <x:v>No exact WCVP name match</x:v>
      </x:c>
      <x:c r="R509" s="84" t="str"/>
      <x:c r="S509" s="84" t="str"/>
      <x:c r="T509" s="84" t="str"/>
      <x:c r="U509" s="84" t="str"/>
      <x:c r="V509" s="84" t="str"/>
      <x:c r="W509" s="84" t="str">
        <x:v>Review</x:v>
      </x:c>
    </x:row>
    <x:row r="510" ht="18" customHeight="1">
      <x:c r="A510" s="83" t="str">
        <x:v>HAYS-0509</x:v>
      </x:c>
      <x:c r="B510" s="87" t="str">
        <x:v>Myosotis macrosperma</x:v>
      </x:c>
      <x:c r="C510" s="87" t="str">
        <x:v>Myosotis macrosperma</x:v>
      </x:c>
      <x:c r="D510" s="84" t="str">
        <x:v>Boraginaceae</x:v>
      </x:c>
      <x:c r="E510" s="84" t="str">
        <x:v>Myosotis</x:v>
      </x:c>
      <x:c r="F510" s="84" t="str">
        <x:v>Species</x:v>
      </x:c>
      <x:c r="G510" s="84" t="str">
        <x:v>Accepted</x:v>
      </x:c>
      <x:c r="H510" s="84" t="str">
        <x:v>Largeseed Forget-me-not</x:v>
      </x:c>
      <x:c r="I510" s="84" t="str">
        <x:v>Annual</x:v>
      </x:c>
      <x:c r="J510" s="84" t="str">
        <x:v>Herb</x:v>
      </x:c>
      <x:c r="K510" s="84" t="str">
        <x:v>Sun, Shade, Part-shade</x:v>
      </x:c>
      <x:c r="L510" s="84" t="str">
        <x:v>Moist, Dry</x:v>
      </x:c>
      <x:c r="M510" s="89" t="n">
        <x:v>1</x:v>
      </x:c>
      <x:c r="N510" s="89" t="n">
        <x:v>1</x:v>
      </x:c>
      <x:c r="O510" s="89" t="n">
        <x:v>0</x:v>
      </x:c>
      <x:c r="P510" s="89" t="n">
        <x:f>SUM(M510:O510)</x:f>
        <x:v>2</x:v>
      </x:c>
      <x:c r="Q510" s="84" t="str">
        <x:v>Exact accepted-name match</x:v>
      </x:c>
      <x:c r="R510" s="84" t="str">
        <x:v>Myosotis macrosperma</x:v>
      </x:c>
      <x:c r="S510" s="84" t="str">
        <x:v>2358202</x:v>
      </x:c>
      <x:c r="T510" s="84" t="str">
        <x:v>2358202</x:v>
      </x:c>
      <x:c r="U510" s="84" t="str">
        <x:v>119108-1</x:v>
      </x:c>
      <x:c r="V510" s="84" t="str">
        <x:v>119108-1</x:v>
      </x:c>
      <x:c r="W510" s="84" t="str"/>
    </x:row>
    <x:row r="511" ht="18" customHeight="1">
      <x:c r="A511" s="83" t="str">
        <x:v>HAYS-0510</x:v>
      </x:c>
      <x:c r="B511" s="87" t="str">
        <x:v>Myriophyllum heterophyllum</x:v>
      </x:c>
      <x:c r="C511" s="87" t="str">
        <x:v>Myriophyllum heterophyllum</x:v>
      </x:c>
      <x:c r="D511" s="84" t="str">
        <x:v>Haloragaceae</x:v>
      </x:c>
      <x:c r="E511" s="84" t="str">
        <x:v>Myriophyllum</x:v>
      </x:c>
      <x:c r="F511" s="84" t="str">
        <x:v>Species</x:v>
      </x:c>
      <x:c r="G511" s="84" t="str">
        <x:v>Accepted</x:v>
      </x:c>
      <x:c r="H511" s="84" t="str">
        <x:v>Twoleaf Watermilfoil</x:v>
      </x:c>
      <x:c r="I511" s="84" t="str">
        <x:v>Perennial</x:v>
      </x:c>
      <x:c r="J511" s="84" t="str">
        <x:v>Herb</x:v>
      </x:c>
      <x:c r="K511" s="84" t="str"/>
      <x:c r="L511" s="84" t="str"/>
      <x:c r="M511" s="89" t="n">
        <x:v>1</x:v>
      </x:c>
      <x:c r="N511" s="89" t="n">
        <x:v>1</x:v>
      </x:c>
      <x:c r="O511" s="89" t="n">
        <x:v>0</x:v>
      </x:c>
      <x:c r="P511" s="89" t="n">
        <x:f>SUM(M511:O511)</x:f>
        <x:v>2</x:v>
      </x:c>
      <x:c r="Q511" s="84" t="str">
        <x:v>Exact accepted-name match</x:v>
      </x:c>
      <x:c r="R511" s="84" t="str">
        <x:v>Myriophyllum heterophyllum</x:v>
      </x:c>
      <x:c r="S511" s="84" t="str">
        <x:v>2366595</x:v>
      </x:c>
      <x:c r="T511" s="84" t="str">
        <x:v>2366595</x:v>
      </x:c>
      <x:c r="U511" s="84" t="str">
        <x:v>430415-1</x:v>
      </x:c>
      <x:c r="V511" s="84" t="str">
        <x:v>430415-1</x:v>
      </x:c>
      <x:c r="W511" s="84" t="str"/>
    </x:row>
    <x:row r="512" ht="18" customHeight="1">
      <x:c r="A512" s="83" t="str">
        <x:v>HAYS-0511</x:v>
      </x:c>
      <x:c r="B512" s="87" t="str">
        <x:v>Myriopteris alabamensis</x:v>
      </x:c>
      <x:c r="C512" s="87" t="str">
        <x:v>Hemionitis alabamensis</x:v>
      </x:c>
      <x:c r="D512" s="84" t="str">
        <x:v>Pteridaceae</x:v>
      </x:c>
      <x:c r="E512" s="84" t="str">
        <x:v>Hemionitis</x:v>
      </x:c>
      <x:c r="F512" s="84" t="str">
        <x:v>Species</x:v>
      </x:c>
      <x:c r="G512" s="84" t="str">
        <x:v>Synonym</x:v>
      </x:c>
      <x:c r="H512" s="84" t="str">
        <x:v>Alabama Lipfern</x:v>
      </x:c>
      <x:c r="I512" s="84" t="str">
        <x:v>Perennial</x:v>
      </x:c>
      <x:c r="J512" s="84" t="str">
        <x:v>Herb, Fern</x:v>
      </x:c>
      <x:c r="K512" s="84" t="str"/>
      <x:c r="L512" s="84" t="str"/>
      <x:c r="M512" s="89" t="n">
        <x:v>1</x:v>
      </x:c>
      <x:c r="N512" s="89" t="n">
        <x:v>1</x:v>
      </x:c>
      <x:c r="O512" s="89" t="n">
        <x:v>0</x:v>
      </x:c>
      <x:c r="P512" s="89" t="n">
        <x:f>SUM(M512:O512)</x:f>
        <x:v>2</x:v>
      </x:c>
      <x:c r="Q512" s="84" t="str">
        <x:v>Exact synonym-name match</x:v>
      </x:c>
      <x:c r="R512" s="84" t="str">
        <x:v>Myriopteris alabamensis</x:v>
      </x:c>
      <x:c r="S512" s="84" t="str">
        <x:v>2996659</x:v>
      </x:c>
      <x:c r="T512" s="84" t="str">
        <x:v>3217804</x:v>
      </x:c>
      <x:c r="U512" s="84" t="str">
        <x:v>77134842-1</x:v>
      </x:c>
      <x:c r="V512" s="84" t="str">
        <x:v>77182021-1</x:v>
      </x:c>
      <x:c r="W512" s="84" t="str"/>
    </x:row>
    <x:row r="513" ht="18" customHeight="1">
      <x:c r="A513" s="83" t="str">
        <x:v>HAYS-0512</x:v>
      </x:c>
      <x:c r="B513" s="87" t="str">
        <x:v>Nama jamaicense</x:v>
      </x:c>
      <x:c r="C513" s="87" t="str"/>
      <x:c r="D513" s="84" t="str"/>
      <x:c r="E513" s="84" t="str">
        <x:v>Nama</x:v>
      </x:c>
      <x:c r="F513" s="84" t="str"/>
      <x:c r="G513" s="84" t="str"/>
      <x:c r="H513" s="84" t="str">
        <x:v>Jamaicanweed, Jamaican Weed, Fiddleleaf Nama</x:v>
      </x:c>
      <x:c r="I513" s="84" t="str">
        <x:v>Annual</x:v>
      </x:c>
      <x:c r="J513" s="84" t="str">
        <x:v>Herb</x:v>
      </x:c>
      <x:c r="K513" s="84" t="str"/>
      <x:c r="L513" s="84" t="str"/>
      <x:c r="M513" s="89" t="n">
        <x:v>1</x:v>
      </x:c>
      <x:c r="N513" s="89" t="n">
        <x:v>1</x:v>
      </x:c>
      <x:c r="O513" s="89" t="n">
        <x:v>0</x:v>
      </x:c>
      <x:c r="P513" s="89" t="n">
        <x:f>SUM(M513:O513)</x:f>
        <x:v>2</x:v>
      </x:c>
      <x:c r="Q513" s="84" t="str">
        <x:v>No exact WCVP name match</x:v>
      </x:c>
      <x:c r="R513" s="84" t="str"/>
      <x:c r="S513" s="84" t="str"/>
      <x:c r="T513" s="84" t="str"/>
      <x:c r="U513" s="84" t="str"/>
      <x:c r="V513" s="84" t="str"/>
      <x:c r="W513" s="84" t="str">
        <x:v>Review</x:v>
      </x:c>
    </x:row>
    <x:row r="514" ht="18" customHeight="1">
      <x:c r="A514" s="83" t="str">
        <x:v>HAYS-0513</x:v>
      </x:c>
      <x:c r="B514" s="87" t="str">
        <x:v>Nassella leucotricha</x:v>
      </x:c>
      <x:c r="C514" s="87" t="str">
        <x:v>Nassella leucotricha</x:v>
      </x:c>
      <x:c r="D514" s="84" t="str">
        <x:v>Poaceae</x:v>
      </x:c>
      <x:c r="E514" s="84" t="str">
        <x:v>Nassella</x:v>
      </x:c>
      <x:c r="F514" s="84" t="str">
        <x:v>Species</x:v>
      </x:c>
      <x:c r="G514" s="84" t="str">
        <x:v>Accepted</x:v>
      </x:c>
      <x:c r="H514" s="84" t="str">
        <x:v>Texas Wintergrass, Texas Speargrass, Wintergrass</x:v>
      </x:c>
      <x:c r="I514" s="84" t="str">
        <x:v>Perennial</x:v>
      </x:c>
      <x:c r="J514" s="84" t="str">
        <x:v>Grass/Grass-like</x:v>
      </x:c>
      <x:c r="K514" s="84" t="str">
        <x:v>Sun</x:v>
      </x:c>
      <x:c r="L514" s="84" t="str">
        <x:v>Dry</x:v>
      </x:c>
      <x:c r="M514" s="89" t="n">
        <x:v>1</x:v>
      </x:c>
      <x:c r="N514" s="89" t="n">
        <x:v>1</x:v>
      </x:c>
      <x:c r="O514" s="89" t="n">
        <x:v>0</x:v>
      </x:c>
      <x:c r="P514" s="89" t="n">
        <x:f>SUM(M514:O514)</x:f>
        <x:v>2</x:v>
      </x:c>
      <x:c r="Q514" s="84" t="str">
        <x:v>Exact accepted-name match</x:v>
      </x:c>
      <x:c r="R514" s="84" t="str">
        <x:v>Nassella leucotricha</x:v>
      </x:c>
      <x:c r="S514" s="84" t="str">
        <x:v>425531</x:v>
      </x:c>
      <x:c r="T514" s="84" t="str">
        <x:v>425531</x:v>
      </x:c>
      <x:c r="U514" s="84" t="str">
        <x:v>948400-1</x:v>
      </x:c>
      <x:c r="V514" s="84" t="str">
        <x:v>948400-1</x:v>
      </x:c>
      <x:c r="W514" s="84" t="str"/>
    </x:row>
    <x:row r="515" ht="18" customHeight="1">
      <x:c r="A515" s="83" t="str">
        <x:v>HAYS-0514</x:v>
      </x:c>
      <x:c r="B515" s="87" t="str">
        <x:v>Nekemias arborea</x:v>
      </x:c>
      <x:c r="C515" s="87" t="str">
        <x:v>Nekemias arborea</x:v>
      </x:c>
      <x:c r="D515" s="84" t="str">
        <x:v>Vitaceae</x:v>
      </x:c>
      <x:c r="E515" s="84" t="str">
        <x:v>Nekemias</x:v>
      </x:c>
      <x:c r="F515" s="84" t="str">
        <x:v>Species</x:v>
      </x:c>
      <x:c r="G515" s="84" t="str">
        <x:v>Accepted</x:v>
      </x:c>
      <x:c r="H515" s="84" t="str">
        <x:v>Peppervine</x:v>
      </x:c>
      <x:c r="I515" s="84" t="str">
        <x:v>Perennial</x:v>
      </x:c>
      <x:c r="J515" s="84" t="str">
        <x:v>Shrub, Vine</x:v>
      </x:c>
      <x:c r="K515" s="84" t="str">
        <x:v>Sun, Part-shade</x:v>
      </x:c>
      <x:c r="L515" s="84" t="str">
        <x:v>Moist</x:v>
      </x:c>
      <x:c r="M515" s="89" t="n">
        <x:v>1</x:v>
      </x:c>
      <x:c r="N515" s="89" t="n">
        <x:v>1</x:v>
      </x:c>
      <x:c r="O515" s="89" t="n">
        <x:v>0</x:v>
      </x:c>
      <x:c r="P515" s="89" t="n">
        <x:f>SUM(M515:O515)</x:f>
        <x:v>2</x:v>
      </x:c>
      <x:c r="Q515" s="84" t="str">
        <x:v>Exact accepted-name match</x:v>
      </x:c>
      <x:c r="R515" s="84" t="str">
        <x:v>Nekemias arborea</x:v>
      </x:c>
      <x:c r="S515" s="84" t="str">
        <x:v>2997127</x:v>
      </x:c>
      <x:c r="T515" s="84" t="str">
        <x:v>2997127</x:v>
      </x:c>
      <x:c r="U515" s="84" t="str">
        <x:v>77142315-1</x:v>
      </x:c>
      <x:c r="V515" s="84" t="str">
        <x:v>77142315-1</x:v>
      </x:c>
      <x:c r="W515" s="84" t="str"/>
    </x:row>
    <x:row r="516" ht="18" customHeight="1">
      <x:c r="A516" s="83" t="str">
        <x:v>HAYS-0515</x:v>
      </x:c>
      <x:c r="B516" s="87" t="str">
        <x:v>Nemastylis geminiflora</x:v>
      </x:c>
      <x:c r="C516" s="87" t="str">
        <x:v>Nemastylis geminiflora</x:v>
      </x:c>
      <x:c r="D516" s="84" t="str">
        <x:v>Iridaceae</x:v>
      </x:c>
      <x:c r="E516" s="84" t="str">
        <x:v>Nemastylis</x:v>
      </x:c>
      <x:c r="F516" s="84" t="str">
        <x:v>Species</x:v>
      </x:c>
      <x:c r="G516" s="84" t="str">
        <x:v>Accepted</x:v>
      </x:c>
      <x:c r="H516" s="84" t="str">
        <x:v>Prairie Celestials, Celestials, Prairie Pleatleaf</x:v>
      </x:c>
      <x:c r="I516" s="84" t="str">
        <x:v>Perennial</x:v>
      </x:c>
      <x:c r="J516" s="84" t="str">
        <x:v>Herb</x:v>
      </x:c>
      <x:c r="K516" s="84" t="str">
        <x:v>Sun, Part-shade</x:v>
      </x:c>
      <x:c r="L516" s="84" t="str">
        <x:v>Dry</x:v>
      </x:c>
      <x:c r="M516" s="89" t="n">
        <x:v>1</x:v>
      </x:c>
      <x:c r="N516" s="89" t="n">
        <x:v>1</x:v>
      </x:c>
      <x:c r="O516" s="89" t="n">
        <x:v>0</x:v>
      </x:c>
      <x:c r="P516" s="89" t="n">
        <x:f>SUM(M516:O516)</x:f>
        <x:v>2</x:v>
      </x:c>
      <x:c r="Q516" s="84" t="str">
        <x:v>Exact accepted-name match</x:v>
      </x:c>
      <x:c r="R516" s="84" t="str">
        <x:v>Nemastylis geminiflora</x:v>
      </x:c>
      <x:c r="S516" s="84" t="str">
        <x:v>323874</x:v>
      </x:c>
      <x:c r="T516" s="84" t="str">
        <x:v>323874</x:v>
      </x:c>
      <x:c r="U516" s="84" t="str">
        <x:v>440370-1</x:v>
      </x:c>
      <x:c r="V516" s="84" t="str">
        <x:v>440370-1</x:v>
      </x:c>
      <x:c r="W516" s="84" t="str"/>
    </x:row>
    <x:row r="517" ht="18" customHeight="1">
      <x:c r="A517" s="83" t="str">
        <x:v>HAYS-0516</x:v>
      </x:c>
      <x:c r="B517" s="87" t="str">
        <x:v>Nemophila phacelioides</x:v>
      </x:c>
      <x:c r="C517" s="87" t="str">
        <x:v>Nemophila phacelioides</x:v>
      </x:c>
      <x:c r="D517" s="84" t="str">
        <x:v>Boraginaceae</x:v>
      </x:c>
      <x:c r="E517" s="84" t="str">
        <x:v>Nemophila</x:v>
      </x:c>
      <x:c r="F517" s="84" t="str">
        <x:v>Species</x:v>
      </x:c>
      <x:c r="G517" s="84" t="str">
        <x:v>Accepted</x:v>
      </x:c>
      <x:c r="H517" s="84" t="str">
        <x:v>Texas Baby Blue Eyes, Large-flower Baby-blue-eyes, Baby Blue-eyes, Flannel Breeches</x:v>
      </x:c>
      <x:c r="I517" s="84" t="str">
        <x:v>Annual</x:v>
      </x:c>
      <x:c r="J517" s="84" t="str">
        <x:v>Herb</x:v>
      </x:c>
      <x:c r="K517" s="84" t="str">
        <x:v>Part Shade</x:v>
      </x:c>
      <x:c r="L517" s="84" t="str">
        <x:v>Medium</x:v>
      </x:c>
      <x:c r="M517" s="89" t="n">
        <x:v>1</x:v>
      </x:c>
      <x:c r="N517" s="89" t="n">
        <x:v>1</x:v>
      </x:c>
      <x:c r="O517" s="89" t="n">
        <x:v>1</x:v>
      </x:c>
      <x:c r="P517" s="89" t="n">
        <x:f>SUM(M517:O517)</x:f>
        <x:v>3</x:v>
      </x:c>
      <x:c r="Q517" s="84" t="str">
        <x:v>Exact accepted-name match</x:v>
      </x:c>
      <x:c r="R517" s="84" t="str">
        <x:v>Nemophila phacelioides</x:v>
      </x:c>
      <x:c r="S517" s="84" t="str">
        <x:v>2378727</x:v>
      </x:c>
      <x:c r="T517" s="84" t="str">
        <x:v>2378727</x:v>
      </x:c>
      <x:c r="U517" s="84" t="str">
        <x:v>432487-1</x:v>
      </x:c>
      <x:c r="V517" s="84" t="str">
        <x:v>432487-1</x:v>
      </x:c>
      <x:c r="W517" s="84" t="str"/>
    </x:row>
    <x:row r="518" ht="18" customHeight="1">
      <x:c r="A518" s="83" t="str">
        <x:v>HAYS-0517</x:v>
      </x:c>
      <x:c r="B518" s="87" t="str">
        <x:v>Neptunia lutea</x:v>
      </x:c>
      <x:c r="C518" s="87" t="str">
        <x:v>Neptunia lutea</x:v>
      </x:c>
      <x:c r="D518" s="84" t="str">
        <x:v>Fabaceae</x:v>
      </x:c>
      <x:c r="E518" s="84" t="str">
        <x:v>Neptunia</x:v>
      </x:c>
      <x:c r="F518" s="84" t="str">
        <x:v>Species</x:v>
      </x:c>
      <x:c r="G518" s="84" t="str">
        <x:v>Accepted</x:v>
      </x:c>
      <x:c r="H518" s="84" t="str">
        <x:v>Yellow Sensitive Briar, Yellow Puff</x:v>
      </x:c>
      <x:c r="I518" s="84" t="str">
        <x:v>Perennial</x:v>
      </x:c>
      <x:c r="J518" s="84" t="str">
        <x:v>Herb</x:v>
      </x:c>
      <x:c r="K518" s="84" t="str">
        <x:v>Sun</x:v>
      </x:c>
      <x:c r="L518" s="84" t="str">
        <x:v>Low</x:v>
      </x:c>
      <x:c r="M518" s="89" t="n">
        <x:v>1</x:v>
      </x:c>
      <x:c r="N518" s="89" t="n">
        <x:v>1</x:v>
      </x:c>
      <x:c r="O518" s="89" t="n">
        <x:v>1</x:v>
      </x:c>
      <x:c r="P518" s="89" t="n">
        <x:f>SUM(M518:O518)</x:f>
        <x:v>3</x:v>
      </x:c>
      <x:c r="Q518" s="84" t="str">
        <x:v>Exact accepted-name match</x:v>
      </x:c>
      <x:c r="R518" s="84" t="str">
        <x:v>Neptunia lutea</x:v>
      </x:c>
      <x:c r="S518" s="84" t="str">
        <x:v>2383307</x:v>
      </x:c>
      <x:c r="T518" s="84" t="str">
        <x:v>2383307</x:v>
      </x:c>
      <x:c r="U518" s="84" t="str">
        <x:v>30121724-2</x:v>
      </x:c>
      <x:c r="V518" s="84" t="str">
        <x:v>30121724-2</x:v>
      </x:c>
      <x:c r="W518" s="84" t="str"/>
    </x:row>
    <x:row r="519" ht="18" customHeight="1">
      <x:c r="A519" s="83" t="str">
        <x:v>HAYS-0518</x:v>
      </x:c>
      <x:c r="B519" s="87" t="str">
        <x:v>Neptunia pubescens</x:v>
      </x:c>
      <x:c r="C519" s="87" t="str">
        <x:v>Neptunia pubescens</x:v>
      </x:c>
      <x:c r="D519" s="84" t="str">
        <x:v>Fabaceae</x:v>
      </x:c>
      <x:c r="E519" s="84" t="str">
        <x:v>Neptunia</x:v>
      </x:c>
      <x:c r="F519" s="84" t="str">
        <x:v>Species</x:v>
      </x:c>
      <x:c r="G519" s="84" t="str">
        <x:v>Accepted</x:v>
      </x:c>
      <x:c r="H519" s="84" t="str">
        <x:v>Tropical Puff</x:v>
      </x:c>
      <x:c r="I519" s="84" t="str">
        <x:v>Perennial</x:v>
      </x:c>
      <x:c r="J519" s="84" t="str">
        <x:v>Herb</x:v>
      </x:c>
      <x:c r="K519" s="84" t="str"/>
      <x:c r="L519" s="84" t="str"/>
      <x:c r="M519" s="89" t="n">
        <x:v>1</x:v>
      </x:c>
      <x:c r="N519" s="89" t="n">
        <x:v>1</x:v>
      </x:c>
      <x:c r="O519" s="89" t="n">
        <x:v>0</x:v>
      </x:c>
      <x:c r="P519" s="89" t="n">
        <x:f>SUM(M519:O519)</x:f>
        <x:v>2</x:v>
      </x:c>
      <x:c r="Q519" s="84" t="str">
        <x:v>Exact accepted-name match</x:v>
      </x:c>
      <x:c r="R519" s="84" t="str">
        <x:v>Neptunia pubescens</x:v>
      </x:c>
      <x:c r="S519" s="84" t="str">
        <x:v>2383325</x:v>
      </x:c>
      <x:c r="T519" s="84" t="str">
        <x:v>2383325</x:v>
      </x:c>
      <x:c r="U519" s="84" t="str">
        <x:v>30003916-2</x:v>
      </x:c>
      <x:c r="V519" s="84" t="str">
        <x:v>30003916-2</x:v>
      </x:c>
      <x:c r="W519" s="84" t="str"/>
    </x:row>
    <x:row r="520" ht="18" customHeight="1">
      <x:c r="A520" s="83" t="str">
        <x:v>HAYS-0519</x:v>
      </x:c>
      <x:c r="B520" s="87" t="str">
        <x:v>Nicotiana repanda</x:v>
      </x:c>
      <x:c r="C520" s="87" t="str">
        <x:v>Nicotiana repanda</x:v>
      </x:c>
      <x:c r="D520" s="84" t="str">
        <x:v>Solanaceae</x:v>
      </x:c>
      <x:c r="E520" s="84" t="str">
        <x:v>Nicotiana</x:v>
      </x:c>
      <x:c r="F520" s="84" t="str">
        <x:v>Species</x:v>
      </x:c>
      <x:c r="G520" s="84" t="str">
        <x:v>Accepted</x:v>
      </x:c>
      <x:c r="H520" s="84" t="str">
        <x:v>Fiddleleaf Tobacco, Fiddle-leaf Tobacco</x:v>
      </x:c>
      <x:c r="I520" s="84" t="str">
        <x:v>Annual</x:v>
      </x:c>
      <x:c r="J520" s="84" t="str">
        <x:v>Herb</x:v>
      </x:c>
      <x:c r="K520" s="84" t="str"/>
      <x:c r="L520" s="84" t="str"/>
      <x:c r="M520" s="89" t="n">
        <x:v>1</x:v>
      </x:c>
      <x:c r="N520" s="89" t="n">
        <x:v>1</x:v>
      </x:c>
      <x:c r="O520" s="89" t="n">
        <x:v>0</x:v>
      </x:c>
      <x:c r="P520" s="89" t="n">
        <x:f>SUM(M520:O520)</x:f>
        <x:v>2</x:v>
      </x:c>
      <x:c r="Q520" s="84" t="str">
        <x:v>Exact accepted-name match</x:v>
      </x:c>
      <x:c r="R520" s="84" t="str">
        <x:v>Nicotiana repanda</x:v>
      </x:c>
      <x:c r="S520" s="84" t="str">
        <x:v>2382300</x:v>
      </x:c>
      <x:c r="T520" s="84" t="str">
        <x:v>2382300</x:v>
      </x:c>
      <x:c r="U520" s="84" t="str">
        <x:v>817047-1</x:v>
      </x:c>
      <x:c r="V520" s="84" t="str">
        <x:v>817047-1</x:v>
      </x:c>
      <x:c r="W520" s="84" t="str"/>
    </x:row>
    <x:row r="521" ht="18" customHeight="1">
      <x:c r="A521" s="83" t="str">
        <x:v>HAYS-0520</x:v>
      </x:c>
      <x:c r="B521" s="87" t="str">
        <x:v>Nolina lindheimeriana</x:v>
      </x:c>
      <x:c r="C521" s="87" t="str">
        <x:v>Nolina lindheimeriana</x:v>
      </x:c>
      <x:c r="D521" s="84" t="str">
        <x:v>Asparagaceae</x:v>
      </x:c>
      <x:c r="E521" s="84" t="str">
        <x:v>Nolina</x:v>
      </x:c>
      <x:c r="F521" s="84" t="str">
        <x:v>Species</x:v>
      </x:c>
      <x:c r="G521" s="84" t="str">
        <x:v>Accepted</x:v>
      </x:c>
      <x:c r="H521" s="84" t="str">
        <x:v>Devil's Shoestring, Devil's-shoestring, Ribbon Grass</x:v>
      </x:c>
      <x:c r="I521" s="84" t="str">
        <x:v>Perennial</x:v>
      </x:c>
      <x:c r="J521" s="84" t="str">
        <x:v>Succulent</x:v>
      </x:c>
      <x:c r="K521" s="84" t="str">
        <x:v>Sun</x:v>
      </x:c>
      <x:c r="L521" s="84" t="str">
        <x:v>Low</x:v>
      </x:c>
      <x:c r="M521" s="89" t="n">
        <x:v>1</x:v>
      </x:c>
      <x:c r="N521" s="89" t="n">
        <x:v>1</x:v>
      </x:c>
      <x:c r="O521" s="89" t="n">
        <x:v>1</x:v>
      </x:c>
      <x:c r="P521" s="89" t="n">
        <x:f>SUM(M521:O521)</x:f>
        <x:v>3</x:v>
      </x:c>
      <x:c r="Q521" s="84" t="str">
        <x:v>Exact accepted-name match</x:v>
      </x:c>
      <x:c r="R521" s="84" t="str">
        <x:v>Nolina lindheimeriana</x:v>
      </x:c>
      <x:c r="S521" s="84" t="str">
        <x:v>282071</x:v>
      </x:c>
      <x:c r="T521" s="84" t="str">
        <x:v>282071</x:v>
      </x:c>
      <x:c r="U521" s="84" t="str">
        <x:v>538743-1</x:v>
      </x:c>
      <x:c r="V521" s="84" t="str">
        <x:v>538743-1</x:v>
      </x:c>
      <x:c r="W521" s="84" t="str"/>
    </x:row>
    <x:row r="522" ht="18" customHeight="1">
      <x:c r="A522" s="83" t="str">
        <x:v>HAYS-0521</x:v>
      </x:c>
      <x:c r="B522" s="87" t="str">
        <x:v>Nolina texana</x:v>
      </x:c>
      <x:c r="C522" s="87" t="str">
        <x:v>Nolina texana</x:v>
      </x:c>
      <x:c r="D522" s="84" t="str">
        <x:v>Asparagaceae</x:v>
      </x:c>
      <x:c r="E522" s="84" t="str">
        <x:v>Nolina</x:v>
      </x:c>
      <x:c r="F522" s="84" t="str">
        <x:v>Species</x:v>
      </x:c>
      <x:c r="G522" s="84" t="str">
        <x:v>Accepted</x:v>
      </x:c>
      <x:c r="H522" s="84" t="str">
        <x:v>Texas Sacahuista, Texas Beargrass, Basket Grass, Sacahuista, Bunchgrass, Texas Bear-grass</x:v>
      </x:c>
      <x:c r="I522" s="84" t="str">
        <x:v>Perennial</x:v>
      </x:c>
      <x:c r="J522" s="84" t="str">
        <x:v>Succulent</x:v>
      </x:c>
      <x:c r="K522" s="84" t="str">
        <x:v>Sun</x:v>
      </x:c>
      <x:c r="L522" s="84" t="str">
        <x:v>Low</x:v>
      </x:c>
      <x:c r="M522" s="89" t="n">
        <x:v>1</x:v>
      </x:c>
      <x:c r="N522" s="89" t="n">
        <x:v>1</x:v>
      </x:c>
      <x:c r="O522" s="89" t="n">
        <x:v>1</x:v>
      </x:c>
      <x:c r="P522" s="89" t="n">
        <x:f>SUM(M522:O522)</x:f>
        <x:v>3</x:v>
      </x:c>
      <x:c r="Q522" s="84" t="str">
        <x:v>Exact accepted-name match</x:v>
      </x:c>
      <x:c r="R522" s="84" t="str">
        <x:v>Nolina texana</x:v>
      </x:c>
      <x:c r="S522" s="84" t="str">
        <x:v>282325</x:v>
      </x:c>
      <x:c r="T522" s="84" t="str">
        <x:v>282325</x:v>
      </x:c>
      <x:c r="U522" s="84" t="str">
        <x:v>538758-1</x:v>
      </x:c>
      <x:c r="V522" s="84" t="str">
        <x:v>538758-1</x:v>
      </x:c>
      <x:c r="W522" s="84" t="str"/>
    </x:row>
    <x:row r="523" ht="18" customHeight="1">
      <x:c r="A523" s="83" t="str">
        <x:v>HAYS-0522</x:v>
      </x:c>
      <x:c r="B523" s="87" t="str">
        <x:v>Nuphar lutea ssp. advena</x:v>
      </x:c>
      <x:c r="C523" s="87" t="str">
        <x:v>Nuphar advena</x:v>
      </x:c>
      <x:c r="D523" s="84" t="str">
        <x:v>Nymphaeaceae</x:v>
      </x:c>
      <x:c r="E523" s="84" t="str">
        <x:v>Nuphar</x:v>
      </x:c>
      <x:c r="F523" s="84" t="str">
        <x:v>Subspecies</x:v>
      </x:c>
      <x:c r="G523" s="84" t="str">
        <x:v>Synonym</x:v>
      </x:c>
      <x:c r="H523" s="84" t="str">
        <x:v>Common Spatterdock, Spatterdock, Yellow Cow-lily, Cow-lily, Yellow Pond-lily, Brandy-bottle</x:v>
      </x:c>
      <x:c r="I523" s="84" t="str">
        <x:v>Perennial</x:v>
      </x:c>
      <x:c r="J523" s="84" t="str">
        <x:v>Herb</x:v>
      </x:c>
      <x:c r="K523" s="84" t="str">
        <x:v>Sun</x:v>
      </x:c>
      <x:c r="L523" s="84" t="str">
        <x:v>Wet</x:v>
      </x:c>
      <x:c r="M523" s="89" t="n">
        <x:v>1</x:v>
      </x:c>
      <x:c r="N523" s="89" t="n">
        <x:v>1</x:v>
      </x:c>
      <x:c r="O523" s="89" t="n">
        <x:v>0</x:v>
      </x:c>
      <x:c r="P523" s="89" t="n">
        <x:f>SUM(M523:O523)</x:f>
        <x:v>2</x:v>
      </x:c>
      <x:c r="Q523" s="84" t="str">
        <x:v>Exact synonym-name match</x:v>
      </x:c>
      <x:c r="R523" s="84" t="str">
        <x:v>Nuphar lutea subsp. advena</x:v>
      </x:c>
      <x:c r="S523" s="84" t="str">
        <x:v>2384510</x:v>
      </x:c>
      <x:c r="T523" s="84" t="str">
        <x:v>2384504</x:v>
      </x:c>
      <x:c r="U523" s="84" t="str">
        <x:v>955999-1</x:v>
      </x:c>
      <x:c r="V523" s="84" t="str">
        <x:v>30043701-2</x:v>
      </x:c>
      <x:c r="W523" s="84" t="str"/>
    </x:row>
    <x:row r="524" ht="18" customHeight="1">
      <x:c r="A524" s="83" t="str">
        <x:v>HAYS-0523</x:v>
      </x:c>
      <x:c r="B524" s="87" t="str">
        <x:v>Nuttallanthus texanus</x:v>
      </x:c>
      <x:c r="C524" s="87" t="str">
        <x:v>Linaria texana</x:v>
      </x:c>
      <x:c r="D524" s="84" t="str">
        <x:v>Plantaginaceae</x:v>
      </x:c>
      <x:c r="E524" s="84" t="str">
        <x:v>Linaria</x:v>
      </x:c>
      <x:c r="F524" s="84" t="str">
        <x:v>Species</x:v>
      </x:c>
      <x:c r="G524" s="84" t="str">
        <x:v>Synonym</x:v>
      </x:c>
      <x:c r="H524" s="84" t="str">
        <x:v>Texas Toadflax, Texas Toad-flax, Toadflax</x:v>
      </x:c>
      <x:c r="I524" s="84" t="str">
        <x:v>Annual</x:v>
      </x:c>
      <x:c r="J524" s="84" t="str">
        <x:v>Herb</x:v>
      </x:c>
      <x:c r="K524" s="84" t="str">
        <x:v>Sun</x:v>
      </x:c>
      <x:c r="L524" s="84" t="str">
        <x:v>Moist</x:v>
      </x:c>
      <x:c r="M524" s="89" t="n">
        <x:v>1</x:v>
      </x:c>
      <x:c r="N524" s="89" t="n">
        <x:v>1</x:v>
      </x:c>
      <x:c r="O524" s="89" t="n">
        <x:v>0</x:v>
      </x:c>
      <x:c r="P524" s="89" t="n">
        <x:f>SUM(M524:O524)</x:f>
        <x:v>2</x:v>
      </x:c>
      <x:c r="Q524" s="84" t="str">
        <x:v>Exact synonym-name match</x:v>
      </x:c>
      <x:c r="R524" s="84" t="str">
        <x:v>Nuttallanthus texanus</x:v>
      </x:c>
      <x:c r="S524" s="84" t="str">
        <x:v>2383024</x:v>
      </x:c>
      <x:c r="T524" s="84" t="str">
        <x:v>2499723</x:v>
      </x:c>
      <x:c r="U524" s="84" t="str">
        <x:v>281420-2</x:v>
      </x:c>
      <x:c r="V524" s="84" t="str">
        <x:v>279678-2</x:v>
      </x:c>
      <x:c r="W524" s="84" t="str"/>
    </x:row>
    <x:row r="525" ht="18" customHeight="1">
      <x:c r="A525" s="83" t="str">
        <x:v>HAYS-0524</x:v>
      </x:c>
      <x:c r="B525" s="87" t="str">
        <x:v>Nymphaea odorata</x:v>
      </x:c>
      <x:c r="C525" s="87" t="str">
        <x:v>Nymphaea odorata</x:v>
      </x:c>
      <x:c r="D525" s="84" t="str">
        <x:v>Nymphaeaceae</x:v>
      </x:c>
      <x:c r="E525" s="84" t="str">
        <x:v>Nymphaea</x:v>
      </x:c>
      <x:c r="F525" s="84" t="str">
        <x:v>Species</x:v>
      </x:c>
      <x:c r="G525" s="84" t="str">
        <x:v>Accepted</x:v>
      </x:c>
      <x:c r="H525" s="84" t="str">
        <x:v>American White Water-lily, Fragrant White Water-lily, Fragrant Water-lily, White Water-lily, Sweet-scented White Water-lily, Sweet-scented Water-lily, Beaver Root</x:v>
      </x:c>
      <x:c r="I525" s="84" t="str">
        <x:v>Perennial</x:v>
      </x:c>
      <x:c r="J525" s="84" t="str">
        <x:v>Herb</x:v>
      </x:c>
      <x:c r="K525" s="84" t="str">
        <x:v>Sun, Shade, Part-shade</x:v>
      </x:c>
      <x:c r="L525" s="84" t="str">
        <x:v>Wet</x:v>
      </x:c>
      <x:c r="M525" s="89" t="n">
        <x:v>1</x:v>
      </x:c>
      <x:c r="N525" s="89" t="n">
        <x:v>1</x:v>
      </x:c>
      <x:c r="O525" s="89" t="n">
        <x:v>0</x:v>
      </x:c>
      <x:c r="P525" s="89" t="n">
        <x:f>SUM(M525:O525)</x:f>
        <x:v>2</x:v>
      </x:c>
      <x:c r="Q525" s="84" t="str">
        <x:v>Exact accepted-name match</x:v>
      </x:c>
      <x:c r="R525" s="84" t="str">
        <x:v>Nymphaea odorata</x:v>
      </x:c>
      <x:c r="S525" s="84" t="str">
        <x:v>2384378</x:v>
      </x:c>
      <x:c r="T525" s="84" t="str">
        <x:v>2384378</x:v>
      </x:c>
      <x:c r="U525" s="84" t="str">
        <x:v>171201-2</x:v>
      </x:c>
      <x:c r="V525" s="84" t="str">
        <x:v>171201-2</x:v>
      </x:c>
      <x:c r="W525" s="84" t="str"/>
    </x:row>
    <x:row r="526" ht="18" customHeight="1">
      <x:c r="A526" s="83" t="str">
        <x:v>HAYS-0525</x:v>
      </x:c>
      <x:c r="B526" s="87" t="str">
        <x:v>Oenothera calcicola</x:v>
      </x:c>
      <x:c r="C526" s="87" t="str">
        <x:v>Oenothera calcicola</x:v>
      </x:c>
      <x:c r="D526" s="84" t="str">
        <x:v>Onagraceae</x:v>
      </x:c>
      <x:c r="E526" s="84" t="str">
        <x:v>Oenothera</x:v>
      </x:c>
      <x:c r="F526" s="84" t="str">
        <x:v>Species</x:v>
      </x:c>
      <x:c r="G526" s="84" t="str">
        <x:v>Accepted</x:v>
      </x:c>
      <x:c r="H526" s="84" t="str">
        <x:v>Texas Beeblossom, Limestone Gaura</x:v>
      </x:c>
      <x:c r="I526" s="84" t="str">
        <x:v>Perennial</x:v>
      </x:c>
      <x:c r="J526" s="84" t="str">
        <x:v>Subshrub</x:v>
      </x:c>
      <x:c r="K526" s="84" t="str">
        <x:v>Part-shade</x:v>
      </x:c>
      <x:c r="L526" s="84" t="str"/>
      <x:c r="M526" s="89" t="n">
        <x:v>1</x:v>
      </x:c>
      <x:c r="N526" s="89" t="n">
        <x:v>1</x:v>
      </x:c>
      <x:c r="O526" s="89" t="n">
        <x:v>0</x:v>
      </x:c>
      <x:c r="P526" s="89" t="n">
        <x:f>SUM(M526:O526)</x:f>
        <x:v>2</x:v>
      </x:c>
      <x:c r="Q526" s="84" t="str">
        <x:v>Exact accepted-name match</x:v>
      </x:c>
      <x:c r="R526" s="84" t="str">
        <x:v>Oenothera calcicola</x:v>
      </x:c>
      <x:c r="S526" s="84" t="str">
        <x:v>2607968</x:v>
      </x:c>
      <x:c r="T526" s="84" t="str">
        <x:v>2607968</x:v>
      </x:c>
      <x:c r="U526" s="84" t="str">
        <x:v>77092898-1</x:v>
      </x:c>
      <x:c r="V526" s="84" t="str">
        <x:v>77092898-1</x:v>
      </x:c>
      <x:c r="W526" s="84" t="str"/>
    </x:row>
    <x:row r="527" ht="18" customHeight="1">
      <x:c r="A527" s="83" t="str">
        <x:v>HAYS-0526</x:v>
      </x:c>
      <x:c r="B527" s="87" t="str">
        <x:v>Oenothera curtiflora</x:v>
      </x:c>
      <x:c r="C527" s="87" t="str">
        <x:v>Oenothera curtiflora</x:v>
      </x:c>
      <x:c r="D527" s="84" t="str">
        <x:v>Onagraceae</x:v>
      </x:c>
      <x:c r="E527" s="84" t="str">
        <x:v>Oenothera</x:v>
      </x:c>
      <x:c r="F527" s="84" t="str">
        <x:v>Species</x:v>
      </x:c>
      <x:c r="G527" s="84" t="str">
        <x:v>Accepted</x:v>
      </x:c>
      <x:c r="H527" s="84" t="str">
        <x:v>Velvetweed, Velvetleaf Gaura, Lizard-tail Gaura, Willow Gaura</x:v>
      </x:c>
      <x:c r="I527" s="84" t="str">
        <x:v>Annual</x:v>
      </x:c>
      <x:c r="J527" s="84" t="str">
        <x:v>Herb</x:v>
      </x:c>
      <x:c r="K527" s="84" t="str"/>
      <x:c r="L527" s="84" t="str"/>
      <x:c r="M527" s="89" t="n">
        <x:v>1</x:v>
      </x:c>
      <x:c r="N527" s="89" t="n">
        <x:v>1</x:v>
      </x:c>
      <x:c r="O527" s="89" t="n">
        <x:v>0</x:v>
      </x:c>
      <x:c r="P527" s="89" t="n">
        <x:f>SUM(M527:O527)</x:f>
        <x:v>2</x:v>
      </x:c>
      <x:c r="Q527" s="84" t="str">
        <x:v>Exact accepted-name match</x:v>
      </x:c>
      <x:c r="R527" s="84" t="str">
        <x:v>Oenothera curtiflora</x:v>
      </x:c>
      <x:c r="S527" s="84" t="str">
        <x:v>2607975</x:v>
      </x:c>
      <x:c r="T527" s="84" t="str">
        <x:v>2607975</x:v>
      </x:c>
      <x:c r="U527" s="84" t="str">
        <x:v>77092903-1</x:v>
      </x:c>
      <x:c r="V527" s="84" t="str">
        <x:v>77092903-1</x:v>
      </x:c>
      <x:c r="W527" s="84" t="str"/>
    </x:row>
    <x:row r="528" ht="18" customHeight="1">
      <x:c r="A528" s="83" t="str">
        <x:v>HAYS-0527</x:v>
      </x:c>
      <x:c r="B528" s="87" t="str">
        <x:v>Oenothera filiformis</x:v>
      </x:c>
      <x:c r="C528" s="87" t="str">
        <x:v>Oenothera filiformis</x:v>
      </x:c>
      <x:c r="D528" s="84" t="str">
        <x:v>Onagraceae</x:v>
      </x:c>
      <x:c r="E528" s="84" t="str">
        <x:v>Oenothera</x:v>
      </x:c>
      <x:c r="F528" s="84" t="str">
        <x:v>Species</x:v>
      </x:c>
      <x:c r="G528" s="84" t="str">
        <x:v>Accepted</x:v>
      </x:c>
      <x:c r="H528" s="84" t="str">
        <x:v>Longflower Beeblossom, Longflower Gaura, Large-flowered Gaura, Kearney Gaura, Tall Gaura</x:v>
      </x:c>
      <x:c r="I528" s="84" t="str">
        <x:v>Annual, Biennial, Perennial</x:v>
      </x:c>
      <x:c r="J528" s="84" t="str">
        <x:v>Herb</x:v>
      </x:c>
      <x:c r="K528" s="84" t="str"/>
      <x:c r="L528" s="84" t="str"/>
      <x:c r="M528" s="89" t="n">
        <x:v>1</x:v>
      </x:c>
      <x:c r="N528" s="89" t="n">
        <x:v>1</x:v>
      </x:c>
      <x:c r="O528" s="89" t="n">
        <x:v>0</x:v>
      </x:c>
      <x:c r="P528" s="89" t="n">
        <x:f>SUM(M528:O528)</x:f>
        <x:v>2</x:v>
      </x:c>
      <x:c r="Q528" s="84" t="str">
        <x:v>Exact accepted-name match</x:v>
      </x:c>
      <x:c r="R528" s="84" t="str">
        <x:v>Oenothera filiformis</x:v>
      </x:c>
      <x:c r="S528" s="84" t="str">
        <x:v>2607977</x:v>
      </x:c>
      <x:c r="T528" s="84" t="str">
        <x:v>2607977</x:v>
      </x:c>
      <x:c r="U528" s="84" t="str">
        <x:v>77092905-1</x:v>
      </x:c>
      <x:c r="V528" s="84" t="str">
        <x:v>77092905-1</x:v>
      </x:c>
      <x:c r="W528" s="84" t="str"/>
    </x:row>
    <x:row r="529" ht="18" customHeight="1">
      <x:c r="A529" s="83" t="str">
        <x:v>HAYS-0528</x:v>
      </x:c>
      <x:c r="B529" s="87" t="str">
        <x:v>Oenothera jamesii</x:v>
      </x:c>
      <x:c r="C529" s="87" t="str">
        <x:v>Oenothera jamesii</x:v>
      </x:c>
      <x:c r="D529" s="84" t="str">
        <x:v>Onagraceae</x:v>
      </x:c>
      <x:c r="E529" s="84" t="str">
        <x:v>Oenothera</x:v>
      </x:c>
      <x:c r="F529" s="84" t="str">
        <x:v>Species</x:v>
      </x:c>
      <x:c r="G529" s="84" t="str">
        <x:v>Accepted</x:v>
      </x:c>
      <x:c r="H529" s="84" t="str">
        <x:v>Trumpet Evening-primrose, Trumpet Evening Primrose, River Primrose</x:v>
      </x:c>
      <x:c r="I529" s="84" t="str">
        <x:v>Biennial</x:v>
      </x:c>
      <x:c r="J529" s="84" t="str">
        <x:v>Herb</x:v>
      </x:c>
      <x:c r="K529" s="84" t="str">
        <x:v>Sun, Part Shade</x:v>
      </x:c>
      <x:c r="L529" s="84" t="str">
        <x:v>Medium</x:v>
      </x:c>
      <x:c r="M529" s="89" t="n">
        <x:v>0</x:v>
      </x:c>
      <x:c r="N529" s="89" t="n">
        <x:v>0</x:v>
      </x:c>
      <x:c r="O529" s="89" t="n">
        <x:v>1</x:v>
      </x:c>
      <x:c r="P529" s="89" t="n">
        <x:f>SUM(M529:O529)</x:f>
        <x:v>1</x:v>
      </x:c>
      <x:c r="Q529" s="84" t="str">
        <x:v>Exact accepted-name match</x:v>
      </x:c>
      <x:c r="R529" s="84" t="str">
        <x:v>Oenothera jamesii</x:v>
      </x:c>
      <x:c r="S529" s="84" t="str">
        <x:v>2398979</x:v>
      </x:c>
      <x:c r="T529" s="84" t="str">
        <x:v>2398979</x:v>
      </x:c>
      <x:c r="U529" s="84" t="str">
        <x:v>294782-2</x:v>
      </x:c>
      <x:c r="V529" s="84" t="str">
        <x:v>294782-2</x:v>
      </x:c>
      <x:c r="W529" s="84" t="str"/>
    </x:row>
    <x:row r="530" ht="18" customHeight="1">
      <x:c r="A530" s="83" t="str">
        <x:v>HAYS-0529</x:v>
      </x:c>
      <x:c r="B530" s="87" t="str">
        <x:v>Oenothera lindheimeri</x:v>
      </x:c>
      <x:c r="C530" s="87" t="str">
        <x:v>Oenothera lindheimeri</x:v>
      </x:c>
      <x:c r="D530" s="84" t="str">
        <x:v>Onagraceae</x:v>
      </x:c>
      <x:c r="E530" s="84" t="str">
        <x:v>Oenothera</x:v>
      </x:c>
      <x:c r="F530" s="84" t="str">
        <x:v>Species</x:v>
      </x:c>
      <x:c r="G530" s="84" t="str">
        <x:v>Accepted</x:v>
      </x:c>
      <x:c r="H530" s="84" t="str">
        <x:v>Pink Gaura</x:v>
      </x:c>
      <x:c r="I530" s="84" t="str">
        <x:v>Perennial Habit: Herb Fruit Type: Capsule , Caryopsis Size Notes: Up to about 5 feet tall.</x:v>
      </x:c>
      <x:c r="J530" s="84" t="str">
        <x:v>Herb</x:v>
      </x:c>
      <x:c r="K530" s="84" t="str">
        <x:v>Sun</x:v>
      </x:c>
      <x:c r="L530" s="84" t="str">
        <x:v>Low</x:v>
      </x:c>
      <x:c r="M530" s="89" t="n">
        <x:v>1</x:v>
      </x:c>
      <x:c r="N530" s="89" t="n">
        <x:v>1</x:v>
      </x:c>
      <x:c r="O530" s="89" t="n">
        <x:v>1</x:v>
      </x:c>
      <x:c r="P530" s="89" t="n">
        <x:f>SUM(M530:O530)</x:f>
        <x:v>3</x:v>
      </x:c>
      <x:c r="Q530" s="84" t="str">
        <x:v>Exact accepted-name match</x:v>
      </x:c>
      <x:c r="R530" s="84" t="str">
        <x:v>Oenothera lindheimeri</x:v>
      </x:c>
      <x:c r="S530" s="84" t="str">
        <x:v>2607987</x:v>
      </x:c>
      <x:c r="T530" s="84" t="str">
        <x:v>2607987</x:v>
      </x:c>
      <x:c r="U530" s="84" t="str">
        <x:v>77092955-1</x:v>
      </x:c>
      <x:c r="V530" s="84" t="str">
        <x:v>77092955-1</x:v>
      </x:c>
      <x:c r="W530" s="84" t="str"/>
    </x:row>
    <x:row r="531" ht="18" customHeight="1">
      <x:c r="A531" s="83" t="str">
        <x:v>HAYS-0530</x:v>
      </x:c>
      <x:c r="B531" s="87" t="str">
        <x:v>Oenothera macrocarpa</x:v>
      </x:c>
      <x:c r="C531" s="87" t="str">
        <x:v>Oenothera macrocarpa</x:v>
      </x:c>
      <x:c r="D531" s="84" t="str">
        <x:v>Onagraceae</x:v>
      </x:c>
      <x:c r="E531" s="84" t="str">
        <x:v>Oenothera</x:v>
      </x:c>
      <x:c r="F531" s="84" t="str">
        <x:v>Species</x:v>
      </x:c>
      <x:c r="G531" s="84" t="str">
        <x:v>Accepted</x:v>
      </x:c>
      <x:c r="H531" s="84" t="str">
        <x:v>Missouri Primrose, Fluttermills</x:v>
      </x:c>
      <x:c r="I531" s="84" t="str">
        <x:v>Perennial</x:v>
      </x:c>
      <x:c r="J531" s="84" t="str">
        <x:v>Herb</x:v>
      </x:c>
      <x:c r="K531" s="84" t="str">
        <x:v>Sun</x:v>
      </x:c>
      <x:c r="L531" s="84" t="str">
        <x:v>Low</x:v>
      </x:c>
      <x:c r="M531" s="89" t="n">
        <x:v>1</x:v>
      </x:c>
      <x:c r="N531" s="89" t="n">
        <x:v>1</x:v>
      </x:c>
      <x:c r="O531" s="89" t="n">
        <x:v>1</x:v>
      </x:c>
      <x:c r="P531" s="89" t="n">
        <x:f>SUM(M531:O531)</x:f>
        <x:v>3</x:v>
      </x:c>
      <x:c r="Q531" s="84" t="str">
        <x:v>Exact accepted-name match</x:v>
      </x:c>
      <x:c r="R531" s="84" t="str">
        <x:v>Oenothera macrocarpa</x:v>
      </x:c>
      <x:c r="S531" s="84" t="str">
        <x:v>2398993</x:v>
      </x:c>
      <x:c r="T531" s="84" t="str">
        <x:v>2398993</x:v>
      </x:c>
      <x:c r="U531" s="84" t="str">
        <x:v>173157-2</x:v>
      </x:c>
      <x:c r="V531" s="84" t="str">
        <x:v>173157-2</x:v>
      </x:c>
      <x:c r="W531" s="84" t="str"/>
    </x:row>
    <x:row r="532" ht="18" customHeight="1">
      <x:c r="A532" s="83" t="str">
        <x:v>HAYS-0531</x:v>
      </x:c>
      <x:c r="B532" s="87" t="str">
        <x:v>Oenothera patriciae</x:v>
      </x:c>
      <x:c r="C532" s="87" t="str">
        <x:v>Oenothera patriciae</x:v>
      </x:c>
      <x:c r="D532" s="84" t="str">
        <x:v>Onagraceae</x:v>
      </x:c>
      <x:c r="E532" s="84" t="str">
        <x:v>Oenothera</x:v>
      </x:c>
      <x:c r="F532" s="84" t="str">
        <x:v>Species</x:v>
      </x:c>
      <x:c r="G532" s="84" t="str">
        <x:v>Accepted</x:v>
      </x:c>
      <x:c r="H532" s="84" t="str">
        <x:v>Plains Beeblossom, Plains Gaura</x:v>
      </x:c>
      <x:c r="I532" s="84" t="str">
        <x:v>Annual</x:v>
      </x:c>
      <x:c r="J532" s="84" t="str">
        <x:v>Herb</x:v>
      </x:c>
      <x:c r="K532" s="84" t="str"/>
      <x:c r="L532" s="84" t="str"/>
      <x:c r="M532" s="89" t="n">
        <x:v>1</x:v>
      </x:c>
      <x:c r="N532" s="89" t="n">
        <x:v>1</x:v>
      </x:c>
      <x:c r="O532" s="89" t="n">
        <x:v>0</x:v>
      </x:c>
      <x:c r="P532" s="89" t="n">
        <x:f>SUM(M532:O532)</x:f>
        <x:v>2</x:v>
      </x:c>
      <x:c r="Q532" s="84" t="str">
        <x:v>Exact accepted-name match</x:v>
      </x:c>
      <x:c r="R532" s="84" t="str">
        <x:v>Oenothera patriciae</x:v>
      </x:c>
      <x:c r="S532" s="84" t="str">
        <x:v>2607990</x:v>
      </x:c>
      <x:c r="T532" s="84" t="str">
        <x:v>2607990</x:v>
      </x:c>
      <x:c r="U532" s="84" t="str">
        <x:v>77092958-1</x:v>
      </x:c>
      <x:c r="V532" s="84" t="str">
        <x:v>77092958-1</x:v>
      </x:c>
      <x:c r="W532" s="84" t="str"/>
    </x:row>
    <x:row r="533" ht="18" customHeight="1">
      <x:c r="A533" s="83" t="str">
        <x:v>HAYS-0532</x:v>
      </x:c>
      <x:c r="B533" s="87" t="str">
        <x:v>Oenothera rosea</x:v>
      </x:c>
      <x:c r="C533" s="87" t="str">
        <x:v>Oenothera rosea</x:v>
      </x:c>
      <x:c r="D533" s="84" t="str">
        <x:v>Onagraceae</x:v>
      </x:c>
      <x:c r="E533" s="84" t="str">
        <x:v>Oenothera</x:v>
      </x:c>
      <x:c r="F533" s="84" t="str">
        <x:v>Species</x:v>
      </x:c>
      <x:c r="G533" s="84" t="str">
        <x:v>Accepted</x:v>
      </x:c>
      <x:c r="H533" s="84" t="str">
        <x:v>Rose Evening Primrose</x:v>
      </x:c>
      <x:c r="I533" s="84" t="str">
        <x:v>Perennial</x:v>
      </x:c>
      <x:c r="J533" s="84" t="str">
        <x:v>Herb</x:v>
      </x:c>
      <x:c r="K533" s="84" t="str"/>
      <x:c r="L533" s="84" t="str"/>
      <x:c r="M533" s="89" t="n">
        <x:v>1</x:v>
      </x:c>
      <x:c r="N533" s="89" t="n">
        <x:v>1</x:v>
      </x:c>
      <x:c r="O533" s="89" t="n">
        <x:v>0</x:v>
      </x:c>
      <x:c r="P533" s="89" t="n">
        <x:f>SUM(M533:O533)</x:f>
        <x:v>2</x:v>
      </x:c>
      <x:c r="Q533" s="84" t="str">
        <x:v>Exact accepted-name match</x:v>
      </x:c>
      <x:c r="R533" s="84" t="str">
        <x:v>Oenothera rosea</x:v>
      </x:c>
      <x:c r="S533" s="84" t="str">
        <x:v>2399573</x:v>
      </x:c>
      <x:c r="T533" s="84" t="str">
        <x:v>2399573</x:v>
      </x:c>
      <x:c r="U533" s="84" t="str">
        <x:v>173348-2</x:v>
      </x:c>
      <x:c r="V533" s="84" t="str">
        <x:v>173348-2</x:v>
      </x:c>
      <x:c r="W533" s="84" t="str"/>
    </x:row>
    <x:row r="534" ht="18" customHeight="1">
      <x:c r="A534" s="83" t="str">
        <x:v>HAYS-0533</x:v>
      </x:c>
      <x:c r="B534" s="87" t="str">
        <x:v>Oenothera sinuosa</x:v>
      </x:c>
      <x:c r="C534" s="87" t="str">
        <x:v>Oenothera sinuosa</x:v>
      </x:c>
      <x:c r="D534" s="84" t="str">
        <x:v>Onagraceae</x:v>
      </x:c>
      <x:c r="E534" s="84" t="str">
        <x:v>Oenothera</x:v>
      </x:c>
      <x:c r="F534" s="84" t="str">
        <x:v>Species</x:v>
      </x:c>
      <x:c r="G534" s="84" t="str">
        <x:v>Accepted</x:v>
      </x:c>
      <x:c r="H534" s="84" t="str">
        <x:v>Wavyleaf Beeblossom, Wavyleaf Gaura</x:v>
      </x:c>
      <x:c r="I534" s="84" t="str">
        <x:v>Perennial</x:v>
      </x:c>
      <x:c r="J534" s="84" t="str">
        <x:v>Herb</x:v>
      </x:c>
      <x:c r="K534" s="84" t="str"/>
      <x:c r="L534" s="84" t="str"/>
      <x:c r="M534" s="89" t="n">
        <x:v>1</x:v>
      </x:c>
      <x:c r="N534" s="89" t="n">
        <x:v>1</x:v>
      </x:c>
      <x:c r="O534" s="89" t="n">
        <x:v>0</x:v>
      </x:c>
      <x:c r="P534" s="89" t="n">
        <x:f>SUM(M534:O534)</x:f>
        <x:v>2</x:v>
      </x:c>
      <x:c r="Q534" s="84" t="str">
        <x:v>Exact accepted-name match</x:v>
      </x:c>
      <x:c r="R534" s="84" t="str">
        <x:v>Oenothera sinuosa</x:v>
      </x:c>
      <x:c r="S534" s="84" t="str">
        <x:v>2607994</x:v>
      </x:c>
      <x:c r="T534" s="84" t="str">
        <x:v>2607994</x:v>
      </x:c>
      <x:c r="U534" s="84" t="str">
        <x:v>77092960-1</x:v>
      </x:c>
      <x:c r="V534" s="84" t="str">
        <x:v>77092960-1</x:v>
      </x:c>
      <x:c r="W534" s="84" t="str"/>
    </x:row>
    <x:row r="535" ht="18" customHeight="1">
      <x:c r="A535" s="83" t="str">
        <x:v>HAYS-0534</x:v>
      </x:c>
      <x:c r="B535" s="87" t="str">
        <x:v>Oenothera speciosa</x:v>
      </x:c>
      <x:c r="C535" s="87" t="str">
        <x:v>Oenothera speciosa</x:v>
      </x:c>
      <x:c r="D535" s="84" t="str">
        <x:v>Onagraceae</x:v>
      </x:c>
      <x:c r="E535" s="84" t="str">
        <x:v>Oenothera</x:v>
      </x:c>
      <x:c r="F535" s="84" t="str">
        <x:v>Species</x:v>
      </x:c>
      <x:c r="G535" s="84" t="str">
        <x:v>Accepted</x:v>
      </x:c>
      <x:c r="H535" s="84" t="str">
        <x:v>Pink Evening Primrose, Showy Evening Primrose, Mexican Evening Primrose, Showy Primrose, Pink Ladies, Buttercups, Pink Buttercups</x:v>
      </x:c>
      <x:c r="I535" s="84" t="str">
        <x:v>Perennial</x:v>
      </x:c>
      <x:c r="J535" s="84" t="str">
        <x:v>Herb</x:v>
      </x:c>
      <x:c r="K535" s="84" t="str">
        <x:v>Sun, Part Shade</x:v>
      </x:c>
      <x:c r="L535" s="84" t="str">
        <x:v>Low–Medium</x:v>
      </x:c>
      <x:c r="M535" s="89" t="n">
        <x:v>1</x:v>
      </x:c>
      <x:c r="N535" s="89" t="n">
        <x:v>1</x:v>
      </x:c>
      <x:c r="O535" s="89" t="n">
        <x:v>1</x:v>
      </x:c>
      <x:c r="P535" s="89" t="n">
        <x:f>SUM(M535:O535)</x:f>
        <x:v>3</x:v>
      </x:c>
      <x:c r="Q535" s="84" t="str">
        <x:v>Exact accepted-name match</x:v>
      </x:c>
      <x:c r="R535" s="84" t="str">
        <x:v>Oenothera speciosa</x:v>
      </x:c>
      <x:c r="S535" s="84" t="str">
        <x:v>2399493</x:v>
      </x:c>
      <x:c r="T535" s="84" t="str">
        <x:v>2399493</x:v>
      </x:c>
      <x:c r="U535" s="84" t="str">
        <x:v>173411-2</x:v>
      </x:c>
      <x:c r="V535" s="84" t="str">
        <x:v>173411-2</x:v>
      </x:c>
      <x:c r="W535" s="84" t="str"/>
    </x:row>
    <x:row r="536" ht="18" customHeight="1">
      <x:c r="A536" s="83" t="str">
        <x:v>HAYS-0535</x:v>
      </x:c>
      <x:c r="B536" s="87" t="str">
        <x:v>Oenothera suffrutescens</x:v>
      </x:c>
      <x:c r="C536" s="87" t="str">
        <x:v>Oenothera suffrutescens</x:v>
      </x:c>
      <x:c r="D536" s="84" t="str">
        <x:v>Onagraceae</x:v>
      </x:c>
      <x:c r="E536" s="84" t="str">
        <x:v>Oenothera</x:v>
      </x:c>
      <x:c r="F536" s="84" t="str">
        <x:v>Species</x:v>
      </x:c>
      <x:c r="G536" s="84" t="str">
        <x:v>Accepted</x:v>
      </x:c>
      <x:c r="H536" s="84" t="str">
        <x:v>Scarlet Beeblossom, Scarlet Gaura</x:v>
      </x:c>
      <x:c r="I536" s="84" t="str">
        <x:v>Perennial</x:v>
      </x:c>
      <x:c r="J536" s="84" t="str">
        <x:v>Shrub</x:v>
      </x:c>
      <x:c r="K536" s="84" t="str">
        <x:v>Sun</x:v>
      </x:c>
      <x:c r="L536" s="84" t="str">
        <x:v>Dry</x:v>
      </x:c>
      <x:c r="M536" s="89" t="n">
        <x:v>1</x:v>
      </x:c>
      <x:c r="N536" s="89" t="n">
        <x:v>1</x:v>
      </x:c>
      <x:c r="O536" s="89" t="n">
        <x:v>0</x:v>
      </x:c>
      <x:c r="P536" s="89" t="n">
        <x:f>SUM(M536:O536)</x:f>
        <x:v>2</x:v>
      </x:c>
      <x:c r="Q536" s="84" t="str">
        <x:v>Exact accepted-name match</x:v>
      </x:c>
      <x:c r="R536" s="84" t="str">
        <x:v>Oenothera suffrutescens</x:v>
      </x:c>
      <x:c r="S536" s="84" t="str">
        <x:v>2607995</x:v>
      </x:c>
      <x:c r="T536" s="84" t="str">
        <x:v>2607995</x:v>
      </x:c>
      <x:c r="U536" s="84" t="str">
        <x:v>77092961-1</x:v>
      </x:c>
      <x:c r="V536" s="84" t="str">
        <x:v>77092961-1</x:v>
      </x:c>
      <x:c r="W536" s="84" t="str"/>
    </x:row>
    <x:row r="537" ht="18" customHeight="1">
      <x:c r="A537" s="83" t="str">
        <x:v>HAYS-0536</x:v>
      </x:c>
      <x:c r="B537" s="87" t="str">
        <x:v>Oenothera suffulta</x:v>
      </x:c>
      <x:c r="C537" s="87" t="str">
        <x:v>Oenothera suffulta</x:v>
      </x:c>
      <x:c r="D537" s="84" t="str">
        <x:v>Onagraceae</x:v>
      </x:c>
      <x:c r="E537" s="84" t="str">
        <x:v>Oenothera</x:v>
      </x:c>
      <x:c r="F537" s="84" t="str">
        <x:v>Species</x:v>
      </x:c>
      <x:c r="G537" s="84" t="str">
        <x:v>Accepted</x:v>
      </x:c>
      <x:c r="H537" s="84" t="str">
        <x:v>Kisses, Wild Honeysuckle, Beeblossom, Roadside Gaura</x:v>
      </x:c>
      <x:c r="I537" s="84" t="str">
        <x:v>Annual</x:v>
      </x:c>
      <x:c r="J537" s="84" t="str">
        <x:v>Shrub</x:v>
      </x:c>
      <x:c r="K537" s="84" t="str">
        <x:v>Sun</x:v>
      </x:c>
      <x:c r="L537" s="84" t="str">
        <x:v>Moist</x:v>
      </x:c>
      <x:c r="M537" s="89" t="n">
        <x:v>1</x:v>
      </x:c>
      <x:c r="N537" s="89" t="n">
        <x:v>1</x:v>
      </x:c>
      <x:c r="O537" s="89" t="n">
        <x:v>0</x:v>
      </x:c>
      <x:c r="P537" s="89" t="n">
        <x:f>SUM(M537:O537)</x:f>
        <x:v>2</x:v>
      </x:c>
      <x:c r="Q537" s="84" t="str">
        <x:v>Exact accepted-name match</x:v>
      </x:c>
      <x:c r="R537" s="84" t="str">
        <x:v>Oenothera suffulta</x:v>
      </x:c>
      <x:c r="S537" s="84" t="str">
        <x:v>2607996</x:v>
      </x:c>
      <x:c r="T537" s="84" t="str">
        <x:v>2607996</x:v>
      </x:c>
      <x:c r="U537" s="84" t="str">
        <x:v>77092962-1</x:v>
      </x:c>
      <x:c r="V537" s="84" t="str">
        <x:v>77092962-1</x:v>
      </x:c>
      <x:c r="W537" s="84" t="str"/>
    </x:row>
    <x:row r="538" ht="18" customHeight="1">
      <x:c r="A538" s="83" t="str">
        <x:v>HAYS-0537</x:v>
      </x:c>
      <x:c r="B538" s="87" t="str">
        <x:v>Oenothera triloba</x:v>
      </x:c>
      <x:c r="C538" s="87" t="str">
        <x:v>Oenothera triloba</x:v>
      </x:c>
      <x:c r="D538" s="84" t="str">
        <x:v>Onagraceae</x:v>
      </x:c>
      <x:c r="E538" s="84" t="str">
        <x:v>Oenothera</x:v>
      </x:c>
      <x:c r="F538" s="84" t="str">
        <x:v>Species</x:v>
      </x:c>
      <x:c r="G538" s="84" t="str">
        <x:v>Accepted</x:v>
      </x:c>
      <x:c r="H538" s="84" t="str">
        <x:v>Stemless Evening-primrose, Stemless Evening Primrose</x:v>
      </x:c>
      <x:c r="I538" s="84" t="str">
        <x:v>Annual</x:v>
      </x:c>
      <x:c r="J538" s="84" t="str">
        <x:v>Herb</x:v>
      </x:c>
      <x:c r="K538" s="84" t="str">
        <x:v>Sun</x:v>
      </x:c>
      <x:c r="L538" s="84" t="str"/>
      <x:c r="M538" s="89" t="n">
        <x:v>1</x:v>
      </x:c>
      <x:c r="N538" s="89" t="n">
        <x:v>1</x:v>
      </x:c>
      <x:c r="O538" s="89" t="n">
        <x:v>0</x:v>
      </x:c>
      <x:c r="P538" s="89" t="n">
        <x:f>SUM(M538:O538)</x:f>
        <x:v>2</x:v>
      </x:c>
      <x:c r="Q538" s="84" t="str">
        <x:v>Exact accepted-name match</x:v>
      </x:c>
      <x:c r="R538" s="84" t="str">
        <x:v>Oenothera triloba</x:v>
      </x:c>
      <x:c r="S538" s="84" t="str">
        <x:v>2399334</x:v>
      </x:c>
      <x:c r="T538" s="84" t="str">
        <x:v>2399334</x:v>
      </x:c>
      <x:c r="U538" s="84" t="str">
        <x:v>614152-1</x:v>
      </x:c>
      <x:c r="V538" s="84" t="str">
        <x:v>614152-1</x:v>
      </x:c>
      <x:c r="W538" s="84" t="str"/>
    </x:row>
    <x:row r="539" ht="18" customHeight="1">
      <x:c r="A539" s="83" t="str">
        <x:v>HAYS-0538</x:v>
      </x:c>
      <x:c r="B539" s="87" t="str">
        <x:v>Oenothera xerogaura</x:v>
      </x:c>
      <x:c r="C539" s="87" t="str"/>
      <x:c r="D539" s="84" t="str"/>
      <x:c r="E539" s="84" t="str">
        <x:v>Oenothera</x:v>
      </x:c>
      <x:c r="F539" s="84" t="str"/>
      <x:c r="G539" s="84" t="str"/>
      <x:c r="H539" s="84" t="str">
        <x:v>Drummond's Beeblossom, Drummond's Gaura</x:v>
      </x:c>
      <x:c r="I539" s="84" t="str">
        <x:v>Perennial</x:v>
      </x:c>
      <x:c r="J539" s="84" t="str">
        <x:v>Herb</x:v>
      </x:c>
      <x:c r="K539" s="84" t="str"/>
      <x:c r="L539" s="84" t="str"/>
      <x:c r="M539" s="89" t="n">
        <x:v>1</x:v>
      </x:c>
      <x:c r="N539" s="89" t="n">
        <x:v>1</x:v>
      </x:c>
      <x:c r="O539" s="89" t="n">
        <x:v>0</x:v>
      </x:c>
      <x:c r="P539" s="89" t="n">
        <x:f>SUM(M539:O539)</x:f>
        <x:v>2</x:v>
      </x:c>
      <x:c r="Q539" s="84" t="str">
        <x:v>No exact WCVP name match</x:v>
      </x:c>
      <x:c r="R539" s="84" t="str"/>
      <x:c r="S539" s="84" t="str"/>
      <x:c r="T539" s="84" t="str"/>
      <x:c r="U539" s="84" t="str"/>
      <x:c r="V539" s="84" t="str"/>
      <x:c r="W539" s="84" t="str">
        <x:v>Review</x:v>
      </x:c>
    </x:row>
    <x:row r="540" ht="18" customHeight="1">
      <x:c r="A540" s="83" t="str">
        <x:v>HAYS-0539</x:v>
      </x:c>
      <x:c r="B540" s="87" t="str">
        <x:v>Onosmodium bejariense var. bejariense</x:v>
      </x:c>
      <x:c r="C540" s="87" t="str"/>
      <x:c r="D540" s="84" t="str"/>
      <x:c r="E540" s="84" t="str">
        <x:v>Onosmodium</x:v>
      </x:c>
      <x:c r="F540" s="84" t="str"/>
      <x:c r="G540" s="84" t="str"/>
      <x:c r="H540" s="84" t="str">
        <x:v>Marbleseed</x:v>
      </x:c>
      <x:c r="I540" s="84" t="str">
        <x:v>Perennial</x:v>
      </x:c>
      <x:c r="J540" s="84" t="str">
        <x:v>Herb</x:v>
      </x:c>
      <x:c r="K540" s="84" t="str">
        <x:v>Sun, Part Shade</x:v>
      </x:c>
      <x:c r="L540" s="84" t="str">
        <x:v>Low–Medium</x:v>
      </x:c>
      <x:c r="M540" s="89" t="n">
        <x:v>1</x:v>
      </x:c>
      <x:c r="N540" s="89" t="n">
        <x:v>1</x:v>
      </x:c>
      <x:c r="O540" s="89" t="n">
        <x:v>1</x:v>
      </x:c>
      <x:c r="P540" s="89" t="n">
        <x:f>SUM(M540:O540)</x:f>
        <x:v>3</x:v>
      </x:c>
      <x:c r="Q540" s="84" t="str">
        <x:v>No exact WCVP name match</x:v>
      </x:c>
      <x:c r="R540" s="84" t="str"/>
      <x:c r="S540" s="84" t="str"/>
      <x:c r="T540" s="84" t="str"/>
      <x:c r="U540" s="84" t="str"/>
      <x:c r="V540" s="84" t="str"/>
      <x:c r="W540" s="84" t="str">
        <x:v>Review</x:v>
      </x:c>
    </x:row>
    <x:row r="541" ht="18" customHeight="1">
      <x:c r="A541" s="83" t="str">
        <x:v>HAYS-0540</x:v>
      </x:c>
      <x:c r="B541" s="87" t="str">
        <x:v>Onosmodium helleri</x:v>
      </x:c>
      <x:c r="C541" s="87" t="str">
        <x:v>Lithospermum helleri</x:v>
      </x:c>
      <x:c r="D541" s="84" t="str">
        <x:v>Boraginaceae</x:v>
      </x:c>
      <x:c r="E541" s="84" t="str">
        <x:v>Lithospermum</x:v>
      </x:c>
      <x:c r="F541" s="84" t="str">
        <x:v>Species</x:v>
      </x:c>
      <x:c r="G541" s="84" t="str">
        <x:v>Synonym</x:v>
      </x:c>
      <x:c r="H541" s="84" t="str">
        <x:v>Heller's Marbleseed, Marble-seed</x:v>
      </x:c>
      <x:c r="I541" s="84" t="str">
        <x:v>Perennial</x:v>
      </x:c>
      <x:c r="J541" s="84" t="str">
        <x:v>Herb</x:v>
      </x:c>
      <x:c r="K541" s="84" t="str">
        <x:v>Part-shade</x:v>
      </x:c>
      <x:c r="L541" s="84" t="str"/>
      <x:c r="M541" s="89" t="n">
        <x:v>1</x:v>
      </x:c>
      <x:c r="N541" s="89" t="n">
        <x:v>1</x:v>
      </x:c>
      <x:c r="O541" s="89" t="n">
        <x:v>0</x:v>
      </x:c>
      <x:c r="P541" s="89" t="n">
        <x:f>SUM(M541:O541)</x:f>
        <x:v>2</x:v>
      </x:c>
      <x:c r="Q541" s="84" t="str">
        <x:v>Exact synonym-name match</x:v>
      </x:c>
      <x:c r="R541" s="84" t="str">
        <x:v>Onosmodium helleri</x:v>
      </x:c>
      <x:c r="S541" s="84" t="str">
        <x:v>2393403</x:v>
      </x:c>
      <x:c r="T541" s="84" t="str">
        <x:v>2900128</x:v>
      </x:c>
      <x:c r="U541" s="84" t="str">
        <x:v>174481-2</x:v>
      </x:c>
      <x:c r="V541" s="84" t="str">
        <x:v>77103882-1</x:v>
      </x:c>
      <x:c r="W541" s="84" t="str"/>
    </x:row>
    <x:row r="542" ht="18" customHeight="1">
      <x:c r="A542" s="83" t="str">
        <x:v>HAYS-0541</x:v>
      </x:c>
      <x:c r="B542" s="87" t="str">
        <x:v>Opuntia engelmannii</x:v>
      </x:c>
      <x:c r="C542" s="87" t="str">
        <x:v>Opuntia engelmannii</x:v>
      </x:c>
      <x:c r="D542" s="84" t="str">
        <x:v>Cactaceae</x:v>
      </x:c>
      <x:c r="E542" s="84" t="str">
        <x:v>Opuntia</x:v>
      </x:c>
      <x:c r="F542" s="84" t="str">
        <x:v>Species</x:v>
      </x:c>
      <x:c r="G542" s="84" t="str">
        <x:v>Accepted</x:v>
      </x:c>
      <x:c r="H542" s="84" t="str">
        <x:v>Prickly Pear 'Englemann's'</x:v>
      </x:c>
      <x:c r="I542" s="84" t="str">
        <x:v>Perennial</x:v>
      </x:c>
      <x:c r="J542" s="84" t="str">
        <x:v>Succulent</x:v>
      </x:c>
      <x:c r="K542" s="84" t="str">
        <x:v>Sun</x:v>
      </x:c>
      <x:c r="L542" s="84" t="str">
        <x:v>Low</x:v>
      </x:c>
      <x:c r="M542" s="89" t="n">
        <x:v>0</x:v>
      </x:c>
      <x:c r="N542" s="89" t="n">
        <x:v>0</x:v>
      </x:c>
      <x:c r="O542" s="89" t="n">
        <x:v>1</x:v>
      </x:c>
      <x:c r="P542" s="89" t="n">
        <x:f>SUM(M542:O542)</x:f>
        <x:v>1</x:v>
      </x:c>
      <x:c r="Q542" s="84" t="str">
        <x:v>Exact accepted-name match</x:v>
      </x:c>
      <x:c r="R542" s="84" t="str">
        <x:v>Opuntia engelmannii</x:v>
      </x:c>
      <x:c r="S542" s="84" t="str">
        <x:v>2608014</x:v>
      </x:c>
      <x:c r="T542" s="84" t="str">
        <x:v>2608014</x:v>
      </x:c>
      <x:c r="U542" s="84" t="str">
        <x:v>60447905-2</x:v>
      </x:c>
      <x:c r="V542" s="84" t="str">
        <x:v>60447905-2</x:v>
      </x:c>
      <x:c r="W542" s="84" t="str"/>
    </x:row>
    <x:row r="543" ht="18" customHeight="1">
      <x:c r="A543" s="83" t="str">
        <x:v>HAYS-0542</x:v>
      </x:c>
      <x:c r="B543" s="87" t="str">
        <x:v>Opuntia engelmannii var. lindheimeri</x:v>
      </x:c>
      <x:c r="C543" s="87" t="str">
        <x:v>Opuntia engelmannii var. lindheimeri</x:v>
      </x:c>
      <x:c r="D543" s="84" t="str">
        <x:v>Cactaceae</x:v>
      </x:c>
      <x:c r="E543" s="84" t="str">
        <x:v>Opuntia</x:v>
      </x:c>
      <x:c r="F543" s="84" t="str">
        <x:v>Variety</x:v>
      </x:c>
      <x:c r="G543" s="84" t="str">
        <x:v>Accepted</x:v>
      </x:c>
      <x:c r="H543" s="84" t="str">
        <x:v>Texas Prickly Pear, Lindheimer's Prickly Pear, Lindheimer Prickly Pear</x:v>
      </x:c>
      <x:c r="I543" s="84" t="str">
        <x:v>Perennial</x:v>
      </x:c>
      <x:c r="J543" s="84" t="str">
        <x:v>Cactus/Succulent</x:v>
      </x:c>
      <x:c r="K543" s="84" t="str">
        <x:v>Sun, Part-shade</x:v>
      </x:c>
      <x:c r="L543" s="84" t="str">
        <x:v>Dry</x:v>
      </x:c>
      <x:c r="M543" s="89" t="n">
        <x:v>1</x:v>
      </x:c>
      <x:c r="N543" s="89" t="n">
        <x:v>1</x:v>
      </x:c>
      <x:c r="O543" s="89" t="n">
        <x:v>0</x:v>
      </x:c>
      <x:c r="P543" s="89" t="n">
        <x:f>SUM(M543:O543)</x:f>
        <x:v>2</x:v>
      </x:c>
      <x:c r="Q543" s="84" t="str">
        <x:v>Exact accepted-name match</x:v>
      </x:c>
      <x:c r="R543" s="84" t="str">
        <x:v>Opuntia engelmannii var. lindheimeri</x:v>
      </x:c>
      <x:c r="S543" s="84" t="str">
        <x:v>2391970</x:v>
      </x:c>
      <x:c r="T543" s="84" t="str">
        <x:v>2391970</x:v>
      </x:c>
      <x:c r="U543" s="84" t="str">
        <x:v>281632-2</x:v>
      </x:c>
      <x:c r="V543" s="84" t="str">
        <x:v>281632-2</x:v>
      </x:c>
      <x:c r="W543" s="84" t="str"/>
    </x:row>
    <x:row r="544" ht="18" customHeight="1">
      <x:c r="A544" s="83" t="str">
        <x:v>HAYS-0543</x:v>
      </x:c>
      <x:c r="B544" s="87" t="str">
        <x:v>Opuntia macrorhiza</x:v>
      </x:c>
      <x:c r="C544" s="87" t="str">
        <x:v>Opuntia macrorhiza</x:v>
      </x:c>
      <x:c r="D544" s="84" t="str">
        <x:v>Cactaceae</x:v>
      </x:c>
      <x:c r="E544" s="84" t="str">
        <x:v>Opuntia</x:v>
      </x:c>
      <x:c r="F544" s="84" t="str">
        <x:v>Species</x:v>
      </x:c>
      <x:c r="G544" s="84" t="str">
        <x:v>Accepted</x:v>
      </x:c>
      <x:c r="H544" s="84" t="str">
        <x:v>Bigroot Prickly Pear, Twist-spine Prickly Pear, Common Prickly Pear, Plains Prickly Pear</x:v>
      </x:c>
      <x:c r="I544" s="84" t="str">
        <x:v>Perennial</x:v>
      </x:c>
      <x:c r="J544" s="84" t="str">
        <x:v>Cactus/Succulent</x:v>
      </x:c>
      <x:c r="K544" s="84" t="str">
        <x:v>Sun</x:v>
      </x:c>
      <x:c r="L544" s="84" t="str">
        <x:v>Dry</x:v>
      </x:c>
      <x:c r="M544" s="89" t="n">
        <x:v>1</x:v>
      </x:c>
      <x:c r="N544" s="89" t="n">
        <x:v>1</x:v>
      </x:c>
      <x:c r="O544" s="89" t="n">
        <x:v>0</x:v>
      </x:c>
      <x:c r="P544" s="89" t="n">
        <x:f>SUM(M544:O544)</x:f>
        <x:v>2</x:v>
      </x:c>
      <x:c r="Q544" s="84" t="str">
        <x:v>Exact accepted-name match</x:v>
      </x:c>
      <x:c r="R544" s="84" t="str">
        <x:v>Opuntia macrorhiza</x:v>
      </x:c>
      <x:c r="S544" s="84" t="str">
        <x:v>2391992</x:v>
      </x:c>
      <x:c r="T544" s="84" t="str">
        <x:v>2391992</x:v>
      </x:c>
      <x:c r="U544" s="84" t="str">
        <x:v>175276-2</x:v>
      </x:c>
      <x:c r="V544" s="84" t="str">
        <x:v>175276-2</x:v>
      </x:c>
      <x:c r="W544" s="84" t="str"/>
    </x:row>
    <x:row r="545" ht="18" customHeight="1">
      <x:c r="A545" s="83" t="str">
        <x:v>HAYS-0544</x:v>
      </x:c>
      <x:c r="B545" s="87" t="str">
        <x:v>Opuntia phaeacantha</x:v>
      </x:c>
      <x:c r="C545" s="87" t="str">
        <x:v>Opuntia phaeacantha</x:v>
      </x:c>
      <x:c r="D545" s="84" t="str">
        <x:v>Cactaceae</x:v>
      </x:c>
      <x:c r="E545" s="84" t="str">
        <x:v>Opuntia</x:v>
      </x:c>
      <x:c r="F545" s="84" t="str">
        <x:v>Species</x:v>
      </x:c>
      <x:c r="G545" s="84" t="str">
        <x:v>Accepted</x:v>
      </x:c>
      <x:c r="H545" s="84" t="str">
        <x:v>Tulip Prickly Pear, Brownspine Prickly Pear Cactus, Purple-fruited Prickly Pear, Brown-spined Prickly Pear, New Mexico Prickly Pear, Desert Prickly Pear</x:v>
      </x:c>
      <x:c r="I545" s="84" t="str">
        <x:v>Perennial</x:v>
      </x:c>
      <x:c r="J545" s="84" t="str">
        <x:v>Cactus/Succulent</x:v>
      </x:c>
      <x:c r="K545" s="84" t="str">
        <x:v>Part-shade</x:v>
      </x:c>
      <x:c r="L545" s="84" t="str">
        <x:v>Dry</x:v>
      </x:c>
      <x:c r="M545" s="89" t="n">
        <x:v>1</x:v>
      </x:c>
      <x:c r="N545" s="89" t="n">
        <x:v>1</x:v>
      </x:c>
      <x:c r="O545" s="89" t="n">
        <x:v>0</x:v>
      </x:c>
      <x:c r="P545" s="89" t="n">
        <x:f>SUM(M545:O545)</x:f>
        <x:v>2</x:v>
      </x:c>
      <x:c r="Q545" s="84" t="str">
        <x:v>Exact accepted-name match</x:v>
      </x:c>
      <x:c r="R545" s="84" t="str">
        <x:v>Opuntia phaeacantha</x:v>
      </x:c>
      <x:c r="S545" s="84" t="str">
        <x:v>2391844</x:v>
      </x:c>
      <x:c r="T545" s="84" t="str">
        <x:v>2391844</x:v>
      </x:c>
      <x:c r="U545" s="84" t="str">
        <x:v>175409-2</x:v>
      </x:c>
      <x:c r="V545" s="84" t="str">
        <x:v>175409-2</x:v>
      </x:c>
      <x:c r="W545" s="84" t="str"/>
    </x:row>
    <x:row r="546" ht="18" customHeight="1">
      <x:c r="A546" s="83" t="str">
        <x:v>HAYS-0545</x:v>
      </x:c>
      <x:c r="B546" s="87" t="str">
        <x:v>Oxalis albicans</x:v>
      </x:c>
      <x:c r="C546" s="87" t="str">
        <x:v>Oxalis albicans</x:v>
      </x:c>
      <x:c r="D546" s="84" t="str">
        <x:v>Oxalidaceae</x:v>
      </x:c>
      <x:c r="E546" s="84" t="str">
        <x:v>Oxalis</x:v>
      </x:c>
      <x:c r="F546" s="84" t="str">
        <x:v>Species</x:v>
      </x:c>
      <x:c r="G546" s="84" t="str">
        <x:v>Accepted</x:v>
      </x:c>
      <x:c r="H546" s="84" t="str">
        <x:v>Radishroot Woodsorrel</x:v>
      </x:c>
      <x:c r="I546" s="84" t="str">
        <x:v>Perennial</x:v>
      </x:c>
      <x:c r="J546" s="84" t="str">
        <x:v>Herb, Subshrub</x:v>
      </x:c>
      <x:c r="K546" s="84" t="str"/>
      <x:c r="L546" s="84" t="str"/>
      <x:c r="M546" s="89" t="n">
        <x:v>1</x:v>
      </x:c>
      <x:c r="N546" s="89" t="n">
        <x:v>1</x:v>
      </x:c>
      <x:c r="O546" s="89" t="n">
        <x:v>0</x:v>
      </x:c>
      <x:c r="P546" s="89" t="n">
        <x:f>SUM(M546:O546)</x:f>
        <x:v>2</x:v>
      </x:c>
      <x:c r="Q546" s="84" t="str">
        <x:v>Exact accepted-name match</x:v>
      </x:c>
      <x:c r="R546" s="84" t="str">
        <x:v>Oxalis albicans</x:v>
      </x:c>
      <x:c r="S546" s="84" t="str">
        <x:v>2394752</x:v>
      </x:c>
      <x:c r="T546" s="84" t="str">
        <x:v>2394752</x:v>
      </x:c>
      <x:c r="U546" s="84" t="str">
        <x:v>177722-2</x:v>
      </x:c>
      <x:c r="V546" s="84" t="str">
        <x:v>177722-2</x:v>
      </x:c>
      <x:c r="W546" s="84" t="str"/>
    </x:row>
    <x:row r="547" ht="18" customHeight="1">
      <x:c r="A547" s="83" t="str">
        <x:v>HAYS-0546</x:v>
      </x:c>
      <x:c r="B547" s="87" t="str">
        <x:v>Oxalis drummondii</x:v>
      </x:c>
      <x:c r="C547" s="87" t="str">
        <x:v>Oxalis drummondii</x:v>
      </x:c>
      <x:c r="D547" s="84" t="str">
        <x:v>Oxalidaceae</x:v>
      </x:c>
      <x:c r="E547" s="84" t="str">
        <x:v>Oxalis</x:v>
      </x:c>
      <x:c r="F547" s="84" t="str">
        <x:v>Species</x:v>
      </x:c>
      <x:c r="G547" s="84" t="str">
        <x:v>Accepted</x:v>
      </x:c>
      <x:c r="H547" s="84" t="str">
        <x:v>Drummond's Wood-sorrel, Large-leaf Wood-sorrel, Drummond's Woodsorrel</x:v>
      </x:c>
      <x:c r="I547" s="84" t="str">
        <x:v>Perennial</x:v>
      </x:c>
      <x:c r="J547" s="84" t="str">
        <x:v>Herb</x:v>
      </x:c>
      <x:c r="K547" s="84" t="str">
        <x:v>Sun, Part-shade</x:v>
      </x:c>
      <x:c r="L547" s="84" t="str">
        <x:v>Moist, Dry</x:v>
      </x:c>
      <x:c r="M547" s="89" t="n">
        <x:v>1</x:v>
      </x:c>
      <x:c r="N547" s="89" t="n">
        <x:v>1</x:v>
      </x:c>
      <x:c r="O547" s="89" t="n">
        <x:v>0</x:v>
      </x:c>
      <x:c r="P547" s="89" t="n">
        <x:f>SUM(M547:O547)</x:f>
        <x:v>2</x:v>
      </x:c>
      <x:c r="Q547" s="84" t="str">
        <x:v>Exact accepted-name match</x:v>
      </x:c>
      <x:c r="R547" s="84" t="str">
        <x:v>Oxalis drummondii</x:v>
      </x:c>
      <x:c r="S547" s="84" t="str">
        <x:v>2395206</x:v>
      </x:c>
      <x:c r="T547" s="84" t="str">
        <x:v>2395206</x:v>
      </x:c>
      <x:c r="U547" s="84" t="str">
        <x:v>374872-1</x:v>
      </x:c>
      <x:c r="V547" s="84" t="str">
        <x:v>374872-1</x:v>
      </x:c>
      <x:c r="W547" s="84" t="str"/>
    </x:row>
    <x:row r="548" ht="18" customHeight="1">
      <x:c r="A548" s="83" t="str">
        <x:v>HAYS-0547</x:v>
      </x:c>
      <x:c r="B548" s="87" t="str">
        <x:v>Oxalis stricta</x:v>
      </x:c>
      <x:c r="C548" s="87" t="str">
        <x:v>Oxalis stricta</x:v>
      </x:c>
      <x:c r="D548" s="84" t="str">
        <x:v>Oxalidaceae</x:v>
      </x:c>
      <x:c r="E548" s="84" t="str">
        <x:v>Oxalis</x:v>
      </x:c>
      <x:c r="F548" s="84" t="str">
        <x:v>Species</x:v>
      </x:c>
      <x:c r="G548" s="84" t="str">
        <x:v>Accepted</x:v>
      </x:c>
      <x:c r="H548" s="84" t="str">
        <x:v>Common Yellow Oxalis, Yellow Wood-sorrel, Upright Yellow Wood-sorrel, Yellow Woodsorrel</x:v>
      </x:c>
      <x:c r="I548" s="84" t="str">
        <x:v>Perennial</x:v>
      </x:c>
      <x:c r="J548" s="84" t="str">
        <x:v>Herb</x:v>
      </x:c>
      <x:c r="K548" s="84" t="str">
        <x:v>Sun</x:v>
      </x:c>
      <x:c r="L548" s="84" t="str">
        <x:v>Dry</x:v>
      </x:c>
      <x:c r="M548" s="89" t="n">
        <x:v>1</x:v>
      </x:c>
      <x:c r="N548" s="89" t="n">
        <x:v>1</x:v>
      </x:c>
      <x:c r="O548" s="89" t="n">
        <x:v>0</x:v>
      </x:c>
      <x:c r="P548" s="89" t="n">
        <x:f>SUM(M548:O548)</x:f>
        <x:v>2</x:v>
      </x:c>
      <x:c r="Q548" s="84" t="str">
        <x:v>Exact accepted-name match</x:v>
      </x:c>
      <x:c r="R548" s="84" t="str">
        <x:v>Oxalis stricta</x:v>
      </x:c>
      <x:c r="S548" s="84" t="str">
        <x:v>2394269</x:v>
      </x:c>
      <x:c r="T548" s="84" t="str">
        <x:v>2394269</x:v>
      </x:c>
      <x:c r="U548" s="84" t="str">
        <x:v>178499-2</x:v>
      </x:c>
      <x:c r="V548" s="84" t="str">
        <x:v>178499-2</x:v>
      </x:c>
      <x:c r="W548" s="84" t="str"/>
    </x:row>
    <x:row r="549" ht="18" customHeight="1">
      <x:c r="A549" s="83" t="str">
        <x:v>HAYS-0548</x:v>
      </x:c>
      <x:c r="B549" s="87" t="str">
        <x:v>Oxalis violacea</x:v>
      </x:c>
      <x:c r="C549" s="87" t="str">
        <x:v>Oxalis violacea</x:v>
      </x:c>
      <x:c r="D549" s="84" t="str">
        <x:v>Oxalidaceae</x:v>
      </x:c>
      <x:c r="E549" s="84" t="str">
        <x:v>Oxalis</x:v>
      </x:c>
      <x:c r="F549" s="84" t="str">
        <x:v>Species</x:v>
      </x:c>
      <x:c r="G549" s="84" t="str">
        <x:v>Accepted</x:v>
      </x:c>
      <x:c r="H549" s="84" t="str">
        <x:v>Violet Woodsorrel, Violet Wood-sorrel</x:v>
      </x:c>
      <x:c r="I549" s="84" t="str">
        <x:v>Perennial</x:v>
      </x:c>
      <x:c r="J549" s="84" t="str">
        <x:v>Herb</x:v>
      </x:c>
      <x:c r="K549" s="84" t="str">
        <x:v>Part-shade</x:v>
      </x:c>
      <x:c r="L549" s="84" t="str">
        <x:v>Moist</x:v>
      </x:c>
      <x:c r="M549" s="89" t="n">
        <x:v>1</x:v>
      </x:c>
      <x:c r="N549" s="89" t="n">
        <x:v>1</x:v>
      </x:c>
      <x:c r="O549" s="89" t="n">
        <x:v>0</x:v>
      </x:c>
      <x:c r="P549" s="89" t="n">
        <x:f>SUM(M549:O549)</x:f>
        <x:v>2</x:v>
      </x:c>
      <x:c r="Q549" s="84" t="str">
        <x:v>Exact accepted-name match</x:v>
      </x:c>
      <x:c r="R549" s="84" t="str">
        <x:v>Oxalis violacea</x:v>
      </x:c>
      <x:c r="S549" s="84" t="str">
        <x:v>2394370</x:v>
      </x:c>
      <x:c r="T549" s="84" t="str">
        <x:v>2394370</x:v>
      </x:c>
      <x:c r="U549" s="84" t="str">
        <x:v>178590-2</x:v>
      </x:c>
      <x:c r="V549" s="84" t="str">
        <x:v>178590-2</x:v>
      </x:c>
      <x:c r="W549" s="84" t="str"/>
    </x:row>
    <x:row r="550" ht="18" customHeight="1">
      <x:c r="A550" s="83" t="str">
        <x:v>HAYS-0549</x:v>
      </x:c>
      <x:c r="B550" s="87" t="str">
        <x:v>Packera glabella</x:v>
      </x:c>
      <x:c r="C550" s="87" t="str">
        <x:v>Packera glabella</x:v>
      </x:c>
      <x:c r="D550" s="84" t="str">
        <x:v>Asteraceae</x:v>
      </x:c>
      <x:c r="E550" s="84" t="str">
        <x:v>Packera</x:v>
      </x:c>
      <x:c r="F550" s="84" t="str">
        <x:v>Species</x:v>
      </x:c>
      <x:c r="G550" s="84" t="str">
        <x:v>Accepted</x:v>
      </x:c>
      <x:c r="H550" s="84" t="str">
        <x:v>Butterweed, Cress-leaf Groundsel, Yellowtop</x:v>
      </x:c>
      <x:c r="I550" s="84" t="str">
        <x:v>Annual</x:v>
      </x:c>
      <x:c r="J550" s="84" t="str">
        <x:v>Herb</x:v>
      </x:c>
      <x:c r="K550" s="84" t="str">
        <x:v>Sun, Part-shade</x:v>
      </x:c>
      <x:c r="L550" s="84" t="str">
        <x:v>Moist</x:v>
      </x:c>
      <x:c r="M550" s="89" t="n">
        <x:v>1</x:v>
      </x:c>
      <x:c r="N550" s="89" t="n">
        <x:v>1</x:v>
      </x:c>
      <x:c r="O550" s="89" t="n">
        <x:v>0</x:v>
      </x:c>
      <x:c r="P550" s="89" t="n">
        <x:f>SUM(M550:O550)</x:f>
        <x:v>2</x:v>
      </x:c>
      <x:c r="Q550" s="84" t="str">
        <x:v>Exact accepted-name match</x:v>
      </x:c>
      <x:c r="R550" s="84" t="str">
        <x:v>Packera glabella</x:v>
      </x:c>
      <x:c r="S550" s="84" t="str">
        <x:v>3079705</x:v>
      </x:c>
      <x:c r="T550" s="84" t="str">
        <x:v>3079705</x:v>
      </x:c>
      <x:c r="U550" s="84" t="str">
        <x:v>963667-1</x:v>
      </x:c>
      <x:c r="V550" s="84" t="str">
        <x:v>963667-1</x:v>
      </x:c>
      <x:c r="W550" s="84" t="str"/>
    </x:row>
    <x:row r="551" ht="18" customHeight="1">
      <x:c r="A551" s="83" t="str">
        <x:v>HAYS-0550</x:v>
      </x:c>
      <x:c r="B551" s="87" t="str">
        <x:v>Packera obovata</x:v>
      </x:c>
      <x:c r="C551" s="87" t="str">
        <x:v>Packera obovata</x:v>
      </x:c>
      <x:c r="D551" s="84" t="str">
        <x:v>Asteraceae</x:v>
      </x:c>
      <x:c r="E551" s="84" t="str">
        <x:v>Packera</x:v>
      </x:c>
      <x:c r="F551" s="84" t="str">
        <x:v>Species</x:v>
      </x:c>
      <x:c r="G551" s="84" t="str">
        <x:v>Accepted</x:v>
      </x:c>
      <x:c r="H551" s="84" t="str">
        <x:v>Golden Groundsel, Roundleaf Groundsel, Roundleaf Ragwort</x:v>
      </x:c>
      <x:c r="I551" s="84" t="str">
        <x:v>Perennial</x:v>
      </x:c>
      <x:c r="J551" s="84" t="str">
        <x:v>Herb</x:v>
      </x:c>
      <x:c r="K551" s="84" t="str">
        <x:v>Part Shade</x:v>
      </x:c>
      <x:c r="L551" s="84" t="str">
        <x:v>Medium</x:v>
      </x:c>
      <x:c r="M551" s="89" t="n">
        <x:v>1</x:v>
      </x:c>
      <x:c r="N551" s="89" t="n">
        <x:v>1</x:v>
      </x:c>
      <x:c r="O551" s="89" t="n">
        <x:v>1</x:v>
      </x:c>
      <x:c r="P551" s="89" t="n">
        <x:f>SUM(M551:O551)</x:f>
        <x:v>3</x:v>
      </x:c>
      <x:c r="Q551" s="84" t="str">
        <x:v>Exact accepted-name match</x:v>
      </x:c>
      <x:c r="R551" s="84" t="str">
        <x:v>Packera obovata</x:v>
      </x:c>
      <x:c r="S551" s="84" t="str">
        <x:v>3079782</x:v>
      </x:c>
      <x:c r="T551" s="84" t="str">
        <x:v>3079782</x:v>
      </x:c>
      <x:c r="U551" s="84" t="str">
        <x:v>180005-2</x:v>
      </x:c>
      <x:c r="V551" s="84" t="str">
        <x:v>180005-2</x:v>
      </x:c>
      <x:c r="W551" s="84" t="str"/>
    </x:row>
    <x:row r="552" ht="18" customHeight="1">
      <x:c r="A552" s="83" t="str">
        <x:v>HAYS-0551</x:v>
      </x:c>
      <x:c r="B552" s="87" t="str">
        <x:v>Packera tampicana</x:v>
      </x:c>
      <x:c r="C552" s="87" t="str">
        <x:v>Packera tampicana</x:v>
      </x:c>
      <x:c r="D552" s="84" t="str">
        <x:v>Asteraceae</x:v>
      </x:c>
      <x:c r="E552" s="84" t="str">
        <x:v>Packera</x:v>
      </x:c>
      <x:c r="F552" s="84" t="str">
        <x:v>Species</x:v>
      </x:c>
      <x:c r="G552" s="84" t="str">
        <x:v>Accepted</x:v>
      </x:c>
      <x:c r="H552" s="84" t="str">
        <x:v>Yellowtop, Great Plains Ragwort, Butterweed</x:v>
      </x:c>
      <x:c r="I552" s="84" t="str">
        <x:v>Annual</x:v>
      </x:c>
      <x:c r="J552" s="84" t="str">
        <x:v>Herb</x:v>
      </x:c>
      <x:c r="K552" s="84" t="str"/>
      <x:c r="L552" s="84" t="str"/>
      <x:c r="M552" s="89" t="n">
        <x:v>1</x:v>
      </x:c>
      <x:c r="N552" s="89" t="n">
        <x:v>1</x:v>
      </x:c>
      <x:c r="O552" s="89" t="n">
        <x:v>0</x:v>
      </x:c>
      <x:c r="P552" s="89" t="n">
        <x:f>SUM(M552:O552)</x:f>
        <x:v>2</x:v>
      </x:c>
      <x:c r="Q552" s="84" t="str">
        <x:v>Exact accepted-name match</x:v>
      </x:c>
      <x:c r="R552" s="84" t="str">
        <x:v>Packera tampicana</x:v>
      </x:c>
      <x:c r="S552" s="84" t="str">
        <x:v>3079837</x:v>
      </x:c>
      <x:c r="T552" s="84" t="str">
        <x:v>3079837</x:v>
      </x:c>
      <x:c r="U552" s="84" t="str">
        <x:v>963676-1</x:v>
      </x:c>
      <x:c r="V552" s="84" t="str">
        <x:v>963676-1</x:v>
      </x:c>
      <x:c r="W552" s="84" t="str"/>
    </x:row>
    <x:row r="553" ht="18" customHeight="1">
      <x:c r="A553" s="83" t="str">
        <x:v>HAYS-0552</x:v>
      </x:c>
      <x:c r="B553" s="87" t="str">
        <x:v>Palafoxia callosa</x:v>
      </x:c>
      <x:c r="C553" s="87" t="str">
        <x:v>Palafoxia callosa</x:v>
      </x:c>
      <x:c r="D553" s="84" t="str">
        <x:v>Asteraceae</x:v>
      </x:c>
      <x:c r="E553" s="84" t="str">
        <x:v>Palafoxia</x:v>
      </x:c>
      <x:c r="F553" s="84" t="str">
        <x:v>Species</x:v>
      </x:c>
      <x:c r="G553" s="84" t="str">
        <x:v>Accepted</x:v>
      </x:c>
      <x:c r="H553" s="84" t="str">
        <x:v>Small Palafox, Small Palafoxia</x:v>
      </x:c>
      <x:c r="I553" s="84" t="str">
        <x:v>Annual</x:v>
      </x:c>
      <x:c r="J553" s="84" t="str">
        <x:v>Herb</x:v>
      </x:c>
      <x:c r="K553" s="84" t="str">
        <x:v>Sun</x:v>
      </x:c>
      <x:c r="L553" s="84" t="str">
        <x:v>Dry</x:v>
      </x:c>
      <x:c r="M553" s="89" t="n">
        <x:v>1</x:v>
      </x:c>
      <x:c r="N553" s="89" t="n">
        <x:v>1</x:v>
      </x:c>
      <x:c r="O553" s="89" t="n">
        <x:v>0</x:v>
      </x:c>
      <x:c r="P553" s="89" t="n">
        <x:f>SUM(M553:O553)</x:f>
        <x:v>2</x:v>
      </x:c>
      <x:c r="Q553" s="84" t="str">
        <x:v>Exact accepted-name match</x:v>
      </x:c>
      <x:c r="R553" s="84" t="str">
        <x:v>Palafoxia callosa</x:v>
      </x:c>
      <x:c r="S553" s="84" t="str">
        <x:v>3118072</x:v>
      </x:c>
      <x:c r="T553" s="84" t="str">
        <x:v>3118072</x:v>
      </x:c>
      <x:c r="U553" s="84" t="str">
        <x:v>236359-1</x:v>
      </x:c>
      <x:c r="V553" s="84" t="str">
        <x:v>236359-1</x:v>
      </x:c>
      <x:c r="W553" s="84" t="str"/>
    </x:row>
    <x:row r="554" ht="18" customHeight="1">
      <x:c r="A554" s="83" t="str">
        <x:v>HAYS-0553</x:v>
      </x:c>
      <x:c r="B554" s="87" t="str">
        <x:v>Panicum capillare</x:v>
      </x:c>
      <x:c r="C554" s="87" t="str">
        <x:v>Panicum capillare</x:v>
      </x:c>
      <x:c r="D554" s="84" t="str">
        <x:v>Poaceae</x:v>
      </x:c>
      <x:c r="E554" s="84" t="str">
        <x:v>Panicum</x:v>
      </x:c>
      <x:c r="F554" s="84" t="str">
        <x:v>Species</x:v>
      </x:c>
      <x:c r="G554" s="84" t="str">
        <x:v>Accepted</x:v>
      </x:c>
      <x:c r="H554" s="84" t="str">
        <x:v>Witchgrass</x:v>
      </x:c>
      <x:c r="I554" s="84" t="str">
        <x:v>Annual</x:v>
      </x:c>
      <x:c r="J554" s="84" t="str">
        <x:v>Grass/Grass-like</x:v>
      </x:c>
      <x:c r="K554" s="84" t="str"/>
      <x:c r="L554" s="84" t="str"/>
      <x:c r="M554" s="89" t="n">
        <x:v>1</x:v>
      </x:c>
      <x:c r="N554" s="89" t="n">
        <x:v>1</x:v>
      </x:c>
      <x:c r="O554" s="89" t="n">
        <x:v>0</x:v>
      </x:c>
      <x:c r="P554" s="89" t="n">
        <x:f>SUM(M554:O554)</x:f>
        <x:v>2</x:v>
      </x:c>
      <x:c r="Q554" s="84" t="str">
        <x:v>Exact accepted-name match</x:v>
      </x:c>
      <x:c r="R554" s="84" t="str">
        <x:v>Panicum capillare</x:v>
      </x:c>
      <x:c r="S554" s="84" t="str">
        <x:v>427592</x:v>
      </x:c>
      <x:c r="T554" s="84" t="str">
        <x:v>427592</x:v>
      </x:c>
      <x:c r="U554" s="84" t="str">
        <x:v>181618-2</x:v>
      </x:c>
      <x:c r="V554" s="84" t="str">
        <x:v>181618-2</x:v>
      </x:c>
      <x:c r="W554" s="84" t="str"/>
    </x:row>
    <x:row r="555" ht="18" customHeight="1">
      <x:c r="A555" s="83" t="str">
        <x:v>HAYS-0554</x:v>
      </x:c>
      <x:c r="B555" s="87" t="str">
        <x:v>Panicum hallii</x:v>
      </x:c>
      <x:c r="C555" s="87" t="str">
        <x:v>Panicum hallii</x:v>
      </x:c>
      <x:c r="D555" s="84" t="str">
        <x:v>Poaceae</x:v>
      </x:c>
      <x:c r="E555" s="84" t="str">
        <x:v>Panicum</x:v>
      </x:c>
      <x:c r="F555" s="84" t="str">
        <x:v>Species</x:v>
      </x:c>
      <x:c r="G555" s="84" t="str">
        <x:v>Accepted</x:v>
      </x:c>
      <x:c r="H555" s="84" t="str">
        <x:v>Hall's Panicgrass, Hall's Panic Grass</x:v>
      </x:c>
      <x:c r="I555" s="84" t="str">
        <x:v>Perennial</x:v>
      </x:c>
      <x:c r="J555" s="84" t="str">
        <x:v>Grass/Grass-like</x:v>
      </x:c>
      <x:c r="K555" s="84" t="str"/>
      <x:c r="L555" s="84" t="str"/>
      <x:c r="M555" s="89" t="n">
        <x:v>1</x:v>
      </x:c>
      <x:c r="N555" s="89" t="n">
        <x:v>1</x:v>
      </x:c>
      <x:c r="O555" s="89" t="n">
        <x:v>0</x:v>
      </x:c>
      <x:c r="P555" s="89" t="n">
        <x:f>SUM(M555:O555)</x:f>
        <x:v>2</x:v>
      </x:c>
      <x:c r="Q555" s="84" t="str">
        <x:v>Exact accepted-name match</x:v>
      </x:c>
      <x:c r="R555" s="84" t="str">
        <x:v>Panicum hallii</x:v>
      </x:c>
      <x:c r="S555" s="84" t="str">
        <x:v>428552</x:v>
      </x:c>
      <x:c r="T555" s="84" t="str">
        <x:v>428552</x:v>
      </x:c>
      <x:c r="U555" s="84" t="str">
        <x:v>411627-1</x:v>
      </x:c>
      <x:c r="V555" s="84" t="str">
        <x:v>411627-1</x:v>
      </x:c>
      <x:c r="W555" s="84" t="str"/>
    </x:row>
    <x:row r="556" ht="18" customHeight="1">
      <x:c r="A556" s="83" t="str">
        <x:v>HAYS-0555</x:v>
      </x:c>
      <x:c r="B556" s="87" t="str">
        <x:v>Panicum obtusum</x:v>
      </x:c>
      <x:c r="C556" s="87" t="str">
        <x:v>Hopia obtusa</x:v>
      </x:c>
      <x:c r="D556" s="84" t="str">
        <x:v>Poaceae</x:v>
      </x:c>
      <x:c r="E556" s="84" t="str">
        <x:v>Hopia</x:v>
      </x:c>
      <x:c r="F556" s="84" t="str">
        <x:v>Species</x:v>
      </x:c>
      <x:c r="G556" s="84" t="str">
        <x:v>Synonym</x:v>
      </x:c>
      <x:c r="H556" s="84" t="str">
        <x:v>Vine Mesquite</x:v>
      </x:c>
      <x:c r="I556" s="84" t="str">
        <x:v>Perennial</x:v>
      </x:c>
      <x:c r="J556" s="84" t="str">
        <x:v>Grass/Grass-like</x:v>
      </x:c>
      <x:c r="K556" s="84" t="str">
        <x:v>Part-shade</x:v>
      </x:c>
      <x:c r="L556" s="84" t="str"/>
      <x:c r="M556" s="89" t="n">
        <x:v>1</x:v>
      </x:c>
      <x:c r="N556" s="89" t="n">
        <x:v>1</x:v>
      </x:c>
      <x:c r="O556" s="89" t="n">
        <x:v>0</x:v>
      </x:c>
      <x:c r="P556" s="89" t="n">
        <x:f>SUM(M556:O556)</x:f>
        <x:v>2</x:v>
      </x:c>
      <x:c r="Q556" s="84" t="str">
        <x:v>Exact synonym-name match</x:v>
      </x:c>
      <x:c r="R556" s="84" t="str">
        <x:v>Panicum obtusum</x:v>
      </x:c>
      <x:c r="S556" s="84" t="str">
        <x:v>429534</x:v>
      </x:c>
      <x:c r="T556" s="84" t="str">
        <x:v>450837</x:v>
      </x:c>
      <x:c r="U556" s="84" t="str">
        <x:v>182253-2</x:v>
      </x:c>
      <x:c r="V556" s="84" t="str">
        <x:v>77077132-1</x:v>
      </x:c>
      <x:c r="W556" s="84" t="str"/>
    </x:row>
    <x:row r="557" ht="18" customHeight="1">
      <x:c r="A557" s="83" t="str">
        <x:v>HAYS-0556</x:v>
      </x:c>
      <x:c r="B557" s="87" t="str">
        <x:v>Panicum virgatum</x:v>
      </x:c>
      <x:c r="C557" s="87" t="str">
        <x:v>Panicum virgatum</x:v>
      </x:c>
      <x:c r="D557" s="84" t="str">
        <x:v>Poaceae</x:v>
      </x:c>
      <x:c r="E557" s="84" t="str">
        <x:v>Panicum</x:v>
      </x:c>
      <x:c r="F557" s="84" t="str">
        <x:v>Species</x:v>
      </x:c>
      <x:c r="G557" s="84" t="str">
        <x:v>Accepted</x:v>
      </x:c>
      <x:c r="H557" s="84" t="str">
        <x:v>Switchgrass, Wand Panic Grass</x:v>
      </x:c>
      <x:c r="I557" s="84" t="str">
        <x:v>Perennial</x:v>
      </x:c>
      <x:c r="J557" s="84" t="str">
        <x:v>Grass</x:v>
      </x:c>
      <x:c r="K557" s="84" t="str">
        <x:v>Sun</x:v>
      </x:c>
      <x:c r="L557" s="84" t="str">
        <x:v>Medium</x:v>
      </x:c>
      <x:c r="M557" s="89" t="n">
        <x:v>1</x:v>
      </x:c>
      <x:c r="N557" s="89" t="n">
        <x:v>1</x:v>
      </x:c>
      <x:c r="O557" s="89" t="n">
        <x:v>1</x:v>
      </x:c>
      <x:c r="P557" s="89" t="n">
        <x:f>SUM(M557:O557)</x:f>
        <x:v>3</x:v>
      </x:c>
      <x:c r="Q557" s="84" t="str">
        <x:v>Exact accepted-name match</x:v>
      </x:c>
      <x:c r="R557" s="84" t="str">
        <x:v>Panicum virgatum</x:v>
      </x:c>
      <x:c r="S557" s="84" t="str">
        <x:v>430831</x:v>
      </x:c>
      <x:c r="T557" s="84" t="str">
        <x:v>430831</x:v>
      </x:c>
      <x:c r="U557" s="84" t="str">
        <x:v>413537-1</x:v>
      </x:c>
      <x:c r="V557" s="84" t="str">
        <x:v>413537-1</x:v>
      </x:c>
      <x:c r="W557" s="84" t="str"/>
    </x:row>
    <x:row r="558" ht="18" customHeight="1">
      <x:c r="A558" s="83" t="str">
        <x:v>HAYS-0557</x:v>
      </x:c>
      <x:c r="B558" s="87" t="str">
        <x:v>Parietaria pensylvanica</x:v>
      </x:c>
      <x:c r="C558" s="87" t="str">
        <x:v>Parietaria pensylvanica</x:v>
      </x:c>
      <x:c r="D558" s="84" t="str">
        <x:v>Urticaceae</x:v>
      </x:c>
      <x:c r="E558" s="84" t="str">
        <x:v>Parietaria</x:v>
      </x:c>
      <x:c r="F558" s="84" t="str">
        <x:v>Species</x:v>
      </x:c>
      <x:c r="G558" s="84" t="str">
        <x:v>Accepted</x:v>
      </x:c>
      <x:c r="H558" s="84" t="str">
        <x:v>Pennsylvania Pellitory, Pennsylvania Cucumber Plant</x:v>
      </x:c>
      <x:c r="I558" s="84" t="str">
        <x:v>Annual</x:v>
      </x:c>
      <x:c r="J558" s="84" t="str">
        <x:v>Herb</x:v>
      </x:c>
      <x:c r="K558" s="84" t="str"/>
      <x:c r="L558" s="84" t="str"/>
      <x:c r="M558" s="89" t="n">
        <x:v>1</x:v>
      </x:c>
      <x:c r="N558" s="89" t="n">
        <x:v>1</x:v>
      </x:c>
      <x:c r="O558" s="89" t="n">
        <x:v>0</x:v>
      </x:c>
      <x:c r="P558" s="89" t="n">
        <x:f>SUM(M558:O558)</x:f>
        <x:v>2</x:v>
      </x:c>
      <x:c r="Q558" s="84" t="str">
        <x:v>Exact accepted-name match</x:v>
      </x:c>
      <x:c r="R558" s="84" t="str">
        <x:v>Parietaria pensylvanica</x:v>
      </x:c>
      <x:c r="S558" s="84" t="str">
        <x:v>2546420</x:v>
      </x:c>
      <x:c r="T558" s="84" t="str">
        <x:v>2546420</x:v>
      </x:c>
      <x:c r="U558" s="84" t="str">
        <x:v>183216-2</x:v>
      </x:c>
      <x:c r="V558" s="84" t="str">
        <x:v>183216-2</x:v>
      </x:c>
      <x:c r="W558" s="84" t="str"/>
    </x:row>
    <x:row r="559" ht="18" customHeight="1">
      <x:c r="A559" s="83" t="str">
        <x:v>HAYS-0558</x:v>
      </x:c>
      <x:c r="B559" s="87" t="str">
        <x:v>Parkinsonia aculeata</x:v>
      </x:c>
      <x:c r="C559" s="87" t="str">
        <x:v>Parkinsonia aculeata</x:v>
      </x:c>
      <x:c r="D559" s="84" t="str">
        <x:v>Fabaceae</x:v>
      </x:c>
      <x:c r="E559" s="84" t="str">
        <x:v>Parkinsonia</x:v>
      </x:c>
      <x:c r="F559" s="84" t="str">
        <x:v>Species</x:v>
      </x:c>
      <x:c r="G559" s="84" t="str">
        <x:v>Accepted</x:v>
      </x:c>
      <x:c r="H559" s="84" t="str">
        <x:v>Retama</x:v>
      </x:c>
      <x:c r="I559" s="84" t="str">
        <x:v>Perennial</x:v>
      </x:c>
      <x:c r="J559" s="84" t="str">
        <x:v>Tree</x:v>
      </x:c>
      <x:c r="K559" s="84" t="str">
        <x:v>Sun</x:v>
      </x:c>
      <x:c r="L559" s="84" t="str">
        <x:v>Low</x:v>
      </x:c>
      <x:c r="M559" s="89" t="n">
        <x:v>1</x:v>
      </x:c>
      <x:c r="N559" s="89" t="n">
        <x:v>1</x:v>
      </x:c>
      <x:c r="O559" s="89" t="n">
        <x:v>1</x:v>
      </x:c>
      <x:c r="P559" s="89" t="n">
        <x:f>SUM(M559:O559)</x:f>
        <x:v>3</x:v>
      </x:c>
      <x:c r="Q559" s="84" t="str">
        <x:v>Exact accepted-name match</x:v>
      </x:c>
      <x:c r="R559" s="84" t="str">
        <x:v>Parkinsonia aculeata</x:v>
      </x:c>
      <x:c r="S559" s="84" t="str">
        <x:v>2415662</x:v>
      </x:c>
      <x:c r="T559" s="84" t="str">
        <x:v>2415662</x:v>
      </x:c>
      <x:c r="U559" s="84" t="str">
        <x:v>512242-1</x:v>
      </x:c>
      <x:c r="V559" s="84" t="str">
        <x:v>512242-1</x:v>
      </x:c>
      <x:c r="W559" s="84" t="str"/>
    </x:row>
    <x:row r="560" ht="18" customHeight="1">
      <x:c r="A560" s="83" t="str">
        <x:v>HAYS-0559</x:v>
      </x:c>
      <x:c r="B560" s="87" t="str">
        <x:v>Paronychia virginica</x:v>
      </x:c>
      <x:c r="C560" s="87" t="str">
        <x:v>Paronychia virginica</x:v>
      </x:c>
      <x:c r="D560" s="84" t="str">
        <x:v>Caryophyllaceae</x:v>
      </x:c>
      <x:c r="E560" s="84" t="str">
        <x:v>Paronychia</x:v>
      </x:c>
      <x:c r="F560" s="84" t="str">
        <x:v>Species</x:v>
      </x:c>
      <x:c r="G560" s="84" t="str">
        <x:v>Accepted</x:v>
      </x:c>
      <x:c r="H560" s="84" t="str">
        <x:v>Whitlow-wort, Square-head Nailwort, Broom Nailwort, Yellow Nailwort, Park's Nailwort</x:v>
      </x:c>
      <x:c r="I560" s="84" t="str">
        <x:v>Perennial</x:v>
      </x:c>
      <x:c r="J560" s="84" t="str">
        <x:v>Herb, Subshrub</x:v>
      </x:c>
      <x:c r="K560" s="84" t="str">
        <x:v>Sun</x:v>
      </x:c>
      <x:c r="L560" s="84" t="str">
        <x:v>Dry</x:v>
      </x:c>
      <x:c r="M560" s="89" t="n">
        <x:v>1</x:v>
      </x:c>
      <x:c r="N560" s="89" t="n">
        <x:v>1</x:v>
      </x:c>
      <x:c r="O560" s="89" t="n">
        <x:v>0</x:v>
      </x:c>
      <x:c r="P560" s="89" t="n">
        <x:f>SUM(M560:O560)</x:f>
        <x:v>2</x:v>
      </x:c>
      <x:c r="Q560" s="84" t="str">
        <x:v>Exact accepted-name match</x:v>
      </x:c>
      <x:c r="R560" s="84" t="str">
        <x:v>Paronychia virginica</x:v>
      </x:c>
      <x:c r="S560" s="84" t="str">
        <x:v>2529457</x:v>
      </x:c>
      <x:c r="T560" s="84" t="str">
        <x:v>2529457</x:v>
      </x:c>
      <x:c r="U560" s="84" t="str">
        <x:v>435141-1</x:v>
      </x:c>
      <x:c r="V560" s="84" t="str">
        <x:v>435141-1</x:v>
      </x:c>
      <x:c r="W560" s="84" t="str"/>
    </x:row>
    <x:row r="561" ht="18" customHeight="1">
      <x:c r="A561" s="83" t="str">
        <x:v>HAYS-0560</x:v>
      </x:c>
      <x:c r="B561" s="87" t="str">
        <x:v>Parthenium confertum</x:v>
      </x:c>
      <x:c r="C561" s="87" t="str">
        <x:v>Parthenium confertum</x:v>
      </x:c>
      <x:c r="D561" s="84" t="str">
        <x:v>Asteraceae</x:v>
      </x:c>
      <x:c r="E561" s="84" t="str">
        <x:v>Parthenium</x:v>
      </x:c>
      <x:c r="F561" s="84" t="str">
        <x:v>Species</x:v>
      </x:c>
      <x:c r="G561" s="84" t="str">
        <x:v>Accepted</x:v>
      </x:c>
      <x:c r="H561" s="84" t="str">
        <x:v>Gray's Feverfew</x:v>
      </x:c>
      <x:c r="I561" s="84" t="str">
        <x:v>Annual, Biennial, Perennial</x:v>
      </x:c>
      <x:c r="J561" s="84" t="str">
        <x:v>Herb, Subshrub</x:v>
      </x:c>
      <x:c r="K561" s="84" t="str"/>
      <x:c r="L561" s="84" t="str"/>
      <x:c r="M561" s="89" t="n">
        <x:v>1</x:v>
      </x:c>
      <x:c r="N561" s="89" t="n">
        <x:v>1</x:v>
      </x:c>
      <x:c r="O561" s="89" t="n">
        <x:v>0</x:v>
      </x:c>
      <x:c r="P561" s="89" t="n">
        <x:f>SUM(M561:O561)</x:f>
        <x:v>2</x:v>
      </x:c>
      <x:c r="Q561" s="84" t="str">
        <x:v>Exact accepted-name match</x:v>
      </x:c>
      <x:c r="R561" s="84" t="str">
        <x:v>Parthenium confertum</x:v>
      </x:c>
      <x:c r="S561" s="84" t="str">
        <x:v>3119633</x:v>
      </x:c>
      <x:c r="T561" s="84" t="str">
        <x:v>3119633</x:v>
      </x:c>
      <x:c r="U561" s="84" t="str">
        <x:v>236501-1</x:v>
      </x:c>
      <x:c r="V561" s="84" t="str">
        <x:v>236501-1</x:v>
      </x:c>
      <x:c r="W561" s="84" t="str"/>
    </x:row>
    <x:row r="562" ht="18" customHeight="1">
      <x:c r="A562" s="83" t="str">
        <x:v>HAYS-0561</x:v>
      </x:c>
      <x:c r="B562" s="87" t="str">
        <x:v>Parthenocissus heptaphylla</x:v>
      </x:c>
      <x:c r="C562" s="87" t="str">
        <x:v>Parthenocissus heptaphylla</x:v>
      </x:c>
      <x:c r="D562" s="84" t="str">
        <x:v>Vitaceae</x:v>
      </x:c>
      <x:c r="E562" s="84" t="str">
        <x:v>Parthenocissus</x:v>
      </x:c>
      <x:c r="F562" s="84" t="str">
        <x:v>Species</x:v>
      </x:c>
      <x:c r="G562" s="84" t="str">
        <x:v>Accepted</x:v>
      </x:c>
      <x:c r="H562" s="84" t="str">
        <x:v>Sevenleaf Creeper, Seven-leaf Creeper</x:v>
      </x:c>
      <x:c r="I562" s="84" t="str">
        <x:v>Perennial</x:v>
      </x:c>
      <x:c r="J562" s="84" t="str">
        <x:v>Vine</x:v>
      </x:c>
      <x:c r="K562" s="84" t="str">
        <x:v>Sun, Shade, Part-shade</x:v>
      </x:c>
      <x:c r="L562" s="84" t="str">
        <x:v>Moist</x:v>
      </x:c>
      <x:c r="M562" s="89" t="n">
        <x:v>1</x:v>
      </x:c>
      <x:c r="N562" s="89" t="n">
        <x:v>1</x:v>
      </x:c>
      <x:c r="O562" s="89" t="n">
        <x:v>0</x:v>
      </x:c>
      <x:c r="P562" s="89" t="n">
        <x:f>SUM(M562:O562)</x:f>
        <x:v>2</x:v>
      </x:c>
      <x:c r="Q562" s="84" t="str">
        <x:v>Exact accepted-name match</x:v>
      </x:c>
      <x:c r="R562" s="84" t="str">
        <x:v>Parthenocissus heptaphylla</x:v>
      </x:c>
      <x:c r="S562" s="84" t="str">
        <x:v>2548122</x:v>
      </x:c>
      <x:c r="T562" s="84" t="str">
        <x:v>2548122</x:v>
      </x:c>
      <x:c r="U562" s="84" t="str">
        <x:v>184080-2</x:v>
      </x:c>
      <x:c r="V562" s="84" t="str">
        <x:v>184080-2</x:v>
      </x:c>
      <x:c r="W562" s="84" t="str"/>
    </x:row>
    <x:row r="563" ht="18" customHeight="1">
      <x:c r="A563" s="83" t="str">
        <x:v>HAYS-0562</x:v>
      </x:c>
      <x:c r="B563" s="87" t="str">
        <x:v>Parthenocissus quinquefolia</x:v>
      </x:c>
      <x:c r="C563" s="87" t="str">
        <x:v>Parthenocissus quinquefolia</x:v>
      </x:c>
      <x:c r="D563" s="84" t="str">
        <x:v>Vitaceae</x:v>
      </x:c>
      <x:c r="E563" s="84" t="str">
        <x:v>Parthenocissus</x:v>
      </x:c>
      <x:c r="F563" s="84" t="str">
        <x:v>Species</x:v>
      </x:c>
      <x:c r="G563" s="84" t="str">
        <x:v>Accepted</x:v>
      </x:c>
      <x:c r="H563" s="84" t="str">
        <x:v>Virginia Creeper</x:v>
      </x:c>
      <x:c r="I563" s="84" t="str">
        <x:v>Perennial Habit: Vine Leaf Retention: Deciduous Leaf Complexity: Palmate Leaf Margin: Dentate Fruit Type: Berry , Caryopsis Size Notes: Stems climbing or scrambling, up to about 40 feet long. Leaf: Green Autumn Foliage: yes Fruit: Black, Blue</x:v>
      </x:c>
      <x:c r="J563" s="84" t="str">
        <x:v>Vine</x:v>
      </x:c>
      <x:c r="K563" s="84" t="str">
        <x:v>Sun, Part Shade</x:v>
      </x:c>
      <x:c r="L563" s="84" t="str">
        <x:v>Medium</x:v>
      </x:c>
      <x:c r="M563" s="89" t="n">
        <x:v>1</x:v>
      </x:c>
      <x:c r="N563" s="89" t="n">
        <x:v>1</x:v>
      </x:c>
      <x:c r="O563" s="89" t="n">
        <x:v>1</x:v>
      </x:c>
      <x:c r="P563" s="89" t="n">
        <x:f>SUM(M563:O563)</x:f>
        <x:v>3</x:v>
      </x:c>
      <x:c r="Q563" s="84" t="str">
        <x:v>Exact accepted-name match</x:v>
      </x:c>
      <x:c r="R563" s="84" t="str">
        <x:v>Parthenocissus quinquefolia</x:v>
      </x:c>
      <x:c r="S563" s="84" t="str">
        <x:v>2548124</x:v>
      </x:c>
      <x:c r="T563" s="84" t="str">
        <x:v>2548124</x:v>
      </x:c>
      <x:c r="U563" s="84" t="str">
        <x:v>184091-2</x:v>
      </x:c>
      <x:c r="V563" s="84" t="str">
        <x:v>184091-2</x:v>
      </x:c>
      <x:c r="W563" s="84" t="str"/>
    </x:row>
    <x:row r="564" ht="18" customHeight="1">
      <x:c r="A564" s="83" t="str">
        <x:v>HAYS-0563</x:v>
      </x:c>
      <x:c r="B564" s="87" t="str">
        <x:v>Paspalum distichum</x:v>
      </x:c>
      <x:c r="C564" s="87" t="str">
        <x:v>Paspalum distichum</x:v>
      </x:c>
      <x:c r="D564" s="84" t="str">
        <x:v>Poaceae</x:v>
      </x:c>
      <x:c r="E564" s="84" t="str">
        <x:v>Paspalum</x:v>
      </x:c>
      <x:c r="F564" s="84" t="str">
        <x:v>Species</x:v>
      </x:c>
      <x:c r="G564" s="84" t="str">
        <x:v>Accepted</x:v>
      </x:c>
      <x:c r="H564" s="84" t="str">
        <x:v>Knotgrass</x:v>
      </x:c>
      <x:c r="I564" s="84" t="str">
        <x:v>Perennial</x:v>
      </x:c>
      <x:c r="J564" s="84" t="str">
        <x:v>Grass/Grass-like</x:v>
      </x:c>
      <x:c r="K564" s="84" t="str">
        <x:v>Sun</x:v>
      </x:c>
      <x:c r="L564" s="84" t="str"/>
      <x:c r="M564" s="89" t="n">
        <x:v>1</x:v>
      </x:c>
      <x:c r="N564" s="89" t="n">
        <x:v>1</x:v>
      </x:c>
      <x:c r="O564" s="89" t="n">
        <x:v>0</x:v>
      </x:c>
      <x:c r="P564" s="89" t="n">
        <x:f>SUM(M564:O564)</x:f>
        <x:v>2</x:v>
      </x:c>
      <x:c r="Q564" s="84" t="str">
        <x:v>Exact accepted-name match</x:v>
      </x:c>
      <x:c r="R564" s="84" t="str">
        <x:v>Paspalum distichum</x:v>
      </x:c>
      <x:c r="S564" s="84" t="str">
        <x:v>431506</x:v>
      </x:c>
      <x:c r="T564" s="84" t="str">
        <x:v>431506</x:v>
      </x:c>
      <x:c r="U564" s="84" t="str">
        <x:v>184275-2</x:v>
      </x:c>
      <x:c r="V564" s="84" t="str">
        <x:v>184275-2</x:v>
      </x:c>
      <x:c r="W564" s="84" t="str"/>
    </x:row>
    <x:row r="565" ht="18" customHeight="1">
      <x:c r="A565" s="83" t="str">
        <x:v>HAYS-0564</x:v>
      </x:c>
      <x:c r="B565" s="87" t="str">
        <x:v>Paspalum floridanum</x:v>
      </x:c>
      <x:c r="C565" s="87" t="str">
        <x:v>Paspalum floridanum</x:v>
      </x:c>
      <x:c r="D565" s="84" t="str">
        <x:v>Poaceae</x:v>
      </x:c>
      <x:c r="E565" s="84" t="str">
        <x:v>Paspalum</x:v>
      </x:c>
      <x:c r="F565" s="84" t="str">
        <x:v>Species</x:v>
      </x:c>
      <x:c r="G565" s="84" t="str">
        <x:v>Accepted</x:v>
      </x:c>
      <x:c r="H565" s="84" t="str">
        <x:v>Florida Paspalum</x:v>
      </x:c>
      <x:c r="I565" s="84" t="str">
        <x:v>Perennial</x:v>
      </x:c>
      <x:c r="J565" s="84" t="str">
        <x:v>Grass/Grass-like</x:v>
      </x:c>
      <x:c r="K565" s="84" t="str">
        <x:v>Part-shade</x:v>
      </x:c>
      <x:c r="L565" s="84" t="str">
        <x:v>Moist</x:v>
      </x:c>
      <x:c r="M565" s="89" t="n">
        <x:v>1</x:v>
      </x:c>
      <x:c r="N565" s="89" t="n">
        <x:v>1</x:v>
      </x:c>
      <x:c r="O565" s="89" t="n">
        <x:v>0</x:v>
      </x:c>
      <x:c r="P565" s="89" t="n">
        <x:f>SUM(M565:O565)</x:f>
        <x:v>2</x:v>
      </x:c>
      <x:c r="Q565" s="84" t="str">
        <x:v>Exact accepted-name match</x:v>
      </x:c>
      <x:c r="R565" s="84" t="str">
        <x:v>Paspalum floridanum</x:v>
      </x:c>
      <x:c r="S565" s="84" t="str">
        <x:v>431601</x:v>
      </x:c>
      <x:c r="T565" s="84" t="str">
        <x:v>431601</x:v>
      </x:c>
      <x:c r="U565" s="84" t="str">
        <x:v>325363-2</x:v>
      </x:c>
      <x:c r="V565" s="84" t="str">
        <x:v>325363-2</x:v>
      </x:c>
      <x:c r="W565" s="84" t="str"/>
    </x:row>
    <x:row r="566" ht="18" customHeight="1">
      <x:c r="A566" s="83" t="str">
        <x:v>HAYS-0565</x:v>
      </x:c>
      <x:c r="B566" s="87" t="str">
        <x:v>Paspalum pubiflorum</x:v>
      </x:c>
      <x:c r="C566" s="87" t="str">
        <x:v>Paspalum pubiflorum</x:v>
      </x:c>
      <x:c r="D566" s="84" t="str">
        <x:v>Poaceae</x:v>
      </x:c>
      <x:c r="E566" s="84" t="str">
        <x:v>Paspalum</x:v>
      </x:c>
      <x:c r="F566" s="84" t="str">
        <x:v>Species</x:v>
      </x:c>
      <x:c r="G566" s="84" t="str">
        <x:v>Accepted</x:v>
      </x:c>
      <x:c r="H566" s="84" t="str">
        <x:v>Hairyseed Paspalum</x:v>
      </x:c>
      <x:c r="I566" s="84" t="str">
        <x:v>Perennial</x:v>
      </x:c>
      <x:c r="J566" s="84" t="str">
        <x:v>Grass/Grass-like</x:v>
      </x:c>
      <x:c r="K566" s="84" t="str"/>
      <x:c r="L566" s="84" t="str"/>
      <x:c r="M566" s="89" t="n">
        <x:v>1</x:v>
      </x:c>
      <x:c r="N566" s="89" t="n">
        <x:v>1</x:v>
      </x:c>
      <x:c r="O566" s="89" t="n">
        <x:v>0</x:v>
      </x:c>
      <x:c r="P566" s="89" t="n">
        <x:f>SUM(M566:O566)</x:f>
        <x:v>2</x:v>
      </x:c>
      <x:c r="Q566" s="84" t="str">
        <x:v>Exact accepted-name match</x:v>
      </x:c>
      <x:c r="R566" s="84" t="str">
        <x:v>Paspalum pubiflorum</x:v>
      </x:c>
      <x:c r="S566" s="84" t="str">
        <x:v>432161</x:v>
      </x:c>
      <x:c r="T566" s="84" t="str">
        <x:v>432161</x:v>
      </x:c>
      <x:c r="U566" s="84" t="str">
        <x:v>184614-2</x:v>
      </x:c>
      <x:c r="V566" s="84" t="str">
        <x:v>184614-2</x:v>
      </x:c>
      <x:c r="W566" s="84" t="str"/>
    </x:row>
    <x:row r="567" ht="18" customHeight="1">
      <x:c r="A567" s="83" t="str">
        <x:v>HAYS-0566</x:v>
      </x:c>
      <x:c r="B567" s="87" t="str">
        <x:v>Paspalum setaceum</x:v>
      </x:c>
      <x:c r="C567" s="87" t="str">
        <x:v>Paspalum setaceum</x:v>
      </x:c>
      <x:c r="D567" s="84" t="str">
        <x:v>Poaceae</x:v>
      </x:c>
      <x:c r="E567" s="84" t="str">
        <x:v>Paspalum</x:v>
      </x:c>
      <x:c r="F567" s="84" t="str">
        <x:v>Species</x:v>
      </x:c>
      <x:c r="G567" s="84" t="str">
        <x:v>Accepted</x:v>
      </x:c>
      <x:c r="H567" s="84" t="str">
        <x:v>Thin Paspalum</x:v>
      </x:c>
      <x:c r="I567" s="84" t="str">
        <x:v>Perennial</x:v>
      </x:c>
      <x:c r="J567" s="84" t="str">
        <x:v>Grass/Grass-like</x:v>
      </x:c>
      <x:c r="K567" s="84" t="str"/>
      <x:c r="L567" s="84" t="str"/>
      <x:c r="M567" s="89" t="n">
        <x:v>1</x:v>
      </x:c>
      <x:c r="N567" s="89" t="n">
        <x:v>1</x:v>
      </x:c>
      <x:c r="O567" s="89" t="n">
        <x:v>0</x:v>
      </x:c>
      <x:c r="P567" s="89" t="n">
        <x:f>SUM(M567:O567)</x:f>
        <x:v>2</x:v>
      </x:c>
      <x:c r="Q567" s="84" t="str">
        <x:v>Exact accepted-name match</x:v>
      </x:c>
      <x:c r="R567" s="84" t="str">
        <x:v>Paspalum setaceum</x:v>
      </x:c>
      <x:c r="S567" s="84" t="str">
        <x:v>432309</x:v>
      </x:c>
      <x:c r="T567" s="84" t="str">
        <x:v>432309</x:v>
      </x:c>
      <x:c r="U567" s="84" t="str">
        <x:v>325365-2</x:v>
      </x:c>
      <x:c r="V567" s="84" t="str">
        <x:v>325365-2</x:v>
      </x:c>
      <x:c r="W567" s="84" t="str"/>
    </x:row>
    <x:row r="568" ht="18" customHeight="1">
      <x:c r="A568" s="83" t="str">
        <x:v>HAYS-0567</x:v>
      </x:c>
      <x:c r="B568" s="87" t="str">
        <x:v>Passiflora affinis</x:v>
      </x:c>
      <x:c r="C568" s="87" t="str">
        <x:v>Passiflora affinis</x:v>
      </x:c>
      <x:c r="D568" s="84" t="str">
        <x:v>Passifloraceae</x:v>
      </x:c>
      <x:c r="E568" s="84" t="str">
        <x:v>Passiflora</x:v>
      </x:c>
      <x:c r="F568" s="84" t="str">
        <x:v>Species</x:v>
      </x:c>
      <x:c r="G568" s="84" t="str">
        <x:v>Accepted</x:v>
      </x:c>
      <x:c r="H568" s="84" t="str">
        <x:v>Yellow Passionflower, Bracted Passionflower</x:v>
      </x:c>
      <x:c r="I568" s="84" t="str">
        <x:v>Perennial</x:v>
      </x:c>
      <x:c r="J568" s="84" t="str">
        <x:v>Vine</x:v>
      </x:c>
      <x:c r="K568" s="84" t="str">
        <x:v>Sun, Part Shade</x:v>
      </x:c>
      <x:c r="L568" s="84" t="str">
        <x:v>Low, Dry-Moist</x:v>
      </x:c>
      <x:c r="M568" s="89" t="n">
        <x:v>1</x:v>
      </x:c>
      <x:c r="N568" s="89" t="n">
        <x:v>1</x:v>
      </x:c>
      <x:c r="O568" s="89" t="n">
        <x:v>1</x:v>
      </x:c>
      <x:c r="P568" s="89" t="n">
        <x:f>SUM(M568:O568)</x:f>
        <x:v>3</x:v>
      </x:c>
      <x:c r="Q568" s="84" t="str">
        <x:v>Exact accepted-name match</x:v>
      </x:c>
      <x:c r="R568" s="84" t="str">
        <x:v>Passiflora affinis</x:v>
      </x:c>
      <x:c r="S568" s="84" t="str">
        <x:v>2559845</x:v>
      </x:c>
      <x:c r="T568" s="84" t="str">
        <x:v>2559845</x:v>
      </x:c>
      <x:c r="U568" s="84" t="str">
        <x:v>674759-1</x:v>
      </x:c>
      <x:c r="V568" s="84" t="str">
        <x:v>674759-1</x:v>
      </x:c>
      <x:c r="W568" s="84" t="str"/>
    </x:row>
    <x:row r="569" ht="18" customHeight="1">
      <x:c r="A569" s="83" t="str">
        <x:v>HAYS-0568</x:v>
      </x:c>
      <x:c r="B569" s="87" t="str">
        <x:v>Passiflora foetida</x:v>
      </x:c>
      <x:c r="C569" s="87" t="str">
        <x:v>Passiflora foetida</x:v>
      </x:c>
      <x:c r="D569" s="84" t="str">
        <x:v>Passifloraceae</x:v>
      </x:c>
      <x:c r="E569" s="84" t="str">
        <x:v>Passiflora</x:v>
      </x:c>
      <x:c r="F569" s="84" t="str">
        <x:v>Species</x:v>
      </x:c>
      <x:c r="G569" s="84" t="str">
        <x:v>Accepted</x:v>
      </x:c>
      <x:c r="H569" s="84" t="str">
        <x:v>Corona De Cristo, Fetid Passionflower</x:v>
      </x:c>
      <x:c r="I569" s="84" t="str">
        <x:v>Perennial</x:v>
      </x:c>
      <x:c r="J569" s="84" t="str">
        <x:v>Vine</x:v>
      </x:c>
      <x:c r="K569" s="84" t="str">
        <x:v>Sun, Part Shade</x:v>
      </x:c>
      <x:c r="L569" s="84" t="str">
        <x:v>Low–Medium</x:v>
      </x:c>
      <x:c r="M569" s="89" t="n">
        <x:v>0</x:v>
      </x:c>
      <x:c r="N569" s="89" t="n">
        <x:v>0</x:v>
      </x:c>
      <x:c r="O569" s="89" t="n">
        <x:v>1</x:v>
      </x:c>
      <x:c r="P569" s="89" t="n">
        <x:f>SUM(M569:O569)</x:f>
        <x:v>1</x:v>
      </x:c>
      <x:c r="Q569" s="84" t="str">
        <x:v>Exact accepted-name match</x:v>
      </x:c>
      <x:c r="R569" s="84" t="str">
        <x:v>Passiflora foetida</x:v>
      </x:c>
      <x:c r="S569" s="84" t="str">
        <x:v>2559676</x:v>
      </x:c>
      <x:c r="T569" s="84" t="str">
        <x:v>2559676</x:v>
      </x:c>
      <x:c r="U569" s="84" t="str">
        <x:v>321966-2</x:v>
      </x:c>
      <x:c r="V569" s="84" t="str">
        <x:v>321966-2</x:v>
      </x:c>
      <x:c r="W569" s="84" t="str"/>
    </x:row>
    <x:row r="570" ht="18" customHeight="1">
      <x:c r="A570" s="83" t="str">
        <x:v>HAYS-0569</x:v>
      </x:c>
      <x:c r="B570" s="87" t="str">
        <x:v>Passiflora lutea</x:v>
      </x:c>
      <x:c r="C570" s="87" t="str">
        <x:v>Passiflora lutea</x:v>
      </x:c>
      <x:c r="D570" s="84" t="str">
        <x:v>Passifloraceae</x:v>
      </x:c>
      <x:c r="E570" s="84" t="str">
        <x:v>Passiflora</x:v>
      </x:c>
      <x:c r="F570" s="84" t="str">
        <x:v>Species</x:v>
      </x:c>
      <x:c r="G570" s="84" t="str">
        <x:v>Accepted</x:v>
      </x:c>
      <x:c r="H570" s="84" t="str">
        <x:v>Yellow Passionflower, Yellow Passion Vine, Yellow Passion-flower</x:v>
      </x:c>
      <x:c r="I570" s="84" t="str">
        <x:v>Perennial</x:v>
      </x:c>
      <x:c r="J570" s="84" t="str">
        <x:v>Herb</x:v>
      </x:c>
      <x:c r="K570" s="84" t="str">
        <x:v>Part-shade</x:v>
      </x:c>
      <x:c r="L570" s="84" t="str">
        <x:v>Moist</x:v>
      </x:c>
      <x:c r="M570" s="89" t="n">
        <x:v>1</x:v>
      </x:c>
      <x:c r="N570" s="89" t="n">
        <x:v>1</x:v>
      </x:c>
      <x:c r="O570" s="89" t="n">
        <x:v>0</x:v>
      </x:c>
      <x:c r="P570" s="89" t="n">
        <x:f>SUM(M570:O570)</x:f>
        <x:v>2</x:v>
      </x:c>
      <x:c r="Q570" s="84" t="str">
        <x:v>Exact accepted-name match</x:v>
      </x:c>
      <x:c r="R570" s="84" t="str">
        <x:v>Passiflora lutea</x:v>
      </x:c>
      <x:c r="S570" s="84" t="str">
        <x:v>2560547</x:v>
      </x:c>
      <x:c r="T570" s="84" t="str">
        <x:v>2560547</x:v>
      </x:c>
      <x:c r="U570" s="84" t="str">
        <x:v>675171-1</x:v>
      </x:c>
      <x:c r="V570" s="84" t="str">
        <x:v>675171-1</x:v>
      </x:c>
      <x:c r="W570" s="84" t="str"/>
    </x:row>
    <x:row r="571" ht="18" customHeight="1">
      <x:c r="A571" s="83" t="str">
        <x:v>HAYS-0570</x:v>
      </x:c>
      <x:c r="B571" s="87" t="str">
        <x:v>Passiflora tenuiloba</x:v>
      </x:c>
      <x:c r="C571" s="87" t="str">
        <x:v>Passiflora tenuiloba</x:v>
      </x:c>
      <x:c r="D571" s="84" t="str">
        <x:v>Passifloraceae</x:v>
      </x:c>
      <x:c r="E571" s="84" t="str">
        <x:v>Passiflora</x:v>
      </x:c>
      <x:c r="F571" s="84" t="str">
        <x:v>Species</x:v>
      </x:c>
      <x:c r="G571" s="84" t="str">
        <x:v>Accepted</x:v>
      </x:c>
      <x:c r="H571" s="84" t="str">
        <x:v>Slenderlobe Passionflower, Birdwing Passionflower</x:v>
      </x:c>
      <x:c r="I571" s="84" t="str">
        <x:v>Perennial</x:v>
      </x:c>
      <x:c r="J571" s="84" t="str">
        <x:v>Vine</x:v>
      </x:c>
      <x:c r="K571" s="84" t="str">
        <x:v>Part Shade</x:v>
      </x:c>
      <x:c r="L571" s="84" t="str">
        <x:v>Low, Dry</x:v>
      </x:c>
      <x:c r="M571" s="89" t="n">
        <x:v>1</x:v>
      </x:c>
      <x:c r="N571" s="89" t="n">
        <x:v>1</x:v>
      </x:c>
      <x:c r="O571" s="89" t="n">
        <x:v>1</x:v>
      </x:c>
      <x:c r="P571" s="89" t="n">
        <x:f>SUM(M571:O571)</x:f>
        <x:v>3</x:v>
      </x:c>
      <x:c r="Q571" s="84" t="str">
        <x:v>Exact accepted-name match</x:v>
      </x:c>
      <x:c r="R571" s="84" t="str">
        <x:v>Passiflora tenuiloba</x:v>
      </x:c>
      <x:c r="S571" s="84" t="str">
        <x:v>2562925</x:v>
      </x:c>
      <x:c r="T571" s="84" t="str">
        <x:v>2562925</x:v>
      </x:c>
      <x:c r="U571" s="84" t="str">
        <x:v>675512-1</x:v>
      </x:c>
      <x:c r="V571" s="84" t="str">
        <x:v>675512-1</x:v>
      </x:c>
      <x:c r="W571" s="84" t="str"/>
    </x:row>
    <x:row r="572" ht="18" customHeight="1">
      <x:c r="A572" s="83" t="str">
        <x:v>HAYS-0571</x:v>
      </x:c>
      <x:c r="B572" s="87" t="str">
        <x:v>Pavonia lasiopetala</x:v>
      </x:c>
      <x:c r="C572" s="87" t="str">
        <x:v>Pavonia lasiopetala</x:v>
      </x:c>
      <x:c r="D572" s="84" t="str">
        <x:v>Malvaceae</x:v>
      </x:c>
      <x:c r="E572" s="84" t="str">
        <x:v>Pavonia</x:v>
      </x:c>
      <x:c r="F572" s="84" t="str">
        <x:v>Species</x:v>
      </x:c>
      <x:c r="G572" s="84" t="str">
        <x:v>Accepted</x:v>
      </x:c>
      <x:c r="H572" s="84" t="str">
        <x:v>Rock Rose, Rose Pavonia, Rose Mallow, Pavonia</x:v>
      </x:c>
      <x:c r="I572" s="84" t="str">
        <x:v>Perennial</x:v>
      </x:c>
      <x:c r="J572" s="84" t="str">
        <x:v>Shrub</x:v>
      </x:c>
      <x:c r="K572" s="84" t="str">
        <x:v>Sun, Part Shade</x:v>
      </x:c>
      <x:c r="L572" s="84" t="str">
        <x:v>Low</x:v>
      </x:c>
      <x:c r="M572" s="89" t="n">
        <x:v>1</x:v>
      </x:c>
      <x:c r="N572" s="89" t="n">
        <x:v>1</x:v>
      </x:c>
      <x:c r="O572" s="89" t="n">
        <x:v>1</x:v>
      </x:c>
      <x:c r="P572" s="89" t="n">
        <x:f>SUM(M572:O572)</x:f>
        <x:v>3</x:v>
      </x:c>
      <x:c r="Q572" s="84" t="str">
        <x:v>Exact accepted-name match</x:v>
      </x:c>
      <x:c r="R572" s="84" t="str">
        <x:v>Pavonia lasiopetala</x:v>
      </x:c>
      <x:c r="S572" s="84" t="str">
        <x:v>2548571</x:v>
      </x:c>
      <x:c r="T572" s="84" t="str">
        <x:v>2548571</x:v>
      </x:c>
      <x:c r="U572" s="84" t="str">
        <x:v>185932-2</x:v>
      </x:c>
      <x:c r="V572" s="84" t="str">
        <x:v>185932-2</x:v>
      </x:c>
      <x:c r="W572" s="84" t="str"/>
    </x:row>
    <x:row r="573" ht="18" customHeight="1">
      <x:c r="A573" s="83" t="str">
        <x:v>HAYS-0572</x:v>
      </x:c>
      <x:c r="B573" s="87" t="str">
        <x:v>Pectis angustifolia var. fastigiata</x:v>
      </x:c>
      <x:c r="C573" s="87" t="str">
        <x:v>Pectis angustifolia var. fastigiata</x:v>
      </x:c>
      <x:c r="D573" s="84" t="str">
        <x:v>Asteraceae</x:v>
      </x:c>
      <x:c r="E573" s="84" t="str">
        <x:v>Pectis</x:v>
      </x:c>
      <x:c r="F573" s="84" t="str">
        <x:v>Variety</x:v>
      </x:c>
      <x:c r="G573" s="84" t="str">
        <x:v>Accepted</x:v>
      </x:c>
      <x:c r="H573" s="84" t="str">
        <x:v>Lemonscent</x:v>
      </x:c>
      <x:c r="I573" s="84" t="str">
        <x:v>Annual</x:v>
      </x:c>
      <x:c r="J573" s="84" t="str">
        <x:v>Herb</x:v>
      </x:c>
      <x:c r="K573" s="84" t="str"/>
      <x:c r="L573" s="84" t="str"/>
      <x:c r="M573" s="89" t="n">
        <x:v>1</x:v>
      </x:c>
      <x:c r="N573" s="89" t="n">
        <x:v>1</x:v>
      </x:c>
      <x:c r="O573" s="89" t="n">
        <x:v>0</x:v>
      </x:c>
      <x:c r="P573" s="89" t="n">
        <x:f>SUM(M573:O573)</x:f>
        <x:v>2</x:v>
      </x:c>
      <x:c r="Q573" s="84" t="str">
        <x:v>Exact accepted-name match</x:v>
      </x:c>
      <x:c r="R573" s="84" t="str">
        <x:v>Pectis angustifolia var. fastigiata</x:v>
      </x:c>
      <x:c r="S573" s="84" t="str">
        <x:v>3118842</x:v>
      </x:c>
      <x:c r="T573" s="84" t="str">
        <x:v>3118842</x:v>
      </x:c>
      <x:c r="U573" s="84" t="str">
        <x:v>186202-2</x:v>
      </x:c>
      <x:c r="V573" s="84" t="str">
        <x:v>186202-2</x:v>
      </x:c>
      <x:c r="W573" s="84" t="str"/>
    </x:row>
    <x:row r="574" ht="18" customHeight="1">
      <x:c r="A574" s="83" t="str">
        <x:v>HAYS-0573</x:v>
      </x:c>
      <x:c r="B574" s="87" t="str">
        <x:v>Pediomelum cuspidatum</x:v>
      </x:c>
      <x:c r="C574" s="87" t="str">
        <x:v>Pediomelum cuspidatum</x:v>
      </x:c>
      <x:c r="D574" s="84" t="str">
        <x:v>Fabaceae</x:v>
      </x:c>
      <x:c r="E574" s="84" t="str">
        <x:v>Pediomelum</x:v>
      </x:c>
      <x:c r="F574" s="84" t="str">
        <x:v>Species</x:v>
      </x:c>
      <x:c r="G574" s="84" t="str">
        <x:v>Accepted</x:v>
      </x:c>
      <x:c r="H574" s="84" t="str">
        <x:v>Indian-turnip, Largebract Indian Breadroot, Tall Scurfy Pea, Tall-bread Scurf-pea</x:v>
      </x:c>
      <x:c r="I574" s="84" t="str">
        <x:v>Perennial</x:v>
      </x:c>
      <x:c r="J574" s="84" t="str">
        <x:v>Herb</x:v>
      </x:c>
      <x:c r="K574" s="84" t="str"/>
      <x:c r="L574" s="84" t="str"/>
      <x:c r="M574" s="89" t="n">
        <x:v>1</x:v>
      </x:c>
      <x:c r="N574" s="89" t="n">
        <x:v>1</x:v>
      </x:c>
      <x:c r="O574" s="89" t="n">
        <x:v>0</x:v>
      </x:c>
      <x:c r="P574" s="89" t="n">
        <x:f>SUM(M574:O574)</x:f>
        <x:v>2</x:v>
      </x:c>
      <x:c r="Q574" s="84" t="str">
        <x:v>Exact accepted-name match</x:v>
      </x:c>
      <x:c r="R574" s="84" t="str">
        <x:v>Pediomelum cuspidatum</x:v>
      </x:c>
      <x:c r="S574" s="84" t="str">
        <x:v>2538571</x:v>
      </x:c>
      <x:c r="T574" s="84" t="str">
        <x:v>2538571</x:v>
      </x:c>
      <x:c r="U574" s="84" t="str">
        <x:v>186564-2</x:v>
      </x:c>
      <x:c r="V574" s="84" t="str">
        <x:v>186564-2</x:v>
      </x:c>
      <x:c r="W574" s="84" t="str"/>
    </x:row>
    <x:row r="575" ht="18" customHeight="1">
      <x:c r="A575" s="83" t="str">
        <x:v>HAYS-0574</x:v>
      </x:c>
      <x:c r="B575" s="87" t="str">
        <x:v>Pediomelum cyphocalyx</x:v>
      </x:c>
      <x:c r="C575" s="87" t="str">
        <x:v>Pediomelum cyphocalyx</x:v>
      </x:c>
      <x:c r="D575" s="84" t="str">
        <x:v>Fabaceae</x:v>
      </x:c>
      <x:c r="E575" s="84" t="str">
        <x:v>Pediomelum</x:v>
      </x:c>
      <x:c r="F575" s="84" t="str">
        <x:v>Species</x:v>
      </x:c>
      <x:c r="G575" s="84" t="str">
        <x:v>Accepted</x:v>
      </x:c>
      <x:c r="H575" s="84" t="str">
        <x:v>Turniproot, Wand Psoralea, Turnip-root Scurf-pea</x:v>
      </x:c>
      <x:c r="I575" s="84" t="str">
        <x:v>Perennial</x:v>
      </x:c>
      <x:c r="J575" s="84" t="str">
        <x:v>Herb</x:v>
      </x:c>
      <x:c r="K575" s="84" t="str"/>
      <x:c r="L575" s="84" t="str"/>
      <x:c r="M575" s="89" t="n">
        <x:v>1</x:v>
      </x:c>
      <x:c r="N575" s="89" t="n">
        <x:v>1</x:v>
      </x:c>
      <x:c r="O575" s="89" t="n">
        <x:v>0</x:v>
      </x:c>
      <x:c r="P575" s="89" t="n">
        <x:f>SUM(M575:O575)</x:f>
        <x:v>2</x:v>
      </x:c>
      <x:c r="Q575" s="84" t="str">
        <x:v>Exact accepted-name match</x:v>
      </x:c>
      <x:c r="R575" s="84" t="str">
        <x:v>Pediomelum cyphocalyx</x:v>
      </x:c>
      <x:c r="S575" s="84" t="str">
        <x:v>2538570</x:v>
      </x:c>
      <x:c r="T575" s="84" t="str">
        <x:v>2538570</x:v>
      </x:c>
      <x:c r="U575" s="84" t="str">
        <x:v>186565-2</x:v>
      </x:c>
      <x:c r="V575" s="84" t="str">
        <x:v>186565-2</x:v>
      </x:c>
      <x:c r="W575" s="84" t="str"/>
    </x:row>
    <x:row r="576" ht="18" customHeight="1">
      <x:c r="A576" s="83" t="str">
        <x:v>HAYS-0575</x:v>
      </x:c>
      <x:c r="B576" s="87" t="str">
        <x:v>Pediomelum latestipulatum</x:v>
      </x:c>
      <x:c r="C576" s="87" t="str">
        <x:v>Pediomelum latestipulatum</x:v>
      </x:c>
      <x:c r="D576" s="84" t="str">
        <x:v>Fabaceae</x:v>
      </x:c>
      <x:c r="E576" s="84" t="str">
        <x:v>Pediomelum</x:v>
      </x:c>
      <x:c r="F576" s="84" t="str">
        <x:v>Species</x:v>
      </x:c>
      <x:c r="G576" s="84" t="str">
        <x:v>Accepted</x:v>
      </x:c>
      <x:c r="H576" s="84" t="str">
        <x:v>Texas Plains Indian Breadroot, Scurfpea, Scurf-pea</x:v>
      </x:c>
      <x:c r="I576" s="84" t="str">
        <x:v>Perennial</x:v>
      </x:c>
      <x:c r="J576" s="84" t="str">
        <x:v>Herb</x:v>
      </x:c>
      <x:c r="K576" s="84" t="str"/>
      <x:c r="L576" s="84" t="str"/>
      <x:c r="M576" s="89" t="n">
        <x:v>1</x:v>
      </x:c>
      <x:c r="N576" s="89" t="n">
        <x:v>1</x:v>
      </x:c>
      <x:c r="O576" s="89" t="n">
        <x:v>0</x:v>
      </x:c>
      <x:c r="P576" s="89" t="n">
        <x:f>SUM(M576:O576)</x:f>
        <x:v>2</x:v>
      </x:c>
      <x:c r="Q576" s="84" t="str">
        <x:v>Exact accepted-name match</x:v>
      </x:c>
      <x:c r="R576" s="84" t="str">
        <x:v>Pediomelum latestipulatum</x:v>
      </x:c>
      <x:c r="S576" s="84" t="str">
        <x:v>2538602</x:v>
      </x:c>
      <x:c r="T576" s="84" t="str">
        <x:v>2538602</x:v>
      </x:c>
      <x:c r="U576" s="84" t="str">
        <x:v>282265-2</x:v>
      </x:c>
      <x:c r="V576" s="84" t="str">
        <x:v>282265-2</x:v>
      </x:c>
      <x:c r="W576" s="84" t="str"/>
    </x:row>
    <x:row r="577" ht="18" customHeight="1">
      <x:c r="A577" s="83" t="str">
        <x:v>HAYS-0576</x:v>
      </x:c>
      <x:c r="B577" s="87" t="str">
        <x:v>Pediomelum linearifolium</x:v>
      </x:c>
      <x:c r="C577" s="87" t="str">
        <x:v>Pediomelum linearifolium</x:v>
      </x:c>
      <x:c r="D577" s="84" t="str">
        <x:v>Fabaceae</x:v>
      </x:c>
      <x:c r="E577" s="84" t="str">
        <x:v>Pediomelum</x:v>
      </x:c>
      <x:c r="F577" s="84" t="str">
        <x:v>Species</x:v>
      </x:c>
      <x:c r="G577" s="84" t="str">
        <x:v>Accepted</x:v>
      </x:c>
      <x:c r="H577" s="84" t="str">
        <x:v>Narrowleaf Indian Breadroot, Narrow-leaf Scurf-pea</x:v>
      </x:c>
      <x:c r="I577" s="84" t="str">
        <x:v>Perennial</x:v>
      </x:c>
      <x:c r="J577" s="84" t="str">
        <x:v>Herb</x:v>
      </x:c>
      <x:c r="K577" s="84" t="str"/>
      <x:c r="L577" s="84" t="str"/>
      <x:c r="M577" s="89" t="n">
        <x:v>1</x:v>
      </x:c>
      <x:c r="N577" s="89" t="n">
        <x:v>1</x:v>
      </x:c>
      <x:c r="O577" s="89" t="n">
        <x:v>0</x:v>
      </x:c>
      <x:c r="P577" s="89" t="n">
        <x:f>SUM(M577:O577)</x:f>
        <x:v>2</x:v>
      </x:c>
      <x:c r="Q577" s="84" t="str">
        <x:v>Exact accepted-name match</x:v>
      </x:c>
      <x:c r="R577" s="84" t="str">
        <x:v>Pediomelum linearifolium</x:v>
      </x:c>
      <x:c r="S577" s="84" t="str">
        <x:v>2538600</x:v>
      </x:c>
      <x:c r="T577" s="84" t="str">
        <x:v>2538600</x:v>
      </x:c>
      <x:c r="U577" s="84" t="str">
        <x:v>962323-1</x:v>
      </x:c>
      <x:c r="V577" s="84" t="str">
        <x:v>962323-1</x:v>
      </x:c>
      <x:c r="W577" s="84" t="str"/>
    </x:row>
    <x:row r="578" ht="18" customHeight="1">
      <x:c r="A578" s="83" t="str">
        <x:v>HAYS-0577</x:v>
      </x:c>
      <x:c r="B578" s="87" t="str">
        <x:v>Pediomelum rhombifolium</x:v>
      </x:c>
      <x:c r="C578" s="87" t="str">
        <x:v>Pediomelum rhombifolium</x:v>
      </x:c>
      <x:c r="D578" s="84" t="str">
        <x:v>Fabaceae</x:v>
      </x:c>
      <x:c r="E578" s="84" t="str">
        <x:v>Pediomelum</x:v>
      </x:c>
      <x:c r="F578" s="84" t="str">
        <x:v>Species</x:v>
      </x:c>
      <x:c r="G578" s="84" t="str">
        <x:v>Accepted</x:v>
      </x:c>
      <x:c r="H578" s="84" t="str">
        <x:v>Gulf Indian Breadroot, Brown-flowered Psoralea, Round-leaf Scurf-pea</x:v>
      </x:c>
      <x:c r="I578" s="84" t="str">
        <x:v>Perennial</x:v>
      </x:c>
      <x:c r="J578" s="84" t="str">
        <x:v>Herb</x:v>
      </x:c>
      <x:c r="K578" s="84" t="str"/>
      <x:c r="L578" s="84" t="str"/>
      <x:c r="M578" s="89" t="n">
        <x:v>1</x:v>
      </x:c>
      <x:c r="N578" s="89" t="n">
        <x:v>1</x:v>
      </x:c>
      <x:c r="O578" s="89" t="n">
        <x:v>0</x:v>
      </x:c>
      <x:c r="P578" s="89" t="n">
        <x:f>SUM(M578:O578)</x:f>
        <x:v>2</x:v>
      </x:c>
      <x:c r="Q578" s="84" t="str">
        <x:v>Exact accepted-name match</x:v>
      </x:c>
      <x:c r="R578" s="84" t="str">
        <x:v>Pediomelum rhombifolium</x:v>
      </x:c>
      <x:c r="S578" s="84" t="str">
        <x:v>2538472</x:v>
      </x:c>
      <x:c r="T578" s="84" t="str">
        <x:v>2538472</x:v>
      </x:c>
      <x:c r="U578" s="84" t="str">
        <x:v>186577-2</x:v>
      </x:c>
      <x:c r="V578" s="84" t="str">
        <x:v>186577-2</x:v>
      </x:c>
      <x:c r="W578" s="84" t="str"/>
    </x:row>
    <x:row r="579" ht="18" customHeight="1">
      <x:c r="A579" s="83" t="str">
        <x:v>HAYS-0578</x:v>
      </x:c>
      <x:c r="B579" s="87" t="str">
        <x:v>Pellaea atropurpurea</x:v>
      </x:c>
      <x:c r="C579" s="87" t="str">
        <x:v>Hemionitis atropurpurea</x:v>
      </x:c>
      <x:c r="D579" s="84" t="str">
        <x:v>Pteridaceae</x:v>
      </x:c>
      <x:c r="E579" s="84" t="str">
        <x:v>Hemionitis</x:v>
      </x:c>
      <x:c r="F579" s="84" t="str">
        <x:v>Species</x:v>
      </x:c>
      <x:c r="G579" s="84" t="str">
        <x:v>Synonym</x:v>
      </x:c>
      <x:c r="H579" s="84" t="str">
        <x:v>Purple Cliffbrake</x:v>
      </x:c>
      <x:c r="I579" s="84" t="str">
        <x:v>Perennial</x:v>
      </x:c>
      <x:c r="J579" s="84" t="str">
        <x:v>Herb, Fern</x:v>
      </x:c>
      <x:c r="K579" s="84" t="str"/>
      <x:c r="L579" s="84" t="str">
        <x:v>Dry</x:v>
      </x:c>
      <x:c r="M579" s="89" t="n">
        <x:v>1</x:v>
      </x:c>
      <x:c r="N579" s="89" t="n">
        <x:v>1</x:v>
      </x:c>
      <x:c r="O579" s="89" t="n">
        <x:v>0</x:v>
      </x:c>
      <x:c r="P579" s="89" t="n">
        <x:f>SUM(M579:O579)</x:f>
        <x:v>2</x:v>
      </x:c>
      <x:c r="Q579" s="84" t="str">
        <x:v>Exact synonym-name match</x:v>
      </x:c>
      <x:c r="R579" s="84" t="str">
        <x:v>Pellaea atropurpurea</x:v>
      </x:c>
      <x:c r="S579" s="84" t="str">
        <x:v>3147141</x:v>
      </x:c>
      <x:c r="T579" s="84" t="str">
        <x:v>3217773</x:v>
      </x:c>
      <x:c r="U579" s="84" t="str">
        <x:v>30006990-2</x:v>
      </x:c>
      <x:c r="V579" s="84" t="str">
        <x:v>77181990-1</x:v>
      </x:c>
      <x:c r="W579" s="84" t="str"/>
    </x:row>
    <x:row r="580" ht="18" customHeight="1">
      <x:c r="A580" s="83" t="str">
        <x:v>HAYS-0579</x:v>
      </x:c>
      <x:c r="B580" s="87" t="str">
        <x:v>Pellaea ovata</x:v>
      </x:c>
      <x:c r="C580" s="87" t="str">
        <x:v>Hemionitis ovata</x:v>
      </x:c>
      <x:c r="D580" s="84" t="str">
        <x:v>Pteridaceae</x:v>
      </x:c>
      <x:c r="E580" s="84" t="str">
        <x:v>Hemionitis</x:v>
      </x:c>
      <x:c r="F580" s="84" t="str">
        <x:v>Species</x:v>
      </x:c>
      <x:c r="G580" s="84" t="str">
        <x:v>Synonym</x:v>
      </x:c>
      <x:c r="H580" s="84" t="str">
        <x:v>Ovateleaf Cliffbrake, Ovate-leaf Cliffbrake</x:v>
      </x:c>
      <x:c r="I580" s="84" t="str">
        <x:v>Perennial</x:v>
      </x:c>
      <x:c r="J580" s="84" t="str">
        <x:v>Herb, Fern</x:v>
      </x:c>
      <x:c r="K580" s="84" t="str">
        <x:v>Sun</x:v>
      </x:c>
      <x:c r="L580" s="84" t="str"/>
      <x:c r="M580" s="89" t="n">
        <x:v>1</x:v>
      </x:c>
      <x:c r="N580" s="89" t="n">
        <x:v>1</x:v>
      </x:c>
      <x:c r="O580" s="89" t="n">
        <x:v>0</x:v>
      </x:c>
      <x:c r="P580" s="89" t="n">
        <x:f>SUM(M580:O580)</x:f>
        <x:v>2</x:v>
      </x:c>
      <x:c r="Q580" s="84" t="str">
        <x:v>Exact synonym-name match</x:v>
      </x:c>
      <x:c r="R580" s="84" t="str">
        <x:v>Pellaea ovata</x:v>
      </x:c>
      <x:c r="S580" s="84" t="str">
        <x:v>3147173</x:v>
      </x:c>
      <x:c r="T580" s="84" t="str">
        <x:v>3218730</x:v>
      </x:c>
      <x:c r="U580" s="84" t="str">
        <x:v>186881-2</x:v>
      </x:c>
      <x:c r="V580" s="84" t="str">
        <x:v>77183106-1</x:v>
      </x:c>
      <x:c r="W580" s="84" t="str"/>
    </x:row>
    <x:row r="581" ht="18" customHeight="1">
      <x:c r="A581" s="83" t="str">
        <x:v>HAYS-0580</x:v>
      </x:c>
      <x:c r="B581" s="87" t="str">
        <x:v>Pellaea wrightiana</x:v>
      </x:c>
      <x:c r="C581" s="87" t="str">
        <x:v>Hemionitis wrightiana</x:v>
      </x:c>
      <x:c r="D581" s="84" t="str">
        <x:v>Pteridaceae</x:v>
      </x:c>
      <x:c r="E581" s="84" t="str">
        <x:v>Hemionitis</x:v>
      </x:c>
      <x:c r="F581" s="84" t="str">
        <x:v>Species</x:v>
      </x:c>
      <x:c r="G581" s="84" t="str">
        <x:v>Synonym</x:v>
      </x:c>
      <x:c r="H581" s="84" t="str">
        <x:v>Wright's Cliffbrake Fern, Wright's Cliffbrake</x:v>
      </x:c>
      <x:c r="I581" s="84" t="str">
        <x:v>Perennial</x:v>
      </x:c>
      <x:c r="J581" s="84" t="str">
        <x:v>Fern</x:v>
      </x:c>
      <x:c r="K581" s="84" t="str"/>
      <x:c r="L581" s="84" t="str"/>
      <x:c r="M581" s="89" t="n">
        <x:v>1</x:v>
      </x:c>
      <x:c r="N581" s="89" t="n">
        <x:v>1</x:v>
      </x:c>
      <x:c r="O581" s="89" t="n">
        <x:v>0</x:v>
      </x:c>
      <x:c r="P581" s="89" t="n">
        <x:f>SUM(M581:O581)</x:f>
        <x:v>2</x:v>
      </x:c>
      <x:c r="Q581" s="84" t="str">
        <x:v>Exact synonym-name match</x:v>
      </x:c>
      <x:c r="R581" s="84" t="str">
        <x:v>Pellaea wrightiana</x:v>
      </x:c>
      <x:c r="S581" s="84" t="str">
        <x:v>3147195</x:v>
      </x:c>
      <x:c r="T581" s="84" t="str">
        <x:v>3218358</x:v>
      </x:c>
      <x:c r="U581" s="84" t="str">
        <x:v>17171860-1</x:v>
      </x:c>
      <x:c r="V581" s="84" t="str">
        <x:v>77182620-1</x:v>
      </x:c>
      <x:c r="W581" s="84" t="str"/>
    </x:row>
    <x:row r="582" ht="18" customHeight="1">
      <x:c r="A582" s="83" t="str">
        <x:v>HAYS-0581</x:v>
      </x:c>
      <x:c r="B582" s="87" t="str">
        <x:v>Penstemon baccharifolius</x:v>
      </x:c>
      <x:c r="C582" s="87" t="str">
        <x:v>Penstemon baccharifolius</x:v>
      </x:c>
      <x:c r="D582" s="84" t="str">
        <x:v>Plantaginaceae</x:v>
      </x:c>
      <x:c r="E582" s="84" t="str">
        <x:v>Penstemon</x:v>
      </x:c>
      <x:c r="F582" s="84" t="str">
        <x:v>Species</x:v>
      </x:c>
      <x:c r="G582" s="84" t="str">
        <x:v>Accepted</x:v>
      </x:c>
      <x:c r="H582" s="84" t="str">
        <x:v>Rock Penstemon, Rock Beardtongue, Cut-leaf Penstemon, Cut-leaf Beardtongue, Baccharis-leaf Penstemon, Baccharis-leaf Beardtongue</x:v>
      </x:c>
      <x:c r="I582" s="84" t="str">
        <x:v>Perennial</x:v>
      </x:c>
      <x:c r="J582" s="84" t="str">
        <x:v>Subshrub</x:v>
      </x:c>
      <x:c r="K582" s="84" t="str">
        <x:v>Sun</x:v>
      </x:c>
      <x:c r="L582" s="84" t="str">
        <x:v>Low</x:v>
      </x:c>
      <x:c r="M582" s="89" t="n">
        <x:v>0</x:v>
      </x:c>
      <x:c r="N582" s="89" t="n">
        <x:v>0</x:v>
      </x:c>
      <x:c r="O582" s="89" t="n">
        <x:v>1</x:v>
      </x:c>
      <x:c r="P582" s="89" t="n">
        <x:f>SUM(M582:O582)</x:f>
        <x:v>1</x:v>
      </x:c>
      <x:c r="Q582" s="84" t="str">
        <x:v>Exact accepted-name match</x:v>
      </x:c>
      <x:c r="R582" s="84" t="str">
        <x:v>Penstemon baccharifolius</x:v>
      </x:c>
      <x:c r="S582" s="84" t="str">
        <x:v>2550716</x:v>
      </x:c>
      <x:c r="T582" s="84" t="str">
        <x:v>2550716</x:v>
      </x:c>
      <x:c r="U582" s="84" t="str">
        <x:v>808008-1</x:v>
      </x:c>
      <x:c r="V582" s="84" t="str">
        <x:v>808008-1</x:v>
      </x:c>
      <x:c r="W582" s="84" t="str"/>
    </x:row>
    <x:row r="583" ht="18" customHeight="1">
      <x:c r="A583" s="83" t="str">
        <x:v>HAYS-0582</x:v>
      </x:c>
      <x:c r="B583" s="87" t="str">
        <x:v>Penstemon cobaea</x:v>
      </x:c>
      <x:c r="C583" s="87" t="str">
        <x:v>Penstemon cobaea</x:v>
      </x:c>
      <x:c r="D583" s="84" t="str">
        <x:v>Plantaginaceae</x:v>
      </x:c>
      <x:c r="E583" s="84" t="str">
        <x:v>Penstemon</x:v>
      </x:c>
      <x:c r="F583" s="84" t="str">
        <x:v>Species</x:v>
      </x:c>
      <x:c r="G583" s="84" t="str">
        <x:v>Accepted</x:v>
      </x:c>
      <x:c r="H583" s="84" t="str">
        <x:v>Prairie Penstemon, Prairie Beardtongue, Foxglove Penstemon, Foxglove Beardtongue, False Foxglove, Large-flowered Penstemon, Large-flowered Beardtongue, Cobaea Penstemon, Cobaea Beardtongue, Wild Foxglove</x:v>
      </x:c>
      <x:c r="I583" s="84" t="str">
        <x:v>Perennial</x:v>
      </x:c>
      <x:c r="J583" s="84" t="str">
        <x:v>Herb</x:v>
      </x:c>
      <x:c r="K583" s="84" t="str">
        <x:v>Sun</x:v>
      </x:c>
      <x:c r="L583" s="84" t="str">
        <x:v>Low–Medium</x:v>
      </x:c>
      <x:c r="M583" s="89" t="n">
        <x:v>1</x:v>
      </x:c>
      <x:c r="N583" s="89" t="n">
        <x:v>1</x:v>
      </x:c>
      <x:c r="O583" s="89" t="n">
        <x:v>1</x:v>
      </x:c>
      <x:c r="P583" s="89" t="n">
        <x:f>SUM(M583:O583)</x:f>
        <x:v>3</x:v>
      </x:c>
      <x:c r="Q583" s="84" t="str">
        <x:v>Exact accepted-name match</x:v>
      </x:c>
      <x:c r="R583" s="84" t="str">
        <x:v>Penstemon cobaea</x:v>
      </x:c>
      <x:c r="S583" s="84" t="str">
        <x:v>2550750</x:v>
      </x:c>
      <x:c r="T583" s="84" t="str">
        <x:v>2550750</x:v>
      </x:c>
      <x:c r="U583" s="84" t="str">
        <x:v>808044-1</x:v>
      </x:c>
      <x:c r="V583" s="84" t="str">
        <x:v>808044-1</x:v>
      </x:c>
      <x:c r="W583" s="84" t="str"/>
    </x:row>
    <x:row r="584" ht="18" customHeight="1">
      <x:c r="A584" s="83" t="str">
        <x:v>HAYS-0583</x:v>
      </x:c>
      <x:c r="B584" s="87" t="str">
        <x:v>Penstemon triflorus</x:v>
      </x:c>
      <x:c r="C584" s="87" t="str">
        <x:v>Penstemon triflorus</x:v>
      </x:c>
      <x:c r="D584" s="84" t="str">
        <x:v>Plantaginaceae</x:v>
      </x:c>
      <x:c r="E584" s="84" t="str">
        <x:v>Penstemon</x:v>
      </x:c>
      <x:c r="F584" s="84" t="str">
        <x:v>Species</x:v>
      </x:c>
      <x:c r="G584" s="84" t="str">
        <x:v>Accepted</x:v>
      </x:c>
      <x:c r="H584" s="84" t="str">
        <x:v>Hill Country Penstemon, Hill Country Beardtongue, Scarlet Penstemon, Scarlet Beardtongue, Heller's Penstemon, Heller's Beardtongue</x:v>
      </x:c>
      <x:c r="I584" s="84" t="str">
        <x:v>Perennial</x:v>
      </x:c>
      <x:c r="J584" s="84" t="str">
        <x:v>Herb</x:v>
      </x:c>
      <x:c r="K584" s="84" t="str">
        <x:v>Sun</x:v>
      </x:c>
      <x:c r="L584" s="84" t="str">
        <x:v>Low</x:v>
      </x:c>
      <x:c r="M584" s="89" t="n">
        <x:v>1</x:v>
      </x:c>
      <x:c r="N584" s="89" t="n">
        <x:v>1</x:v>
      </x:c>
      <x:c r="O584" s="89" t="n">
        <x:v>1</x:v>
      </x:c>
      <x:c r="P584" s="89" t="n">
        <x:f>SUM(M584:O584)</x:f>
        <x:v>3</x:v>
      </x:c>
      <x:c r="Q584" s="84" t="str">
        <x:v>Exact accepted-name match</x:v>
      </x:c>
      <x:c r="R584" s="84" t="str">
        <x:v>Penstemon triflorus</x:v>
      </x:c>
      <x:c r="S584" s="84" t="str">
        <x:v>2550881</x:v>
      </x:c>
      <x:c r="T584" s="84" t="str">
        <x:v>2550881</x:v>
      </x:c>
      <x:c r="U584" s="84" t="str">
        <x:v>187826-2</x:v>
      </x:c>
      <x:c r="V584" s="84" t="str">
        <x:v>187826-2</x:v>
      </x:c>
      <x:c r="W584" s="84" t="str"/>
    </x:row>
    <x:row r="585" ht="18" customHeight="1">
      <x:c r="A585" s="83" t="str">
        <x:v>HAYS-0584</x:v>
      </x:c>
      <x:c r="B585" s="87" t="str">
        <x:v>Perityle lindheimeri</x:v>
      </x:c>
      <x:c r="C585" s="87" t="str">
        <x:v>Laphamia lindheimeri</x:v>
      </x:c>
      <x:c r="D585" s="84" t="str">
        <x:v>Asteraceae</x:v>
      </x:c>
      <x:c r="E585" s="84" t="str">
        <x:v>Laphamia</x:v>
      </x:c>
      <x:c r="F585" s="84" t="str">
        <x:v>Species</x:v>
      </x:c>
      <x:c r="G585" s="84" t="str">
        <x:v>Synonym</x:v>
      </x:c>
      <x:c r="H585" s="84" t="str">
        <x:v>Rocky Daisy, Lindheimer's rock daisy</x:v>
      </x:c>
      <x:c r="I585" s="84" t="str">
        <x:v>Perennial</x:v>
      </x:c>
      <x:c r="J585" s="84" t="str">
        <x:v>Subshrub</x:v>
      </x:c>
      <x:c r="K585" s="84" t="str">
        <x:v>Sun, Part Shade</x:v>
      </x:c>
      <x:c r="L585" s="84" t="str">
        <x:v>Low, Dry-Moist</x:v>
      </x:c>
      <x:c r="M585" s="89" t="n">
        <x:v>1</x:v>
      </x:c>
      <x:c r="N585" s="89" t="n">
        <x:v>1</x:v>
      </x:c>
      <x:c r="O585" s="89" t="n">
        <x:v>1</x:v>
      </x:c>
      <x:c r="P585" s="89" t="n">
        <x:f>SUM(M585:O585)</x:f>
        <x:v>3</x:v>
      </x:c>
      <x:c r="Q585" s="84" t="str">
        <x:v>Exact synonym-name match</x:v>
      </x:c>
      <x:c r="R585" s="84" t="str">
        <x:v>Perityle lindheimeri</x:v>
      </x:c>
      <x:c r="S585" s="84" t="str">
        <x:v>3126661</x:v>
      </x:c>
      <x:c r="T585" s="84" t="str">
        <x:v>3126658</x:v>
      </x:c>
      <x:c r="U585" s="84" t="str">
        <x:v>190459-2</x:v>
      </x:c>
      <x:c r="V585" s="84" t="str">
        <x:v>135411-2</x:v>
      </x:c>
      <x:c r="W585" s="84" t="str"/>
    </x:row>
    <x:row r="586" ht="18" customHeight="1">
      <x:c r="A586" s="83" t="str">
        <x:v>HAYS-0585</x:v>
      </x:c>
      <x:c r="B586" s="87" t="str">
        <x:v>Persicaria pensylvanica</x:v>
      </x:c>
      <x:c r="C586" s="87" t="str">
        <x:v>Persicaria pensylvanica</x:v>
      </x:c>
      <x:c r="D586" s="84" t="str">
        <x:v>Polygonaceae</x:v>
      </x:c>
      <x:c r="E586" s="84" t="str">
        <x:v>Persicaria</x:v>
      </x:c>
      <x:c r="F586" s="84" t="str">
        <x:v>Species</x:v>
      </x:c>
      <x:c r="G586" s="84" t="str">
        <x:v>Accepted</x:v>
      </x:c>
      <x:c r="H586" s="84" t="str">
        <x:v>Pennsylvania Smartweed, Pink Smartweed</x:v>
      </x:c>
      <x:c r="I586" s="84" t="str">
        <x:v>Annual</x:v>
      </x:c>
      <x:c r="J586" s="84" t="str">
        <x:v>Herb</x:v>
      </x:c>
      <x:c r="K586" s="84" t="str">
        <x:v>Sun</x:v>
      </x:c>
      <x:c r="L586" s="84" t="str">
        <x:v>Moist</x:v>
      </x:c>
      <x:c r="M586" s="89" t="n">
        <x:v>1</x:v>
      </x:c>
      <x:c r="N586" s="89" t="n">
        <x:v>1</x:v>
      </x:c>
      <x:c r="O586" s="89" t="n">
        <x:v>0</x:v>
      </x:c>
      <x:c r="P586" s="89" t="n">
        <x:f>SUM(M586:O586)</x:f>
        <x:v>2</x:v>
      </x:c>
      <x:c r="Q586" s="84" t="str">
        <x:v>Exact accepted-name match</x:v>
      </x:c>
      <x:c r="R586" s="84" t="str">
        <x:v>Persicaria pensylvanica</x:v>
      </x:c>
      <x:c r="S586" s="84" t="str">
        <x:v>2572570</x:v>
      </x:c>
      <x:c r="T586" s="84" t="str">
        <x:v>2572570</x:v>
      </x:c>
      <x:c r="U586" s="84" t="str">
        <x:v>695100-1</x:v>
      </x:c>
      <x:c r="V586" s="84" t="str">
        <x:v>695100-1</x:v>
      </x:c>
      <x:c r="W586" s="84" t="str"/>
    </x:row>
    <x:row r="587" ht="18" customHeight="1">
      <x:c r="A587" s="83" t="str">
        <x:v>HAYS-0586</x:v>
      </x:c>
      <x:c r="B587" s="87" t="str">
        <x:v>Phacelia congesta</x:v>
      </x:c>
      <x:c r="C587" s="87" t="str">
        <x:v>Phacelia congesta</x:v>
      </x:c>
      <x:c r="D587" s="84" t="str">
        <x:v>Boraginaceae</x:v>
      </x:c>
      <x:c r="E587" s="84" t="str">
        <x:v>Phacelia</x:v>
      </x:c>
      <x:c r="F587" s="84" t="str">
        <x:v>Species</x:v>
      </x:c>
      <x:c r="G587" s="84" t="str">
        <x:v>Accepted</x:v>
      </x:c>
      <x:c r="H587" s="84" t="str">
        <x:v>Caterpillars, Blue Curls, Fiddleneck</x:v>
      </x:c>
      <x:c r="I587" s="84" t="str">
        <x:v>Annual , Biennial</x:v>
      </x:c>
      <x:c r="J587" s="84" t="str">
        <x:v>Herb</x:v>
      </x:c>
      <x:c r="K587" s="84" t="str">
        <x:v>Part Shade</x:v>
      </x:c>
      <x:c r="L587" s="84" t="str">
        <x:v>Medium</x:v>
      </x:c>
      <x:c r="M587" s="89" t="n">
        <x:v>1</x:v>
      </x:c>
      <x:c r="N587" s="89" t="n">
        <x:v>1</x:v>
      </x:c>
      <x:c r="O587" s="89" t="n">
        <x:v>1</x:v>
      </x:c>
      <x:c r="P587" s="89" t="n">
        <x:f>SUM(M587:O587)</x:f>
        <x:v>3</x:v>
      </x:c>
      <x:c r="Q587" s="84" t="str">
        <x:v>Exact accepted-name match</x:v>
      </x:c>
      <x:c r="R587" s="84" t="str">
        <x:v>Phacelia congesta</x:v>
      </x:c>
      <x:c r="S587" s="84" t="str">
        <x:v>2530100</x:v>
      </x:c>
      <x:c r="T587" s="84" t="str">
        <x:v>2530100</x:v>
      </x:c>
      <x:c r="U587" s="84" t="str">
        <x:v>30243500-2</x:v>
      </x:c>
      <x:c r="V587" s="84" t="str">
        <x:v>30243500-2</x:v>
      </x:c>
      <x:c r="W587" s="84" t="str"/>
    </x:row>
    <x:row r="588" ht="18" customHeight="1">
      <x:c r="A588" s="83" t="str">
        <x:v>HAYS-0587</x:v>
      </x:c>
      <x:c r="B588" s="87" t="str">
        <x:v>Phacelia patuliflora</x:v>
      </x:c>
      <x:c r="C588" s="87" t="str">
        <x:v>Phacelia patuliflora</x:v>
      </x:c>
      <x:c r="D588" s="84" t="str">
        <x:v>Boraginaceae</x:v>
      </x:c>
      <x:c r="E588" s="84" t="str">
        <x:v>Phacelia</x:v>
      </x:c>
      <x:c r="F588" s="84" t="str">
        <x:v>Species</x:v>
      </x:c>
      <x:c r="G588" s="84" t="str">
        <x:v>Accepted</x:v>
      </x:c>
      <x:c r="H588" s="84" t="str">
        <x:v>Sand Phacelia, Sand Scorpionweed, Blue Phacelia</x:v>
      </x:c>
      <x:c r="I588" s="84" t="str">
        <x:v>Annual</x:v>
      </x:c>
      <x:c r="J588" s="84" t="str">
        <x:v>Herb</x:v>
      </x:c>
      <x:c r="K588" s="84" t="str">
        <x:v>Part-shade</x:v>
      </x:c>
      <x:c r="L588" s="84" t="str">
        <x:v>Dry</x:v>
      </x:c>
      <x:c r="M588" s="89" t="n">
        <x:v>1</x:v>
      </x:c>
      <x:c r="N588" s="89" t="n">
        <x:v>1</x:v>
      </x:c>
      <x:c r="O588" s="89" t="n">
        <x:v>0</x:v>
      </x:c>
      <x:c r="P588" s="89" t="n">
        <x:f>SUM(M588:O588)</x:f>
        <x:v>2</x:v>
      </x:c>
      <x:c r="Q588" s="84" t="str">
        <x:v>Exact accepted-name match</x:v>
      </x:c>
      <x:c r="R588" s="84" t="str">
        <x:v>Phacelia patuliflora</x:v>
      </x:c>
      <x:c r="S588" s="84" t="str">
        <x:v>2530452</x:v>
      </x:c>
      <x:c r="T588" s="84" t="str">
        <x:v>2530452</x:v>
      </x:c>
      <x:c r="U588" s="84" t="str">
        <x:v>432721-1</x:v>
      </x:c>
      <x:c r="V588" s="84" t="str">
        <x:v>432721-1</x:v>
      </x:c>
      <x:c r="W588" s="84" t="str"/>
    </x:row>
    <x:row r="589" ht="18" customHeight="1">
      <x:c r="A589" s="83" t="str">
        <x:v>HAYS-0588</x:v>
      </x:c>
      <x:c r="B589" s="87" t="str">
        <x:v>Phacelia strictiflora</x:v>
      </x:c>
      <x:c r="C589" s="87" t="str">
        <x:v>Phacelia strictiflora</x:v>
      </x:c>
      <x:c r="D589" s="84" t="str">
        <x:v>Boraginaceae</x:v>
      </x:c>
      <x:c r="E589" s="84" t="str">
        <x:v>Phacelia</x:v>
      </x:c>
      <x:c r="F589" s="84" t="str">
        <x:v>Species</x:v>
      </x:c>
      <x:c r="G589" s="84" t="str">
        <x:v>Accepted</x:v>
      </x:c>
      <x:c r="H589" s="84" t="str">
        <x:v>Prairie Phacelia</x:v>
      </x:c>
      <x:c r="I589" s="84" t="str">
        <x:v>Annual</x:v>
      </x:c>
      <x:c r="J589" s="84" t="str">
        <x:v>Herb</x:v>
      </x:c>
      <x:c r="K589" s="84" t="str"/>
      <x:c r="L589" s="84" t="str"/>
      <x:c r="M589" s="89" t="n">
        <x:v>1</x:v>
      </x:c>
      <x:c r="N589" s="89" t="n">
        <x:v>1</x:v>
      </x:c>
      <x:c r="O589" s="89" t="n">
        <x:v>0</x:v>
      </x:c>
      <x:c r="P589" s="89" t="n">
        <x:f>SUM(M589:O589)</x:f>
        <x:v>2</x:v>
      </x:c>
      <x:c r="Q589" s="84" t="str">
        <x:v>Exact accepted-name match</x:v>
      </x:c>
      <x:c r="R589" s="84" t="str">
        <x:v>Phacelia strictiflora</x:v>
      </x:c>
      <x:c r="S589" s="84" t="str">
        <x:v>2530435</x:v>
      </x:c>
      <x:c r="T589" s="84" t="str">
        <x:v>2530435</x:v>
      </x:c>
      <x:c r="U589" s="84" t="str">
        <x:v>432785-1</x:v>
      </x:c>
      <x:c r="V589" s="84" t="str">
        <x:v>432785-1</x:v>
      </x:c>
      <x:c r="W589" s="84" t="str"/>
    </x:row>
    <x:row r="590" ht="18" customHeight="1">
      <x:c r="A590" s="83" t="str">
        <x:v>HAYS-0589</x:v>
      </x:c>
      <x:c r="B590" s="87" t="str">
        <x:v>Phalaris caroliniana</x:v>
      </x:c>
      <x:c r="C590" s="87" t="str">
        <x:v>Phalaris caroliniana</x:v>
      </x:c>
      <x:c r="D590" s="84" t="str">
        <x:v>Poaceae</x:v>
      </x:c>
      <x:c r="E590" s="84" t="str">
        <x:v>Phalaris</x:v>
      </x:c>
      <x:c r="F590" s="84" t="str">
        <x:v>Species</x:v>
      </x:c>
      <x:c r="G590" s="84" t="str">
        <x:v>Accepted</x:v>
      </x:c>
      <x:c r="H590" s="84" t="str">
        <x:v>Carolina Canarygrass, Maygrass</x:v>
      </x:c>
      <x:c r="I590" s="84" t="str">
        <x:v>Annual</x:v>
      </x:c>
      <x:c r="J590" s="84" t="str">
        <x:v>Grass/Grass-like</x:v>
      </x:c>
      <x:c r="K590" s="84" t="str"/>
      <x:c r="L590" s="84" t="str"/>
      <x:c r="M590" s="89" t="n">
        <x:v>1</x:v>
      </x:c>
      <x:c r="N590" s="89" t="n">
        <x:v>1</x:v>
      </x:c>
      <x:c r="O590" s="89" t="n">
        <x:v>0</x:v>
      </x:c>
      <x:c r="P590" s="89" t="n">
        <x:f>SUM(M590:O590)</x:f>
        <x:v>2</x:v>
      </x:c>
      <x:c r="Q590" s="84" t="str">
        <x:v>Exact accepted-name match</x:v>
      </x:c>
      <x:c r="R590" s="84" t="str">
        <x:v>Phalaris caroliniana</x:v>
      </x:c>
      <x:c r="S590" s="84" t="str">
        <x:v>433451</x:v>
      </x:c>
      <x:c r="T590" s="84" t="str">
        <x:v>433451</x:v>
      </x:c>
      <x:c r="U590" s="84" t="str">
        <x:v>415591-1</x:v>
      </x:c>
      <x:c r="V590" s="84" t="str">
        <x:v>415591-1</x:v>
      </x:c>
      <x:c r="W590" s="84" t="str"/>
    </x:row>
    <x:row r="591" ht="18" customHeight="1">
      <x:c r="A591" s="83" t="str">
        <x:v>HAYS-0590</x:v>
      </x:c>
      <x:c r="B591" s="87" t="str">
        <x:v>Phemeranthus aurantiacus</x:v>
      </x:c>
      <x:c r="C591" s="87" t="str">
        <x:v>Talinum aurantiacum</x:v>
      </x:c>
      <x:c r="D591" s="84" t="str">
        <x:v>Talinaceae</x:v>
      </x:c>
      <x:c r="E591" s="84" t="str">
        <x:v>Talinum</x:v>
      </x:c>
      <x:c r="F591" s="84" t="str">
        <x:v>Species</x:v>
      </x:c>
      <x:c r="G591" s="84" t="str">
        <x:v>Synonym</x:v>
      </x:c>
      <x:c r="H591" s="84" t="str">
        <x:v>Orange Flameflower, Flameflower, Fameflower, Talinum</x:v>
      </x:c>
      <x:c r="I591" s="84" t="str">
        <x:v>Perennial</x:v>
      </x:c>
      <x:c r="J591" s="84" t="str">
        <x:v>Subshrub</x:v>
      </x:c>
      <x:c r="K591" s="84" t="str">
        <x:v>Part-shade</x:v>
      </x:c>
      <x:c r="L591" s="84" t="str">
        <x:v>Dry</x:v>
      </x:c>
      <x:c r="M591" s="89" t="n">
        <x:v>1</x:v>
      </x:c>
      <x:c r="N591" s="89" t="n">
        <x:v>1</x:v>
      </x:c>
      <x:c r="O591" s="89" t="n">
        <x:v>0</x:v>
      </x:c>
      <x:c r="P591" s="89" t="n">
        <x:f>SUM(M591:O591)</x:f>
        <x:v>2</x:v>
      </x:c>
      <x:c r="Q591" s="84" t="str">
        <x:v>Exact synonym-name match</x:v>
      </x:c>
      <x:c r="R591" s="84" t="str">
        <x:v>Phemeranthus aurantiacus</x:v>
      </x:c>
      <x:c r="S591" s="84" t="str">
        <x:v>2574332</x:v>
      </x:c>
      <x:c r="T591" s="84" t="str">
        <x:v>2513113</x:v>
      </x:c>
      <x:c r="U591" s="84" t="str">
        <x:v>1177024-2</x:v>
      </x:c>
      <x:c r="V591" s="84" t="str">
        <x:v>249148-2</x:v>
      </x:c>
      <x:c r="W591" s="84" t="str"/>
    </x:row>
    <x:row r="592" ht="18" customHeight="1">
      <x:c r="A592" s="83" t="str">
        <x:v>HAYS-0591</x:v>
      </x:c>
      <x:c r="B592" s="87" t="str">
        <x:v>Philadelphus ernestii</x:v>
      </x:c>
      <x:c r="C592" s="87" t="str">
        <x:v>Philadelphus texensis var. ernestii</x:v>
      </x:c>
      <x:c r="D592" s="84" t="str">
        <x:v>Hydrangeaceae</x:v>
      </x:c>
      <x:c r="E592" s="84" t="str">
        <x:v>Philadelphus</x:v>
      </x:c>
      <x:c r="F592" s="84" t="str">
        <x:v>Species</x:v>
      </x:c>
      <x:c r="G592" s="84" t="str">
        <x:v>Synonym</x:v>
      </x:c>
      <x:c r="H592" s="84" t="str">
        <x:v>Canyon Mock Orange, Canyon Mock-orange, Mock-orange</x:v>
      </x:c>
      <x:c r="I592" s="84" t="str">
        <x:v>Perennial</x:v>
      </x:c>
      <x:c r="J592" s="84" t="str">
        <x:v>Shrub</x:v>
      </x:c>
      <x:c r="K592" s="84" t="str">
        <x:v>Sun, Part-shade</x:v>
      </x:c>
      <x:c r="L592" s="84" t="str">
        <x:v>Moist, Dry</x:v>
      </x:c>
      <x:c r="M592" s="89" t="n">
        <x:v>1</x:v>
      </x:c>
      <x:c r="N592" s="89" t="n">
        <x:v>1</x:v>
      </x:c>
      <x:c r="O592" s="89" t="n">
        <x:v>0</x:v>
      </x:c>
      <x:c r="P592" s="89" t="n">
        <x:f>SUM(M592:O592)</x:f>
        <x:v>2</x:v>
      </x:c>
      <x:c r="Q592" s="84" t="str">
        <x:v>Exact synonym-name match</x:v>
      </x:c>
      <x:c r="R592" s="84" t="str">
        <x:v>Philadelphus ernestii</x:v>
      </x:c>
      <x:c r="S592" s="84" t="str">
        <x:v>2530285</x:v>
      </x:c>
      <x:c r="T592" s="84" t="str">
        <x:v>3010038</x:v>
      </x:c>
      <x:c r="U592" s="84" t="str">
        <x:v>192773-2</x:v>
      </x:c>
      <x:c r="V592" s="84" t="str">
        <x:v>77159226-1</x:v>
      </x:c>
      <x:c r="W592" s="84" t="str"/>
    </x:row>
    <x:row r="593" ht="18" customHeight="1">
      <x:c r="A593" s="83" t="str">
        <x:v>HAYS-0592</x:v>
      </x:c>
      <x:c r="B593" s="87" t="str">
        <x:v>Philadelphus texensis</x:v>
      </x:c>
      <x:c r="C593" s="87" t="str">
        <x:v>Philadelphus texensis</x:v>
      </x:c>
      <x:c r="D593" s="84" t="str">
        <x:v>Hydrangeaceae</x:v>
      </x:c>
      <x:c r="E593" s="84" t="str">
        <x:v>Philadelphus</x:v>
      </x:c>
      <x:c r="F593" s="84" t="str">
        <x:v>Species</x:v>
      </x:c>
      <x:c r="G593" s="84" t="str">
        <x:v>Accepted</x:v>
      </x:c>
      <x:c r="H593" s="84" t="str">
        <x:v>Texas Mock Orange</x:v>
      </x:c>
      <x:c r="I593" s="84" t="str">
        <x:v>Perennial</x:v>
      </x:c>
      <x:c r="J593" s="84" t="str">
        <x:v>Shrub</x:v>
      </x:c>
      <x:c r="K593" s="84" t="str">
        <x:v>Sun, Part Shade</x:v>
      </x:c>
      <x:c r="L593" s="84" t="str">
        <x:v>Medium</x:v>
      </x:c>
      <x:c r="M593" s="89" t="n">
        <x:v>0</x:v>
      </x:c>
      <x:c r="N593" s="89" t="n">
        <x:v>0</x:v>
      </x:c>
      <x:c r="O593" s="89" t="n">
        <x:v>1</x:v>
      </x:c>
      <x:c r="P593" s="89" t="n">
        <x:f>SUM(M593:O593)</x:f>
        <x:v>1</x:v>
      </x:c>
      <x:c r="Q593" s="84" t="str">
        <x:v>Exact accepted-name match</x:v>
      </x:c>
      <x:c r="R593" s="84" t="str">
        <x:v>Philadelphus texensis</x:v>
      </x:c>
      <x:c r="S593" s="84" t="str">
        <x:v>2529975</x:v>
      </x:c>
      <x:c r="T593" s="84" t="str">
        <x:v>2529975</x:v>
      </x:c>
      <x:c r="U593" s="84" t="str">
        <x:v>192859-2</x:v>
      </x:c>
      <x:c r="V593" s="84" t="str">
        <x:v>192859-2</x:v>
      </x:c>
      <x:c r="W593" s="84" t="str"/>
    </x:row>
    <x:row r="594" ht="18" customHeight="1">
      <x:c r="A594" s="83" t="str">
        <x:v>HAYS-0593</x:v>
      </x:c>
      <x:c r="B594" s="87" t="str">
        <x:v>Phlox drummondii</x:v>
      </x:c>
      <x:c r="C594" s="87" t="str">
        <x:v>Phlox drummondii</x:v>
      </x:c>
      <x:c r="D594" s="84" t="str">
        <x:v>Polemoniaceae</x:v>
      </x:c>
      <x:c r="E594" s="84" t="str">
        <x:v>Phlox</x:v>
      </x:c>
      <x:c r="F594" s="84" t="str">
        <x:v>Species</x:v>
      </x:c>
      <x:c r="G594" s="84" t="str">
        <x:v>Accepted</x:v>
      </x:c>
      <x:c r="H594" s="84" t="str">
        <x:v>Annual Phlox, Drummond Phlox, Pride-of-Texas, Texas Pride</x:v>
      </x:c>
      <x:c r="I594" s="84" t="str">
        <x:v>Annual</x:v>
      </x:c>
      <x:c r="J594" s="84" t="str">
        <x:v>Herb</x:v>
      </x:c>
      <x:c r="K594" s="84" t="str">
        <x:v>Sun</x:v>
      </x:c>
      <x:c r="L594" s="84" t="str">
        <x:v>Medium</x:v>
      </x:c>
      <x:c r="M594" s="89" t="n">
        <x:v>1</x:v>
      </x:c>
      <x:c r="N594" s="89" t="n">
        <x:v>1</x:v>
      </x:c>
      <x:c r="O594" s="89" t="n">
        <x:v>1</x:v>
      </x:c>
      <x:c r="P594" s="89" t="n">
        <x:f>SUM(M594:O594)</x:f>
        <x:v>3</x:v>
      </x:c>
      <x:c r="Q594" s="84" t="str">
        <x:v>Exact accepted-name match</x:v>
      </x:c>
      <x:c r="R594" s="84" t="str">
        <x:v>Phlox drummondii</x:v>
      </x:c>
      <x:c r="S594" s="84" t="str">
        <x:v>2567292</x:v>
      </x:c>
      <x:c r="T594" s="84" t="str">
        <x:v>2567292</x:v>
      </x:c>
      <x:c r="U594" s="84" t="str">
        <x:v>193463-2</x:v>
      </x:c>
      <x:c r="V594" s="84" t="str">
        <x:v>193463-2</x:v>
      </x:c>
      <x:c r="W594" s="84" t="str"/>
    </x:row>
    <x:row r="595" ht="18" customHeight="1">
      <x:c r="A595" s="83" t="str">
        <x:v>HAYS-0594</x:v>
      </x:c>
      <x:c r="B595" s="87" t="str">
        <x:v>Phlox pilosa</x:v>
      </x:c>
      <x:c r="C595" s="87" t="str">
        <x:v>Phlox pilosa</x:v>
      </x:c>
      <x:c r="D595" s="84" t="str">
        <x:v>Polemoniaceae</x:v>
      </x:c>
      <x:c r="E595" s="84" t="str">
        <x:v>Phlox</x:v>
      </x:c>
      <x:c r="F595" s="84" t="str">
        <x:v>Species</x:v>
      </x:c>
      <x:c r="G595" s="84" t="str">
        <x:v>Accepted</x:v>
      </x:c>
      <x:c r="H595" s="84" t="str">
        <x:v>Downy Phlox, Prairie Phlox, Fragrant Phlox</x:v>
      </x:c>
      <x:c r="I595" s="84" t="str">
        <x:v>Perennial</x:v>
      </x:c>
      <x:c r="J595" s="84" t="str">
        <x:v>Herb</x:v>
      </x:c>
      <x:c r="K595" s="84" t="str">
        <x:v>Sun, Part Shade</x:v>
      </x:c>
      <x:c r="L595" s="84" t="str">
        <x:v>Medium</x:v>
      </x:c>
      <x:c r="M595" s="89" t="n">
        <x:v>0</x:v>
      </x:c>
      <x:c r="N595" s="89" t="n">
        <x:v>0</x:v>
      </x:c>
      <x:c r="O595" s="89" t="n">
        <x:v>1</x:v>
      </x:c>
      <x:c r="P595" s="89" t="n">
        <x:f>SUM(M595:O595)</x:f>
        <x:v>1</x:v>
      </x:c>
      <x:c r="Q595" s="84" t="str">
        <x:v>Exact accepted-name match</x:v>
      </x:c>
      <x:c r="R595" s="84" t="str">
        <x:v>Phlox pilosa</x:v>
      </x:c>
      <x:c r="S595" s="84" t="str">
        <x:v>2566037</x:v>
      </x:c>
      <x:c r="T595" s="84" t="str">
        <x:v>2566037</x:v>
      </x:c>
      <x:c r="U595" s="84" t="str">
        <x:v>193620-2</x:v>
      </x:c>
      <x:c r="V595" s="84" t="str">
        <x:v>193620-2</x:v>
      </x:c>
      <x:c r="W595" s="84" t="str"/>
    </x:row>
    <x:row r="596" ht="18" customHeight="1">
      <x:c r="A596" s="83" t="str">
        <x:v>HAYS-0595</x:v>
      </x:c>
      <x:c r="B596" s="87" t="str">
        <x:v>Phlox pilosa ssp. riparia</x:v>
      </x:c>
      <x:c r="C596" s="87" t="str">
        <x:v>Phlox pilosa subsp. riparia</x:v>
      </x:c>
      <x:c r="D596" s="84" t="str">
        <x:v>Polemoniaceae</x:v>
      </x:c>
      <x:c r="E596" s="84" t="str">
        <x:v>Phlox</x:v>
      </x:c>
      <x:c r="F596" s="84" t="str">
        <x:v>Subspecies</x:v>
      </x:c>
      <x:c r="G596" s="84" t="str">
        <x:v>Accepted</x:v>
      </x:c>
      <x:c r="H596" s="84" t="str">
        <x:v>Streamside Phlox</x:v>
      </x:c>
      <x:c r="I596" s="84" t="str">
        <x:v>Perennial</x:v>
      </x:c>
      <x:c r="J596" s="84" t="str">
        <x:v>Herb, Subshrub</x:v>
      </x:c>
      <x:c r="K596" s="84" t="str"/>
      <x:c r="L596" s="84" t="str"/>
      <x:c r="M596" s="89" t="n">
        <x:v>1</x:v>
      </x:c>
      <x:c r="N596" s="89" t="n">
        <x:v>1</x:v>
      </x:c>
      <x:c r="O596" s="89" t="n">
        <x:v>0</x:v>
      </x:c>
      <x:c r="P596" s="89" t="n">
        <x:f>SUM(M596:O596)</x:f>
        <x:v>2</x:v>
      </x:c>
      <x:c r="Q596" s="84" t="str">
        <x:v>Exact accepted-name match</x:v>
      </x:c>
      <x:c r="R596" s="84" t="str">
        <x:v>Phlox pilosa subsp. riparia</x:v>
      </x:c>
      <x:c r="S596" s="84" t="str">
        <x:v>2575328</x:v>
      </x:c>
      <x:c r="T596" s="84" t="str">
        <x:v>2575328</x:v>
      </x:c>
      <x:c r="U596" s="84" t="str">
        <x:v>193632-2</x:v>
      </x:c>
      <x:c r="V596" s="84" t="str">
        <x:v>193632-2</x:v>
      </x:c>
      <x:c r="W596" s="84" t="str"/>
    </x:row>
    <x:row r="597" ht="18" customHeight="1">
      <x:c r="A597" s="83" t="str">
        <x:v>HAYS-0596</x:v>
      </x:c>
      <x:c r="B597" s="87" t="str">
        <x:v>Phlox roemeriana</x:v>
      </x:c>
      <x:c r="C597" s="87" t="str">
        <x:v>Phlox roemeriana</x:v>
      </x:c>
      <x:c r="D597" s="84" t="str">
        <x:v>Polemoniaceae</x:v>
      </x:c>
      <x:c r="E597" s="84" t="str">
        <x:v>Phlox</x:v>
      </x:c>
      <x:c r="F597" s="84" t="str">
        <x:v>Species</x:v>
      </x:c>
      <x:c r="G597" s="84" t="str">
        <x:v>Accepted</x:v>
      </x:c>
      <x:c r="H597" s="84" t="str">
        <x:v>Goldeneye Phlox, Golden-eye Phlox</x:v>
      </x:c>
      <x:c r="I597" s="84" t="str">
        <x:v>Annual</x:v>
      </x:c>
      <x:c r="J597" s="84" t="str">
        <x:v>Herb</x:v>
      </x:c>
      <x:c r="K597" s="84" t="str">
        <x:v>Part-shade</x:v>
      </x:c>
      <x:c r="L597" s="84" t="str">
        <x:v>Dry</x:v>
      </x:c>
      <x:c r="M597" s="89" t="n">
        <x:v>1</x:v>
      </x:c>
      <x:c r="N597" s="89" t="n">
        <x:v>1</x:v>
      </x:c>
      <x:c r="O597" s="89" t="n">
        <x:v>0</x:v>
      </x:c>
      <x:c r="P597" s="89" t="n">
        <x:f>SUM(M597:O597)</x:f>
        <x:v>2</x:v>
      </x:c>
      <x:c r="Q597" s="84" t="str">
        <x:v>Exact accepted-name match</x:v>
      </x:c>
      <x:c r="R597" s="84" t="str">
        <x:v>Phlox roemeriana</x:v>
      </x:c>
      <x:c r="S597" s="84" t="str">
        <x:v>2566148</x:v>
      </x:c>
      <x:c r="T597" s="84" t="str">
        <x:v>2566148</x:v>
      </x:c>
      <x:c r="U597" s="84" t="str">
        <x:v>193651-2</x:v>
      </x:c>
      <x:c r="V597" s="84" t="str">
        <x:v>193651-2</x:v>
      </x:c>
      <x:c r="W597" s="84" t="str"/>
    </x:row>
    <x:row r="598" ht="18" customHeight="1">
      <x:c r="A598" s="83" t="str">
        <x:v>HAYS-0597</x:v>
      </x:c>
      <x:c r="B598" s="87" t="str">
        <x:v>Phoradendron tomentosum</x:v>
      </x:c>
      <x:c r="C598" s="87" t="str">
        <x:v>Phoradendron leucarpum</x:v>
      </x:c>
      <x:c r="D598" s="84" t="str">
        <x:v>Santalaceae</x:v>
      </x:c>
      <x:c r="E598" s="84" t="str">
        <x:v>Phoradendron</x:v>
      </x:c>
      <x:c r="F598" s="84" t="str">
        <x:v>Species</x:v>
      </x:c>
      <x:c r="G598" s="84" t="str">
        <x:v>Synonym</x:v>
      </x:c>
      <x:c r="H598" s="84" t="str">
        <x:v>Christmas Mistletoe, Mistletoe, Injerto</x:v>
      </x:c>
      <x:c r="I598" s="84" t="str">
        <x:v>Perennial</x:v>
      </x:c>
      <x:c r="J598" s="84" t="str">
        <x:v>Subshrub</x:v>
      </x:c>
      <x:c r="K598" s="84" t="str"/>
      <x:c r="L598" s="84" t="str"/>
      <x:c r="M598" s="89" t="n">
        <x:v>1</x:v>
      </x:c>
      <x:c r="N598" s="89" t="n">
        <x:v>1</x:v>
      </x:c>
      <x:c r="O598" s="89" t="n">
        <x:v>0</x:v>
      </x:c>
      <x:c r="P598" s="89" t="n">
        <x:f>SUM(M598:O598)</x:f>
        <x:v>2</x:v>
      </x:c>
      <x:c r="Q598" s="84" t="str">
        <x:v>Exact synonym-name match</x:v>
      </x:c>
      <x:c r="R598" s="84" t="str">
        <x:v>Phoradendron tomentosum</x:v>
      </x:c>
      <x:c r="S598" s="84" t="str">
        <x:v>2545405</x:v>
      </x:c>
      <x:c r="T598" s="84" t="str">
        <x:v>2548198</x:v>
      </x:c>
      <x:c r="U598" s="84" t="str">
        <x:v>551098-1</x:v>
      </x:c>
      <x:c r="V598" s="84" t="str">
        <x:v>1085915-2</x:v>
      </x:c>
      <x:c r="W598" s="84" t="str"/>
    </x:row>
    <x:row r="599" ht="18" customHeight="1">
      <x:c r="A599" s="83" t="str">
        <x:v>HAYS-0598</x:v>
      </x:c>
      <x:c r="B599" s="87" t="str">
        <x:v>Phyla nodiflora</x:v>
      </x:c>
      <x:c r="C599" s="87" t="str">
        <x:v>Phyla nodiflora</x:v>
      </x:c>
      <x:c r="D599" s="84" t="str">
        <x:v>Verbenaceae</x:v>
      </x:c>
      <x:c r="E599" s="84" t="str">
        <x:v>Phyla</x:v>
      </x:c>
      <x:c r="F599" s="84" t="str">
        <x:v>Species</x:v>
      </x:c>
      <x:c r="G599" s="84" t="str">
        <x:v>Accepted</x:v>
      </x:c>
      <x:c r="H599" s="84" t="str">
        <x:v>Texas Frogfruit, Turkey Tangle Fogfruit, Frogfruit</x:v>
      </x:c>
      <x:c r="I599" s="84" t="str">
        <x:v>Perennial Habit: Herb Leaf Retention: Semi-evergreen Fruit Type: Caryopsis , Schizocarp Size Notes: Up to about 6 inches tall. Leaf: Green, with reddish or purplish tinge in cold winters. Fruit: Separates into 2 nutlets.</x:v>
      </x:c>
      <x:c r="J599" s="84" t="str">
        <x:v>Herb</x:v>
      </x:c>
      <x:c r="K599" s="84" t="str">
        <x:v>Sun, Part Shade</x:v>
      </x:c>
      <x:c r="L599" s="84" t="str">
        <x:v>Low–Medium</x:v>
      </x:c>
      <x:c r="M599" s="89" t="n">
        <x:v>1</x:v>
      </x:c>
      <x:c r="N599" s="89" t="n">
        <x:v>1</x:v>
      </x:c>
      <x:c r="O599" s="89" t="n">
        <x:v>1</x:v>
      </x:c>
      <x:c r="P599" s="89" t="n">
        <x:f>SUM(M599:O599)</x:f>
        <x:v>3</x:v>
      </x:c>
      <x:c r="Q599" s="84" t="str">
        <x:v>Exact accepted-name match</x:v>
      </x:c>
      <x:c r="R599" s="84" t="str">
        <x:v>Phyla nodiflora</x:v>
      </x:c>
      <x:c r="S599" s="84" t="str">
        <x:v>153218</x:v>
      </x:c>
      <x:c r="T599" s="84" t="str">
        <x:v>153218</x:v>
      </x:c>
      <x:c r="U599" s="84" t="str">
        <x:v>194567-2</x:v>
      </x:c>
      <x:c r="V599" s="84" t="str">
        <x:v>194567-2</x:v>
      </x:c>
      <x:c r="W599" s="84" t="str"/>
    </x:row>
    <x:row r="600" ht="18" customHeight="1">
      <x:c r="A600" s="83" t="str">
        <x:v>HAYS-0599</x:v>
      </x:c>
      <x:c r="B600" s="87" t="str">
        <x:v>Phyllanthus polygonoides</x:v>
      </x:c>
      <x:c r="C600" s="87" t="str">
        <x:v>Phyllanthus polygonoides</x:v>
      </x:c>
      <x:c r="D600" s="84" t="str">
        <x:v>Phyllanthaceae</x:v>
      </x:c>
      <x:c r="E600" s="84" t="str">
        <x:v>Phyllanthus</x:v>
      </x:c>
      <x:c r="F600" s="84" t="str">
        <x:v>Species</x:v>
      </x:c>
      <x:c r="G600" s="84" t="str">
        <x:v>Accepted</x:v>
      </x:c>
      <x:c r="H600" s="84" t="str">
        <x:v>Smartweed Leaf-flower, Knotweed Leafflower</x:v>
      </x:c>
      <x:c r="I600" s="84" t="str">
        <x:v>Perennial</x:v>
      </x:c>
      <x:c r="J600" s="84" t="str">
        <x:v>Subshrub</x:v>
      </x:c>
      <x:c r="K600" s="84" t="str"/>
      <x:c r="L600" s="84" t="str"/>
      <x:c r="M600" s="89" t="n">
        <x:v>1</x:v>
      </x:c>
      <x:c r="N600" s="89" t="n">
        <x:v>1</x:v>
      </x:c>
      <x:c r="O600" s="89" t="n">
        <x:v>0</x:v>
      </x:c>
      <x:c r="P600" s="89" t="n">
        <x:f>SUM(M600:O600)</x:f>
        <x:v>2</x:v>
      </x:c>
      <x:c r="Q600" s="84" t="str">
        <x:v>Exact accepted-name match</x:v>
      </x:c>
      <x:c r="R600" s="84" t="str">
        <x:v>Phyllanthus polygonoides</x:v>
      </x:c>
      <x:c r="S600" s="84" t="str">
        <x:v>154678</x:v>
      </x:c>
      <x:c r="T600" s="84" t="str">
        <x:v>154678</x:v>
      </x:c>
      <x:c r="U600" s="84" t="str">
        <x:v>194967-2</x:v>
      </x:c>
      <x:c r="V600" s="84" t="str">
        <x:v>194967-2</x:v>
      </x:c>
      <x:c r="W600" s="84" t="str"/>
    </x:row>
    <x:row r="601" ht="18" customHeight="1">
      <x:c r="A601" s="83" t="str">
        <x:v>HAYS-0600</x:v>
      </x:c>
      <x:c r="B601" s="87" t="str">
        <x:v>Physalis cinerascens</x:v>
      </x:c>
      <x:c r="C601" s="87" t="str">
        <x:v>Physalis cinerascens</x:v>
      </x:c>
      <x:c r="D601" s="84" t="str">
        <x:v>Solanaceae</x:v>
      </x:c>
      <x:c r="E601" s="84" t="str">
        <x:v>Physalis</x:v>
      </x:c>
      <x:c r="F601" s="84" t="str">
        <x:v>Species</x:v>
      </x:c>
      <x:c r="G601" s="84" t="str">
        <x:v>Accepted</x:v>
      </x:c>
      <x:c r="H601" s="84" t="str">
        <x:v>Smallflower Groundcherry</x:v>
      </x:c>
      <x:c r="I601" s="84" t="str">
        <x:v>Perennial</x:v>
      </x:c>
      <x:c r="J601" s="84" t="str">
        <x:v>Herb</x:v>
      </x:c>
      <x:c r="K601" s="84" t="str"/>
      <x:c r="L601" s="84" t="str"/>
      <x:c r="M601" s="89" t="n">
        <x:v>1</x:v>
      </x:c>
      <x:c r="N601" s="89" t="n">
        <x:v>1</x:v>
      </x:c>
      <x:c r="O601" s="89" t="n">
        <x:v>0</x:v>
      </x:c>
      <x:c r="P601" s="89" t="n">
        <x:f>SUM(M601:O601)</x:f>
        <x:v>2</x:v>
      </x:c>
      <x:c r="Q601" s="84" t="str">
        <x:v>Exact accepted-name match</x:v>
      </x:c>
      <x:c r="R601" s="84" t="str">
        <x:v>Physalis cinerascens</x:v>
      </x:c>
      <x:c r="S601" s="84" t="str">
        <x:v>2549667</x:v>
      </x:c>
      <x:c r="T601" s="84" t="str">
        <x:v>2549667</x:v>
      </x:c>
      <x:c r="U601" s="84" t="str">
        <x:v>817365-1</x:v>
      </x:c>
      <x:c r="V601" s="84" t="str">
        <x:v>817365-1</x:v>
      </x:c>
      <x:c r="W601" s="84" t="str"/>
    </x:row>
    <x:row r="602" ht="18" customHeight="1">
      <x:c r="A602" s="83" t="str">
        <x:v>HAYS-0601</x:v>
      </x:c>
      <x:c r="B602" s="87" t="str">
        <x:v>Physostegia angustifolia</x:v>
      </x:c>
      <x:c r="C602" s="87" t="str">
        <x:v>Physostegia angustifolia</x:v>
      </x:c>
      <x:c r="D602" s="84" t="str">
        <x:v>Lamiaceae</x:v>
      </x:c>
      <x:c r="E602" s="84" t="str">
        <x:v>Physostegia</x:v>
      </x:c>
      <x:c r="F602" s="84" t="str">
        <x:v>Species</x:v>
      </x:c>
      <x:c r="G602" s="84" t="str">
        <x:v>Accepted</x:v>
      </x:c>
      <x:c r="H602" s="84" t="str">
        <x:v>Spring Obedient / Flase Dragon Head</x:v>
      </x:c>
      <x:c r="I602" s="84" t="str">
        <x:v>Perennial</x:v>
      </x:c>
      <x:c r="J602" s="84" t="str">
        <x:v>Herb</x:v>
      </x:c>
      <x:c r="K602" s="84" t="str">
        <x:v>Full Sun to Part Shade</x:v>
      </x:c>
      <x:c r="L602" s="84" t="str">
        <x:v>Moist</x:v>
      </x:c>
      <x:c r="M602" s="89" t="n">
        <x:v>1</x:v>
      </x:c>
      <x:c r="N602" s="89" t="n">
        <x:v>1</x:v>
      </x:c>
      <x:c r="O602" s="89" t="n">
        <x:v>1</x:v>
      </x:c>
      <x:c r="P602" s="89" t="n">
        <x:f>SUM(M602:O602)</x:f>
        <x:v>3</x:v>
      </x:c>
      <x:c r="Q602" s="84" t="str">
        <x:v>Exact accepted-name match</x:v>
      </x:c>
      <x:c r="R602" s="84" t="str">
        <x:v>Physostegia angustifolia</x:v>
      </x:c>
      <x:c r="S602" s="84" t="str">
        <x:v>155790</x:v>
      </x:c>
      <x:c r="T602" s="84" t="str">
        <x:v>155790</x:v>
      </x:c>
      <x:c r="U602" s="84" t="str">
        <x:v>195659-2</x:v>
      </x:c>
      <x:c r="V602" s="84" t="str">
        <x:v>195659-2</x:v>
      </x:c>
      <x:c r="W602" s="84" t="str"/>
    </x:row>
    <x:row r="603" ht="18" customHeight="1">
      <x:c r="A603" s="83" t="str">
        <x:v>HAYS-0602</x:v>
      </x:c>
      <x:c r="B603" s="87" t="str">
        <x:v>Physostegia correllii</x:v>
      </x:c>
      <x:c r="C603" s="87" t="str">
        <x:v>Physostegia correllii</x:v>
      </x:c>
      <x:c r="D603" s="84" t="str">
        <x:v>Lamiaceae</x:v>
      </x:c>
      <x:c r="E603" s="84" t="str">
        <x:v>Physostegia</x:v>
      </x:c>
      <x:c r="F603" s="84" t="str">
        <x:v>Species</x:v>
      </x:c>
      <x:c r="G603" s="84" t="str">
        <x:v>Accepted</x:v>
      </x:c>
      <x:c r="H603" s="84" t="str">
        <x:v>Correll's False Dragonhead</x:v>
      </x:c>
      <x:c r="I603" s="84" t="str">
        <x:v>Perennial</x:v>
      </x:c>
      <x:c r="J603" s="84" t="str">
        <x:v>Herb</x:v>
      </x:c>
      <x:c r="K603" s="84" t="str">
        <x:v>Sun, Part Shade</x:v>
      </x:c>
      <x:c r="L603" s="84" t="str">
        <x:v>Wet</x:v>
      </x:c>
      <x:c r="M603" s="89" t="n">
        <x:v>0</x:v>
      </x:c>
      <x:c r="N603" s="89" t="n">
        <x:v>0</x:v>
      </x:c>
      <x:c r="O603" s="89" t="n">
        <x:v>1</x:v>
      </x:c>
      <x:c r="P603" s="89" t="n">
        <x:f>SUM(M603:O603)</x:f>
        <x:v>1</x:v>
      </x:c>
      <x:c r="Q603" s="84" t="str">
        <x:v>Exact accepted-name match</x:v>
      </x:c>
      <x:c r="R603" s="84" t="str">
        <x:v>Physostegia correllii</x:v>
      </x:c>
      <x:c r="S603" s="84" t="str">
        <x:v>155791</x:v>
      </x:c>
      <x:c r="T603" s="84" t="str">
        <x:v>155791</x:v>
      </x:c>
      <x:c r="U603" s="84" t="str">
        <x:v>195660-2</x:v>
      </x:c>
      <x:c r="V603" s="84" t="str">
        <x:v>195660-2</x:v>
      </x:c>
      <x:c r="W603" s="84" t="str"/>
    </x:row>
    <x:row r="604" ht="18" customHeight="1">
      <x:c r="A604" s="83" t="str">
        <x:v>HAYS-0603</x:v>
      </x:c>
      <x:c r="B604" s="87" t="str">
        <x:v>Physostegia virginiana</x:v>
      </x:c>
      <x:c r="C604" s="87" t="str">
        <x:v>Physostegia virginiana</x:v>
      </x:c>
      <x:c r="D604" s="84" t="str">
        <x:v>Lamiaceae</x:v>
      </x:c>
      <x:c r="E604" s="84" t="str">
        <x:v>Physostegia</x:v>
      </x:c>
      <x:c r="F604" s="84" t="str">
        <x:v>Species</x:v>
      </x:c>
      <x:c r="G604" s="84" t="str">
        <x:v>Accepted</x:v>
      </x:c>
      <x:c r="H604" s="84" t="str">
        <x:v>Fall Obedient Plant, False Dragonhead, Virginia Lions-heart</x:v>
      </x:c>
      <x:c r="I604" s="84" t="str">
        <x:v>Perennial</x:v>
      </x:c>
      <x:c r="J604" s="84" t="str">
        <x:v>Herb</x:v>
      </x:c>
      <x:c r="K604" s="84" t="str">
        <x:v>Sun, Part Shade</x:v>
      </x:c>
      <x:c r="L604" s="84" t="str">
        <x:v>Medium–Wet</x:v>
      </x:c>
      <x:c r="M604" s="89" t="n">
        <x:v>0</x:v>
      </x:c>
      <x:c r="N604" s="89" t="n">
        <x:v>0</x:v>
      </x:c>
      <x:c r="O604" s="89" t="n">
        <x:v>1</x:v>
      </x:c>
      <x:c r="P604" s="89" t="n">
        <x:f>SUM(M604:O604)</x:f>
        <x:v>1</x:v>
      </x:c>
      <x:c r="Q604" s="84" t="str">
        <x:v>Exact accepted-name match</x:v>
      </x:c>
      <x:c r="R604" s="84" t="str">
        <x:v>Physostegia virginiana</x:v>
      </x:c>
      <x:c r="S604" s="84" t="str">
        <x:v>155820</x:v>
      </x:c>
      <x:c r="T604" s="84" t="str">
        <x:v>155820</x:v>
      </x:c>
      <x:c r="U604" s="84" t="str">
        <x:v>30043311-2</x:v>
      </x:c>
      <x:c r="V604" s="84" t="str">
        <x:v>30043311-2</x:v>
      </x:c>
      <x:c r="W604" s="84" t="str"/>
    </x:row>
    <x:row r="605" ht="18" customHeight="1">
      <x:c r="A605" s="83" t="str">
        <x:v>HAYS-0604</x:v>
      </x:c>
      <x:c r="B605" s="87" t="str">
        <x:v>Phytolacca americana</x:v>
      </x:c>
      <x:c r="C605" s="87" t="str">
        <x:v>Phytolacca americana</x:v>
      </x:c>
      <x:c r="D605" s="84" t="str">
        <x:v>Phytolaccaceae</x:v>
      </x:c>
      <x:c r="E605" s="84" t="str">
        <x:v>Phytolacca</x:v>
      </x:c>
      <x:c r="F605" s="84" t="str">
        <x:v>Species</x:v>
      </x:c>
      <x:c r="G605" s="84" t="str">
        <x:v>Accepted</x:v>
      </x:c>
      <x:c r="H605" s="84" t="str">
        <x:v>American Pokeweed, Great Pokeweed, Pokeweed, Pokeberry, Red Ink Plant, Pigeonberry</x:v>
      </x:c>
      <x:c r="I605" s="84" t="str">
        <x:v>Perennial</x:v>
      </x:c>
      <x:c r="J605" s="84" t="str">
        <x:v>Herb</x:v>
      </x:c>
      <x:c r="K605" s="84" t="str">
        <x:v>Part-shade</x:v>
      </x:c>
      <x:c r="L605" s="84" t="str">
        <x:v>Moist</x:v>
      </x:c>
      <x:c r="M605" s="89" t="n">
        <x:v>1</x:v>
      </x:c>
      <x:c r="N605" s="89" t="n">
        <x:v>1</x:v>
      </x:c>
      <x:c r="O605" s="89" t="n">
        <x:v>0</x:v>
      </x:c>
      <x:c r="P605" s="89" t="n">
        <x:f>SUM(M605:O605)</x:f>
        <x:v>2</x:v>
      </x:c>
      <x:c r="Q605" s="84" t="str">
        <x:v>Exact accepted-name match</x:v>
      </x:c>
      <x:c r="R605" s="84" t="str">
        <x:v>Phytolacca americana</x:v>
      </x:c>
      <x:c r="S605" s="84" t="str">
        <x:v>2562777</x:v>
      </x:c>
      <x:c r="T605" s="84" t="str">
        <x:v>2562777</x:v>
      </x:c>
      <x:c r="U605" s="84" t="str">
        <x:v>323290-2</x:v>
      </x:c>
      <x:c r="V605" s="84" t="str">
        <x:v>323290-2</x:v>
      </x:c>
      <x:c r="W605" s="84" t="str"/>
    </x:row>
    <x:row r="606" ht="18" customHeight="1">
      <x:c r="A606" s="83" t="str">
        <x:v>HAYS-0605</x:v>
      </x:c>
      <x:c r="B606" s="87" t="str">
        <x:v>Pilostyles thurberi</x:v>
      </x:c>
      <x:c r="C606" s="87" t="str">
        <x:v>Pilostyles thurberi</x:v>
      </x:c>
      <x:c r="D606" s="84" t="str">
        <x:v>Apodanthaceae</x:v>
      </x:c>
      <x:c r="E606" s="84" t="str">
        <x:v>Pilostyles</x:v>
      </x:c>
      <x:c r="F606" s="84" t="str">
        <x:v>Species</x:v>
      </x:c>
      <x:c r="G606" s="84" t="str">
        <x:v>Accepted</x:v>
      </x:c>
      <x:c r="H606" s="84" t="str">
        <x:v>Thurber's Stemsucker, Pilostyles</x:v>
      </x:c>
      <x:c r="I606" s="84" t="str">
        <x:v>Perennial</x:v>
      </x:c>
      <x:c r="J606" s="84" t="str">
        <x:v>Herb</x:v>
      </x:c>
      <x:c r="K606" s="84" t="str"/>
      <x:c r="L606" s="84" t="str"/>
      <x:c r="M606" s="89" t="n">
        <x:v>1</x:v>
      </x:c>
      <x:c r="N606" s="89" t="n">
        <x:v>1</x:v>
      </x:c>
      <x:c r="O606" s="89" t="n">
        <x:v>0</x:v>
      </x:c>
      <x:c r="P606" s="89" t="n">
        <x:f>SUM(M606:O606)</x:f>
        <x:v>2</x:v>
      </x:c>
      <x:c r="Q606" s="84" t="str">
        <x:v>Exact accepted-name match</x:v>
      </x:c>
      <x:c r="R606" s="84" t="str">
        <x:v>Pilostyles thurberi</x:v>
      </x:c>
      <x:c r="S606" s="84" t="str">
        <x:v>2544443</x:v>
      </x:c>
      <x:c r="T606" s="84" t="str">
        <x:v>2544443</x:v>
      </x:c>
      <x:c r="U606" s="84" t="str">
        <x:v>316065-1</x:v>
      </x:c>
      <x:c r="V606" s="84" t="str">
        <x:v>316065-1</x:v>
      </x:c>
      <x:c r="W606" s="84" t="str"/>
    </x:row>
    <x:row r="607" ht="18" customHeight="1">
      <x:c r="A607" s="83" t="str">
        <x:v>HAYS-0606</x:v>
      </x:c>
      <x:c r="B607" s="87" t="str">
        <x:v>Pinaropappus roseus</x:v>
      </x:c>
      <x:c r="C607" s="87" t="str">
        <x:v>Pinaropappus roseus</x:v>
      </x:c>
      <x:c r="D607" s="84" t="str">
        <x:v>Asteraceae</x:v>
      </x:c>
      <x:c r="E607" s="84" t="str">
        <x:v>Pinaropappus</x:v>
      </x:c>
      <x:c r="F607" s="84" t="str">
        <x:v>Species</x:v>
      </x:c>
      <x:c r="G607" s="84" t="str">
        <x:v>Accepted</x:v>
      </x:c>
      <x:c r="H607" s="84" t="str">
        <x:v>White Rocklettuce, White Dandelion, Pink Dandelion, White Rock Lettuce</x:v>
      </x:c>
      <x:c r="I607" s="84" t="str">
        <x:v>Perennial</x:v>
      </x:c>
      <x:c r="J607" s="84" t="str">
        <x:v>Herb</x:v>
      </x:c>
      <x:c r="K607" s="84" t="str"/>
      <x:c r="L607" s="84" t="str"/>
      <x:c r="M607" s="89" t="n">
        <x:v>1</x:v>
      </x:c>
      <x:c r="N607" s="89" t="n">
        <x:v>1</x:v>
      </x:c>
      <x:c r="O607" s="89" t="n">
        <x:v>0</x:v>
      </x:c>
      <x:c r="P607" s="89" t="n">
        <x:f>SUM(M607:O607)</x:f>
        <x:v>2</x:v>
      </x:c>
      <x:c r="Q607" s="84" t="str">
        <x:v>Exact accepted-name match</x:v>
      </x:c>
      <x:c r="R607" s="84" t="str">
        <x:v>Pinaropappus roseus</x:v>
      </x:c>
      <x:c r="S607" s="84" t="str">
        <x:v>3063785</x:v>
      </x:c>
      <x:c r="T607" s="84" t="str">
        <x:v>3063785</x:v>
      </x:c>
      <x:c r="U607" s="84" t="str">
        <x:v>238407-1</x:v>
      </x:c>
      <x:c r="V607" s="84" t="str">
        <x:v>238407-1</x:v>
      </x:c>
      <x:c r="W607" s="84" t="str"/>
    </x:row>
    <x:row r="608" ht="18" customHeight="1">
      <x:c r="A608" s="83" t="str">
        <x:v>HAYS-0607</x:v>
      </x:c>
      <x:c r="B608" s="87" t="str">
        <x:v>Pistia stratiotes</x:v>
      </x:c>
      <x:c r="C608" s="87" t="str">
        <x:v>Pistia stratiotes</x:v>
      </x:c>
      <x:c r="D608" s="84" t="str">
        <x:v>Araceae</x:v>
      </x:c>
      <x:c r="E608" s="84" t="str">
        <x:v>Pistia</x:v>
      </x:c>
      <x:c r="F608" s="84" t="str">
        <x:v>Species</x:v>
      </x:c>
      <x:c r="G608" s="84" t="str">
        <x:v>Accepted</x:v>
      </x:c>
      <x:c r="H608" s="84" t="str">
        <x:v>Water Lettuce</x:v>
      </x:c>
      <x:c r="I608" s="84" t="str">
        <x:v>Perennial</x:v>
      </x:c>
      <x:c r="J608" s="84" t="str">
        <x:v>Herb</x:v>
      </x:c>
      <x:c r="K608" s="84" t="str"/>
      <x:c r="L608" s="84" t="str"/>
      <x:c r="M608" s="89" t="n">
        <x:v>1</x:v>
      </x:c>
      <x:c r="N608" s="89" t="n">
        <x:v>1</x:v>
      </x:c>
      <x:c r="O608" s="89" t="n">
        <x:v>0</x:v>
      </x:c>
      <x:c r="P608" s="89" t="n">
        <x:f>SUM(M608:O608)</x:f>
        <x:v>2</x:v>
      </x:c>
      <x:c r="Q608" s="84" t="str">
        <x:v>Exact accepted-name match</x:v>
      </x:c>
      <x:c r="R608" s="84" t="str">
        <x:v>Pistia stratiotes</x:v>
      </x:c>
      <x:c r="S608" s="84" t="str">
        <x:v>156674</x:v>
      </x:c>
      <x:c r="T608" s="84" t="str">
        <x:v>156674</x:v>
      </x:c>
      <x:c r="U608" s="84" t="str">
        <x:v>317684-2</x:v>
      </x:c>
      <x:c r="V608" s="84" t="str">
        <x:v>317684-2</x:v>
      </x:c>
      <x:c r="W608" s="84" t="str"/>
    </x:row>
    <x:row r="609" ht="18" customHeight="1">
      <x:c r="A609" s="83" t="str">
        <x:v>HAYS-0608</x:v>
      </x:c>
      <x:c r="B609" s="87" t="str">
        <x:v>Plantago helleri</x:v>
      </x:c>
      <x:c r="C609" s="87" t="str">
        <x:v>Plantago helleri</x:v>
      </x:c>
      <x:c r="D609" s="84" t="str">
        <x:v>Plantaginaceae</x:v>
      </x:c>
      <x:c r="E609" s="84" t="str">
        <x:v>Plantago</x:v>
      </x:c>
      <x:c r="F609" s="84" t="str">
        <x:v>Species</x:v>
      </x:c>
      <x:c r="G609" s="84" t="str">
        <x:v>Accepted</x:v>
      </x:c>
      <x:c r="H609" s="84" t="str">
        <x:v>Heller's Plantain, Cedar Plantain</x:v>
      </x:c>
      <x:c r="I609" s="84" t="str">
        <x:v>Annual</x:v>
      </x:c>
      <x:c r="J609" s="84" t="str">
        <x:v>Herb</x:v>
      </x:c>
      <x:c r="K609" s="84" t="str"/>
      <x:c r="L609" s="84" t="str"/>
      <x:c r="M609" s="89" t="n">
        <x:v>1</x:v>
      </x:c>
      <x:c r="N609" s="89" t="n">
        <x:v>1</x:v>
      </x:c>
      <x:c r="O609" s="89" t="n">
        <x:v>0</x:v>
      </x:c>
      <x:c r="P609" s="89" t="n">
        <x:f>SUM(M609:O609)</x:f>
        <x:v>2</x:v>
      </x:c>
      <x:c r="Q609" s="84" t="str">
        <x:v>Exact accepted-name match</x:v>
      </x:c>
      <x:c r="R609" s="84" t="str">
        <x:v>Plantago helleri</x:v>
      </x:c>
      <x:c r="S609" s="84" t="str">
        <x:v>2570201</x:v>
      </x:c>
      <x:c r="T609" s="84" t="str">
        <x:v>2570201</x:v>
      </x:c>
      <x:c r="U609" s="84" t="str">
        <x:v>201325-2</x:v>
      </x:c>
      <x:c r="V609" s="84" t="str">
        <x:v>201325-2</x:v>
      </x:c>
      <x:c r="W609" s="84" t="str"/>
    </x:row>
    <x:row r="610" ht="18" customHeight="1">
      <x:c r="A610" s="83" t="str">
        <x:v>HAYS-0609</x:v>
      </x:c>
      <x:c r="B610" s="87" t="str">
        <x:v>Plantago rhodosperma</x:v>
      </x:c>
      <x:c r="C610" s="87" t="str">
        <x:v>Plantago rhodosperma</x:v>
      </x:c>
      <x:c r="D610" s="84" t="str">
        <x:v>Plantaginaceae</x:v>
      </x:c>
      <x:c r="E610" s="84" t="str">
        <x:v>Plantago</x:v>
      </x:c>
      <x:c r="F610" s="84" t="str">
        <x:v>Species</x:v>
      </x:c>
      <x:c r="G610" s="84" t="str">
        <x:v>Accepted</x:v>
      </x:c>
      <x:c r="H610" s="84" t="str">
        <x:v>Redseed Plantain, Red-seeded Plantain</x:v>
      </x:c>
      <x:c r="I610" s="84" t="str">
        <x:v>Annual</x:v>
      </x:c>
      <x:c r="J610" s="84" t="str">
        <x:v>Herb</x:v>
      </x:c>
      <x:c r="K610" s="84" t="str"/>
      <x:c r="L610" s="84" t="str"/>
      <x:c r="M610" s="89" t="n">
        <x:v>1</x:v>
      </x:c>
      <x:c r="N610" s="89" t="n">
        <x:v>1</x:v>
      </x:c>
      <x:c r="O610" s="89" t="n">
        <x:v>0</x:v>
      </x:c>
      <x:c r="P610" s="89" t="n">
        <x:f>SUM(M610:O610)</x:f>
        <x:v>2</x:v>
      </x:c>
      <x:c r="Q610" s="84" t="str">
        <x:v>Exact accepted-name match</x:v>
      </x:c>
      <x:c r="R610" s="84" t="str">
        <x:v>Plantago rhodosperma</x:v>
      </x:c>
      <x:c r="S610" s="84" t="str">
        <x:v>2570634</x:v>
      </x:c>
      <x:c r="T610" s="84" t="str">
        <x:v>2570634</x:v>
      </x:c>
      <x:c r="U610" s="84" t="str">
        <x:v>685592-1</x:v>
      </x:c>
      <x:c r="V610" s="84" t="str">
        <x:v>685592-1</x:v>
      </x:c>
      <x:c r="W610" s="84" t="str"/>
    </x:row>
    <x:row r="611" ht="18" customHeight="1">
      <x:c r="A611" s="83" t="str">
        <x:v>HAYS-0610</x:v>
      </x:c>
      <x:c r="B611" s="87" t="str">
        <x:v>Platanus occidentalis</x:v>
      </x:c>
      <x:c r="C611" s="87" t="str">
        <x:v>Platanus occidentalis</x:v>
      </x:c>
      <x:c r="D611" s="84" t="str">
        <x:v>Platanaceae</x:v>
      </x:c>
      <x:c r="E611" s="84" t="str">
        <x:v>Platanus</x:v>
      </x:c>
      <x:c r="F611" s="84" t="str">
        <x:v>Species</x:v>
      </x:c>
      <x:c r="G611" s="84" t="str">
        <x:v>Accepted</x:v>
      </x:c>
      <x:c r="H611" s="84" t="str">
        <x:v>American Sycamore, Eastern Sycamore, American Plane Tree, Plane Tree, Buttonwood, Buttonball Tree</x:v>
      </x:c>
      <x:c r="I611" s="84" t="str">
        <x:v>Perennial</x:v>
      </x:c>
      <x:c r="J611" s="84" t="str">
        <x:v>Tree</x:v>
      </x:c>
      <x:c r="K611" s="84" t="str">
        <x:v>Sun</x:v>
      </x:c>
      <x:c r="L611" s="84" t="str">
        <x:v>Medium–Wet</x:v>
      </x:c>
      <x:c r="M611" s="89" t="n">
        <x:v>1</x:v>
      </x:c>
      <x:c r="N611" s="89" t="n">
        <x:v>1</x:v>
      </x:c>
      <x:c r="O611" s="89" t="n">
        <x:v>1</x:v>
      </x:c>
      <x:c r="P611" s="89" t="n">
        <x:f>SUM(M611:O611)</x:f>
        <x:v>3</x:v>
      </x:c>
      <x:c r="Q611" s="84" t="str">
        <x:v>Exact accepted-name match</x:v>
      </x:c>
      <x:c r="R611" s="84" t="str">
        <x:v>Platanus occidentalis</x:v>
      </x:c>
      <x:c r="S611" s="84" t="str">
        <x:v>2570459</x:v>
      </x:c>
      <x:c r="T611" s="84" t="str">
        <x:v>2570459</x:v>
      </x:c>
      <x:c r="U611" s="84" t="str">
        <x:v>685871-1</x:v>
      </x:c>
      <x:c r="V611" s="84" t="str">
        <x:v>685871-1</x:v>
      </x:c>
      <x:c r="W611" s="84" t="str"/>
    </x:row>
    <x:row r="612" ht="18" customHeight="1">
      <x:c r="A612" s="83" t="str">
        <x:v>HAYS-0611</x:v>
      </x:c>
      <x:c r="B612" s="87" t="str">
        <x:v>Plectocephalus americanus</x:v>
      </x:c>
      <x:c r="C612" s="87" t="str">
        <x:v>Plectocephalus americanus</x:v>
      </x:c>
      <x:c r="D612" s="84" t="str">
        <x:v>Asteraceae</x:v>
      </x:c>
      <x:c r="E612" s="84" t="str">
        <x:v>Plectocephalus</x:v>
      </x:c>
      <x:c r="F612" s="84" t="str">
        <x:v>Species</x:v>
      </x:c>
      <x:c r="G612" s="84" t="str">
        <x:v>Accepted</x:v>
      </x:c>
      <x:c r="H612" s="84" t="str">
        <x:v>American Basket-flower</x:v>
      </x:c>
      <x:c r="I612" s="84" t="str">
        <x:v>Annual</x:v>
      </x:c>
      <x:c r="J612" s="84" t="str">
        <x:v>Herb</x:v>
      </x:c>
      <x:c r="K612" s="84" t="str">
        <x:v>Sun, Part-shade</x:v>
      </x:c>
      <x:c r="L612" s="84" t="str">
        <x:v>Dry</x:v>
      </x:c>
      <x:c r="M612" s="89" t="n">
        <x:v>1</x:v>
      </x:c>
      <x:c r="N612" s="89" t="n">
        <x:v>1</x:v>
      </x:c>
      <x:c r="O612" s="89" t="n">
        <x:v>1</x:v>
      </x:c>
      <x:c r="P612" s="89" t="n">
        <x:f>SUM(M612:O612)</x:f>
        <x:v>3</x:v>
      </x:c>
      <x:c r="Q612" s="84" t="str">
        <x:v>Exact accepted-name match</x:v>
      </x:c>
      <x:c r="R612" s="84" t="str">
        <x:v>Plectocephalus americanus</x:v>
      </x:c>
      <x:c r="S612" s="84" t="str">
        <x:v>3046533</x:v>
      </x:c>
      <x:c r="T612" s="84" t="str">
        <x:v>3046533</x:v>
      </x:c>
      <x:c r="U612" s="84" t="str">
        <x:v>238714-1</x:v>
      </x:c>
      <x:c r="V612" s="84" t="str">
        <x:v>238714-1</x:v>
      </x:c>
      <x:c r="W612" s="84" t="str"/>
    </x:row>
    <x:row r="613" ht="18" customHeight="1">
      <x:c r="A613" s="83" t="str">
        <x:v>HAYS-0612</x:v>
      </x:c>
      <x:c r="B613" s="87" t="str">
        <x:v>Pleuraphis mutica</x:v>
      </x:c>
      <x:c r="C613" s="87" t="str">
        <x:v>Hilaria mutica</x:v>
      </x:c>
      <x:c r="D613" s="84" t="str">
        <x:v>Poaceae</x:v>
      </x:c>
      <x:c r="E613" s="84" t="str">
        <x:v>Hilaria</x:v>
      </x:c>
      <x:c r="F613" s="84" t="str">
        <x:v>Species</x:v>
      </x:c>
      <x:c r="G613" s="84" t="str">
        <x:v>Synonym</x:v>
      </x:c>
      <x:c r="H613" s="84" t="str">
        <x:v>Tobosagrass, Tobosa Grass</x:v>
      </x:c>
      <x:c r="I613" s="84" t="str">
        <x:v>Perennial</x:v>
      </x:c>
      <x:c r="J613" s="84" t="str">
        <x:v>Grass/Grass-like</x:v>
      </x:c>
      <x:c r="K613" s="84" t="str">
        <x:v>Sun</x:v>
      </x:c>
      <x:c r="L613" s="84" t="str">
        <x:v>Dry</x:v>
      </x:c>
      <x:c r="M613" s="89" t="n">
        <x:v>1</x:v>
      </x:c>
      <x:c r="N613" s="89" t="n">
        <x:v>1</x:v>
      </x:c>
      <x:c r="O613" s="89" t="n">
        <x:v>0</x:v>
      </x:c>
      <x:c r="P613" s="89" t="n">
        <x:f>SUM(M613:O613)</x:f>
        <x:v>2</x:v>
      </x:c>
      <x:c r="Q613" s="84" t="str">
        <x:v>Exact synonym-name match</x:v>
      </x:c>
      <x:c r="R613" s="84" t="str">
        <x:v>Pleuraphis mutica</x:v>
      </x:c>
      <x:c r="S613" s="84" t="str">
        <x:v>434932</x:v>
      </x:c>
      <x:c r="T613" s="84" t="str">
        <x:v>418956</x:v>
      </x:c>
      <x:c r="U613" s="84" t="str">
        <x:v>416379-1</x:v>
      </x:c>
      <x:c r="V613" s="84" t="str">
        <x:v>404949-1</x:v>
      </x:c>
      <x:c r="W613" s="84" t="str"/>
    </x:row>
    <x:row r="614" ht="18" customHeight="1">
      <x:c r="A614" s="83" t="str">
        <x:v>HAYS-0613</x:v>
      </x:c>
      <x:c r="B614" s="87" t="str">
        <x:v>Pluchea camphorata</x:v>
      </x:c>
      <x:c r="C614" s="87" t="str">
        <x:v>Pluchea camphorata</x:v>
      </x:c>
      <x:c r="D614" s="84" t="str">
        <x:v>Asteraceae</x:v>
      </x:c>
      <x:c r="E614" s="84" t="str">
        <x:v>Pluchea</x:v>
      </x:c>
      <x:c r="F614" s="84" t="str">
        <x:v>Species</x:v>
      </x:c>
      <x:c r="G614" s="84" t="str">
        <x:v>Accepted</x:v>
      </x:c>
      <x:c r="H614" s="84" t="str">
        <x:v>Camphor Pluchea, Camphor Weed</x:v>
      </x:c>
      <x:c r="I614" s="84" t="str">
        <x:v>Annual</x:v>
      </x:c>
      <x:c r="J614" s="84" t="str">
        <x:v>Herb</x:v>
      </x:c>
      <x:c r="K614" s="84" t="str"/>
      <x:c r="L614" s="84" t="str"/>
      <x:c r="M614" s="89" t="n">
        <x:v>1</x:v>
      </x:c>
      <x:c r="N614" s="89" t="n">
        <x:v>1</x:v>
      </x:c>
      <x:c r="O614" s="89" t="n">
        <x:v>0</x:v>
      </x:c>
      <x:c r="P614" s="89" t="n">
        <x:f>SUM(M614:O614)</x:f>
        <x:v>2</x:v>
      </x:c>
      <x:c r="Q614" s="84" t="str">
        <x:v>Exact accepted-name match</x:v>
      </x:c>
      <x:c r="R614" s="84" t="str">
        <x:v>Pluchea camphorata</x:v>
      </x:c>
      <x:c r="S614" s="84" t="str">
        <x:v>3115012</x:v>
      </x:c>
      <x:c r="T614" s="84" t="str">
        <x:v>3115012</x:v>
      </x:c>
      <x:c r="U614" s="84" t="str">
        <x:v>1046749-2</x:v>
      </x:c>
      <x:c r="V614" s="84" t="str">
        <x:v>1046749-2</x:v>
      </x:c>
      <x:c r="W614" s="84" t="str"/>
    </x:row>
    <x:row r="615" ht="18" customHeight="1">
      <x:c r="A615" s="83" t="str">
        <x:v>HAYS-0614</x:v>
      </x:c>
      <x:c r="B615" s="87" t="str">
        <x:v>Pluchea odorata</x:v>
      </x:c>
      <x:c r="C615" s="87" t="str">
        <x:v>Pluchea odorata</x:v>
      </x:c>
      <x:c r="D615" s="84" t="str">
        <x:v>Asteraceae</x:v>
      </x:c>
      <x:c r="E615" s="84" t="str">
        <x:v>Pluchea</x:v>
      </x:c>
      <x:c r="F615" s="84" t="str">
        <x:v>Species</x:v>
      </x:c>
      <x:c r="G615" s="84" t="str">
        <x:v>Accepted</x:v>
      </x:c>
      <x:c r="H615" s="84" t="str">
        <x:v>Sweetscent, Saltmarsh Fleabane</x:v>
      </x:c>
      <x:c r="I615" s="84" t="str">
        <x:v>Annual</x:v>
      </x:c>
      <x:c r="J615" s="84" t="str">
        <x:v>Herb</x:v>
      </x:c>
      <x:c r="K615" s="84" t="str">
        <x:v>Sun, Part Shade</x:v>
      </x:c>
      <x:c r="L615" s="84" t="str">
        <x:v>Medium–Wet</x:v>
      </x:c>
      <x:c r="M615" s="89" t="n">
        <x:v>1</x:v>
      </x:c>
      <x:c r="N615" s="89" t="n">
        <x:v>1</x:v>
      </x:c>
      <x:c r="O615" s="89" t="n">
        <x:v>1</x:v>
      </x:c>
      <x:c r="P615" s="89" t="n">
        <x:f>SUM(M615:O615)</x:f>
        <x:v>3</x:v>
      </x:c>
      <x:c r="Q615" s="84" t="str">
        <x:v>Exact accepted-name match</x:v>
      </x:c>
      <x:c r="R615" s="84" t="str">
        <x:v>Pluchea odorata</x:v>
      </x:c>
      <x:c r="S615" s="84" t="str">
        <x:v>3114679</x:v>
      </x:c>
      <x:c r="T615" s="84" t="str">
        <x:v>3114679</x:v>
      </x:c>
      <x:c r="U615" s="84" t="str">
        <x:v>1099254-2</x:v>
      </x:c>
      <x:c r="V615" s="84" t="str">
        <x:v>1099254-2</x:v>
      </x:c>
      <x:c r="W615" s="84" t="str"/>
    </x:row>
    <x:row r="616" ht="18" customHeight="1">
      <x:c r="A616" s="83" t="str">
        <x:v>HAYS-0615</x:v>
      </x:c>
      <x:c r="B616" s="87" t="str">
        <x:v>Poa arachnifera</x:v>
      </x:c>
      <x:c r="C616" s="87" t="str">
        <x:v>Poa arachnifera</x:v>
      </x:c>
      <x:c r="D616" s="84" t="str">
        <x:v>Poaceae</x:v>
      </x:c>
      <x:c r="E616" s="84" t="str">
        <x:v>Poa</x:v>
      </x:c>
      <x:c r="F616" s="84" t="str">
        <x:v>Species</x:v>
      </x:c>
      <x:c r="G616" s="84" t="str">
        <x:v>Accepted</x:v>
      </x:c>
      <x:c r="H616" s="84" t="str">
        <x:v>Texas Bluegrass, Texas Blue Grass</x:v>
      </x:c>
      <x:c r="I616" s="84" t="str">
        <x:v>Perennial</x:v>
      </x:c>
      <x:c r="J616" s="84" t="str">
        <x:v>Grass</x:v>
      </x:c>
      <x:c r="K616" s="84" t="str">
        <x:v>Sun</x:v>
      </x:c>
      <x:c r="L616" s="84" t="str">
        <x:v>Low–Medium</x:v>
      </x:c>
      <x:c r="M616" s="89" t="n">
        <x:v>0</x:v>
      </x:c>
      <x:c r="N616" s="89" t="n">
        <x:v>0</x:v>
      </x:c>
      <x:c r="O616" s="89" t="n">
        <x:v>1</x:v>
      </x:c>
      <x:c r="P616" s="89" t="n">
        <x:f>SUM(M616:O616)</x:f>
        <x:v>1</x:v>
      </x:c>
      <x:c r="Q616" s="84" t="str">
        <x:v>Exact accepted-name match</x:v>
      </x:c>
      <x:c r="R616" s="84" t="str">
        <x:v>Poa arachnifera</x:v>
      </x:c>
      <x:c r="S616" s="84" t="str">
        <x:v>435230</x:v>
      </x:c>
      <x:c r="T616" s="84" t="str">
        <x:v>435230</x:v>
      </x:c>
      <x:c r="U616" s="84" t="str">
        <x:v>30352829-2</x:v>
      </x:c>
      <x:c r="V616" s="84" t="str">
        <x:v>30352829-2</x:v>
      </x:c>
      <x:c r="W616" s="84" t="str"/>
    </x:row>
    <x:row r="617" ht="18" customHeight="1">
      <x:c r="A617" s="83" t="str">
        <x:v>HAYS-0616</x:v>
      </x:c>
      <x:c r="B617" s="87" t="str">
        <x:v>Polanisia dodecandra ssp. trachysperma</x:v>
      </x:c>
      <x:c r="C617" s="87" t="str">
        <x:v>Cleome trachysperma</x:v>
      </x:c>
      <x:c r="D617" s="84" t="str">
        <x:v>Cleomaceae</x:v>
      </x:c>
      <x:c r="E617" s="84" t="str">
        <x:v>Cleome</x:v>
      </x:c>
      <x:c r="F617" s="84" t="str">
        <x:v>Subspecies</x:v>
      </x:c>
      <x:c r="G617" s="84" t="str">
        <x:v>Synonym</x:v>
      </x:c>
      <x:c r="H617" s="84" t="str">
        <x:v>Sandyseed Clammyweed, Clammy-weed, Clammyweed</x:v>
      </x:c>
      <x:c r="I617" s="84" t="str">
        <x:v>Annual</x:v>
      </x:c>
      <x:c r="J617" s="84" t="str">
        <x:v>Herb</x:v>
      </x:c>
      <x:c r="K617" s="84" t="str">
        <x:v>Sun</x:v>
      </x:c>
      <x:c r="L617" s="84" t="str"/>
      <x:c r="M617" s="89" t="n">
        <x:v>1</x:v>
      </x:c>
      <x:c r="N617" s="89" t="n">
        <x:v>1</x:v>
      </x:c>
      <x:c r="O617" s="89" t="n">
        <x:v>0</x:v>
      </x:c>
      <x:c r="P617" s="89" t="n">
        <x:f>SUM(M617:O617)</x:f>
        <x:v>2</x:v>
      </x:c>
      <x:c r="Q617" s="84" t="str">
        <x:v>Exact synonym-name match</x:v>
      </x:c>
      <x:c r="R617" s="84" t="str">
        <x:v>Polanisia dodecandra subsp. trachysperma</x:v>
      </x:c>
      <x:c r="S617" s="84" t="str">
        <x:v>2415339</x:v>
      </x:c>
      <x:c r="T617" s="84" t="str">
        <x:v>2727648</x:v>
      </x:c>
      <x:c r="U617" s="84" t="str">
        <x:v>2415339-4</x:v>
      </x:c>
      <x:c r="V617" s="84" t="str">
        <x:v>60602-2</x:v>
      </x:c>
      <x:c r="W617" s="84" t="str"/>
    </x:row>
    <x:row r="618" ht="18" customHeight="1">
      <x:c r="A618" s="83" t="str">
        <x:v>HAYS-0617</x:v>
      </x:c>
      <x:c r="B618" s="87" t="str">
        <x:v>Polygala alba</x:v>
      </x:c>
      <x:c r="C618" s="87" t="str">
        <x:v>Senega alba</x:v>
      </x:c>
      <x:c r="D618" s="84" t="str">
        <x:v>Polygalaceae</x:v>
      </x:c>
      <x:c r="E618" s="84" t="str">
        <x:v>Senega</x:v>
      </x:c>
      <x:c r="F618" s="84" t="str">
        <x:v>Species</x:v>
      </x:c>
      <x:c r="G618" s="84" t="str">
        <x:v>Synonym</x:v>
      </x:c>
      <x:c r="H618" s="84" t="str">
        <x:v>White Milkwort</x:v>
      </x:c>
      <x:c r="I618" s="84" t="str">
        <x:v>Perennial</x:v>
      </x:c>
      <x:c r="J618" s="84" t="str">
        <x:v>Herb</x:v>
      </x:c>
      <x:c r="K618" s="84" t="str">
        <x:v>Part-shade</x:v>
      </x:c>
      <x:c r="L618" s="84" t="str">
        <x:v>Dry</x:v>
      </x:c>
      <x:c r="M618" s="89" t="n">
        <x:v>1</x:v>
      </x:c>
      <x:c r="N618" s="89" t="n">
        <x:v>1</x:v>
      </x:c>
      <x:c r="O618" s="89" t="n">
        <x:v>0</x:v>
      </x:c>
      <x:c r="P618" s="89" t="n">
        <x:f>SUM(M618:O618)</x:f>
        <x:v>2</x:v>
      </x:c>
      <x:c r="Q618" s="84" t="str">
        <x:v>Exact synonym-name match</x:v>
      </x:c>
      <x:c r="R618" s="84" t="str">
        <x:v>Polygala alba</x:v>
      </x:c>
      <x:c r="S618" s="84" t="str">
        <x:v>2565806</x:v>
      </x:c>
      <x:c r="T618" s="84" t="str">
        <x:v>3301821</x:v>
      </x:c>
      <x:c r="U618" s="84" t="str">
        <x:v>330523-2</x:v>
      </x:c>
      <x:c r="V618" s="84" t="str">
        <x:v>77321503-1</x:v>
      </x:c>
      <x:c r="W618" s="84" t="str"/>
    </x:row>
    <x:row r="619" ht="18" customHeight="1">
      <x:c r="A619" s="83" t="str">
        <x:v>HAYS-0618</x:v>
      </x:c>
      <x:c r="B619" s="87" t="str">
        <x:v>Polygala lindheimeri var. lindheimeri</x:v>
      </x:c>
      <x:c r="C619" s="87" t="str"/>
      <x:c r="D619" s="84" t="str"/>
      <x:c r="E619" s="84" t="str">
        <x:v>Polygala</x:v>
      </x:c>
      <x:c r="F619" s="84" t="str"/>
      <x:c r="G619" s="84" t="str"/>
      <x:c r="H619" s="84" t="str">
        <x:v>Shrubby Milkwort, Purple Milkwort</x:v>
      </x:c>
      <x:c r="I619" s="84" t="str">
        <x:v>Perennial</x:v>
      </x:c>
      <x:c r="J619" s="84" t="str">
        <x:v>Herb, Subshrub</x:v>
      </x:c>
      <x:c r="K619" s="84" t="str"/>
      <x:c r="L619" s="84" t="str"/>
      <x:c r="M619" s="89" t="n">
        <x:v>1</x:v>
      </x:c>
      <x:c r="N619" s="89" t="n">
        <x:v>1</x:v>
      </x:c>
      <x:c r="O619" s="89" t="n">
        <x:v>0</x:v>
      </x:c>
      <x:c r="P619" s="89" t="n">
        <x:f>SUM(M619:O619)</x:f>
        <x:v>2</x:v>
      </x:c>
      <x:c r="Q619" s="84" t="str">
        <x:v>No exact WCVP name match</x:v>
      </x:c>
      <x:c r="R619" s="84" t="str"/>
      <x:c r="S619" s="84" t="str"/>
      <x:c r="T619" s="84" t="str"/>
      <x:c r="U619" s="84" t="str"/>
      <x:c r="V619" s="84" t="str"/>
      <x:c r="W619" s="84" t="str">
        <x:v>Review</x:v>
      </x:c>
    </x:row>
    <x:row r="620" ht="18" customHeight="1">
      <x:c r="A620" s="83" t="str">
        <x:v>HAYS-0619</x:v>
      </x:c>
      <x:c r="B620" s="87" t="str">
        <x:v>Polygonum glabrum</x:v>
      </x:c>
      <x:c r="C620" s="87" t="str"/>
      <x:c r="D620" s="84" t="str"/>
      <x:c r="E620" s="84" t="str">
        <x:v>Polygonum</x:v>
      </x:c>
      <x:c r="F620" s="84" t="str"/>
      <x:c r="G620" s="84" t="str"/>
      <x:c r="H620" s="84" t="str">
        <x:v>Denseflower Knotweed</x:v>
      </x:c>
      <x:c r="I620" s="84" t="str">
        <x:v>Annual</x:v>
      </x:c>
      <x:c r="J620" s="84" t="str">
        <x:v>Herb</x:v>
      </x:c>
      <x:c r="K620" s="84" t="str"/>
      <x:c r="L620" s="84" t="str"/>
      <x:c r="M620" s="89" t="n">
        <x:v>1</x:v>
      </x:c>
      <x:c r="N620" s="89" t="n">
        <x:v>1</x:v>
      </x:c>
      <x:c r="O620" s="89" t="n">
        <x:v>0</x:v>
      </x:c>
      <x:c r="P620" s="89" t="n">
        <x:f>SUM(M620:O620)</x:f>
        <x:v>2</x:v>
      </x:c>
      <x:c r="Q620" s="84" t="str">
        <x:v>Ambiguous: 4 WCVP records</x:v>
      </x:c>
      <x:c r="R620" s="84" t="str"/>
      <x:c r="S620" s="84" t="str"/>
      <x:c r="T620" s="84" t="str"/>
      <x:c r="U620" s="84" t="str"/>
      <x:c r="V620" s="84" t="str"/>
      <x:c r="W620" s="84" t="str">
        <x:v>Review</x:v>
      </x:c>
    </x:row>
    <x:row r="621" ht="18" customHeight="1">
      <x:c r="A621" s="83" t="str">
        <x:v>HAYS-0620</x:v>
      </x:c>
      <x:c r="B621" s="87" t="str">
        <x:v>Polygonum hydropiperoides</x:v>
      </x:c>
      <x:c r="C621" s="87" t="str">
        <x:v>Persicaria hydropiperoides</x:v>
      </x:c>
      <x:c r="D621" s="84" t="str">
        <x:v>Polygonaceae</x:v>
      </x:c>
      <x:c r="E621" s="84" t="str">
        <x:v>Persicaria</x:v>
      </x:c>
      <x:c r="F621" s="84" t="str">
        <x:v>Species</x:v>
      </x:c>
      <x:c r="G621" s="84" t="str">
        <x:v>Synonym</x:v>
      </x:c>
      <x:c r="H621" s="84" t="str">
        <x:v>Swamp Smartweed</x:v>
      </x:c>
      <x:c r="I621" s="84" t="str">
        <x:v>Perennial</x:v>
      </x:c>
      <x:c r="J621" s="84" t="str">
        <x:v>Herb</x:v>
      </x:c>
      <x:c r="K621" s="84" t="str">
        <x:v>Sun</x:v>
      </x:c>
      <x:c r="L621" s="84" t="str"/>
      <x:c r="M621" s="89" t="n">
        <x:v>1</x:v>
      </x:c>
      <x:c r="N621" s="89" t="n">
        <x:v>1</x:v>
      </x:c>
      <x:c r="O621" s="89" t="n">
        <x:v>0</x:v>
      </x:c>
      <x:c r="P621" s="89" t="n">
        <x:f>SUM(M621:O621)</x:f>
        <x:v>2</x:v>
      </x:c>
      <x:c r="Q621" s="84" t="str">
        <x:v>Exact synonym-name match</x:v>
      </x:c>
      <x:c r="R621" s="84" t="str">
        <x:v>Polygonum hydropiperoides</x:v>
      </x:c>
      <x:c r="S621" s="84" t="str">
        <x:v>2575079</x:v>
      </x:c>
      <x:c r="T621" s="84" t="str">
        <x:v>2572546</x:v>
      </x:c>
      <x:c r="U621" s="84" t="str">
        <x:v>206233-2</x:v>
      </x:c>
      <x:c r="V621" s="84" t="str">
        <x:v>190811-2</x:v>
      </x:c>
      <x:c r="W621" s="84" t="str"/>
    </x:row>
    <x:row r="622" ht="18" customHeight="1">
      <x:c r="A622" s="83" t="str">
        <x:v>HAYS-0621</x:v>
      </x:c>
      <x:c r="B622" s="87" t="str">
        <x:v>Polygonum lapathifolium</x:v>
      </x:c>
      <x:c r="C622" s="87" t="str"/>
      <x:c r="D622" s="84" t="str"/>
      <x:c r="E622" s="84" t="str">
        <x:v>Polygonum</x:v>
      </x:c>
      <x:c r="F622" s="84" t="str"/>
      <x:c r="G622" s="84" t="str"/>
      <x:c r="H622" s="84" t="str">
        <x:v>Curlytop Knotweed, Curl-top Smartweed, Pale Smartweed</x:v>
      </x:c>
      <x:c r="I622" s="84" t="str">
        <x:v>Annual</x:v>
      </x:c>
      <x:c r="J622" s="84" t="str">
        <x:v>Herb</x:v>
      </x:c>
      <x:c r="K622" s="84" t="str"/>
      <x:c r="L622" s="84" t="str"/>
      <x:c r="M622" s="89" t="n">
        <x:v>1</x:v>
      </x:c>
      <x:c r="N622" s="89" t="n">
        <x:v>1</x:v>
      </x:c>
      <x:c r="O622" s="89" t="n">
        <x:v>0</x:v>
      </x:c>
      <x:c r="P622" s="89" t="n">
        <x:f>SUM(M622:O622)</x:f>
        <x:v>2</x:v>
      </x:c>
      <x:c r="Q622" s="84" t="str">
        <x:v>Ambiguous: 2 WCVP records</x:v>
      </x:c>
      <x:c r="R622" s="84" t="str"/>
      <x:c r="S622" s="84" t="str"/>
      <x:c r="T622" s="84" t="str"/>
      <x:c r="U622" s="84" t="str"/>
      <x:c r="V622" s="84" t="str"/>
      <x:c r="W622" s="84" t="str">
        <x:v>Review</x:v>
      </x:c>
    </x:row>
    <x:row r="623" ht="18" customHeight="1">
      <x:c r="A623" s="83" t="str">
        <x:v>HAYS-0622</x:v>
      </x:c>
      <x:c r="B623" s="87" t="str">
        <x:v>Polygonum punctatum</x:v>
      </x:c>
      <x:c r="C623" s="87" t="str"/>
      <x:c r="D623" s="84" t="str"/>
      <x:c r="E623" s="84" t="str">
        <x:v>Polygonum</x:v>
      </x:c>
      <x:c r="F623" s="84" t="str"/>
      <x:c r="G623" s="84" t="str"/>
      <x:c r="H623" s="84" t="str">
        <x:v>Dotted Smartweed</x:v>
      </x:c>
      <x:c r="I623" s="84" t="str">
        <x:v>Annual</x:v>
      </x:c>
      <x:c r="J623" s="84" t="str">
        <x:v>Herb</x:v>
      </x:c>
      <x:c r="K623" s="84" t="str">
        <x:v>Sun</x:v>
      </x:c>
      <x:c r="L623" s="84" t="str"/>
      <x:c r="M623" s="89" t="n">
        <x:v>1</x:v>
      </x:c>
      <x:c r="N623" s="89" t="n">
        <x:v>1</x:v>
      </x:c>
      <x:c r="O623" s="89" t="n">
        <x:v>0</x:v>
      </x:c>
      <x:c r="P623" s="89" t="n">
        <x:f>SUM(M623:O623)</x:f>
        <x:v>2</x:v>
      </x:c>
      <x:c r="Q623" s="84" t="str">
        <x:v>Ambiguous: 7 WCVP records</x:v>
      </x:c>
      <x:c r="R623" s="84" t="str"/>
      <x:c r="S623" s="84" t="str"/>
      <x:c r="T623" s="84" t="str"/>
      <x:c r="U623" s="84" t="str"/>
      <x:c r="V623" s="84" t="str"/>
      <x:c r="W623" s="84" t="str">
        <x:v>Review</x:v>
      </x:c>
    </x:row>
    <x:row r="624" ht="18" customHeight="1">
      <x:c r="A624" s="83" t="str">
        <x:v>HAYS-0623</x:v>
      </x:c>
      <x:c r="B624" s="87" t="str">
        <x:v>Polygonum setaceum</x:v>
      </x:c>
      <x:c r="C624" s="87" t="str"/>
      <x:c r="D624" s="84" t="str"/>
      <x:c r="E624" s="84" t="str">
        <x:v>Polygonum</x:v>
      </x:c>
      <x:c r="F624" s="84" t="str"/>
      <x:c r="G624" s="84" t="str"/>
      <x:c r="H624" s="84" t="str">
        <x:v>Bog Smartweed</x:v>
      </x:c>
      <x:c r="I624" s="84" t="str">
        <x:v>Perennial</x:v>
      </x:c>
      <x:c r="J624" s="84" t="str">
        <x:v>Herb</x:v>
      </x:c>
      <x:c r="K624" s="84" t="str"/>
      <x:c r="L624" s="84" t="str"/>
      <x:c r="M624" s="89" t="n">
        <x:v>1</x:v>
      </x:c>
      <x:c r="N624" s="89" t="n">
        <x:v>1</x:v>
      </x:c>
      <x:c r="O624" s="89" t="n">
        <x:v>0</x:v>
      </x:c>
      <x:c r="P624" s="89" t="n">
        <x:f>SUM(M624:O624)</x:f>
        <x:v>2</x:v>
      </x:c>
      <x:c r="Q624" s="84" t="str">
        <x:v>Ambiguous: 2 WCVP records</x:v>
      </x:c>
      <x:c r="R624" s="84" t="str"/>
      <x:c r="S624" s="84" t="str"/>
      <x:c r="T624" s="84" t="str"/>
      <x:c r="U624" s="84" t="str"/>
      <x:c r="V624" s="84" t="str"/>
      <x:c r="W624" s="84" t="str">
        <x:v>Review</x:v>
      </x:c>
    </x:row>
    <x:row r="625" ht="18" customHeight="1">
      <x:c r="A625" s="83" t="str">
        <x:v>HAYS-0624</x:v>
      </x:c>
      <x:c r="B625" s="87" t="str">
        <x:v>Polytaenia nuttallii</x:v>
      </x:c>
      <x:c r="C625" s="87" t="str">
        <x:v>Polytaenia nuttallii</x:v>
      </x:c>
      <x:c r="D625" s="84" t="str">
        <x:v>Apiaceae</x:v>
      </x:c>
      <x:c r="E625" s="84" t="str">
        <x:v>Polytaenia</x:v>
      </x:c>
      <x:c r="F625" s="84" t="str">
        <x:v>Species</x:v>
      </x:c>
      <x:c r="G625" s="84" t="str">
        <x:v>Accepted</x:v>
      </x:c>
      <x:c r="H625" s="84" t="str">
        <x:v>Nuttall's Prairie Parsley, Prairie Parsley, Wild Dill, Prairie Parsnip</x:v>
      </x:c>
      <x:c r="I625" s="84" t="str">
        <x:v>Biennial</x:v>
      </x:c>
      <x:c r="J625" s="84" t="str">
        <x:v>Herb</x:v>
      </x:c>
      <x:c r="K625" s="84" t="str">
        <x:v>Sun, Part-shade</x:v>
      </x:c>
      <x:c r="L625" s="84" t="str">
        <x:v>Moist, Dry</x:v>
      </x:c>
      <x:c r="M625" s="89" t="n">
        <x:v>1</x:v>
      </x:c>
      <x:c r="N625" s="89" t="n">
        <x:v>1</x:v>
      </x:c>
      <x:c r="O625" s="89" t="n">
        <x:v>0</x:v>
      </x:c>
      <x:c r="P625" s="89" t="n">
        <x:f>SUM(M625:O625)</x:f>
        <x:v>2</x:v>
      </x:c>
      <x:c r="Q625" s="84" t="str">
        <x:v>Exact accepted-name match</x:v>
      </x:c>
      <x:c r="R625" s="84" t="str">
        <x:v>Polytaenia nuttallii</x:v>
      </x:c>
      <x:c r="S625" s="84" t="str">
        <x:v>2404879</x:v>
      </x:c>
      <x:c r="T625" s="84" t="str">
        <x:v>2404879</x:v>
      </x:c>
      <x:c r="U625" s="84" t="str">
        <x:v>847377-1</x:v>
      </x:c>
      <x:c r="V625" s="84" t="str">
        <x:v>847377-1</x:v>
      </x:c>
      <x:c r="W625" s="84" t="str"/>
    </x:row>
    <x:row r="626" ht="18" customHeight="1">
      <x:c r="A626" s="83" t="str">
        <x:v>HAYS-0625</x:v>
      </x:c>
      <x:c r="B626" s="87" t="str">
        <x:v>Polytaenia texana</x:v>
      </x:c>
      <x:c r="C626" s="87" t="str">
        <x:v>Polytaenia texana</x:v>
      </x:c>
      <x:c r="D626" s="84" t="str">
        <x:v>Apiaceae</x:v>
      </x:c>
      <x:c r="E626" s="84" t="str">
        <x:v>Polytaenia</x:v>
      </x:c>
      <x:c r="F626" s="84" t="str">
        <x:v>Species</x:v>
      </x:c>
      <x:c r="G626" s="84" t="str">
        <x:v>Accepted</x:v>
      </x:c>
      <x:c r="H626" s="84" t="str">
        <x:v>Texas Prairie Parsley, Texas-parsley, Texas Parsley</x:v>
      </x:c>
      <x:c r="I626" s="84" t="str">
        <x:v>Biennial</x:v>
      </x:c>
      <x:c r="J626" s="84" t="str">
        <x:v>Herb</x:v>
      </x:c>
      <x:c r="K626" s="84" t="str">
        <x:v>Sun</x:v>
      </x:c>
      <x:c r="L626" s="84" t="str">
        <x:v>Dry</x:v>
      </x:c>
      <x:c r="M626" s="89" t="n">
        <x:v>1</x:v>
      </x:c>
      <x:c r="N626" s="89" t="n">
        <x:v>1</x:v>
      </x:c>
      <x:c r="O626" s="89" t="n">
        <x:v>0</x:v>
      </x:c>
      <x:c r="P626" s="89" t="n">
        <x:f>SUM(M626:O626)</x:f>
        <x:v>2</x:v>
      </x:c>
      <x:c r="Q626" s="84" t="str">
        <x:v>Exact accepted-name match</x:v>
      </x:c>
      <x:c r="R626" s="84" t="str">
        <x:v>Polytaenia texana</x:v>
      </x:c>
      <x:c r="S626" s="84" t="str">
        <x:v>2404916</x:v>
      </x:c>
      <x:c r="T626" s="84" t="str">
        <x:v>2404916</x:v>
      </x:c>
      <x:c r="U626" s="84" t="str">
        <x:v>208086-2</x:v>
      </x:c>
      <x:c r="V626" s="84" t="str">
        <x:v>208086-2</x:v>
      </x:c>
      <x:c r="W626" s="84" t="str"/>
    </x:row>
    <x:row r="627" ht="18" customHeight="1">
      <x:c r="A627" s="83" t="str">
        <x:v>HAYS-0626</x:v>
      </x:c>
      <x:c r="B627" s="87" t="str">
        <x:v>Pontederia cordata</x:v>
      </x:c>
      <x:c r="C627" s="87" t="str">
        <x:v>Pontederia cordata</x:v>
      </x:c>
      <x:c r="D627" s="84" t="str">
        <x:v>Pontederiaceae</x:v>
      </x:c>
      <x:c r="E627" s="84" t="str">
        <x:v>Pontederia</x:v>
      </x:c>
      <x:c r="F627" s="84" t="str">
        <x:v>Species</x:v>
      </x:c>
      <x:c r="G627" s="84" t="str">
        <x:v>Accepted</x:v>
      </x:c>
      <x:c r="H627" s="84" t="str">
        <x:v>Pickerelweed, Pickerel Rush</x:v>
      </x:c>
      <x:c r="I627" s="84" t="str">
        <x:v>Perennial</x:v>
      </x:c>
      <x:c r="J627" s="84" t="str">
        <x:v>Herb</x:v>
      </x:c>
      <x:c r="K627" s="84" t="str">
        <x:v>Sun, Part Shade</x:v>
      </x:c>
      <x:c r="L627" s="84" t="str">
        <x:v>Wet</x:v>
      </x:c>
      <x:c r="M627" s="89" t="n">
        <x:v>1</x:v>
      </x:c>
      <x:c r="N627" s="89" t="n">
        <x:v>1</x:v>
      </x:c>
      <x:c r="O627" s="89" t="n">
        <x:v>1</x:v>
      </x:c>
      <x:c r="P627" s="89" t="n">
        <x:f>SUM(M627:O627)</x:f>
        <x:v>3</x:v>
      </x:c>
      <x:c r="Q627" s="84" t="str">
        <x:v>Exact accepted-name match</x:v>
      </x:c>
      <x:c r="R627" s="84" t="str">
        <x:v>Pontederia cordata</x:v>
      </x:c>
      <x:c r="S627" s="84" t="str">
        <x:v>259449</x:v>
      </x:c>
      <x:c r="T627" s="84" t="str">
        <x:v>259449</x:v>
      </x:c>
      <x:c r="U627" s="84" t="str">
        <x:v>283610-2</x:v>
      </x:c>
      <x:c r="V627" s="84" t="str">
        <x:v>283610-2</x:v>
      </x:c>
      <x:c r="W627" s="84" t="str"/>
    </x:row>
    <x:row r="628" ht="18" customHeight="1">
      <x:c r="A628" s="83" t="str">
        <x:v>HAYS-0627</x:v>
      </x:c>
      <x:c r="B628" s="87" t="str">
        <x:v>Populus deltoides</x:v>
      </x:c>
      <x:c r="C628" s="87" t="str">
        <x:v>Populus deltoides</x:v>
      </x:c>
      <x:c r="D628" s="84" t="str">
        <x:v>Salicaceae</x:v>
      </x:c>
      <x:c r="E628" s="84" t="str">
        <x:v>Populus</x:v>
      </x:c>
      <x:c r="F628" s="84" t="str">
        <x:v>Species</x:v>
      </x:c>
      <x:c r="G628" s="84" t="str">
        <x:v>Accepted</x:v>
      </x:c>
      <x:c r="H628" s="84" t="str">
        <x:v>Eastern Cottonwood, Carolina Poplar, Necklace Poplar, Alamo</x:v>
      </x:c>
      <x:c r="I628" s="84" t="str">
        <x:v>Perennial</x:v>
      </x:c>
      <x:c r="J628" s="84" t="str">
        <x:v>Tree</x:v>
      </x:c>
      <x:c r="K628" s="84" t="str">
        <x:v>Sun</x:v>
      </x:c>
      <x:c r="L628" s="84" t="str">
        <x:v>Medium–Wet</x:v>
      </x:c>
      <x:c r="M628" s="89" t="n">
        <x:v>0</x:v>
      </x:c>
      <x:c r="N628" s="89" t="n">
        <x:v>0</x:v>
      </x:c>
      <x:c r="O628" s="89" t="n">
        <x:v>1</x:v>
      </x:c>
      <x:c r="P628" s="89" t="n">
        <x:f>SUM(M628:O628)</x:f>
        <x:v>1</x:v>
      </x:c>
      <x:c r="Q628" s="84" t="str">
        <x:v>Exact accepted-name match</x:v>
      </x:c>
      <x:c r="R628" s="84" t="str">
        <x:v>Populus deltoides</x:v>
      </x:c>
      <x:c r="S628" s="84" t="str">
        <x:v>2917212</x:v>
      </x:c>
      <x:c r="T628" s="84" t="str">
        <x:v>2917212</x:v>
      </x:c>
      <x:c r="U628" s="84" t="str">
        <x:v>30102841-2</x:v>
      </x:c>
      <x:c r="V628" s="84" t="str">
        <x:v>30102841-2</x:v>
      </x:c>
      <x:c r="W628" s="84" t="str"/>
    </x:row>
    <x:row r="629" ht="18" customHeight="1">
      <x:c r="A629" s="83" t="str">
        <x:v>HAYS-0628</x:v>
      </x:c>
      <x:c r="B629" s="87" t="str">
        <x:v>Populus deltoides ssp. deltoides</x:v>
      </x:c>
      <x:c r="C629" s="87" t="str">
        <x:v>Populus deltoides subsp. deltoides</x:v>
      </x:c>
      <x:c r="D629" s="84" t="str">
        <x:v>Salicaceae</x:v>
      </x:c>
      <x:c r="E629" s="84" t="str">
        <x:v>Populus</x:v>
      </x:c>
      <x:c r="F629" s="84" t="str">
        <x:v>Subspecies</x:v>
      </x:c>
      <x:c r="G629" s="84" t="str">
        <x:v>Accepted</x:v>
      </x:c>
      <x:c r="H629" s="84" t="str">
        <x:v>Eastern Cottonwood, Southern Cottonwood, Carolina Poplar, Eastern Poplar, Necklace Poplar, Alamo</x:v>
      </x:c>
      <x:c r="I629" s="84" t="str">
        <x:v>Perennial</x:v>
      </x:c>
      <x:c r="J629" s="84" t="str">
        <x:v>Tree</x:v>
      </x:c>
      <x:c r="K629" s="84" t="str">
        <x:v>Sun, Shade, Part-shade</x:v>
      </x:c>
      <x:c r="L629" s="84" t="str">
        <x:v>Moist</x:v>
      </x:c>
      <x:c r="M629" s="89" t="n">
        <x:v>1</x:v>
      </x:c>
      <x:c r="N629" s="89" t="n">
        <x:v>1</x:v>
      </x:c>
      <x:c r="O629" s="89" t="n">
        <x:v>0</x:v>
      </x:c>
      <x:c r="P629" s="89" t="n">
        <x:f>SUM(M629:O629)</x:f>
        <x:v>2</x:v>
      </x:c>
      <x:c r="Q629" s="84" t="str">
        <x:v>Exact accepted-name match</x:v>
      </x:c>
      <x:c r="R629" s="84" t="str">
        <x:v>Populus deltoides subsp. deltoides</x:v>
      </x:c>
      <x:c r="S629" s="84" t="str">
        <x:v>3265660</x:v>
      </x:c>
      <x:c r="T629" s="84" t="str">
        <x:v>3265660</x:v>
      </x:c>
      <x:c r="U629" s="84" t="str">
        <x:v>77231547-1</x:v>
      </x:c>
      <x:c r="V629" s="84" t="str">
        <x:v>77231547-1</x:v>
      </x:c>
      <x:c r="W629" s="84" t="str"/>
    </x:row>
    <x:row r="630" ht="18" customHeight="1">
      <x:c r="A630" s="83" t="str">
        <x:v>HAYS-0629</x:v>
      </x:c>
      <x:c r="B630" s="87" t="str">
        <x:v>Portulaca pilosa</x:v>
      </x:c>
      <x:c r="C630" s="87" t="str">
        <x:v>Portulaca pilosa</x:v>
      </x:c>
      <x:c r="D630" s="84" t="str">
        <x:v>Portulacaceae</x:v>
      </x:c>
      <x:c r="E630" s="84" t="str">
        <x:v>Portulaca</x:v>
      </x:c>
      <x:c r="F630" s="84" t="str">
        <x:v>Species</x:v>
      </x:c>
      <x:c r="G630" s="84" t="str">
        <x:v>Accepted</x:v>
      </x:c>
      <x:c r="H630" s="84" t="str">
        <x:v>Kiss Me Quick, Chisme</x:v>
      </x:c>
      <x:c r="I630" s="84" t="str">
        <x:v>Annual</x:v>
      </x:c>
      <x:c r="J630" s="84" t="str">
        <x:v>Herb</x:v>
      </x:c>
      <x:c r="K630" s="84" t="str">
        <x:v>Sun, Part-shade</x:v>
      </x:c>
      <x:c r="L630" s="84" t="str">
        <x:v>Moist, Dry</x:v>
      </x:c>
      <x:c r="M630" s="89" t="n">
        <x:v>1</x:v>
      </x:c>
      <x:c r="N630" s="89" t="n">
        <x:v>1</x:v>
      </x:c>
      <x:c r="O630" s="89" t="n">
        <x:v>0</x:v>
      </x:c>
      <x:c r="P630" s="89" t="n">
        <x:f>SUM(M630:O630)</x:f>
        <x:v>2</x:v>
      </x:c>
      <x:c r="Q630" s="84" t="str">
        <x:v>Exact accepted-name match</x:v>
      </x:c>
      <x:c r="R630" s="84" t="str">
        <x:v>Portulaca pilosa</x:v>
      </x:c>
      <x:c r="S630" s="84" t="str">
        <x:v>2573957</x:v>
      </x:c>
      <x:c r="T630" s="84" t="str">
        <x:v>2573957</x:v>
      </x:c>
      <x:c r="U630" s="84" t="str">
        <x:v>316354-2</x:v>
      </x:c>
      <x:c r="V630" s="84" t="str">
        <x:v>316354-2</x:v>
      </x:c>
      <x:c r="W630" s="84" t="str"/>
    </x:row>
    <x:row r="631" ht="18" customHeight="1">
      <x:c r="A631" s="83" t="str">
        <x:v>HAYS-0630</x:v>
      </x:c>
      <x:c r="B631" s="87" t="str">
        <x:v>Portulaca umbraticola</x:v>
      </x:c>
      <x:c r="C631" s="87" t="str">
        <x:v>Portulaca umbraticola</x:v>
      </x:c>
      <x:c r="D631" s="84" t="str">
        <x:v>Portulacaceae</x:v>
      </x:c>
      <x:c r="E631" s="84" t="str">
        <x:v>Portulaca</x:v>
      </x:c>
      <x:c r="F631" s="84" t="str">
        <x:v>Species</x:v>
      </x:c>
      <x:c r="G631" s="84" t="str">
        <x:v>Accepted</x:v>
      </x:c>
      <x:c r="H631" s="84" t="str">
        <x:v>Wingpod Purslane, Purslane</x:v>
      </x:c>
      <x:c r="I631" s="84" t="str">
        <x:v>Annual</x:v>
      </x:c>
      <x:c r="J631" s="84" t="str">
        <x:v>Herb</x:v>
      </x:c>
      <x:c r="K631" s="84" t="str"/>
      <x:c r="L631" s="84" t="str"/>
      <x:c r="M631" s="89" t="n">
        <x:v>1</x:v>
      </x:c>
      <x:c r="N631" s="89" t="n">
        <x:v>1</x:v>
      </x:c>
      <x:c r="O631" s="89" t="n">
        <x:v>0</x:v>
      </x:c>
      <x:c r="P631" s="89" t="n">
        <x:f>SUM(M631:O631)</x:f>
        <x:v>2</x:v>
      </x:c>
      <x:c r="Q631" s="84" t="str">
        <x:v>Exact accepted-name match</x:v>
      </x:c>
      <x:c r="R631" s="84" t="str">
        <x:v>Portulaca umbraticola</x:v>
      </x:c>
      <x:c r="S631" s="84" t="str">
        <x:v>2574090</x:v>
      </x:c>
      <x:c r="T631" s="84" t="str">
        <x:v>2574090</x:v>
      </x:c>
      <x:c r="U631" s="84" t="str">
        <x:v>323272-2</x:v>
      </x:c>
      <x:c r="V631" s="84" t="str">
        <x:v>323272-2</x:v>
      </x:c>
      <x:c r="W631" s="84" t="str"/>
    </x:row>
    <x:row r="632" ht="18" customHeight="1">
      <x:c r="A632" s="83" t="str">
        <x:v>HAYS-0631</x:v>
      </x:c>
      <x:c r="B632" s="87" t="str">
        <x:v>Potamogeton illinoensis</x:v>
      </x:c>
      <x:c r="C632" s="87" t="str">
        <x:v>Potamogeton illinoensis</x:v>
      </x:c>
      <x:c r="D632" s="84" t="str">
        <x:v>Potamogetonaceae</x:v>
      </x:c>
      <x:c r="E632" s="84" t="str">
        <x:v>Potamogeton</x:v>
      </x:c>
      <x:c r="F632" s="84" t="str">
        <x:v>Species</x:v>
      </x:c>
      <x:c r="G632" s="84" t="str">
        <x:v>Accepted</x:v>
      </x:c>
      <x:c r="H632" s="84" t="str">
        <x:v>Illinois Pondweed</x:v>
      </x:c>
      <x:c r="I632" s="84" t="str">
        <x:v>Perennial</x:v>
      </x:c>
      <x:c r="J632" s="84" t="str">
        <x:v>Herb</x:v>
      </x:c>
      <x:c r="K632" s="84" t="str"/>
      <x:c r="L632" s="84" t="str"/>
      <x:c r="M632" s="89" t="n">
        <x:v>1</x:v>
      </x:c>
      <x:c r="N632" s="89" t="n">
        <x:v>1</x:v>
      </x:c>
      <x:c r="O632" s="89" t="n">
        <x:v>0</x:v>
      </x:c>
      <x:c r="P632" s="89" t="n">
        <x:f>SUM(M632:O632)</x:f>
        <x:v>2</x:v>
      </x:c>
      <x:c r="Q632" s="84" t="str">
        <x:v>Exact accepted-name match</x:v>
      </x:c>
      <x:c r="R632" s="84" t="str">
        <x:v>Potamogeton illinoensis</x:v>
      </x:c>
      <x:c r="S632" s="84" t="str">
        <x:v>308594</x:v>
      </x:c>
      <x:c r="T632" s="84" t="str">
        <x:v>308594</x:v>
      </x:c>
      <x:c r="U632" s="84" t="str">
        <x:v>208837-2</x:v>
      </x:c>
      <x:c r="V632" s="84" t="str">
        <x:v>208837-2</x:v>
      </x:c>
      <x:c r="W632" s="84" t="str"/>
    </x:row>
    <x:row r="633" ht="18" customHeight="1">
      <x:c r="A633" s="83" t="str">
        <x:v>HAYS-0632</x:v>
      </x:c>
      <x:c r="B633" s="87" t="str">
        <x:v>Potamogeton nodosus</x:v>
      </x:c>
      <x:c r="C633" s="87" t="str">
        <x:v>Potamogeton nodosus</x:v>
      </x:c>
      <x:c r="D633" s="84" t="str">
        <x:v>Potamogetonaceae</x:v>
      </x:c>
      <x:c r="E633" s="84" t="str">
        <x:v>Potamogeton</x:v>
      </x:c>
      <x:c r="F633" s="84" t="str">
        <x:v>Species</x:v>
      </x:c>
      <x:c r="G633" s="84" t="str">
        <x:v>Accepted</x:v>
      </x:c>
      <x:c r="H633" s="84" t="str">
        <x:v>Longleaf Pondweed, Knotty Pondweed</x:v>
      </x:c>
      <x:c r="I633" s="84" t="str">
        <x:v>Perennial</x:v>
      </x:c>
      <x:c r="J633" s="84" t="str">
        <x:v>Herb</x:v>
      </x:c>
      <x:c r="K633" s="84" t="str">
        <x:v>Sun, Part-shade</x:v>
      </x:c>
      <x:c r="L633" s="84" t="str">
        <x:v>Wet</x:v>
      </x:c>
      <x:c r="M633" s="89" t="n">
        <x:v>1</x:v>
      </x:c>
      <x:c r="N633" s="89" t="n">
        <x:v>1</x:v>
      </x:c>
      <x:c r="O633" s="89" t="n">
        <x:v>0</x:v>
      </x:c>
      <x:c r="P633" s="89" t="n">
        <x:f>SUM(M633:O633)</x:f>
        <x:v>2</x:v>
      </x:c>
      <x:c r="Q633" s="84" t="str">
        <x:v>Exact accepted-name match</x:v>
      </x:c>
      <x:c r="R633" s="84" t="str">
        <x:v>Potamogeton nodosus</x:v>
      </x:c>
      <x:c r="S633" s="84" t="str">
        <x:v>308649</x:v>
      </x:c>
      <x:c r="T633" s="84" t="str">
        <x:v>308649</x:v>
      </x:c>
      <x:c r="U633" s="84" t="str">
        <x:v>603330-1</x:v>
      </x:c>
      <x:c r="V633" s="84" t="str">
        <x:v>603330-1</x:v>
      </x:c>
      <x:c r="W633" s="84" t="str"/>
    </x:row>
    <x:row r="634" ht="18" customHeight="1">
      <x:c r="A634" s="83" t="str">
        <x:v>HAYS-0633</x:v>
      </x:c>
      <x:c r="B634" s="87" t="str">
        <x:v>Potamogeton pusillus</x:v>
      </x:c>
      <x:c r="C634" s="87" t="str">
        <x:v>Potamogeton pusillus</x:v>
      </x:c>
      <x:c r="D634" s="84" t="str">
        <x:v>Potamogetonaceae</x:v>
      </x:c>
      <x:c r="E634" s="84" t="str">
        <x:v>Potamogeton</x:v>
      </x:c>
      <x:c r="F634" s="84" t="str">
        <x:v>Species</x:v>
      </x:c>
      <x:c r="G634" s="84" t="str">
        <x:v>Accepted</x:v>
      </x:c>
      <x:c r="H634" s="84" t="str">
        <x:v>Small Pondweed</x:v>
      </x:c>
      <x:c r="I634" s="84" t="str">
        <x:v>Perennial</x:v>
      </x:c>
      <x:c r="J634" s="84" t="str">
        <x:v>Herb</x:v>
      </x:c>
      <x:c r="K634" s="84" t="str"/>
      <x:c r="L634" s="84" t="str"/>
      <x:c r="M634" s="89" t="n">
        <x:v>1</x:v>
      </x:c>
      <x:c r="N634" s="89" t="n">
        <x:v>1</x:v>
      </x:c>
      <x:c r="O634" s="89" t="n">
        <x:v>0</x:v>
      </x:c>
      <x:c r="P634" s="89" t="n">
        <x:f>SUM(M634:O634)</x:f>
        <x:v>2</x:v>
      </x:c>
      <x:c r="Q634" s="84" t="str">
        <x:v>Exact accepted-name match</x:v>
      </x:c>
      <x:c r="R634" s="84" t="str">
        <x:v>Potamogeton pusillus</x:v>
      </x:c>
      <x:c r="S634" s="84" t="str">
        <x:v>308698</x:v>
      </x:c>
      <x:c r="T634" s="84" t="str">
        <x:v>308698</x:v>
      </x:c>
      <x:c r="U634" s="84" t="str">
        <x:v>208919-2</x:v>
      </x:c>
      <x:c r="V634" s="84" t="str">
        <x:v>208919-2</x:v>
      </x:c>
      <x:c r="W634" s="84" t="str"/>
    </x:row>
    <x:row r="635" ht="18" customHeight="1">
      <x:c r="A635" s="83" t="str">
        <x:v>HAYS-0634</x:v>
      </x:c>
      <x:c r="B635" s="87" t="str">
        <x:v>Proboscidea louisianica</x:v>
      </x:c>
      <x:c r="C635" s="87" t="str">
        <x:v>Proboscidea louisianica</x:v>
      </x:c>
      <x:c r="D635" s="84" t="str">
        <x:v>Martyniaceae</x:v>
      </x:c>
      <x:c r="E635" s="84" t="str">
        <x:v>Proboscidea</x:v>
      </x:c>
      <x:c r="F635" s="84" t="str">
        <x:v>Species</x:v>
      </x:c>
      <x:c r="G635" s="84" t="str">
        <x:v>Accepted</x:v>
      </x:c>
      <x:c r="H635" s="84" t="str">
        <x:v>Louisiana Devil's-claw, Devil's claw, Ram's-horn, Unicorn Plant, Proboscis Flower</x:v>
      </x:c>
      <x:c r="I635" s="84" t="str">
        <x:v>Annual</x:v>
      </x:c>
      <x:c r="J635" s="84" t="str">
        <x:v>Herb</x:v>
      </x:c>
      <x:c r="K635" s="84" t="str">
        <x:v>Sun</x:v>
      </x:c>
      <x:c r="L635" s="84" t="str">
        <x:v>Dry</x:v>
      </x:c>
      <x:c r="M635" s="89" t="n">
        <x:v>1</x:v>
      </x:c>
      <x:c r="N635" s="89" t="n">
        <x:v>1</x:v>
      </x:c>
      <x:c r="O635" s="89" t="n">
        <x:v>0</x:v>
      </x:c>
      <x:c r="P635" s="89" t="n">
        <x:f>SUM(M635:O635)</x:f>
        <x:v>2</x:v>
      </x:c>
      <x:c r="Q635" s="84" t="str">
        <x:v>Exact accepted-name match</x:v>
      </x:c>
      <x:c r="R635" s="84" t="str">
        <x:v>Proboscidea louisianica</x:v>
      </x:c>
      <x:c r="S635" s="84" t="str">
        <x:v>2547147</x:v>
      </x:c>
      <x:c r="T635" s="84" t="str">
        <x:v>2547147</x:v>
      </x:c>
      <x:c r="U635" s="84" t="str">
        <x:v>210335-2</x:v>
      </x:c>
      <x:c r="V635" s="84" t="str">
        <x:v>210335-2</x:v>
      </x:c>
      <x:c r="W635" s="84" t="str"/>
    </x:row>
    <x:row r="636" ht="18" customHeight="1">
      <x:c r="A636" s="83" t="str">
        <x:v>HAYS-0635</x:v>
      </x:c>
      <x:c r="B636" s="87" t="str">
        <x:v>Prosopis glandulosa</x:v>
      </x:c>
      <x:c r="C636" s="87" t="str">
        <x:v>Neltuma glandulosa</x:v>
      </x:c>
      <x:c r="D636" s="84" t="str">
        <x:v>Fabaceae</x:v>
      </x:c>
      <x:c r="E636" s="84" t="str">
        <x:v>Neltuma</x:v>
      </x:c>
      <x:c r="F636" s="84" t="str">
        <x:v>Species</x:v>
      </x:c>
      <x:c r="G636" s="84" t="str">
        <x:v>Synonym</x:v>
      </x:c>
      <x:c r="H636" s="84" t="str">
        <x:v>Honey Mesquite, Glandular Mesquite, Algarroba</x:v>
      </x:c>
      <x:c r="I636" s="84" t="str">
        <x:v>Perennial</x:v>
      </x:c>
      <x:c r="J636" s="84" t="str">
        <x:v>Tree</x:v>
      </x:c>
      <x:c r="K636" s="84" t="str">
        <x:v>Sun</x:v>
      </x:c>
      <x:c r="L636" s="84" t="str">
        <x:v>Dry</x:v>
      </x:c>
      <x:c r="M636" s="89" t="n">
        <x:v>1</x:v>
      </x:c>
      <x:c r="N636" s="89" t="n">
        <x:v>1</x:v>
      </x:c>
      <x:c r="O636" s="89" t="n">
        <x:v>0</x:v>
      </x:c>
      <x:c r="P636" s="89" t="n">
        <x:f>SUM(M636:O636)</x:f>
        <x:v>2</x:v>
      </x:c>
      <x:c r="Q636" s="84" t="str">
        <x:v>Exact synonym-name match</x:v>
      </x:c>
      <x:c r="R636" s="84" t="str">
        <x:v>Prosopis glandulosa</x:v>
      </x:c>
      <x:c r="S636" s="84" t="str">
        <x:v>2536023</x:v>
      </x:c>
      <x:c r="T636" s="84" t="str">
        <x:v>2383853</x:v>
      </x:c>
      <x:c r="U636" s="84" t="str">
        <x:v>210440-2</x:v>
      </x:c>
      <x:c r="V636" s="84" t="str">
        <x:v>168104-2</x:v>
      </x:c>
      <x:c r="W636" s="84" t="str"/>
    </x:row>
    <x:row r="637" ht="18" customHeight="1">
      <x:c r="A637" s="83" t="str">
        <x:v>HAYS-0636</x:v>
      </x:c>
      <x:c r="B637" s="87" t="str">
        <x:v>Prunus angustifolia</x:v>
      </x:c>
      <x:c r="C637" s="87" t="str">
        <x:v>Prunus angustifolia</x:v>
      </x:c>
      <x:c r="D637" s="84" t="str">
        <x:v>Rosaceae</x:v>
      </x:c>
      <x:c r="E637" s="84" t="str">
        <x:v>Prunus</x:v>
      </x:c>
      <x:c r="F637" s="84" t="str">
        <x:v>Species</x:v>
      </x:c>
      <x:c r="G637" s="84" t="str">
        <x:v>Accepted</x:v>
      </x:c>
      <x:c r="H637" s="84" t="str">
        <x:v>Chickasaw Plum, Sandhill Plum</x:v>
      </x:c>
      <x:c r="I637" s="84" t="str">
        <x:v>Perennial</x:v>
      </x:c>
      <x:c r="J637" s="84" t="str">
        <x:v>Shrub, Tree</x:v>
      </x:c>
      <x:c r="K637" s="84" t="str">
        <x:v>Sun</x:v>
      </x:c>
      <x:c r="L637" s="84" t="str">
        <x:v>Medium</x:v>
      </x:c>
      <x:c r="M637" s="89" t="n">
        <x:v>0</x:v>
      </x:c>
      <x:c r="N637" s="89" t="n">
        <x:v>0</x:v>
      </x:c>
      <x:c r="O637" s="89" t="n">
        <x:v>1</x:v>
      </x:c>
      <x:c r="P637" s="89" t="n">
        <x:f>SUM(M637:O637)</x:f>
        <x:v>1</x:v>
      </x:c>
      <x:c r="Q637" s="84" t="str">
        <x:v>Exact accepted-name match</x:v>
      </x:c>
      <x:c r="R637" s="84" t="str">
        <x:v>Prunus angustifolia</x:v>
      </x:c>
      <x:c r="S637" s="84" t="str">
        <x:v>2958801</x:v>
      </x:c>
      <x:c r="T637" s="84" t="str">
        <x:v>2958801</x:v>
      </x:c>
      <x:c r="U637" s="84" t="str">
        <x:v>30186920-2</x:v>
      </x:c>
      <x:c r="V637" s="84" t="str">
        <x:v>30186920-2</x:v>
      </x:c>
      <x:c r="W637" s="84" t="str"/>
    </x:row>
    <x:row r="638" ht="18" customHeight="1">
      <x:c r="A638" s="83" t="str">
        <x:v>HAYS-0637</x:v>
      </x:c>
      <x:c r="B638" s="87" t="str">
        <x:v>Prunus caroliniana</x:v>
      </x:c>
      <x:c r="C638" s="87" t="str">
        <x:v>Prunus caroliniana</x:v>
      </x:c>
      <x:c r="D638" s="84" t="str">
        <x:v>Rosaceae</x:v>
      </x:c>
      <x:c r="E638" s="84" t="str">
        <x:v>Prunus</x:v>
      </x:c>
      <x:c r="F638" s="84" t="str">
        <x:v>Species</x:v>
      </x:c>
      <x:c r="G638" s="84" t="str">
        <x:v>Accepted</x:v>
      </x:c>
      <x:c r="H638" s="84" t="str">
        <x:v>Carolina Cherry-laurel, Cherry-laurel, Laurel Cherry, Carolina Laurel Cherry</x:v>
      </x:c>
      <x:c r="I638" s="84" t="str">
        <x:v>Perennial</x:v>
      </x:c>
      <x:c r="J638" s="84" t="str">
        <x:v>Tree</x:v>
      </x:c>
      <x:c r="K638" s="84" t="str">
        <x:v>Sun, Part Shade</x:v>
      </x:c>
      <x:c r="L638" s="84" t="str">
        <x:v>Medium</x:v>
      </x:c>
      <x:c r="M638" s="89" t="n">
        <x:v>0</x:v>
      </x:c>
      <x:c r="N638" s="89" t="n">
        <x:v>0</x:v>
      </x:c>
      <x:c r="O638" s="89" t="n">
        <x:v>1</x:v>
      </x:c>
      <x:c r="P638" s="89" t="n">
        <x:f>SUM(M638:O638)</x:f>
        <x:v>1</x:v>
      </x:c>
      <x:c r="Q638" s="84" t="str">
        <x:v>Exact accepted-name match</x:v>
      </x:c>
      <x:c r="R638" s="84" t="str">
        <x:v>Prunus caroliniana</x:v>
      </x:c>
      <x:c r="S638" s="84" t="str">
        <x:v>2959079</x:v>
      </x:c>
      <x:c r="T638" s="84" t="str">
        <x:v>2959079</x:v>
      </x:c>
      <x:c r="U638" s="84" t="str">
        <x:v>729552-1</x:v>
      </x:c>
      <x:c r="V638" s="84" t="str">
        <x:v>729552-1</x:v>
      </x:c>
      <x:c r="W638" s="84" t="str"/>
    </x:row>
    <x:row r="639" ht="18" customHeight="1">
      <x:c r="A639" s="83" t="str">
        <x:v>HAYS-0638</x:v>
      </x:c>
      <x:c r="B639" s="87" t="str">
        <x:v>Prunus mexicana</x:v>
      </x:c>
      <x:c r="C639" s="87" t="str">
        <x:v>Prunus mexicana</x:v>
      </x:c>
      <x:c r="D639" s="84" t="str">
        <x:v>Rosaceae</x:v>
      </x:c>
      <x:c r="E639" s="84" t="str">
        <x:v>Prunus</x:v>
      </x:c>
      <x:c r="F639" s="84" t="str">
        <x:v>Species</x:v>
      </x:c>
      <x:c r="G639" s="84" t="str">
        <x:v>Accepted</x:v>
      </x:c>
      <x:c r="H639" s="84" t="str">
        <x:v>Mexican Plum, Bigtree Plum, Inch Plum</x:v>
      </x:c>
      <x:c r="I639" s="84" t="str">
        <x:v>Perennial</x:v>
      </x:c>
      <x:c r="J639" s="84" t="str">
        <x:v>Tree</x:v>
      </x:c>
      <x:c r="K639" s="84" t="str">
        <x:v>Sun</x:v>
      </x:c>
      <x:c r="L639" s="84" t="str">
        <x:v>Medium</x:v>
      </x:c>
      <x:c r="M639" s="89" t="n">
        <x:v>1</x:v>
      </x:c>
      <x:c r="N639" s="89" t="n">
        <x:v>1</x:v>
      </x:c>
      <x:c r="O639" s="89" t="n">
        <x:v>1</x:v>
      </x:c>
      <x:c r="P639" s="89" t="n">
        <x:f>SUM(M639:O639)</x:f>
        <x:v>3</x:v>
      </x:c>
      <x:c r="Q639" s="84" t="str">
        <x:v>Exact accepted-name match</x:v>
      </x:c>
      <x:c r="R639" s="84" t="str">
        <x:v>Prunus mexicana</x:v>
      </x:c>
      <x:c r="S639" s="84" t="str">
        <x:v>2960673</x:v>
      </x:c>
      <x:c r="T639" s="84" t="str">
        <x:v>2960673</x:v>
      </x:c>
      <x:c r="U639" s="84" t="str">
        <x:v>30012498-2</x:v>
      </x:c>
      <x:c r="V639" s="84" t="str">
        <x:v>30012498-2</x:v>
      </x:c>
      <x:c r="W639" s="84" t="str"/>
    </x:row>
    <x:row r="640" ht="18" customHeight="1">
      <x:c r="A640" s="83" t="str">
        <x:v>HAYS-0639</x:v>
      </x:c>
      <x:c r="B640" s="87" t="str">
        <x:v>Prunus rivularis</x:v>
      </x:c>
      <x:c r="C640" s="87" t="str">
        <x:v>Prunus rivularis</x:v>
      </x:c>
      <x:c r="D640" s="84" t="str">
        <x:v>Rosaceae</x:v>
      </x:c>
      <x:c r="E640" s="84" t="str">
        <x:v>Prunus</x:v>
      </x:c>
      <x:c r="F640" s="84" t="str">
        <x:v>Species</x:v>
      </x:c>
      <x:c r="G640" s="84" t="str">
        <x:v>Accepted</x:v>
      </x:c>
      <x:c r="H640" s="84" t="str">
        <x:v>River Plum, Creek Plum, Hog Plum</x:v>
      </x:c>
      <x:c r="I640" s="84" t="str">
        <x:v>Perennial</x:v>
      </x:c>
      <x:c r="J640" s="84" t="str">
        <x:v>Shrub</x:v>
      </x:c>
      <x:c r="K640" s="84" t="str">
        <x:v>Part-shade</x:v>
      </x:c>
      <x:c r="L640" s="84" t="str">
        <x:v>Moist, Dry</x:v>
      </x:c>
      <x:c r="M640" s="89" t="n">
        <x:v>1</x:v>
      </x:c>
      <x:c r="N640" s="89" t="n">
        <x:v>1</x:v>
      </x:c>
      <x:c r="O640" s="89" t="n">
        <x:v>0</x:v>
      </x:c>
      <x:c r="P640" s="89" t="n">
        <x:f>SUM(M640:O640)</x:f>
        <x:v>2</x:v>
      </x:c>
      <x:c r="Q640" s="84" t="str">
        <x:v>Exact accepted-name match</x:v>
      </x:c>
      <x:c r="R640" s="84" t="str">
        <x:v>Prunus rivularis</x:v>
      </x:c>
      <x:c r="S640" s="84" t="str">
        <x:v>2961426</x:v>
      </x:c>
      <x:c r="T640" s="84" t="str">
        <x:v>2961426</x:v>
      </x:c>
      <x:c r="U640" s="84" t="str">
        <x:v>730196-1</x:v>
      </x:c>
      <x:c r="V640" s="84" t="str">
        <x:v>730196-1</x:v>
      </x:c>
      <x:c r="W640" s="84" t="str"/>
    </x:row>
    <x:row r="641" ht="18" customHeight="1">
      <x:c r="A641" s="83" t="str">
        <x:v>HAYS-0640</x:v>
      </x:c>
      <x:c r="B641" s="87" t="str">
        <x:v>Prunus serotina</x:v>
      </x:c>
      <x:c r="C641" s="87" t="str">
        <x:v>Prunus serotina</x:v>
      </x:c>
      <x:c r="D641" s="84" t="str">
        <x:v>Rosaceae</x:v>
      </x:c>
      <x:c r="E641" s="84" t="str">
        <x:v>Prunus</x:v>
      </x:c>
      <x:c r="F641" s="84" t="str">
        <x:v>Species</x:v>
      </x:c>
      <x:c r="G641" s="84" t="str">
        <x:v>Accepted</x:v>
      </x:c>
      <x:c r="H641" s="84" t="str">
        <x:v>Black Cherry, Wild Black Cherry, Rum Cherry</x:v>
      </x:c>
      <x:c r="I641" s="84" t="str">
        <x:v>Perennial</x:v>
      </x:c>
      <x:c r="J641" s="84" t="str">
        <x:v>Tree</x:v>
      </x:c>
      <x:c r="K641" s="84" t="str">
        <x:v>Sun, Part Shade</x:v>
      </x:c>
      <x:c r="L641" s="84" t="str">
        <x:v>Medium</x:v>
      </x:c>
      <x:c r="M641" s="89" t="n">
        <x:v>0</x:v>
      </x:c>
      <x:c r="N641" s="89" t="n">
        <x:v>0</x:v>
      </x:c>
      <x:c r="O641" s="89" t="n">
        <x:v>1</x:v>
      </x:c>
      <x:c r="P641" s="89" t="n">
        <x:f>SUM(M641:O641)</x:f>
        <x:v>1</x:v>
      </x:c>
      <x:c r="Q641" s="84" t="str">
        <x:v>Exact accepted-name match</x:v>
      </x:c>
      <x:c r="R641" s="84" t="str">
        <x:v>Prunus serotina</x:v>
      </x:c>
      <x:c r="S641" s="84" t="str">
        <x:v>2915966</x:v>
      </x:c>
      <x:c r="T641" s="84" t="str">
        <x:v>2915966</x:v>
      </x:c>
      <x:c r="U641" s="84" t="str">
        <x:v>30010850-2</x:v>
      </x:c>
      <x:c r="V641" s="84" t="str">
        <x:v>30010850-2</x:v>
      </x:c>
      <x:c r="W641" s="84" t="str"/>
    </x:row>
    <x:row r="642" ht="18" customHeight="1">
      <x:c r="A642" s="83" t="str">
        <x:v>HAYS-0641</x:v>
      </x:c>
      <x:c r="B642" s="87" t="str">
        <x:v>Prunus serotina var. eximia</x:v>
      </x:c>
      <x:c r="C642" s="87" t="str">
        <x:v>Prunus serotina var. eximia</x:v>
      </x:c>
      <x:c r="D642" s="84" t="str">
        <x:v>Rosaceae</x:v>
      </x:c>
      <x:c r="E642" s="84" t="str">
        <x:v>Prunus</x:v>
      </x:c>
      <x:c r="F642" s="84" t="str">
        <x:v>Variety</x:v>
      </x:c>
      <x:c r="G642" s="84" t="str">
        <x:v>Accepted</x:v>
      </x:c>
      <x:c r="H642" s="84" t="str">
        <x:v>Escarpment Cherry</x:v>
      </x:c>
      <x:c r="I642" s="84" t="str">
        <x:v>Perennial</x:v>
      </x:c>
      <x:c r="J642" s="84" t="str">
        <x:v>Tree</x:v>
      </x:c>
      <x:c r="K642" s="84" t="str">
        <x:v>Sun</x:v>
      </x:c>
      <x:c r="L642" s="84" t="str">
        <x:v>Medium</x:v>
      </x:c>
      <x:c r="M642" s="89" t="n">
        <x:v>1</x:v>
      </x:c>
      <x:c r="N642" s="89" t="n">
        <x:v>1</x:v>
      </x:c>
      <x:c r="O642" s="89" t="n">
        <x:v>1</x:v>
      </x:c>
      <x:c r="P642" s="89" t="n">
        <x:f>SUM(M642:O642)</x:f>
        <x:v>3</x:v>
      </x:c>
      <x:c r="Q642" s="84" t="str">
        <x:v>Exact accepted-name match</x:v>
      </x:c>
      <x:c r="R642" s="84" t="str">
        <x:v>Prunus serotina var. eximia</x:v>
      </x:c>
      <x:c r="S642" s="84" t="str">
        <x:v>2961602</x:v>
      </x:c>
      <x:c r="T642" s="84" t="str">
        <x:v>2961602</x:v>
      </x:c>
      <x:c r="U642" s="84" t="str">
        <x:v>210895-2</x:v>
      </x:c>
      <x:c r="V642" s="84" t="str">
        <x:v>210895-2</x:v>
      </x:c>
      <x:c r="W642" s="84" t="str"/>
    </x:row>
    <x:row r="643" ht="18" customHeight="1">
      <x:c r="A643" s="83" t="str">
        <x:v>HAYS-0642</x:v>
      </x:c>
      <x:c r="B643" s="87" t="str">
        <x:v>Pseudognaphalium obtusifolium</x:v>
      </x:c>
      <x:c r="C643" s="87" t="str">
        <x:v>Pseudognaphalium obtusifolium</x:v>
      </x:c>
      <x:c r="D643" s="84" t="str">
        <x:v>Asteraceae</x:v>
      </x:c>
      <x:c r="E643" s="84" t="str">
        <x:v>Pseudognaphalium</x:v>
      </x:c>
      <x:c r="F643" s="84" t="str">
        <x:v>Species</x:v>
      </x:c>
      <x:c r="G643" s="84" t="str">
        <x:v>Accepted</x:v>
      </x:c>
      <x:c r="H643" s="84" t="str">
        <x:v>Sweet Everlasting, Rabbit-tobacco, Fragrant Cudweed</x:v>
      </x:c>
      <x:c r="I643" s="84" t="str">
        <x:v>Annual</x:v>
      </x:c>
      <x:c r="J643" s="84" t="str">
        <x:v>Herb</x:v>
      </x:c>
      <x:c r="K643" s="84" t="str"/>
      <x:c r="L643" s="84" t="str"/>
      <x:c r="M643" s="89" t="n">
        <x:v>1</x:v>
      </x:c>
      <x:c r="N643" s="89" t="n">
        <x:v>1</x:v>
      </x:c>
      <x:c r="O643" s="89" t="n">
        <x:v>0</x:v>
      </x:c>
      <x:c r="P643" s="89" t="n">
        <x:f>SUM(M643:O643)</x:f>
        <x:v>2</x:v>
      </x:c>
      <x:c r="Q643" s="84" t="str">
        <x:v>Exact accepted-name match</x:v>
      </x:c>
      <x:c r="R643" s="84" t="str">
        <x:v>Pseudognaphalium obtusifolium</x:v>
      </x:c>
      <x:c r="S643" s="84" t="str">
        <x:v>2928972</x:v>
      </x:c>
      <x:c r="T643" s="84" t="str">
        <x:v>2928972</x:v>
      </x:c>
      <x:c r="U643" s="84" t="str">
        <x:v>909626-1</x:v>
      </x:c>
      <x:c r="V643" s="84" t="str">
        <x:v>909626-1</x:v>
      </x:c>
      <x:c r="W643" s="84" t="str"/>
    </x:row>
    <x:row r="644" ht="18" customHeight="1">
      <x:c r="A644" s="83" t="str">
        <x:v>HAYS-0643</x:v>
      </x:c>
      <x:c r="B644" s="87" t="str">
        <x:v>Psoralidium tenuiflorum</x:v>
      </x:c>
      <x:c r="C644" s="87" t="str">
        <x:v>Pediomelum tenuiflorum</x:v>
      </x:c>
      <x:c r="D644" s="84" t="str">
        <x:v>Fabaceae</x:v>
      </x:c>
      <x:c r="E644" s="84" t="str">
        <x:v>Pediomelum</x:v>
      </x:c>
      <x:c r="F644" s="84" t="str">
        <x:v>Species</x:v>
      </x:c>
      <x:c r="G644" s="84" t="str">
        <x:v>Synonym</x:v>
      </x:c>
      <x:c r="H644" s="84" t="str">
        <x:v>Slimflower Scurfpea, Scurfy Pea</x:v>
      </x:c>
      <x:c r="I644" s="84" t="str">
        <x:v>Perennial</x:v>
      </x:c>
      <x:c r="J644" s="84" t="str">
        <x:v>Herb</x:v>
      </x:c>
      <x:c r="K644" s="84" t="str"/>
      <x:c r="L644" s="84" t="str"/>
      <x:c r="M644" s="89" t="n">
        <x:v>1</x:v>
      </x:c>
      <x:c r="N644" s="89" t="n">
        <x:v>1</x:v>
      </x:c>
      <x:c r="O644" s="89" t="n">
        <x:v>0</x:v>
      </x:c>
      <x:c r="P644" s="89" t="n">
        <x:f>SUM(M644:O644)</x:f>
        <x:v>2</x:v>
      </x:c>
      <x:c r="Q644" s="84" t="str">
        <x:v>Exact synonym-name match</x:v>
      </x:c>
      <x:c r="R644" s="84" t="str">
        <x:v>Psoralidium tenuiflorum</x:v>
      </x:c>
      <x:c r="S644" s="84" t="str">
        <x:v>2535562</x:v>
      </x:c>
      <x:c r="T644" s="84" t="str">
        <x:v>2896975</x:v>
      </x:c>
      <x:c r="U644" s="84" t="str">
        <x:v>212342-2</x:v>
      </x:c>
      <x:c r="V644" s="84" t="str">
        <x:v>60453080-2</x:v>
      </x:c>
      <x:c r="W644" s="84" t="str"/>
    </x:row>
    <x:row r="645" ht="18" customHeight="1">
      <x:c r="A645" s="83" t="str">
        <x:v>HAYS-0644</x:v>
      </x:c>
      <x:c r="B645" s="87" t="str">
        <x:v>Ptelea trifoliata</x:v>
      </x:c>
      <x:c r="C645" s="87" t="str">
        <x:v>Ptelea trifoliata</x:v>
      </x:c>
      <x:c r="D645" s="84" t="str">
        <x:v>Rutaceae</x:v>
      </x:c>
      <x:c r="E645" s="84" t="str">
        <x:v>Ptelea</x:v>
      </x:c>
      <x:c r="F645" s="84" t="str">
        <x:v>Species</x:v>
      </x:c>
      <x:c r="G645" s="84" t="str">
        <x:v>Accepted</x:v>
      </x:c>
      <x:c r="H645" s="84" t="str">
        <x:v>Wafer Ash, Common Hoptree, Hop Tree</x:v>
      </x:c>
      <x:c r="I645" s="84" t="str">
        <x:v>Perennial</x:v>
      </x:c>
      <x:c r="J645" s="84" t="str">
        <x:v>Tree</x:v>
      </x:c>
      <x:c r="K645" s="84" t="str">
        <x:v>Sun, Part Shade</x:v>
      </x:c>
      <x:c r="L645" s="84" t="str">
        <x:v>Medium</x:v>
      </x:c>
      <x:c r="M645" s="89" t="n">
        <x:v>1</x:v>
      </x:c>
      <x:c r="N645" s="89" t="n">
        <x:v>1</x:v>
      </x:c>
      <x:c r="O645" s="89" t="n">
        <x:v>1</x:v>
      </x:c>
      <x:c r="P645" s="89" t="n">
        <x:f>SUM(M645:O645)</x:f>
        <x:v>3</x:v>
      </x:c>
      <x:c r="Q645" s="84" t="str">
        <x:v>Exact accepted-name match</x:v>
      </x:c>
      <x:c r="R645" s="84" t="str">
        <x:v>Ptelea trifoliata</x:v>
      </x:c>
      <x:c r="S645" s="84" t="str">
        <x:v>2543462</x:v>
      </x:c>
      <x:c r="T645" s="84" t="str">
        <x:v>2543462</x:v>
      </x:c>
      <x:c r="U645" s="84" t="str">
        <x:v>774969-1</x:v>
      </x:c>
      <x:c r="V645" s="84" t="str">
        <x:v>774969-1</x:v>
      </x:c>
      <x:c r="W645" s="84" t="str"/>
    </x:row>
    <x:row r="646" ht="18" customHeight="1">
      <x:c r="A646" s="83" t="str">
        <x:v>HAYS-0645</x:v>
      </x:c>
      <x:c r="B646" s="87" t="str">
        <x:v>Pyrrhopappus carolinianus</x:v>
      </x:c>
      <x:c r="C646" s="87" t="str">
        <x:v>Pyrrhopappus carolinianus</x:v>
      </x:c>
      <x:c r="D646" s="84" t="str">
        <x:v>Asteraceae</x:v>
      </x:c>
      <x:c r="E646" s="84" t="str">
        <x:v>Pyrrhopappus</x:v>
      </x:c>
      <x:c r="F646" s="84" t="str">
        <x:v>Species</x:v>
      </x:c>
      <x:c r="G646" s="84" t="str">
        <x:v>Accepted</x:v>
      </x:c>
      <x:c r="H646" s="84" t="str">
        <x:v>Carolina Desert-chicory, Texas Dandelion, False Dandelion</x:v>
      </x:c>
      <x:c r="I646" s="84" t="str">
        <x:v>Annual</x:v>
      </x:c>
      <x:c r="J646" s="84" t="str">
        <x:v>Herb</x:v>
      </x:c>
      <x:c r="K646" s="84" t="str"/>
      <x:c r="L646" s="84" t="str"/>
      <x:c r="M646" s="89" t="n">
        <x:v>1</x:v>
      </x:c>
      <x:c r="N646" s="89" t="n">
        <x:v>1</x:v>
      </x:c>
      <x:c r="O646" s="89" t="n">
        <x:v>0</x:v>
      </x:c>
      <x:c r="P646" s="89" t="n">
        <x:f>SUM(M646:O646)</x:f>
        <x:v>2</x:v>
      </x:c>
      <x:c r="Q646" s="84" t="str">
        <x:v>Exact accepted-name match</x:v>
      </x:c>
      <x:c r="R646" s="84" t="str">
        <x:v>Pyrrhopappus carolinianus</x:v>
      </x:c>
      <x:c r="S646" s="84" t="str">
        <x:v>3063581</x:v>
      </x:c>
      <x:c r="T646" s="84" t="str">
        <x:v>3063581</x:v>
      </x:c>
      <x:c r="U646" s="84" t="str">
        <x:v>241012-1</x:v>
      </x:c>
      <x:c r="V646" s="84" t="str">
        <x:v>241012-1</x:v>
      </x:c>
      <x:c r="W646" s="84" t="str"/>
    </x:row>
    <x:row r="647" ht="18" customHeight="1">
      <x:c r="A647" s="83" t="str">
        <x:v>HAYS-0646</x:v>
      </x:c>
      <x:c r="B647" s="87" t="str">
        <x:v>Pyrrhopappus grandiflorus</x:v>
      </x:c>
      <x:c r="C647" s="87" t="str">
        <x:v>Pyrrhopappus grandiflorus</x:v>
      </x:c>
      <x:c r="D647" s="84" t="str">
        <x:v>Asteraceae</x:v>
      </x:c>
      <x:c r="E647" s="84" t="str">
        <x:v>Pyrrhopappus</x:v>
      </x:c>
      <x:c r="F647" s="84" t="str">
        <x:v>Species</x:v>
      </x:c>
      <x:c r="G647" s="84" t="str">
        <x:v>Accepted</x:v>
      </x:c>
      <x:c r="H647" s="84" t="str">
        <x:v>Tuberous Desert-chicory</x:v>
      </x:c>
      <x:c r="I647" s="84" t="str">
        <x:v>Perennial</x:v>
      </x:c>
      <x:c r="J647" s="84" t="str">
        <x:v>Herb</x:v>
      </x:c>
      <x:c r="K647" s="84" t="str"/>
      <x:c r="L647" s="84" t="str"/>
      <x:c r="M647" s="89" t="n">
        <x:v>1</x:v>
      </x:c>
      <x:c r="N647" s="89" t="n">
        <x:v>1</x:v>
      </x:c>
      <x:c r="O647" s="89" t="n">
        <x:v>0</x:v>
      </x:c>
      <x:c r="P647" s="89" t="n">
        <x:f>SUM(M647:O647)</x:f>
        <x:v>2</x:v>
      </x:c>
      <x:c r="Q647" s="84" t="str">
        <x:v>Exact accepted-name match</x:v>
      </x:c>
      <x:c r="R647" s="84" t="str">
        <x:v>Pyrrhopappus grandiflorus</x:v>
      </x:c>
      <x:c r="S647" s="84" t="str">
        <x:v>3063585</x:v>
      </x:c>
      <x:c r="T647" s="84" t="str">
        <x:v>3063585</x:v>
      </x:c>
      <x:c r="U647" s="84" t="str">
        <x:v>241015-1</x:v>
      </x:c>
      <x:c r="V647" s="84" t="str">
        <x:v>241015-1</x:v>
      </x:c>
      <x:c r="W647" s="84" t="str"/>
    </x:row>
    <x:row r="648" ht="18" customHeight="1">
      <x:c r="A648" s="83" t="str">
        <x:v>HAYS-0647</x:v>
      </x:c>
      <x:c r="B648" s="87" t="str">
        <x:v>Pyrrhopappus pauciflorus</x:v>
      </x:c>
      <x:c r="C648" s="87" t="str">
        <x:v>Pyrrhopappus pauciflorus</x:v>
      </x:c>
      <x:c r="D648" s="84" t="str">
        <x:v>Asteraceae</x:v>
      </x:c>
      <x:c r="E648" s="84" t="str">
        <x:v>Pyrrhopappus</x:v>
      </x:c>
      <x:c r="F648" s="84" t="str">
        <x:v>Species</x:v>
      </x:c>
      <x:c r="G648" s="84" t="str">
        <x:v>Accepted</x:v>
      </x:c>
      <x:c r="H648" s="84" t="str">
        <x:v>Smallflower Desert-chicory, Texas Dandelion, False Dandelion</x:v>
      </x:c>
      <x:c r="I648" s="84" t="str">
        <x:v>Annual</x:v>
      </x:c>
      <x:c r="J648" s="84" t="str">
        <x:v>Herb</x:v>
      </x:c>
      <x:c r="K648" s="84" t="str">
        <x:v>Sun, Part-shade</x:v>
      </x:c>
      <x:c r="L648" s="84" t="str">
        <x:v>Moist, Dry</x:v>
      </x:c>
      <x:c r="M648" s="89" t="n">
        <x:v>1</x:v>
      </x:c>
      <x:c r="N648" s="89" t="n">
        <x:v>1</x:v>
      </x:c>
      <x:c r="O648" s="89" t="n">
        <x:v>0</x:v>
      </x:c>
      <x:c r="P648" s="89" t="n">
        <x:f>SUM(M648:O648)</x:f>
        <x:v>2</x:v>
      </x:c>
      <x:c r="Q648" s="84" t="str">
        <x:v>Exact accepted-name match</x:v>
      </x:c>
      <x:c r="R648" s="84" t="str">
        <x:v>Pyrrhopappus pauciflorus</x:v>
      </x:c>
      <x:c r="S648" s="84" t="str">
        <x:v>3063595</x:v>
      </x:c>
      <x:c r="T648" s="84" t="str">
        <x:v>3063595</x:v>
      </x:c>
      <x:c r="U648" s="84" t="str">
        <x:v>241020-1</x:v>
      </x:c>
      <x:c r="V648" s="84" t="str">
        <x:v>241020-1</x:v>
      </x:c>
      <x:c r="W648" s="84" t="str"/>
    </x:row>
    <x:row r="649" ht="18" customHeight="1">
      <x:c r="A649" s="83" t="str">
        <x:v>HAYS-0648</x:v>
      </x:c>
      <x:c r="B649" s="87" t="str">
        <x:v>Quercus buckleyi</x:v>
      </x:c>
      <x:c r="C649" s="87" t="str">
        <x:v>Quercus buckleyi</x:v>
      </x:c>
      <x:c r="D649" s="84" t="str">
        <x:v>Fagaceae</x:v>
      </x:c>
      <x:c r="E649" s="84" t="str">
        <x:v>Quercus</x:v>
      </x:c>
      <x:c r="F649" s="84" t="str">
        <x:v>Species</x:v>
      </x:c>
      <x:c r="G649" s="84" t="str">
        <x:v>Accepted</x:v>
      </x:c>
      <x:c r="H649" s="84" t="str">
        <x:v>Texas Red Oak, Buckley Oak, Texas Oak, Spanish Oak, Spotted Oak, Rock Oak</x:v>
      </x:c>
      <x:c r="I649" s="84" t="str">
        <x:v>Perennial</x:v>
      </x:c>
      <x:c r="J649" s="84" t="str">
        <x:v>Tree</x:v>
      </x:c>
      <x:c r="K649" s="84" t="str">
        <x:v>Sun</x:v>
      </x:c>
      <x:c r="L649" s="84" t="str">
        <x:v>Low</x:v>
      </x:c>
      <x:c r="M649" s="89" t="n">
        <x:v>1</x:v>
      </x:c>
      <x:c r="N649" s="89" t="n">
        <x:v>1</x:v>
      </x:c>
      <x:c r="O649" s="89" t="n">
        <x:v>1</x:v>
      </x:c>
      <x:c r="P649" s="89" t="n">
        <x:f>SUM(M649:O649)</x:f>
        <x:v>3</x:v>
      </x:c>
      <x:c r="Q649" s="84" t="str">
        <x:v>Exact accepted-name match</x:v>
      </x:c>
      <x:c r="R649" s="84" t="str">
        <x:v>Quercus buckleyi</x:v>
      </x:c>
      <x:c r="S649" s="84" t="str">
        <x:v>171890</x:v>
      </x:c>
      <x:c r="T649" s="84" t="str">
        <x:v>171890</x:v>
      </x:c>
      <x:c r="U649" s="84" t="str">
        <x:v>284107-2</x:v>
      </x:c>
      <x:c r="V649" s="84" t="str">
        <x:v>284107-2</x:v>
      </x:c>
      <x:c r="W649" s="84" t="str"/>
    </x:row>
    <x:row r="650" ht="18" customHeight="1">
      <x:c r="A650" s="83" t="str">
        <x:v>HAYS-0649</x:v>
      </x:c>
      <x:c r="B650" s="87" t="str">
        <x:v>Quercus fusiformis</x:v>
      </x:c>
      <x:c r="C650" s="87" t="str">
        <x:v>Quercus fusiformis</x:v>
      </x:c>
      <x:c r="D650" s="84" t="str">
        <x:v>Fagaceae</x:v>
      </x:c>
      <x:c r="E650" s="84" t="str">
        <x:v>Quercus</x:v>
      </x:c>
      <x:c r="F650" s="84" t="str">
        <x:v>Species</x:v>
      </x:c>
      <x:c r="G650" s="84" t="str">
        <x:v>Accepted</x:v>
      </x:c>
      <x:c r="H650" s="84" t="str">
        <x:v>Escarpment Live Oak, Plateau Live Oak, Hill Country Live Oak, Texas Live Oak, Scrub Live Oak, Plateau Oak, Encino Molino, Tesmoli</x:v>
      </x:c>
      <x:c r="I650" s="84" t="str">
        <x:v>Perennial</x:v>
      </x:c>
      <x:c r="J650" s="84" t="str">
        <x:v>Tree</x:v>
      </x:c>
      <x:c r="K650" s="84" t="str">
        <x:v>Sun</x:v>
      </x:c>
      <x:c r="L650" s="84" t="str">
        <x:v>Low</x:v>
      </x:c>
      <x:c r="M650" s="89" t="n">
        <x:v>1</x:v>
      </x:c>
      <x:c r="N650" s="89" t="n">
        <x:v>1</x:v>
      </x:c>
      <x:c r="O650" s="89" t="n">
        <x:v>1</x:v>
      </x:c>
      <x:c r="P650" s="89" t="n">
        <x:f>SUM(M650:O650)</x:f>
        <x:v>3</x:v>
      </x:c>
      <x:c r="Q650" s="84" t="str">
        <x:v>Exact accepted-name match</x:v>
      </x:c>
      <x:c r="R650" s="84" t="str">
        <x:v>Quercus fusiformis</x:v>
      </x:c>
      <x:c r="S650" s="84" t="str">
        <x:v>172837</x:v>
      </x:c>
      <x:c r="T650" s="84" t="str">
        <x:v>172837</x:v>
      </x:c>
      <x:c r="U650" s="84" t="str">
        <x:v>215854-2</x:v>
      </x:c>
      <x:c r="V650" s="84" t="str">
        <x:v>215854-2</x:v>
      </x:c>
      <x:c r="W650" s="84" t="str"/>
    </x:row>
    <x:row r="651" ht="18" customHeight="1">
      <x:c r="A651" s="83" t="str">
        <x:v>HAYS-0650</x:v>
      </x:c>
      <x:c r="B651" s="87" t="str">
        <x:v>Quercus laceyi</x:v>
      </x:c>
      <x:c r="C651" s="87" t="str">
        <x:v>Quercus laceyi</x:v>
      </x:c>
      <x:c r="D651" s="84" t="str">
        <x:v>Fagaceae</x:v>
      </x:c>
      <x:c r="E651" s="84" t="str">
        <x:v>Quercus</x:v>
      </x:c>
      <x:c r="F651" s="84" t="str">
        <x:v>Species</x:v>
      </x:c>
      <x:c r="G651" s="84" t="str">
        <x:v>Accepted</x:v>
      </x:c>
      <x:c r="H651" s="84" t="str">
        <x:v>Lacey Oak, Texas Blue Oak, Canyon Oak, Smoky Oak, Rock Oak</x:v>
      </x:c>
      <x:c r="I651" s="84" t="str">
        <x:v>Perennial</x:v>
      </x:c>
      <x:c r="J651" s="84" t="str">
        <x:v>Tree</x:v>
      </x:c>
      <x:c r="K651" s="84" t="str">
        <x:v>Sun</x:v>
      </x:c>
      <x:c r="L651" s="84" t="str">
        <x:v>Low</x:v>
      </x:c>
      <x:c r="M651" s="89" t="n">
        <x:v>1</x:v>
      </x:c>
      <x:c r="N651" s="89" t="n">
        <x:v>1</x:v>
      </x:c>
      <x:c r="O651" s="89" t="n">
        <x:v>1</x:v>
      </x:c>
      <x:c r="P651" s="89" t="n">
        <x:f>SUM(M651:O651)</x:f>
        <x:v>3</x:v>
      </x:c>
      <x:c r="Q651" s="84" t="str">
        <x:v>Exact accepted-name match</x:v>
      </x:c>
      <x:c r="R651" s="84" t="str">
        <x:v>Quercus laceyi</x:v>
      </x:c>
      <x:c r="S651" s="84" t="str">
        <x:v>173471</x:v>
      </x:c>
      <x:c r="T651" s="84" t="str">
        <x:v>173471</x:v>
      </x:c>
      <x:c r="U651" s="84" t="str">
        <x:v>215970-2</x:v>
      </x:c>
      <x:c r="V651" s="84" t="str">
        <x:v>215970-2</x:v>
      </x:c>
      <x:c r="W651" s="84" t="str"/>
    </x:row>
    <x:row r="652" ht="18" customHeight="1">
      <x:c r="A652" s="83" t="str">
        <x:v>HAYS-0651</x:v>
      </x:c>
      <x:c r="B652" s="87" t="str">
        <x:v>Quercus macrocarpa</x:v>
      </x:c>
      <x:c r="C652" s="87" t="str">
        <x:v>Quercus macrocarpa</x:v>
      </x:c>
      <x:c r="D652" s="84" t="str">
        <x:v>Fagaceae</x:v>
      </x:c>
      <x:c r="E652" s="84" t="str">
        <x:v>Quercus</x:v>
      </x:c>
      <x:c r="F652" s="84" t="str">
        <x:v>Species</x:v>
      </x:c>
      <x:c r="G652" s="84" t="str">
        <x:v>Accepted</x:v>
      </x:c>
      <x:c r="H652" s="84" t="str">
        <x:v>Bur Oak, Burr Oak, Savanna Oak, Overcup Oak, Prairie Oak, Mossy-cup Oak, Mossy-overcup Oak, Blue Oak</x:v>
      </x:c>
      <x:c r="I652" s="84" t="str">
        <x:v>Perennial</x:v>
      </x:c>
      <x:c r="J652" s="84" t="str">
        <x:v>Tree</x:v>
      </x:c>
      <x:c r="K652" s="84" t="str">
        <x:v>Sun</x:v>
      </x:c>
      <x:c r="L652" s="84" t="str">
        <x:v>Medium</x:v>
      </x:c>
      <x:c r="M652" s="89" t="n">
        <x:v>1</x:v>
      </x:c>
      <x:c r="N652" s="89" t="n">
        <x:v>1</x:v>
      </x:c>
      <x:c r="O652" s="89" t="n">
        <x:v>1</x:v>
      </x:c>
      <x:c r="P652" s="89" t="n">
        <x:f>SUM(M652:O652)</x:f>
        <x:v>3</x:v>
      </x:c>
      <x:c r="Q652" s="84" t="str">
        <x:v>Exact accepted-name match</x:v>
      </x:c>
      <x:c r="R652" s="84" t="str">
        <x:v>Quercus macrocarpa</x:v>
      </x:c>
      <x:c r="S652" s="84" t="str">
        <x:v>173817</x:v>
      </x:c>
      <x:c r="T652" s="84" t="str">
        <x:v>173817</x:v>
      </x:c>
      <x:c r="U652" s="84" t="str">
        <x:v>30014114-2</x:v>
      </x:c>
      <x:c r="V652" s="84" t="str">
        <x:v>30014114-2</x:v>
      </x:c>
      <x:c r="W652" s="84" t="str"/>
    </x:row>
    <x:row r="653" ht="18" customHeight="1">
      <x:c r="A653" s="83" t="str">
        <x:v>HAYS-0652</x:v>
      </x:c>
      <x:c r="B653" s="87" t="str">
        <x:v>Quercus marilandica</x:v>
      </x:c>
      <x:c r="C653" s="87" t="str">
        <x:v>Quercus marilandica</x:v>
      </x:c>
      <x:c r="D653" s="84" t="str">
        <x:v>Fagaceae</x:v>
      </x:c>
      <x:c r="E653" s="84" t="str">
        <x:v>Quercus</x:v>
      </x:c>
      <x:c r="F653" s="84" t="str">
        <x:v>Species</x:v>
      </x:c>
      <x:c r="G653" s="84" t="str">
        <x:v>Accepted</x:v>
      </x:c>
      <x:c r="H653" s="84" t="str">
        <x:v>Blackjack Oak, Barren Oak, Black Oak, Jack Oak</x:v>
      </x:c>
      <x:c r="I653" s="84" t="str">
        <x:v>Perennial</x:v>
      </x:c>
      <x:c r="J653" s="84" t="str">
        <x:v>Tree</x:v>
      </x:c>
      <x:c r="K653" s="84" t="str">
        <x:v>Sun</x:v>
      </x:c>
      <x:c r="L653" s="84" t="str">
        <x:v>Low</x:v>
      </x:c>
      <x:c r="M653" s="89" t="n">
        <x:v>1</x:v>
      </x:c>
      <x:c r="N653" s="89" t="n">
        <x:v>1</x:v>
      </x:c>
      <x:c r="O653" s="89" t="n">
        <x:v>1</x:v>
      </x:c>
      <x:c r="P653" s="89" t="n">
        <x:f>SUM(M653:O653)</x:f>
        <x:v>3</x:v>
      </x:c>
      <x:c r="Q653" s="84" t="str">
        <x:v>Exact accepted-name match</x:v>
      </x:c>
      <x:c r="R653" s="84" t="str">
        <x:v>Quercus marilandica</x:v>
      </x:c>
      <x:c r="S653" s="84" t="str">
        <x:v>173871</x:v>
      </x:c>
      <x:c r="T653" s="84" t="str">
        <x:v>173871</x:v>
      </x:c>
      <x:c r="U653" s="84" t="str">
        <x:v>284111-2</x:v>
      </x:c>
      <x:c r="V653" s="84" t="str">
        <x:v>284111-2</x:v>
      </x:c>
      <x:c r="W653" s="84" t="str"/>
    </x:row>
    <x:row r="654" ht="18" customHeight="1">
      <x:c r="A654" s="83" t="str">
        <x:v>HAYS-0653</x:v>
      </x:c>
      <x:c r="B654" s="87" t="str">
        <x:v>Quercus muehlenbergii</x:v>
      </x:c>
      <x:c r="C654" s="87" t="str">
        <x:v>Quercus muehlenbergii</x:v>
      </x:c>
      <x:c r="D654" s="84" t="str">
        <x:v>Fagaceae</x:v>
      </x:c>
      <x:c r="E654" s="84" t="str">
        <x:v>Quercus</x:v>
      </x:c>
      <x:c r="F654" s="84" t="str">
        <x:v>Species</x:v>
      </x:c>
      <x:c r="G654" s="84" t="str">
        <x:v>Accepted</x:v>
      </x:c>
      <x:c r="H654" s="84" t="str">
        <x:v>Chinquapin Oak</x:v>
      </x:c>
      <x:c r="I654" s="84" t="str">
        <x:v>Perennial</x:v>
      </x:c>
      <x:c r="J654" s="84" t="str">
        <x:v>Tree</x:v>
      </x:c>
      <x:c r="K654" s="84" t="str">
        <x:v>Sun</x:v>
      </x:c>
      <x:c r="L654" s="84" t="str">
        <x:v>Medium</x:v>
      </x:c>
      <x:c r="M654" s="89" t="n">
        <x:v>1</x:v>
      </x:c>
      <x:c r="N654" s="89" t="n">
        <x:v>1</x:v>
      </x:c>
      <x:c r="O654" s="89" t="n">
        <x:v>1</x:v>
      </x:c>
      <x:c r="P654" s="89" t="n">
        <x:f>SUM(M654:O654)</x:f>
        <x:v>3</x:v>
      </x:c>
      <x:c r="Q654" s="84" t="str">
        <x:v>Exact accepted-name match</x:v>
      </x:c>
      <x:c r="R654" s="84" t="str">
        <x:v>Quercus muehlenbergii</x:v>
      </x:c>
      <x:c r="S654" s="84" t="str">
        <x:v>174020</x:v>
      </x:c>
      <x:c r="T654" s="84" t="str">
        <x:v>174020</x:v>
      </x:c>
      <x:c r="U654" s="84" t="str">
        <x:v>30336647-2</x:v>
      </x:c>
      <x:c r="V654" s="84" t="str">
        <x:v>30336647-2</x:v>
      </x:c>
      <x:c r="W654" s="84" t="str"/>
    </x:row>
    <x:row r="655" ht="18" customHeight="1">
      <x:c r="A655" s="83" t="str">
        <x:v>HAYS-0654</x:v>
      </x:c>
      <x:c r="B655" s="87" t="str">
        <x:v>Quercus shumardii</x:v>
      </x:c>
      <x:c r="C655" s="87" t="str">
        <x:v>Quercus shumardii</x:v>
      </x:c>
      <x:c r="D655" s="84" t="str">
        <x:v>Fagaceae</x:v>
      </x:c>
      <x:c r="E655" s="84" t="str">
        <x:v>Quercus</x:v>
      </x:c>
      <x:c r="F655" s="84" t="str">
        <x:v>Species</x:v>
      </x:c>
      <x:c r="G655" s="84" t="str">
        <x:v>Accepted</x:v>
      </x:c>
      <x:c r="H655" s="84" t="str">
        <x:v>Shumard Oak, Shumard's Oak, Shumard Red Oak, Southern Red Oak, Swamp Red Oak, Spotted Oak</x:v>
      </x:c>
      <x:c r="I655" s="84" t="str">
        <x:v>Perennial</x:v>
      </x:c>
      <x:c r="J655" s="84" t="str">
        <x:v>Tree</x:v>
      </x:c>
      <x:c r="K655" s="84" t="str">
        <x:v>Sun, Part-shade</x:v>
      </x:c>
      <x:c r="L655" s="84" t="str">
        <x:v>Moist, Dry</x:v>
      </x:c>
      <x:c r="M655" s="89" t="n">
        <x:v>1</x:v>
      </x:c>
      <x:c r="N655" s="89" t="n">
        <x:v>1</x:v>
      </x:c>
      <x:c r="O655" s="89" t="n">
        <x:v>0</x:v>
      </x:c>
      <x:c r="P655" s="89" t="n">
        <x:f>SUM(M655:O655)</x:f>
        <x:v>2</x:v>
      </x:c>
      <x:c r="Q655" s="84" t="str">
        <x:v>Exact accepted-name match</x:v>
      </x:c>
      <x:c r="R655" s="84" t="str">
        <x:v>Quercus shumardii</x:v>
      </x:c>
      <x:c r="S655" s="84" t="str">
        <x:v>175148</x:v>
      </x:c>
      <x:c r="T655" s="84" t="str">
        <x:v>175148</x:v>
      </x:c>
      <x:c r="U655" s="84" t="str">
        <x:v>284115-2</x:v>
      </x:c>
      <x:c r="V655" s="84" t="str">
        <x:v>284115-2</x:v>
      </x:c>
      <x:c r="W655" s="84" t="str"/>
    </x:row>
    <x:row r="656" ht="18" customHeight="1">
      <x:c r="A656" s="83" t="str">
        <x:v>HAYS-0655</x:v>
      </x:c>
      <x:c r="B656" s="87" t="str">
        <x:v>Quercus sinuata var. breviloba</x:v>
      </x:c>
      <x:c r="C656" s="87" t="str">
        <x:v>Quercus sinuata var. breviloba</x:v>
      </x:c>
      <x:c r="D656" s="84" t="str">
        <x:v>Fagaceae</x:v>
      </x:c>
      <x:c r="E656" s="84" t="str">
        <x:v>Quercus</x:v>
      </x:c>
      <x:c r="F656" s="84" t="str">
        <x:v>Variety</x:v>
      </x:c>
      <x:c r="G656" s="84" t="str">
        <x:v>Accepted</x:v>
      </x:c>
      <x:c r="H656" s="84" t="str">
        <x:v>White Shin Oak, Bigelow Oak, Scaly-bark Oak, Limestone Durand Oak, Shortlobe Oak, Bastard Oak</x:v>
      </x:c>
      <x:c r="I656" s="84" t="str">
        <x:v>Perennial</x:v>
      </x:c>
      <x:c r="J656" s="84" t="str">
        <x:v>Tree</x:v>
      </x:c>
      <x:c r="K656" s="84" t="str">
        <x:v>Part-shade</x:v>
      </x:c>
      <x:c r="L656" s="84" t="str">
        <x:v>Dry</x:v>
      </x:c>
      <x:c r="M656" s="89" t="n">
        <x:v>1</x:v>
      </x:c>
      <x:c r="N656" s="89" t="n">
        <x:v>1</x:v>
      </x:c>
      <x:c r="O656" s="89" t="n">
        <x:v>0</x:v>
      </x:c>
      <x:c r="P656" s="89" t="n">
        <x:f>SUM(M656:O656)</x:f>
        <x:v>2</x:v>
      </x:c>
      <x:c r="Q656" s="84" t="str">
        <x:v>Exact accepted-name match</x:v>
      </x:c>
      <x:c r="R656" s="84" t="str">
        <x:v>Quercus sinuata var. breviloba</x:v>
      </x:c>
      <x:c r="S656" s="84" t="str">
        <x:v>175181</x:v>
      </x:c>
      <x:c r="T656" s="84" t="str">
        <x:v>175181</x:v>
      </x:c>
      <x:c r="U656" s="84" t="str">
        <x:v>216410-2</x:v>
      </x:c>
      <x:c r="V656" s="84" t="str">
        <x:v>216410-2</x:v>
      </x:c>
      <x:c r="W656" s="84" t="str"/>
    </x:row>
    <x:row r="657" ht="18" customHeight="1">
      <x:c r="A657" s="83" t="str">
        <x:v>HAYS-0656</x:v>
      </x:c>
      <x:c r="B657" s="87" t="str">
        <x:v>Quercus stellata</x:v>
      </x:c>
      <x:c r="C657" s="87" t="str">
        <x:v>Quercus stellata</x:v>
      </x:c>
      <x:c r="D657" s="84" t="str">
        <x:v>Fagaceae</x:v>
      </x:c>
      <x:c r="E657" s="84" t="str">
        <x:v>Quercus</x:v>
      </x:c>
      <x:c r="F657" s="84" t="str">
        <x:v>Species</x:v>
      </x:c>
      <x:c r="G657" s="84" t="str">
        <x:v>Accepted</x:v>
      </x:c>
      <x:c r="H657" s="84" t="str">
        <x:v>Post Oak, Iron Oak, Cross Oak</x:v>
      </x:c>
      <x:c r="I657" s="84" t="str">
        <x:v>Perennial</x:v>
      </x:c>
      <x:c r="J657" s="84" t="str">
        <x:v>Tree</x:v>
      </x:c>
      <x:c r="K657" s="84" t="str">
        <x:v>Sun, Part-shade</x:v>
      </x:c>
      <x:c r="L657" s="84" t="str">
        <x:v>Moist, Dry</x:v>
      </x:c>
      <x:c r="M657" s="89" t="n">
        <x:v>1</x:v>
      </x:c>
      <x:c r="N657" s="89" t="n">
        <x:v>1</x:v>
      </x:c>
      <x:c r="O657" s="89" t="n">
        <x:v>0</x:v>
      </x:c>
      <x:c r="P657" s="89" t="n">
        <x:f>SUM(M657:O657)</x:f>
        <x:v>2</x:v>
      </x:c>
      <x:c r="Q657" s="84" t="str">
        <x:v>Exact accepted-name match</x:v>
      </x:c>
      <x:c r="R657" s="84" t="str">
        <x:v>Quercus stellata</x:v>
      </x:c>
      <x:c r="S657" s="84" t="str">
        <x:v>175243</x:v>
      </x:c>
      <x:c r="T657" s="84" t="str">
        <x:v>175243</x:v>
      </x:c>
      <x:c r="U657" s="84" t="str">
        <x:v>216416-2</x:v>
      </x:c>
      <x:c r="V657" s="84" t="str">
        <x:v>216416-2</x:v>
      </x:c>
      <x:c r="W657" s="84" t="str"/>
    </x:row>
    <x:row r="658" ht="18" customHeight="1">
      <x:c r="A658" s="83" t="str">
        <x:v>HAYS-0657</x:v>
      </x:c>
      <x:c r="B658" s="87" t="str">
        <x:v>Quercus virginiana</x:v>
      </x:c>
      <x:c r="C658" s="87" t="str">
        <x:v>Quercus virginiana</x:v>
      </x:c>
      <x:c r="D658" s="84" t="str">
        <x:v>Fagaceae</x:v>
      </x:c>
      <x:c r="E658" s="84" t="str">
        <x:v>Quercus</x:v>
      </x:c>
      <x:c r="F658" s="84" t="str">
        <x:v>Species</x:v>
      </x:c>
      <x:c r="G658" s="84" t="str">
        <x:v>Accepted</x:v>
      </x:c>
      <x:c r="H658" s="84" t="str">
        <x:v>Coastal Live Oak, Southern Live Oak, Virginia Live Oak, Live Oak, Encino</x:v>
      </x:c>
      <x:c r="I658" s="84" t="str">
        <x:v>Perennial</x:v>
      </x:c>
      <x:c r="J658" s="84" t="str">
        <x:v>Tree</x:v>
      </x:c>
      <x:c r="K658" s="84" t="str">
        <x:v>Sun, Part Shade</x:v>
      </x:c>
      <x:c r="L658" s="84" t="str">
        <x:v>Low–Medium</x:v>
      </x:c>
      <x:c r="M658" s="89" t="n">
        <x:v>1</x:v>
      </x:c>
      <x:c r="N658" s="89" t="n">
        <x:v>1</x:v>
      </x:c>
      <x:c r="O658" s="89" t="n">
        <x:v>1</x:v>
      </x:c>
      <x:c r="P658" s="89" t="n">
        <x:f>SUM(M658:O658)</x:f>
        <x:v>3</x:v>
      </x:c>
      <x:c r="Q658" s="84" t="str">
        <x:v>Exact accepted-name match</x:v>
      </x:c>
      <x:c r="R658" s="84" t="str">
        <x:v>Quercus virginiana</x:v>
      </x:c>
      <x:c r="S658" s="84" t="str">
        <x:v>175726</x:v>
      </x:c>
      <x:c r="T658" s="84" t="str">
        <x:v>175726</x:v>
      </x:c>
      <x:c r="U658" s="84" t="str">
        <x:v>324846-2</x:v>
      </x:c>
      <x:c r="V658" s="84" t="str">
        <x:v>324846-2</x:v>
      </x:c>
      <x:c r="W658" s="84" t="str"/>
    </x:row>
    <x:row r="659" ht="18" customHeight="1">
      <x:c r="A659" s="83" t="str">
        <x:v>HAYS-0658</x:v>
      </x:c>
      <x:c r="B659" s="87" t="str">
        <x:v>Ranunculus fascicularis</x:v>
      </x:c>
      <x:c r="C659" s="87" t="str">
        <x:v>Ranunculus fascicularis</x:v>
      </x:c>
      <x:c r="D659" s="84" t="str">
        <x:v>Ranunculaceae</x:v>
      </x:c>
      <x:c r="E659" s="84" t="str">
        <x:v>Ranunculus</x:v>
      </x:c>
      <x:c r="F659" s="84" t="str">
        <x:v>Species</x:v>
      </x:c>
      <x:c r="G659" s="84" t="str">
        <x:v>Accepted</x:v>
      </x:c>
      <x:c r="H659" s="84" t="str">
        <x:v>Early Buttercup, Tufted Buttercup, Prairie Buttercup</x:v>
      </x:c>
      <x:c r="I659" s="84" t="str">
        <x:v>Perennial</x:v>
      </x:c>
      <x:c r="J659" s="84" t="str">
        <x:v>Herb</x:v>
      </x:c>
      <x:c r="K659" s="84" t="str">
        <x:v>Sun, Shade, Part-shade</x:v>
      </x:c>
      <x:c r="L659" s="84" t="str"/>
      <x:c r="M659" s="89" t="n">
        <x:v>1</x:v>
      </x:c>
      <x:c r="N659" s="89" t="n">
        <x:v>1</x:v>
      </x:c>
      <x:c r="O659" s="89" t="n">
        <x:v>0</x:v>
      </x:c>
      <x:c r="P659" s="89" t="n">
        <x:f>SUM(M659:O659)</x:f>
        <x:v>2</x:v>
      </x:c>
      <x:c r="Q659" s="84" t="str">
        <x:v>Exact accepted-name match</x:v>
      </x:c>
      <x:c r="R659" s="84" t="str">
        <x:v>Ranunculus fascicularis</x:v>
      </x:c>
      <x:c r="S659" s="84" t="str">
        <x:v>2523465</x:v>
      </x:c>
      <x:c r="T659" s="84" t="str">
        <x:v>2523465</x:v>
      </x:c>
      <x:c r="U659" s="84" t="str">
        <x:v>712688-1</x:v>
      </x:c>
      <x:c r="V659" s="84" t="str">
        <x:v>712688-1</x:v>
      </x:c>
      <x:c r="W659" s="84" t="str"/>
    </x:row>
    <x:row r="660" ht="18" customHeight="1">
      <x:c r="A660" s="83" t="str">
        <x:v>HAYS-0659</x:v>
      </x:c>
      <x:c r="B660" s="87" t="str">
        <x:v>Ranunculus macranthus</x:v>
      </x:c>
      <x:c r="C660" s="87" t="str">
        <x:v>Ranunculus macranthus</x:v>
      </x:c>
      <x:c r="D660" s="84" t="str">
        <x:v>Ranunculaceae</x:v>
      </x:c>
      <x:c r="E660" s="84" t="str">
        <x:v>Ranunculus</x:v>
      </x:c>
      <x:c r="F660" s="84" t="str">
        <x:v>Species</x:v>
      </x:c>
      <x:c r="G660" s="84" t="str">
        <x:v>Accepted</x:v>
      </x:c>
      <x:c r="H660" s="84" t="str">
        <x:v>Large Buttercup</x:v>
      </x:c>
      <x:c r="I660" s="84" t="str">
        <x:v>Perennial</x:v>
      </x:c>
      <x:c r="J660" s="84" t="str">
        <x:v>Herb</x:v>
      </x:c>
      <x:c r="K660" s="84" t="str">
        <x:v>Sun, Part Shade</x:v>
      </x:c>
      <x:c r="L660" s="84" t="str">
        <x:v>Medium</x:v>
      </x:c>
      <x:c r="M660" s="89" t="n">
        <x:v>1</x:v>
      </x:c>
      <x:c r="N660" s="89" t="n">
        <x:v>1</x:v>
      </x:c>
      <x:c r="O660" s="89" t="n">
        <x:v>1</x:v>
      </x:c>
      <x:c r="P660" s="89" t="n">
        <x:f>SUM(M660:O660)</x:f>
        <x:v>3</x:v>
      </x:c>
      <x:c r="Q660" s="84" t="str">
        <x:v>Exact accepted-name match</x:v>
      </x:c>
      <x:c r="R660" s="84" t="str">
        <x:v>Ranunculus macranthus</x:v>
      </x:c>
      <x:c r="S660" s="84" t="str">
        <x:v>2526397</x:v>
      </x:c>
      <x:c r="T660" s="84" t="str">
        <x:v>2526397</x:v>
      </x:c>
      <x:c r="U660" s="84" t="str">
        <x:v>713149-1</x:v>
      </x:c>
      <x:c r="V660" s="84" t="str">
        <x:v>713149-1</x:v>
      </x:c>
      <x:c r="W660" s="84" t="str"/>
    </x:row>
    <x:row r="661" ht="18" customHeight="1">
      <x:c r="A661" s="83" t="str">
        <x:v>HAYS-0660</x:v>
      </x:c>
      <x:c r="B661" s="87" t="str">
        <x:v>Ranunculus sceleratus</x:v>
      </x:c>
      <x:c r="C661" s="87" t="str">
        <x:v>Ranunculus sceleratus</x:v>
      </x:c>
      <x:c r="D661" s="84" t="str">
        <x:v>Ranunculaceae</x:v>
      </x:c>
      <x:c r="E661" s="84" t="str">
        <x:v>Ranunculus</x:v>
      </x:c>
      <x:c r="F661" s="84" t="str">
        <x:v>Species</x:v>
      </x:c>
      <x:c r="G661" s="84" t="str">
        <x:v>Accepted</x:v>
      </x:c>
      <x:c r="H661" s="84" t="str">
        <x:v>Cursed Buttercup</x:v>
      </x:c>
      <x:c r="I661" s="84" t="str">
        <x:v>Annual</x:v>
      </x:c>
      <x:c r="J661" s="84" t="str">
        <x:v>Herb</x:v>
      </x:c>
      <x:c r="K661" s="84" t="str">
        <x:v>Part-shade</x:v>
      </x:c>
      <x:c r="L661" s="84" t="str"/>
      <x:c r="M661" s="89" t="n">
        <x:v>1</x:v>
      </x:c>
      <x:c r="N661" s="89" t="n">
        <x:v>1</x:v>
      </x:c>
      <x:c r="O661" s="89" t="n">
        <x:v>0</x:v>
      </x:c>
      <x:c r="P661" s="89" t="n">
        <x:f>SUM(M661:O661)</x:f>
        <x:v>2</x:v>
      </x:c>
      <x:c r="Q661" s="84" t="str">
        <x:v>Exact accepted-name match</x:v>
      </x:c>
      <x:c r="R661" s="84" t="str">
        <x:v>Ranunculus sceleratus</x:v>
      </x:c>
      <x:c r="S661" s="84" t="str">
        <x:v>2526806</x:v>
      </x:c>
      <x:c r="T661" s="84" t="str">
        <x:v>2526806</x:v>
      </x:c>
      <x:c r="U661" s="84" t="str">
        <x:v>713776-1</x:v>
      </x:c>
      <x:c r="V661" s="84" t="str">
        <x:v>713776-1</x:v>
      </x:c>
      <x:c r="W661" s="84" t="str"/>
    </x:row>
    <x:row r="662" ht="18" customHeight="1">
      <x:c r="A662" s="83" t="str">
        <x:v>HAYS-0661</x:v>
      </x:c>
      <x:c r="B662" s="87" t="str">
        <x:v>Ratibida columnifera</x:v>
      </x:c>
      <x:c r="C662" s="87" t="str">
        <x:v>Ratibida columnifera</x:v>
      </x:c>
      <x:c r="D662" s="84" t="str">
        <x:v>Asteraceae</x:v>
      </x:c>
      <x:c r="E662" s="84" t="str">
        <x:v>Ratibida</x:v>
      </x:c>
      <x:c r="F662" s="84" t="str">
        <x:v>Species</x:v>
      </x:c>
      <x:c r="G662" s="84" t="str">
        <x:v>Accepted</x:v>
      </x:c>
      <x:c r="H662" s="84" t="str">
        <x:v>Mexican Hat, Red-spike Mexican Hat, Upright Prairie Coneflower, Prairie Coneflower, Long-headed Coneflower, Thimbleflower</x:v>
      </x:c>
      <x:c r="I662" s="84" t="str">
        <x:v>Perennial</x:v>
      </x:c>
      <x:c r="J662" s="84" t="str">
        <x:v>Herb</x:v>
      </x:c>
      <x:c r="K662" s="84" t="str">
        <x:v>Sun</x:v>
      </x:c>
      <x:c r="L662" s="84" t="str">
        <x:v>Low</x:v>
      </x:c>
      <x:c r="M662" s="89" t="n">
        <x:v>1</x:v>
      </x:c>
      <x:c r="N662" s="89" t="n">
        <x:v>1</x:v>
      </x:c>
      <x:c r="O662" s="89" t="n">
        <x:v>1</x:v>
      </x:c>
      <x:c r="P662" s="89" t="n">
        <x:f>SUM(M662:O662)</x:f>
        <x:v>3</x:v>
      </x:c>
      <x:c r="Q662" s="84" t="str">
        <x:v>Exact accepted-name match</x:v>
      </x:c>
      <x:c r="R662" s="84" t="str">
        <x:v>Ratibida columnifera</x:v>
      </x:c>
      <x:c r="S662" s="84" t="str">
        <x:v>3123527</x:v>
      </x:c>
      <x:c r="T662" s="84" t="str">
        <x:v>3123527</x:v>
      </x:c>
      <x:c r="U662" s="84" t="str">
        <x:v>217868-2</x:v>
      </x:c>
      <x:c r="V662" s="84" t="str">
        <x:v>217868-2</x:v>
      </x:c>
      <x:c r="W662" s="84" t="str"/>
    </x:row>
    <x:row r="663" ht="18" customHeight="1">
      <x:c r="A663" s="83" t="str">
        <x:v>HAYS-0662</x:v>
      </x:c>
      <x:c r="B663" s="87" t="str">
        <x:v>Rhus aromatica</x:v>
      </x:c>
      <x:c r="C663" s="87" t="str">
        <x:v>Rhus aromatica</x:v>
      </x:c>
      <x:c r="D663" s="84" t="str">
        <x:v>Anacardiaceae</x:v>
      </x:c>
      <x:c r="E663" s="84" t="str">
        <x:v>Rhus</x:v>
      </x:c>
      <x:c r="F663" s="84" t="str">
        <x:v>Species</x:v>
      </x:c>
      <x:c r="G663" s="84" t="str">
        <x:v>Accepted</x:v>
      </x:c>
      <x:c r="H663" s="84" t="str">
        <x:v>Fragrant Sumac, Aromatic Sumac, Lemon Sumac, Polecat Bush</x:v>
      </x:c>
      <x:c r="I663" s="84" t="str">
        <x:v>Perennial</x:v>
      </x:c>
      <x:c r="J663" s="84" t="str">
        <x:v>Shrub</x:v>
      </x:c>
      <x:c r="K663" s="84" t="str">
        <x:v>Sun, Part Shade</x:v>
      </x:c>
      <x:c r="L663" s="84" t="str">
        <x:v>Low</x:v>
      </x:c>
      <x:c r="M663" s="89" t="n">
        <x:v>0</x:v>
      </x:c>
      <x:c r="N663" s="89" t="n">
        <x:v>0</x:v>
      </x:c>
      <x:c r="O663" s="89" t="n">
        <x:v>1</x:v>
      </x:c>
      <x:c r="P663" s="89" t="n">
        <x:f>SUM(M663:O663)</x:f>
        <x:v>1</x:v>
      </x:c>
      <x:c r="Q663" s="84" t="str">
        <x:v>Exact accepted-name match</x:v>
      </x:c>
      <x:c r="R663" s="84" t="str">
        <x:v>Rhus aromatica</x:v>
      </x:c>
      <x:c r="S663" s="84" t="str">
        <x:v>2420828</x:v>
      </x:c>
      <x:c r="T663" s="84" t="str">
        <x:v>2420828</x:v>
      </x:c>
      <x:c r="U663" s="84" t="str">
        <x:v>30016232-2</x:v>
      </x:c>
      <x:c r="V663" s="84" t="str">
        <x:v>30016232-2</x:v>
      </x:c>
      <x:c r="W663" s="84" t="str"/>
    </x:row>
    <x:row r="664" ht="18" customHeight="1">
      <x:c r="A664" s="83" t="str">
        <x:v>HAYS-0663</x:v>
      </x:c>
      <x:c r="B664" s="87" t="str">
        <x:v>Rhus lanceolata</x:v>
      </x:c>
      <x:c r="C664" s="87" t="str">
        <x:v>Rhus copallinum var. lanceolata</x:v>
      </x:c>
      <x:c r="D664" s="84" t="str">
        <x:v>Anacardiaceae</x:v>
      </x:c>
      <x:c r="E664" s="84" t="str">
        <x:v>Rhus</x:v>
      </x:c>
      <x:c r="F664" s="84" t="str">
        <x:v>Species</x:v>
      </x:c>
      <x:c r="G664" s="84" t="str">
        <x:v>Synonym</x:v>
      </x:c>
      <x:c r="H664" s="84" t="str">
        <x:v>Prairie Flameleaf Sumac, Flameleaf Sumac, Prairie Sumac, Lance-leaf Sumac, Lance-leaved Sumac, Texas Sumac, Tree Sumac, Limestone Sumac, Prairie Shining Sumac</x:v>
      </x:c>
      <x:c r="I664" s="84" t="str">
        <x:v>Perennial</x:v>
      </x:c>
      <x:c r="J664" s="84" t="str">
        <x:v>Shrub, Tree</x:v>
      </x:c>
      <x:c r="K664" s="84" t="str">
        <x:v>Sun</x:v>
      </x:c>
      <x:c r="L664" s="84" t="str">
        <x:v>Low</x:v>
      </x:c>
      <x:c r="M664" s="89" t="n">
        <x:v>1</x:v>
      </x:c>
      <x:c r="N664" s="89" t="n">
        <x:v>1</x:v>
      </x:c>
      <x:c r="O664" s="89" t="n">
        <x:v>1</x:v>
      </x:c>
      <x:c r="P664" s="89" t="n">
        <x:f>SUM(M664:O664)</x:f>
        <x:v>3</x:v>
      </x:c>
      <x:c r="Q664" s="84" t="str">
        <x:v>Exact synonym-name match</x:v>
      </x:c>
      <x:c r="R664" s="84" t="str">
        <x:v>Rhus lanceolata</x:v>
      </x:c>
      <x:c r="S664" s="84" t="str">
        <x:v>2423650</x:v>
      </x:c>
      <x:c r="T664" s="84" t="str">
        <x:v>2430395</x:v>
      </x:c>
      <x:c r="U664" s="84" t="str">
        <x:v>219818-2</x:v>
      </x:c>
      <x:c r="V664" s="84" t="str">
        <x:v>219758-2</x:v>
      </x:c>
      <x:c r="W664" s="84" t="str"/>
    </x:row>
    <x:row r="665" ht="18" customHeight="1">
      <x:c r="A665" s="83" t="str">
        <x:v>HAYS-0664</x:v>
      </x:c>
      <x:c r="B665" s="87" t="str">
        <x:v>Rhus microphylla</x:v>
      </x:c>
      <x:c r="C665" s="87" t="str">
        <x:v>Rhus microphylla</x:v>
      </x:c>
      <x:c r="D665" s="84" t="str">
        <x:v>Anacardiaceae</x:v>
      </x:c>
      <x:c r="E665" s="84" t="str">
        <x:v>Rhus</x:v>
      </x:c>
      <x:c r="F665" s="84" t="str">
        <x:v>Species</x:v>
      </x:c>
      <x:c r="G665" s="84" t="str">
        <x:v>Accepted</x:v>
      </x:c>
      <x:c r="H665" s="84" t="str">
        <x:v>Littleleaf Sumac</x:v>
      </x:c>
      <x:c r="I665" s="84" t="str">
        <x:v>Perennial</x:v>
      </x:c>
      <x:c r="J665" s="84" t="str">
        <x:v>Shrub</x:v>
      </x:c>
      <x:c r="K665" s="84" t="str">
        <x:v>Sun</x:v>
      </x:c>
      <x:c r="L665" s="84" t="str">
        <x:v>Low</x:v>
      </x:c>
      <x:c r="M665" s="89" t="n">
        <x:v>0</x:v>
      </x:c>
      <x:c r="N665" s="89" t="n">
        <x:v>0</x:v>
      </x:c>
      <x:c r="O665" s="89" t="n">
        <x:v>1</x:v>
      </x:c>
      <x:c r="P665" s="89" t="n">
        <x:f>SUM(M665:O665)</x:f>
        <x:v>1</x:v>
      </x:c>
      <x:c r="Q665" s="84" t="str">
        <x:v>Exact accepted-name match</x:v>
      </x:c>
      <x:c r="R665" s="84" t="str">
        <x:v>Rhus microphylla</x:v>
      </x:c>
      <x:c r="S665" s="84" t="str">
        <x:v>2423588</x:v>
      </x:c>
      <x:c r="T665" s="84" t="str">
        <x:v>2423588</x:v>
      </x:c>
      <x:c r="U665" s="84" t="str">
        <x:v>70699-1</x:v>
      </x:c>
      <x:c r="V665" s="84" t="str">
        <x:v>70699-1</x:v>
      </x:c>
      <x:c r="W665" s="84" t="str"/>
    </x:row>
    <x:row r="666" ht="18" customHeight="1">
      <x:c r="A666" s="83" t="str">
        <x:v>HAYS-0665</x:v>
      </x:c>
      <x:c r="B666" s="87" t="str">
        <x:v>Rhus trilobata var. trilobata</x:v>
      </x:c>
      <x:c r="C666" s="87" t="str">
        <x:v>Rhus aromatica var. aromatica</x:v>
      </x:c>
      <x:c r="D666" s="84" t="str">
        <x:v>Anacardiaceae</x:v>
      </x:c>
      <x:c r="E666" s="84" t="str">
        <x:v>Rhus</x:v>
      </x:c>
      <x:c r="F666" s="84" t="str">
        <x:v>Variety</x:v>
      </x:c>
      <x:c r="G666" s="84" t="str">
        <x:v>Synonym</x:v>
      </x:c>
      <x:c r="H666" s="84" t="str">
        <x:v>Skunkbush Sumac</x:v>
      </x:c>
      <x:c r="I666" s="84" t="str">
        <x:v>Perennial</x:v>
      </x:c>
      <x:c r="J666" s="84" t="str">
        <x:v>Shrub</x:v>
      </x:c>
      <x:c r="K666" s="84" t="str"/>
      <x:c r="L666" s="84" t="str"/>
      <x:c r="M666" s="89" t="n">
        <x:v>1</x:v>
      </x:c>
      <x:c r="N666" s="89" t="n">
        <x:v>1</x:v>
      </x:c>
      <x:c r="O666" s="89" t="n">
        <x:v>0</x:v>
      </x:c>
      <x:c r="P666" s="89" t="n">
        <x:f>SUM(M666:O666)</x:f>
        <x:v>2</x:v>
      </x:c>
      <x:c r="Q666" s="84" t="str">
        <x:v>Exact synonym-name match</x:v>
      </x:c>
      <x:c r="R666" s="84" t="str">
        <x:v>Rhus trilobata var. trilobata</x:v>
      </x:c>
      <x:c r="S666" s="84" t="str">
        <x:v>3258335</x:v>
      </x:c>
      <x:c r="T666" s="84" t="str">
        <x:v>3258308</x:v>
      </x:c>
      <x:c r="U666" s="84" t="str">
        <x:v>77224152-1</x:v>
      </x:c>
      <x:c r="V666" s="84" t="str">
        <x:v>77224033-1</x:v>
      </x:c>
      <x:c r="W666" s="84" t="str"/>
    </x:row>
    <x:row r="667" ht="18" customHeight="1">
      <x:c r="A667" s="83" t="str">
        <x:v>HAYS-0666</x:v>
      </x:c>
      <x:c r="B667" s="87" t="str">
        <x:v>Rhus virens</x:v>
      </x:c>
      <x:c r="C667" s="87" t="str">
        <x:v>Rhus virens</x:v>
      </x:c>
      <x:c r="D667" s="84" t="str">
        <x:v>Anacardiaceae</x:v>
      </x:c>
      <x:c r="E667" s="84" t="str">
        <x:v>Rhus</x:v>
      </x:c>
      <x:c r="F667" s="84" t="str">
        <x:v>Species</x:v>
      </x:c>
      <x:c r="G667" s="84" t="str">
        <x:v>Accepted</x:v>
      </x:c>
      <x:c r="H667" s="84" t="str">
        <x:v>Evergreen Sumac, Tobacco Sumac, Lambrisco, Lentrisco</x:v>
      </x:c>
      <x:c r="I667" s="84" t="str">
        <x:v>Perennial</x:v>
      </x:c>
      <x:c r="J667" s="84" t="str">
        <x:v>Shrub</x:v>
      </x:c>
      <x:c r="K667" s="84" t="str">
        <x:v>Sun, Part Shade</x:v>
      </x:c>
      <x:c r="L667" s="84" t="str">
        <x:v>Low</x:v>
      </x:c>
      <x:c r="M667" s="89" t="n">
        <x:v>1</x:v>
      </x:c>
      <x:c r="N667" s="89" t="n">
        <x:v>1</x:v>
      </x:c>
      <x:c r="O667" s="89" t="n">
        <x:v>1</x:v>
      </x:c>
      <x:c r="P667" s="89" t="n">
        <x:f>SUM(M667:O667)</x:f>
        <x:v>3</x:v>
      </x:c>
      <x:c r="Q667" s="84" t="str">
        <x:v>Exact accepted-name match</x:v>
      </x:c>
      <x:c r="R667" s="84" t="str">
        <x:v>Rhus virens</x:v>
      </x:c>
      <x:c r="S667" s="84" t="str">
        <x:v>2423498</x:v>
      </x:c>
      <x:c r="T667" s="84" t="str">
        <x:v>2423498</x:v>
      </x:c>
      <x:c r="U667" s="84" t="str">
        <x:v>219942-2</x:v>
      </x:c>
      <x:c r="V667" s="84" t="str">
        <x:v>219942-2</x:v>
      </x:c>
      <x:c r="W667" s="84" t="str"/>
    </x:row>
    <x:row r="668" ht="18" customHeight="1">
      <x:c r="A668" s="83" t="str">
        <x:v>HAYS-0667</x:v>
      </x:c>
      <x:c r="B668" s="87" t="str">
        <x:v>Rhynchosia americana</x:v>
      </x:c>
      <x:c r="C668" s="87" t="str">
        <x:v>Rhynchosia americana</x:v>
      </x:c>
      <x:c r="D668" s="84" t="str">
        <x:v>Fabaceae</x:v>
      </x:c>
      <x:c r="E668" s="84" t="str">
        <x:v>Rhynchosia</x:v>
      </x:c>
      <x:c r="F668" s="84" t="str">
        <x:v>Species</x:v>
      </x:c>
      <x:c r="G668" s="84" t="str">
        <x:v>Accepted</x:v>
      </x:c>
      <x:c r="H668" s="84" t="str">
        <x:v>American Snoutbean</x:v>
      </x:c>
      <x:c r="I668" s="84" t="str">
        <x:v>Perennial</x:v>
      </x:c>
      <x:c r="J668" s="84" t="str">
        <x:v>Herb, Vine</x:v>
      </x:c>
      <x:c r="K668" s="84" t="str"/>
      <x:c r="L668" s="84" t="str"/>
      <x:c r="M668" s="89" t="n">
        <x:v>1</x:v>
      </x:c>
      <x:c r="N668" s="89" t="n">
        <x:v>1</x:v>
      </x:c>
      <x:c r="O668" s="89" t="n">
        <x:v>0</x:v>
      </x:c>
      <x:c r="P668" s="89" t="n">
        <x:f>SUM(M668:O668)</x:f>
        <x:v>2</x:v>
      </x:c>
      <x:c r="Q668" s="84" t="str">
        <x:v>Exact accepted-name match</x:v>
      </x:c>
      <x:c r="R668" s="84" t="str">
        <x:v>Rhynchosia americana</x:v>
      </x:c>
      <x:c r="S668" s="84" t="str">
        <x:v>2428932</x:v>
      </x:c>
      <x:c r="T668" s="84" t="str">
        <x:v>2428932</x:v>
      </x:c>
      <x:c r="U668" s="84" t="str">
        <x:v>220025-2</x:v>
      </x:c>
      <x:c r="V668" s="84" t="str">
        <x:v>220025-2</x:v>
      </x:c>
      <x:c r="W668" s="84" t="str"/>
    </x:row>
    <x:row r="669" ht="18" customHeight="1">
      <x:c r="A669" s="83" t="str">
        <x:v>HAYS-0668</x:v>
      </x:c>
      <x:c r="B669" s="87" t="str">
        <x:v>Rhynchosia minima</x:v>
      </x:c>
      <x:c r="C669" s="87" t="str">
        <x:v>Rhynchosia minima</x:v>
      </x:c>
      <x:c r="D669" s="84" t="str">
        <x:v>Fabaceae</x:v>
      </x:c>
      <x:c r="E669" s="84" t="str">
        <x:v>Rhynchosia</x:v>
      </x:c>
      <x:c r="F669" s="84" t="str">
        <x:v>Species</x:v>
      </x:c>
      <x:c r="G669" s="84" t="str">
        <x:v>Accepted</x:v>
      </x:c>
      <x:c r="H669" s="84" t="str">
        <x:v>Least Snoutbean</x:v>
      </x:c>
      <x:c r="I669" s="84" t="str">
        <x:v>Perennial</x:v>
      </x:c>
      <x:c r="J669" s="84" t="str">
        <x:v>Vine</x:v>
      </x:c>
      <x:c r="K669" s="84" t="str"/>
      <x:c r="L669" s="84" t="str"/>
      <x:c r="M669" s="89" t="n">
        <x:v>1</x:v>
      </x:c>
      <x:c r="N669" s="89" t="n">
        <x:v>1</x:v>
      </x:c>
      <x:c r="O669" s="89" t="n">
        <x:v>0</x:v>
      </x:c>
      <x:c r="P669" s="89" t="n">
        <x:f>SUM(M669:O669)</x:f>
        <x:v>2</x:v>
      </x:c>
      <x:c r="Q669" s="84" t="str">
        <x:v>Exact accepted-name match</x:v>
      </x:c>
      <x:c r="R669" s="84" t="str">
        <x:v>Rhynchosia minima</x:v>
      </x:c>
      <x:c r="S669" s="84" t="str">
        <x:v>2427763</x:v>
      </x:c>
      <x:c r="T669" s="84" t="str">
        <x:v>2427763</x:v>
      </x:c>
      <x:c r="U669" s="84" t="str">
        <x:v>1197938-2</x:v>
      </x:c>
      <x:c r="V669" s="84" t="str">
        <x:v>1197938-2</x:v>
      </x:c>
      <x:c r="W669" s="84" t="str"/>
    </x:row>
    <x:row r="670" ht="18" customHeight="1">
      <x:c r="A670" s="83" t="str">
        <x:v>HAYS-0669</x:v>
      </x:c>
      <x:c r="B670" s="87" t="str">
        <x:v>Rhynchosia senna var. texana</x:v>
      </x:c>
      <x:c r="C670" s="87" t="str">
        <x:v>Rhynchosia senna</x:v>
      </x:c>
      <x:c r="D670" s="84" t="str">
        <x:v>Fabaceae</x:v>
      </x:c>
      <x:c r="E670" s="84" t="str">
        <x:v>Rhynchosia</x:v>
      </x:c>
      <x:c r="F670" s="84" t="str">
        <x:v>Variety</x:v>
      </x:c>
      <x:c r="G670" s="84" t="str">
        <x:v>Synonym</x:v>
      </x:c>
      <x:c r="H670" s="84" t="str">
        <x:v>Texas Snoutbean, Texas Snout-bean</x:v>
      </x:c>
      <x:c r="I670" s="84" t="str">
        <x:v>Perennial</x:v>
      </x:c>
      <x:c r="J670" s="84" t="str">
        <x:v>Vine</x:v>
      </x:c>
      <x:c r="K670" s="84" t="str"/>
      <x:c r="L670" s="84" t="str"/>
      <x:c r="M670" s="89" t="n">
        <x:v>1</x:v>
      </x:c>
      <x:c r="N670" s="89" t="n">
        <x:v>1</x:v>
      </x:c>
      <x:c r="O670" s="89" t="n">
        <x:v>0</x:v>
      </x:c>
      <x:c r="P670" s="89" t="n">
        <x:f>SUM(M670:O670)</x:f>
        <x:v>2</x:v>
      </x:c>
      <x:c r="Q670" s="84" t="str">
        <x:v>Exact synonym-name match</x:v>
      </x:c>
      <x:c r="R670" s="84" t="str">
        <x:v>Rhynchosia senna var. texana</x:v>
      </x:c>
      <x:c r="S670" s="84" t="str">
        <x:v>2427785</x:v>
      </x:c>
      <x:c r="T670" s="84" t="str">
        <x:v>2427791</x:v>
      </x:c>
      <x:c r="U670" s="84" t="str">
        <x:v>220122-2</x:v>
      </x:c>
      <x:c r="V670" s="84" t="str">
        <x:v>517513-1</x:v>
      </x:c>
      <x:c r="W670" s="84" t="str"/>
    </x:row>
    <x:row r="671" ht="18" customHeight="1">
      <x:c r="A671" s="83" t="str">
        <x:v>HAYS-0670</x:v>
      </x:c>
      <x:c r="B671" s="87" t="str">
        <x:v>Rhynchospora colorata</x:v>
      </x:c>
      <x:c r="C671" s="87" t="str">
        <x:v>Rhynchospora colorata</x:v>
      </x:c>
      <x:c r="D671" s="84" t="str">
        <x:v>Cyperaceae</x:v>
      </x:c>
      <x:c r="E671" s="84" t="str">
        <x:v>Rhynchospora</x:v>
      </x:c>
      <x:c r="F671" s="84" t="str">
        <x:v>Species</x:v>
      </x:c>
      <x:c r="G671" s="84" t="str">
        <x:v>Accepted</x:v>
      </x:c>
      <x:c r="H671" s="84" t="str">
        <x:v>Whitetop Sedge, White-topped Sedge, Starrush Whitetop, Star Sedge, Star Rush</x:v>
      </x:c>
      <x:c r="I671" s="84" t="str">
        <x:v>Perennial</x:v>
      </x:c>
      <x:c r="J671" s="84" t="str">
        <x:v>Herb</x:v>
      </x:c>
      <x:c r="K671" s="84" t="str">
        <x:v>Sun</x:v>
      </x:c>
      <x:c r="L671" s="84" t="str">
        <x:v>Medium–High</x:v>
      </x:c>
      <x:c r="M671" s="89" t="n">
        <x:v>1</x:v>
      </x:c>
      <x:c r="N671" s="89" t="n">
        <x:v>1</x:v>
      </x:c>
      <x:c r="O671" s="89" t="n">
        <x:v>1</x:v>
      </x:c>
      <x:c r="P671" s="89" t="n">
        <x:f>SUM(M671:O671)</x:f>
        <x:v>3</x:v>
      </x:c>
      <x:c r="Q671" s="84" t="str">
        <x:v>Exact accepted-name match</x:v>
      </x:c>
      <x:c r="R671" s="84" t="str">
        <x:v>Rhynchospora colorata</x:v>
      </x:c>
      <x:c r="S671" s="84" t="str">
        <x:v>261638</x:v>
      </x:c>
      <x:c r="T671" s="84" t="str">
        <x:v>261638</x:v>
      </x:c>
      <x:c r="U671" s="84" t="str">
        <x:v>311841-1</x:v>
      </x:c>
      <x:c r="V671" s="84" t="str">
        <x:v>311841-1</x:v>
      </x:c>
      <x:c r="W671" s="84" t="str"/>
    </x:row>
    <x:row r="672" ht="18" customHeight="1">
      <x:c r="A672" s="83" t="str">
        <x:v>HAYS-0671</x:v>
      </x:c>
      <x:c r="B672" s="87" t="str">
        <x:v>Rhynchospora nivea</x:v>
      </x:c>
      <x:c r="C672" s="87" t="str">
        <x:v>Rhynchospora nivea</x:v>
      </x:c>
      <x:c r="D672" s="84" t="str">
        <x:v>Cyperaceae</x:v>
      </x:c>
      <x:c r="E672" s="84" t="str">
        <x:v>Rhynchospora</x:v>
      </x:c>
      <x:c r="F672" s="84" t="str">
        <x:v>Species</x:v>
      </x:c>
      <x:c r="G672" s="84" t="str">
        <x:v>Accepted</x:v>
      </x:c>
      <x:c r="H672" s="84" t="str">
        <x:v>Showy Whitetop</x:v>
      </x:c>
      <x:c r="I672" s="84" t="str">
        <x:v>Perennial</x:v>
      </x:c>
      <x:c r="J672" s="84" t="str">
        <x:v>Grass/Grass-like</x:v>
      </x:c>
      <x:c r="K672" s="84" t="str"/>
      <x:c r="L672" s="84" t="str"/>
      <x:c r="M672" s="89" t="n">
        <x:v>1</x:v>
      </x:c>
      <x:c r="N672" s="89" t="n">
        <x:v>1</x:v>
      </x:c>
      <x:c r="O672" s="89" t="n">
        <x:v>0</x:v>
      </x:c>
      <x:c r="P672" s="89" t="n">
        <x:f>SUM(M672:O672)</x:f>
        <x:v>2</x:v>
      </x:c>
      <x:c r="Q672" s="84" t="str">
        <x:v>Exact accepted-name match</x:v>
      </x:c>
      <x:c r="R672" s="84" t="str">
        <x:v>Rhynchospora nivea</x:v>
      </x:c>
      <x:c r="S672" s="84" t="str">
        <x:v>262058</x:v>
      </x:c>
      <x:c r="T672" s="84" t="str">
        <x:v>262058</x:v>
      </x:c>
      <x:c r="U672" s="84" t="str">
        <x:v>312336-1</x:v>
      </x:c>
      <x:c r="V672" s="84" t="str">
        <x:v>312336-1</x:v>
      </x:c>
      <x:c r="W672" s="84" t="str"/>
    </x:row>
    <x:row r="673" ht="18" customHeight="1">
      <x:c r="A673" s="83" t="str">
        <x:v>HAYS-0672</x:v>
      </x:c>
      <x:c r="B673" s="87" t="str">
        <x:v>Rivina humilis</x:v>
      </x:c>
      <x:c r="C673" s="87" t="str">
        <x:v>Rivina humilis</x:v>
      </x:c>
      <x:c r="D673" s="84" t="str">
        <x:v>Petiveriaceae</x:v>
      </x:c>
      <x:c r="E673" s="84" t="str">
        <x:v>Rivina</x:v>
      </x:c>
      <x:c r="F673" s="84" t="str">
        <x:v>Species</x:v>
      </x:c>
      <x:c r="G673" s="84" t="str">
        <x:v>Accepted</x:v>
      </x:c>
      <x:c r="H673" s="84" t="str">
        <x:v>Pigeonberry, Rouge Plant, Baby-peppers, Bloodberry</x:v>
      </x:c>
      <x:c r="I673" s="84" t="str">
        <x:v>Perennial</x:v>
      </x:c>
      <x:c r="J673" s="84" t="str">
        <x:v>Herb, Subshrub</x:v>
      </x:c>
      <x:c r="K673" s="84" t="str">
        <x:v>Shade, Part Shade</x:v>
      </x:c>
      <x:c r="L673" s="84" t="str">
        <x:v>Medium</x:v>
      </x:c>
      <x:c r="M673" s="89" t="n">
        <x:v>1</x:v>
      </x:c>
      <x:c r="N673" s="89" t="n">
        <x:v>1</x:v>
      </x:c>
      <x:c r="O673" s="89" t="n">
        <x:v>1</x:v>
      </x:c>
      <x:c r="P673" s="89" t="n">
        <x:f>SUM(M673:O673)</x:f>
        <x:v>3</x:v>
      </x:c>
      <x:c r="Q673" s="84" t="str">
        <x:v>Exact accepted-name match</x:v>
      </x:c>
      <x:c r="R673" s="84" t="str">
        <x:v>Rivina humilis</x:v>
      </x:c>
      <x:c r="S673" s="84" t="str">
        <x:v>2425661</x:v>
      </x:c>
      <x:c r="T673" s="84" t="str">
        <x:v>2425661</x:v>
      </x:c>
      <x:c r="U673" s="84" t="str">
        <x:v>221479-2</x:v>
      </x:c>
      <x:c r="V673" s="84" t="str">
        <x:v>221479-2</x:v>
      </x:c>
      <x:c r="W673" s="84" t="str"/>
    </x:row>
    <x:row r="674" ht="18" customHeight="1">
      <x:c r="A674" s="83" t="str">
        <x:v>HAYS-0673</x:v>
      </x:c>
      <x:c r="B674" s="87" t="str">
        <x:v>Robinia pseudoacacia</x:v>
      </x:c>
      <x:c r="C674" s="87" t="str">
        <x:v>Robinia pseudoacacia</x:v>
      </x:c>
      <x:c r="D674" s="84" t="str">
        <x:v>Fabaceae</x:v>
      </x:c>
      <x:c r="E674" s="84" t="str">
        <x:v>Robinia</x:v>
      </x:c>
      <x:c r="F674" s="84" t="str">
        <x:v>Species</x:v>
      </x:c>
      <x:c r="G674" s="84" t="str">
        <x:v>Accepted</x:v>
      </x:c>
      <x:c r="H674" s="84" t="str">
        <x:v>Black Locust</x:v>
      </x:c>
      <x:c r="I674" s="84" t="str">
        <x:v>Perennial</x:v>
      </x:c>
      <x:c r="J674" s="84" t="str">
        <x:v>Tree</x:v>
      </x:c>
      <x:c r="K674" s="84" t="str">
        <x:v>Sun</x:v>
      </x:c>
      <x:c r="L674" s="84" t="str">
        <x:v>Moist, Dry</x:v>
      </x:c>
      <x:c r="M674" s="89" t="n">
        <x:v>1</x:v>
      </x:c>
      <x:c r="N674" s="89" t="n">
        <x:v>1</x:v>
      </x:c>
      <x:c r="O674" s="89" t="n">
        <x:v>0</x:v>
      </x:c>
      <x:c r="P674" s="89" t="n">
        <x:f>SUM(M674:O674)</x:f>
        <x:v>2</x:v>
      </x:c>
      <x:c r="Q674" s="84" t="str">
        <x:v>Exact accepted-name match</x:v>
      </x:c>
      <x:c r="R674" s="84" t="str">
        <x:v>Robinia pseudoacacia</x:v>
      </x:c>
      <x:c r="S674" s="84" t="str">
        <x:v>2428246</x:v>
      </x:c>
      <x:c r="T674" s="84" t="str">
        <x:v>2428246</x:v>
      </x:c>
      <x:c r="U674" s="84" t="str">
        <x:v>30034699-2</x:v>
      </x:c>
      <x:c r="V674" s="84" t="str">
        <x:v>30034699-2</x:v>
      </x:c>
      <x:c r="W674" s="84" t="str"/>
    </x:row>
    <x:row r="675" ht="18" customHeight="1">
      <x:c r="A675" s="83" t="str">
        <x:v>HAYS-0674</x:v>
      </x:c>
      <x:c r="B675" s="87" t="str">
        <x:v>Rotala ramosior</x:v>
      </x:c>
      <x:c r="C675" s="87" t="str">
        <x:v>Rotala ramosior</x:v>
      </x:c>
      <x:c r="D675" s="84" t="str">
        <x:v>Lythraceae</x:v>
      </x:c>
      <x:c r="E675" s="84" t="str">
        <x:v>Rotala</x:v>
      </x:c>
      <x:c r="F675" s="84" t="str">
        <x:v>Species</x:v>
      </x:c>
      <x:c r="G675" s="84" t="str">
        <x:v>Accepted</x:v>
      </x:c>
      <x:c r="H675" s="84" t="str">
        <x:v>Lowland Rotala</x:v>
      </x:c>
      <x:c r="I675" s="84" t="str">
        <x:v>Annual</x:v>
      </x:c>
      <x:c r="J675" s="84" t="str">
        <x:v>Herb</x:v>
      </x:c>
      <x:c r="K675" s="84" t="str">
        <x:v>Sun</x:v>
      </x:c>
      <x:c r="L675" s="84" t="str">
        <x:v>Moist</x:v>
      </x:c>
      <x:c r="M675" s="89" t="n">
        <x:v>1</x:v>
      </x:c>
      <x:c r="N675" s="89" t="n">
        <x:v>1</x:v>
      </x:c>
      <x:c r="O675" s="89" t="n">
        <x:v>0</x:v>
      </x:c>
      <x:c r="P675" s="89" t="n">
        <x:f>SUM(M675:O675)</x:f>
        <x:v>2</x:v>
      </x:c>
      <x:c r="Q675" s="84" t="str">
        <x:v>Exact accepted-name match</x:v>
      </x:c>
      <x:c r="R675" s="84" t="str">
        <x:v>Rotala ramosior</x:v>
      </x:c>
      <x:c r="S675" s="84" t="str">
        <x:v>2425263</x:v>
      </x:c>
      <x:c r="T675" s="84" t="str">
        <x:v>2425263</x:v>
      </x:c>
      <x:c r="U675" s="84" t="str">
        <x:v>30048022-2</x:v>
      </x:c>
      <x:c r="V675" s="84" t="str">
        <x:v>30048022-2</x:v>
      </x:c>
      <x:c r="W675" s="84" t="str"/>
    </x:row>
    <x:row r="676" ht="18" customHeight="1">
      <x:c r="A676" s="83" t="str">
        <x:v>HAYS-0675</x:v>
      </x:c>
      <x:c r="B676" s="87" t="str">
        <x:v>Rubus trivialis</x:v>
      </x:c>
      <x:c r="C676" s="87" t="str">
        <x:v>Rubus trivialis</x:v>
      </x:c>
      <x:c r="D676" s="84" t="str">
        <x:v>Rosaceae</x:v>
      </x:c>
      <x:c r="E676" s="84" t="str">
        <x:v>Rubus</x:v>
      </x:c>
      <x:c r="F676" s="84" t="str">
        <x:v>Species</x:v>
      </x:c>
      <x:c r="G676" s="84" t="str">
        <x:v>Accepted</x:v>
      </x:c>
      <x:c r="H676" s="84" t="str">
        <x:v>Southern Dewberry, Dewberry</x:v>
      </x:c>
      <x:c r="I676" s="84" t="str">
        <x:v>Perennial</x:v>
      </x:c>
      <x:c r="J676" s="84" t="str">
        <x:v>Herb</x:v>
      </x:c>
      <x:c r="K676" s="84" t="str">
        <x:v>Sun, Part-shade</x:v>
      </x:c>
      <x:c r="L676" s="84" t="str">
        <x:v>Moist, Dry</x:v>
      </x:c>
      <x:c r="M676" s="89" t="n">
        <x:v>1</x:v>
      </x:c>
      <x:c r="N676" s="89" t="n">
        <x:v>1</x:v>
      </x:c>
      <x:c r="O676" s="89" t="n">
        <x:v>0</x:v>
      </x:c>
      <x:c r="P676" s="89" t="n">
        <x:f>SUM(M676:O676)</x:f>
        <x:v>2</x:v>
      </x:c>
      <x:c r="Q676" s="84" t="str">
        <x:v>Exact accepted-name match</x:v>
      </x:c>
      <x:c r="R676" s="84" t="str">
        <x:v>Rubus trivialis</x:v>
      </x:c>
      <x:c r="S676" s="84" t="str">
        <x:v>2989640</x:v>
      </x:c>
      <x:c r="T676" s="84" t="str">
        <x:v>2989640</x:v>
      </x:c>
      <x:c r="U676" s="84" t="str">
        <x:v>740944-1</x:v>
      </x:c>
      <x:c r="V676" s="84" t="str">
        <x:v>740944-1</x:v>
      </x:c>
      <x:c r="W676" s="84" t="str"/>
    </x:row>
    <x:row r="677" ht="18" customHeight="1">
      <x:c r="A677" s="83" t="str">
        <x:v>HAYS-0676</x:v>
      </x:c>
      <x:c r="B677" s="87" t="str">
        <x:v>Rudbeckia hirta</x:v>
      </x:c>
      <x:c r="C677" s="87" t="str">
        <x:v>Rudbeckia hirta</x:v>
      </x:c>
      <x:c r="D677" s="84" t="str">
        <x:v>Asteraceae</x:v>
      </x:c>
      <x:c r="E677" s="84" t="str">
        <x:v>Rudbeckia</x:v>
      </x:c>
      <x:c r="F677" s="84" t="str">
        <x:v>Species</x:v>
      </x:c>
      <x:c r="G677" s="84" t="str">
        <x:v>Accepted</x:v>
      </x:c>
      <x:c r="H677" s="84" t="str">
        <x:v>Black-eyed Susan, Common Black-eyed Susan, Brown-eyed Susan, Blackeyed Susan</x:v>
      </x:c>
      <x:c r="I677" s="84" t="str">
        <x:v>Annual , Perennial , Biennial</x:v>
      </x:c>
      <x:c r="J677" s="84" t="str">
        <x:v>Herb</x:v>
      </x:c>
      <x:c r="K677" s="84" t="str">
        <x:v>Sun</x:v>
      </x:c>
      <x:c r="L677" s="84" t="str">
        <x:v>Medium</x:v>
      </x:c>
      <x:c r="M677" s="89" t="n">
        <x:v>0</x:v>
      </x:c>
      <x:c r="N677" s="89" t="n">
        <x:v>0</x:v>
      </x:c>
      <x:c r="O677" s="89" t="n">
        <x:v>1</x:v>
      </x:c>
      <x:c r="P677" s="89" t="n">
        <x:f>SUM(M677:O677)</x:f>
        <x:v>1</x:v>
      </x:c>
      <x:c r="Q677" s="84" t="str">
        <x:v>Exact accepted-name match</x:v>
      </x:c>
      <x:c r="R677" s="84" t="str">
        <x:v>Rudbeckia hirta</x:v>
      </x:c>
      <x:c r="S677" s="84" t="str">
        <x:v>3123624</x:v>
      </x:c>
      <x:c r="T677" s="84" t="str">
        <x:v>3123624</x:v>
      </x:c>
      <x:c r="U677" s="84" t="str">
        <x:v>223740-2</x:v>
      </x:c>
      <x:c r="V677" s="84" t="str">
        <x:v>223740-2</x:v>
      </x:c>
      <x:c r="W677" s="84" t="str"/>
    </x:row>
    <x:row r="678" ht="18" customHeight="1">
      <x:c r="A678" s="83" t="str">
        <x:v>HAYS-0677</x:v>
      </x:c>
      <x:c r="B678" s="87" t="str">
        <x:v>Rudbeckia hirta var. pulcherrima</x:v>
      </x:c>
      <x:c r="C678" s="87" t="str">
        <x:v>Rudbeckia hirta var. pulcherrima</x:v>
      </x:c>
      <x:c r="D678" s="84" t="str">
        <x:v>Asteraceae</x:v>
      </x:c>
      <x:c r="E678" s="84" t="str">
        <x:v>Rudbeckia</x:v>
      </x:c>
      <x:c r="F678" s="84" t="str">
        <x:v>Variety</x:v>
      </x:c>
      <x:c r="G678" s="84" t="str">
        <x:v>Accepted</x:v>
      </x:c>
      <x:c r="H678" s="84" t="str">
        <x:v>Black-eyed Susan, Blackeyed Susan, Brown-eyed Susan, Pinewoods Coneflower</x:v>
      </x:c>
      <x:c r="I678" s="84" t="str">
        <x:v>Annual, Biennial, Perennial</x:v>
      </x:c>
      <x:c r="J678" s="84" t="str">
        <x:v>Herb</x:v>
      </x:c>
      <x:c r="K678" s="84" t="str">
        <x:v>Sun</x:v>
      </x:c>
      <x:c r="L678" s="84" t="str">
        <x:v>Dry</x:v>
      </x:c>
      <x:c r="M678" s="89" t="n">
        <x:v>1</x:v>
      </x:c>
      <x:c r="N678" s="89" t="n">
        <x:v>1</x:v>
      </x:c>
      <x:c r="O678" s="89" t="n">
        <x:v>0</x:v>
      </x:c>
      <x:c r="P678" s="89" t="n">
        <x:f>SUM(M678:O678)</x:f>
        <x:v>2</x:v>
      </x:c>
      <x:c r="Q678" s="84" t="str">
        <x:v>Exact accepted-name match</x:v>
      </x:c>
      <x:c r="R678" s="84" t="str">
        <x:v>Rudbeckia hirta var. pulcherrima</x:v>
      </x:c>
      <x:c r="S678" s="84" t="str">
        <x:v>3123024</x:v>
      </x:c>
      <x:c r="T678" s="84" t="str">
        <x:v>3123024</x:v>
      </x:c>
      <x:c r="U678" s="84" t="str">
        <x:v>223755-2</x:v>
      </x:c>
      <x:c r="V678" s="84" t="str">
        <x:v>223755-2</x:v>
      </x:c>
      <x:c r="W678" s="84" t="str"/>
    </x:row>
    <x:row r="679" ht="18" customHeight="1">
      <x:c r="A679" s="83" t="str">
        <x:v>HAYS-0678</x:v>
      </x:c>
      <x:c r="B679" s="87" t="str">
        <x:v>Ruellia drummondiana</x:v>
      </x:c>
      <x:c r="C679" s="87" t="str">
        <x:v>Ruellia drummondiana</x:v>
      </x:c>
      <x:c r="D679" s="84" t="str">
        <x:v>Acanthaceae</x:v>
      </x:c>
      <x:c r="E679" s="84" t="str">
        <x:v>Ruellia</x:v>
      </x:c>
      <x:c r="F679" s="84" t="str">
        <x:v>Species</x:v>
      </x:c>
      <x:c r="G679" s="84" t="str">
        <x:v>Accepted</x:v>
      </x:c>
      <x:c r="H679" s="84" t="str">
        <x:v>Drummond's Ruellia, Drummond's Wild Petunia</x:v>
      </x:c>
      <x:c r="I679" s="84" t="str">
        <x:v>Perennial</x:v>
      </x:c>
      <x:c r="J679" s="84" t="str">
        <x:v>Herb</x:v>
      </x:c>
      <x:c r="K679" s="84" t="str">
        <x:v>Shade, Part-shade</x:v>
      </x:c>
      <x:c r="L679" s="84" t="str">
        <x:v>Dry</x:v>
      </x:c>
      <x:c r="M679" s="89" t="n">
        <x:v>1</x:v>
      </x:c>
      <x:c r="N679" s="89" t="n">
        <x:v>1</x:v>
      </x:c>
      <x:c r="O679" s="89" t="n">
        <x:v>0</x:v>
      </x:c>
      <x:c r="P679" s="89" t="n">
        <x:f>SUM(M679:O679)</x:f>
        <x:v>2</x:v>
      </x:c>
      <x:c r="Q679" s="84" t="str">
        <x:v>Exact accepted-name match</x:v>
      </x:c>
      <x:c r="R679" s="84" t="str">
        <x:v>Ruellia drummondiana</x:v>
      </x:c>
      <x:c r="S679" s="84" t="str">
        <x:v>2421383</x:v>
      </x:c>
      <x:c r="T679" s="84" t="str">
        <x:v>2421383</x:v>
      </x:c>
      <x:c r="U679" s="84" t="str">
        <x:v>54023-1</x:v>
      </x:c>
      <x:c r="V679" s="84" t="str">
        <x:v>54023-1</x:v>
      </x:c>
      <x:c r="W679" s="84" t="str"/>
    </x:row>
    <x:row r="680" ht="18" customHeight="1">
      <x:c r="A680" s="83" t="str">
        <x:v>HAYS-0679</x:v>
      </x:c>
      <x:c r="B680" s="87" t="str">
        <x:v>Ruellia humilis</x:v>
      </x:c>
      <x:c r="C680" s="87" t="str">
        <x:v>Ruellia humilis</x:v>
      </x:c>
      <x:c r="D680" s="84" t="str">
        <x:v>Acanthaceae</x:v>
      </x:c>
      <x:c r="E680" s="84" t="str">
        <x:v>Ruellia</x:v>
      </x:c>
      <x:c r="F680" s="84" t="str">
        <x:v>Species</x:v>
      </x:c>
      <x:c r="G680" s="84" t="str">
        <x:v>Accepted</x:v>
      </x:c>
      <x:c r="H680" s="84" t="str">
        <x:v>Prairie Petunia</x:v>
      </x:c>
      <x:c r="I680" s="84" t="str">
        <x:v>Perennial</x:v>
      </x:c>
      <x:c r="J680" s="84" t="str">
        <x:v>Herb</x:v>
      </x:c>
      <x:c r="K680" s="84" t="str">
        <x:v>Full Sun to Part Shade</x:v>
      </x:c>
      <x:c r="L680" s="84" t="str">
        <x:v>Dry to Moist</x:v>
      </x:c>
      <x:c r="M680" s="89" t="n">
        <x:v>1</x:v>
      </x:c>
      <x:c r="N680" s="89" t="n">
        <x:v>1</x:v>
      </x:c>
      <x:c r="O680" s="89" t="n">
        <x:v>1</x:v>
      </x:c>
      <x:c r="P680" s="89" t="n">
        <x:f>SUM(M680:O680)</x:f>
        <x:v>3</x:v>
      </x:c>
      <x:c r="Q680" s="84" t="str">
        <x:v>Exact accepted-name match</x:v>
      </x:c>
      <x:c r="R680" s="84" t="str">
        <x:v>Ruellia humilis</x:v>
      </x:c>
      <x:c r="S680" s="84" t="str">
        <x:v>2421491</x:v>
      </x:c>
      <x:c r="T680" s="84" t="str">
        <x:v>2421491</x:v>
      </x:c>
      <x:c r="U680" s="84" t="str">
        <x:v>54161-1</x:v>
      </x:c>
      <x:c r="V680" s="84" t="str">
        <x:v>54161-1</x:v>
      </x:c>
      <x:c r="W680" s="84" t="str"/>
    </x:row>
    <x:row r="681" ht="18" customHeight="1">
      <x:c r="A681" s="83" t="str">
        <x:v>HAYS-0680</x:v>
      </x:c>
      <x:c r="B681" s="87" t="str">
        <x:v>Ruellia nudiflora</x:v>
      </x:c>
      <x:c r="C681" s="87" t="str">
        <x:v>Ruellia ciliatiflora</x:v>
      </x:c>
      <x:c r="D681" s="84" t="str">
        <x:v>Acanthaceae</x:v>
      </x:c>
      <x:c r="E681" s="84" t="str">
        <x:v>Ruellia</x:v>
      </x:c>
      <x:c r="F681" s="84" t="str">
        <x:v>Species</x:v>
      </x:c>
      <x:c r="G681" s="84" t="str">
        <x:v>Synonym</x:v>
      </x:c>
      <x:c r="H681" s="84" t="str">
        <x:v>Violet Ruellia, Common Wild Petunia, Violet Wild Petunia, Wild Petunia, Hierba De La Calentura</x:v>
      </x:c>
      <x:c r="I681" s="84" t="str">
        <x:v>Perennial</x:v>
      </x:c>
      <x:c r="J681" s="84" t="str">
        <x:v>Herb</x:v>
      </x:c>
      <x:c r="K681" s="84" t="str">
        <x:v>Sun, Part Shade</x:v>
      </x:c>
      <x:c r="L681" s="84" t="str">
        <x:v>Low</x:v>
      </x:c>
      <x:c r="M681" s="89" t="n">
        <x:v>0</x:v>
      </x:c>
      <x:c r="N681" s="89" t="n">
        <x:v>0</x:v>
      </x:c>
      <x:c r="O681" s="89" t="n">
        <x:v>1</x:v>
      </x:c>
      <x:c r="P681" s="89" t="n">
        <x:f>SUM(M681:O681)</x:f>
        <x:v>1</x:v>
      </x:c>
      <x:c r="Q681" s="84" t="str">
        <x:v>Exact synonym-name match</x:v>
      </x:c>
      <x:c r="R681" s="84" t="str">
        <x:v>Ruellia nudiflora</x:v>
      </x:c>
      <x:c r="S681" s="84" t="str">
        <x:v>2420259</x:v>
      </x:c>
      <x:c r="T681" s="84" t="str">
        <x:v>2421650</x:v>
      </x:c>
      <x:c r="U681" s="84" t="str">
        <x:v>224214-2</x:v>
      </x:c>
      <x:c r="V681" s="84" t="str">
        <x:v>53920-1</x:v>
      </x:c>
      <x:c r="W681" s="84" t="str"/>
    </x:row>
    <x:row r="682" ht="18" customHeight="1">
      <x:c r="A682" s="83" t="str">
        <x:v>HAYS-0681</x:v>
      </x:c>
      <x:c r="B682" s="87" t="str">
        <x:v>Ruellia nudiflora var. nudiflora</x:v>
      </x:c>
      <x:c r="C682" s="87" t="str"/>
      <x:c r="D682" s="84" t="str"/>
      <x:c r="E682" s="84" t="str">
        <x:v>Ruellia</x:v>
      </x:c>
      <x:c r="F682" s="84" t="str"/>
      <x:c r="G682" s="84" t="str"/>
      <x:c r="H682" s="84" t="str">
        <x:v>Violet Wild Petunia</x:v>
      </x:c>
      <x:c r="I682" s="84" t="str">
        <x:v>Perennial</x:v>
      </x:c>
      <x:c r="J682" s="84" t="str">
        <x:v>Herb</x:v>
      </x:c>
      <x:c r="K682" s="84" t="str"/>
      <x:c r="L682" s="84" t="str"/>
      <x:c r="M682" s="89" t="n">
        <x:v>1</x:v>
      </x:c>
      <x:c r="N682" s="89" t="n">
        <x:v>1</x:v>
      </x:c>
      <x:c r="O682" s="89" t="n">
        <x:v>0</x:v>
      </x:c>
      <x:c r="P682" s="89" t="n">
        <x:f>SUM(M682:O682)</x:f>
        <x:v>2</x:v>
      </x:c>
      <x:c r="Q682" s="84" t="str">
        <x:v>No exact WCVP name match</x:v>
      </x:c>
      <x:c r="R682" s="84" t="str"/>
      <x:c r="S682" s="84" t="str"/>
      <x:c r="T682" s="84" t="str"/>
      <x:c r="U682" s="84" t="str"/>
      <x:c r="V682" s="84" t="str"/>
      <x:c r="W682" s="84" t="str">
        <x:v>Review</x:v>
      </x:c>
    </x:row>
    <x:row r="683" ht="18" customHeight="1">
      <x:c r="A683" s="83" t="str">
        <x:v>HAYS-0682</x:v>
      </x:c>
      <x:c r="B683" s="87" t="str">
        <x:v>Ruellia occidentalis</x:v>
      </x:c>
      <x:c r="C683" s="87" t="str">
        <x:v>Ruellia ciliatiflora</x:v>
      </x:c>
      <x:c r="D683" s="84" t="str">
        <x:v>Acanthaceae</x:v>
      </x:c>
      <x:c r="E683" s="84" t="str">
        <x:v>Ruellia</x:v>
      </x:c>
      <x:c r="F683" s="84" t="str">
        <x:v>Species</x:v>
      </x:c>
      <x:c r="G683" s="84" t="str">
        <x:v>Synonym</x:v>
      </x:c>
      <x:c r="H683" s="84" t="str">
        <x:v>Western Wild Petunia</x:v>
      </x:c>
      <x:c r="I683" s="84" t="str">
        <x:v>Perennial</x:v>
      </x:c>
      <x:c r="J683" s="84" t="str">
        <x:v>Herb</x:v>
      </x:c>
      <x:c r="K683" s="84" t="str">
        <x:v>Shade, Part-shade</x:v>
      </x:c>
      <x:c r="L683" s="84" t="str">
        <x:v>Moist, Dry</x:v>
      </x:c>
      <x:c r="M683" s="89" t="n">
        <x:v>1</x:v>
      </x:c>
      <x:c r="N683" s="89" t="n">
        <x:v>1</x:v>
      </x:c>
      <x:c r="O683" s="89" t="n">
        <x:v>0</x:v>
      </x:c>
      <x:c r="P683" s="89" t="n">
        <x:f>SUM(M683:O683)</x:f>
        <x:v>2</x:v>
      </x:c>
      <x:c r="Q683" s="84" t="str">
        <x:v>Exact synonym-name match</x:v>
      </x:c>
      <x:c r="R683" s="84" t="str">
        <x:v>Ruellia occidentalis</x:v>
      </x:c>
      <x:c r="S683" s="84" t="str">
        <x:v>2420318</x:v>
      </x:c>
      <x:c r="T683" s="84" t="str">
        <x:v>2421650</x:v>
      </x:c>
      <x:c r="U683" s="84" t="str">
        <x:v>224229-2</x:v>
      </x:c>
      <x:c r="V683" s="84" t="str">
        <x:v>53920-1</x:v>
      </x:c>
      <x:c r="W683" s="84" t="str"/>
    </x:row>
    <x:row r="684" ht="18" customHeight="1">
      <x:c r="A684" s="83" t="str">
        <x:v>HAYS-0683</x:v>
      </x:c>
      <x:c r="B684" s="87" t="str">
        <x:v>Rumex chrysocarpus</x:v>
      </x:c>
      <x:c r="C684" s="87" t="str"/>
      <x:c r="D684" s="84" t="str"/>
      <x:c r="E684" s="84" t="str">
        <x:v>Rumex</x:v>
      </x:c>
      <x:c r="F684" s="84" t="str"/>
      <x:c r="G684" s="84" t="str"/>
      <x:c r="H684" s="84" t="str">
        <x:v>Amamastla</x:v>
      </x:c>
      <x:c r="I684" s="84" t="str">
        <x:v>Perennial</x:v>
      </x:c>
      <x:c r="J684" s="84" t="str">
        <x:v>Herb</x:v>
      </x:c>
      <x:c r="K684" s="84" t="str"/>
      <x:c r="L684" s="84" t="str"/>
      <x:c r="M684" s="89" t="n">
        <x:v>1</x:v>
      </x:c>
      <x:c r="N684" s="89" t="n">
        <x:v>1</x:v>
      </x:c>
      <x:c r="O684" s="89" t="n">
        <x:v>0</x:v>
      </x:c>
      <x:c r="P684" s="89" t="n">
        <x:f>SUM(M684:O684)</x:f>
        <x:v>2</x:v>
      </x:c>
      <x:c r="Q684" s="84" t="str">
        <x:v>No exact WCVP name match</x:v>
      </x:c>
      <x:c r="R684" s="84" t="str"/>
      <x:c r="S684" s="84" t="str"/>
      <x:c r="T684" s="84" t="str"/>
      <x:c r="U684" s="84" t="str"/>
      <x:c r="V684" s="84" t="str"/>
      <x:c r="W684" s="84" t="str">
        <x:v>Review</x:v>
      </x:c>
    </x:row>
    <x:row r="685" ht="18" customHeight="1">
      <x:c r="A685" s="83" t="str">
        <x:v>HAYS-0684</x:v>
      </x:c>
      <x:c r="B685" s="87" t="str">
        <x:v>Sabal mexicana</x:v>
      </x:c>
      <x:c r="C685" s="87" t="str">
        <x:v>Sabal mexicana</x:v>
      </x:c>
      <x:c r="D685" s="84" t="str">
        <x:v>Arecaceae</x:v>
      </x:c>
      <x:c r="E685" s="84" t="str">
        <x:v>Sabal</x:v>
      </x:c>
      <x:c r="F685" s="84" t="str">
        <x:v>Species</x:v>
      </x:c>
      <x:c r="G685" s="84" t="str">
        <x:v>Accepted</x:v>
      </x:c>
      <x:c r="H685" s="84" t="str">
        <x:v>Texas Palmetto</x:v>
      </x:c>
      <x:c r="I685" s="84" t="str">
        <x:v>Perennial</x:v>
      </x:c>
      <x:c r="J685" s="84" t="str">
        <x:v>Tree</x:v>
      </x:c>
      <x:c r="K685" s="84" t="str">
        <x:v>Sun</x:v>
      </x:c>
      <x:c r="L685" s="84" t="str">
        <x:v>Medium</x:v>
      </x:c>
      <x:c r="M685" s="89" t="n">
        <x:v>0</x:v>
      </x:c>
      <x:c r="N685" s="89" t="n">
        <x:v>0</x:v>
      </x:c>
      <x:c r="O685" s="89" t="n">
        <x:v>1</x:v>
      </x:c>
      <x:c r="P685" s="89" t="n">
        <x:f>SUM(M685:O685)</x:f>
        <x:v>1</x:v>
      </x:c>
      <x:c r="Q685" s="84" t="str">
        <x:v>Exact accepted-name match</x:v>
      </x:c>
      <x:c r="R685" s="84" t="str">
        <x:v>Sabal mexicana</x:v>
      </x:c>
      <x:c r="S685" s="84" t="str">
        <x:v>181045</x:v>
      </x:c>
      <x:c r="T685" s="84" t="str">
        <x:v>181045</x:v>
      </x:c>
      <x:c r="U685" s="84" t="str">
        <x:v>669717-1</x:v>
      </x:c>
      <x:c r="V685" s="84" t="str">
        <x:v>669717-1</x:v>
      </x:c>
      <x:c r="W685" s="84" t="str"/>
    </x:row>
    <x:row r="686" ht="18" customHeight="1">
      <x:c r="A686" s="83" t="str">
        <x:v>HAYS-0685</x:v>
      </x:c>
      <x:c r="B686" s="87" t="str">
        <x:v>Sabal minor</x:v>
      </x:c>
      <x:c r="C686" s="87" t="str">
        <x:v>Sabal minor</x:v>
      </x:c>
      <x:c r="D686" s="84" t="str">
        <x:v>Arecaceae</x:v>
      </x:c>
      <x:c r="E686" s="84" t="str">
        <x:v>Sabal</x:v>
      </x:c>
      <x:c r="F686" s="84" t="str">
        <x:v>Species</x:v>
      </x:c>
      <x:c r="G686" s="84" t="str">
        <x:v>Accepted</x:v>
      </x:c>
      <x:c r="H686" s="84" t="str">
        <x:v>Dwarf Palmetto, Bush Palmetto, Palmetto</x:v>
      </x:c>
      <x:c r="I686" s="84" t="str">
        <x:v>Perennial</x:v>
      </x:c>
      <x:c r="J686" s="84" t="str">
        <x:v>Tree</x:v>
      </x:c>
      <x:c r="K686" s="84" t="str">
        <x:v>Sun, Part Shade</x:v>
      </x:c>
      <x:c r="L686" s="84" t="str">
        <x:v>Medium</x:v>
      </x:c>
      <x:c r="M686" s="89" t="n">
        <x:v>1</x:v>
      </x:c>
      <x:c r="N686" s="89" t="n">
        <x:v>1</x:v>
      </x:c>
      <x:c r="O686" s="89" t="n">
        <x:v>1</x:v>
      </x:c>
      <x:c r="P686" s="89" t="n">
        <x:f>SUM(M686:O686)</x:f>
        <x:v>3</x:v>
      </x:c>
      <x:c r="Q686" s="84" t="str">
        <x:v>Exact accepted-name match</x:v>
      </x:c>
      <x:c r="R686" s="84" t="str">
        <x:v>Sabal minor</x:v>
      </x:c>
      <x:c r="S686" s="84" t="str">
        <x:v>181048</x:v>
      </x:c>
      <x:c r="T686" s="84" t="str">
        <x:v>181048</x:v>
      </x:c>
      <x:c r="U686" s="84" t="str">
        <x:v>669719-1</x:v>
      </x:c>
      <x:c r="V686" s="84" t="str">
        <x:v>669719-1</x:v>
      </x:c>
      <x:c r="W686" s="84" t="str"/>
    </x:row>
    <x:row r="687" ht="18" customHeight="1">
      <x:c r="A687" s="83" t="str">
        <x:v>HAYS-0686</x:v>
      </x:c>
      <x:c r="B687" s="87" t="str">
        <x:v>Sagittaria graminea</x:v>
      </x:c>
      <x:c r="C687" s="87" t="str">
        <x:v>Sagittaria graminea</x:v>
      </x:c>
      <x:c r="D687" s="84" t="str">
        <x:v>Alismataceae</x:v>
      </x:c>
      <x:c r="E687" s="84" t="str">
        <x:v>Sagittaria</x:v>
      </x:c>
      <x:c r="F687" s="84" t="str">
        <x:v>Species</x:v>
      </x:c>
      <x:c r="G687" s="84" t="str">
        <x:v>Accepted</x:v>
      </x:c>
      <x:c r="H687" s="84" t="str">
        <x:v>Grassy Arrowhead, Grass-leaf Arrowhead</x:v>
      </x:c>
      <x:c r="I687" s="84" t="str">
        <x:v>Perennial</x:v>
      </x:c>
      <x:c r="J687" s="84" t="str">
        <x:v>Herb</x:v>
      </x:c>
      <x:c r="K687" s="84" t="str"/>
      <x:c r="L687" s="84" t="str"/>
      <x:c r="M687" s="89" t="n">
        <x:v>1</x:v>
      </x:c>
      <x:c r="N687" s="89" t="n">
        <x:v>1</x:v>
      </x:c>
      <x:c r="O687" s="89" t="n">
        <x:v>0</x:v>
      </x:c>
      <x:c r="P687" s="89" t="n">
        <x:f>SUM(M687:O687)</x:f>
        <x:v>2</x:v>
      </x:c>
      <x:c r="Q687" s="84" t="str">
        <x:v>Exact accepted-name match</x:v>
      </x:c>
      <x:c r="R687" s="84" t="str">
        <x:v>Sagittaria graminea</x:v>
      </x:c>
      <x:c r="S687" s="84" t="str">
        <x:v>287261</x:v>
      </x:c>
      <x:c r="T687" s="84" t="str">
        <x:v>287261</x:v>
      </x:c>
      <x:c r="U687" s="84" t="str">
        <x:v>225249-2</x:v>
      </x:c>
      <x:c r="V687" s="84" t="str">
        <x:v>225249-2</x:v>
      </x:c>
      <x:c r="W687" s="84" t="str"/>
    </x:row>
    <x:row r="688" ht="18" customHeight="1">
      <x:c r="A688" s="83" t="str">
        <x:v>HAYS-0687</x:v>
      </x:c>
      <x:c r="B688" s="87" t="str">
        <x:v>Sagittaria graminea var. graminea</x:v>
      </x:c>
      <x:c r="C688" s="87" t="str"/>
      <x:c r="D688" s="84" t="str"/>
      <x:c r="E688" s="84" t="str">
        <x:v>Sagittaria</x:v>
      </x:c>
      <x:c r="F688" s="84" t="str"/>
      <x:c r="G688" s="84" t="str"/>
      <x:c r="H688" s="84" t="str">
        <x:v>Grassy Arrowhead</x:v>
      </x:c>
      <x:c r="I688" s="84" t="str">
        <x:v>Perennial</x:v>
      </x:c>
      <x:c r="J688" s="84" t="str">
        <x:v>Herb</x:v>
      </x:c>
      <x:c r="K688" s="84" t="str"/>
      <x:c r="L688" s="84" t="str"/>
      <x:c r="M688" s="89" t="n">
        <x:v>1</x:v>
      </x:c>
      <x:c r="N688" s="89" t="n">
        <x:v>1</x:v>
      </x:c>
      <x:c r="O688" s="89" t="n">
        <x:v>0</x:v>
      </x:c>
      <x:c r="P688" s="89" t="n">
        <x:f>SUM(M688:O688)</x:f>
        <x:v>2</x:v>
      </x:c>
      <x:c r="Q688" s="84" t="str">
        <x:v>No exact WCVP name match</x:v>
      </x:c>
      <x:c r="R688" s="84" t="str"/>
      <x:c r="S688" s="84" t="str"/>
      <x:c r="T688" s="84" t="str"/>
      <x:c r="U688" s="84" t="str"/>
      <x:c r="V688" s="84" t="str"/>
      <x:c r="W688" s="84" t="str">
        <x:v>Review</x:v>
      </x:c>
    </x:row>
    <x:row r="689" ht="18" customHeight="1">
      <x:c r="A689" s="83" t="str">
        <x:v>HAYS-0688</x:v>
      </x:c>
      <x:c r="B689" s="87" t="str">
        <x:v>Sagittaria lancifolia</x:v>
      </x:c>
      <x:c r="C689" s="87" t="str">
        <x:v>Sagittaria lancifolia</x:v>
      </x:c>
      <x:c r="D689" s="84" t="str">
        <x:v>Alismataceae</x:v>
      </x:c>
      <x:c r="E689" s="84" t="str">
        <x:v>Sagittaria</x:v>
      </x:c>
      <x:c r="F689" s="84" t="str">
        <x:v>Species</x:v>
      </x:c>
      <x:c r="G689" s="84" t="str">
        <x:v>Accepted</x:v>
      </x:c>
      <x:c r="H689" s="84" t="str">
        <x:v>Lanceleaf Arrowhead</x:v>
      </x:c>
      <x:c r="I689" s="84" t="str">
        <x:v>Perennial</x:v>
      </x:c>
      <x:c r="J689" s="84" t="str">
        <x:v>Herb</x:v>
      </x:c>
      <x:c r="K689" s="84" t="str">
        <x:v>Sun</x:v>
      </x:c>
      <x:c r="L689" s="84" t="str">
        <x:v>Wet</x:v>
      </x:c>
      <x:c r="M689" s="89" t="n">
        <x:v>1</x:v>
      </x:c>
      <x:c r="N689" s="89" t="n">
        <x:v>1</x:v>
      </x:c>
      <x:c r="O689" s="89" t="n">
        <x:v>1</x:v>
      </x:c>
      <x:c r="P689" s="89" t="n">
        <x:f>SUM(M689:O689)</x:f>
        <x:v>3</x:v>
      </x:c>
      <x:c r="Q689" s="84" t="str">
        <x:v>Exact accepted-name match</x:v>
      </x:c>
      <x:c r="R689" s="84" t="str">
        <x:v>Sagittaria lancifolia</x:v>
      </x:c>
      <x:c r="S689" s="84" t="str">
        <x:v>287245</x:v>
      </x:c>
      <x:c r="T689" s="84" t="str">
        <x:v>287245</x:v>
      </x:c>
      <x:c r="U689" s="84" t="str">
        <x:v>58516-1</x:v>
      </x:c>
      <x:c r="V689" s="84" t="str">
        <x:v>58516-1</x:v>
      </x:c>
      <x:c r="W689" s="84" t="str"/>
    </x:row>
    <x:row r="690" ht="18" customHeight="1">
      <x:c r="A690" s="83" t="str">
        <x:v>HAYS-0689</x:v>
      </x:c>
      <x:c r="B690" s="87" t="str">
        <x:v>Sagittaria platyphylla</x:v>
      </x:c>
      <x:c r="C690" s="87" t="str">
        <x:v>Sagittaria platyphylla</x:v>
      </x:c>
      <x:c r="D690" s="84" t="str">
        <x:v>Alismataceae</x:v>
      </x:c>
      <x:c r="E690" s="84" t="str">
        <x:v>Sagittaria</x:v>
      </x:c>
      <x:c r="F690" s="84" t="str">
        <x:v>Species</x:v>
      </x:c>
      <x:c r="G690" s="84" t="str">
        <x:v>Accepted</x:v>
      </x:c>
      <x:c r="H690" s="84" t="str">
        <x:v>Delta Arrowhead</x:v>
      </x:c>
      <x:c r="I690" s="84" t="str">
        <x:v>Perennial</x:v>
      </x:c>
      <x:c r="J690" s="84" t="str">
        <x:v>Herb</x:v>
      </x:c>
      <x:c r="K690" s="84" t="str">
        <x:v>Sun</x:v>
      </x:c>
      <x:c r="L690" s="84" t="str">
        <x:v>Wet</x:v>
      </x:c>
      <x:c r="M690" s="89" t="n">
        <x:v>1</x:v>
      </x:c>
      <x:c r="N690" s="89" t="n">
        <x:v>1</x:v>
      </x:c>
      <x:c r="O690" s="89" t="n">
        <x:v>1</x:v>
      </x:c>
      <x:c r="P690" s="89" t="n">
        <x:f>SUM(M690:O690)</x:f>
        <x:v>3</x:v>
      </x:c>
      <x:c r="Q690" s="84" t="str">
        <x:v>Exact accepted-name match</x:v>
      </x:c>
      <x:c r="R690" s="84" t="str">
        <x:v>Sagittaria platyphylla</x:v>
      </x:c>
      <x:c r="S690" s="84" t="str">
        <x:v>287420</x:v>
      </x:c>
      <x:c r="T690" s="84" t="str">
        <x:v>287420</x:v>
      </x:c>
      <x:c r="U690" s="84" t="str">
        <x:v>58550-1</x:v>
      </x:c>
      <x:c r="V690" s="84" t="str">
        <x:v>58550-1</x:v>
      </x:c>
      <x:c r="W690" s="84" t="str"/>
    </x:row>
    <x:row r="691" ht="18" customHeight="1">
      <x:c r="A691" s="83" t="str">
        <x:v>HAYS-0690</x:v>
      </x:c>
      <x:c r="B691" s="87" t="str">
        <x:v>Salix nigra</x:v>
      </x:c>
      <x:c r="C691" s="87" t="str">
        <x:v>Salix nigra</x:v>
      </x:c>
      <x:c r="D691" s="84" t="str">
        <x:v>Salicaceae</x:v>
      </x:c>
      <x:c r="E691" s="84" t="str">
        <x:v>Salix</x:v>
      </x:c>
      <x:c r="F691" s="84" t="str">
        <x:v>Species</x:v>
      </x:c>
      <x:c r="G691" s="84" t="str">
        <x:v>Accepted</x:v>
      </x:c>
      <x:c r="H691" s="84" t="str">
        <x:v>Black Willow, Gulf Black Willow, Swamp Willow, Sauz</x:v>
      </x:c>
      <x:c r="I691" s="84" t="str">
        <x:v>Perennial</x:v>
      </x:c>
      <x:c r="J691" s="84" t="str">
        <x:v>Tree</x:v>
      </x:c>
      <x:c r="K691" s="84" t="str">
        <x:v>Sun</x:v>
      </x:c>
      <x:c r="L691" s="84" t="str">
        <x:v>Medium–High</x:v>
      </x:c>
      <x:c r="M691" s="89" t="n">
        <x:v>1</x:v>
      </x:c>
      <x:c r="N691" s="89" t="n">
        <x:v>1</x:v>
      </x:c>
      <x:c r="O691" s="89" t="n">
        <x:v>1</x:v>
      </x:c>
      <x:c r="P691" s="89" t="n">
        <x:f>SUM(M691:O691)</x:f>
        <x:v>3</x:v>
      </x:c>
      <x:c r="Q691" s="84" t="str">
        <x:v>Exact accepted-name match</x:v>
      </x:c>
      <x:c r="R691" s="84" t="str">
        <x:v>Salix nigra</x:v>
      </x:c>
      <x:c r="S691" s="84" t="str">
        <x:v>2919837</x:v>
      </x:c>
      <x:c r="T691" s="84" t="str">
        <x:v>2919837</x:v>
      </x:c>
      <x:c r="U691" s="84" t="str">
        <x:v>304250-2</x:v>
      </x:c>
      <x:c r="V691" s="84" t="str">
        <x:v>304250-2</x:v>
      </x:c>
      <x:c r="W691" s="84" t="str"/>
    </x:row>
    <x:row r="692" ht="18" customHeight="1">
      <x:c r="A692" s="83" t="str">
        <x:v>HAYS-0691</x:v>
      </x:c>
      <x:c r="B692" s="87" t="str">
        <x:v>Salvia azurea</x:v>
      </x:c>
      <x:c r="C692" s="87" t="str">
        <x:v>Salvia azurea</x:v>
      </x:c>
      <x:c r="D692" s="84" t="str">
        <x:v>Lamiaceae</x:v>
      </x:c>
      <x:c r="E692" s="84" t="str">
        <x:v>Salvia</x:v>
      </x:c>
      <x:c r="F692" s="84" t="str">
        <x:v>Species</x:v>
      </x:c>
      <x:c r="G692" s="84" t="str">
        <x:v>Accepted</x:v>
      </x:c>
      <x:c r="H692" s="84" t="str">
        <x:v>Pitcher Sage, Blue Sage</x:v>
      </x:c>
      <x:c r="I692" s="84" t="str">
        <x:v>Perennial</x:v>
      </x:c>
      <x:c r="J692" s="84" t="str">
        <x:v>Herb</x:v>
      </x:c>
      <x:c r="K692" s="84" t="str">
        <x:v>Sun</x:v>
      </x:c>
      <x:c r="L692" s="84" t="str">
        <x:v>Low</x:v>
      </x:c>
      <x:c r="M692" s="89" t="n">
        <x:v>1</x:v>
      </x:c>
      <x:c r="N692" s="89" t="n">
        <x:v>1</x:v>
      </x:c>
      <x:c r="O692" s="89" t="n">
        <x:v>1</x:v>
      </x:c>
      <x:c r="P692" s="89" t="n">
        <x:f>SUM(M692:O692)</x:f>
        <x:v>3</x:v>
      </x:c>
      <x:c r="Q692" s="84" t="str">
        <x:v>Exact accepted-name match</x:v>
      </x:c>
      <x:c r="R692" s="84" t="str">
        <x:v>Salvia azurea</x:v>
      </x:c>
      <x:c r="S692" s="84" t="str">
        <x:v>182064</x:v>
      </x:c>
      <x:c r="T692" s="84" t="str">
        <x:v>182064</x:v>
      </x:c>
      <x:c r="U692" s="84" t="str">
        <x:v>455727-1</x:v>
      </x:c>
      <x:c r="V692" s="84" t="str">
        <x:v>455727-1</x:v>
      </x:c>
      <x:c r="W692" s="84" t="str"/>
    </x:row>
    <x:row r="693" ht="18" customHeight="1">
      <x:c r="A693" s="83" t="str">
        <x:v>HAYS-0692</x:v>
      </x:c>
      <x:c r="B693" s="87" t="str">
        <x:v>Salvia ballotiflora</x:v>
      </x:c>
      <x:c r="C693" s="87" t="str">
        <x:v>Salvia ballotiflora</x:v>
      </x:c>
      <x:c r="D693" s="84" t="str">
        <x:v>Lamiaceae</x:v>
      </x:c>
      <x:c r="E693" s="84" t="str">
        <x:v>Salvia</x:v>
      </x:c>
      <x:c r="F693" s="84" t="str">
        <x:v>Species</x:v>
      </x:c>
      <x:c r="G693" s="84" t="str">
        <x:v>Accepted</x:v>
      </x:c>
      <x:c r="H693" s="84" t="str">
        <x:v>Shrubby Blue Sage</x:v>
      </x:c>
      <x:c r="I693" s="84" t="str">
        <x:v>Perennial</x:v>
      </x:c>
      <x:c r="J693" s="84" t="str">
        <x:v>Subshrub</x:v>
      </x:c>
      <x:c r="K693" s="84" t="str">
        <x:v>Full Sun</x:v>
      </x:c>
      <x:c r="L693" s="84" t="str">
        <x:v>Dry to Moist</x:v>
      </x:c>
      <x:c r="M693" s="89" t="n">
        <x:v>1</x:v>
      </x:c>
      <x:c r="N693" s="89" t="n">
        <x:v>1</x:v>
      </x:c>
      <x:c r="O693" s="89" t="n">
        <x:v>1</x:v>
      </x:c>
      <x:c r="P693" s="89" t="n">
        <x:f>SUM(M693:O693)</x:f>
        <x:v>3</x:v>
      </x:c>
      <x:c r="Q693" s="84" t="str">
        <x:v>Exact accepted-name match</x:v>
      </x:c>
      <x:c r="R693" s="84" t="str">
        <x:v>Salvia ballotiflora</x:v>
      </x:c>
      <x:c r="S693" s="84" t="str">
        <x:v>182081</x:v>
      </x:c>
      <x:c r="T693" s="84" t="str">
        <x:v>182081</x:v>
      </x:c>
      <x:c r="U693" s="84" t="str">
        <x:v>455736-1</x:v>
      </x:c>
      <x:c r="V693" s="84" t="str">
        <x:v>455736-1</x:v>
      </x:c>
      <x:c r="W693" s="84" t="str"/>
    </x:row>
    <x:row r="694" ht="18" customHeight="1">
      <x:c r="A694" s="83" t="str">
        <x:v>HAYS-0693</x:v>
      </x:c>
      <x:c r="B694" s="87" t="str">
        <x:v>Salvia coccinea</x:v>
      </x:c>
      <x:c r="C694" s="87" t="str">
        <x:v>Salvia coccinea</x:v>
      </x:c>
      <x:c r="D694" s="84" t="str">
        <x:v>Lamiaceae</x:v>
      </x:c>
      <x:c r="E694" s="84" t="str">
        <x:v>Salvia</x:v>
      </x:c>
      <x:c r="F694" s="84" t="str">
        <x:v>Species</x:v>
      </x:c>
      <x:c r="G694" s="84" t="str">
        <x:v>Accepted</x:v>
      </x:c>
      <x:c r="H694" s="84" t="str">
        <x:v>Scarlet Sage, Tropical Sage, Blood Sage, Red Sage, Indian Fire</x:v>
      </x:c>
      <x:c r="I694" s="84" t="str">
        <x:v>Annual , Perennial</x:v>
      </x:c>
      <x:c r="J694" s="84" t="str">
        <x:v>Herb</x:v>
      </x:c>
      <x:c r="K694" s="84" t="str">
        <x:v>Sun, Part Shade</x:v>
      </x:c>
      <x:c r="L694" s="84" t="str">
        <x:v>Medium</x:v>
      </x:c>
      <x:c r="M694" s="89" t="n">
        <x:v>1</x:v>
      </x:c>
      <x:c r="N694" s="89" t="n">
        <x:v>1</x:v>
      </x:c>
      <x:c r="O694" s="89" t="n">
        <x:v>1</x:v>
      </x:c>
      <x:c r="P694" s="89" t="n">
        <x:f>SUM(M694:O694)</x:f>
        <x:v>3</x:v>
      </x:c>
      <x:c r="Q694" s="84" t="str">
        <x:v>Exact accepted-name match</x:v>
      </x:c>
      <x:c r="R694" s="84" t="str">
        <x:v>Salvia coccinea</x:v>
      </x:c>
      <x:c r="S694" s="84" t="str">
        <x:v>182380</x:v>
      </x:c>
      <x:c r="T694" s="84" t="str">
        <x:v>182380</x:v>
      </x:c>
      <x:c r="U694" s="84" t="str">
        <x:v>455978-1</x:v>
      </x:c>
      <x:c r="V694" s="84" t="str">
        <x:v>455978-1</x:v>
      </x:c>
      <x:c r="W694" s="84" t="str"/>
    </x:row>
    <x:row r="695" ht="18" customHeight="1">
      <x:c r="A695" s="83" t="str">
        <x:v>HAYS-0694</x:v>
      </x:c>
      <x:c r="B695" s="87" t="str">
        <x:v>Salvia engelmannii</x:v>
      </x:c>
      <x:c r="C695" s="87" t="str">
        <x:v>Salvia engelmannii</x:v>
      </x:c>
      <x:c r="D695" s="84" t="str">
        <x:v>Lamiaceae</x:v>
      </x:c>
      <x:c r="E695" s="84" t="str">
        <x:v>Salvia</x:v>
      </x:c>
      <x:c r="F695" s="84" t="str">
        <x:v>Species</x:v>
      </x:c>
      <x:c r="G695" s="84" t="str">
        <x:v>Accepted</x:v>
      </x:c>
      <x:c r="H695" s="84" t="str">
        <x:v>Engelmann's Sage, Engelmann's Salvia</x:v>
      </x:c>
      <x:c r="I695" s="84" t="str">
        <x:v>Perennial</x:v>
      </x:c>
      <x:c r="J695" s="84" t="str">
        <x:v>Herb</x:v>
      </x:c>
      <x:c r="K695" s="84" t="str">
        <x:v>Sun, Part Shade</x:v>
      </x:c>
      <x:c r="L695" s="84" t="str">
        <x:v>Low</x:v>
      </x:c>
      <x:c r="M695" s="89" t="n">
        <x:v>1</x:v>
      </x:c>
      <x:c r="N695" s="89" t="n">
        <x:v>1</x:v>
      </x:c>
      <x:c r="O695" s="89" t="n">
        <x:v>1</x:v>
      </x:c>
      <x:c r="P695" s="89" t="n">
        <x:f>SUM(M695:O695)</x:f>
        <x:v>3</x:v>
      </x:c>
      <x:c r="Q695" s="84" t="str">
        <x:v>Exact accepted-name match</x:v>
      </x:c>
      <x:c r="R695" s="84" t="str">
        <x:v>Salvia engelmannii</x:v>
      </x:c>
      <x:c r="S695" s="84" t="str">
        <x:v>182593</x:v>
      </x:c>
      <x:c r="T695" s="84" t="str">
        <x:v>182593</x:v>
      </x:c>
      <x:c r="U695" s="84" t="str">
        <x:v>456172-1</x:v>
      </x:c>
      <x:c r="V695" s="84" t="str">
        <x:v>456172-1</x:v>
      </x:c>
      <x:c r="W695" s="84" t="str"/>
    </x:row>
    <x:row r="696" ht="18" customHeight="1">
      <x:c r="A696" s="83" t="str">
        <x:v>HAYS-0695</x:v>
      </x:c>
      <x:c r="B696" s="87" t="str">
        <x:v>Salvia farinacea</x:v>
      </x:c>
      <x:c r="C696" s="87" t="str">
        <x:v>Salvia farinacea</x:v>
      </x:c>
      <x:c r="D696" s="84" t="str">
        <x:v>Lamiaceae</x:v>
      </x:c>
      <x:c r="E696" s="84" t="str">
        <x:v>Salvia</x:v>
      </x:c>
      <x:c r="F696" s="84" t="str">
        <x:v>Species</x:v>
      </x:c>
      <x:c r="G696" s="84" t="str">
        <x:v>Accepted</x:v>
      </x:c>
      <x:c r="H696" s="84" t="str">
        <x:v>Mealy Blue Sage, Mealy Sage, Mealycup Sage</x:v>
      </x:c>
      <x:c r="I696" s="84" t="str">
        <x:v>Perennial</x:v>
      </x:c>
      <x:c r="J696" s="84" t="str">
        <x:v>Herb</x:v>
      </x:c>
      <x:c r="K696" s="84" t="str">
        <x:v>Sun</x:v>
      </x:c>
      <x:c r="L696" s="84" t="str">
        <x:v>Low</x:v>
      </x:c>
      <x:c r="M696" s="89" t="n">
        <x:v>1</x:v>
      </x:c>
      <x:c r="N696" s="89" t="n">
        <x:v>1</x:v>
      </x:c>
      <x:c r="O696" s="89" t="n">
        <x:v>1</x:v>
      </x:c>
      <x:c r="P696" s="89" t="n">
        <x:f>SUM(M696:O696)</x:f>
        <x:v>3</x:v>
      </x:c>
      <x:c r="Q696" s="84" t="str">
        <x:v>Exact accepted-name match</x:v>
      </x:c>
      <x:c r="R696" s="84" t="str">
        <x:v>Salvia farinacea</x:v>
      </x:c>
      <x:c r="S696" s="84" t="str">
        <x:v>182630</x:v>
      </x:c>
      <x:c r="T696" s="84" t="str">
        <x:v>182630</x:v>
      </x:c>
      <x:c r="U696" s="84" t="str">
        <x:v>456204-1</x:v>
      </x:c>
      <x:c r="V696" s="84" t="str">
        <x:v>456204-1</x:v>
      </x:c>
      <x:c r="W696" s="84" t="str"/>
    </x:row>
    <x:row r="697" ht="18" customHeight="1">
      <x:c r="A697" s="83" t="str">
        <x:v>HAYS-0696</x:v>
      </x:c>
      <x:c r="B697" s="87" t="str">
        <x:v>Salvia greggii</x:v>
      </x:c>
      <x:c r="C697" s="87" t="str">
        <x:v>Salvia greggii</x:v>
      </x:c>
      <x:c r="D697" s="84" t="str">
        <x:v>Lamiaceae</x:v>
      </x:c>
      <x:c r="E697" s="84" t="str">
        <x:v>Salvia</x:v>
      </x:c>
      <x:c r="F697" s="84" t="str">
        <x:v>Species</x:v>
      </x:c>
      <x:c r="G697" s="84" t="str">
        <x:v>Accepted</x:v>
      </x:c>
      <x:c r="H697" s="84" t="str">
        <x:v>Autumn Sage, Cherry Sage, Gregg Salvia</x:v>
      </x:c>
      <x:c r="I697" s="84" t="str">
        <x:v>Perennial</x:v>
      </x:c>
      <x:c r="J697" s="84" t="str">
        <x:v>Subshrub</x:v>
      </x:c>
      <x:c r="K697" s="84" t="str">
        <x:v>Sun</x:v>
      </x:c>
      <x:c r="L697" s="84" t="str">
        <x:v>Low</x:v>
      </x:c>
      <x:c r="M697" s="89" t="n">
        <x:v>0</x:v>
      </x:c>
      <x:c r="N697" s="89" t="n">
        <x:v>0</x:v>
      </x:c>
      <x:c r="O697" s="89" t="n">
        <x:v>1</x:v>
      </x:c>
      <x:c r="P697" s="89" t="n">
        <x:f>SUM(M697:O697)</x:f>
        <x:v>1</x:v>
      </x:c>
      <x:c r="Q697" s="84" t="str">
        <x:v>Exact accepted-name match</x:v>
      </x:c>
      <x:c r="R697" s="84" t="str">
        <x:v>Salvia greggii</x:v>
      </x:c>
      <x:c r="S697" s="84" t="str">
        <x:v>182763</x:v>
      </x:c>
      <x:c r="T697" s="84" t="str">
        <x:v>182763</x:v>
      </x:c>
      <x:c r="U697" s="84" t="str">
        <x:v>456321-1</x:v>
      </x:c>
      <x:c r="V697" s="84" t="str">
        <x:v>456321-1</x:v>
      </x:c>
      <x:c r="W697" s="84" t="str"/>
    </x:row>
    <x:row r="698" ht="18" customHeight="1">
      <x:c r="A698" s="83" t="str">
        <x:v>HAYS-0697</x:v>
      </x:c>
      <x:c r="B698" s="87" t="str">
        <x:v>Salvia lyrata</x:v>
      </x:c>
      <x:c r="C698" s="87" t="str">
        <x:v>Salvia lyrata</x:v>
      </x:c>
      <x:c r="D698" s="84" t="str">
        <x:v>Lamiaceae</x:v>
      </x:c>
      <x:c r="E698" s="84" t="str">
        <x:v>Salvia</x:v>
      </x:c>
      <x:c r="F698" s="84" t="str">
        <x:v>Species</x:v>
      </x:c>
      <x:c r="G698" s="84" t="str">
        <x:v>Accepted</x:v>
      </x:c>
      <x:c r="H698" s="84" t="str">
        <x:v>Lyreleaf Sage, Cancer Weed</x:v>
      </x:c>
      <x:c r="I698" s="84" t="str">
        <x:v>Perennial</x:v>
      </x:c>
      <x:c r="J698" s="84" t="str">
        <x:v>Herb</x:v>
      </x:c>
      <x:c r="K698" s="84" t="str">
        <x:v>Part Shade</x:v>
      </x:c>
      <x:c r="L698" s="84" t="str">
        <x:v>Medium</x:v>
      </x:c>
      <x:c r="M698" s="89" t="n">
        <x:v>1</x:v>
      </x:c>
      <x:c r="N698" s="89" t="n">
        <x:v>1</x:v>
      </x:c>
      <x:c r="O698" s="89" t="n">
        <x:v>1</x:v>
      </x:c>
      <x:c r="P698" s="89" t="n">
        <x:f>SUM(M698:O698)</x:f>
        <x:v>3</x:v>
      </x:c>
      <x:c r="Q698" s="84" t="str">
        <x:v>Exact accepted-name match</x:v>
      </x:c>
      <x:c r="R698" s="84" t="str">
        <x:v>Salvia lyrata</x:v>
      </x:c>
      <x:c r="S698" s="84" t="str">
        <x:v>183102</x:v>
      </x:c>
      <x:c r="T698" s="84" t="str">
        <x:v>183102</x:v>
      </x:c>
      <x:c r="U698" s="84" t="str">
        <x:v>284568-2</x:v>
      </x:c>
      <x:c r="V698" s="84" t="str">
        <x:v>284568-2</x:v>
      </x:c>
      <x:c r="W698" s="84" t="str"/>
    </x:row>
    <x:row r="699" ht="18" customHeight="1">
      <x:c r="A699" s="83" t="str">
        <x:v>HAYS-0698</x:v>
      </x:c>
      <x:c r="B699" s="87" t="str">
        <x:v>Salvia pentstemonoides</x:v>
      </x:c>
      <x:c r="C699" s="87" t="str">
        <x:v>Salvia pentstemonoides</x:v>
      </x:c>
      <x:c r="D699" s="84" t="str">
        <x:v>Lamiaceae</x:v>
      </x:c>
      <x:c r="E699" s="84" t="str">
        <x:v>Salvia</x:v>
      </x:c>
      <x:c r="F699" s="84" t="str">
        <x:v>Species</x:v>
      </x:c>
      <x:c r="G699" s="84" t="str">
        <x:v>Accepted</x:v>
      </x:c>
      <x:c r="H699" s="84" t="str">
        <x:v>Big Red Sage</x:v>
      </x:c>
      <x:c r="I699" s="84" t="str">
        <x:v>Perennial</x:v>
      </x:c>
      <x:c r="J699" s="84" t="str">
        <x:v>Herb</x:v>
      </x:c>
      <x:c r="K699" s="84" t="str">
        <x:v>Sun, Part Shade</x:v>
      </x:c>
      <x:c r="L699" s="84" t="str">
        <x:v>Medium</x:v>
      </x:c>
      <x:c r="M699" s="89" t="n">
        <x:v>0</x:v>
      </x:c>
      <x:c r="N699" s="89" t="n">
        <x:v>0</x:v>
      </x:c>
      <x:c r="O699" s="89" t="n">
        <x:v>1</x:v>
      </x:c>
      <x:c r="P699" s="89" t="n">
        <x:f>SUM(M699:O699)</x:f>
        <x:v>1</x:v>
      </x:c>
      <x:c r="Q699" s="84" t="str">
        <x:v>Exact accepted-name match</x:v>
      </x:c>
      <x:c r="R699" s="84" t="str">
        <x:v>Salvia pentstemonoides</x:v>
      </x:c>
      <x:c r="S699" s="84" t="str">
        <x:v>183472</x:v>
      </x:c>
      <x:c r="T699" s="84" t="str">
        <x:v>183472</x:v>
      </x:c>
      <x:c r="U699" s="84" t="str">
        <x:v>456923-1</x:v>
      </x:c>
      <x:c r="V699" s="84" t="str">
        <x:v>456923-1</x:v>
      </x:c>
      <x:c r="W699" s="84" t="str"/>
    </x:row>
    <x:row r="700" ht="18" customHeight="1">
      <x:c r="A700" s="83" t="str">
        <x:v>HAYS-0699</x:v>
      </x:c>
      <x:c r="B700" s="87" t="str">
        <x:v>Salvia roemeriana</x:v>
      </x:c>
      <x:c r="C700" s="87" t="str">
        <x:v>Salvia roemeriana</x:v>
      </x:c>
      <x:c r="D700" s="84" t="str">
        <x:v>Lamiaceae</x:v>
      </x:c>
      <x:c r="E700" s="84" t="str">
        <x:v>Salvia</x:v>
      </x:c>
      <x:c r="F700" s="84" t="str">
        <x:v>Species</x:v>
      </x:c>
      <x:c r="G700" s="84" t="str">
        <x:v>Accepted</x:v>
      </x:c>
      <x:c r="H700" s="84" t="str">
        <x:v>Cedar Sage</x:v>
      </x:c>
      <x:c r="I700" s="84" t="str">
        <x:v>Perennial</x:v>
      </x:c>
      <x:c r="J700" s="84" t="str">
        <x:v>Herb</x:v>
      </x:c>
      <x:c r="K700" s="84" t="str">
        <x:v>Shade, Part Shade</x:v>
      </x:c>
      <x:c r="L700" s="84" t="str">
        <x:v>Medium</x:v>
      </x:c>
      <x:c r="M700" s="89" t="n">
        <x:v>1</x:v>
      </x:c>
      <x:c r="N700" s="89" t="n">
        <x:v>1</x:v>
      </x:c>
      <x:c r="O700" s="89" t="n">
        <x:v>1</x:v>
      </x:c>
      <x:c r="P700" s="89" t="n">
        <x:f>SUM(M700:O700)</x:f>
        <x:v>3</x:v>
      </x:c>
      <x:c r="Q700" s="84" t="str">
        <x:v>Exact accepted-name match</x:v>
      </x:c>
      <x:c r="R700" s="84" t="str">
        <x:v>Salvia roemeriana</x:v>
      </x:c>
      <x:c r="S700" s="84" t="str">
        <x:v>183723</x:v>
      </x:c>
      <x:c r="T700" s="84" t="str">
        <x:v>183723</x:v>
      </x:c>
      <x:c r="U700" s="84" t="str">
        <x:v>321576-2</x:v>
      </x:c>
      <x:c r="V700" s="84" t="str">
        <x:v>321576-2</x:v>
      </x:c>
      <x:c r="W700" s="84" t="str"/>
    </x:row>
    <x:row r="701" ht="18" customHeight="1">
      <x:c r="A701" s="83" t="str">
        <x:v>HAYS-0700</x:v>
      </x:c>
      <x:c r="B701" s="87" t="str">
        <x:v>Salvia texana</x:v>
      </x:c>
      <x:c r="C701" s="87" t="str">
        <x:v>Salvia texana</x:v>
      </x:c>
      <x:c r="D701" s="84" t="str">
        <x:v>Lamiaceae</x:v>
      </x:c>
      <x:c r="E701" s="84" t="str">
        <x:v>Salvia</x:v>
      </x:c>
      <x:c r="F701" s="84" t="str">
        <x:v>Species</x:v>
      </x:c>
      <x:c r="G701" s="84" t="str">
        <x:v>Accepted</x:v>
      </x:c>
      <x:c r="H701" s="84" t="str">
        <x:v>Texas Sage, Blue Sage</x:v>
      </x:c>
      <x:c r="I701" s="84" t="str">
        <x:v>Perennial</x:v>
      </x:c>
      <x:c r="J701" s="84" t="str">
        <x:v>Herb</x:v>
      </x:c>
      <x:c r="K701" s="84" t="str">
        <x:v>Sun, Part Shade</x:v>
      </x:c>
      <x:c r="L701" s="84" t="str">
        <x:v>Low</x:v>
      </x:c>
      <x:c r="M701" s="89" t="n">
        <x:v>1</x:v>
      </x:c>
      <x:c r="N701" s="89" t="n">
        <x:v>1</x:v>
      </x:c>
      <x:c r="O701" s="89" t="n">
        <x:v>1</x:v>
      </x:c>
      <x:c r="P701" s="89" t="n">
        <x:f>SUM(M701:O701)</x:f>
        <x:v>3</x:v>
      </x:c>
      <x:c r="Q701" s="84" t="str">
        <x:v>Exact accepted-name match</x:v>
      </x:c>
      <x:c r="R701" s="84" t="str">
        <x:v>Salvia texana</x:v>
      </x:c>
      <x:c r="S701" s="84" t="str">
        <x:v>183999</x:v>
      </x:c>
      <x:c r="T701" s="84" t="str">
        <x:v>183999</x:v>
      </x:c>
      <x:c r="U701" s="84" t="str">
        <x:v>457383-1</x:v>
      </x:c>
      <x:c r="V701" s="84" t="str">
        <x:v>457383-1</x:v>
      </x:c>
      <x:c r="W701" s="84" t="str"/>
    </x:row>
    <x:row r="702" ht="18" customHeight="1">
      <x:c r="A702" s="83" t="str">
        <x:v>HAYS-0701</x:v>
      </x:c>
      <x:c r="B702" s="87" t="str">
        <x:v>Sambucus nigra</x:v>
      </x:c>
      <x:c r="C702" s="87" t="str">
        <x:v>Sambucus nigra</x:v>
      </x:c>
      <x:c r="D702" s="84" t="str">
        <x:v>Viburnaceae</x:v>
      </x:c>
      <x:c r="E702" s="84" t="str">
        <x:v>Sambucus</x:v>
      </x:c>
      <x:c r="F702" s="84" t="str">
        <x:v>Species</x:v>
      </x:c>
      <x:c r="G702" s="84" t="str">
        <x:v>Accepted</x:v>
      </x:c>
      <x:c r="H702" s="84" t="str">
        <x:v>Black Elderberry</x:v>
      </x:c>
      <x:c r="I702" s="84" t="str">
        <x:v>Perennial</x:v>
      </x:c>
      <x:c r="J702" s="84" t="str">
        <x:v>Shrub, Tree</x:v>
      </x:c>
      <x:c r="K702" s="84" t="str">
        <x:v>Sun, Part Shade</x:v>
      </x:c>
      <x:c r="L702" s="84" t="str">
        <x:v>Medium</x:v>
      </x:c>
      <x:c r="M702" s="89" t="n">
        <x:v>0</x:v>
      </x:c>
      <x:c r="N702" s="89" t="n">
        <x:v>0</x:v>
      </x:c>
      <x:c r="O702" s="89" t="n">
        <x:v>1</x:v>
      </x:c>
      <x:c r="P702" s="89" t="n">
        <x:f>SUM(M702:O702)</x:f>
        <x:v>1</x:v>
      </x:c>
      <x:c r="Q702" s="84" t="str">
        <x:v>Exact accepted-name match</x:v>
      </x:c>
      <x:c r="R702" s="84" t="str">
        <x:v>Sambucus nigra</x:v>
      </x:c>
      <x:c r="S702" s="84" t="str">
        <x:v>2486519</x:v>
      </x:c>
      <x:c r="T702" s="84" t="str">
        <x:v>2486519</x:v>
      </x:c>
      <x:c r="U702" s="84" t="str">
        <x:v>30122169-2</x:v>
      </x:c>
      <x:c r="V702" s="84" t="str">
        <x:v>30122169-2</x:v>
      </x:c>
      <x:c r="W702" s="84" t="str"/>
    </x:row>
    <x:row r="703" ht="18" customHeight="1">
      <x:c r="A703" s="83" t="str">
        <x:v>HAYS-0702</x:v>
      </x:c>
      <x:c r="B703" s="87" t="str">
        <x:v>Sambucus nigra ssp. canadensis</x:v>
      </x:c>
      <x:c r="C703" s="87" t="str">
        <x:v>Sambucus canadensis</x:v>
      </x:c>
      <x:c r="D703" s="84" t="str">
        <x:v>Viburnaceae</x:v>
      </x:c>
      <x:c r="E703" s="84" t="str">
        <x:v>Sambucus</x:v>
      </x:c>
      <x:c r="F703" s="84" t="str">
        <x:v>Subspecies</x:v>
      </x:c>
      <x:c r="G703" s="84" t="str">
        <x:v>Synonym</x:v>
      </x:c>
      <x:c r="H703" s="84" t="str">
        <x:v>Common Elderberry</x:v>
      </x:c>
      <x:c r="I703" s="84" t="str">
        <x:v>Perennial</x:v>
      </x:c>
      <x:c r="J703" s="84" t="str">
        <x:v>Shrub</x:v>
      </x:c>
      <x:c r="K703" s="84" t="str">
        <x:v>Sun, Part Shade</x:v>
      </x:c>
      <x:c r="L703" s="84" t="str">
        <x:v>Medium</x:v>
      </x:c>
      <x:c r="M703" s="89" t="n">
        <x:v>1</x:v>
      </x:c>
      <x:c r="N703" s="89" t="n">
        <x:v>1</x:v>
      </x:c>
      <x:c r="O703" s="89" t="n">
        <x:v>1</x:v>
      </x:c>
      <x:c r="P703" s="89" t="n">
        <x:f>SUM(M703:O703)</x:f>
        <x:v>3</x:v>
      </x:c>
      <x:c r="Q703" s="84" t="str">
        <x:v>Exact synonym-name match</x:v>
      </x:c>
      <x:c r="R703" s="84" t="str">
        <x:v>Sambucus nigra subsp. canadensis</x:v>
      </x:c>
      <x:c r="S703" s="84" t="str">
        <x:v>2486559</x:v>
      </x:c>
      <x:c r="T703" s="84" t="str">
        <x:v>2486578</x:v>
      </x:c>
      <x:c r="U703" s="84" t="str">
        <x:v>978604-1</x:v>
      </x:c>
      <x:c r="V703" s="84" t="str">
        <x:v>321978-2</x:v>
      </x:c>
      <x:c r="W703" s="84" t="str"/>
    </x:row>
    <x:row r="704" ht="18" customHeight="1">
      <x:c r="A704" s="83" t="str">
        <x:v>HAYS-0703</x:v>
      </x:c>
      <x:c r="B704" s="87" t="str">
        <x:v>Samolus ebracteatus</x:v>
      </x:c>
      <x:c r="C704" s="87" t="str">
        <x:v>Samolus ebracteatus</x:v>
      </x:c>
      <x:c r="D704" s="84" t="str">
        <x:v>Primulaceae</x:v>
      </x:c>
      <x:c r="E704" s="84" t="str">
        <x:v>Samolus</x:v>
      </x:c>
      <x:c r="F704" s="84" t="str">
        <x:v>Species</x:v>
      </x:c>
      <x:c r="G704" s="84" t="str">
        <x:v>Accepted</x:v>
      </x:c>
      <x:c r="H704" s="84" t="str">
        <x:v>Limewater Brookweed</x:v>
      </x:c>
      <x:c r="I704" s="84" t="str">
        <x:v>Perennial</x:v>
      </x:c>
      <x:c r="J704" s="84" t="str">
        <x:v>Herb</x:v>
      </x:c>
      <x:c r="K704" s="84" t="str"/>
      <x:c r="L704" s="84" t="str"/>
      <x:c r="M704" s="89" t="n">
        <x:v>1</x:v>
      </x:c>
      <x:c r="N704" s="89" t="n">
        <x:v>1</x:v>
      </x:c>
      <x:c r="O704" s="89" t="n">
        <x:v>0</x:v>
      </x:c>
      <x:c r="P704" s="89" t="n">
        <x:f>SUM(M704:O704)</x:f>
        <x:v>2</x:v>
      </x:c>
      <x:c r="Q704" s="84" t="str">
        <x:v>Exact accepted-name match</x:v>
      </x:c>
      <x:c r="R704" s="84" t="str">
        <x:v>Samolus ebracteatus</x:v>
      </x:c>
      <x:c r="S704" s="84" t="str">
        <x:v>2599205</x:v>
      </x:c>
      <x:c r="T704" s="84" t="str">
        <x:v>2599205</x:v>
      </x:c>
      <x:c r="U704" s="84" t="str">
        <x:v>30039925-2</x:v>
      </x:c>
      <x:c r="V704" s="84" t="str">
        <x:v>30039925-2</x:v>
      </x:c>
      <x:c r="W704" s="84" t="str"/>
    </x:row>
    <x:row r="705" ht="18" customHeight="1">
      <x:c r="A705" s="83" t="str">
        <x:v>HAYS-0704</x:v>
      </x:c>
      <x:c r="B705" s="87" t="str">
        <x:v>Samolus valerandi ssp. parviflorus</x:v>
      </x:c>
      <x:c r="C705" s="87" t="str">
        <x:v>Samolus parviflorus</x:v>
      </x:c>
      <x:c r="D705" s="84" t="str">
        <x:v>Primulaceae</x:v>
      </x:c>
      <x:c r="E705" s="84" t="str">
        <x:v>Samolus</x:v>
      </x:c>
      <x:c r="F705" s="84" t="str">
        <x:v>Subspecies</x:v>
      </x:c>
      <x:c r="G705" s="84" t="str">
        <x:v>Synonym</x:v>
      </x:c>
      <x:c r="H705" s="84" t="str">
        <x:v>Seaside Brookweed, Water Pimpernel, Thin-leaf Brookweed</x:v>
      </x:c>
      <x:c r="I705" s="84" t="str">
        <x:v>Perennial</x:v>
      </x:c>
      <x:c r="J705" s="84" t="str">
        <x:v>Herb</x:v>
      </x:c>
      <x:c r="K705" s="84" t="str">
        <x:v>Part-shade</x:v>
      </x:c>
      <x:c r="L705" s="84" t="str"/>
      <x:c r="M705" s="89" t="n">
        <x:v>1</x:v>
      </x:c>
      <x:c r="N705" s="89" t="n">
        <x:v>1</x:v>
      </x:c>
      <x:c r="O705" s="89" t="n">
        <x:v>0</x:v>
      </x:c>
      <x:c r="P705" s="89" t="n">
        <x:f>SUM(M705:O705)</x:f>
        <x:v>2</x:v>
      </x:c>
      <x:c r="Q705" s="84" t="str">
        <x:v>Exact synonym-name match</x:v>
      </x:c>
      <x:c r="R705" s="84" t="str">
        <x:v>Samolus valerandi subsp. parviflorus</x:v>
      </x:c>
      <x:c r="S705" s="84" t="str">
        <x:v>2890543</x:v>
      </x:c>
      <x:c r="T705" s="84" t="str">
        <x:v>2599153</x:v>
      </x:c>
      <x:c r="U705" s="84" t="str">
        <x:v>888720-1</x:v>
      </x:c>
      <x:c r="V705" s="84" t="str">
        <x:v>702845-1</x:v>
      </x:c>
      <x:c r="W705" s="84" t="str"/>
    </x:row>
    <x:row r="706" ht="18" customHeight="1">
      <x:c r="A706" s="83" t="str">
        <x:v>HAYS-0705</x:v>
      </x:c>
      <x:c r="B706" s="87" t="str">
        <x:v>Sanicula canadensis</x:v>
      </x:c>
      <x:c r="C706" s="87" t="str">
        <x:v>Sanicula canadensis</x:v>
      </x:c>
      <x:c r="D706" s="84" t="str">
        <x:v>Apiaceae</x:v>
      </x:c>
      <x:c r="E706" s="84" t="str">
        <x:v>Sanicula</x:v>
      </x:c>
      <x:c r="F706" s="84" t="str">
        <x:v>Species</x:v>
      </x:c>
      <x:c r="G706" s="84" t="str">
        <x:v>Accepted</x:v>
      </x:c>
      <x:c r="H706" s="84" t="str">
        <x:v>Canadian Blacksnakeroot, Black Snakeroot</x:v>
      </x:c>
      <x:c r="I706" s="84" t="str">
        <x:v>Biennial</x:v>
      </x:c>
      <x:c r="J706" s="84" t="str">
        <x:v>Herb</x:v>
      </x:c>
      <x:c r="K706" s="84" t="str"/>
      <x:c r="L706" s="84" t="str"/>
      <x:c r="M706" s="89" t="n">
        <x:v>1</x:v>
      </x:c>
      <x:c r="N706" s="89" t="n">
        <x:v>1</x:v>
      </x:c>
      <x:c r="O706" s="89" t="n">
        <x:v>0</x:v>
      </x:c>
      <x:c r="P706" s="89" t="n">
        <x:f>SUM(M706:O706)</x:f>
        <x:v>2</x:v>
      </x:c>
      <x:c r="Q706" s="84" t="str">
        <x:v>Exact accepted-name match</x:v>
      </x:c>
      <x:c r="R706" s="84" t="str">
        <x:v>Sanicula canadensis</x:v>
      </x:c>
      <x:c r="S706" s="84" t="str">
        <x:v>2477580</x:v>
      </x:c>
      <x:c r="T706" s="84" t="str">
        <x:v>2477580</x:v>
      </x:c>
      <x:c r="U706" s="84" t="str">
        <x:v>284601-2</x:v>
      </x:c>
      <x:c r="V706" s="84" t="str">
        <x:v>284601-2</x:v>
      </x:c>
      <x:c r="W706" s="84" t="str"/>
    </x:row>
    <x:row r="707" ht="18" customHeight="1">
      <x:c r="A707" s="83" t="str">
        <x:v>HAYS-0706</x:v>
      </x:c>
      <x:c r="B707" s="87" t="str">
        <x:v>Sapindus saponaria</x:v>
      </x:c>
      <x:c r="C707" s="87" t="str">
        <x:v>Sapindus saponaria</x:v>
      </x:c>
      <x:c r="D707" s="84" t="str">
        <x:v>Sapindaceae</x:v>
      </x:c>
      <x:c r="E707" s="84" t="str">
        <x:v>Sapindus</x:v>
      </x:c>
      <x:c r="F707" s="84" t="str">
        <x:v>Species</x:v>
      </x:c>
      <x:c r="G707" s="84" t="str">
        <x:v>Accepted</x:v>
      </x:c>
      <x:c r="H707" s="84" t="str">
        <x:v>Wingleaf Soapberry, Soapberry, Wild China Tree</x:v>
      </x:c>
      <x:c r="I707" s="84" t="str">
        <x:v>Perennial</x:v>
      </x:c>
      <x:c r="J707" s="84" t="str">
        <x:v>Tree</x:v>
      </x:c>
      <x:c r="K707" s="84" t="str"/>
      <x:c r="L707" s="84" t="str"/>
      <x:c r="M707" s="89" t="n">
        <x:v>1</x:v>
      </x:c>
      <x:c r="N707" s="89" t="n">
        <x:v>1</x:v>
      </x:c>
      <x:c r="O707" s="89" t="n">
        <x:v>0</x:v>
      </x:c>
      <x:c r="P707" s="89" t="n">
        <x:f>SUM(M707:O707)</x:f>
        <x:v>2</x:v>
      </x:c>
      <x:c r="Q707" s="84" t="str">
        <x:v>Exact accepted-name match</x:v>
      </x:c>
      <x:c r="R707" s="84" t="str">
        <x:v>Sapindus saponaria</x:v>
      </x:c>
      <x:c r="S707" s="84" t="str">
        <x:v>2582258</x:v>
      </x:c>
      <x:c r="T707" s="84" t="str">
        <x:v>2582258</x:v>
      </x:c>
      <x:c r="U707" s="84" t="str">
        <x:v>30035906-2</x:v>
      </x:c>
      <x:c r="V707" s="84" t="str">
        <x:v>30035906-2</x:v>
      </x:c>
      <x:c r="W707" s="84" t="str"/>
    </x:row>
    <x:row r="708" ht="18" customHeight="1">
      <x:c r="A708" s="83" t="str">
        <x:v>HAYS-0707</x:v>
      </x:c>
      <x:c r="B708" s="87" t="str">
        <x:v>Sapindus saponaria var. drummondii</x:v>
      </x:c>
      <x:c r="C708" s="87" t="str">
        <x:v>Sapindus drummondii</x:v>
      </x:c>
      <x:c r="D708" s="84" t="str">
        <x:v>Sapindaceae</x:v>
      </x:c>
      <x:c r="E708" s="84" t="str">
        <x:v>Sapindus</x:v>
      </x:c>
      <x:c r="F708" s="84" t="str">
        <x:v>Variety</x:v>
      </x:c>
      <x:c r="G708" s="84" t="str">
        <x:v>Synonym</x:v>
      </x:c>
      <x:c r="H708" s="84" t="str">
        <x:v>Wingleaf Soapberry, Soapberry, Wild China Tree</x:v>
      </x:c>
      <x:c r="I708" s="84" t="str">
        <x:v>Perennial</x:v>
      </x:c>
      <x:c r="J708" s="84" t="str">
        <x:v>Tree</x:v>
      </x:c>
      <x:c r="K708" s="84" t="str">
        <x:v>Sun</x:v>
      </x:c>
      <x:c r="L708" s="84" t="str">
        <x:v>Low</x:v>
      </x:c>
      <x:c r="M708" s="89" t="n">
        <x:v>0</x:v>
      </x:c>
      <x:c r="N708" s="89" t="n">
        <x:v>0</x:v>
      </x:c>
      <x:c r="O708" s="89" t="n">
        <x:v>1</x:v>
      </x:c>
      <x:c r="P708" s="89" t="n">
        <x:f>SUM(M708:O708)</x:f>
        <x:v>1</x:v>
      </x:c>
      <x:c r="Q708" s="84" t="str">
        <x:v>Exact synonym-name match</x:v>
      </x:c>
      <x:c r="R708" s="84" t="str">
        <x:v>Sapindus saponaria var. drummondii</x:v>
      </x:c>
      <x:c r="S708" s="84" t="str">
        <x:v>2891923</x:v>
      </x:c>
      <x:c r="T708" s="84" t="str">
        <x:v>2582296</x:v>
      </x:c>
      <x:c r="U708" s="84" t="str">
        <x:v>227442-2</x:v>
      </x:c>
      <x:c r="V708" s="84" t="str">
        <x:v>227434-2</x:v>
      </x:c>
      <x:c r="W708" s="84" t="str"/>
    </x:row>
    <x:row r="709" ht="18" customHeight="1">
      <x:c r="A709" s="83" t="str">
        <x:v>HAYS-0708</x:v>
      </x:c>
      <x:c r="B709" s="87" t="str">
        <x:v>Saururus cernuus</x:v>
      </x:c>
      <x:c r="C709" s="87" t="str">
        <x:v>Saururus cernuus</x:v>
      </x:c>
      <x:c r="D709" s="84" t="str">
        <x:v>Saururaceae</x:v>
      </x:c>
      <x:c r="E709" s="84" t="str">
        <x:v>Saururus</x:v>
      </x:c>
      <x:c r="F709" s="84" t="str">
        <x:v>Species</x:v>
      </x:c>
      <x:c r="G709" s="84" t="str">
        <x:v>Accepted</x:v>
      </x:c>
      <x:c r="H709" s="84" t="str">
        <x:v>Lizard's Tail, Lizard Tail, Breastweed, Water Dragon</x:v>
      </x:c>
      <x:c r="I709" s="84" t="str">
        <x:v>Perennial</x:v>
      </x:c>
      <x:c r="J709" s="84" t="str">
        <x:v>Herb</x:v>
      </x:c>
      <x:c r="K709" s="84" t="str">
        <x:v>Shade, Part Shade</x:v>
      </x:c>
      <x:c r="L709" s="84" t="str">
        <x:v>Medium</x:v>
      </x:c>
      <x:c r="M709" s="89" t="n">
        <x:v>0</x:v>
      </x:c>
      <x:c r="N709" s="89" t="n">
        <x:v>0</x:v>
      </x:c>
      <x:c r="O709" s="89" t="n">
        <x:v>1</x:v>
      </x:c>
      <x:c r="P709" s="89" t="n">
        <x:f>SUM(M709:O709)</x:f>
        <x:v>1</x:v>
      </x:c>
      <x:c r="Q709" s="84" t="str">
        <x:v>Exact accepted-name match</x:v>
      </x:c>
      <x:c r="R709" s="84" t="str">
        <x:v>Saururus cernuus</x:v>
      </x:c>
      <x:c r="S709" s="84" t="str">
        <x:v>381242</x:v>
      </x:c>
      <x:c r="T709" s="84" t="str">
        <x:v>381242</x:v>
      </x:c>
      <x:c r="U709" s="84" t="str">
        <x:v>284624-2</x:v>
      </x:c>
      <x:c r="V709" s="84" t="str">
        <x:v>284624-2</x:v>
      </x:c>
      <x:c r="W709" s="84" t="str"/>
    </x:row>
    <x:row r="710" ht="18" customHeight="1">
      <x:c r="A710" s="83" t="str">
        <x:v>HAYS-0709</x:v>
      </x:c>
      <x:c r="B710" s="87" t="str">
        <x:v>Schedonnardus paniculatus</x:v>
      </x:c>
      <x:c r="C710" s="87" t="str">
        <x:v>Muhlenbergia paniculata</x:v>
      </x:c>
      <x:c r="D710" s="84" t="str">
        <x:v>Poaceae</x:v>
      </x:c>
      <x:c r="E710" s="84" t="str">
        <x:v>Muhlenbergia</x:v>
      </x:c>
      <x:c r="F710" s="84" t="str">
        <x:v>Species</x:v>
      </x:c>
      <x:c r="G710" s="84" t="str">
        <x:v>Synonym</x:v>
      </x:c>
      <x:c r="H710" s="84" t="str">
        <x:v>Tumblegrass, Tumble Grass</x:v>
      </x:c>
      <x:c r="I710" s="84" t="str">
        <x:v>Perennial</x:v>
      </x:c>
      <x:c r="J710" s="84" t="str">
        <x:v>Grass/Grass-like</x:v>
      </x:c>
      <x:c r="K710" s="84" t="str"/>
      <x:c r="L710" s="84" t="str"/>
      <x:c r="M710" s="89" t="n">
        <x:v>1</x:v>
      </x:c>
      <x:c r="N710" s="89" t="n">
        <x:v>1</x:v>
      </x:c>
      <x:c r="O710" s="89" t="n">
        <x:v>0</x:v>
      </x:c>
      <x:c r="P710" s="89" t="n">
        <x:f>SUM(M710:O710)</x:f>
        <x:v>2</x:v>
      </x:c>
      <x:c r="Q710" s="84" t="str">
        <x:v>Exact synonym-name match</x:v>
      </x:c>
      <x:c r="R710" s="84" t="str">
        <x:v>Schedonnardus paniculatus</x:v>
      </x:c>
      <x:c r="S710" s="84" t="str">
        <x:v>441123</x:v>
      </x:c>
      <x:c r="T710" s="84" t="str">
        <x:v>463605</x:v>
      </x:c>
      <x:c r="U710" s="84" t="str">
        <x:v>77246321-1</x:v>
      </x:c>
      <x:c r="V710" s="84" t="str">
        <x:v>77107594-1</x:v>
      </x:c>
      <x:c r="W710" s="84" t="str"/>
    </x:row>
    <x:row r="711" ht="18" customHeight="1">
      <x:c r="A711" s="83" t="str">
        <x:v>HAYS-0710</x:v>
      </x:c>
      <x:c r="B711" s="87" t="str">
        <x:v>Schizachyrium scoparium</x:v>
      </x:c>
      <x:c r="C711" s="87" t="str">
        <x:v>Schizachyrium scoparium</x:v>
      </x:c>
      <x:c r="D711" s="84" t="str">
        <x:v>Poaceae</x:v>
      </x:c>
      <x:c r="E711" s="84" t="str">
        <x:v>Schizachyrium</x:v>
      </x:c>
      <x:c r="F711" s="84" t="str">
        <x:v>Species</x:v>
      </x:c>
      <x:c r="G711" s="84" t="str">
        <x:v>Accepted</x:v>
      </x:c>
      <x:c r="H711" s="84" t="str">
        <x:v>Little Bluestem, Popotillo Azul</x:v>
      </x:c>
      <x:c r="I711" s="84" t="str">
        <x:v>Perennial</x:v>
      </x:c>
      <x:c r="J711" s="84" t="str">
        <x:v>Grass</x:v>
      </x:c>
      <x:c r="K711" s="84" t="str">
        <x:v>Sun</x:v>
      </x:c>
      <x:c r="L711" s="84" t="str">
        <x:v>Low</x:v>
      </x:c>
      <x:c r="M711" s="89" t="n">
        <x:v>1</x:v>
      </x:c>
      <x:c r="N711" s="89" t="n">
        <x:v>1</x:v>
      </x:c>
      <x:c r="O711" s="89" t="n">
        <x:v>1</x:v>
      </x:c>
      <x:c r="P711" s="89" t="n">
        <x:f>SUM(M711:O711)</x:f>
        <x:v>3</x:v>
      </x:c>
      <x:c r="Q711" s="84" t="str">
        <x:v>Exact accepted-name match</x:v>
      </x:c>
      <x:c r="R711" s="84" t="str">
        <x:v>Schizachyrium scoparium</x:v>
      </x:c>
      <x:c r="S711" s="84" t="str">
        <x:v>441401</x:v>
      </x:c>
      <x:c r="T711" s="84" t="str">
        <x:v>441401</x:v>
      </x:c>
      <x:c r="U711" s="84" t="str">
        <x:v>420956-1</x:v>
      </x:c>
      <x:c r="V711" s="84" t="str">
        <x:v>420956-1</x:v>
      </x:c>
      <x:c r="W711" s="84" t="str"/>
    </x:row>
    <x:row r="712" ht="18" customHeight="1">
      <x:c r="A712" s="83" t="str">
        <x:v>HAYS-0711</x:v>
      </x:c>
      <x:c r="B712" s="87" t="str">
        <x:v>Schoenocaulon drummondii</x:v>
      </x:c>
      <x:c r="C712" s="87" t="str"/>
      <x:c r="D712" s="84" t="str"/>
      <x:c r="E712" s="84" t="str">
        <x:v>Schoenocaulon</x:v>
      </x:c>
      <x:c r="F712" s="84" t="str"/>
      <x:c r="G712" s="84" t="str"/>
      <x:c r="H712" s="84" t="str">
        <x:v>Green Feathershank, Green Lily</x:v>
      </x:c>
      <x:c r="I712" s="84" t="str">
        <x:v>Perennial</x:v>
      </x:c>
      <x:c r="J712" s="84" t="str">
        <x:v>Herb</x:v>
      </x:c>
      <x:c r="K712" s="84" t="str">
        <x:v>Sun</x:v>
      </x:c>
      <x:c r="L712" s="84" t="str">
        <x:v>Dry</x:v>
      </x:c>
      <x:c r="M712" s="89" t="n">
        <x:v>1</x:v>
      </x:c>
      <x:c r="N712" s="89" t="n">
        <x:v>1</x:v>
      </x:c>
      <x:c r="O712" s="89" t="n">
        <x:v>0</x:v>
      </x:c>
      <x:c r="P712" s="89" t="n">
        <x:f>SUM(M712:O712)</x:f>
        <x:v>2</x:v>
      </x:c>
      <x:c r="Q712" s="84" t="str">
        <x:v>Ambiguous: 2 WCVP records</x:v>
      </x:c>
      <x:c r="R712" s="84" t="str"/>
      <x:c r="S712" s="84" t="str"/>
      <x:c r="T712" s="84" t="str"/>
      <x:c r="U712" s="84" t="str"/>
      <x:c r="V712" s="84" t="str"/>
      <x:c r="W712" s="84" t="str">
        <x:v>Review</x:v>
      </x:c>
    </x:row>
    <x:row r="713" ht="18" customHeight="1">
      <x:c r="A713" s="83" t="str">
        <x:v>HAYS-0712</x:v>
      </x:c>
      <x:c r="B713" s="87" t="str">
        <x:v>Schoenocaulon texanum</x:v>
      </x:c>
      <x:c r="C713" s="87" t="str">
        <x:v>Schoenocaulon texanum</x:v>
      </x:c>
      <x:c r="D713" s="84" t="str">
        <x:v>Melanthiaceae</x:v>
      </x:c>
      <x:c r="E713" s="84" t="str">
        <x:v>Schoenocaulon</x:v>
      </x:c>
      <x:c r="F713" s="84" t="str">
        <x:v>Species</x:v>
      </x:c>
      <x:c r="G713" s="84" t="str">
        <x:v>Accepted</x:v>
      </x:c>
      <x:c r="H713" s="84" t="str">
        <x:v>Texas Feathershank, Green Lily, Texas Sabadilla</x:v>
      </x:c>
      <x:c r="I713" s="84" t="str">
        <x:v>Perennial</x:v>
      </x:c>
      <x:c r="J713" s="84" t="str">
        <x:v>Herb</x:v>
      </x:c>
      <x:c r="K713" s="84" t="str">
        <x:v>Sun, Part-shade</x:v>
      </x:c>
      <x:c r="L713" s="84" t="str">
        <x:v>Dry</x:v>
      </x:c>
      <x:c r="M713" s="89" t="n">
        <x:v>1</x:v>
      </x:c>
      <x:c r="N713" s="89" t="n">
        <x:v>1</x:v>
      </x:c>
      <x:c r="O713" s="89" t="n">
        <x:v>0</x:v>
      </x:c>
      <x:c r="P713" s="89" t="n">
        <x:f>SUM(M713:O713)</x:f>
        <x:v>2</x:v>
      </x:c>
      <x:c r="Q713" s="84" t="str">
        <x:v>Exact accepted-name match</x:v>
      </x:c>
      <x:c r="R713" s="84" t="str">
        <x:v>Schoenocaulon texanum</x:v>
      </x:c>
      <x:c r="S713" s="84" t="str">
        <x:v>287063</x:v>
      </x:c>
      <x:c r="T713" s="84" t="str">
        <x:v>287063</x:v>
      </x:c>
      <x:c r="U713" s="84" t="str">
        <x:v>540619-1</x:v>
      </x:c>
      <x:c r="V713" s="84" t="str">
        <x:v>540619-1</x:v>
      </x:c>
      <x:c r="W713" s="84" t="str"/>
    </x:row>
    <x:row r="714" ht="18" customHeight="1">
      <x:c r="A714" s="83" t="str">
        <x:v>HAYS-0713</x:v>
      </x:c>
      <x:c r="B714" s="87" t="str">
        <x:v>Schoenoplectus californicus</x:v>
      </x:c>
      <x:c r="C714" s="87" t="str">
        <x:v>Schoenoplectus californicus</x:v>
      </x:c>
      <x:c r="D714" s="84" t="str">
        <x:v>Cyperaceae</x:v>
      </x:c>
      <x:c r="E714" s="84" t="str">
        <x:v>Schoenoplectus</x:v>
      </x:c>
      <x:c r="F714" s="84" t="str">
        <x:v>Species</x:v>
      </x:c>
      <x:c r="G714" s="84" t="str">
        <x:v>Accepted</x:v>
      </x:c>
      <x:c r="H714" s="84" t="str">
        <x:v>California Bulrush, California Club-rush, Giant Bulrush</x:v>
      </x:c>
      <x:c r="I714" s="84" t="str">
        <x:v>Perennial</x:v>
      </x:c>
      <x:c r="J714" s="84" t="str">
        <x:v>Herb</x:v>
      </x:c>
      <x:c r="K714" s="84" t="str">
        <x:v>Sun</x:v>
      </x:c>
      <x:c r="L714" s="84" t="str"/>
      <x:c r="M714" s="89" t="n">
        <x:v>1</x:v>
      </x:c>
      <x:c r="N714" s="89" t="n">
        <x:v>1</x:v>
      </x:c>
      <x:c r="O714" s="89" t="n">
        <x:v>0</x:v>
      </x:c>
      <x:c r="P714" s="89" t="n">
        <x:f>SUM(M714:O714)</x:f>
        <x:v>2</x:v>
      </x:c>
      <x:c r="Q714" s="84" t="str">
        <x:v>Exact accepted-name match</x:v>
      </x:c>
      <x:c r="R714" s="84" t="str">
        <x:v>Schoenoplectus californicus</x:v>
      </x:c>
      <x:c r="S714" s="84" t="str">
        <x:v>262943</x:v>
      </x:c>
      <x:c r="T714" s="84" t="str">
        <x:v>262943</x:v>
      </x:c>
      <x:c r="U714" s="84" t="str">
        <x:v>229810-2</x:v>
      </x:c>
      <x:c r="V714" s="84" t="str">
        <x:v>229810-2</x:v>
      </x:c>
      <x:c r="W714" s="84" t="str"/>
    </x:row>
    <x:row r="715" ht="18" customHeight="1">
      <x:c r="A715" s="83" t="str">
        <x:v>HAYS-0714</x:v>
      </x:c>
      <x:c r="B715" s="87" t="str">
        <x:v>Schoenoplectus tabernaemontani</x:v>
      </x:c>
      <x:c r="C715" s="87" t="str">
        <x:v>Schoenoplectus tabernaemontani</x:v>
      </x:c>
      <x:c r="D715" s="84" t="str">
        <x:v>Cyperaceae</x:v>
      </x:c>
      <x:c r="E715" s="84" t="str">
        <x:v>Schoenoplectus</x:v>
      </x:c>
      <x:c r="F715" s="84" t="str">
        <x:v>Species</x:v>
      </x:c>
      <x:c r="G715" s="84" t="str">
        <x:v>Accepted</x:v>
      </x:c>
      <x:c r="H715" s="84" t="str">
        <x:v>Softstem Bulrush, Soft-stem Club-rush, Great Bulrush</x:v>
      </x:c>
      <x:c r="I715" s="84" t="str">
        <x:v>Perennial</x:v>
      </x:c>
      <x:c r="J715" s="84" t="str">
        <x:v>Grass/Grass-like</x:v>
      </x:c>
      <x:c r="K715" s="84" t="str">
        <x:v>Sun</x:v>
      </x:c>
      <x:c r="L715" s="84" t="str">
        <x:v>Wet</x:v>
      </x:c>
      <x:c r="M715" s="89" t="n">
        <x:v>1</x:v>
      </x:c>
      <x:c r="N715" s="89" t="n">
        <x:v>1</x:v>
      </x:c>
      <x:c r="O715" s="89" t="n">
        <x:v>0</x:v>
      </x:c>
      <x:c r="P715" s="89" t="n">
        <x:f>SUM(M715:O715)</x:f>
        <x:v>2</x:v>
      </x:c>
      <x:c r="Q715" s="84" t="str">
        <x:v>Exact accepted-name match</x:v>
      </x:c>
      <x:c r="R715" s="84" t="str">
        <x:v>Schoenoplectus tabernaemontani</x:v>
      </x:c>
      <x:c r="S715" s="84" t="str">
        <x:v>263102</x:v>
      </x:c>
      <x:c r="T715" s="84" t="str">
        <x:v>263102</x:v>
      </x:c>
      <x:c r="U715" s="84" t="str">
        <x:v>1019164-1</x:v>
      </x:c>
      <x:c r="V715" s="84" t="str">
        <x:v>1019164-1</x:v>
      </x:c>
      <x:c r="W715" s="84" t="str"/>
    </x:row>
    <x:row r="716" ht="18" customHeight="1">
      <x:c r="A716" s="83" t="str">
        <x:v>HAYS-0715</x:v>
      </x:c>
      <x:c r="B716" s="87" t="str">
        <x:v>Scutellaria drummondii</x:v>
      </x:c>
      <x:c r="C716" s="87" t="str">
        <x:v>Scutellaria drummondii</x:v>
      </x:c>
      <x:c r="D716" s="84" t="str">
        <x:v>Lamiaceae</x:v>
      </x:c>
      <x:c r="E716" s="84" t="str">
        <x:v>Scutellaria</x:v>
      </x:c>
      <x:c r="F716" s="84" t="str">
        <x:v>Species</x:v>
      </x:c>
      <x:c r="G716" s="84" t="str">
        <x:v>Accepted</x:v>
      </x:c>
      <x:c r="H716" s="84" t="str">
        <x:v>Drummond's Skullcap</x:v>
      </x:c>
      <x:c r="I716" s="84" t="str">
        <x:v>Annual</x:v>
      </x:c>
      <x:c r="J716" s="84" t="str">
        <x:v>Herb</x:v>
      </x:c>
      <x:c r="K716" s="84" t="str">
        <x:v>Sun</x:v>
      </x:c>
      <x:c r="L716" s="84" t="str">
        <x:v>Dry</x:v>
      </x:c>
      <x:c r="M716" s="89" t="n">
        <x:v>1</x:v>
      </x:c>
      <x:c r="N716" s="89" t="n">
        <x:v>1</x:v>
      </x:c>
      <x:c r="O716" s="89" t="n">
        <x:v>0</x:v>
      </x:c>
      <x:c r="P716" s="89" t="n">
        <x:f>SUM(M716:O716)</x:f>
        <x:v>2</x:v>
      </x:c>
      <x:c r="Q716" s="84" t="str">
        <x:v>Exact accepted-name match</x:v>
      </x:c>
      <x:c r="R716" s="84" t="str">
        <x:v>Scutellaria drummondii</x:v>
      </x:c>
      <x:c r="S716" s="84" t="str">
        <x:v>189065</x:v>
      </x:c>
      <x:c r="T716" s="84" t="str">
        <x:v>189065</x:v>
      </x:c>
      <x:c r="U716" s="84" t="str">
        <x:v>458250-1</x:v>
      </x:c>
      <x:c r="V716" s="84" t="str">
        <x:v>458250-1</x:v>
      </x:c>
      <x:c r="W716" s="84" t="str"/>
    </x:row>
    <x:row r="717" ht="18" customHeight="1">
      <x:c r="A717" s="83" t="str">
        <x:v>HAYS-0716</x:v>
      </x:c>
      <x:c r="B717" s="87" t="str">
        <x:v>Scutellaria ovata</x:v>
      </x:c>
      <x:c r="C717" s="87" t="str">
        <x:v>Scutellaria ovata</x:v>
      </x:c>
      <x:c r="D717" s="84" t="str">
        <x:v>Lamiaceae</x:v>
      </x:c>
      <x:c r="E717" s="84" t="str">
        <x:v>Scutellaria</x:v>
      </x:c>
      <x:c r="F717" s="84" t="str">
        <x:v>Species</x:v>
      </x:c>
      <x:c r="G717" s="84" t="str">
        <x:v>Accepted</x:v>
      </x:c>
      <x:c r="H717" s="84" t="str">
        <x:v>Heartleaf Skullcap, Heart-leaf Skullcap</x:v>
      </x:c>
      <x:c r="I717" s="84" t="str">
        <x:v>Perennial</x:v>
      </x:c>
      <x:c r="J717" s="84" t="str">
        <x:v>Herb</x:v>
      </x:c>
      <x:c r="K717" s="84" t="str">
        <x:v>Shade, Part Shade</x:v>
      </x:c>
      <x:c r="L717" s="84" t="str">
        <x:v>Medium</x:v>
      </x:c>
      <x:c r="M717" s="89" t="n">
        <x:v>0</x:v>
      </x:c>
      <x:c r="N717" s="89" t="n">
        <x:v>0</x:v>
      </x:c>
      <x:c r="O717" s="89" t="n">
        <x:v>1</x:v>
      </x:c>
      <x:c r="P717" s="89" t="n">
        <x:f>SUM(M717:O717)</x:f>
        <x:v>1</x:v>
      </x:c>
      <x:c r="Q717" s="84" t="str">
        <x:v>Exact accepted-name match</x:v>
      </x:c>
      <x:c r="R717" s="84" t="str">
        <x:v>Scutellaria ovata</x:v>
      </x:c>
      <x:c r="S717" s="84" t="str">
        <x:v>189480</x:v>
      </x:c>
      <x:c r="T717" s="84" t="str">
        <x:v>189480</x:v>
      </x:c>
      <x:c r="U717" s="84" t="str">
        <x:v>30012472-2</x:v>
      </x:c>
      <x:c r="V717" s="84" t="str">
        <x:v>30012472-2</x:v>
      </x:c>
      <x:c r="W717" s="84" t="str"/>
    </x:row>
    <x:row r="718" ht="18" customHeight="1">
      <x:c r="A718" s="83" t="str">
        <x:v>HAYS-0717</x:v>
      </x:c>
      <x:c r="B718" s="87" t="str">
        <x:v>Scutellaria wrightii</x:v>
      </x:c>
      <x:c r="C718" s="87" t="str">
        <x:v>Scutellaria wrightii</x:v>
      </x:c>
      <x:c r="D718" s="84" t="str">
        <x:v>Lamiaceae</x:v>
      </x:c>
      <x:c r="E718" s="84" t="str">
        <x:v>Scutellaria</x:v>
      </x:c>
      <x:c r="F718" s="84" t="str">
        <x:v>Species</x:v>
      </x:c>
      <x:c r="G718" s="84" t="str">
        <x:v>Accepted</x:v>
      </x:c>
      <x:c r="H718" s="84" t="str">
        <x:v>Wright's Skullcap, Bushy Skullcap, Shrubby Skullcap</x:v>
      </x:c>
      <x:c r="I718" s="84" t="str">
        <x:v>Perennial</x:v>
      </x:c>
      <x:c r="J718" s="84" t="str">
        <x:v>Herb</x:v>
      </x:c>
      <x:c r="K718" s="84" t="str">
        <x:v>Sun</x:v>
      </x:c>
      <x:c r="L718" s="84" t="str">
        <x:v>Low</x:v>
      </x:c>
      <x:c r="M718" s="89" t="n">
        <x:v>1</x:v>
      </x:c>
      <x:c r="N718" s="89" t="n">
        <x:v>1</x:v>
      </x:c>
      <x:c r="O718" s="89" t="n">
        <x:v>1</x:v>
      </x:c>
      <x:c r="P718" s="89" t="n">
        <x:f>SUM(M718:O718)</x:f>
        <x:v>3</x:v>
      </x:c>
      <x:c r="Q718" s="84" t="str">
        <x:v>Exact accepted-name match</x:v>
      </x:c>
      <x:c r="R718" s="84" t="str">
        <x:v>Scutellaria wrightii</x:v>
      </x:c>
      <x:c r="S718" s="84" t="str">
        <x:v>189860</x:v>
      </x:c>
      <x:c r="T718" s="84" t="str">
        <x:v>189860</x:v>
      </x:c>
      <x:c r="U718" s="84" t="str">
        <x:v>303249-2</x:v>
      </x:c>
      <x:c r="V718" s="84" t="str">
        <x:v>303249-2</x:v>
      </x:c>
      <x:c r="W718" s="84" t="str"/>
    </x:row>
    <x:row r="719" ht="18" customHeight="1">
      <x:c r="A719" s="83" t="str">
        <x:v>HAYS-0718</x:v>
      </x:c>
      <x:c r="B719" s="87" t="str">
        <x:v>Sedum nuttallianum</x:v>
      </x:c>
      <x:c r="C719" s="87" t="str">
        <x:v>Sedum nuttallii</x:v>
      </x:c>
      <x:c r="D719" s="84" t="str">
        <x:v>Crassulaceae</x:v>
      </x:c>
      <x:c r="E719" s="84" t="str">
        <x:v>Sedum</x:v>
      </x:c>
      <x:c r="F719" s="84" t="str">
        <x:v>Species</x:v>
      </x:c>
      <x:c r="G719" s="84" t="str">
        <x:v>Synonym</x:v>
      </x:c>
      <x:c r="H719" s="84" t="str">
        <x:v>Yellow Stonecrop</x:v>
      </x:c>
      <x:c r="I719" s="84" t="str">
        <x:v>Annual</x:v>
      </x:c>
      <x:c r="J719" s="84" t="str">
        <x:v>Herb</x:v>
      </x:c>
      <x:c r="K719" s="84" t="str">
        <x:v>Sun</x:v>
      </x:c>
      <x:c r="L719" s="84" t="str">
        <x:v>Dry</x:v>
      </x:c>
      <x:c r="M719" s="89" t="n">
        <x:v>1</x:v>
      </x:c>
      <x:c r="N719" s="89" t="n">
        <x:v>1</x:v>
      </x:c>
      <x:c r="O719" s="89" t="n">
        <x:v>0</x:v>
      </x:c>
      <x:c r="P719" s="89" t="n">
        <x:f>SUM(M719:O719)</x:f>
        <x:v>2</x:v>
      </x:c>
      <x:c r="Q719" s="84" t="str">
        <x:v>Exact synonym-name match</x:v>
      </x:c>
      <x:c r="R719" s="84" t="str">
        <x:v>Sedum nuttallianum</x:v>
      </x:c>
      <x:c r="S719" s="84" t="str">
        <x:v>2483561</x:v>
      </x:c>
      <x:c r="T719" s="84" t="str">
        <x:v>2605467</x:v>
      </x:c>
      <x:c r="U719" s="84" t="str">
        <x:v>275765-1</x:v>
      </x:c>
      <x:c r="V719" s="84" t="str">
        <x:v>77084425-1</x:v>
      </x:c>
      <x:c r="W719" s="84" t="str"/>
    </x:row>
    <x:row r="720" ht="18" customHeight="1">
      <x:c r="A720" s="83" t="str">
        <x:v>HAYS-0719</x:v>
      </x:c>
      <x:c r="B720" s="87" t="str">
        <x:v>Selaginella apoda</x:v>
      </x:c>
      <x:c r="C720" s="87" t="str">
        <x:v>Selaginella apoda</x:v>
      </x:c>
      <x:c r="D720" s="84" t="str">
        <x:v>Selaginellaceae</x:v>
      </x:c>
      <x:c r="E720" s="84" t="str">
        <x:v>Selaginella</x:v>
      </x:c>
      <x:c r="F720" s="84" t="str">
        <x:v>Species</x:v>
      </x:c>
      <x:c r="G720" s="84" t="str">
        <x:v>Accepted</x:v>
      </x:c>
      <x:c r="H720" s="84" t="str">
        <x:v>Meadow Spikemoss</x:v>
      </x:c>
      <x:c r="I720" s="84" t="str">
        <x:v>Perennial</x:v>
      </x:c>
      <x:c r="J720" s="84" t="str">
        <x:v>Herb</x:v>
      </x:c>
      <x:c r="K720" s="84" t="str"/>
      <x:c r="L720" s="84" t="str"/>
      <x:c r="M720" s="89" t="n">
        <x:v>1</x:v>
      </x:c>
      <x:c r="N720" s="89" t="n">
        <x:v>1</x:v>
      </x:c>
      <x:c r="O720" s="89" t="n">
        <x:v>0</x:v>
      </x:c>
      <x:c r="P720" s="89" t="n">
        <x:f>SUM(M720:O720)</x:f>
        <x:v>2</x:v>
      </x:c>
      <x:c r="Q720" s="84" t="str">
        <x:v>Exact accepted-name match</x:v>
      </x:c>
      <x:c r="R720" s="84" t="str">
        <x:v>Selaginella apoda</x:v>
      </x:c>
      <x:c r="S720" s="84" t="str">
        <x:v>3138446</x:v>
      </x:c>
      <x:c r="T720" s="84" t="str">
        <x:v>3138446</x:v>
      </x:c>
      <x:c r="U720" s="84" t="str">
        <x:v>60456217-2</x:v>
      </x:c>
      <x:c r="V720" s="84" t="str">
        <x:v>60456217-2</x:v>
      </x:c>
      <x:c r="W720" s="84" t="str"/>
    </x:row>
    <x:row r="721" ht="18" customHeight="1">
      <x:c r="A721" s="83" t="str">
        <x:v>HAYS-0720</x:v>
      </x:c>
      <x:c r="B721" s="87" t="str">
        <x:v>Selaginella arenicola</x:v>
      </x:c>
      <x:c r="C721" s="87" t="str">
        <x:v>Selaginella arenicola</x:v>
      </x:c>
      <x:c r="D721" s="84" t="str">
        <x:v>Selaginellaceae</x:v>
      </x:c>
      <x:c r="E721" s="84" t="str">
        <x:v>Selaginella</x:v>
      </x:c>
      <x:c r="F721" s="84" t="str">
        <x:v>Species</x:v>
      </x:c>
      <x:c r="G721" s="84" t="str">
        <x:v>Accepted</x:v>
      </x:c>
      <x:c r="H721" s="84" t="str">
        <x:v>Sand Spikemoss, Sand Spike-moss</x:v>
      </x:c>
      <x:c r="I721" s="84" t="str">
        <x:v>Perennial</x:v>
      </x:c>
      <x:c r="J721" s="84" t="str">
        <x:v>Herb</x:v>
      </x:c>
      <x:c r="K721" s="84" t="str"/>
      <x:c r="L721" s="84" t="str"/>
      <x:c r="M721" s="89" t="n">
        <x:v>1</x:v>
      </x:c>
      <x:c r="N721" s="89" t="n">
        <x:v>1</x:v>
      </x:c>
      <x:c r="O721" s="89" t="n">
        <x:v>0</x:v>
      </x:c>
      <x:c r="P721" s="89" t="n">
        <x:f>SUM(M721:O721)</x:f>
        <x:v>2</x:v>
      </x:c>
      <x:c r="Q721" s="84" t="str">
        <x:v>Exact accepted-name match</x:v>
      </x:c>
      <x:c r="R721" s="84" t="str">
        <x:v>Selaginella arenicola</x:v>
      </x:c>
      <x:c r="S721" s="84" t="str">
        <x:v>3138452</x:v>
      </x:c>
      <x:c r="T721" s="84" t="str">
        <x:v>3138452</x:v>
      </x:c>
      <x:c r="U721" s="84" t="str">
        <x:v>293495-2</x:v>
      </x:c>
      <x:c r="V721" s="84" t="str">
        <x:v>293495-2</x:v>
      </x:c>
      <x:c r="W721" s="84" t="str"/>
    </x:row>
    <x:row r="722" ht="18" customHeight="1">
      <x:c r="A722" s="83" t="str">
        <x:v>HAYS-0721</x:v>
      </x:c>
      <x:c r="B722" s="87" t="str">
        <x:v>Senecio ampullaceus</x:v>
      </x:c>
      <x:c r="C722" s="87" t="str">
        <x:v>Senecio ampullaceus</x:v>
      </x:c>
      <x:c r="D722" s="84" t="str">
        <x:v>Asteraceae</x:v>
      </x:c>
      <x:c r="E722" s="84" t="str">
        <x:v>Senecio</x:v>
      </x:c>
      <x:c r="F722" s="84" t="str">
        <x:v>Species</x:v>
      </x:c>
      <x:c r="G722" s="84" t="str">
        <x:v>Accepted</x:v>
      </x:c>
      <x:c r="H722" s="84" t="str">
        <x:v>Texas Ragwort, Texas Groundsel, Texas Butterweed</x:v>
      </x:c>
      <x:c r="I722" s="84" t="str">
        <x:v>Annual</x:v>
      </x:c>
      <x:c r="J722" s="84" t="str">
        <x:v>Herb</x:v>
      </x:c>
      <x:c r="K722" s="84" t="str"/>
      <x:c r="L722" s="84" t="str"/>
      <x:c r="M722" s="89" t="n">
        <x:v>1</x:v>
      </x:c>
      <x:c r="N722" s="89" t="n">
        <x:v>1</x:v>
      </x:c>
      <x:c r="O722" s="89" t="n">
        <x:v>0</x:v>
      </x:c>
      <x:c r="P722" s="89" t="n">
        <x:f>SUM(M722:O722)</x:f>
        <x:v>2</x:v>
      </x:c>
      <x:c r="Q722" s="84" t="str">
        <x:v>Exact accepted-name match</x:v>
      </x:c>
      <x:c r="R722" s="84" t="str">
        <x:v>Senecio ampullaceus</x:v>
      </x:c>
      <x:c r="S722" s="84" t="str">
        <x:v>3080173</x:v>
      </x:c>
      <x:c r="T722" s="84" t="str">
        <x:v>3080173</x:v>
      </x:c>
      <x:c r="U722" s="84" t="str">
        <x:v>243764-1</x:v>
      </x:c>
      <x:c r="V722" s="84" t="str">
        <x:v>243764-1</x:v>
      </x:c>
      <x:c r="W722" s="84" t="str"/>
    </x:row>
    <x:row r="723" ht="18" customHeight="1">
      <x:c r="A723" s="83" t="str">
        <x:v>HAYS-0722</x:v>
      </x:c>
      <x:c r="B723" s="87" t="str">
        <x:v>Senegalia greggii</x:v>
      </x:c>
      <x:c r="C723" s="87" t="str">
        <x:v>Senegalia greggii</x:v>
      </x:c>
      <x:c r="D723" s="84" t="str">
        <x:v>Fabaceae</x:v>
      </x:c>
      <x:c r="E723" s="84" t="str">
        <x:v>Senegalia</x:v>
      </x:c>
      <x:c r="F723" s="84" t="str">
        <x:v>Species</x:v>
      </x:c>
      <x:c r="G723" s="84" t="str">
        <x:v>Accepted</x:v>
      </x:c>
      <x:c r="H723" s="84" t="str">
        <x:v>Gregg Acacia, Gregg's Acacia, Gregg Catclaw Acacia, Gregg's Catclaw Acacia, Gregg Catclaw, Gregg's Catclaw, Texas Catclaw Acacia, Texas Catclaw, Long-flowered Catclaw Acacia, Longflower Catclaw Acacia, Long-flowered Catclaw, Longflower Catclaw, Catclaw Acacia, Catclaw, Devil's Claw, Uña De Gato</x:v>
      </x:c>
      <x:c r="I723" s="84" t="str">
        <x:v>Perennial</x:v>
      </x:c>
      <x:c r="J723" s="84" t="str">
        <x:v>Shrub, Tree</x:v>
      </x:c>
      <x:c r="K723" s="84" t="str">
        <x:v>Sun</x:v>
      </x:c>
      <x:c r="L723" s="84" t="str">
        <x:v>Low</x:v>
      </x:c>
      <x:c r="M723" s="89" t="n">
        <x:v>0</x:v>
      </x:c>
      <x:c r="N723" s="89" t="n">
        <x:v>0</x:v>
      </x:c>
      <x:c r="O723" s="89" t="n">
        <x:v>1</x:v>
      </x:c>
      <x:c r="P723" s="89" t="n">
        <x:f>SUM(M723:O723)</x:f>
        <x:v>1</x:v>
      </x:c>
      <x:c r="Q723" s="84" t="str">
        <x:v>Exact accepted-name match</x:v>
      </x:c>
      <x:c r="R723" s="84" t="str">
        <x:v>Senegalia greggii</x:v>
      </x:c>
      <x:c r="S723" s="84" t="str">
        <x:v>2590657</x:v>
      </x:c>
      <x:c r="T723" s="84" t="str">
        <x:v>2590657</x:v>
      </x:c>
      <x:c r="U723" s="84" t="str">
        <x:v>234318-2</x:v>
      </x:c>
      <x:c r="V723" s="84" t="str">
        <x:v>234318-2</x:v>
      </x:c>
      <x:c r="W723" s="84" t="str"/>
    </x:row>
    <x:row r="724" ht="18" customHeight="1">
      <x:c r="A724" s="83" t="str">
        <x:v>HAYS-0723</x:v>
      </x:c>
      <x:c r="B724" s="87" t="str">
        <x:v>Senegalia roemeriana</x:v>
      </x:c>
      <x:c r="C724" s="87" t="str">
        <x:v>Senegalia roemeriana</x:v>
      </x:c>
      <x:c r="D724" s="84" t="str">
        <x:v>Fabaceae</x:v>
      </x:c>
      <x:c r="E724" s="84" t="str">
        <x:v>Senegalia</x:v>
      </x:c>
      <x:c r="F724" s="84" t="str">
        <x:v>Species</x:v>
      </x:c>
      <x:c r="G724" s="84" t="str">
        <x:v>Accepted</x:v>
      </x:c>
      <x:c r="H724" s="84" t="str">
        <x:v>Roemer Acacia, Roemer's Acacia, Roundflower Catclaw, Round-flowered Catclaw, Catclaw Acacia, Catclaw</x:v>
      </x:c>
      <x:c r="I724" s="84" t="str">
        <x:v>Perennial</x:v>
      </x:c>
      <x:c r="J724" s="84" t="str">
        <x:v>Shrub, Tree</x:v>
      </x:c>
      <x:c r="K724" s="84" t="str">
        <x:v>Sun</x:v>
      </x:c>
      <x:c r="L724" s="84" t="str">
        <x:v>Dry</x:v>
      </x:c>
      <x:c r="M724" s="89" t="n">
        <x:v>1</x:v>
      </x:c>
      <x:c r="N724" s="89" t="n">
        <x:v>1</x:v>
      </x:c>
      <x:c r="O724" s="89" t="n">
        <x:v>0</x:v>
      </x:c>
      <x:c r="P724" s="89" t="n">
        <x:f>SUM(M724:O724)</x:f>
        <x:v>2</x:v>
      </x:c>
      <x:c r="Q724" s="84" t="str">
        <x:v>Exact accepted-name match</x:v>
      </x:c>
      <x:c r="R724" s="84" t="str">
        <x:v>Senegalia roemeriana</x:v>
      </x:c>
      <x:c r="S724" s="84" t="str">
        <x:v>2590811</x:v>
      </x:c>
      <x:c r="T724" s="84" t="str">
        <x:v>2590811</x:v>
      </x:c>
      <x:c r="U724" s="84" t="str">
        <x:v>234358-2</x:v>
      </x:c>
      <x:c r="V724" s="84" t="str">
        <x:v>234358-2</x:v>
      </x:c>
      <x:c r="W724" s="84" t="str"/>
    </x:row>
    <x:row r="725" ht="18" customHeight="1">
      <x:c r="A725" s="83" t="str">
        <x:v>HAYS-0724</x:v>
      </x:c>
      <x:c r="B725" s="87" t="str">
        <x:v>Senegalia wrightii</x:v>
      </x:c>
      <x:c r="C725" s="87" t="str">
        <x:v>Senegalia wrightii</x:v>
      </x:c>
      <x:c r="D725" s="84" t="str">
        <x:v>Fabaceae</x:v>
      </x:c>
      <x:c r="E725" s="84" t="str">
        <x:v>Senegalia</x:v>
      </x:c>
      <x:c r="F725" s="84" t="str">
        <x:v>Species</x:v>
      </x:c>
      <x:c r="G725" s="84" t="str">
        <x:v>Accepted</x:v>
      </x:c>
      <x:c r="H725" s="84" t="str">
        <x:v>Wright Acacia, Wright's Acacia, Catclaw Acacia, Catclaw</x:v>
      </x:c>
      <x:c r="I725" s="84" t="str">
        <x:v>Perennial</x:v>
      </x:c>
      <x:c r="J725" s="84" t="str">
        <x:v>Shrub, Tree</x:v>
      </x:c>
      <x:c r="K725" s="84" t="str">
        <x:v>Sun</x:v>
      </x:c>
      <x:c r="L725" s="84" t="str">
        <x:v>Low</x:v>
      </x:c>
      <x:c r="M725" s="89" t="n">
        <x:v>0</x:v>
      </x:c>
      <x:c r="N725" s="89" t="n">
        <x:v>0</x:v>
      </x:c>
      <x:c r="O725" s="89" t="n">
        <x:v>1</x:v>
      </x:c>
      <x:c r="P725" s="89" t="n">
        <x:f>SUM(M725:O725)</x:f>
        <x:v>1</x:v>
      </x:c>
      <x:c r="Q725" s="84" t="str">
        <x:v>Exact accepted-name match</x:v>
      </x:c>
      <x:c r="R725" s="84" t="str">
        <x:v>Senegalia wrightii</x:v>
      </x:c>
      <x:c r="S725" s="84" t="str">
        <x:v>2590808</x:v>
      </x:c>
      <x:c r="T725" s="84" t="str">
        <x:v>2590808</x:v>
      </x:c>
      <x:c r="U725" s="84" t="str">
        <x:v>234376-2</x:v>
      </x:c>
      <x:c r="V725" s="84" t="str">
        <x:v>234376-2</x:v>
      </x:c>
      <x:c r="W725" s="84" t="str"/>
    </x:row>
    <x:row r="726" ht="18" customHeight="1">
      <x:c r="A726" s="83" t="str">
        <x:v>HAYS-0725</x:v>
      </x:c>
      <x:c r="B726" s="87" t="str">
        <x:v>Senna lindheimeriana</x:v>
      </x:c>
      <x:c r="C726" s="87" t="str">
        <x:v>Senna lindheimeriana</x:v>
      </x:c>
      <x:c r="D726" s="84" t="str">
        <x:v>Fabaceae</x:v>
      </x:c>
      <x:c r="E726" s="84" t="str">
        <x:v>Senna</x:v>
      </x:c>
      <x:c r="F726" s="84" t="str">
        <x:v>Species</x:v>
      </x:c>
      <x:c r="G726" s="84" t="str">
        <x:v>Accepted</x:v>
      </x:c>
      <x:c r="H726" s="84" t="str">
        <x:v>Lindheimer's Senna, Velvet Leaf Senna, Velvetleaf Senna, Velvet-leaf Wild Sensitive-plant, Puppy-dog Ears</x:v>
      </x:c>
      <x:c r="I726" s="84" t="str">
        <x:v>Perennial</x:v>
      </x:c>
      <x:c r="J726" s="84" t="str">
        <x:v>Shrub</x:v>
      </x:c>
      <x:c r="K726" s="84" t="str">
        <x:v>Sun, Part Shade</x:v>
      </x:c>
      <x:c r="L726" s="84" t="str">
        <x:v>Low</x:v>
      </x:c>
      <x:c r="M726" s="89" t="n">
        <x:v>1</x:v>
      </x:c>
      <x:c r="N726" s="89" t="n">
        <x:v>1</x:v>
      </x:c>
      <x:c r="O726" s="89" t="n">
        <x:v>1</x:v>
      </x:c>
      <x:c r="P726" s="89" t="n">
        <x:f>SUM(M726:O726)</x:f>
        <x:v>3</x:v>
      </x:c>
      <x:c r="Q726" s="84" t="str">
        <x:v>Exact accepted-name match</x:v>
      </x:c>
      <x:c r="R726" s="84" t="str">
        <x:v>Senna lindheimeriana</x:v>
      </x:c>
      <x:c r="S726" s="84" t="str">
        <x:v>2490492</x:v>
      </x:c>
      <x:c r="T726" s="84" t="str">
        <x:v>2490492</x:v>
      </x:c>
      <x:c r="U726" s="84" t="str">
        <x:v>518343-1</x:v>
      </x:c>
      <x:c r="V726" s="84" t="str">
        <x:v>518343-1</x:v>
      </x:c>
      <x:c r="W726" s="84" t="str"/>
    </x:row>
    <x:row r="727" ht="18" customHeight="1">
      <x:c r="A727" s="83" t="str">
        <x:v>HAYS-0726</x:v>
      </x:c>
      <x:c r="B727" s="87" t="str">
        <x:v>Senna roemeriana</x:v>
      </x:c>
      <x:c r="C727" s="87" t="str">
        <x:v>Senna roemeriana</x:v>
      </x:c>
      <x:c r="D727" s="84" t="str">
        <x:v>Fabaceae</x:v>
      </x:c>
      <x:c r="E727" s="84" t="str">
        <x:v>Senna</x:v>
      </x:c>
      <x:c r="F727" s="84" t="str">
        <x:v>Species</x:v>
      </x:c>
      <x:c r="G727" s="84" t="str">
        <x:v>Accepted</x:v>
      </x:c>
      <x:c r="H727" s="84" t="str">
        <x:v>Twoleaf Senna, Two Leaved Senna</x:v>
      </x:c>
      <x:c r="I727" s="84" t="str">
        <x:v>Perennial</x:v>
      </x:c>
      <x:c r="J727" s="84" t="str">
        <x:v>Herb</x:v>
      </x:c>
      <x:c r="K727" s="84" t="str">
        <x:v>Sun</x:v>
      </x:c>
      <x:c r="L727" s="84" t="str">
        <x:v>Low</x:v>
      </x:c>
      <x:c r="M727" s="89" t="n">
        <x:v>1</x:v>
      </x:c>
      <x:c r="N727" s="89" t="n">
        <x:v>1</x:v>
      </x:c>
      <x:c r="O727" s="89" t="n">
        <x:v>1</x:v>
      </x:c>
      <x:c r="P727" s="89" t="n">
        <x:f>SUM(M727:O727)</x:f>
        <x:v>3</x:v>
      </x:c>
      <x:c r="Q727" s="84" t="str">
        <x:v>Exact accepted-name match</x:v>
      </x:c>
      <x:c r="R727" s="84" t="str">
        <x:v>Senna roemeriana</x:v>
      </x:c>
      <x:c r="S727" s="84" t="str">
        <x:v>2475874</x:v>
      </x:c>
      <x:c r="T727" s="84" t="str">
        <x:v>2475874</x:v>
      </x:c>
      <x:c r="U727" s="84" t="str">
        <x:v>234641-2</x:v>
      </x:c>
      <x:c r="V727" s="84" t="str">
        <x:v>234641-2</x:v>
      </x:c>
      <x:c r="W727" s="84" t="str"/>
    </x:row>
    <x:row r="728" ht="18" customHeight="1">
      <x:c r="A728" s="83" t="str">
        <x:v>HAYS-0727</x:v>
      </x:c>
      <x:c r="B728" s="87" t="str">
        <x:v>Sesbania drummondii</x:v>
      </x:c>
      <x:c r="C728" s="87" t="str">
        <x:v>Sesbania drummondii</x:v>
      </x:c>
      <x:c r="D728" s="84" t="str">
        <x:v>Fabaceae</x:v>
      </x:c>
      <x:c r="E728" s="84" t="str">
        <x:v>Sesbania</x:v>
      </x:c>
      <x:c r="F728" s="84" t="str">
        <x:v>Species</x:v>
      </x:c>
      <x:c r="G728" s="84" t="str">
        <x:v>Accepted</x:v>
      </x:c>
      <x:c r="H728" s="84" t="str">
        <x:v>Rattlebush, Rattlebox, Poisonbean</x:v>
      </x:c>
      <x:c r="I728" s="84" t="str">
        <x:v>Perennial</x:v>
      </x:c>
      <x:c r="J728" s="84" t="str">
        <x:v>Shrub</x:v>
      </x:c>
      <x:c r="K728" s="84" t="str"/>
      <x:c r="L728" s="84" t="str"/>
      <x:c r="M728" s="89" t="n">
        <x:v>1</x:v>
      </x:c>
      <x:c r="N728" s="89" t="n">
        <x:v>1</x:v>
      </x:c>
      <x:c r="O728" s="89" t="n">
        <x:v>0</x:v>
      </x:c>
      <x:c r="P728" s="89" t="n">
        <x:f>SUM(M728:O728)</x:f>
        <x:v>2</x:v>
      </x:c>
      <x:c r="Q728" s="84" t="str">
        <x:v>Exact accepted-name match</x:v>
      </x:c>
      <x:c r="R728" s="84" t="str">
        <x:v>Sesbania drummondii</x:v>
      </x:c>
      <x:c r="S728" s="84" t="str">
        <x:v>2590905</x:v>
      </x:c>
      <x:c r="T728" s="84" t="str">
        <x:v>2590905</x:v>
      </x:c>
      <x:c r="U728" s="84" t="str">
        <x:v>235082-2</x:v>
      </x:c>
      <x:c r="V728" s="84" t="str">
        <x:v>235082-2</x:v>
      </x:c>
      <x:c r="W728" s="84" t="str"/>
    </x:row>
    <x:row r="729" ht="18" customHeight="1">
      <x:c r="A729" s="83" t="str">
        <x:v>HAYS-0728</x:v>
      </x:c>
      <x:c r="B729" s="87" t="str">
        <x:v>Sesbania herbacea</x:v>
      </x:c>
      <x:c r="C729" s="87" t="str">
        <x:v>Sesbania herbacea</x:v>
      </x:c>
      <x:c r="D729" s="84" t="str">
        <x:v>Fabaceae</x:v>
      </x:c>
      <x:c r="E729" s="84" t="str">
        <x:v>Sesbania</x:v>
      </x:c>
      <x:c r="F729" s="84" t="str">
        <x:v>Species</x:v>
      </x:c>
      <x:c r="G729" s="84" t="str">
        <x:v>Accepted</x:v>
      </x:c>
      <x:c r="H729" s="84" t="str">
        <x:v>Coffeeweed, Bigpod Sesbania</x:v>
      </x:c>
      <x:c r="I729" s="84" t="str">
        <x:v>Annual</x:v>
      </x:c>
      <x:c r="J729" s="84" t="str">
        <x:v>Subshrub</x:v>
      </x:c>
      <x:c r="K729" s="84" t="str"/>
      <x:c r="L729" s="84" t="str"/>
      <x:c r="M729" s="89" t="n">
        <x:v>1</x:v>
      </x:c>
      <x:c r="N729" s="89" t="n">
        <x:v>1</x:v>
      </x:c>
      <x:c r="O729" s="89" t="n">
        <x:v>0</x:v>
      </x:c>
      <x:c r="P729" s="89" t="n">
        <x:f>SUM(M729:O729)</x:f>
        <x:v>2</x:v>
      </x:c>
      <x:c r="Q729" s="84" t="str">
        <x:v>Exact accepted-name match</x:v>
      </x:c>
      <x:c r="R729" s="84" t="str">
        <x:v>Sesbania herbacea</x:v>
      </x:c>
      <x:c r="S729" s="84" t="str">
        <x:v>2590895</x:v>
      </x:c>
      <x:c r="T729" s="84" t="str">
        <x:v>2590895</x:v>
      </x:c>
      <x:c r="U729" s="84" t="str">
        <x:v>284993-2</x:v>
      </x:c>
      <x:c r="V729" s="84" t="str">
        <x:v>284993-2</x:v>
      </x:c>
      <x:c r="W729" s="84" t="str"/>
    </x:row>
    <x:row r="730" ht="18" customHeight="1">
      <x:c r="A730" s="83" t="str">
        <x:v>HAYS-0729</x:v>
      </x:c>
      <x:c r="B730" s="87" t="str">
        <x:v>Setaria parviflora</x:v>
      </x:c>
      <x:c r="C730" s="87" t="str">
        <x:v>Setaria parviflora</x:v>
      </x:c>
      <x:c r="D730" s="84" t="str">
        <x:v>Poaceae</x:v>
      </x:c>
      <x:c r="E730" s="84" t="str">
        <x:v>Setaria</x:v>
      </x:c>
      <x:c r="F730" s="84" t="str">
        <x:v>Species</x:v>
      </x:c>
      <x:c r="G730" s="84" t="str">
        <x:v>Accepted</x:v>
      </x:c>
      <x:c r="H730" s="84" t="str">
        <x:v>Marsh Bristlegrass, Knotroot Bristlegrass</x:v>
      </x:c>
      <x:c r="I730" s="84" t="str">
        <x:v>Perennial</x:v>
      </x:c>
      <x:c r="J730" s="84" t="str">
        <x:v>Grass/Grass-like</x:v>
      </x:c>
      <x:c r="K730" s="84" t="str">
        <x:v>Part-shade</x:v>
      </x:c>
      <x:c r="L730" s="84" t="str">
        <x:v>Moist</x:v>
      </x:c>
      <x:c r="M730" s="89" t="n">
        <x:v>1</x:v>
      </x:c>
      <x:c r="N730" s="89" t="n">
        <x:v>1</x:v>
      </x:c>
      <x:c r="O730" s="89" t="n">
        <x:v>0</x:v>
      </x:c>
      <x:c r="P730" s="89" t="n">
        <x:f>SUM(M730:O730)</x:f>
        <x:v>2</x:v>
      </x:c>
      <x:c r="Q730" s="84" t="str">
        <x:v>Exact accepted-name match</x:v>
      </x:c>
      <x:c r="R730" s="84" t="str">
        <x:v>Setaria parviflora</x:v>
      </x:c>
      <x:c r="S730" s="84" t="str">
        <x:v>442600</x:v>
      </x:c>
      <x:c r="T730" s="84" t="str">
        <x:v>442600</x:v>
      </x:c>
      <x:c r="U730" s="84" t="str">
        <x:v>943811-1</x:v>
      </x:c>
      <x:c r="V730" s="84" t="str">
        <x:v>943811-1</x:v>
      </x:c>
      <x:c r="W730" s="84" t="str"/>
    </x:row>
    <x:row r="731" ht="18" customHeight="1">
      <x:c r="A731" s="83" t="str">
        <x:v>HAYS-0730</x:v>
      </x:c>
      <x:c r="B731" s="87" t="str">
        <x:v>Setaria reverchonii</x:v>
      </x:c>
      <x:c r="C731" s="87" t="str">
        <x:v>Setaria reverchonii</x:v>
      </x:c>
      <x:c r="D731" s="84" t="str">
        <x:v>Poaceae</x:v>
      </x:c>
      <x:c r="E731" s="84" t="str">
        <x:v>Setaria</x:v>
      </x:c>
      <x:c r="F731" s="84" t="str">
        <x:v>Species</x:v>
      </x:c>
      <x:c r="G731" s="84" t="str">
        <x:v>Accepted</x:v>
      </x:c>
      <x:c r="H731" s="84" t="str">
        <x:v>Reverchon's Bristlegrass</x:v>
      </x:c>
      <x:c r="I731" s="84" t="str">
        <x:v>Perennial</x:v>
      </x:c>
      <x:c r="J731" s="84" t="str">
        <x:v>Grass/Grass-like</x:v>
      </x:c>
      <x:c r="K731" s="84" t="str"/>
      <x:c r="L731" s="84" t="str"/>
      <x:c r="M731" s="89" t="n">
        <x:v>1</x:v>
      </x:c>
      <x:c r="N731" s="89" t="n">
        <x:v>1</x:v>
      </x:c>
      <x:c r="O731" s="89" t="n">
        <x:v>0</x:v>
      </x:c>
      <x:c r="P731" s="89" t="n">
        <x:f>SUM(M731:O731)</x:f>
        <x:v>2</x:v>
      </x:c>
      <x:c r="Q731" s="84" t="str">
        <x:v>Exact accepted-name match</x:v>
      </x:c>
      <x:c r="R731" s="84" t="str">
        <x:v>Setaria reverchonii</x:v>
      </x:c>
      <x:c r="S731" s="84" t="str">
        <x:v>442666</x:v>
      </x:c>
      <x:c r="T731" s="84" t="str">
        <x:v>442666</x:v>
      </x:c>
      <x:c r="U731" s="84" t="str">
        <x:v>235260-2</x:v>
      </x:c>
      <x:c r="V731" s="84" t="str">
        <x:v>235260-2</x:v>
      </x:c>
      <x:c r="W731" s="84" t="str"/>
    </x:row>
    <x:row r="732" ht="18" customHeight="1">
      <x:c r="A732" s="83" t="str">
        <x:v>HAYS-0731</x:v>
      </x:c>
      <x:c r="B732" s="87" t="str">
        <x:v>Setaria scheelei</x:v>
      </x:c>
      <x:c r="C732" s="87" t="str">
        <x:v>Setaria scheelei</x:v>
      </x:c>
      <x:c r="D732" s="84" t="str">
        <x:v>Poaceae</x:v>
      </x:c>
      <x:c r="E732" s="84" t="str">
        <x:v>Setaria</x:v>
      </x:c>
      <x:c r="F732" s="84" t="str">
        <x:v>Species</x:v>
      </x:c>
      <x:c r="G732" s="84" t="str">
        <x:v>Accepted</x:v>
      </x:c>
      <x:c r="H732" s="84" t="str">
        <x:v>Southwestern Bristlegrass, Scheele's Bristlegrass, Scheele's Foxtail Grass, Foxtail Grass</x:v>
      </x:c>
      <x:c r="I732" s="84" t="str">
        <x:v>Perennial</x:v>
      </x:c>
      <x:c r="J732" s="84" t="str">
        <x:v>Grass</x:v>
      </x:c>
      <x:c r="K732" s="84" t="str">
        <x:v>Sun</x:v>
      </x:c>
      <x:c r="L732" s="84" t="str">
        <x:v>Low</x:v>
      </x:c>
      <x:c r="M732" s="89" t="n">
        <x:v>1</x:v>
      </x:c>
      <x:c r="N732" s="89" t="n">
        <x:v>1</x:v>
      </x:c>
      <x:c r="O732" s="89" t="n">
        <x:v>1</x:v>
      </x:c>
      <x:c r="P732" s="89" t="n">
        <x:f>SUM(M732:O732)</x:f>
        <x:v>3</x:v>
      </x:c>
      <x:c r="Q732" s="84" t="str">
        <x:v>Exact accepted-name match</x:v>
      </x:c>
      <x:c r="R732" s="84" t="str">
        <x:v>Setaria scheelei</x:v>
      </x:c>
      <x:c r="S732" s="84" t="str">
        <x:v>442691</x:v>
      </x:c>
      <x:c r="T732" s="84" t="str">
        <x:v>442691</x:v>
      </x:c>
      <x:c r="U732" s="84" t="str">
        <x:v>235267-2</x:v>
      </x:c>
      <x:c r="V732" s="84" t="str">
        <x:v>235267-2</x:v>
      </x:c>
      <x:c r="W732" s="84" t="str"/>
    </x:row>
    <x:row r="733" ht="18" customHeight="1">
      <x:c r="A733" s="83" t="str">
        <x:v>HAYS-0732</x:v>
      </x:c>
      <x:c r="B733" s="87" t="str">
        <x:v>Seymeria texana</x:v>
      </x:c>
      <x:c r="C733" s="87" t="str">
        <x:v>Seymeria bipinnatisecta</x:v>
      </x:c>
      <x:c r="D733" s="84" t="str">
        <x:v>Orobanchaceae</x:v>
      </x:c>
      <x:c r="E733" s="84" t="str">
        <x:v>Seymeria</x:v>
      </x:c>
      <x:c r="F733" s="84" t="str">
        <x:v>Species</x:v>
      </x:c>
      <x:c r="G733" s="84" t="str">
        <x:v>Synonym</x:v>
      </x:c>
      <x:c r="H733" s="84" t="str">
        <x:v>Texas Blacksenna</x:v>
      </x:c>
      <x:c r="I733" s="84" t="str">
        <x:v>Annual</x:v>
      </x:c>
      <x:c r="J733" s="84" t="str">
        <x:v>Herb</x:v>
      </x:c>
      <x:c r="K733" s="84" t="str"/>
      <x:c r="L733" s="84" t="str"/>
      <x:c r="M733" s="89" t="n">
        <x:v>1</x:v>
      </x:c>
      <x:c r="N733" s="89" t="n">
        <x:v>1</x:v>
      </x:c>
      <x:c r="O733" s="89" t="n">
        <x:v>0</x:v>
      </x:c>
      <x:c r="P733" s="89" t="n">
        <x:f>SUM(M733:O733)</x:f>
        <x:v>2</x:v>
      </x:c>
      <x:c r="Q733" s="84" t="str">
        <x:v>Exact synonym-name match</x:v>
      </x:c>
      <x:c r="R733" s="84" t="str">
        <x:v>Seymeria texana</x:v>
      </x:c>
      <x:c r="S733" s="84" t="str">
        <x:v>2585773</x:v>
      </x:c>
      <x:c r="T733" s="84" t="str">
        <x:v>2586083</x:v>
      </x:c>
      <x:c r="U733" s="84" t="str">
        <x:v>235375-2</x:v>
      </x:c>
      <x:c r="V733" s="84" t="str">
        <x:v>235347-2</x:v>
      </x:c>
      <x:c r="W733" s="84" t="str"/>
    </x:row>
    <x:row r="734" ht="18" customHeight="1">
      <x:c r="A734" s="83" t="str">
        <x:v>HAYS-0733</x:v>
      </x:c>
      <x:c r="B734" s="87" t="str">
        <x:v>Sibara virginica</x:v>
      </x:c>
      <x:c r="C734" s="87" t="str">
        <x:v>Planodes virginicum</x:v>
      </x:c>
      <x:c r="D734" s="84" t="str">
        <x:v>Brassicaceae</x:v>
      </x:c>
      <x:c r="E734" s="84" t="str">
        <x:v>Planodes</x:v>
      </x:c>
      <x:c r="F734" s="84" t="str">
        <x:v>Species</x:v>
      </x:c>
      <x:c r="G734" s="84" t="str">
        <x:v>Synonym</x:v>
      </x:c>
      <x:c r="H734" s="84" t="str">
        <x:v>Virginia Winged Rockcress</x:v>
      </x:c>
      <x:c r="I734" s="84" t="str">
        <x:v>Annual</x:v>
      </x:c>
      <x:c r="J734" s="84" t="str">
        <x:v>Herb</x:v>
      </x:c>
      <x:c r="K734" s="84" t="str"/>
      <x:c r="L734" s="84" t="str"/>
      <x:c r="M734" s="89" t="n">
        <x:v>1</x:v>
      </x:c>
      <x:c r="N734" s="89" t="n">
        <x:v>1</x:v>
      </x:c>
      <x:c r="O734" s="89" t="n">
        <x:v>0</x:v>
      </x:c>
      <x:c r="P734" s="89" t="n">
        <x:f>SUM(M734:O734)</x:f>
        <x:v>2</x:v>
      </x:c>
      <x:c r="Q734" s="84" t="str">
        <x:v>Exact synonym-name match</x:v>
      </x:c>
      <x:c r="R734" s="84" t="str">
        <x:v>Sibara virginica</x:v>
      </x:c>
      <x:c r="S734" s="84" t="str">
        <x:v>2476382</x:v>
      </x:c>
      <x:c r="T734" s="84" t="str">
        <x:v>2412342</x:v>
      </x:c>
      <x:c r="U734" s="84" t="str">
        <x:v>298859-2</x:v>
      </x:c>
      <x:c r="V734" s="84" t="str">
        <x:v>1182133-2</x:v>
      </x:c>
      <x:c r="W734" s="84" t="str"/>
    </x:row>
    <x:row r="735" ht="18" customHeight="1">
      <x:c r="A735" s="83" t="str">
        <x:v>HAYS-0734</x:v>
      </x:c>
      <x:c r="B735" s="87" t="str">
        <x:v>Sida spinosa</x:v>
      </x:c>
      <x:c r="C735" s="87" t="str">
        <x:v>Sida spinosa</x:v>
      </x:c>
      <x:c r="D735" s="84" t="str">
        <x:v>Malvaceae</x:v>
      </x:c>
      <x:c r="E735" s="84" t="str">
        <x:v>Sida</x:v>
      </x:c>
      <x:c r="F735" s="84" t="str">
        <x:v>Species</x:v>
      </x:c>
      <x:c r="G735" s="84" t="str">
        <x:v>Accepted</x:v>
      </x:c>
      <x:c r="H735" s="84" t="str">
        <x:v>Prickly Fanpetals</x:v>
      </x:c>
      <x:c r="I735" s="84" t="str">
        <x:v>Annual</x:v>
      </x:c>
      <x:c r="J735" s="84" t="str">
        <x:v>Subshrub</x:v>
      </x:c>
      <x:c r="K735" s="84" t="str"/>
      <x:c r="L735" s="84" t="str"/>
      <x:c r="M735" s="89" t="n">
        <x:v>1</x:v>
      </x:c>
      <x:c r="N735" s="89" t="n">
        <x:v>1</x:v>
      </x:c>
      <x:c r="O735" s="89" t="n">
        <x:v>0</x:v>
      </x:c>
      <x:c r="P735" s="89" t="n">
        <x:f>SUM(M735:O735)</x:f>
        <x:v>2</x:v>
      </x:c>
      <x:c r="Q735" s="84" t="str">
        <x:v>Exact accepted-name match</x:v>
      </x:c>
      <x:c r="R735" s="84" t="str">
        <x:v>Sida spinosa</x:v>
      </x:c>
      <x:c r="S735" s="84" t="str">
        <x:v>2601633</x:v>
      </x:c>
      <x:c r="T735" s="84" t="str">
        <x:v>2601633</x:v>
      </x:c>
      <x:c r="U735" s="84" t="str">
        <x:v>235838-2</x:v>
      </x:c>
      <x:c r="V735" s="84" t="str">
        <x:v>235838-2</x:v>
      </x:c>
      <x:c r="W735" s="84" t="str"/>
    </x:row>
    <x:row r="736" ht="18" customHeight="1">
      <x:c r="A736" s="83" t="str">
        <x:v>HAYS-0735</x:v>
      </x:c>
      <x:c r="B736" s="87" t="str">
        <x:v>Sideroxylon lanuginosum</x:v>
      </x:c>
      <x:c r="C736" s="87" t="str">
        <x:v>Sideroxylon lanuginosum</x:v>
      </x:c>
      <x:c r="D736" s="84" t="str">
        <x:v>Sapotaceae</x:v>
      </x:c>
      <x:c r="E736" s="84" t="str">
        <x:v>Sideroxylon</x:v>
      </x:c>
      <x:c r="F736" s="84" t="str">
        <x:v>Species</x:v>
      </x:c>
      <x:c r="G736" s="84" t="str">
        <x:v>Accepted</x:v>
      </x:c>
      <x:c r="H736" s="84" t="str">
        <x:v>Gum Bumelia, Gum Bully, Woollybucket Bumelia, Woolly Bumelia, Gum Woollybucket, Woolly Buckthorn, Chittamwood, Shittamwood, Gum Elastic, Coma, Black Haw</x:v>
      </x:c>
      <x:c r="I736" s="84" t="str">
        <x:v>Perennial</x:v>
      </x:c>
      <x:c r="J736" s="84" t="str">
        <x:v>Tree</x:v>
      </x:c>
      <x:c r="K736" s="84" t="str">
        <x:v>Sun</x:v>
      </x:c>
      <x:c r="L736" s="84" t="str">
        <x:v>Low</x:v>
      </x:c>
      <x:c r="M736" s="89" t="n">
        <x:v>1</x:v>
      </x:c>
      <x:c r="N736" s="89" t="n">
        <x:v>1</x:v>
      </x:c>
      <x:c r="O736" s="89" t="n">
        <x:v>1</x:v>
      </x:c>
      <x:c r="P736" s="89" t="n">
        <x:f>SUM(M736:O736)</x:f>
        <x:v>3</x:v>
      </x:c>
      <x:c r="Q736" s="84" t="str">
        <x:v>Exact accepted-name match</x:v>
      </x:c>
      <x:c r="R736" s="84" t="str">
        <x:v>Sideroxylon lanuginosum</x:v>
      </x:c>
      <x:c r="S736" s="84" t="str">
        <x:v>191965</x:v>
      </x:c>
      <x:c r="T736" s="84" t="str">
        <x:v>191965</x:v>
      </x:c>
      <x:c r="U736" s="84" t="str">
        <x:v>236052-2</x:v>
      </x:c>
      <x:c r="V736" s="84" t="str">
        <x:v>236052-2</x:v>
      </x:c>
      <x:c r="W736" s="84" t="str"/>
    </x:row>
    <x:row r="737" ht="18" customHeight="1">
      <x:c r="A737" s="83" t="str">
        <x:v>HAYS-0736</x:v>
      </x:c>
      <x:c r="B737" s="87" t="str">
        <x:v>Silene antirrhina</x:v>
      </x:c>
      <x:c r="C737" s="87" t="str">
        <x:v>Silene antirrhina</x:v>
      </x:c>
      <x:c r="D737" s="84" t="str">
        <x:v>Caryophyllaceae</x:v>
      </x:c>
      <x:c r="E737" s="84" t="str">
        <x:v>Silene</x:v>
      </x:c>
      <x:c r="F737" s="84" t="str">
        <x:v>Species</x:v>
      </x:c>
      <x:c r="G737" s="84" t="str">
        <x:v>Accepted</x:v>
      </x:c>
      <x:c r="H737" s="84" t="str">
        <x:v>Sleepy Silene, Sleepy Catchfly, Sticky Catchfly</x:v>
      </x:c>
      <x:c r="I737" s="84" t="str">
        <x:v>Annual</x:v>
      </x:c>
      <x:c r="J737" s="84" t="str">
        <x:v>Herb</x:v>
      </x:c>
      <x:c r="K737" s="84" t="str"/>
      <x:c r="L737" s="84" t="str"/>
      <x:c r="M737" s="89" t="n">
        <x:v>1</x:v>
      </x:c>
      <x:c r="N737" s="89" t="n">
        <x:v>1</x:v>
      </x:c>
      <x:c r="O737" s="89" t="n">
        <x:v>0</x:v>
      </x:c>
      <x:c r="P737" s="89" t="n">
        <x:f>SUM(M737:O737)</x:f>
        <x:v>2</x:v>
      </x:c>
      <x:c r="Q737" s="84" t="str">
        <x:v>Exact accepted-name match</x:v>
      </x:c>
      <x:c r="R737" s="84" t="str">
        <x:v>Silene antirrhina</x:v>
      </x:c>
      <x:c r="S737" s="84" t="str">
        <x:v>2485667</x:v>
      </x:c>
      <x:c r="T737" s="84" t="str">
        <x:v>2485667</x:v>
      </x:c>
      <x:c r="U737" s="84" t="str">
        <x:v>156818-1</x:v>
      </x:c>
      <x:c r="V737" s="84" t="str">
        <x:v>156818-1</x:v>
      </x:c>
      <x:c r="W737" s="84" t="str"/>
    </x:row>
    <x:row r="738" ht="18" customHeight="1">
      <x:c r="A738" s="83" t="str">
        <x:v>HAYS-0737</x:v>
      </x:c>
      <x:c r="B738" s="87" t="str">
        <x:v>Silphium albiflorum</x:v>
      </x:c>
      <x:c r="C738" s="87" t="str">
        <x:v>Silphium albiflorum</x:v>
      </x:c>
      <x:c r="D738" s="84" t="str">
        <x:v>Asteraceae</x:v>
      </x:c>
      <x:c r="E738" s="84" t="str">
        <x:v>Silphium</x:v>
      </x:c>
      <x:c r="F738" s="84" t="str">
        <x:v>Species</x:v>
      </x:c>
      <x:c r="G738" s="84" t="str">
        <x:v>Accepted</x:v>
      </x:c>
      <x:c r="H738" s="84" t="str">
        <x:v>White Rosinweed, White-flowered Rosinweed, Compass Plant</x:v>
      </x:c>
      <x:c r="I738" s="84" t="str">
        <x:v>Perennial</x:v>
      </x:c>
      <x:c r="J738" s="84" t="str">
        <x:v>Herb</x:v>
      </x:c>
      <x:c r="K738" s="84" t="str">
        <x:v>Sun</x:v>
      </x:c>
      <x:c r="L738" s="84" t="str">
        <x:v>Low</x:v>
      </x:c>
      <x:c r="M738" s="89" t="n">
        <x:v>0</x:v>
      </x:c>
      <x:c r="N738" s="89" t="n">
        <x:v>0</x:v>
      </x:c>
      <x:c r="O738" s="89" t="n">
        <x:v>1</x:v>
      </x:c>
      <x:c r="P738" s="89" t="n">
        <x:f>SUM(M738:O738)</x:f>
        <x:v>1</x:v>
      </x:c>
      <x:c r="Q738" s="84" t="str">
        <x:v>Exact accepted-name match</x:v>
      </x:c>
      <x:c r="R738" s="84" t="str">
        <x:v>Silphium albiflorum</x:v>
      </x:c>
      <x:c r="S738" s="84" t="str">
        <x:v>3121854</x:v>
      </x:c>
      <x:c r="T738" s="84" t="str">
        <x:v>3121854</x:v>
      </x:c>
      <x:c r="U738" s="84" t="str">
        <x:v>249110-1</x:v>
      </x:c>
      <x:c r="V738" s="84" t="str">
        <x:v>249110-1</x:v>
      </x:c>
      <x:c r="W738" s="84" t="str"/>
    </x:row>
    <x:row r="739" ht="18" customHeight="1">
      <x:c r="A739" s="83" t="str">
        <x:v>HAYS-0738</x:v>
      </x:c>
      <x:c r="B739" s="87" t="str">
        <x:v>Silphium integrifolium</x:v>
      </x:c>
      <x:c r="C739" s="87" t="str">
        <x:v>Silphium integrifolium</x:v>
      </x:c>
      <x:c r="D739" s="84" t="str">
        <x:v>Asteraceae</x:v>
      </x:c>
      <x:c r="E739" s="84" t="str">
        <x:v>Silphium</x:v>
      </x:c>
      <x:c r="F739" s="84" t="str">
        <x:v>Species</x:v>
      </x:c>
      <x:c r="G739" s="84" t="str">
        <x:v>Accepted</x:v>
      </x:c>
      <x:c r="H739" s="84" t="str">
        <x:v>Wholeleaf Rosinweed, Entire-leaf Rosinweed</x:v>
      </x:c>
      <x:c r="I739" s="84" t="str">
        <x:v>Perennial</x:v>
      </x:c>
      <x:c r="J739" s="84" t="str">
        <x:v>Herb</x:v>
      </x:c>
      <x:c r="K739" s="84" t="str">
        <x:v>Sun</x:v>
      </x:c>
      <x:c r="L739" s="84" t="str"/>
      <x:c r="M739" s="89" t="n">
        <x:v>1</x:v>
      </x:c>
      <x:c r="N739" s="89" t="n">
        <x:v>1</x:v>
      </x:c>
      <x:c r="O739" s="89" t="n">
        <x:v>0</x:v>
      </x:c>
      <x:c r="P739" s="89" t="n">
        <x:f>SUM(M739:O739)</x:f>
        <x:v>2</x:v>
      </x:c>
      <x:c r="Q739" s="84" t="str">
        <x:v>Exact accepted-name match</x:v>
      </x:c>
      <x:c r="R739" s="84" t="str">
        <x:v>Silphium integrifolium</x:v>
      </x:c>
      <x:c r="S739" s="84" t="str">
        <x:v>3122489</x:v>
      </x:c>
      <x:c r="T739" s="84" t="str">
        <x:v>3122489</x:v>
      </x:c>
      <x:c r="U739" s="84" t="str">
        <x:v>30072268-2</x:v>
      </x:c>
      <x:c r="V739" s="84" t="str">
        <x:v>30072268-2</x:v>
      </x:c>
      <x:c r="W739" s="84" t="str"/>
    </x:row>
    <x:row r="740" ht="18" customHeight="1">
      <x:c r="A740" s="83" t="str">
        <x:v>HAYS-0739</x:v>
      </x:c>
      <x:c r="B740" s="87" t="str">
        <x:v>Silphium laciniatum</x:v>
      </x:c>
      <x:c r="C740" s="87" t="str">
        <x:v>Silphium laciniatum</x:v>
      </x:c>
      <x:c r="D740" s="84" t="str">
        <x:v>Asteraceae</x:v>
      </x:c>
      <x:c r="E740" s="84" t="str">
        <x:v>Silphium</x:v>
      </x:c>
      <x:c r="F740" s="84" t="str">
        <x:v>Species</x:v>
      </x:c>
      <x:c r="G740" s="84" t="str">
        <x:v>Accepted</x:v>
      </x:c>
      <x:c r="H740" s="84" t="str">
        <x:v>Compassplant, Compass Plant</x:v>
      </x:c>
      <x:c r="I740" s="84" t="str">
        <x:v>Perennial</x:v>
      </x:c>
      <x:c r="J740" s="84" t="str">
        <x:v>Herb</x:v>
      </x:c>
      <x:c r="K740" s="84" t="str">
        <x:v>Sun</x:v>
      </x:c>
      <x:c r="L740" s="84" t="str">
        <x:v>Dry</x:v>
      </x:c>
      <x:c r="M740" s="89" t="n">
        <x:v>1</x:v>
      </x:c>
      <x:c r="N740" s="89" t="n">
        <x:v>1</x:v>
      </x:c>
      <x:c r="O740" s="89" t="n">
        <x:v>0</x:v>
      </x:c>
      <x:c r="P740" s="89" t="n">
        <x:f>SUM(M740:O740)</x:f>
        <x:v>2</x:v>
      </x:c>
      <x:c r="Q740" s="84" t="str">
        <x:v>Exact accepted-name match</x:v>
      </x:c>
      <x:c r="R740" s="84" t="str">
        <x:v>Silphium laciniatum</x:v>
      </x:c>
      <x:c r="S740" s="84" t="str">
        <x:v>3122501</x:v>
      </x:c>
      <x:c r="T740" s="84" t="str">
        <x:v>3122501</x:v>
      </x:c>
      <x:c r="U740" s="84" t="str">
        <x:v>315757-2</x:v>
      </x:c>
      <x:c r="V740" s="84" t="str">
        <x:v>315757-2</x:v>
      </x:c>
      <x:c r="W740" s="84" t="str"/>
    </x:row>
    <x:row r="741" ht="18" customHeight="1">
      <x:c r="A741" s="83" t="str">
        <x:v>HAYS-0740</x:v>
      </x:c>
      <x:c r="B741" s="87" t="str">
        <x:v>Silphium radula</x:v>
      </x:c>
      <x:c r="C741" s="87" t="str">
        <x:v>Silphium radula</x:v>
      </x:c>
      <x:c r="D741" s="84" t="str">
        <x:v>Asteraceae</x:v>
      </x:c>
      <x:c r="E741" s="84" t="str">
        <x:v>Silphium</x:v>
      </x:c>
      <x:c r="F741" s="84" t="str">
        <x:v>Species</x:v>
      </x:c>
      <x:c r="G741" s="84" t="str">
        <x:v>Accepted</x:v>
      </x:c>
      <x:c r="H741" s="84" t="str">
        <x:v>Roughstem Rosinweed</x:v>
      </x:c>
      <x:c r="I741" s="84" t="str">
        <x:v>Perennial</x:v>
      </x:c>
      <x:c r="J741" s="84" t="str">
        <x:v>Herb</x:v>
      </x:c>
      <x:c r="K741" s="84" t="str">
        <x:v>Sun</x:v>
      </x:c>
      <x:c r="L741" s="84" t="str"/>
      <x:c r="M741" s="89" t="n">
        <x:v>1</x:v>
      </x:c>
      <x:c r="N741" s="89" t="n">
        <x:v>1</x:v>
      </x:c>
      <x:c r="O741" s="89" t="n">
        <x:v>0</x:v>
      </x:c>
      <x:c r="P741" s="89" t="n">
        <x:f>SUM(M741:O741)</x:f>
        <x:v>2</x:v>
      </x:c>
      <x:c r="Q741" s="84" t="str">
        <x:v>Exact accepted-name match</x:v>
      </x:c>
      <x:c r="R741" s="84" t="str">
        <x:v>Silphium radula</x:v>
      </x:c>
      <x:c r="S741" s="84" t="str">
        <x:v>3120804</x:v>
      </x:c>
      <x:c r="T741" s="84" t="str">
        <x:v>3120804</x:v>
      </x:c>
      <x:c r="U741" s="84" t="str">
        <x:v>249173-1</x:v>
      </x:c>
      <x:c r="V741" s="84" t="str">
        <x:v>249173-1</x:v>
      </x:c>
      <x:c r="W741" s="84" t="str"/>
    </x:row>
    <x:row r="742" ht="18" customHeight="1">
      <x:c r="A742" s="83" t="str">
        <x:v>HAYS-0741</x:v>
      </x:c>
      <x:c r="B742" s="87" t="str">
        <x:v>Simsia calva</x:v>
      </x:c>
      <x:c r="C742" s="87" t="str">
        <x:v>Simsia calva</x:v>
      </x:c>
      <x:c r="D742" s="84" t="str">
        <x:v>Asteraceae</x:v>
      </x:c>
      <x:c r="E742" s="84" t="str">
        <x:v>Simsia</x:v>
      </x:c>
      <x:c r="F742" s="84" t="str">
        <x:v>Species</x:v>
      </x:c>
      <x:c r="G742" s="84" t="str">
        <x:v>Accepted</x:v>
      </x:c>
      <x:c r="H742" s="84" t="str">
        <x:v>Awnless Bushsunflower</x:v>
      </x:c>
      <x:c r="I742" s="84" t="str">
        <x:v>Perennial</x:v>
      </x:c>
      <x:c r="J742" s="84" t="str">
        <x:v>Herb</x:v>
      </x:c>
      <x:c r="K742" s="84" t="str">
        <x:v>Sun</x:v>
      </x:c>
      <x:c r="L742" s="84" t="str">
        <x:v>Dry</x:v>
      </x:c>
      <x:c r="M742" s="89" t="n">
        <x:v>1</x:v>
      </x:c>
      <x:c r="N742" s="89" t="n">
        <x:v>1</x:v>
      </x:c>
      <x:c r="O742" s="89" t="n">
        <x:v>1</x:v>
      </x:c>
      <x:c r="P742" s="89" t="n">
        <x:f>SUM(M742:O742)</x:f>
        <x:v>3</x:v>
      </x:c>
      <x:c r="Q742" s="84" t="str">
        <x:v>Exact accepted-name match</x:v>
      </x:c>
      <x:c r="R742" s="84" t="str">
        <x:v>Simsia calva</x:v>
      </x:c>
      <x:c r="S742" s="84" t="str">
        <x:v>3122595</x:v>
      </x:c>
      <x:c r="T742" s="84" t="str">
        <x:v>3122595</x:v>
      </x:c>
      <x:c r="U742" s="84" t="str">
        <x:v>249220-1</x:v>
      </x:c>
      <x:c r="V742" s="84" t="str">
        <x:v>249220-1</x:v>
      </x:c>
      <x:c r="W742" s="84" t="str"/>
    </x:row>
    <x:row r="743" ht="18" customHeight="1">
      <x:c r="A743" s="83" t="str">
        <x:v>HAYS-0742</x:v>
      </x:c>
      <x:c r="B743" s="87" t="str">
        <x:v>Sisyrinchium angustifolium</x:v>
      </x:c>
      <x:c r="C743" s="87" t="str">
        <x:v>Sisyrinchium angustifolium</x:v>
      </x:c>
      <x:c r="D743" s="84" t="str">
        <x:v>Iridaceae</x:v>
      </x:c>
      <x:c r="E743" s="84" t="str">
        <x:v>Sisyrinchium</x:v>
      </x:c>
      <x:c r="F743" s="84" t="str">
        <x:v>Species</x:v>
      </x:c>
      <x:c r="G743" s="84" t="str">
        <x:v>Accepted</x:v>
      </x:c>
      <x:c r="H743" s="84" t="str">
        <x:v>Narrowleaf Blue-eyed Grass, Narrow-leaf Blue-eyed-grass, Bermuda Blue-eyed Grass, Blue-eyed Grass</x:v>
      </x:c>
      <x:c r="I743" s="84" t="str">
        <x:v>Perennial</x:v>
      </x:c>
      <x:c r="J743" s="84" t="str">
        <x:v>Herb</x:v>
      </x:c>
      <x:c r="K743" s="84" t="str">
        <x:v>Sun, Part Shade</x:v>
      </x:c>
      <x:c r="L743" s="84" t="str">
        <x:v>Medium</x:v>
      </x:c>
      <x:c r="M743" s="89" t="n">
        <x:v>0</x:v>
      </x:c>
      <x:c r="N743" s="89" t="n">
        <x:v>0</x:v>
      </x:c>
      <x:c r="O743" s="89" t="n">
        <x:v>1</x:v>
      </x:c>
      <x:c r="P743" s="89" t="n">
        <x:f>SUM(M743:O743)</x:f>
        <x:v>1</x:v>
      </x:c>
      <x:c r="Q743" s="84" t="str">
        <x:v>Exact accepted-name match</x:v>
      </x:c>
      <x:c r="R743" s="84" t="str">
        <x:v>Sisyrinchium angustifolium</x:v>
      </x:c>
      <x:c r="S743" s="84" t="str">
        <x:v>324934</x:v>
      </x:c>
      <x:c r="T743" s="84" t="str">
        <x:v>324934</x:v>
      </x:c>
      <x:c r="U743" s="84" t="str">
        <x:v>440925-1</x:v>
      </x:c>
      <x:c r="V743" s="84" t="str">
        <x:v>440925-1</x:v>
      </x:c>
      <x:c r="W743" s="84" t="str"/>
    </x:row>
    <x:row r="744" ht="18" customHeight="1">
      <x:c r="A744" s="83" t="str">
        <x:v>HAYS-0743</x:v>
      </x:c>
      <x:c r="B744" s="87" t="str">
        <x:v>Sisyrinchium biforme</x:v>
      </x:c>
      <x:c r="C744" s="87" t="str">
        <x:v>Sisyrinchium biforme</x:v>
      </x:c>
      <x:c r="D744" s="84" t="str">
        <x:v>Iridaceae</x:v>
      </x:c>
      <x:c r="E744" s="84" t="str">
        <x:v>Sisyrinchium</x:v>
      </x:c>
      <x:c r="F744" s="84" t="str">
        <x:v>Species</x:v>
      </x:c>
      <x:c r="G744" s="84" t="str">
        <x:v>Accepted</x:v>
      </x:c>
      <x:c r="H744" s="84" t="str">
        <x:v>Wiry Blue-eyed Grass</x:v>
      </x:c>
      <x:c r="I744" s="84" t="str">
        <x:v>Perennial</x:v>
      </x:c>
      <x:c r="J744" s="84" t="str">
        <x:v>Herb</x:v>
      </x:c>
      <x:c r="K744" s="84" t="str"/>
      <x:c r="L744" s="84" t="str"/>
      <x:c r="M744" s="89" t="n">
        <x:v>1</x:v>
      </x:c>
      <x:c r="N744" s="89" t="n">
        <x:v>1</x:v>
      </x:c>
      <x:c r="O744" s="89" t="n">
        <x:v>0</x:v>
      </x:c>
      <x:c r="P744" s="89" t="n">
        <x:f>SUM(M744:O744)</x:f>
        <x:v>2</x:v>
      </x:c>
      <x:c r="Q744" s="84" t="str">
        <x:v>Exact accepted-name match</x:v>
      </x:c>
      <x:c r="R744" s="84" t="str">
        <x:v>Sisyrinchium biforme</x:v>
      </x:c>
      <x:c r="S744" s="84" t="str">
        <x:v>325026</x:v>
      </x:c>
      <x:c r="T744" s="84" t="str">
        <x:v>325026</x:v>
      </x:c>
      <x:c r="U744" s="84" t="str">
        <x:v>440959-1</x:v>
      </x:c>
      <x:c r="V744" s="84" t="str">
        <x:v>440959-1</x:v>
      </x:c>
      <x:c r="W744" s="84" t="str"/>
    </x:row>
    <x:row r="745" ht="18" customHeight="1">
      <x:c r="A745" s="83" t="str">
        <x:v>HAYS-0744</x:v>
      </x:c>
      <x:c r="B745" s="87" t="str">
        <x:v>Sisyrinchium chilense</x:v>
      </x:c>
      <x:c r="C745" s="87" t="str">
        <x:v>Sisyrinchium chilense</x:v>
      </x:c>
      <x:c r="D745" s="84" t="str">
        <x:v>Iridaceae</x:v>
      </x:c>
      <x:c r="E745" s="84" t="str">
        <x:v>Sisyrinchium</x:v>
      </x:c>
      <x:c r="F745" s="84" t="str">
        <x:v>Species</x:v>
      </x:c>
      <x:c r="G745" s="84" t="str">
        <x:v>Accepted</x:v>
      </x:c>
      <x:c r="H745" s="84" t="str">
        <x:v>Swordleaf Blue-eyed Grass, Sword-leaf Blue-eyed Grass</x:v>
      </x:c>
      <x:c r="I745" s="84" t="str">
        <x:v>Perennial</x:v>
      </x:c>
      <x:c r="J745" s="84" t="str">
        <x:v>Herb</x:v>
      </x:c>
      <x:c r="K745" s="84" t="str">
        <x:v>Sun, Part-shade</x:v>
      </x:c>
      <x:c r="L745" s="84" t="str">
        <x:v>Moist, Dry</x:v>
      </x:c>
      <x:c r="M745" s="89" t="n">
        <x:v>1</x:v>
      </x:c>
      <x:c r="N745" s="89" t="n">
        <x:v>1</x:v>
      </x:c>
      <x:c r="O745" s="89" t="n">
        <x:v>0</x:v>
      </x:c>
      <x:c r="P745" s="89" t="n">
        <x:f>SUM(M745:O745)</x:f>
        <x:v>2</x:v>
      </x:c>
      <x:c r="Q745" s="84" t="str">
        <x:v>Exact accepted-name match</x:v>
      </x:c>
      <x:c r="R745" s="84" t="str">
        <x:v>Sisyrinchium chilense</x:v>
      </x:c>
      <x:c r="S745" s="84" t="str">
        <x:v>324911</x:v>
      </x:c>
      <x:c r="T745" s="84" t="str">
        <x:v>324911</x:v>
      </x:c>
      <x:c r="U745" s="84" t="str">
        <x:v>330256-2</x:v>
      </x:c>
      <x:c r="V745" s="84" t="str">
        <x:v>330256-2</x:v>
      </x:c>
      <x:c r="W745" s="84" t="str"/>
    </x:row>
    <x:row r="746" ht="18" customHeight="1">
      <x:c r="A746" s="83" t="str">
        <x:v>HAYS-0745</x:v>
      </x:c>
      <x:c r="B746" s="87" t="str">
        <x:v>Sisyrinchium langloisii</x:v>
      </x:c>
      <x:c r="C746" s="87" t="str">
        <x:v>Sisyrinchium langloisii</x:v>
      </x:c>
      <x:c r="D746" s="84" t="str">
        <x:v>Iridaceae</x:v>
      </x:c>
      <x:c r="E746" s="84" t="str">
        <x:v>Sisyrinchium</x:v>
      </x:c>
      <x:c r="F746" s="84" t="str">
        <x:v>Species</x:v>
      </x:c>
      <x:c r="G746" s="84" t="str">
        <x:v>Accepted</x:v>
      </x:c>
      <x:c r="H746" s="84" t="str">
        <x:v>Roadside Blue-eyed Grass, Dotted Blue-eyed Grass, Southern Blue-eyed Grass</x:v>
      </x:c>
      <x:c r="I746" s="84" t="str">
        <x:v>Perennial</x:v>
      </x:c>
      <x:c r="J746" s="84" t="str">
        <x:v>Herb</x:v>
      </x:c>
      <x:c r="K746" s="84" t="str">
        <x:v>Part-shade</x:v>
      </x:c>
      <x:c r="L746" s="84" t="str">
        <x:v>Dry</x:v>
      </x:c>
      <x:c r="M746" s="89" t="n">
        <x:v>1</x:v>
      </x:c>
      <x:c r="N746" s="89" t="n">
        <x:v>1</x:v>
      </x:c>
      <x:c r="O746" s="89" t="n">
        <x:v>0</x:v>
      </x:c>
      <x:c r="P746" s="89" t="n">
        <x:f>SUM(M746:O746)</x:f>
        <x:v>2</x:v>
      </x:c>
      <x:c r="Q746" s="84" t="str">
        <x:v>Exact accepted-name match</x:v>
      </x:c>
      <x:c r="R746" s="84" t="str">
        <x:v>Sisyrinchium langloisii</x:v>
      </x:c>
      <x:c r="S746" s="84" t="str">
        <x:v>325215</x:v>
      </x:c>
      <x:c r="T746" s="84" t="str">
        <x:v>325215</x:v>
      </x:c>
      <x:c r="U746" s="84" t="str">
        <x:v>441133-1</x:v>
      </x:c>
      <x:c r="V746" s="84" t="str">
        <x:v>441133-1</x:v>
      </x:c>
      <x:c r="W746" s="84" t="str"/>
    </x:row>
    <x:row r="747" ht="18" customHeight="1">
      <x:c r="A747" s="83" t="str">
        <x:v>HAYS-0746</x:v>
      </x:c>
      <x:c r="B747" s="87" t="str">
        <x:v>Smilax bona-nox</x:v>
      </x:c>
      <x:c r="C747" s="87" t="str">
        <x:v>Smilax bona-nox</x:v>
      </x:c>
      <x:c r="D747" s="84" t="str">
        <x:v>Smilacaceae</x:v>
      </x:c>
      <x:c r="E747" s="84" t="str">
        <x:v>Smilax</x:v>
      </x:c>
      <x:c r="F747" s="84" t="str">
        <x:v>Species</x:v>
      </x:c>
      <x:c r="G747" s="84" t="str">
        <x:v>Accepted</x:v>
      </x:c>
      <x:c r="H747" s="84" t="str">
        <x:v>Sawbriar, Saw Greenbriar, Catbriar, Barbed Wire Vine, Bullbriar, Stretchberry Vine</x:v>
      </x:c>
      <x:c r="I747" s="84" t="str">
        <x:v>Perennial</x:v>
      </x:c>
      <x:c r="J747" s="84" t="str">
        <x:v>Vine</x:v>
      </x:c>
      <x:c r="K747" s="84" t="str">
        <x:v>Shade</x:v>
      </x:c>
      <x:c r="L747" s="84" t="str">
        <x:v>Moist, Dry</x:v>
      </x:c>
      <x:c r="M747" s="89" t="n">
        <x:v>1</x:v>
      </x:c>
      <x:c r="N747" s="89" t="n">
        <x:v>1</x:v>
      </x:c>
      <x:c r="O747" s="89" t="n">
        <x:v>0</x:v>
      </x:c>
      <x:c r="P747" s="89" t="n">
        <x:f>SUM(M747:O747)</x:f>
        <x:v>2</x:v>
      </x:c>
      <x:c r="Q747" s="84" t="str">
        <x:v>Exact accepted-name match</x:v>
      </x:c>
      <x:c r="R747" s="84" t="str">
        <x:v>Smilax bona-nox</x:v>
      </x:c>
      <x:c r="S747" s="84" t="str">
        <x:v>288543</x:v>
      </x:c>
      <x:c r="T747" s="84" t="str">
        <x:v>288543</x:v>
      </x:c>
      <x:c r="U747" s="84" t="str">
        <x:v>541314-1</x:v>
      </x:c>
      <x:c r="V747" s="84" t="str">
        <x:v>541314-1</x:v>
      </x:c>
      <x:c r="W747" s="84" t="str"/>
    </x:row>
    <x:row r="748" ht="18" customHeight="1">
      <x:c r="A748" s="83" t="str">
        <x:v>HAYS-0747</x:v>
      </x:c>
      <x:c r="B748" s="87" t="str">
        <x:v>Smilax tamnoides</x:v>
      </x:c>
      <x:c r="C748" s="87" t="str">
        <x:v>Smilax tamnoides</x:v>
      </x:c>
      <x:c r="D748" s="84" t="str">
        <x:v>Smilacaceae</x:v>
      </x:c>
      <x:c r="E748" s="84" t="str">
        <x:v>Smilax</x:v>
      </x:c>
      <x:c r="F748" s="84" t="str">
        <x:v>Species</x:v>
      </x:c>
      <x:c r="G748" s="84" t="str">
        <x:v>Accepted</x:v>
      </x:c>
      <x:c r="H748" s="84" t="str">
        <x:v>Bristly Greenbriar</x:v>
      </x:c>
      <x:c r="I748" s="84" t="str">
        <x:v>Perennial</x:v>
      </x:c>
      <x:c r="J748" s="84" t="str">
        <x:v>Shrub, Vine</x:v>
      </x:c>
      <x:c r="K748" s="84" t="str"/>
      <x:c r="L748" s="84" t="str"/>
      <x:c r="M748" s="89" t="n">
        <x:v>1</x:v>
      </x:c>
      <x:c r="N748" s="89" t="n">
        <x:v>1</x:v>
      </x:c>
      <x:c r="O748" s="89" t="n">
        <x:v>0</x:v>
      </x:c>
      <x:c r="P748" s="89" t="n">
        <x:f>SUM(M748:O748)</x:f>
        <x:v>2</x:v>
      </x:c>
      <x:c r="Q748" s="84" t="str">
        <x:v>Exact accepted-name match</x:v>
      </x:c>
      <x:c r="R748" s="84" t="str">
        <x:v>Smilax tamnoides</x:v>
      </x:c>
      <x:c r="S748" s="84" t="str">
        <x:v>289107</x:v>
      </x:c>
      <x:c r="T748" s="84" t="str">
        <x:v>289107</x:v>
      </x:c>
      <x:c r="U748" s="84" t="str">
        <x:v>541894-1</x:v>
      </x:c>
      <x:c r="V748" s="84" t="str">
        <x:v>541894-1</x:v>
      </x:c>
      <x:c r="W748" s="84" t="str"/>
    </x:row>
    <x:row r="749" ht="18" customHeight="1">
      <x:c r="A749" s="83" t="str">
        <x:v>HAYS-0748</x:v>
      </x:c>
      <x:c r="B749" s="87" t="str">
        <x:v>Solanum americanum</x:v>
      </x:c>
      <x:c r="C749" s="87" t="str">
        <x:v>Solanum americanum</x:v>
      </x:c>
      <x:c r="D749" s="84" t="str">
        <x:v>Solanaceae</x:v>
      </x:c>
      <x:c r="E749" s="84" t="str">
        <x:v>Solanum</x:v>
      </x:c>
      <x:c r="F749" s="84" t="str">
        <x:v>Species</x:v>
      </x:c>
      <x:c r="G749" s="84" t="str">
        <x:v>Accepted</x:v>
      </x:c>
      <x:c r="H749" s="84" t="str">
        <x:v>American Black Nightshade</x:v>
      </x:c>
      <x:c r="I749" s="84" t="str">
        <x:v>Annual</x:v>
      </x:c>
      <x:c r="J749" s="84" t="str">
        <x:v>Subshrub</x:v>
      </x:c>
      <x:c r="K749" s="84" t="str"/>
      <x:c r="L749" s="84" t="str"/>
      <x:c r="M749" s="89" t="n">
        <x:v>1</x:v>
      </x:c>
      <x:c r="N749" s="89" t="n">
        <x:v>1</x:v>
      </x:c>
      <x:c r="O749" s="89" t="n">
        <x:v>0</x:v>
      </x:c>
      <x:c r="P749" s="89" t="n">
        <x:f>SUM(M749:O749)</x:f>
        <x:v>2</x:v>
      </x:c>
      <x:c r="Q749" s="84" t="str">
        <x:v>Exact accepted-name match</x:v>
      </x:c>
      <x:c r="R749" s="84" t="str">
        <x:v>Solanum americanum</x:v>
      </x:c>
      <x:c r="S749" s="84" t="str">
        <x:v>3031457</x:v>
      </x:c>
      <x:c r="T749" s="84" t="str">
        <x:v>3031457</x:v>
      </x:c>
      <x:c r="U749" s="84" t="str">
        <x:v>238279-2</x:v>
      </x:c>
      <x:c r="V749" s="84" t="str">
        <x:v>238279-2</x:v>
      </x:c>
      <x:c r="W749" s="84" t="str"/>
    </x:row>
    <x:row r="750" ht="18" customHeight="1">
      <x:c r="A750" s="83" t="str">
        <x:v>HAYS-0749</x:v>
      </x:c>
      <x:c r="B750" s="87" t="str">
        <x:v>Solanum dimidiatum</x:v>
      </x:c>
      <x:c r="C750" s="87" t="str">
        <x:v>Solanum dimidiatum</x:v>
      </x:c>
      <x:c r="D750" s="84" t="str">
        <x:v>Solanaceae</x:v>
      </x:c>
      <x:c r="E750" s="84" t="str">
        <x:v>Solanum</x:v>
      </x:c>
      <x:c r="F750" s="84" t="str">
        <x:v>Species</x:v>
      </x:c>
      <x:c r="G750" s="84" t="str">
        <x:v>Accepted</x:v>
      </x:c>
      <x:c r="H750" s="84" t="str">
        <x:v>Western Horsenettle, Western Horse-nettle</x:v>
      </x:c>
      <x:c r="I750" s="84" t="str">
        <x:v>Perennial</x:v>
      </x:c>
      <x:c r="J750" s="84" t="str">
        <x:v>Herb</x:v>
      </x:c>
      <x:c r="K750" s="84" t="str"/>
      <x:c r="L750" s="84" t="str"/>
      <x:c r="M750" s="89" t="n">
        <x:v>1</x:v>
      </x:c>
      <x:c r="N750" s="89" t="n">
        <x:v>1</x:v>
      </x:c>
      <x:c r="O750" s="89" t="n">
        <x:v>0</x:v>
      </x:c>
      <x:c r="P750" s="89" t="n">
        <x:f>SUM(M750:O750)</x:f>
        <x:v>2</x:v>
      </x:c>
      <x:c r="Q750" s="84" t="str">
        <x:v>Exact accepted-name match</x:v>
      </x:c>
      <x:c r="R750" s="84" t="str">
        <x:v>Solanum dimidiatum</x:v>
      </x:c>
      <x:c r="S750" s="84" t="str">
        <x:v>3031785</x:v>
      </x:c>
      <x:c r="T750" s="84" t="str">
        <x:v>3031785</x:v>
      </x:c>
      <x:c r="U750" s="84" t="str">
        <x:v>819013-1</x:v>
      </x:c>
      <x:c r="V750" s="84" t="str">
        <x:v>819013-1</x:v>
      </x:c>
      <x:c r="W750" s="84" t="str"/>
    </x:row>
    <x:row r="751" ht="18" customHeight="1">
      <x:c r="A751" s="83" t="str">
        <x:v>HAYS-0750</x:v>
      </x:c>
      <x:c r="B751" s="87" t="str">
        <x:v>Solanum elaeagnifolium</x:v>
      </x:c>
      <x:c r="C751" s="87" t="str">
        <x:v>Solanum elaeagnifolium</x:v>
      </x:c>
      <x:c r="D751" s="84" t="str">
        <x:v>Solanaceae</x:v>
      </x:c>
      <x:c r="E751" s="84" t="str">
        <x:v>Solanum</x:v>
      </x:c>
      <x:c r="F751" s="84" t="str">
        <x:v>Species</x:v>
      </x:c>
      <x:c r="G751" s="84" t="str">
        <x:v>Accepted</x:v>
      </x:c>
      <x:c r="H751" s="84" t="str">
        <x:v>Silverleaf Nightshade, Silver-leaf Nightshade, White Horse Nettle, Trompillo, Tomato Weed, Bull Nettle</x:v>
      </x:c>
      <x:c r="I751" s="84" t="str">
        <x:v>Perennial</x:v>
      </x:c>
      <x:c r="J751" s="84" t="str">
        <x:v>Herb</x:v>
      </x:c>
      <x:c r="K751" s="84" t="str">
        <x:v>Sun</x:v>
      </x:c>
      <x:c r="L751" s="84" t="str">
        <x:v>Dry</x:v>
      </x:c>
      <x:c r="M751" s="89" t="n">
        <x:v>1</x:v>
      </x:c>
      <x:c r="N751" s="89" t="n">
        <x:v>1</x:v>
      </x:c>
      <x:c r="O751" s="89" t="n">
        <x:v>0</x:v>
      </x:c>
      <x:c r="P751" s="89" t="n">
        <x:f>SUM(M751:O751)</x:f>
        <x:v>2</x:v>
      </x:c>
      <x:c r="Q751" s="84" t="str">
        <x:v>Exact accepted-name match</x:v>
      </x:c>
      <x:c r="R751" s="84" t="str">
        <x:v>Solanum elaeagnifolium</x:v>
      </x:c>
      <x:c r="S751" s="84" t="str">
        <x:v>3031823</x:v>
      </x:c>
      <x:c r="T751" s="84" t="str">
        <x:v>3031823</x:v>
      </x:c>
      <x:c r="U751" s="84" t="str">
        <x:v>819099-1</x:v>
      </x:c>
      <x:c r="V751" s="84" t="str">
        <x:v>819099-1</x:v>
      </x:c>
      <x:c r="W751" s="84" t="str"/>
    </x:row>
    <x:row r="752" ht="18" customHeight="1">
      <x:c r="A752" s="83" t="str">
        <x:v>HAYS-0751</x:v>
      </x:c>
      <x:c r="B752" s="87" t="str">
        <x:v>Solanum ptycanthum</x:v>
      </x:c>
      <x:c r="C752" s="87" t="str"/>
      <x:c r="D752" s="84" t="str"/>
      <x:c r="E752" s="84" t="str">
        <x:v>Solanum</x:v>
      </x:c>
      <x:c r="F752" s="84" t="str"/>
      <x:c r="G752" s="84" t="str"/>
      <x:c r="H752" s="84" t="str">
        <x:v>Eastern Black Nightshade, West Indian Nightshade, Common Nightshade, Black Nightshade</x:v>
      </x:c>
      <x:c r="I752" s="84" t="str">
        <x:v>Annual</x:v>
      </x:c>
      <x:c r="J752" s="84" t="str">
        <x:v>Herb</x:v>
      </x:c>
      <x:c r="K752" s="84" t="str"/>
      <x:c r="L752" s="84" t="str"/>
      <x:c r="M752" s="89" t="n">
        <x:v>1</x:v>
      </x:c>
      <x:c r="N752" s="89" t="n">
        <x:v>1</x:v>
      </x:c>
      <x:c r="O752" s="89" t="n">
        <x:v>0</x:v>
      </x:c>
      <x:c r="P752" s="89" t="n">
        <x:f>SUM(M752:O752)</x:f>
        <x:v>2</x:v>
      </x:c>
      <x:c r="Q752" s="84" t="str">
        <x:v>No exact WCVP name match</x:v>
      </x:c>
      <x:c r="R752" s="84" t="str"/>
      <x:c r="S752" s="84" t="str"/>
      <x:c r="T752" s="84" t="str"/>
      <x:c r="U752" s="84" t="str"/>
      <x:c r="V752" s="84" t="str"/>
      <x:c r="W752" s="84" t="str">
        <x:v>Review</x:v>
      </x:c>
    </x:row>
    <x:row r="753" ht="18" customHeight="1">
      <x:c r="A753" s="83" t="str">
        <x:v>HAYS-0752</x:v>
      </x:c>
      <x:c r="B753" s="87" t="str">
        <x:v>Solanum rostratum</x:v>
      </x:c>
      <x:c r="C753" s="87" t="str">
        <x:v>Solanum rostratum</x:v>
      </x:c>
      <x:c r="D753" s="84" t="str">
        <x:v>Solanaceae</x:v>
      </x:c>
      <x:c r="E753" s="84" t="str">
        <x:v>Solanum</x:v>
      </x:c>
      <x:c r="F753" s="84" t="str">
        <x:v>Species</x:v>
      </x:c>
      <x:c r="G753" s="84" t="str">
        <x:v>Accepted</x:v>
      </x:c>
      <x:c r="H753" s="84" t="str">
        <x:v>Buffalo Bur, Buffalo Bur Nightshade, Buffalobur Nightshade</x:v>
      </x:c>
      <x:c r="I753" s="84" t="str">
        <x:v>Annual</x:v>
      </x:c>
      <x:c r="J753" s="84" t="str">
        <x:v>Herb</x:v>
      </x:c>
      <x:c r="K753" s="84" t="str">
        <x:v>Sun</x:v>
      </x:c>
      <x:c r="L753" s="84" t="str"/>
      <x:c r="M753" s="89" t="n">
        <x:v>1</x:v>
      </x:c>
      <x:c r="N753" s="89" t="n">
        <x:v>1</x:v>
      </x:c>
      <x:c r="O753" s="89" t="n">
        <x:v>0</x:v>
      </x:c>
      <x:c r="P753" s="89" t="n">
        <x:f>SUM(M753:O753)</x:f>
        <x:v>2</x:v>
      </x:c>
      <x:c r="Q753" s="84" t="str">
        <x:v>Exact accepted-name match</x:v>
      </x:c>
      <x:c r="R753" s="84" t="str">
        <x:v>Solanum rostratum</x:v>
      </x:c>
      <x:c r="S753" s="84" t="str">
        <x:v>3033125</x:v>
      </x:c>
      <x:c r="T753" s="84" t="str">
        <x:v>3033125</x:v>
      </x:c>
      <x:c r="U753" s="84" t="str">
        <x:v>820804-1</x:v>
      </x:c>
      <x:c r="V753" s="84" t="str">
        <x:v>820804-1</x:v>
      </x:c>
      <x:c r="W753" s="84" t="str"/>
    </x:row>
    <x:row r="754" ht="18" customHeight="1">
      <x:c r="A754" s="83" t="str">
        <x:v>HAYS-0753</x:v>
      </x:c>
      <x:c r="B754" s="87" t="str">
        <x:v>Solanum triquetrum</x:v>
      </x:c>
      <x:c r="C754" s="87" t="str">
        <x:v>Solanum triquetrum</x:v>
      </x:c>
      <x:c r="D754" s="84" t="str">
        <x:v>Solanaceae</x:v>
      </x:c>
      <x:c r="E754" s="84" t="str">
        <x:v>Solanum</x:v>
      </x:c>
      <x:c r="F754" s="84" t="str">
        <x:v>Species</x:v>
      </x:c>
      <x:c r="G754" s="84" t="str">
        <x:v>Accepted</x:v>
      </x:c>
      <x:c r="H754" s="84" t="str">
        <x:v>Texas Nightshade, Hierba Mora</x:v>
      </x:c>
      <x:c r="I754" s="84" t="str">
        <x:v>Perennial</x:v>
      </x:c>
      <x:c r="J754" s="84" t="str">
        <x:v>Herb</x:v>
      </x:c>
      <x:c r="K754" s="84" t="str">
        <x:v>Sun, Part Shade</x:v>
      </x:c>
      <x:c r="L754" s="84" t="str">
        <x:v>Medium</x:v>
      </x:c>
      <x:c r="M754" s="89" t="n">
        <x:v>1</x:v>
      </x:c>
      <x:c r="N754" s="89" t="n">
        <x:v>1</x:v>
      </x:c>
      <x:c r="O754" s="89" t="n">
        <x:v>1</x:v>
      </x:c>
      <x:c r="P754" s="89" t="n">
        <x:f>SUM(M754:O754)</x:f>
        <x:v>3</x:v>
      </x:c>
      <x:c r="Q754" s="84" t="str">
        <x:v>Exact accepted-name match</x:v>
      </x:c>
      <x:c r="R754" s="84" t="str">
        <x:v>Solanum triquetrum</x:v>
      </x:c>
      <x:c r="S754" s="84" t="str">
        <x:v>3032730</x:v>
      </x:c>
      <x:c r="T754" s="84" t="str">
        <x:v>3032730</x:v>
      </x:c>
      <x:c r="U754" s="84" t="str">
        <x:v>821322-1</x:v>
      </x:c>
      <x:c r="V754" s="84" t="str">
        <x:v>821322-1</x:v>
      </x:c>
      <x:c r="W754" s="84" t="str"/>
    </x:row>
    <x:row r="755" ht="18" customHeight="1">
      <x:c r="A755" s="83" t="str">
        <x:v>HAYS-0754</x:v>
      </x:c>
      <x:c r="B755" s="87" t="str">
        <x:v>Solidago altissima</x:v>
      </x:c>
      <x:c r="C755" s="87" t="str">
        <x:v>Solidago altissima</x:v>
      </x:c>
      <x:c r="D755" s="84" t="str">
        <x:v>Asteraceae</x:v>
      </x:c>
      <x:c r="E755" s="84" t="str">
        <x:v>Solidago</x:v>
      </x:c>
      <x:c r="F755" s="84" t="str">
        <x:v>Species</x:v>
      </x:c>
      <x:c r="G755" s="84" t="str">
        <x:v>Accepted</x:v>
      </x:c>
      <x:c r="H755" s="84" t="str">
        <x:v>Tall Goldenrod, Late Goldenrod, Canadian Goldenrod, Canada Goldenrod</x:v>
      </x:c>
      <x:c r="I755" s="84" t="str">
        <x:v>Perennial</x:v>
      </x:c>
      <x:c r="J755" s="84" t="str">
        <x:v>Herb</x:v>
      </x:c>
      <x:c r="K755" s="84" t="str">
        <x:v>Sun</x:v>
      </x:c>
      <x:c r="L755" s="84" t="str">
        <x:v>Medium</x:v>
      </x:c>
      <x:c r="M755" s="89" t="n">
        <x:v>1</x:v>
      </x:c>
      <x:c r="N755" s="89" t="n">
        <x:v>1</x:v>
      </x:c>
      <x:c r="O755" s="89" t="n">
        <x:v>1</x:v>
      </x:c>
      <x:c r="P755" s="89" t="n">
        <x:f>SUM(M755:O755)</x:f>
        <x:v>3</x:v>
      </x:c>
      <x:c r="Q755" s="84" t="str">
        <x:v>Exact accepted-name match</x:v>
      </x:c>
      <x:c r="R755" s="84" t="str">
        <x:v>Solidago altissima</x:v>
      </x:c>
      <x:c r="S755" s="84" t="str">
        <x:v>2911026</x:v>
      </x:c>
      <x:c r="T755" s="84" t="str">
        <x:v>2911026</x:v>
      </x:c>
      <x:c r="U755" s="84" t="str">
        <x:v>285347-2</x:v>
      </x:c>
      <x:c r="V755" s="84" t="str">
        <x:v>285347-2</x:v>
      </x:c>
      <x:c r="W755" s="84" t="str"/>
    </x:row>
    <x:row r="756" ht="18" customHeight="1">
      <x:c r="A756" s="83" t="str">
        <x:v>HAYS-0755</x:v>
      </x:c>
      <x:c r="B756" s="87" t="str">
        <x:v>Solidago gigantea</x:v>
      </x:c>
      <x:c r="C756" s="87" t="str">
        <x:v>Solidago gigantea</x:v>
      </x:c>
      <x:c r="D756" s="84" t="str">
        <x:v>Asteraceae</x:v>
      </x:c>
      <x:c r="E756" s="84" t="str">
        <x:v>Solidago</x:v>
      </x:c>
      <x:c r="F756" s="84" t="str">
        <x:v>Species</x:v>
      </x:c>
      <x:c r="G756" s="84" t="str">
        <x:v>Accepted</x:v>
      </x:c>
      <x:c r="H756" s="84" t="str">
        <x:v>Giant Goldenrod, Smooth Goldenrod, Tall Goldenrod, Late Goldenrod, Early Goldenrod</x:v>
      </x:c>
      <x:c r="I756" s="84" t="str">
        <x:v>Perennial</x:v>
      </x:c>
      <x:c r="J756" s="84" t="str">
        <x:v>Herb</x:v>
      </x:c>
      <x:c r="K756" s="84" t="str">
        <x:v>Part-shade</x:v>
      </x:c>
      <x:c r="L756" s="84" t="str"/>
      <x:c r="M756" s="89" t="n">
        <x:v>1</x:v>
      </x:c>
      <x:c r="N756" s="89" t="n">
        <x:v>1</x:v>
      </x:c>
      <x:c r="O756" s="89" t="n">
        <x:v>0</x:v>
      </x:c>
      <x:c r="P756" s="89" t="n">
        <x:f>SUM(M756:O756)</x:f>
        <x:v>2</x:v>
      </x:c>
      <x:c r="Q756" s="84" t="str">
        <x:v>Exact accepted-name match</x:v>
      </x:c>
      <x:c r="R756" s="84" t="str">
        <x:v>Solidago gigantea</x:v>
      </x:c>
      <x:c r="S756" s="84" t="str">
        <x:v>2911104</x:v>
      </x:c>
      <x:c r="T756" s="84" t="str">
        <x:v>2911104</x:v>
      </x:c>
      <x:c r="U756" s="84" t="str">
        <x:v>249575-1</x:v>
      </x:c>
      <x:c r="V756" s="84" t="str">
        <x:v>249575-1</x:v>
      </x:c>
      <x:c r="W756" s="84" t="str"/>
    </x:row>
    <x:row r="757" ht="18" customHeight="1">
      <x:c r="A757" s="83" t="str">
        <x:v>HAYS-0756</x:v>
      </x:c>
      <x:c r="B757" s="87" t="str">
        <x:v>Solidago juliae</x:v>
      </x:c>
      <x:c r="C757" s="87" t="str">
        <x:v>Solidago juliae</x:v>
      </x:c>
      <x:c r="D757" s="84" t="str">
        <x:v>Asteraceae</x:v>
      </x:c>
      <x:c r="E757" s="84" t="str">
        <x:v>Solidago</x:v>
      </x:c>
      <x:c r="F757" s="84" t="str">
        <x:v>Species</x:v>
      </x:c>
      <x:c r="G757" s="84" t="str">
        <x:v>Accepted</x:v>
      </x:c>
      <x:c r="H757" s="84" t="str">
        <x:v>Julia's Goldenrod</x:v>
      </x:c>
      <x:c r="I757" s="84" t="str">
        <x:v>Perennial</x:v>
      </x:c>
      <x:c r="J757" s="84" t="str">
        <x:v>Herb</x:v>
      </x:c>
      <x:c r="K757" s="84" t="str"/>
      <x:c r="L757" s="84" t="str"/>
      <x:c r="M757" s="89" t="n">
        <x:v>1</x:v>
      </x:c>
      <x:c r="N757" s="89" t="n">
        <x:v>1</x:v>
      </x:c>
      <x:c r="O757" s="89" t="n">
        <x:v>0</x:v>
      </x:c>
      <x:c r="P757" s="89" t="n">
        <x:f>SUM(M757:O757)</x:f>
        <x:v>2</x:v>
      </x:c>
      <x:c r="Q757" s="84" t="str">
        <x:v>Exact accepted-name match</x:v>
      </x:c>
      <x:c r="R757" s="84" t="str">
        <x:v>Solidago juliae</x:v>
      </x:c>
      <x:c r="S757" s="84" t="str">
        <x:v>3101517</x:v>
      </x:c>
      <x:c r="T757" s="84" t="str">
        <x:v>3101517</x:v>
      </x:c>
      <x:c r="U757" s="84" t="str">
        <x:v>285366-2</x:v>
      </x:c>
      <x:c r="V757" s="84" t="str">
        <x:v>285366-2</x:v>
      </x:c>
      <x:c r="W757" s="84" t="str"/>
    </x:row>
    <x:row r="758" ht="18" customHeight="1">
      <x:c r="A758" s="83" t="str">
        <x:v>HAYS-0757</x:v>
      </x:c>
      <x:c r="B758" s="87" t="str">
        <x:v>Solidago nemoralis</x:v>
      </x:c>
      <x:c r="C758" s="87" t="str">
        <x:v>Solidago nemoralis</x:v>
      </x:c>
      <x:c r="D758" s="84" t="str">
        <x:v>Asteraceae</x:v>
      </x:c>
      <x:c r="E758" s="84" t="str">
        <x:v>Solidago</x:v>
      </x:c>
      <x:c r="F758" s="84" t="str">
        <x:v>Species</x:v>
      </x:c>
      <x:c r="G758" s="84" t="str">
        <x:v>Accepted</x:v>
      </x:c>
      <x:c r="H758" s="84" t="str">
        <x:v>Gray Goldenrod, Prairie Goldenrod, Oldfield Goldenrod, Grayleaf Goldenrod, Gray-leaved Goldenrod, Dyersweed Goldenrod, Dwarf Goldenrod, Field Goldenrod</x:v>
      </x:c>
      <x:c r="I758" s="84" t="str">
        <x:v>Perennial</x:v>
      </x:c>
      <x:c r="J758" s="84" t="str">
        <x:v>Herb</x:v>
      </x:c>
      <x:c r="K758" s="84" t="str">
        <x:v>Sun</x:v>
      </x:c>
      <x:c r="L758" s="84" t="str">
        <x:v>Low</x:v>
      </x:c>
      <x:c r="M758" s="89" t="n">
        <x:v>1</x:v>
      </x:c>
      <x:c r="N758" s="89" t="n">
        <x:v>1</x:v>
      </x:c>
      <x:c r="O758" s="89" t="n">
        <x:v>1</x:v>
      </x:c>
      <x:c r="P758" s="89" t="n">
        <x:f>SUM(M758:O758)</x:f>
        <x:v>3</x:v>
      </x:c>
      <x:c r="Q758" s="84" t="str">
        <x:v>Exact accepted-name match</x:v>
      </x:c>
      <x:c r="R758" s="84" t="str">
        <x:v>Solidago nemoralis</x:v>
      </x:c>
      <x:c r="S758" s="84" t="str">
        <x:v>3101632</x:v>
      </x:c>
      <x:c r="T758" s="84" t="str">
        <x:v>3101632</x:v>
      </x:c>
      <x:c r="U758" s="84" t="str">
        <x:v>249731-1</x:v>
      </x:c>
      <x:c r="V758" s="84" t="str">
        <x:v>249731-1</x:v>
      </x:c>
      <x:c r="W758" s="84" t="str"/>
    </x:row>
    <x:row r="759" ht="18" customHeight="1">
      <x:c r="A759" s="83" t="str">
        <x:v>HAYS-0758</x:v>
      </x:c>
      <x:c r="B759" s="87" t="str">
        <x:v>Solidago radula</x:v>
      </x:c>
      <x:c r="C759" s="87" t="str">
        <x:v>Solidago radula</x:v>
      </x:c>
      <x:c r="D759" s="84" t="str">
        <x:v>Asteraceae</x:v>
      </x:c>
      <x:c r="E759" s="84" t="str">
        <x:v>Solidago</x:v>
      </x:c>
      <x:c r="F759" s="84" t="str">
        <x:v>Species</x:v>
      </x:c>
      <x:c r="G759" s="84" t="str">
        <x:v>Accepted</x:v>
      </x:c>
      <x:c r="H759" s="84" t="str">
        <x:v>Western Rough Goldenrod</x:v>
      </x:c>
      <x:c r="I759" s="84" t="str">
        <x:v>Perennial</x:v>
      </x:c>
      <x:c r="J759" s="84" t="str">
        <x:v>Herb</x:v>
      </x:c>
      <x:c r="K759" s="84" t="str"/>
      <x:c r="L759" s="84" t="str"/>
      <x:c r="M759" s="89" t="n">
        <x:v>1</x:v>
      </x:c>
      <x:c r="N759" s="89" t="n">
        <x:v>1</x:v>
      </x:c>
      <x:c r="O759" s="89" t="n">
        <x:v>0</x:v>
      </x:c>
      <x:c r="P759" s="89" t="n">
        <x:f>SUM(M759:O759)</x:f>
        <x:v>2</x:v>
      </x:c>
      <x:c r="Q759" s="84" t="str">
        <x:v>Exact accepted-name match</x:v>
      </x:c>
      <x:c r="R759" s="84" t="str">
        <x:v>Solidago radula</x:v>
      </x:c>
      <x:c r="S759" s="84" t="str">
        <x:v>3101727</x:v>
      </x:c>
      <x:c r="T759" s="84" t="str">
        <x:v>3101727</x:v>
      </x:c>
      <x:c r="U759" s="84" t="str">
        <x:v>249822-1</x:v>
      </x:c>
      <x:c r="V759" s="84" t="str">
        <x:v>249822-1</x:v>
      </x:c>
      <x:c r="W759" s="84" t="str"/>
    </x:row>
    <x:row r="760" ht="18" customHeight="1">
      <x:c r="A760" s="83" t="str">
        <x:v>HAYS-0759</x:v>
      </x:c>
      <x:c r="B760" s="87" t="str">
        <x:v>Sorghastrum elliottii</x:v>
      </x:c>
      <x:c r="C760" s="87" t="str">
        <x:v>Sorghastrum elliottii</x:v>
      </x:c>
      <x:c r="D760" s="84" t="str">
        <x:v>Poaceae</x:v>
      </x:c>
      <x:c r="E760" s="84" t="str">
        <x:v>Sorghastrum</x:v>
      </x:c>
      <x:c r="F760" s="84" t="str">
        <x:v>Species</x:v>
      </x:c>
      <x:c r="G760" s="84" t="str">
        <x:v>Accepted</x:v>
      </x:c>
      <x:c r="H760" s="84" t="str">
        <x:v>Slender Indiangrass</x:v>
      </x:c>
      <x:c r="I760" s="84" t="str">
        <x:v>Perennial</x:v>
      </x:c>
      <x:c r="J760" s="84" t="str">
        <x:v>Grass/Grass-like</x:v>
      </x:c>
      <x:c r="K760" s="84" t="str"/>
      <x:c r="L760" s="84" t="str"/>
      <x:c r="M760" s="89" t="n">
        <x:v>1</x:v>
      </x:c>
      <x:c r="N760" s="89" t="n">
        <x:v>1</x:v>
      </x:c>
      <x:c r="O760" s="89" t="n">
        <x:v>0</x:v>
      </x:c>
      <x:c r="P760" s="89" t="n">
        <x:f>SUM(M760:O760)</x:f>
        <x:v>2</x:v>
      </x:c>
      <x:c r="Q760" s="84" t="str">
        <x:v>Exact accepted-name match</x:v>
      </x:c>
      <x:c r="R760" s="84" t="str">
        <x:v>Sorghastrum elliottii</x:v>
      </x:c>
      <x:c r="S760" s="84" t="str">
        <x:v>443190</x:v>
      </x:c>
      <x:c r="T760" s="84" t="str">
        <x:v>443190</x:v>
      </x:c>
      <x:c r="U760" s="84" t="str">
        <x:v>240815-2</x:v>
      </x:c>
      <x:c r="V760" s="84" t="str">
        <x:v>240815-2</x:v>
      </x:c>
      <x:c r="W760" s="84" t="str"/>
    </x:row>
    <x:row r="761" ht="18" customHeight="1">
      <x:c r="A761" s="83" t="str">
        <x:v>HAYS-0760</x:v>
      </x:c>
      <x:c r="B761" s="87" t="str">
        <x:v>Sorghastrum nutans</x:v>
      </x:c>
      <x:c r="C761" s="87" t="str">
        <x:v>Sorghastrum nutans</x:v>
      </x:c>
      <x:c r="D761" s="84" t="str">
        <x:v>Poaceae</x:v>
      </x:c>
      <x:c r="E761" s="84" t="str">
        <x:v>Sorghastrum</x:v>
      </x:c>
      <x:c r="F761" s="84" t="str">
        <x:v>Species</x:v>
      </x:c>
      <x:c r="G761" s="84" t="str">
        <x:v>Accepted</x:v>
      </x:c>
      <x:c r="H761" s="84" t="str">
        <x:v>Indiangrass, Yellow Indiangrass, Indian Grass</x:v>
      </x:c>
      <x:c r="I761" s="84" t="str">
        <x:v>Perennial</x:v>
      </x:c>
      <x:c r="J761" s="84" t="str">
        <x:v>Grass</x:v>
      </x:c>
      <x:c r="K761" s="84" t="str">
        <x:v>Sun</x:v>
      </x:c>
      <x:c r="L761" s="84" t="str">
        <x:v>Low</x:v>
      </x:c>
      <x:c r="M761" s="89" t="n">
        <x:v>1</x:v>
      </x:c>
      <x:c r="N761" s="89" t="n">
        <x:v>1</x:v>
      </x:c>
      <x:c r="O761" s="89" t="n">
        <x:v>1</x:v>
      </x:c>
      <x:c r="P761" s="89" t="n">
        <x:f>SUM(M761:O761)</x:f>
        <x:v>3</x:v>
      </x:c>
      <x:c r="Q761" s="84" t="str">
        <x:v>Exact accepted-name match</x:v>
      </x:c>
      <x:c r="R761" s="84" t="str">
        <x:v>Sorghastrum nutans</x:v>
      </x:c>
      <x:c r="S761" s="84" t="str">
        <x:v>443203</x:v>
      </x:c>
      <x:c r="T761" s="84" t="str">
        <x:v>443203</x:v>
      </x:c>
      <x:c r="U761" s="84" t="str">
        <x:v>240823-2</x:v>
      </x:c>
      <x:c r="V761" s="84" t="str">
        <x:v>240823-2</x:v>
      </x:c>
      <x:c r="W761" s="84" t="str"/>
    </x:row>
    <x:row r="762" ht="18" customHeight="1">
      <x:c r="A762" s="83" t="str">
        <x:v>HAYS-0761</x:v>
      </x:c>
      <x:c r="B762" s="87" t="str">
        <x:v>Sphaeralcea lindheimeri</x:v>
      </x:c>
      <x:c r="C762" s="87" t="str">
        <x:v>Sphaeralcea lindheimeri</x:v>
      </x:c>
      <x:c r="D762" s="84" t="str">
        <x:v>Malvaceae</x:v>
      </x:c>
      <x:c r="E762" s="84" t="str">
        <x:v>Sphaeralcea</x:v>
      </x:c>
      <x:c r="F762" s="84" t="str">
        <x:v>Species</x:v>
      </x:c>
      <x:c r="G762" s="84" t="str">
        <x:v>Accepted</x:v>
      </x:c>
      <x:c r="H762" s="84" t="str">
        <x:v>Woolly Globemallow</x:v>
      </x:c>
      <x:c r="I762" s="84" t="str">
        <x:v>Perennial</x:v>
      </x:c>
      <x:c r="J762" s="84" t="str">
        <x:v>Subshrub</x:v>
      </x:c>
      <x:c r="K762" s="84" t="str">
        <x:v>Sun, Part-shade</x:v>
      </x:c>
      <x:c r="L762" s="84" t="str">
        <x:v>Moist, Dry</x:v>
      </x:c>
      <x:c r="M762" s="89" t="n">
        <x:v>1</x:v>
      </x:c>
      <x:c r="N762" s="89" t="n">
        <x:v>1</x:v>
      </x:c>
      <x:c r="O762" s="89" t="n">
        <x:v>0</x:v>
      </x:c>
      <x:c r="P762" s="89" t="n">
        <x:f>SUM(M762:O762)</x:f>
        <x:v>2</x:v>
      </x:c>
      <x:c r="Q762" s="84" t="str">
        <x:v>Exact accepted-name match</x:v>
      </x:c>
      <x:c r="R762" s="84" t="str">
        <x:v>Sphaeralcea lindheimeri</x:v>
      </x:c>
      <x:c r="S762" s="84" t="str">
        <x:v>2602035</x:v>
      </x:c>
      <x:c r="T762" s="84" t="str">
        <x:v>2602035</x:v>
      </x:c>
      <x:c r="U762" s="84" t="str">
        <x:v>564543-1</x:v>
      </x:c>
      <x:c r="V762" s="84" t="str">
        <x:v>564543-1</x:v>
      </x:c>
      <x:c r="W762" s="84" t="str"/>
    </x:row>
    <x:row r="763" ht="18" customHeight="1">
      <x:c r="A763" s="83" t="str">
        <x:v>HAYS-0762</x:v>
      </x:c>
      <x:c r="B763" s="87" t="str">
        <x:v>Spigelia hedyotidea</x:v>
      </x:c>
      <x:c r="C763" s="87" t="str">
        <x:v>Spigelia hedyotidea</x:v>
      </x:c>
      <x:c r="D763" s="84" t="str">
        <x:v>Loganiaceae</x:v>
      </x:c>
      <x:c r="E763" s="84" t="str">
        <x:v>Spigelia</x:v>
      </x:c>
      <x:c r="F763" s="84" t="str">
        <x:v>Species</x:v>
      </x:c>
      <x:c r="G763" s="84" t="str">
        <x:v>Accepted</x:v>
      </x:c>
      <x:c r="H763" s="84" t="str">
        <x:v>Prairie Pinkroot, Prairie Pink Root</x:v>
      </x:c>
      <x:c r="I763" s="84" t="str">
        <x:v>Perennial</x:v>
      </x:c>
      <x:c r="J763" s="84" t="str">
        <x:v>Herb</x:v>
      </x:c>
      <x:c r="K763" s="84" t="str"/>
      <x:c r="L763" s="84" t="str"/>
      <x:c r="M763" s="89" t="n">
        <x:v>1</x:v>
      </x:c>
      <x:c r="N763" s="89" t="n">
        <x:v>1</x:v>
      </x:c>
      <x:c r="O763" s="89" t="n">
        <x:v>0</x:v>
      </x:c>
      <x:c r="P763" s="89" t="n">
        <x:f>SUM(M763:O763)</x:f>
        <x:v>2</x:v>
      </x:c>
      <x:c r="Q763" s="84" t="str">
        <x:v>Exact accepted-name match</x:v>
      </x:c>
      <x:c r="R763" s="84" t="str">
        <x:v>Spigelia hedyotidea</x:v>
      </x:c>
      <x:c r="S763" s="84" t="str">
        <x:v>2597961</x:v>
      </x:c>
      <x:c r="T763" s="84" t="str">
        <x:v>2597961</x:v>
      </x:c>
      <x:c r="U763" s="84" t="str">
        <x:v>546944-1</x:v>
      </x:c>
      <x:c r="V763" s="84" t="str">
        <x:v>546944-1</x:v>
      </x:c>
      <x:c r="W763" s="84" t="str"/>
    </x:row>
    <x:row r="764" ht="18" customHeight="1">
      <x:c r="A764" s="83" t="str">
        <x:v>HAYS-0763</x:v>
      </x:c>
      <x:c r="B764" s="87" t="str">
        <x:v>Spiranthes cernua</x:v>
      </x:c>
      <x:c r="C764" s="87" t="str">
        <x:v>Spiranthes cernua</x:v>
      </x:c>
      <x:c r="D764" s="84" t="str">
        <x:v>Orchidaceae</x:v>
      </x:c>
      <x:c r="E764" s="84" t="str">
        <x:v>Spiranthes</x:v>
      </x:c>
      <x:c r="F764" s="84" t="str">
        <x:v>Species</x:v>
      </x:c>
      <x:c r="G764" s="84" t="str">
        <x:v>Accepted</x:v>
      </x:c>
      <x:c r="H764" s="84" t="str">
        <x:v>Nodding Ladies'-tresses, Ladies'-tresses, Nodding Lady's Tresses</x:v>
      </x:c>
      <x:c r="I764" s="84" t="str">
        <x:v>Perennial</x:v>
      </x:c>
      <x:c r="J764" s="84" t="str">
        <x:v>Herb</x:v>
      </x:c>
      <x:c r="K764" s="84" t="str">
        <x:v>Sun</x:v>
      </x:c>
      <x:c r="L764" s="84" t="str">
        <x:v>Moist</x:v>
      </x:c>
      <x:c r="M764" s="89" t="n">
        <x:v>1</x:v>
      </x:c>
      <x:c r="N764" s="89" t="n">
        <x:v>1</x:v>
      </x:c>
      <x:c r="O764" s="89" t="n">
        <x:v>0</x:v>
      </x:c>
      <x:c r="P764" s="89" t="n">
        <x:f>SUM(M764:O764)</x:f>
        <x:v>2</x:v>
      </x:c>
      <x:c r="Q764" s="84" t="str">
        <x:v>Exact accepted-name match</x:v>
      </x:c>
      <x:c r="R764" s="84" t="str">
        <x:v>Spiranthes cernua</x:v>
      </x:c>
      <x:c r="S764" s="84" t="str">
        <x:v>194244</x:v>
      </x:c>
      <x:c r="T764" s="84" t="str">
        <x:v>194244</x:v>
      </x:c>
      <x:c r="U764" s="84" t="str">
        <x:v>658193-1</x:v>
      </x:c>
      <x:c r="V764" s="84" t="str">
        <x:v>658193-1</x:v>
      </x:c>
      <x:c r="W764" s="84" t="str"/>
    </x:row>
    <x:row r="765" ht="18" customHeight="1">
      <x:c r="A765" s="83" t="str">
        <x:v>HAYS-0764</x:v>
      </x:c>
      <x:c r="B765" s="87" t="str">
        <x:v>Spirodela polyrrhiza</x:v>
      </x:c>
      <x:c r="C765" s="87" t="str"/>
      <x:c r="D765" s="84" t="str"/>
      <x:c r="E765" s="84" t="str">
        <x:v>Spirodela</x:v>
      </x:c>
      <x:c r="F765" s="84" t="str"/>
      <x:c r="G765" s="84" t="str"/>
      <x:c r="H765" s="84" t="str">
        <x:v>Common Duckmeat, Giant Duckweed</x:v>
      </x:c>
      <x:c r="I765" s="84" t="str">
        <x:v>Perennial</x:v>
      </x:c>
      <x:c r="J765" s="84" t="str">
        <x:v>Herb</x:v>
      </x:c>
      <x:c r="K765" s="84" t="str"/>
      <x:c r="L765" s="84" t="str"/>
      <x:c r="M765" s="89" t="n">
        <x:v>1</x:v>
      </x:c>
      <x:c r="N765" s="89" t="n">
        <x:v>1</x:v>
      </x:c>
      <x:c r="O765" s="89" t="n">
        <x:v>0</x:v>
      </x:c>
      <x:c r="P765" s="89" t="n">
        <x:f>SUM(M765:O765)</x:f>
        <x:v>2</x:v>
      </x:c>
      <x:c r="Q765" s="84" t="str">
        <x:v>No exact WCVP name match</x:v>
      </x:c>
      <x:c r="R765" s="84" t="str"/>
      <x:c r="S765" s="84" t="str"/>
      <x:c r="T765" s="84" t="str"/>
      <x:c r="U765" s="84" t="str"/>
      <x:c r="V765" s="84" t="str"/>
      <x:c r="W765" s="84" t="str">
        <x:v>Review</x:v>
      </x:c>
    </x:row>
    <x:row r="766" ht="18" customHeight="1">
      <x:c r="A766" s="83" t="str">
        <x:v>HAYS-0765</x:v>
      </x:c>
      <x:c r="B766" s="87" t="str">
        <x:v>Sporobolus clandestinus</x:v>
      </x:c>
      <x:c r="C766" s="87" t="str">
        <x:v>Sporobolus clandestinus</x:v>
      </x:c>
      <x:c r="D766" s="84" t="str">
        <x:v>Poaceae</x:v>
      </x:c>
      <x:c r="E766" s="84" t="str">
        <x:v>Sporobolus</x:v>
      </x:c>
      <x:c r="F766" s="84" t="str">
        <x:v>Species</x:v>
      </x:c>
      <x:c r="G766" s="84" t="str">
        <x:v>Accepted</x:v>
      </x:c>
      <x:c r="H766" s="84" t="str">
        <x:v>Hidden Dropseed, Rough Dropseed</x:v>
      </x:c>
      <x:c r="I766" s="84" t="str">
        <x:v>Perennial</x:v>
      </x:c>
      <x:c r="J766" s="84" t="str">
        <x:v>Grass/Grass-like</x:v>
      </x:c>
      <x:c r="K766" s="84" t="str"/>
      <x:c r="L766" s="84" t="str"/>
      <x:c r="M766" s="89" t="n">
        <x:v>1</x:v>
      </x:c>
      <x:c r="N766" s="89" t="n">
        <x:v>1</x:v>
      </x:c>
      <x:c r="O766" s="89" t="n">
        <x:v>0</x:v>
      </x:c>
      <x:c r="P766" s="89" t="n">
        <x:f>SUM(M766:O766)</x:f>
        <x:v>2</x:v>
      </x:c>
      <x:c r="Q766" s="84" t="str">
        <x:v>Exact accepted-name match</x:v>
      </x:c>
      <x:c r="R766" s="84" t="str">
        <x:v>Sporobolus clandestinus</x:v>
      </x:c>
      <x:c r="S766" s="84" t="str">
        <x:v>444105</x:v>
      </x:c>
      <x:c r="T766" s="84" t="str">
        <x:v>444105</x:v>
      </x:c>
      <x:c r="U766" s="84" t="str">
        <x:v>242956-2</x:v>
      </x:c>
      <x:c r="V766" s="84" t="str">
        <x:v>242956-2</x:v>
      </x:c>
      <x:c r="W766" s="84" t="str"/>
    </x:row>
    <x:row r="767" ht="18" customHeight="1">
      <x:c r="A767" s="83" t="str">
        <x:v>HAYS-0766</x:v>
      </x:c>
      <x:c r="B767" s="87" t="str">
        <x:v>Sporobolus compositus</x:v>
      </x:c>
      <x:c r="C767" s="87" t="str">
        <x:v>Sporobolus compositus</x:v>
      </x:c>
      <x:c r="D767" s="84" t="str">
        <x:v>Poaceae</x:v>
      </x:c>
      <x:c r="E767" s="84" t="str">
        <x:v>Sporobolus</x:v>
      </x:c>
      <x:c r="F767" s="84" t="str">
        <x:v>Species</x:v>
      </x:c>
      <x:c r="G767" s="84" t="str">
        <x:v>Accepted</x:v>
      </x:c>
      <x:c r="H767" s="84" t="str">
        <x:v>Tall Dropseed, Composite Dropseed, Rough Dropseed</x:v>
      </x:c>
      <x:c r="I767" s="84" t="str">
        <x:v>Perennial</x:v>
      </x:c>
      <x:c r="J767" s="84" t="str">
        <x:v>Grass/Grass-like</x:v>
      </x:c>
      <x:c r="K767" s="84" t="str"/>
      <x:c r="L767" s="84" t="str"/>
      <x:c r="M767" s="89" t="n">
        <x:v>1</x:v>
      </x:c>
      <x:c r="N767" s="89" t="n">
        <x:v>1</x:v>
      </x:c>
      <x:c r="O767" s="89" t="n">
        <x:v>0</x:v>
      </x:c>
      <x:c r="P767" s="89" t="n">
        <x:f>SUM(M767:O767)</x:f>
        <x:v>2</x:v>
      </x:c>
      <x:c r="Q767" s="84" t="str">
        <x:v>Exact accepted-name match</x:v>
      </x:c>
      <x:c r="R767" s="84" t="str">
        <x:v>Sporobolus compositus</x:v>
      </x:c>
      <x:c r="S767" s="84" t="str">
        <x:v>444113</x:v>
      </x:c>
      <x:c r="T767" s="84" t="str">
        <x:v>444113</x:v>
      </x:c>
      <x:c r="U767" s="84" t="str">
        <x:v>242959-2</x:v>
      </x:c>
      <x:c r="V767" s="84" t="str">
        <x:v>242959-2</x:v>
      </x:c>
      <x:c r="W767" s="84" t="str"/>
    </x:row>
    <x:row r="768" ht="18" customHeight="1">
      <x:c r="A768" s="83" t="str">
        <x:v>HAYS-0767</x:v>
      </x:c>
      <x:c r="B768" s="87" t="str">
        <x:v>Sporobolus vaginiflorus</x:v>
      </x:c>
      <x:c r="C768" s="87" t="str">
        <x:v>Sporobolus vaginiflorus</x:v>
      </x:c>
      <x:c r="D768" s="84" t="str">
        <x:v>Poaceae</x:v>
      </x:c>
      <x:c r="E768" s="84" t="str">
        <x:v>Sporobolus</x:v>
      </x:c>
      <x:c r="F768" s="84" t="str">
        <x:v>Species</x:v>
      </x:c>
      <x:c r="G768" s="84" t="str">
        <x:v>Accepted</x:v>
      </x:c>
      <x:c r="H768" s="84" t="str">
        <x:v>Poverty Dropseed</x:v>
      </x:c>
      <x:c r="I768" s="84" t="str">
        <x:v>Annual</x:v>
      </x:c>
      <x:c r="J768" s="84" t="str">
        <x:v>Grass/Grass-like</x:v>
      </x:c>
      <x:c r="K768" s="84" t="str"/>
      <x:c r="L768" s="84" t="str"/>
      <x:c r="M768" s="89" t="n">
        <x:v>1</x:v>
      </x:c>
      <x:c r="N768" s="89" t="n">
        <x:v>1</x:v>
      </x:c>
      <x:c r="O768" s="89" t="n">
        <x:v>0</x:v>
      </x:c>
      <x:c r="P768" s="89" t="n">
        <x:f>SUM(M768:O768)</x:f>
        <x:v>2</x:v>
      </x:c>
      <x:c r="Q768" s="84" t="str">
        <x:v>Exact accepted-name match</x:v>
      </x:c>
      <x:c r="R768" s="84" t="str">
        <x:v>Sporobolus vaginiflorus</x:v>
      </x:c>
      <x:c r="S768" s="84" t="str">
        <x:v>444540</x:v>
      </x:c>
      <x:c r="T768" s="84" t="str">
        <x:v>444540</x:v>
      </x:c>
      <x:c r="U768" s="84" t="str">
        <x:v>30120612-2</x:v>
      </x:c>
      <x:c r="V768" s="84" t="str">
        <x:v>30120612-2</x:v>
      </x:c>
      <x:c r="W768" s="84" t="str"/>
    </x:row>
    <x:row r="769" ht="18" customHeight="1">
      <x:c r="A769" s="83" t="str">
        <x:v>HAYS-0768</x:v>
      </x:c>
      <x:c r="B769" s="87" t="str">
        <x:v>Stachys crenata</x:v>
      </x:c>
      <x:c r="C769" s="87" t="str"/>
      <x:c r="D769" s="84" t="str"/>
      <x:c r="E769" s="84" t="str">
        <x:v>Stachys</x:v>
      </x:c>
      <x:c r="F769" s="84" t="str"/>
      <x:c r="G769" s="84" t="str"/>
      <x:c r="H769" s="84" t="str">
        <x:v>Mousesear, Shade Betony, Mouse's Ear</x:v>
      </x:c>
      <x:c r="I769" s="84" t="str">
        <x:v>Annual</x:v>
      </x:c>
      <x:c r="J769" s="84" t="str">
        <x:v>Herb</x:v>
      </x:c>
      <x:c r="K769" s="84" t="str"/>
      <x:c r="L769" s="84" t="str"/>
      <x:c r="M769" s="89" t="n">
        <x:v>1</x:v>
      </x:c>
      <x:c r="N769" s="89" t="n">
        <x:v>1</x:v>
      </x:c>
      <x:c r="O769" s="89" t="n">
        <x:v>0</x:v>
      </x:c>
      <x:c r="P769" s="89" t="n">
        <x:f>SUM(M769:O769)</x:f>
        <x:v>2</x:v>
      </x:c>
      <x:c r="Q769" s="84" t="str">
        <x:v>Ambiguous: 2 WCVP records</x:v>
      </x:c>
      <x:c r="R769" s="84" t="str"/>
      <x:c r="S769" s="84" t="str"/>
      <x:c r="T769" s="84" t="str"/>
      <x:c r="U769" s="84" t="str"/>
      <x:c r="V769" s="84" t="str"/>
      <x:c r="W769" s="84" t="str">
        <x:v>Review</x:v>
      </x:c>
    </x:row>
    <x:row r="770" ht="18" customHeight="1">
      <x:c r="A770" s="83" t="str">
        <x:v>HAYS-0769</x:v>
      </x:c>
      <x:c r="B770" s="87" t="str">
        <x:v>Stellaria prostrata</x:v>
      </x:c>
      <x:c r="C770" s="87" t="str">
        <x:v>Stellaria cuspidata subsp. prostrata</x:v>
      </x:c>
      <x:c r="D770" s="84" t="str">
        <x:v>Caryophyllaceae</x:v>
      </x:c>
      <x:c r="E770" s="84" t="str">
        <x:v>Stellaria</x:v>
      </x:c>
      <x:c r="F770" s="84" t="str">
        <x:v>Species</x:v>
      </x:c>
      <x:c r="G770" s="84" t="str">
        <x:v>Synonym</x:v>
      </x:c>
      <x:c r="H770" s="84" t="str">
        <x:v>Prostrate Starwort, Prostrate Chickweed</x:v>
      </x:c>
      <x:c r="I770" s="84" t="str">
        <x:v>Annual</x:v>
      </x:c>
      <x:c r="J770" s="84" t="str">
        <x:v>Herb</x:v>
      </x:c>
      <x:c r="K770" s="84" t="str"/>
      <x:c r="L770" s="84" t="str"/>
      <x:c r="M770" s="89" t="n">
        <x:v>1</x:v>
      </x:c>
      <x:c r="N770" s="89" t="n">
        <x:v>1</x:v>
      </x:c>
      <x:c r="O770" s="89" t="n">
        <x:v>0</x:v>
      </x:c>
      <x:c r="P770" s="89" t="n">
        <x:f>SUM(M770:O770)</x:f>
        <x:v>2</x:v>
      </x:c>
      <x:c r="Q770" s="84" t="str">
        <x:v>Exact synonym-name match</x:v>
      </x:c>
      <x:c r="R770" s="84" t="str">
        <x:v>Stellaria prostrata</x:v>
      </x:c>
      <x:c r="S770" s="84" t="str">
        <x:v>2482595</x:v>
      </x:c>
      <x:c r="T770" s="84" t="str">
        <x:v>2491237</x:v>
      </x:c>
      <x:c r="U770" s="84" t="str">
        <x:v>244267-2</x:v>
      </x:c>
      <x:c r="V770" s="84" t="str">
        <x:v>60437828-2</x:v>
      </x:c>
      <x:c r="W770" s="84" t="str"/>
    </x:row>
    <x:row r="771" ht="18" customHeight="1">
      <x:c r="A771" s="83" t="str">
        <x:v>HAYS-0770</x:v>
      </x:c>
      <x:c r="B771" s="87" t="str">
        <x:v>Stenosiphon linifolius</x:v>
      </x:c>
      <x:c r="C771" s="87" t="str"/>
      <x:c r="D771" s="84" t="str"/>
      <x:c r="E771" s="84" t="str">
        <x:v>Stenosiphon</x:v>
      </x:c>
      <x:c r="F771" s="84" t="str"/>
      <x:c r="G771" s="84" t="str"/>
      <x:c r="H771" s="84" t="str">
        <x:v>False Gaura</x:v>
      </x:c>
      <x:c r="I771" s="84" t="str">
        <x:v>Perennial</x:v>
      </x:c>
      <x:c r="J771" s="84" t="str">
        <x:v>Herb</x:v>
      </x:c>
      <x:c r="K771" s="84" t="str">
        <x:v>Sun</x:v>
      </x:c>
      <x:c r="L771" s="84" t="str">
        <x:v>Dry</x:v>
      </x:c>
      <x:c r="M771" s="89" t="n">
        <x:v>1</x:v>
      </x:c>
      <x:c r="N771" s="89" t="n">
        <x:v>1</x:v>
      </x:c>
      <x:c r="O771" s="89" t="n">
        <x:v>0</x:v>
      </x:c>
      <x:c r="P771" s="89" t="n">
        <x:f>SUM(M771:O771)</x:f>
        <x:v>2</x:v>
      </x:c>
      <x:c r="Q771" s="84" t="str">
        <x:v>No exact WCVP name match</x:v>
      </x:c>
      <x:c r="R771" s="84" t="str"/>
      <x:c r="S771" s="84" t="str"/>
      <x:c r="T771" s="84" t="str"/>
      <x:c r="U771" s="84" t="str"/>
      <x:c r="V771" s="84" t="str"/>
      <x:c r="W771" s="84" t="str">
        <x:v>Review</x:v>
      </x:c>
    </x:row>
    <x:row r="772" ht="18" customHeight="1">
      <x:c r="A772" s="83" t="str">
        <x:v>HAYS-0771</x:v>
      </x:c>
      <x:c r="B772" s="87" t="str">
        <x:v>Stillingia texana</x:v>
      </x:c>
      <x:c r="C772" s="87" t="str">
        <x:v>Stillingia texana</x:v>
      </x:c>
      <x:c r="D772" s="84" t="str">
        <x:v>Euphorbiaceae</x:v>
      </x:c>
      <x:c r="E772" s="84" t="str">
        <x:v>Stillingia</x:v>
      </x:c>
      <x:c r="F772" s="84" t="str">
        <x:v>Species</x:v>
      </x:c>
      <x:c r="G772" s="84" t="str">
        <x:v>Accepted</x:v>
      </x:c>
      <x:c r="H772" s="84" t="str">
        <x:v>Texas Queen's Delight, Queen's Delight, Texas Toothleaf</x:v>
      </x:c>
      <x:c r="I772" s="84" t="str">
        <x:v>Perennial</x:v>
      </x:c>
      <x:c r="J772" s="84" t="str">
        <x:v>Herb</x:v>
      </x:c>
      <x:c r="K772" s="84" t="str">
        <x:v>Part-shade</x:v>
      </x:c>
      <x:c r="L772" s="84" t="str"/>
      <x:c r="M772" s="89" t="n">
        <x:v>1</x:v>
      </x:c>
      <x:c r="N772" s="89" t="n">
        <x:v>1</x:v>
      </x:c>
      <x:c r="O772" s="89" t="n">
        <x:v>0</x:v>
      </x:c>
      <x:c r="P772" s="89" t="n">
        <x:f>SUM(M772:O772)</x:f>
        <x:v>2</x:v>
      </x:c>
      <x:c r="Q772" s="84" t="str">
        <x:v>Exact accepted-name match</x:v>
      </x:c>
      <x:c r="R772" s="84" t="str">
        <x:v>Stillingia texana</x:v>
      </x:c>
      <x:c r="S772" s="84" t="str">
        <x:v>197995</x:v>
      </x:c>
      <x:c r="T772" s="84" t="str">
        <x:v>197995</x:v>
      </x:c>
      <x:c r="U772" s="84" t="str">
        <x:v>289498-2</x:v>
      </x:c>
      <x:c r="V772" s="84" t="str">
        <x:v>289498-2</x:v>
      </x:c>
      <x:c r="W772" s="84" t="str"/>
    </x:row>
    <x:row r="773" ht="18" customHeight="1">
      <x:c r="A773" s="83" t="str">
        <x:v>HAYS-0772</x:v>
      </x:c>
      <x:c r="B773" s="87" t="str">
        <x:v>Styphnolobium affine</x:v>
      </x:c>
      <x:c r="C773" s="87" t="str">
        <x:v>Styphnolobium affine</x:v>
      </x:c>
      <x:c r="D773" s="84" t="str">
        <x:v>Fabaceae</x:v>
      </x:c>
      <x:c r="E773" s="84" t="str">
        <x:v>Styphnolobium</x:v>
      </x:c>
      <x:c r="F773" s="84" t="str">
        <x:v>Species</x:v>
      </x:c>
      <x:c r="G773" s="84" t="str">
        <x:v>Accepted</x:v>
      </x:c>
      <x:c r="H773" s="84" t="str">
        <x:v>Eve's Necklace, Eve's Necklacepod, Texas Sophora, Pink Sophora, Necklace Tree</x:v>
      </x:c>
      <x:c r="I773" s="84" t="str">
        <x:v>Perennial</x:v>
      </x:c>
      <x:c r="J773" s="84" t="str">
        <x:v>Tree</x:v>
      </x:c>
      <x:c r="K773" s="84" t="str">
        <x:v>Sun, Part Shade</x:v>
      </x:c>
      <x:c r="L773" s="84" t="str">
        <x:v>Low</x:v>
      </x:c>
      <x:c r="M773" s="89" t="n">
        <x:v>1</x:v>
      </x:c>
      <x:c r="N773" s="89" t="n">
        <x:v>1</x:v>
      </x:c>
      <x:c r="O773" s="89" t="n">
        <x:v>1</x:v>
      </x:c>
      <x:c r="P773" s="89" t="n">
        <x:f>SUM(M773:O773)</x:f>
        <x:v>3</x:v>
      </x:c>
      <x:c r="Q773" s="84" t="str">
        <x:v>Exact accepted-name match</x:v>
      </x:c>
      <x:c r="R773" s="84" t="str">
        <x:v>Styphnolobium affine</x:v>
      </x:c>
      <x:c r="S773" s="84" t="str">
        <x:v>2598500</x:v>
      </x:c>
      <x:c r="T773" s="84" t="str">
        <x:v>2598500</x:v>
      </x:c>
      <x:c r="U773" s="84" t="str">
        <x:v>519718-1</x:v>
      </x:c>
      <x:c r="V773" s="84" t="str">
        <x:v>519718-1</x:v>
      </x:c>
      <x:c r="W773" s="84" t="str"/>
    </x:row>
    <x:row r="774" ht="18" customHeight="1">
      <x:c r="A774" s="83" t="str">
        <x:v>HAYS-0773</x:v>
      </x:c>
      <x:c r="B774" s="87" t="str">
        <x:v>Styrax platanifolius</x:v>
      </x:c>
      <x:c r="C774" s="87" t="str">
        <x:v>Styrax platanifolius</x:v>
      </x:c>
      <x:c r="D774" s="84" t="str">
        <x:v>Styracaceae</x:v>
      </x:c>
      <x:c r="E774" s="84" t="str">
        <x:v>Styrax</x:v>
      </x:c>
      <x:c r="F774" s="84" t="str">
        <x:v>Species</x:v>
      </x:c>
      <x:c r="G774" s="84" t="str">
        <x:v>Accepted</x:v>
      </x:c>
      <x:c r="H774" s="84" t="str">
        <x:v>Sycamore-leaf Snowbell</x:v>
      </x:c>
      <x:c r="I774" s="84" t="str">
        <x:v>Perennial</x:v>
      </x:c>
      <x:c r="J774" s="84" t="str">
        <x:v>Shrub</x:v>
      </x:c>
      <x:c r="K774" s="84" t="str">
        <x:v>Part-shade</x:v>
      </x:c>
      <x:c r="L774" s="84" t="str">
        <x:v>Moist</x:v>
      </x:c>
      <x:c r="M774" s="89" t="n">
        <x:v>1</x:v>
      </x:c>
      <x:c r="N774" s="89" t="n">
        <x:v>1</x:v>
      </x:c>
      <x:c r="O774" s="89" t="n">
        <x:v>0</x:v>
      </x:c>
      <x:c r="P774" s="89" t="n">
        <x:f>SUM(M774:O774)</x:f>
        <x:v>2</x:v>
      </x:c>
      <x:c r="Q774" s="84" t="str">
        <x:v>Exact accepted-name match</x:v>
      </x:c>
      <x:c r="R774" s="84" t="str">
        <x:v>Styrax platanifolius</x:v>
      </x:c>
      <x:c r="S774" s="84" t="str">
        <x:v>2580701</x:v>
      </x:c>
      <x:c r="T774" s="84" t="str">
        <x:v>2580701</x:v>
      </x:c>
      <x:c r="U774" s="84" t="str">
        <x:v>30030368-2</x:v>
      </x:c>
      <x:c r="V774" s="84" t="str">
        <x:v>30030368-2</x:v>
      </x:c>
      <x:c r="W774" s="84" t="str"/>
    </x:row>
    <x:row r="775" ht="18" customHeight="1">
      <x:c r="A775" s="83" t="str">
        <x:v>HAYS-0774</x:v>
      </x:c>
      <x:c r="B775" s="87" t="str">
        <x:v>Symphoricarpos orbiculatus</x:v>
      </x:c>
      <x:c r="C775" s="87" t="str">
        <x:v>Symphoricarpos orbiculatus</x:v>
      </x:c>
      <x:c r="D775" s="84" t="str">
        <x:v>Caprifoliaceae</x:v>
      </x:c>
      <x:c r="E775" s="84" t="str">
        <x:v>Symphoricarpos</x:v>
      </x:c>
      <x:c r="F775" s="84" t="str">
        <x:v>Species</x:v>
      </x:c>
      <x:c r="G775" s="84" t="str">
        <x:v>Accepted</x:v>
      </x:c>
      <x:c r="H775" s="84" t="str">
        <x:v>Coralberry, Indian Currant, Buckbrush</x:v>
      </x:c>
      <x:c r="I775" s="84" t="str">
        <x:v>Perennial</x:v>
      </x:c>
      <x:c r="J775" s="84" t="str">
        <x:v>Shrub</x:v>
      </x:c>
      <x:c r="K775" s="84" t="str">
        <x:v>Shade, Part Shade</x:v>
      </x:c>
      <x:c r="L775" s="84" t="str">
        <x:v>Medium</x:v>
      </x:c>
      <x:c r="M775" s="89" t="n">
        <x:v>1</x:v>
      </x:c>
      <x:c r="N775" s="89" t="n">
        <x:v>1</x:v>
      </x:c>
      <x:c r="O775" s="89" t="n">
        <x:v>1</x:v>
      </x:c>
      <x:c r="P775" s="89" t="n">
        <x:f>SUM(M775:O775)</x:f>
        <x:v>3</x:v>
      </x:c>
      <x:c r="Q775" s="84" t="str">
        <x:v>Exact accepted-name match</x:v>
      </x:c>
      <x:c r="R775" s="84" t="str">
        <x:v>Symphoricarpos orbiculatus</x:v>
      </x:c>
      <x:c r="S775" s="84" t="str">
        <x:v>2486027</x:v>
      </x:c>
      <x:c r="T775" s="84" t="str">
        <x:v>2486027</x:v>
      </x:c>
      <x:c r="U775" s="84" t="str">
        <x:v>149465-1</x:v>
      </x:c>
      <x:c r="V775" s="84" t="str">
        <x:v>149465-1</x:v>
      </x:c>
      <x:c r="W775" s="84" t="str"/>
    </x:row>
    <x:row r="776" ht="18" customHeight="1">
      <x:c r="A776" s="83" t="str">
        <x:v>HAYS-0775</x:v>
      </x:c>
      <x:c r="B776" s="87" t="str">
        <x:v>Symphyotrichum drummondii var. texanum</x:v>
      </x:c>
      <x:c r="C776" s="87" t="str">
        <x:v>Symphyotrichum drummondii var. texanum</x:v>
      </x:c>
      <x:c r="D776" s="84" t="str">
        <x:v>Asteraceae</x:v>
      </x:c>
      <x:c r="E776" s="84" t="str">
        <x:v>Symphyotrichum</x:v>
      </x:c>
      <x:c r="F776" s="84" t="str">
        <x:v>Variety</x:v>
      </x:c>
      <x:c r="G776" s="84" t="str">
        <x:v>Accepted</x:v>
      </x:c>
      <x:c r="H776" s="84" t="str">
        <x:v>Drummond's Aster, Texas Aster</x:v>
      </x:c>
      <x:c r="I776" s="84" t="str">
        <x:v>Perennial</x:v>
      </x:c>
      <x:c r="J776" s="84" t="str">
        <x:v>Herb</x:v>
      </x:c>
      <x:c r="K776" s="84" t="str">
        <x:v>Part-shade</x:v>
      </x:c>
      <x:c r="L776" s="84" t="str">
        <x:v>Dry</x:v>
      </x:c>
      <x:c r="M776" s="89" t="n">
        <x:v>1</x:v>
      </x:c>
      <x:c r="N776" s="89" t="n">
        <x:v>1</x:v>
      </x:c>
      <x:c r="O776" s="89" t="n">
        <x:v>0</x:v>
      </x:c>
      <x:c r="P776" s="89" t="n">
        <x:f>SUM(M776:O776)</x:f>
        <x:v>2</x:v>
      </x:c>
      <x:c r="Q776" s="84" t="str">
        <x:v>Exact accepted-name match</x:v>
      </x:c>
      <x:c r="R776" s="84" t="str">
        <x:v>Symphyotrichum drummondii var. texanum</x:v>
      </x:c>
      <x:c r="S776" s="84" t="str">
        <x:v>3103216</x:v>
      </x:c>
      <x:c r="T776" s="84" t="str">
        <x:v>3103216</x:v>
      </x:c>
      <x:c r="U776" s="84" t="str">
        <x:v>981803-1</x:v>
      </x:c>
      <x:c r="V776" s="84" t="str">
        <x:v>981803-1</x:v>
      </x:c>
      <x:c r="W776" s="84" t="str"/>
    </x:row>
    <x:row r="777" ht="18" customHeight="1">
      <x:c r="A777" s="83" t="str">
        <x:v>HAYS-0776</x:v>
      </x:c>
      <x:c r="B777" s="87" t="str">
        <x:v>Symphyotrichum ericoides</x:v>
      </x:c>
      <x:c r="C777" s="87" t="str">
        <x:v>Symphyotrichum ericoides</x:v>
      </x:c>
      <x:c r="D777" s="84" t="str">
        <x:v>Asteraceae</x:v>
      </x:c>
      <x:c r="E777" s="84" t="str">
        <x:v>Symphyotrichum</x:v>
      </x:c>
      <x:c r="F777" s="84" t="str">
        <x:v>Species</x:v>
      </x:c>
      <x:c r="G777" s="84" t="str">
        <x:v>Accepted</x:v>
      </x:c>
      <x:c r="H777" s="84" t="str">
        <x:v>White Heath Aster, Heath Aster</x:v>
      </x:c>
      <x:c r="I777" s="84" t="str">
        <x:v>Perennial</x:v>
      </x:c>
      <x:c r="J777" s="84" t="str">
        <x:v>Herb</x:v>
      </x:c>
      <x:c r="K777" s="84" t="str">
        <x:v>Sun</x:v>
      </x:c>
      <x:c r="L777" s="84" t="str">
        <x:v>Low</x:v>
      </x:c>
      <x:c r="M777" s="89" t="n">
        <x:v>0</x:v>
      </x:c>
      <x:c r="N777" s="89" t="n">
        <x:v>0</x:v>
      </x:c>
      <x:c r="O777" s="89" t="n">
        <x:v>1</x:v>
      </x:c>
      <x:c r="P777" s="89" t="n">
        <x:f>SUM(M777:O777)</x:f>
        <x:v>1</x:v>
      </x:c>
      <x:c r="Q777" s="84" t="str">
        <x:v>Exact accepted-name match</x:v>
      </x:c>
      <x:c r="R777" s="84" t="str">
        <x:v>Symphyotrichum ericoides</x:v>
      </x:c>
      <x:c r="S777" s="84" t="str">
        <x:v>3103276</x:v>
      </x:c>
      <x:c r="T777" s="84" t="str">
        <x:v>3103276</x:v>
      </x:c>
      <x:c r="U777" s="84" t="str">
        <x:v>981811-1</x:v>
      </x:c>
      <x:c r="V777" s="84" t="str">
        <x:v>981811-1</x:v>
      </x:c>
      <x:c r="W777" s="84" t="str"/>
    </x:row>
    <x:row r="778" ht="18" customHeight="1">
      <x:c r="A778" s="83" t="str">
        <x:v>HAYS-0777</x:v>
      </x:c>
      <x:c r="B778" s="87" t="str">
        <x:v>Symphyotrichum ericoides var. ericoides</x:v>
      </x:c>
      <x:c r="C778" s="87" t="str">
        <x:v>Symphyotrichum ericoides var. ericoides</x:v>
      </x:c>
      <x:c r="D778" s="84" t="str">
        <x:v>Asteraceae</x:v>
      </x:c>
      <x:c r="E778" s="84" t="str">
        <x:v>Symphyotrichum</x:v>
      </x:c>
      <x:c r="F778" s="84" t="str">
        <x:v>Variety</x:v>
      </x:c>
      <x:c r="G778" s="84" t="str">
        <x:v>Accepted</x:v>
      </x:c>
      <x:c r="H778" s="84" t="str">
        <x:v>White Heath Aster, Heath Aster, White Aster, White Prairie Aster</x:v>
      </x:c>
      <x:c r="I778" s="84" t="str">
        <x:v>Perennial</x:v>
      </x:c>
      <x:c r="J778" s="84" t="str">
        <x:v>Herb</x:v>
      </x:c>
      <x:c r="K778" s="84" t="str">
        <x:v>Sun</x:v>
      </x:c>
      <x:c r="L778" s="84" t="str">
        <x:v>Dry</x:v>
      </x:c>
      <x:c r="M778" s="89" t="n">
        <x:v>1</x:v>
      </x:c>
      <x:c r="N778" s="89" t="n">
        <x:v>1</x:v>
      </x:c>
      <x:c r="O778" s="89" t="n">
        <x:v>0</x:v>
      </x:c>
      <x:c r="P778" s="89" t="n">
        <x:f>SUM(M778:O778)</x:f>
        <x:v>2</x:v>
      </x:c>
      <x:c r="Q778" s="84" t="str">
        <x:v>Exact accepted-name match</x:v>
      </x:c>
      <x:c r="R778" s="84" t="str">
        <x:v>Symphyotrichum ericoides var. ericoides</x:v>
      </x:c>
      <x:c r="S778" s="84" t="str">
        <x:v>3267074</x:v>
      </x:c>
      <x:c r="T778" s="84" t="str">
        <x:v>3267074</x:v>
      </x:c>
      <x:c r="U778" s="84" t="str">
        <x:v>77232771-1</x:v>
      </x:c>
      <x:c r="V778" s="84" t="str">
        <x:v>77232771-1</x:v>
      </x:c>
      <x:c r="W778" s="84" t="str"/>
    </x:row>
    <x:row r="779" ht="18" customHeight="1">
      <x:c r="A779" s="83" t="str">
        <x:v>HAYS-0778</x:v>
      </x:c>
      <x:c r="B779" s="87" t="str">
        <x:v>Symphyotrichum lanceolatum ssp. lanceolatum</x:v>
      </x:c>
      <x:c r="C779" s="87" t="str">
        <x:v>Symphyotrichum lanceolatum subsp. lanceolatum</x:v>
      </x:c>
      <x:c r="D779" s="84" t="str">
        <x:v>Asteraceae</x:v>
      </x:c>
      <x:c r="E779" s="84" t="str">
        <x:v>Symphyotrichum</x:v>
      </x:c>
      <x:c r="F779" s="84" t="str">
        <x:v>Subspecies</x:v>
      </x:c>
      <x:c r="G779" s="84" t="str">
        <x:v>Accepted</x:v>
      </x:c>
      <x:c r="H779" s="84" t="str">
        <x:v>White Panicle Aster, Panicled Aster</x:v>
      </x:c>
      <x:c r="I779" s="84" t="str">
        <x:v>Perennial</x:v>
      </x:c>
      <x:c r="J779" s="84" t="str">
        <x:v>Herb</x:v>
      </x:c>
      <x:c r="K779" s="84" t="str"/>
      <x:c r="L779" s="84" t="str"/>
      <x:c r="M779" s="89" t="n">
        <x:v>1</x:v>
      </x:c>
      <x:c r="N779" s="89" t="n">
        <x:v>1</x:v>
      </x:c>
      <x:c r="O779" s="89" t="n">
        <x:v>0</x:v>
      </x:c>
      <x:c r="P779" s="89" t="n">
        <x:f>SUM(M779:O779)</x:f>
        <x:v>2</x:v>
      </x:c>
      <x:c r="Q779" s="84" t="str">
        <x:v>Exact accepted-name match</x:v>
      </x:c>
      <x:c r="R779" s="84" t="str">
        <x:v>Symphyotrichum lanceolatum subsp. lanceolatum</x:v>
      </x:c>
      <x:c r="S779" s="84" t="str">
        <x:v>3102728</x:v>
      </x:c>
      <x:c r="T779" s="84" t="str">
        <x:v>3102728</x:v>
      </x:c>
      <x:c r="U779" s="84" t="str">
        <x:v>77180710-1</x:v>
      </x:c>
      <x:c r="V779" s="84" t="str">
        <x:v>77180710-1</x:v>
      </x:c>
      <x:c r="W779" s="84" t="str"/>
    </x:row>
    <x:row r="780" ht="18" customHeight="1">
      <x:c r="A780" s="83" t="str">
        <x:v>HAYS-0779</x:v>
      </x:c>
      <x:c r="B780" s="87" t="str">
        <x:v>Symphyotrichum oblongifolium</x:v>
      </x:c>
      <x:c r="C780" s="87" t="str">
        <x:v>Symphyotrichum oblongifolium</x:v>
      </x:c>
      <x:c r="D780" s="84" t="str">
        <x:v>Asteraceae</x:v>
      </x:c>
      <x:c r="E780" s="84" t="str">
        <x:v>Symphyotrichum</x:v>
      </x:c>
      <x:c r="F780" s="84" t="str">
        <x:v>Species</x:v>
      </x:c>
      <x:c r="G780" s="84" t="str">
        <x:v>Accepted</x:v>
      </x:c>
      <x:c r="H780" s="84" t="str">
        <x:v>Aromatic Aster, Aromatic American Aster, Fall Aster, Wild Blue Aster, Shale Aster</x:v>
      </x:c>
      <x:c r="I780" s="84" t="str">
        <x:v>Perennial</x:v>
      </x:c>
      <x:c r="J780" s="84" t="str">
        <x:v>Herb</x:v>
      </x:c>
      <x:c r="K780" s="84" t="str">
        <x:v>Sun</x:v>
      </x:c>
      <x:c r="L780" s="84" t="str">
        <x:v>Low</x:v>
      </x:c>
      <x:c r="M780" s="89" t="n">
        <x:v>1</x:v>
      </x:c>
      <x:c r="N780" s="89" t="n">
        <x:v>1</x:v>
      </x:c>
      <x:c r="O780" s="89" t="n">
        <x:v>1</x:v>
      </x:c>
      <x:c r="P780" s="89" t="n">
        <x:f>SUM(M780:O780)</x:f>
        <x:v>3</x:v>
      </x:c>
      <x:c r="Q780" s="84" t="str">
        <x:v>Exact accepted-name match</x:v>
      </x:c>
      <x:c r="R780" s="84" t="str">
        <x:v>Symphyotrichum oblongifolium</x:v>
      </x:c>
      <x:c r="S780" s="84" t="str">
        <x:v>3103632</x:v>
      </x:c>
      <x:c r="T780" s="84" t="str">
        <x:v>3103632</x:v>
      </x:c>
      <x:c r="U780" s="84" t="str">
        <x:v>981868-1</x:v>
      </x:c>
      <x:c r="V780" s="84" t="str">
        <x:v>981868-1</x:v>
      </x:c>
      <x:c r="W780" s="84" t="str"/>
    </x:row>
    <x:row r="781" ht="18" customHeight="1">
      <x:c r="A781" s="83" t="str">
        <x:v>HAYS-0780</x:v>
      </x:c>
      <x:c r="B781" s="87" t="str">
        <x:v>Symphyotrichum patens</x:v>
      </x:c>
      <x:c r="C781" s="87" t="str">
        <x:v>Symphyotrichum patens</x:v>
      </x:c>
      <x:c r="D781" s="84" t="str">
        <x:v>Asteraceae</x:v>
      </x:c>
      <x:c r="E781" s="84" t="str">
        <x:v>Symphyotrichum</x:v>
      </x:c>
      <x:c r="F781" s="84" t="str">
        <x:v>Species</x:v>
      </x:c>
      <x:c r="G781" s="84" t="str">
        <x:v>Accepted</x:v>
      </x:c>
      <x:c r="H781" s="84" t="str">
        <x:v>Late Purple Aster</x:v>
      </x:c>
      <x:c r="I781" s="84" t="str">
        <x:v>Perennial</x:v>
      </x:c>
      <x:c r="J781" s="84" t="str">
        <x:v>Herb</x:v>
      </x:c>
      <x:c r="K781" s="84" t="str"/>
      <x:c r="L781" s="84" t="str"/>
      <x:c r="M781" s="89" t="n">
        <x:v>1</x:v>
      </x:c>
      <x:c r="N781" s="89" t="n">
        <x:v>1</x:v>
      </x:c>
      <x:c r="O781" s="89" t="n">
        <x:v>0</x:v>
      </x:c>
      <x:c r="P781" s="89" t="n">
        <x:f>SUM(M781:O781)</x:f>
        <x:v>2</x:v>
      </x:c>
      <x:c r="Q781" s="84" t="str">
        <x:v>Exact accepted-name match</x:v>
      </x:c>
      <x:c r="R781" s="84" t="str">
        <x:v>Symphyotrichum patens</x:v>
      </x:c>
      <x:c r="S781" s="84" t="str">
        <x:v>3103694</x:v>
      </x:c>
      <x:c r="T781" s="84" t="str">
        <x:v>3103694</x:v>
      </x:c>
      <x:c r="U781" s="84" t="str">
        <x:v>981873-1</x:v>
      </x:c>
      <x:c r="V781" s="84" t="str">
        <x:v>981873-1</x:v>
      </x:c>
      <x:c r="W781" s="84" t="str"/>
    </x:row>
    <x:row r="782" ht="18" customHeight="1">
      <x:c r="A782" s="83" t="str">
        <x:v>HAYS-0781</x:v>
      </x:c>
      <x:c r="B782" s="87" t="str">
        <x:v>Symphyotrichum praealtum</x:v>
      </x:c>
      <x:c r="C782" s="87" t="str">
        <x:v>Symphyotrichum praealtum</x:v>
      </x:c>
      <x:c r="D782" s="84" t="str">
        <x:v>Asteraceae</x:v>
      </x:c>
      <x:c r="E782" s="84" t="str">
        <x:v>Symphyotrichum</x:v>
      </x:c>
      <x:c r="F782" s="84" t="str">
        <x:v>Species</x:v>
      </x:c>
      <x:c r="G782" s="84" t="str">
        <x:v>Accepted</x:v>
      </x:c>
      <x:c r="H782" s="84" t="str">
        <x:v>Willowleaf Aster</x:v>
      </x:c>
      <x:c r="I782" s="84" t="str">
        <x:v>Perennial</x:v>
      </x:c>
      <x:c r="J782" s="84" t="str">
        <x:v>Herb</x:v>
      </x:c>
      <x:c r="K782" s="84" t="str">
        <x:v>Sun</x:v>
      </x:c>
      <x:c r="L782" s="84" t="str">
        <x:v>Medium</x:v>
      </x:c>
      <x:c r="M782" s="89" t="n">
        <x:v>0</x:v>
      </x:c>
      <x:c r="N782" s="89" t="n">
        <x:v>0</x:v>
      </x:c>
      <x:c r="O782" s="89" t="n">
        <x:v>1</x:v>
      </x:c>
      <x:c r="P782" s="89" t="n">
        <x:f>SUM(M782:O782)</x:f>
        <x:v>1</x:v>
      </x:c>
      <x:c r="Q782" s="84" t="str">
        <x:v>Exact accepted-name match</x:v>
      </x:c>
      <x:c r="R782" s="84" t="str">
        <x:v>Symphyotrichum praealtum</x:v>
      </x:c>
      <x:c r="S782" s="84" t="str">
        <x:v>3103752</x:v>
      </x:c>
      <x:c r="T782" s="84" t="str">
        <x:v>3103752</x:v>
      </x:c>
      <x:c r="U782" s="84" t="str">
        <x:v>981883-1</x:v>
      </x:c>
      <x:c r="V782" s="84" t="str">
        <x:v>981883-1</x:v>
      </x:c>
      <x:c r="W782" s="84" t="str"/>
    </x:row>
    <x:row r="783" ht="18" customHeight="1">
      <x:c r="A783" s="83" t="str">
        <x:v>HAYS-0782</x:v>
      </x:c>
      <x:c r="B783" s="87" t="str">
        <x:v>Symphyotrichum sericeum</x:v>
      </x:c>
      <x:c r="C783" s="87" t="str">
        <x:v>Symphyotrichum sericeum</x:v>
      </x:c>
      <x:c r="D783" s="84" t="str">
        <x:v>Asteraceae</x:v>
      </x:c>
      <x:c r="E783" s="84" t="str">
        <x:v>Symphyotrichum</x:v>
      </x:c>
      <x:c r="F783" s="84" t="str">
        <x:v>Species</x:v>
      </x:c>
      <x:c r="G783" s="84" t="str">
        <x:v>Accepted</x:v>
      </x:c>
      <x:c r="H783" s="84" t="str">
        <x:v>Western Silver Aster, Western Silver American-aster, Silky Aster</x:v>
      </x:c>
      <x:c r="I783" s="84" t="str">
        <x:v>Perennial</x:v>
      </x:c>
      <x:c r="J783" s="84" t="str">
        <x:v>Herb</x:v>
      </x:c>
      <x:c r="K783" s="84" t="str">
        <x:v>Sun, Part-shade</x:v>
      </x:c>
      <x:c r="L783" s="84" t="str">
        <x:v>Dry</x:v>
      </x:c>
      <x:c r="M783" s="89" t="n">
        <x:v>1</x:v>
      </x:c>
      <x:c r="N783" s="89" t="n">
        <x:v>1</x:v>
      </x:c>
      <x:c r="O783" s="89" t="n">
        <x:v>0</x:v>
      </x:c>
      <x:c r="P783" s="89" t="n">
        <x:f>SUM(M783:O783)</x:f>
        <x:v>2</x:v>
      </x:c>
      <x:c r="Q783" s="84" t="str">
        <x:v>Exact accepted-name match</x:v>
      </x:c>
      <x:c r="R783" s="84" t="str">
        <x:v>Symphyotrichum sericeum</x:v>
      </x:c>
      <x:c r="S783" s="84" t="str">
        <x:v>3103806</x:v>
      </x:c>
      <x:c r="T783" s="84" t="str">
        <x:v>3103806</x:v>
      </x:c>
      <x:c r="U783" s="84" t="str">
        <x:v>981898-1</x:v>
      </x:c>
      <x:c r="V783" s="84" t="str">
        <x:v>981898-1</x:v>
      </x:c>
      <x:c r="W783" s="84" t="str"/>
    </x:row>
    <x:row r="784" ht="18" customHeight="1">
      <x:c r="A784" s="83" t="str">
        <x:v>HAYS-0783</x:v>
      </x:c>
      <x:c r="B784" s="87" t="str">
        <x:v>Symphyotrichum subulatum</x:v>
      </x:c>
      <x:c r="C784" s="87" t="str">
        <x:v>Symphyotrichum subulatum</x:v>
      </x:c>
      <x:c r="D784" s="84" t="str">
        <x:v>Asteraceae</x:v>
      </x:c>
      <x:c r="E784" s="84" t="str">
        <x:v>Symphyotrichum</x:v>
      </x:c>
      <x:c r="F784" s="84" t="str">
        <x:v>Species</x:v>
      </x:c>
      <x:c r="G784" s="84" t="str">
        <x:v>Accepted</x:v>
      </x:c>
      <x:c r="H784" s="84" t="str">
        <x:v>Eastern Annual Saltmarsh Aster, Baby's Breath Aster, Annual Aster, Blackland Aster, Hierba Del Marrano</x:v>
      </x:c>
      <x:c r="I784" s="84" t="str">
        <x:v>Annual, Biennial</x:v>
      </x:c>
      <x:c r="J784" s="84" t="str">
        <x:v>Herb</x:v>
      </x:c>
      <x:c r="K784" s="84" t="str">
        <x:v>Shade, Part-shade</x:v>
      </x:c>
      <x:c r="L784" s="84" t="str">
        <x:v>Moist</x:v>
      </x:c>
      <x:c r="M784" s="89" t="n">
        <x:v>1</x:v>
      </x:c>
      <x:c r="N784" s="89" t="n">
        <x:v>1</x:v>
      </x:c>
      <x:c r="O784" s="89" t="n">
        <x:v>0</x:v>
      </x:c>
      <x:c r="P784" s="89" t="n">
        <x:f>SUM(M784:O784)</x:f>
        <x:v>2</x:v>
      </x:c>
      <x:c r="Q784" s="84" t="str">
        <x:v>Exact accepted-name match</x:v>
      </x:c>
      <x:c r="R784" s="84" t="str">
        <x:v>Symphyotrichum subulatum</x:v>
      </x:c>
      <x:c r="S784" s="84" t="str">
        <x:v>3103855</x:v>
      </x:c>
      <x:c r="T784" s="84" t="str">
        <x:v>3103855</x:v>
      </x:c>
      <x:c r="U784" s="84" t="str">
        <x:v>981909-1</x:v>
      </x:c>
      <x:c r="V784" s="84" t="str">
        <x:v>981909-1</x:v>
      </x:c>
      <x:c r="W784" s="84" t="str"/>
    </x:row>
    <x:row r="785" ht="18" customHeight="1">
      <x:c r="A785" s="83" t="str">
        <x:v>HAYS-0784</x:v>
      </x:c>
      <x:c r="B785" s="87" t="str">
        <x:v>Taxodium distichum</x:v>
      </x:c>
      <x:c r="C785" s="87" t="str">
        <x:v>Taxodium distichum</x:v>
      </x:c>
      <x:c r="D785" s="84" t="str">
        <x:v>Cupressaceae</x:v>
      </x:c>
      <x:c r="E785" s="84" t="str">
        <x:v>Taxodium</x:v>
      </x:c>
      <x:c r="F785" s="84" t="str">
        <x:v>Species</x:v>
      </x:c>
      <x:c r="G785" s="84" t="str">
        <x:v>Accepted</x:v>
      </x:c>
      <x:c r="H785" s="84" t="str">
        <x:v>Bald Cypress, Baldcypress, Common Bald Cypress, Southern Bald Cypress, Deciduous Cypress, Southern Cypress, Swamp Cypress, Red Cypress, White Cypress, Yellow Cypress, Gulf Cypress, Tidewater Red Cypress</x:v>
      </x:c>
      <x:c r="I785" s="84" t="str">
        <x:v>Perennial</x:v>
      </x:c>
      <x:c r="J785" s="84" t="str">
        <x:v>Tree</x:v>
      </x:c>
      <x:c r="K785" s="84" t="str">
        <x:v>Sun, Part Shade</x:v>
      </x:c>
      <x:c r="L785" s="84" t="str">
        <x:v>Medium</x:v>
      </x:c>
      <x:c r="M785" s="89" t="n">
        <x:v>1</x:v>
      </x:c>
      <x:c r="N785" s="89" t="n">
        <x:v>1</x:v>
      </x:c>
      <x:c r="O785" s="89" t="n">
        <x:v>1</x:v>
      </x:c>
      <x:c r="P785" s="89" t="n">
        <x:f>SUM(M785:O785)</x:f>
        <x:v>3</x:v>
      </x:c>
      <x:c r="Q785" s="84" t="str">
        <x:v>Exact accepted-name match</x:v>
      </x:c>
      <x:c r="R785" s="84" t="str">
        <x:v>Taxodium distichum</x:v>
      </x:c>
      <x:c r="S785" s="84" t="str">
        <x:v>378596</x:v>
      </x:c>
      <x:c r="T785" s="84" t="str">
        <x:v>378596</x:v>
      </x:c>
      <x:c r="U785" s="84" t="str">
        <x:v>30052311-2</x:v>
      </x:c>
      <x:c r="V785" s="84" t="str">
        <x:v>30052311-2</x:v>
      </x:c>
      <x:c r="W785" s="84" t="str"/>
    </x:row>
    <x:row r="786" ht="18" customHeight="1">
      <x:c r="A786" s="83" t="str">
        <x:v>HAYS-0785</x:v>
      </x:c>
      <x:c r="B786" s="87" t="str">
        <x:v>Tecoma stans</x:v>
      </x:c>
      <x:c r="C786" s="87" t="str">
        <x:v>Tecoma stans</x:v>
      </x:c>
      <x:c r="D786" s="84" t="str">
        <x:v>Bignoniaceae</x:v>
      </x:c>
      <x:c r="E786" s="84" t="str">
        <x:v>Tecoma</x:v>
      </x:c>
      <x:c r="F786" s="84" t="str">
        <x:v>Species</x:v>
      </x:c>
      <x:c r="G786" s="84" t="str">
        <x:v>Accepted</x:v>
      </x:c>
      <x:c r="H786" s="84" t="str">
        <x:v>Yellow Bells</x:v>
      </x:c>
      <x:c r="I786" s="84" t="str">
        <x:v>Perennial</x:v>
      </x:c>
      <x:c r="J786" s="84" t="str">
        <x:v>Shrub</x:v>
      </x:c>
      <x:c r="K786" s="84" t="str">
        <x:v>Sun</x:v>
      </x:c>
      <x:c r="L786" s="84" t="str">
        <x:v>Low</x:v>
      </x:c>
      <x:c r="M786" s="89" t="n">
        <x:v>1</x:v>
      </x:c>
      <x:c r="N786" s="89" t="n">
        <x:v>1</x:v>
      </x:c>
      <x:c r="O786" s="89" t="n">
        <x:v>1</x:v>
      </x:c>
      <x:c r="P786" s="89" t="n">
        <x:f>SUM(M786:O786)</x:f>
        <x:v>3</x:v>
      </x:c>
      <x:c r="Q786" s="84" t="str">
        <x:v>Exact accepted-name match</x:v>
      </x:c>
      <x:c r="R786" s="84" t="str">
        <x:v>Tecoma stans</x:v>
      </x:c>
      <x:c r="S786" s="84" t="str">
        <x:v>318412</x:v>
      </x:c>
      <x:c r="T786" s="84" t="str">
        <x:v>318412</x:v>
      </x:c>
      <x:c r="U786" s="84" t="str">
        <x:v>111284-1</x:v>
      </x:c>
      <x:c r="V786" s="84" t="str">
        <x:v>111284-1</x:v>
      </x:c>
      <x:c r="W786" s="84" t="str"/>
    </x:row>
    <x:row r="787" ht="18" customHeight="1">
      <x:c r="A787" s="83" t="str">
        <x:v>HAYS-0786</x:v>
      </x:c>
      <x:c r="B787" s="87" t="str">
        <x:v>Tephrosia lindheimeri</x:v>
      </x:c>
      <x:c r="C787" s="87" t="str">
        <x:v>Tephrosia lindheimeri</x:v>
      </x:c>
      <x:c r="D787" s="84" t="str">
        <x:v>Fabaceae</x:v>
      </x:c>
      <x:c r="E787" s="84" t="str">
        <x:v>Tephrosia</x:v>
      </x:c>
      <x:c r="F787" s="84" t="str">
        <x:v>Species</x:v>
      </x:c>
      <x:c r="G787" s="84" t="str">
        <x:v>Accepted</x:v>
      </x:c>
      <x:c r="H787" s="84" t="str">
        <x:v>Lindheimer's Hoarypea, Hoary Pea, Lindheimer Tephrosia</x:v>
      </x:c>
      <x:c r="I787" s="84" t="str">
        <x:v>Perennial</x:v>
      </x:c>
      <x:c r="J787" s="84" t="str">
        <x:v>Subshrub</x:v>
      </x:c>
      <x:c r="K787" s="84" t="str">
        <x:v>Part-shade</x:v>
      </x:c>
      <x:c r="L787" s="84" t="str">
        <x:v>Dry</x:v>
      </x:c>
      <x:c r="M787" s="89" t="n">
        <x:v>1</x:v>
      </x:c>
      <x:c r="N787" s="89" t="n">
        <x:v>1</x:v>
      </x:c>
      <x:c r="O787" s="89" t="n">
        <x:v>0</x:v>
      </x:c>
      <x:c r="P787" s="89" t="n">
        <x:f>SUM(M787:O787)</x:f>
        <x:v>2</x:v>
      </x:c>
      <x:c r="Q787" s="84" t="str">
        <x:v>Exact accepted-name match</x:v>
      </x:c>
      <x:c r="R787" s="84" t="str">
        <x:v>Tephrosia lindheimeri</x:v>
      </x:c>
      <x:c r="S787" s="84" t="str">
        <x:v>2444477</x:v>
      </x:c>
      <x:c r="T787" s="84" t="str">
        <x:v>2444477</x:v>
      </x:c>
      <x:c r="U787" s="84" t="str">
        <x:v>520697-1</x:v>
      </x:c>
      <x:c r="V787" s="84" t="str">
        <x:v>520697-1</x:v>
      </x:c>
      <x:c r="W787" s="84" t="str"/>
    </x:row>
    <x:row r="788" ht="18" customHeight="1">
      <x:c r="A788" s="83" t="str">
        <x:v>HAYS-0787</x:v>
      </x:c>
      <x:c r="B788" s="87" t="str">
        <x:v>Tephrosia potosina</x:v>
      </x:c>
      <x:c r="C788" s="87" t="str">
        <x:v>Tephrosia potosina</x:v>
      </x:c>
      <x:c r="D788" s="84" t="str">
        <x:v>Fabaceae</x:v>
      </x:c>
      <x:c r="E788" s="84" t="str">
        <x:v>Tephrosia</x:v>
      </x:c>
      <x:c r="F788" s="84" t="str">
        <x:v>Species</x:v>
      </x:c>
      <x:c r="G788" s="84" t="str">
        <x:v>Accepted</x:v>
      </x:c>
      <x:c r="H788" s="84" t="str">
        <x:v>Edwards Plateau Hoarypea</x:v>
      </x:c>
      <x:c r="I788" s="84" t="str">
        <x:v>Perennial</x:v>
      </x:c>
      <x:c r="J788" s="84" t="str">
        <x:v>Herb, Subshrub</x:v>
      </x:c>
      <x:c r="K788" s="84" t="str"/>
      <x:c r="L788" s="84" t="str"/>
      <x:c r="M788" s="89" t="n">
        <x:v>1</x:v>
      </x:c>
      <x:c r="N788" s="89" t="n">
        <x:v>1</x:v>
      </x:c>
      <x:c r="O788" s="89" t="n">
        <x:v>0</x:v>
      </x:c>
      <x:c r="P788" s="89" t="n">
        <x:f>SUM(M788:O788)</x:f>
        <x:v>2</x:v>
      </x:c>
      <x:c r="Q788" s="84" t="str">
        <x:v>Exact accepted-name match</x:v>
      </x:c>
      <x:c r="R788" s="84" t="str">
        <x:v>Tephrosia potosina</x:v>
      </x:c>
      <x:c r="S788" s="84" t="str">
        <x:v>2444943</x:v>
      </x:c>
      <x:c r="T788" s="84" t="str">
        <x:v>2444943</x:v>
      </x:c>
      <x:c r="U788" s="84" t="str">
        <x:v>250405-2</x:v>
      </x:c>
      <x:c r="V788" s="84" t="str">
        <x:v>250405-2</x:v>
      </x:c>
      <x:c r="W788" s="84" t="str"/>
    </x:row>
    <x:row r="789" ht="18" customHeight="1">
      <x:c r="A789" s="83" t="str">
        <x:v>HAYS-0788</x:v>
      </x:c>
      <x:c r="B789" s="87" t="str">
        <x:v>Tetragonotheca texana</x:v>
      </x:c>
      <x:c r="C789" s="87" t="str">
        <x:v>Tetragonotheca texana</x:v>
      </x:c>
      <x:c r="D789" s="84" t="str">
        <x:v>Asteraceae</x:v>
      </x:c>
      <x:c r="E789" s="84" t="str">
        <x:v>Tetragonotheca</x:v>
      </x:c>
      <x:c r="F789" s="84" t="str">
        <x:v>Species</x:v>
      </x:c>
      <x:c r="G789" s="84" t="str">
        <x:v>Accepted</x:v>
      </x:c>
      <x:c r="H789" s="84" t="str">
        <x:v>Squarebud Daisy, Nerve-ray, Square-bud Daisy</x:v>
      </x:c>
      <x:c r="I789" s="84" t="str">
        <x:v>Perennial</x:v>
      </x:c>
      <x:c r="J789" s="84" t="str">
        <x:v>Herb</x:v>
      </x:c>
      <x:c r="K789" s="84" t="str">
        <x:v>Sun</x:v>
      </x:c>
      <x:c r="L789" s="84" t="str">
        <x:v>Dry</x:v>
      </x:c>
      <x:c r="M789" s="89" t="n">
        <x:v>1</x:v>
      </x:c>
      <x:c r="N789" s="89" t="n">
        <x:v>1</x:v>
      </x:c>
      <x:c r="O789" s="89" t="n">
        <x:v>0</x:v>
      </x:c>
      <x:c r="P789" s="89" t="n">
        <x:f>SUM(M789:O789)</x:f>
        <x:v>2</x:v>
      </x:c>
      <x:c r="Q789" s="84" t="str">
        <x:v>Exact accepted-name match</x:v>
      </x:c>
      <x:c r="R789" s="84" t="str">
        <x:v>Tetragonotheca texana</x:v>
      </x:c>
      <x:c r="S789" s="84" t="str">
        <x:v>3124858</x:v>
      </x:c>
      <x:c r="T789" s="84" t="str">
        <x:v>3124858</x:v>
      </x:c>
      <x:c r="U789" s="84" t="str">
        <x:v>255361-1</x:v>
      </x:c>
      <x:c r="V789" s="84" t="str">
        <x:v>255361-1</x:v>
      </x:c>
      <x:c r="W789" s="84" t="str"/>
    </x:row>
    <x:row r="790" ht="18" customHeight="1">
      <x:c r="A790" s="83" t="str">
        <x:v>HAYS-0789</x:v>
      </x:c>
      <x:c r="B790" s="87" t="str">
        <x:v>Tetraneuris acaulis</x:v>
      </x:c>
      <x:c r="C790" s="87" t="str">
        <x:v>Tetraneuris acaulis</x:v>
      </x:c>
      <x:c r="D790" s="84" t="str">
        <x:v>Asteraceae</x:v>
      </x:c>
      <x:c r="E790" s="84" t="str">
        <x:v>Tetraneuris</x:v>
      </x:c>
      <x:c r="F790" s="84" t="str">
        <x:v>Species</x:v>
      </x:c>
      <x:c r="G790" s="84" t="str">
        <x:v>Accepted</x:v>
      </x:c>
      <x:c r="H790" s="84" t="str">
        <x:v>Stemless Four-nerve Daisy, Stemless Hymenoxys, Bitterweed</x:v>
      </x:c>
      <x:c r="I790" s="84" t="str">
        <x:v>Perennial</x:v>
      </x:c>
      <x:c r="J790" s="84" t="str">
        <x:v>Herb</x:v>
      </x:c>
      <x:c r="K790" s="84" t="str"/>
      <x:c r="L790" s="84" t="str"/>
      <x:c r="M790" s="89" t="n">
        <x:v>1</x:v>
      </x:c>
      <x:c r="N790" s="89" t="n">
        <x:v>1</x:v>
      </x:c>
      <x:c r="O790" s="89" t="n">
        <x:v>0</x:v>
      </x:c>
      <x:c r="P790" s="89" t="n">
        <x:f>SUM(M790:O790)</x:f>
        <x:v>2</x:v>
      </x:c>
      <x:c r="Q790" s="84" t="str">
        <x:v>Exact accepted-name match</x:v>
      </x:c>
      <x:c r="R790" s="84" t="str">
        <x:v>Tetraneuris acaulis</x:v>
      </x:c>
      <x:c r="S790" s="84" t="str">
        <x:v>3116014</x:v>
      </x:c>
      <x:c r="T790" s="84" t="str">
        <x:v>3116014</x:v>
      </x:c>
      <x:c r="U790" s="84" t="str">
        <x:v>251749-2</x:v>
      </x:c>
      <x:c r="V790" s="84" t="str">
        <x:v>251749-2</x:v>
      </x:c>
      <x:c r="W790" s="84" t="str"/>
    </x:row>
    <x:row r="791" ht="18" customHeight="1">
      <x:c r="A791" s="83" t="str">
        <x:v>HAYS-0790</x:v>
      </x:c>
      <x:c r="B791" s="87" t="str">
        <x:v>Tetraneuris linearifolia</x:v>
      </x:c>
      <x:c r="C791" s="87" t="str">
        <x:v>Tetraneuris linearifolia</x:v>
      </x:c>
      <x:c r="D791" s="84" t="str">
        <x:v>Asteraceae</x:v>
      </x:c>
      <x:c r="E791" s="84" t="str">
        <x:v>Tetraneuris</x:v>
      </x:c>
      <x:c r="F791" s="84" t="str">
        <x:v>Species</x:v>
      </x:c>
      <x:c r="G791" s="84" t="str">
        <x:v>Accepted</x:v>
      </x:c>
      <x:c r="H791" s="84" t="str">
        <x:v>Fineleaf Fournerved Daisy, Slender-leaf Hymenoxys, Bitterweed</x:v>
      </x:c>
      <x:c r="I791" s="84" t="str">
        <x:v>Annual</x:v>
      </x:c>
      <x:c r="J791" s="84" t="str">
        <x:v>Herb</x:v>
      </x:c>
      <x:c r="K791" s="84" t="str"/>
      <x:c r="L791" s="84" t="str"/>
      <x:c r="M791" s="89" t="n">
        <x:v>1</x:v>
      </x:c>
      <x:c r="N791" s="89" t="n">
        <x:v>1</x:v>
      </x:c>
      <x:c r="O791" s="89" t="n">
        <x:v>0</x:v>
      </x:c>
      <x:c r="P791" s="89" t="n">
        <x:f>SUM(M791:O791)</x:f>
        <x:v>2</x:v>
      </x:c>
      <x:c r="Q791" s="84" t="str">
        <x:v>Exact accepted-name match</x:v>
      </x:c>
      <x:c r="R791" s="84" t="str">
        <x:v>Tetraneuris linearifolia</x:v>
      </x:c>
      <x:c r="S791" s="84" t="str">
        <x:v>3116065</x:v>
      </x:c>
      <x:c r="T791" s="84" t="str">
        <x:v>3116065</x:v>
      </x:c>
      <x:c r="U791" s="84" t="str">
        <x:v>251775-2</x:v>
      </x:c>
      <x:c r="V791" s="84" t="str">
        <x:v>251775-2</x:v>
      </x:c>
      <x:c r="W791" s="84" t="str"/>
    </x:row>
    <x:row r="792" ht="18" customHeight="1">
      <x:c r="A792" s="83" t="str">
        <x:v>HAYS-0791</x:v>
      </x:c>
      <x:c r="B792" s="87" t="str">
        <x:v>Tetraneuris scaposa</x:v>
      </x:c>
      <x:c r="C792" s="87" t="str">
        <x:v>Tetraneuris scaposa</x:v>
      </x:c>
      <x:c r="D792" s="84" t="str">
        <x:v>Asteraceae</x:v>
      </x:c>
      <x:c r="E792" s="84" t="str">
        <x:v>Tetraneuris</x:v>
      </x:c>
      <x:c r="F792" s="84" t="str">
        <x:v>Species</x:v>
      </x:c>
      <x:c r="G792" s="84" t="str">
        <x:v>Accepted</x:v>
      </x:c>
      <x:c r="H792" s="84" t="str">
        <x:v>Four-nerve Daisy, Hymenoxys, Stemmy Four-nerve Daisy, Yellow Daisy, Bitterweed</x:v>
      </x:c>
      <x:c r="I792" s="84" t="str">
        <x:v>Perennial</x:v>
      </x:c>
      <x:c r="J792" s="84" t="str">
        <x:v>Herb</x:v>
      </x:c>
      <x:c r="K792" s="84" t="str">
        <x:v>Sun</x:v>
      </x:c>
      <x:c r="L792" s="84" t="str">
        <x:v>Low</x:v>
      </x:c>
      <x:c r="M792" s="89" t="n">
        <x:v>0</x:v>
      </x:c>
      <x:c r="N792" s="89" t="n">
        <x:v>0</x:v>
      </x:c>
      <x:c r="O792" s="89" t="n">
        <x:v>1</x:v>
      </x:c>
      <x:c r="P792" s="89" t="n">
        <x:f>SUM(M792:O792)</x:f>
        <x:v>1</x:v>
      </x:c>
      <x:c r="Q792" s="84" t="str">
        <x:v>Exact accepted-name match</x:v>
      </x:c>
      <x:c r="R792" s="84" t="str">
        <x:v>Tetraneuris scaposa</x:v>
      </x:c>
      <x:c r="S792" s="84" t="str">
        <x:v>3116090</x:v>
      </x:c>
      <x:c r="T792" s="84" t="str">
        <x:v>3116090</x:v>
      </x:c>
      <x:c r="U792" s="84" t="str">
        <x:v>251784-2</x:v>
      </x:c>
      <x:c r="V792" s="84" t="str">
        <x:v>251784-2</x:v>
      </x:c>
      <x:c r="W792" s="84" t="str"/>
    </x:row>
    <x:row r="793" ht="18" customHeight="1">
      <x:c r="A793" s="83" t="str">
        <x:v>HAYS-0792</x:v>
      </x:c>
      <x:c r="B793" s="87" t="str">
        <x:v>Tetraneuris scaposa var. scaposa</x:v>
      </x:c>
      <x:c r="C793" s="87" t="str">
        <x:v>Tetraneuris scaposa var. scaposa</x:v>
      </x:c>
      <x:c r="D793" s="84" t="str">
        <x:v>Asteraceae</x:v>
      </x:c>
      <x:c r="E793" s="84" t="str">
        <x:v>Tetraneuris</x:v>
      </x:c>
      <x:c r="F793" s="84" t="str">
        <x:v>Variety</x:v>
      </x:c>
      <x:c r="G793" s="84" t="str">
        <x:v>Accepted</x:v>
      </x:c>
      <x:c r="H793" s="84" t="str">
        <x:v>Four-nerve Daisy, Hymenoxys, Stemmy Four-nerve Daisy, Bitterweed</x:v>
      </x:c>
      <x:c r="I793" s="84" t="str">
        <x:v>Perennial</x:v>
      </x:c>
      <x:c r="J793" s="84" t="str">
        <x:v>Herb</x:v>
      </x:c>
      <x:c r="K793" s="84" t="str">
        <x:v>Sun</x:v>
      </x:c>
      <x:c r="L793" s="84" t="str">
        <x:v>Dry</x:v>
      </x:c>
      <x:c r="M793" s="89" t="n">
        <x:v>1</x:v>
      </x:c>
      <x:c r="N793" s="89" t="n">
        <x:v>1</x:v>
      </x:c>
      <x:c r="O793" s="89" t="n">
        <x:v>0</x:v>
      </x:c>
      <x:c r="P793" s="89" t="n">
        <x:f>SUM(M793:O793)</x:f>
        <x:v>2</x:v>
      </x:c>
      <x:c r="Q793" s="84" t="str">
        <x:v>Exact accepted-name match</x:v>
      </x:c>
      <x:c r="R793" s="84" t="str">
        <x:v>Tetraneuris scaposa var. scaposa</x:v>
      </x:c>
      <x:c r="S793" s="84" t="str">
        <x:v>3267214</x:v>
      </x:c>
      <x:c r="T793" s="84" t="str">
        <x:v>3267214</x:v>
      </x:c>
      <x:c r="U793" s="84" t="str">
        <x:v>77233271-1</x:v>
      </x:c>
      <x:c r="V793" s="84" t="str">
        <x:v>77233271-1</x:v>
      </x:c>
      <x:c r="W793" s="84" t="str"/>
    </x:row>
    <x:row r="794" ht="18" customHeight="1">
      <x:c r="A794" s="83" t="str">
        <x:v>HAYS-0793</x:v>
      </x:c>
      <x:c r="B794" s="87" t="str">
        <x:v>Teucrium canadense</x:v>
      </x:c>
      <x:c r="C794" s="87" t="str">
        <x:v>Teucrium canadense</x:v>
      </x:c>
      <x:c r="D794" s="84" t="str">
        <x:v>Lamiaceae</x:v>
      </x:c>
      <x:c r="E794" s="84" t="str">
        <x:v>Teucrium</x:v>
      </x:c>
      <x:c r="F794" s="84" t="str">
        <x:v>Species</x:v>
      </x:c>
      <x:c r="G794" s="84" t="str">
        <x:v>Accepted</x:v>
      </x:c>
      <x:c r="H794" s="84" t="str">
        <x:v>American Germander, Canada Germander, Canadian Germander, Germander, Hairy Germander, Wood Sage</x:v>
      </x:c>
      <x:c r="I794" s="84" t="str">
        <x:v>Perennial</x:v>
      </x:c>
      <x:c r="J794" s="84" t="str">
        <x:v>Herb</x:v>
      </x:c>
      <x:c r="K794" s="84" t="str">
        <x:v>Sun, Part Shade</x:v>
      </x:c>
      <x:c r="L794" s="84" t="str">
        <x:v>Medium</x:v>
      </x:c>
      <x:c r="M794" s="89" t="n">
        <x:v>1</x:v>
      </x:c>
      <x:c r="N794" s="89" t="n">
        <x:v>1</x:v>
      </x:c>
      <x:c r="O794" s="89" t="n">
        <x:v>1</x:v>
      </x:c>
      <x:c r="P794" s="89" t="n">
        <x:f>SUM(M794:O794)</x:f>
        <x:v>3</x:v>
      </x:c>
      <x:c r="Q794" s="84" t="str">
        <x:v>Exact accepted-name match</x:v>
      </x:c>
      <x:c r="R794" s="84" t="str">
        <x:v>Teucrium canadense</x:v>
      </x:c>
      <x:c r="S794" s="84" t="str">
        <x:v>202732</x:v>
      </x:c>
      <x:c r="T794" s="84" t="str">
        <x:v>202732</x:v>
      </x:c>
      <x:c r="U794" s="84" t="str">
        <x:v>30057247-2</x:v>
      </x:c>
      <x:c r="V794" s="84" t="str">
        <x:v>30057247-2</x:v>
      </x:c>
      <x:c r="W794" s="84" t="str"/>
    </x:row>
    <x:row r="795" ht="18" customHeight="1">
      <x:c r="A795" s="83" t="str">
        <x:v>HAYS-0794</x:v>
      </x:c>
      <x:c r="B795" s="87" t="str">
        <x:v>Teucrium cubense</x:v>
      </x:c>
      <x:c r="C795" s="87" t="str">
        <x:v>Teucrium cubense</x:v>
      </x:c>
      <x:c r="D795" s="84" t="str">
        <x:v>Lamiaceae</x:v>
      </x:c>
      <x:c r="E795" s="84" t="str">
        <x:v>Teucrium</x:v>
      </x:c>
      <x:c r="F795" s="84" t="str">
        <x:v>Species</x:v>
      </x:c>
      <x:c r="G795" s="84" t="str">
        <x:v>Accepted</x:v>
      </x:c>
      <x:c r="H795" s="84" t="str">
        <x:v>Small Coastal Germander</x:v>
      </x:c>
      <x:c r="I795" s="84" t="str">
        <x:v>Perennial</x:v>
      </x:c>
      <x:c r="J795" s="84" t="str">
        <x:v>Herb</x:v>
      </x:c>
      <x:c r="K795" s="84" t="str">
        <x:v>Full Sun</x:v>
      </x:c>
      <x:c r="L795" s="84" t="str">
        <x:v>Dry to Moist</x:v>
      </x:c>
      <x:c r="M795" s="89" t="n">
        <x:v>0</x:v>
      </x:c>
      <x:c r="N795" s="89" t="n">
        <x:v>0</x:v>
      </x:c>
      <x:c r="O795" s="89" t="n">
        <x:v>1</x:v>
      </x:c>
      <x:c r="P795" s="89" t="n">
        <x:f>SUM(M795:O795)</x:f>
        <x:v>1</x:v>
      </x:c>
      <x:c r="Q795" s="84" t="str">
        <x:v>Exact accepted-name match</x:v>
      </x:c>
      <x:c r="R795" s="84" t="str">
        <x:v>Teucrium cubense</x:v>
      </x:c>
      <x:c r="S795" s="84" t="str">
        <x:v>202840</x:v>
      </x:c>
      <x:c r="T795" s="84" t="str">
        <x:v>202840</x:v>
      </x:c>
      <x:c r="U795" s="84" t="str">
        <x:v>460353-1</x:v>
      </x:c>
      <x:c r="V795" s="84" t="str">
        <x:v>460353-1</x:v>
      </x:c>
      <x:c r="W795" s="84" t="str"/>
    </x:row>
    <x:row r="796" ht="18" customHeight="1">
      <x:c r="A796" s="83" t="str">
        <x:v>HAYS-0795</x:v>
      </x:c>
      <x:c r="B796" s="87" t="str">
        <x:v>Thamnosma texana</x:v>
      </x:c>
      <x:c r="C796" s="87" t="str">
        <x:v>Thamnosma texana</x:v>
      </x:c>
      <x:c r="D796" s="84" t="str">
        <x:v>Rutaceae</x:v>
      </x:c>
      <x:c r="E796" s="84" t="str">
        <x:v>Thamnosma</x:v>
      </x:c>
      <x:c r="F796" s="84" t="str">
        <x:v>Species</x:v>
      </x:c>
      <x:c r="G796" s="84" t="str">
        <x:v>Accepted</x:v>
      </x:c>
      <x:c r="H796" s="84" t="str">
        <x:v>Texas Desert-rue, Dutchman's Breeches, Rue Of The Mountains, Ruda Del Monte</x:v>
      </x:c>
      <x:c r="I796" s="84" t="str">
        <x:v>Perennial</x:v>
      </x:c>
      <x:c r="J796" s="84" t="str">
        <x:v>Herb</x:v>
      </x:c>
      <x:c r="K796" s="84" t="str">
        <x:v>Sun</x:v>
      </x:c>
      <x:c r="L796" s="84" t="str">
        <x:v>Dry</x:v>
      </x:c>
      <x:c r="M796" s="89" t="n">
        <x:v>1</x:v>
      </x:c>
      <x:c r="N796" s="89" t="n">
        <x:v>1</x:v>
      </x:c>
      <x:c r="O796" s="89" t="n">
        <x:v>0</x:v>
      </x:c>
      <x:c r="P796" s="89" t="n">
        <x:f>SUM(M796:O796)</x:f>
        <x:v>2</x:v>
      </x:c>
      <x:c r="Q796" s="84" t="str">
        <x:v>Exact accepted-name match</x:v>
      </x:c>
      <x:c r="R796" s="84" t="str">
        <x:v>Thamnosma texana</x:v>
      </x:c>
      <x:c r="S796" s="84" t="str">
        <x:v>2514661</x:v>
      </x:c>
      <x:c r="T796" s="84" t="str">
        <x:v>2514661</x:v>
      </x:c>
      <x:c r="U796" s="84" t="str">
        <x:v>775389-1</x:v>
      </x:c>
      <x:c r="V796" s="84" t="str">
        <x:v>775389-1</x:v>
      </x:c>
      <x:c r="W796" s="84" t="str"/>
    </x:row>
    <x:row r="797" ht="18" customHeight="1">
      <x:c r="A797" s="83" t="str">
        <x:v>HAYS-0796</x:v>
      </x:c>
      <x:c r="B797" s="87" t="str">
        <x:v>Thelesperma ambiguum</x:v>
      </x:c>
      <x:c r="C797" s="87" t="str">
        <x:v>Thelesperma megapotamicum var. ambiguum</x:v>
      </x:c>
      <x:c r="D797" s="84" t="str">
        <x:v>Asteraceae</x:v>
      </x:c>
      <x:c r="E797" s="84" t="str">
        <x:v>Thelesperma</x:v>
      </x:c>
      <x:c r="F797" s="84" t="str">
        <x:v>Species</x:v>
      </x:c>
      <x:c r="G797" s="84" t="str">
        <x:v>Synonym</x:v>
      </x:c>
      <x:c r="H797" s="84" t="str">
        <x:v>Colorado Greenthread</x:v>
      </x:c>
      <x:c r="I797" s="84" t="str">
        <x:v>Perennial</x:v>
      </x:c>
      <x:c r="J797" s="84" t="str">
        <x:v>Herb</x:v>
      </x:c>
      <x:c r="K797" s="84" t="str"/>
      <x:c r="L797" s="84" t="str"/>
      <x:c r="M797" s="89" t="n">
        <x:v>1</x:v>
      </x:c>
      <x:c r="N797" s="89" t="n">
        <x:v>1</x:v>
      </x:c>
      <x:c r="O797" s="89" t="n">
        <x:v>0</x:v>
      </x:c>
      <x:c r="P797" s="89" t="n">
        <x:f>SUM(M797:O797)</x:f>
        <x:v>2</x:v>
      </x:c>
      <x:c r="Q797" s="84" t="str">
        <x:v>Exact synonym-name match</x:v>
      </x:c>
      <x:c r="R797" s="84" t="str">
        <x:v>Thelesperma ambiguum</x:v>
      </x:c>
      <x:c r="S797" s="84" t="str">
        <x:v>3117056</x:v>
      </x:c>
      <x:c r="T797" s="84" t="str">
        <x:v>3117055</x:v>
      </x:c>
      <x:c r="U797" s="84" t="str">
        <x:v>255460-1</x:v>
      </x:c>
      <x:c r="V797" s="84" t="str">
        <x:v>250998-2</x:v>
      </x:c>
      <x:c r="W797" s="84" t="str"/>
    </x:row>
    <x:row r="798" ht="18" customHeight="1">
      <x:c r="A798" s="83" t="str">
        <x:v>HAYS-0797</x:v>
      </x:c>
      <x:c r="B798" s="87" t="str">
        <x:v>Thelesperma filifolium var. filifolium</x:v>
      </x:c>
      <x:c r="C798" s="87" t="str"/>
      <x:c r="D798" s="84" t="str"/>
      <x:c r="E798" s="84" t="str">
        <x:v>Thelesperma</x:v>
      </x:c>
      <x:c r="F798" s="84" t="str"/>
      <x:c r="G798" s="84" t="str"/>
      <x:c r="H798" s="84" t="str">
        <x:v>Stiff Greenthread, Showy Navajo Tea, Greenthread</x:v>
      </x:c>
      <x:c r="I798" s="84" t="str">
        <x:v>Annual, Perennial</x:v>
      </x:c>
      <x:c r="J798" s="84" t="str">
        <x:v>Herb</x:v>
      </x:c>
      <x:c r="K798" s="84" t="str">
        <x:v>Sun</x:v>
      </x:c>
      <x:c r="L798" s="84" t="str">
        <x:v>Dry</x:v>
      </x:c>
      <x:c r="M798" s="89" t="n">
        <x:v>1</x:v>
      </x:c>
      <x:c r="N798" s="89" t="n">
        <x:v>1</x:v>
      </x:c>
      <x:c r="O798" s="89" t="n">
        <x:v>0</x:v>
      </x:c>
      <x:c r="P798" s="89" t="n">
        <x:f>SUM(M798:O798)</x:f>
        <x:v>2</x:v>
      </x:c>
      <x:c r="Q798" s="84" t="str">
        <x:v>No exact WCVP name match</x:v>
      </x:c>
      <x:c r="R798" s="84" t="str"/>
      <x:c r="S798" s="84" t="str"/>
      <x:c r="T798" s="84" t="str"/>
      <x:c r="U798" s="84" t="str"/>
      <x:c r="V798" s="84" t="str"/>
      <x:c r="W798" s="84" t="str">
        <x:v>Review</x:v>
      </x:c>
    </x:row>
    <x:row r="799" ht="18" customHeight="1">
      <x:c r="A799" s="83" t="str">
        <x:v>HAYS-0798</x:v>
      </x:c>
      <x:c r="B799" s="87" t="str">
        <x:v>Thelesperma simplicifolium</x:v>
      </x:c>
      <x:c r="C799" s="87" t="str">
        <x:v>Thelesperma simplicifolium</x:v>
      </x:c>
      <x:c r="D799" s="84" t="str">
        <x:v>Asteraceae</x:v>
      </x:c>
      <x:c r="E799" s="84" t="str">
        <x:v>Thelesperma</x:v>
      </x:c>
      <x:c r="F799" s="84" t="str">
        <x:v>Species</x:v>
      </x:c>
      <x:c r="G799" s="84" t="str">
        <x:v>Accepted</x:v>
      </x:c>
      <x:c r="H799" s="84" t="str">
        <x:v>Navajo Tea, Slender greenthread</x:v>
      </x:c>
      <x:c r="I799" s="84" t="str">
        <x:v>Perennial</x:v>
      </x:c>
      <x:c r="J799" s="84" t="str">
        <x:v>Herb</x:v>
      </x:c>
      <x:c r="K799" s="84" t="str">
        <x:v>Sun</x:v>
      </x:c>
      <x:c r="L799" s="84" t="str">
        <x:v>Low</x:v>
      </x:c>
      <x:c r="M799" s="89" t="n">
        <x:v>1</x:v>
      </x:c>
      <x:c r="N799" s="89" t="n">
        <x:v>1</x:v>
      </x:c>
      <x:c r="O799" s="89" t="n">
        <x:v>1</x:v>
      </x:c>
      <x:c r="P799" s="89" t="n">
        <x:f>SUM(M799:O799)</x:f>
        <x:v>3</x:v>
      </x:c>
      <x:c r="Q799" s="84" t="str">
        <x:v>Exact accepted-name match</x:v>
      </x:c>
      <x:c r="R799" s="84" t="str">
        <x:v>Thelesperma simplicifolium</x:v>
      </x:c>
      <x:c r="S799" s="84" t="str">
        <x:v>3117754</x:v>
      </x:c>
      <x:c r="T799" s="84" t="str">
        <x:v>3117754</x:v>
      </x:c>
      <x:c r="U799" s="84" t="str">
        <x:v>255479-1</x:v>
      </x:c>
      <x:c r="V799" s="84" t="str">
        <x:v>255479-1</x:v>
      </x:c>
      <x:c r="W799" s="84" t="str"/>
    </x:row>
    <x:row r="800" ht="18" customHeight="1">
      <x:c r="A800" s="83" t="str">
        <x:v>HAYS-0799</x:v>
      </x:c>
      <x:c r="B800" s="87" t="str">
        <x:v>Thelocactus bicolor</x:v>
      </x:c>
      <x:c r="C800" s="87" t="str">
        <x:v>Thelocactus bicolor</x:v>
      </x:c>
      <x:c r="D800" s="84" t="str">
        <x:v>Cactaceae</x:v>
      </x:c>
      <x:c r="E800" s="84" t="str">
        <x:v>Thelocactus</x:v>
      </x:c>
      <x:c r="F800" s="84" t="str">
        <x:v>Species</x:v>
      </x:c>
      <x:c r="G800" s="84" t="str">
        <x:v>Accepted</x:v>
      </x:c>
      <x:c r="H800" s="84" t="str">
        <x:v>Glory Of Texas</x:v>
      </x:c>
      <x:c r="I800" s="84" t="str">
        <x:v>Perennial</x:v>
      </x:c>
      <x:c r="J800" s="84" t="str">
        <x:v>Cactus/Succulent</x:v>
      </x:c>
      <x:c r="K800" s="84" t="str"/>
      <x:c r="L800" s="84" t="str"/>
      <x:c r="M800" s="89" t="n">
        <x:v>1</x:v>
      </x:c>
      <x:c r="N800" s="89" t="n">
        <x:v>1</x:v>
      </x:c>
      <x:c r="O800" s="89" t="n">
        <x:v>0</x:v>
      </x:c>
      <x:c r="P800" s="89" t="n">
        <x:f>SUM(M800:O800)</x:f>
        <x:v>2</x:v>
      </x:c>
      <x:c r="Q800" s="84" t="str">
        <x:v>Exact accepted-name match</x:v>
      </x:c>
      <x:c r="R800" s="84" t="str">
        <x:v>Thelocactus bicolor</x:v>
      </x:c>
      <x:c r="S800" s="84" t="str">
        <x:v>2437674</x:v>
      </x:c>
      <x:c r="T800" s="84" t="str">
        <x:v>2437674</x:v>
      </x:c>
      <x:c r="U800" s="84" t="str">
        <x:v>251010-2</x:v>
      </x:c>
      <x:c r="V800" s="84" t="str">
        <x:v>251010-2</x:v>
      </x:c>
      <x:c r="W800" s="84" t="str"/>
    </x:row>
    <x:row r="801" ht="18" customHeight="1">
      <x:c r="A801" s="83" t="str">
        <x:v>HAYS-0800</x:v>
      </x:c>
      <x:c r="B801" s="87" t="str">
        <x:v>Thelypteris kunthii</x:v>
      </x:c>
      <x:c r="C801" s="87" t="str">
        <x:v>Thelypteris kunthii</x:v>
      </x:c>
      <x:c r="D801" s="84" t="str">
        <x:v>Aspleniaceae</x:v>
      </x:c>
      <x:c r="E801" s="84" t="str">
        <x:v>Thelypteris</x:v>
      </x:c>
      <x:c r="F801" s="84" t="str">
        <x:v>Species</x:v>
      </x:c>
      <x:c r="G801" s="84" t="str">
        <x:v>Accepted</x:v>
      </x:c>
      <x:c r="H801" s="84" t="str">
        <x:v>Wood Fern, River Fern, Southern Shield Fern, Kunth's Maiden Fern, Normal Shield Fern</x:v>
      </x:c>
      <x:c r="I801" s="84" t="str">
        <x:v>Perennial</x:v>
      </x:c>
      <x:c r="J801" s="84" t="str">
        <x:v>Fern</x:v>
      </x:c>
      <x:c r="K801" s="84" t="str">
        <x:v>Shade, Part-shade</x:v>
      </x:c>
      <x:c r="L801" s="84" t="str">
        <x:v>Moist</x:v>
      </x:c>
      <x:c r="M801" s="89" t="n">
        <x:v>1</x:v>
      </x:c>
      <x:c r="N801" s="89" t="n">
        <x:v>1</x:v>
      </x:c>
      <x:c r="O801" s="89" t="n">
        <x:v>0</x:v>
      </x:c>
      <x:c r="P801" s="89" t="n">
        <x:f>SUM(M801:O801)</x:f>
        <x:v>2</x:v>
      </x:c>
      <x:c r="Q801" s="84" t="str">
        <x:v>Exact accepted-name match</x:v>
      </x:c>
      <x:c r="R801" s="84" t="str">
        <x:v>Thelypteris kunthii</x:v>
      </x:c>
      <x:c r="S801" s="84" t="str">
        <x:v>3172707</x:v>
      </x:c>
      <x:c r="T801" s="84" t="str">
        <x:v>3172707</x:v>
      </x:c>
      <x:c r="U801" s="84" t="str">
        <x:v>251400-2</x:v>
      </x:c>
      <x:c r="V801" s="84" t="str">
        <x:v>251400-2</x:v>
      </x:c>
      <x:c r="W801" s="84" t="str"/>
    </x:row>
    <x:row r="802" ht="18" customHeight="1">
      <x:c r="A802" s="83" t="str">
        <x:v>HAYS-0801</x:v>
      </x:c>
      <x:c r="B802" s="87" t="str">
        <x:v>Thymophylla pentachaeta</x:v>
      </x:c>
      <x:c r="C802" s="87" t="str">
        <x:v>Thymophylla pentachaeta</x:v>
      </x:c>
      <x:c r="D802" s="84" t="str">
        <x:v>Asteraceae</x:v>
      </x:c>
      <x:c r="E802" s="84" t="str">
        <x:v>Thymophylla</x:v>
      </x:c>
      <x:c r="F802" s="84" t="str">
        <x:v>Species</x:v>
      </x:c>
      <x:c r="G802" s="84" t="str">
        <x:v>Accepted</x:v>
      </x:c>
      <x:c r="H802" s="84" t="str">
        <x:v>Parralena, Fiveneedle Pricklyleaf, Five-needle Fetid Marigold</x:v>
      </x:c>
      <x:c r="I802" s="84" t="str">
        <x:v>Perennial</x:v>
      </x:c>
      <x:c r="J802" s="84" t="str">
        <x:v>Herb, Subshrub</x:v>
      </x:c>
      <x:c r="K802" s="84" t="str"/>
      <x:c r="L802" s="84" t="str"/>
      <x:c r="M802" s="89" t="n">
        <x:v>1</x:v>
      </x:c>
      <x:c r="N802" s="89" t="n">
        <x:v>1</x:v>
      </x:c>
      <x:c r="O802" s="89" t="n">
        <x:v>0</x:v>
      </x:c>
      <x:c r="P802" s="89" t="n">
        <x:f>SUM(M802:O802)</x:f>
        <x:v>2</x:v>
      </x:c>
      <x:c r="Q802" s="84" t="str">
        <x:v>Exact accepted-name match</x:v>
      </x:c>
      <x:c r="R802" s="84" t="str">
        <x:v>Thymophylla pentachaeta</x:v>
      </x:c>
      <x:c r="S802" s="84" t="str">
        <x:v>3118750</x:v>
      </x:c>
      <x:c r="T802" s="84" t="str">
        <x:v>3118750</x:v>
      </x:c>
      <x:c r="U802" s="84" t="str">
        <x:v>253209-2</x:v>
      </x:c>
      <x:c r="V802" s="84" t="str">
        <x:v>253209-2</x:v>
      </x:c>
      <x:c r="W802" s="84" t="str"/>
    </x:row>
    <x:row r="803" ht="18" customHeight="1">
      <x:c r="A803" s="83" t="str">
        <x:v>HAYS-0802</x:v>
      </x:c>
      <x:c r="B803" s="87" t="str">
        <x:v>Tidestromia lanuginosa</x:v>
      </x:c>
      <x:c r="C803" s="87" t="str">
        <x:v>Tidestromia lanuginosa</x:v>
      </x:c>
      <x:c r="D803" s="84" t="str">
        <x:v>Amaranthaceae</x:v>
      </x:c>
      <x:c r="E803" s="84" t="str">
        <x:v>Tidestromia</x:v>
      </x:c>
      <x:c r="F803" s="84" t="str">
        <x:v>Species</x:v>
      </x:c>
      <x:c r="G803" s="84" t="str">
        <x:v>Accepted</x:v>
      </x:c>
      <x:c r="H803" s="84" t="str">
        <x:v>Woolly Tidestromia</x:v>
      </x:c>
      <x:c r="I803" s="84" t="str">
        <x:v>Annual</x:v>
      </x:c>
      <x:c r="J803" s="84" t="str">
        <x:v>Herb</x:v>
      </x:c>
      <x:c r="K803" s="84" t="str"/>
      <x:c r="L803" s="84" t="str"/>
      <x:c r="M803" s="89" t="n">
        <x:v>1</x:v>
      </x:c>
      <x:c r="N803" s="89" t="n">
        <x:v>1</x:v>
      </x:c>
      <x:c r="O803" s="89" t="n">
        <x:v>0</x:v>
      </x:c>
      <x:c r="P803" s="89" t="n">
        <x:f>SUM(M803:O803)</x:f>
        <x:v>2</x:v>
      </x:c>
      <x:c r="Q803" s="84" t="str">
        <x:v>Exact accepted-name match</x:v>
      </x:c>
      <x:c r="R803" s="84" t="str">
        <x:v>Tidestromia lanuginosa</x:v>
      </x:c>
      <x:c r="S803" s="84" t="str">
        <x:v>2435379</x:v>
      </x:c>
      <x:c r="T803" s="84" t="str">
        <x:v>2435379</x:v>
      </x:c>
      <x:c r="U803" s="84" t="str">
        <x:v>253345-2</x:v>
      </x:c>
      <x:c r="V803" s="84" t="str">
        <x:v>253345-2</x:v>
      </x:c>
      <x:c r="W803" s="84" t="str"/>
    </x:row>
    <x:row r="804" ht="18" customHeight="1">
      <x:c r="A804" s="83" t="str">
        <x:v>HAYS-0803</x:v>
      </x:c>
      <x:c r="B804" s="87" t="str">
        <x:v>Tilia americana</x:v>
      </x:c>
      <x:c r="C804" s="87" t="str">
        <x:v>Tilia americana</x:v>
      </x:c>
      <x:c r="D804" s="84" t="str">
        <x:v>Malvaceae</x:v>
      </x:c>
      <x:c r="E804" s="84" t="str">
        <x:v>Tilia</x:v>
      </x:c>
      <x:c r="F804" s="84" t="str">
        <x:v>Species</x:v>
      </x:c>
      <x:c r="G804" s="84" t="str">
        <x:v>Accepted</x:v>
      </x:c>
      <x:c r="H804" s="84" t="str">
        <x:v>American Basswood, American Linden, Lime Tree, Bee Tree</x:v>
      </x:c>
      <x:c r="I804" s="84" t="str">
        <x:v>Perennial</x:v>
      </x:c>
      <x:c r="J804" s="84" t="str">
        <x:v>Tree</x:v>
      </x:c>
      <x:c r="K804" s="84" t="str">
        <x:v>Part Shade</x:v>
      </x:c>
      <x:c r="L804" s="84" t="str">
        <x:v>Medium</x:v>
      </x:c>
      <x:c r="M804" s="89" t="n">
        <x:v>0</x:v>
      </x:c>
      <x:c r="N804" s="89" t="n">
        <x:v>0</x:v>
      </x:c>
      <x:c r="O804" s="89" t="n">
        <x:v>1</x:v>
      </x:c>
      <x:c r="P804" s="89" t="n">
        <x:f>SUM(M804:O804)</x:f>
        <x:v>1</x:v>
      </x:c>
      <x:c r="Q804" s="84" t="str">
        <x:v>Exact accepted-name match</x:v>
      </x:c>
      <x:c r="R804" s="84" t="str">
        <x:v>Tilia americana</x:v>
      </x:c>
      <x:c r="S804" s="84" t="str">
        <x:v>2518218</x:v>
      </x:c>
      <x:c r="T804" s="84" t="str">
        <x:v>2518218</x:v>
      </x:c>
      <x:c r="U804" s="84" t="str">
        <x:v>286108-2</x:v>
      </x:c>
      <x:c r="V804" s="84" t="str">
        <x:v>286108-2</x:v>
      </x:c>
      <x:c r="W804" s="84" t="str"/>
    </x:row>
    <x:row r="805" ht="18" customHeight="1">
      <x:c r="A805" s="83" t="str">
        <x:v>HAYS-0804</x:v>
      </x:c>
      <x:c r="B805" s="87" t="str">
        <x:v>Tilia americana var. caroliniana</x:v>
      </x:c>
      <x:c r="C805" s="87" t="str">
        <x:v>Tilia americana</x:v>
      </x:c>
      <x:c r="D805" s="84" t="str">
        <x:v>Malvaceae</x:v>
      </x:c>
      <x:c r="E805" s="84" t="str">
        <x:v>Tilia</x:v>
      </x:c>
      <x:c r="F805" s="84" t="str">
        <x:v>Variety</x:v>
      </x:c>
      <x:c r="G805" s="84" t="str">
        <x:v>Synonym</x:v>
      </x:c>
      <x:c r="H805" s="84" t="str">
        <x:v>Carolina Basswood, Florida Basswood, Small-leaved Basswood, Downy Basswood, Carolina Linden, Florida Linden, Small-leaved Linden, Downy Linden</x:v>
      </x:c>
      <x:c r="I805" s="84" t="str">
        <x:v>Perennial</x:v>
      </x:c>
      <x:c r="J805" s="84" t="str">
        <x:v>Tree</x:v>
      </x:c>
      <x:c r="K805" s="84" t="str"/>
      <x:c r="L805" s="84" t="str"/>
      <x:c r="M805" s="89" t="n">
        <x:v>1</x:v>
      </x:c>
      <x:c r="N805" s="89" t="n">
        <x:v>1</x:v>
      </x:c>
      <x:c r="O805" s="89" t="n">
        <x:v>0</x:v>
      </x:c>
      <x:c r="P805" s="89" t="n">
        <x:f>SUM(M805:O805)</x:f>
        <x:v>2</x:v>
      </x:c>
      <x:c r="Q805" s="84" t="str">
        <x:v>Exact synonym-name match</x:v>
      </x:c>
      <x:c r="R805" s="84" t="str">
        <x:v>Tilia americana var. caroliniana</x:v>
      </x:c>
      <x:c r="S805" s="84" t="str">
        <x:v>2894086</x:v>
      </x:c>
      <x:c r="T805" s="84" t="str">
        <x:v>2518218</x:v>
      </x:c>
      <x:c r="U805" s="84" t="str">
        <x:v>253417-2</x:v>
      </x:c>
      <x:c r="V805" s="84" t="str">
        <x:v>286108-2</x:v>
      </x:c>
      <x:c r="W805" s="84" t="str"/>
    </x:row>
    <x:row r="806" ht="18" customHeight="1">
      <x:c r="A806" s="83" t="str">
        <x:v>HAYS-0805</x:v>
      </x:c>
      <x:c r="B806" s="87" t="str">
        <x:v>Tillandsia recurvata</x:v>
      </x:c>
      <x:c r="C806" s="87" t="str">
        <x:v>Tillandsia recurvata</x:v>
      </x:c>
      <x:c r="D806" s="84" t="str">
        <x:v>Bromeliaceae</x:v>
      </x:c>
      <x:c r="E806" s="84" t="str">
        <x:v>Tillandsia</x:v>
      </x:c>
      <x:c r="F806" s="84" t="str">
        <x:v>Species</x:v>
      </x:c>
      <x:c r="G806" s="84" t="str">
        <x:v>Accepted</x:v>
      </x:c>
      <x:c r="H806" s="84" t="str">
        <x:v>Small Ball Moss, Ball Moss</x:v>
      </x:c>
      <x:c r="I806" s="84" t="str">
        <x:v>Perennial</x:v>
      </x:c>
      <x:c r="J806" s="84" t="str">
        <x:v>Herb</x:v>
      </x:c>
      <x:c r="K806" s="84" t="str"/>
      <x:c r="L806" s="84" t="str"/>
      <x:c r="M806" s="89" t="n">
        <x:v>1</x:v>
      </x:c>
      <x:c r="N806" s="89" t="n">
        <x:v>1</x:v>
      </x:c>
      <x:c r="O806" s="89" t="n">
        <x:v>0</x:v>
      </x:c>
      <x:c r="P806" s="89" t="n">
        <x:f>SUM(M806:O806)</x:f>
        <x:v>2</x:v>
      </x:c>
      <x:c r="Q806" s="84" t="str">
        <x:v>Exact accepted-name match</x:v>
      </x:c>
      <x:c r="R806" s="84" t="str">
        <x:v>Tillandsia recurvata</x:v>
      </x:c>
      <x:c r="S806" s="84" t="str">
        <x:v>269621</x:v>
      </x:c>
      <x:c r="T806" s="84" t="str">
        <x:v>269621</x:v>
      </x:c>
      <x:c r="U806" s="84" t="str">
        <x:v>1194855-2</x:v>
      </x:c>
      <x:c r="V806" s="84" t="str">
        <x:v>1194855-2</x:v>
      </x:c>
      <x:c r="W806" s="84" t="str"/>
    </x:row>
    <x:row r="807" ht="18" customHeight="1">
      <x:c r="A807" s="83" t="str">
        <x:v>HAYS-0806</x:v>
      </x:c>
      <x:c r="B807" s="87" t="str">
        <x:v>Tillandsia usneoides</x:v>
      </x:c>
      <x:c r="C807" s="87" t="str">
        <x:v>Tillandsia usneoides</x:v>
      </x:c>
      <x:c r="D807" s="84" t="str">
        <x:v>Bromeliaceae</x:v>
      </x:c>
      <x:c r="E807" s="84" t="str">
        <x:v>Tillandsia</x:v>
      </x:c>
      <x:c r="F807" s="84" t="str">
        <x:v>Species</x:v>
      </x:c>
      <x:c r="G807" s="84" t="str">
        <x:v>Accepted</x:v>
      </x:c>
      <x:c r="H807" s="84" t="str">
        <x:v>Spanish Moss</x:v>
      </x:c>
      <x:c r="I807" s="84" t="str">
        <x:v>Perennial</x:v>
      </x:c>
      <x:c r="J807" s="84" t="str">
        <x:v>Herb</x:v>
      </x:c>
      <x:c r="K807" s="84" t="str">
        <x:v>Shade</x:v>
      </x:c>
      <x:c r="L807" s="84" t="str"/>
      <x:c r="M807" s="89" t="n">
        <x:v>1</x:v>
      </x:c>
      <x:c r="N807" s="89" t="n">
        <x:v>1</x:v>
      </x:c>
      <x:c r="O807" s="89" t="n">
        <x:v>0</x:v>
      </x:c>
      <x:c r="P807" s="89" t="n">
        <x:f>SUM(M807:O807)</x:f>
        <x:v>2</x:v>
      </x:c>
      <x:c r="Q807" s="84" t="str">
        <x:v>Exact accepted-name match</x:v>
      </x:c>
      <x:c r="R807" s="84" t="str">
        <x:v>Tillandsia usneoides</x:v>
      </x:c>
      <x:c r="S807" s="84" t="str">
        <x:v>269929</x:v>
      </x:c>
      <x:c r="T807" s="84" t="str">
        <x:v>269929</x:v>
      </x:c>
      <x:c r="U807" s="84" t="str">
        <x:v>1169665-2</x:v>
      </x:c>
      <x:c r="V807" s="84" t="str">
        <x:v>1169665-2</x:v>
      </x:c>
      <x:c r="W807" s="84" t="str"/>
    </x:row>
    <x:row r="808" ht="18" customHeight="1">
      <x:c r="A808" s="83" t="str">
        <x:v>HAYS-0807</x:v>
      </x:c>
      <x:c r="B808" s="87" t="str">
        <x:v>Tinantia anomala</x:v>
      </x:c>
      <x:c r="C808" s="87" t="str">
        <x:v>Tinantia anomala</x:v>
      </x:c>
      <x:c r="D808" s="84" t="str">
        <x:v>Commelinaceae</x:v>
      </x:c>
      <x:c r="E808" s="84" t="str">
        <x:v>Tinantia</x:v>
      </x:c>
      <x:c r="F808" s="84" t="str">
        <x:v>Species</x:v>
      </x:c>
      <x:c r="G808" s="84" t="str">
        <x:v>Accepted</x:v>
      </x:c>
      <x:c r="H808" s="84" t="str">
        <x:v>False Dayflower</x:v>
      </x:c>
      <x:c r="I808" s="84" t="str">
        <x:v>Annual</x:v>
      </x:c>
      <x:c r="J808" s="84" t="str">
        <x:v>Herb</x:v>
      </x:c>
      <x:c r="K808" s="84" t="str">
        <x:v>Part Shade</x:v>
      </x:c>
      <x:c r="L808" s="84" t="str">
        <x:v>Moist</x:v>
      </x:c>
      <x:c r="M808" s="89" t="n">
        <x:v>1</x:v>
      </x:c>
      <x:c r="N808" s="89" t="n">
        <x:v>1</x:v>
      </x:c>
      <x:c r="O808" s="89" t="n">
        <x:v>1</x:v>
      </x:c>
      <x:c r="P808" s="89" t="n">
        <x:f>SUM(M808:O808)</x:f>
        <x:v>3</x:v>
      </x:c>
      <x:c r="Q808" s="84" t="str">
        <x:v>Exact accepted-name match</x:v>
      </x:c>
      <x:c r="R808" s="84" t="str">
        <x:v>Tinantia anomala</x:v>
      </x:c>
      <x:c r="S808" s="84" t="str">
        <x:v>270035</x:v>
      </x:c>
      <x:c r="T808" s="84" t="str">
        <x:v>270035</x:v>
      </x:c>
      <x:c r="U808" s="84" t="str">
        <x:v>173144-1</x:v>
      </x:c>
      <x:c r="V808" s="84" t="str">
        <x:v>173144-1</x:v>
      </x:c>
      <x:c r="W808" s="84" t="str"/>
    </x:row>
    <x:row r="809" ht="18" customHeight="1">
      <x:c r="A809" s="83" t="str">
        <x:v>HAYS-0808</x:v>
      </x:c>
      <x:c r="B809" s="87" t="str">
        <x:v>Tiquilia canescens</x:v>
      </x:c>
      <x:c r="C809" s="87" t="str">
        <x:v>Tiquilia canescens</x:v>
      </x:c>
      <x:c r="D809" s="84" t="str">
        <x:v>Boraginaceae</x:v>
      </x:c>
      <x:c r="E809" s="84" t="str">
        <x:v>Tiquilia</x:v>
      </x:c>
      <x:c r="F809" s="84" t="str">
        <x:v>Species</x:v>
      </x:c>
      <x:c r="G809" s="84" t="str">
        <x:v>Accepted</x:v>
      </x:c>
      <x:c r="H809" s="84" t="str">
        <x:v>Woody Crinklemat, Shrubby Coldenia, Shrubby Tiquilia</x:v>
      </x:c>
      <x:c r="I809" s="84" t="str">
        <x:v>Perennial</x:v>
      </x:c>
      <x:c r="J809" s="84" t="str">
        <x:v>Subshrub</x:v>
      </x:c>
      <x:c r="K809" s="84" t="str"/>
      <x:c r="L809" s="84" t="str"/>
      <x:c r="M809" s="89" t="n">
        <x:v>1</x:v>
      </x:c>
      <x:c r="N809" s="89" t="n">
        <x:v>1</x:v>
      </x:c>
      <x:c r="O809" s="89" t="n">
        <x:v>0</x:v>
      </x:c>
      <x:c r="P809" s="89" t="n">
        <x:f>SUM(M809:O809)</x:f>
        <x:v>2</x:v>
      </x:c>
      <x:c r="Q809" s="84" t="str">
        <x:v>Exact accepted-name match</x:v>
      </x:c>
      <x:c r="R809" s="84" t="str">
        <x:v>Tiquilia canescens</x:v>
      </x:c>
      <x:c r="S809" s="84" t="str">
        <x:v>2437418</x:v>
      </x:c>
      <x:c r="T809" s="84" t="str">
        <x:v>2437418</x:v>
      </x:c>
      <x:c r="U809" s="84" t="str">
        <x:v>254611-2</x:v>
      </x:c>
      <x:c r="V809" s="84" t="str">
        <x:v>254611-2</x:v>
      </x:c>
      <x:c r="W809" s="84" t="str"/>
    </x:row>
    <x:row r="810" ht="18" customHeight="1">
      <x:c r="A810" s="83" t="str">
        <x:v>HAYS-0809</x:v>
      </x:c>
      <x:c r="B810" s="87" t="str">
        <x:v>Toxicodendron radicans</x:v>
      </x:c>
      <x:c r="C810" s="87" t="str">
        <x:v>Toxicodendron radicans</x:v>
      </x:c>
      <x:c r="D810" s="84" t="str">
        <x:v>Anacardiaceae</x:v>
      </x:c>
      <x:c r="E810" s="84" t="str">
        <x:v>Toxicodendron</x:v>
      </x:c>
      <x:c r="F810" s="84" t="str">
        <x:v>Species</x:v>
      </x:c>
      <x:c r="G810" s="84" t="str">
        <x:v>Accepted</x:v>
      </x:c>
      <x:c r="H810" s="84" t="str">
        <x:v>Eastern Poison Ivy, Poison Ivy</x:v>
      </x:c>
      <x:c r="I810" s="84" t="str">
        <x:v>Perennial</x:v>
      </x:c>
      <x:c r="J810" s="84" t="str">
        <x:v>Shrub, Vine</x:v>
      </x:c>
      <x:c r="K810" s="84" t="str">
        <x:v>Shade, Part-shade</x:v>
      </x:c>
      <x:c r="L810" s="84" t="str">
        <x:v>Moist</x:v>
      </x:c>
      <x:c r="M810" s="89" t="n">
        <x:v>1</x:v>
      </x:c>
      <x:c r="N810" s="89" t="n">
        <x:v>1</x:v>
      </x:c>
      <x:c r="O810" s="89" t="n">
        <x:v>0</x:v>
      </x:c>
      <x:c r="P810" s="89" t="n">
        <x:f>SUM(M810:O810)</x:f>
        <x:v>2</x:v>
      </x:c>
      <x:c r="Q810" s="84" t="str">
        <x:v>Exact accepted-name match</x:v>
      </x:c>
      <x:c r="R810" s="84" t="str">
        <x:v>Toxicodendron radicans</x:v>
      </x:c>
      <x:c r="S810" s="84" t="str">
        <x:v>2435203</x:v>
      </x:c>
      <x:c r="T810" s="84" t="str">
        <x:v>2435203</x:v>
      </x:c>
      <x:c r="U810" s="84" t="str">
        <x:v>255769-2</x:v>
      </x:c>
      <x:c r="V810" s="84" t="str">
        <x:v>255769-2</x:v>
      </x:c>
      <x:c r="W810" s="84" t="str"/>
    </x:row>
    <x:row r="811" ht="18" customHeight="1">
      <x:c r="A811" s="83" t="str">
        <x:v>HAYS-0810</x:v>
      </x:c>
      <x:c r="B811" s="87" t="str">
        <x:v>Tradescantia edwardsiana</x:v>
      </x:c>
      <x:c r="C811" s="87" t="str">
        <x:v>Tradescantia edwardsiana</x:v>
      </x:c>
      <x:c r="D811" s="84" t="str">
        <x:v>Commelinaceae</x:v>
      </x:c>
      <x:c r="E811" s="84" t="str">
        <x:v>Tradescantia</x:v>
      </x:c>
      <x:c r="F811" s="84" t="str">
        <x:v>Species</x:v>
      </x:c>
      <x:c r="G811" s="84" t="str">
        <x:v>Accepted</x:v>
      </x:c>
      <x:c r="H811" s="84" t="str">
        <x:v>Plateau Spiderwort, Edwards' Spiderwort</x:v>
      </x:c>
      <x:c r="I811" s="84" t="str">
        <x:v>Perennial</x:v>
      </x:c>
      <x:c r="J811" s="84" t="str">
        <x:v>Herb</x:v>
      </x:c>
      <x:c r="K811" s="84" t="str">
        <x:v>Part-shade</x:v>
      </x:c>
      <x:c r="L811" s="84" t="str"/>
      <x:c r="M811" s="89" t="n">
        <x:v>1</x:v>
      </x:c>
      <x:c r="N811" s="89" t="n">
        <x:v>1</x:v>
      </x:c>
      <x:c r="O811" s="89" t="n">
        <x:v>0</x:v>
      </x:c>
      <x:c r="P811" s="89" t="n">
        <x:f>SUM(M811:O811)</x:f>
        <x:v>2</x:v>
      </x:c>
      <x:c r="Q811" s="84" t="str">
        <x:v>Exact accepted-name match</x:v>
      </x:c>
      <x:c r="R811" s="84" t="str">
        <x:v>Tradescantia edwardsiana</x:v>
      </x:c>
      <x:c r="S811" s="84" t="str">
        <x:v>270258</x:v>
      </x:c>
      <x:c r="T811" s="84" t="str">
        <x:v>270258</x:v>
      </x:c>
      <x:c r="U811" s="84" t="str">
        <x:v>255943-2</x:v>
      </x:c>
      <x:c r="V811" s="84" t="str">
        <x:v>255943-2</x:v>
      </x:c>
      <x:c r="W811" s="84" t="str"/>
    </x:row>
    <x:row r="812" ht="18" customHeight="1">
      <x:c r="A812" s="83" t="str">
        <x:v>HAYS-0811</x:v>
      </x:c>
      <x:c r="B812" s="87" t="str">
        <x:v>Tradescantia gigantea</x:v>
      </x:c>
      <x:c r="C812" s="87" t="str">
        <x:v>Tradescantia gigantea</x:v>
      </x:c>
      <x:c r="D812" s="84" t="str">
        <x:v>Commelinaceae</x:v>
      </x:c>
      <x:c r="E812" s="84" t="str">
        <x:v>Tradescantia</x:v>
      </x:c>
      <x:c r="F812" s="84" t="str">
        <x:v>Species</x:v>
      </x:c>
      <x:c r="G812" s="84" t="str">
        <x:v>Accepted</x:v>
      </x:c>
      <x:c r="H812" s="84" t="str">
        <x:v>Spiderwort, Giant spiderwort</x:v>
      </x:c>
      <x:c r="I812" s="84" t="str">
        <x:v>Perennial</x:v>
      </x:c>
      <x:c r="J812" s="84" t="str">
        <x:v>Herb</x:v>
      </x:c>
      <x:c r="K812" s="84" t="str">
        <x:v>Part Shade</x:v>
      </x:c>
      <x:c r="L812" s="84" t="str">
        <x:v>Medium</x:v>
      </x:c>
      <x:c r="M812" s="89" t="n">
        <x:v>1</x:v>
      </x:c>
      <x:c r="N812" s="89" t="n">
        <x:v>1</x:v>
      </x:c>
      <x:c r="O812" s="89" t="n">
        <x:v>1</x:v>
      </x:c>
      <x:c r="P812" s="89" t="n">
        <x:f>SUM(M812:O812)</x:f>
        <x:v>3</x:v>
      </x:c>
      <x:c r="Q812" s="84" t="str">
        <x:v>Exact accepted-name match</x:v>
      </x:c>
      <x:c r="R812" s="84" t="str">
        <x:v>Tradescantia gigantea</x:v>
      </x:c>
      <x:c r="S812" s="84" t="str">
        <x:v>270293</x:v>
      </x:c>
      <x:c r="T812" s="84" t="str">
        <x:v>270293</x:v>
      </x:c>
      <x:c r="U812" s="84" t="str">
        <x:v>255967-2</x:v>
      </x:c>
      <x:c r="V812" s="84" t="str">
        <x:v>255967-2</x:v>
      </x:c>
      <x:c r="W812" s="84" t="str"/>
    </x:row>
    <x:row r="813" ht="18" customHeight="1">
      <x:c r="A813" s="83" t="str">
        <x:v>HAYS-0812</x:v>
      </x:c>
      <x:c r="B813" s="87" t="str">
        <x:v>Tradescantia hirsutiflora</x:v>
      </x:c>
      <x:c r="C813" s="87" t="str">
        <x:v>Tradescantia hirsutiflora</x:v>
      </x:c>
      <x:c r="D813" s="84" t="str">
        <x:v>Commelinaceae</x:v>
      </x:c>
      <x:c r="E813" s="84" t="str">
        <x:v>Tradescantia</x:v>
      </x:c>
      <x:c r="F813" s="84" t="str">
        <x:v>Species</x:v>
      </x:c>
      <x:c r="G813" s="84" t="str">
        <x:v>Accepted</x:v>
      </x:c>
      <x:c r="H813" s="84" t="str">
        <x:v>Hairyflower Spiderwort</x:v>
      </x:c>
      <x:c r="I813" s="84" t="str">
        <x:v>Perennial</x:v>
      </x:c>
      <x:c r="J813" s="84" t="str">
        <x:v>Herb</x:v>
      </x:c>
      <x:c r="K813" s="84" t="str">
        <x:v>Part-shade</x:v>
      </x:c>
      <x:c r="L813" s="84" t="str">
        <x:v>Moist</x:v>
      </x:c>
      <x:c r="M813" s="89" t="n">
        <x:v>1</x:v>
      </x:c>
      <x:c r="N813" s="89" t="n">
        <x:v>1</x:v>
      </x:c>
      <x:c r="O813" s="89" t="n">
        <x:v>0</x:v>
      </x:c>
      <x:c r="P813" s="89" t="n">
        <x:f>SUM(M813:O813)</x:f>
        <x:v>2</x:v>
      </x:c>
      <x:c r="Q813" s="84" t="str">
        <x:v>Exact accepted-name match</x:v>
      </x:c>
      <x:c r="R813" s="84" t="str">
        <x:v>Tradescantia hirsutiflora</x:v>
      </x:c>
      <x:c r="S813" s="84" t="str">
        <x:v>270313</x:v>
      </x:c>
      <x:c r="T813" s="84" t="str">
        <x:v>270313</x:v>
      </x:c>
      <x:c r="U813" s="84" t="str">
        <x:v>255983-2</x:v>
      </x:c>
      <x:c r="V813" s="84" t="str">
        <x:v>255983-2</x:v>
      </x:c>
      <x:c r="W813" s="84" t="str"/>
    </x:row>
    <x:row r="814" ht="18" customHeight="1">
      <x:c r="A814" s="83" t="str">
        <x:v>HAYS-0813</x:v>
      </x:c>
      <x:c r="B814" s="87" t="str">
        <x:v>Tradescantia humilis</x:v>
      </x:c>
      <x:c r="C814" s="87" t="str">
        <x:v>Tradescantia humilis</x:v>
      </x:c>
      <x:c r="D814" s="84" t="str">
        <x:v>Commelinaceae</x:v>
      </x:c>
      <x:c r="E814" s="84" t="str">
        <x:v>Tradescantia</x:v>
      </x:c>
      <x:c r="F814" s="84" t="str">
        <x:v>Species</x:v>
      </x:c>
      <x:c r="G814" s="84" t="str">
        <x:v>Accepted</x:v>
      </x:c>
      <x:c r="H814" s="84" t="str">
        <x:v>Texas Spiderwort</x:v>
      </x:c>
      <x:c r="I814" s="84" t="str">
        <x:v>Perennial</x:v>
      </x:c>
      <x:c r="J814" s="84" t="str">
        <x:v>Herb</x:v>
      </x:c>
      <x:c r="K814" s="84" t="str">
        <x:v>Sun, Part Shade</x:v>
      </x:c>
      <x:c r="L814" s="84" t="str">
        <x:v>Low</x:v>
      </x:c>
      <x:c r="M814" s="89" t="n">
        <x:v>1</x:v>
      </x:c>
      <x:c r="N814" s="89" t="n">
        <x:v>1</x:v>
      </x:c>
      <x:c r="O814" s="89" t="n">
        <x:v>1</x:v>
      </x:c>
      <x:c r="P814" s="89" t="n">
        <x:f>SUM(M814:O814)</x:f>
        <x:v>3</x:v>
      </x:c>
      <x:c r="Q814" s="84" t="str">
        <x:v>Exact accepted-name match</x:v>
      </x:c>
      <x:c r="R814" s="84" t="str">
        <x:v>Tradescantia humilis</x:v>
      </x:c>
      <x:c r="S814" s="84" t="str">
        <x:v>270320</x:v>
      </x:c>
      <x:c r="T814" s="84" t="str">
        <x:v>270320</x:v>
      </x:c>
      <x:c r="U814" s="84" t="str">
        <x:v>255988-2</x:v>
      </x:c>
      <x:c r="V814" s="84" t="str">
        <x:v>255988-2</x:v>
      </x:c>
      <x:c r="W814" s="84" t="str"/>
    </x:row>
    <x:row r="815" ht="18" customHeight="1">
      <x:c r="A815" s="83" t="str">
        <x:v>HAYS-0814</x:v>
      </x:c>
      <x:c r="B815" s="87" t="str">
        <x:v>Tradescantia occidentalis</x:v>
      </x:c>
      <x:c r="C815" s="87" t="str">
        <x:v>Tradescantia occidentalis</x:v>
      </x:c>
      <x:c r="D815" s="84" t="str">
        <x:v>Commelinaceae</x:v>
      </x:c>
      <x:c r="E815" s="84" t="str">
        <x:v>Tradescantia</x:v>
      </x:c>
      <x:c r="F815" s="84" t="str">
        <x:v>Species</x:v>
      </x:c>
      <x:c r="G815" s="84" t="str">
        <x:v>Accepted</x:v>
      </x:c>
      <x:c r="H815" s="84" t="str">
        <x:v>Prairie Spiderwort, Western Spiderwort, Spiderwort</x:v>
      </x:c>
      <x:c r="I815" s="84" t="str">
        <x:v>Perennial</x:v>
      </x:c>
      <x:c r="J815" s="84" t="str">
        <x:v>Herb</x:v>
      </x:c>
      <x:c r="K815" s="84" t="str">
        <x:v>Sun, Part Shade</x:v>
      </x:c>
      <x:c r="L815" s="84" t="str">
        <x:v>Low</x:v>
      </x:c>
      <x:c r="M815" s="89" t="n">
        <x:v>1</x:v>
      </x:c>
      <x:c r="N815" s="89" t="n">
        <x:v>1</x:v>
      </x:c>
      <x:c r="O815" s="89" t="n">
        <x:v>1</x:v>
      </x:c>
      <x:c r="P815" s="89" t="n">
        <x:f>SUM(M815:O815)</x:f>
        <x:v>3</x:v>
      </x:c>
      <x:c r="Q815" s="84" t="str">
        <x:v>Exact accepted-name match</x:v>
      </x:c>
      <x:c r="R815" s="84" t="str">
        <x:v>Tradescantia occidentalis</x:v>
      </x:c>
      <x:c r="S815" s="84" t="str">
        <x:v>270381</x:v>
      </x:c>
      <x:c r="T815" s="84" t="str">
        <x:v>270381</x:v>
      </x:c>
      <x:c r="U815" s="84" t="str">
        <x:v>256028-2</x:v>
      </x:c>
      <x:c r="V815" s="84" t="str">
        <x:v>256028-2</x:v>
      </x:c>
      <x:c r="W815" s="84" t="str"/>
    </x:row>
    <x:row r="816" ht="18" customHeight="1">
      <x:c r="A816" s="83" t="str">
        <x:v>HAYS-0815</x:v>
      </x:c>
      <x:c r="B816" s="87" t="str">
        <x:v>Tradescantia pedicellata</x:v>
      </x:c>
      <x:c r="C816" s="87" t="str">
        <x:v>Tradescantia pedicellata</x:v>
      </x:c>
      <x:c r="D816" s="84" t="str">
        <x:v>Commelinaceae</x:v>
      </x:c>
      <x:c r="E816" s="84" t="str">
        <x:v>Tradescantia</x:v>
      </x:c>
      <x:c r="F816" s="84" t="str">
        <x:v>Species</x:v>
      </x:c>
      <x:c r="G816" s="84" t="str">
        <x:v>Accepted</x:v>
      </x:c>
      <x:c r="H816" s="84" t="str">
        <x:v>Edwards Plateau Spiderwort, Granite Spiderwort</x:v>
      </x:c>
      <x:c r="I816" s="84" t="str">
        <x:v>Perennial</x:v>
      </x:c>
      <x:c r="J816" s="84" t="str">
        <x:v>Herb</x:v>
      </x:c>
      <x:c r="K816" s="84" t="str"/>
      <x:c r="L816" s="84" t="str"/>
      <x:c r="M816" s="89" t="n">
        <x:v>1</x:v>
      </x:c>
      <x:c r="N816" s="89" t="n">
        <x:v>1</x:v>
      </x:c>
      <x:c r="O816" s="89" t="n">
        <x:v>0</x:v>
      </x:c>
      <x:c r="P816" s="89" t="n">
        <x:f>SUM(M816:O816)</x:f>
        <x:v>2</x:v>
      </x:c>
      <x:c r="Q816" s="84" t="str">
        <x:v>Exact accepted-name match</x:v>
      </x:c>
      <x:c r="R816" s="84" t="str">
        <x:v>Tradescantia pedicellata</x:v>
      </x:c>
      <x:c r="S816" s="84" t="str">
        <x:v>270399</x:v>
      </x:c>
      <x:c r="T816" s="84" t="str">
        <x:v>270399</x:v>
      </x:c>
      <x:c r="U816" s="84" t="str">
        <x:v>256044-2</x:v>
      </x:c>
      <x:c r="V816" s="84" t="str">
        <x:v>256044-2</x:v>
      </x:c>
      <x:c r="W816" s="84" t="str"/>
    </x:row>
    <x:row r="817" ht="18" customHeight="1">
      <x:c r="A817" s="83" t="str">
        <x:v>HAYS-0816</x:v>
      </x:c>
      <x:c r="B817" s="87" t="str">
        <x:v>Tragia betonicifolia</x:v>
      </x:c>
      <x:c r="C817" s="87" t="str">
        <x:v>Tragia betonicifolia</x:v>
      </x:c>
      <x:c r="D817" s="84" t="str">
        <x:v>Euphorbiaceae</x:v>
      </x:c>
      <x:c r="E817" s="84" t="str">
        <x:v>Tragia</x:v>
      </x:c>
      <x:c r="F817" s="84" t="str">
        <x:v>Species</x:v>
      </x:c>
      <x:c r="G817" s="84" t="str">
        <x:v>Accepted</x:v>
      </x:c>
      <x:c r="H817" s="84" t="str">
        <x:v>Betonyleaf Noseburn</x:v>
      </x:c>
      <x:c r="I817" s="84" t="str">
        <x:v>Perennial</x:v>
      </x:c>
      <x:c r="J817" s="84" t="str">
        <x:v>Herb</x:v>
      </x:c>
      <x:c r="K817" s="84" t="str"/>
      <x:c r="L817" s="84" t="str"/>
      <x:c r="M817" s="89" t="n">
        <x:v>1</x:v>
      </x:c>
      <x:c r="N817" s="89" t="n">
        <x:v>1</x:v>
      </x:c>
      <x:c r="O817" s="89" t="n">
        <x:v>0</x:v>
      </x:c>
      <x:c r="P817" s="89" t="n">
        <x:f>SUM(M817:O817)</x:f>
        <x:v>2</x:v>
      </x:c>
      <x:c r="Q817" s="84" t="str">
        <x:v>Exact accepted-name match</x:v>
      </x:c>
      <x:c r="R817" s="84" t="str">
        <x:v>Tragia betonicifolia</x:v>
      </x:c>
      <x:c r="S817" s="84" t="str">
        <x:v>207231</x:v>
      </x:c>
      <x:c r="T817" s="84" t="str">
        <x:v>207231</x:v>
      </x:c>
      <x:c r="U817" s="84" t="str">
        <x:v>357676-1</x:v>
      </x:c>
      <x:c r="V817" s="84" t="str">
        <x:v>357676-1</x:v>
      </x:c>
      <x:c r="W817" s="84" t="str"/>
    </x:row>
    <x:row r="818" ht="18" customHeight="1">
      <x:c r="A818" s="83" t="str">
        <x:v>HAYS-0817</x:v>
      </x:c>
      <x:c r="B818" s="87" t="str">
        <x:v>Tragia brevispica</x:v>
      </x:c>
      <x:c r="C818" s="87" t="str">
        <x:v>Tragia brevispica</x:v>
      </x:c>
      <x:c r="D818" s="84" t="str">
        <x:v>Euphorbiaceae</x:v>
      </x:c>
      <x:c r="E818" s="84" t="str">
        <x:v>Tragia</x:v>
      </x:c>
      <x:c r="F818" s="84" t="str">
        <x:v>Species</x:v>
      </x:c>
      <x:c r="G818" s="84" t="str">
        <x:v>Accepted</x:v>
      </x:c>
      <x:c r="H818" s="84" t="str">
        <x:v>Shortspike Noseburn</x:v>
      </x:c>
      <x:c r="I818" s="84" t="str">
        <x:v>Perennial</x:v>
      </x:c>
      <x:c r="J818" s="84" t="str">
        <x:v>Herb, Vine</x:v>
      </x:c>
      <x:c r="K818" s="84" t="str"/>
      <x:c r="L818" s="84" t="str"/>
      <x:c r="M818" s="89" t="n">
        <x:v>1</x:v>
      </x:c>
      <x:c r="N818" s="89" t="n">
        <x:v>1</x:v>
      </x:c>
      <x:c r="O818" s="89" t="n">
        <x:v>0</x:v>
      </x:c>
      <x:c r="P818" s="89" t="n">
        <x:f>SUM(M818:O818)</x:f>
        <x:v>2</x:v>
      </x:c>
      <x:c r="Q818" s="84" t="str">
        <x:v>Exact accepted-name match</x:v>
      </x:c>
      <x:c r="R818" s="84" t="str">
        <x:v>Tragia brevispica</x:v>
      </x:c>
      <x:c r="S818" s="84" t="str">
        <x:v>207240</x:v>
      </x:c>
      <x:c r="T818" s="84" t="str">
        <x:v>207240</x:v>
      </x:c>
      <x:c r="U818" s="84" t="str">
        <x:v>357686-1</x:v>
      </x:c>
      <x:c r="V818" s="84" t="str">
        <x:v>357686-1</x:v>
      </x:c>
      <x:c r="W818" s="84" t="str"/>
    </x:row>
    <x:row r="819" ht="18" customHeight="1">
      <x:c r="A819" s="83" t="str">
        <x:v>HAYS-0818</x:v>
      </x:c>
      <x:c r="B819" s="87" t="str">
        <x:v>Tragia nigricans</x:v>
      </x:c>
      <x:c r="C819" s="87" t="str">
        <x:v>Tragia nigricans</x:v>
      </x:c>
      <x:c r="D819" s="84" t="str">
        <x:v>Euphorbiaceae</x:v>
      </x:c>
      <x:c r="E819" s="84" t="str">
        <x:v>Tragia</x:v>
      </x:c>
      <x:c r="F819" s="84" t="str">
        <x:v>Species</x:v>
      </x:c>
      <x:c r="G819" s="84" t="str">
        <x:v>Accepted</x:v>
      </x:c>
      <x:c r="H819" s="84" t="str">
        <x:v>Dark Noseburn</x:v>
      </x:c>
      <x:c r="I819" s="84" t="str">
        <x:v>Perennial</x:v>
      </x:c>
      <x:c r="J819" s="84" t="str">
        <x:v>Herb</x:v>
      </x:c>
      <x:c r="K819" s="84" t="str"/>
      <x:c r="L819" s="84" t="str"/>
      <x:c r="M819" s="89" t="n">
        <x:v>1</x:v>
      </x:c>
      <x:c r="N819" s="89" t="n">
        <x:v>1</x:v>
      </x:c>
      <x:c r="O819" s="89" t="n">
        <x:v>0</x:v>
      </x:c>
      <x:c r="P819" s="89" t="n">
        <x:f>SUM(M819:O819)</x:f>
        <x:v>2</x:v>
      </x:c>
      <x:c r="Q819" s="84" t="str">
        <x:v>Exact accepted-name match</x:v>
      </x:c>
      <x:c r="R819" s="84" t="str">
        <x:v>Tragia nigricans</x:v>
      </x:c>
      <x:c r="S819" s="84" t="str">
        <x:v>207434</x:v>
      </x:c>
      <x:c r="T819" s="84" t="str">
        <x:v>207434</x:v>
      </x:c>
      <x:c r="U819" s="84" t="str">
        <x:v>256417-2</x:v>
      </x:c>
      <x:c r="V819" s="84" t="str">
        <x:v>256417-2</x:v>
      </x:c>
      <x:c r="W819" s="84" t="str"/>
    </x:row>
    <x:row r="820" ht="18" customHeight="1">
      <x:c r="A820" s="83" t="str">
        <x:v>HAYS-0819</x:v>
      </x:c>
      <x:c r="B820" s="87" t="str">
        <x:v>Tragia ramosa</x:v>
      </x:c>
      <x:c r="C820" s="87" t="str">
        <x:v>Tragia ramosa</x:v>
      </x:c>
      <x:c r="D820" s="84" t="str">
        <x:v>Euphorbiaceae</x:v>
      </x:c>
      <x:c r="E820" s="84" t="str">
        <x:v>Tragia</x:v>
      </x:c>
      <x:c r="F820" s="84" t="str">
        <x:v>Species</x:v>
      </x:c>
      <x:c r="G820" s="84" t="str">
        <x:v>Accepted</x:v>
      </x:c>
      <x:c r="H820" s="84" t="str">
        <x:v>Branched Noseburn</x:v>
      </x:c>
      <x:c r="I820" s="84" t="str">
        <x:v>Perennial</x:v>
      </x:c>
      <x:c r="J820" s="84" t="str">
        <x:v>Herb</x:v>
      </x:c>
      <x:c r="K820" s="84" t="str"/>
      <x:c r="L820" s="84" t="str"/>
      <x:c r="M820" s="89" t="n">
        <x:v>1</x:v>
      </x:c>
      <x:c r="N820" s="89" t="n">
        <x:v>1</x:v>
      </x:c>
      <x:c r="O820" s="89" t="n">
        <x:v>0</x:v>
      </x:c>
      <x:c r="P820" s="89" t="n">
        <x:f>SUM(M820:O820)</x:f>
        <x:v>2</x:v>
      </x:c>
      <x:c r="Q820" s="84" t="str">
        <x:v>Exact accepted-name match</x:v>
      </x:c>
      <x:c r="R820" s="84" t="str">
        <x:v>Tragia ramosa</x:v>
      </x:c>
      <x:c r="S820" s="84" t="str">
        <x:v>207478</x:v>
      </x:c>
      <x:c r="T820" s="84" t="str">
        <x:v>207478</x:v>
      </x:c>
      <x:c r="U820" s="84" t="str">
        <x:v>357859-1</x:v>
      </x:c>
      <x:c r="V820" s="84" t="str">
        <x:v>357859-1</x:v>
      </x:c>
      <x:c r="W820" s="84" t="str"/>
    </x:row>
    <x:row r="821" ht="18" customHeight="1">
      <x:c r="A821" s="83" t="str">
        <x:v>HAYS-0820</x:v>
      </x:c>
      <x:c r="B821" s="87" t="str">
        <x:v>Tridens albescens</x:v>
      </x:c>
      <x:c r="C821" s="87" t="str">
        <x:v>Tridens albescens</x:v>
      </x:c>
      <x:c r="D821" s="84" t="str">
        <x:v>Poaceae</x:v>
      </x:c>
      <x:c r="E821" s="84" t="str">
        <x:v>Tridens</x:v>
      </x:c>
      <x:c r="F821" s="84" t="str">
        <x:v>Species</x:v>
      </x:c>
      <x:c r="G821" s="84" t="str">
        <x:v>Accepted</x:v>
      </x:c>
      <x:c r="H821" s="84" t="str">
        <x:v>White Tridens, White Top</x:v>
      </x:c>
      <x:c r="I821" s="84" t="str">
        <x:v>Perennial</x:v>
      </x:c>
      <x:c r="J821" s="84" t="str">
        <x:v>Grass</x:v>
      </x:c>
      <x:c r="K821" s="84" t="str">
        <x:v>Sun</x:v>
      </x:c>
      <x:c r="L821" s="84" t="str">
        <x:v>Low</x:v>
      </x:c>
      <x:c r="M821" s="89" t="n">
        <x:v>1</x:v>
      </x:c>
      <x:c r="N821" s="89" t="n">
        <x:v>1</x:v>
      </x:c>
      <x:c r="O821" s="89" t="n">
        <x:v>1</x:v>
      </x:c>
      <x:c r="P821" s="89" t="n">
        <x:f>SUM(M821:O821)</x:f>
        <x:v>3</x:v>
      </x:c>
      <x:c r="Q821" s="84" t="str">
        <x:v>Exact accepted-name match</x:v>
      </x:c>
      <x:c r="R821" s="84" t="str">
        <x:v>Tridens albescens</x:v>
      </x:c>
      <x:c r="S821" s="84" t="str">
        <x:v>447204</x:v>
      </x:c>
      <x:c r="T821" s="84" t="str">
        <x:v>447204</x:v>
      </x:c>
      <x:c r="U821" s="84" t="str">
        <x:v>257751-2</x:v>
      </x:c>
      <x:c r="V821" s="84" t="str">
        <x:v>257751-2</x:v>
      </x:c>
      <x:c r="W821" s="84" t="str"/>
    </x:row>
    <x:row r="822" ht="18" customHeight="1">
      <x:c r="A822" s="83" t="str">
        <x:v>HAYS-0821</x:v>
      </x:c>
      <x:c r="B822" s="87" t="str">
        <x:v>Tridens buckleyanus</x:v>
      </x:c>
      <x:c r="C822" s="87" t="str">
        <x:v>Tridentopsis buckleyana</x:v>
      </x:c>
      <x:c r="D822" s="84" t="str">
        <x:v>Poaceae</x:v>
      </x:c>
      <x:c r="E822" s="84" t="str">
        <x:v>Tridentopsis</x:v>
      </x:c>
      <x:c r="F822" s="84" t="str">
        <x:v>Species</x:v>
      </x:c>
      <x:c r="G822" s="84" t="str">
        <x:v>Synonym</x:v>
      </x:c>
      <x:c r="H822" s="84" t="str">
        <x:v>Buckley's Fluffgrass, Buckley's Tridens</x:v>
      </x:c>
      <x:c r="I822" s="84" t="str">
        <x:v>Perennial</x:v>
      </x:c>
      <x:c r="J822" s="84" t="str">
        <x:v>Grass/Grass-like</x:v>
      </x:c>
      <x:c r="K822" s="84" t="str"/>
      <x:c r="L822" s="84" t="str"/>
      <x:c r="M822" s="89" t="n">
        <x:v>1</x:v>
      </x:c>
      <x:c r="N822" s="89" t="n">
        <x:v>1</x:v>
      </x:c>
      <x:c r="O822" s="89" t="n">
        <x:v>0</x:v>
      </x:c>
      <x:c r="P822" s="89" t="n">
        <x:f>SUM(M822:O822)</x:f>
        <x:v>2</x:v>
      </x:c>
      <x:c r="Q822" s="84" t="str">
        <x:v>Exact synonym-name match</x:v>
      </x:c>
      <x:c r="R822" s="84" t="str">
        <x:v>Tridens buckleyanus</x:v>
      </x:c>
      <x:c r="S822" s="84" t="str">
        <x:v>447211</x:v>
      </x:c>
      <x:c r="T822" s="84" t="str">
        <x:v>527048</x:v>
      </x:c>
      <x:c r="U822" s="84" t="str">
        <x:v>257759-2</x:v>
      </x:c>
      <x:c r="V822" s="84" t="str">
        <x:v>77160904-1</x:v>
      </x:c>
      <x:c r="W822" s="84" t="str"/>
    </x:row>
    <x:row r="823" ht="18" customHeight="1">
      <x:c r="A823" s="83" t="str">
        <x:v>HAYS-0822</x:v>
      </x:c>
      <x:c r="B823" s="87" t="str">
        <x:v>Tridens eragrostoides</x:v>
      </x:c>
      <x:c r="C823" s="87" t="str">
        <x:v>Triplasiella eragrostoides</x:v>
      </x:c>
      <x:c r="D823" s="84" t="str">
        <x:v>Poaceae</x:v>
      </x:c>
      <x:c r="E823" s="84" t="str">
        <x:v>Triplasiella</x:v>
      </x:c>
      <x:c r="F823" s="84" t="str">
        <x:v>Species</x:v>
      </x:c>
      <x:c r="G823" s="84" t="str">
        <x:v>Synonym</x:v>
      </x:c>
      <x:c r="H823" s="84" t="str">
        <x:v>Lovegrass Tridens</x:v>
      </x:c>
      <x:c r="I823" s="84" t="str">
        <x:v>Perennial</x:v>
      </x:c>
      <x:c r="J823" s="84" t="str">
        <x:v>Grass/Grass-like</x:v>
      </x:c>
      <x:c r="K823" s="84" t="str"/>
      <x:c r="L823" s="84" t="str"/>
      <x:c r="M823" s="89" t="n">
        <x:v>1</x:v>
      </x:c>
      <x:c r="N823" s="89" t="n">
        <x:v>1</x:v>
      </x:c>
      <x:c r="O823" s="89" t="n">
        <x:v>0</x:v>
      </x:c>
      <x:c r="P823" s="89" t="n">
        <x:f>SUM(M823:O823)</x:f>
        <x:v>2</x:v>
      </x:c>
      <x:c r="Q823" s="84" t="str">
        <x:v>Exact synonym-name match</x:v>
      </x:c>
      <x:c r="R823" s="84" t="str">
        <x:v>Tridens eragrostoides</x:v>
      </x:c>
      <x:c r="S823" s="84" t="str">
        <x:v>447219</x:v>
      </x:c>
      <x:c r="T823" s="84" t="str">
        <x:v>527035</x:v>
      </x:c>
      <x:c r="U823" s="84" t="str">
        <x:v>257766-2</x:v>
      </x:c>
      <x:c r="V823" s="84" t="str">
        <x:v>77160907-1</x:v>
      </x:c>
      <x:c r="W823" s="84" t="str"/>
    </x:row>
    <x:row r="824" ht="18" customHeight="1">
      <x:c r="A824" s="83" t="str">
        <x:v>HAYS-0823</x:v>
      </x:c>
      <x:c r="B824" s="87" t="str">
        <x:v>Tridens flavus</x:v>
      </x:c>
      <x:c r="C824" s="87" t="str">
        <x:v>Tridens flavus</x:v>
      </x:c>
      <x:c r="D824" s="84" t="str">
        <x:v>Poaceae</x:v>
      </x:c>
      <x:c r="E824" s="84" t="str">
        <x:v>Tridens</x:v>
      </x:c>
      <x:c r="F824" s="84" t="str">
        <x:v>Species</x:v>
      </x:c>
      <x:c r="G824" s="84" t="str">
        <x:v>Accepted</x:v>
      </x:c>
      <x:c r="H824" s="84" t="str">
        <x:v>Purpletop Tridens</x:v>
      </x:c>
      <x:c r="I824" s="84" t="str">
        <x:v>Perennial</x:v>
      </x:c>
      <x:c r="J824" s="84" t="str">
        <x:v>Grass</x:v>
      </x:c>
      <x:c r="K824" s="84" t="str">
        <x:v>Full Sun</x:v>
      </x:c>
      <x:c r="L824" s="84" t="str">
        <x:v>Moist</x:v>
      </x:c>
      <x:c r="M824" s="89" t="n">
        <x:v>1</x:v>
      </x:c>
      <x:c r="N824" s="89" t="n">
        <x:v>1</x:v>
      </x:c>
      <x:c r="O824" s="89" t="n">
        <x:v>1</x:v>
      </x:c>
      <x:c r="P824" s="89" t="n">
        <x:f>SUM(M824:O824)</x:f>
        <x:v>3</x:v>
      </x:c>
      <x:c r="Q824" s="84" t="str">
        <x:v>Exact accepted-name match</x:v>
      </x:c>
      <x:c r="R824" s="84" t="str">
        <x:v>Tridens flavus</x:v>
      </x:c>
      <x:c r="S824" s="84" t="str">
        <x:v>447221</x:v>
      </x:c>
      <x:c r="T824" s="84" t="str">
        <x:v>447221</x:v>
      </x:c>
      <x:c r="U824" s="84" t="str">
        <x:v>257768-2</x:v>
      </x:c>
      <x:c r="V824" s="84" t="str">
        <x:v>257768-2</x:v>
      </x:c>
      <x:c r="W824" s="84" t="str"/>
    </x:row>
    <x:row r="825" ht="18" customHeight="1">
      <x:c r="A825" s="83" t="str">
        <x:v>HAYS-0824</x:v>
      </x:c>
      <x:c r="B825" s="87" t="str">
        <x:v>Tridens muticus</x:v>
      </x:c>
      <x:c r="C825" s="87" t="str">
        <x:v>Tridentopsis mutica</x:v>
      </x:c>
      <x:c r="D825" s="84" t="str">
        <x:v>Poaceae</x:v>
      </x:c>
      <x:c r="E825" s="84" t="str">
        <x:v>Tridentopsis</x:v>
      </x:c>
      <x:c r="F825" s="84" t="str">
        <x:v>Species</x:v>
      </x:c>
      <x:c r="G825" s="84" t="str">
        <x:v>Synonym</x:v>
      </x:c>
      <x:c r="H825" s="84" t="str">
        <x:v>Slim Tridens</x:v>
      </x:c>
      <x:c r="I825" s="84" t="str">
        <x:v>Perennial</x:v>
      </x:c>
      <x:c r="J825" s="84" t="str">
        <x:v>Grass/Grass-like</x:v>
      </x:c>
      <x:c r="K825" s="84" t="str"/>
      <x:c r="L825" s="84" t="str"/>
      <x:c r="M825" s="89" t="n">
        <x:v>1</x:v>
      </x:c>
      <x:c r="N825" s="89" t="n">
        <x:v>1</x:v>
      </x:c>
      <x:c r="O825" s="89" t="n">
        <x:v>0</x:v>
      </x:c>
      <x:c r="P825" s="89" t="n">
        <x:f>SUM(M825:O825)</x:f>
        <x:v>2</x:v>
      </x:c>
      <x:c r="Q825" s="84" t="str">
        <x:v>Exact synonym-name match</x:v>
      </x:c>
      <x:c r="R825" s="84" t="str">
        <x:v>Tridens muticus</x:v>
      </x:c>
      <x:c r="S825" s="84" t="str">
        <x:v>447229</x:v>
      </x:c>
      <x:c r="T825" s="84" t="str">
        <x:v>493482</x:v>
      </x:c>
      <x:c r="U825" s="84" t="str">
        <x:v>257775-2</x:v>
      </x:c>
      <x:c r="V825" s="84" t="str">
        <x:v>77138756-1</x:v>
      </x:c>
      <x:c r="W825" s="84" t="str"/>
    </x:row>
    <x:row r="826" ht="18" customHeight="1">
      <x:c r="A826" s="83" t="str">
        <x:v>HAYS-0825</x:v>
      </x:c>
      <x:c r="B826" s="87" t="str">
        <x:v>Tridens texanus</x:v>
      </x:c>
      <x:c r="C826" s="87" t="str">
        <x:v>Tridens texanus</x:v>
      </x:c>
      <x:c r="D826" s="84" t="str">
        <x:v>Poaceae</x:v>
      </x:c>
      <x:c r="E826" s="84" t="str">
        <x:v>Tridens</x:v>
      </x:c>
      <x:c r="F826" s="84" t="str">
        <x:v>Species</x:v>
      </x:c>
      <x:c r="G826" s="84" t="str">
        <x:v>Accepted</x:v>
      </x:c>
      <x:c r="H826" s="84" t="str">
        <x:v>Texas Fluffgrass, Texas Tridens</x:v>
      </x:c>
      <x:c r="I826" s="84" t="str">
        <x:v>Perennial</x:v>
      </x:c>
      <x:c r="J826" s="84" t="str">
        <x:v>Grass/Grass-like</x:v>
      </x:c>
      <x:c r="K826" s="84" t="str"/>
      <x:c r="L826" s="84" t="str"/>
      <x:c r="M826" s="89" t="n">
        <x:v>1</x:v>
      </x:c>
      <x:c r="N826" s="89" t="n">
        <x:v>1</x:v>
      </x:c>
      <x:c r="O826" s="89" t="n">
        <x:v>0</x:v>
      </x:c>
      <x:c r="P826" s="89" t="n">
        <x:f>SUM(M826:O826)</x:f>
        <x:v>2</x:v>
      </x:c>
      <x:c r="Q826" s="84" t="str">
        <x:v>Exact accepted-name match</x:v>
      </x:c>
      <x:c r="R826" s="84" t="str">
        <x:v>Tridens texanus</x:v>
      </x:c>
      <x:c r="S826" s="84" t="str">
        <x:v>447243</x:v>
      </x:c>
      <x:c r="T826" s="84" t="str">
        <x:v>447243</x:v>
      </x:c>
      <x:c r="U826" s="84" t="str">
        <x:v>257787-2</x:v>
      </x:c>
      <x:c r="V826" s="84" t="str">
        <x:v>257787-2</x:v>
      </x:c>
      <x:c r="W826" s="84" t="str"/>
    </x:row>
    <x:row r="827" ht="18" customHeight="1">
      <x:c r="A827" s="83" t="str">
        <x:v>HAYS-0826</x:v>
      </x:c>
      <x:c r="B827" s="87" t="str">
        <x:v>Triodanis biflora</x:v>
      </x:c>
      <x:c r="C827" s="87" t="str">
        <x:v>Triodanis perfoliata subsp. biflora</x:v>
      </x:c>
      <x:c r="D827" s="84" t="str">
        <x:v>Campanulaceae</x:v>
      </x:c>
      <x:c r="E827" s="84" t="str">
        <x:v>Triodanis</x:v>
      </x:c>
      <x:c r="F827" s="84" t="str">
        <x:v>Species</x:v>
      </x:c>
      <x:c r="G827" s="84" t="str">
        <x:v>Synonym</x:v>
      </x:c>
      <x:c r="H827" s="84" t="str">
        <x:v>Small Venus' Looking-glass</x:v>
      </x:c>
      <x:c r="I827" s="84" t="str">
        <x:v>Annual</x:v>
      </x:c>
      <x:c r="J827" s="84" t="str">
        <x:v>Herb</x:v>
      </x:c>
      <x:c r="K827" s="84" t="str"/>
      <x:c r="L827" s="84" t="str"/>
      <x:c r="M827" s="89" t="n">
        <x:v>1</x:v>
      </x:c>
      <x:c r="N827" s="89" t="n">
        <x:v>1</x:v>
      </x:c>
      <x:c r="O827" s="89" t="n">
        <x:v>0</x:v>
      </x:c>
      <x:c r="P827" s="89" t="n">
        <x:f>SUM(M827:O827)</x:f>
        <x:v>2</x:v>
      </x:c>
      <x:c r="Q827" s="84" t="str">
        <x:v>Exact synonym-name match</x:v>
      </x:c>
      <x:c r="R827" s="84" t="str">
        <x:v>Triodanis biflora</x:v>
      </x:c>
      <x:c r="S827" s="84" t="str">
        <x:v>356958</x:v>
      </x:c>
      <x:c r="T827" s="84" t="str">
        <x:v>357969</x:v>
      </x:c>
      <x:c r="U827" s="84" t="str">
        <x:v>258442-2</x:v>
      </x:c>
      <x:c r="V827" s="84" t="str">
        <x:v>60442705-2</x:v>
      </x:c>
      <x:c r="W827" s="84" t="str"/>
    </x:row>
    <x:row r="828" ht="18" customHeight="1">
      <x:c r="A828" s="83" t="str">
        <x:v>HAYS-0827</x:v>
      </x:c>
      <x:c r="B828" s="87" t="str">
        <x:v>Triodanis coloradoensis</x:v>
      </x:c>
      <x:c r="C828" s="87" t="str">
        <x:v>Triodanis coloradoensis</x:v>
      </x:c>
      <x:c r="D828" s="84" t="str">
        <x:v>Campanulaceae</x:v>
      </x:c>
      <x:c r="E828" s="84" t="str">
        <x:v>Triodanis</x:v>
      </x:c>
      <x:c r="F828" s="84" t="str">
        <x:v>Species</x:v>
      </x:c>
      <x:c r="G828" s="84" t="str">
        <x:v>Accepted</x:v>
      </x:c>
      <x:c r="H828" s="84" t="str">
        <x:v>Colorado Venus' Looking-glass, Western Venus' Looking Glass</x:v>
      </x:c>
      <x:c r="I828" s="84" t="str">
        <x:v>Annual</x:v>
      </x:c>
      <x:c r="J828" s="84" t="str">
        <x:v>Herb</x:v>
      </x:c>
      <x:c r="K828" s="84" t="str"/>
      <x:c r="L828" s="84" t="str"/>
      <x:c r="M828" s="89" t="n">
        <x:v>1</x:v>
      </x:c>
      <x:c r="N828" s="89" t="n">
        <x:v>1</x:v>
      </x:c>
      <x:c r="O828" s="89" t="n">
        <x:v>0</x:v>
      </x:c>
      <x:c r="P828" s="89" t="n">
        <x:f>SUM(M828:O828)</x:f>
        <x:v>2</x:v>
      </x:c>
      <x:c r="Q828" s="84" t="str">
        <x:v>Exact accepted-name match</x:v>
      </x:c>
      <x:c r="R828" s="84" t="str">
        <x:v>Triodanis coloradoensis</x:v>
      </x:c>
      <x:c r="S828" s="84" t="str">
        <x:v>356964</x:v>
      </x:c>
      <x:c r="T828" s="84" t="str">
        <x:v>356964</x:v>
      </x:c>
      <x:c r="U828" s="84" t="str">
        <x:v>258443-2</x:v>
      </x:c>
      <x:c r="V828" s="84" t="str">
        <x:v>258443-2</x:v>
      </x:c>
      <x:c r="W828" s="84" t="str"/>
    </x:row>
    <x:row r="829" ht="18" customHeight="1">
      <x:c r="A829" s="83" t="str">
        <x:v>HAYS-0828</x:v>
      </x:c>
      <x:c r="B829" s="87" t="str">
        <x:v>Triodanis leptocarpa</x:v>
      </x:c>
      <x:c r="C829" s="87" t="str">
        <x:v>Triodanis leptocarpa</x:v>
      </x:c>
      <x:c r="D829" s="84" t="str">
        <x:v>Campanulaceae</x:v>
      </x:c>
      <x:c r="E829" s="84" t="str">
        <x:v>Triodanis</x:v>
      </x:c>
      <x:c r="F829" s="84" t="str">
        <x:v>Species</x:v>
      </x:c>
      <x:c r="G829" s="84" t="str">
        <x:v>Accepted</x:v>
      </x:c>
      <x:c r="H829" s="84" t="str">
        <x:v>Slimpod Venus' Looking-glass</x:v>
      </x:c>
      <x:c r="I829" s="84" t="str">
        <x:v>Annual</x:v>
      </x:c>
      <x:c r="J829" s="84" t="str">
        <x:v>Herb</x:v>
      </x:c>
      <x:c r="K829" s="84" t="str"/>
      <x:c r="L829" s="84" t="str"/>
      <x:c r="M829" s="89" t="n">
        <x:v>1</x:v>
      </x:c>
      <x:c r="N829" s="89" t="n">
        <x:v>1</x:v>
      </x:c>
      <x:c r="O829" s="89" t="n">
        <x:v>0</x:v>
      </x:c>
      <x:c r="P829" s="89" t="n">
        <x:f>SUM(M829:O829)</x:f>
        <x:v>2</x:v>
      </x:c>
      <x:c r="Q829" s="84" t="str">
        <x:v>Exact accepted-name match</x:v>
      </x:c>
      <x:c r="R829" s="84" t="str">
        <x:v>Triodanis leptocarpa</x:v>
      </x:c>
      <x:c r="S829" s="84" t="str">
        <x:v>356952</x:v>
      </x:c>
      <x:c r="T829" s="84" t="str">
        <x:v>356952</x:v>
      </x:c>
      <x:c r="U829" s="84" t="str">
        <x:v>258446-2</x:v>
      </x:c>
      <x:c r="V829" s="84" t="str">
        <x:v>258446-2</x:v>
      </x:c>
      <x:c r="W829" s="84" t="str"/>
    </x:row>
    <x:row r="830" ht="18" customHeight="1">
      <x:c r="A830" s="83" t="str">
        <x:v>HAYS-0829</x:v>
      </x:c>
      <x:c r="B830" s="87" t="str">
        <x:v>Triodanis perfoliata</x:v>
      </x:c>
      <x:c r="C830" s="87" t="str">
        <x:v>Triodanis perfoliata</x:v>
      </x:c>
      <x:c r="D830" s="84" t="str">
        <x:v>Campanulaceae</x:v>
      </x:c>
      <x:c r="E830" s="84" t="str">
        <x:v>Triodanis</x:v>
      </x:c>
      <x:c r="F830" s="84" t="str">
        <x:v>Species</x:v>
      </x:c>
      <x:c r="G830" s="84" t="str">
        <x:v>Accepted</x:v>
      </x:c>
      <x:c r="H830" s="84" t="str">
        <x:v>Clasping Venus's Looking-glass</x:v>
      </x:c>
      <x:c r="I830" s="84" t="str">
        <x:v>Annual</x:v>
      </x:c>
      <x:c r="J830" s="84" t="str">
        <x:v>Herb</x:v>
      </x:c>
      <x:c r="K830" s="84" t="str">
        <x:v>Shade</x:v>
      </x:c>
      <x:c r="L830" s="84" t="str">
        <x:v>Dry</x:v>
      </x:c>
      <x:c r="M830" s="89" t="n">
        <x:v>1</x:v>
      </x:c>
      <x:c r="N830" s="89" t="n">
        <x:v>1</x:v>
      </x:c>
      <x:c r="O830" s="89" t="n">
        <x:v>0</x:v>
      </x:c>
      <x:c r="P830" s="89" t="n">
        <x:f>SUM(M830:O830)</x:f>
        <x:v>2</x:v>
      </x:c>
      <x:c r="Q830" s="84" t="str">
        <x:v>Exact accepted-name match</x:v>
      </x:c>
      <x:c r="R830" s="84" t="str">
        <x:v>Triodanis perfoliata</x:v>
      </x:c>
      <x:c r="S830" s="84" t="str">
        <x:v>356951</x:v>
      </x:c>
      <x:c r="T830" s="84" t="str">
        <x:v>356951</x:v>
      </x:c>
      <x:c r="U830" s="84" t="str">
        <x:v>258447-2</x:v>
      </x:c>
      <x:c r="V830" s="84" t="str">
        <x:v>258447-2</x:v>
      </x:c>
      <x:c r="W830" s="84" t="str"/>
    </x:row>
    <x:row r="831" ht="18" customHeight="1">
      <x:c r="A831" s="83" t="str">
        <x:v>HAYS-0830</x:v>
      </x:c>
      <x:c r="B831" s="87" t="str">
        <x:v>Tripsacum dactyloides</x:v>
      </x:c>
      <x:c r="C831" s="87" t="str">
        <x:v>Tripsacum dactyloides</x:v>
      </x:c>
      <x:c r="D831" s="84" t="str">
        <x:v>Poaceae</x:v>
      </x:c>
      <x:c r="E831" s="84" t="str">
        <x:v>Tripsacum</x:v>
      </x:c>
      <x:c r="F831" s="84" t="str">
        <x:v>Species</x:v>
      </x:c>
      <x:c r="G831" s="84" t="str">
        <x:v>Accepted</x:v>
      </x:c>
      <x:c r="H831" s="84" t="str">
        <x:v>Eastern Gamagrass, Fakahatchee Grass</x:v>
      </x:c>
      <x:c r="I831" s="84" t="str">
        <x:v>Perennial</x:v>
      </x:c>
      <x:c r="J831" s="84" t="str">
        <x:v>Grass</x:v>
      </x:c>
      <x:c r="K831" s="84" t="str">
        <x:v>Sun, Part Shade</x:v>
      </x:c>
      <x:c r="L831" s="84" t="str">
        <x:v>Medium</x:v>
      </x:c>
      <x:c r="M831" s="89" t="n">
        <x:v>1</x:v>
      </x:c>
      <x:c r="N831" s="89" t="n">
        <x:v>1</x:v>
      </x:c>
      <x:c r="O831" s="89" t="n">
        <x:v>1</x:v>
      </x:c>
      <x:c r="P831" s="89" t="n">
        <x:f>SUM(M831:O831)</x:f>
        <x:v>3</x:v>
      </x:c>
      <x:c r="Q831" s="84" t="str">
        <x:v>Exact accepted-name match</x:v>
      </x:c>
      <x:c r="R831" s="84" t="str">
        <x:v>Tripsacum dactyloides</x:v>
      </x:c>
      <x:c r="S831" s="84" t="str">
        <x:v>447549</x:v>
      </x:c>
      <x:c r="T831" s="84" t="str">
        <x:v>447549</x:v>
      </x:c>
      <x:c r="U831" s="84" t="str">
        <x:v>424990-1</x:v>
      </x:c>
      <x:c r="V831" s="84" t="str">
        <x:v>424990-1</x:v>
      </x:c>
      <x:c r="W831" s="84" t="str"/>
    </x:row>
    <x:row r="832" ht="18" customHeight="1">
      <x:c r="A832" s="83" t="str">
        <x:v>HAYS-0831</x:v>
      </x:c>
      <x:c r="B832" s="87" t="str">
        <x:v>Typha domingensis</x:v>
      </x:c>
      <x:c r="C832" s="87" t="str">
        <x:v>Typha domingensis</x:v>
      </x:c>
      <x:c r="D832" s="84" t="str">
        <x:v>Typhaceae</x:v>
      </x:c>
      <x:c r="E832" s="84" t="str">
        <x:v>Typha</x:v>
      </x:c>
      <x:c r="F832" s="84" t="str">
        <x:v>Species</x:v>
      </x:c>
      <x:c r="G832" s="84" t="str">
        <x:v>Accepted</x:v>
      </x:c>
      <x:c r="H832" s="84" t="str">
        <x:v>Southern Cattail</x:v>
      </x:c>
      <x:c r="I832" s="84" t="str">
        <x:v>Perennial</x:v>
      </x:c>
      <x:c r="J832" s="84" t="str">
        <x:v>Herb</x:v>
      </x:c>
      <x:c r="K832" s="84" t="str"/>
      <x:c r="L832" s="84" t="str"/>
      <x:c r="M832" s="89" t="n">
        <x:v>1</x:v>
      </x:c>
      <x:c r="N832" s="89" t="n">
        <x:v>1</x:v>
      </x:c>
      <x:c r="O832" s="89" t="n">
        <x:v>0</x:v>
      </x:c>
      <x:c r="P832" s="89" t="n">
        <x:f>SUM(M832:O832)</x:f>
        <x:v>2</x:v>
      </x:c>
      <x:c r="Q832" s="84" t="str">
        <x:v>Exact accepted-name match</x:v>
      </x:c>
      <x:c r="R832" s="84" t="str">
        <x:v>Typha domingensis</x:v>
      </x:c>
      <x:c r="S832" s="84" t="str">
        <x:v>270970</x:v>
      </x:c>
      <x:c r="T832" s="84" t="str">
        <x:v>270970</x:v>
      </x:c>
      <x:c r="U832" s="84" t="str">
        <x:v>836837-1</x:v>
      </x:c>
      <x:c r="V832" s="84" t="str">
        <x:v>836837-1</x:v>
      </x:c>
      <x:c r="W832" s="84" t="str"/>
    </x:row>
    <x:row r="833" ht="18" customHeight="1">
      <x:c r="A833" s="83" t="str">
        <x:v>HAYS-0832</x:v>
      </x:c>
      <x:c r="B833" s="87" t="str">
        <x:v>Typha latifolia</x:v>
      </x:c>
      <x:c r="C833" s="87" t="str">
        <x:v>Typha latifolia</x:v>
      </x:c>
      <x:c r="D833" s="84" t="str">
        <x:v>Typhaceae</x:v>
      </x:c>
      <x:c r="E833" s="84" t="str">
        <x:v>Typha</x:v>
      </x:c>
      <x:c r="F833" s="84" t="str">
        <x:v>Species</x:v>
      </x:c>
      <x:c r="G833" s="84" t="str">
        <x:v>Accepted</x:v>
      </x:c>
      <x:c r="H833" s="84" t="str">
        <x:v>Broadleaf Cattail, Common Cattail</x:v>
      </x:c>
      <x:c r="I833" s="84" t="str">
        <x:v>Perennial</x:v>
      </x:c>
      <x:c r="J833" s="84" t="str">
        <x:v>Grass/Grass-like</x:v>
      </x:c>
      <x:c r="K833" s="84" t="str">
        <x:v>Sun, Part-shade</x:v>
      </x:c>
      <x:c r="L833" s="84" t="str">
        <x:v>Wet</x:v>
      </x:c>
      <x:c r="M833" s="89" t="n">
        <x:v>1</x:v>
      </x:c>
      <x:c r="N833" s="89" t="n">
        <x:v>1</x:v>
      </x:c>
      <x:c r="O833" s="89" t="n">
        <x:v>0</x:v>
      </x:c>
      <x:c r="P833" s="89" t="n">
        <x:f>SUM(M833:O833)</x:f>
        <x:v>2</x:v>
      </x:c>
      <x:c r="Q833" s="84" t="str">
        <x:v>Exact accepted-name match</x:v>
      </x:c>
      <x:c r="R833" s="84" t="str">
        <x:v>Typha latifolia</x:v>
      </x:c>
      <x:c r="S833" s="84" t="str">
        <x:v>271005</x:v>
      </x:c>
      <x:c r="T833" s="84" t="str">
        <x:v>271005</x:v>
      </x:c>
      <x:c r="U833" s="84" t="str">
        <x:v>836870-1</x:v>
      </x:c>
      <x:c r="V833" s="84" t="str">
        <x:v>836870-1</x:v>
      </x:c>
      <x:c r="W833" s="84" t="str"/>
    </x:row>
    <x:row r="834" ht="18" customHeight="1">
      <x:c r="A834" s="83" t="str">
        <x:v>HAYS-0833</x:v>
      </x:c>
      <x:c r="B834" s="87" t="str">
        <x:v>Ulmus americana</x:v>
      </x:c>
      <x:c r="C834" s="87" t="str">
        <x:v>Ulmus americana</x:v>
      </x:c>
      <x:c r="D834" s="84" t="str">
        <x:v>Ulmaceae</x:v>
      </x:c>
      <x:c r="E834" s="84" t="str">
        <x:v>Ulmus</x:v>
      </x:c>
      <x:c r="F834" s="84" t="str">
        <x:v>Species</x:v>
      </x:c>
      <x:c r="G834" s="84" t="str">
        <x:v>Accepted</x:v>
      </x:c>
      <x:c r="H834" s="84" t="str">
        <x:v>American Elm, White Elm, Soft Elm, Water Elm, Common Elm</x:v>
      </x:c>
      <x:c r="I834" s="84" t="str">
        <x:v>Perennial</x:v>
      </x:c>
      <x:c r="J834" s="84" t="str">
        <x:v>Tree</x:v>
      </x:c>
      <x:c r="K834" s="84" t="str">
        <x:v>Sun, Part Shade</x:v>
      </x:c>
      <x:c r="L834" s="84" t="str">
        <x:v>Medium</x:v>
      </x:c>
      <x:c r="M834" s="89" t="n">
        <x:v>1</x:v>
      </x:c>
      <x:c r="N834" s="89" t="n">
        <x:v>1</x:v>
      </x:c>
      <x:c r="O834" s="89" t="n">
        <x:v>1</x:v>
      </x:c>
      <x:c r="P834" s="89" t="n">
        <x:f>SUM(M834:O834)</x:f>
        <x:v>3</x:v>
      </x:c>
      <x:c r="Q834" s="84" t="str">
        <x:v>Exact accepted-name match</x:v>
      </x:c>
      <x:c r="R834" s="84" t="str">
        <x:v>Ulmus americana</x:v>
      </x:c>
      <x:c r="S834" s="84" t="str">
        <x:v>2450019</x:v>
      </x:c>
      <x:c r="T834" s="84" t="str">
        <x:v>2450019</x:v>
      </x:c>
      <x:c r="U834" s="84" t="str">
        <x:v>304464-2</x:v>
      </x:c>
      <x:c r="V834" s="84" t="str">
        <x:v>304464-2</x:v>
      </x:c>
      <x:c r="W834" s="84" t="str"/>
    </x:row>
    <x:row r="835" ht="18" customHeight="1">
      <x:c r="A835" s="83" t="str">
        <x:v>HAYS-0834</x:v>
      </x:c>
      <x:c r="B835" s="87" t="str">
        <x:v>Ulmus crassifolia</x:v>
      </x:c>
      <x:c r="C835" s="87" t="str">
        <x:v>Ulmus crassifolia</x:v>
      </x:c>
      <x:c r="D835" s="84" t="str">
        <x:v>Ulmaceae</x:v>
      </x:c>
      <x:c r="E835" s="84" t="str">
        <x:v>Ulmus</x:v>
      </x:c>
      <x:c r="F835" s="84" t="str">
        <x:v>Species</x:v>
      </x:c>
      <x:c r="G835" s="84" t="str">
        <x:v>Accepted</x:v>
      </x:c>
      <x:c r="H835" s="84" t="str">
        <x:v>Cedar Elm, Fall Elm, Basket Elm, Scrub Elm, Lime Elm, Texas Elm, Southern Rock Elm, Olmo</x:v>
      </x:c>
      <x:c r="I835" s="84" t="str">
        <x:v>Perennial</x:v>
      </x:c>
      <x:c r="J835" s="84" t="str">
        <x:v>Tree</x:v>
      </x:c>
      <x:c r="K835" s="84" t="str">
        <x:v>Sun</x:v>
      </x:c>
      <x:c r="L835" s="84" t="str">
        <x:v>Low</x:v>
      </x:c>
      <x:c r="M835" s="89" t="n">
        <x:v>1</x:v>
      </x:c>
      <x:c r="N835" s="89" t="n">
        <x:v>1</x:v>
      </x:c>
      <x:c r="O835" s="89" t="n">
        <x:v>1</x:v>
      </x:c>
      <x:c r="P835" s="89" t="n">
        <x:f>SUM(M835:O835)</x:f>
        <x:v>3</x:v>
      </x:c>
      <x:c r="Q835" s="84" t="str">
        <x:v>Exact accepted-name match</x:v>
      </x:c>
      <x:c r="R835" s="84" t="str">
        <x:v>Ulmus crassifolia</x:v>
      </x:c>
      <x:c r="S835" s="84" t="str">
        <x:v>2449976</x:v>
      </x:c>
      <x:c r="T835" s="84" t="str">
        <x:v>2449976</x:v>
      </x:c>
      <x:c r="U835" s="84" t="str">
        <x:v>302278-2</x:v>
      </x:c>
      <x:c r="V835" s="84" t="str">
        <x:v>302278-2</x:v>
      </x:c>
      <x:c r="W835" s="84" t="str"/>
    </x:row>
    <x:row r="836" ht="18" customHeight="1">
      <x:c r="A836" s="83" t="str">
        <x:v>HAYS-0835</x:v>
      </x:c>
      <x:c r="B836" s="87" t="str">
        <x:v>Ulmus rubra</x:v>
      </x:c>
      <x:c r="C836" s="87" t="str">
        <x:v>Ulmus rubra</x:v>
      </x:c>
      <x:c r="D836" s="84" t="str">
        <x:v>Ulmaceae</x:v>
      </x:c>
      <x:c r="E836" s="84" t="str">
        <x:v>Ulmus</x:v>
      </x:c>
      <x:c r="F836" s="84" t="str">
        <x:v>Species</x:v>
      </x:c>
      <x:c r="G836" s="84" t="str">
        <x:v>Accepted</x:v>
      </x:c>
      <x:c r="H836" s="84" t="str">
        <x:v>Slippery Elm, Red Elm, Gray Elm, Soft Elm</x:v>
      </x:c>
      <x:c r="I836" s="84" t="str">
        <x:v>Perennial</x:v>
      </x:c>
      <x:c r="J836" s="84" t="str">
        <x:v>Tree</x:v>
      </x:c>
      <x:c r="K836" s="84" t="str">
        <x:v>Sun, Part-shade</x:v>
      </x:c>
      <x:c r="L836" s="84" t="str">
        <x:v>Moist</x:v>
      </x:c>
      <x:c r="M836" s="89" t="n">
        <x:v>1</x:v>
      </x:c>
      <x:c r="N836" s="89" t="n">
        <x:v>1</x:v>
      </x:c>
      <x:c r="O836" s="89" t="n">
        <x:v>0</x:v>
      </x:c>
      <x:c r="P836" s="89" t="n">
        <x:f>SUM(M836:O836)</x:f>
        <x:v>2</x:v>
      </x:c>
      <x:c r="Q836" s="84" t="str">
        <x:v>Exact accepted-name match</x:v>
      </x:c>
      <x:c r="R836" s="84" t="str">
        <x:v>Ulmus rubra</x:v>
      </x:c>
      <x:c r="S836" s="84" t="str">
        <x:v>2448805</x:v>
      </x:c>
      <x:c r="T836" s="84" t="str">
        <x:v>2448805</x:v>
      </x:c>
      <x:c r="U836" s="84" t="str">
        <x:v>306680-2</x:v>
      </x:c>
      <x:c r="V836" s="84" t="str">
        <x:v>306680-2</x:v>
      </x:c>
      <x:c r="W836" s="84" t="str"/>
    </x:row>
    <x:row r="837" ht="18" customHeight="1">
      <x:c r="A837" s="83" t="str">
        <x:v>HAYS-0836</x:v>
      </x:c>
      <x:c r="B837" s="87" t="str">
        <x:v>Ungnadia speciosa</x:v>
      </x:c>
      <x:c r="C837" s="87" t="str">
        <x:v>Ungnadia speciosa</x:v>
      </x:c>
      <x:c r="D837" s="84" t="str">
        <x:v>Sapindaceae</x:v>
      </x:c>
      <x:c r="E837" s="84" t="str">
        <x:v>Ungnadia</x:v>
      </x:c>
      <x:c r="F837" s="84" t="str">
        <x:v>Species</x:v>
      </x:c>
      <x:c r="G837" s="84" t="str">
        <x:v>Accepted</x:v>
      </x:c>
      <x:c r="H837" s="84" t="str">
        <x:v>Mexican Buckeye, Monilla</x:v>
      </x:c>
      <x:c r="I837" s="84" t="str">
        <x:v>Perennial</x:v>
      </x:c>
      <x:c r="J837" s="84" t="str">
        <x:v>Tree</x:v>
      </x:c>
      <x:c r="K837" s="84" t="str">
        <x:v>Sun</x:v>
      </x:c>
      <x:c r="L837" s="84" t="str">
        <x:v>Low</x:v>
      </x:c>
      <x:c r="M837" s="89" t="n">
        <x:v>1</x:v>
      </x:c>
      <x:c r="N837" s="89" t="n">
        <x:v>1</x:v>
      </x:c>
      <x:c r="O837" s="89" t="n">
        <x:v>1</x:v>
      </x:c>
      <x:c r="P837" s="89" t="n">
        <x:f>SUM(M837:O837)</x:f>
        <x:v>3</x:v>
      </x:c>
      <x:c r="Q837" s="84" t="str">
        <x:v>Exact accepted-name match</x:v>
      </x:c>
      <x:c r="R837" s="84" t="str">
        <x:v>Ungnadia speciosa</x:v>
      </x:c>
      <x:c r="S837" s="84" t="str">
        <x:v>2449875</x:v>
      </x:c>
      <x:c r="T837" s="84" t="str">
        <x:v>2449875</x:v>
      </x:c>
      <x:c r="U837" s="84" t="str">
        <x:v>785564-1</x:v>
      </x:c>
      <x:c r="V837" s="84" t="str">
        <x:v>785564-1</x:v>
      </x:c>
      <x:c r="W837" s="84" t="str"/>
    </x:row>
    <x:row r="838" ht="18" customHeight="1">
      <x:c r="A838" s="83" t="str">
        <x:v>HAYS-0837</x:v>
      </x:c>
      <x:c r="B838" s="87" t="str">
        <x:v>Urochloa texana</x:v>
      </x:c>
      <x:c r="C838" s="87" t="str">
        <x:v>Urochloa texana</x:v>
      </x:c>
      <x:c r="D838" s="84" t="str">
        <x:v>Poaceae</x:v>
      </x:c>
      <x:c r="E838" s="84" t="str">
        <x:v>Urochloa</x:v>
      </x:c>
      <x:c r="F838" s="84" t="str">
        <x:v>Species</x:v>
      </x:c>
      <x:c r="G838" s="84" t="str">
        <x:v>Accepted</x:v>
      </x:c>
      <x:c r="H838" s="84" t="str">
        <x:v>Texas Signalgrass</x:v>
      </x:c>
      <x:c r="I838" s="84" t="str">
        <x:v>Annual</x:v>
      </x:c>
      <x:c r="J838" s="84" t="str">
        <x:v>Grass/Grass-like</x:v>
      </x:c>
      <x:c r="K838" s="84" t="str"/>
      <x:c r="L838" s="84" t="str"/>
      <x:c r="M838" s="89" t="n">
        <x:v>1</x:v>
      </x:c>
      <x:c r="N838" s="89" t="n">
        <x:v>1</x:v>
      </x:c>
      <x:c r="O838" s="89" t="n">
        <x:v>0</x:v>
      </x:c>
      <x:c r="P838" s="89" t="n">
        <x:f>SUM(M838:O838)</x:f>
        <x:v>2</x:v>
      </x:c>
      <x:c r="Q838" s="84" t="str">
        <x:v>Exact accepted-name match</x:v>
      </x:c>
      <x:c r="R838" s="84" t="str">
        <x:v>Urochloa texana</x:v>
      </x:c>
      <x:c r="S838" s="84" t="str">
        <x:v>449556</x:v>
      </x:c>
      <x:c r="T838" s="84" t="str">
        <x:v>449556</x:v>
      </x:c>
      <x:c r="U838" s="84" t="str">
        <x:v>943745-1</x:v>
      </x:c>
      <x:c r="V838" s="84" t="str">
        <x:v>943745-1</x:v>
      </x:c>
      <x:c r="W838" s="84" t="str"/>
    </x:row>
    <x:row r="839" ht="18" customHeight="1">
      <x:c r="A839" s="83" t="str">
        <x:v>HAYS-0838</x:v>
      </x:c>
      <x:c r="B839" s="87" t="str">
        <x:v>Utricularia gibba</x:v>
      </x:c>
      <x:c r="C839" s="87" t="str">
        <x:v>Utricularia gibba</x:v>
      </x:c>
      <x:c r="D839" s="84" t="str">
        <x:v>Lentibulariaceae</x:v>
      </x:c>
      <x:c r="E839" s="84" t="str">
        <x:v>Utricularia</x:v>
      </x:c>
      <x:c r="F839" s="84" t="str">
        <x:v>Species</x:v>
      </x:c>
      <x:c r="G839" s="84" t="str">
        <x:v>Accepted</x:v>
      </x:c>
      <x:c r="H839" s="84" t="str">
        <x:v>Humped Bladderwort, Bladderwort, Conespur Bladderpod</x:v>
      </x:c>
      <x:c r="I839" s="84" t="str">
        <x:v>Perennial</x:v>
      </x:c>
      <x:c r="J839" s="84" t="str">
        <x:v>Herb</x:v>
      </x:c>
      <x:c r="K839" s="84" t="str">
        <x:v>Sun</x:v>
      </x:c>
      <x:c r="L839" s="84" t="str">
        <x:v>Wet</x:v>
      </x:c>
      <x:c r="M839" s="89" t="n">
        <x:v>1</x:v>
      </x:c>
      <x:c r="N839" s="89" t="n">
        <x:v>1</x:v>
      </x:c>
      <x:c r="O839" s="89" t="n">
        <x:v>0</x:v>
      </x:c>
      <x:c r="P839" s="89" t="n">
        <x:f>SUM(M839:O839)</x:f>
        <x:v>2</x:v>
      </x:c>
      <x:c r="Q839" s="84" t="str">
        <x:v>Exact accepted-name match</x:v>
      </x:c>
      <x:c r="R839" s="84" t="str">
        <x:v>Utricularia gibba</x:v>
      </x:c>
      <x:c r="S839" s="84" t="str">
        <x:v>518366</x:v>
      </x:c>
      <x:c r="T839" s="84" t="str">
        <x:v>518366</x:v>
      </x:c>
      <x:c r="U839" s="84" t="str">
        <x:v>526777-1</x:v>
      </x:c>
      <x:c r="V839" s="84" t="str">
        <x:v>526777-1</x:v>
      </x:c>
      <x:c r="W839" s="84" t="str"/>
    </x:row>
    <x:row r="840" ht="18" customHeight="1">
      <x:c r="A840" s="83" t="str">
        <x:v>HAYS-0839</x:v>
      </x:c>
      <x:c r="B840" s="87" t="str">
        <x:v>Vachellia farnesiana</x:v>
      </x:c>
      <x:c r="C840" s="87" t="str">
        <x:v>Vachellia farnesiana</x:v>
      </x:c>
      <x:c r="D840" s="84" t="str">
        <x:v>Fabaceae</x:v>
      </x:c>
      <x:c r="E840" s="84" t="str">
        <x:v>Vachellia</x:v>
      </x:c>
      <x:c r="F840" s="84" t="str">
        <x:v>Species</x:v>
      </x:c>
      <x:c r="G840" s="84" t="str">
        <x:v>Accepted</x:v>
      </x:c>
      <x:c r="H840" s="84" t="str">
        <x:v>Huisache, Texas Huisache, Sweet Acacia, Perfume Acacia, Mealy Acacia, Mealy Wattle, Cassie</x:v>
      </x:c>
      <x:c r="I840" s="84" t="str">
        <x:v>Perennial</x:v>
      </x:c>
      <x:c r="J840" s="84" t="str">
        <x:v>Shrub, Tree</x:v>
      </x:c>
      <x:c r="K840" s="84" t="str">
        <x:v>Sun</x:v>
      </x:c>
      <x:c r="L840" s="84" t="str">
        <x:v>Low</x:v>
      </x:c>
      <x:c r="M840" s="89" t="n">
        <x:v>1</x:v>
      </x:c>
      <x:c r="N840" s="89" t="n">
        <x:v>1</x:v>
      </x:c>
      <x:c r="O840" s="89" t="n">
        <x:v>1</x:v>
      </x:c>
      <x:c r="P840" s="89" t="n">
        <x:f>SUM(M840:O840)</x:f>
        <x:v>3</x:v>
      </x:c>
      <x:c r="Q840" s="84" t="str">
        <x:v>Exact accepted-name match</x:v>
      </x:c>
      <x:c r="R840" s="84" t="str">
        <x:v>Vachellia farnesiana</x:v>
      </x:c>
      <x:c r="S840" s="84" t="str">
        <x:v>2452405</x:v>
      </x:c>
      <x:c r="T840" s="84" t="str">
        <x:v>2452405</x:v>
      </x:c>
      <x:c r="U840" s="84" t="str">
        <x:v>1099713-2</x:v>
      </x:c>
      <x:c r="V840" s="84" t="str">
        <x:v>1099713-2</x:v>
      </x:c>
      <x:c r="W840" s="84" t="str"/>
    </x:row>
    <x:row r="841" ht="18" customHeight="1">
      <x:c r="A841" s="83" t="str">
        <x:v>HAYS-0840</x:v>
      </x:c>
      <x:c r="B841" s="87" t="str">
        <x:v>Valerianella amarella</x:v>
      </x:c>
      <x:c r="C841" s="87" t="str">
        <x:v>Valeriana amarella</x:v>
      </x:c>
      <x:c r="D841" s="84" t="str">
        <x:v>Caprifoliaceae</x:v>
      </x:c>
      <x:c r="E841" s="84" t="str">
        <x:v>Valeriana</x:v>
      </x:c>
      <x:c r="F841" s="84" t="str">
        <x:v>Species</x:v>
      </x:c>
      <x:c r="G841" s="84" t="str">
        <x:v>Synonym</x:v>
      </x:c>
      <x:c r="H841" s="84" t="str">
        <x:v>Hairy Cornsalad</x:v>
      </x:c>
      <x:c r="I841" s="84" t="str">
        <x:v>Annual</x:v>
      </x:c>
      <x:c r="J841" s="84" t="str">
        <x:v>Herb</x:v>
      </x:c>
      <x:c r="K841" s="84" t="str"/>
      <x:c r="L841" s="84" t="str"/>
      <x:c r="M841" s="89" t="n">
        <x:v>1</x:v>
      </x:c>
      <x:c r="N841" s="89" t="n">
        <x:v>1</x:v>
      </x:c>
      <x:c r="O841" s="89" t="n">
        <x:v>0</x:v>
      </x:c>
      <x:c r="P841" s="89" t="n">
        <x:f>SUM(M841:O841)</x:f>
        <x:v>2</x:v>
      </x:c>
      <x:c r="Q841" s="84" t="str">
        <x:v>Exact synonym-name match</x:v>
      </x:c>
      <x:c r="R841" s="84" t="str">
        <x:v>Valerianella amarella</x:v>
      </x:c>
      <x:c r="S841" s="84" t="str">
        <x:v>2463562</x:v>
      </x:c>
      <x:c r="T841" s="84" t="str">
        <x:v>3225792</x:v>
      </x:c>
      <x:c r="U841" s="84" t="str">
        <x:v>860318-1</x:v>
      </x:c>
      <x:c r="V841" s="84" t="str">
        <x:v>77184176-1</x:v>
      </x:c>
      <x:c r="W841" s="84" t="str"/>
    </x:row>
    <x:row r="842" ht="18" customHeight="1">
      <x:c r="A842" s="83" t="str">
        <x:v>HAYS-0841</x:v>
      </x:c>
      <x:c r="B842" s="87" t="str">
        <x:v>Vallisneria americana</x:v>
      </x:c>
      <x:c r="C842" s="87" t="str">
        <x:v>Vallisneria americana</x:v>
      </x:c>
      <x:c r="D842" s="84" t="str">
        <x:v>Hydrocharitaceae</x:v>
      </x:c>
      <x:c r="E842" s="84" t="str">
        <x:v>Vallisneria</x:v>
      </x:c>
      <x:c r="F842" s="84" t="str">
        <x:v>Species</x:v>
      </x:c>
      <x:c r="G842" s="84" t="str">
        <x:v>Accepted</x:v>
      </x:c>
      <x:c r="H842" s="84" t="str">
        <x:v>American Eelgrass, Water Celery, Eelgrass, Tapegrass</x:v>
      </x:c>
      <x:c r="I842" s="84" t="str">
        <x:v>Perennial</x:v>
      </x:c>
      <x:c r="J842" s="84" t="str">
        <x:v>Herb</x:v>
      </x:c>
      <x:c r="K842" s="84" t="str">
        <x:v>Sun, Part-shade</x:v>
      </x:c>
      <x:c r="L842" s="84" t="str">
        <x:v>Wet</x:v>
      </x:c>
      <x:c r="M842" s="89" t="n">
        <x:v>1</x:v>
      </x:c>
      <x:c r="N842" s="89" t="n">
        <x:v>1</x:v>
      </x:c>
      <x:c r="O842" s="89" t="n">
        <x:v>0</x:v>
      </x:c>
      <x:c r="P842" s="89" t="n">
        <x:f>SUM(M842:O842)</x:f>
        <x:v>2</x:v>
      </x:c>
      <x:c r="Q842" s="84" t="str">
        <x:v>Exact accepted-name match</x:v>
      </x:c>
      <x:c r="R842" s="84" t="str">
        <x:v>Vallisneria americana</x:v>
      </x:c>
      <x:c r="S842" s="84" t="str">
        <x:v>308958</x:v>
      </x:c>
      <x:c r="T842" s="84" t="str">
        <x:v>308958</x:v>
      </x:c>
      <x:c r="U842" s="84" t="str">
        <x:v>431972-1</x:v>
      </x:c>
      <x:c r="V842" s="84" t="str">
        <x:v>431972-1</x:v>
      </x:c>
      <x:c r="W842" s="84" t="str"/>
    </x:row>
    <x:row r="843" ht="18" customHeight="1">
      <x:c r="A843" s="83" t="str">
        <x:v>HAYS-0842</x:v>
      </x:c>
      <x:c r="B843" s="87" t="str">
        <x:v>Verbena canescens</x:v>
      </x:c>
      <x:c r="C843" s="87" t="str">
        <x:v>Verbena canescens</x:v>
      </x:c>
      <x:c r="D843" s="84" t="str">
        <x:v>Verbenaceae</x:v>
      </x:c>
      <x:c r="E843" s="84" t="str">
        <x:v>Verbena</x:v>
      </x:c>
      <x:c r="F843" s="84" t="str">
        <x:v>Species</x:v>
      </x:c>
      <x:c r="G843" s="84" t="str">
        <x:v>Accepted</x:v>
      </x:c>
      <x:c r="H843" s="84" t="str">
        <x:v>Gray Vervain</x:v>
      </x:c>
      <x:c r="I843" s="84" t="str">
        <x:v>Perennial</x:v>
      </x:c>
      <x:c r="J843" s="84" t="str">
        <x:v>Herb</x:v>
      </x:c>
      <x:c r="K843" s="84" t="str">
        <x:v>Sun</x:v>
      </x:c>
      <x:c r="L843" s="84" t="str">
        <x:v>Moist, Dry</x:v>
      </x:c>
      <x:c r="M843" s="89" t="n">
        <x:v>1</x:v>
      </x:c>
      <x:c r="N843" s="89" t="n">
        <x:v>1</x:v>
      </x:c>
      <x:c r="O843" s="89" t="n">
        <x:v>0</x:v>
      </x:c>
      <x:c r="P843" s="89" t="n">
        <x:f>SUM(M843:O843)</x:f>
        <x:v>2</x:v>
      </x:c>
      <x:c r="Q843" s="84" t="str">
        <x:v>Exact accepted-name match</x:v>
      </x:c>
      <x:c r="R843" s="84" t="str">
        <x:v>Verbena canescens</x:v>
      </x:c>
      <x:c r="S843" s="84" t="str">
        <x:v>212159</x:v>
      </x:c>
      <x:c r="T843" s="84" t="str">
        <x:v>212159</x:v>
      </x:c>
      <x:c r="U843" s="84" t="str">
        <x:v>865078-1</x:v>
      </x:c>
      <x:c r="V843" s="84" t="str">
        <x:v>865078-1</x:v>
      </x:c>
      <x:c r="W843" s="84" t="str"/>
    </x:row>
    <x:row r="844" ht="18" customHeight="1">
      <x:c r="A844" s="83" t="str">
        <x:v>HAYS-0843</x:v>
      </x:c>
      <x:c r="B844" s="87" t="str">
        <x:v>Verbena halei</x:v>
      </x:c>
      <x:c r="C844" s="87" t="str">
        <x:v>Verbena halei</x:v>
      </x:c>
      <x:c r="D844" s="84" t="str">
        <x:v>Verbenaceae</x:v>
      </x:c>
      <x:c r="E844" s="84" t="str">
        <x:v>Verbena</x:v>
      </x:c>
      <x:c r="F844" s="84" t="str">
        <x:v>Species</x:v>
      </x:c>
      <x:c r="G844" s="84" t="str">
        <x:v>Accepted</x:v>
      </x:c>
      <x:c r="H844" s="84" t="str">
        <x:v>Texas Vervain, Slender Verbena, Texas Verbena, Slender Vervain</x:v>
      </x:c>
      <x:c r="I844" s="84" t="str">
        <x:v>Perennial</x:v>
      </x:c>
      <x:c r="J844" s="84" t="str">
        <x:v>Shrub</x:v>
      </x:c>
      <x:c r="K844" s="84" t="str">
        <x:v>Sun</x:v>
      </x:c>
      <x:c r="L844" s="84" t="str">
        <x:v>Dry</x:v>
      </x:c>
      <x:c r="M844" s="89" t="n">
        <x:v>1</x:v>
      </x:c>
      <x:c r="N844" s="89" t="n">
        <x:v>1</x:v>
      </x:c>
      <x:c r="O844" s="89" t="n">
        <x:v>0</x:v>
      </x:c>
      <x:c r="P844" s="89" t="n">
        <x:f>SUM(M844:O844)</x:f>
        <x:v>2</x:v>
      </x:c>
      <x:c r="Q844" s="84" t="str">
        <x:v>Exact accepted-name match</x:v>
      </x:c>
      <x:c r="R844" s="84" t="str">
        <x:v>Verbena halei</x:v>
      </x:c>
      <x:c r="S844" s="84" t="str">
        <x:v>212331</x:v>
      </x:c>
      <x:c r="T844" s="84" t="str">
        <x:v>212331</x:v>
      </x:c>
      <x:c r="U844" s="84" t="str">
        <x:v>263072-2</x:v>
      </x:c>
      <x:c r="V844" s="84" t="str">
        <x:v>263072-2</x:v>
      </x:c>
      <x:c r="W844" s="84" t="str"/>
    </x:row>
    <x:row r="845" ht="18" customHeight="1">
      <x:c r="A845" s="83" t="str">
        <x:v>HAYS-0844</x:v>
      </x:c>
      <x:c r="B845" s="87" t="str">
        <x:v>Verbena scabra</x:v>
      </x:c>
      <x:c r="C845" s="87" t="str">
        <x:v>Verbena scabra</x:v>
      </x:c>
      <x:c r="D845" s="84" t="str">
        <x:v>Verbenaceae</x:v>
      </x:c>
      <x:c r="E845" s="84" t="str">
        <x:v>Verbena</x:v>
      </x:c>
      <x:c r="F845" s="84" t="str">
        <x:v>Species</x:v>
      </x:c>
      <x:c r="G845" s="84" t="str">
        <x:v>Accepted</x:v>
      </x:c>
      <x:c r="H845" s="84" t="str">
        <x:v>Sandpaper Vervain</x:v>
      </x:c>
      <x:c r="I845" s="84" t="str">
        <x:v>Annual</x:v>
      </x:c>
      <x:c r="J845" s="84" t="str">
        <x:v>Herb, Subshrub</x:v>
      </x:c>
      <x:c r="K845" s="84" t="str"/>
      <x:c r="L845" s="84" t="str"/>
      <x:c r="M845" s="89" t="n">
        <x:v>1</x:v>
      </x:c>
      <x:c r="N845" s="89" t="n">
        <x:v>1</x:v>
      </x:c>
      <x:c r="O845" s="89" t="n">
        <x:v>0</x:v>
      </x:c>
      <x:c r="P845" s="89" t="n">
        <x:f>SUM(M845:O845)</x:f>
        <x:v>2</x:v>
      </x:c>
      <x:c r="Q845" s="84" t="str">
        <x:v>Exact accepted-name match</x:v>
      </x:c>
      <x:c r="R845" s="84" t="str">
        <x:v>Verbena scabra</x:v>
      </x:c>
      <x:c r="S845" s="84" t="str">
        <x:v>212684</x:v>
      </x:c>
      <x:c r="T845" s="84" t="str">
        <x:v>212684</x:v>
      </x:c>
      <x:c r="U845" s="84" t="str">
        <x:v>330552-2</x:v>
      </x:c>
      <x:c r="V845" s="84" t="str">
        <x:v>330552-2</x:v>
      </x:c>
      <x:c r="W845" s="84" t="str"/>
    </x:row>
    <x:row r="846" ht="18" customHeight="1">
      <x:c r="A846" s="83" t="str">
        <x:v>HAYS-0845</x:v>
      </x:c>
      <x:c r="B846" s="87" t="str">
        <x:v>Verbena xutha</x:v>
      </x:c>
      <x:c r="C846" s="87" t="str">
        <x:v>Verbena xutha</x:v>
      </x:c>
      <x:c r="D846" s="84" t="str">
        <x:v>Verbenaceae</x:v>
      </x:c>
      <x:c r="E846" s="84" t="str">
        <x:v>Verbena</x:v>
      </x:c>
      <x:c r="F846" s="84" t="str">
        <x:v>Species</x:v>
      </x:c>
      <x:c r="G846" s="84" t="str">
        <x:v>Accepted</x:v>
      </x:c>
      <x:c r="H846" s="84" t="str">
        <x:v>Gulf Vervain</x:v>
      </x:c>
      <x:c r="I846" s="84" t="str">
        <x:v>Perennial</x:v>
      </x:c>
      <x:c r="J846" s="84" t="str">
        <x:v>Herb</x:v>
      </x:c>
      <x:c r="K846" s="84" t="str">
        <x:v>Full Sun to Part Shade</x:v>
      </x:c>
      <x:c r="L846" s="84" t="str">
        <x:v>Low</x:v>
      </x:c>
      <x:c r="M846" s="89" t="n">
        <x:v>0</x:v>
      </x:c>
      <x:c r="N846" s="89" t="n">
        <x:v>0</x:v>
      </x:c>
      <x:c r="O846" s="89" t="n">
        <x:v>1</x:v>
      </x:c>
      <x:c r="P846" s="89" t="n">
        <x:f>SUM(M846:O846)</x:f>
        <x:v>1</x:v>
      </x:c>
      <x:c r="Q846" s="84" t="str">
        <x:v>Exact accepted-name match</x:v>
      </x:c>
      <x:c r="R846" s="84" t="str">
        <x:v>Verbena xutha</x:v>
      </x:c>
      <x:c r="S846" s="84" t="str">
        <x:v>212827</x:v>
      </x:c>
      <x:c r="T846" s="84" t="str">
        <x:v>212827</x:v>
      </x:c>
      <x:c r="U846" s="84" t="str">
        <x:v>865557-1</x:v>
      </x:c>
      <x:c r="V846" s="84" t="str">
        <x:v>865557-1</x:v>
      </x:c>
      <x:c r="W846" s="84" t="str"/>
    </x:row>
    <x:row r="847" ht="18" customHeight="1">
      <x:c r="A847" s="83" t="str">
        <x:v>HAYS-0846</x:v>
      </x:c>
      <x:c r="B847" s="87" t="str">
        <x:v>Verbesina encelioides</x:v>
      </x:c>
      <x:c r="C847" s="87" t="str">
        <x:v>Verbesina encelioides</x:v>
      </x:c>
      <x:c r="D847" s="84" t="str">
        <x:v>Asteraceae</x:v>
      </x:c>
      <x:c r="E847" s="84" t="str">
        <x:v>Verbesina</x:v>
      </x:c>
      <x:c r="F847" s="84" t="str">
        <x:v>Species</x:v>
      </x:c>
      <x:c r="G847" s="84" t="str">
        <x:v>Accepted</x:v>
      </x:c>
      <x:c r="H847" s="84" t="str">
        <x:v>Cowpen Daisy, Golden Crownbeard, Butter Daisy</x:v>
      </x:c>
      <x:c r="I847" s="84" t="str">
        <x:v>Annual</x:v>
      </x:c>
      <x:c r="J847" s="84" t="str">
        <x:v>Herb</x:v>
      </x:c>
      <x:c r="K847" s="84" t="str">
        <x:v>Sun</x:v>
      </x:c>
      <x:c r="L847" s="84" t="str">
        <x:v>Low</x:v>
      </x:c>
      <x:c r="M847" s="89" t="n">
        <x:v>1</x:v>
      </x:c>
      <x:c r="N847" s="89" t="n">
        <x:v>1</x:v>
      </x:c>
      <x:c r="O847" s="89" t="n">
        <x:v>1</x:v>
      </x:c>
      <x:c r="P847" s="89" t="n">
        <x:f>SUM(M847:O847)</x:f>
        <x:v>3</x:v>
      </x:c>
      <x:c r="Q847" s="84" t="str">
        <x:v>Exact accepted-name match</x:v>
      </x:c>
      <x:c r="R847" s="84" t="str">
        <x:v>Verbesina encelioides</x:v>
      </x:c>
      <x:c r="S847" s="84" t="str">
        <x:v>3124149</x:v>
      </x:c>
      <x:c r="T847" s="84" t="str">
        <x:v>3124149</x:v>
      </x:c>
      <x:c r="U847" s="84" t="str">
        <x:v>30147294-2</x:v>
      </x:c>
      <x:c r="V847" s="84" t="str">
        <x:v>30147294-2</x:v>
      </x:c>
      <x:c r="W847" s="84" t="str"/>
    </x:row>
    <x:row r="848" ht="18" customHeight="1">
      <x:c r="A848" s="83" t="str">
        <x:v>HAYS-0847</x:v>
      </x:c>
      <x:c r="B848" s="87" t="str">
        <x:v>Verbesina lindheimeri</x:v>
      </x:c>
      <x:c r="C848" s="87" t="str">
        <x:v>Verbesina lindheimeri</x:v>
      </x:c>
      <x:c r="D848" s="84" t="str">
        <x:v>Asteraceae</x:v>
      </x:c>
      <x:c r="E848" s="84" t="str">
        <x:v>Verbesina</x:v>
      </x:c>
      <x:c r="F848" s="84" t="str">
        <x:v>Species</x:v>
      </x:c>
      <x:c r="G848" s="84" t="str">
        <x:v>Accepted</x:v>
      </x:c>
      <x:c r="H848" s="84" t="str">
        <x:v>Lindheimer's Crownbeard</x:v>
      </x:c>
      <x:c r="I848" s="84" t="str">
        <x:v>Perennial</x:v>
      </x:c>
      <x:c r="J848" s="84" t="str">
        <x:v>Herb</x:v>
      </x:c>
      <x:c r="K848" s="84" t="str"/>
      <x:c r="L848" s="84" t="str"/>
      <x:c r="M848" s="89" t="n">
        <x:v>1</x:v>
      </x:c>
      <x:c r="N848" s="89" t="n">
        <x:v>1</x:v>
      </x:c>
      <x:c r="O848" s="89" t="n">
        <x:v>0</x:v>
      </x:c>
      <x:c r="P848" s="89" t="n">
        <x:f>SUM(M848:O848)</x:f>
        <x:v>2</x:v>
      </x:c>
      <x:c r="Q848" s="84" t="str">
        <x:v>Exact accepted-name match</x:v>
      </x:c>
      <x:c r="R848" s="84" t="str">
        <x:v>Verbesina lindheimeri</x:v>
      </x:c>
      <x:c r="S848" s="84" t="str">
        <x:v>3124250</x:v>
      </x:c>
      <x:c r="T848" s="84" t="str">
        <x:v>3124250</x:v>
      </x:c>
      <x:c r="U848" s="84" t="str">
        <x:v>294565-2</x:v>
      </x:c>
      <x:c r="V848" s="84" t="str">
        <x:v>294565-2</x:v>
      </x:c>
      <x:c r="W848" s="84" t="str"/>
    </x:row>
    <x:row r="849" ht="18" customHeight="1">
      <x:c r="A849" s="83" t="str">
        <x:v>HAYS-0848</x:v>
      </x:c>
      <x:c r="B849" s="87" t="str">
        <x:v>Verbesina virginica</x:v>
      </x:c>
      <x:c r="C849" s="87" t="str">
        <x:v>Verbesina virginica</x:v>
      </x:c>
      <x:c r="D849" s="84" t="str">
        <x:v>Asteraceae</x:v>
      </x:c>
      <x:c r="E849" s="84" t="str">
        <x:v>Verbesina</x:v>
      </x:c>
      <x:c r="F849" s="84" t="str">
        <x:v>Species</x:v>
      </x:c>
      <x:c r="G849" s="84" t="str">
        <x:v>Accepted</x:v>
      </x:c>
      <x:c r="H849" s="84" t="str">
        <x:v>Frostweed, White Crownbeard, Iceplant, Iceweed, Virginia Crownbeard, Indian Tobacco, Richweed, Squawweed</x:v>
      </x:c>
      <x:c r="I849" s="84" t="str">
        <x:v>Perennial , Biennial</x:v>
      </x:c>
      <x:c r="J849" s="84" t="str">
        <x:v>Herb</x:v>
      </x:c>
      <x:c r="K849" s="84" t="str">
        <x:v>Part Shade</x:v>
      </x:c>
      <x:c r="L849" s="84" t="str">
        <x:v>Medium</x:v>
      </x:c>
      <x:c r="M849" s="89" t="n">
        <x:v>1</x:v>
      </x:c>
      <x:c r="N849" s="89" t="n">
        <x:v>1</x:v>
      </x:c>
      <x:c r="O849" s="89" t="n">
        <x:v>1</x:v>
      </x:c>
      <x:c r="P849" s="89" t="n">
        <x:f>SUM(M849:O849)</x:f>
        <x:v>3</x:v>
      </x:c>
      <x:c r="Q849" s="84" t="str">
        <x:v>Exact accepted-name match</x:v>
      </x:c>
      <x:c r="R849" s="84" t="str">
        <x:v>Verbesina virginica</x:v>
      </x:c>
      <x:c r="S849" s="84" t="str">
        <x:v>3124538</x:v>
      </x:c>
      <x:c r="T849" s="84" t="str">
        <x:v>3124538</x:v>
      </x:c>
      <x:c r="U849" s="84" t="str">
        <x:v>257707-1</x:v>
      </x:c>
      <x:c r="V849" s="84" t="str">
        <x:v>257707-1</x:v>
      </x:c>
      <x:c r="W849" s="84" t="str"/>
    </x:row>
    <x:row r="850" ht="18" customHeight="1">
      <x:c r="A850" s="83" t="str">
        <x:v>HAYS-0849</x:v>
      </x:c>
      <x:c r="B850" s="87" t="str">
        <x:v>Vernonia baldwinii</x:v>
      </x:c>
      <x:c r="C850" s="87" t="str">
        <x:v>Vernonia baldwinii</x:v>
      </x:c>
      <x:c r="D850" s="84" t="str">
        <x:v>Asteraceae</x:v>
      </x:c>
      <x:c r="E850" s="84" t="str">
        <x:v>Vernonia</x:v>
      </x:c>
      <x:c r="F850" s="84" t="str">
        <x:v>Species</x:v>
      </x:c>
      <x:c r="G850" s="84" t="str">
        <x:v>Accepted</x:v>
      </x:c>
      <x:c r="H850" s="84" t="str">
        <x:v>Western Ironweed, Baldwin's Ironweed, Ironweed</x:v>
      </x:c>
      <x:c r="I850" s="84" t="str">
        <x:v>Perennial</x:v>
      </x:c>
      <x:c r="J850" s="84" t="str">
        <x:v>Herb</x:v>
      </x:c>
      <x:c r="K850" s="84" t="str">
        <x:v>Sun</x:v>
      </x:c>
      <x:c r="L850" s="84" t="str">
        <x:v>Medium</x:v>
      </x:c>
      <x:c r="M850" s="89" t="n">
        <x:v>1</x:v>
      </x:c>
      <x:c r="N850" s="89" t="n">
        <x:v>1</x:v>
      </x:c>
      <x:c r="O850" s="89" t="n">
        <x:v>1</x:v>
      </x:c>
      <x:c r="P850" s="89" t="n">
        <x:f>SUM(M850:O850)</x:f>
        <x:v>3</x:v>
      </x:c>
      <x:c r="Q850" s="84" t="str">
        <x:v>Exact accepted-name match</x:v>
      </x:c>
      <x:c r="R850" s="84" t="str">
        <x:v>Vernonia baldwinii</x:v>
      </x:c>
      <x:c r="S850" s="84" t="str">
        <x:v>3052444</x:v>
      </x:c>
      <x:c r="T850" s="84" t="str">
        <x:v>3052444</x:v>
      </x:c>
      <x:c r="U850" s="84" t="str">
        <x:v>257916-1</x:v>
      </x:c>
      <x:c r="V850" s="84" t="str">
        <x:v>257916-1</x:v>
      </x:c>
      <x:c r="W850" s="84" t="str"/>
    </x:row>
    <x:row r="851" ht="18" customHeight="1">
      <x:c r="A851" s="83" t="str">
        <x:v>HAYS-0850</x:v>
      </x:c>
      <x:c r="B851" s="87" t="str">
        <x:v>Vernonia lindheimeri</x:v>
      </x:c>
      <x:c r="C851" s="87" t="str">
        <x:v>Vernonia lindheimeri</x:v>
      </x:c>
      <x:c r="D851" s="84" t="str">
        <x:v>Asteraceae</x:v>
      </x:c>
      <x:c r="E851" s="84" t="str">
        <x:v>Vernonia</x:v>
      </x:c>
      <x:c r="F851" s="84" t="str">
        <x:v>Species</x:v>
      </x:c>
      <x:c r="G851" s="84" t="str">
        <x:v>Accepted</x:v>
      </x:c>
      <x:c r="H851" s="84" t="str">
        <x:v>Woolly Ironweed</x:v>
      </x:c>
      <x:c r="I851" s="84" t="str">
        <x:v>Perennial</x:v>
      </x:c>
      <x:c r="J851" s="84" t="str">
        <x:v>Herb</x:v>
      </x:c>
      <x:c r="K851" s="84" t="str">
        <x:v>Sun</x:v>
      </x:c>
      <x:c r="L851" s="84" t="str">
        <x:v>Low</x:v>
      </x:c>
      <x:c r="M851" s="89" t="n">
        <x:v>1</x:v>
      </x:c>
      <x:c r="N851" s="89" t="n">
        <x:v>1</x:v>
      </x:c>
      <x:c r="O851" s="89" t="n">
        <x:v>1</x:v>
      </x:c>
      <x:c r="P851" s="89" t="n">
        <x:f>SUM(M851:O851)</x:f>
        <x:v>3</x:v>
      </x:c>
      <x:c r="Q851" s="84" t="str">
        <x:v>Exact accepted-name match</x:v>
      </x:c>
      <x:c r="R851" s="84" t="str">
        <x:v>Vernonia lindheimeri</x:v>
      </x:c>
      <x:c r="S851" s="84" t="str">
        <x:v>3053331</x:v>
      </x:c>
      <x:c r="T851" s="84" t="str">
        <x:v>3053331</x:v>
      </x:c>
      <x:c r="U851" s="84" t="str">
        <x:v>264215-2</x:v>
      </x:c>
      <x:c r="V851" s="84" t="str">
        <x:v>264215-2</x:v>
      </x:c>
      <x:c r="W851" s="84" t="str"/>
    </x:row>
    <x:row r="852" ht="18" customHeight="1">
      <x:c r="A852" s="83" t="str">
        <x:v>HAYS-0851</x:v>
      </x:c>
      <x:c r="B852" s="87" t="str">
        <x:v>Vernonia ×guadalupensis</x:v>
      </x:c>
      <x:c r="C852" s="87" t="str"/>
      <x:c r="D852" s="84" t="str"/>
      <x:c r="E852" s="84" t="str">
        <x:v>Vernonia</x:v>
      </x:c>
      <x:c r="F852" s="84" t="str"/>
      <x:c r="G852" s="84" t="str"/>
      <x:c r="H852" s="84" t="str">
        <x:v>Guadalupe Ironweed</x:v>
      </x:c>
      <x:c r="I852" s="84" t="str">
        <x:v>Perennial</x:v>
      </x:c>
      <x:c r="J852" s="84" t="str">
        <x:v>Herb</x:v>
      </x:c>
      <x:c r="K852" s="84" t="str">
        <x:v>Sun</x:v>
      </x:c>
      <x:c r="L852" s="84" t="str">
        <x:v>Medium</x:v>
      </x:c>
      <x:c r="M852" s="89" t="n">
        <x:v>0</x:v>
      </x:c>
      <x:c r="N852" s="89" t="n">
        <x:v>0</x:v>
      </x:c>
      <x:c r="O852" s="89" t="n">
        <x:v>1</x:v>
      </x:c>
      <x:c r="P852" s="89" t="n">
        <x:f>SUM(M852:O852)</x:f>
        <x:v>1</x:v>
      </x:c>
      <x:c r="Q852" s="84" t="str">
        <x:v>No exact WCVP name match</x:v>
      </x:c>
      <x:c r="R852" s="84" t="str"/>
      <x:c r="S852" s="84" t="str"/>
      <x:c r="T852" s="84" t="str"/>
      <x:c r="U852" s="84" t="str"/>
      <x:c r="V852" s="84" t="str"/>
      <x:c r="W852" s="84" t="str">
        <x:v>Review</x:v>
      </x:c>
    </x:row>
    <x:row r="853" ht="18" customHeight="1">
      <x:c r="A853" s="83" t="str">
        <x:v>HAYS-0852</x:v>
      </x:c>
      <x:c r="B853" s="87" t="str">
        <x:v>Veronica anagallis-aquatica</x:v>
      </x:c>
      <x:c r="C853" s="87" t="str">
        <x:v>Veronica anagallis-aquatica</x:v>
      </x:c>
      <x:c r="D853" s="84" t="str">
        <x:v>Plantaginaceae</x:v>
      </x:c>
      <x:c r="E853" s="84" t="str">
        <x:v>Veronica</x:v>
      </x:c>
      <x:c r="F853" s="84" t="str">
        <x:v>Species</x:v>
      </x:c>
      <x:c r="G853" s="84" t="str">
        <x:v>Accepted</x:v>
      </x:c>
      <x:c r="H853" s="84" t="str">
        <x:v>Water Speedwell</x:v>
      </x:c>
      <x:c r="I853" s="84" t="str">
        <x:v>Biennial</x:v>
      </x:c>
      <x:c r="J853" s="84" t="str">
        <x:v>Herb</x:v>
      </x:c>
      <x:c r="K853" s="84" t="str"/>
      <x:c r="L853" s="84" t="str"/>
      <x:c r="M853" s="89" t="n">
        <x:v>1</x:v>
      </x:c>
      <x:c r="N853" s="89" t="n">
        <x:v>1</x:v>
      </x:c>
      <x:c r="O853" s="89" t="n">
        <x:v>0</x:v>
      </x:c>
      <x:c r="P853" s="89" t="n">
        <x:f>SUM(M853:O853)</x:f>
        <x:v>2</x:v>
      </x:c>
      <x:c r="Q853" s="84" t="str">
        <x:v>Exact accepted-name match</x:v>
      </x:c>
      <x:c r="R853" s="84" t="str">
        <x:v>Veronica anagallis-aquatica</x:v>
      </x:c>
      <x:c r="S853" s="84" t="str">
        <x:v>2453884</x:v>
      </x:c>
      <x:c r="T853" s="84" t="str">
        <x:v>2453884</x:v>
      </x:c>
      <x:c r="U853" s="84" t="str">
        <x:v>811610-1</x:v>
      </x:c>
      <x:c r="V853" s="84" t="str">
        <x:v>811610-1</x:v>
      </x:c>
      <x:c r="W853" s="84" t="str"/>
    </x:row>
    <x:row r="854" ht="18" customHeight="1">
      <x:c r="A854" s="83" t="str">
        <x:v>HAYS-0853</x:v>
      </x:c>
      <x:c r="B854" s="87" t="str">
        <x:v>Viburnum rufidulum</x:v>
      </x:c>
      <x:c r="C854" s="87" t="str">
        <x:v>Viburnum rufidulum</x:v>
      </x:c>
      <x:c r="D854" s="84" t="str">
        <x:v>Viburnaceae</x:v>
      </x:c>
      <x:c r="E854" s="84" t="str">
        <x:v>Viburnum</x:v>
      </x:c>
      <x:c r="F854" s="84" t="str">
        <x:v>Species</x:v>
      </x:c>
      <x:c r="G854" s="84" t="str">
        <x:v>Accepted</x:v>
      </x:c>
      <x:c r="H854" s="84" t="str">
        <x:v>Rusty Blackhaw Viburnum, Rusty Blackhaw, Southern Blackhaw, Blackhaw, Bluehaw, Downy Viburnum, Southern Nannyberry, Rusty Nannyberry, Nannyberry</x:v>
      </x:c>
      <x:c r="I854" s="84" t="str">
        <x:v>Perennial</x:v>
      </x:c>
      <x:c r="J854" s="84" t="str">
        <x:v>Shrub, Tree</x:v>
      </x:c>
      <x:c r="K854" s="84" t="str">
        <x:v>Sun</x:v>
      </x:c>
      <x:c r="L854" s="84" t="str">
        <x:v>Medium</x:v>
      </x:c>
      <x:c r="M854" s="89" t="n">
        <x:v>1</x:v>
      </x:c>
      <x:c r="N854" s="89" t="n">
        <x:v>1</x:v>
      </x:c>
      <x:c r="O854" s="89" t="n">
        <x:v>1</x:v>
      </x:c>
      <x:c r="P854" s="89" t="n">
        <x:f>SUM(M854:O854)</x:f>
        <x:v>3</x:v>
      </x:c>
      <x:c r="Q854" s="84" t="str">
        <x:v>Exact accepted-name match</x:v>
      </x:c>
      <x:c r="R854" s="84" t="str">
        <x:v>Viburnum rufidulum</x:v>
      </x:c>
      <x:c r="S854" s="84" t="str">
        <x:v>2458482</x:v>
      </x:c>
      <x:c r="T854" s="84" t="str">
        <x:v>2458482</x:v>
      </x:c>
      <x:c r="U854" s="84" t="str">
        <x:v>30314446-2</x:v>
      </x:c>
      <x:c r="V854" s="84" t="str">
        <x:v>30314446-2</x:v>
      </x:c>
      <x:c r="W854" s="84" t="str"/>
    </x:row>
    <x:row r="855" ht="18" customHeight="1">
      <x:c r="A855" s="83" t="str">
        <x:v>HAYS-0854</x:v>
      </x:c>
      <x:c r="B855" s="87" t="str">
        <x:v>Vicia ludoviciana ssp. leavenworthii</x:v>
      </x:c>
      <x:c r="C855" s="87" t="str">
        <x:v>Vicia ludoviciana var. leavenworthii</x:v>
      </x:c>
      <x:c r="D855" s="84" t="str">
        <x:v>Fabaceae</x:v>
      </x:c>
      <x:c r="E855" s="84" t="str">
        <x:v>Vicia</x:v>
      </x:c>
      <x:c r="F855" s="84" t="str">
        <x:v>Subspecies</x:v>
      </x:c>
      <x:c r="G855" s="84" t="str">
        <x:v>Synonym</x:v>
      </x:c>
      <x:c r="H855" s="84" t="str">
        <x:v>Leavenworth's Vetch</x:v>
      </x:c>
      <x:c r="I855" s="84" t="str">
        <x:v>Annual</x:v>
      </x:c>
      <x:c r="J855" s="84" t="str">
        <x:v>Vine</x:v>
      </x:c>
      <x:c r="K855" s="84" t="str"/>
      <x:c r="L855" s="84" t="str"/>
      <x:c r="M855" s="89" t="n">
        <x:v>1</x:v>
      </x:c>
      <x:c r="N855" s="89" t="n">
        <x:v>1</x:v>
      </x:c>
      <x:c r="O855" s="89" t="n">
        <x:v>0</x:v>
      </x:c>
      <x:c r="P855" s="89" t="n">
        <x:f>SUM(M855:O855)</x:f>
        <x:v>2</x:v>
      </x:c>
      <x:c r="Q855" s="84" t="str">
        <x:v>Exact synonym-name match</x:v>
      </x:c>
      <x:c r="R855" s="84" t="str">
        <x:v>Vicia ludoviciana subsp. leavenworthii</x:v>
      </x:c>
      <x:c r="S855" s="84" t="str">
        <x:v>2450890</x:v>
      </x:c>
      <x:c r="T855" s="84" t="str">
        <x:v>2605883</x:v>
      </x:c>
      <x:c r="U855" s="84" t="str">
        <x:v>265069-2</x:v>
      </x:c>
      <x:c r="V855" s="84" t="str">
        <x:v>60446051-2</x:v>
      </x:c>
      <x:c r="W855" s="84" t="str"/>
    </x:row>
    <x:row r="856" ht="18" customHeight="1">
      <x:c r="A856" s="83" t="str">
        <x:v>HAYS-0855</x:v>
      </x:c>
      <x:c r="B856" s="87" t="str">
        <x:v>Vicia ludoviciana ssp. ludoviciana</x:v>
      </x:c>
      <x:c r="C856" s="87" t="str"/>
      <x:c r="D856" s="84" t="str"/>
      <x:c r="E856" s="84" t="str">
        <x:v>Vicia</x:v>
      </x:c>
      <x:c r="F856" s="84" t="str"/>
      <x:c r="G856" s="84" t="str"/>
      <x:c r="H856" s="84" t="str">
        <x:v>Deer Pea Vetch, Louisiana Vetch</x:v>
      </x:c>
      <x:c r="I856" s="84" t="str">
        <x:v>Annual</x:v>
      </x:c>
      <x:c r="J856" s="84" t="str">
        <x:v>Vine</x:v>
      </x:c>
      <x:c r="K856" s="84" t="str"/>
      <x:c r="L856" s="84" t="str"/>
      <x:c r="M856" s="89" t="n">
        <x:v>1</x:v>
      </x:c>
      <x:c r="N856" s="89" t="n">
        <x:v>1</x:v>
      </x:c>
      <x:c r="O856" s="89" t="n">
        <x:v>0</x:v>
      </x:c>
      <x:c r="P856" s="89" t="n">
        <x:f>SUM(M856:O856)</x:f>
        <x:v>2</x:v>
      </x:c>
      <x:c r="Q856" s="84" t="str">
        <x:v>No exact WCVP name match</x:v>
      </x:c>
      <x:c r="R856" s="84" t="str"/>
      <x:c r="S856" s="84" t="str"/>
      <x:c r="T856" s="84" t="str"/>
      <x:c r="U856" s="84" t="str"/>
      <x:c r="V856" s="84" t="str"/>
      <x:c r="W856" s="84" t="str">
        <x:v>Review</x:v>
      </x:c>
    </x:row>
    <x:row r="857" ht="18" customHeight="1">
      <x:c r="A857" s="83" t="str">
        <x:v>HAYS-0856</x:v>
      </x:c>
      <x:c r="B857" s="87" t="str">
        <x:v>Viguiera dentata</x:v>
      </x:c>
      <x:c r="C857" s="87" t="str">
        <x:v>Viguiera dentata</x:v>
      </x:c>
      <x:c r="D857" s="84" t="str">
        <x:v>Asteraceae</x:v>
      </x:c>
      <x:c r="E857" s="84" t="str">
        <x:v>Viguiera</x:v>
      </x:c>
      <x:c r="F857" s="84" t="str">
        <x:v>Species</x:v>
      </x:c>
      <x:c r="G857" s="84" t="str">
        <x:v>Accepted</x:v>
      </x:c>
      <x:c r="H857" s="84" t="str">
        <x:v>Toothleaf goldeneye</x:v>
      </x:c>
      <x:c r="I857" s="84" t="str">
        <x:v>Perennial</x:v>
      </x:c>
      <x:c r="J857" s="84" t="str">
        <x:v>Shrub</x:v>
      </x:c>
      <x:c r="K857" s="84" t="str">
        <x:v>Sun</x:v>
      </x:c>
      <x:c r="L857" s="84" t="str">
        <x:v>Low</x:v>
      </x:c>
      <x:c r="M857" s="89" t="n">
        <x:v>1</x:v>
      </x:c>
      <x:c r="N857" s="89" t="n">
        <x:v>1</x:v>
      </x:c>
      <x:c r="O857" s="89" t="n">
        <x:v>1</x:v>
      </x:c>
      <x:c r="P857" s="89" t="n">
        <x:f>SUM(M857:O857)</x:f>
        <x:v>3</x:v>
      </x:c>
      <x:c r="Q857" s="84" t="str">
        <x:v>Exact accepted-name match</x:v>
      </x:c>
      <x:c r="R857" s="84" t="str">
        <x:v>Viguiera dentata</x:v>
      </x:c>
      <x:c r="S857" s="84" t="str">
        <x:v>3123407</x:v>
      </x:c>
      <x:c r="T857" s="84" t="str">
        <x:v>3123407</x:v>
      </x:c>
      <x:c r="U857" s="84" t="str">
        <x:v>259782-1</x:v>
      </x:c>
      <x:c r="V857" s="84" t="str">
        <x:v>259782-1</x:v>
      </x:c>
      <x:c r="W857" s="84" t="str"/>
    </x:row>
    <x:row r="858" ht="18" customHeight="1">
      <x:c r="A858" s="83" t="str">
        <x:v>HAYS-0857</x:v>
      </x:c>
      <x:c r="B858" s="87" t="str">
        <x:v>Viola affinis</x:v>
      </x:c>
      <x:c r="C858" s="87" t="str">
        <x:v>Viola affinis</x:v>
      </x:c>
      <x:c r="D858" s="84" t="str">
        <x:v>Violaceae</x:v>
      </x:c>
      <x:c r="E858" s="84" t="str">
        <x:v>Viola</x:v>
      </x:c>
      <x:c r="F858" s="84" t="str">
        <x:v>Species</x:v>
      </x:c>
      <x:c r="G858" s="84" t="str">
        <x:v>Accepted</x:v>
      </x:c>
      <x:c r="H858" s="84" t="str">
        <x:v>Sand Violet, Pale Early Violet, Thinleaf Violet, Small Blue Violet</x:v>
      </x:c>
      <x:c r="I858" s="84" t="str">
        <x:v>Perennial</x:v>
      </x:c>
      <x:c r="J858" s="84" t="str">
        <x:v>Herb</x:v>
      </x:c>
      <x:c r="K858" s="84" t="str">
        <x:v>Part-shade</x:v>
      </x:c>
      <x:c r="L858" s="84" t="str">
        <x:v>Moist</x:v>
      </x:c>
      <x:c r="M858" s="89" t="n">
        <x:v>1</x:v>
      </x:c>
      <x:c r="N858" s="89" t="n">
        <x:v>1</x:v>
      </x:c>
      <x:c r="O858" s="89" t="n">
        <x:v>0</x:v>
      </x:c>
      <x:c r="P858" s="89" t="n">
        <x:f>SUM(M858:O858)</x:f>
        <x:v>2</x:v>
      </x:c>
      <x:c r="Q858" s="84" t="str">
        <x:v>Exact accepted-name match</x:v>
      </x:c>
      <x:c r="R858" s="84" t="str">
        <x:v>Viola affinis</x:v>
      </x:c>
      <x:c r="S858" s="84" t="str">
        <x:v>2463475</x:v>
      </x:c>
      <x:c r="T858" s="84" t="str">
        <x:v>2463475</x:v>
      </x:c>
      <x:c r="U858" s="84" t="str">
        <x:v>303088-2</x:v>
      </x:c>
      <x:c r="V858" s="84" t="str">
        <x:v>303088-2</x:v>
      </x:c>
      <x:c r="W858" s="84" t="str"/>
    </x:row>
    <x:row r="859" ht="18" customHeight="1">
      <x:c r="A859" s="83" t="str">
        <x:v>HAYS-0858</x:v>
      </x:c>
      <x:c r="B859" s="87" t="str">
        <x:v>Viola missouriensis</x:v>
      </x:c>
      <x:c r="C859" s="87" t="str">
        <x:v>Viola missouriensis</x:v>
      </x:c>
      <x:c r="D859" s="84" t="str">
        <x:v>Violaceae</x:v>
      </x:c>
      <x:c r="E859" s="84" t="str">
        <x:v>Viola</x:v>
      </x:c>
      <x:c r="F859" s="84" t="str">
        <x:v>Species</x:v>
      </x:c>
      <x:c r="G859" s="84" t="str">
        <x:v>Accepted</x:v>
      </x:c>
      <x:c r="H859" s="84" t="str">
        <x:v>Missouri Violet</x:v>
      </x:c>
      <x:c r="I859" s="84" t="str">
        <x:v>Annual , Perennial</x:v>
      </x:c>
      <x:c r="J859" s="84" t="str">
        <x:v>Herb</x:v>
      </x:c>
      <x:c r="K859" s="84" t="str">
        <x:v>Shade, Part Shade</x:v>
      </x:c>
      <x:c r="L859" s="84" t="str">
        <x:v>Medium</x:v>
      </x:c>
      <x:c r="M859" s="89" t="n">
        <x:v>1</x:v>
      </x:c>
      <x:c r="N859" s="89" t="n">
        <x:v>1</x:v>
      </x:c>
      <x:c r="O859" s="89" t="n">
        <x:v>1</x:v>
      </x:c>
      <x:c r="P859" s="89" t="n">
        <x:f>SUM(M859:O859)</x:f>
        <x:v>3</x:v>
      </x:c>
      <x:c r="Q859" s="84" t="str">
        <x:v>Exact accepted-name match</x:v>
      </x:c>
      <x:c r="R859" s="84" t="str">
        <x:v>Viola missouriensis</x:v>
      </x:c>
      <x:c r="S859" s="84" t="str">
        <x:v>2459453</x:v>
      </x:c>
      <x:c r="T859" s="84" t="str">
        <x:v>2459453</x:v>
      </x:c>
      <x:c r="U859" s="84" t="str">
        <x:v>266730-2</x:v>
      </x:c>
      <x:c r="V859" s="84" t="str">
        <x:v>266730-2</x:v>
      </x:c>
      <x:c r="W859" s="84" t="str"/>
    </x:row>
    <x:row r="860" ht="18" customHeight="1">
      <x:c r="A860" s="83" t="str">
        <x:v>HAYS-0859</x:v>
      </x:c>
      <x:c r="B860" s="87" t="str">
        <x:v>Vitis cinerea var. helleri</x:v>
      </x:c>
      <x:c r="C860" s="87" t="str">
        <x:v>Vitis berlandieri</x:v>
      </x:c>
      <x:c r="D860" s="84" t="str">
        <x:v>Vitaceae</x:v>
      </x:c>
      <x:c r="E860" s="84" t="str">
        <x:v>Vitis</x:v>
      </x:c>
      <x:c r="F860" s="84" t="str">
        <x:v>Variety</x:v>
      </x:c>
      <x:c r="G860" s="84" t="str">
        <x:v>Synonym</x:v>
      </x:c>
      <x:c r="H860" s="84" t="str">
        <x:v>Winter Grape, Heller's Grape, Gray-leaf Grape, Smooth-leaf Grape, Sweet Grape, Spanish Grape</x:v>
      </x:c>
      <x:c r="I860" s="84" t="str">
        <x:v>Perennial</x:v>
      </x:c>
      <x:c r="J860" s="84" t="str">
        <x:v>Vine</x:v>
      </x:c>
      <x:c r="K860" s="84" t="str">
        <x:v>Part-shade</x:v>
      </x:c>
      <x:c r="L860" s="84" t="str">
        <x:v>Moist</x:v>
      </x:c>
      <x:c r="M860" s="89" t="n">
        <x:v>1</x:v>
      </x:c>
      <x:c r="N860" s="89" t="n">
        <x:v>1</x:v>
      </x:c>
      <x:c r="O860" s="89" t="n">
        <x:v>0</x:v>
      </x:c>
      <x:c r="P860" s="89" t="n">
        <x:f>SUM(M860:O860)</x:f>
        <x:v>2</x:v>
      </x:c>
      <x:c r="Q860" s="84" t="str">
        <x:v>Exact synonym-name match</x:v>
      </x:c>
      <x:c r="R860" s="84" t="str">
        <x:v>Vitis cinerea var. helleri</x:v>
      </x:c>
      <x:c r="S860" s="84" t="str">
        <x:v>2460980</x:v>
      </x:c>
      <x:c r="T860" s="84" t="str">
        <x:v>2456499</x:v>
      </x:c>
      <x:c r="U860" s="84" t="str">
        <x:v>1047443-2</x:v>
      </x:c>
      <x:c r="V860" s="84" t="str">
        <x:v>68576-1</x:v>
      </x:c>
      <x:c r="W860" s="84" t="str"/>
    </x:row>
    <x:row r="861" ht="18" customHeight="1">
      <x:c r="A861" s="83" t="str">
        <x:v>HAYS-0860</x:v>
      </x:c>
      <x:c r="B861" s="87" t="str">
        <x:v>Vitis mustangensis</x:v>
      </x:c>
      <x:c r="C861" s="87" t="str">
        <x:v>Vitis mustangensis</x:v>
      </x:c>
      <x:c r="D861" s="84" t="str">
        <x:v>Vitaceae</x:v>
      </x:c>
      <x:c r="E861" s="84" t="str">
        <x:v>Vitis</x:v>
      </x:c>
      <x:c r="F861" s="84" t="str">
        <x:v>Species</x:v>
      </x:c>
      <x:c r="G861" s="84" t="str">
        <x:v>Accepted</x:v>
      </x:c>
      <x:c r="H861" s="84" t="str">
        <x:v>Mustang Grape</x:v>
      </x:c>
      <x:c r="I861" s="84" t="str">
        <x:v>Perennial</x:v>
      </x:c>
      <x:c r="J861" s="84" t="str">
        <x:v>Vine</x:v>
      </x:c>
      <x:c r="K861" s="84" t="str">
        <x:v>Sun</x:v>
      </x:c>
      <x:c r="L861" s="84" t="str">
        <x:v>Low</x:v>
      </x:c>
      <x:c r="M861" s="89" t="n">
        <x:v>1</x:v>
      </x:c>
      <x:c r="N861" s="89" t="n">
        <x:v>1</x:v>
      </x:c>
      <x:c r="O861" s="89" t="n">
        <x:v>1</x:v>
      </x:c>
      <x:c r="P861" s="89" t="n">
        <x:f>SUM(M861:O861)</x:f>
        <x:v>3</x:v>
      </x:c>
      <x:c r="Q861" s="84" t="str">
        <x:v>Exact accepted-name match</x:v>
      </x:c>
      <x:c r="R861" s="84" t="str">
        <x:v>Vitis mustangensis</x:v>
      </x:c>
      <x:c r="S861" s="84" t="str">
        <x:v>2456386</x:v>
      </x:c>
      <x:c r="T861" s="84" t="str">
        <x:v>2456386</x:v>
      </x:c>
      <x:c r="U861" s="84" t="str">
        <x:v>301116-2</x:v>
      </x:c>
      <x:c r="V861" s="84" t="str">
        <x:v>301116-2</x:v>
      </x:c>
      <x:c r="W861" s="84" t="str"/>
    </x:row>
    <x:row r="862" ht="18" customHeight="1">
      <x:c r="A862" s="83" t="str">
        <x:v>HAYS-0861</x:v>
      </x:c>
      <x:c r="B862" s="87" t="str">
        <x:v>Vulpia octoflora</x:v>
      </x:c>
      <x:c r="C862" s="87" t="str">
        <x:v>Festuca octoflora</x:v>
      </x:c>
      <x:c r="D862" s="84" t="str">
        <x:v>Poaceae</x:v>
      </x:c>
      <x:c r="E862" s="84" t="str">
        <x:v>Festuca</x:v>
      </x:c>
      <x:c r="F862" s="84" t="str">
        <x:v>Species</x:v>
      </x:c>
      <x:c r="G862" s="84" t="str">
        <x:v>Synonym</x:v>
      </x:c>
      <x:c r="H862" s="84" t="str">
        <x:v>Sixweeks Fescue, Common Sixweeks Grass</x:v>
      </x:c>
      <x:c r="I862" s="84" t="str">
        <x:v>Annual</x:v>
      </x:c>
      <x:c r="J862" s="84" t="str">
        <x:v>Grass/Grass-like</x:v>
      </x:c>
      <x:c r="K862" s="84" t="str"/>
      <x:c r="L862" s="84" t="str"/>
      <x:c r="M862" s="89" t="n">
        <x:v>1</x:v>
      </x:c>
      <x:c r="N862" s="89" t="n">
        <x:v>1</x:v>
      </x:c>
      <x:c r="O862" s="89" t="n">
        <x:v>0</x:v>
      </x:c>
      <x:c r="P862" s="89" t="n">
        <x:f>SUM(M862:O862)</x:f>
        <x:v>2</x:v>
      </x:c>
      <x:c r="Q862" s="84" t="str">
        <x:v>Exact synonym-name match</x:v>
      </x:c>
      <x:c r="R862" s="84" t="str">
        <x:v>Vulpia octoflora</x:v>
      </x:c>
      <x:c r="S862" s="84" t="str">
        <x:v>450062</x:v>
      </x:c>
      <x:c r="T862" s="84" t="str">
        <x:v>415814</x:v>
      </x:c>
      <x:c r="U862" s="84" t="str">
        <x:v>267600-2</x:v>
      </x:c>
      <x:c r="V862" s="84" t="str">
        <x:v>403190-1</x:v>
      </x:c>
      <x:c r="W862" s="84" t="str"/>
    </x:row>
    <x:row r="863" ht="18" customHeight="1">
      <x:c r="A863" s="83" t="str">
        <x:v>HAYS-0862</x:v>
      </x:c>
      <x:c r="B863" s="87" t="str">
        <x:v>Warnockia scutellarioides</x:v>
      </x:c>
      <x:c r="C863" s="87" t="str">
        <x:v>Warnockia scutellarioides</x:v>
      </x:c>
      <x:c r="D863" s="84" t="str">
        <x:v>Lamiaceae</x:v>
      </x:c>
      <x:c r="E863" s="84" t="str">
        <x:v>Warnockia</x:v>
      </x:c>
      <x:c r="F863" s="84" t="str">
        <x:v>Species</x:v>
      </x:c>
      <x:c r="G863" s="84" t="str">
        <x:v>Accepted</x:v>
      </x:c>
      <x:c r="H863" s="84" t="str">
        <x:v>Prairie Brazosmint, Prairie Brazoria</x:v>
      </x:c>
      <x:c r="I863" s="84" t="str">
        <x:v>Annual</x:v>
      </x:c>
      <x:c r="J863" s="84" t="str">
        <x:v>Herb</x:v>
      </x:c>
      <x:c r="K863" s="84" t="str">
        <x:v>Part-shade</x:v>
      </x:c>
      <x:c r="L863" s="84" t="str">
        <x:v>Moist</x:v>
      </x:c>
      <x:c r="M863" s="89" t="n">
        <x:v>1</x:v>
      </x:c>
      <x:c r="N863" s="89" t="n">
        <x:v>1</x:v>
      </x:c>
      <x:c r="O863" s="89" t="n">
        <x:v>0</x:v>
      </x:c>
      <x:c r="P863" s="89" t="n">
        <x:f>SUM(M863:O863)</x:f>
        <x:v>2</x:v>
      </x:c>
      <x:c r="Q863" s="84" t="str">
        <x:v>Exact accepted-name match</x:v>
      </x:c>
      <x:c r="R863" s="84" t="str">
        <x:v>Warnockia scutellarioides</x:v>
      </x:c>
      <x:c r="S863" s="84" t="str">
        <x:v>214172</x:v>
      </x:c>
      <x:c r="T863" s="84" t="str">
        <x:v>214172</x:v>
      </x:c>
      <x:c r="U863" s="84" t="str">
        <x:v>992283-1</x:v>
      </x:c>
      <x:c r="V863" s="84" t="str">
        <x:v>992283-1</x:v>
      </x:c>
      <x:c r="W863" s="84" t="str"/>
    </x:row>
    <x:row r="864" ht="18" customHeight="1">
      <x:c r="A864" s="83" t="str">
        <x:v>HAYS-0863</x:v>
      </x:c>
      <x:c r="B864" s="87" t="str">
        <x:v>Wedelia acapulcensis</x:v>
      </x:c>
      <x:c r="C864" s="87" t="str">
        <x:v>Wedelia acapulcensis</x:v>
      </x:c>
      <x:c r="D864" s="84" t="str">
        <x:v>Asteraceae</x:v>
      </x:c>
      <x:c r="E864" s="84" t="str">
        <x:v>Wedelia</x:v>
      </x:c>
      <x:c r="F864" s="84" t="str">
        <x:v>Species</x:v>
      </x:c>
      <x:c r="G864" s="84" t="str">
        <x:v>Accepted</x:v>
      </x:c>
      <x:c r="H864" s="84" t="str">
        <x:v>Orange Zexmenia</x:v>
      </x:c>
      <x:c r="I864" s="84" t="str">
        <x:v>Perennial</x:v>
      </x:c>
      <x:c r="J864" s="84" t="str">
        <x:v>Subshrub</x:v>
      </x:c>
      <x:c r="K864" s="84" t="str">
        <x:v>Sun</x:v>
      </x:c>
      <x:c r="L864" s="84" t="str">
        <x:v>Low</x:v>
      </x:c>
      <x:c r="M864" s="89" t="n">
        <x:v>0</x:v>
      </x:c>
      <x:c r="N864" s="89" t="n">
        <x:v>0</x:v>
      </x:c>
      <x:c r="O864" s="89" t="n">
        <x:v>1</x:v>
      </x:c>
      <x:c r="P864" s="89" t="n">
        <x:f>SUM(M864:O864)</x:f>
        <x:v>1</x:v>
      </x:c>
      <x:c r="Q864" s="84" t="str">
        <x:v>Exact accepted-name match</x:v>
      </x:c>
      <x:c r="R864" s="84" t="str">
        <x:v>Wedelia acapulcensis</x:v>
      </x:c>
      <x:c r="S864" s="84" t="str">
        <x:v>3120736</x:v>
      </x:c>
      <x:c r="T864" s="84" t="str">
        <x:v>3120736</x:v>
      </x:c>
      <x:c r="U864" s="84" t="str">
        <x:v>30439090-2</x:v>
      </x:c>
      <x:c r="V864" s="84" t="str">
        <x:v>30439090-2</x:v>
      </x:c>
      <x:c r="W864" s="84" t="str"/>
    </x:row>
    <x:row r="865" ht="18" customHeight="1">
      <x:c r="A865" s="83" t="str">
        <x:v>HAYS-0864</x:v>
      </x:c>
      <x:c r="B865" s="87" t="str">
        <x:v>Wedelia acapulcensis var. hispida</x:v>
      </x:c>
      <x:c r="C865" s="87" t="str">
        <x:v>Wedelia acapulcensis var. hispida</x:v>
      </x:c>
      <x:c r="D865" s="84" t="str">
        <x:v>Asteraceae</x:v>
      </x:c>
      <x:c r="E865" s="84" t="str">
        <x:v>Wedelia</x:v>
      </x:c>
      <x:c r="F865" s="84" t="str">
        <x:v>Variety</x:v>
      </x:c>
      <x:c r="G865" s="84" t="str">
        <x:v>Accepted</x:v>
      </x:c>
      <x:c r="H865" s="84" t="str">
        <x:v>Zexmenia</x:v>
      </x:c>
      <x:c r="I865" s="84" t="str">
        <x:v>Perennial</x:v>
      </x:c>
      <x:c r="J865" s="84" t="str">
        <x:v>Subshrub</x:v>
      </x:c>
      <x:c r="K865" s="84" t="str">
        <x:v>Sun</x:v>
      </x:c>
      <x:c r="L865" s="84" t="str">
        <x:v>Low</x:v>
      </x:c>
      <x:c r="M865" s="89" t="n">
        <x:v>1</x:v>
      </x:c>
      <x:c r="N865" s="89" t="n">
        <x:v>1</x:v>
      </x:c>
      <x:c r="O865" s="89" t="n">
        <x:v>1</x:v>
      </x:c>
      <x:c r="P865" s="89" t="n">
        <x:f>SUM(M865:O865)</x:f>
        <x:v>3</x:v>
      </x:c>
      <x:c r="Q865" s="84" t="str">
        <x:v>Exact accepted-name match</x:v>
      </x:c>
      <x:c r="R865" s="84" t="str">
        <x:v>Wedelia acapulcensis var. hispida</x:v>
      </x:c>
      <x:c r="S865" s="84" t="str">
        <x:v>3120753</x:v>
      </x:c>
      <x:c r="T865" s="84" t="str">
        <x:v>3120753</x:v>
      </x:c>
      <x:c r="U865" s="84" t="str">
        <x:v>967065-1</x:v>
      </x:c>
      <x:c r="V865" s="84" t="str">
        <x:v>967065-1</x:v>
      </x:c>
      <x:c r="W865" s="84" t="str"/>
    </x:row>
    <x:row r="866" ht="18" customHeight="1">
      <x:c r="A866" s="83" t="str">
        <x:v>HAYS-0865</x:v>
      </x:c>
      <x:c r="B866" s="87" t="str">
        <x:v>Wolffia columbiana</x:v>
      </x:c>
      <x:c r="C866" s="87" t="str">
        <x:v>Wolffia columbiana</x:v>
      </x:c>
      <x:c r="D866" s="84" t="str">
        <x:v>Araceae</x:v>
      </x:c>
      <x:c r="E866" s="84" t="str">
        <x:v>Wolffia</x:v>
      </x:c>
      <x:c r="F866" s="84" t="str">
        <x:v>Species</x:v>
      </x:c>
      <x:c r="G866" s="84" t="str">
        <x:v>Accepted</x:v>
      </x:c>
      <x:c r="H866" s="84" t="str">
        <x:v>Columbian Watermeal</x:v>
      </x:c>
      <x:c r="I866" s="84" t="str">
        <x:v>Perennial</x:v>
      </x:c>
      <x:c r="J866" s="84" t="str">
        <x:v>Herb</x:v>
      </x:c>
      <x:c r="K866" s="84" t="str"/>
      <x:c r="L866" s="84" t="str"/>
      <x:c r="M866" s="89" t="n">
        <x:v>1</x:v>
      </x:c>
      <x:c r="N866" s="89" t="n">
        <x:v>1</x:v>
      </x:c>
      <x:c r="O866" s="89" t="n">
        <x:v>0</x:v>
      </x:c>
      <x:c r="P866" s="89" t="n">
        <x:f>SUM(M866:O866)</x:f>
        <x:v>2</x:v>
      </x:c>
      <x:c r="Q866" s="84" t="str">
        <x:v>Exact accepted-name match</x:v>
      </x:c>
      <x:c r="R866" s="84" t="str">
        <x:v>Wolffia columbiana</x:v>
      </x:c>
      <x:c r="S866" s="84" t="str">
        <x:v>214825</x:v>
      </x:c>
      <x:c r="T866" s="84" t="str">
        <x:v>214825</x:v>
      </x:c>
      <x:c r="U866" s="84" t="str">
        <x:v>526266-1</x:v>
      </x:c>
      <x:c r="V866" s="84" t="str">
        <x:v>526266-1</x:v>
      </x:c>
      <x:c r="W866" s="84" t="str"/>
    </x:row>
    <x:row r="867" ht="18" customHeight="1">
      <x:c r="A867" s="83" t="str">
        <x:v>HAYS-0866</x:v>
      </x:c>
      <x:c r="B867" s="87" t="str">
        <x:v>Xanthium strumarium</x:v>
      </x:c>
      <x:c r="C867" s="87" t="str">
        <x:v>Xanthium strumarium</x:v>
      </x:c>
      <x:c r="D867" s="84" t="str">
        <x:v>Asteraceae</x:v>
      </x:c>
      <x:c r="E867" s="84" t="str">
        <x:v>Xanthium</x:v>
      </x:c>
      <x:c r="F867" s="84" t="str">
        <x:v>Species</x:v>
      </x:c>
      <x:c r="G867" s="84" t="str">
        <x:v>Accepted</x:v>
      </x:c>
      <x:c r="H867" s="84" t="str">
        <x:v>Rough Cocklebur</x:v>
      </x:c>
      <x:c r="I867" s="84" t="str">
        <x:v>Annual</x:v>
      </x:c>
      <x:c r="J867" s="84" t="str">
        <x:v>Herb</x:v>
      </x:c>
      <x:c r="K867" s="84" t="str"/>
      <x:c r="L867" s="84" t="str"/>
      <x:c r="M867" s="89" t="n">
        <x:v>1</x:v>
      </x:c>
      <x:c r="N867" s="89" t="n">
        <x:v>1</x:v>
      </x:c>
      <x:c r="O867" s="89" t="n">
        <x:v>0</x:v>
      </x:c>
      <x:c r="P867" s="89" t="n">
        <x:f>SUM(M867:O867)</x:f>
        <x:v>2</x:v>
      </x:c>
      <x:c r="Q867" s="84" t="str">
        <x:v>Exact accepted-name match</x:v>
      </x:c>
      <x:c r="R867" s="84" t="str">
        <x:v>Xanthium strumarium</x:v>
      </x:c>
      <x:c r="S867" s="84" t="str">
        <x:v>2901779</x:v>
      </x:c>
      <x:c r="T867" s="84" t="str">
        <x:v>2901779</x:v>
      </x:c>
      <x:c r="U867" s="84" t="str">
        <x:v>260893-1</x:v>
      </x:c>
      <x:c r="V867" s="84" t="str">
        <x:v>260893-1</x:v>
      </x:c>
      <x:c r="W867" s="84" t="str"/>
    </x:row>
    <x:row r="868" ht="18" customHeight="1">
      <x:c r="A868" s="83" t="str">
        <x:v>HAYS-0867</x:v>
      </x:c>
      <x:c r="B868" s="87" t="str">
        <x:v>Yucca arkansana</x:v>
      </x:c>
      <x:c r="C868" s="87" t="str">
        <x:v>Yucca arkansana</x:v>
      </x:c>
      <x:c r="D868" s="84" t="str">
        <x:v>Asparagaceae</x:v>
      </x:c>
      <x:c r="E868" s="84" t="str">
        <x:v>Yucca</x:v>
      </x:c>
      <x:c r="F868" s="84" t="str">
        <x:v>Species</x:v>
      </x:c>
      <x:c r="G868" s="84" t="str">
        <x:v>Accepted</x:v>
      </x:c>
      <x:c r="H868" s="84" t="str">
        <x:v>Arkansas Yucca, Softleaf Yucca</x:v>
      </x:c>
      <x:c r="I868" s="84" t="str">
        <x:v>Perennial</x:v>
      </x:c>
      <x:c r="J868" s="84" t="str">
        <x:v>Cactus/Succulent</x:v>
      </x:c>
      <x:c r="K868" s="84" t="str">
        <x:v>Part-shade</x:v>
      </x:c>
      <x:c r="L868" s="84" t="str">
        <x:v>Dry</x:v>
      </x:c>
      <x:c r="M868" s="89" t="n">
        <x:v>1</x:v>
      </x:c>
      <x:c r="N868" s="89" t="n">
        <x:v>1</x:v>
      </x:c>
      <x:c r="O868" s="89" t="n">
        <x:v>0</x:v>
      </x:c>
      <x:c r="P868" s="89" t="n">
        <x:f>SUM(M868:O868)</x:f>
        <x:v>2</x:v>
      </x:c>
      <x:c r="Q868" s="84" t="str">
        <x:v>Exact accepted-name match</x:v>
      </x:c>
      <x:c r="R868" s="84" t="str">
        <x:v>Yucca arkansana</x:v>
      </x:c>
      <x:c r="S868" s="84" t="str">
        <x:v>291622</x:v>
      </x:c>
      <x:c r="T868" s="84" t="str">
        <x:v>291622</x:v>
      </x:c>
      <x:c r="U868" s="84" t="str">
        <x:v>270280-2</x:v>
      </x:c>
      <x:c r="V868" s="84" t="str">
        <x:v>270280-2</x:v>
      </x:c>
      <x:c r="W868" s="84" t="str"/>
    </x:row>
    <x:row r="869" ht="18" customHeight="1">
      <x:c r="A869" s="83" t="str">
        <x:v>HAYS-0868</x:v>
      </x:c>
      <x:c r="B869" s="87" t="str">
        <x:v>Yucca constricta</x:v>
      </x:c>
      <x:c r="C869" s="87" t="str">
        <x:v>Yucca constricta</x:v>
      </x:c>
      <x:c r="D869" s="84" t="str">
        <x:v>Asparagaceae</x:v>
      </x:c>
      <x:c r="E869" s="84" t="str">
        <x:v>Yucca</x:v>
      </x:c>
      <x:c r="F869" s="84" t="str">
        <x:v>Species</x:v>
      </x:c>
      <x:c r="G869" s="84" t="str">
        <x:v>Accepted</x:v>
      </x:c>
      <x:c r="H869" s="84" t="str">
        <x:v>Buckley Yucca, Buckley's Yucca</x:v>
      </x:c>
      <x:c r="I869" s="84" t="str">
        <x:v>Perennial</x:v>
      </x:c>
      <x:c r="J869" s="84" t="str">
        <x:v>Succulent</x:v>
      </x:c>
      <x:c r="K869" s="84" t="str">
        <x:v>Sun</x:v>
      </x:c>
      <x:c r="L869" s="84" t="str">
        <x:v>Low</x:v>
      </x:c>
      <x:c r="M869" s="89" t="n">
        <x:v>1</x:v>
      </x:c>
      <x:c r="N869" s="89" t="n">
        <x:v>1</x:v>
      </x:c>
      <x:c r="O869" s="89" t="n">
        <x:v>1</x:v>
      </x:c>
      <x:c r="P869" s="89" t="n">
        <x:f>SUM(M869:O869)</x:f>
        <x:v>3</x:v>
      </x:c>
      <x:c r="Q869" s="84" t="str">
        <x:v>Exact accepted-name match</x:v>
      </x:c>
      <x:c r="R869" s="84" t="str">
        <x:v>Yucca constricta</x:v>
      </x:c>
      <x:c r="S869" s="84" t="str">
        <x:v>291786</x:v>
      </x:c>
      <x:c r="T869" s="84" t="str">
        <x:v>291786</x:v>
      </x:c>
      <x:c r="U869" s="84" t="str">
        <x:v>543668-1</x:v>
      </x:c>
      <x:c r="V869" s="84" t="str">
        <x:v>543668-1</x:v>
      </x:c>
      <x:c r="W869" s="84" t="str"/>
    </x:row>
    <x:row r="870" ht="18" customHeight="1">
      <x:c r="A870" s="83" t="str">
        <x:v>HAYS-0869</x:v>
      </x:c>
      <x:c r="B870" s="87" t="str">
        <x:v>Yucca pallida</x:v>
      </x:c>
      <x:c r="C870" s="87" t="str">
        <x:v>Yucca pallida</x:v>
      </x:c>
      <x:c r="D870" s="84" t="str">
        <x:v>Asparagaceae</x:v>
      </x:c>
      <x:c r="E870" s="84" t="str">
        <x:v>Yucca</x:v>
      </x:c>
      <x:c r="F870" s="84" t="str">
        <x:v>Species</x:v>
      </x:c>
      <x:c r="G870" s="84" t="str">
        <x:v>Accepted</x:v>
      </x:c>
      <x:c r="H870" s="84" t="str">
        <x:v>Pale-leaf Yucca</x:v>
      </x:c>
      <x:c r="I870" s="84" t="str">
        <x:v>Perennial</x:v>
      </x:c>
      <x:c r="J870" s="84" t="str">
        <x:v>Cactus/Succulent</x:v>
      </x:c>
      <x:c r="K870" s="84" t="str">
        <x:v>Sun, Part-shade</x:v>
      </x:c>
      <x:c r="L870" s="84" t="str">
        <x:v>Dry</x:v>
      </x:c>
      <x:c r="M870" s="89" t="n">
        <x:v>1</x:v>
      </x:c>
      <x:c r="N870" s="89" t="n">
        <x:v>1</x:v>
      </x:c>
      <x:c r="O870" s="89" t="n">
        <x:v>0</x:v>
      </x:c>
      <x:c r="P870" s="89" t="n">
        <x:f>SUM(M870:O870)</x:f>
        <x:v>2</x:v>
      </x:c>
      <x:c r="Q870" s="84" t="str">
        <x:v>Exact accepted-name match</x:v>
      </x:c>
      <x:c r="R870" s="84" t="str">
        <x:v>Yucca pallida</x:v>
      </x:c>
      <x:c r="S870" s="84" t="str">
        <x:v>291659</x:v>
      </x:c>
      <x:c r="T870" s="84" t="str">
        <x:v>291659</x:v>
      </x:c>
      <x:c r="U870" s="84" t="str">
        <x:v>270396-2</x:v>
      </x:c>
      <x:c r="V870" s="84" t="str">
        <x:v>270396-2</x:v>
      </x:c>
      <x:c r="W870" s="84" t="str"/>
    </x:row>
    <x:row r="871" ht="18" customHeight="1">
      <x:c r="A871" s="83" t="str">
        <x:v>HAYS-0870</x:v>
      </x:c>
      <x:c r="B871" s="87" t="str">
        <x:v>Yucca rupicola</x:v>
      </x:c>
      <x:c r="C871" s="87" t="str">
        <x:v>Yucca rupicola</x:v>
      </x:c>
      <x:c r="D871" s="84" t="str">
        <x:v>Asparagaceae</x:v>
      </x:c>
      <x:c r="E871" s="84" t="str">
        <x:v>Yucca</x:v>
      </x:c>
      <x:c r="F871" s="84" t="str">
        <x:v>Species</x:v>
      </x:c>
      <x:c r="G871" s="84" t="str">
        <x:v>Accepted</x:v>
      </x:c>
      <x:c r="H871" s="84" t="str">
        <x:v>Twistleaf Yucca, Twisted-leaf Yucca, Texas Yucca, Spanish Dagger</x:v>
      </x:c>
      <x:c r="I871" s="84" t="str">
        <x:v>Perennial</x:v>
      </x:c>
      <x:c r="J871" s="84" t="str">
        <x:v>Succulent</x:v>
      </x:c>
      <x:c r="K871" s="84" t="str">
        <x:v>Sun</x:v>
      </x:c>
      <x:c r="L871" s="84" t="str">
        <x:v>Low</x:v>
      </x:c>
      <x:c r="M871" s="89" t="n">
        <x:v>1</x:v>
      </x:c>
      <x:c r="N871" s="89" t="n">
        <x:v>1</x:v>
      </x:c>
      <x:c r="O871" s="89" t="n">
        <x:v>1</x:v>
      </x:c>
      <x:c r="P871" s="89" t="n">
        <x:f>SUM(M871:O871)</x:f>
        <x:v>3</x:v>
      </x:c>
      <x:c r="Q871" s="84" t="str">
        <x:v>Exact accepted-name match</x:v>
      </x:c>
      <x:c r="R871" s="84" t="str">
        <x:v>Yucca rupicola</x:v>
      </x:c>
      <x:c r="S871" s="84" t="str">
        <x:v>291736</x:v>
      </x:c>
      <x:c r="T871" s="84" t="str">
        <x:v>291736</x:v>
      </x:c>
      <x:c r="U871" s="84" t="str">
        <x:v>543775-1</x:v>
      </x:c>
      <x:c r="V871" s="84" t="str">
        <x:v>543775-1</x:v>
      </x:c>
      <x:c r="W871" s="84" t="str"/>
    </x:row>
    <x:row r="872" ht="18" customHeight="1">
      <x:c r="A872" s="83" t="str">
        <x:v>HAYS-0871</x:v>
      </x:c>
      <x:c r="B872" s="87" t="str">
        <x:v>Yucca torreyi</x:v>
      </x:c>
      <x:c r="C872" s="87" t="str">
        <x:v>Yucca torreyi</x:v>
      </x:c>
      <x:c r="D872" s="84" t="str">
        <x:v>Asparagaceae</x:v>
      </x:c>
      <x:c r="E872" s="84" t="str">
        <x:v>Yucca</x:v>
      </x:c>
      <x:c r="F872" s="84" t="str">
        <x:v>Species</x:v>
      </x:c>
      <x:c r="G872" s="84" t="str">
        <x:v>Accepted</x:v>
      </x:c>
      <x:c r="H872" s="84" t="str">
        <x:v>Torrey Yucca, Torrey's Yucca, Spanish Bayonet, Spanish Dagger, Old Shag, Palma</x:v>
      </x:c>
      <x:c r="I872" s="84" t="str">
        <x:v>Perennial</x:v>
      </x:c>
      <x:c r="J872" s="84" t="str">
        <x:v>Shrub</x:v>
      </x:c>
      <x:c r="K872" s="84" t="str">
        <x:v>Sun</x:v>
      </x:c>
      <x:c r="L872" s="84" t="str">
        <x:v>Dry</x:v>
      </x:c>
      <x:c r="M872" s="89" t="n">
        <x:v>1</x:v>
      </x:c>
      <x:c r="N872" s="89" t="n">
        <x:v>1</x:v>
      </x:c>
      <x:c r="O872" s="89" t="n">
        <x:v>0</x:v>
      </x:c>
      <x:c r="P872" s="89" t="n">
        <x:f>SUM(M872:O872)</x:f>
        <x:v>2</x:v>
      </x:c>
      <x:c r="Q872" s="84" t="str">
        <x:v>Exact accepted-name match</x:v>
      </x:c>
      <x:c r="R872" s="84" t="str">
        <x:v>Yucca torreyi</x:v>
      </x:c>
      <x:c r="S872" s="84" t="str">
        <x:v>291700</x:v>
      </x:c>
      <x:c r="T872" s="84" t="str">
        <x:v>291700</x:v>
      </x:c>
      <x:c r="U872" s="84" t="str">
        <x:v>293670-2</x:v>
      </x:c>
      <x:c r="V872" s="84" t="str">
        <x:v>293670-2</x:v>
      </x:c>
      <x:c r="W872" s="84" t="str"/>
    </x:row>
    <x:row r="873" ht="18" customHeight="1">
      <x:c r="A873" s="83" t="str">
        <x:v>HAYS-0872</x:v>
      </x:c>
      <x:c r="B873" s="87" t="str">
        <x:v>Yucca treculeana</x:v>
      </x:c>
      <x:c r="C873" s="87" t="str"/>
      <x:c r="D873" s="84" t="str"/>
      <x:c r="E873" s="84" t="str">
        <x:v>Yucca</x:v>
      </x:c>
      <x:c r="F873" s="84" t="str"/>
      <x:c r="G873" s="84" t="str"/>
      <x:c r="H873" s="84" t="str">
        <x:v>Spanish Dagger, Spanish Bayonet, Don Quixote's Lance, Palma Pita, Palma De Datil, Palmito</x:v>
      </x:c>
      <x:c r="I873" s="84" t="str">
        <x:v>Perennial</x:v>
      </x:c>
      <x:c r="J873" s="84" t="str">
        <x:v>Succulent, Tree</x:v>
      </x:c>
      <x:c r="K873" s="84" t="str">
        <x:v>Sun</x:v>
      </x:c>
      <x:c r="L873" s="84" t="str">
        <x:v>Low</x:v>
      </x:c>
      <x:c r="M873" s="89" t="n">
        <x:v>1</x:v>
      </x:c>
      <x:c r="N873" s="89" t="n">
        <x:v>1</x:v>
      </x:c>
      <x:c r="O873" s="89" t="n">
        <x:v>1</x:v>
      </x:c>
      <x:c r="P873" s="89" t="n">
        <x:f>SUM(M873:O873)</x:f>
        <x:v>3</x:v>
      </x:c>
      <x:c r="Q873" s="84" t="str">
        <x:v>No exact WCVP name match</x:v>
      </x:c>
      <x:c r="R873" s="84" t="str"/>
      <x:c r="S873" s="84" t="str"/>
      <x:c r="T873" s="84" t="str"/>
      <x:c r="U873" s="84" t="str"/>
      <x:c r="V873" s="84" t="str"/>
      <x:c r="W873" s="84" t="str">
        <x:v>Review</x:v>
      </x:c>
    </x:row>
    <x:row r="874" ht="18" customHeight="1">
      <x:c r="A874" s="83" t="str">
        <x:v>HAYS-0873</x:v>
      </x:c>
      <x:c r="B874" s="87" t="str">
        <x:v>Zannichellia palustris</x:v>
      </x:c>
      <x:c r="C874" s="87" t="str">
        <x:v>Zannichellia palustris</x:v>
      </x:c>
      <x:c r="D874" s="84" t="str">
        <x:v>Potamogetonaceae</x:v>
      </x:c>
      <x:c r="E874" s="84" t="str">
        <x:v>Zannichellia</x:v>
      </x:c>
      <x:c r="F874" s="84" t="str">
        <x:v>Species</x:v>
      </x:c>
      <x:c r="G874" s="84" t="str">
        <x:v>Accepted</x:v>
      </x:c>
      <x:c r="H874" s="84" t="str">
        <x:v>Horned Pondweed, Horned Poolmat, Horned-pondweed</x:v>
      </x:c>
      <x:c r="I874" s="84" t="str">
        <x:v>Perennial</x:v>
      </x:c>
      <x:c r="J874" s="84" t="str">
        <x:v>Herb</x:v>
      </x:c>
      <x:c r="K874" s="84" t="str"/>
      <x:c r="L874" s="84" t="str"/>
      <x:c r="M874" s="89" t="n">
        <x:v>1</x:v>
      </x:c>
      <x:c r="N874" s="89" t="n">
        <x:v>1</x:v>
      </x:c>
      <x:c r="O874" s="89" t="n">
        <x:v>0</x:v>
      </x:c>
      <x:c r="P874" s="89" t="n">
        <x:f>SUM(M874:O874)</x:f>
        <x:v>2</x:v>
      </x:c>
      <x:c r="Q874" s="84" t="str">
        <x:v>Exact accepted-name match</x:v>
      </x:c>
      <x:c r="R874" s="84" t="str">
        <x:v>Zannichellia palustris</x:v>
      </x:c>
      <x:c r="S874" s="84" t="str">
        <x:v>309015</x:v>
      </x:c>
      <x:c r="T874" s="84" t="str">
        <x:v>309015</x:v>
      </x:c>
      <x:c r="U874" s="84" t="str">
        <x:v>603593-1</x:v>
      </x:c>
      <x:c r="V874" s="84" t="str">
        <x:v>603593-1</x:v>
      </x:c>
      <x:c r="W874" s="84" t="str"/>
    </x:row>
    <x:row r="875" ht="18" customHeight="1">
      <x:c r="A875" s="83" t="str">
        <x:v>HAYS-0874</x:v>
      </x:c>
      <x:c r="B875" s="87" t="str">
        <x:v>Zanthoxylum hirsutum</x:v>
      </x:c>
      <x:c r="C875" s="87" t="str">
        <x:v>Zanthoxylum clava-herculis subsp. fruticosum</x:v>
      </x:c>
      <x:c r="D875" s="84" t="str">
        <x:v>Rutaceae</x:v>
      </x:c>
      <x:c r="E875" s="84" t="str">
        <x:v>Zanthoxylum</x:v>
      </x:c>
      <x:c r="F875" s="84" t="str">
        <x:v>Species</x:v>
      </x:c>
      <x:c r="G875" s="84" t="str">
        <x:v>Synonym</x:v>
      </x:c>
      <x:c r="H875" s="84" t="str">
        <x:v>Texas Hercules' Club, Texas Prickly Ash, Limetone Prickly Ash, Toothache Tree, Tickle-tongue, Tingle-tongue</x:v>
      </x:c>
      <x:c r="I875" s="84" t="str">
        <x:v>Perennial</x:v>
      </x:c>
      <x:c r="J875" s="84" t="str">
        <x:v>Tree</x:v>
      </x:c>
      <x:c r="K875" s="84" t="str">
        <x:v>Part-shade</x:v>
      </x:c>
      <x:c r="L875" s="84" t="str">
        <x:v>Dry</x:v>
      </x:c>
      <x:c r="M875" s="89" t="n">
        <x:v>1</x:v>
      </x:c>
      <x:c r="N875" s="89" t="n">
        <x:v>1</x:v>
      </x:c>
      <x:c r="O875" s="89" t="n">
        <x:v>0</x:v>
      </x:c>
      <x:c r="P875" s="89" t="n">
        <x:f>SUM(M875:O875)</x:f>
        <x:v>2</x:v>
      </x:c>
      <x:c r="Q875" s="84" t="str">
        <x:v>Exact synonym-name match</x:v>
      </x:c>
      <x:c r="R875" s="84" t="str">
        <x:v>Zanthoxylum hirsutum</x:v>
      </x:c>
      <x:c r="S875" s="84" t="str">
        <x:v>2469455</x:v>
      </x:c>
      <x:c r="T875" s="84" t="str">
        <x:v>3225903</x:v>
      </x:c>
      <x:c r="U875" s="84" t="str">
        <x:v>775771-1</x:v>
      </x:c>
      <x:c r="V875" s="84" t="str">
        <x:v>77175410-1</x:v>
      </x:c>
      <x:c r="W875" s="84" t="str"/>
    </x:row>
    <x:row r="876" ht="18" customHeight="1">
      <x:c r="A876" s="83" t="str">
        <x:v>HAYS-0875</x:v>
      </x:c>
      <x:c r="B876" s="87" t="str">
        <x:v>Zigadenus nuttallii</x:v>
      </x:c>
      <x:c r="C876" s="87" t="str">
        <x:v>Toxicoscordion nuttallii</x:v>
      </x:c>
      <x:c r="D876" s="84" t="str">
        <x:v>Melanthiaceae</x:v>
      </x:c>
      <x:c r="E876" s="84" t="str">
        <x:v>Toxicoscordion</x:v>
      </x:c>
      <x:c r="F876" s="84" t="str">
        <x:v>Species</x:v>
      </x:c>
      <x:c r="G876" s="84" t="str">
        <x:v>Synonym</x:v>
      </x:c>
      <x:c r="H876" s="84" t="str">
        <x:v>Nuttall's Death Camas, Death Camas, Poison-onion</x:v>
      </x:c>
      <x:c r="I876" s="84" t="str">
        <x:v>Perennial</x:v>
      </x:c>
      <x:c r="J876" s="84" t="str">
        <x:v>Herb</x:v>
      </x:c>
      <x:c r="K876" s="84" t="str">
        <x:v>Part-shade</x:v>
      </x:c>
      <x:c r="L876" s="84" t="str"/>
      <x:c r="M876" s="89" t="n">
        <x:v>1</x:v>
      </x:c>
      <x:c r="N876" s="89" t="n">
        <x:v>1</x:v>
      </x:c>
      <x:c r="O876" s="89" t="n">
        <x:v>0</x:v>
      </x:c>
      <x:c r="P876" s="89" t="n">
        <x:f>SUM(M876:O876)</x:f>
        <x:v>2</x:v>
      </x:c>
      <x:c r="Q876" s="84" t="str">
        <x:v>Exact synonym-name match</x:v>
      </x:c>
      <x:c r="R876" s="84" t="str">
        <x:v>Zigadenus nuttallii</x:v>
      </x:c>
      <x:c r="S876" s="84" t="str">
        <x:v>293423</x:v>
      </x:c>
      <x:c r="T876" s="84" t="str">
        <x:v>289938</x:v>
      </x:c>
      <x:c r="U876" s="84" t="str">
        <x:v>543849-1</x:v>
      </x:c>
      <x:c r="V876" s="84" t="str">
        <x:v>255811-2</x:v>
      </x:c>
      <x:c r="W876" s="84" t="str"/>
    </x:row>
    <x:row r="877" ht="18" customHeight="1">
      <x:c r="A877" s="83" t="str">
        <x:v>HAYS-0876</x:v>
      </x:c>
      <x:c r="B877" s="87" t="str">
        <x:v>Zizania texana</x:v>
      </x:c>
      <x:c r="C877" s="87" t="str">
        <x:v>Zizania texana</x:v>
      </x:c>
      <x:c r="D877" s="84" t="str">
        <x:v>Poaceae</x:v>
      </x:c>
      <x:c r="E877" s="84" t="str">
        <x:v>Zizania</x:v>
      </x:c>
      <x:c r="F877" s="84" t="str">
        <x:v>Species</x:v>
      </x:c>
      <x:c r="G877" s="84" t="str">
        <x:v>Accepted</x:v>
      </x:c>
      <x:c r="H877" s="84" t="str">
        <x:v>Texas Wildrice, Texas Wild Rice</x:v>
      </x:c>
      <x:c r="I877" s="84" t="str">
        <x:v>Perennial</x:v>
      </x:c>
      <x:c r="J877" s="84" t="str">
        <x:v>Grass/Grass-like</x:v>
      </x:c>
      <x:c r="K877" s="84" t="str">
        <x:v>Sun</x:v>
      </x:c>
      <x:c r="L877" s="84" t="str">
        <x:v>Wet</x:v>
      </x:c>
      <x:c r="M877" s="89" t="n">
        <x:v>1</x:v>
      </x:c>
      <x:c r="N877" s="89" t="n">
        <x:v>1</x:v>
      </x:c>
      <x:c r="O877" s="89" t="n">
        <x:v>0</x:v>
      </x:c>
      <x:c r="P877" s="89" t="n">
        <x:f>SUM(M877:O877)</x:f>
        <x:v>2</x:v>
      </x:c>
      <x:c r="Q877" s="84" t="str">
        <x:v>Exact accepted-name match</x:v>
      </x:c>
      <x:c r="R877" s="84" t="str">
        <x:v>Zizania texana</x:v>
      </x:c>
      <x:c r="S877" s="84" t="str">
        <x:v>450623</x:v>
      </x:c>
      <x:c r="T877" s="84" t="str">
        <x:v>450623</x:v>
      </x:c>
      <x:c r="U877" s="84" t="str">
        <x:v>271183-2</x:v>
      </x:c>
      <x:c r="V877" s="84" t="str">
        <x:v>271183-2</x:v>
      </x:c>
      <x:c r="W877" s="84" t="str"/>
    </x:row>
    <x:row r="878" ht="18" customHeight="1">
      <x:c r="A878" s="83" t="str">
        <x:v>HAYS-0877</x:v>
      </x:c>
      <x:c r="B878" s="87" t="str">
        <x:v>Zizaniopsis miliacea</x:v>
      </x:c>
      <x:c r="C878" s="87" t="str">
        <x:v>Zizaniopsis miliacea</x:v>
      </x:c>
      <x:c r="D878" s="84" t="str">
        <x:v>Poaceae</x:v>
      </x:c>
      <x:c r="E878" s="84" t="str">
        <x:v>Zizaniopsis</x:v>
      </x:c>
      <x:c r="F878" s="84" t="str">
        <x:v>Species</x:v>
      </x:c>
      <x:c r="G878" s="84" t="str">
        <x:v>Accepted</x:v>
      </x:c>
      <x:c r="H878" s="84" t="str">
        <x:v>Giant Cutgrass</x:v>
      </x:c>
      <x:c r="I878" s="84" t="str">
        <x:v>Perennial</x:v>
      </x:c>
      <x:c r="J878" s="84" t="str">
        <x:v>Grass/Grass-like</x:v>
      </x:c>
      <x:c r="K878" s="84" t="str"/>
      <x:c r="L878" s="84" t="str"/>
      <x:c r="M878" s="89" t="n">
        <x:v>1</x:v>
      </x:c>
      <x:c r="N878" s="89" t="n">
        <x:v>1</x:v>
      </x:c>
      <x:c r="O878" s="89" t="n">
        <x:v>0</x:v>
      </x:c>
      <x:c r="P878" s="89" t="n">
        <x:f>SUM(M878:O878)</x:f>
        <x:v>2</x:v>
      </x:c>
      <x:c r="Q878" s="84" t="str">
        <x:v>Exact accepted-name match</x:v>
      </x:c>
      <x:c r="R878" s="84" t="str">
        <x:v>Zizaniopsis miliacea</x:v>
      </x:c>
      <x:c r="S878" s="84" t="str">
        <x:v>450628</x:v>
      </x:c>
      <x:c r="T878" s="84" t="str">
        <x:v>450628</x:v>
      </x:c>
      <x:c r="U878" s="84" t="str">
        <x:v>1030293-2</x:v>
      </x:c>
      <x:c r="V878" s="84" t="str">
        <x:v>1030293-2</x:v>
      </x:c>
      <x:c r="W878" s="84" t="str"/>
    </x:row>
    <x:row r="879" ht="18" customHeight="1">
      <x:c r="A879" s="83" t="str">
        <x:v>HAYS-0878</x:v>
      </x:c>
      <x:c r="B879" s="87" t="str">
        <x:v>Ziziphus obtusifolia</x:v>
      </x:c>
      <x:c r="C879" s="87" t="str">
        <x:v>Condaliopsis obtusifolia</x:v>
      </x:c>
      <x:c r="D879" s="84" t="str">
        <x:v>Rhamnaceae</x:v>
      </x:c>
      <x:c r="E879" s="84" t="str">
        <x:v>Condaliopsis</x:v>
      </x:c>
      <x:c r="F879" s="84" t="str">
        <x:v>Species</x:v>
      </x:c>
      <x:c r="G879" s="84" t="str">
        <x:v>Synonym</x:v>
      </x:c>
      <x:c r="H879" s="84" t="str">
        <x:v>Lotebush, Lote-bush Condalia, Graythorn</x:v>
      </x:c>
      <x:c r="I879" s="84" t="str">
        <x:v>Perennial</x:v>
      </x:c>
      <x:c r="J879" s="84" t="str">
        <x:v>Tree</x:v>
      </x:c>
      <x:c r="K879" s="84" t="str">
        <x:v>Part-shade</x:v>
      </x:c>
      <x:c r="L879" s="84" t="str">
        <x:v>Dry</x:v>
      </x:c>
      <x:c r="M879" s="89" t="n">
        <x:v>1</x:v>
      </x:c>
      <x:c r="N879" s="89" t="n">
        <x:v>1</x:v>
      </x:c>
      <x:c r="O879" s="89" t="n">
        <x:v>0</x:v>
      </x:c>
      <x:c r="P879" s="89" t="n">
        <x:f>SUM(M879:O879)</x:f>
        <x:v>2</x:v>
      </x:c>
      <x:c r="Q879" s="84" t="str">
        <x:v>Exact synonym-name match</x:v>
      </x:c>
      <x:c r="R879" s="84" t="str">
        <x:v>Ziziphus obtusifolia</x:v>
      </x:c>
      <x:c r="S879" s="84" t="str">
        <x:v>2470630</x:v>
      </x:c>
      <x:c r="T879" s="84" t="str">
        <x:v>2734028</x:v>
      </x:c>
      <x:c r="U879" s="84" t="str">
        <x:v>1119909-2</x:v>
      </x:c>
      <x:c r="V879" s="84" t="str">
        <x:v>717172-1</x:v>
      </x:c>
      <x:c r="W879" s="84" t="str"/>
    </x:row>
    <x:row r="880" ht="18" customHeight="1">
      <x:c r="A880" s="85" t="str">
        <x:v>HAYS-0879</x:v>
      </x:c>
      <x:c r="B880" s="88" t="str">
        <x:v>Zornia bracteata</x:v>
      </x:c>
      <x:c r="C880" s="88" t="str">
        <x:v>Zornia bracteata</x:v>
      </x:c>
      <x:c r="D880" s="86" t="str">
        <x:v>Fabaceae</x:v>
      </x:c>
      <x:c r="E880" s="86" t="str">
        <x:v>Zornia</x:v>
      </x:c>
      <x:c r="F880" s="86" t="str">
        <x:v>Species</x:v>
      </x:c>
      <x:c r="G880" s="86" t="str">
        <x:v>Accepted</x:v>
      </x:c>
      <x:c r="H880" s="86" t="str">
        <x:v>Viperina</x:v>
      </x:c>
      <x:c r="I880" s="86" t="str">
        <x:v>Annual</x:v>
      </x:c>
      <x:c r="J880" s="86" t="str">
        <x:v>Herb</x:v>
      </x:c>
      <x:c r="K880" s="86" t="str"/>
      <x:c r="L880" s="86" t="str"/>
      <x:c r="M880" s="90" t="n">
        <x:v>1</x:v>
      </x:c>
      <x:c r="N880" s="90" t="n">
        <x:v>1</x:v>
      </x:c>
      <x:c r="O880" s="90" t="n">
        <x:v>0</x:v>
      </x:c>
      <x:c r="P880" s="90" t="n">
        <x:f>SUM(M880:O880)</x:f>
        <x:v>2</x:v>
      </x:c>
      <x:c r="Q880" s="86" t="str">
        <x:v>Exact accepted-name match</x:v>
      </x:c>
      <x:c r="R880" s="86" t="str">
        <x:v>Zornia bracteata</x:v>
      </x:c>
      <x:c r="S880" s="86" t="str">
        <x:v>2470128</x:v>
      </x:c>
      <x:c r="T880" s="86" t="str">
        <x:v>2470128</x:v>
      </x:c>
      <x:c r="U880" s="86" t="str">
        <x:v>30095779-2</x:v>
      </x:c>
      <x:c r="V880" s="86" t="str">
        <x:v>30095779-2</x:v>
      </x:c>
      <x:c r="W880" s="86" t="str"/>
    </x:row>
  </x:sheetData>
  <x:conditionalFormatting sqref="W2:W880">
    <x:cfRule type="containsText" dxfId="0" priority="1" operator="containsText" text="Review"/>
  </x:conditionalFormatting>
  <x:pageMargins left="0.7" right="0.7" top="0.75" bottom="0.75" header="0.3" footer="0.3"/>
  <x:tableParts count="1">
    <x:tablePart xmlns:r="http://schemas.openxmlformats.org/officeDocument/2006/relationships" r:id="R4944239b6f8c4b8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20" hidden="0" customWidth="1"/>
    <x:col min="9" max="9" width="42" hidden="0" customWidth="1"/>
    <x:col min="10" max="10" width="42" hidden="0" customWidth="1"/>
  </x:cols>
  <x:sheetData>
    <x:row r="1" ht="34" customHeight="1">
      <x:c r="A1" s="81" t="str">
        <x:v>Family</x:v>
      </x:c>
      <x:c r="B1" s="82" t="str">
        <x:v>Plant Names</x:v>
      </x:c>
      <x:c r="C1" s="82" t="str">
        <x:v>Not Started</x:v>
      </x:c>
      <x:c r="D1" s="82" t="str">
        <x:v>Assigned / In Progress</x:v>
      </x:c>
      <x:c r="E1" s="82" t="str">
        <x:v>Ready for Review</x:v>
      </x:c>
      <x:c r="F1" s="82" t="str">
        <x:v>Reviewed</x:v>
      </x:c>
      <x:c r="G1" s="82" t="str">
        <x:v>% Reviewed</x:v>
      </x:c>
      <x:c r="H1" s="82" t="str">
        <x:v>Family Profile Status</x:v>
      </x:c>
      <x:c r="I1" s="82" t="str">
        <x:v>Synapomorphies / Family Pattern Notes</x:v>
      </x:c>
      <x:c r="J1" s="82" t="str">
        <x:v>Next Genus or Comparison Set</x:v>
      </x:c>
    </x:row>
    <x:row r="2" ht="34" customHeight="1">
      <x:c r="A2" s="83" t="str">
        <x:v>Asteraceae</x:v>
      </x:c>
      <x:c r="B2" s="89" t="n">
        <x:v>147</x:v>
      </x:c>
      <x:c r="C2" s="89" t="n">
        <x:v>147</x:v>
      </x:c>
      <x:c r="D2" s="89" t="n">
        <x:v>0</x:v>
      </x:c>
      <x:c r="E2" s="89" t="n">
        <x:v>0</x:v>
      </x:c>
      <x:c r="F2" s="89" t="n">
        <x:v>0</x:v>
      </x:c>
      <x:c r="G2" s="93" t="n">
        <x:v>0</x:v>
      </x:c>
      <x:c r="H2" s="119" t="str">
        <x:v>Ready for Review</x:v>
      </x:c>
      <x:c r="I2" s="119" t="str">
        <x:v>10 weighted family-character rows imported; 10 core/strong, 10 weight 4–5, 1 human-review flag(s). See Family Evidence Overview and Model.</x:v>
      </x:c>
      <x:c r="J2" s="119" t="str">
        <x:v>Resolve flagged claims, then build local genus comparison sets.</x:v>
      </x:c>
    </x:row>
    <x:row r="3" ht="34" customHeight="1">
      <x:c r="A3" s="83" t="str">
        <x:v>Poaceae</x:v>
      </x:c>
      <x:c r="B3" s="89" t="n">
        <x:v>79</x:v>
      </x:c>
      <x:c r="C3" s="89" t="n">
        <x:v>79</x:v>
      </x:c>
      <x:c r="D3" s="89" t="n">
        <x:v>0</x:v>
      </x:c>
      <x:c r="E3" s="89" t="n">
        <x:v>0</x:v>
      </x:c>
      <x:c r="F3" s="89" t="n">
        <x:v>0</x:v>
      </x:c>
      <x:c r="G3" s="93" t="n">
        <x:v>0</x:v>
      </x:c>
      <x:c r="H3" s="119" t="str">
        <x:v>Ready for Review</x:v>
      </x:c>
      <x:c r="I3" s="119" t="str">
        <x:v>11 weighted family-character rows imported; 11 core/strong, 11 weight 4–5, 1 human-review flag(s). See Family Evidence Overview and Model.</x:v>
      </x:c>
      <x:c r="J3" s="119" t="str">
        <x:v>Resolve flagged claims, then build local genus comparison sets.</x:v>
      </x:c>
    </x:row>
    <x:row r="4" ht="34" customHeight="1">
      <x:c r="A4" s="83" t="str">
        <x:v>Fabaceae</x:v>
      </x:c>
      <x:c r="B4" s="89" t="n">
        <x:v>72</x:v>
      </x:c>
      <x:c r="C4" s="89" t="n">
        <x:v>72</x:v>
      </x:c>
      <x:c r="D4" s="89" t="n">
        <x:v>0</x:v>
      </x:c>
      <x:c r="E4" s="89" t="n">
        <x:v>0</x:v>
      </x:c>
      <x:c r="F4" s="89" t="n">
        <x:v>0</x:v>
      </x:c>
      <x:c r="G4" s="93" t="n">
        <x:v>0</x:v>
      </x:c>
      <x:c r="H4" s="119" t="str">
        <x:v>Ready for Review</x:v>
      </x:c>
      <x:c r="I4" s="119" t="str">
        <x:v>11 weighted family-character rows imported; 9 core/strong, 9 weight 4–5, 1 human-review flag(s). See Family Evidence Overview and Model.</x:v>
      </x:c>
      <x:c r="J4" s="119" t="str">
        <x:v>Resolve flagged claims, then build local genus comparison sets.</x:v>
      </x:c>
    </x:row>
    <x:row r="5" ht="34" customHeight="1">
      <x:c r="A5" s="83" t="str">
        <x:v>[Taxonomy unresolved]</x:v>
      </x:c>
      <x:c r="B5" s="89" t="n">
        <x:v>33</x:v>
      </x:c>
      <x:c r="C5" s="89" t="n">
        <x:v>33</x:v>
      </x:c>
      <x:c r="D5" s="89" t="n">
        <x:v>0</x:v>
      </x:c>
      <x:c r="E5" s="89" t="n">
        <x:v>0</x:v>
      </x:c>
      <x:c r="F5" s="89" t="n">
        <x:v>0</x:v>
      </x:c>
      <x:c r="G5" s="93" t="n">
        <x:v>0</x:v>
      </x:c>
      <x:c r="H5" s="119" t="str">
        <x:v>Not Started</x:v>
      </x:c>
      <x:c r="I5" s="119"/>
      <x:c r="J5" s="119"/>
    </x:row>
    <x:row r="6" ht="34" customHeight="1">
      <x:c r="A6" s="83" t="str">
        <x:v>Euphorbiaceae</x:v>
      </x:c>
      <x:c r="B6" s="89" t="n">
        <x:v>28</x:v>
      </x:c>
      <x:c r="C6" s="89" t="n">
        <x:v>0</x:v>
      </x:c>
      <x:c r="D6" s="89" t="n">
        <x:v>18</x:v>
      </x:c>
      <x:c r="E6" s="89" t="n">
        <x:v>10</x:v>
      </x:c>
      <x:c r="F6" s="89" t="n">
        <x:v>0</x:v>
      </x:c>
      <x:c r="G6" s="93" t="n">
        <x:v>0</x:v>
      </x:c>
      <x:c r="H6" s="119" t="str">
        <x:v>In Progress — family, genera, C04, and C06 built</x:v>
      </x:c>
      <x:c r="I6" s="119" t="str">
        <x:v>Family guide and genus map complete. C04 covers six sandmats with 15 pair comparisons. C06 now covers four Tragia with a safe field pathway, a morphology matrix, all six species pairs, weighted evidence, and a standardized photo protocol.</x:v>
      </x:c>
      <x:c r="J6" s="119" t="str">
        <x:v>Human-review C04 and C06 with local images; next build EUPH-C02 Argythamnia.</x:v>
      </x:c>
    </x:row>
    <x:row r="7" ht="34" customHeight="1">
      <x:c r="A7" s="83" t="str">
        <x:v>Lamiaceae</x:v>
      </x:c>
      <x:c r="B7" s="89" t="n">
        <x:v>27</x:v>
      </x:c>
      <x:c r="C7" s="89" t="n">
        <x:v>27</x:v>
      </x:c>
      <x:c r="D7" s="89" t="n">
        <x:v>0</x:v>
      </x:c>
      <x:c r="E7" s="89" t="n">
        <x:v>0</x:v>
      </x:c>
      <x:c r="F7" s="89" t="n">
        <x:v>0</x:v>
      </x:c>
      <x:c r="G7" s="93" t="n">
        <x:v>0</x:v>
      </x:c>
      <x:c r="H7" s="119" t="str">
        <x:v>Ready for Review</x:v>
      </x:c>
      <x:c r="I7" s="119" t="str">
        <x:v>12 weighted family-character rows imported; 10 core/strong, 10 weight 4–5, 0 human-review flag(s). See Family Evidence Overview and Model.</x:v>
      </x:c>
      <x:c r="J7" s="119" t="str">
        <x:v>Human-review the family profile, then build local genus comparison sets.</x:v>
      </x:c>
    </x:row>
    <x:row r="8" ht="34" customHeight="1">
      <x:c r="A8" s="83" t="str">
        <x:v>Cyperaceae</x:v>
      </x:c>
      <x:c r="B8" s="89" t="n">
        <x:v>24</x:v>
      </x:c>
      <x:c r="C8" s="89" t="n">
        <x:v>24</x:v>
      </x:c>
      <x:c r="D8" s="89" t="n">
        <x:v>0</x:v>
      </x:c>
      <x:c r="E8" s="89" t="n">
        <x:v>0</x:v>
      </x:c>
      <x:c r="F8" s="89" t="n">
        <x:v>0</x:v>
      </x:c>
      <x:c r="G8" s="93" t="n">
        <x:v>0</x:v>
      </x:c>
      <x:c r="H8" s="119" t="str">
        <x:v>Ready for Review</x:v>
      </x:c>
      <x:c r="I8" s="119" t="str">
        <x:v>11 weighted family-character rows imported; 10 core/strong, 10 weight 4–5, 1 human-review flag(s). See Family Evidence Overview and Model.</x:v>
      </x:c>
      <x:c r="J8" s="119" t="str">
        <x:v>Resolve flagged claims, then build local genus comparison sets.</x:v>
      </x:c>
    </x:row>
    <x:row r="9" ht="34" customHeight="1">
      <x:c r="A9" s="83" t="str">
        <x:v>Onagraceae</x:v>
      </x:c>
      <x:c r="B9" s="89" t="n">
        <x:v>19</x:v>
      </x:c>
      <x:c r="C9" s="89" t="n">
        <x:v>19</x:v>
      </x:c>
      <x:c r="D9" s="89" t="n">
        <x:v>0</x:v>
      </x:c>
      <x:c r="E9" s="89" t="n">
        <x:v>0</x:v>
      </x:c>
      <x:c r="F9" s="89" t="n">
        <x:v>0</x:v>
      </x:c>
      <x:c r="G9" s="93" t="n">
        <x:v>0</x:v>
      </x:c>
      <x:c r="H9" s="119" t="str">
        <x:v>Ready for Review</x:v>
      </x:c>
      <x:c r="I9" s="119" t="str">
        <x:v>10 weighted family-character rows imported; 5 core/strong, 7 weight 4–5, 0 human-review flag(s). See Family Evidence Overview and Model.</x:v>
      </x:c>
      <x:c r="J9" s="119" t="str">
        <x:v>Human-review the family profile, then build local genus comparison sets.</x:v>
      </x:c>
    </x:row>
    <x:row r="10" ht="34" customHeight="1">
      <x:c r="A10" s="83" t="str">
        <x:v>Malvaceae</x:v>
      </x:c>
      <x:c r="B10" s="89" t="n">
        <x:v>18</x:v>
      </x:c>
      <x:c r="C10" s="89" t="n">
        <x:v>18</x:v>
      </x:c>
      <x:c r="D10" s="89" t="n">
        <x:v>0</x:v>
      </x:c>
      <x:c r="E10" s="89" t="n">
        <x:v>0</x:v>
      </x:c>
      <x:c r="F10" s="89" t="n">
        <x:v>0</x:v>
      </x:c>
      <x:c r="G10" s="93" t="n">
        <x:v>0</x:v>
      </x:c>
      <x:c r="H10" s="119" t="str">
        <x:v>Ready for Review</x:v>
      </x:c>
      <x:c r="I10" s="119" t="str">
        <x:v>12 weighted family-character rows imported; 5 core/strong, 7 weight 4–5, 1 human-review flag(s). See Family Evidence Overview and Model.</x:v>
      </x:c>
      <x:c r="J10" s="119" t="str">
        <x:v>Resolve flagged claims, then build local genus comparison sets.</x:v>
      </x:c>
    </x:row>
    <x:row r="11" ht="34" customHeight="1">
      <x:c r="A11" s="83" t="str">
        <x:v>Apocynaceae</x:v>
      </x:c>
      <x:c r="B11" s="89" t="n">
        <x:v>16</x:v>
      </x:c>
      <x:c r="C11" s="89" t="n">
        <x:v>16</x:v>
      </x:c>
      <x:c r="D11" s="89" t="n">
        <x:v>0</x:v>
      </x:c>
      <x:c r="E11" s="89" t="n">
        <x:v>0</x:v>
      </x:c>
      <x:c r="F11" s="89" t="n">
        <x:v>0</x:v>
      </x:c>
      <x:c r="G11" s="93" t="n">
        <x:v>0</x:v>
      </x:c>
      <x:c r="H11" s="119" t="str">
        <x:v>Ready for Review</x:v>
      </x:c>
      <x:c r="I11" s="119" t="str">
        <x:v>12 weighted family-character rows imported; 6 core/strong, 8 weight 4–5, 0 human-review flag(s). See Family Evidence Overview and Model.</x:v>
      </x:c>
      <x:c r="J11" s="119" t="str">
        <x:v>Human-review the family profile, then build local genus comparison sets.</x:v>
      </x:c>
    </x:row>
    <x:row r="12" ht="34" customHeight="1">
      <x:c r="A12" s="83" t="str">
        <x:v>Boraginaceae</x:v>
      </x:c>
      <x:c r="B12" s="89" t="n">
        <x:v>14</x:v>
      </x:c>
      <x:c r="C12" s="89" t="n">
        <x:v>14</x:v>
      </x:c>
      <x:c r="D12" s="89" t="n">
        <x:v>0</x:v>
      </x:c>
      <x:c r="E12" s="89" t="n">
        <x:v>0</x:v>
      </x:c>
      <x:c r="F12" s="89" t="n">
        <x:v>0</x:v>
      </x:c>
      <x:c r="G12" s="93" t="n">
        <x:v>0</x:v>
      </x:c>
      <x:c r="H12" s="119" t="str">
        <x:v>Ready for Review</x:v>
      </x:c>
      <x:c r="I12" s="119" t="str">
        <x:v>16 weighted family-character rows imported; 6 core/strong, 11 weight 4–5, 3 human-review flag(s). See Family Evidence Overview and Model.</x:v>
      </x:c>
      <x:c r="J12" s="119" t="str">
        <x:v>Resolve flagged claims, then build local genus comparison sets.</x:v>
      </x:c>
    </x:row>
    <x:row r="13" ht="34" customHeight="1">
      <x:c r="A13" s="83" t="str">
        <x:v>Asparagaceae</x:v>
      </x:c>
      <x:c r="B13" s="89" t="n">
        <x:v>13</x:v>
      </x:c>
      <x:c r="C13" s="89" t="n">
        <x:v>13</x:v>
      </x:c>
      <x:c r="D13" s="89" t="n">
        <x:v>0</x:v>
      </x:c>
      <x:c r="E13" s="89" t="n">
        <x:v>0</x:v>
      </x:c>
      <x:c r="F13" s="89" t="n">
        <x:v>0</x:v>
      </x:c>
      <x:c r="G13" s="93" t="n">
        <x:v>0</x:v>
      </x:c>
      <x:c r="H13" s="119" t="str">
        <x:v>Ready for Review</x:v>
      </x:c>
      <x:c r="I13" s="119" t="str">
        <x:v>15 weighted family-character rows imported; 1 core/strong, 9 weight 4–5, 3 human-review flag(s). See Family Evidence Overview and Model.</x:v>
      </x:c>
      <x:c r="J13" s="119" t="str">
        <x:v>Resolve flagged claims, then build local genus comparison sets.</x:v>
      </x:c>
    </x:row>
    <x:row r="14" ht="34" customHeight="1">
      <x:c r="A14" s="83" t="str">
        <x:v>Solanaceae</x:v>
      </x:c>
      <x:c r="B14" s="89" t="n">
        <x:v>13</x:v>
      </x:c>
      <x:c r="C14" s="89" t="n">
        <x:v>13</x:v>
      </x:c>
      <x:c r="D14" s="89" t="n">
        <x:v>0</x:v>
      </x:c>
      <x:c r="E14" s="89" t="n">
        <x:v>0</x:v>
      </x:c>
      <x:c r="F14" s="89" t="n">
        <x:v>0</x:v>
      </x:c>
      <x:c r="G14" s="93" t="n">
        <x:v>0</x:v>
      </x:c>
      <x:c r="H14" s="119" t="str">
        <x:v>Ready for Review</x:v>
      </x:c>
      <x:c r="I14" s="119" t="str">
        <x:v>12 weighted family-character rows imported; 6 core/strong, 9 weight 4–5, 0 human-review flag(s). See Family Evidence Overview and Model.</x:v>
      </x:c>
      <x:c r="J14" s="119" t="str">
        <x:v>Human-review the family profile, then build local genus comparison sets.</x:v>
      </x:c>
    </x:row>
    <x:row r="15" ht="34" customHeight="1">
      <x:c r="A15" s="83" t="str">
        <x:v>Brassicaceae</x:v>
      </x:c>
      <x:c r="B15" s="89" t="n">
        <x:v>12</x:v>
      </x:c>
      <x:c r="C15" s="89" t="n">
        <x:v>12</x:v>
      </x:c>
      <x:c r="D15" s="89" t="n">
        <x:v>0</x:v>
      </x:c>
      <x:c r="E15" s="89" t="n">
        <x:v>0</x:v>
      </x:c>
      <x:c r="F15" s="89" t="n">
        <x:v>0</x:v>
      </x:c>
      <x:c r="G15" s="93" t="n">
        <x:v>0</x:v>
      </x:c>
      <x:c r="H15" s="119" t="str">
        <x:v>Ready for Review</x:v>
      </x:c>
      <x:c r="I15" s="119" t="str">
        <x:v>13 weighted family-character rows imported; 7 core/strong, 8 weight 4–5, 0 human-review flag(s). See Family Evidence Overview and Model.</x:v>
      </x:c>
      <x:c r="J15" s="119" t="str">
        <x:v>Human-review the family profile, then build local genus comparison sets.</x:v>
      </x:c>
    </x:row>
    <x:row r="16" ht="34" customHeight="1">
      <x:c r="A16" s="83" t="str">
        <x:v>Ranunculaceae</x:v>
      </x:c>
      <x:c r="B16" s="89" t="n">
        <x:v>12</x:v>
      </x:c>
      <x:c r="C16" s="89" t="n">
        <x:v>12</x:v>
      </x:c>
      <x:c r="D16" s="89" t="n">
        <x:v>0</x:v>
      </x:c>
      <x:c r="E16" s="89" t="n">
        <x:v>0</x:v>
      </x:c>
      <x:c r="F16" s="89" t="n">
        <x:v>0</x:v>
      </x:c>
      <x:c r="G16" s="93" t="n">
        <x:v>0</x:v>
      </x:c>
      <x:c r="H16" s="119" t="str">
        <x:v>Ready for Review</x:v>
      </x:c>
      <x:c r="I16" s="119" t="str">
        <x:v>14 weighted family-character rows imported; 4 core/strong, 9 weight 4–5, 2 human-review flag(s). See Family Evidence Overview and Model.</x:v>
      </x:c>
      <x:c r="J16" s="119" t="str">
        <x:v>Resolve flagged claims, then build local genus comparison sets.</x:v>
      </x:c>
    </x:row>
    <x:row r="17" ht="34" customHeight="1">
      <x:c r="A17" s="83" t="str">
        <x:v>Apiaceae</x:v>
      </x:c>
      <x:c r="B17" s="89" t="n">
        <x:v>11</x:v>
      </x:c>
      <x:c r="C17" s="89" t="n">
        <x:v>11</x:v>
      </x:c>
      <x:c r="D17" s="89" t="n">
        <x:v>0</x:v>
      </x:c>
      <x:c r="E17" s="89" t="n">
        <x:v>0</x:v>
      </x:c>
      <x:c r="F17" s="89" t="n">
        <x:v>0</x:v>
      </x:c>
      <x:c r="G17" s="93" t="n">
        <x:v>0</x:v>
      </x:c>
      <x:c r="H17" s="119" t="str">
        <x:v>Ready for Review</x:v>
      </x:c>
      <x:c r="I17" s="119" t="str">
        <x:v>13 weighted family-character rows imported; 7 core/strong, 8 weight 4–5, 3 human-review flag(s). See Family Evidence Overview and Model.</x:v>
      </x:c>
      <x:c r="J17" s="119" t="str">
        <x:v>Resolve flagged claims, then build local genus comparison sets.</x:v>
      </x:c>
    </x:row>
    <x:row r="18" ht="34" customHeight="1">
      <x:c r="A18" s="83" t="str">
        <x:v>Convolvulaceae</x:v>
      </x:c>
      <x:c r="B18" s="89" t="n">
        <x:v>11</x:v>
      </x:c>
      <x:c r="C18" s="89" t="n">
        <x:v>11</x:v>
      </x:c>
      <x:c r="D18" s="89" t="n">
        <x:v>0</x:v>
      </x:c>
      <x:c r="E18" s="89" t="n">
        <x:v>0</x:v>
      </x:c>
      <x:c r="F18" s="89" t="n">
        <x:v>0</x:v>
      </x:c>
      <x:c r="G18" s="93" t="n">
        <x:v>0</x:v>
      </x:c>
      <x:c r="H18" s="119" t="str">
        <x:v>Ready for Review</x:v>
      </x:c>
      <x:c r="I18" s="119" t="str">
        <x:v>14 weighted family-character rows imported; 5 core/strong, 9 weight 4–5, 1 human-review flag(s). See Family Evidence Overview and Model.</x:v>
      </x:c>
      <x:c r="J18" s="119" t="str">
        <x:v>Resolve flagged claims, then build local genus comparison sets.</x:v>
      </x:c>
    </x:row>
    <x:row r="19" ht="34" customHeight="1">
      <x:c r="A19" s="83" t="str">
        <x:v>Plantaginaceae</x:v>
      </x:c>
      <x:c r="B19" s="89" t="n">
        <x:v>11</x:v>
      </x:c>
      <x:c r="C19" s="89" t="n">
        <x:v>11</x:v>
      </x:c>
      <x:c r="D19" s="89" t="n">
        <x:v>0</x:v>
      </x:c>
      <x:c r="E19" s="89" t="n">
        <x:v>0</x:v>
      </x:c>
      <x:c r="F19" s="89" t="n">
        <x:v>0</x:v>
      </x:c>
      <x:c r="G19" s="93" t="n">
        <x:v>0</x:v>
      </x:c>
      <x:c r="H19" s="119" t="str">
        <x:v>Ready for Review</x:v>
      </x:c>
      <x:c r="I19" s="119" t="str">
        <x:v>14 weighted family-character rows imported; 2 core/strong, 6 weight 4–5, 2 human-review flag(s). See Family Evidence Overview and Model.</x:v>
      </x:c>
      <x:c r="J19" s="119" t="str">
        <x:v>Resolve flagged claims, then build local genus comparison sets.</x:v>
      </x:c>
    </x:row>
    <x:row r="20" ht="34" customHeight="1">
      <x:c r="A20" s="83" t="str">
        <x:v>Acanthaceae</x:v>
      </x:c>
      <x:c r="B20" s="89" t="n">
        <x:v>10</x:v>
      </x:c>
      <x:c r="C20" s="89" t="n">
        <x:v>10</x:v>
      </x:c>
      <x:c r="D20" s="89" t="n">
        <x:v>0</x:v>
      </x:c>
      <x:c r="E20" s="89" t="n">
        <x:v>0</x:v>
      </x:c>
      <x:c r="F20" s="89" t="n">
        <x:v>0</x:v>
      </x:c>
      <x:c r="G20" s="93" t="n">
        <x:v>0</x:v>
      </x:c>
      <x:c r="H20" s="119" t="str">
        <x:v>Ready for Review</x:v>
      </x:c>
      <x:c r="I20" s="119" t="str">
        <x:v>14 weighted family-character rows imported; 8 core/strong, 9 weight 4–5, 7 human-review flag(s). See Family Evidence Overview and Model.</x:v>
      </x:c>
      <x:c r="J20" s="119" t="str">
        <x:v>Resolve flagged claims, then build local genus comparison sets.</x:v>
      </x:c>
    </x:row>
    <x:row r="21" ht="34" customHeight="1">
      <x:c r="A21" s="83" t="str">
        <x:v>Amaranthaceae</x:v>
      </x:c>
      <x:c r="B21" s="89" t="n">
        <x:v>10</x:v>
      </x:c>
      <x:c r="C21" s="89" t="n">
        <x:v>10</x:v>
      </x:c>
      <x:c r="D21" s="89" t="n">
        <x:v>0</x:v>
      </x:c>
      <x:c r="E21" s="89" t="n">
        <x:v>0</x:v>
      </x:c>
      <x:c r="F21" s="89" t="n">
        <x:v>0</x:v>
      </x:c>
      <x:c r="G21" s="93" t="n">
        <x:v>0</x:v>
      </x:c>
      <x:c r="H21" s="119" t="str">
        <x:v>Ready for Review</x:v>
      </x:c>
      <x:c r="I21" s="119" t="str">
        <x:v>15 weighted family-character rows imported; 6 core/strong, 8 weight 4–5, 5 human-review flag(s). See Family Evidence Overview and Model.</x:v>
      </x:c>
      <x:c r="J21" s="119" t="str">
        <x:v>Resolve flagged claims, then build local genus comparison sets.</x:v>
      </x:c>
    </x:row>
    <x:row r="22" ht="34" customHeight="1">
      <x:c r="A22" s="83" t="str">
        <x:v>Cactaceae</x:v>
      </x:c>
      <x:c r="B22" s="89" t="n">
        <x:v>10</x:v>
      </x:c>
      <x:c r="C22" s="89" t="n">
        <x:v>10</x:v>
      </x:c>
      <x:c r="D22" s="89" t="n">
        <x:v>0</x:v>
      </x:c>
      <x:c r="E22" s="89" t="n">
        <x:v>0</x:v>
      </x:c>
      <x:c r="F22" s="89" t="n">
        <x:v>0</x:v>
      </x:c>
      <x:c r="G22" s="93" t="n">
        <x:v>0</x:v>
      </x:c>
      <x:c r="H22" s="119" t="str">
        <x:v>Ready for Review</x:v>
      </x:c>
      <x:c r="I22" s="119" t="str">
        <x:v>14 weighted family-character rows imported; 7 core/strong, 10 weight 4–5, 0 human-review flag(s). See Family Evidence Overview and Model.</x:v>
      </x:c>
      <x:c r="J22" s="119" t="str">
        <x:v>Human-review the family profile, then build local genus comparison sets.</x:v>
      </x:c>
    </x:row>
    <x:row r="23" ht="34" customHeight="1">
      <x:c r="A23" s="83" t="str">
        <x:v>Commelinaceae</x:v>
      </x:c>
      <x:c r="B23" s="89" t="n">
        <x:v>10</x:v>
      </x:c>
      <x:c r="C23" s="89" t="n">
        <x:v>10</x:v>
      </x:c>
      <x:c r="D23" s="89" t="n">
        <x:v>0</x:v>
      </x:c>
      <x:c r="E23" s="89" t="n">
        <x:v>0</x:v>
      </x:c>
      <x:c r="F23" s="89" t="n">
        <x:v>0</x:v>
      </x:c>
      <x:c r="G23" s="93" t="n">
        <x:v>0</x:v>
      </x:c>
      <x:c r="H23" s="119" t="str">
        <x:v>Ready for Review</x:v>
      </x:c>
      <x:c r="I23" s="119" t="str">
        <x:v>14 weighted family-character rows imported; 10 core/strong, 8 weight 4–5, 1 human-review flag(s). See Family Evidence Overview and Model.</x:v>
      </x:c>
      <x:c r="J23" s="119" t="str">
        <x:v>Resolve flagged claims, then build local genus comparison sets.</x:v>
      </x:c>
    </x:row>
    <x:row r="24" ht="34" customHeight="1">
      <x:c r="A24" s="83" t="str">
        <x:v>Fagaceae</x:v>
      </x:c>
      <x:c r="B24" s="89" t="n">
        <x:v>10</x:v>
      </x:c>
      <x:c r="C24" s="89" t="n">
        <x:v>10</x:v>
      </x:c>
      <x:c r="D24" s="89" t="n">
        <x:v>0</x:v>
      </x:c>
      <x:c r="E24" s="89" t="n">
        <x:v>0</x:v>
      </x:c>
      <x:c r="F24" s="89" t="n">
        <x:v>0</x:v>
      </x:c>
      <x:c r="G24" s="93" t="n">
        <x:v>0</x:v>
      </x:c>
      <x:c r="H24" s="119" t="str">
        <x:v>Ready for Review</x:v>
      </x:c>
      <x:c r="I24" s="119" t="str">
        <x:v>13 weighted family-character rows imported; 6 core/strong, 6 weight 4–5, 3 human-review flag(s). See Family Evidence Overview and Model.</x:v>
      </x:c>
      <x:c r="J24" s="119" t="str">
        <x:v>Resolve flagged claims, then build local genus comparison sets.</x:v>
      </x:c>
    </x:row>
    <x:row r="25" ht="34" customHeight="1">
      <x:c r="A25" s="83" t="str">
        <x:v>Rosaceae</x:v>
      </x:c>
      <x:c r="B25" s="89" t="n">
        <x:v>9</x:v>
      </x:c>
      <x:c r="C25" s="89" t="n">
        <x:v>9</x:v>
      </x:c>
      <x:c r="D25" s="89" t="n">
        <x:v>0</x:v>
      </x:c>
      <x:c r="E25" s="89" t="n">
        <x:v>0</x:v>
      </x:c>
      <x:c r="F25" s="89" t="n">
        <x:v>0</x:v>
      </x:c>
      <x:c r="G25" s="93" t="n">
        <x:v>0</x:v>
      </x:c>
      <x:c r="H25" s="119" t="str">
        <x:v>Ready for Review</x:v>
      </x:c>
      <x:c r="I25" s="119" t="str">
        <x:v>14 weighted family-character rows imported; 3 core/strong, 6 weight 4–5, 1 human-review flag(s). See Family Evidence Overview and Model.</x:v>
      </x:c>
      <x:c r="J25" s="119" t="str">
        <x:v>Resolve flagged claims, then build local genus comparison sets.</x:v>
      </x:c>
    </x:row>
    <x:row r="26" ht="34" customHeight="1">
      <x:c r="A26" s="83" t="str">
        <x:v>Verbenaceae</x:v>
      </x:c>
      <x:c r="B26" s="89" t="n">
        <x:v>9</x:v>
      </x:c>
      <x:c r="C26" s="89" t="n">
        <x:v>9</x:v>
      </x:c>
      <x:c r="D26" s="89" t="n">
        <x:v>0</x:v>
      </x:c>
      <x:c r="E26" s="89" t="n">
        <x:v>0</x:v>
      </x:c>
      <x:c r="F26" s="89" t="n">
        <x:v>0</x:v>
      </x:c>
      <x:c r="G26" s="93" t="n">
        <x:v>0</x:v>
      </x:c>
      <x:c r="H26" s="119" t="str">
        <x:v>Ready for Review</x:v>
      </x:c>
      <x:c r="I26" s="119" t="str">
        <x:v>16 weighted family-character rows imported; 6 core/strong, 9 weight 4–5, 5 human-review flag(s). See Family Evidence Overview and Model.</x:v>
      </x:c>
      <x:c r="J26" s="119" t="str">
        <x:v>Resolve flagged claims, then build local genus comparison sets.</x:v>
      </x:c>
    </x:row>
    <x:row r="27" ht="34" customHeight="1">
      <x:c r="A27" s="83" t="str">
        <x:v>Pteridaceae</x:v>
      </x:c>
      <x:c r="B27" s="89" t="n">
        <x:v>8</x:v>
      </x:c>
      <x:c r="C27" s="89" t="n">
        <x:v>8</x:v>
      </x:c>
      <x:c r="D27" s="89" t="n">
        <x:v>0</x:v>
      </x:c>
      <x:c r="E27" s="89" t="n">
        <x:v>0</x:v>
      </x:c>
      <x:c r="F27" s="89" t="n">
        <x:v>0</x:v>
      </x:c>
      <x:c r="G27" s="93" t="n">
        <x:v>0</x:v>
      </x:c>
      <x:c r="H27" s="119" t="str">
        <x:v>Not Started</x:v>
      </x:c>
      <x:c r="I27" s="119"/>
      <x:c r="J27" s="119"/>
    </x:row>
    <x:row r="28" ht="34" customHeight="1">
      <x:c r="A28" s="83" t="str">
        <x:v>Sapindaceae</x:v>
      </x:c>
      <x:c r="B28" s="89" t="n">
        <x:v>8</x:v>
      </x:c>
      <x:c r="C28" s="89" t="n">
        <x:v>8</x:v>
      </x:c>
      <x:c r="D28" s="89" t="n">
        <x:v>0</x:v>
      </x:c>
      <x:c r="E28" s="89" t="n">
        <x:v>0</x:v>
      </x:c>
      <x:c r="F28" s="89" t="n">
        <x:v>0</x:v>
      </x:c>
      <x:c r="G28" s="93" t="n">
        <x:v>0</x:v>
      </x:c>
      <x:c r="H28" s="119" t="str">
        <x:v>Ready for Review</x:v>
      </x:c>
      <x:c r="I28" s="119" t="str">
        <x:v>11 weighted family-character rows imported; 8 core/strong, 8 weight 4–5, 1 human-review flag(s). See Family Evidence Overview and Model.</x:v>
      </x:c>
      <x:c r="J28" s="119" t="str">
        <x:v>Resolve flagged claims, then build local genus comparison sets.</x:v>
      </x:c>
    </x:row>
    <x:row r="29" ht="34" customHeight="1">
      <x:c r="A29" s="83" t="str">
        <x:v>Anacardiaceae</x:v>
      </x:c>
      <x:c r="B29" s="89" t="n">
        <x:v>7</x:v>
      </x:c>
      <x:c r="C29" s="89" t="n">
        <x:v>7</x:v>
      </x:c>
      <x:c r="D29" s="89" t="n">
        <x:v>0</x:v>
      </x:c>
      <x:c r="E29" s="89" t="n">
        <x:v>0</x:v>
      </x:c>
      <x:c r="F29" s="89" t="n">
        <x:v>0</x:v>
      </x:c>
      <x:c r="G29" s="93" t="n">
        <x:v>0</x:v>
      </x:c>
      <x:c r="H29" s="119" t="str">
        <x:v>Ready for Review</x:v>
      </x:c>
      <x:c r="I29" s="119" t="str">
        <x:v>11 weighted family-character rows imported; 6 core/strong, 7 weight 4–5, 1 human-review flag(s). See Family Evidence Overview and Model.</x:v>
      </x:c>
      <x:c r="J29" s="119" t="str">
        <x:v>Resolve flagged claims, then build local genus comparison sets.</x:v>
      </x:c>
    </x:row>
    <x:row r="30" ht="34" customHeight="1">
      <x:c r="A30" s="83" t="str">
        <x:v>Nyctaginaceae</x:v>
      </x:c>
      <x:c r="B30" s="89" t="n">
        <x:v>7</x:v>
      </x:c>
      <x:c r="C30" s="89" t="n">
        <x:v>7</x:v>
      </x:c>
      <x:c r="D30" s="89" t="n">
        <x:v>0</x:v>
      </x:c>
      <x:c r="E30" s="89" t="n">
        <x:v>0</x:v>
      </x:c>
      <x:c r="F30" s="89" t="n">
        <x:v>0</x:v>
      </x:c>
      <x:c r="G30" s="93" t="n">
        <x:v>0</x:v>
      </x:c>
      <x:c r="H30" s="119" t="str">
        <x:v>Ready for Review</x:v>
      </x:c>
      <x:c r="I30" s="119" t="str">
        <x:v>11 weighted family-character rows imported; 7 core/strong, 7 weight 4–5, 0 human-review flag(s). See Family Evidence Overview and Model.</x:v>
      </x:c>
      <x:c r="J30" s="119" t="str">
        <x:v>Human-review the family profile, then build local genus comparison sets.</x:v>
      </x:c>
    </x:row>
    <x:row r="31" ht="34" customHeight="1">
      <x:c r="A31" s="83" t="str">
        <x:v>Polemoniaceae</x:v>
      </x:c>
      <x:c r="B31" s="89" t="n">
        <x:v>7</x:v>
      </x:c>
      <x:c r="C31" s="89" t="n">
        <x:v>7</x:v>
      </x:c>
      <x:c r="D31" s="89" t="n">
        <x:v>0</x:v>
      </x:c>
      <x:c r="E31" s="89" t="n">
        <x:v>0</x:v>
      </x:c>
      <x:c r="F31" s="89" t="n">
        <x:v>0</x:v>
      </x:c>
      <x:c r="G31" s="93" t="n">
        <x:v>0</x:v>
      </x:c>
      <x:c r="H31" s="119" t="str">
        <x:v>Not Started</x:v>
      </x:c>
      <x:c r="I31" s="119"/>
      <x:c r="J31" s="119"/>
    </x:row>
    <x:row r="32" ht="34" customHeight="1">
      <x:c r="A32" s="83" t="str">
        <x:v>Vitaceae</x:v>
      </x:c>
      <x:c r="B32" s="89" t="n">
        <x:v>7</x:v>
      </x:c>
      <x:c r="C32" s="89" t="n">
        <x:v>7</x:v>
      </x:c>
      <x:c r="D32" s="89" t="n">
        <x:v>0</x:v>
      </x:c>
      <x:c r="E32" s="89" t="n">
        <x:v>0</x:v>
      </x:c>
      <x:c r="F32" s="89" t="n">
        <x:v>0</x:v>
      </x:c>
      <x:c r="G32" s="93" t="n">
        <x:v>0</x:v>
      </x:c>
      <x:c r="H32" s="119" t="str">
        <x:v>Ready for Review</x:v>
      </x:c>
      <x:c r="I32" s="119" t="str">
        <x:v>11 weighted family-character rows imported; 9 core/strong, 6 weight 4–5, 0 human-review flag(s). See Family Evidence Overview and Model.</x:v>
      </x:c>
      <x:c r="J32" s="119" t="str">
        <x:v>Human-review the family profile, then build local genus comparison sets.</x:v>
      </x:c>
    </x:row>
    <x:row r="33" ht="34" customHeight="1">
      <x:c r="A33" s="83" t="str">
        <x:v>Orobanchaceae</x:v>
      </x:c>
      <x:c r="B33" s="89" t="n">
        <x:v>6</x:v>
      </x:c>
      <x:c r="C33" s="89" t="n">
        <x:v>6</x:v>
      </x:c>
      <x:c r="D33" s="89" t="n">
        <x:v>0</x:v>
      </x:c>
      <x:c r="E33" s="89" t="n">
        <x:v>0</x:v>
      </x:c>
      <x:c r="F33" s="89" t="n">
        <x:v>0</x:v>
      </x:c>
      <x:c r="G33" s="93" t="n">
        <x:v>0</x:v>
      </x:c>
      <x:c r="H33" s="119" t="str">
        <x:v>Not Started</x:v>
      </x:c>
      <x:c r="I33" s="119"/>
      <x:c r="J33" s="119"/>
    </x:row>
    <x:row r="34" ht="34" customHeight="1">
      <x:c r="A34" s="83" t="str">
        <x:v>Papaveraceae</x:v>
      </x:c>
      <x:c r="B34" s="89" t="n">
        <x:v>6</x:v>
      </x:c>
      <x:c r="C34" s="89" t="n">
        <x:v>6</x:v>
      </x:c>
      <x:c r="D34" s="89" t="n">
        <x:v>0</x:v>
      </x:c>
      <x:c r="E34" s="89" t="n">
        <x:v>0</x:v>
      </x:c>
      <x:c r="F34" s="89" t="n">
        <x:v>0</x:v>
      </x:c>
      <x:c r="G34" s="93" t="n">
        <x:v>0</x:v>
      </x:c>
      <x:c r="H34" s="119" t="str">
        <x:v>Not Started</x:v>
      </x:c>
      <x:c r="I34" s="119"/>
      <x:c r="J34" s="119"/>
    </x:row>
    <x:row r="35" ht="34" customHeight="1">
      <x:c r="A35" s="83" t="str">
        <x:v>Campanulaceae</x:v>
      </x:c>
      <x:c r="B35" s="89" t="n">
        <x:v>5</x:v>
      </x:c>
      <x:c r="C35" s="89" t="n">
        <x:v>5</x:v>
      </x:c>
      <x:c r="D35" s="89" t="n">
        <x:v>0</x:v>
      </x:c>
      <x:c r="E35" s="89" t="n">
        <x:v>0</x:v>
      </x:c>
      <x:c r="F35" s="89" t="n">
        <x:v>0</x:v>
      </x:c>
      <x:c r="G35" s="93" t="n">
        <x:v>0</x:v>
      </x:c>
      <x:c r="H35" s="119" t="str">
        <x:v>Not Started</x:v>
      </x:c>
      <x:c r="I35" s="119"/>
      <x:c r="J35" s="119"/>
    </x:row>
    <x:row r="36" ht="34" customHeight="1">
      <x:c r="A36" s="83" t="str">
        <x:v>Caryophyllaceae</x:v>
      </x:c>
      <x:c r="B36" s="89" t="n">
        <x:v>5</x:v>
      </x:c>
      <x:c r="C36" s="89" t="n">
        <x:v>5</x:v>
      </x:c>
      <x:c r="D36" s="89" t="n">
        <x:v>0</x:v>
      </x:c>
      <x:c r="E36" s="89" t="n">
        <x:v>0</x:v>
      </x:c>
      <x:c r="F36" s="89" t="n">
        <x:v>0</x:v>
      </x:c>
      <x:c r="G36" s="93" t="n">
        <x:v>0</x:v>
      </x:c>
      <x:c r="H36" s="119" t="str">
        <x:v>Ready for Review</x:v>
      </x:c>
      <x:c r="I36" s="119" t="str">
        <x:v>11 weighted family-character rows imported; 6 core/strong, 6 weight 4–5, 0 human-review flag(s). See Family Evidence Overview and Model.</x:v>
      </x:c>
      <x:c r="J36" s="119" t="str">
        <x:v>Human-review the family profile, then build local genus comparison sets.</x:v>
      </x:c>
    </x:row>
    <x:row r="37" ht="34" customHeight="1">
      <x:c r="A37" s="83" t="str">
        <x:v>Gentianaceae</x:v>
      </x:c>
      <x:c r="B37" s="89" t="n">
        <x:v>5</x:v>
      </x:c>
      <x:c r="C37" s="89" t="n">
        <x:v>5</x:v>
      </x:c>
      <x:c r="D37" s="89" t="n">
        <x:v>0</x:v>
      </x:c>
      <x:c r="E37" s="89" t="n">
        <x:v>0</x:v>
      </x:c>
      <x:c r="F37" s="89" t="n">
        <x:v>0</x:v>
      </x:c>
      <x:c r="G37" s="93" t="n">
        <x:v>0</x:v>
      </x:c>
      <x:c r="H37" s="119" t="str">
        <x:v>Ready for Review</x:v>
      </x:c>
      <x:c r="I37" s="119" t="str">
        <x:v>11 weighted family-character rows imported; 6 core/strong, 7 weight 4–5, 0 human-review flag(s). See Family Evidence Overview and Model.</x:v>
      </x:c>
      <x:c r="J37" s="119" t="str">
        <x:v>Human-review the family profile, then build local genus comparison sets.</x:v>
      </x:c>
    </x:row>
    <x:row r="38" ht="34" customHeight="1">
      <x:c r="A38" s="83" t="str">
        <x:v>Iridaceae</x:v>
      </x:c>
      <x:c r="B38" s="89" t="n">
        <x:v>5</x:v>
      </x:c>
      <x:c r="C38" s="89" t="n">
        <x:v>5</x:v>
      </x:c>
      <x:c r="D38" s="89" t="n">
        <x:v>0</x:v>
      </x:c>
      <x:c r="E38" s="89" t="n">
        <x:v>0</x:v>
      </x:c>
      <x:c r="F38" s="89" t="n">
        <x:v>0</x:v>
      </x:c>
      <x:c r="G38" s="93" t="n">
        <x:v>0</x:v>
      </x:c>
      <x:c r="H38" s="119" t="str">
        <x:v>Ready for Review</x:v>
      </x:c>
      <x:c r="I38" s="119" t="str">
        <x:v>11 weighted family-character rows imported; 8 core/strong, 9 weight 4–5, 0 human-review flag(s). See Family Evidence Overview and Model.</x:v>
      </x:c>
      <x:c r="J38" s="119" t="str">
        <x:v>Human-review the family profile, then build local genus comparison sets.</x:v>
      </x:c>
    </x:row>
    <x:row r="39" ht="34" customHeight="1">
      <x:c r="A39" s="83" t="str">
        <x:v>Lythraceae</x:v>
      </x:c>
      <x:c r="B39" s="89" t="n">
        <x:v>5</x:v>
      </x:c>
      <x:c r="C39" s="89" t="n">
        <x:v>5</x:v>
      </x:c>
      <x:c r="D39" s="89" t="n">
        <x:v>0</x:v>
      </x:c>
      <x:c r="E39" s="89" t="n">
        <x:v>0</x:v>
      </x:c>
      <x:c r="F39" s="89" t="n">
        <x:v>0</x:v>
      </x:c>
      <x:c r="G39" s="93" t="n">
        <x:v>0</x:v>
      </x:c>
      <x:c r="H39" s="119" t="str">
        <x:v>Not Started</x:v>
      </x:c>
      <x:c r="I39" s="119"/>
      <x:c r="J39" s="119"/>
    </x:row>
    <x:row r="40" ht="34" customHeight="1">
      <x:c r="A40" s="83" t="str">
        <x:v>Oleaceae</x:v>
      </x:c>
      <x:c r="B40" s="89" t="n">
        <x:v>5</x:v>
      </x:c>
      <x:c r="C40" s="89" t="n">
        <x:v>5</x:v>
      </x:c>
      <x:c r="D40" s="89" t="n">
        <x:v>0</x:v>
      </x:c>
      <x:c r="E40" s="89" t="n">
        <x:v>0</x:v>
      </x:c>
      <x:c r="F40" s="89" t="n">
        <x:v>0</x:v>
      </x:c>
      <x:c r="G40" s="93" t="n">
        <x:v>0</x:v>
      </x:c>
      <x:c r="H40" s="119" t="str">
        <x:v>Ready for Review</x:v>
      </x:c>
      <x:c r="I40" s="119" t="str">
        <x:v>11 weighted family-character rows imported; 5 core/strong, 6 weight 4–5, 0 human-review flag(s). See Family Evidence Overview and Model.</x:v>
      </x:c>
      <x:c r="J40" s="119" t="str">
        <x:v>Human-review the family profile, then build local genus comparison sets.</x:v>
      </x:c>
    </x:row>
    <x:row r="41" ht="34" customHeight="1">
      <x:c r="A41" s="83" t="str">
        <x:v>Orchidaceae</x:v>
      </x:c>
      <x:c r="B41" s="89" t="n">
        <x:v>5</x:v>
      </x:c>
      <x:c r="C41" s="89" t="n">
        <x:v>5</x:v>
      </x:c>
      <x:c r="D41" s="89" t="n">
        <x:v>0</x:v>
      </x:c>
      <x:c r="E41" s="89" t="n">
        <x:v>0</x:v>
      </x:c>
      <x:c r="F41" s="89" t="n">
        <x:v>0</x:v>
      </x:c>
      <x:c r="G41" s="93" t="n">
        <x:v>0</x:v>
      </x:c>
      <x:c r="H41" s="119" t="str">
        <x:v>Ready for Review</x:v>
      </x:c>
      <x:c r="I41" s="119" t="str">
        <x:v>11 weighted family-character rows imported; 7 core/strong, 8 weight 4–5, 1 human-review flag(s). See Family Evidence Overview and Model.</x:v>
      </x:c>
      <x:c r="J41" s="119" t="str">
        <x:v>Resolve flagged claims, then build local genus comparison sets.</x:v>
      </x:c>
    </x:row>
    <x:row r="42" ht="34" customHeight="1">
      <x:c r="A42" s="83" t="str">
        <x:v>Rhamnaceae</x:v>
      </x:c>
      <x:c r="B42" s="89" t="n">
        <x:v>5</x:v>
      </x:c>
      <x:c r="C42" s="89" t="n">
        <x:v>5</x:v>
      </x:c>
      <x:c r="D42" s="89" t="n">
        <x:v>0</x:v>
      </x:c>
      <x:c r="E42" s="89" t="n">
        <x:v>0</x:v>
      </x:c>
      <x:c r="F42" s="89" t="n">
        <x:v>0</x:v>
      </x:c>
      <x:c r="G42" s="93" t="n">
        <x:v>0</x:v>
      </x:c>
      <x:c r="H42" s="119" t="str">
        <x:v>Ready for Review</x:v>
      </x:c>
      <x:c r="I42" s="119" t="str">
        <x:v>11 weighted family-character rows imported; 6 core/strong, 4 weight 4–5, 1 human-review flag(s). See Family Evidence Overview and Model.</x:v>
      </x:c>
      <x:c r="J42" s="119" t="str">
        <x:v>Resolve flagged claims, then build local genus comparison sets.</x:v>
      </x:c>
    </x:row>
    <x:row r="43" ht="34" customHeight="1">
      <x:c r="A43" s="83" t="str">
        <x:v>Alismataceae</x:v>
      </x:c>
      <x:c r="B43" s="89" t="n">
        <x:v>4</x:v>
      </x:c>
      <x:c r="C43" s="89" t="n">
        <x:v>4</x:v>
      </x:c>
      <x:c r="D43" s="89" t="n">
        <x:v>0</x:v>
      </x:c>
      <x:c r="E43" s="89" t="n">
        <x:v>0</x:v>
      </x:c>
      <x:c r="F43" s="89" t="n">
        <x:v>0</x:v>
      </x:c>
      <x:c r="G43" s="93" t="n">
        <x:v>0</x:v>
      </x:c>
      <x:c r="H43" s="119" t="str">
        <x:v>Not Started</x:v>
      </x:c>
      <x:c r="I43" s="119"/>
      <x:c r="J43" s="119"/>
    </x:row>
    <x:row r="44" ht="34" customHeight="1">
      <x:c r="A44" s="83" t="str">
        <x:v>Amaryllidaceae</x:v>
      </x:c>
      <x:c r="B44" s="89" t="n">
        <x:v>4</x:v>
      </x:c>
      <x:c r="C44" s="89" t="n">
        <x:v>4</x:v>
      </x:c>
      <x:c r="D44" s="89" t="n">
        <x:v>0</x:v>
      </x:c>
      <x:c r="E44" s="89" t="n">
        <x:v>0</x:v>
      </x:c>
      <x:c r="F44" s="89" t="n">
        <x:v>0</x:v>
      </x:c>
      <x:c r="G44" s="93" t="n">
        <x:v>0</x:v>
      </x:c>
      <x:c r="H44" s="119" t="str">
        <x:v>Not Started</x:v>
      </x:c>
      <x:c r="I44" s="119"/>
      <x:c r="J44" s="119"/>
    </x:row>
    <x:row r="45" ht="34" customHeight="1">
      <x:c r="A45" s="83" t="str">
        <x:v>Araceae</x:v>
      </x:c>
      <x:c r="B45" s="89" t="n">
        <x:v>4</x:v>
      </x:c>
      <x:c r="C45" s="89" t="n">
        <x:v>4</x:v>
      </x:c>
      <x:c r="D45" s="89" t="n">
        <x:v>0</x:v>
      </x:c>
      <x:c r="E45" s="89" t="n">
        <x:v>0</x:v>
      </x:c>
      <x:c r="F45" s="89" t="n">
        <x:v>0</x:v>
      </x:c>
      <x:c r="G45" s="93" t="n">
        <x:v>0</x:v>
      </x:c>
      <x:c r="H45" s="119" t="str">
        <x:v>Ready for Review</x:v>
      </x:c>
      <x:c r="I45" s="119" t="str">
        <x:v>11 weighted family-character rows imported; 8 core/strong, 6 weight 4–5, 1 human-review flag(s). See Family Evidence Overview and Model.</x:v>
      </x:c>
      <x:c r="J45" s="119" t="str">
        <x:v>Resolve flagged claims, then build local genus comparison sets.</x:v>
      </x:c>
    </x:row>
    <x:row r="46" ht="34" customHeight="1">
      <x:c r="A46" s="83" t="str">
        <x:v>Bignoniaceae</x:v>
      </x:c>
      <x:c r="B46" s="89" t="n">
        <x:v>4</x:v>
      </x:c>
      <x:c r="C46" s="89" t="n">
        <x:v>4</x:v>
      </x:c>
      <x:c r="D46" s="89" t="n">
        <x:v>0</x:v>
      </x:c>
      <x:c r="E46" s="89" t="n">
        <x:v>0</x:v>
      </x:c>
      <x:c r="F46" s="89" t="n">
        <x:v>0</x:v>
      </x:c>
      <x:c r="G46" s="93" t="n">
        <x:v>0</x:v>
      </x:c>
      <x:c r="H46" s="119" t="str">
        <x:v>Ready for Review</x:v>
      </x:c>
      <x:c r="I46" s="119" t="str">
        <x:v>11 weighted family-character rows imported; 8 core/strong, 8 weight 4–5, 0 human-review flag(s). See Family Evidence Overview and Model.</x:v>
      </x:c>
      <x:c r="J46" s="119" t="str">
        <x:v>Human-review the family profile, then build local genus comparison sets.</x:v>
      </x:c>
    </x:row>
    <x:row r="47" ht="34" customHeight="1">
      <x:c r="A47" s="83" t="str">
        <x:v>Caprifoliaceae</x:v>
      </x:c>
      <x:c r="B47" s="89" t="n">
        <x:v>4</x:v>
      </x:c>
      <x:c r="C47" s="89" t="n">
        <x:v>4</x:v>
      </x:c>
      <x:c r="D47" s="89" t="n">
        <x:v>0</x:v>
      </x:c>
      <x:c r="E47" s="89" t="n">
        <x:v>0</x:v>
      </x:c>
      <x:c r="F47" s="89" t="n">
        <x:v>0</x:v>
      </x:c>
      <x:c r="G47" s="93" t="n">
        <x:v>0</x:v>
      </x:c>
      <x:c r="H47" s="119" t="str">
        <x:v>Ready for Review</x:v>
      </x:c>
      <x:c r="I47" s="119" t="str">
        <x:v>11 weighted family-character rows imported; 8 core/strong, 8 weight 4–5, 1 human-review flag(s). See Family Evidence Overview and Model.</x:v>
      </x:c>
      <x:c r="J47" s="119" t="str">
        <x:v>Resolve flagged claims, then build local genus comparison sets.</x:v>
      </x:c>
    </x:row>
    <x:row r="48" ht="34" customHeight="1">
      <x:c r="A48" s="83" t="str">
        <x:v>Juglandaceae</x:v>
      </x:c>
      <x:c r="B48" s="89" t="n">
        <x:v>4</x:v>
      </x:c>
      <x:c r="C48" s="89" t="n">
        <x:v>4</x:v>
      </x:c>
      <x:c r="D48" s="89" t="n">
        <x:v>0</x:v>
      </x:c>
      <x:c r="E48" s="89" t="n">
        <x:v>0</x:v>
      </x:c>
      <x:c r="F48" s="89" t="n">
        <x:v>0</x:v>
      </x:c>
      <x:c r="G48" s="93" t="n">
        <x:v>0</x:v>
      </x:c>
      <x:c r="H48" s="119" t="str">
        <x:v>Ready for Review</x:v>
      </x:c>
      <x:c r="I48" s="119" t="str">
        <x:v>11 weighted family-character rows imported; 6 core/strong, 6 weight 4–5, 0 human-review flag(s). See Family Evidence Overview and Model.</x:v>
      </x:c>
      <x:c r="J48" s="119" t="str">
        <x:v>Human-review the family profile, then build local genus comparison sets.</x:v>
      </x:c>
    </x:row>
    <x:row r="49" ht="34" customHeight="1">
      <x:c r="A49" s="83" t="str">
        <x:v>Juncaceae</x:v>
      </x:c>
      <x:c r="B49" s="89" t="n">
        <x:v>4</x:v>
      </x:c>
      <x:c r="C49" s="89" t="n">
        <x:v>4</x:v>
      </x:c>
      <x:c r="D49" s="89" t="n">
        <x:v>0</x:v>
      </x:c>
      <x:c r="E49" s="89" t="n">
        <x:v>0</x:v>
      </x:c>
      <x:c r="F49" s="89" t="n">
        <x:v>0</x:v>
      </x:c>
      <x:c r="G49" s="93" t="n">
        <x:v>0</x:v>
      </x:c>
      <x:c r="H49" s="119" t="str">
        <x:v>Ready for Review</x:v>
      </x:c>
      <x:c r="I49" s="119" t="str">
        <x:v>11 weighted family-character rows imported; 8 core/strong, 8 weight 4–5, 0 human-review flag(s). See Family Evidence Overview and Model.</x:v>
      </x:c>
      <x:c r="J49" s="119" t="str">
        <x:v>Human-review the family profile, then build local genus comparison sets.</x:v>
      </x:c>
    </x:row>
    <x:row r="50" ht="34" customHeight="1">
      <x:c r="A50" s="83" t="str">
        <x:v>Linaceae</x:v>
      </x:c>
      <x:c r="B50" s="89" t="n">
        <x:v>4</x:v>
      </x:c>
      <x:c r="C50" s="89" t="n">
        <x:v>4</x:v>
      </x:c>
      <x:c r="D50" s="89" t="n">
        <x:v>0</x:v>
      </x:c>
      <x:c r="E50" s="89" t="n">
        <x:v>0</x:v>
      </x:c>
      <x:c r="F50" s="89" t="n">
        <x:v>0</x:v>
      </x:c>
      <x:c r="G50" s="93" t="n">
        <x:v>0</x:v>
      </x:c>
      <x:c r="H50" s="119" t="str">
        <x:v>Not Started</x:v>
      </x:c>
      <x:c r="I50" s="119"/>
      <x:c r="J50" s="119"/>
    </x:row>
    <x:row r="51" ht="34" customHeight="1">
      <x:c r="A51" s="83" t="str">
        <x:v>Oxalidaceae</x:v>
      </x:c>
      <x:c r="B51" s="89" t="n">
        <x:v>4</x:v>
      </x:c>
      <x:c r="C51" s="89" t="n">
        <x:v>4</x:v>
      </x:c>
      <x:c r="D51" s="89" t="n">
        <x:v>0</x:v>
      </x:c>
      <x:c r="E51" s="89" t="n">
        <x:v>0</x:v>
      </x:c>
      <x:c r="F51" s="89" t="n">
        <x:v>0</x:v>
      </x:c>
      <x:c r="G51" s="93" t="n">
        <x:v>0</x:v>
      </x:c>
      <x:c r="H51" s="119" t="str">
        <x:v>Ready for Review</x:v>
      </x:c>
      <x:c r="I51" s="119" t="str">
        <x:v>11 weighted family-character rows imported; 6 core/strong, 7 weight 4–5, 1 human-review flag(s). See Family Evidence Overview and Model.</x:v>
      </x:c>
      <x:c r="J51" s="119" t="str">
        <x:v>Resolve flagged claims, then build local genus comparison sets.</x:v>
      </x:c>
    </x:row>
    <x:row r="52" ht="34" customHeight="1">
      <x:c r="A52" s="83" t="str">
        <x:v>Passifloraceae</x:v>
      </x:c>
      <x:c r="B52" s="89" t="n">
        <x:v>4</x:v>
      </x:c>
      <x:c r="C52" s="89" t="n">
        <x:v>4</x:v>
      </x:c>
      <x:c r="D52" s="89" t="n">
        <x:v>0</x:v>
      </x:c>
      <x:c r="E52" s="89" t="n">
        <x:v>0</x:v>
      </x:c>
      <x:c r="F52" s="89" t="n">
        <x:v>0</x:v>
      </x:c>
      <x:c r="G52" s="93" t="n">
        <x:v>0</x:v>
      </x:c>
      <x:c r="H52" s="119" t="str">
        <x:v>Ready for Review</x:v>
      </x:c>
      <x:c r="I52" s="119" t="str">
        <x:v>11 weighted family-character rows imported; 9 core/strong, 9 weight 4–5, 0 human-review flag(s). See Family Evidence Overview and Model.</x:v>
      </x:c>
      <x:c r="J52" s="119" t="str">
        <x:v>Human-review the family profile, then build local genus comparison sets.</x:v>
      </x:c>
    </x:row>
    <x:row r="53" ht="34" customHeight="1">
      <x:c r="A53" s="83" t="str">
        <x:v>Potamogetonaceae</x:v>
      </x:c>
      <x:c r="B53" s="89" t="n">
        <x:v>4</x:v>
      </x:c>
      <x:c r="C53" s="89" t="n">
        <x:v>4</x:v>
      </x:c>
      <x:c r="D53" s="89" t="n">
        <x:v>0</x:v>
      </x:c>
      <x:c r="E53" s="89" t="n">
        <x:v>0</x:v>
      </x:c>
      <x:c r="F53" s="89" t="n">
        <x:v>0</x:v>
      </x:c>
      <x:c r="G53" s="93" t="n">
        <x:v>0</x:v>
      </x:c>
      <x:c r="H53" s="119" t="str">
        <x:v>Not Started</x:v>
      </x:c>
      <x:c r="I53" s="119"/>
      <x:c r="J53" s="119"/>
    </x:row>
    <x:row r="54" ht="34" customHeight="1">
      <x:c r="A54" s="83" t="str">
        <x:v>Rubiaceae</x:v>
      </x:c>
      <x:c r="B54" s="89" t="n">
        <x:v>4</x:v>
      </x:c>
      <x:c r="C54" s="89" t="n">
        <x:v>4</x:v>
      </x:c>
      <x:c r="D54" s="89" t="n">
        <x:v>0</x:v>
      </x:c>
      <x:c r="E54" s="89" t="n">
        <x:v>0</x:v>
      </x:c>
      <x:c r="F54" s="89" t="n">
        <x:v>0</x:v>
      </x:c>
      <x:c r="G54" s="93" t="n">
        <x:v>0</x:v>
      </x:c>
      <x:c r="H54" s="119" t="str">
        <x:v>Ready for Review</x:v>
      </x:c>
      <x:c r="I54" s="119" t="str">
        <x:v>11 weighted family-character rows imported; 9 core/strong, 9 weight 4–5, 2 human-review flag(s). See Family Evidence Overview and Model.</x:v>
      </x:c>
      <x:c r="J54" s="119" t="str">
        <x:v>Resolve flagged claims, then build local genus comparison sets.</x:v>
      </x:c>
    </x:row>
    <x:row r="55" ht="34" customHeight="1">
      <x:c r="A55" s="83" t="str">
        <x:v>Cannabaceae</x:v>
      </x:c>
      <x:c r="B55" s="89" t="n">
        <x:v>3</x:v>
      </x:c>
      <x:c r="C55" s="89" t="n">
        <x:v>3</x:v>
      </x:c>
      <x:c r="D55" s="89" t="n">
        <x:v>0</x:v>
      </x:c>
      <x:c r="E55" s="89" t="n">
        <x:v>0</x:v>
      </x:c>
      <x:c r="F55" s="89" t="n">
        <x:v>0</x:v>
      </x:c>
      <x:c r="G55" s="93" t="n">
        <x:v>0</x:v>
      </x:c>
      <x:c r="H55" s="119" t="str">
        <x:v>Ready for Review</x:v>
      </x:c>
      <x:c r="I55" s="119" t="str">
        <x:v>11 weighted family-character rows imported; 6 core/strong, 4 weight 4–5, 1 human-review flag(s). See Family Evidence Overview and Model.</x:v>
      </x:c>
      <x:c r="J55" s="119" t="str">
        <x:v>Resolve flagged claims, then build local genus comparison sets.</x:v>
      </x:c>
    </x:row>
    <x:row r="56" ht="34" customHeight="1">
      <x:c r="A56" s="83" t="str">
        <x:v>Cucurbitaceae</x:v>
      </x:c>
      <x:c r="B56" s="89" t="n">
        <x:v>3</x:v>
      </x:c>
      <x:c r="C56" s="89" t="n">
        <x:v>3</x:v>
      </x:c>
      <x:c r="D56" s="89" t="n">
        <x:v>0</x:v>
      </x:c>
      <x:c r="E56" s="89" t="n">
        <x:v>0</x:v>
      </x:c>
      <x:c r="F56" s="89" t="n">
        <x:v>0</x:v>
      </x:c>
      <x:c r="G56" s="93" t="n">
        <x:v>0</x:v>
      </x:c>
      <x:c r="H56" s="119" t="str">
        <x:v>Ready for Review</x:v>
      </x:c>
      <x:c r="I56" s="119" t="str">
        <x:v>11 weighted family-character rows imported; 8 core/strong, 9 weight 4–5, 0 human-review flag(s). See Family Evidence Overview and Model.</x:v>
      </x:c>
      <x:c r="J56" s="119" t="str">
        <x:v>Human-review the family profile, then build local genus comparison sets.</x:v>
      </x:c>
    </x:row>
    <x:row r="57" ht="34" customHeight="1">
      <x:c r="A57" s="83" t="str">
        <x:v>Cupressaceae</x:v>
      </x:c>
      <x:c r="B57" s="89" t="n">
        <x:v>3</x:v>
      </x:c>
      <x:c r="C57" s="89" t="n">
        <x:v>3</x:v>
      </x:c>
      <x:c r="D57" s="89" t="n">
        <x:v>0</x:v>
      </x:c>
      <x:c r="E57" s="89" t="n">
        <x:v>0</x:v>
      </x:c>
      <x:c r="F57" s="89" t="n">
        <x:v>0</x:v>
      </x:c>
      <x:c r="G57" s="93" t="n">
        <x:v>0</x:v>
      </x:c>
      <x:c r="H57" s="119" t="str">
        <x:v>Ready for Review</x:v>
      </x:c>
      <x:c r="I57" s="119" t="str">
        <x:v>11 weighted family-character rows imported; 8 core/strong, 5 weight 4–5, 0 human-review flag(s). See Family Evidence Overview and Model.</x:v>
      </x:c>
      <x:c r="J57" s="119" t="str">
        <x:v>Human-review the family profile, then build local genus comparison sets.</x:v>
      </x:c>
    </x:row>
    <x:row r="58" ht="34" customHeight="1">
      <x:c r="A58" s="83" t="str">
        <x:v>Geraniaceae</x:v>
      </x:c>
      <x:c r="B58" s="89" t="n">
        <x:v>3</x:v>
      </x:c>
      <x:c r="C58" s="89" t="n">
        <x:v>3</x:v>
      </x:c>
      <x:c r="D58" s="89" t="n">
        <x:v>0</x:v>
      </x:c>
      <x:c r="E58" s="89" t="n">
        <x:v>0</x:v>
      </x:c>
      <x:c r="F58" s="89" t="n">
        <x:v>0</x:v>
      </x:c>
      <x:c r="G58" s="93" t="n">
        <x:v>0</x:v>
      </x:c>
      <x:c r="H58" s="119" t="str">
        <x:v>Ready for Review</x:v>
      </x:c>
      <x:c r="I58" s="119" t="str">
        <x:v>11 weighted family-character rows imported; 7 core/strong, 7 weight 4–5, 0 human-review flag(s). See Family Evidence Overview and Model.</x:v>
      </x:c>
      <x:c r="J58" s="119" t="str">
        <x:v>Human-review the family profile, then build local genus comparison sets.</x:v>
      </x:c>
    </x:row>
    <x:row r="59" ht="34" customHeight="1">
      <x:c r="A59" s="83" t="str">
        <x:v>Moraceae</x:v>
      </x:c>
      <x:c r="B59" s="89" t="n">
        <x:v>3</x:v>
      </x:c>
      <x:c r="C59" s="89" t="n">
        <x:v>3</x:v>
      </x:c>
      <x:c r="D59" s="89" t="n">
        <x:v>0</x:v>
      </x:c>
      <x:c r="E59" s="89" t="n">
        <x:v>0</x:v>
      </x:c>
      <x:c r="F59" s="89" t="n">
        <x:v>0</x:v>
      </x:c>
      <x:c r="G59" s="93" t="n">
        <x:v>0</x:v>
      </x:c>
      <x:c r="H59" s="119" t="str">
        <x:v>Ready for Review</x:v>
      </x:c>
      <x:c r="I59" s="119" t="str">
        <x:v>11 weighted family-character rows imported; 6 core/strong, 5 weight 4–5, 1 human-review flag(s). See Family Evidence Overview and Model.</x:v>
      </x:c>
      <x:c r="J59" s="119" t="str">
        <x:v>Resolve flagged claims, then build local genus comparison sets.</x:v>
      </x:c>
    </x:row>
    <x:row r="60" ht="34" customHeight="1">
      <x:c r="A60" s="83" t="str">
        <x:v>Polygonaceae</x:v>
      </x:c>
      <x:c r="B60" s="89" t="n">
        <x:v>3</x:v>
      </x:c>
      <x:c r="C60" s="89" t="n">
        <x:v>3</x:v>
      </x:c>
      <x:c r="D60" s="89" t="n">
        <x:v>0</x:v>
      </x:c>
      <x:c r="E60" s="89" t="n">
        <x:v>0</x:v>
      </x:c>
      <x:c r="F60" s="89" t="n">
        <x:v>0</x:v>
      </x:c>
      <x:c r="G60" s="93" t="n">
        <x:v>0</x:v>
      </x:c>
      <x:c r="H60" s="119" t="str">
        <x:v>Ready for Review</x:v>
      </x:c>
      <x:c r="I60" s="119" t="str">
        <x:v>11 weighted family-character rows imported; 9 core/strong, 9 weight 4–5, 2 human-review flag(s). See Family Evidence Overview and Model.</x:v>
      </x:c>
      <x:c r="J60" s="119" t="str">
        <x:v>Resolve flagged claims, then build local genus comparison sets.</x:v>
      </x:c>
    </x:row>
    <x:row r="61" ht="34" customHeight="1">
      <x:c r="A61" s="83" t="str">
        <x:v>Rutaceae</x:v>
      </x:c>
      <x:c r="B61" s="89" t="n">
        <x:v>3</x:v>
      </x:c>
      <x:c r="C61" s="89" t="n">
        <x:v>3</x:v>
      </x:c>
      <x:c r="D61" s="89" t="n">
        <x:v>0</x:v>
      </x:c>
      <x:c r="E61" s="89" t="n">
        <x:v>0</x:v>
      </x:c>
      <x:c r="F61" s="89" t="n">
        <x:v>0</x:v>
      </x:c>
      <x:c r="G61" s="93" t="n">
        <x:v>0</x:v>
      </x:c>
      <x:c r="H61" s="119" t="str">
        <x:v>Ready for Review</x:v>
      </x:c>
      <x:c r="I61" s="119" t="str">
        <x:v>11 weighted family-character rows imported; 7 core/strong, 7 weight 4–5, 0 human-review flag(s). See Family Evidence Overview and Model.</x:v>
      </x:c>
      <x:c r="J61" s="119" t="str">
        <x:v>Human-review the family profile, then build local genus comparison sets.</x:v>
      </x:c>
    </x:row>
    <x:row r="62" ht="34" customHeight="1">
      <x:c r="A62" s="83" t="str">
        <x:v>Salicaceae</x:v>
      </x:c>
      <x:c r="B62" s="89" t="n">
        <x:v>3</x:v>
      </x:c>
      <x:c r="C62" s="89" t="n">
        <x:v>3</x:v>
      </x:c>
      <x:c r="D62" s="89" t="n">
        <x:v>0</x:v>
      </x:c>
      <x:c r="E62" s="89" t="n">
        <x:v>0</x:v>
      </x:c>
      <x:c r="F62" s="89" t="n">
        <x:v>0</x:v>
      </x:c>
      <x:c r="G62" s="93" t="n">
        <x:v>0</x:v>
      </x:c>
      <x:c r="H62" s="119" t="str">
        <x:v>Ready for Review</x:v>
      </x:c>
      <x:c r="I62" s="119" t="str">
        <x:v>12 weighted family-character rows imported; 7 core/strong, 9 weight 4–5, 2 human-review flag(s). See Family Evidence Overview and Model.</x:v>
      </x:c>
      <x:c r="J62" s="119" t="str">
        <x:v>Resolve flagged claims, then build local genus comparison sets.</x:v>
      </x:c>
    </x:row>
    <x:row r="63" ht="34" customHeight="1">
      <x:c r="A63" s="83" t="str">
        <x:v>Ulmaceae</x:v>
      </x:c>
      <x:c r="B63" s="89" t="n">
        <x:v>3</x:v>
      </x:c>
      <x:c r="C63" s="89" t="n">
        <x:v>3</x:v>
      </x:c>
      <x:c r="D63" s="89" t="n">
        <x:v>0</x:v>
      </x:c>
      <x:c r="E63" s="89" t="n">
        <x:v>0</x:v>
      </x:c>
      <x:c r="F63" s="89" t="n">
        <x:v>0</x:v>
      </x:c>
      <x:c r="G63" s="93" t="n">
        <x:v>0</x:v>
      </x:c>
      <x:c r="H63" s="119" t="str">
        <x:v>Ready for Review</x:v>
      </x:c>
      <x:c r="I63" s="119" t="str">
        <x:v>11 weighted family-character rows imported; 6 core/strong, 4 weight 4–5, 2 human-review flag(s). See Family Evidence Overview and Model.</x:v>
      </x:c>
      <x:c r="J63" s="119" t="str">
        <x:v>Resolve flagged claims, then build local genus comparison sets.</x:v>
      </x:c>
    </x:row>
    <x:row r="64" ht="34" customHeight="1">
      <x:c r="A64" s="83" t="str">
        <x:v>Viburnaceae</x:v>
      </x:c>
      <x:c r="B64" s="89" t="n">
        <x:v>3</x:v>
      </x:c>
      <x:c r="C64" s="89" t="n">
        <x:v>3</x:v>
      </x:c>
      <x:c r="D64" s="89" t="n">
        <x:v>0</x:v>
      </x:c>
      <x:c r="E64" s="89" t="n">
        <x:v>0</x:v>
      </x:c>
      <x:c r="F64" s="89" t="n">
        <x:v>0</x:v>
      </x:c>
      <x:c r="G64" s="93" t="n">
        <x:v>0</x:v>
      </x:c>
      <x:c r="H64" s="119" t="str">
        <x:v>Ready for Review</x:v>
      </x:c>
      <x:c r="I64" s="119" t="str">
        <x:v>11 weighted family-character rows imported; 5 core/strong, 6 weight 4–5, 1 human-review flag(s). See Family Evidence Overview and Model.</x:v>
      </x:c>
      <x:c r="J64" s="119" t="str">
        <x:v>Resolve flagged claims, then build local genus comparison sets.</x:v>
      </x:c>
    </x:row>
    <x:row r="65" ht="34" customHeight="1">
      <x:c r="A65" s="83" t="str">
        <x:v>Aquifoliaceae</x:v>
      </x:c>
      <x:c r="B65" s="89" t="n">
        <x:v>2</x:v>
      </x:c>
      <x:c r="C65" s="89" t="n">
        <x:v>2</x:v>
      </x:c>
      <x:c r="D65" s="89" t="n">
        <x:v>0</x:v>
      </x:c>
      <x:c r="E65" s="89" t="n">
        <x:v>0</x:v>
      </x:c>
      <x:c r="F65" s="89" t="n">
        <x:v>0</x:v>
      </x:c>
      <x:c r="G65" s="93" t="n">
        <x:v>0</x:v>
      </x:c>
      <x:c r="H65" s="119" t="str">
        <x:v>Not Started</x:v>
      </x:c>
      <x:c r="I65" s="119"/>
      <x:c r="J65" s="119"/>
    </x:row>
    <x:row r="66" ht="34" customHeight="1">
      <x:c r="A66" s="83" t="str">
        <x:v>Araliaceae</x:v>
      </x:c>
      <x:c r="B66" s="89" t="n">
        <x:v>2</x:v>
      </x:c>
      <x:c r="C66" s="89" t="n">
        <x:v>2</x:v>
      </x:c>
      <x:c r="D66" s="89" t="n">
        <x:v>0</x:v>
      </x:c>
      <x:c r="E66" s="89" t="n">
        <x:v>0</x:v>
      </x:c>
      <x:c r="F66" s="89" t="n">
        <x:v>0</x:v>
      </x:c>
      <x:c r="G66" s="93" t="n">
        <x:v>0</x:v>
      </x:c>
      <x:c r="H66" s="119" t="str">
        <x:v>Not Started</x:v>
      </x:c>
      <x:c r="I66" s="119"/>
      <x:c r="J66" s="119"/>
    </x:row>
    <x:row r="67" ht="34" customHeight="1">
      <x:c r="A67" s="83" t="str">
        <x:v>Arecaceae</x:v>
      </x:c>
      <x:c r="B67" s="89" t="n">
        <x:v>2</x:v>
      </x:c>
      <x:c r="C67" s="89" t="n">
        <x:v>2</x:v>
      </x:c>
      <x:c r="D67" s="89" t="n">
        <x:v>0</x:v>
      </x:c>
      <x:c r="E67" s="89" t="n">
        <x:v>0</x:v>
      </x:c>
      <x:c r="F67" s="89" t="n">
        <x:v>0</x:v>
      </x:c>
      <x:c r="G67" s="93" t="n">
        <x:v>0</x:v>
      </x:c>
      <x:c r="H67" s="119" t="str">
        <x:v>Not Started</x:v>
      </x:c>
      <x:c r="I67" s="119"/>
      <x:c r="J67" s="119"/>
    </x:row>
    <x:row r="68" ht="34" customHeight="1">
      <x:c r="A68" s="83" t="str">
        <x:v>Aristolochiaceae</x:v>
      </x:c>
      <x:c r="B68" s="89" t="n">
        <x:v>2</x:v>
      </x:c>
      <x:c r="C68" s="89" t="n">
        <x:v>2</x:v>
      </x:c>
      <x:c r="D68" s="89" t="n">
        <x:v>0</x:v>
      </x:c>
      <x:c r="E68" s="89" t="n">
        <x:v>0</x:v>
      </x:c>
      <x:c r="F68" s="89" t="n">
        <x:v>0</x:v>
      </x:c>
      <x:c r="G68" s="93" t="n">
        <x:v>0</x:v>
      </x:c>
      <x:c r="H68" s="119" t="str">
        <x:v>Not Started</x:v>
      </x:c>
      <x:c r="I68" s="119"/>
      <x:c r="J68" s="119"/>
    </x:row>
    <x:row r="69" ht="34" customHeight="1">
      <x:c r="A69" s="83" t="str">
        <x:v>Aspleniaceae</x:v>
      </x:c>
      <x:c r="B69" s="89" t="n">
        <x:v>2</x:v>
      </x:c>
      <x:c r="C69" s="89" t="n">
        <x:v>2</x:v>
      </x:c>
      <x:c r="D69" s="89" t="n">
        <x:v>0</x:v>
      </x:c>
      <x:c r="E69" s="89" t="n">
        <x:v>0</x:v>
      </x:c>
      <x:c r="F69" s="89" t="n">
        <x:v>0</x:v>
      </x:c>
      <x:c r="G69" s="93" t="n">
        <x:v>0</x:v>
      </x:c>
      <x:c r="H69" s="119" t="str">
        <x:v>Not Started</x:v>
      </x:c>
      <x:c r="I69" s="119"/>
      <x:c r="J69" s="119"/>
    </x:row>
    <x:row r="70" ht="34" customHeight="1">
      <x:c r="A70" s="83" t="str">
        <x:v>Berberidaceae</x:v>
      </x:c>
      <x:c r="B70" s="89" t="n">
        <x:v>2</x:v>
      </x:c>
      <x:c r="C70" s="89" t="n">
        <x:v>2</x:v>
      </x:c>
      <x:c r="D70" s="89" t="n">
        <x:v>0</x:v>
      </x:c>
      <x:c r="E70" s="89" t="n">
        <x:v>0</x:v>
      </x:c>
      <x:c r="F70" s="89" t="n">
        <x:v>0</x:v>
      </x:c>
      <x:c r="G70" s="93" t="n">
        <x:v>0</x:v>
      </x:c>
      <x:c r="H70" s="119" t="str">
        <x:v>Not Started</x:v>
      </x:c>
      <x:c r="I70" s="119"/>
      <x:c r="J70" s="119"/>
    </x:row>
    <x:row r="71" ht="34" customHeight="1">
      <x:c r="A71" s="83" t="str">
        <x:v>Bromeliaceae</x:v>
      </x:c>
      <x:c r="B71" s="89" t="n">
        <x:v>2</x:v>
      </x:c>
      <x:c r="C71" s="89" t="n">
        <x:v>2</x:v>
      </x:c>
      <x:c r="D71" s="89" t="n">
        <x:v>0</x:v>
      </x:c>
      <x:c r="E71" s="89" t="n">
        <x:v>0</x:v>
      </x:c>
      <x:c r="F71" s="89" t="n">
        <x:v>0</x:v>
      </x:c>
      <x:c r="G71" s="93" t="n">
        <x:v>0</x:v>
      </x:c>
      <x:c r="H71" s="119" t="str">
        <x:v>Not Started</x:v>
      </x:c>
      <x:c r="I71" s="119"/>
      <x:c r="J71" s="119"/>
    </x:row>
    <x:row r="72" ht="34" customHeight="1">
      <x:c r="A72" s="83" t="str">
        <x:v>Ebenaceae</x:v>
      </x:c>
      <x:c r="B72" s="89" t="n">
        <x:v>2</x:v>
      </x:c>
      <x:c r="C72" s="89" t="n">
        <x:v>2</x:v>
      </x:c>
      <x:c r="D72" s="89" t="n">
        <x:v>0</x:v>
      </x:c>
      <x:c r="E72" s="89" t="n">
        <x:v>0</x:v>
      </x:c>
      <x:c r="F72" s="89" t="n">
        <x:v>0</x:v>
      </x:c>
      <x:c r="G72" s="93" t="n">
        <x:v>0</x:v>
      </x:c>
      <x:c r="H72" s="119" t="str">
        <x:v>Not Started</x:v>
      </x:c>
      <x:c r="I72" s="119"/>
      <x:c r="J72" s="119"/>
    </x:row>
    <x:row r="73" ht="34" customHeight="1">
      <x:c r="A73" s="83" t="str">
        <x:v>Hydrangeaceae</x:v>
      </x:c>
      <x:c r="B73" s="89" t="n">
        <x:v>2</x:v>
      </x:c>
      <x:c r="C73" s="89" t="n">
        <x:v>2</x:v>
      </x:c>
      <x:c r="D73" s="89" t="n">
        <x:v>0</x:v>
      </x:c>
      <x:c r="E73" s="89" t="n">
        <x:v>0</x:v>
      </x:c>
      <x:c r="F73" s="89" t="n">
        <x:v>0</x:v>
      </x:c>
      <x:c r="G73" s="93" t="n">
        <x:v>0</x:v>
      </x:c>
      <x:c r="H73" s="119" t="str">
        <x:v>Ready for Review</x:v>
      </x:c>
      <x:c r="I73" s="119" t="str">
        <x:v>11 weighted family-character rows imported; 4 core/strong, 5 weight 4–5, 0 human-review flag(s). See Family Evidence Overview and Model.</x:v>
      </x:c>
      <x:c r="J73" s="119" t="str">
        <x:v>Human-review the family profile, then build local genus comparison sets.</x:v>
      </x:c>
    </x:row>
    <x:row r="74" ht="34" customHeight="1">
      <x:c r="A74" s="83" t="str">
        <x:v>Loganiaceae</x:v>
      </x:c>
      <x:c r="B74" s="89" t="n">
        <x:v>2</x:v>
      </x:c>
      <x:c r="C74" s="89" t="n">
        <x:v>2</x:v>
      </x:c>
      <x:c r="D74" s="89" t="n">
        <x:v>0</x:v>
      </x:c>
      <x:c r="E74" s="89" t="n">
        <x:v>0</x:v>
      </x:c>
      <x:c r="F74" s="89" t="n">
        <x:v>0</x:v>
      </x:c>
      <x:c r="G74" s="93" t="n">
        <x:v>0</x:v>
      </x:c>
      <x:c r="H74" s="119" t="str">
        <x:v>Not Started</x:v>
      </x:c>
      <x:c r="I74" s="119"/>
      <x:c r="J74" s="119"/>
    </x:row>
    <x:row r="75" ht="34" customHeight="1">
      <x:c r="A75" s="83" t="str">
        <x:v>Marsileaceae</x:v>
      </x:c>
      <x:c r="B75" s="89" t="n">
        <x:v>2</x:v>
      </x:c>
      <x:c r="C75" s="89" t="n">
        <x:v>2</x:v>
      </x:c>
      <x:c r="D75" s="89" t="n">
        <x:v>0</x:v>
      </x:c>
      <x:c r="E75" s="89" t="n">
        <x:v>0</x:v>
      </x:c>
      <x:c r="F75" s="89" t="n">
        <x:v>0</x:v>
      </x:c>
      <x:c r="G75" s="93" t="n">
        <x:v>0</x:v>
      </x:c>
      <x:c r="H75" s="119" t="str">
        <x:v>Not Started</x:v>
      </x:c>
      <x:c r="I75" s="119"/>
      <x:c r="J75" s="119"/>
    </x:row>
    <x:row r="76" ht="34" customHeight="1">
      <x:c r="A76" s="83" t="str">
        <x:v>Melanthiaceae</x:v>
      </x:c>
      <x:c r="B76" s="89" t="n">
        <x:v>2</x:v>
      </x:c>
      <x:c r="C76" s="89" t="n">
        <x:v>2</x:v>
      </x:c>
      <x:c r="D76" s="89" t="n">
        <x:v>0</x:v>
      </x:c>
      <x:c r="E76" s="89" t="n">
        <x:v>0</x:v>
      </x:c>
      <x:c r="F76" s="89" t="n">
        <x:v>0</x:v>
      </x:c>
      <x:c r="G76" s="93" t="n">
        <x:v>0</x:v>
      </x:c>
      <x:c r="H76" s="119" t="str">
        <x:v>Not Started</x:v>
      </x:c>
      <x:c r="I76" s="119"/>
      <x:c r="J76" s="119"/>
    </x:row>
    <x:row r="77" ht="34" customHeight="1">
      <x:c r="A77" s="83" t="str">
        <x:v>Nymphaeaceae</x:v>
      </x:c>
      <x:c r="B77" s="89" t="n">
        <x:v>2</x:v>
      </x:c>
      <x:c r="C77" s="89" t="n">
        <x:v>2</x:v>
      </x:c>
      <x:c r="D77" s="89" t="n">
        <x:v>0</x:v>
      </x:c>
      <x:c r="E77" s="89" t="n">
        <x:v>0</x:v>
      </x:c>
      <x:c r="F77" s="89" t="n">
        <x:v>0</x:v>
      </x:c>
      <x:c r="G77" s="93" t="n">
        <x:v>0</x:v>
      </x:c>
      <x:c r="H77" s="119" t="str">
        <x:v>Not Started</x:v>
      </x:c>
      <x:c r="I77" s="119"/>
      <x:c r="J77" s="119"/>
    </x:row>
    <x:row r="78" ht="34" customHeight="1">
      <x:c r="A78" s="83" t="str">
        <x:v>Pontederiaceae</x:v>
      </x:c>
      <x:c r="B78" s="89" t="n">
        <x:v>2</x:v>
      </x:c>
      <x:c r="C78" s="89" t="n">
        <x:v>2</x:v>
      </x:c>
      <x:c r="D78" s="89" t="n">
        <x:v>0</x:v>
      </x:c>
      <x:c r="E78" s="89" t="n">
        <x:v>0</x:v>
      </x:c>
      <x:c r="F78" s="89" t="n">
        <x:v>0</x:v>
      </x:c>
      <x:c r="G78" s="93" t="n">
        <x:v>0</x:v>
      </x:c>
      <x:c r="H78" s="119" t="str">
        <x:v>Not Started</x:v>
      </x:c>
      <x:c r="I78" s="119"/>
      <x:c r="J78" s="119"/>
    </x:row>
    <x:row r="79" ht="34" customHeight="1">
      <x:c r="A79" s="83" t="str">
        <x:v>Portulacaceae</x:v>
      </x:c>
      <x:c r="B79" s="89" t="n">
        <x:v>2</x:v>
      </x:c>
      <x:c r="C79" s="89" t="n">
        <x:v>2</x:v>
      </x:c>
      <x:c r="D79" s="89" t="n">
        <x:v>0</x:v>
      </x:c>
      <x:c r="E79" s="89" t="n">
        <x:v>0</x:v>
      </x:c>
      <x:c r="F79" s="89" t="n">
        <x:v>0</x:v>
      </x:c>
      <x:c r="G79" s="93" t="n">
        <x:v>0</x:v>
      </x:c>
      <x:c r="H79" s="119" t="str">
        <x:v>Ready for Review</x:v>
      </x:c>
      <x:c r="I79" s="119" t="str">
        <x:v>11 weighted family-character rows imported; 7 core/strong, 6 weight 4–5, 0 human-review flag(s). See Family Evidence Overview and Model.</x:v>
      </x:c>
      <x:c r="J79" s="119" t="str">
        <x:v>Human-review the family profile, then build local genus comparison sets.</x:v>
      </x:c>
    </x:row>
    <x:row r="80" ht="34" customHeight="1">
      <x:c r="A80" s="83" t="str">
        <x:v>Primulaceae</x:v>
      </x:c>
      <x:c r="B80" s="89" t="n">
        <x:v>2</x:v>
      </x:c>
      <x:c r="C80" s="89" t="n">
        <x:v>2</x:v>
      </x:c>
      <x:c r="D80" s="89" t="n">
        <x:v>0</x:v>
      </x:c>
      <x:c r="E80" s="89" t="n">
        <x:v>0</x:v>
      </x:c>
      <x:c r="F80" s="89" t="n">
        <x:v>0</x:v>
      </x:c>
      <x:c r="G80" s="93" t="n">
        <x:v>0</x:v>
      </x:c>
      <x:c r="H80" s="119" t="str">
        <x:v>Ready for Review</x:v>
      </x:c>
      <x:c r="I80" s="119" t="str">
        <x:v>11 weighted family-character rows imported; 5 core/strong, 6 weight 4–5, 1 human-review flag(s). See Family Evidence Overview and Model.</x:v>
      </x:c>
      <x:c r="J80" s="119" t="str">
        <x:v>Resolve flagged claims, then build local genus comparison sets.</x:v>
      </x:c>
    </x:row>
    <x:row r="81" ht="34" customHeight="1">
      <x:c r="A81" s="83" t="str">
        <x:v>Scrophulariaceae</x:v>
      </x:c>
      <x:c r="B81" s="89" t="n">
        <x:v>2</x:v>
      </x:c>
      <x:c r="C81" s="89" t="n">
        <x:v>2</x:v>
      </x:c>
      <x:c r="D81" s="89" t="n">
        <x:v>0</x:v>
      </x:c>
      <x:c r="E81" s="89" t="n">
        <x:v>0</x:v>
      </x:c>
      <x:c r="F81" s="89" t="n">
        <x:v>0</x:v>
      </x:c>
      <x:c r="G81" s="93" t="n">
        <x:v>0</x:v>
      </x:c>
      <x:c r="H81" s="119" t="str">
        <x:v>Not Started</x:v>
      </x:c>
      <x:c r="I81" s="119"/>
      <x:c r="J81" s="119"/>
    </x:row>
    <x:row r="82" ht="34" customHeight="1">
      <x:c r="A82" s="83" t="str">
        <x:v>Selaginellaceae</x:v>
      </x:c>
      <x:c r="B82" s="89" t="n">
        <x:v>2</x:v>
      </x:c>
      <x:c r="C82" s="89" t="n">
        <x:v>2</x:v>
      </x:c>
      <x:c r="D82" s="89" t="n">
        <x:v>0</x:v>
      </x:c>
      <x:c r="E82" s="89" t="n">
        <x:v>0</x:v>
      </x:c>
      <x:c r="F82" s="89" t="n">
        <x:v>0</x:v>
      </x:c>
      <x:c r="G82" s="93" t="n">
        <x:v>0</x:v>
      </x:c>
      <x:c r="H82" s="119" t="str">
        <x:v>Not Started</x:v>
      </x:c>
      <x:c r="I82" s="119"/>
      <x:c r="J82" s="119"/>
    </x:row>
    <x:row r="83" ht="34" customHeight="1">
      <x:c r="A83" s="83" t="str">
        <x:v>Smilacaceae</x:v>
      </x:c>
      <x:c r="B83" s="89" t="n">
        <x:v>2</x:v>
      </x:c>
      <x:c r="C83" s="89" t="n">
        <x:v>2</x:v>
      </x:c>
      <x:c r="D83" s="89" t="n">
        <x:v>0</x:v>
      </x:c>
      <x:c r="E83" s="89" t="n">
        <x:v>0</x:v>
      </x:c>
      <x:c r="F83" s="89" t="n">
        <x:v>0</x:v>
      </x:c>
      <x:c r="G83" s="93" t="n">
        <x:v>0</x:v>
      </x:c>
      <x:c r="H83" s="119" t="str">
        <x:v>Not Started</x:v>
      </x:c>
      <x:c r="I83" s="119"/>
      <x:c r="J83" s="119"/>
    </x:row>
    <x:row r="84" ht="34" customHeight="1">
      <x:c r="A84" s="83" t="str">
        <x:v>Typhaceae</x:v>
      </x:c>
      <x:c r="B84" s="89" t="n">
        <x:v>2</x:v>
      </x:c>
      <x:c r="C84" s="89" t="n">
        <x:v>2</x:v>
      </x:c>
      <x:c r="D84" s="89" t="n">
        <x:v>0</x:v>
      </x:c>
      <x:c r="E84" s="89" t="n">
        <x:v>0</x:v>
      </x:c>
      <x:c r="F84" s="89" t="n">
        <x:v>0</x:v>
      </x:c>
      <x:c r="G84" s="93" t="n">
        <x:v>0</x:v>
      </x:c>
      <x:c r="H84" s="119" t="str">
        <x:v>Not Started</x:v>
      </x:c>
      <x:c r="I84" s="119"/>
      <x:c r="J84" s="119"/>
    </x:row>
    <x:row r="85" ht="34" customHeight="1">
      <x:c r="A85" s="83" t="str">
        <x:v>Urticaceae</x:v>
      </x:c>
      <x:c r="B85" s="89" t="n">
        <x:v>2</x:v>
      </x:c>
      <x:c r="C85" s="89" t="n">
        <x:v>2</x:v>
      </x:c>
      <x:c r="D85" s="89" t="n">
        <x:v>0</x:v>
      </x:c>
      <x:c r="E85" s="89" t="n">
        <x:v>0</x:v>
      </x:c>
      <x:c r="F85" s="89" t="n">
        <x:v>0</x:v>
      </x:c>
      <x:c r="G85" s="93" t="n">
        <x:v>0</x:v>
      </x:c>
      <x:c r="H85" s="119" t="str">
        <x:v>Ready for Review</x:v>
      </x:c>
      <x:c r="I85" s="119" t="str">
        <x:v>11 weighted family-character rows imported; 7 core/strong, 6 weight 4–5, 0 human-review flag(s). See Family Evidence Overview and Model.</x:v>
      </x:c>
      <x:c r="J85" s="119" t="str">
        <x:v>Human-review the family profile, then build local genus comparison sets.</x:v>
      </x:c>
    </x:row>
    <x:row r="86" ht="34" customHeight="1">
      <x:c r="A86" s="83" t="str">
        <x:v>Violaceae</x:v>
      </x:c>
      <x:c r="B86" s="89" t="n">
        <x:v>2</x:v>
      </x:c>
      <x:c r="C86" s="89" t="n">
        <x:v>2</x:v>
      </x:c>
      <x:c r="D86" s="89" t="n">
        <x:v>0</x:v>
      </x:c>
      <x:c r="E86" s="89" t="n">
        <x:v>0</x:v>
      </x:c>
      <x:c r="F86" s="89" t="n">
        <x:v>0</x:v>
      </x:c>
      <x:c r="G86" s="93" t="n">
        <x:v>0</x:v>
      </x:c>
      <x:c r="H86" s="119" t="str">
        <x:v>Ready for Review</x:v>
      </x:c>
      <x:c r="I86" s="119" t="str">
        <x:v>11 weighted family-character rows imported; 7 core/strong, 7 weight 4–5, 0 human-review flag(s). See Family Evidence Overview and Model.</x:v>
      </x:c>
      <x:c r="J86" s="119" t="str">
        <x:v>Human-review the family profile, then build local genus comparison sets.</x:v>
      </x:c>
    </x:row>
    <x:row r="87" ht="34" customHeight="1">
      <x:c r="A87" s="83" t="str">
        <x:v>Apodanthaceae</x:v>
      </x:c>
      <x:c r="B87" s="89" t="n">
        <x:v>1</x:v>
      </x:c>
      <x:c r="C87" s="89" t="n">
        <x:v>1</x:v>
      </x:c>
      <x:c r="D87" s="89" t="n">
        <x:v>0</x:v>
      </x:c>
      <x:c r="E87" s="89" t="n">
        <x:v>0</x:v>
      </x:c>
      <x:c r="F87" s="89" t="n">
        <x:v>0</x:v>
      </x:c>
      <x:c r="G87" s="93" t="n">
        <x:v>0</x:v>
      </x:c>
      <x:c r="H87" s="119" t="str">
        <x:v>Not Started</x:v>
      </x:c>
      <x:c r="I87" s="119"/>
      <x:c r="J87" s="119"/>
    </x:row>
    <x:row r="88" ht="34" customHeight="1">
      <x:c r="A88" s="83" t="str">
        <x:v>Cabombaceae</x:v>
      </x:c>
      <x:c r="B88" s="89" t="n">
        <x:v>1</x:v>
      </x:c>
      <x:c r="C88" s="89" t="n">
        <x:v>1</x:v>
      </x:c>
      <x:c r="D88" s="89" t="n">
        <x:v>0</x:v>
      </x:c>
      <x:c r="E88" s="89" t="n">
        <x:v>0</x:v>
      </x:c>
      <x:c r="F88" s="89" t="n">
        <x:v>0</x:v>
      </x:c>
      <x:c r="G88" s="93" t="n">
        <x:v>0</x:v>
      </x:c>
      <x:c r="H88" s="119" t="str">
        <x:v>Not Started</x:v>
      </x:c>
      <x:c r="I88" s="119"/>
      <x:c r="J88" s="119"/>
    </x:row>
    <x:row r="89" ht="34" customHeight="1">
      <x:c r="A89" s="83" t="str">
        <x:v>Ceratophyllaceae</x:v>
      </x:c>
      <x:c r="B89" s="89" t="n">
        <x:v>1</x:v>
      </x:c>
      <x:c r="C89" s="89" t="n">
        <x:v>1</x:v>
      </x:c>
      <x:c r="D89" s="89" t="n">
        <x:v>0</x:v>
      </x:c>
      <x:c r="E89" s="89" t="n">
        <x:v>0</x:v>
      </x:c>
      <x:c r="F89" s="89" t="n">
        <x:v>0</x:v>
      </x:c>
      <x:c r="G89" s="93" t="n">
        <x:v>0</x:v>
      </x:c>
      <x:c r="H89" s="119" t="str">
        <x:v>Not Started</x:v>
      </x:c>
      <x:c r="I89" s="119"/>
      <x:c r="J89" s="119"/>
    </x:row>
    <x:row r="90" ht="34" customHeight="1">
      <x:c r="A90" s="83" t="str">
        <x:v>Cleomaceae</x:v>
      </x:c>
      <x:c r="B90" s="89" t="n">
        <x:v>1</x:v>
      </x:c>
      <x:c r="C90" s="89" t="n">
        <x:v>1</x:v>
      </x:c>
      <x:c r="D90" s="89" t="n">
        <x:v>0</x:v>
      </x:c>
      <x:c r="E90" s="89" t="n">
        <x:v>0</x:v>
      </x:c>
      <x:c r="F90" s="89" t="n">
        <x:v>0</x:v>
      </x:c>
      <x:c r="G90" s="93" t="n">
        <x:v>0</x:v>
      </x:c>
      <x:c r="H90" s="119" t="str">
        <x:v>Not Started</x:v>
      </x:c>
      <x:c r="I90" s="119"/>
      <x:c r="J90" s="119"/>
    </x:row>
    <x:row r="91" ht="34" customHeight="1">
      <x:c r="A91" s="83" t="str">
        <x:v>Cornaceae</x:v>
      </x:c>
      <x:c r="B91" s="89" t="n">
        <x:v>1</x:v>
      </x:c>
      <x:c r="C91" s="89" t="n">
        <x:v>1</x:v>
      </x:c>
      <x:c r="D91" s="89" t="n">
        <x:v>0</x:v>
      </x:c>
      <x:c r="E91" s="89" t="n">
        <x:v>0</x:v>
      </x:c>
      <x:c r="F91" s="89" t="n">
        <x:v>0</x:v>
      </x:c>
      <x:c r="G91" s="93" t="n">
        <x:v>0</x:v>
      </x:c>
      <x:c r="H91" s="119" t="str">
        <x:v>Ready for Review</x:v>
      </x:c>
      <x:c r="I91" s="119" t="str">
        <x:v>11 weighted family-character rows imported; 6 core/strong, 6 weight 4–5, 0 human-review flag(s). See Family Evidence Overview and Model.</x:v>
      </x:c>
      <x:c r="J91" s="119" t="str">
        <x:v>Human-review the family profile, then build local genus comparison sets.</x:v>
      </x:c>
    </x:row>
    <x:row r="92" ht="34" customHeight="1">
      <x:c r="A92" s="83" t="str">
        <x:v>Crassulaceae</x:v>
      </x:c>
      <x:c r="B92" s="89" t="n">
        <x:v>1</x:v>
      </x:c>
      <x:c r="C92" s="89" t="n">
        <x:v>1</x:v>
      </x:c>
      <x:c r="D92" s="89" t="n">
        <x:v>0</x:v>
      </x:c>
      <x:c r="E92" s="89" t="n">
        <x:v>0</x:v>
      </x:c>
      <x:c r="F92" s="89" t="n">
        <x:v>0</x:v>
      </x:c>
      <x:c r="G92" s="93" t="n">
        <x:v>0</x:v>
      </x:c>
      <x:c r="H92" s="119" t="str">
        <x:v>Ready for Review</x:v>
      </x:c>
      <x:c r="I92" s="119" t="str">
        <x:v>11 weighted family-character rows imported; 8 core/strong, 8 weight 4–5, 0 human-review flag(s). See Family Evidence Overview and Model.</x:v>
      </x:c>
      <x:c r="J92" s="119" t="str">
        <x:v>Human-review the family profile, then build local genus comparison sets.</x:v>
      </x:c>
    </x:row>
    <x:row r="93" ht="34" customHeight="1">
      <x:c r="A93" s="83" t="str">
        <x:v>Ephedraceae</x:v>
      </x:c>
      <x:c r="B93" s="89" t="n">
        <x:v>1</x:v>
      </x:c>
      <x:c r="C93" s="89" t="n">
        <x:v>1</x:v>
      </x:c>
      <x:c r="D93" s="89" t="n">
        <x:v>0</x:v>
      </x:c>
      <x:c r="E93" s="89" t="n">
        <x:v>0</x:v>
      </x:c>
      <x:c r="F93" s="89" t="n">
        <x:v>0</x:v>
      </x:c>
      <x:c r="G93" s="93" t="n">
        <x:v>0</x:v>
      </x:c>
      <x:c r="H93" s="119" t="str">
        <x:v>Not Started</x:v>
      </x:c>
      <x:c r="I93" s="119"/>
      <x:c r="J93" s="119"/>
    </x:row>
    <x:row r="94" ht="34" customHeight="1">
      <x:c r="A94" s="83" t="str">
        <x:v>Equisetaceae</x:v>
      </x:c>
      <x:c r="B94" s="89" t="n">
        <x:v>1</x:v>
      </x:c>
      <x:c r="C94" s="89" t="n">
        <x:v>1</x:v>
      </x:c>
      <x:c r="D94" s="89" t="n">
        <x:v>0</x:v>
      </x:c>
      <x:c r="E94" s="89" t="n">
        <x:v>0</x:v>
      </x:c>
      <x:c r="F94" s="89" t="n">
        <x:v>0</x:v>
      </x:c>
      <x:c r="G94" s="93" t="n">
        <x:v>0</x:v>
      </x:c>
      <x:c r="H94" s="119" t="str">
        <x:v>Not Started</x:v>
      </x:c>
      <x:c r="I94" s="119"/>
      <x:c r="J94" s="119"/>
    </x:row>
    <x:row r="95" ht="34" customHeight="1">
      <x:c r="A95" s="83" t="str">
        <x:v>Ericaceae</x:v>
      </x:c>
      <x:c r="B95" s="89" t="n">
        <x:v>1</x:v>
      </x:c>
      <x:c r="C95" s="89" t="n">
        <x:v>1</x:v>
      </x:c>
      <x:c r="D95" s="89" t="n">
        <x:v>0</x:v>
      </x:c>
      <x:c r="E95" s="89" t="n">
        <x:v>0</x:v>
      </x:c>
      <x:c r="F95" s="89" t="n">
        <x:v>0</x:v>
      </x:c>
      <x:c r="G95" s="93" t="n">
        <x:v>0</x:v>
      </x:c>
      <x:c r="H95" s="119" t="str">
        <x:v>Ready for Review</x:v>
      </x:c>
      <x:c r="I95" s="119" t="str">
        <x:v>12 weighted family-character rows imported; 6 core/strong, 5 weight 4–5, 1 human-review flag(s). See Family Evidence Overview and Model.</x:v>
      </x:c>
      <x:c r="J95" s="119" t="str">
        <x:v>Resolve flagged claims, then build local genus comparison sets.</x:v>
      </x:c>
    </x:row>
    <x:row r="96" ht="34" customHeight="1">
      <x:c r="A96" s="83" t="str">
        <x:v>Garryaceae</x:v>
      </x:c>
      <x:c r="B96" s="89" t="n">
        <x:v>1</x:v>
      </x:c>
      <x:c r="C96" s="89" t="n">
        <x:v>1</x:v>
      </x:c>
      <x:c r="D96" s="89" t="n">
        <x:v>0</x:v>
      </x:c>
      <x:c r="E96" s="89" t="n">
        <x:v>0</x:v>
      </x:c>
      <x:c r="F96" s="89" t="n">
        <x:v>0</x:v>
      </x:c>
      <x:c r="G96" s="93" t="n">
        <x:v>0</x:v>
      </x:c>
      <x:c r="H96" s="119" t="str">
        <x:v>Not Started</x:v>
      </x:c>
      <x:c r="I96" s="119"/>
      <x:c r="J96" s="119"/>
    </x:row>
    <x:row r="97" ht="34" customHeight="1">
      <x:c r="A97" s="83" t="str">
        <x:v>Haloragaceae</x:v>
      </x:c>
      <x:c r="B97" s="89" t="n">
        <x:v>1</x:v>
      </x:c>
      <x:c r="C97" s="89" t="n">
        <x:v>1</x:v>
      </x:c>
      <x:c r="D97" s="89" t="n">
        <x:v>0</x:v>
      </x:c>
      <x:c r="E97" s="89" t="n">
        <x:v>0</x:v>
      </x:c>
      <x:c r="F97" s="89" t="n">
        <x:v>0</x:v>
      </x:c>
      <x:c r="G97" s="93" t="n">
        <x:v>0</x:v>
      </x:c>
      <x:c r="H97" s="119" t="str">
        <x:v>Not Started</x:v>
      </x:c>
      <x:c r="I97" s="119"/>
      <x:c r="J97" s="119"/>
    </x:row>
    <x:row r="98" ht="34" customHeight="1">
      <x:c r="A98" s="83" t="str">
        <x:v>Hydrocharitaceae</x:v>
      </x:c>
      <x:c r="B98" s="89" t="n">
        <x:v>1</x:v>
      </x:c>
      <x:c r="C98" s="89" t="n">
        <x:v>1</x:v>
      </x:c>
      <x:c r="D98" s="89" t="n">
        <x:v>0</x:v>
      </x:c>
      <x:c r="E98" s="89" t="n">
        <x:v>0</x:v>
      </x:c>
      <x:c r="F98" s="89" t="n">
        <x:v>0</x:v>
      </x:c>
      <x:c r="G98" s="93" t="n">
        <x:v>0</x:v>
      </x:c>
      <x:c r="H98" s="119" t="str">
        <x:v>Not Started</x:v>
      </x:c>
      <x:c r="I98" s="119"/>
      <x:c r="J98" s="119"/>
    </x:row>
    <x:row r="99" ht="34" customHeight="1">
      <x:c r="A99" s="83" t="str">
        <x:v>Hypericaceae</x:v>
      </x:c>
      <x:c r="B99" s="89" t="n">
        <x:v>1</x:v>
      </x:c>
      <x:c r="C99" s="89" t="n">
        <x:v>1</x:v>
      </x:c>
      <x:c r="D99" s="89" t="n">
        <x:v>0</x:v>
      </x:c>
      <x:c r="E99" s="89" t="n">
        <x:v>0</x:v>
      </x:c>
      <x:c r="F99" s="89" t="n">
        <x:v>0</x:v>
      </x:c>
      <x:c r="G99" s="93" t="n">
        <x:v>0</x:v>
      </x:c>
      <x:c r="H99" s="119" t="str">
        <x:v>Not Started</x:v>
      </x:c>
      <x:c r="I99" s="119"/>
      <x:c r="J99" s="119"/>
    </x:row>
    <x:row r="100" ht="34" customHeight="1">
      <x:c r="A100" s="83" t="str">
        <x:v>Krameriaceae</x:v>
      </x:c>
      <x:c r="B100" s="89" t="n">
        <x:v>1</x:v>
      </x:c>
      <x:c r="C100" s="89" t="n">
        <x:v>1</x:v>
      </x:c>
      <x:c r="D100" s="89" t="n">
        <x:v>0</x:v>
      </x:c>
      <x:c r="E100" s="89" t="n">
        <x:v>0</x:v>
      </x:c>
      <x:c r="F100" s="89" t="n">
        <x:v>0</x:v>
      </x:c>
      <x:c r="G100" s="93" t="n">
        <x:v>0</x:v>
      </x:c>
      <x:c r="H100" s="119" t="str">
        <x:v>Not Started</x:v>
      </x:c>
      <x:c r="I100" s="119"/>
      <x:c r="J100" s="119"/>
    </x:row>
    <x:row r="101" ht="34" customHeight="1">
      <x:c r="A101" s="83" t="str">
        <x:v>Lauraceae</x:v>
      </x:c>
      <x:c r="B101" s="89" t="n">
        <x:v>1</x:v>
      </x:c>
      <x:c r="C101" s="89" t="n">
        <x:v>1</x:v>
      </x:c>
      <x:c r="D101" s="89" t="n">
        <x:v>0</x:v>
      </x:c>
      <x:c r="E101" s="89" t="n">
        <x:v>0</x:v>
      </x:c>
      <x:c r="F101" s="89" t="n">
        <x:v>0</x:v>
      </x:c>
      <x:c r="G101" s="93" t="n">
        <x:v>0</x:v>
      </x:c>
      <x:c r="H101" s="119" t="str">
        <x:v>Not Started</x:v>
      </x:c>
      <x:c r="I101" s="119"/>
      <x:c r="J101" s="119"/>
    </x:row>
    <x:row r="102" ht="34" customHeight="1">
      <x:c r="A102" s="83" t="str">
        <x:v>Lentibulariaceae</x:v>
      </x:c>
      <x:c r="B102" s="89" t="n">
        <x:v>1</x:v>
      </x:c>
      <x:c r="C102" s="89" t="n">
        <x:v>1</x:v>
      </x:c>
      <x:c r="D102" s="89" t="n">
        <x:v>0</x:v>
      </x:c>
      <x:c r="E102" s="89" t="n">
        <x:v>0</x:v>
      </x:c>
      <x:c r="F102" s="89" t="n">
        <x:v>0</x:v>
      </x:c>
      <x:c r="G102" s="93" t="n">
        <x:v>0</x:v>
      </x:c>
      <x:c r="H102" s="119" t="str">
        <x:v>Not Started</x:v>
      </x:c>
      <x:c r="I102" s="119"/>
      <x:c r="J102" s="119"/>
    </x:row>
    <x:row r="103" ht="34" customHeight="1">
      <x:c r="A103" s="83" t="str">
        <x:v>Loasaceae</x:v>
      </x:c>
      <x:c r="B103" s="89" t="n">
        <x:v>1</x:v>
      </x:c>
      <x:c r="C103" s="89" t="n">
        <x:v>1</x:v>
      </x:c>
      <x:c r="D103" s="89" t="n">
        <x:v>0</x:v>
      </x:c>
      <x:c r="E103" s="89" t="n">
        <x:v>0</x:v>
      </x:c>
      <x:c r="F103" s="89" t="n">
        <x:v>0</x:v>
      </x:c>
      <x:c r="G103" s="93" t="n">
        <x:v>0</x:v>
      </x:c>
      <x:c r="H103" s="119" t="str">
        <x:v>Ready for Review</x:v>
      </x:c>
      <x:c r="I103" s="119" t="str">
        <x:v>11 weighted family-character rows imported; 8 core/strong, 8 weight 4–5, 1 human-review flag(s). See Family Evidence Overview and Model.</x:v>
      </x:c>
      <x:c r="J103" s="119" t="str">
        <x:v>Resolve flagged claims, then build local genus comparison sets.</x:v>
      </x:c>
    </x:row>
    <x:row r="104" ht="34" customHeight="1">
      <x:c r="A104" s="83" t="str">
        <x:v>Malpighiaceae</x:v>
      </x:c>
      <x:c r="B104" s="89" t="n">
        <x:v>1</x:v>
      </x:c>
      <x:c r="C104" s="89" t="n">
        <x:v>1</x:v>
      </x:c>
      <x:c r="D104" s="89" t="n">
        <x:v>0</x:v>
      </x:c>
      <x:c r="E104" s="89" t="n">
        <x:v>0</x:v>
      </x:c>
      <x:c r="F104" s="89" t="n">
        <x:v>0</x:v>
      </x:c>
      <x:c r="G104" s="93" t="n">
        <x:v>0</x:v>
      </x:c>
      <x:c r="H104" s="119" t="str">
        <x:v>Not Started</x:v>
      </x:c>
      <x:c r="I104" s="119"/>
      <x:c r="J104" s="119"/>
    </x:row>
    <x:row r="105" ht="34" customHeight="1">
      <x:c r="A105" s="83" t="str">
        <x:v>Martyniaceae</x:v>
      </x:c>
      <x:c r="B105" s="89" t="n">
        <x:v>1</x:v>
      </x:c>
      <x:c r="C105" s="89" t="n">
        <x:v>1</x:v>
      </x:c>
      <x:c r="D105" s="89" t="n">
        <x:v>0</x:v>
      </x:c>
      <x:c r="E105" s="89" t="n">
        <x:v>0</x:v>
      </x:c>
      <x:c r="F105" s="89" t="n">
        <x:v>0</x:v>
      </x:c>
      <x:c r="G105" s="93" t="n">
        <x:v>0</x:v>
      </x:c>
      <x:c r="H105" s="119" t="str">
        <x:v>Not Started</x:v>
      </x:c>
      <x:c r="I105" s="119"/>
      <x:c r="J105" s="119"/>
    </x:row>
    <x:row r="106" ht="34" customHeight="1">
      <x:c r="A106" s="83" t="str">
        <x:v>Menispermaceae</x:v>
      </x:c>
      <x:c r="B106" s="89" t="n">
        <x:v>1</x:v>
      </x:c>
      <x:c r="C106" s="89" t="n">
        <x:v>1</x:v>
      </x:c>
      <x:c r="D106" s="89" t="n">
        <x:v>0</x:v>
      </x:c>
      <x:c r="E106" s="89" t="n">
        <x:v>0</x:v>
      </x:c>
      <x:c r="F106" s="89" t="n">
        <x:v>0</x:v>
      </x:c>
      <x:c r="G106" s="93" t="n">
        <x:v>0</x:v>
      </x:c>
      <x:c r="H106" s="119" t="str">
        <x:v>Not Started</x:v>
      </x:c>
      <x:c r="I106" s="119"/>
      <x:c r="J106" s="119"/>
    </x:row>
    <x:row r="107" ht="34" customHeight="1">
      <x:c r="A107" s="83" t="str">
        <x:v>Petiveriaceae</x:v>
      </x:c>
      <x:c r="B107" s="89" t="n">
        <x:v>1</x:v>
      </x:c>
      <x:c r="C107" s="89" t="n">
        <x:v>1</x:v>
      </x:c>
      <x:c r="D107" s="89" t="n">
        <x:v>0</x:v>
      </x:c>
      <x:c r="E107" s="89" t="n">
        <x:v>0</x:v>
      </x:c>
      <x:c r="F107" s="89" t="n">
        <x:v>0</x:v>
      </x:c>
      <x:c r="G107" s="93" t="n">
        <x:v>0</x:v>
      </x:c>
      <x:c r="H107" s="119" t="str">
        <x:v>Not Started</x:v>
      </x:c>
      <x:c r="I107" s="119"/>
      <x:c r="J107" s="119"/>
    </x:row>
    <x:row r="108" ht="34" customHeight="1">
      <x:c r="A108" s="83" t="str">
        <x:v>Phyllanthaceae</x:v>
      </x:c>
      <x:c r="B108" s="89" t="n">
        <x:v>1</x:v>
      </x:c>
      <x:c r="C108" s="89" t="n">
        <x:v>1</x:v>
      </x:c>
      <x:c r="D108" s="89" t="n">
        <x:v>0</x:v>
      </x:c>
      <x:c r="E108" s="89" t="n">
        <x:v>0</x:v>
      </x:c>
      <x:c r="F108" s="89" t="n">
        <x:v>0</x:v>
      </x:c>
      <x:c r="G108" s="93" t="n">
        <x:v>0</x:v>
      </x:c>
      <x:c r="H108" s="119" t="str">
        <x:v>Not Started</x:v>
      </x:c>
      <x:c r="I108" s="119"/>
      <x:c r="J108" s="119"/>
    </x:row>
    <x:row r="109" ht="34" customHeight="1">
      <x:c r="A109" s="83" t="str">
        <x:v>Phytolaccaceae</x:v>
      </x:c>
      <x:c r="B109" s="89" t="n">
        <x:v>1</x:v>
      </x:c>
      <x:c r="C109" s="89" t="n">
        <x:v>1</x:v>
      </x:c>
      <x:c r="D109" s="89" t="n">
        <x:v>0</x:v>
      </x:c>
      <x:c r="E109" s="89" t="n">
        <x:v>0</x:v>
      </x:c>
      <x:c r="F109" s="89" t="n">
        <x:v>0</x:v>
      </x:c>
      <x:c r="G109" s="93" t="n">
        <x:v>0</x:v>
      </x:c>
      <x:c r="H109" s="119" t="str">
        <x:v>Not Started</x:v>
      </x:c>
      <x:c r="I109" s="119"/>
      <x:c r="J109" s="119"/>
    </x:row>
    <x:row r="110" ht="34" customHeight="1">
      <x:c r="A110" s="83" t="str">
        <x:v>Platanaceae</x:v>
      </x:c>
      <x:c r="B110" s="89" t="n">
        <x:v>1</x:v>
      </x:c>
      <x:c r="C110" s="89" t="n">
        <x:v>1</x:v>
      </x:c>
      <x:c r="D110" s="89" t="n">
        <x:v>0</x:v>
      </x:c>
      <x:c r="E110" s="89" t="n">
        <x:v>0</x:v>
      </x:c>
      <x:c r="F110" s="89" t="n">
        <x:v>0</x:v>
      </x:c>
      <x:c r="G110" s="93" t="n">
        <x:v>0</x:v>
      </x:c>
      <x:c r="H110" s="119" t="str">
        <x:v>Not Started</x:v>
      </x:c>
      <x:c r="I110" s="119"/>
      <x:c r="J110" s="119"/>
    </x:row>
    <x:row r="111" ht="34" customHeight="1">
      <x:c r="A111" s="83" t="str">
        <x:v>Polygalaceae</x:v>
      </x:c>
      <x:c r="B111" s="89" t="n">
        <x:v>1</x:v>
      </x:c>
      <x:c r="C111" s="89" t="n">
        <x:v>1</x:v>
      </x:c>
      <x:c r="D111" s="89" t="n">
        <x:v>0</x:v>
      </x:c>
      <x:c r="E111" s="89" t="n">
        <x:v>0</x:v>
      </x:c>
      <x:c r="F111" s="89" t="n">
        <x:v>0</x:v>
      </x:c>
      <x:c r="G111" s="93" t="n">
        <x:v>0</x:v>
      </x:c>
      <x:c r="H111" s="119" t="str">
        <x:v>Not Started</x:v>
      </x:c>
      <x:c r="I111" s="119"/>
      <x:c r="J111" s="119"/>
    </x:row>
    <x:row r="112" ht="34" customHeight="1">
      <x:c r="A112" s="83" t="str">
        <x:v>Salviniaceae</x:v>
      </x:c>
      <x:c r="B112" s="89" t="n">
        <x:v>1</x:v>
      </x:c>
      <x:c r="C112" s="89" t="n">
        <x:v>1</x:v>
      </x:c>
      <x:c r="D112" s="89" t="n">
        <x:v>0</x:v>
      </x:c>
      <x:c r="E112" s="89" t="n">
        <x:v>0</x:v>
      </x:c>
      <x:c r="F112" s="89" t="n">
        <x:v>0</x:v>
      </x:c>
      <x:c r="G112" s="93" t="n">
        <x:v>0</x:v>
      </x:c>
      <x:c r="H112" s="119" t="str">
        <x:v>Not Started</x:v>
      </x:c>
      <x:c r="I112" s="119"/>
      <x:c r="J112" s="119"/>
    </x:row>
    <x:row r="113" ht="34" customHeight="1">
      <x:c r="A113" s="83" t="str">
        <x:v>Santalaceae</x:v>
      </x:c>
      <x:c r="B113" s="89" t="n">
        <x:v>1</x:v>
      </x:c>
      <x:c r="C113" s="89" t="n">
        <x:v>1</x:v>
      </x:c>
      <x:c r="D113" s="89" t="n">
        <x:v>0</x:v>
      </x:c>
      <x:c r="E113" s="89" t="n">
        <x:v>0</x:v>
      </x:c>
      <x:c r="F113" s="89" t="n">
        <x:v>0</x:v>
      </x:c>
      <x:c r="G113" s="93" t="n">
        <x:v>0</x:v>
      </x:c>
      <x:c r="H113" s="119" t="str">
        <x:v>Not Started</x:v>
      </x:c>
      <x:c r="I113" s="119"/>
      <x:c r="J113" s="119"/>
    </x:row>
    <x:row r="114" ht="34" customHeight="1">
      <x:c r="A114" s="83" t="str">
        <x:v>Sapotaceae</x:v>
      </x:c>
      <x:c r="B114" s="89" t="n">
        <x:v>1</x:v>
      </x:c>
      <x:c r="C114" s="89" t="n">
        <x:v>1</x:v>
      </x:c>
      <x:c r="D114" s="89" t="n">
        <x:v>0</x:v>
      </x:c>
      <x:c r="E114" s="89" t="n">
        <x:v>0</x:v>
      </x:c>
      <x:c r="F114" s="89" t="n">
        <x:v>0</x:v>
      </x:c>
      <x:c r="G114" s="93" t="n">
        <x:v>0</x:v>
      </x:c>
      <x:c r="H114" s="119" t="str">
        <x:v>Not Started</x:v>
      </x:c>
      <x:c r="I114" s="119"/>
      <x:c r="J114" s="119"/>
    </x:row>
    <x:row r="115" ht="34" customHeight="1">
      <x:c r="A115" s="83" t="str">
        <x:v>Saururaceae</x:v>
      </x:c>
      <x:c r="B115" s="89" t="n">
        <x:v>1</x:v>
      </x:c>
      <x:c r="C115" s="89" t="n">
        <x:v>1</x:v>
      </x:c>
      <x:c r="D115" s="89" t="n">
        <x:v>0</x:v>
      </x:c>
      <x:c r="E115" s="89" t="n">
        <x:v>0</x:v>
      </x:c>
      <x:c r="F115" s="89" t="n">
        <x:v>0</x:v>
      </x:c>
      <x:c r="G115" s="93" t="n">
        <x:v>0</x:v>
      </x:c>
      <x:c r="H115" s="119" t="str">
        <x:v>Not Started</x:v>
      </x:c>
      <x:c r="I115" s="119"/>
      <x:c r="J115" s="119"/>
    </x:row>
    <x:row r="116" ht="34" customHeight="1">
      <x:c r="A116" s="83" t="str">
        <x:v>Schizaeaceae</x:v>
      </x:c>
      <x:c r="B116" s="89" t="n">
        <x:v>1</x:v>
      </x:c>
      <x:c r="C116" s="89" t="n">
        <x:v>1</x:v>
      </x:c>
      <x:c r="D116" s="89" t="n">
        <x:v>0</x:v>
      </x:c>
      <x:c r="E116" s="89" t="n">
        <x:v>0</x:v>
      </x:c>
      <x:c r="F116" s="89" t="n">
        <x:v>0</x:v>
      </x:c>
      <x:c r="G116" s="93" t="n">
        <x:v>0</x:v>
      </x:c>
      <x:c r="H116" s="119" t="str">
        <x:v>Not Started</x:v>
      </x:c>
      <x:c r="I116" s="119"/>
      <x:c r="J116" s="119"/>
    </x:row>
    <x:row r="117" ht="34" customHeight="1">
      <x:c r="A117" s="83" t="str">
        <x:v>Styracaceae</x:v>
      </x:c>
      <x:c r="B117" s="89" t="n">
        <x:v>1</x:v>
      </x:c>
      <x:c r="C117" s="89" t="n">
        <x:v>1</x:v>
      </x:c>
      <x:c r="D117" s="89" t="n">
        <x:v>0</x:v>
      </x:c>
      <x:c r="E117" s="89" t="n">
        <x:v>0</x:v>
      </x:c>
      <x:c r="F117" s="89" t="n">
        <x:v>0</x:v>
      </x:c>
      <x:c r="G117" s="93" t="n">
        <x:v>0</x:v>
      </x:c>
      <x:c r="H117" s="119" t="str">
        <x:v>Not Started</x:v>
      </x:c>
      <x:c r="I117" s="119"/>
      <x:c r="J117" s="119"/>
    </x:row>
    <x:row r="118" ht="34" customHeight="1">
      <x:c r="A118" s="83" t="str">
        <x:v>Talinaceae</x:v>
      </x:c>
      <x:c r="B118" s="89" t="n">
        <x:v>1</x:v>
      </x:c>
      <x:c r="C118" s="89" t="n">
        <x:v>1</x:v>
      </x:c>
      <x:c r="D118" s="89" t="n">
        <x:v>0</x:v>
      </x:c>
      <x:c r="E118" s="89" t="n">
        <x:v>0</x:v>
      </x:c>
      <x:c r="F118" s="89" t="n">
        <x:v>0</x:v>
      </x:c>
      <x:c r="G118" s="93" t="n">
        <x:v>0</x:v>
      </x:c>
      <x:c r="H118" s="119" t="str">
        <x:v>Not Started</x:v>
      </x:c>
      <x:c r="I118" s="119"/>
      <x:c r="J118" s="119"/>
    </x:row>
    <x:row r="119" ht="34" customHeight="1">
      <x:c r="A119" s="85" t="str">
        <x:v>Zygophyllaceae</x:v>
      </x:c>
      <x:c r="B119" s="90" t="n">
        <x:v>1</x:v>
      </x:c>
      <x:c r="C119" s="90" t="n">
        <x:v>1</x:v>
      </x:c>
      <x:c r="D119" s="90" t="n">
        <x:v>0</x:v>
      </x:c>
      <x:c r="E119" s="90" t="n">
        <x:v>0</x:v>
      </x:c>
      <x:c r="F119" s="90" t="n">
        <x:v>0</x:v>
      </x:c>
      <x:c r="G119" s="94" t="n">
        <x:v>0</x:v>
      </x:c>
      <x:c r="H119" s="120" t="str">
        <x:v>Not Started</x:v>
      </x:c>
      <x:c r="I119" s="120"/>
      <x:c r="J119" s="120"/>
    </x:row>
  </x:sheetData>
  <x:conditionalFormatting sqref="H2:H119">
    <x:cfRule type="containsText" dxfId="3" priority="1" operator="containsText" text="Reviewed"/>
  </x:conditionalFormatting>
  <x:dataValidations count="1">
    <x:dataValidation type="list" sqref="H2:H119">
      <x:formula1>"Not Started,Drafting,Ready for Review,Reviewed"</x:formula1>
    </x:dataValidation>
  </x:dataValidations>
  <x:pageMargins left="0.7" right="0.7" top="0.75" bottom="0.75" header="0.3" footer="0.3"/>
  <x:tableParts count="1">
    <x:tablePart xmlns:r="http://schemas.openxmlformats.org/officeDocument/2006/relationships" r:id="R59a9a0a34e174f1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30" hidden="0" customWidth="1"/>
    <x:col min="4" max="4" width="20" hidden="0" customWidth="1"/>
    <x:col min="5" max="5" width="20" hidden="0" customWidth="1"/>
    <x:col min="6" max="6" width="38" hidden="0" customWidth="1"/>
    <x:col min="7" max="7" width="36" hidden="0" customWidth="1"/>
    <x:col min="8" max="8" width="36" hidden="0" customWidth="1"/>
    <x:col min="9" max="9" width="36" hidden="0" customWidth="1"/>
    <x:col min="10" max="10" width="36" hidden="0" customWidth="1"/>
    <x:col min="11" max="11" width="36" hidden="0" customWidth="1"/>
    <x:col min="12" max="12" width="36" hidden="0" customWidth="1"/>
    <x:col min="13" max="13" width="42" hidden="0" customWidth="1"/>
    <x:col min="14" max="14" width="18" hidden="0" customWidth="1"/>
    <x:col min="15" max="15" width="18" hidden="0" customWidth="1"/>
    <x:col min="16" max="16" width="18" hidden="0" customWidth="1"/>
    <x:col min="17" max="17" width="18" hidden="0" customWidth="1"/>
  </x:cols>
  <x:sheetData>
    <x:row r="1" ht="36" customHeight="1">
      <x:c r="A1" s="81" t="str">
        <x:v>Record ID</x:v>
      </x:c>
      <x:c r="B1" s="82" t="str">
        <x:v>Submitted Scientific Name</x:v>
      </x:c>
      <x:c r="C1" s="82" t="str">
        <x:v>Accepted Scientific Name</x:v>
      </x:c>
      <x:c r="D1" s="82" t="str">
        <x:v>Family</x:v>
      </x:c>
      <x:c r="E1" s="82" t="str">
        <x:v>Genus</x:v>
      </x:c>
      <x:c r="F1" s="82" t="str">
        <x:v>Common Name(s)</x:v>
      </x:c>
      <x:c r="G1" s="82" t="str">
        <x:v>Plain-Language Recognition</x:v>
      </x:c>
      <x:c r="H1" s="82" t="str">
        <x:v>Key Botanical Characters</x:v>
      </x:c>
      <x:c r="I1" s="82" t="str">
        <x:v>Similar Hays Taxa / Lookalikes</x:v>
      </x:c>
      <x:c r="J1" s="82" t="str">
        <x:v>How To Tell Apart</x:v>
      </x:c>
      <x:c r="K1" s="82" t="str">
        <x:v>What To Inspect or Photograph</x:v>
      </x:c>
      <x:c r="L1" s="82" t="str">
        <x:v>Season and Habitat Clues</x:v>
      </x:c>
      <x:c r="M1" s="82" t="str">
        <x:v>Evidence URLs</x:v>
      </x:c>
      <x:c r="N1" s="82" t="str">
        <x:v>Status</x:v>
      </x:c>
      <x:c r="O1" s="82" t="str">
        <x:v>Researcher</x:v>
      </x:c>
      <x:c r="P1" s="82" t="str">
        <x:v>Reviewer Notes</x:v>
      </x:c>
      <x:c r="Q1" s="82" t="str">
        <x:v>Last Reviewed</x:v>
      </x:c>
    </x:row>
    <x:row r="2" ht="20" customHeight="1">
      <x:c r="A2" s="83" t="str">
        <x:v>HAYS-0001</x:v>
      </x:c>
      <x:c r="B2" s="87" t="str">
        <x:v>Abutilon fruticosum</x:v>
      </x:c>
      <x:c r="C2" s="87" t="str">
        <x:v>Abutilon fruticosum</x:v>
      </x:c>
      <x:c r="D2" s="84" t="str">
        <x:v>Malvaceae</x:v>
      </x:c>
      <x:c r="E2" s="84" t="str">
        <x:v>Abutilon</x:v>
      </x:c>
      <x:c r="F2" s="84" t="str">
        <x:v>Indian Mallow, Texas Indian Mallow</x:v>
      </x:c>
      <x:c r="G2" s="119"/>
      <x:c r="H2" s="119"/>
      <x:c r="I2" s="119"/>
      <x:c r="J2" s="119"/>
      <x:c r="K2" s="119"/>
      <x:c r="L2" s="119"/>
      <x:c r="M2" s="119"/>
      <x:c r="N2" s="115" t="str">
        <x:v>Not Started</x:v>
      </x:c>
      <x:c r="O2" s="115"/>
      <x:c r="P2" s="119"/>
      <x:c r="Q2" s="116"/>
    </x:row>
    <x:row r="3" ht="20" customHeight="1">
      <x:c r="A3" s="83" t="str">
        <x:v>HAYS-0002</x:v>
      </x:c>
      <x:c r="B3" s="87" t="str">
        <x:v>Abutilon incanum</x:v>
      </x:c>
      <x:c r="C3" s="87" t="str">
        <x:v>Abutilon incanum</x:v>
      </x:c>
      <x:c r="D3" s="84" t="str">
        <x:v>Malvaceae</x:v>
      </x:c>
      <x:c r="E3" s="84" t="str">
        <x:v>Abutilon</x:v>
      </x:c>
      <x:c r="F3" s="84" t="str">
        <x:v>Pelotazo, Indian Mallow, Shrubby Indian Mallow</x:v>
      </x:c>
      <x:c r="G3" s="119"/>
      <x:c r="H3" s="119"/>
      <x:c r="I3" s="119"/>
      <x:c r="J3" s="119"/>
      <x:c r="K3" s="119"/>
      <x:c r="L3" s="119"/>
      <x:c r="M3" s="119"/>
      <x:c r="N3" s="115" t="str">
        <x:v>Not Started</x:v>
      </x:c>
      <x:c r="O3" s="115"/>
      <x:c r="P3" s="119"/>
      <x:c r="Q3" s="116"/>
    </x:row>
    <x:row r="4" ht="20" customHeight="1">
      <x:c r="A4" s="83" t="str">
        <x:v>HAYS-0003</x:v>
      </x:c>
      <x:c r="B4" s="87" t="str">
        <x:v>Acaciella angustissima var. hirta</x:v>
      </x:c>
      <x:c r="C4" s="87" t="str">
        <x:v>Acaciella angustissima var. texensis</x:v>
      </x:c>
      <x:c r="D4" s="84" t="str">
        <x:v>Fabaceae</x:v>
      </x:c>
      <x:c r="E4" s="84" t="str">
        <x:v>Acaciella</x:v>
      </x:c>
      <x:c r="F4" s="84" t="str">
        <x:v>Prairie Acacia, Texas Prairie Acacia, Texas Fern Acacia, Prairie Wattle</x:v>
      </x:c>
      <x:c r="G4" s="119"/>
      <x:c r="H4" s="119"/>
      <x:c r="I4" s="119"/>
      <x:c r="J4" s="119"/>
      <x:c r="K4" s="119"/>
      <x:c r="L4" s="119"/>
      <x:c r="M4" s="119"/>
      <x:c r="N4" s="115" t="str">
        <x:v>Not Started</x:v>
      </x:c>
      <x:c r="O4" s="115"/>
      <x:c r="P4" s="119"/>
      <x:c r="Q4" s="116"/>
    </x:row>
    <x:row r="5" ht="105" customHeight="1">
      <x:c r="A5" s="83" t="str">
        <x:v>HAYS-0004</x:v>
      </x:c>
      <x:c r="B5" s="87" t="str">
        <x:v>Acalypha persimilis</x:v>
      </x:c>
      <x:c r="C5" s="87" t="str">
        <x:v>Acalypha persimilis</x:v>
      </x:c>
      <x:c r="D5" s="84" t="str">
        <x:v>Euphorbiaceae</x:v>
      </x:c>
      <x:c r="E5" s="84" t="str">
        <x:v>Acalypha</x:v>
      </x:c>
      <x:c r="F5" s="84" t="str">
        <x:v>Hornbeam Copperleaf</x:v>
      </x:c>
      <x:c r="G5" s="119" t="str">
        <x:v>Begin with the Acalypha spike and enlarged female bracts; species-level separation is not yet complete.</x:v>
      </x:c>
      <x:c r="H5" s="119" t="str">
        <x:v>Usually alternate simple leaves; spikelike inflorescences; pistillate flowers often below staminate flowers; petals absent; accrescent pistillate bracts; latex absent. Species evidence: Do not separate from the other Hays Acalypha by leaf outline alone. Compare bract architecture, spike position, habit, and mature fruit.</x:v>
      </x:c>
      <x:c r="I5" s="119" t="str">
        <x:v>A. phleoides; A. radians</x:v>
      </x:c>
      <x:c r="J5" s="119" t="str">
        <x:v>Do not separate from the other Hays Acalypha by leaf outline alone. Compare bract architecture, spike position, habit, and mature fruit.</x:v>
      </x:c>
      <x:c r="K5" s="119" t="str">
        <x:v>Whole plant, both leaf surfaces, entire spike, pistillate bract face and edge, mature fruit.</x:v>
      </x:c>
      <x:c r="L5" s="119"/>
      <x:c r="M5" s="119" t="str">
        <x:v>https://floranorthamerica.org/Acalypha</x:v>
      </x:c>
      <x:c r="N5" s="115" t="str">
        <x:v>In Progress</x:v>
      </x:c>
      <x:c r="O5" s="115" t="str">
        <x:v>Main chat — Euphorbiaceae pilot</x:v>
      </x:c>
      <x:c r="P5" s="119" t="str">
        <x:v>Genus strong / species pending. Next: Locate an authoritative regional treatment for A. persimilis.</x:v>
      </x:c>
      <x:c r="Q5" s="116" t="str">
        <x:v>2026-07-28</x:v>
      </x:c>
    </x:row>
    <x:row r="6" ht="105" customHeight="1">
      <x:c r="A6" s="83" t="str">
        <x:v>HAYS-0005</x:v>
      </x:c>
      <x:c r="B6" s="87" t="str">
        <x:v>Acalypha phleoides</x:v>
      </x:c>
      <x:c r="C6" s="87" t="str">
        <x:v>Acalypha phleoides</x:v>
      </x:c>
      <x:c r="D6" s="84" t="str">
        <x:v>Euphorbiaceae</x:v>
      </x:c>
      <x:c r="E6" s="84" t="str">
        <x:v>Acalypha</x:v>
      </x:c>
      <x:c r="F6" s="84" t="str">
        <x:v>Shrubby Copperleaf, Three-seeded Mercury</x:v>
      </x:c>
      <x:c r="G6" s="119" t="str">
        <x:v>Usually erect, with larger leaves and terminal bisexual spikes; petioles are short.</x:v>
      </x:c>
      <x:c r="H6" s="119" t="str">
        <x:v>Usually alternate simple leaves; spikelike inflorescences; pistillate flowers often below staminate flowers; petals absent; accrescent pistillate bracts; latex absent. Species evidence: Against A. radians: erect rather than prostrate/ascending; leaves about 2–6 cm; terminal bisexual inflorescences; petioles about 0.2–1 cm.</x:v>
      </x:c>
      <x:c r="I6" s="119" t="str">
        <x:v>A. radians; A. persimilis</x:v>
      </x:c>
      <x:c r="J6" s="119" t="str">
        <x:v>Against A. radians: erect rather than prostrate/ascending; leaves about 2–6 cm; terminal bisexual inflorescences; petioles about 0.2–1 cm.</x:v>
      </x:c>
      <x:c r="K6" s="119" t="str">
        <x:v>Habit, petiole-to-blade ratio, terminal spike, pistillate bracts.</x:v>
      </x:c>
      <x:c r="L6" s="119"/>
      <x:c r="M6" s="119" t="str">
        <x:v>https://floranorthamerica.org/Acalypha</x:v>
      </x:c>
      <x:c r="N6" s="115" t="str">
        <x:v>In Progress</x:v>
      </x:c>
      <x:c r="O6" s="115" t="str">
        <x:v>Main chat — Euphorbiaceae pilot</x:v>
      </x:c>
      <x:c r="P6" s="119" t="str">
        <x:v>High first-pass. Next: Add A. persimilis to a three-way regional key.</x:v>
      </x:c>
      <x:c r="Q6" s="116" t="str">
        <x:v>2026-07-28</x:v>
      </x:c>
    </x:row>
    <x:row r="7" ht="105" customHeight="1">
      <x:c r="A7" s="83" t="str">
        <x:v>HAYS-0006</x:v>
      </x:c>
      <x:c r="B7" s="87" t="str">
        <x:v>Acalypha radians</x:v>
      </x:c>
      <x:c r="C7" s="87" t="str">
        <x:v>Acalypha radians</x:v>
      </x:c>
      <x:c r="D7" s="84" t="str">
        <x:v>Euphorbiaceae</x:v>
      </x:c>
      <x:c r="E7" s="84" t="str">
        <x:v>Acalypha</x:v>
      </x:c>
      <x:c r="F7" s="84" t="str">
        <x:v>Cardinal's Feather, Cardinal Feather</x:v>
      </x:c>
      <x:c r="G7" s="119" t="str">
        <x:v>Low/prostrate to ascending copperleaf with small, deeply scalloped leaves on proportionally long petioles.</x:v>
      </x:c>
      <x:c r="H7" s="119" t="str">
        <x:v>Usually alternate simple leaves; spikelike inflorescences; pistillate flowers often below staminate flowers; petals absent; accrescent pistillate bracts; latex absent. Species evidence: Against A. phleoides: leaves about 0.3–2.5 cm, petioles longer than two-thirds of blade, deeply crenate margins, and deeply lobed pistillate bracts.</x:v>
      </x:c>
      <x:c r="I7" s="119" t="str">
        <x:v>A. phleoides; A. persimilis</x:v>
      </x:c>
      <x:c r="J7" s="119" t="str">
        <x:v>Against A. phleoides: leaves about 0.3–2.5 cm, petioles longer than two-thirds of blade, deeply crenate margins, and deeply lobed pistillate bracts.</x:v>
      </x:c>
      <x:c r="K7" s="119" t="str">
        <x:v>Whole habit, petiole beside blade, leaf margin, pistillate bract lobes.</x:v>
      </x:c>
      <x:c r="L7" s="119"/>
      <x:c r="M7" s="119" t="str">
        <x:v>https://floranorthamerica.org/Acalypha</x:v>
      </x:c>
      <x:c r="N7" s="115" t="str">
        <x:v>In Progress</x:v>
      </x:c>
      <x:c r="O7" s="115" t="str">
        <x:v>Main chat — Euphorbiaceae pilot</x:v>
      </x:c>
      <x:c r="P7" s="119" t="str">
        <x:v>High first-pass. Next: Add calibrated macro photographs of the bract.</x:v>
      </x:c>
      <x:c r="Q7" s="116" t="str">
        <x:v>2026-07-28</x:v>
      </x:c>
    </x:row>
    <x:row r="8" ht="20" customHeight="1">
      <x:c r="A8" s="83" t="str">
        <x:v>HAYS-0007</x:v>
      </x:c>
      <x:c r="B8" s="87" t="str">
        <x:v>Acer grandidentatum</x:v>
      </x:c>
      <x:c r="C8" s="87" t="str">
        <x:v>Acer grandidentatum</x:v>
      </x:c>
      <x:c r="D8" s="84" t="str">
        <x:v>Sapindaceae</x:v>
      </x:c>
      <x:c r="E8" s="84" t="str">
        <x:v>Acer</x:v>
      </x:c>
      <x:c r="F8" s="84" t="str">
        <x:v>Bigtooth Maple, Big-toothed Maple, Uvalde Bigtooth Maple, Southwestern Bigtooth Maple, Canyon Maple, Sabinal Maple, Western Sugar Maple</x:v>
      </x:c>
      <x:c r="G8" s="119"/>
      <x:c r="H8" s="119"/>
      <x:c r="I8" s="119"/>
      <x:c r="J8" s="119"/>
      <x:c r="K8" s="119"/>
      <x:c r="L8" s="119"/>
      <x:c r="M8" s="119"/>
      <x:c r="N8" s="115" t="str">
        <x:v>Not Started</x:v>
      </x:c>
      <x:c r="O8" s="115"/>
      <x:c r="P8" s="119"/>
      <x:c r="Q8" s="116"/>
    </x:row>
    <x:row r="9" ht="20" customHeight="1">
      <x:c r="A9" s="83" t="str">
        <x:v>HAYS-0008</x:v>
      </x:c>
      <x:c r="B9" s="87" t="str">
        <x:v>Acer negundo</x:v>
      </x:c>
      <x:c r="C9" s="87" t="str">
        <x:v>Acer negundo</x:v>
      </x:c>
      <x:c r="D9" s="84" t="str">
        <x:v>Sapindaceae</x:v>
      </x:c>
      <x:c r="E9" s="84" t="str">
        <x:v>Acer</x:v>
      </x:c>
      <x:c r="F9" s="84" t="str">
        <x:v>Box Elder</x:v>
      </x:c>
      <x:c r="G9" s="119"/>
      <x:c r="H9" s="119"/>
      <x:c r="I9" s="119"/>
      <x:c r="J9" s="119"/>
      <x:c r="K9" s="119"/>
      <x:c r="L9" s="119"/>
      <x:c r="M9" s="119"/>
      <x:c r="N9" s="115" t="str">
        <x:v>Not Started</x:v>
      </x:c>
      <x:c r="O9" s="115"/>
      <x:c r="P9" s="119"/>
      <x:c r="Q9" s="116"/>
    </x:row>
    <x:row r="10" ht="20" customHeight="1">
      <x:c r="A10" s="83" t="str">
        <x:v>HAYS-0009</x:v>
      </x:c>
      <x:c r="B10" s="87" t="str">
        <x:v>Achillea millefolium</x:v>
      </x:c>
      <x:c r="C10" s="87" t="str">
        <x:v>Achillea millefolium</x:v>
      </x:c>
      <x:c r="D10" s="84" t="str">
        <x:v>Asteraceae</x:v>
      </x:c>
      <x:c r="E10" s="84" t="str">
        <x:v>Achillea</x:v>
      </x:c>
      <x:c r="F10" s="84" t="str">
        <x:v>Common Yarrow, Western Yarrow, Yarrow, Milfoil</x:v>
      </x:c>
      <x:c r="G10" s="119"/>
      <x:c r="H10" s="119"/>
      <x:c r="I10" s="119"/>
      <x:c r="J10" s="119"/>
      <x:c r="K10" s="119"/>
      <x:c r="L10" s="119"/>
      <x:c r="M10" s="119"/>
      <x:c r="N10" s="115" t="str">
        <x:v>Not Started</x:v>
      </x:c>
      <x:c r="O10" s="115"/>
      <x:c r="P10" s="119"/>
      <x:c r="Q10" s="116"/>
    </x:row>
    <x:row r="11" ht="20" customHeight="1">
      <x:c r="A11" s="83" t="str">
        <x:v>HAYS-0010</x:v>
      </x:c>
      <x:c r="B11" s="87" t="str">
        <x:v>Acleisanthes longiflora</x:v>
      </x:c>
      <x:c r="C11" s="87" t="str">
        <x:v>Acleisanthes longiflora</x:v>
      </x:c>
      <x:c r="D11" s="84" t="str">
        <x:v>Nyctaginaceae</x:v>
      </x:c>
      <x:c r="E11" s="84" t="str">
        <x:v>Acleisanthes</x:v>
      </x:c>
      <x:c r="F11" s="84" t="str">
        <x:v>Angel's Trumpets, Angel Trumpets</x:v>
      </x:c>
      <x:c r="G11" s="119"/>
      <x:c r="H11" s="119"/>
      <x:c r="I11" s="119"/>
      <x:c r="J11" s="119"/>
      <x:c r="K11" s="119"/>
      <x:c r="L11" s="119"/>
      <x:c r="M11" s="119"/>
      <x:c r="N11" s="115" t="str">
        <x:v>Not Started</x:v>
      </x:c>
      <x:c r="O11" s="115"/>
      <x:c r="P11" s="119"/>
      <x:c r="Q11" s="116"/>
    </x:row>
    <x:row r="12" ht="20" customHeight="1">
      <x:c r="A12" s="83" t="str">
        <x:v>HAYS-0011</x:v>
      </x:c>
      <x:c r="B12" s="87" t="str">
        <x:v>Acleisanthes obtusa</x:v>
      </x:c>
      <x:c r="C12" s="87" t="str">
        <x:v>Acleisanthes obtusa</x:v>
      </x:c>
      <x:c r="D12" s="84" t="str">
        <x:v>Nyctaginaceae</x:v>
      </x:c>
      <x:c r="E12" s="84" t="str">
        <x:v>Acleisanthes</x:v>
      </x:c>
      <x:c r="F12" s="84" t="str">
        <x:v>Berlandier's Trumpet</x:v>
      </x:c>
      <x:c r="G12" s="119"/>
      <x:c r="H12" s="119"/>
      <x:c r="I12" s="119"/>
      <x:c r="J12" s="119"/>
      <x:c r="K12" s="119"/>
      <x:c r="L12" s="119"/>
      <x:c r="M12" s="119"/>
      <x:c r="N12" s="115" t="str">
        <x:v>Not Started</x:v>
      </x:c>
      <x:c r="O12" s="115"/>
      <x:c r="P12" s="119"/>
      <x:c r="Q12" s="116"/>
    </x:row>
    <x:row r="13" ht="20" customHeight="1">
      <x:c r="A13" s="83" t="str">
        <x:v>HAYS-0012</x:v>
      </x:c>
      <x:c r="B13" s="87" t="str">
        <x:v>Acmella oppositifolia var. repens</x:v>
      </x:c>
      <x:c r="C13" s="87" t="str">
        <x:v>Acmella repens</x:v>
      </x:c>
      <x:c r="D13" s="84" t="str">
        <x:v>Asteraceae</x:v>
      </x:c>
      <x:c r="E13" s="84" t="str">
        <x:v>Acmella</x:v>
      </x:c>
      <x:c r="F13" s="84" t="str">
        <x:v>Spotflower</x:v>
      </x:c>
      <x:c r="G13" s="119"/>
      <x:c r="H13" s="119"/>
      <x:c r="I13" s="119"/>
      <x:c r="J13" s="119"/>
      <x:c r="K13" s="119"/>
      <x:c r="L13" s="119"/>
      <x:c r="M13" s="119"/>
      <x:c r="N13" s="115" t="str">
        <x:v>Not Started</x:v>
      </x:c>
      <x:c r="O13" s="115"/>
      <x:c r="P13" s="119"/>
      <x:c r="Q13" s="116"/>
    </x:row>
    <x:row r="14" ht="20" customHeight="1">
      <x:c r="A14" s="83" t="str">
        <x:v>HAYS-0013</x:v>
      </x:c>
      <x:c r="B14" s="87" t="str">
        <x:v>Acourtia runcinata</x:v>
      </x:c>
      <x:c r="C14" s="87" t="str">
        <x:v>Acourtia runcinata</x:v>
      </x:c>
      <x:c r="D14" s="84" t="str">
        <x:v>Asteraceae</x:v>
      </x:c>
      <x:c r="E14" s="84" t="str">
        <x:v>Acourtia</x:v>
      </x:c>
      <x:c r="F14" s="84" t="str">
        <x:v>Featherleaf Desertpeony, Peonia</x:v>
      </x:c>
      <x:c r="G14" s="119"/>
      <x:c r="H14" s="119"/>
      <x:c r="I14" s="119"/>
      <x:c r="J14" s="119"/>
      <x:c r="K14" s="119"/>
      <x:c r="L14" s="119"/>
      <x:c r="M14" s="119"/>
      <x:c r="N14" s="115" t="str">
        <x:v>Not Started</x:v>
      </x:c>
      <x:c r="O14" s="115"/>
      <x:c r="P14" s="119"/>
      <x:c r="Q14" s="116"/>
    </x:row>
    <x:row r="15" ht="20" customHeight="1">
      <x:c r="A15" s="83" t="str">
        <x:v>HAYS-0014</x:v>
      </x:c>
      <x:c r="B15" s="87" t="str">
        <x:v>Acourtia wrightii</x:v>
      </x:c>
      <x:c r="C15" s="87" t="str">
        <x:v>Acourtia wrightii</x:v>
      </x:c>
      <x:c r="D15" s="84" t="str">
        <x:v>Asteraceae</x:v>
      </x:c>
      <x:c r="E15" s="84" t="str">
        <x:v>Acourtia</x:v>
      </x:c>
      <x:c r="F15" s="84" t="str">
        <x:v>Brownfoot, Pink Perezia</x:v>
      </x:c>
      <x:c r="G15" s="119"/>
      <x:c r="H15" s="119"/>
      <x:c r="I15" s="119"/>
      <x:c r="J15" s="119"/>
      <x:c r="K15" s="119"/>
      <x:c r="L15" s="119"/>
      <x:c r="M15" s="119"/>
      <x:c r="N15" s="115" t="str">
        <x:v>Not Started</x:v>
      </x:c>
      <x:c r="O15" s="115"/>
      <x:c r="P15" s="119"/>
      <x:c r="Q15" s="116"/>
    </x:row>
    <x:row r="16" ht="20" customHeight="1">
      <x:c r="A16" s="83" t="str">
        <x:v>HAYS-0015</x:v>
      </x:c>
      <x:c r="B16" s="87" t="str">
        <x:v>Adiantum capillus-veneris</x:v>
      </x:c>
      <x:c r="C16" s="87" t="str">
        <x:v>Adiantum capillus-veneris</x:v>
      </x:c>
      <x:c r="D16" s="84" t="str">
        <x:v>Pteridaceae</x:v>
      </x:c>
      <x:c r="E16" s="84" t="str">
        <x:v>Adiantum</x:v>
      </x:c>
      <x:c r="F16" s="84" t="str">
        <x:v>Southern Maidenhair Fern, Common Maidenhair Fern, Maidenhair Fern, Venus Hair Fern</x:v>
      </x:c>
      <x:c r="G16" s="119"/>
      <x:c r="H16" s="119"/>
      <x:c r="I16" s="119"/>
      <x:c r="J16" s="119"/>
      <x:c r="K16" s="119"/>
      <x:c r="L16" s="119"/>
      <x:c r="M16" s="119"/>
      <x:c r="N16" s="115" t="str">
        <x:v>Not Started</x:v>
      </x:c>
      <x:c r="O16" s="115"/>
      <x:c r="P16" s="119"/>
      <x:c r="Q16" s="116"/>
    </x:row>
    <x:row r="17" ht="20" customHeight="1">
      <x:c r="A17" s="83" t="str">
        <x:v>HAYS-0016</x:v>
      </x:c>
      <x:c r="B17" s="87" t="str">
        <x:v>Adiantum pedatum</x:v>
      </x:c>
      <x:c r="C17" s="87" t="str">
        <x:v>Adiantum pedatum</x:v>
      </x:c>
      <x:c r="D17" s="84" t="str">
        <x:v>Pteridaceae</x:v>
      </x:c>
      <x:c r="E17" s="84" t="str">
        <x:v>Adiantum</x:v>
      </x:c>
      <x:c r="F17" s="84" t="str">
        <x:v>Maidenhair Fern</x:v>
      </x:c>
      <x:c r="G17" s="119"/>
      <x:c r="H17" s="119"/>
      <x:c r="I17" s="119"/>
      <x:c r="J17" s="119"/>
      <x:c r="K17" s="119"/>
      <x:c r="L17" s="119"/>
      <x:c r="M17" s="119"/>
      <x:c r="N17" s="115" t="str">
        <x:v>Not Started</x:v>
      </x:c>
      <x:c r="O17" s="115"/>
      <x:c r="P17" s="119"/>
      <x:c r="Q17" s="116"/>
    </x:row>
    <x:row r="18" ht="20" customHeight="1">
      <x:c r="A18" s="83" t="str">
        <x:v>HAYS-0017</x:v>
      </x:c>
      <x:c r="B18" s="87" t="str">
        <x:v>Aesculus glabra</x:v>
      </x:c>
      <x:c r="C18" s="87" t="str">
        <x:v>Aesculus glabra</x:v>
      </x:c>
      <x:c r="D18" s="84" t="str">
        <x:v>Sapindaceae</x:v>
      </x:c>
      <x:c r="E18" s="84" t="str">
        <x:v>Aesculus</x:v>
      </x:c>
      <x:c r="F18" s="84" t="str">
        <x:v>Ohio Buckeye, Texas Buckeye, Fetid Buckeye, Horse Chestnut</x:v>
      </x:c>
      <x:c r="G18" s="119"/>
      <x:c r="H18" s="119"/>
      <x:c r="I18" s="119"/>
      <x:c r="J18" s="119"/>
      <x:c r="K18" s="119"/>
      <x:c r="L18" s="119"/>
      <x:c r="M18" s="119"/>
      <x:c r="N18" s="115" t="str">
        <x:v>Not Started</x:v>
      </x:c>
      <x:c r="O18" s="115"/>
      <x:c r="P18" s="119"/>
      <x:c r="Q18" s="116"/>
    </x:row>
    <x:row r="19" ht="20" customHeight="1">
      <x:c r="A19" s="83" t="str">
        <x:v>HAYS-0018</x:v>
      </x:c>
      <x:c r="B19" s="87" t="str">
        <x:v>Aesculus pavia</x:v>
      </x:c>
      <x:c r="C19" s="87" t="str">
        <x:v>Aesculus pavia</x:v>
      </x:c>
      <x:c r="D19" s="84" t="str">
        <x:v>Sapindaceae</x:v>
      </x:c>
      <x:c r="E19" s="84" t="str">
        <x:v>Aesculus</x:v>
      </x:c>
      <x:c r="F19" s="84" t="str">
        <x:v>Red Buckeye, Scarlet Buckeye , Firecracker Plant</x:v>
      </x:c>
      <x:c r="G19" s="119"/>
      <x:c r="H19" s="119"/>
      <x:c r="I19" s="119"/>
      <x:c r="J19" s="119"/>
      <x:c r="K19" s="119"/>
      <x:c r="L19" s="119"/>
      <x:c r="M19" s="119"/>
      <x:c r="N19" s="115" t="str">
        <x:v>Not Started</x:v>
      </x:c>
      <x:c r="O19" s="115"/>
      <x:c r="P19" s="119"/>
      <x:c r="Q19" s="116"/>
    </x:row>
    <x:row r="20" ht="20" customHeight="1">
      <x:c r="A20" s="83" t="str">
        <x:v>HAYS-0019</x:v>
      </x:c>
      <x:c r="B20" s="87" t="str">
        <x:v>Aesculus pavia var. pavia</x:v>
      </x:c>
      <x:c r="C20" s="87" t="str">
        <x:v>Aesculus pavia var. pavia</x:v>
      </x:c>
      <x:c r="D20" s="84" t="str">
        <x:v>Sapindaceae</x:v>
      </x:c>
      <x:c r="E20" s="84" t="str">
        <x:v>Aesculus</x:v>
      </x:c>
      <x:c r="F20" s="84" t="str">
        <x:v>Scarlet Buckeye, Red Buckeye, Southern Buckeye, Firecracker Plant</x:v>
      </x:c>
      <x:c r="G20" s="119"/>
      <x:c r="H20" s="119"/>
      <x:c r="I20" s="119"/>
      <x:c r="J20" s="119"/>
      <x:c r="K20" s="119"/>
      <x:c r="L20" s="119"/>
      <x:c r="M20" s="119"/>
      <x:c r="N20" s="115" t="str">
        <x:v>Not Started</x:v>
      </x:c>
      <x:c r="O20" s="115"/>
      <x:c r="P20" s="119"/>
      <x:c r="Q20" s="116"/>
    </x:row>
    <x:row r="21" ht="20" customHeight="1">
      <x:c r="A21" s="83" t="str">
        <x:v>HAYS-0020</x:v>
      </x:c>
      <x:c r="B21" s="87" t="str">
        <x:v>Agalinis edwardsiana</x:v>
      </x:c>
      <x:c r="C21" s="87" t="str">
        <x:v>Agalinis edwardsiana</x:v>
      </x:c>
      <x:c r="D21" s="84" t="str">
        <x:v>Orobanchaceae</x:v>
      </x:c>
      <x:c r="E21" s="84" t="str">
        <x:v>Agalinis</x:v>
      </x:c>
      <x:c r="F21" s="84" t="str">
        <x:v>Plateau False Foxglove, Plateau Agalinis, Plateau Gerardia, Plateau False-foxglove</x:v>
      </x:c>
      <x:c r="G21" s="119"/>
      <x:c r="H21" s="119"/>
      <x:c r="I21" s="119"/>
      <x:c r="J21" s="119"/>
      <x:c r="K21" s="119"/>
      <x:c r="L21" s="119"/>
      <x:c r="M21" s="119"/>
      <x:c r="N21" s="115" t="str">
        <x:v>Not Started</x:v>
      </x:c>
      <x:c r="O21" s="115"/>
      <x:c r="P21" s="119"/>
      <x:c r="Q21" s="116"/>
    </x:row>
    <x:row r="22" ht="20" customHeight="1">
      <x:c r="A22" s="83" t="str">
        <x:v>HAYS-0021</x:v>
      </x:c>
      <x:c r="B22" s="87" t="str">
        <x:v>Agalinis heterophylla</x:v>
      </x:c>
      <x:c r="C22" s="87" t="str">
        <x:v>Agalinis heterophylla</x:v>
      </x:c>
      <x:c r="D22" s="84" t="str">
        <x:v>Orobanchaceae</x:v>
      </x:c>
      <x:c r="E22" s="84" t="str">
        <x:v>Agalinis</x:v>
      </x:c>
      <x:c r="F22" s="84" t="str">
        <x:v>Prairie Agalinis, Prairie False-foxglove</x:v>
      </x:c>
      <x:c r="G22" s="119"/>
      <x:c r="H22" s="119"/>
      <x:c r="I22" s="119"/>
      <x:c r="J22" s="119"/>
      <x:c r="K22" s="119"/>
      <x:c r="L22" s="119"/>
      <x:c r="M22" s="119"/>
      <x:c r="N22" s="115" t="str">
        <x:v>Not Started</x:v>
      </x:c>
      <x:c r="O22" s="115"/>
      <x:c r="P22" s="119"/>
      <x:c r="Q22" s="116"/>
    </x:row>
    <x:row r="23" ht="20" customHeight="1">
      <x:c r="A23" s="83" t="str">
        <x:v>HAYS-0022</x:v>
      </x:c>
      <x:c r="B23" s="87" t="str">
        <x:v>Agave americana</x:v>
      </x:c>
      <x:c r="C23" s="87" t="str">
        <x:v>Agave americana</x:v>
      </x:c>
      <x:c r="D23" s="84" t="str">
        <x:v>Asparagaceae</x:v>
      </x:c>
      <x:c r="E23" s="84" t="str">
        <x:v>Agave</x:v>
      </x:c>
      <x:c r="F23" s="84" t="str">
        <x:v>Blue Agave (Century Plant)</x:v>
      </x:c>
      <x:c r="G23" s="119"/>
      <x:c r="H23" s="119"/>
      <x:c r="I23" s="119"/>
      <x:c r="J23" s="119"/>
      <x:c r="K23" s="119"/>
      <x:c r="L23" s="119"/>
      <x:c r="M23" s="119"/>
      <x:c r="N23" s="115" t="str">
        <x:v>Not Started</x:v>
      </x:c>
      <x:c r="O23" s="115"/>
      <x:c r="P23" s="119"/>
      <x:c r="Q23" s="116"/>
    </x:row>
    <x:row r="24" ht="20" customHeight="1">
      <x:c r="A24" s="83" t="str">
        <x:v>HAYS-0023</x:v>
      </x:c>
      <x:c r="B24" s="87" t="str">
        <x:v>Ageratina altissima</x:v>
      </x:c>
      <x:c r="C24" s="87" t="str">
        <x:v>Ageratina altissima</x:v>
      </x:c>
      <x:c r="D24" s="84" t="str">
        <x:v>Asteraceae</x:v>
      </x:c>
      <x:c r="E24" s="84" t="str">
        <x:v>Ageratina</x:v>
      </x:c>
      <x:c r="F24" s="84" t="str">
        <x:v>White Snakeroot</x:v>
      </x:c>
      <x:c r="G24" s="119"/>
      <x:c r="H24" s="119"/>
      <x:c r="I24" s="119"/>
      <x:c r="J24" s="119"/>
      <x:c r="K24" s="119"/>
      <x:c r="L24" s="119"/>
      <x:c r="M24" s="119"/>
      <x:c r="N24" s="115" t="str">
        <x:v>Not Started</x:v>
      </x:c>
      <x:c r="O24" s="115"/>
      <x:c r="P24" s="119"/>
      <x:c r="Q24" s="116"/>
    </x:row>
    <x:row r="25" ht="20" customHeight="1">
      <x:c r="A25" s="83" t="str">
        <x:v>HAYS-0024</x:v>
      </x:c>
      <x:c r="B25" s="87" t="str">
        <x:v>Ageratina havanensis</x:v>
      </x:c>
      <x:c r="C25" s="87" t="str">
        <x:v>Ageratina havanensis</x:v>
      </x:c>
      <x:c r="D25" s="84" t="str">
        <x:v>Asteraceae</x:v>
      </x:c>
      <x:c r="E25" s="84" t="str">
        <x:v>Ageratina</x:v>
      </x:c>
      <x:c r="F25" s="84" t="str">
        <x:v>Shrubby Boneset, White Mistflower, White Shrub Mistflower, Havana Snakeroot</x:v>
      </x:c>
      <x:c r="G25" s="119"/>
      <x:c r="H25" s="119"/>
      <x:c r="I25" s="119"/>
      <x:c r="J25" s="119"/>
      <x:c r="K25" s="119"/>
      <x:c r="L25" s="119"/>
      <x:c r="M25" s="119"/>
      <x:c r="N25" s="115" t="str">
        <x:v>Not Started</x:v>
      </x:c>
      <x:c r="O25" s="115"/>
      <x:c r="P25" s="119"/>
      <x:c r="Q25" s="116"/>
    </x:row>
    <x:row r="26" ht="20" customHeight="1">
      <x:c r="A26" s="83" t="str">
        <x:v>HAYS-0025</x:v>
      </x:c>
      <x:c r="B26" s="87" t="str">
        <x:v>Allium canadense</x:v>
      </x:c>
      <x:c r="C26" s="87" t="str">
        <x:v>Allium canadense</x:v>
      </x:c>
      <x:c r="D26" s="84" t="str">
        <x:v>Amaryllidaceae</x:v>
      </x:c>
      <x:c r="E26" s="84" t="str">
        <x:v>Allium</x:v>
      </x:c>
      <x:c r="F26" s="84" t="str">
        <x:v>Meadow Garlic, Wild Garlic, Wild Onion</x:v>
      </x:c>
      <x:c r="G26" s="119"/>
      <x:c r="H26" s="119"/>
      <x:c r="I26" s="119"/>
      <x:c r="J26" s="119"/>
      <x:c r="K26" s="119"/>
      <x:c r="L26" s="119"/>
      <x:c r="M26" s="119"/>
      <x:c r="N26" s="115" t="str">
        <x:v>Not Started</x:v>
      </x:c>
      <x:c r="O26" s="115"/>
      <x:c r="P26" s="119"/>
      <x:c r="Q26" s="116"/>
    </x:row>
    <x:row r="27" ht="20" customHeight="1">
      <x:c r="A27" s="83" t="str">
        <x:v>HAYS-0026</x:v>
      </x:c>
      <x:c r="B27" s="87" t="str">
        <x:v>Allium drummondii</x:v>
      </x:c>
      <x:c r="C27" s="87" t="str">
        <x:v>Allium drummondii</x:v>
      </x:c>
      <x:c r="D27" s="84" t="str">
        <x:v>Amaryllidaceae</x:v>
      </x:c>
      <x:c r="E27" s="84" t="str">
        <x:v>Allium</x:v>
      </x:c>
      <x:c r="F27" s="84" t="str">
        <x:v>Drummond's Onion, Wild Garlic, Drummond Wild Onion</x:v>
      </x:c>
      <x:c r="G27" s="119"/>
      <x:c r="H27" s="119"/>
      <x:c r="I27" s="119"/>
      <x:c r="J27" s="119"/>
      <x:c r="K27" s="119"/>
      <x:c r="L27" s="119"/>
      <x:c r="M27" s="119"/>
      <x:c r="N27" s="115" t="str">
        <x:v>Not Started</x:v>
      </x:c>
      <x:c r="O27" s="115"/>
      <x:c r="P27" s="119"/>
      <x:c r="Q27" s="116"/>
    </x:row>
    <x:row r="28" ht="20" customHeight="1">
      <x:c r="A28" s="83" t="str">
        <x:v>HAYS-0027</x:v>
      </x:c>
      <x:c r="B28" s="87" t="str">
        <x:v>Allowissadula holosericea</x:v>
      </x:c>
      <x:c r="C28" s="87" t="str">
        <x:v>Allowissadula holosericea</x:v>
      </x:c>
      <x:c r="D28" s="84" t="str">
        <x:v>Malvaceae</x:v>
      </x:c>
      <x:c r="E28" s="84" t="str">
        <x:v>Allowissadula</x:v>
      </x:c>
      <x:c r="F28" s="84" t="str">
        <x:v>Velvet-leaf Mallow, Chisos Mountain False Indianmallow</x:v>
      </x:c>
      <x:c r="G28" s="119"/>
      <x:c r="H28" s="119"/>
      <x:c r="I28" s="119"/>
      <x:c r="J28" s="119"/>
      <x:c r="K28" s="119"/>
      <x:c r="L28" s="119"/>
      <x:c r="M28" s="119"/>
      <x:c r="N28" s="115" t="str">
        <x:v>Not Started</x:v>
      </x:c>
      <x:c r="O28" s="115"/>
      <x:c r="P28" s="119"/>
      <x:c r="Q28" s="116"/>
    </x:row>
    <x:row r="29" ht="20" customHeight="1">
      <x:c r="A29" s="83" t="str">
        <x:v>HAYS-0028</x:v>
      </x:c>
      <x:c r="B29" s="87" t="str">
        <x:v>Aloysia gratissima</x:v>
      </x:c>
      <x:c r="C29" s="87" t="str">
        <x:v>Aloysia gratissima</x:v>
      </x:c>
      <x:c r="D29" s="84" t="str">
        <x:v>Verbenaceae</x:v>
      </x:c>
      <x:c r="E29" s="84" t="str">
        <x:v>Aloysia</x:v>
      </x:c>
      <x:c r="F29" s="84" t="str">
        <x:v>Whitebrush, Bee-brush, White-brush, Common Bee-brush, Beebrush, Privet Lippia</x:v>
      </x:c>
      <x:c r="G29" s="119"/>
      <x:c r="H29" s="119"/>
      <x:c r="I29" s="119"/>
      <x:c r="J29" s="119"/>
      <x:c r="K29" s="119"/>
      <x:c r="L29" s="119"/>
      <x:c r="M29" s="119"/>
      <x:c r="N29" s="115" t="str">
        <x:v>Not Started</x:v>
      </x:c>
      <x:c r="O29" s="115"/>
      <x:c r="P29" s="119"/>
      <x:c r="Q29" s="116"/>
    </x:row>
    <x:row r="30" ht="20" customHeight="1">
      <x:c r="A30" s="83" t="str">
        <x:v>HAYS-0029</x:v>
      </x:c>
      <x:c r="B30" s="87" t="str">
        <x:v>Amaranthus palmeri</x:v>
      </x:c>
      <x:c r="C30" s="87" t="str">
        <x:v>Amaranthus palmeri</x:v>
      </x:c>
      <x:c r="D30" s="84" t="str">
        <x:v>Amaranthaceae</x:v>
      </x:c>
      <x:c r="E30" s="84" t="str">
        <x:v>Amaranthus</x:v>
      </x:c>
      <x:c r="F30" s="84" t="str">
        <x:v>Carelessweed</x:v>
      </x:c>
      <x:c r="G30" s="119"/>
      <x:c r="H30" s="119"/>
      <x:c r="I30" s="119"/>
      <x:c r="J30" s="119"/>
      <x:c r="K30" s="119"/>
      <x:c r="L30" s="119"/>
      <x:c r="M30" s="119"/>
      <x:c r="N30" s="115" t="str">
        <x:v>Not Started</x:v>
      </x:c>
      <x:c r="O30" s="115"/>
      <x:c r="P30" s="119"/>
      <x:c r="Q30" s="116"/>
    </x:row>
    <x:row r="31" ht="20" customHeight="1">
      <x:c r="A31" s="83" t="str">
        <x:v>HAYS-0030</x:v>
      </x:c>
      <x:c r="B31" s="87" t="str">
        <x:v>Amaranthus polygonoides</x:v>
      </x:c>
      <x:c r="C31" s="87" t="str">
        <x:v>Amaranthus polygonoides</x:v>
      </x:c>
      <x:c r="D31" s="84" t="str">
        <x:v>Amaranthaceae</x:v>
      </x:c>
      <x:c r="E31" s="84" t="str">
        <x:v>Amaranthus</x:v>
      </x:c>
      <x:c r="F31" s="84" t="str">
        <x:v>Tropical Amaranth</x:v>
      </x:c>
      <x:c r="G31" s="119"/>
      <x:c r="H31" s="119"/>
      <x:c r="I31" s="119"/>
      <x:c r="J31" s="119"/>
      <x:c r="K31" s="119"/>
      <x:c r="L31" s="119"/>
      <x:c r="M31" s="119"/>
      <x:c r="N31" s="115" t="str">
        <x:v>Not Started</x:v>
      </x:c>
      <x:c r="O31" s="115"/>
      <x:c r="P31" s="119"/>
      <x:c r="Q31" s="116"/>
    </x:row>
    <x:row r="32" ht="20" customHeight="1">
      <x:c r="A32" s="83" t="str">
        <x:v>HAYS-0031</x:v>
      </x:c>
      <x:c r="B32" s="87" t="str">
        <x:v>Amaranthus retroflexus</x:v>
      </x:c>
      <x:c r="C32" s="87" t="str">
        <x:v>Amaranthus retroflexus</x:v>
      </x:c>
      <x:c r="D32" s="84" t="str">
        <x:v>Amaranthaceae</x:v>
      </x:c>
      <x:c r="E32" s="84" t="str">
        <x:v>Amaranthus</x:v>
      </x:c>
      <x:c r="F32" s="84" t="str">
        <x:v>Redroot Amaranth</x:v>
      </x:c>
      <x:c r="G32" s="119"/>
      <x:c r="H32" s="119"/>
      <x:c r="I32" s="119"/>
      <x:c r="J32" s="119"/>
      <x:c r="K32" s="119"/>
      <x:c r="L32" s="119"/>
      <x:c r="M32" s="119"/>
      <x:c r="N32" s="115" t="str">
        <x:v>Not Started</x:v>
      </x:c>
      <x:c r="O32" s="115"/>
      <x:c r="P32" s="119"/>
      <x:c r="Q32" s="116"/>
    </x:row>
    <x:row r="33" ht="20" customHeight="1">
      <x:c r="A33" s="83" t="str">
        <x:v>HAYS-0032</x:v>
      </x:c>
      <x:c r="B33" s="87" t="str">
        <x:v>Amaranthus scleropoides</x:v>
      </x:c>
      <x:c r="C33" s="87" t="str">
        <x:v>Amaranthus scleropoides</x:v>
      </x:c>
      <x:c r="D33" s="84" t="str">
        <x:v>Amaranthaceae</x:v>
      </x:c>
      <x:c r="E33" s="84" t="str">
        <x:v>Amaranthus</x:v>
      </x:c>
      <x:c r="F33" s="84" t="str">
        <x:v>Bonebract Amaranth</x:v>
      </x:c>
      <x:c r="G33" s="119"/>
      <x:c r="H33" s="119"/>
      <x:c r="I33" s="119"/>
      <x:c r="J33" s="119"/>
      <x:c r="K33" s="119"/>
      <x:c r="L33" s="119"/>
      <x:c r="M33" s="119"/>
      <x:c r="N33" s="115" t="str">
        <x:v>Not Started</x:v>
      </x:c>
      <x:c r="O33" s="115"/>
      <x:c r="P33" s="119"/>
      <x:c r="Q33" s="116"/>
    </x:row>
    <x:row r="34" ht="20" customHeight="1">
      <x:c r="A34" s="83" t="str">
        <x:v>HAYS-0033</x:v>
      </x:c>
      <x:c r="B34" s="87" t="str">
        <x:v>Amaranthus spinosus</x:v>
      </x:c>
      <x:c r="C34" s="87" t="str">
        <x:v>Amaranthus spinosus</x:v>
      </x:c>
      <x:c r="D34" s="84" t="str">
        <x:v>Amaranthaceae</x:v>
      </x:c>
      <x:c r="E34" s="84" t="str">
        <x:v>Amaranthus</x:v>
      </x:c>
      <x:c r="F34" s="84" t="str">
        <x:v>Spiny Amaranth, Thorny Pigweed</x:v>
      </x:c>
      <x:c r="G34" s="119"/>
      <x:c r="H34" s="119"/>
      <x:c r="I34" s="119"/>
      <x:c r="J34" s="119"/>
      <x:c r="K34" s="119"/>
      <x:c r="L34" s="119"/>
      <x:c r="M34" s="119"/>
      <x:c r="N34" s="115" t="str">
        <x:v>Not Started</x:v>
      </x:c>
      <x:c r="O34" s="115"/>
      <x:c r="P34" s="119"/>
      <x:c r="Q34" s="116"/>
    </x:row>
    <x:row r="35" ht="20" customHeight="1">
      <x:c r="A35" s="83" t="str">
        <x:v>HAYS-0034</x:v>
      </x:c>
      <x:c r="B35" s="87" t="str">
        <x:v>Ambrosia artemisiifolia</x:v>
      </x:c>
      <x:c r="C35" s="87" t="str">
        <x:v>Ambrosia artemisiifolia</x:v>
      </x:c>
      <x:c r="D35" s="84" t="str">
        <x:v>Asteraceae</x:v>
      </x:c>
      <x:c r="E35" s="84" t="str">
        <x:v>Ambrosia</x:v>
      </x:c>
      <x:c r="F35" s="84" t="str">
        <x:v>Annual Ragweed, Short Ragweed</x:v>
      </x:c>
      <x:c r="G35" s="119"/>
      <x:c r="H35" s="119"/>
      <x:c r="I35" s="119"/>
      <x:c r="J35" s="119"/>
      <x:c r="K35" s="119"/>
      <x:c r="L35" s="119"/>
      <x:c r="M35" s="119"/>
      <x:c r="N35" s="115" t="str">
        <x:v>Not Started</x:v>
      </x:c>
      <x:c r="O35" s="115"/>
      <x:c r="P35" s="119"/>
      <x:c r="Q35" s="116"/>
    </x:row>
    <x:row r="36" ht="20" customHeight="1">
      <x:c r="A36" s="83" t="str">
        <x:v>HAYS-0035</x:v>
      </x:c>
      <x:c r="B36" s="87" t="str">
        <x:v>Ambrosia psilostachya</x:v>
      </x:c>
      <x:c r="C36" s="87" t="str">
        <x:v>Ambrosia psilostachya</x:v>
      </x:c>
      <x:c r="D36" s="84" t="str">
        <x:v>Asteraceae</x:v>
      </x:c>
      <x:c r="E36" s="84" t="str">
        <x:v>Ambrosia</x:v>
      </x:c>
      <x:c r="F36" s="84" t="str">
        <x:v>Cuman Ragweed, Western Ragweed, Perennial Ragweed, Common Ragweed</x:v>
      </x:c>
      <x:c r="G36" s="119"/>
      <x:c r="H36" s="119"/>
      <x:c r="I36" s="119"/>
      <x:c r="J36" s="119"/>
      <x:c r="K36" s="119"/>
      <x:c r="L36" s="119"/>
      <x:c r="M36" s="119"/>
      <x:c r="N36" s="115" t="str">
        <x:v>Not Started</x:v>
      </x:c>
      <x:c r="O36" s="115"/>
      <x:c r="P36" s="119"/>
      <x:c r="Q36" s="116"/>
    </x:row>
    <x:row r="37" ht="20" customHeight="1">
      <x:c r="A37" s="83" t="str">
        <x:v>HAYS-0036</x:v>
      </x:c>
      <x:c r="B37" s="87" t="str">
        <x:v>Ambrosia trifida</x:v>
      </x:c>
      <x:c r="C37" s="87" t="str">
        <x:v>Ambrosia trifida</x:v>
      </x:c>
      <x:c r="D37" s="84" t="str">
        <x:v>Asteraceae</x:v>
      </x:c>
      <x:c r="E37" s="84" t="str">
        <x:v>Ambrosia</x:v>
      </x:c>
      <x:c r="F37" s="84" t="str">
        <x:v>Great Ragweed, Giant Ragweed</x:v>
      </x:c>
      <x:c r="G37" s="119"/>
      <x:c r="H37" s="119"/>
      <x:c r="I37" s="119"/>
      <x:c r="J37" s="119"/>
      <x:c r="K37" s="119"/>
      <x:c r="L37" s="119"/>
      <x:c r="M37" s="119"/>
      <x:c r="N37" s="115" t="str">
        <x:v>Not Started</x:v>
      </x:c>
      <x:c r="O37" s="115"/>
      <x:c r="P37" s="119"/>
      <x:c r="Q37" s="116"/>
    </x:row>
    <x:row r="38" ht="20" customHeight="1">
      <x:c r="A38" s="83" t="str">
        <x:v>HAYS-0037</x:v>
      </x:c>
      <x:c r="B38" s="87" t="str">
        <x:v>Ammannia auriculata</x:v>
      </x:c>
      <x:c r="C38" s="87" t="str">
        <x:v>Ammannia auriculata</x:v>
      </x:c>
      <x:c r="D38" s="84" t="str">
        <x:v>Lythraceae</x:v>
      </x:c>
      <x:c r="E38" s="84" t="str">
        <x:v>Ammannia</x:v>
      </x:c>
      <x:c r="F38" s="84" t="str">
        <x:v>Eared Redstem</x:v>
      </x:c>
      <x:c r="G38" s="119"/>
      <x:c r="H38" s="119"/>
      <x:c r="I38" s="119"/>
      <x:c r="J38" s="119"/>
      <x:c r="K38" s="119"/>
      <x:c r="L38" s="119"/>
      <x:c r="M38" s="119"/>
      <x:c r="N38" s="115" t="str">
        <x:v>Not Started</x:v>
      </x:c>
      <x:c r="O38" s="115"/>
      <x:c r="P38" s="119"/>
      <x:c r="Q38" s="116"/>
    </x:row>
    <x:row r="39" ht="20" customHeight="1">
      <x:c r="A39" s="83" t="str">
        <x:v>HAYS-0038</x:v>
      </x:c>
      <x:c r="B39" s="87" t="str">
        <x:v>Ammannia coccinea</x:v>
      </x:c>
      <x:c r="C39" s="87" t="str">
        <x:v>Ammannia coccinea</x:v>
      </x:c>
      <x:c r="D39" s="84" t="str">
        <x:v>Lythraceae</x:v>
      </x:c>
      <x:c r="E39" s="84" t="str">
        <x:v>Ammannia</x:v>
      </x:c>
      <x:c r="F39" s="84" t="str">
        <x:v>Valley Redstem, Scarlet Tooth-cup</x:v>
      </x:c>
      <x:c r="G39" s="119"/>
      <x:c r="H39" s="119"/>
      <x:c r="I39" s="119"/>
      <x:c r="J39" s="119"/>
      <x:c r="K39" s="119"/>
      <x:c r="L39" s="119"/>
      <x:c r="M39" s="119"/>
      <x:c r="N39" s="115" t="str">
        <x:v>Not Started</x:v>
      </x:c>
      <x:c r="O39" s="115"/>
      <x:c r="P39" s="119"/>
      <x:c r="Q39" s="116"/>
    </x:row>
    <x:row r="40" ht="20" customHeight="1">
      <x:c r="A40" s="83" t="str">
        <x:v>HAYS-0039</x:v>
      </x:c>
      <x:c r="B40" s="87" t="str">
        <x:v>Amorpha canescens</x:v>
      </x:c>
      <x:c r="C40" s="87" t="str">
        <x:v>Amorpha canescens</x:v>
      </x:c>
      <x:c r="D40" s="84" t="str">
        <x:v>Fabaceae</x:v>
      </x:c>
      <x:c r="E40" s="84" t="str">
        <x:v>Amorpha</x:v>
      </x:c>
      <x:c r="F40" s="84" t="str">
        <x:v>Leadplant</x:v>
      </x:c>
      <x:c r="G40" s="119"/>
      <x:c r="H40" s="119"/>
      <x:c r="I40" s="119"/>
      <x:c r="J40" s="119"/>
      <x:c r="K40" s="119"/>
      <x:c r="L40" s="119"/>
      <x:c r="M40" s="119"/>
      <x:c r="N40" s="115" t="str">
        <x:v>Not Started</x:v>
      </x:c>
      <x:c r="O40" s="115"/>
      <x:c r="P40" s="119"/>
      <x:c r="Q40" s="116"/>
    </x:row>
    <x:row r="41" ht="20" customHeight="1">
      <x:c r="A41" s="83" t="str">
        <x:v>HAYS-0040</x:v>
      </x:c>
      <x:c r="B41" s="87" t="str">
        <x:v>Amorpha fruticosa</x:v>
      </x:c>
      <x:c r="C41" s="87" t="str">
        <x:v>Amorpha fruticosa</x:v>
      </x:c>
      <x:c r="D41" s="84" t="str">
        <x:v>Fabaceae</x:v>
      </x:c>
      <x:c r="E41" s="84" t="str">
        <x:v>Amorpha</x:v>
      </x:c>
      <x:c r="F41" s="84" t="str">
        <x:v>Indigo Bush, False Indigo Bush, False Indigo, Desert False Indigo</x:v>
      </x:c>
      <x:c r="G41" s="119"/>
      <x:c r="H41" s="119"/>
      <x:c r="I41" s="119"/>
      <x:c r="J41" s="119"/>
      <x:c r="K41" s="119"/>
      <x:c r="L41" s="119"/>
      <x:c r="M41" s="119"/>
      <x:c r="N41" s="115" t="str">
        <x:v>Not Started</x:v>
      </x:c>
      <x:c r="O41" s="115"/>
      <x:c r="P41" s="119"/>
      <x:c r="Q41" s="116"/>
    </x:row>
    <x:row r="42" ht="20" customHeight="1">
      <x:c r="A42" s="83" t="str">
        <x:v>HAYS-0041</x:v>
      </x:c>
      <x:c r="B42" s="87" t="str">
        <x:v>Amorpha roemeriana</x:v>
      </x:c>
      <x:c r="C42" s="87" t="str">
        <x:v>Amorpha roemeriana</x:v>
      </x:c>
      <x:c r="D42" s="84" t="str">
        <x:v>Fabaceae</x:v>
      </x:c>
      <x:c r="E42" s="84" t="str">
        <x:v>Amorpha</x:v>
      </x:c>
      <x:c r="F42" s="84" t="str">
        <x:v>Texas Indigo Bush, Roemer's false indigo</x:v>
      </x:c>
      <x:c r="G42" s="119"/>
      <x:c r="H42" s="119"/>
      <x:c r="I42" s="119"/>
      <x:c r="J42" s="119"/>
      <x:c r="K42" s="119"/>
      <x:c r="L42" s="119"/>
      <x:c r="M42" s="119"/>
      <x:c r="N42" s="115" t="str">
        <x:v>Not Started</x:v>
      </x:c>
      <x:c r="O42" s="115"/>
      <x:c r="P42" s="119"/>
      <x:c r="Q42" s="116"/>
    </x:row>
    <x:row r="43" ht="20" customHeight="1">
      <x:c r="A43" s="83" t="str">
        <x:v>HAYS-0042</x:v>
      </x:c>
      <x:c r="B43" s="87" t="str">
        <x:v>Ampelopsis cordata</x:v>
      </x:c>
      <x:c r="C43" s="87" t="str">
        <x:v>Ampelopsis cordata</x:v>
      </x:c>
      <x:c r="D43" s="84" t="str">
        <x:v>Vitaceae</x:v>
      </x:c>
      <x:c r="E43" s="84" t="str">
        <x:v>Ampelopsis</x:v>
      </x:c>
      <x:c r="F43" s="84" t="str">
        <x:v>Heartleaf Peppervine, Heart-leaf Ampelopsis</x:v>
      </x:c>
      <x:c r="G43" s="119"/>
      <x:c r="H43" s="119"/>
      <x:c r="I43" s="119"/>
      <x:c r="J43" s="119"/>
      <x:c r="K43" s="119"/>
      <x:c r="L43" s="119"/>
      <x:c r="M43" s="119"/>
      <x:c r="N43" s="115" t="str">
        <x:v>Not Started</x:v>
      </x:c>
      <x:c r="O43" s="115"/>
      <x:c r="P43" s="119"/>
      <x:c r="Q43" s="116"/>
    </x:row>
    <x:row r="44" ht="20" customHeight="1">
      <x:c r="A44" s="83" t="str">
        <x:v>HAYS-0043</x:v>
      </x:c>
      <x:c r="B44" s="87" t="str">
        <x:v>Amphiachyris amoena</x:v>
      </x:c>
      <x:c r="C44" s="87" t="str">
        <x:v>Amphiachyris amoena</x:v>
      </x:c>
      <x:c r="D44" s="84" t="str">
        <x:v>Asteraceae</x:v>
      </x:c>
      <x:c r="E44" s="84" t="str">
        <x:v>Amphiachyris</x:v>
      </x:c>
      <x:c r="F44" s="84" t="str">
        <x:v>Texas Broomweed</x:v>
      </x:c>
      <x:c r="G44" s="119"/>
      <x:c r="H44" s="119"/>
      <x:c r="I44" s="119"/>
      <x:c r="J44" s="119"/>
      <x:c r="K44" s="119"/>
      <x:c r="L44" s="119"/>
      <x:c r="M44" s="119"/>
      <x:c r="N44" s="115" t="str">
        <x:v>Not Started</x:v>
      </x:c>
      <x:c r="O44" s="115"/>
      <x:c r="P44" s="119"/>
      <x:c r="Q44" s="116"/>
    </x:row>
    <x:row r="45" ht="20" customHeight="1">
      <x:c r="A45" s="83" t="str">
        <x:v>HAYS-0044</x:v>
      </x:c>
      <x:c r="B45" s="87" t="str">
        <x:v>Amphiachyris dracunculoides</x:v>
      </x:c>
      <x:c r="C45" s="87" t="str">
        <x:v>Amphiachyris dracunculoides</x:v>
      </x:c>
      <x:c r="D45" s="84" t="str">
        <x:v>Asteraceae</x:v>
      </x:c>
      <x:c r="E45" s="84" t="str">
        <x:v>Amphiachyris</x:v>
      </x:c>
      <x:c r="F45" s="84" t="str">
        <x:v>Prairie Broomweed, Broomweed</x:v>
      </x:c>
      <x:c r="G45" s="119"/>
      <x:c r="H45" s="119"/>
      <x:c r="I45" s="119"/>
      <x:c r="J45" s="119"/>
      <x:c r="K45" s="119"/>
      <x:c r="L45" s="119"/>
      <x:c r="M45" s="119"/>
      <x:c r="N45" s="115" t="str">
        <x:v>Not Started</x:v>
      </x:c>
      <x:c r="O45" s="115"/>
      <x:c r="P45" s="119"/>
      <x:c r="Q45" s="116"/>
    </x:row>
    <x:row r="46" ht="20" customHeight="1">
      <x:c r="A46" s="83" t="str">
        <x:v>HAYS-0045</x:v>
      </x:c>
      <x:c r="B46" s="87" t="str">
        <x:v>Amsonia ciliata</x:v>
      </x:c>
      <x:c r="C46" s="87" t="str">
        <x:v>Amsonia ciliata</x:v>
      </x:c>
      <x:c r="D46" s="84" t="str">
        <x:v>Apocynaceae</x:v>
      </x:c>
      <x:c r="E46" s="84" t="str">
        <x:v>Amsonia</x:v>
      </x:c>
      <x:c r="F46" s="84" t="str">
        <x:v>Blue Amsonia, Fringed bluestar</x:v>
      </x:c>
      <x:c r="G46" s="119"/>
      <x:c r="H46" s="119"/>
      <x:c r="I46" s="119"/>
      <x:c r="J46" s="119"/>
      <x:c r="K46" s="119"/>
      <x:c r="L46" s="119"/>
      <x:c r="M46" s="119"/>
      <x:c r="N46" s="115" t="str">
        <x:v>Not Started</x:v>
      </x:c>
      <x:c r="O46" s="115"/>
      <x:c r="P46" s="119"/>
      <x:c r="Q46" s="116"/>
    </x:row>
    <x:row r="47" ht="20" customHeight="1">
      <x:c r="A47" s="83" t="str">
        <x:v>HAYS-0046</x:v>
      </x:c>
      <x:c r="B47" s="87" t="str">
        <x:v>Amsonia ciliata var. texana</x:v>
      </x:c>
      <x:c r="C47" s="87" t="str">
        <x:v>Amsonia ciliata var. texana</x:v>
      </x:c>
      <x:c r="D47" s="84" t="str">
        <x:v>Apocynaceae</x:v>
      </x:c>
      <x:c r="E47" s="84" t="str">
        <x:v>Amsonia</x:v>
      </x:c>
      <x:c r="F47" s="84" t="str">
        <x:v>Texas Bluestar</x:v>
      </x:c>
      <x:c r="G47" s="119"/>
      <x:c r="H47" s="119"/>
      <x:c r="I47" s="119"/>
      <x:c r="J47" s="119"/>
      <x:c r="K47" s="119"/>
      <x:c r="L47" s="119"/>
      <x:c r="M47" s="119"/>
      <x:c r="N47" s="115" t="str">
        <x:v>Not Started</x:v>
      </x:c>
      <x:c r="O47" s="115"/>
      <x:c r="P47" s="119"/>
      <x:c r="Q47" s="116"/>
    </x:row>
    <x:row r="48" ht="20" customHeight="1">
      <x:c r="A48" s="83" t="str">
        <x:v>HAYS-0047</x:v>
      </x:c>
      <x:c r="B48" s="87" t="str">
        <x:v>Amsonia longiflora</x:v>
      </x:c>
      <x:c r="C48" s="87" t="str">
        <x:v>Amsonia longiflora</x:v>
      </x:c>
      <x:c r="D48" s="84" t="str">
        <x:v>Apocynaceae</x:v>
      </x:c>
      <x:c r="E48" s="84" t="str">
        <x:v>Amsonia</x:v>
      </x:c>
      <x:c r="F48" s="84" t="str">
        <x:v>Tubular Bluestar, Trumpet Slimpod</x:v>
      </x:c>
      <x:c r="G48" s="119"/>
      <x:c r="H48" s="119"/>
      <x:c r="I48" s="119"/>
      <x:c r="J48" s="119"/>
      <x:c r="K48" s="119"/>
      <x:c r="L48" s="119"/>
      <x:c r="M48" s="119"/>
      <x:c r="N48" s="115" t="str">
        <x:v>Not Started</x:v>
      </x:c>
      <x:c r="O48" s="115"/>
      <x:c r="P48" s="119"/>
      <x:c r="Q48" s="116"/>
    </x:row>
    <x:row r="49" ht="20" customHeight="1">
      <x:c r="A49" s="83" t="str">
        <x:v>HAYS-0048</x:v>
      </x:c>
      <x:c r="B49" s="87" t="str">
        <x:v>Andropogon gerardii</x:v>
      </x:c>
      <x:c r="C49" s="87"/>
      <x:c r="D49" s="84" t="str">
        <x:v>[Taxonomy unresolved]</x:v>
      </x:c>
      <x:c r="E49" s="84" t="str">
        <x:v>Andropogon</x:v>
      </x:c>
      <x:c r="F49" s="84" t="str">
        <x:v>Big Bluestem, Tall Bluestem, Turkeyfoot</x:v>
      </x:c>
      <x:c r="G49" s="119"/>
      <x:c r="H49" s="119"/>
      <x:c r="I49" s="119"/>
      <x:c r="J49" s="119"/>
      <x:c r="K49" s="119"/>
      <x:c r="L49" s="119"/>
      <x:c r="M49" s="119"/>
      <x:c r="N49" s="115" t="str">
        <x:v>Not Started</x:v>
      </x:c>
      <x:c r="O49" s="115"/>
      <x:c r="P49" s="119"/>
      <x:c r="Q49" s="116"/>
    </x:row>
    <x:row r="50" ht="20" customHeight="1">
      <x:c r="A50" s="83" t="str">
        <x:v>HAYS-0049</x:v>
      </x:c>
      <x:c r="B50" s="87" t="str">
        <x:v>Andropogon glomeratus</x:v>
      </x:c>
      <x:c r="C50" s="87" t="str">
        <x:v>Anatherum glomeratum</x:v>
      </x:c>
      <x:c r="D50" s="84" t="str">
        <x:v>Poaceae</x:v>
      </x:c>
      <x:c r="E50" s="84" t="str">
        <x:v>Anatherum</x:v>
      </x:c>
      <x:c r="F50" s="84" t="str">
        <x:v>Bushy Bluestem, Brushy Bluestem</x:v>
      </x:c>
      <x:c r="G50" s="119"/>
      <x:c r="H50" s="119"/>
      <x:c r="I50" s="119"/>
      <x:c r="J50" s="119"/>
      <x:c r="K50" s="119"/>
      <x:c r="L50" s="119"/>
      <x:c r="M50" s="119"/>
      <x:c r="N50" s="115" t="str">
        <x:v>Not Started</x:v>
      </x:c>
      <x:c r="O50" s="115"/>
      <x:c r="P50" s="119"/>
      <x:c r="Q50" s="116"/>
    </x:row>
    <x:row r="51" ht="20" customHeight="1">
      <x:c r="A51" s="83" t="str">
        <x:v>HAYS-0050</x:v>
      </x:c>
      <x:c r="B51" s="87" t="str">
        <x:v>Andropogon virginicus</x:v>
      </x:c>
      <x:c r="C51" s="87"/>
      <x:c r="D51" s="84" t="str">
        <x:v>[Taxonomy unresolved]</x:v>
      </x:c>
      <x:c r="E51" s="84" t="str">
        <x:v>Andropogon</x:v>
      </x:c>
      <x:c r="F51" s="84" t="str">
        <x:v>Broomsedge Bluestem</x:v>
      </x:c>
      <x:c r="G51" s="119"/>
      <x:c r="H51" s="119"/>
      <x:c r="I51" s="119"/>
      <x:c r="J51" s="119"/>
      <x:c r="K51" s="119"/>
      <x:c r="L51" s="119"/>
      <x:c r="M51" s="119"/>
      <x:c r="N51" s="115" t="str">
        <x:v>Not Started</x:v>
      </x:c>
      <x:c r="O51" s="115"/>
      <x:c r="P51" s="119"/>
      <x:c r="Q51" s="116"/>
    </x:row>
    <x:row r="52" ht="20" customHeight="1">
      <x:c r="A52" s="83" t="str">
        <x:v>HAYS-0051</x:v>
      </x:c>
      <x:c r="B52" s="87" t="str">
        <x:v>Androstephium coeruleum</x:v>
      </x:c>
      <x:c r="C52" s="87" t="str">
        <x:v>Androstephium coeruleum</x:v>
      </x:c>
      <x:c r="D52" s="84" t="str">
        <x:v>Asparagaceae</x:v>
      </x:c>
      <x:c r="E52" s="84" t="str">
        <x:v>Androstephium</x:v>
      </x:c>
      <x:c r="F52" s="84" t="str">
        <x:v>Blue Funnel-lily, Prairie Lily, Funnel-flower, Fragrant Lily</x:v>
      </x:c>
      <x:c r="G52" s="119"/>
      <x:c r="H52" s="119"/>
      <x:c r="I52" s="119"/>
      <x:c r="J52" s="119"/>
      <x:c r="K52" s="119"/>
      <x:c r="L52" s="119"/>
      <x:c r="M52" s="119"/>
      <x:c r="N52" s="115" t="str">
        <x:v>Not Started</x:v>
      </x:c>
      <x:c r="O52" s="115"/>
      <x:c r="P52" s="119"/>
      <x:c r="Q52" s="116"/>
    </x:row>
    <x:row r="53" ht="20" customHeight="1">
      <x:c r="A53" s="83" t="str">
        <x:v>HAYS-0052</x:v>
      </x:c>
      <x:c r="B53" s="87" t="str">
        <x:v>Anemia mexicana</x:v>
      </x:c>
      <x:c r="C53" s="87" t="str">
        <x:v>Anemia mexicana</x:v>
      </x:c>
      <x:c r="D53" s="84" t="str">
        <x:v>Schizaeaceae</x:v>
      </x:c>
      <x:c r="E53" s="84" t="str">
        <x:v>Anemia</x:v>
      </x:c>
      <x:c r="F53" s="84" t="str">
        <x:v>Mexican Fern, Mexican Flowering Fern</x:v>
      </x:c>
      <x:c r="G53" s="119"/>
      <x:c r="H53" s="119"/>
      <x:c r="I53" s="119"/>
      <x:c r="J53" s="119"/>
      <x:c r="K53" s="119"/>
      <x:c r="L53" s="119"/>
      <x:c r="M53" s="119"/>
      <x:c r="N53" s="115" t="str">
        <x:v>Not Started</x:v>
      </x:c>
      <x:c r="O53" s="115"/>
      <x:c r="P53" s="119"/>
      <x:c r="Q53" s="116"/>
    </x:row>
    <x:row r="54" ht="20" customHeight="1">
      <x:c r="A54" s="83" t="str">
        <x:v>HAYS-0053</x:v>
      </x:c>
      <x:c r="B54" s="87" t="str">
        <x:v>Anemone berlandieri</x:v>
      </x:c>
      <x:c r="C54" s="87" t="str">
        <x:v>Anemone berlandieri</x:v>
      </x:c>
      <x:c r="D54" s="84" t="str">
        <x:v>Ranunculaceae</x:v>
      </x:c>
      <x:c r="E54" s="84" t="str">
        <x:v>Anemone</x:v>
      </x:c>
      <x:c r="F54" s="84" t="str">
        <x:v>Tenpetal Anemone, Tenpetal Thimbleweed, Windflower, Southern Anemone, Granny's Nightcap</x:v>
      </x:c>
      <x:c r="G54" s="119"/>
      <x:c r="H54" s="119"/>
      <x:c r="I54" s="119"/>
      <x:c r="J54" s="119"/>
      <x:c r="K54" s="119"/>
      <x:c r="L54" s="119"/>
      <x:c r="M54" s="119"/>
      <x:c r="N54" s="115" t="str">
        <x:v>Not Started</x:v>
      </x:c>
      <x:c r="O54" s="115"/>
      <x:c r="P54" s="119"/>
      <x:c r="Q54" s="116"/>
    </x:row>
    <x:row r="55" ht="20" customHeight="1">
      <x:c r="A55" s="83" t="str">
        <x:v>HAYS-0054</x:v>
      </x:c>
      <x:c r="B55" s="87" t="str">
        <x:v>Anemone caroliniana</x:v>
      </x:c>
      <x:c r="C55" s="87" t="str">
        <x:v>Anemone caroliniana</x:v>
      </x:c>
      <x:c r="D55" s="84" t="str">
        <x:v>Ranunculaceae</x:v>
      </x:c>
      <x:c r="E55" s="84" t="str">
        <x:v>Anemone</x:v>
      </x:c>
      <x:c r="F55" s="84" t="str">
        <x:v>Carolina Anemone, Carolina Thimbleweed, Southern Thimbleweed</x:v>
      </x:c>
      <x:c r="G55" s="119"/>
      <x:c r="H55" s="119"/>
      <x:c r="I55" s="119"/>
      <x:c r="J55" s="119"/>
      <x:c r="K55" s="119"/>
      <x:c r="L55" s="119"/>
      <x:c r="M55" s="119"/>
      <x:c r="N55" s="115" t="str">
        <x:v>Not Started</x:v>
      </x:c>
      <x:c r="O55" s="115"/>
      <x:c r="P55" s="119"/>
      <x:c r="Q55" s="116"/>
    </x:row>
    <x:row r="56" ht="20" customHeight="1">
      <x:c r="A56" s="83" t="str">
        <x:v>HAYS-0055</x:v>
      </x:c>
      <x:c r="B56" s="87" t="str">
        <x:v>Anemone edwardsiana var. edwardsiana</x:v>
      </x:c>
      <x:c r="C56" s="87"/>
      <x:c r="D56" s="84" t="str">
        <x:v>[Taxonomy unresolved]</x:v>
      </x:c>
      <x:c r="E56" s="84" t="str">
        <x:v>Anemone</x:v>
      </x:c>
      <x:c r="F56" s="84" t="str">
        <x:v>Edwards Plateau Thimbleweed, Edwards Thimbleweed , Two-flower Anemone</x:v>
      </x:c>
      <x:c r="G56" s="119"/>
      <x:c r="H56" s="119"/>
      <x:c r="I56" s="119"/>
      <x:c r="J56" s="119"/>
      <x:c r="K56" s="119"/>
      <x:c r="L56" s="119"/>
      <x:c r="M56" s="119"/>
      <x:c r="N56" s="115" t="str">
        <x:v>Not Started</x:v>
      </x:c>
      <x:c r="O56" s="115"/>
      <x:c r="P56" s="119"/>
      <x:c r="Q56" s="116"/>
    </x:row>
    <x:row r="57" ht="20" customHeight="1">
      <x:c r="A57" s="83" t="str">
        <x:v>HAYS-0056</x:v>
      </x:c>
      <x:c r="B57" s="87" t="str">
        <x:v>Anisacanthus quadrifidus var. wrightii</x:v>
      </x:c>
      <x:c r="C57" s="87" t="str">
        <x:v>Anisacanthus quadrifidus var. wrightii</x:v>
      </x:c>
      <x:c r="D57" s="84" t="str">
        <x:v>Acanthaceae</x:v>
      </x:c>
      <x:c r="E57" s="84" t="str">
        <x:v>Anisacanthus</x:v>
      </x:c>
      <x:c r="F57" s="84" t="str">
        <x:v>Flame Acanthus</x:v>
      </x:c>
      <x:c r="G57" s="119"/>
      <x:c r="H57" s="119"/>
      <x:c r="I57" s="119"/>
      <x:c r="J57" s="119"/>
      <x:c r="K57" s="119"/>
      <x:c r="L57" s="119"/>
      <x:c r="M57" s="119"/>
      <x:c r="N57" s="115" t="str">
        <x:v>Not Started</x:v>
      </x:c>
      <x:c r="O57" s="115"/>
      <x:c r="P57" s="119"/>
      <x:c r="Q57" s="116"/>
    </x:row>
    <x:row r="58" ht="20" customHeight="1">
      <x:c r="A58" s="83" t="str">
        <x:v>HAYS-0057</x:v>
      </x:c>
      <x:c r="B58" s="87" t="str">
        <x:v>Anoda cristata</x:v>
      </x:c>
      <x:c r="C58" s="87" t="str">
        <x:v>Anoda cristata</x:v>
      </x:c>
      <x:c r="D58" s="84" t="str">
        <x:v>Malvaceae</x:v>
      </x:c>
      <x:c r="E58" s="84" t="str">
        <x:v>Anoda</x:v>
      </x:c>
      <x:c r="F58" s="84" t="str">
        <x:v>Crested Anoda</x:v>
      </x:c>
      <x:c r="G58" s="119"/>
      <x:c r="H58" s="119"/>
      <x:c r="I58" s="119"/>
      <x:c r="J58" s="119"/>
      <x:c r="K58" s="119"/>
      <x:c r="L58" s="119"/>
      <x:c r="M58" s="119"/>
      <x:c r="N58" s="115" t="str">
        <x:v>Not Started</x:v>
      </x:c>
      <x:c r="O58" s="115"/>
      <x:c r="P58" s="119"/>
      <x:c r="Q58" s="116"/>
    </x:row>
    <x:row r="59" ht="20" customHeight="1">
      <x:c r="A59" s="83" t="str">
        <x:v>HAYS-0058</x:v>
      </x:c>
      <x:c r="B59" s="87" t="str">
        <x:v>Aphanostephus riddellii</x:v>
      </x:c>
      <x:c r="C59" s="87" t="str">
        <x:v>Aphanostephus riddellii</x:v>
      </x:c>
      <x:c r="D59" s="84" t="str">
        <x:v>Asteraceae</x:v>
      </x:c>
      <x:c r="E59" s="84" t="str">
        <x:v>Aphanostephus</x:v>
      </x:c>
      <x:c r="F59" s="84" t="str">
        <x:v>Riddell's Dozedaisy, Lazy Daisy</x:v>
      </x:c>
      <x:c r="G59" s="119"/>
      <x:c r="H59" s="119"/>
      <x:c r="I59" s="119"/>
      <x:c r="J59" s="119"/>
      <x:c r="K59" s="119"/>
      <x:c r="L59" s="119"/>
      <x:c r="M59" s="119"/>
      <x:c r="N59" s="115" t="str">
        <x:v>Not Started</x:v>
      </x:c>
      <x:c r="O59" s="115"/>
      <x:c r="P59" s="119"/>
      <x:c r="Q59" s="116"/>
    </x:row>
    <x:row r="60" ht="20" customHeight="1">
      <x:c r="A60" s="83" t="str">
        <x:v>HAYS-0059</x:v>
      </x:c>
      <x:c r="B60" s="87" t="str">
        <x:v>Aphanostephus skirrhobasis</x:v>
      </x:c>
      <x:c r="C60" s="87" t="str">
        <x:v>Aphanostephus skirrhobasis</x:v>
      </x:c>
      <x:c r="D60" s="84" t="str">
        <x:v>Asteraceae</x:v>
      </x:c>
      <x:c r="E60" s="84" t="str">
        <x:v>Aphanostephus</x:v>
      </x:c>
      <x:c r="F60" s="84" t="str">
        <x:v>Lazy Daisy, Arkansas Lazy Daisy, Arkansas Doze-daisy</x:v>
      </x:c>
      <x:c r="G60" s="119"/>
      <x:c r="H60" s="119"/>
      <x:c r="I60" s="119"/>
      <x:c r="J60" s="119"/>
      <x:c r="K60" s="119"/>
      <x:c r="L60" s="119"/>
      <x:c r="M60" s="119"/>
      <x:c r="N60" s="115" t="str">
        <x:v>Not Started</x:v>
      </x:c>
      <x:c r="O60" s="115"/>
      <x:c r="P60" s="119"/>
      <x:c r="Q60" s="116"/>
    </x:row>
    <x:row r="61" ht="20" customHeight="1">
      <x:c r="A61" s="83" t="str">
        <x:v>HAYS-0060</x:v>
      </x:c>
      <x:c r="B61" s="87" t="str">
        <x:v>Aquilegia canadensis</x:v>
      </x:c>
      <x:c r="C61" s="87" t="str">
        <x:v>Aquilegia canadensis</x:v>
      </x:c>
      <x:c r="D61" s="84" t="str">
        <x:v>Ranunculaceae</x:v>
      </x:c>
      <x:c r="E61" s="84" t="str">
        <x:v>Aquilegia</x:v>
      </x:c>
      <x:c r="F61" s="84" t="str">
        <x:v>Eastern Red Columbine, Wild Red Columbine</x:v>
      </x:c>
      <x:c r="G61" s="119"/>
      <x:c r="H61" s="119"/>
      <x:c r="I61" s="119"/>
      <x:c r="J61" s="119"/>
      <x:c r="K61" s="119"/>
      <x:c r="L61" s="119"/>
      <x:c r="M61" s="119"/>
      <x:c r="N61" s="115" t="str">
        <x:v>Not Started</x:v>
      </x:c>
      <x:c r="O61" s="115"/>
      <x:c r="P61" s="119"/>
      <x:c r="Q61" s="116"/>
    </x:row>
    <x:row r="62" ht="20" customHeight="1">
      <x:c r="A62" s="83" t="str">
        <x:v>HAYS-0061</x:v>
      </x:c>
      <x:c r="B62" s="87" t="str">
        <x:v>Arabis petiolaris</x:v>
      </x:c>
      <x:c r="C62" s="87" t="str">
        <x:v>Streptanthus petiolaris</x:v>
      </x:c>
      <x:c r="D62" s="84" t="str">
        <x:v>Brassicaceae</x:v>
      </x:c>
      <x:c r="E62" s="84" t="str">
        <x:v>Streptanthus</x:v>
      </x:c>
      <x:c r="F62" s="84" t="str">
        <x:v>Brazos Rockcress, Rock-cress, Brazos Rock-cress</x:v>
      </x:c>
      <x:c r="G62" s="119"/>
      <x:c r="H62" s="119"/>
      <x:c r="I62" s="119"/>
      <x:c r="J62" s="119"/>
      <x:c r="K62" s="119"/>
      <x:c r="L62" s="119"/>
      <x:c r="M62" s="119"/>
      <x:c r="N62" s="115" t="str">
        <x:v>Not Started</x:v>
      </x:c>
      <x:c r="O62" s="115"/>
      <x:c r="P62" s="119"/>
      <x:c r="Q62" s="116"/>
    </x:row>
    <x:row r="63" ht="20" customHeight="1">
      <x:c r="A63" s="83" t="str">
        <x:v>HAYS-0062</x:v>
      </x:c>
      <x:c r="B63" s="87" t="str">
        <x:v>Arbutus xalapensis</x:v>
      </x:c>
      <x:c r="C63" s="87" t="str">
        <x:v>Arbutus xalapensis</x:v>
      </x:c>
      <x:c r="D63" s="84" t="str">
        <x:v>Ericaceae</x:v>
      </x:c>
      <x:c r="E63" s="84" t="str">
        <x:v>Arbutus</x:v>
      </x:c>
      <x:c r="F63" s="84" t="str">
        <x:v>Texas Madrone</x:v>
      </x:c>
      <x:c r="G63" s="119"/>
      <x:c r="H63" s="119"/>
      <x:c r="I63" s="119"/>
      <x:c r="J63" s="119"/>
      <x:c r="K63" s="119"/>
      <x:c r="L63" s="119"/>
      <x:c r="M63" s="119"/>
      <x:c r="N63" s="115" t="str">
        <x:v>Not Started</x:v>
      </x:c>
      <x:c r="O63" s="115"/>
      <x:c r="P63" s="119"/>
      <x:c r="Q63" s="116"/>
    </x:row>
    <x:row r="64" ht="20" customHeight="1">
      <x:c r="A64" s="83" t="str">
        <x:v>HAYS-0063</x:v>
      </x:c>
      <x:c r="B64" s="87" t="str">
        <x:v>Arenaria benthamii</x:v>
      </x:c>
      <x:c r="C64" s="87" t="str">
        <x:v>Arenaria benthamii</x:v>
      </x:c>
      <x:c r="D64" s="84" t="str">
        <x:v>Caryophyllaceae</x:v>
      </x:c>
      <x:c r="E64" s="84" t="str">
        <x:v>Arenaria</x:v>
      </x:c>
      <x:c r="F64" s="84" t="str">
        <x:v>Hilly Sandwort</x:v>
      </x:c>
      <x:c r="G64" s="119"/>
      <x:c r="H64" s="119"/>
      <x:c r="I64" s="119"/>
      <x:c r="J64" s="119"/>
      <x:c r="K64" s="119"/>
      <x:c r="L64" s="119"/>
      <x:c r="M64" s="119"/>
      <x:c r="N64" s="115" t="str">
        <x:v>Not Started</x:v>
      </x:c>
      <x:c r="O64" s="115"/>
      <x:c r="P64" s="119"/>
      <x:c r="Q64" s="116"/>
    </x:row>
    <x:row r="65" ht="20" customHeight="1">
      <x:c r="A65" s="83" t="str">
        <x:v>HAYS-0064</x:v>
      </x:c>
      <x:c r="B65" s="87" t="str">
        <x:v>Argemone albiflora</x:v>
      </x:c>
      <x:c r="C65" s="87" t="str">
        <x:v>Argemone albiflora</x:v>
      </x:c>
      <x:c r="D65" s="84" t="str">
        <x:v>Papaveraceae</x:v>
      </x:c>
      <x:c r="E65" s="84" t="str">
        <x:v>Argemone</x:v>
      </x:c>
      <x:c r="F65" s="84" t="str">
        <x:v>Bluestem Pricklypoppy, White Pricklypoppy, White Prickly Poppy</x:v>
      </x:c>
      <x:c r="G65" s="119"/>
      <x:c r="H65" s="119"/>
      <x:c r="I65" s="119"/>
      <x:c r="J65" s="119"/>
      <x:c r="K65" s="119"/>
      <x:c r="L65" s="119"/>
      <x:c r="M65" s="119"/>
      <x:c r="N65" s="115" t="str">
        <x:v>Not Started</x:v>
      </x:c>
      <x:c r="O65" s="115"/>
      <x:c r="P65" s="119"/>
      <x:c r="Q65" s="116"/>
    </x:row>
    <x:row r="66" ht="20" customHeight="1">
      <x:c r="A66" s="83" t="str">
        <x:v>HAYS-0065</x:v>
      </x:c>
      <x:c r="B66" s="87" t="str">
        <x:v>Argemone aurantiaca</x:v>
      </x:c>
      <x:c r="C66" s="87" t="str">
        <x:v>Argemone aurantiaca</x:v>
      </x:c>
      <x:c r="D66" s="84" t="str">
        <x:v>Papaveraceae</x:v>
      </x:c>
      <x:c r="E66" s="84" t="str">
        <x:v>Argemone</x:v>
      </x:c>
      <x:c r="F66" s="84" t="str">
        <x:v>Texas Pricklypoppy, Texas Prickly Poppy</x:v>
      </x:c>
      <x:c r="G66" s="119"/>
      <x:c r="H66" s="119"/>
      <x:c r="I66" s="119"/>
      <x:c r="J66" s="119"/>
      <x:c r="K66" s="119"/>
      <x:c r="L66" s="119"/>
      <x:c r="M66" s="119"/>
      <x:c r="N66" s="115" t="str">
        <x:v>Not Started</x:v>
      </x:c>
      <x:c r="O66" s="115"/>
      <x:c r="P66" s="119"/>
      <x:c r="Q66" s="116"/>
    </x:row>
    <x:row r="67" ht="20" customHeight="1">
      <x:c r="A67" s="83" t="str">
        <x:v>HAYS-0066</x:v>
      </x:c>
      <x:c r="B67" s="87" t="str">
        <x:v>Argemone polyanthemos</x:v>
      </x:c>
      <x:c r="C67" s="87" t="str">
        <x:v>Argemone polyanthemos</x:v>
      </x:c>
      <x:c r="D67" s="84" t="str">
        <x:v>Papaveraceae</x:v>
      </x:c>
      <x:c r="E67" s="84" t="str">
        <x:v>Argemone</x:v>
      </x:c>
      <x:c r="F67" s="84" t="str">
        <x:v>White Prickly Poppy</x:v>
      </x:c>
      <x:c r="G67" s="119"/>
      <x:c r="H67" s="119"/>
      <x:c r="I67" s="119"/>
      <x:c r="J67" s="119"/>
      <x:c r="K67" s="119"/>
      <x:c r="L67" s="119"/>
      <x:c r="M67" s="119"/>
      <x:c r="N67" s="115" t="str">
        <x:v>Not Started</x:v>
      </x:c>
      <x:c r="O67" s="115"/>
      <x:c r="P67" s="119"/>
      <x:c r="Q67" s="116"/>
    </x:row>
    <x:row r="68" ht="20" customHeight="1">
      <x:c r="A68" s="83" t="str">
        <x:v>HAYS-0067</x:v>
      </x:c>
      <x:c r="B68" s="87" t="str">
        <x:v>Argemone sanguinea</x:v>
      </x:c>
      <x:c r="C68" s="87" t="str">
        <x:v>Argemone sanguinea</x:v>
      </x:c>
      <x:c r="D68" s="84" t="str">
        <x:v>Papaveraceae</x:v>
      </x:c>
      <x:c r="E68" s="84" t="str">
        <x:v>Argemone</x:v>
      </x:c>
      <x:c r="F68" s="84" t="str">
        <x:v>Red Pricklypoppy, Rose Prickly Poppy, Red Prickly Poppy</x:v>
      </x:c>
      <x:c r="G68" s="119"/>
      <x:c r="H68" s="119"/>
      <x:c r="I68" s="119"/>
      <x:c r="J68" s="119"/>
      <x:c r="K68" s="119"/>
      <x:c r="L68" s="119"/>
      <x:c r="M68" s="119"/>
      <x:c r="N68" s="115" t="str">
        <x:v>Not Started</x:v>
      </x:c>
      <x:c r="O68" s="115"/>
      <x:c r="P68" s="119"/>
      <x:c r="Q68" s="116"/>
    </x:row>
    <x:row r="69" ht="20" customHeight="1">
      <x:c r="A69" s="83" t="str">
        <x:v>HAYS-0068</x:v>
      </x:c>
      <x:c r="B69" s="87" t="str">
        <x:v>Argyrochosma dealbata</x:v>
      </x:c>
      <x:c r="C69" s="87" t="str">
        <x:v>Hemionitis artax</x:v>
      </x:c>
      <x:c r="D69" s="84" t="str">
        <x:v>Pteridaceae</x:v>
      </x:c>
      <x:c r="E69" s="84" t="str">
        <x:v>Hemionitis</x:v>
      </x:c>
      <x:c r="F69" s="84" t="str">
        <x:v>Powdery False Cloak Fern, Powdery Cloak Fern, False Cloak Fern</x:v>
      </x:c>
      <x:c r="G69" s="119"/>
      <x:c r="H69" s="119"/>
      <x:c r="I69" s="119"/>
      <x:c r="J69" s="119"/>
      <x:c r="K69" s="119"/>
      <x:c r="L69" s="119"/>
      <x:c r="M69" s="119"/>
      <x:c r="N69" s="115" t="str">
        <x:v>Not Started</x:v>
      </x:c>
      <x:c r="O69" s="115"/>
      <x:c r="P69" s="119"/>
      <x:c r="Q69" s="116"/>
    </x:row>
    <x:row r="70" ht="105" customHeight="1">
      <x:c r="A70" s="83" t="str">
        <x:v>HAYS-0069</x:v>
      </x:c>
      <x:c r="B70" s="87" t="str">
        <x:v>Argythamnia aphoroides</x:v>
      </x:c>
      <x:c r="C70" s="87" t="str">
        <x:v>Argythamnia aphoroides</x:v>
      </x:c>
      <x:c r="D70" s="84" t="str">
        <x:v>Euphorbiaceae</x:v>
      </x:c>
      <x:c r="E70" s="84" t="str">
        <x:v>Argythamnia</x:v>
      </x:c>
      <x:c r="F70" s="84" t="str">
        <x:v>Hill Country Silverbush</x:v>
      </x:c>
      <x:c r="G70" s="119" t="str">
        <x:v>Nearly sessile leaves; confirm with a 10-stamen male flower and a woolly ovary.</x:v>
      </x:c>
      <x:c r="H70" s="119" t="str">
        <x:v>Malpighiaceous hairs (two-armed hairs attached near the middle); axillary racemes with pistillate flowers proximal and staminate flowers distal; petals usually present; latex absent. Species evidence: Against A. simulans: usually no petiole, 10 stamens, wedge-shaped staminate petals, and a tomentose/lanulose (woolly) ovary.</x:v>
      </x:c>
      <x:c r="I70" s="119" t="str">
        <x:v>A. simulans; A. humilis</x:v>
      </x:c>
      <x:c r="J70" s="119" t="str">
        <x:v>Against A. simulans: usually no petiole, 10 stamens, wedge-shaped staminate petals, and a tomentose/lanulose (woolly) ovary.</x:v>
      </x:c>
      <x:c r="K70" s="119" t="str">
        <x:v>Leaf base, opened male flower, petal outline, ovary hairs.</x:v>
      </x:c>
      <x:c r="L70" s="119"/>
      <x:c r="M70" s="119" t="str">
        <x:v>https://floranorthamerica.org/Argythamnia</x:v>
      </x:c>
      <x:c r="N70" s="115" t="str">
        <x:v>In Progress</x:v>
      </x:c>
      <x:c r="O70" s="115" t="str">
        <x:v>Main chat — Euphorbiaceae pilot</x:v>
      </x:c>
      <x:c r="P70" s="119" t="str">
        <x:v>High with hand lens. Next: Build a stamen-count photo standard.</x:v>
      </x:c>
      <x:c r="Q70" s="116" t="str">
        <x:v>2026-07-28</x:v>
      </x:c>
    </x:row>
    <x:row r="71" ht="105" customHeight="1">
      <x:c r="A71" s="83" t="str">
        <x:v>HAYS-0070</x:v>
      </x:c>
      <x:c r="B71" s="87" t="str">
        <x:v>Argythamnia humilis</x:v>
      </x:c>
      <x:c r="C71" s="87" t="str">
        <x:v>Argythamnia humilis</x:v>
      </x:c>
      <x:c r="D71" s="84" t="str">
        <x:v>Euphorbiaceae</x:v>
      </x:c>
      <x:c r="E71" s="84" t="str">
        <x:v>Argythamnia</x:v>
      </x:c>
      <x:c r="F71" s="84" t="str">
        <x:v>Low Silverbush</x:v>
      </x:c>
      <x:c r="G71" s="119" t="str">
        <x:v>The only one of the three with clearly petioled leaves; male and female flowers occur on separate plants.</x:v>
      </x:c>
      <x:c r="H71" s="119" t="str">
        <x:v>Malpighiaceous hairs (two-armed hairs attached near the middle); axillary racemes with pistillate flowers proximal and staminate flowers distal; petals usually present; latex absent. Species evidence: Against A. aphoroides and A. simulans: petioles about 1–18 mm and a dioecious sex system; confirm flower details.</x:v>
      </x:c>
      <x:c r="I71" s="119" t="str">
        <x:v>A. aphoroides; A. simulans</x:v>
      </x:c>
      <x:c r="J71" s="119" t="str">
        <x:v>Against A. aphoroides and A. simulans: petioles about 1–18 mm and a dioecious sex system; confirm flower details.</x:v>
      </x:c>
      <x:c r="K71" s="119" t="str">
        <x:v>Petiole length, whole inflorescence, flower sex across more than one plant.</x:v>
      </x:c>
      <x:c r="L71" s="119"/>
      <x:c r="M71" s="119" t="str">
        <x:v>https://floranorthamerica.org/Argythamnia</x:v>
      </x:c>
      <x:c r="N71" s="115" t="str">
        <x:v>In Progress</x:v>
      </x:c>
      <x:c r="O71" s="115" t="str">
        <x:v>Main chat — Euphorbiaceae pilot</x:v>
      </x:c>
      <x:c r="P71" s="119" t="str">
        <x:v>High first-pass. Next: Document male and female plants in the field.</x:v>
      </x:c>
      <x:c r="Q71" s="116" t="str">
        <x:v>2026-07-28</x:v>
      </x:c>
    </x:row>
    <x:row r="72" ht="105" customHeight="1">
      <x:c r="A72" s="83" t="str">
        <x:v>HAYS-0071</x:v>
      </x:c>
      <x:c r="B72" s="87" t="str">
        <x:v>Argythamnia simulans</x:v>
      </x:c>
      <x:c r="C72" s="87" t="str">
        <x:v>Argythamnia simulans</x:v>
      </x:c>
      <x:c r="D72" s="84" t="str">
        <x:v>Euphorbiaceae</x:v>
      </x:c>
      <x:c r="E72" s="84" t="str">
        <x:v>Argythamnia</x:v>
      </x:c>
      <x:c r="F72" s="84" t="str">
        <x:v>Plateau Silverbush, Tall Wild-mercury</x:v>
      </x:c>
      <x:c r="G72" s="119" t="str">
        <x:v>Nearly sessile leaves; confirm with 7–8 stamens, elliptic male petals, and stiff appressed ovary hairs.</x:v>
      </x:c>
      <x:c r="H72" s="119" t="str">
        <x:v>Malpighiaceous hairs (two-armed hairs attached near the middle); axillary racemes with pistillate flowers proximal and staminate flowers distal; petals usually present; latex absent. Species evidence: Against A. aphoroides: usually no petiole, 7–8 rather than 10 stamens, elliptic petals, and strigose/hispidulous rather than woolly ovary hairs.</x:v>
      </x:c>
      <x:c r="I72" s="119" t="str">
        <x:v>A. aphoroides; A. humilis</x:v>
      </x:c>
      <x:c r="J72" s="119" t="str">
        <x:v>Against A. aphoroides: usually no petiole, 7–8 rather than 10 stamens, elliptic petals, and strigose/hispidulous rather than woolly ovary hairs.</x:v>
      </x:c>
      <x:c r="K72" s="119" t="str">
        <x:v>Leaf base, opened male flower, petal outline, ovary hairs.</x:v>
      </x:c>
      <x:c r="L72" s="119"/>
      <x:c r="M72" s="119" t="str">
        <x:v>https://floranorthamerica.org/Argythamnia</x:v>
      </x:c>
      <x:c r="N72" s="115" t="str">
        <x:v>In Progress</x:v>
      </x:c>
      <x:c r="O72" s="115" t="str">
        <x:v>Main chat — Euphorbiaceae pilot</x:v>
      </x:c>
      <x:c r="P72" s="119" t="str">
        <x:v>High with hand lens. Next: Build a side-by-side ovary-hair macro comparison.</x:v>
      </x:c>
      <x:c r="Q72" s="116" t="str">
        <x:v>2026-07-28</x:v>
      </x:c>
    </x:row>
    <x:row r="73" ht="20" customHeight="1">
      <x:c r="A73" s="83" t="str">
        <x:v>HAYS-0072</x:v>
      </x:c>
      <x:c r="B73" s="87" t="str">
        <x:v>Arisaema dracontium</x:v>
      </x:c>
      <x:c r="C73" s="87" t="str">
        <x:v>Arisaema dracontium</x:v>
      </x:c>
      <x:c r="D73" s="84" t="str">
        <x:v>Araceae</x:v>
      </x:c>
      <x:c r="E73" s="84" t="str">
        <x:v>Arisaema</x:v>
      </x:c>
      <x:c r="F73" s="84" t="str">
        <x:v>Green Dragon, Dragonroot, Greendragon</x:v>
      </x:c>
      <x:c r="G73" s="119"/>
      <x:c r="H73" s="119"/>
      <x:c r="I73" s="119"/>
      <x:c r="J73" s="119"/>
      <x:c r="K73" s="119"/>
      <x:c r="L73" s="119"/>
      <x:c r="M73" s="119"/>
      <x:c r="N73" s="115" t="str">
        <x:v>Not Started</x:v>
      </x:c>
      <x:c r="O73" s="115"/>
      <x:c r="P73" s="119"/>
      <x:c r="Q73" s="116"/>
    </x:row>
    <x:row r="74" ht="20" customHeight="1">
      <x:c r="A74" s="83" t="str">
        <x:v>HAYS-0073</x:v>
      </x:c>
      <x:c r="B74" s="87" t="str">
        <x:v>Aristida oligantha</x:v>
      </x:c>
      <x:c r="C74" s="87" t="str">
        <x:v>Aristida oligantha</x:v>
      </x:c>
      <x:c r="D74" s="84" t="str">
        <x:v>Poaceae</x:v>
      </x:c>
      <x:c r="E74" s="84" t="str">
        <x:v>Aristida</x:v>
      </x:c>
      <x:c r="F74" s="84" t="str">
        <x:v>Prairie Threeawn, Oldfield (Prairie) 3-awn, Oldfield Threeawn</x:v>
      </x:c>
      <x:c r="G74" s="119"/>
      <x:c r="H74" s="119"/>
      <x:c r="I74" s="119"/>
      <x:c r="J74" s="119"/>
      <x:c r="K74" s="119"/>
      <x:c r="L74" s="119"/>
      <x:c r="M74" s="119"/>
      <x:c r="N74" s="115" t="str">
        <x:v>Not Started</x:v>
      </x:c>
      <x:c r="O74" s="115"/>
      <x:c r="P74" s="119"/>
      <x:c r="Q74" s="116"/>
    </x:row>
    <x:row r="75" ht="20" customHeight="1">
      <x:c r="A75" s="83" t="str">
        <x:v>HAYS-0074</x:v>
      </x:c>
      <x:c r="B75" s="87" t="str">
        <x:v>Aristida purpurea</x:v>
      </x:c>
      <x:c r="C75" s="87" t="str">
        <x:v>Aristida purpurea</x:v>
      </x:c>
      <x:c r="D75" s="84" t="str">
        <x:v>Poaceae</x:v>
      </x:c>
      <x:c r="E75" s="84" t="str">
        <x:v>Aristida</x:v>
      </x:c>
      <x:c r="F75" s="84" t="str">
        <x:v>Purple Threeawn, Purple 3-awn, Purple Three-awn, Red Threeawn</x:v>
      </x:c>
      <x:c r="G75" s="119"/>
      <x:c r="H75" s="119"/>
      <x:c r="I75" s="119"/>
      <x:c r="J75" s="119"/>
      <x:c r="K75" s="119"/>
      <x:c r="L75" s="119"/>
      <x:c r="M75" s="119"/>
      <x:c r="N75" s="115" t="str">
        <x:v>Not Started</x:v>
      </x:c>
      <x:c r="O75" s="115"/>
      <x:c r="P75" s="119"/>
      <x:c r="Q75" s="116"/>
    </x:row>
    <x:row r="76" ht="20" customHeight="1">
      <x:c r="A76" s="83" t="str">
        <x:v>HAYS-0075</x:v>
      </x:c>
      <x:c r="B76" s="87" t="str">
        <x:v>Aristolochia erecta</x:v>
      </x:c>
      <x:c r="C76" s="87" t="str">
        <x:v>Aristolochia erecta</x:v>
      </x:c>
      <x:c r="D76" s="84" t="str">
        <x:v>Aristolochiaceae</x:v>
      </x:c>
      <x:c r="E76" s="84" t="str">
        <x:v>Aristolochia</x:v>
      </x:c>
      <x:c r="F76" s="84" t="str">
        <x:v>Swanflower</x:v>
      </x:c>
      <x:c r="G76" s="119"/>
      <x:c r="H76" s="119"/>
      <x:c r="I76" s="119"/>
      <x:c r="J76" s="119"/>
      <x:c r="K76" s="119"/>
      <x:c r="L76" s="119"/>
      <x:c r="M76" s="119"/>
      <x:c r="N76" s="115" t="str">
        <x:v>Not Started</x:v>
      </x:c>
      <x:c r="O76" s="115"/>
      <x:c r="P76" s="119"/>
      <x:c r="Q76" s="116"/>
    </x:row>
    <x:row r="77" ht="20" customHeight="1">
      <x:c r="A77" s="83" t="str">
        <x:v>HAYS-0076</x:v>
      </x:c>
      <x:c r="B77" s="87" t="str">
        <x:v>Aristolochia serpentaria</x:v>
      </x:c>
      <x:c r="C77" s="87" t="str">
        <x:v>Aristolochia serpentaria</x:v>
      </x:c>
      <x:c r="D77" s="84" t="str">
        <x:v>Aristolochiaceae</x:v>
      </x:c>
      <x:c r="E77" s="84" t="str">
        <x:v>Aristolochia</x:v>
      </x:c>
      <x:c r="F77" s="84" t="str">
        <x:v>Virginia Snakeroot, Virginia Dutchmanspipe</x:v>
      </x:c>
      <x:c r="G77" s="119"/>
      <x:c r="H77" s="119"/>
      <x:c r="I77" s="119"/>
      <x:c r="J77" s="119"/>
      <x:c r="K77" s="119"/>
      <x:c r="L77" s="119"/>
      <x:c r="M77" s="119"/>
      <x:c r="N77" s="115" t="str">
        <x:v>Not Started</x:v>
      </x:c>
      <x:c r="O77" s="115"/>
      <x:c r="P77" s="119"/>
      <x:c r="Q77" s="116"/>
    </x:row>
    <x:row r="78" ht="20" customHeight="1">
      <x:c r="A78" s="83" t="str">
        <x:v>HAYS-0077</x:v>
      </x:c>
      <x:c r="B78" s="87" t="str">
        <x:v>Arnoglossum plantagineum</x:v>
      </x:c>
      <x:c r="C78" s="87" t="str">
        <x:v>Arnoglossum plantagineum</x:v>
      </x:c>
      <x:c r="D78" s="84" t="str">
        <x:v>Asteraceae</x:v>
      </x:c>
      <x:c r="E78" s="84" t="str">
        <x:v>Arnoglossum</x:v>
      </x:c>
      <x:c r="F78" s="84" t="str">
        <x:v>Groovestem Indian Plantain, Indian Plantain, Prairie Plantain, Prairie Indian Plantain</x:v>
      </x:c>
      <x:c r="G78" s="119"/>
      <x:c r="H78" s="119"/>
      <x:c r="I78" s="119"/>
      <x:c r="J78" s="119"/>
      <x:c r="K78" s="119"/>
      <x:c r="L78" s="119"/>
      <x:c r="M78" s="119"/>
      <x:c r="N78" s="115" t="str">
        <x:v>Not Started</x:v>
      </x:c>
      <x:c r="O78" s="115"/>
      <x:c r="P78" s="119"/>
      <x:c r="Q78" s="116"/>
    </x:row>
    <x:row r="79" ht="20" customHeight="1">
      <x:c r="A79" s="83" t="str">
        <x:v>HAYS-0078</x:v>
      </x:c>
      <x:c r="B79" s="87" t="str">
        <x:v>Artemisia ludoviciana</x:v>
      </x:c>
      <x:c r="C79" s="87" t="str">
        <x:v>Artemisia ludoviciana</x:v>
      </x:c>
      <x:c r="D79" s="84" t="str">
        <x:v>Asteraceae</x:v>
      </x:c>
      <x:c r="E79" s="84" t="str">
        <x:v>Artemisia</x:v>
      </x:c>
      <x:c r="F79" s="84" t="str">
        <x:v>Louisiana Artemisia, Louisiana Sage, White Sage, Prairie Sage, Silver Sage, White Sagebrush, Louisiana Wormwood, Silver Wormwood, Louisiana Sagewort, Gray Sagewort, Cudweed Sagewort, Mugwort Wormwood</x:v>
      </x:c>
      <x:c r="G79" s="119"/>
      <x:c r="H79" s="119"/>
      <x:c r="I79" s="119"/>
      <x:c r="J79" s="119"/>
      <x:c r="K79" s="119"/>
      <x:c r="L79" s="119"/>
      <x:c r="M79" s="119"/>
      <x:c r="N79" s="115" t="str">
        <x:v>Not Started</x:v>
      </x:c>
      <x:c r="O79" s="115"/>
      <x:c r="P79" s="119"/>
      <x:c r="Q79" s="116"/>
    </x:row>
    <x:row r="80" ht="20" customHeight="1">
      <x:c r="A80" s="83" t="str">
        <x:v>HAYS-0079</x:v>
      </x:c>
      <x:c r="B80" s="87" t="str">
        <x:v>Asclepias asperula</x:v>
      </x:c>
      <x:c r="C80" s="87" t="str">
        <x:v>Asclepias asperula</x:v>
      </x:c>
      <x:c r="D80" s="84" t="str">
        <x:v>Apocynaceae</x:v>
      </x:c>
      <x:c r="E80" s="84" t="str">
        <x:v>Asclepias</x:v>
      </x:c>
      <x:c r="F80" s="84" t="str">
        <x:v>Antelope-horns, Spider Milkweed, Green-flowered Milkweed, Spider Antelope-horns, Antelope Horns</x:v>
      </x:c>
      <x:c r="G80" s="119"/>
      <x:c r="H80" s="119"/>
      <x:c r="I80" s="119"/>
      <x:c r="J80" s="119"/>
      <x:c r="K80" s="119"/>
      <x:c r="L80" s="119"/>
      <x:c r="M80" s="119"/>
      <x:c r="N80" s="115" t="str">
        <x:v>Not Started</x:v>
      </x:c>
      <x:c r="O80" s="115"/>
      <x:c r="P80" s="119"/>
      <x:c r="Q80" s="116"/>
    </x:row>
    <x:row r="81" ht="20" customHeight="1">
      <x:c r="A81" s="83" t="str">
        <x:v>HAYS-0080</x:v>
      </x:c>
      <x:c r="B81" s="87" t="str">
        <x:v>Asclepias incarnata</x:v>
      </x:c>
      <x:c r="C81" s="87" t="str">
        <x:v>Asclepias incarnata</x:v>
      </x:c>
      <x:c r="D81" s="84" t="str">
        <x:v>Apocynaceae</x:v>
      </x:c>
      <x:c r="E81" s="84" t="str">
        <x:v>Asclepias</x:v>
      </x:c>
      <x:c r="F81" s="84" t="str">
        <x:v>Swamp Milkweed, Pink Milkweed</x:v>
      </x:c>
      <x:c r="G81" s="119"/>
      <x:c r="H81" s="119"/>
      <x:c r="I81" s="119"/>
      <x:c r="J81" s="119"/>
      <x:c r="K81" s="119"/>
      <x:c r="L81" s="119"/>
      <x:c r="M81" s="119"/>
      <x:c r="N81" s="115" t="str">
        <x:v>Not Started</x:v>
      </x:c>
      <x:c r="O81" s="115"/>
      <x:c r="P81" s="119"/>
      <x:c r="Q81" s="116"/>
    </x:row>
    <x:row r="82" ht="20" customHeight="1">
      <x:c r="A82" s="83" t="str">
        <x:v>HAYS-0081</x:v>
      </x:c>
      <x:c r="B82" s="87" t="str">
        <x:v>Asclepias oenotheroides</x:v>
      </x:c>
      <x:c r="C82" s="87" t="str">
        <x:v>Asclepias oenotheroides</x:v>
      </x:c>
      <x:c r="D82" s="84" t="str">
        <x:v>Apocynaceae</x:v>
      </x:c>
      <x:c r="E82" s="84" t="str">
        <x:v>Asclepias</x:v>
      </x:c>
      <x:c r="F82" s="84" t="str">
        <x:v>Zizotes Milkweed, Hierba De Zizotes, Side-cluster Milkweed, Longhorn Milkweed, Primrose Milkweed, Lindheimer's Milkweed</x:v>
      </x:c>
      <x:c r="G82" s="119"/>
      <x:c r="H82" s="119"/>
      <x:c r="I82" s="119"/>
      <x:c r="J82" s="119"/>
      <x:c r="K82" s="119"/>
      <x:c r="L82" s="119"/>
      <x:c r="M82" s="119"/>
      <x:c r="N82" s="115" t="str">
        <x:v>Not Started</x:v>
      </x:c>
      <x:c r="O82" s="115"/>
      <x:c r="P82" s="119"/>
      <x:c r="Q82" s="116"/>
    </x:row>
    <x:row r="83" ht="20" customHeight="1">
      <x:c r="A83" s="83" t="str">
        <x:v>HAYS-0082</x:v>
      </x:c>
      <x:c r="B83" s="87" t="str">
        <x:v>Asclepias texana</x:v>
      </x:c>
      <x:c r="C83" s="87" t="str">
        <x:v>Asclepias texana</x:v>
      </x:c>
      <x:c r="D83" s="84" t="str">
        <x:v>Apocynaceae</x:v>
      </x:c>
      <x:c r="E83" s="84" t="str">
        <x:v>Asclepias</x:v>
      </x:c>
      <x:c r="F83" s="84" t="str">
        <x:v>Texas Milkweed</x:v>
      </x:c>
      <x:c r="G83" s="119"/>
      <x:c r="H83" s="119"/>
      <x:c r="I83" s="119"/>
      <x:c r="J83" s="119"/>
      <x:c r="K83" s="119"/>
      <x:c r="L83" s="119"/>
      <x:c r="M83" s="119"/>
      <x:c r="N83" s="115" t="str">
        <x:v>Not Started</x:v>
      </x:c>
      <x:c r="O83" s="115"/>
      <x:c r="P83" s="119"/>
      <x:c r="Q83" s="116"/>
    </x:row>
    <x:row r="84" ht="20" customHeight="1">
      <x:c r="A84" s="83" t="str">
        <x:v>HAYS-0083</x:v>
      </x:c>
      <x:c r="B84" s="87" t="str">
        <x:v>Asclepias tuberosa</x:v>
      </x:c>
      <x:c r="C84" s="87" t="str">
        <x:v>Asclepias tuberosa</x:v>
      </x:c>
      <x:c r="D84" s="84" t="str">
        <x:v>Apocynaceae</x:v>
      </x:c>
      <x:c r="E84" s="84" t="str">
        <x:v>Asclepias</x:v>
      </x:c>
      <x:c r="F84" s="84" t="str">
        <x:v>Butterflyweed, Butterfly Weed, Butterfly Milkweed, Orange Milkweed, Pleurisy Root, Chigger Flower, Chiggerweed</x:v>
      </x:c>
      <x:c r="G84" s="119"/>
      <x:c r="H84" s="119"/>
      <x:c r="I84" s="119"/>
      <x:c r="J84" s="119"/>
      <x:c r="K84" s="119"/>
      <x:c r="L84" s="119"/>
      <x:c r="M84" s="119"/>
      <x:c r="N84" s="115" t="str">
        <x:v>Not Started</x:v>
      </x:c>
      <x:c r="O84" s="115"/>
      <x:c r="P84" s="119"/>
      <x:c r="Q84" s="116"/>
    </x:row>
    <x:row r="85" ht="20" customHeight="1">
      <x:c r="A85" s="83" t="str">
        <x:v>HAYS-0084</x:v>
      </x:c>
      <x:c r="B85" s="87" t="str">
        <x:v>Asclepias viridiflora</x:v>
      </x:c>
      <x:c r="C85" s="87" t="str">
        <x:v>Asclepias viridiflora</x:v>
      </x:c>
      <x:c r="D85" s="84" t="str">
        <x:v>Apocynaceae</x:v>
      </x:c>
      <x:c r="E85" s="84" t="str">
        <x:v>Asclepias</x:v>
      </x:c>
      <x:c r="F85" s="84" t="str">
        <x:v>Green Comet Milkweed, Green-flowered Milkweed, Green Milkweed, Wand Milkweed</x:v>
      </x:c>
      <x:c r="G85" s="119"/>
      <x:c r="H85" s="119"/>
      <x:c r="I85" s="119"/>
      <x:c r="J85" s="119"/>
      <x:c r="K85" s="119"/>
      <x:c r="L85" s="119"/>
      <x:c r="M85" s="119"/>
      <x:c r="N85" s="115" t="str">
        <x:v>Not Started</x:v>
      </x:c>
      <x:c r="O85" s="115"/>
      <x:c r="P85" s="119"/>
      <x:c r="Q85" s="116"/>
    </x:row>
    <x:row r="86" ht="20" customHeight="1">
      <x:c r="A86" s="83" t="str">
        <x:v>HAYS-0085</x:v>
      </x:c>
      <x:c r="B86" s="87" t="str">
        <x:v>Asclepias viridis</x:v>
      </x:c>
      <x:c r="C86" s="87" t="str">
        <x:v>Asclepias viridis</x:v>
      </x:c>
      <x:c r="D86" s="84" t="str">
        <x:v>Apocynaceae</x:v>
      </x:c>
      <x:c r="E86" s="84" t="str">
        <x:v>Asclepias</x:v>
      </x:c>
      <x:c r="F86" s="84" t="str">
        <x:v>Green Milkweed, Spider Milkweed</x:v>
      </x:c>
      <x:c r="G86" s="119"/>
      <x:c r="H86" s="119"/>
      <x:c r="I86" s="119"/>
      <x:c r="J86" s="119"/>
      <x:c r="K86" s="119"/>
      <x:c r="L86" s="119"/>
      <x:c r="M86" s="119"/>
      <x:c r="N86" s="115" t="str">
        <x:v>Not Started</x:v>
      </x:c>
      <x:c r="O86" s="115"/>
      <x:c r="P86" s="119"/>
      <x:c r="Q86" s="116"/>
    </x:row>
    <x:row r="87" ht="20" customHeight="1">
      <x:c r="A87" s="83" t="str">
        <x:v>HAYS-0086</x:v>
      </x:c>
      <x:c r="B87" s="87" t="str">
        <x:v>Asplenium resiliens</x:v>
      </x:c>
      <x:c r="C87" s="87" t="str">
        <x:v>Asplenium resiliens</x:v>
      </x:c>
      <x:c r="D87" s="84" t="str">
        <x:v>Aspleniaceae</x:v>
      </x:c>
      <x:c r="E87" s="84" t="str">
        <x:v>Asplenium</x:v>
      </x:c>
      <x:c r="F87" s="84" t="str">
        <x:v>Blackstem Spleenwort</x:v>
      </x:c>
      <x:c r="G87" s="119"/>
      <x:c r="H87" s="119"/>
      <x:c r="I87" s="119"/>
      <x:c r="J87" s="119"/>
      <x:c r="K87" s="119"/>
      <x:c r="L87" s="119"/>
      <x:c r="M87" s="119"/>
      <x:c r="N87" s="115" t="str">
        <x:v>Not Started</x:v>
      </x:c>
      <x:c r="O87" s="115"/>
      <x:c r="P87" s="119"/>
      <x:c r="Q87" s="116"/>
    </x:row>
    <x:row r="88" ht="20" customHeight="1">
      <x:c r="A88" s="83" t="str">
        <x:v>HAYS-0087</x:v>
      </x:c>
      <x:c r="B88" s="87" t="str">
        <x:v>Astragalus crassicarpus var. berlandieri</x:v>
      </x:c>
      <x:c r="C88" s="87" t="str">
        <x:v>Astragalus crassicarpus var. berlandieri</x:v>
      </x:c>
      <x:c r="D88" s="84" t="str">
        <x:v>Fabaceae</x:v>
      </x:c>
      <x:c r="E88" s="84" t="str">
        <x:v>Astragalus</x:v>
      </x:c>
      <x:c r="F88" s="84" t="str">
        <x:v>Berlandier's Groundplum, Groundplum Milkvetch, Groundplum</x:v>
      </x:c>
      <x:c r="G88" s="119"/>
      <x:c r="H88" s="119"/>
      <x:c r="I88" s="119"/>
      <x:c r="J88" s="119"/>
      <x:c r="K88" s="119"/>
      <x:c r="L88" s="119"/>
      <x:c r="M88" s="119"/>
      <x:c r="N88" s="115" t="str">
        <x:v>Not Started</x:v>
      </x:c>
      <x:c r="O88" s="115"/>
      <x:c r="P88" s="119"/>
      <x:c r="Q88" s="116"/>
    </x:row>
    <x:row r="89" ht="20" customHeight="1">
      <x:c r="A89" s="83" t="str">
        <x:v>HAYS-0088</x:v>
      </x:c>
      <x:c r="B89" s="87" t="str">
        <x:v>Astragalus leptocarpus</x:v>
      </x:c>
      <x:c r="C89" s="87" t="str">
        <x:v>Astragalus leptocarpus</x:v>
      </x:c>
      <x:c r="D89" s="84" t="str">
        <x:v>Fabaceae</x:v>
      </x:c>
      <x:c r="E89" s="84" t="str">
        <x:v>Astragalus</x:v>
      </x:c>
      <x:c r="F89" s="84" t="str">
        <x:v>Rare Loco Milkvetch, Slimpod Milkvetch</x:v>
      </x:c>
      <x:c r="G89" s="119"/>
      <x:c r="H89" s="119"/>
      <x:c r="I89" s="119"/>
      <x:c r="J89" s="119"/>
      <x:c r="K89" s="119"/>
      <x:c r="L89" s="119"/>
      <x:c r="M89" s="119"/>
      <x:c r="N89" s="115" t="str">
        <x:v>Not Started</x:v>
      </x:c>
      <x:c r="O89" s="115"/>
      <x:c r="P89" s="119"/>
      <x:c r="Q89" s="116"/>
    </x:row>
    <x:row r="90" ht="20" customHeight="1">
      <x:c r="A90" s="83" t="str">
        <x:v>HAYS-0089</x:v>
      </x:c>
      <x:c r="B90" s="87" t="str">
        <x:v>Astragalus lindheimeri</x:v>
      </x:c>
      <x:c r="C90" s="87" t="str">
        <x:v>Astragalus lindheimeri</x:v>
      </x:c>
      <x:c r="D90" s="84" t="str">
        <x:v>Fabaceae</x:v>
      </x:c>
      <x:c r="E90" s="84" t="str">
        <x:v>Astragalus</x:v>
      </x:c>
      <x:c r="F90" s="84" t="str">
        <x:v>Lindheimer's Milkvetch, Lindheimer's Astragulus</x:v>
      </x:c>
      <x:c r="G90" s="119"/>
      <x:c r="H90" s="119"/>
      <x:c r="I90" s="119"/>
      <x:c r="J90" s="119"/>
      <x:c r="K90" s="119"/>
      <x:c r="L90" s="119"/>
      <x:c r="M90" s="119"/>
      <x:c r="N90" s="115" t="str">
        <x:v>Not Started</x:v>
      </x:c>
      <x:c r="O90" s="115"/>
      <x:c r="P90" s="119"/>
      <x:c r="Q90" s="116"/>
    </x:row>
    <x:row r="91" ht="20" customHeight="1">
      <x:c r="A91" s="83" t="str">
        <x:v>HAYS-0090</x:v>
      </x:c>
      <x:c r="B91" s="87" t="str">
        <x:v>Astragalus nuttallianus</x:v>
      </x:c>
      <x:c r="C91" s="87" t="str">
        <x:v>Astragalus nuttallianus</x:v>
      </x:c>
      <x:c r="D91" s="84" t="str">
        <x:v>Fabaceae</x:v>
      </x:c>
      <x:c r="E91" s="84" t="str">
        <x:v>Astragalus</x:v>
      </x:c>
      <x:c r="F91" s="84" t="str">
        <x:v>Nuttall's Milkvetch, Small-flowered Milkvetch</x:v>
      </x:c>
      <x:c r="G91" s="119"/>
      <x:c r="H91" s="119"/>
      <x:c r="I91" s="119"/>
      <x:c r="J91" s="119"/>
      <x:c r="K91" s="119"/>
      <x:c r="L91" s="119"/>
      <x:c r="M91" s="119"/>
      <x:c r="N91" s="115" t="str">
        <x:v>Not Started</x:v>
      </x:c>
      <x:c r="O91" s="115"/>
      <x:c r="P91" s="119"/>
      <x:c r="Q91" s="116"/>
    </x:row>
    <x:row r="92" ht="20" customHeight="1">
      <x:c r="A92" s="83" t="str">
        <x:v>HAYS-0091</x:v>
      </x:c>
      <x:c r="B92" s="87" t="str">
        <x:v>Astragalus plattensis</x:v>
      </x:c>
      <x:c r="C92" s="87" t="str">
        <x:v>Astragalus plattensis</x:v>
      </x:c>
      <x:c r="D92" s="84" t="str">
        <x:v>Fabaceae</x:v>
      </x:c>
      <x:c r="E92" s="84" t="str">
        <x:v>Astragalus</x:v>
      </x:c>
      <x:c r="F92" s="84" t="str">
        <x:v>Platte River Milkvetch</x:v>
      </x:c>
      <x:c r="G92" s="119"/>
      <x:c r="H92" s="119"/>
      <x:c r="I92" s="119"/>
      <x:c r="J92" s="119"/>
      <x:c r="K92" s="119"/>
      <x:c r="L92" s="119"/>
      <x:c r="M92" s="119"/>
      <x:c r="N92" s="115" t="str">
        <x:v>Not Started</x:v>
      </x:c>
      <x:c r="O92" s="115"/>
      <x:c r="P92" s="119"/>
      <x:c r="Q92" s="116"/>
    </x:row>
    <x:row r="93" ht="20" customHeight="1">
      <x:c r="A93" s="83" t="str">
        <x:v>HAYS-0092</x:v>
      </x:c>
      <x:c r="B93" s="87" t="str">
        <x:v>Astragalus pleianthus</x:v>
      </x:c>
      <x:c r="C93" s="87" t="str">
        <x:v>Astragalus nuttallianus var. pleianthus</x:v>
      </x:c>
      <x:c r="D93" s="84" t="str">
        <x:v>Fabaceae</x:v>
      </x:c>
      <x:c r="E93" s="84" t="str">
        <x:v>Astragalus</x:v>
      </x:c>
      <x:c r="F93" s="84" t="str">
        <x:v>Edwards Plateau Milkvetch</x:v>
      </x:c>
      <x:c r="G93" s="119"/>
      <x:c r="H93" s="119"/>
      <x:c r="I93" s="119"/>
      <x:c r="J93" s="119"/>
      <x:c r="K93" s="119"/>
      <x:c r="L93" s="119"/>
      <x:c r="M93" s="119"/>
      <x:c r="N93" s="115" t="str">
        <x:v>Not Started</x:v>
      </x:c>
      <x:c r="O93" s="115"/>
      <x:c r="P93" s="119"/>
      <x:c r="Q93" s="116"/>
    </x:row>
    <x:row r="94" ht="20" customHeight="1">
      <x:c r="A94" s="83" t="str">
        <x:v>HAYS-0093</x:v>
      </x:c>
      <x:c r="B94" s="87" t="str">
        <x:v>Atriplex canescens</x:v>
      </x:c>
      <x:c r="C94" s="87" t="str">
        <x:v>Atriplex canescens</x:v>
      </x:c>
      <x:c r="D94" s="84" t="str">
        <x:v>Amaranthaceae</x:v>
      </x:c>
      <x:c r="E94" s="84" t="str">
        <x:v>Atriplex</x:v>
      </x:c>
      <x:c r="F94" s="84" t="str">
        <x:v>Chamiso, Four-wing Saltbush, Wing-scale</x:v>
      </x:c>
      <x:c r="G94" s="119"/>
      <x:c r="H94" s="119"/>
      <x:c r="I94" s="119"/>
      <x:c r="J94" s="119"/>
      <x:c r="K94" s="119"/>
      <x:c r="L94" s="119"/>
      <x:c r="M94" s="119"/>
      <x:c r="N94" s="115" t="str">
        <x:v>Not Started</x:v>
      </x:c>
      <x:c r="O94" s="115"/>
      <x:c r="P94" s="119"/>
      <x:c r="Q94" s="116"/>
    </x:row>
    <x:row r="95" ht="20" customHeight="1">
      <x:c r="A95" s="83" t="str">
        <x:v>HAYS-0094</x:v>
      </x:c>
      <x:c r="B95" s="87" t="str">
        <x:v>Azolla caroliniana</x:v>
      </x:c>
      <x:c r="C95" s="87" t="str">
        <x:v>Azolla caroliniana</x:v>
      </x:c>
      <x:c r="D95" s="84" t="str">
        <x:v>Salviniaceae</x:v>
      </x:c>
      <x:c r="E95" s="84" t="str">
        <x:v>Azolla</x:v>
      </x:c>
      <x:c r="F95" s="84" t="str">
        <x:v>Carolina Mosquitofern</x:v>
      </x:c>
      <x:c r="G95" s="119"/>
      <x:c r="H95" s="119"/>
      <x:c r="I95" s="119"/>
      <x:c r="J95" s="119"/>
      <x:c r="K95" s="119"/>
      <x:c r="L95" s="119"/>
      <x:c r="M95" s="119"/>
      <x:c r="N95" s="115" t="str">
        <x:v>Not Started</x:v>
      </x:c>
      <x:c r="O95" s="115"/>
      <x:c r="P95" s="119"/>
      <x:c r="Q95" s="116"/>
    </x:row>
    <x:row r="96" ht="20" customHeight="1">
      <x:c r="A96" s="83" t="str">
        <x:v>HAYS-0095</x:v>
      </x:c>
      <x:c r="B96" s="87" t="str">
        <x:v>Baccharis neglecta</x:v>
      </x:c>
      <x:c r="C96" s="87" t="str">
        <x:v>Baccharis neglecta</x:v>
      </x:c>
      <x:c r="D96" s="84" t="str">
        <x:v>Asteraceae</x:v>
      </x:c>
      <x:c r="E96" s="84" t="str">
        <x:v>Baccharis</x:v>
      </x:c>
      <x:c r="F96" s="84" t="str">
        <x:v>False Willow, Jara Dulce, Poverty Weed, Roosevelt Weed</x:v>
      </x:c>
      <x:c r="G96" s="119"/>
      <x:c r="H96" s="119"/>
      <x:c r="I96" s="119"/>
      <x:c r="J96" s="119"/>
      <x:c r="K96" s="119"/>
      <x:c r="L96" s="119"/>
      <x:c r="M96" s="119"/>
      <x:c r="N96" s="115" t="str">
        <x:v>Not Started</x:v>
      </x:c>
      <x:c r="O96" s="115"/>
      <x:c r="P96" s="119"/>
      <x:c r="Q96" s="116"/>
    </x:row>
    <x:row r="97" ht="20" customHeight="1">
      <x:c r="A97" s="83" t="str">
        <x:v>HAYS-0096</x:v>
      </x:c>
      <x:c r="B97" s="87" t="str">
        <x:v>Bacopa monnieri</x:v>
      </x:c>
      <x:c r="C97" s="87" t="str">
        <x:v>Bacopa monnieri</x:v>
      </x:c>
      <x:c r="D97" s="84" t="str">
        <x:v>Plantaginaceae</x:v>
      </x:c>
      <x:c r="E97" s="84" t="str">
        <x:v>Bacopa</x:v>
      </x:c>
      <x:c r="F97" s="84" t="str">
        <x:v>Herb-of-grace, Water Hyssop, Coastal Water-hyssop</x:v>
      </x:c>
      <x:c r="G97" s="119"/>
      <x:c r="H97" s="119"/>
      <x:c r="I97" s="119"/>
      <x:c r="J97" s="119"/>
      <x:c r="K97" s="119"/>
      <x:c r="L97" s="119"/>
      <x:c r="M97" s="119"/>
      <x:c r="N97" s="115" t="str">
        <x:v>Not Started</x:v>
      </x:c>
      <x:c r="O97" s="115"/>
      <x:c r="P97" s="119"/>
      <x:c r="Q97" s="116"/>
    </x:row>
    <x:row r="98" ht="20" customHeight="1">
      <x:c r="A98" s="83" t="str">
        <x:v>HAYS-0097</x:v>
      </x:c>
      <x:c r="B98" s="87" t="str">
        <x:v>Baptisia bracteata</x:v>
      </x:c>
      <x:c r="C98" s="87" t="str">
        <x:v>Baptisia bracteata</x:v>
      </x:c>
      <x:c r="D98" s="84" t="str">
        <x:v>Fabaceae</x:v>
      </x:c>
      <x:c r="E98" s="84" t="str">
        <x:v>Baptisia</x:v>
      </x:c>
      <x:c r="F98" s="84" t="str">
        <x:v>Wild Indigo</x:v>
      </x:c>
      <x:c r="G98" s="119"/>
      <x:c r="H98" s="119"/>
      <x:c r="I98" s="119"/>
      <x:c r="J98" s="119"/>
      <x:c r="K98" s="119"/>
      <x:c r="L98" s="119"/>
      <x:c r="M98" s="119"/>
      <x:c r="N98" s="115" t="str">
        <x:v>Not Started</x:v>
      </x:c>
      <x:c r="O98" s="115"/>
      <x:c r="P98" s="119"/>
      <x:c r="Q98" s="116"/>
    </x:row>
    <x:row r="99" ht="20" customHeight="1">
      <x:c r="A99" s="83" t="str">
        <x:v>HAYS-0098</x:v>
      </x:c>
      <x:c r="B99" s="87" t="str">
        <x:v>Berlandiera betonicifolia</x:v>
      </x:c>
      <x:c r="C99" s="87" t="str">
        <x:v>Berlandiera betonicifolia</x:v>
      </x:c>
      <x:c r="D99" s="84" t="str">
        <x:v>Asteraceae</x:v>
      </x:c>
      <x:c r="E99" s="84" t="str">
        <x:v>Berlandiera</x:v>
      </x:c>
      <x:c r="F99" s="84" t="str">
        <x:v>Texas Greeneyes, Broochflower</x:v>
      </x:c>
      <x:c r="G99" s="119"/>
      <x:c r="H99" s="119"/>
      <x:c r="I99" s="119"/>
      <x:c r="J99" s="119"/>
      <x:c r="K99" s="119"/>
      <x:c r="L99" s="119"/>
      <x:c r="M99" s="119"/>
      <x:c r="N99" s="115" t="str">
        <x:v>Not Started</x:v>
      </x:c>
      <x:c r="O99" s="115"/>
      <x:c r="P99" s="119"/>
      <x:c r="Q99" s="116"/>
    </x:row>
    <x:row r="100" ht="20" customHeight="1">
      <x:c r="A100" s="83" t="str">
        <x:v>HAYS-0099</x:v>
      </x:c>
      <x:c r="B100" s="87" t="str">
        <x:v>Berlandiera lyrata</x:v>
      </x:c>
      <x:c r="C100" s="87" t="str">
        <x:v>Berlandiera lyrata</x:v>
      </x:c>
      <x:c r="D100" s="84" t="str">
        <x:v>Asteraceae</x:v>
      </x:c>
      <x:c r="E100" s="84" t="str">
        <x:v>Berlandiera</x:v>
      </x:c>
      <x:c r="F100" s="84" t="str">
        <x:v>Chocolate Daisy, Chocolate Flower, Lyreleaf Greeneyes, Green-eyed Lyre Leaf</x:v>
      </x:c>
      <x:c r="G100" s="119"/>
      <x:c r="H100" s="119"/>
      <x:c r="I100" s="119"/>
      <x:c r="J100" s="119"/>
      <x:c r="K100" s="119"/>
      <x:c r="L100" s="119"/>
      <x:c r="M100" s="119"/>
      <x:c r="N100" s="115" t="str">
        <x:v>Not Started</x:v>
      </x:c>
      <x:c r="O100" s="115"/>
      <x:c r="P100" s="119"/>
      <x:c r="Q100" s="116"/>
    </x:row>
    <x:row r="101" ht="105" customHeight="1">
      <x:c r="A101" s="83" t="str">
        <x:v>HAYS-0100</x:v>
      </x:c>
      <x:c r="B101" s="87" t="str">
        <x:v>Bernardia myricifolia</x:v>
      </x:c>
      <x:c r="C101" s="87" t="str">
        <x:v>Bernardia myricifolia</x:v>
      </x:c>
      <x:c r="D101" s="84" t="str">
        <x:v>Euphorbiaceae</x:v>
      </x:c>
      <x:c r="E101" s="84" t="str">
        <x:v>Bernardia</x:v>
      </x:c>
      <x:c r="F101" s="84" t="str">
        <x:v>Mouse Ears</x:v>
      </x:c>
      <x:c r="G101" s="119" t="str">
        <x:v>Treat as a provisional Bernardia identification based on woody habit plus reproductive structures, not leaf shape alone.</x:v>
      </x:c>
      <x:c r="H101" s="119" t="str">
        <x:v>Alternate simple leaves and unisexual flowers; species-level recognition for this project still requires a regional flora treatment. Species evidence: No species pair exists in the current list; confirm genus using flowers, fruit, stipules, and hair pattern.</x:v>
      </x:c>
      <x:c r="I101" s="119" t="str">
        <x:v>Argythamnia; Croton; Acalypha</x:v>
      </x:c>
      <x:c r="J101" s="119" t="str">
        <x:v>No species pair exists in the current list; confirm genus using flowers, fruit, stipules, and hair pattern.</x:v>
      </x:c>
      <x:c r="K101" s="119" t="str">
        <x:v>Whole habit, twig, leaf base and margin, both flower sexes, capsule, hairs.</x:v>
      </x:c>
      <x:c r="L101" s="119"/>
      <x:c r="M101" s="119" t="str">
        <x:v>https://powo.science.kew.org/taxon/urn%3Alsid%3Aipni.org%3Anames%3A30375178-2/general-information</x:v>
      </x:c>
      <x:c r="N101" s="115" t="str">
        <x:v>In Progress</x:v>
      </x:c>
      <x:c r="O101" s="115" t="str">
        <x:v>Main chat — Euphorbiaceae pilot</x:v>
      </x:c>
      <x:c r="P101" s="119" t="str">
        <x:v>Provisional. Next: Add an authoritative Southwest or Texas flora treatment.</x:v>
      </x:c>
      <x:c r="Q101" s="116" t="str">
        <x:v>2026-07-28</x:v>
      </x:c>
    </x:row>
    <x:row r="102" ht="20" customHeight="1">
      <x:c r="A102" s="83" t="str">
        <x:v>HAYS-0101</x:v>
      </x:c>
      <x:c r="B102" s="87" t="str">
        <x:v>Bidens laevis</x:v>
      </x:c>
      <x:c r="C102" s="87" t="str">
        <x:v>Bidens laevis</x:v>
      </x:c>
      <x:c r="D102" s="84" t="str">
        <x:v>Asteraceae</x:v>
      </x:c>
      <x:c r="E102" s="84" t="str">
        <x:v>Bidens</x:v>
      </x:c>
      <x:c r="F102" s="84" t="str">
        <x:v>Smooth Beggartick, Smooth Bidens, Smooth Bur Marigold, Larger Bur Marigold</x:v>
      </x:c>
      <x:c r="G102" s="119"/>
      <x:c r="H102" s="119"/>
      <x:c r="I102" s="119"/>
      <x:c r="J102" s="119"/>
      <x:c r="K102" s="119"/>
      <x:c r="L102" s="119"/>
      <x:c r="M102" s="119"/>
      <x:c r="N102" s="115" t="str">
        <x:v>Not Started</x:v>
      </x:c>
      <x:c r="O102" s="115"/>
      <x:c r="P102" s="119"/>
      <x:c r="Q102" s="116"/>
    </x:row>
    <x:row r="103" ht="20" customHeight="1">
      <x:c r="A103" s="83" t="str">
        <x:v>HAYS-0102</x:v>
      </x:c>
      <x:c r="B103" s="87" t="str">
        <x:v>Bifora americana</x:v>
      </x:c>
      <x:c r="C103" s="87" t="str">
        <x:v>Atrema americanum</x:v>
      </x:c>
      <x:c r="D103" s="84" t="str">
        <x:v>Apiaceae</x:v>
      </x:c>
      <x:c r="E103" s="84" t="str">
        <x:v>Atrema</x:v>
      </x:c>
      <x:c r="F103" s="84" t="str">
        <x:v>Prairie Bishop, Prairie Bishop's Weed</x:v>
      </x:c>
      <x:c r="G103" s="119"/>
      <x:c r="H103" s="119"/>
      <x:c r="I103" s="119"/>
      <x:c r="J103" s="119"/>
      <x:c r="K103" s="119"/>
      <x:c r="L103" s="119"/>
      <x:c r="M103" s="119"/>
      <x:c r="N103" s="115" t="str">
        <x:v>Not Started</x:v>
      </x:c>
      <x:c r="O103" s="115"/>
      <x:c r="P103" s="119"/>
      <x:c r="Q103" s="116"/>
    </x:row>
    <x:row r="104" ht="20" customHeight="1">
      <x:c r="A104" s="83" t="str">
        <x:v>HAYS-0103</x:v>
      </x:c>
      <x:c r="B104" s="87" t="str">
        <x:v>Boehmeria cylindrica</x:v>
      </x:c>
      <x:c r="C104" s="87" t="str">
        <x:v>Boehmeria cylindrica</x:v>
      </x:c>
      <x:c r="D104" s="84" t="str">
        <x:v>Urticaceae</x:v>
      </x:c>
      <x:c r="E104" s="84" t="str">
        <x:v>Boehmeria</x:v>
      </x:c>
      <x:c r="F104" s="84" t="str">
        <x:v>Smallspike False Nettle, Bog Hemp</x:v>
      </x:c>
      <x:c r="G104" s="119"/>
      <x:c r="H104" s="119"/>
      <x:c r="I104" s="119"/>
      <x:c r="J104" s="119"/>
      <x:c r="K104" s="119"/>
      <x:c r="L104" s="119"/>
      <x:c r="M104" s="119"/>
      <x:c r="N104" s="115" t="str">
        <x:v>Not Started</x:v>
      </x:c>
      <x:c r="O104" s="115"/>
      <x:c r="P104" s="119"/>
      <x:c r="Q104" s="116"/>
    </x:row>
    <x:row r="105" ht="20" customHeight="1">
      <x:c r="A105" s="83" t="str">
        <x:v>HAYS-0104</x:v>
      </x:c>
      <x:c r="B105" s="87" t="str">
        <x:v>Boerhavia coccinea</x:v>
      </x:c>
      <x:c r="C105" s="87" t="str">
        <x:v>Boerhavia coccinea</x:v>
      </x:c>
      <x:c r="D105" s="84" t="str">
        <x:v>Nyctaginaceae</x:v>
      </x:c>
      <x:c r="E105" s="84" t="str">
        <x:v>Boerhavia</x:v>
      </x:c>
      <x:c r="F105" s="84" t="str">
        <x:v>Scarlet Spiderling</x:v>
      </x:c>
      <x:c r="G105" s="119"/>
      <x:c r="H105" s="119"/>
      <x:c r="I105" s="119"/>
      <x:c r="J105" s="119"/>
      <x:c r="K105" s="119"/>
      <x:c r="L105" s="119"/>
      <x:c r="M105" s="119"/>
      <x:c r="N105" s="115" t="str">
        <x:v>Not Started</x:v>
      </x:c>
      <x:c r="O105" s="115"/>
      <x:c r="P105" s="119"/>
      <x:c r="Q105" s="116"/>
    </x:row>
    <x:row r="106" ht="20" customHeight="1">
      <x:c r="A106" s="83" t="str">
        <x:v>HAYS-0105</x:v>
      </x:c>
      <x:c r="B106" s="87" t="str">
        <x:v>Boerhavia linearifolia</x:v>
      </x:c>
      <x:c r="C106" s="87" t="str">
        <x:v>Boerhavia linearifolia</x:v>
      </x:c>
      <x:c r="D106" s="84" t="str">
        <x:v>Nyctaginaceae</x:v>
      </x:c>
      <x:c r="E106" s="84" t="str">
        <x:v>Boerhavia</x:v>
      </x:c>
      <x:c r="F106" s="84" t="str">
        <x:v>Narrowleaf Spiderling</x:v>
      </x:c>
      <x:c r="G106" s="119"/>
      <x:c r="H106" s="119"/>
      <x:c r="I106" s="119"/>
      <x:c r="J106" s="119"/>
      <x:c r="K106" s="119"/>
      <x:c r="L106" s="119"/>
      <x:c r="M106" s="119"/>
      <x:c r="N106" s="115" t="str">
        <x:v>Not Started</x:v>
      </x:c>
      <x:c r="O106" s="115"/>
      <x:c r="P106" s="119"/>
      <x:c r="Q106" s="116"/>
    </x:row>
    <x:row r="107" ht="20" customHeight="1">
      <x:c r="A107" s="83" t="str">
        <x:v>HAYS-0106</x:v>
      </x:c>
      <x:c r="B107" s="87" t="str">
        <x:v>Boltonia diffusa</x:v>
      </x:c>
      <x:c r="C107" s="87" t="str">
        <x:v>Boltonia diffusa</x:v>
      </x:c>
      <x:c r="D107" s="84" t="str">
        <x:v>Asteraceae</x:v>
      </x:c>
      <x:c r="E107" s="84" t="str">
        <x:v>Boltonia</x:v>
      </x:c>
      <x:c r="F107" s="84" t="str">
        <x:v>Doll's Daisy, Smallhead Doll's Daisy</x:v>
      </x:c>
      <x:c r="G107" s="119"/>
      <x:c r="H107" s="119"/>
      <x:c r="I107" s="119"/>
      <x:c r="J107" s="119"/>
      <x:c r="K107" s="119"/>
      <x:c r="L107" s="119"/>
      <x:c r="M107" s="119"/>
      <x:c r="N107" s="115" t="str">
        <x:v>Not Started</x:v>
      </x:c>
      <x:c r="O107" s="115"/>
      <x:c r="P107" s="119"/>
      <x:c r="Q107" s="116"/>
    </x:row>
    <x:row r="108" ht="20" customHeight="1">
      <x:c r="A108" s="83" t="str">
        <x:v>HAYS-0107</x:v>
      </x:c>
      <x:c r="B108" s="87" t="str">
        <x:v>Bothriochloa barbinodis</x:v>
      </x:c>
      <x:c r="C108" s="87" t="str">
        <x:v>Bothriochloa barbinodis</x:v>
      </x:c>
      <x:c r="D108" s="84" t="str">
        <x:v>Poaceae</x:v>
      </x:c>
      <x:c r="E108" s="84" t="str">
        <x:v>Bothriochloa</x:v>
      </x:c>
      <x:c r="F108" s="84" t="str">
        <x:v>Pinhole Bluestem, Cane Bluestem, Cane Beardgrass, Feather Bluestem, Plains Beardgrass</x:v>
      </x:c>
      <x:c r="G108" s="119"/>
      <x:c r="H108" s="119"/>
      <x:c r="I108" s="119"/>
      <x:c r="J108" s="119"/>
      <x:c r="K108" s="119"/>
      <x:c r="L108" s="119"/>
      <x:c r="M108" s="119"/>
      <x:c r="N108" s="115" t="str">
        <x:v>Not Started</x:v>
      </x:c>
      <x:c r="O108" s="115"/>
      <x:c r="P108" s="119"/>
      <x:c r="Q108" s="116"/>
    </x:row>
    <x:row r="109" ht="20" customHeight="1">
      <x:c r="A109" s="83" t="str">
        <x:v>HAYS-0108</x:v>
      </x:c>
      <x:c r="B109" s="87" t="str">
        <x:v>Bothriochloa laguroides</x:v>
      </x:c>
      <x:c r="C109" s="87" t="str">
        <x:v>Bothriochloa laguroides</x:v>
      </x:c>
      <x:c r="D109" s="84" t="str">
        <x:v>Poaceae</x:v>
      </x:c>
      <x:c r="E109" s="84" t="str">
        <x:v>Bothriochloa</x:v>
      </x:c>
      <x:c r="F109" s="84" t="str">
        <x:v>Silver Bluestem, Silver Beardgrass</x:v>
      </x:c>
      <x:c r="G109" s="119"/>
      <x:c r="H109" s="119"/>
      <x:c r="I109" s="119"/>
      <x:c r="J109" s="119"/>
      <x:c r="K109" s="119"/>
      <x:c r="L109" s="119"/>
      <x:c r="M109" s="119"/>
      <x:c r="N109" s="115" t="str">
        <x:v>Not Started</x:v>
      </x:c>
      <x:c r="O109" s="115"/>
      <x:c r="P109" s="119"/>
      <x:c r="Q109" s="116"/>
    </x:row>
    <x:row r="110" ht="20" customHeight="1">
      <x:c r="A110" s="83" t="str">
        <x:v>HAYS-0109</x:v>
      </x:c>
      <x:c r="B110" s="87" t="str">
        <x:v>Bouchetia erecta</x:v>
      </x:c>
      <x:c r="C110" s="87" t="str">
        <x:v>Bouchetia erecta</x:v>
      </x:c>
      <x:c r="D110" s="84" t="str">
        <x:v>Solanaceae</x:v>
      </x:c>
      <x:c r="E110" s="84" t="str">
        <x:v>Bouchetia</x:v>
      </x:c>
      <x:c r="F110" s="84" t="str">
        <x:v>Erect Bouchetia, Painted-tongue, Paintedtongue, Painted Tongue</x:v>
      </x:c>
      <x:c r="G110" s="119"/>
      <x:c r="H110" s="119"/>
      <x:c r="I110" s="119"/>
      <x:c r="J110" s="119"/>
      <x:c r="K110" s="119"/>
      <x:c r="L110" s="119"/>
      <x:c r="M110" s="119"/>
      <x:c r="N110" s="115" t="str">
        <x:v>Not Started</x:v>
      </x:c>
      <x:c r="O110" s="115"/>
      <x:c r="P110" s="119"/>
      <x:c r="Q110" s="116"/>
    </x:row>
    <x:row r="111" ht="20" customHeight="1">
      <x:c r="A111" s="83" t="str">
        <x:v>HAYS-0110</x:v>
      </x:c>
      <x:c r="B111" s="87" t="str">
        <x:v>Bouteloua curtipendula</x:v>
      </x:c>
      <x:c r="C111" s="87" t="str">
        <x:v>Bouteloua curtipendula</x:v>
      </x:c>
      <x:c r="D111" s="84" t="str">
        <x:v>Poaceae</x:v>
      </x:c>
      <x:c r="E111" s="84" t="str">
        <x:v>Bouteloua</x:v>
      </x:c>
      <x:c r="F111" s="84" t="str">
        <x:v>Sideoats Grama, Banderilla, Banderita, Navajita</x:v>
      </x:c>
      <x:c r="G111" s="119"/>
      <x:c r="H111" s="119"/>
      <x:c r="I111" s="119"/>
      <x:c r="J111" s="119"/>
      <x:c r="K111" s="119"/>
      <x:c r="L111" s="119"/>
      <x:c r="M111" s="119"/>
      <x:c r="N111" s="115" t="str">
        <x:v>Not Started</x:v>
      </x:c>
      <x:c r="O111" s="115"/>
      <x:c r="P111" s="119"/>
      <x:c r="Q111" s="116"/>
    </x:row>
    <x:row r="112" ht="20" customHeight="1">
      <x:c r="A112" s="83" t="str">
        <x:v>HAYS-0111</x:v>
      </x:c>
      <x:c r="B112" s="87" t="str">
        <x:v>Bouteloua dactyloides</x:v>
      </x:c>
      <x:c r="C112" s="87" t="str">
        <x:v>Bouteloua dactyloides</x:v>
      </x:c>
      <x:c r="D112" s="84" t="str">
        <x:v>Poaceae</x:v>
      </x:c>
      <x:c r="E112" s="84" t="str">
        <x:v>Bouteloua</x:v>
      </x:c>
      <x:c r="F112" s="84" t="str">
        <x:v>Buffalograss, Buffalo Grass</x:v>
      </x:c>
      <x:c r="G112" s="119"/>
      <x:c r="H112" s="119"/>
      <x:c r="I112" s="119"/>
      <x:c r="J112" s="119"/>
      <x:c r="K112" s="119"/>
      <x:c r="L112" s="119"/>
      <x:c r="M112" s="119"/>
      <x:c r="N112" s="115" t="str">
        <x:v>Not Started</x:v>
      </x:c>
      <x:c r="O112" s="115"/>
      <x:c r="P112" s="119"/>
      <x:c r="Q112" s="116"/>
    </x:row>
    <x:row r="113" ht="20" customHeight="1">
      <x:c r="A113" s="83" t="str">
        <x:v>HAYS-0112</x:v>
      </x:c>
      <x:c r="B113" s="87" t="str">
        <x:v>Bouteloua gracilis</x:v>
      </x:c>
      <x:c r="C113" s="87" t="str">
        <x:v>Bouteloua gracilis</x:v>
      </x:c>
      <x:c r="D113" s="84" t="str">
        <x:v>Poaceae</x:v>
      </x:c>
      <x:c r="E113" s="84" t="str">
        <x:v>Bouteloua</x:v>
      </x:c>
      <x:c r="F113" s="84" t="str">
        <x:v>Blue Grama</x:v>
      </x:c>
      <x:c r="G113" s="119"/>
      <x:c r="H113" s="119"/>
      <x:c r="I113" s="119"/>
      <x:c r="J113" s="119"/>
      <x:c r="K113" s="119"/>
      <x:c r="L113" s="119"/>
      <x:c r="M113" s="119"/>
      <x:c r="N113" s="115" t="str">
        <x:v>Not Started</x:v>
      </x:c>
      <x:c r="O113" s="115"/>
      <x:c r="P113" s="119"/>
      <x:c r="Q113" s="116"/>
    </x:row>
    <x:row r="114" ht="20" customHeight="1">
      <x:c r="A114" s="83" t="str">
        <x:v>HAYS-0113</x:v>
      </x:c>
      <x:c r="B114" s="87" t="str">
        <x:v>Bouteloua hirsuta</x:v>
      </x:c>
      <x:c r="C114" s="87" t="str">
        <x:v>Bouteloua hirsuta</x:v>
      </x:c>
      <x:c r="D114" s="84" t="str">
        <x:v>Poaceae</x:v>
      </x:c>
      <x:c r="E114" s="84" t="str">
        <x:v>Bouteloua</x:v>
      </x:c>
      <x:c r="F114" s="84" t="str">
        <x:v>Hairy Grama</x:v>
      </x:c>
      <x:c r="G114" s="119"/>
      <x:c r="H114" s="119"/>
      <x:c r="I114" s="119"/>
      <x:c r="J114" s="119"/>
      <x:c r="K114" s="119"/>
      <x:c r="L114" s="119"/>
      <x:c r="M114" s="119"/>
      <x:c r="N114" s="115" t="str">
        <x:v>Not Started</x:v>
      </x:c>
      <x:c r="O114" s="115"/>
      <x:c r="P114" s="119"/>
      <x:c r="Q114" s="116"/>
    </x:row>
    <x:row r="115" ht="20" customHeight="1">
      <x:c r="A115" s="83" t="str">
        <x:v>HAYS-0114</x:v>
      </x:c>
      <x:c r="B115" s="87" t="str">
        <x:v>Bouteloua hirsuta var. pectinata</x:v>
      </x:c>
      <x:c r="C115" s="87" t="str">
        <x:v>Bouteloua pectinata</x:v>
      </x:c>
      <x:c r="D115" s="84" t="str">
        <x:v>Poaceae</x:v>
      </x:c>
      <x:c r="E115" s="84" t="str">
        <x:v>Bouteloua</x:v>
      </x:c>
      <x:c r="F115" s="84" t="str">
        <x:v>Tall Grama, Hairy Grama</x:v>
      </x:c>
      <x:c r="G115" s="119"/>
      <x:c r="H115" s="119"/>
      <x:c r="I115" s="119"/>
      <x:c r="J115" s="119"/>
      <x:c r="K115" s="119"/>
      <x:c r="L115" s="119"/>
      <x:c r="M115" s="119"/>
      <x:c r="N115" s="115" t="str">
        <x:v>Not Started</x:v>
      </x:c>
      <x:c r="O115" s="115"/>
      <x:c r="P115" s="119"/>
      <x:c r="Q115" s="116"/>
    </x:row>
    <x:row r="116" ht="20" customHeight="1">
      <x:c r="A116" s="83" t="str">
        <x:v>HAYS-0115</x:v>
      </x:c>
      <x:c r="B116" s="87" t="str">
        <x:v>Bouteloua rigidiseta</x:v>
      </x:c>
      <x:c r="C116" s="87" t="str">
        <x:v>Bouteloua rigidiseta</x:v>
      </x:c>
      <x:c r="D116" s="84" t="str">
        <x:v>Poaceae</x:v>
      </x:c>
      <x:c r="E116" s="84" t="str">
        <x:v>Bouteloua</x:v>
      </x:c>
      <x:c r="F116" s="84" t="str">
        <x:v>Texas Grama</x:v>
      </x:c>
      <x:c r="G116" s="119"/>
      <x:c r="H116" s="119"/>
      <x:c r="I116" s="119"/>
      <x:c r="J116" s="119"/>
      <x:c r="K116" s="119"/>
      <x:c r="L116" s="119"/>
      <x:c r="M116" s="119"/>
      <x:c r="N116" s="115" t="str">
        <x:v>Not Started</x:v>
      </x:c>
      <x:c r="O116" s="115"/>
      <x:c r="P116" s="119"/>
      <x:c r="Q116" s="116"/>
    </x:row>
    <x:row r="117" ht="20" customHeight="1">
      <x:c r="A117" s="83" t="str">
        <x:v>HAYS-0116</x:v>
      </x:c>
      <x:c r="B117" s="87" t="str">
        <x:v>Bouteloua trifida</x:v>
      </x:c>
      <x:c r="C117" s="87" t="str">
        <x:v>Bouteloua trifida</x:v>
      </x:c>
      <x:c r="D117" s="84" t="str">
        <x:v>Poaceae</x:v>
      </x:c>
      <x:c r="E117" s="84" t="str">
        <x:v>Bouteloua</x:v>
      </x:c>
      <x:c r="F117" s="84" t="str">
        <x:v>Red Grama</x:v>
      </x:c>
      <x:c r="G117" s="119"/>
      <x:c r="H117" s="119"/>
      <x:c r="I117" s="119"/>
      <x:c r="J117" s="119"/>
      <x:c r="K117" s="119"/>
      <x:c r="L117" s="119"/>
      <x:c r="M117" s="119"/>
      <x:c r="N117" s="115" t="str">
        <x:v>Not Started</x:v>
      </x:c>
      <x:c r="O117" s="115"/>
      <x:c r="P117" s="119"/>
      <x:c r="Q117" s="116"/>
    </x:row>
    <x:row r="118" ht="20" customHeight="1">
      <x:c r="A118" s="83" t="str">
        <x:v>HAYS-0117</x:v>
      </x:c>
      <x:c r="B118" s="87" t="str">
        <x:v>Brickellia cylindracea</x:v>
      </x:c>
      <x:c r="C118" s="87" t="str">
        <x:v>Brickellia cylindracea</x:v>
      </x:c>
      <x:c r="D118" s="84" t="str">
        <x:v>Asteraceae</x:v>
      </x:c>
      <x:c r="E118" s="84" t="str">
        <x:v>Brickellia</x:v>
      </x:c>
      <x:c r="F118" s="84" t="str">
        <x:v>Gravel-bar Brickellbush</x:v>
      </x:c>
      <x:c r="G118" s="119"/>
      <x:c r="H118" s="119"/>
      <x:c r="I118" s="119"/>
      <x:c r="J118" s="119"/>
      <x:c r="K118" s="119"/>
      <x:c r="L118" s="119"/>
      <x:c r="M118" s="119"/>
      <x:c r="N118" s="115" t="str">
        <x:v>Not Started</x:v>
      </x:c>
      <x:c r="O118" s="115"/>
      <x:c r="P118" s="119"/>
      <x:c r="Q118" s="116"/>
    </x:row>
    <x:row r="119" ht="20" customHeight="1">
      <x:c r="A119" s="83" t="str">
        <x:v>HAYS-0118</x:v>
      </x:c>
      <x:c r="B119" s="87" t="str">
        <x:v>Brickellia dentata</x:v>
      </x:c>
      <x:c r="C119" s="87" t="str">
        <x:v>Brickellia dentata</x:v>
      </x:c>
      <x:c r="D119" s="84" t="str">
        <x:v>Asteraceae</x:v>
      </x:c>
      <x:c r="E119" s="84" t="str">
        <x:v>Brickellia</x:v>
      </x:c>
      <x:c r="F119" s="84" t="str">
        <x:v>Leafy Brickellbush</x:v>
      </x:c>
      <x:c r="G119" s="119"/>
      <x:c r="H119" s="119"/>
      <x:c r="I119" s="119"/>
      <x:c r="J119" s="119"/>
      <x:c r="K119" s="119"/>
      <x:c r="L119" s="119"/>
      <x:c r="M119" s="119"/>
      <x:c r="N119" s="115" t="str">
        <x:v>Not Started</x:v>
      </x:c>
      <x:c r="O119" s="115"/>
      <x:c r="P119" s="119"/>
      <x:c r="Q119" s="116"/>
    </x:row>
    <x:row r="120" ht="20" customHeight="1">
      <x:c r="A120" s="83" t="str">
        <x:v>HAYS-0119</x:v>
      </x:c>
      <x:c r="B120" s="87" t="str">
        <x:v>Brickellia eupatorioides</x:v>
      </x:c>
      <x:c r="C120" s="87" t="str">
        <x:v>Brickellia eupatorioides</x:v>
      </x:c>
      <x:c r="D120" s="84" t="str">
        <x:v>Asteraceae</x:v>
      </x:c>
      <x:c r="E120" s="84" t="str">
        <x:v>Brickellia</x:v>
      </x:c>
      <x:c r="F120" s="84" t="str">
        <x:v>False Boneset</x:v>
      </x:c>
      <x:c r="G120" s="119"/>
      <x:c r="H120" s="119"/>
      <x:c r="I120" s="119"/>
      <x:c r="J120" s="119"/>
      <x:c r="K120" s="119"/>
      <x:c r="L120" s="119"/>
      <x:c r="M120" s="119"/>
      <x:c r="N120" s="115" t="str">
        <x:v>Not Started</x:v>
      </x:c>
      <x:c r="O120" s="115"/>
      <x:c r="P120" s="119"/>
      <x:c r="Q120" s="116"/>
    </x:row>
    <x:row r="121" ht="20" customHeight="1">
      <x:c r="A121" s="83" t="str">
        <x:v>HAYS-0120</x:v>
      </x:c>
      <x:c r="B121" s="87" t="str">
        <x:v>Brickellia eupatorioides var. gracillima</x:v>
      </x:c>
      <x:c r="C121" s="87" t="str">
        <x:v>Brickellia leptophylla</x:v>
      </x:c>
      <x:c r="D121" s="84" t="str">
        <x:v>Asteraceae</x:v>
      </x:c>
      <x:c r="E121" s="84" t="str">
        <x:v>Brickellia</x:v>
      </x:c>
      <x:c r="F121" s="84" t="str">
        <x:v>False Boneset</x:v>
      </x:c>
      <x:c r="G121" s="119"/>
      <x:c r="H121" s="119"/>
      <x:c r="I121" s="119"/>
      <x:c r="J121" s="119"/>
      <x:c r="K121" s="119"/>
      <x:c r="L121" s="119"/>
      <x:c r="M121" s="119"/>
      <x:c r="N121" s="115" t="str">
        <x:v>Not Started</x:v>
      </x:c>
      <x:c r="O121" s="115"/>
      <x:c r="P121" s="119"/>
      <x:c r="Q121" s="116"/>
    </x:row>
    <x:row r="122" ht="20" customHeight="1">
      <x:c r="A122" s="83" t="str">
        <x:v>HAYS-0121</x:v>
      </x:c>
      <x:c r="B122" s="87" t="str">
        <x:v>Bromus pubescens</x:v>
      </x:c>
      <x:c r="C122" s="87" t="str">
        <x:v>Bromus pubescens</x:v>
      </x:c>
      <x:c r="D122" s="84" t="str">
        <x:v>Poaceae</x:v>
      </x:c>
      <x:c r="E122" s="84" t="str">
        <x:v>Bromus</x:v>
      </x:c>
      <x:c r="F122" s="84" t="str">
        <x:v>Hairy Woodland Brome</x:v>
      </x:c>
      <x:c r="G122" s="119"/>
      <x:c r="H122" s="119"/>
      <x:c r="I122" s="119"/>
      <x:c r="J122" s="119"/>
      <x:c r="K122" s="119"/>
      <x:c r="L122" s="119"/>
      <x:c r="M122" s="119"/>
      <x:c r="N122" s="115" t="str">
        <x:v>Not Started</x:v>
      </x:c>
      <x:c r="O122" s="115"/>
      <x:c r="P122" s="119"/>
      <x:c r="Q122" s="116"/>
    </x:row>
    <x:row r="123" ht="20" customHeight="1">
      <x:c r="A123" s="83" t="str">
        <x:v>HAYS-0122</x:v>
      </x:c>
      <x:c r="B123" s="87" t="str">
        <x:v>Bromus texensis</x:v>
      </x:c>
      <x:c r="C123" s="87" t="str">
        <x:v>Bromus texensis</x:v>
      </x:c>
      <x:c r="D123" s="84" t="str">
        <x:v>Poaceae</x:v>
      </x:c>
      <x:c r="E123" s="84" t="str">
        <x:v>Bromus</x:v>
      </x:c>
      <x:c r="F123" s="84" t="str">
        <x:v>Texas Brome</x:v>
      </x:c>
      <x:c r="G123" s="119"/>
      <x:c r="H123" s="119"/>
      <x:c r="I123" s="119"/>
      <x:c r="J123" s="119"/>
      <x:c r="K123" s="119"/>
      <x:c r="L123" s="119"/>
      <x:c r="M123" s="119"/>
      <x:c r="N123" s="115" t="str">
        <x:v>Not Started</x:v>
      </x:c>
      <x:c r="O123" s="115"/>
      <x:c r="P123" s="119"/>
      <x:c r="Q123" s="116"/>
    </x:row>
    <x:row r="124" ht="20" customHeight="1">
      <x:c r="A124" s="83" t="str">
        <x:v>HAYS-0123</x:v>
      </x:c>
      <x:c r="B124" s="87" t="str">
        <x:v>Buchnera americana</x:v>
      </x:c>
      <x:c r="C124" s="87" t="str">
        <x:v>Buchnera americana</x:v>
      </x:c>
      <x:c r="D124" s="84" t="str">
        <x:v>Orobanchaceae</x:v>
      </x:c>
      <x:c r="E124" s="84" t="str">
        <x:v>Buchnera</x:v>
      </x:c>
      <x:c r="F124" s="84" t="str">
        <x:v>American Bluehearts, Bluehearts</x:v>
      </x:c>
      <x:c r="G124" s="119"/>
      <x:c r="H124" s="119"/>
      <x:c r="I124" s="119"/>
      <x:c r="J124" s="119"/>
      <x:c r="K124" s="119"/>
      <x:c r="L124" s="119"/>
      <x:c r="M124" s="119"/>
      <x:c r="N124" s="115" t="str">
        <x:v>Not Started</x:v>
      </x:c>
      <x:c r="O124" s="115"/>
      <x:c r="P124" s="119"/>
      <x:c r="Q124" s="116"/>
    </x:row>
    <x:row r="125" ht="20" customHeight="1">
      <x:c r="A125" s="83" t="str">
        <x:v>HAYS-0124</x:v>
      </x:c>
      <x:c r="B125" s="87" t="str">
        <x:v>Buddleja racemosa</x:v>
      </x:c>
      <x:c r="C125" s="87" t="str">
        <x:v>Buddleja racemosa</x:v>
      </x:c>
      <x:c r="D125" s="84" t="str">
        <x:v>Scrophulariaceae</x:v>
      </x:c>
      <x:c r="E125" s="84" t="str">
        <x:v>Buddleja</x:v>
      </x:c>
      <x:c r="F125" s="84" t="str">
        <x:v>Wand Butterflybush, Wand Butterfly-bush</x:v>
      </x:c>
      <x:c r="G125" s="119"/>
      <x:c r="H125" s="119"/>
      <x:c r="I125" s="119"/>
      <x:c r="J125" s="119"/>
      <x:c r="K125" s="119"/>
      <x:c r="L125" s="119"/>
      <x:c r="M125" s="119"/>
      <x:c r="N125" s="115" t="str">
        <x:v>Not Started</x:v>
      </x:c>
      <x:c r="O125" s="115"/>
      <x:c r="P125" s="119"/>
      <x:c r="Q125" s="116"/>
    </x:row>
    <x:row r="126" ht="20" customHeight="1">
      <x:c r="A126" s="83" t="str">
        <x:v>HAYS-0125</x:v>
      </x:c>
      <x:c r="B126" s="87" t="str">
        <x:v>Buddleja racemosa ssp. racemosa</x:v>
      </x:c>
      <x:c r="C126" s="87"/>
      <x:c r="D126" s="84" t="str">
        <x:v>[Taxonomy unresolved]</x:v>
      </x:c>
      <x:c r="E126" s="84" t="str">
        <x:v>Buddleja</x:v>
      </x:c>
      <x:c r="F126" s="84" t="str">
        <x:v>Wand Butterflybush</x:v>
      </x:c>
      <x:c r="G126" s="119"/>
      <x:c r="H126" s="119"/>
      <x:c r="I126" s="119"/>
      <x:c r="J126" s="119"/>
      <x:c r="K126" s="119"/>
      <x:c r="L126" s="119"/>
      <x:c r="M126" s="119"/>
      <x:c r="N126" s="115" t="str">
        <x:v>Not Started</x:v>
      </x:c>
      <x:c r="O126" s="115"/>
      <x:c r="P126" s="119"/>
      <x:c r="Q126" s="116"/>
    </x:row>
    <x:row r="127" ht="20" customHeight="1">
      <x:c r="A127" s="83" t="str">
        <x:v>HAYS-0126</x:v>
      </x:c>
      <x:c r="B127" s="87" t="str">
        <x:v>Cabomba caroliniana</x:v>
      </x:c>
      <x:c r="C127" s="87" t="str">
        <x:v>Cabomba caroliniana</x:v>
      </x:c>
      <x:c r="D127" s="84" t="str">
        <x:v>Cabombaceae</x:v>
      </x:c>
      <x:c r="E127" s="84" t="str">
        <x:v>Cabomba</x:v>
      </x:c>
      <x:c r="F127" s="84" t="str">
        <x:v>Carolina Fanwort, Green Cabomba, Fish-grass, Washington-grass, Carolina Watershield, Washington-plant</x:v>
      </x:c>
      <x:c r="G127" s="119"/>
      <x:c r="H127" s="119"/>
      <x:c r="I127" s="119"/>
      <x:c r="J127" s="119"/>
      <x:c r="K127" s="119"/>
      <x:c r="L127" s="119"/>
      <x:c r="M127" s="119"/>
      <x:c r="N127" s="115" t="str">
        <x:v>Not Started</x:v>
      </x:c>
      <x:c r="O127" s="115"/>
      <x:c r="P127" s="119"/>
      <x:c r="Q127" s="116"/>
    </x:row>
    <x:row r="128" ht="20" customHeight="1">
      <x:c r="A128" s="83" t="str">
        <x:v>HAYS-0127</x:v>
      </x:c>
      <x:c r="B128" s="87" t="str">
        <x:v>Callicarpa americana</x:v>
      </x:c>
      <x:c r="C128" s="87" t="str">
        <x:v>Callicarpa americana</x:v>
      </x:c>
      <x:c r="D128" s="84" t="str">
        <x:v>Lamiaceae</x:v>
      </x:c>
      <x:c r="E128" s="84" t="str">
        <x:v>Callicarpa</x:v>
      </x:c>
      <x:c r="F128" s="84" t="str">
        <x:v>American Beautyberry , French Mulberry</x:v>
      </x:c>
      <x:c r="G128" s="119"/>
      <x:c r="H128" s="119"/>
      <x:c r="I128" s="119"/>
      <x:c r="J128" s="119"/>
      <x:c r="K128" s="119"/>
      <x:c r="L128" s="119"/>
      <x:c r="M128" s="119"/>
      <x:c r="N128" s="115" t="str">
        <x:v>Not Started</x:v>
      </x:c>
      <x:c r="O128" s="115"/>
      <x:c r="P128" s="119"/>
      <x:c r="Q128" s="116"/>
    </x:row>
    <x:row r="129" ht="20" customHeight="1">
      <x:c r="A129" s="83" t="str">
        <x:v>HAYS-0128</x:v>
      </x:c>
      <x:c r="B129" s="87" t="str">
        <x:v>Callirhoe digitata</x:v>
      </x:c>
      <x:c r="C129" s="87" t="str">
        <x:v>Callirhoe digitata</x:v>
      </x:c>
      <x:c r="D129" s="84" t="str">
        <x:v>Malvaceae</x:v>
      </x:c>
      <x:c r="E129" s="84" t="str">
        <x:v>Callirhoe</x:v>
      </x:c>
      <x:c r="F129" s="84" t="str">
        <x:v>Winecup, Standing Winecup, Poppy Mallow, Wine Cup, Finger Poppy-mallow</x:v>
      </x:c>
      <x:c r="G129" s="119"/>
      <x:c r="H129" s="119"/>
      <x:c r="I129" s="119"/>
      <x:c r="J129" s="119"/>
      <x:c r="K129" s="119"/>
      <x:c r="L129" s="119"/>
      <x:c r="M129" s="119"/>
      <x:c r="N129" s="115" t="str">
        <x:v>Not Started</x:v>
      </x:c>
      <x:c r="O129" s="115"/>
      <x:c r="P129" s="119"/>
      <x:c r="Q129" s="116"/>
    </x:row>
    <x:row r="130" ht="20" customHeight="1">
      <x:c r="A130" s="83" t="str">
        <x:v>HAYS-0129</x:v>
      </x:c>
      <x:c r="B130" s="87" t="str">
        <x:v>Callirhoe involucrata</x:v>
      </x:c>
      <x:c r="C130" s="87" t="str">
        <x:v>Callirhoe involucrata</x:v>
      </x:c>
      <x:c r="D130" s="84" t="str">
        <x:v>Malvaceae</x:v>
      </x:c>
      <x:c r="E130" s="84" t="str">
        <x:v>Callirhoe</x:v>
      </x:c>
      <x:c r="F130" s="84" t="str">
        <x:v>Winecup, Purple Poppy Mallow</x:v>
      </x:c>
      <x:c r="G130" s="119"/>
      <x:c r="H130" s="119"/>
      <x:c r="I130" s="119"/>
      <x:c r="J130" s="119"/>
      <x:c r="K130" s="119"/>
      <x:c r="L130" s="119"/>
      <x:c r="M130" s="119"/>
      <x:c r="N130" s="115" t="str">
        <x:v>Not Started</x:v>
      </x:c>
      <x:c r="O130" s="115"/>
      <x:c r="P130" s="119"/>
      <x:c r="Q130" s="116"/>
    </x:row>
    <x:row r="131" ht="20" customHeight="1">
      <x:c r="A131" s="83" t="str">
        <x:v>HAYS-0130</x:v>
      </x:c>
      <x:c r="B131" s="87" t="str">
        <x:v>Callirhoe leiocarpa</x:v>
      </x:c>
      <x:c r="C131" s="87" t="str">
        <x:v>Callirhoe leiocarpa</x:v>
      </x:c>
      <x:c r="D131" s="84" t="str">
        <x:v>Malvaceae</x:v>
      </x:c>
      <x:c r="E131" s="84" t="str">
        <x:v>Callirhoe</x:v>
      </x:c>
      <x:c r="F131" s="84" t="str">
        <x:v>Tall Poppymallow, Annual Winecup, Tall Poppy-mallow, Tall Poppy Mallow</x:v>
      </x:c>
      <x:c r="G131" s="119"/>
      <x:c r="H131" s="119"/>
      <x:c r="I131" s="119"/>
      <x:c r="J131" s="119"/>
      <x:c r="K131" s="119"/>
      <x:c r="L131" s="119"/>
      <x:c r="M131" s="119"/>
      <x:c r="N131" s="115" t="str">
        <x:v>Not Started</x:v>
      </x:c>
      <x:c r="O131" s="115"/>
      <x:c r="P131" s="119"/>
      <x:c r="Q131" s="116"/>
    </x:row>
    <x:row r="132" ht="20" customHeight="1">
      <x:c r="A132" s="83" t="str">
        <x:v>HAYS-0131</x:v>
      </x:c>
      <x:c r="B132" s="87" t="str">
        <x:v>Callirhoe pedata</x:v>
      </x:c>
      <x:c r="C132" s="87" t="str">
        <x:v>Callirhoe pedata</x:v>
      </x:c>
      <x:c r="D132" s="84" t="str">
        <x:v>Malvaceae</x:v>
      </x:c>
      <x:c r="E132" s="84" t="str">
        <x:v>Callirhoe</x:v>
      </x:c>
      <x:c r="F132" s="84" t="str">
        <x:v>Palmleaf Poppymallow, Standing Winecup, Finger Poppymallow, Palmleaf Poppy Mallow</x:v>
      </x:c>
      <x:c r="G132" s="119"/>
      <x:c r="H132" s="119"/>
      <x:c r="I132" s="119"/>
      <x:c r="J132" s="119"/>
      <x:c r="K132" s="119"/>
      <x:c r="L132" s="119"/>
      <x:c r="M132" s="119"/>
      <x:c r="N132" s="115" t="str">
        <x:v>Not Started</x:v>
      </x:c>
      <x:c r="O132" s="115"/>
      <x:c r="P132" s="119"/>
      <x:c r="Q132" s="116"/>
    </x:row>
    <x:row r="133" ht="20" customHeight="1">
      <x:c r="A133" s="83" t="str">
        <x:v>HAYS-0132</x:v>
      </x:c>
      <x:c r="B133" s="87" t="str">
        <x:v>Calylophus berlandieri</x:v>
      </x:c>
      <x:c r="C133" s="87" t="str">
        <x:v>Oenothera capillifolia subsp. berlandieri</x:v>
      </x:c>
      <x:c r="D133" s="84" t="str">
        <x:v>Onagraceae</x:v>
      </x:c>
      <x:c r="E133" s="84" t="str">
        <x:v>Oenothera</x:v>
      </x:c>
      <x:c r="F133" s="84" t="str">
        <x:v>Berlandier's Sundrops , Square-bud Primrose, Sundrops</x:v>
      </x:c>
      <x:c r="G133" s="119"/>
      <x:c r="H133" s="119"/>
      <x:c r="I133" s="119"/>
      <x:c r="J133" s="119"/>
      <x:c r="K133" s="119"/>
      <x:c r="L133" s="119"/>
      <x:c r="M133" s="119"/>
      <x:c r="N133" s="115" t="str">
        <x:v>Not Started</x:v>
      </x:c>
      <x:c r="O133" s="115"/>
      <x:c r="P133" s="119"/>
      <x:c r="Q133" s="116"/>
    </x:row>
    <x:row r="134" ht="20" customHeight="1">
      <x:c r="A134" s="83" t="str">
        <x:v>HAYS-0133</x:v>
      </x:c>
      <x:c r="B134" s="87" t="str">
        <x:v>Calylophus serrulatus</x:v>
      </x:c>
      <x:c r="C134" s="87"/>
      <x:c r="D134" s="84" t="str">
        <x:v>[Taxonomy unresolved]</x:v>
      </x:c>
      <x:c r="E134" s="84" t="str">
        <x:v>Calylophus</x:v>
      </x:c>
      <x:c r="F134" s="84" t="str">
        <x:v>Yellow Sundrops, Yellow Evening Primrose, Plains Evening Primrose</x:v>
      </x:c>
      <x:c r="G134" s="119"/>
      <x:c r="H134" s="119"/>
      <x:c r="I134" s="119"/>
      <x:c r="J134" s="119"/>
      <x:c r="K134" s="119"/>
      <x:c r="L134" s="119"/>
      <x:c r="M134" s="119"/>
      <x:c r="N134" s="115" t="str">
        <x:v>Not Started</x:v>
      </x:c>
      <x:c r="O134" s="115"/>
      <x:c r="P134" s="119"/>
      <x:c r="Q134" s="116"/>
    </x:row>
    <x:row r="135" ht="20" customHeight="1">
      <x:c r="A135" s="83" t="str">
        <x:v>HAYS-0134</x:v>
      </x:c>
      <x:c r="B135" s="87" t="str">
        <x:v>Calyptocarpus vialis</x:v>
      </x:c>
      <x:c r="C135" s="87" t="str">
        <x:v>Calyptocarpus vialis</x:v>
      </x:c>
      <x:c r="D135" s="84" t="str">
        <x:v>Asteraceae</x:v>
      </x:c>
      <x:c r="E135" s="84" t="str">
        <x:v>Calyptocarpus</x:v>
      </x:c>
      <x:c r="F135" s="84" t="str">
        <x:v>Horseherb</x:v>
      </x:c>
      <x:c r="G135" s="119"/>
      <x:c r="H135" s="119"/>
      <x:c r="I135" s="119"/>
      <x:c r="J135" s="119"/>
      <x:c r="K135" s="119"/>
      <x:c r="L135" s="119"/>
      <x:c r="M135" s="119"/>
      <x:c r="N135" s="115" t="str">
        <x:v>Not Started</x:v>
      </x:c>
      <x:c r="O135" s="115"/>
      <x:c r="P135" s="119"/>
      <x:c r="Q135" s="116"/>
    </x:row>
    <x:row r="136" ht="20" customHeight="1">
      <x:c r="A136" s="83" t="str">
        <x:v>HAYS-0135</x:v>
      </x:c>
      <x:c r="B136" s="87" t="str">
        <x:v>Camassia scilloides</x:v>
      </x:c>
      <x:c r="C136" s="87" t="str">
        <x:v>Camassia scilloides</x:v>
      </x:c>
      <x:c r="D136" s="84" t="str">
        <x:v>Asparagaceae</x:v>
      </x:c>
      <x:c r="E136" s="84" t="str">
        <x:v>Camassia</x:v>
      </x:c>
      <x:c r="F136" s="84" t="str">
        <x:v>Atlantic Camas, Wild Hyacinth</x:v>
      </x:c>
      <x:c r="G136" s="119"/>
      <x:c r="H136" s="119"/>
      <x:c r="I136" s="119"/>
      <x:c r="J136" s="119"/>
      <x:c r="K136" s="119"/>
      <x:c r="L136" s="119"/>
      <x:c r="M136" s="119"/>
      <x:c r="N136" s="115" t="str">
        <x:v>Not Started</x:v>
      </x:c>
      <x:c r="O136" s="115"/>
      <x:c r="P136" s="119"/>
      <x:c r="Q136" s="116"/>
    </x:row>
    <x:row r="137" ht="20" customHeight="1">
      <x:c r="A137" s="83" t="str">
        <x:v>HAYS-0136</x:v>
      </x:c>
      <x:c r="B137" s="87" t="str">
        <x:v>Campsis radicans</x:v>
      </x:c>
      <x:c r="C137" s="87" t="str">
        <x:v>Campsis radicans</x:v>
      </x:c>
      <x:c r="D137" s="84" t="str">
        <x:v>Bignoniaceae</x:v>
      </x:c>
      <x:c r="E137" s="84" t="str">
        <x:v>Campsis</x:v>
      </x:c>
      <x:c r="F137" s="84" t="str">
        <x:v>Trumpet Creeper, Trumpet Vine, Common Trumpet Creeper, Cow Vine, Foxglove Vine, Hellvine, Devil's Shoestring</x:v>
      </x:c>
      <x:c r="G137" s="119"/>
      <x:c r="H137" s="119"/>
      <x:c r="I137" s="119"/>
      <x:c r="J137" s="119"/>
      <x:c r="K137" s="119"/>
      <x:c r="L137" s="119"/>
      <x:c r="M137" s="119"/>
      <x:c r="N137" s="115" t="str">
        <x:v>Not Started</x:v>
      </x:c>
      <x:c r="O137" s="115"/>
      <x:c r="P137" s="119"/>
      <x:c r="Q137" s="116"/>
    </x:row>
    <x:row r="138" ht="20" customHeight="1">
      <x:c r="A138" s="83" t="str">
        <x:v>HAYS-0137</x:v>
      </x:c>
      <x:c r="B138" s="87" t="str">
        <x:v>Capsicum annuum</x:v>
      </x:c>
      <x:c r="C138" s="87" t="str">
        <x:v>Capsicum annuum</x:v>
      </x:c>
      <x:c r="D138" s="84" t="str">
        <x:v>Solanaceae</x:v>
      </x:c>
      <x:c r="E138" s="84" t="str">
        <x:v>Capsicum</x:v>
      </x:c>
      <x:c r="F138" s="84" t="str">
        <x:v>Chile Tepin, Chile Pequin, Chiltepin, Chile Petin, Bird Pepper, Turkey Pepper , Cayenne Pepper</x:v>
      </x:c>
      <x:c r="G138" s="119"/>
      <x:c r="H138" s="119"/>
      <x:c r="I138" s="119"/>
      <x:c r="J138" s="119"/>
      <x:c r="K138" s="119"/>
      <x:c r="L138" s="119"/>
      <x:c r="M138" s="119"/>
      <x:c r="N138" s="115" t="str">
        <x:v>Not Started</x:v>
      </x:c>
      <x:c r="O138" s="115"/>
      <x:c r="P138" s="119"/>
      <x:c r="Q138" s="116"/>
    </x:row>
    <x:row r="139" ht="20" customHeight="1">
      <x:c r="A139" s="83" t="str">
        <x:v>HAYS-0138</x:v>
      </x:c>
      <x:c r="B139" s="87" t="str">
        <x:v>Carex blanda</x:v>
      </x:c>
      <x:c r="C139" s="87" t="str">
        <x:v>Carex blanda</x:v>
      </x:c>
      <x:c r="D139" s="84" t="str">
        <x:v>Cyperaceae</x:v>
      </x:c>
      <x:c r="E139" s="84" t="str">
        <x:v>Carex</x:v>
      </x:c>
      <x:c r="F139" s="84" t="str">
        <x:v>Eastern Woodland Sedge, Creek Sedge, Common Wood Sedge</x:v>
      </x:c>
      <x:c r="G139" s="119"/>
      <x:c r="H139" s="119"/>
      <x:c r="I139" s="119"/>
      <x:c r="J139" s="119"/>
      <x:c r="K139" s="119"/>
      <x:c r="L139" s="119"/>
      <x:c r="M139" s="119"/>
      <x:c r="N139" s="115" t="str">
        <x:v>Not Started</x:v>
      </x:c>
      <x:c r="O139" s="115"/>
      <x:c r="P139" s="119"/>
      <x:c r="Q139" s="116"/>
    </x:row>
    <x:row r="140" ht="20" customHeight="1">
      <x:c r="A140" s="83" t="str">
        <x:v>HAYS-0139</x:v>
      </x:c>
      <x:c r="B140" s="87" t="str">
        <x:v>Carex cherokeensis</x:v>
      </x:c>
      <x:c r="C140" s="87" t="str">
        <x:v>Carex cherokeensis</x:v>
      </x:c>
      <x:c r="D140" s="84" t="str">
        <x:v>Cyperaceae</x:v>
      </x:c>
      <x:c r="E140" s="84" t="str">
        <x:v>Carex</x:v>
      </x:c>
      <x:c r="F140" s="84" t="str">
        <x:v>Cherokee Sedge</x:v>
      </x:c>
      <x:c r="G140" s="119"/>
      <x:c r="H140" s="119"/>
      <x:c r="I140" s="119"/>
      <x:c r="J140" s="119"/>
      <x:c r="K140" s="119"/>
      <x:c r="L140" s="119"/>
      <x:c r="M140" s="119"/>
      <x:c r="N140" s="115" t="str">
        <x:v>Not Started</x:v>
      </x:c>
      <x:c r="O140" s="115"/>
      <x:c r="P140" s="119"/>
      <x:c r="Q140" s="116"/>
    </x:row>
    <x:row r="141" ht="20" customHeight="1">
      <x:c r="A141" s="83" t="str">
        <x:v>HAYS-0140</x:v>
      </x:c>
      <x:c r="B141" s="87" t="str">
        <x:v>Carex crus-corvi</x:v>
      </x:c>
      <x:c r="C141" s="87" t="str">
        <x:v>Carex crus-corvi</x:v>
      </x:c>
      <x:c r="D141" s="84" t="str">
        <x:v>Cyperaceae</x:v>
      </x:c>
      <x:c r="E141" s="84" t="str">
        <x:v>Carex</x:v>
      </x:c>
      <x:c r="F141" s="84" t="str">
        <x:v>Ravenfoot Sedge</x:v>
      </x:c>
      <x:c r="G141" s="119"/>
      <x:c r="H141" s="119"/>
      <x:c r="I141" s="119"/>
      <x:c r="J141" s="119"/>
      <x:c r="K141" s="119"/>
      <x:c r="L141" s="119"/>
      <x:c r="M141" s="119"/>
      <x:c r="N141" s="115" t="str">
        <x:v>Not Started</x:v>
      </x:c>
      <x:c r="O141" s="115"/>
      <x:c r="P141" s="119"/>
      <x:c r="Q141" s="116"/>
    </x:row>
    <x:row r="142" ht="20" customHeight="1">
      <x:c r="A142" s="83" t="str">
        <x:v>HAYS-0141</x:v>
      </x:c>
      <x:c r="B142" s="87" t="str">
        <x:v>Carex edwardsiana</x:v>
      </x:c>
      <x:c r="C142" s="87" t="str">
        <x:v>Carex edwardsiana</x:v>
      </x:c>
      <x:c r="D142" s="84" t="str">
        <x:v>Cyperaceae</x:v>
      </x:c>
      <x:c r="E142" s="84" t="str">
        <x:v>Carex</x:v>
      </x:c>
      <x:c r="F142" s="84" t="str">
        <x:v>Edwards Plateau Sedge</x:v>
      </x:c>
      <x:c r="G142" s="119"/>
      <x:c r="H142" s="119"/>
      <x:c r="I142" s="119"/>
      <x:c r="J142" s="119"/>
      <x:c r="K142" s="119"/>
      <x:c r="L142" s="119"/>
      <x:c r="M142" s="119"/>
      <x:c r="N142" s="115" t="str">
        <x:v>Not Started</x:v>
      </x:c>
      <x:c r="O142" s="115"/>
      <x:c r="P142" s="119"/>
      <x:c r="Q142" s="116"/>
    </x:row>
    <x:row r="143" ht="20" customHeight="1">
      <x:c r="A143" s="83" t="str">
        <x:v>HAYS-0142</x:v>
      </x:c>
      <x:c r="B143" s="87" t="str">
        <x:v>Carex emoryi</x:v>
      </x:c>
      <x:c r="C143" s="87" t="str">
        <x:v>Carex emoryi</x:v>
      </x:c>
      <x:c r="D143" s="84" t="str">
        <x:v>Cyperaceae</x:v>
      </x:c>
      <x:c r="E143" s="84" t="str">
        <x:v>Carex</x:v>
      </x:c>
      <x:c r="F143" s="84" t="str">
        <x:v>Emory's Sedge, Emory Sedge</x:v>
      </x:c>
      <x:c r="G143" s="119"/>
      <x:c r="H143" s="119"/>
      <x:c r="I143" s="119"/>
      <x:c r="J143" s="119"/>
      <x:c r="K143" s="119"/>
      <x:c r="L143" s="119"/>
      <x:c r="M143" s="119"/>
      <x:c r="N143" s="115" t="str">
        <x:v>Not Started</x:v>
      </x:c>
      <x:c r="O143" s="115"/>
      <x:c r="P143" s="119"/>
      <x:c r="Q143" s="116"/>
    </x:row>
    <x:row r="144" ht="20" customHeight="1">
      <x:c r="A144" s="83" t="str">
        <x:v>HAYS-0143</x:v>
      </x:c>
      <x:c r="B144" s="87" t="str">
        <x:v>Carex microdonta</x:v>
      </x:c>
      <x:c r="C144" s="87" t="str">
        <x:v>Carex microdonta</x:v>
      </x:c>
      <x:c r="D144" s="84" t="str">
        <x:v>Cyperaceae</x:v>
      </x:c>
      <x:c r="E144" s="84" t="str">
        <x:v>Carex</x:v>
      </x:c>
      <x:c r="F144" s="84" t="str">
        <x:v>Littletooth Sedge</x:v>
      </x:c>
      <x:c r="G144" s="119"/>
      <x:c r="H144" s="119"/>
      <x:c r="I144" s="119"/>
      <x:c r="J144" s="119"/>
      <x:c r="K144" s="119"/>
      <x:c r="L144" s="119"/>
      <x:c r="M144" s="119"/>
      <x:c r="N144" s="115" t="str">
        <x:v>Not Started</x:v>
      </x:c>
      <x:c r="O144" s="115"/>
      <x:c r="P144" s="119"/>
      <x:c r="Q144" s="116"/>
    </x:row>
    <x:row r="145" ht="20" customHeight="1">
      <x:c r="A145" s="83" t="str">
        <x:v>HAYS-0144</x:v>
      </x:c>
      <x:c r="B145" s="87" t="str">
        <x:v>Carex perdentata</x:v>
      </x:c>
      <x:c r="C145" s="87" t="str">
        <x:v>Carex perdentata</x:v>
      </x:c>
      <x:c r="D145" s="84" t="str">
        <x:v>Cyperaceae</x:v>
      </x:c>
      <x:c r="E145" s="84" t="str">
        <x:v>Carex</x:v>
      </x:c>
      <x:c r="F145" s="84" t="str">
        <x:v>Sand Sedge, Meadow Sedge</x:v>
      </x:c>
      <x:c r="G145" s="119"/>
      <x:c r="H145" s="119"/>
      <x:c r="I145" s="119"/>
      <x:c r="J145" s="119"/>
      <x:c r="K145" s="119"/>
      <x:c r="L145" s="119"/>
      <x:c r="M145" s="119"/>
      <x:c r="N145" s="115" t="str">
        <x:v>Not Started</x:v>
      </x:c>
      <x:c r="O145" s="115"/>
      <x:c r="P145" s="119"/>
      <x:c r="Q145" s="116"/>
    </x:row>
    <x:row r="146" ht="20" customHeight="1">
      <x:c r="A146" s="83" t="str">
        <x:v>HAYS-0145</x:v>
      </x:c>
      <x:c r="B146" s="87" t="str">
        <x:v>Carex planostachys</x:v>
      </x:c>
      <x:c r="C146" s="87" t="str">
        <x:v>Carex planostachys</x:v>
      </x:c>
      <x:c r="D146" s="84" t="str">
        <x:v>Cyperaceae</x:v>
      </x:c>
      <x:c r="E146" s="84" t="str">
        <x:v>Carex</x:v>
      </x:c>
      <x:c r="F146" s="84" t="str">
        <x:v>Cedar Sedge</x:v>
      </x:c>
      <x:c r="G146" s="119"/>
      <x:c r="H146" s="119"/>
      <x:c r="I146" s="119"/>
      <x:c r="J146" s="119"/>
      <x:c r="K146" s="119"/>
      <x:c r="L146" s="119"/>
      <x:c r="M146" s="119"/>
      <x:c r="N146" s="115" t="str">
        <x:v>Not Started</x:v>
      </x:c>
      <x:c r="O146" s="115"/>
      <x:c r="P146" s="119"/>
      <x:c r="Q146" s="116"/>
    </x:row>
    <x:row r="147" ht="20" customHeight="1">
      <x:c r="A147" s="83" t="str">
        <x:v>HAYS-0146</x:v>
      </x:c>
      <x:c r="B147" s="87" t="str">
        <x:v>Carex texensis</x:v>
      </x:c>
      <x:c r="C147" s="87" t="str">
        <x:v>Carex texensis</x:v>
      </x:c>
      <x:c r="D147" s="84" t="str">
        <x:v>Cyperaceae</x:v>
      </x:c>
      <x:c r="E147" s="84" t="str">
        <x:v>Carex</x:v>
      </x:c>
      <x:c r="F147" s="84" t="str">
        <x:v>Texas Sedge</x:v>
      </x:c>
      <x:c r="G147" s="119"/>
      <x:c r="H147" s="119"/>
      <x:c r="I147" s="119"/>
      <x:c r="J147" s="119"/>
      <x:c r="K147" s="119"/>
      <x:c r="L147" s="119"/>
      <x:c r="M147" s="119"/>
      <x:c r="N147" s="115" t="str">
        <x:v>Not Started</x:v>
      </x:c>
      <x:c r="O147" s="115"/>
      <x:c r="P147" s="119"/>
      <x:c r="Q147" s="116"/>
    </x:row>
    <x:row r="148" ht="20" customHeight="1">
      <x:c r="A148" s="83" t="str">
        <x:v>HAYS-0147</x:v>
      </x:c>
      <x:c r="B148" s="87" t="str">
        <x:v>Carphochaete bigelovii</x:v>
      </x:c>
      <x:c r="C148" s="87" t="str">
        <x:v>Carphochaete bigelovii</x:v>
      </x:c>
      <x:c r="D148" s="84" t="str">
        <x:v>Asteraceae</x:v>
      </x:c>
      <x:c r="E148" s="84" t="str">
        <x:v>Carphochaete</x:v>
      </x:c>
      <x:c r="F148" s="84" t="str">
        <x:v>Bigelow's Bristlehead, Bigelow Bush</x:v>
      </x:c>
      <x:c r="G148" s="119"/>
      <x:c r="H148" s="119"/>
      <x:c r="I148" s="119"/>
      <x:c r="J148" s="119"/>
      <x:c r="K148" s="119"/>
      <x:c r="L148" s="119"/>
      <x:c r="M148" s="119"/>
      <x:c r="N148" s="115" t="str">
        <x:v>Not Started</x:v>
      </x:c>
      <x:c r="O148" s="115"/>
      <x:c r="P148" s="119"/>
      <x:c r="Q148" s="116"/>
    </x:row>
    <x:row r="149" ht="20" customHeight="1">
      <x:c r="A149" s="83" t="str">
        <x:v>HAYS-0148</x:v>
      </x:c>
      <x:c r="B149" s="87" t="str">
        <x:v>Carya illinoinensis</x:v>
      </x:c>
      <x:c r="C149" s="87" t="str">
        <x:v>Carya illinoinensis</x:v>
      </x:c>
      <x:c r="D149" s="84" t="str">
        <x:v>Juglandaceae</x:v>
      </x:c>
      <x:c r="E149" s="84" t="str">
        <x:v>Carya</x:v>
      </x:c>
      <x:c r="F149" s="84" t="str">
        <x:v>Pecan</x:v>
      </x:c>
      <x:c r="G149" s="119"/>
      <x:c r="H149" s="119"/>
      <x:c r="I149" s="119"/>
      <x:c r="J149" s="119"/>
      <x:c r="K149" s="119"/>
      <x:c r="L149" s="119"/>
      <x:c r="M149" s="119"/>
      <x:c r="N149" s="115" t="str">
        <x:v>Not Started</x:v>
      </x:c>
      <x:c r="O149" s="115"/>
      <x:c r="P149" s="119"/>
      <x:c r="Q149" s="116"/>
    </x:row>
    <x:row r="150" ht="20" customHeight="1">
      <x:c r="A150" s="83" t="str">
        <x:v>HAYS-0149</x:v>
      </x:c>
      <x:c r="B150" s="87" t="str">
        <x:v>Castilleja indivisa</x:v>
      </x:c>
      <x:c r="C150" s="87" t="str">
        <x:v>Castilleja indivisa</x:v>
      </x:c>
      <x:c r="D150" s="84" t="str">
        <x:v>Orobanchaceae</x:v>
      </x:c>
      <x:c r="E150" s="84" t="str">
        <x:v>Castilleja</x:v>
      </x:c>
      <x:c r="F150" s="84" t="str">
        <x:v>Texas Indian Paintbrush, Entireleaf Indian Paintbrush, Texas Paintbrush, Indian Paintbrush, Scarlet Paintbrush</x:v>
      </x:c>
      <x:c r="G150" s="119"/>
      <x:c r="H150" s="119"/>
      <x:c r="I150" s="119"/>
      <x:c r="J150" s="119"/>
      <x:c r="K150" s="119"/>
      <x:c r="L150" s="119"/>
      <x:c r="M150" s="119"/>
      <x:c r="N150" s="115" t="str">
        <x:v>Not Started</x:v>
      </x:c>
      <x:c r="O150" s="115"/>
      <x:c r="P150" s="119"/>
      <x:c r="Q150" s="116"/>
    </x:row>
    <x:row r="151" ht="20" customHeight="1">
      <x:c r="A151" s="83" t="str">
        <x:v>HAYS-0150</x:v>
      </x:c>
      <x:c r="B151" s="87" t="str">
        <x:v>Castilleja purpurea var. lindheimeri</x:v>
      </x:c>
      <x:c r="C151" s="87" t="str">
        <x:v>Castilleja lindheimeri</x:v>
      </x:c>
      <x:c r="D151" s="84" t="str">
        <x:v>Orobanchaceae</x:v>
      </x:c>
      <x:c r="E151" s="84" t="str">
        <x:v>Castilleja</x:v>
      </x:c>
      <x:c r="F151" s="84" t="str">
        <x:v>Lindheimer's Paintbrush, Lindheimer's Prairie Paintbrush, Lindheimer's Indian Paintbrush, Prairie Paintbrush</x:v>
      </x:c>
      <x:c r="G151" s="119"/>
      <x:c r="H151" s="119"/>
      <x:c r="I151" s="119"/>
      <x:c r="J151" s="119"/>
      <x:c r="K151" s="119"/>
      <x:c r="L151" s="119"/>
      <x:c r="M151" s="119"/>
      <x:c r="N151" s="115" t="str">
        <x:v>Not Started</x:v>
      </x:c>
      <x:c r="O151" s="115"/>
      <x:c r="P151" s="119"/>
      <x:c r="Q151" s="116"/>
    </x:row>
    <x:row r="152" ht="20" customHeight="1">
      <x:c r="A152" s="83" t="str">
        <x:v>HAYS-0151</x:v>
      </x:c>
      <x:c r="B152" s="87" t="str">
        <x:v>Catalpa speciosa</x:v>
      </x:c>
      <x:c r="C152" s="87" t="str">
        <x:v>Catalpa speciosa</x:v>
      </x:c>
      <x:c r="D152" s="84" t="str">
        <x:v>Bignoniaceae</x:v>
      </x:c>
      <x:c r="E152" s="84" t="str">
        <x:v>Catalpa</x:v>
      </x:c>
      <x:c r="F152" s="84" t="str">
        <x:v>Northern Catalpa, Catalpa Tree, Cigar Tree, Indian Bean</x:v>
      </x:c>
      <x:c r="G152" s="119"/>
      <x:c r="H152" s="119"/>
      <x:c r="I152" s="119"/>
      <x:c r="J152" s="119"/>
      <x:c r="K152" s="119"/>
      <x:c r="L152" s="119"/>
      <x:c r="M152" s="119"/>
      <x:c r="N152" s="115" t="str">
        <x:v>Not Started</x:v>
      </x:c>
      <x:c r="O152" s="115"/>
      <x:c r="P152" s="119"/>
      <x:c r="Q152" s="116"/>
    </x:row>
    <x:row r="153" ht="20" customHeight="1">
      <x:c r="A153" s="83" t="str">
        <x:v>HAYS-0152</x:v>
      </x:c>
      <x:c r="B153" s="87" t="str">
        <x:v>Ceanothus herbaceus</x:v>
      </x:c>
      <x:c r="C153" s="87" t="str">
        <x:v>Ceanothus herbaceus</x:v>
      </x:c>
      <x:c r="D153" s="84" t="str">
        <x:v>Rhamnaceae</x:v>
      </x:c>
      <x:c r="E153" s="84" t="str">
        <x:v>Ceanothus</x:v>
      </x:c>
      <x:c r="F153" s="84" t="str">
        <x:v>Prairie Redroot, Smaller Redroot, Small Redroot, Inland Ceanothus, Fuzzy Ceanothus, Jersey Tea, Redroot</x:v>
      </x:c>
      <x:c r="G153" s="119"/>
      <x:c r="H153" s="119"/>
      <x:c r="I153" s="119"/>
      <x:c r="J153" s="119"/>
      <x:c r="K153" s="119"/>
      <x:c r="L153" s="119"/>
      <x:c r="M153" s="119"/>
      <x:c r="N153" s="115" t="str">
        <x:v>Not Started</x:v>
      </x:c>
      <x:c r="O153" s="115"/>
      <x:c r="P153" s="119"/>
      <x:c r="Q153" s="116"/>
    </x:row>
    <x:row r="154" ht="20" customHeight="1">
      <x:c r="A154" s="83" t="str">
        <x:v>HAYS-0153</x:v>
      </x:c>
      <x:c r="B154" s="87" t="str">
        <x:v>Celosia nitida</x:v>
      </x:c>
      <x:c r="C154" s="87" t="str">
        <x:v>Celosia nitida</x:v>
      </x:c>
      <x:c r="D154" s="84" t="str">
        <x:v>Amaranthaceae</x:v>
      </x:c>
      <x:c r="E154" s="84" t="str">
        <x:v>Celosia</x:v>
      </x:c>
      <x:c r="F154" s="84" t="str">
        <x:v>West Indian Cock's Comb</x:v>
      </x:c>
      <x:c r="G154" s="119"/>
      <x:c r="H154" s="119"/>
      <x:c r="I154" s="119"/>
      <x:c r="J154" s="119"/>
      <x:c r="K154" s="119"/>
      <x:c r="L154" s="119"/>
      <x:c r="M154" s="119"/>
      <x:c r="N154" s="115" t="str">
        <x:v>Not Started</x:v>
      </x:c>
      <x:c r="O154" s="115"/>
      <x:c r="P154" s="119"/>
      <x:c r="Q154" s="116"/>
    </x:row>
    <x:row r="155" ht="20" customHeight="1">
      <x:c r="A155" s="83" t="str">
        <x:v>HAYS-0154</x:v>
      </x:c>
      <x:c r="B155" s="87" t="str">
        <x:v>Celtis ehrenbergiana</x:v>
      </x:c>
      <x:c r="C155" s="87" t="str">
        <x:v>Celtis iguanaea</x:v>
      </x:c>
      <x:c r="D155" s="84" t="str">
        <x:v>Cannabaceae</x:v>
      </x:c>
      <x:c r="E155" s="84" t="str">
        <x:v>Celtis</x:v>
      </x:c>
      <x:c r="F155" s="84" t="str">
        <x:v>Desert (Spiny) Hackberry</x:v>
      </x:c>
      <x:c r="G155" s="119"/>
      <x:c r="H155" s="119"/>
      <x:c r="I155" s="119"/>
      <x:c r="J155" s="119"/>
      <x:c r="K155" s="119"/>
      <x:c r="L155" s="119"/>
      <x:c r="M155" s="119"/>
      <x:c r="N155" s="115" t="str">
        <x:v>Not Started</x:v>
      </x:c>
      <x:c r="O155" s="115"/>
      <x:c r="P155" s="119"/>
      <x:c r="Q155" s="116"/>
    </x:row>
    <x:row r="156" ht="20" customHeight="1">
      <x:c r="A156" s="83" t="str">
        <x:v>HAYS-0155</x:v>
      </x:c>
      <x:c r="B156" s="87" t="str">
        <x:v>Celtis laevigata var. laevigata</x:v>
      </x:c>
      <x:c r="C156" s="87"/>
      <x:c r="D156" s="84" t="str">
        <x:v>[Taxonomy unresolved]</x:v>
      </x:c>
      <x:c r="E156" s="84" t="str">
        <x:v>Celtis</x:v>
      </x:c>
      <x:c r="F156" s="84" t="str">
        <x:v>Sugarberry, Palo Blanco</x:v>
      </x:c>
      <x:c r="G156" s="119"/>
      <x:c r="H156" s="119"/>
      <x:c r="I156" s="119"/>
      <x:c r="J156" s="119"/>
      <x:c r="K156" s="119"/>
      <x:c r="L156" s="119"/>
      <x:c r="M156" s="119"/>
      <x:c r="N156" s="115" t="str">
        <x:v>Not Started</x:v>
      </x:c>
      <x:c r="O156" s="115"/>
      <x:c r="P156" s="119"/>
      <x:c r="Q156" s="116"/>
    </x:row>
    <x:row r="157" ht="20" customHeight="1">
      <x:c r="A157" s="83" t="str">
        <x:v>HAYS-0156</x:v>
      </x:c>
      <x:c r="B157" s="87" t="str">
        <x:v>Celtis laevigata var. reticulata</x:v>
      </x:c>
      <x:c r="C157" s="87" t="str">
        <x:v>Celtis reticulata</x:v>
      </x:c>
      <x:c r="D157" s="84" t="str">
        <x:v>Cannabaceae</x:v>
      </x:c>
      <x:c r="E157" s="84" t="str">
        <x:v>Celtis</x:v>
      </x:c>
      <x:c r="F157" s="84" t="str">
        <x:v>Netleaf Hackberry, Netleaf Sugar Hackberry, Western Hackberry, Sugar Hackberry, Texas Sugarberry, Palo Blanco, Acibuche</x:v>
      </x:c>
      <x:c r="G157" s="119"/>
      <x:c r="H157" s="119"/>
      <x:c r="I157" s="119"/>
      <x:c r="J157" s="119"/>
      <x:c r="K157" s="119"/>
      <x:c r="L157" s="119"/>
      <x:c r="M157" s="119"/>
      <x:c r="N157" s="115" t="str">
        <x:v>Not Started</x:v>
      </x:c>
      <x:c r="O157" s="115"/>
      <x:c r="P157" s="119"/>
      <x:c r="Q157" s="116"/>
    </x:row>
    <x:row r="158" ht="20" customHeight="1">
      <x:c r="A158" s="83" t="str">
        <x:v>HAYS-0157</x:v>
      </x:c>
      <x:c r="B158" s="87" t="str">
        <x:v>Celtis lindheimeri</x:v>
      </x:c>
      <x:c r="C158" s="87" t="str">
        <x:v>Celtis lindheimeri</x:v>
      </x:c>
      <x:c r="D158" s="84" t="str">
        <x:v>Cannabaceae</x:v>
      </x:c>
      <x:c r="E158" s="84" t="str">
        <x:v>Celtis</x:v>
      </x:c>
      <x:c r="F158" s="84" t="str">
        <x:v>Lindheimer's Hackberry, Lindheimer Hackberry</x:v>
      </x:c>
      <x:c r="G158" s="119"/>
      <x:c r="H158" s="119"/>
      <x:c r="I158" s="119"/>
      <x:c r="J158" s="119"/>
      <x:c r="K158" s="119"/>
      <x:c r="L158" s="119"/>
      <x:c r="M158" s="119"/>
      <x:c r="N158" s="115" t="str">
        <x:v>Not Started</x:v>
      </x:c>
      <x:c r="O158" s="115"/>
      <x:c r="P158" s="119"/>
      <x:c r="Q158" s="116"/>
    </x:row>
    <x:row r="159" ht="20" customHeight="1">
      <x:c r="A159" s="83" t="str">
        <x:v>HAYS-0158</x:v>
      </x:c>
      <x:c r="B159" s="87" t="str">
        <x:v>Cenchrus spinifex</x:v>
      </x:c>
      <x:c r="C159" s="87" t="str">
        <x:v>Cenchrus spinifex</x:v>
      </x:c>
      <x:c r="D159" s="84" t="str">
        <x:v>Poaceae</x:v>
      </x:c>
      <x:c r="E159" s="84" t="str">
        <x:v>Cenchrus</x:v>
      </x:c>
      <x:c r="F159" s="84" t="str">
        <x:v>Grass Bur, Coastal Sandbur, Field Sandspur, Southern Sandbur, Spiny Burrgrass</x:v>
      </x:c>
      <x:c r="G159" s="119"/>
      <x:c r="H159" s="119"/>
      <x:c r="I159" s="119"/>
      <x:c r="J159" s="119"/>
      <x:c r="K159" s="119"/>
      <x:c r="L159" s="119"/>
      <x:c r="M159" s="119"/>
      <x:c r="N159" s="115" t="str">
        <x:v>Not Started</x:v>
      </x:c>
      <x:c r="O159" s="115"/>
      <x:c r="P159" s="119"/>
      <x:c r="Q159" s="116"/>
    </x:row>
    <x:row r="160" ht="20" customHeight="1">
      <x:c r="A160" s="83" t="str">
        <x:v>HAYS-0159</x:v>
      </x:c>
      <x:c r="B160" s="87" t="str">
        <x:v>Centaurium beyrichii</x:v>
      </x:c>
      <x:c r="C160" s="87" t="str">
        <x:v>Zeltnera beyrichii</x:v>
      </x:c>
      <x:c r="D160" s="84" t="str">
        <x:v>Gentianaceae</x:v>
      </x:c>
      <x:c r="E160" s="84" t="str">
        <x:v>Zeltnera</x:v>
      </x:c>
      <x:c r="F160" s="84" t="str">
        <x:v>Mountain Pink, Mountain Centaury, Quinineweed, Rock Centaury, Meadow Pink, Catchfly</x:v>
      </x:c>
      <x:c r="G160" s="119"/>
      <x:c r="H160" s="119"/>
      <x:c r="I160" s="119"/>
      <x:c r="J160" s="119"/>
      <x:c r="K160" s="119"/>
      <x:c r="L160" s="119"/>
      <x:c r="M160" s="119"/>
      <x:c r="N160" s="115" t="str">
        <x:v>Not Started</x:v>
      </x:c>
      <x:c r="O160" s="115"/>
      <x:c r="P160" s="119"/>
      <x:c r="Q160" s="116"/>
    </x:row>
    <x:row r="161" ht="20" customHeight="1">
      <x:c r="A161" s="83" t="str">
        <x:v>HAYS-0160</x:v>
      </x:c>
      <x:c r="B161" s="87" t="str">
        <x:v>Centaurium calycosum</x:v>
      </x:c>
      <x:c r="C161" s="87" t="str">
        <x:v>Zeltnera calycosa</x:v>
      </x:c>
      <x:c r="D161" s="84" t="str">
        <x:v>Gentianaceae</x:v>
      </x:c>
      <x:c r="E161" s="84" t="str">
        <x:v>Zeltnera</x:v>
      </x:c>
      <x:c r="F161" s="84" t="str">
        <x:v>Buckley Centaury, Rosita, Shortflower Centaury</x:v>
      </x:c>
      <x:c r="G161" s="119"/>
      <x:c r="H161" s="119"/>
      <x:c r="I161" s="119"/>
      <x:c r="J161" s="119"/>
      <x:c r="K161" s="119"/>
      <x:c r="L161" s="119"/>
      <x:c r="M161" s="119"/>
      <x:c r="N161" s="115" t="str">
        <x:v>Not Started</x:v>
      </x:c>
      <x:c r="O161" s="115"/>
      <x:c r="P161" s="119"/>
      <x:c r="Q161" s="116"/>
    </x:row>
    <x:row r="162" ht="20" customHeight="1">
      <x:c r="A162" s="83" t="str">
        <x:v>HAYS-0161</x:v>
      </x:c>
      <x:c r="B162" s="87" t="str">
        <x:v>Centaurium texense</x:v>
      </x:c>
      <x:c r="C162" s="87" t="str">
        <x:v>Zeltnera texensis</x:v>
      </x:c>
      <x:c r="D162" s="84" t="str">
        <x:v>Gentianaceae</x:v>
      </x:c>
      <x:c r="E162" s="84" t="str">
        <x:v>Zeltnera</x:v>
      </x:c>
      <x:c r="F162" s="84" t="str">
        <x:v>Lady Bird's Centaury, Texas Centaury</x:v>
      </x:c>
      <x:c r="G162" s="119"/>
      <x:c r="H162" s="119"/>
      <x:c r="I162" s="119"/>
      <x:c r="J162" s="119"/>
      <x:c r="K162" s="119"/>
      <x:c r="L162" s="119"/>
      <x:c r="M162" s="119"/>
      <x:c r="N162" s="115" t="str">
        <x:v>Not Started</x:v>
      </x:c>
      <x:c r="O162" s="115"/>
      <x:c r="P162" s="119"/>
      <x:c r="Q162" s="116"/>
    </x:row>
    <x:row r="163" ht="20" customHeight="1">
      <x:c r="A163" s="83" t="str">
        <x:v>HAYS-0162</x:v>
      </x:c>
      <x:c r="B163" s="87" t="str">
        <x:v>Centella erecta</x:v>
      </x:c>
      <x:c r="C163" s="87" t="str">
        <x:v>Centella erecta</x:v>
      </x:c>
      <x:c r="D163" s="84" t="str">
        <x:v>Apiaceae</x:v>
      </x:c>
      <x:c r="E163" s="84" t="str">
        <x:v>Centella</x:v>
      </x:c>
      <x:c r="F163" s="84" t="str">
        <x:v>Erect Centella, Erect Spadeleaf</x:v>
      </x:c>
      <x:c r="G163" s="119"/>
      <x:c r="H163" s="119"/>
      <x:c r="I163" s="119"/>
      <x:c r="J163" s="119"/>
      <x:c r="K163" s="119"/>
      <x:c r="L163" s="119"/>
      <x:c r="M163" s="119"/>
      <x:c r="N163" s="115" t="str">
        <x:v>Not Started</x:v>
      </x:c>
      <x:c r="O163" s="115"/>
      <x:c r="P163" s="119"/>
      <x:c r="Q163" s="116"/>
    </x:row>
    <x:row r="164" ht="20" customHeight="1">
      <x:c r="A164" s="83" t="str">
        <x:v>HAYS-0163</x:v>
      </x:c>
      <x:c r="B164" s="87" t="str">
        <x:v>Cephalanthus occidentalis</x:v>
      </x:c>
      <x:c r="C164" s="87" t="str">
        <x:v>Cephalanthus occidentalis</x:v>
      </x:c>
      <x:c r="D164" s="84" t="str">
        <x:v>Rubiaceae</x:v>
      </x:c>
      <x:c r="E164" s="84" t="str">
        <x:v>Cephalanthus</x:v>
      </x:c>
      <x:c r="F164" s="84" t="str">
        <x:v>Common Buttonbush, Buttonbush, Button Willow, Honey Bells, Honeybells, Honey Balls, Honeyballs, Button-bush</x:v>
      </x:c>
      <x:c r="G164" s="119"/>
      <x:c r="H164" s="119"/>
      <x:c r="I164" s="119"/>
      <x:c r="J164" s="119"/>
      <x:c r="K164" s="119"/>
      <x:c r="L164" s="119"/>
      <x:c r="M164" s="119"/>
      <x:c r="N164" s="115" t="str">
        <x:v>Not Started</x:v>
      </x:c>
      <x:c r="O164" s="115"/>
      <x:c r="P164" s="119"/>
      <x:c r="Q164" s="116"/>
    </x:row>
    <x:row r="165" ht="20" customHeight="1">
      <x:c r="A165" s="83" t="str">
        <x:v>HAYS-0164</x:v>
      </x:c>
      <x:c r="B165" s="87" t="str">
        <x:v>Cerastium brachypodum</x:v>
      </x:c>
      <x:c r="C165" s="87" t="str">
        <x:v>Cerastium brachypodum</x:v>
      </x:c>
      <x:c r="D165" s="84" t="str">
        <x:v>Caryophyllaceae</x:v>
      </x:c>
      <x:c r="E165" s="84" t="str">
        <x:v>Cerastium</x:v>
      </x:c>
      <x:c r="F165" s="84" t="str">
        <x:v>Shortstalk Chickweed, Short-stalk Chickweed</x:v>
      </x:c>
      <x:c r="G165" s="119"/>
      <x:c r="H165" s="119"/>
      <x:c r="I165" s="119"/>
      <x:c r="J165" s="119"/>
      <x:c r="K165" s="119"/>
      <x:c r="L165" s="119"/>
      <x:c r="M165" s="119"/>
      <x:c r="N165" s="115" t="str">
        <x:v>Not Started</x:v>
      </x:c>
      <x:c r="O165" s="115"/>
      <x:c r="P165" s="119"/>
      <x:c r="Q165" s="116"/>
    </x:row>
    <x:row r="166" ht="20" customHeight="1">
      <x:c r="A166" s="83" t="str">
        <x:v>HAYS-0165</x:v>
      </x:c>
      <x:c r="B166" s="87" t="str">
        <x:v>Ceratophyllum demersum</x:v>
      </x:c>
      <x:c r="C166" s="87" t="str">
        <x:v>Ceratophyllum demersum</x:v>
      </x:c>
      <x:c r="D166" s="84" t="str">
        <x:v>Ceratophyllaceae</x:v>
      </x:c>
      <x:c r="E166" s="84" t="str">
        <x:v>Ceratophyllum</x:v>
      </x:c>
      <x:c r="F166" s="84" t="str">
        <x:v>Coon's Tail</x:v>
      </x:c>
      <x:c r="G166" s="119"/>
      <x:c r="H166" s="119"/>
      <x:c r="I166" s="119"/>
      <x:c r="J166" s="119"/>
      <x:c r="K166" s="119"/>
      <x:c r="L166" s="119"/>
      <x:c r="M166" s="119"/>
      <x:c r="N166" s="115" t="str">
        <x:v>Not Started</x:v>
      </x:c>
      <x:c r="O166" s="115"/>
      <x:c r="P166" s="119"/>
      <x:c r="Q166" s="116"/>
    </x:row>
    <x:row r="167" ht="20" customHeight="1">
      <x:c r="A167" s="83" t="str">
        <x:v>HAYS-0166</x:v>
      </x:c>
      <x:c r="B167" s="87" t="str">
        <x:v>Cercis canadensis var. mexicana</x:v>
      </x:c>
      <x:c r="C167" s="87" t="str">
        <x:v>Cercis canadensis subsp. mexicana</x:v>
      </x:c>
      <x:c r="D167" s="84" t="str">
        <x:v>Fabaceae</x:v>
      </x:c>
      <x:c r="E167" s="84" t="str">
        <x:v>Cercis</x:v>
      </x:c>
      <x:c r="F167" s="84" t="str">
        <x:v>Mexican Redbud</x:v>
      </x:c>
      <x:c r="G167" s="119"/>
      <x:c r="H167" s="119"/>
      <x:c r="I167" s="119"/>
      <x:c r="J167" s="119"/>
      <x:c r="K167" s="119"/>
      <x:c r="L167" s="119"/>
      <x:c r="M167" s="119"/>
      <x:c r="N167" s="115" t="str">
        <x:v>Not Started</x:v>
      </x:c>
      <x:c r="O167" s="115"/>
      <x:c r="P167" s="119"/>
      <x:c r="Q167" s="116"/>
    </x:row>
    <x:row r="168" ht="20" customHeight="1">
      <x:c r="A168" s="83" t="str">
        <x:v>HAYS-0167</x:v>
      </x:c>
      <x:c r="B168" s="87" t="str">
        <x:v>Cercis canadensis var. texensis</x:v>
      </x:c>
      <x:c r="C168" s="87" t="str">
        <x:v>Cercis canadensis subsp. texensis</x:v>
      </x:c>
      <x:c r="D168" s="84" t="str">
        <x:v>Fabaceae</x:v>
      </x:c>
      <x:c r="E168" s="84" t="str">
        <x:v>Cercis</x:v>
      </x:c>
      <x:c r="F168" s="84" t="str">
        <x:v>Texas Redbud</x:v>
      </x:c>
      <x:c r="G168" s="119"/>
      <x:c r="H168" s="119"/>
      <x:c r="I168" s="119"/>
      <x:c r="J168" s="119"/>
      <x:c r="K168" s="119"/>
      <x:c r="L168" s="119"/>
      <x:c r="M168" s="119"/>
      <x:c r="N168" s="115" t="str">
        <x:v>Not Started</x:v>
      </x:c>
      <x:c r="O168" s="115"/>
      <x:c r="P168" s="119"/>
      <x:c r="Q168" s="116"/>
    </x:row>
    <x:row r="169" ht="20" customHeight="1">
      <x:c r="A169" s="83" t="str">
        <x:v>HAYS-0168</x:v>
      </x:c>
      <x:c r="B169" s="87" t="str">
        <x:v>Chaerophyllum tainturieri</x:v>
      </x:c>
      <x:c r="C169" s="87" t="str">
        <x:v>Chaerophyllum tainturieri</x:v>
      </x:c>
      <x:c r="D169" s="84" t="str">
        <x:v>Apiaceae</x:v>
      </x:c>
      <x:c r="E169" s="84" t="str">
        <x:v>Chaerophyllum</x:v>
      </x:c>
      <x:c r="F169" s="84" t="str">
        <x:v>Hairyfruit Chervil, Southern Chervil</x:v>
      </x:c>
      <x:c r="G169" s="119"/>
      <x:c r="H169" s="119"/>
      <x:c r="I169" s="119"/>
      <x:c r="J169" s="119"/>
      <x:c r="K169" s="119"/>
      <x:c r="L169" s="119"/>
      <x:c r="M169" s="119"/>
      <x:c r="N169" s="115" t="str">
        <x:v>Not Started</x:v>
      </x:c>
      <x:c r="O169" s="115"/>
      <x:c r="P169" s="119"/>
      <x:c r="Q169" s="116"/>
    </x:row>
    <x:row r="170" ht="20" customHeight="1">
      <x:c r="A170" s="83" t="str">
        <x:v>HAYS-0169</x:v>
      </x:c>
      <x:c r="B170" s="87" t="str">
        <x:v>Chaetopappa bellidifolia</x:v>
      </x:c>
      <x:c r="C170" s="87" t="str">
        <x:v>Chaetopappa bellidifolia</x:v>
      </x:c>
      <x:c r="D170" s="84" t="str">
        <x:v>Asteraceae</x:v>
      </x:c>
      <x:c r="E170" s="84" t="str">
        <x:v>Chaetopappa</x:v>
      </x:c>
      <x:c r="F170" s="84" t="str">
        <x:v>Whiteray Leastdaisy, Dwarf White Aster, Edwards Lazy Daisy</x:v>
      </x:c>
      <x:c r="G170" s="119"/>
      <x:c r="H170" s="119"/>
      <x:c r="I170" s="119"/>
      <x:c r="J170" s="119"/>
      <x:c r="K170" s="119"/>
      <x:c r="L170" s="119"/>
      <x:c r="M170" s="119"/>
      <x:c r="N170" s="115" t="str">
        <x:v>Not Started</x:v>
      </x:c>
      <x:c r="O170" s="115"/>
      <x:c r="P170" s="119"/>
      <x:c r="Q170" s="116"/>
    </x:row>
    <x:row r="171" ht="20" customHeight="1">
      <x:c r="A171" s="83" t="str">
        <x:v>HAYS-0170</x:v>
      </x:c>
      <x:c r="B171" s="87" t="str">
        <x:v>Chaetopappa effusa</x:v>
      </x:c>
      <x:c r="C171" s="87" t="str">
        <x:v>Chaetopappa effusa</x:v>
      </x:c>
      <x:c r="D171" s="84" t="str">
        <x:v>Asteraceae</x:v>
      </x:c>
      <x:c r="E171" s="84" t="str">
        <x:v>Chaetopappa</x:v>
      </x:c>
      <x:c r="F171" s="84" t="str">
        <x:v>Spreading Leastdaisy</x:v>
      </x:c>
      <x:c r="G171" s="119"/>
      <x:c r="H171" s="119"/>
      <x:c r="I171" s="119"/>
      <x:c r="J171" s="119"/>
      <x:c r="K171" s="119"/>
      <x:c r="L171" s="119"/>
      <x:c r="M171" s="119"/>
      <x:c r="N171" s="115" t="str">
        <x:v>Not Started</x:v>
      </x:c>
      <x:c r="O171" s="115"/>
      <x:c r="P171" s="119"/>
      <x:c r="Q171" s="116"/>
    </x:row>
    <x:row r="172" ht="20" customHeight="1">
      <x:c r="A172" s="83" t="str">
        <x:v>HAYS-0171</x:v>
      </x:c>
      <x:c r="B172" s="87" t="str">
        <x:v>Chaetopappa ericoides</x:v>
      </x:c>
      <x:c r="C172" s="87" t="str">
        <x:v>Chaetopappa ericoides</x:v>
      </x:c>
      <x:c r="D172" s="84" t="str">
        <x:v>Asteraceae</x:v>
      </x:c>
      <x:c r="E172" s="84" t="str">
        <x:v>Chaetopappa</x:v>
      </x:c>
      <x:c r="F172" s="84" t="str">
        <x:v>Rose Heath</x:v>
      </x:c>
      <x:c r="G172" s="119"/>
      <x:c r="H172" s="119"/>
      <x:c r="I172" s="119"/>
      <x:c r="J172" s="119"/>
      <x:c r="K172" s="119"/>
      <x:c r="L172" s="119"/>
      <x:c r="M172" s="119"/>
      <x:c r="N172" s="115" t="str">
        <x:v>Not Started</x:v>
      </x:c>
      <x:c r="O172" s="115"/>
      <x:c r="P172" s="119"/>
      <x:c r="Q172" s="116"/>
    </x:row>
    <x:row r="173" ht="20" customHeight="1">
      <x:c r="A173" s="83" t="str">
        <x:v>HAYS-0172</x:v>
      </x:c>
      <x:c r="B173" s="87" t="str">
        <x:v>Chamaecrista fasciculata</x:v>
      </x:c>
      <x:c r="C173" s="87" t="str">
        <x:v>Chamaecrista fasciculata</x:v>
      </x:c>
      <x:c r="D173" s="84" t="str">
        <x:v>Fabaceae</x:v>
      </x:c>
      <x:c r="E173" s="84" t="str">
        <x:v>Chamaecrista</x:v>
      </x:c>
      <x:c r="F173" s="84" t="str">
        <x:v>Partridge Pea, Sleepingplant, Sensitive Plant</x:v>
      </x:c>
      <x:c r="G173" s="119"/>
      <x:c r="H173" s="119"/>
      <x:c r="I173" s="119"/>
      <x:c r="J173" s="119"/>
      <x:c r="K173" s="119"/>
      <x:c r="L173" s="119"/>
      <x:c r="M173" s="119"/>
      <x:c r="N173" s="115" t="str">
        <x:v>Not Started</x:v>
      </x:c>
      <x:c r="O173" s="115"/>
      <x:c r="P173" s="119"/>
      <x:c r="Q173" s="116"/>
    </x:row>
    <x:row r="174" ht="20" customHeight="1">
      <x:c r="A174" s="83" t="str">
        <x:v>HAYS-0173</x:v>
      </x:c>
      <x:c r="B174" s="87" t="str">
        <x:v>Chamaesaracha coniodes</x:v>
      </x:c>
      <x:c r="C174" s="87" t="str">
        <x:v>Chamaesaracha coniodes</x:v>
      </x:c>
      <x:c r="D174" s="84" t="str">
        <x:v>Solanaceae</x:v>
      </x:c>
      <x:c r="E174" s="84" t="str">
        <x:v>Chamaesaracha</x:v>
      </x:c>
      <x:c r="F174" s="84" t="str">
        <x:v>Gray Five Eyes, False Nightshade, Ground Saracha, Prostrate Ground-cherry</x:v>
      </x:c>
      <x:c r="G174" s="119"/>
      <x:c r="H174" s="119"/>
      <x:c r="I174" s="119"/>
      <x:c r="J174" s="119"/>
      <x:c r="K174" s="119"/>
      <x:c r="L174" s="119"/>
      <x:c r="M174" s="119"/>
      <x:c r="N174" s="115" t="str">
        <x:v>Not Started</x:v>
      </x:c>
      <x:c r="O174" s="115"/>
      <x:c r="P174" s="119"/>
      <x:c r="Q174" s="116"/>
    </x:row>
    <x:row r="175" ht="20" customHeight="1">
      <x:c r="A175" s="83" t="str">
        <x:v>HAYS-0174</x:v>
      </x:c>
      <x:c r="B175" s="87" t="str">
        <x:v>Chamaesaracha coronopus</x:v>
      </x:c>
      <x:c r="C175" s="87" t="str">
        <x:v>Chamaesaracha coronopus</x:v>
      </x:c>
      <x:c r="D175" s="84" t="str">
        <x:v>Solanaceae</x:v>
      </x:c>
      <x:c r="E175" s="84" t="str">
        <x:v>Chamaesaracha</x:v>
      </x:c>
      <x:c r="F175" s="84" t="str">
        <x:v>Greenleaf Five Eyes, Green False Nightshade</x:v>
      </x:c>
      <x:c r="G175" s="119"/>
      <x:c r="H175" s="119"/>
      <x:c r="I175" s="119"/>
      <x:c r="J175" s="119"/>
      <x:c r="K175" s="119"/>
      <x:c r="L175" s="119"/>
      <x:c r="M175" s="119"/>
      <x:c r="N175" s="115" t="str">
        <x:v>Not Started</x:v>
      </x:c>
      <x:c r="O175" s="115"/>
      <x:c r="P175" s="119"/>
      <x:c r="Q175" s="116"/>
    </x:row>
    <x:row r="176" ht="20" customHeight="1">
      <x:c r="A176" s="83" t="str">
        <x:v>HAYS-0175</x:v>
      </x:c>
      <x:c r="B176" s="87" t="str">
        <x:v>Chamaesaracha edwardsiana</x:v>
      </x:c>
      <x:c r="C176" s="87" t="str">
        <x:v>Chamaesaracha edwardsiana</x:v>
      </x:c>
      <x:c r="D176" s="84" t="str">
        <x:v>Solanaceae</x:v>
      </x:c>
      <x:c r="E176" s="84" t="str">
        <x:v>Chamaesaracha</x:v>
      </x:c>
      <x:c r="F176" s="84" t="str">
        <x:v>Edwards Plateau Five Eyes</x:v>
      </x:c>
      <x:c r="G176" s="119"/>
      <x:c r="H176" s="119"/>
      <x:c r="I176" s="119"/>
      <x:c r="J176" s="119"/>
      <x:c r="K176" s="119"/>
      <x:c r="L176" s="119"/>
      <x:c r="M176" s="119"/>
      <x:c r="N176" s="115" t="str">
        <x:v>Not Started</x:v>
      </x:c>
      <x:c r="O176" s="115"/>
      <x:c r="P176" s="119"/>
      <x:c r="Q176" s="116"/>
    </x:row>
    <x:row r="177" ht="105" customHeight="1">
      <x:c r="A177" s="83" t="str">
        <x:v>HAYS-0176</x:v>
      </x:c>
      <x:c r="B177" s="87" t="str">
        <x:v>Chamaesyce angusta</x:v>
      </x:c>
      <x:c r="C177" s="87" t="str">
        <x:v>Euphorbia angusta</x:v>
      </x:c>
      <x:c r="D177" s="84" t="str">
        <x:v>Euphorbiaceae</x:v>
      </x:c>
      <x:c r="E177" s="84" t="str">
        <x:v>Euphorbia</x:v>
      </x:c>
      <x:c r="F177" s="84" t="str">
        <x:v>Blackfoot Sandmat, Narrow-leaf Spurge</x:v>
      </x:c>
      <x:c r="G177" s="119" t="str">
        <x:v>Upright plant with very narrow upper leaves—not actually mat-forming.</x:v>
      </x:c>
      <x:c r="H177" s="119" t="str">
        <x:v>Erect; about 12–43 cm; Uniformly strigose — short, stiff hairs pressed along the stem; leaves Proximal leaves ovate; distal leaves linear to very narrowly elliptic, Entire; often rolls inward when dried; Ovary and capsule strigose; seed Low transverse ridges or wrinkles; white.</x:v>
      </x:c>
      <x:c r="I177" s="119" t="str">
        <x:v>Euphorbia fendleri; Euphorbia nutans; Euphorbia prostrata; Euphorbia serpens; Euphorbia villifera</x:v>
      </x:c>
      <x:c r="J177" s="119" t="str">
        <x:v>Confirm the combination of distal leaves more than six times as long as wide plus short pressed hairs on the capsule.</x:v>
      </x:c>
      <x:c r="K177" s="119" t="str">
        <x:v>Whole upright habit; upper leaf beside a ruler; stem hairs; cyathium; capsule hairs.</x:v>
      </x:c>
      <x:c r="L177" s="119" t="str">
        <x:v>Rocky limestone; flowering and fruiting early spring–fall.</x:v>
      </x:c>
      <x:c r="M177" s="119" t="str">
        <x:v>https://floranorthamerica.org/Euphorbia_angusta
https://www.efloras.org/florataxon.aspx?flora_id=1&amp;taxon_id=250101551</x:v>
      </x:c>
      <x:c r="N177" s="115" t="str">
        <x:v>Ready for Review</x:v>
      </x:c>
      <x:c r="O177" s="115" t="str">
        <x:v>Main chat — EUPH-C04 sandmat pilot</x:v>
      </x:c>
      <x:c r="P177" s="119" t="str">
        <x:v>High first-pass with fruit. Detailed matrix and all 15 pair comparisons completed; local-photo or specimen review still required.</x:v>
      </x:c>
      <x:c r="Q177" s="116" t="n">
        <x:v>46231.708333333336</x:v>
      </x:c>
    </x:row>
    <x:row r="178" ht="105" customHeight="1">
      <x:c r="A178" s="83" t="str">
        <x:v>HAYS-0177</x:v>
      </x:c>
      <x:c r="B178" s="87" t="str">
        <x:v>Chamaesyce fendleri</x:v>
      </x:c>
      <x:c r="C178" s="87" t="str">
        <x:v>Euphorbia fendleri</x:v>
      </x:c>
      <x:c r="D178" s="84" t="str">
        <x:v>Euphorbiaceae</x:v>
      </x:c>
      <x:c r="E178" s="84" t="str">
        <x:v>Euphorbia</x:v>
      </x:c>
      <x:c r="F178" s="84" t="str">
        <x:v>Fendler's Sandmat, Fendler's Spurge, Fendler's Carpetweed, Fendler's Euphorb</x:v>
      </x:c>
      <x:c r="G178" s="119" t="str">
        <x:v>Low, hairless perennial with a woody crown and tiny round-to-ovate entire leaves.</x:v>
      </x:c>
      <x:c r="H178" s="119" t="str">
        <x:v>Usually prostrate, decumbent, or ascending; rarely erect; about 5–12 cm; Glabrous — no hairs; leaves Usually round to ovate; rarely nearly lanceolate, Entire; Ovary and capsule glabrous; seed Smooth to slightly wrinkled; white; strongly 4-angled.</x:v>
      </x:c>
      <x:c r="I178" s="119" t="str">
        <x:v>Euphorbia angusta; Euphorbia nutans; Euphorbia prostrata; Euphorbia serpens; Euphorbia villifera</x:v>
      </x:c>
      <x:c r="J178" s="119" t="str">
        <x:v>Confirm a woody perennial base, separate bristlelike stipules, a glabrous capsule, and relatively large pale seeds.</x:v>
      </x:c>
      <x:c r="K178" s="119" t="str">
        <x:v>Crown without uprooting; whole low habit; one node/stipules; glabrous capsule; seed with scale.</x:v>
      </x:c>
      <x:c r="L178" s="119" t="str">
        <x:v>Dry limestone crevices, grasslands, slopes, gravel and sand; spring–fall.</x:v>
      </x:c>
      <x:c r="M178" s="119" t="str">
        <x:v>https://floranorthamerica.org/Euphorbia_fendleri
https://www.efloras.org/florataxon.aspx?flora_id=1&amp;taxon_id=250101570</x:v>
      </x:c>
      <x:c r="N178" s="115" t="str">
        <x:v>Ready for Review</x:v>
      </x:c>
      <x:c r="O178" s="115" t="str">
        <x:v>Main chat — EUPH-C04 sandmat pilot</x:v>
      </x:c>
      <x:c r="P178" s="119" t="str">
        <x:v>High first-pass with crown and fruit. Detailed matrix and all 15 pair comparisons completed; local-photo or specimen review still required.</x:v>
      </x:c>
      <x:c r="Q178" s="116" t="n">
        <x:v>46231.708333333336</x:v>
      </x:c>
    </x:row>
    <x:row r="179" ht="105" customHeight="1">
      <x:c r="A179" s="83" t="str">
        <x:v>HAYS-0178</x:v>
      </x:c>
      <x:c r="B179" s="87" t="str">
        <x:v>Chamaesyce nutans</x:v>
      </x:c>
      <x:c r="C179" s="87" t="str">
        <x:v>Euphorbia nutans</x:v>
      </x:c>
      <x:c r="D179" s="84" t="str">
        <x:v>Euphorbiaceae</x:v>
      </x:c>
      <x:c r="E179" s="84" t="str">
        <x:v>Euphorbia</x:v>
      </x:c>
      <x:c r="F179" s="84" t="str">
        <x:v>Nodding Spurge, Eyebane</x:v>
      </x:c>
      <x:c r="G179" s="119" t="str">
        <x:v>The tall member of this group: ascending stems and larger oblong, finely toothed leaves.</x:v>
      </x:c>
      <x:c r="H179" s="119" t="str">
        <x:v>Usually ascending; sometimes erect; often arches near tips; about 20–80 cm; Sparse to moderate long or incurved hairs, often concentrated at nodes and near tips; sometimes in two stem bands; leaves Oblong to oblong-lanceolate, Finely serrulate; Ovary and capsule glabrous; seed Dark brown; finely wrinkled or with faint, shallow cross-ridges.</x:v>
      </x:c>
      <x:c r="I179" s="119" t="str">
        <x:v>Euphorbia angusta; Euphorbia fendleri; Euphorbia prostrata; Euphorbia serpens; Euphorbia villifera</x:v>
      </x:c>
      <x:c r="J179" s="119" t="str">
        <x:v>Confirm an annual taproot, hairs concentrated at nodes/distally, strongly asymmetric serrulate leaves, and a glabrous capsule.</x:v>
      </x:c>
      <x:c r="K179" s="119" t="str">
        <x:v>Whole height; stem nodes; upper/lower leaf face and base; capsule; seed with scale.</x:v>
      </x:c>
      <x:c r="L179" s="119" t="str">
        <x:v>Banks, prairie openings, pastures, roadsides, gardens, and disturbed sites; spring–early fall.</x:v>
      </x:c>
      <x:c r="M179" s="119" t="str">
        <x:v>https://floranorthamerica.org/Euphorbia_nutans
https://www.efloras.org/florataxon.aspx?flora_id=1&amp;taxon_id=242427660</x:v>
      </x:c>
      <x:c r="N179" s="115" t="str">
        <x:v>Ready for Review</x:v>
      </x:c>
      <x:c r="O179" s="115" t="str">
        <x:v>Main chat — EUPH-C04 sandmat pilot</x:v>
      </x:c>
      <x:c r="P179" s="119" t="str">
        <x:v>High first-pass. Detailed matrix and all 15 pair comparisons completed; local-photo or specimen review still required.</x:v>
      </x:c>
      <x:c r="Q179" s="116" t="n">
        <x:v>46231.708333333336</x:v>
      </x:c>
    </x:row>
    <x:row r="180" ht="105" customHeight="1">
      <x:c r="A180" s="83" t="str">
        <x:v>HAYS-0179</x:v>
      </x:c>
      <x:c r="B180" s="87" t="str">
        <x:v>Chamaesyce prostrata</x:v>
      </x:c>
      <x:c r="C180" s="87" t="str">
        <x:v>Euphorbia prostrata</x:v>
      </x:c>
      <x:c r="D180" s="84" t="str">
        <x:v>Euphorbiaceae</x:v>
      </x:c>
      <x:c r="E180" s="84" t="str">
        <x:v>Euphorbia</x:v>
      </x:c>
      <x:c r="F180" s="84" t="str">
        <x:v>Prostrate Spurge, Prostrate Sandmat, Ground Spurge</x:v>
      </x:c>
      <x:c r="G180" s="119" t="str">
        <x:v>Flat hairy annual mat that does not root at the nodes and has tiny toothed leaves.</x:v>
      </x:c>
      <x:c r="H180" s="119" t="str">
        <x:v>Flat mat; prostrate and usually under 2 cm tall; stems about 10–30 cm long; Pubescent — covered with short, often crinkled hairs; lower stem may be less hairy; leaves Broadly ovate/heart-shaped to oblong or rounded; opposite, Short-serrate, especially toward the tip; Ovary/capsule hairy, with hairs concentrated along the three angles and near the base; seed Several distinct transverse wrinkles/ridges; sharply 4-angled.</x:v>
      </x:c>
      <x:c r="I180" s="119" t="str">
        <x:v>Euphorbia angusta; Euphorbia fendleri; Euphorbia nutans; Euphorbia serpens; Euphorbia villifera</x:v>
      </x:c>
      <x:c r="J180" s="119" t="str">
        <x:v>Confirm hairs along the three capsule angles plus transversely ridged seeds. These break the tie with E. serpens.</x:v>
      </x:c>
      <x:c r="K180" s="119" t="str">
        <x:v>Mat from above; several non-rooting nodes; leaf teeth; stipules; capsule angles; seed with scale.</x:v>
      </x:c>
      <x:c r="L180" s="119" t="str">
        <x:v>Disturbed ground, often sandy; flowering commonly spring–fall.</x:v>
      </x:c>
      <x:c r="M180" s="119" t="str">
        <x:v>https://floranorthamerica.org/Euphorbia_prostrata
https://www.efloras.org/florataxon.aspx?flora_id=1&amp;taxon_id=242321502
https://w3.biosci.utexas.edu/prc/K12/pages/Euphorbia%20prostrata.html</x:v>
      </x:c>
      <x:c r="N180" s="115" t="str">
        <x:v>Ready for Review</x:v>
      </x:c>
      <x:c r="O180" s="115" t="str">
        <x:v>Main chat — EUPH-C04 sandmat pilot</x:v>
      </x:c>
      <x:c r="P180" s="119" t="str">
        <x:v>High with capsule and seed. Detailed matrix and all 15 pair comparisons completed; local-photo or specimen review still required.</x:v>
      </x:c>
      <x:c r="Q180" s="116" t="n">
        <x:v>46231.708333333336</x:v>
      </x:c>
    </x:row>
    <x:row r="181" ht="105" customHeight="1">
      <x:c r="A181" s="83" t="str">
        <x:v>HAYS-0180</x:v>
      </x:c>
      <x:c r="B181" s="87" t="str">
        <x:v>Chamaesyce serpens</x:v>
      </x:c>
      <x:c r="C181" s="87" t="str">
        <x:v>Euphorbia serpens</x:v>
      </x:c>
      <x:c r="D181" s="84" t="str">
        <x:v>Euphorbiaceae</x:v>
      </x:c>
      <x:c r="E181" s="84" t="str">
        <x:v>Euphorbia</x:v>
      </x:c>
      <x:c r="F181" s="84" t="str">
        <x:v>Matted Sandmat, Prostrate Spurge, Creeping Spurge</x:v>
      </x:c>
      <x:c r="G181" s="119" t="str">
        <x:v>Hairless creeping mat that repeatedly roots where its nodes touch the soil.</x:v>
      </x:c>
      <x:c r="H181" s="119" t="str">
        <x:v>Flat creeping mat; prostrate; stems often 15–50 cm long and under 3 cm tall; Entirely glabrous and often slightly bluish/glaucous; leaves Broadly ovate/heart-shaped to oblong or round; opposite, Entire; Ovary and capsule glabrous; seed Smooth to very finely netted; lacks the strong transverse ridges of E. prostrata.</x:v>
      </x:c>
      <x:c r="I181" s="119" t="str">
        <x:v>Euphorbia angusta; Euphorbia fendleri; Euphorbia nutans; Euphorbia prostrata; Euphorbia villifera</x:v>
      </x:c>
      <x:c r="J181" s="119" t="str">
        <x:v>Confirm entire hairless leaves, fused triangular stipule scales, a glabrous capsule, and smooth/faintly netted seeds.</x:v>
      </x:c>
      <x:c r="K181" s="119" t="str">
        <x:v>Rooting node; fused stipule scale; entire leaf edge; glabrous capsule; smooth seed with scale.</x:v>
      </x:c>
      <x:c r="L181" s="119" t="str">
        <x:v>Well-drained or sandy soils, prairies, woodlands, and disturbed areas; summer or longer in warm sites.</x:v>
      </x:c>
      <x:c r="M181" s="119" t="str">
        <x:v>https://floranorthamerica.org/Euphorbia_serpens
https://www.efloras.org/florataxon.aspx?flora_id=1&amp;taxon_id=242321518
https://w3.biosci.utexas.edu/prc/K12/pages/Euphorbia%20serpens.html</x:v>
      </x:c>
      <x:c r="N181" s="115" t="str">
        <x:v>Ready for Review</x:v>
      </x:c>
      <x:c r="O181" s="115" t="str">
        <x:v>Main chat — EUPH-C04 sandmat pilot</x:v>
      </x:c>
      <x:c r="P181" s="119" t="str">
        <x:v>High with node roots and fruit. Detailed matrix and all 15 pair comparisons completed; local-photo or specimen review still required.</x:v>
      </x:c>
      <x:c r="Q181" s="116" t="n">
        <x:v>46231.708333333336</x:v>
      </x:c>
    </x:row>
    <x:row r="182" ht="105" customHeight="1">
      <x:c r="A182" s="83" t="str">
        <x:v>HAYS-0181</x:v>
      </x:c>
      <x:c r="B182" s="87" t="str">
        <x:v>Chamaesyce villifera</x:v>
      </x:c>
      <x:c r="C182" s="87" t="str">
        <x:v>Euphorbia villifera</x:v>
      </x:c>
      <x:c r="D182" s="84" t="str">
        <x:v>Euphorbiaceae</x:v>
      </x:c>
      <x:c r="E182" s="84" t="str">
        <x:v>Euphorbia</x:v>
      </x:c>
      <x:c r="F182" s="84" t="str">
        <x:v>Hairy Sandmat</x:v>
      </x:c>
      <x:c r="G182" s="119" t="str">
        <x:v>Usually upright/ascending with obvious long soft hairs and small ovate leaves.</x:v>
      </x:c>
      <x:c r="H182" s="119" t="str">
        <x:v>Usually erect to ascending; rarely prostrate/decumbent; about 10–30 cm; Papillate and usually villous — long, soft hairs; rarely glabrous; leaves Ovate, Entire or finely serrulate; Ovary and capsule glabrous; seed Smooth, faintly wrinkled, or with inconspicuous transverse ridges.</x:v>
      </x:c>
      <x:c r="I182" s="119" t="str">
        <x:v>Euphorbia angusta; Euphorbia fendleri; Euphorbia nutans; Euphorbia prostrata; Euphorbia serpens</x:v>
      </x:c>
      <x:c r="J182" s="119" t="str">
        <x:v>Confirm villous vegetative parts but a glabrous capsule; compare the ovate leaves against E. angusta's very narrow upper leaves.</x:v>
      </x:c>
      <x:c r="K182" s="119" t="str">
        <x:v>Whole posture; long soft hairs on stem/leaf; leaf shape; glabrous capsule; cyathium.</x:v>
      </x:c>
      <x:c r="L182" s="119" t="str">
        <x:v>Riparian, juniper, and pine-oak woodlands, mostly on limestone; early spring–early winter.</x:v>
      </x:c>
      <x:c r="M182" s="119" t="str">
        <x:v>https://floranorthamerica.org/Euphorbia_villifera
https://www.efloras.org/florataxon.aspx?flora_id=1&amp;taxon_id=242321553</x:v>
      </x:c>
      <x:c r="N182" s="115" t="str">
        <x:v>Ready for Review</x:v>
      </x:c>
      <x:c r="O182" s="115" t="str">
        <x:v>Main chat — EUPH-C04 sandmat pilot</x:v>
      </x:c>
      <x:c r="P182" s="119" t="str">
        <x:v>High first-pass with fruit. Detailed matrix and all 15 pair comparisons completed; local-photo or specimen review still required.</x:v>
      </x:c>
      <x:c r="Q182" s="116" t="n">
        <x:v>46231.708333333336</x:v>
      </x:c>
    </x:row>
    <x:row r="183" ht="20" customHeight="1">
      <x:c r="A183" s="83" t="str">
        <x:v>HAYS-0182</x:v>
      </x:c>
      <x:c r="B183" s="87" t="str">
        <x:v>Chaptalia texana</x:v>
      </x:c>
      <x:c r="C183" s="87" t="str">
        <x:v>Chaptalia texana</x:v>
      </x:c>
      <x:c r="D183" s="84" t="str">
        <x:v>Asteraceae</x:v>
      </x:c>
      <x:c r="E183" s="84" t="str">
        <x:v>Chaptalia</x:v>
      </x:c>
      <x:c r="F183" s="84" t="str">
        <x:v>Texas Silverpuff, Silverpuff, Nodding Lettuce, Silver Puff</x:v>
      </x:c>
      <x:c r="G183" s="119"/>
      <x:c r="H183" s="119"/>
      <x:c r="I183" s="119"/>
      <x:c r="J183" s="119"/>
      <x:c r="K183" s="119"/>
      <x:c r="L183" s="119"/>
      <x:c r="M183" s="119"/>
      <x:c r="N183" s="115" t="str">
        <x:v>Not Started</x:v>
      </x:c>
      <x:c r="O183" s="115"/>
      <x:c r="P183" s="119"/>
      <x:c r="Q183" s="116"/>
    </x:row>
    <x:row r="184" ht="20" customHeight="1">
      <x:c r="A184" s="83" t="str">
        <x:v>HAYS-0183</x:v>
      </x:c>
      <x:c r="B184" s="87" t="str">
        <x:v>Chasmanthium latifolium</x:v>
      </x:c>
      <x:c r="C184" s="87" t="str">
        <x:v>Chasmanthium latifolium</x:v>
      </x:c>
      <x:c r="D184" s="84" t="str">
        <x:v>Poaceae</x:v>
      </x:c>
      <x:c r="E184" s="84" t="str">
        <x:v>Chasmanthium</x:v>
      </x:c>
      <x:c r="F184" s="84" t="str">
        <x:v>Inland Sea Oats, Indian Wood Oats, Wild Oats, River Oats, Flathead Oats, Upland Oats, Upland Sea Oats</x:v>
      </x:c>
      <x:c r="G184" s="119"/>
      <x:c r="H184" s="119"/>
      <x:c r="I184" s="119"/>
      <x:c r="J184" s="119"/>
      <x:c r="K184" s="119"/>
      <x:c r="L184" s="119"/>
      <x:c r="M184" s="119"/>
      <x:c r="N184" s="115" t="str">
        <x:v>Not Started</x:v>
      </x:c>
      <x:c r="O184" s="115"/>
      <x:c r="P184" s="119"/>
      <x:c r="Q184" s="116"/>
    </x:row>
    <x:row r="185" ht="20" customHeight="1">
      <x:c r="A185" s="83" t="str">
        <x:v>HAYS-0184</x:v>
      </x:c>
      <x:c r="B185" s="87" t="str">
        <x:v>Cheilanthes horridula</x:v>
      </x:c>
      <x:c r="C185" s="87" t="str">
        <x:v>Hemionitis aspera</x:v>
      </x:c>
      <x:c r="D185" s="84" t="str">
        <x:v>Pteridaceae</x:v>
      </x:c>
      <x:c r="E185" s="84" t="str">
        <x:v>Hemionitis</x:v>
      </x:c>
      <x:c r="F185" s="84" t="str">
        <x:v>Rough Lipfern</x:v>
      </x:c>
      <x:c r="G185" s="119"/>
      <x:c r="H185" s="119"/>
      <x:c r="I185" s="119"/>
      <x:c r="J185" s="119"/>
      <x:c r="K185" s="119"/>
      <x:c r="L185" s="119"/>
      <x:c r="M185" s="119"/>
      <x:c r="N185" s="115" t="str">
        <x:v>Not Started</x:v>
      </x:c>
      <x:c r="O185" s="115"/>
      <x:c r="P185" s="119"/>
      <x:c r="Q185" s="116"/>
    </x:row>
    <x:row r="186" ht="20" customHeight="1">
      <x:c r="A186" s="83" t="str">
        <x:v>HAYS-0185</x:v>
      </x:c>
      <x:c r="B186" s="87" t="str">
        <x:v>Chilopsis linearis</x:v>
      </x:c>
      <x:c r="C186" s="87" t="str">
        <x:v>Chilopsis linearis</x:v>
      </x:c>
      <x:c r="D186" s="84" t="str">
        <x:v>Bignoniaceae</x:v>
      </x:c>
      <x:c r="E186" s="84" t="str">
        <x:v>Chilopsis</x:v>
      </x:c>
      <x:c r="F186" s="84" t="str">
        <x:v>Desert Willow, Flowering Willow, Willow-leaved Catalpa, Willowleaf Catalpa, Bow Willow, Flor De Mimbre, Mimbre</x:v>
      </x:c>
      <x:c r="G186" s="119"/>
      <x:c r="H186" s="119"/>
      <x:c r="I186" s="119"/>
      <x:c r="J186" s="119"/>
      <x:c r="K186" s="119"/>
      <x:c r="L186" s="119"/>
      <x:c r="M186" s="119"/>
      <x:c r="N186" s="115" t="str">
        <x:v>Not Started</x:v>
      </x:c>
      <x:c r="O186" s="115"/>
      <x:c r="P186" s="119"/>
      <x:c r="Q186" s="116"/>
    </x:row>
    <x:row r="187" ht="20" customHeight="1">
      <x:c r="A187" s="83" t="str">
        <x:v>HAYS-0186</x:v>
      </x:c>
      <x:c r="B187" s="87" t="str">
        <x:v>Chloracantha spinosa</x:v>
      </x:c>
      <x:c r="C187" s="87" t="str">
        <x:v>Chloracantha spinosa</x:v>
      </x:c>
      <x:c r="D187" s="84" t="str">
        <x:v>Asteraceae</x:v>
      </x:c>
      <x:c r="E187" s="84" t="str">
        <x:v>Chloracantha</x:v>
      </x:c>
      <x:c r="F187" s="84" t="str">
        <x:v>Spiny Chloracantha, Mexican Devil-weed</x:v>
      </x:c>
      <x:c r="G187" s="119"/>
      <x:c r="H187" s="119"/>
      <x:c r="I187" s="119"/>
      <x:c r="J187" s="119"/>
      <x:c r="K187" s="119"/>
      <x:c r="L187" s="119"/>
      <x:c r="M187" s="119"/>
      <x:c r="N187" s="115" t="str">
        <x:v>Not Started</x:v>
      </x:c>
      <x:c r="O187" s="115"/>
      <x:c r="P187" s="119"/>
      <x:c r="Q187" s="116"/>
    </x:row>
    <x:row r="188" ht="20" customHeight="1">
      <x:c r="A188" s="83" t="str">
        <x:v>HAYS-0187</x:v>
      </x:c>
      <x:c r="B188" s="87" t="str">
        <x:v>Chloris andropogonoides</x:v>
      </x:c>
      <x:c r="C188" s="87" t="str">
        <x:v>Chloris andropogonoides</x:v>
      </x:c>
      <x:c r="D188" s="84" t="str">
        <x:v>Poaceae</x:v>
      </x:c>
      <x:c r="E188" s="84" t="str">
        <x:v>Chloris</x:v>
      </x:c>
      <x:c r="F188" s="84" t="str">
        <x:v>Slimspike Windmill Grass</x:v>
      </x:c>
      <x:c r="G188" s="119"/>
      <x:c r="H188" s="119"/>
      <x:c r="I188" s="119"/>
      <x:c r="J188" s="119"/>
      <x:c r="K188" s="119"/>
      <x:c r="L188" s="119"/>
      <x:c r="M188" s="119"/>
      <x:c r="N188" s="115" t="str">
        <x:v>Not Started</x:v>
      </x:c>
      <x:c r="O188" s="115"/>
      <x:c r="P188" s="119"/>
      <x:c r="Q188" s="116"/>
    </x:row>
    <x:row r="189" ht="20" customHeight="1">
      <x:c r="A189" s="83" t="str">
        <x:v>HAYS-0188</x:v>
      </x:c>
      <x:c r="B189" s="87" t="str">
        <x:v>Chloris cucullata</x:v>
      </x:c>
      <x:c r="C189" s="87" t="str">
        <x:v>Chloris cucullata</x:v>
      </x:c>
      <x:c r="D189" s="84" t="str">
        <x:v>Poaceae</x:v>
      </x:c>
      <x:c r="E189" s="84" t="str">
        <x:v>Chloris</x:v>
      </x:c>
      <x:c r="F189" s="84" t="str">
        <x:v>Hooded Windmill Grass, Hooded Windmillgrass</x:v>
      </x:c>
      <x:c r="G189" s="119"/>
      <x:c r="H189" s="119"/>
      <x:c r="I189" s="119"/>
      <x:c r="J189" s="119"/>
      <x:c r="K189" s="119"/>
      <x:c r="L189" s="119"/>
      <x:c r="M189" s="119"/>
      <x:c r="N189" s="115" t="str">
        <x:v>Not Started</x:v>
      </x:c>
      <x:c r="O189" s="115"/>
      <x:c r="P189" s="119"/>
      <x:c r="Q189" s="116"/>
    </x:row>
    <x:row r="190" ht="20" customHeight="1">
      <x:c r="A190" s="83" t="str">
        <x:v>HAYS-0189</x:v>
      </x:c>
      <x:c r="B190" s="87" t="str">
        <x:v>Chloris verticillata</x:v>
      </x:c>
      <x:c r="C190" s="87" t="str">
        <x:v>Chloris verticillata</x:v>
      </x:c>
      <x:c r="D190" s="84" t="str">
        <x:v>Poaceae</x:v>
      </x:c>
      <x:c r="E190" s="84" t="str">
        <x:v>Chloris</x:v>
      </x:c>
      <x:c r="F190" s="84" t="str">
        <x:v>Tumble Windmill Grass, Windmillgrass</x:v>
      </x:c>
      <x:c r="G190" s="119"/>
      <x:c r="H190" s="119"/>
      <x:c r="I190" s="119"/>
      <x:c r="J190" s="119"/>
      <x:c r="K190" s="119"/>
      <x:c r="L190" s="119"/>
      <x:c r="M190" s="119"/>
      <x:c r="N190" s="115" t="str">
        <x:v>Not Started</x:v>
      </x:c>
      <x:c r="O190" s="115"/>
      <x:c r="P190" s="119"/>
      <x:c r="Q190" s="116"/>
    </x:row>
    <x:row r="191" ht="20" customHeight="1">
      <x:c r="A191" s="83" t="str">
        <x:v>HAYS-0190</x:v>
      </x:c>
      <x:c r="B191" s="87" t="str">
        <x:v>Chloris ×subdolichostachya</x:v>
      </x:c>
      <x:c r="C191" s="87"/>
      <x:c r="D191" s="84" t="str">
        <x:v>[Taxonomy unresolved]</x:v>
      </x:c>
      <x:c r="E191" s="84" t="str">
        <x:v>Chloris</x:v>
      </x:c>
      <x:c r="F191" s="84" t="str">
        <x:v>Shortspike Windmillgrass</x:v>
      </x:c>
      <x:c r="G191" s="119"/>
      <x:c r="H191" s="119"/>
      <x:c r="I191" s="119"/>
      <x:c r="J191" s="119"/>
      <x:c r="K191" s="119"/>
      <x:c r="L191" s="119"/>
      <x:c r="M191" s="119"/>
      <x:c r="N191" s="115" t="str">
        <x:v>Not Started</x:v>
      </x:c>
      <x:c r="O191" s="115"/>
      <x:c r="P191" s="119"/>
      <x:c r="Q191" s="116"/>
    </x:row>
    <x:row r="192" ht="20" customHeight="1">
      <x:c r="A192" s="83" t="str">
        <x:v>HAYS-0191</x:v>
      </x:c>
      <x:c r="B192" s="87" t="str">
        <x:v>Chrysactinia mexicana</x:v>
      </x:c>
      <x:c r="C192" s="87" t="str">
        <x:v>Chrysactinia mexicana</x:v>
      </x:c>
      <x:c r="D192" s="84" t="str">
        <x:v>Asteraceae</x:v>
      </x:c>
      <x:c r="E192" s="84" t="str">
        <x:v>Chrysactinia</x:v>
      </x:c>
      <x:c r="F192" s="84" t="str">
        <x:v>Damianita</x:v>
      </x:c>
      <x:c r="G192" s="119"/>
      <x:c r="H192" s="119"/>
      <x:c r="I192" s="119"/>
      <x:c r="J192" s="119"/>
      <x:c r="K192" s="119"/>
      <x:c r="L192" s="119"/>
      <x:c r="M192" s="119"/>
      <x:c r="N192" s="115" t="str">
        <x:v>Not Started</x:v>
      </x:c>
      <x:c r="O192" s="115"/>
      <x:c r="P192" s="119"/>
      <x:c r="Q192" s="116"/>
    </x:row>
    <x:row r="193" ht="20" customHeight="1">
      <x:c r="A193" s="83" t="str">
        <x:v>HAYS-0192</x:v>
      </x:c>
      <x:c r="B193" s="87" t="str">
        <x:v>Chrysopsis texana</x:v>
      </x:c>
      <x:c r="C193" s="87" t="str">
        <x:v>Bradburia hirtella</x:v>
      </x:c>
      <x:c r="D193" s="84" t="str">
        <x:v>Asteraceae</x:v>
      </x:c>
      <x:c r="E193" s="84" t="str">
        <x:v>Bradburia</x:v>
      </x:c>
      <x:c r="F193" s="84" t="str">
        <x:v>Texas Chrysopsis</x:v>
      </x:c>
      <x:c r="G193" s="119"/>
      <x:c r="H193" s="119"/>
      <x:c r="I193" s="119"/>
      <x:c r="J193" s="119"/>
      <x:c r="K193" s="119"/>
      <x:c r="L193" s="119"/>
      <x:c r="M193" s="119"/>
      <x:c r="N193" s="115" t="str">
        <x:v>Not Started</x:v>
      </x:c>
      <x:c r="O193" s="115"/>
      <x:c r="P193" s="119"/>
      <x:c r="Q193" s="116"/>
    </x:row>
    <x:row r="194" ht="20" customHeight="1">
      <x:c r="A194" s="83" t="str">
        <x:v>HAYS-0193</x:v>
      </x:c>
      <x:c r="B194" s="87" t="str">
        <x:v>Cirsium ochrocentrum</x:v>
      </x:c>
      <x:c r="C194" s="87" t="str">
        <x:v>Cirsium ochrocentrum</x:v>
      </x:c>
      <x:c r="D194" s="84" t="str">
        <x:v>Asteraceae</x:v>
      </x:c>
      <x:c r="E194" s="84" t="str">
        <x:v>Cirsium</x:v>
      </x:c>
      <x:c r="F194" s="84" t="str">
        <x:v>Yellowspine Thistle</x:v>
      </x:c>
      <x:c r="G194" s="119"/>
      <x:c r="H194" s="119"/>
      <x:c r="I194" s="119"/>
      <x:c r="J194" s="119"/>
      <x:c r="K194" s="119"/>
      <x:c r="L194" s="119"/>
      <x:c r="M194" s="119"/>
      <x:c r="N194" s="115" t="str">
        <x:v>Not Started</x:v>
      </x:c>
      <x:c r="O194" s="115"/>
      <x:c r="P194" s="119"/>
      <x:c r="Q194" s="116"/>
    </x:row>
    <x:row r="195" ht="20" customHeight="1">
      <x:c r="A195" s="83" t="str">
        <x:v>HAYS-0194</x:v>
      </x:c>
      <x:c r="B195" s="87" t="str">
        <x:v>Cirsium texanum</x:v>
      </x:c>
      <x:c r="C195" s="87" t="str">
        <x:v>Cirsium texanum</x:v>
      </x:c>
      <x:c r="D195" s="84" t="str">
        <x:v>Asteraceae</x:v>
      </x:c>
      <x:c r="E195" s="84" t="str">
        <x:v>Cirsium</x:v>
      </x:c>
      <x:c r="F195" s="84" t="str">
        <x:v>Texas Thistle, Purple Thistle</x:v>
      </x:c>
      <x:c r="G195" s="119"/>
      <x:c r="H195" s="119"/>
      <x:c r="I195" s="119"/>
      <x:c r="J195" s="119"/>
      <x:c r="K195" s="119"/>
      <x:c r="L195" s="119"/>
      <x:c r="M195" s="119"/>
      <x:c r="N195" s="115" t="str">
        <x:v>Not Started</x:v>
      </x:c>
      <x:c r="O195" s="115"/>
      <x:c r="P195" s="119"/>
      <x:c r="Q195" s="116"/>
    </x:row>
    <x:row r="196" ht="20" customHeight="1">
      <x:c r="A196" s="83" t="str">
        <x:v>HAYS-0195</x:v>
      </x:c>
      <x:c r="B196" s="87" t="str">
        <x:v>Cissus trifoliata</x:v>
      </x:c>
      <x:c r="C196" s="87" t="str">
        <x:v>Cissus trifoliata</x:v>
      </x:c>
      <x:c r="D196" s="84" t="str">
        <x:v>Vitaceae</x:v>
      </x:c>
      <x:c r="E196" s="84" t="str">
        <x:v>Cissus</x:v>
      </x:c>
      <x:c r="F196" s="84" t="str">
        <x:v>Cow-itch Vine, Cow Itch Vine, Sorrelvine, Grape Ivy, Possum Grape, Arizona Grape Ivy</x:v>
      </x:c>
      <x:c r="G196" s="119"/>
      <x:c r="H196" s="119"/>
      <x:c r="I196" s="119"/>
      <x:c r="J196" s="119"/>
      <x:c r="K196" s="119"/>
      <x:c r="L196" s="119"/>
      <x:c r="M196" s="119"/>
      <x:c r="N196" s="115" t="str">
        <x:v>Not Started</x:v>
      </x:c>
      <x:c r="O196" s="115"/>
      <x:c r="P196" s="119"/>
      <x:c r="Q196" s="116"/>
    </x:row>
    <x:row r="197" ht="20" customHeight="1">
      <x:c r="A197" s="83" t="str">
        <x:v>HAYS-0196</x:v>
      </x:c>
      <x:c r="B197" s="87" t="str">
        <x:v>Cladium mariscus ssp. jamaicense</x:v>
      </x:c>
      <x:c r="C197" s="87" t="str">
        <x:v>Cladium mariscus subsp. jamaicense</x:v>
      </x:c>
      <x:c r="D197" s="84" t="str">
        <x:v>Cyperaceae</x:v>
      </x:c>
      <x:c r="E197" s="84" t="str">
        <x:v>Cladium</x:v>
      </x:c>
      <x:c r="F197" s="84" t="str">
        <x:v>Jamaica Swamp Sawgrass, Jamaican Saw-grass, Saw-grass</x:v>
      </x:c>
      <x:c r="G197" s="119"/>
      <x:c r="H197" s="119"/>
      <x:c r="I197" s="119"/>
      <x:c r="J197" s="119"/>
      <x:c r="K197" s="119"/>
      <x:c r="L197" s="119"/>
      <x:c r="M197" s="119"/>
      <x:c r="N197" s="115" t="str">
        <x:v>Not Started</x:v>
      </x:c>
      <x:c r="O197" s="115"/>
      <x:c r="P197" s="119"/>
      <x:c r="Q197" s="116"/>
    </x:row>
    <x:row r="198" ht="20" customHeight="1">
      <x:c r="A198" s="83" t="str">
        <x:v>HAYS-0197</x:v>
      </x:c>
      <x:c r="B198" s="87" t="str">
        <x:v>Clematis drummondii</x:v>
      </x:c>
      <x:c r="C198" s="87" t="str">
        <x:v>Clematis drummondii</x:v>
      </x:c>
      <x:c r="D198" s="84" t="str">
        <x:v>Ranunculaceae</x:v>
      </x:c>
      <x:c r="E198" s="84" t="str">
        <x:v>Clematis</x:v>
      </x:c>
      <x:c r="F198" s="84" t="str">
        <x:v>Old Man's Beard</x:v>
      </x:c>
      <x:c r="G198" s="119"/>
      <x:c r="H198" s="119"/>
      <x:c r="I198" s="119"/>
      <x:c r="J198" s="119"/>
      <x:c r="K198" s="119"/>
      <x:c r="L198" s="119"/>
      <x:c r="M198" s="119"/>
      <x:c r="N198" s="115" t="str">
        <x:v>Not Started</x:v>
      </x:c>
      <x:c r="O198" s="115"/>
      <x:c r="P198" s="119"/>
      <x:c r="Q198" s="116"/>
    </x:row>
    <x:row r="199" ht="20" customHeight="1">
      <x:c r="A199" s="83" t="str">
        <x:v>HAYS-0198</x:v>
      </x:c>
      <x:c r="B199" s="87" t="str">
        <x:v>Clematis pitcheri</x:v>
      </x:c>
      <x:c r="C199" s="87" t="str">
        <x:v>Clematis pitcheri</x:v>
      </x:c>
      <x:c r="D199" s="84" t="str">
        <x:v>Ranunculaceae</x:v>
      </x:c>
      <x:c r="E199" s="84" t="str">
        <x:v>Clematis</x:v>
      </x:c>
      <x:c r="F199" s="84" t="str">
        <x:v>Purple Leatherflower, Purple Clematis, Leatherflower, Bluebill, Bellflower Clematis, Pitcher's Clematis</x:v>
      </x:c>
      <x:c r="G199" s="119"/>
      <x:c r="H199" s="119"/>
      <x:c r="I199" s="119"/>
      <x:c r="J199" s="119"/>
      <x:c r="K199" s="119"/>
      <x:c r="L199" s="119"/>
      <x:c r="M199" s="119"/>
      <x:c r="N199" s="115" t="str">
        <x:v>Not Started</x:v>
      </x:c>
      <x:c r="O199" s="115"/>
      <x:c r="P199" s="119"/>
      <x:c r="Q199" s="116"/>
    </x:row>
    <x:row r="200" ht="20" customHeight="1">
      <x:c r="A200" s="83" t="str">
        <x:v>HAYS-0199</x:v>
      </x:c>
      <x:c r="B200" s="87" t="str">
        <x:v>Clematis reticulata</x:v>
      </x:c>
      <x:c r="C200" s="87" t="str">
        <x:v>Clematis reticulata</x:v>
      </x:c>
      <x:c r="D200" s="84" t="str">
        <x:v>Ranunculaceae</x:v>
      </x:c>
      <x:c r="E200" s="84" t="str">
        <x:v>Clematis</x:v>
      </x:c>
      <x:c r="F200" s="84" t="str">
        <x:v>Netleaf Leather Flower</x:v>
      </x:c>
      <x:c r="G200" s="119"/>
      <x:c r="H200" s="119"/>
      <x:c r="I200" s="119"/>
      <x:c r="J200" s="119"/>
      <x:c r="K200" s="119"/>
      <x:c r="L200" s="119"/>
      <x:c r="M200" s="119"/>
      <x:c r="N200" s="115" t="str">
        <x:v>Not Started</x:v>
      </x:c>
      <x:c r="O200" s="115"/>
      <x:c r="P200" s="119"/>
      <x:c r="Q200" s="116"/>
    </x:row>
    <x:row r="201" ht="20" customHeight="1">
      <x:c r="A201" s="83" t="str">
        <x:v>HAYS-0200</x:v>
      </x:c>
      <x:c r="B201" s="87" t="str">
        <x:v>Clematis texensis</x:v>
      </x:c>
      <x:c r="C201" s="87" t="str">
        <x:v>Clematis texensis</x:v>
      </x:c>
      <x:c r="D201" s="84" t="str">
        <x:v>Ranunculaceae</x:v>
      </x:c>
      <x:c r="E201" s="84" t="str">
        <x:v>Clematis</x:v>
      </x:c>
      <x:c r="F201" s="84" t="str">
        <x:v>Scarlet Clematis, Scarlet Leatherflower, Texas Clematis</x:v>
      </x:c>
      <x:c r="G201" s="119"/>
      <x:c r="H201" s="119"/>
      <x:c r="I201" s="119"/>
      <x:c r="J201" s="119"/>
      <x:c r="K201" s="119"/>
      <x:c r="L201" s="119"/>
      <x:c r="M201" s="119"/>
      <x:c r="N201" s="115" t="str">
        <x:v>Not Started</x:v>
      </x:c>
      <x:c r="O201" s="115"/>
      <x:c r="P201" s="119"/>
      <x:c r="Q201" s="116"/>
    </x:row>
    <x:row r="202" ht="105" customHeight="1">
      <x:c r="A202" s="83" t="str">
        <x:v>HAYS-0201</x:v>
      </x:c>
      <x:c r="B202" s="87" t="str">
        <x:v>Cnidoscolus texanus</x:v>
      </x:c>
      <x:c r="C202" s="87" t="str">
        <x:v>Cnidoscolus texanus</x:v>
      </x:c>
      <x:c r="D202" s="84" t="str">
        <x:v>Euphorbiaceae</x:v>
      </x:c>
      <x:c r="E202" s="84" t="str">
        <x:v>Cnidoscolus</x:v>
      </x:c>
      <x:c r="F202" s="84" t="str">
        <x:v>Texas Bullnettle, Bull Nettle, Tread-softly, Spurge Nettle</x:v>
      </x:c>
      <x:c r="G202" s="119" t="str">
        <x:v>Robust upright bullnettle with obvious white flowers and dense stinging hairs.</x:v>
      </x:c>
      <x:c r="H202" s="119" t="str">
        <x:v>Herb with urticating trichomes (stinging hairs); conspicuous flowers; three-part capsule. Species evidence: The combination of robust habit, conspicuous flowers, and urticating hairs separates it from the much more delicate Tragia in this list.</x:v>
      </x:c>
      <x:c r="I202" s="119" t="str">
        <x:v>Tragia species; true nettles</x:v>
      </x:c>
      <x:c r="J202" s="119" t="str">
        <x:v>The combination of robust habit, conspicuous flowers, and urticating hairs separates it from the much more delicate Tragia in this list.</x:v>
      </x:c>
      <x:c r="K202" s="119" t="str">
        <x:v>Photograph from a safe distance: whole plant, leaf outline, flower face/side, fruit, stinging hairs.</x:v>
      </x:c>
      <x:c r="L202" s="119"/>
      <x:c r="M202" s="119" t="str">
        <x:v>https://fsus.ncbg.unc.edu/main.php?pg=show-taxon-detail.php&amp;taxonid=1020</x:v>
      </x:c>
      <x:c r="N202" s="115" t="str">
        <x:v>In Progress</x:v>
      </x:c>
      <x:c r="O202" s="115" t="str">
        <x:v>Main chat — Euphorbiaceae pilot</x:v>
      </x:c>
      <x:c r="P202" s="119" t="str">
        <x:v>High genus / singleton species. Next: Add safe-distance field photo protocol.</x:v>
      </x:c>
      <x:c r="Q202" s="116" t="str">
        <x:v>2026-07-28</x:v>
      </x:c>
    </x:row>
    <x:row r="203" ht="20" customHeight="1">
      <x:c r="A203" s="83" t="str">
        <x:v>HAYS-0202</x:v>
      </x:c>
      <x:c r="B203" s="87" t="str">
        <x:v>Cocculus carolinus</x:v>
      </x:c>
      <x:c r="C203" s="87" t="str">
        <x:v>Nephroia carolina</x:v>
      </x:c>
      <x:c r="D203" s="84" t="str">
        <x:v>Menispermaceae</x:v>
      </x:c>
      <x:c r="E203" s="84" t="str">
        <x:v>Nephroia</x:v>
      </x:c>
      <x:c r="F203" s="84" t="str">
        <x:v>Carolina Snailseed</x:v>
      </x:c>
      <x:c r="G203" s="119"/>
      <x:c r="H203" s="119"/>
      <x:c r="I203" s="119"/>
      <x:c r="J203" s="119"/>
      <x:c r="K203" s="119"/>
      <x:c r="L203" s="119"/>
      <x:c r="M203" s="119"/>
      <x:c r="N203" s="115" t="str">
        <x:v>Not Started</x:v>
      </x:c>
      <x:c r="O203" s="115"/>
      <x:c r="P203" s="119"/>
      <x:c r="Q203" s="116"/>
    </x:row>
    <x:row r="204" ht="20" customHeight="1">
      <x:c r="A204" s="83" t="str">
        <x:v>HAYS-0203</x:v>
      </x:c>
      <x:c r="B204" s="87" t="str">
        <x:v>Colubrina texensis</x:v>
      </x:c>
      <x:c r="C204" s="87" t="str">
        <x:v>Colubrina texensis</x:v>
      </x:c>
      <x:c r="D204" s="84" t="str">
        <x:v>Rhamnaceae</x:v>
      </x:c>
      <x:c r="E204" s="84" t="str">
        <x:v>Colubrina</x:v>
      </x:c>
      <x:c r="F204" s="84" t="str">
        <x:v>Texas Hogplum</x:v>
      </x:c>
      <x:c r="G204" s="119"/>
      <x:c r="H204" s="119"/>
      <x:c r="I204" s="119"/>
      <x:c r="J204" s="119"/>
      <x:c r="K204" s="119"/>
      <x:c r="L204" s="119"/>
      <x:c r="M204" s="119"/>
      <x:c r="N204" s="115" t="str">
        <x:v>Not Started</x:v>
      </x:c>
      <x:c r="O204" s="115"/>
      <x:c r="P204" s="119"/>
      <x:c r="Q204" s="116"/>
    </x:row>
    <x:row r="205" ht="20" customHeight="1">
      <x:c r="A205" s="83" t="str">
        <x:v>HAYS-0204</x:v>
      </x:c>
      <x:c r="B205" s="87" t="str">
        <x:v>Commelina erecta</x:v>
      </x:c>
      <x:c r="C205" s="87" t="str">
        <x:v>Commelina erecta</x:v>
      </x:c>
      <x:c r="D205" s="84" t="str">
        <x:v>Commelinaceae</x:v>
      </x:c>
      <x:c r="E205" s="84" t="str">
        <x:v>Commelina</x:v>
      </x:c>
      <x:c r="F205" s="84" t="str">
        <x:v>Dayflower, Widow's Tears, White-mouth Dayflower, Whitemouth Dayflower</x:v>
      </x:c>
      <x:c r="G205" s="119"/>
      <x:c r="H205" s="119"/>
      <x:c r="I205" s="119"/>
      <x:c r="J205" s="119"/>
      <x:c r="K205" s="119"/>
      <x:c r="L205" s="119"/>
      <x:c r="M205" s="119"/>
      <x:c r="N205" s="115" t="str">
        <x:v>Not Started</x:v>
      </x:c>
      <x:c r="O205" s="115"/>
      <x:c r="P205" s="119"/>
      <x:c r="Q205" s="116"/>
    </x:row>
    <x:row r="206" ht="20" customHeight="1">
      <x:c r="A206" s="83" t="str">
        <x:v>HAYS-0205</x:v>
      </x:c>
      <x:c r="B206" s="87" t="str">
        <x:v>Commelina erecta var. angustifolia</x:v>
      </x:c>
      <x:c r="C206" s="87" t="str">
        <x:v>Commelina erecta subsp. erecta</x:v>
      </x:c>
      <x:c r="D206" s="84" t="str">
        <x:v>Commelinaceae</x:v>
      </x:c>
      <x:c r="E206" s="84" t="str">
        <x:v>Commelina</x:v>
      </x:c>
      <x:c r="F206" s="84" t="str">
        <x:v>Whitemouth Dayflower, Narrow-leaf Dayflower, Widow's Tears</x:v>
      </x:c>
      <x:c r="G206" s="119"/>
      <x:c r="H206" s="119"/>
      <x:c r="I206" s="119"/>
      <x:c r="J206" s="119"/>
      <x:c r="K206" s="119"/>
      <x:c r="L206" s="119"/>
      <x:c r="M206" s="119"/>
      <x:c r="N206" s="115" t="str">
        <x:v>Not Started</x:v>
      </x:c>
      <x:c r="O206" s="115"/>
      <x:c r="P206" s="119"/>
      <x:c r="Q206" s="116"/>
    </x:row>
    <x:row r="207" ht="20" customHeight="1">
      <x:c r="A207" s="83" t="str">
        <x:v>HAYS-0206</x:v>
      </x:c>
      <x:c r="B207" s="87" t="str">
        <x:v>Commelina erecta var. deamiana</x:v>
      </x:c>
      <x:c r="C207" s="87" t="str">
        <x:v>Commelina erecta subsp. erecta</x:v>
      </x:c>
      <x:c r="D207" s="84" t="str">
        <x:v>Commelinaceae</x:v>
      </x:c>
      <x:c r="E207" s="84" t="str">
        <x:v>Commelina</x:v>
      </x:c>
      <x:c r="F207" s="84" t="str">
        <x:v>Whitemouth Dayflower, Erect Dayflower, Narrowleaved Dayflower, Widow's Tears</x:v>
      </x:c>
      <x:c r="G207" s="119"/>
      <x:c r="H207" s="119"/>
      <x:c r="I207" s="119"/>
      <x:c r="J207" s="119"/>
      <x:c r="K207" s="119"/>
      <x:c r="L207" s="119"/>
      <x:c r="M207" s="119"/>
      <x:c r="N207" s="115" t="str">
        <x:v>Not Started</x:v>
      </x:c>
      <x:c r="O207" s="115"/>
      <x:c r="P207" s="119"/>
      <x:c r="Q207" s="116"/>
    </x:row>
    <x:row r="208" ht="20" customHeight="1">
      <x:c r="A208" s="83" t="str">
        <x:v>HAYS-0207</x:v>
      </x:c>
      <x:c r="B208" s="87" t="str">
        <x:v>Commelina erecta var. erecta</x:v>
      </x:c>
      <x:c r="C208" s="87"/>
      <x:c r="D208" s="84" t="str">
        <x:v>[Taxonomy unresolved]</x:v>
      </x:c>
      <x:c r="E208" s="84" t="str">
        <x:v>Commelina</x:v>
      </x:c>
      <x:c r="F208" s="84" t="str">
        <x:v>Whitemouth Dayflower, Day Flower, Widow's Tears</x:v>
      </x:c>
      <x:c r="G208" s="119"/>
      <x:c r="H208" s="119"/>
      <x:c r="I208" s="119"/>
      <x:c r="J208" s="119"/>
      <x:c r="K208" s="119"/>
      <x:c r="L208" s="119"/>
      <x:c r="M208" s="119"/>
      <x:c r="N208" s="115" t="str">
        <x:v>Not Started</x:v>
      </x:c>
      <x:c r="O208" s="115"/>
      <x:c r="P208" s="119"/>
      <x:c r="Q208" s="116"/>
    </x:row>
    <x:row r="209" ht="20" customHeight="1">
      <x:c r="A209" s="83" t="str">
        <x:v>HAYS-0208</x:v>
      </x:c>
      <x:c r="B209" s="87" t="str">
        <x:v>Condalia hookeri</x:v>
      </x:c>
      <x:c r="C209" s="87" t="str">
        <x:v>Condalia hookeri</x:v>
      </x:c>
      <x:c r="D209" s="84" t="str">
        <x:v>Rhamnaceae</x:v>
      </x:c>
      <x:c r="E209" s="84" t="str">
        <x:v>Condalia</x:v>
      </x:c>
      <x:c r="F209" s="84" t="str">
        <x:v>Brasil</x:v>
      </x:c>
      <x:c r="G209" s="119"/>
      <x:c r="H209" s="119"/>
      <x:c r="I209" s="119"/>
      <x:c r="J209" s="119"/>
      <x:c r="K209" s="119"/>
      <x:c r="L209" s="119"/>
      <x:c r="M209" s="119"/>
      <x:c r="N209" s="115" t="str">
        <x:v>Not Started</x:v>
      </x:c>
      <x:c r="O209" s="115"/>
      <x:c r="P209" s="119"/>
      <x:c r="Q209" s="116"/>
    </x:row>
    <x:row r="210" ht="20" customHeight="1">
      <x:c r="A210" s="83" t="str">
        <x:v>HAYS-0209</x:v>
      </x:c>
      <x:c r="B210" s="87" t="str">
        <x:v>Conoclinium coelestinum</x:v>
      </x:c>
      <x:c r="C210" s="87" t="str">
        <x:v>Conoclinium coelestinum</x:v>
      </x:c>
      <x:c r="D210" s="84" t="str">
        <x:v>Asteraceae</x:v>
      </x:c>
      <x:c r="E210" s="84" t="str">
        <x:v>Conoclinium</x:v>
      </x:c>
      <x:c r="F210" s="84" t="str">
        <x:v>Blue Mistflower, Wild Ageratum, Blue Boneset</x:v>
      </x:c>
      <x:c r="G210" s="119"/>
      <x:c r="H210" s="119"/>
      <x:c r="I210" s="119"/>
      <x:c r="J210" s="119"/>
      <x:c r="K210" s="119"/>
      <x:c r="L210" s="119"/>
      <x:c r="M210" s="119"/>
      <x:c r="N210" s="115" t="str">
        <x:v>Not Started</x:v>
      </x:c>
      <x:c r="O210" s="115"/>
      <x:c r="P210" s="119"/>
      <x:c r="Q210" s="116"/>
    </x:row>
    <x:row r="211" ht="20" customHeight="1">
      <x:c r="A211" s="83" t="str">
        <x:v>HAYS-0210</x:v>
      </x:c>
      <x:c r="B211" s="87" t="str">
        <x:v>Convolvulus equitans</x:v>
      </x:c>
      <x:c r="C211" s="87" t="str">
        <x:v>Convolvulus equitans</x:v>
      </x:c>
      <x:c r="D211" s="84" t="str">
        <x:v>Convolvulaceae</x:v>
      </x:c>
      <x:c r="E211" s="84" t="str">
        <x:v>Convolvulus</x:v>
      </x:c>
      <x:c r="F211" s="84" t="str">
        <x:v>Texas Bindweed, Bindweed</x:v>
      </x:c>
      <x:c r="G211" s="119"/>
      <x:c r="H211" s="119"/>
      <x:c r="I211" s="119"/>
      <x:c r="J211" s="119"/>
      <x:c r="K211" s="119"/>
      <x:c r="L211" s="119"/>
      <x:c r="M211" s="119"/>
      <x:c r="N211" s="115" t="str">
        <x:v>Not Started</x:v>
      </x:c>
      <x:c r="O211" s="115"/>
      <x:c r="P211" s="119"/>
      <x:c r="Q211" s="116"/>
    </x:row>
    <x:row r="212" ht="20" customHeight="1">
      <x:c r="A212" s="83" t="str">
        <x:v>HAYS-0211</x:v>
      </x:c>
      <x:c r="B212" s="87" t="str">
        <x:v>Conyza canadensis</x:v>
      </x:c>
      <x:c r="C212" s="87" t="str">
        <x:v>Erigeron canadensis</x:v>
      </x:c>
      <x:c r="D212" s="84" t="str">
        <x:v>Asteraceae</x:v>
      </x:c>
      <x:c r="E212" s="84" t="str">
        <x:v>Erigeron</x:v>
      </x:c>
      <x:c r="F212" s="84" t="str">
        <x:v>Horseweed, Canadian Horseweed</x:v>
      </x:c>
      <x:c r="G212" s="119"/>
      <x:c r="H212" s="119"/>
      <x:c r="I212" s="119"/>
      <x:c r="J212" s="119"/>
      <x:c r="K212" s="119"/>
      <x:c r="L212" s="119"/>
      <x:c r="M212" s="119"/>
      <x:c r="N212" s="115" t="str">
        <x:v>Not Started</x:v>
      </x:c>
      <x:c r="O212" s="115"/>
      <x:c r="P212" s="119"/>
      <x:c r="Q212" s="116"/>
    </x:row>
    <x:row r="213" ht="20" customHeight="1">
      <x:c r="A213" s="83" t="str">
        <x:v>HAYS-0212</x:v>
      </x:c>
      <x:c r="B213" s="87" t="str">
        <x:v>Cooperia drummondii</x:v>
      </x:c>
      <x:c r="C213" s="87" t="str">
        <x:v>Zephyranthes chlorosolen</x:v>
      </x:c>
      <x:c r="D213" s="84" t="str">
        <x:v>Amaryllidaceae</x:v>
      </x:c>
      <x:c r="E213" s="84" t="str">
        <x:v>Zephyranthes</x:v>
      </x:c>
      <x:c r="F213" s="84" t="str">
        <x:v>Evening Rain Lily, Evening Star Rain Lily</x:v>
      </x:c>
      <x:c r="G213" s="119"/>
      <x:c r="H213" s="119"/>
      <x:c r="I213" s="119"/>
      <x:c r="J213" s="119"/>
      <x:c r="K213" s="119"/>
      <x:c r="L213" s="119"/>
      <x:c r="M213" s="119"/>
      <x:c r="N213" s="115" t="str">
        <x:v>Not Started</x:v>
      </x:c>
      <x:c r="O213" s="115"/>
      <x:c r="P213" s="119"/>
      <x:c r="Q213" s="116"/>
    </x:row>
    <x:row r="214" ht="20" customHeight="1">
      <x:c r="A214" s="83" t="str">
        <x:v>HAYS-0213</x:v>
      </x:c>
      <x:c r="B214" s="87" t="str">
        <x:v>Cooperia pedunculata</x:v>
      </x:c>
      <x:c r="C214" s="87" t="str">
        <x:v>Zephyranthes drummondii</x:v>
      </x:c>
      <x:c r="D214" s="84" t="str">
        <x:v>Amaryllidaceae</x:v>
      </x:c>
      <x:c r="E214" s="84" t="str">
        <x:v>Zephyranthes</x:v>
      </x:c>
      <x:c r="F214" s="84" t="str">
        <x:v>Hill Country Rain Lily, Prairie Lily, Rain Lily, Flor De Mayo</x:v>
      </x:c>
      <x:c r="G214" s="119"/>
      <x:c r="H214" s="119"/>
      <x:c r="I214" s="119"/>
      <x:c r="J214" s="119"/>
      <x:c r="K214" s="119"/>
      <x:c r="L214" s="119"/>
      <x:c r="M214" s="119"/>
      <x:c r="N214" s="115" t="str">
        <x:v>Not Started</x:v>
      </x:c>
      <x:c r="O214" s="115"/>
      <x:c r="P214" s="119"/>
      <x:c r="Q214" s="116"/>
    </x:row>
    <x:row r="215" ht="20" customHeight="1">
      <x:c r="A215" s="83" t="str">
        <x:v>HAYS-0214</x:v>
      </x:c>
      <x:c r="B215" s="87" t="str">
        <x:v>Corallorhiza wisteriana</x:v>
      </x:c>
      <x:c r="C215" s="87" t="str">
        <x:v>Corallorhiza wisteriana</x:v>
      </x:c>
      <x:c r="D215" s="84" t="str">
        <x:v>Orchidaceae</x:v>
      </x:c>
      <x:c r="E215" s="84" t="str">
        <x:v>Corallorhiza</x:v>
      </x:c>
      <x:c r="F215" s="84" t="str">
        <x:v>Spring Coral-root, Spring Coral Root, Early Southern Coral-root, Wister's Coral-root, Yellow Coral-root, Arousing Coral-root, Spring Coralroot</x:v>
      </x:c>
      <x:c r="G215" s="119"/>
      <x:c r="H215" s="119"/>
      <x:c r="I215" s="119"/>
      <x:c r="J215" s="119"/>
      <x:c r="K215" s="119"/>
      <x:c r="L215" s="119"/>
      <x:c r="M215" s="119"/>
      <x:c r="N215" s="115" t="str">
        <x:v>Not Started</x:v>
      </x:c>
      <x:c r="O215" s="115"/>
      <x:c r="P215" s="119"/>
      <x:c r="Q215" s="116"/>
    </x:row>
    <x:row r="216" ht="20" customHeight="1">
      <x:c r="A216" s="83" t="str">
        <x:v>HAYS-0215</x:v>
      </x:c>
      <x:c r="B216" s="87" t="str">
        <x:v>Coreopsis basalis</x:v>
      </x:c>
      <x:c r="C216" s="87" t="str">
        <x:v>Coreopsis basalis</x:v>
      </x:c>
      <x:c r="D216" s="84" t="str">
        <x:v>Asteraceae</x:v>
      </x:c>
      <x:c r="E216" s="84" t="str">
        <x:v>Coreopsis</x:v>
      </x:c>
      <x:c r="F216" s="84" t="str">
        <x:v>Goldenmane Tickseed, Golden-wave</x:v>
      </x:c>
      <x:c r="G216" s="119"/>
      <x:c r="H216" s="119"/>
      <x:c r="I216" s="119"/>
      <x:c r="J216" s="119"/>
      <x:c r="K216" s="119"/>
      <x:c r="L216" s="119"/>
      <x:c r="M216" s="119"/>
      <x:c r="N216" s="115" t="str">
        <x:v>Not Started</x:v>
      </x:c>
      <x:c r="O216" s="115"/>
      <x:c r="P216" s="119"/>
      <x:c r="Q216" s="116"/>
    </x:row>
    <x:row r="217" ht="20" customHeight="1">
      <x:c r="A217" s="83" t="str">
        <x:v>HAYS-0216</x:v>
      </x:c>
      <x:c r="B217" s="87" t="str">
        <x:v>Coreopsis lanceolata</x:v>
      </x:c>
      <x:c r="C217" s="87" t="str">
        <x:v>Coreopsis lanceolata</x:v>
      </x:c>
      <x:c r="D217" s="84" t="str">
        <x:v>Asteraceae</x:v>
      </x:c>
      <x:c r="E217" s="84" t="str">
        <x:v>Coreopsis</x:v>
      </x:c>
      <x:c r="F217" s="84" t="str">
        <x:v>Lanceleaf Coreopsis, Lance-leaved Coreopsis, Lanceleaf Tickseed, Sand Coreopsis</x:v>
      </x:c>
      <x:c r="G217" s="119"/>
      <x:c r="H217" s="119"/>
      <x:c r="I217" s="119"/>
      <x:c r="J217" s="119"/>
      <x:c r="K217" s="119"/>
      <x:c r="L217" s="119"/>
      <x:c r="M217" s="119"/>
      <x:c r="N217" s="115" t="str">
        <x:v>Not Started</x:v>
      </x:c>
      <x:c r="O217" s="115"/>
      <x:c r="P217" s="119"/>
      <x:c r="Q217" s="116"/>
    </x:row>
    <x:row r="218" ht="20" customHeight="1">
      <x:c r="A218" s="83" t="str">
        <x:v>HAYS-0217</x:v>
      </x:c>
      <x:c r="B218" s="87" t="str">
        <x:v>Coreopsis tinctoria</x:v>
      </x:c>
      <x:c r="C218" s="87" t="str">
        <x:v>Coreopsis tinctoria</x:v>
      </x:c>
      <x:c r="D218" s="84" t="str">
        <x:v>Asteraceae</x:v>
      </x:c>
      <x:c r="E218" s="84" t="str">
        <x:v>Coreopsis</x:v>
      </x:c>
      <x:c r="F218" s="84" t="str">
        <x:v>Plains Coreopsis, Golden Tickseed, Goldenwave, Calliopsis</x:v>
      </x:c>
      <x:c r="G218" s="119"/>
      <x:c r="H218" s="119"/>
      <x:c r="I218" s="119"/>
      <x:c r="J218" s="119"/>
      <x:c r="K218" s="119"/>
      <x:c r="L218" s="119"/>
      <x:c r="M218" s="119"/>
      <x:c r="N218" s="115" t="str">
        <x:v>Not Started</x:v>
      </x:c>
      <x:c r="O218" s="115"/>
      <x:c r="P218" s="119"/>
      <x:c r="Q218" s="116"/>
    </x:row>
    <x:row r="219" ht="20" customHeight="1">
      <x:c r="A219" s="83" t="str">
        <x:v>HAYS-0218</x:v>
      </x:c>
      <x:c r="B219" s="87" t="str">
        <x:v>Coreopsis wrightii</x:v>
      </x:c>
      <x:c r="C219" s="87" t="str">
        <x:v>Coreopsis wrightii</x:v>
      </x:c>
      <x:c r="D219" s="84" t="str">
        <x:v>Asteraceae</x:v>
      </x:c>
      <x:c r="E219" s="84" t="str">
        <x:v>Coreopsis</x:v>
      </x:c>
      <x:c r="F219" s="84" t="str">
        <x:v>Rock Tickseed, Golden-wave</x:v>
      </x:c>
      <x:c r="G219" s="119"/>
      <x:c r="H219" s="119"/>
      <x:c r="I219" s="119"/>
      <x:c r="J219" s="119"/>
      <x:c r="K219" s="119"/>
      <x:c r="L219" s="119"/>
      <x:c r="M219" s="119"/>
      <x:c r="N219" s="115" t="str">
        <x:v>Not Started</x:v>
      </x:c>
      <x:c r="O219" s="115"/>
      <x:c r="P219" s="119"/>
      <x:c r="Q219" s="116"/>
    </x:row>
    <x:row r="220" ht="20" customHeight="1">
      <x:c r="A220" s="83" t="str">
        <x:v>HAYS-0219</x:v>
      </x:c>
      <x:c r="B220" s="87" t="str">
        <x:v>Cornus drummondii</x:v>
      </x:c>
      <x:c r="C220" s="87" t="str">
        <x:v>Cornus drummondii</x:v>
      </x:c>
      <x:c r="D220" s="84" t="str">
        <x:v>Cornaceae</x:v>
      </x:c>
      <x:c r="E220" s="84" t="str">
        <x:v>Cornus</x:v>
      </x:c>
      <x:c r="F220" s="84" t="str">
        <x:v>Roughleaf Dogwood, Drummond's Dogwood, Rough-leaf Dogwood</x:v>
      </x:c>
      <x:c r="G220" s="119"/>
      <x:c r="H220" s="119"/>
      <x:c r="I220" s="119"/>
      <x:c r="J220" s="119"/>
      <x:c r="K220" s="119"/>
      <x:c r="L220" s="119"/>
      <x:c r="M220" s="119"/>
      <x:c r="N220" s="115" t="str">
        <x:v>Not Started</x:v>
      </x:c>
      <x:c r="O220" s="115"/>
      <x:c r="P220" s="119"/>
      <x:c r="Q220" s="116"/>
    </x:row>
    <x:row r="221" ht="20" customHeight="1">
      <x:c r="A221" s="83" t="str">
        <x:v>HAYS-0220</x:v>
      </x:c>
      <x:c r="B221" s="87" t="str">
        <x:v>Corydalis curvisiliqua ssp. curvisiliqua</x:v>
      </x:c>
      <x:c r="C221" s="87" t="str">
        <x:v>Corydalis curvisiliqua subsp. curvisiliqua</x:v>
      </x:c>
      <x:c r="D221" s="84" t="str">
        <x:v>Papaveraceae</x:v>
      </x:c>
      <x:c r="E221" s="84" t="str">
        <x:v>Corydalis</x:v>
      </x:c>
      <x:c r="F221" s="84" t="str">
        <x:v>Curvepod Fumewort</x:v>
      </x:c>
      <x:c r="G221" s="119"/>
      <x:c r="H221" s="119"/>
      <x:c r="I221" s="119"/>
      <x:c r="J221" s="119"/>
      <x:c r="K221" s="119"/>
      <x:c r="L221" s="119"/>
      <x:c r="M221" s="119"/>
      <x:c r="N221" s="115" t="str">
        <x:v>Not Started</x:v>
      </x:c>
      <x:c r="O221" s="115"/>
      <x:c r="P221" s="119"/>
      <x:c r="Q221" s="116"/>
    </x:row>
    <x:row r="222" ht="20" customHeight="1">
      <x:c r="A222" s="83" t="str">
        <x:v>HAYS-0221</x:v>
      </x:c>
      <x:c r="B222" s="87" t="str">
        <x:v>Corydalis micrantha</x:v>
      </x:c>
      <x:c r="C222" s="87" t="str">
        <x:v>Corydalis micrantha</x:v>
      </x:c>
      <x:c r="D222" s="84" t="str">
        <x:v>Papaveraceae</x:v>
      </x:c>
      <x:c r="E222" s="84" t="str">
        <x:v>Corydalis</x:v>
      </x:c>
      <x:c r="F222" s="84" t="str">
        <x:v>Smallflower Fumewort, Southern Corydalis, Golden Corydalis</x:v>
      </x:c>
      <x:c r="G222" s="119"/>
      <x:c r="H222" s="119"/>
      <x:c r="I222" s="119"/>
      <x:c r="J222" s="119"/>
      <x:c r="K222" s="119"/>
      <x:c r="L222" s="119"/>
      <x:c r="M222" s="119"/>
      <x:c r="N222" s="115" t="str">
        <x:v>Not Started</x:v>
      </x:c>
      <x:c r="O222" s="115"/>
      <x:c r="P222" s="119"/>
      <x:c r="Q222" s="116"/>
    </x:row>
    <x:row r="223" ht="20" customHeight="1">
      <x:c r="A223" s="83" t="str">
        <x:v>HAYS-0222</x:v>
      </x:c>
      <x:c r="B223" s="87" t="str">
        <x:v>Coryphantha sulcata</x:v>
      </x:c>
      <x:c r="C223" s="87" t="str">
        <x:v>Coryphantha sulcata</x:v>
      </x:c>
      <x:c r="D223" s="84" t="str">
        <x:v>Cactaceae</x:v>
      </x:c>
      <x:c r="E223" s="84" t="str">
        <x:v>Coryphantha</x:v>
      </x:c>
      <x:c r="F223" s="84" t="str">
        <x:v>Pineapple Cactus, Nipple Cactus</x:v>
      </x:c>
      <x:c r="G223" s="119"/>
      <x:c r="H223" s="119"/>
      <x:c r="I223" s="119"/>
      <x:c r="J223" s="119"/>
      <x:c r="K223" s="119"/>
      <x:c r="L223" s="119"/>
      <x:c r="M223" s="119"/>
      <x:c r="N223" s="115" t="str">
        <x:v>Not Started</x:v>
      </x:c>
      <x:c r="O223" s="115"/>
      <x:c r="P223" s="119"/>
      <x:c r="Q223" s="116"/>
    </x:row>
    <x:row r="224" ht="20" customHeight="1">
      <x:c r="A224" s="83" t="str">
        <x:v>HAYS-0223</x:v>
      </x:c>
      <x:c r="B224" s="87" t="str">
        <x:v>Cotinus obovatus</x:v>
      </x:c>
      <x:c r="C224" s="87" t="str">
        <x:v>Cotinus obovatus</x:v>
      </x:c>
      <x:c r="D224" s="84" t="str">
        <x:v>Anacardiaceae</x:v>
      </x:c>
      <x:c r="E224" s="84" t="str">
        <x:v>Cotinus</x:v>
      </x:c>
      <x:c r="F224" s="84" t="str">
        <x:v>American Smoke Tree, Texas Smoke Tree, Wild Smoke Tree, Smoke Tree, Smokebush, Chittamwood</x:v>
      </x:c>
      <x:c r="G224" s="119"/>
      <x:c r="H224" s="119"/>
      <x:c r="I224" s="119"/>
      <x:c r="J224" s="119"/>
      <x:c r="K224" s="119"/>
      <x:c r="L224" s="119"/>
      <x:c r="M224" s="119"/>
      <x:c r="N224" s="115" t="str">
        <x:v>Not Started</x:v>
      </x:c>
      <x:c r="O224" s="115"/>
      <x:c r="P224" s="119"/>
      <x:c r="Q224" s="116"/>
    </x:row>
    <x:row r="225" ht="105" customHeight="1">
      <x:c r="A225" s="83" t="str">
        <x:v>HAYS-0224</x:v>
      </x:c>
      <x:c r="B225" s="87" t="str">
        <x:v>Croton capitatus</x:v>
      </x:c>
      <x:c r="C225" s="87" t="str">
        <x:v>Croton capitatus</x:v>
      </x:c>
      <x:c r="D225" s="84" t="str">
        <x:v>Euphorbiaceae</x:v>
      </x:c>
      <x:c r="E225" s="84" t="str">
        <x:v>Croton</x:v>
      </x:c>
      <x:c r="F225" s="84" t="str">
        <x:v>Hogwort, Texas Goatweed</x:v>
      </x:c>
      <x:c r="G225" s="119" t="str">
        <x:v>An herbaceous goatweed with relatively large leaves and pistillate sepals that become long and reflexed.</x:v>
      </x:c>
      <x:c r="H225" s="119" t="str">
        <x:v>Stellate or lepidote indumentum; usually alternate simple leaves; unisexual flowers in racemose or spikelike inflorescences; colorless to reddish, not milky-white, latex. Species evidence: Leaves about 3–8(–15) × 1–4 cm; pistillate sepals about 7–10(–15) mm in fruit with tips recurved.</x:v>
      </x:c>
      <x:c r="I225" s="119" t="str">
        <x:v>C. lindheimerianus; C. texensis</x:v>
      </x:c>
      <x:c r="J225" s="119" t="str">
        <x:v>Leaves about 3–8(–15) × 1–4 cm; pistillate sepals about 7–10(–15) mm in fruit with tips recurved.</x:v>
      </x:c>
      <x:c r="K225" s="119" t="str">
        <x:v>Leaf dimensions, pistillate sepals before and during fruit, stellate hairs.</x:v>
      </x:c>
      <x:c r="L225" s="119"/>
      <x:c r="M225" s="119" t="str">
        <x:v>https://floranorthamerica.org/Croton</x:v>
      </x:c>
      <x:c r="N225" s="115" t="str">
        <x:v>In Progress</x:v>
      </x:c>
      <x:c r="O225" s="115" t="str">
        <x:v>Main chat — Euphorbiaceae pilot</x:v>
      </x:c>
      <x:c r="P225" s="119" t="str">
        <x:v>High with fruit. Next: Add sepal posture comparison photographs.</x:v>
      </x:c>
      <x:c r="Q225" s="116" t="str">
        <x:v>2026-07-28</x:v>
      </x:c>
    </x:row>
    <x:row r="226" ht="105" customHeight="1">
      <x:c r="A226" s="83" t="str">
        <x:v>HAYS-0225</x:v>
      </x:c>
      <x:c r="B226" s="87" t="str">
        <x:v>Croton fruticulosus</x:v>
      </x:c>
      <x:c r="C226" s="87" t="str">
        <x:v>Croton fruticulosus</x:v>
      </x:c>
      <x:c r="D226" s="84" t="str">
        <x:v>Euphorbiaceae</x:v>
      </x:c>
      <x:c r="E226" s="84" t="str">
        <x:v>Croton</x:v>
      </x:c>
      <x:c r="F226" s="84" t="str">
        <x:v>Bush Croton, Encinilla, Hierba Loca</x:v>
      </x:c>
      <x:c r="G226" s="119" t="str">
        <x:v>The shrubby Croton in this set, with serrulate, often slightly wavy leaves.</x:v>
      </x:c>
      <x:c r="H226" s="119" t="str">
        <x:v>Stellate or lepidote indumentum; usually alternate simple leaves; unisexual flowers in racemose or spikelike inflorescences; colorless to reddish, not milky-white, latex. Species evidence: Shrub; leaves 2–8 cm, upper surface finely hairy, margins serrulate/often slightly undulate; seeds about 4–5 mm.</x:v>
      </x:c>
      <x:c r="I226" s="119" t="str">
        <x:v>Herbaceous Croton species</x:v>
      </x:c>
      <x:c r="J226" s="119" t="str">
        <x:v>Shrub; leaves 2–8 cm, upper surface finely hairy, margins serrulate/often slightly undulate; seeds about 4–5 mm.</x:v>
      </x:c>
      <x:c r="K226" s="119" t="str">
        <x:v>Woody habit, petiole ratio, upper leaf surface, margin, flower pedicels, seed.</x:v>
      </x:c>
      <x:c r="L226" s="119"/>
      <x:c r="M226" s="119" t="str">
        <x:v>https://floranorthamerica.org/Croton</x:v>
      </x:c>
      <x:c r="N226" s="115" t="str">
        <x:v>In Progress</x:v>
      </x:c>
      <x:c r="O226" s="115" t="str">
        <x:v>Main chat — Euphorbiaceae pilot</x:v>
      </x:c>
      <x:c r="P226" s="119" t="str">
        <x:v>High first-pass. Next: Add a seed-scale photograph.</x:v>
      </x:c>
      <x:c r="Q226" s="116" t="str">
        <x:v>2026-07-28</x:v>
      </x:c>
    </x:row>
    <x:row r="227" ht="105" customHeight="1">
      <x:c r="A227" s="83" t="str">
        <x:v>HAYS-0226</x:v>
      </x:c>
      <x:c r="B227" s="87" t="str">
        <x:v>Croton lindheimerianus</x:v>
      </x:c>
      <x:c r="C227" s="87" t="str">
        <x:v>Croton lindheimerianus</x:v>
      </x:c>
      <x:c r="D227" s="84" t="str">
        <x:v>Euphorbiaceae</x:v>
      </x:c>
      <x:c r="E227" s="84" t="str">
        <x:v>Croton</x:v>
      </x:c>
      <x:c r="F227" s="84" t="str">
        <x:v>Threeseed Croton</x:v>
      </x:c>
      <x:c r="G227" s="119" t="str">
        <x:v>An herbaceous Croton whose female sepals are small and approximately equal.</x:v>
      </x:c>
      <x:c r="H227" s="119" t="str">
        <x:v>Stellate or lepidote indumentum; usually alternate simple leaves; unisexual flowers in racemose or spikelike inflorescences; colorless to reddish, not milky-white, latex. Species evidence: Pistillate sepals approximately equal and about 3 mm; styles 2-fid; herb rather than shrub.</x:v>
      </x:c>
      <x:c r="I227" s="119" t="str">
        <x:v>C. capitatus; C. texensis</x:v>
      </x:c>
      <x:c r="J227" s="119" t="str">
        <x:v>Pistillate sepals approximately equal and about 3 mm; styles 2-fid; herb rather than shrub.</x:v>
      </x:c>
      <x:c r="K227" s="119" t="str">
        <x:v>Pistillate flower/fruit with sepals spread, style branches, habit.</x:v>
      </x:c>
      <x:c r="L227" s="119"/>
      <x:c r="M227" s="119" t="str">
        <x:v>https://floranorthamerica.org/Croton</x:v>
      </x:c>
      <x:c r="N227" s="115" t="str">
        <x:v>In Progress</x:v>
      </x:c>
      <x:c r="O227" s="115" t="str">
        <x:v>Main chat — Euphorbiaceae pilot</x:v>
      </x:c>
      <x:c r="P227" s="119" t="str">
        <x:v>High with flowers. Next: Add a direct sepal comparison with C. capitatus.</x:v>
      </x:c>
      <x:c r="Q227" s="116" t="str">
        <x:v>2026-07-28</x:v>
      </x:c>
    </x:row>
    <x:row r="228" ht="105" customHeight="1">
      <x:c r="A228" s="83" t="str">
        <x:v>HAYS-0227</x:v>
      </x:c>
      <x:c r="B228" s="87" t="str">
        <x:v>Croton monanthogynus</x:v>
      </x:c>
      <x:c r="C228" s="87" t="str">
        <x:v>Croton monanthogynus</x:v>
      </x:c>
      <x:c r="D228" s="84" t="str">
        <x:v>Euphorbiaceae</x:v>
      </x:c>
      <x:c r="E228" s="84" t="str">
        <x:v>Croton</x:v>
      </x:c>
      <x:c r="F228" s="84" t="str">
        <x:v>Prairie Tea, One-seed Croton, Doveweed, Dove Weed, Prairie Goatweed</x:v>
      </x:c>
      <x:c r="G228" s="119" t="str">
        <x:v>Leaf undersides often look brown-dotted because some star hairs have dark centers.</x:v>
      </x:c>
      <x:c r="H228" s="119" t="str">
        <x:v>Stellate or lepidote indumentum; usually alternate simple leaves; unisexual flowers in racemose or spikelike inflorescences; colorless to reddish, not milky-white, latex. Species evidence: Dark-brown-centered stellate hairs beneath the leaf; reproductive unit functionally one-seeded, with two styles and a two-locular ovary but only one fertile locule.</x:v>
      </x:c>
      <x:c r="I228" s="119" t="str">
        <x:v>C. texensis and other small annual Croton</x:v>
      </x:c>
      <x:c r="J228" s="119" t="str">
        <x:v>Dark-brown-centered stellate hairs beneath the leaf; reproductive unit functionally one-seeded, with two styles and a two-locular ovary but only one fertile locule.</x:v>
      </x:c>
      <x:c r="K228" s="119" t="str">
        <x:v>Macro of abaxial stellate hairs, fruit/ovary, styles, seed count.</x:v>
      </x:c>
      <x:c r="L228" s="119"/>
      <x:c r="M228" s="119" t="str">
        <x:v>https://floranorthamerica.org/Croton</x:v>
      </x:c>
      <x:c r="N228" s="115" t="str">
        <x:v>In Progress</x:v>
      </x:c>
      <x:c r="O228" s="115" t="str">
        <x:v>Main chat — Euphorbiaceae pilot</x:v>
      </x:c>
      <x:c r="P228" s="119" t="str">
        <x:v>High with lens and fruit. Next: Photograph the brown-centered hairs at fixed magnification.</x:v>
      </x:c>
      <x:c r="Q228" s="116" t="str">
        <x:v>2026-07-28</x:v>
      </x:c>
    </x:row>
    <x:row r="229" ht="105" customHeight="1">
      <x:c r="A229" s="83" t="str">
        <x:v>HAYS-0228</x:v>
      </x:c>
      <x:c r="B229" s="87" t="str">
        <x:v>Croton texensis</x:v>
      </x:c>
      <x:c r="C229" s="87" t="str">
        <x:v>Croton texensis</x:v>
      </x:c>
      <x:c r="D229" s="84" t="str">
        <x:v>Euphorbiaceae</x:v>
      </x:c>
      <x:c r="E229" s="84" t="str">
        <x:v>Croton</x:v>
      </x:c>
      <x:c r="F229" s="84" t="str">
        <x:v>Texas Croton, Doveweed, Texas Goatweed</x:v>
      </x:c>
      <x:c r="G229" s="119" t="str">
        <x:v>An annual, often grayish from dense appressed star hairs; male and female flowers occur on separate plants.</x:v>
      </x:c>
      <x:c r="H229" s="119" t="str">
        <x:v>Stellate or lepidote indumentum; usually alternate simple leaves; unisexual flowers in racemose or spikelike inflorescences; colorless to reddish, not milky-white, latex. Species evidence: Annual and dioecious; underside densely covered with appressed stellate hairs; capsule about 5–8 mm.</x:v>
      </x:c>
      <x:c r="I229" s="119" t="str">
        <x:v>C. capitatus; C. monanthogynus</x:v>
      </x:c>
      <x:c r="J229" s="119" t="str">
        <x:v>Annual and dioecious; underside densely covered with appressed stellate hairs; capsule about 5–8 mm.</x:v>
      </x:c>
      <x:c r="K229" s="119" t="str">
        <x:v>Whole plants of both sexes, underside hairs, flower sex, capsule size.</x:v>
      </x:c>
      <x:c r="L229" s="119"/>
      <x:c r="M229" s="119" t="str">
        <x:v>https://floranorthamerica.org/Croton</x:v>
      </x:c>
      <x:c r="N229" s="115" t="str">
        <x:v>In Progress</x:v>
      </x:c>
      <x:c r="O229" s="115" t="str">
        <x:v>Main chat — Euphorbiaceae pilot</x:v>
      </x:c>
      <x:c r="P229" s="119" t="str">
        <x:v>High first-pass. Next: Document male and female individuals side by side.</x:v>
      </x:c>
      <x:c r="Q229" s="116" t="str">
        <x:v>2026-07-28</x:v>
      </x:c>
    </x:row>
    <x:row r="230" ht="20" customHeight="1">
      <x:c r="A230" s="83" t="str">
        <x:v>HAYS-0229</x:v>
      </x:c>
      <x:c r="B230" s="87" t="str">
        <x:v>Cryptantha texana</x:v>
      </x:c>
      <x:c r="C230" s="87" t="str">
        <x:v>Cryptantha texana</x:v>
      </x:c>
      <x:c r="D230" s="84" t="str">
        <x:v>Boraginaceae</x:v>
      </x:c>
      <x:c r="E230" s="84" t="str">
        <x:v>Cryptantha</x:v>
      </x:c>
      <x:c r="F230" s="84" t="str">
        <x:v>Pick Me Nots</x:v>
      </x:c>
      <x:c r="G230" s="119"/>
      <x:c r="H230" s="119"/>
      <x:c r="I230" s="119"/>
      <x:c r="J230" s="119"/>
      <x:c r="K230" s="119"/>
      <x:c r="L230" s="119"/>
      <x:c r="M230" s="119"/>
      <x:c r="N230" s="115" t="str">
        <x:v>Not Started</x:v>
      </x:c>
      <x:c r="O230" s="115"/>
      <x:c r="P230" s="119"/>
      <x:c r="Q230" s="116"/>
    </x:row>
    <x:row r="231" ht="20" customHeight="1">
      <x:c r="A231" s="83" t="str">
        <x:v>HAYS-0230</x:v>
      </x:c>
      <x:c r="B231" s="87" t="str">
        <x:v>Cucurbita foetidissima</x:v>
      </x:c>
      <x:c r="C231" s="87" t="str">
        <x:v>Cucurbita foetidissima</x:v>
      </x:c>
      <x:c r="D231" s="84" t="str">
        <x:v>Cucurbitaceae</x:v>
      </x:c>
      <x:c r="E231" s="84" t="str">
        <x:v>Cucurbita</x:v>
      </x:c>
      <x:c r="F231" s="84" t="str">
        <x:v>Stinking Gourd, Buffalo Gourd, Missouri Gourd, Stink Gourd, Wild Gourd</x:v>
      </x:c>
      <x:c r="G231" s="119"/>
      <x:c r="H231" s="119"/>
      <x:c r="I231" s="119"/>
      <x:c r="J231" s="119"/>
      <x:c r="K231" s="119"/>
      <x:c r="L231" s="119"/>
      <x:c r="M231" s="119"/>
      <x:c r="N231" s="115" t="str">
        <x:v>Not Started</x:v>
      </x:c>
      <x:c r="O231" s="115"/>
      <x:c r="P231" s="119"/>
      <x:c r="Q231" s="116"/>
    </x:row>
    <x:row r="232" ht="20" customHeight="1">
      <x:c r="A232" s="83" t="str">
        <x:v>HAYS-0231</x:v>
      </x:c>
      <x:c r="B232" s="87" t="str">
        <x:v>Cuscuta exaltata</x:v>
      </x:c>
      <x:c r="C232" s="87" t="str">
        <x:v>Cuscuta exaltata</x:v>
      </x:c>
      <x:c r="D232" s="84" t="str">
        <x:v>Convolvulaceae</x:v>
      </x:c>
      <x:c r="E232" s="84" t="str">
        <x:v>Cuscuta</x:v>
      </x:c>
      <x:c r="F232" s="84" t="str">
        <x:v>Tree Dodder, Tall Dodder</x:v>
      </x:c>
      <x:c r="G232" s="119"/>
      <x:c r="H232" s="119"/>
      <x:c r="I232" s="119"/>
      <x:c r="J232" s="119"/>
      <x:c r="K232" s="119"/>
      <x:c r="L232" s="119"/>
      <x:c r="M232" s="119"/>
      <x:c r="N232" s="115" t="str">
        <x:v>Not Started</x:v>
      </x:c>
      <x:c r="O232" s="115"/>
      <x:c r="P232" s="119"/>
      <x:c r="Q232" s="116"/>
    </x:row>
    <x:row r="233" ht="20" customHeight="1">
      <x:c r="A233" s="83" t="str">
        <x:v>HAYS-0232</x:v>
      </x:c>
      <x:c r="B233" s="87" t="str">
        <x:v>Cuscuta indecora</x:v>
      </x:c>
      <x:c r="C233" s="87" t="str">
        <x:v>Cuscuta indecora</x:v>
      </x:c>
      <x:c r="D233" s="84" t="str">
        <x:v>Convolvulaceae</x:v>
      </x:c>
      <x:c r="E233" s="84" t="str">
        <x:v>Cuscuta</x:v>
      </x:c>
      <x:c r="F233" s="84" t="str">
        <x:v>Bigseed Alfalfa Dodder, Largeseed Dodder, Pretty Dodder</x:v>
      </x:c>
      <x:c r="G233" s="119"/>
      <x:c r="H233" s="119"/>
      <x:c r="I233" s="119"/>
      <x:c r="J233" s="119"/>
      <x:c r="K233" s="119"/>
      <x:c r="L233" s="119"/>
      <x:c r="M233" s="119"/>
      <x:c r="N233" s="115" t="str">
        <x:v>Not Started</x:v>
      </x:c>
      <x:c r="O233" s="115"/>
      <x:c r="P233" s="119"/>
      <x:c r="Q233" s="116"/>
    </x:row>
    <x:row r="234" ht="20" customHeight="1">
      <x:c r="A234" s="83" t="str">
        <x:v>HAYS-0233</x:v>
      </x:c>
      <x:c r="B234" s="87" t="str">
        <x:v>Cuscuta obtusiflora</x:v>
      </x:c>
      <x:c r="C234" s="87" t="str">
        <x:v>Cuscuta obtusiflora</x:v>
      </x:c>
      <x:c r="D234" s="84" t="str">
        <x:v>Convolvulaceae</x:v>
      </x:c>
      <x:c r="E234" s="84" t="str">
        <x:v>Cuscuta</x:v>
      </x:c>
      <x:c r="F234" s="84" t="str">
        <x:v>Peruvian Dodder</x:v>
      </x:c>
      <x:c r="G234" s="119"/>
      <x:c r="H234" s="119"/>
      <x:c r="I234" s="119"/>
      <x:c r="J234" s="119"/>
      <x:c r="K234" s="119"/>
      <x:c r="L234" s="119"/>
      <x:c r="M234" s="119"/>
      <x:c r="N234" s="115" t="str">
        <x:v>Not Started</x:v>
      </x:c>
      <x:c r="O234" s="115"/>
      <x:c r="P234" s="119"/>
      <x:c r="Q234" s="116"/>
    </x:row>
    <x:row r="235" ht="20" customHeight="1">
      <x:c r="A235" s="83" t="str">
        <x:v>HAYS-0234</x:v>
      </x:c>
      <x:c r="B235" s="87" t="str">
        <x:v>Cuscuta pentagona</x:v>
      </x:c>
      <x:c r="C235" s="87" t="str">
        <x:v>Cuscuta pentagona</x:v>
      </x:c>
      <x:c r="D235" s="84" t="str">
        <x:v>Convolvulaceae</x:v>
      </x:c>
      <x:c r="E235" s="84" t="str">
        <x:v>Cuscuta</x:v>
      </x:c>
      <x:c r="F235" s="84" t="str">
        <x:v>Fiveangled Dodder</x:v>
      </x:c>
      <x:c r="G235" s="119"/>
      <x:c r="H235" s="119"/>
      <x:c r="I235" s="119"/>
      <x:c r="J235" s="119"/>
      <x:c r="K235" s="119"/>
      <x:c r="L235" s="119"/>
      <x:c r="M235" s="119"/>
      <x:c r="N235" s="115" t="str">
        <x:v>Not Started</x:v>
      </x:c>
      <x:c r="O235" s="115"/>
      <x:c r="P235" s="119"/>
      <x:c r="Q235" s="116"/>
    </x:row>
    <x:row r="236" ht="20" customHeight="1">
      <x:c r="A236" s="83" t="str">
        <x:v>HAYS-0235</x:v>
      </x:c>
      <x:c r="B236" s="87" t="str">
        <x:v>Cylindropuntia leptocaulis</x:v>
      </x:c>
      <x:c r="C236" s="87" t="str">
        <x:v>Cylindropuntia leptocaulis</x:v>
      </x:c>
      <x:c r="D236" s="84" t="str">
        <x:v>Cactaceae</x:v>
      </x:c>
      <x:c r="E236" s="84" t="str">
        <x:v>Cylindropuntia</x:v>
      </x:c>
      <x:c r="F236" s="84" t="str">
        <x:v>Tasajillo, Christmas Cactus, Pencil Cactus, Christmas Cholla, Desert Christmas Cactus</x:v>
      </x:c>
      <x:c r="G236" s="119"/>
      <x:c r="H236" s="119"/>
      <x:c r="I236" s="119"/>
      <x:c r="J236" s="119"/>
      <x:c r="K236" s="119"/>
      <x:c r="L236" s="119"/>
      <x:c r="M236" s="119"/>
      <x:c r="N236" s="115" t="str">
        <x:v>Not Started</x:v>
      </x:c>
      <x:c r="O236" s="115"/>
      <x:c r="P236" s="119"/>
      <x:c r="Q236" s="116"/>
    </x:row>
    <x:row r="237" ht="20" customHeight="1">
      <x:c r="A237" s="83" t="str">
        <x:v>HAYS-0236</x:v>
      </x:c>
      <x:c r="B237" s="87" t="str">
        <x:v>Cymopterus macrorhizus</x:v>
      </x:c>
      <x:c r="C237" s="87" t="str">
        <x:v>Vesper macrorhizus</x:v>
      </x:c>
      <x:c r="D237" s="84" t="str">
        <x:v>Apiaceae</x:v>
      </x:c>
      <x:c r="E237" s="84" t="str">
        <x:v>Vesper</x:v>
      </x:c>
      <x:c r="F237" s="84" t="str">
        <x:v>Bigroot Springparsley, Big-root Cymopterus</x:v>
      </x:c>
      <x:c r="G237" s="119"/>
      <x:c r="H237" s="119"/>
      <x:c r="I237" s="119"/>
      <x:c r="J237" s="119"/>
      <x:c r="K237" s="119"/>
      <x:c r="L237" s="119"/>
      <x:c r="M237" s="119"/>
      <x:c r="N237" s="115" t="str">
        <x:v>Not Started</x:v>
      </x:c>
      <x:c r="O237" s="115"/>
      <x:c r="P237" s="119"/>
      <x:c r="Q237" s="116"/>
    </x:row>
    <x:row r="238" ht="20" customHeight="1">
      <x:c r="A238" s="83" t="str">
        <x:v>HAYS-0237</x:v>
      </x:c>
      <x:c r="B238" s="87" t="str">
        <x:v>Cynanchum barbigerum</x:v>
      </x:c>
      <x:c r="C238" s="87" t="str">
        <x:v>Metastelma barbigerum</x:v>
      </x:c>
      <x:c r="D238" s="84" t="str">
        <x:v>Apocynaceae</x:v>
      </x:c>
      <x:c r="E238" s="84" t="str">
        <x:v>Metastelma</x:v>
      </x:c>
      <x:c r="F238" s="84" t="str">
        <x:v>Cynanchum, Bearded Swallow-wort, Thicket Threadvine</x:v>
      </x:c>
      <x:c r="G238" s="119"/>
      <x:c r="H238" s="119"/>
      <x:c r="I238" s="119"/>
      <x:c r="J238" s="119"/>
      <x:c r="K238" s="119"/>
      <x:c r="L238" s="119"/>
      <x:c r="M238" s="119"/>
      <x:c r="N238" s="115" t="str">
        <x:v>Not Started</x:v>
      </x:c>
      <x:c r="O238" s="115"/>
      <x:c r="P238" s="119"/>
      <x:c r="Q238" s="116"/>
    </x:row>
    <x:row r="239" ht="20" customHeight="1">
      <x:c r="A239" s="83" t="str">
        <x:v>HAYS-0238</x:v>
      </x:c>
      <x:c r="B239" s="87" t="str">
        <x:v>Cyperus esculentus</x:v>
      </x:c>
      <x:c r="C239" s="87" t="str">
        <x:v>Cyperus esculentus</x:v>
      </x:c>
      <x:c r="D239" s="84" t="str">
        <x:v>Cyperaceae</x:v>
      </x:c>
      <x:c r="E239" s="84" t="str">
        <x:v>Cyperus</x:v>
      </x:c>
      <x:c r="F239" s="84" t="str">
        <x:v>Yellow Nutsedge, Chufa Sedge, Yellow Nut-grass</x:v>
      </x:c>
      <x:c r="G239" s="119"/>
      <x:c r="H239" s="119"/>
      <x:c r="I239" s="119"/>
      <x:c r="J239" s="119"/>
      <x:c r="K239" s="119"/>
      <x:c r="L239" s="119"/>
      <x:c r="M239" s="119"/>
      <x:c r="N239" s="115" t="str">
        <x:v>Not Started</x:v>
      </x:c>
      <x:c r="O239" s="115"/>
      <x:c r="P239" s="119"/>
      <x:c r="Q239" s="116"/>
    </x:row>
    <x:row r="240" ht="20" customHeight="1">
      <x:c r="A240" s="83" t="str">
        <x:v>HAYS-0239</x:v>
      </x:c>
      <x:c r="B240" s="87" t="str">
        <x:v>Cyperus odoratus</x:v>
      </x:c>
      <x:c r="C240" s="87" t="str">
        <x:v>Cyperus odoratus</x:v>
      </x:c>
      <x:c r="D240" s="84" t="str">
        <x:v>Cyperaceae</x:v>
      </x:c>
      <x:c r="E240" s="84" t="str">
        <x:v>Cyperus</x:v>
      </x:c>
      <x:c r="F240" s="84" t="str">
        <x:v>Fragrant Flatsedge, Fragrant Sedge</x:v>
      </x:c>
      <x:c r="G240" s="119"/>
      <x:c r="H240" s="119"/>
      <x:c r="I240" s="119"/>
      <x:c r="J240" s="119"/>
      <x:c r="K240" s="119"/>
      <x:c r="L240" s="119"/>
      <x:c r="M240" s="119"/>
      <x:c r="N240" s="115" t="str">
        <x:v>Not Started</x:v>
      </x:c>
      <x:c r="O240" s="115"/>
      <x:c r="P240" s="119"/>
      <x:c r="Q240" s="116"/>
    </x:row>
    <x:row r="241" ht="20" customHeight="1">
      <x:c r="A241" s="83" t="str">
        <x:v>HAYS-0240</x:v>
      </x:c>
      <x:c r="B241" s="87" t="str">
        <x:v>Cyperus retroflexus</x:v>
      </x:c>
      <x:c r="C241" s="87" t="str">
        <x:v>Cyperus retroflexus</x:v>
      </x:c>
      <x:c r="D241" s="84" t="str">
        <x:v>Cyperaceae</x:v>
      </x:c>
      <x:c r="E241" s="84" t="str">
        <x:v>Cyperus</x:v>
      </x:c>
      <x:c r="F241" s="84" t="str">
        <x:v>Oneflower Flatsedge</x:v>
      </x:c>
      <x:c r="G241" s="119"/>
      <x:c r="H241" s="119"/>
      <x:c r="I241" s="119"/>
      <x:c r="J241" s="119"/>
      <x:c r="K241" s="119"/>
      <x:c r="L241" s="119"/>
      <x:c r="M241" s="119"/>
      <x:c r="N241" s="115" t="str">
        <x:v>Not Started</x:v>
      </x:c>
      <x:c r="O241" s="115"/>
      <x:c r="P241" s="119"/>
      <x:c r="Q241" s="116"/>
    </x:row>
    <x:row r="242" ht="20" customHeight="1">
      <x:c r="A242" s="83" t="str">
        <x:v>HAYS-0241</x:v>
      </x:c>
      <x:c r="B242" s="87" t="str">
        <x:v>Cyperus strigosus</x:v>
      </x:c>
      <x:c r="C242" s="87" t="str">
        <x:v>Cyperus strigosus</x:v>
      </x:c>
      <x:c r="D242" s="84" t="str">
        <x:v>Cyperaceae</x:v>
      </x:c>
      <x:c r="E242" s="84" t="str">
        <x:v>Cyperus</x:v>
      </x:c>
      <x:c r="F242" s="84" t="str">
        <x:v>Straw-colored Flatsedge</x:v>
      </x:c>
      <x:c r="G242" s="119"/>
      <x:c r="H242" s="119"/>
      <x:c r="I242" s="119"/>
      <x:c r="J242" s="119"/>
      <x:c r="K242" s="119"/>
      <x:c r="L242" s="119"/>
      <x:c r="M242" s="119"/>
      <x:c r="N242" s="115" t="str">
        <x:v>Not Started</x:v>
      </x:c>
      <x:c r="O242" s="115"/>
      <x:c r="P242" s="119"/>
      <x:c r="Q242" s="116"/>
    </x:row>
    <x:row r="243" ht="20" customHeight="1">
      <x:c r="A243" s="83" t="str">
        <x:v>HAYS-0242</x:v>
      </x:c>
      <x:c r="B243" s="87" t="str">
        <x:v>Dalea aurea</x:v>
      </x:c>
      <x:c r="C243" s="87" t="str">
        <x:v>Dalea aurea</x:v>
      </x:c>
      <x:c r="D243" s="84" t="str">
        <x:v>Fabaceae</x:v>
      </x:c>
      <x:c r="E243" s="84" t="str">
        <x:v>Dalea</x:v>
      </x:c>
      <x:c r="F243" s="84" t="str">
        <x:v>Golden Dalea, Golden Prairie Clover</x:v>
      </x:c>
      <x:c r="G243" s="119"/>
      <x:c r="H243" s="119"/>
      <x:c r="I243" s="119"/>
      <x:c r="J243" s="119"/>
      <x:c r="K243" s="119"/>
      <x:c r="L243" s="119"/>
      <x:c r="M243" s="119"/>
      <x:c r="N243" s="115" t="str">
        <x:v>Not Started</x:v>
      </x:c>
      <x:c r="O243" s="115"/>
      <x:c r="P243" s="119"/>
      <x:c r="Q243" s="116"/>
    </x:row>
    <x:row r="244" ht="20" customHeight="1">
      <x:c r="A244" s="83" t="str">
        <x:v>HAYS-0243</x:v>
      </x:c>
      <x:c r="B244" s="87" t="str">
        <x:v>Dalea compacta</x:v>
      </x:c>
      <x:c r="C244" s="87" t="str">
        <x:v>Dalea compacta</x:v>
      </x:c>
      <x:c r="D244" s="84" t="str">
        <x:v>Fabaceae</x:v>
      </x:c>
      <x:c r="E244" s="84" t="str">
        <x:v>Dalea</x:v>
      </x:c>
      <x:c r="F244" s="84" t="str">
        <x:v>Compact Prairie Clover, Purple Prairie Clover</x:v>
      </x:c>
      <x:c r="G244" s="119"/>
      <x:c r="H244" s="119"/>
      <x:c r="I244" s="119"/>
      <x:c r="J244" s="119"/>
      <x:c r="K244" s="119"/>
      <x:c r="L244" s="119"/>
      <x:c r="M244" s="119"/>
      <x:c r="N244" s="115" t="str">
        <x:v>Not Started</x:v>
      </x:c>
      <x:c r="O244" s="115"/>
      <x:c r="P244" s="119"/>
      <x:c r="Q244" s="116"/>
    </x:row>
    <x:row r="245" ht="20" customHeight="1">
      <x:c r="A245" s="83" t="str">
        <x:v>HAYS-0244</x:v>
      </x:c>
      <x:c r="B245" s="87" t="str">
        <x:v>Dalea frutescens</x:v>
      </x:c>
      <x:c r="C245" s="87" t="str">
        <x:v>Dalea frutescens</x:v>
      </x:c>
      <x:c r="D245" s="84" t="str">
        <x:v>Fabaceae</x:v>
      </x:c>
      <x:c r="E245" s="84" t="str">
        <x:v>Dalea</x:v>
      </x:c>
      <x:c r="F245" s="84" t="str">
        <x:v>Black Dalea, Black Prairie Clover</x:v>
      </x:c>
      <x:c r="G245" s="119"/>
      <x:c r="H245" s="119"/>
      <x:c r="I245" s="119"/>
      <x:c r="J245" s="119"/>
      <x:c r="K245" s="119"/>
      <x:c r="L245" s="119"/>
      <x:c r="M245" s="119"/>
      <x:c r="N245" s="115" t="str">
        <x:v>Not Started</x:v>
      </x:c>
      <x:c r="O245" s="115"/>
      <x:c r="P245" s="119"/>
      <x:c r="Q245" s="116"/>
    </x:row>
    <x:row r="246" ht="20" customHeight="1">
      <x:c r="A246" s="83" t="str">
        <x:v>HAYS-0245</x:v>
      </x:c>
      <x:c r="B246" s="87" t="str">
        <x:v>Dalea hallii</x:v>
      </x:c>
      <x:c r="C246" s="87" t="str">
        <x:v>Dalea hallii</x:v>
      </x:c>
      <x:c r="D246" s="84" t="str">
        <x:v>Fabaceae</x:v>
      </x:c>
      <x:c r="E246" s="84" t="str">
        <x:v>Dalea</x:v>
      </x:c>
      <x:c r="F246" s="84" t="str">
        <x:v>Hall's Prairie Clover, Hall's Dalea</x:v>
      </x:c>
      <x:c r="G246" s="119"/>
      <x:c r="H246" s="119"/>
      <x:c r="I246" s="119"/>
      <x:c r="J246" s="119"/>
      <x:c r="K246" s="119"/>
      <x:c r="L246" s="119"/>
      <x:c r="M246" s="119"/>
      <x:c r="N246" s="115" t="str">
        <x:v>Not Started</x:v>
      </x:c>
      <x:c r="O246" s="115"/>
      <x:c r="P246" s="119"/>
      <x:c r="Q246" s="116"/>
    </x:row>
    <x:row r="247" ht="20" customHeight="1">
      <x:c r="A247" s="83" t="str">
        <x:v>HAYS-0246</x:v>
      </x:c>
      <x:c r="B247" s="87" t="str">
        <x:v>Dalea multiflora</x:v>
      </x:c>
      <x:c r="C247" s="87" t="str">
        <x:v>Dalea multiflora</x:v>
      </x:c>
      <x:c r="D247" s="84" t="str">
        <x:v>Fabaceae</x:v>
      </x:c>
      <x:c r="E247" s="84" t="str">
        <x:v>Dalea</x:v>
      </x:c>
      <x:c r="F247" s="84" t="str">
        <x:v>Roundhead Prairie Clover, White Prairie Clover, Round Headed Dalea, Round Headed Clover</x:v>
      </x:c>
      <x:c r="G247" s="119"/>
      <x:c r="H247" s="119"/>
      <x:c r="I247" s="119"/>
      <x:c r="J247" s="119"/>
      <x:c r="K247" s="119"/>
      <x:c r="L247" s="119"/>
      <x:c r="M247" s="119"/>
      <x:c r="N247" s="115" t="str">
        <x:v>Not Started</x:v>
      </x:c>
      <x:c r="O247" s="115"/>
      <x:c r="P247" s="119"/>
      <x:c r="Q247" s="116"/>
    </x:row>
    <x:row r="248" ht="20" customHeight="1">
      <x:c r="A248" s="83" t="str">
        <x:v>HAYS-0247</x:v>
      </x:c>
      <x:c r="B248" s="87" t="str">
        <x:v>Dalea nana</x:v>
      </x:c>
      <x:c r="C248" s="87" t="str">
        <x:v>Dalea nana</x:v>
      </x:c>
      <x:c r="D248" s="84" t="str">
        <x:v>Fabaceae</x:v>
      </x:c>
      <x:c r="E248" s="84" t="str">
        <x:v>Dalea</x:v>
      </x:c>
      <x:c r="F248" s="84" t="str">
        <x:v>Dwarf Prairie Clover, Dwarf Dalea</x:v>
      </x:c>
      <x:c r="G248" s="119"/>
      <x:c r="H248" s="119"/>
      <x:c r="I248" s="119"/>
      <x:c r="J248" s="119"/>
      <x:c r="K248" s="119"/>
      <x:c r="L248" s="119"/>
      <x:c r="M248" s="119"/>
      <x:c r="N248" s="115" t="str">
        <x:v>Not Started</x:v>
      </x:c>
      <x:c r="O248" s="115"/>
      <x:c r="P248" s="119"/>
      <x:c r="Q248" s="116"/>
    </x:row>
    <x:row r="249" ht="20" customHeight="1">
      <x:c r="A249" s="83" t="str">
        <x:v>HAYS-0248</x:v>
      </x:c>
      <x:c r="B249" s="87" t="str">
        <x:v>Dalea purpurea</x:v>
      </x:c>
      <x:c r="C249" s="87" t="str">
        <x:v>Dalea purpurea</x:v>
      </x:c>
      <x:c r="D249" s="84" t="str">
        <x:v>Fabaceae</x:v>
      </x:c>
      <x:c r="E249" s="84" t="str">
        <x:v>Dalea</x:v>
      </x:c>
      <x:c r="F249" s="84" t="str">
        <x:v>Purple Prairie Clover</x:v>
      </x:c>
      <x:c r="G249" s="119"/>
      <x:c r="H249" s="119"/>
      <x:c r="I249" s="119"/>
      <x:c r="J249" s="119"/>
      <x:c r="K249" s="119"/>
      <x:c r="L249" s="119"/>
      <x:c r="M249" s="119"/>
      <x:c r="N249" s="115" t="str">
        <x:v>Not Started</x:v>
      </x:c>
      <x:c r="O249" s="115"/>
      <x:c r="P249" s="119"/>
      <x:c r="Q249" s="116"/>
    </x:row>
    <x:row r="250" ht="20" customHeight="1">
      <x:c r="A250" s="83" t="str">
        <x:v>HAYS-0249</x:v>
      </x:c>
      <x:c r="B250" s="87" t="str">
        <x:v>Dalea tenuis</x:v>
      </x:c>
      <x:c r="C250" s="87" t="str">
        <x:v>Dalea tenuis</x:v>
      </x:c>
      <x:c r="D250" s="84" t="str">
        <x:v>Fabaceae</x:v>
      </x:c>
      <x:c r="E250" s="84" t="str">
        <x:v>Dalea</x:v>
      </x:c>
      <x:c r="F250" s="84" t="str">
        <x:v>Pinkglobe Prairie Clover</x:v>
      </x:c>
      <x:c r="G250" s="119"/>
      <x:c r="H250" s="119"/>
      <x:c r="I250" s="119"/>
      <x:c r="J250" s="119"/>
      <x:c r="K250" s="119"/>
      <x:c r="L250" s="119"/>
      <x:c r="M250" s="119"/>
      <x:c r="N250" s="115" t="str">
        <x:v>Not Started</x:v>
      </x:c>
      <x:c r="O250" s="115"/>
      <x:c r="P250" s="119"/>
      <x:c r="Q250" s="116"/>
    </x:row>
    <x:row r="251" ht="20" customHeight="1">
      <x:c r="A251" s="83" t="str">
        <x:v>HAYS-0250</x:v>
      </x:c>
      <x:c r="B251" s="87" t="str">
        <x:v>Dasylirion texanum</x:v>
      </x:c>
      <x:c r="C251" s="87" t="str">
        <x:v>Dasylirion texanum</x:v>
      </x:c>
      <x:c r="D251" s="84" t="str">
        <x:v>Asparagaceae</x:v>
      </x:c>
      <x:c r="E251" s="84" t="str">
        <x:v>Dasylirion</x:v>
      </x:c>
      <x:c r="F251" s="84" t="str">
        <x:v>Texas Sotol, Sotol</x:v>
      </x:c>
      <x:c r="G251" s="119"/>
      <x:c r="H251" s="119"/>
      <x:c r="I251" s="119"/>
      <x:c r="J251" s="119"/>
      <x:c r="K251" s="119"/>
      <x:c r="L251" s="119"/>
      <x:c r="M251" s="119"/>
      <x:c r="N251" s="115" t="str">
        <x:v>Not Started</x:v>
      </x:c>
      <x:c r="O251" s="115"/>
      <x:c r="P251" s="119"/>
      <x:c r="Q251" s="116"/>
    </x:row>
    <x:row r="252" ht="20" customHeight="1">
      <x:c r="A252" s="83" t="str">
        <x:v>HAYS-0251</x:v>
      </x:c>
      <x:c r="B252" s="87" t="str">
        <x:v>Datura wrightii</x:v>
      </x:c>
      <x:c r="C252" s="87" t="str">
        <x:v>Datura wrightii</x:v>
      </x:c>
      <x:c r="D252" s="84" t="str">
        <x:v>Solanaceae</x:v>
      </x:c>
      <x:c r="E252" s="84" t="str">
        <x:v>Datura</x:v>
      </x:c>
      <x:c r="F252" s="84" t="str">
        <x:v>Jimsonweed, Sacred Thorn-apple, Thorn-apple, Angel Trumpet, Sacred Datura, Western Jimson Weed</x:v>
      </x:c>
      <x:c r="G252" s="119"/>
      <x:c r="H252" s="119"/>
      <x:c r="I252" s="119"/>
      <x:c r="J252" s="119"/>
      <x:c r="K252" s="119"/>
      <x:c r="L252" s="119"/>
      <x:c r="M252" s="119"/>
      <x:c r="N252" s="115" t="str">
        <x:v>Not Started</x:v>
      </x:c>
      <x:c r="O252" s="115"/>
      <x:c r="P252" s="119"/>
      <x:c r="Q252" s="116"/>
    </x:row>
    <x:row r="253" ht="20" customHeight="1">
      <x:c r="A253" s="83" t="str">
        <x:v>HAYS-0252</x:v>
      </x:c>
      <x:c r="B253" s="87" t="str">
        <x:v>Daucosma laciniata</x:v>
      </x:c>
      <x:c r="C253" s="87" t="str">
        <x:v>Daucosma laciniata</x:v>
      </x:c>
      <x:c r="D253" s="84" t="str">
        <x:v>Apiaceae</x:v>
      </x:c>
      <x:c r="E253" s="84" t="str">
        <x:v>Daucosma</x:v>
      </x:c>
      <x:c r="F253" s="84" t="str">
        <x:v>Meadow Parasol, Daucosma</x:v>
      </x:c>
      <x:c r="G253" s="119"/>
      <x:c r="H253" s="119"/>
      <x:c r="I253" s="119"/>
      <x:c r="J253" s="119"/>
      <x:c r="K253" s="119"/>
      <x:c r="L253" s="119"/>
      <x:c r="M253" s="119"/>
      <x:c r="N253" s="115" t="str">
        <x:v>Not Started</x:v>
      </x:c>
      <x:c r="O253" s="115"/>
      <x:c r="P253" s="119"/>
      <x:c r="Q253" s="116"/>
    </x:row>
    <x:row r="254" ht="20" customHeight="1">
      <x:c r="A254" s="83" t="str">
        <x:v>HAYS-0253</x:v>
      </x:c>
      <x:c r="B254" s="87" t="str">
        <x:v>Daucus pusillus</x:v>
      </x:c>
      <x:c r="C254" s="87" t="str">
        <x:v>Daucus pusillus</x:v>
      </x:c>
      <x:c r="D254" s="84" t="str">
        <x:v>Apiaceae</x:v>
      </x:c>
      <x:c r="E254" s="84" t="str">
        <x:v>Daucus</x:v>
      </x:c>
      <x:c r="F254" s="84" t="str">
        <x:v>American Wild Carrot, Rattlesnake-weed, Wild Carrot</x:v>
      </x:c>
      <x:c r="G254" s="119"/>
      <x:c r="H254" s="119"/>
      <x:c r="I254" s="119"/>
      <x:c r="J254" s="119"/>
      <x:c r="K254" s="119"/>
      <x:c r="L254" s="119"/>
      <x:c r="M254" s="119"/>
      <x:c r="N254" s="115" t="str">
        <x:v>Not Started</x:v>
      </x:c>
      <x:c r="O254" s="115"/>
      <x:c r="P254" s="119"/>
      <x:c r="Q254" s="116"/>
    </x:row>
    <x:row r="255" ht="20" customHeight="1">
      <x:c r="A255" s="83" t="str">
        <x:v>HAYS-0254</x:v>
      </x:c>
      <x:c r="B255" s="87" t="str">
        <x:v>Delphinium carolinianum</x:v>
      </x:c>
      <x:c r="C255" s="87" t="str">
        <x:v>Delphinium carolinianum</x:v>
      </x:c>
      <x:c r="D255" s="84" t="str">
        <x:v>Ranunculaceae</x:v>
      </x:c>
      <x:c r="E255" s="84" t="str">
        <x:v>Delphinium</x:v>
      </x:c>
      <x:c r="F255" s="84" t="str">
        <x:v>Larkspur, Carolina larkspur</x:v>
      </x:c>
      <x:c r="G255" s="119"/>
      <x:c r="H255" s="119"/>
      <x:c r="I255" s="119"/>
      <x:c r="J255" s="119"/>
      <x:c r="K255" s="119"/>
      <x:c r="L255" s="119"/>
      <x:c r="M255" s="119"/>
      <x:c r="N255" s="115" t="str">
        <x:v>Not Started</x:v>
      </x:c>
      <x:c r="O255" s="115"/>
      <x:c r="P255" s="119"/>
      <x:c r="Q255" s="116"/>
    </x:row>
    <x:row r="256" ht="20" customHeight="1">
      <x:c r="A256" s="83" t="str">
        <x:v>HAYS-0255</x:v>
      </x:c>
      <x:c r="B256" s="87" t="str">
        <x:v>Delphinium carolinianum ssp. vimineum</x:v>
      </x:c>
      <x:c r="C256" s="87" t="str">
        <x:v>Delphinium carolinianum subsp. vimineum</x:v>
      </x:c>
      <x:c r="D256" s="84" t="str">
        <x:v>Ranunculaceae</x:v>
      </x:c>
      <x:c r="E256" s="84" t="str">
        <x:v>Delphinium</x:v>
      </x:c>
      <x:c r="F256" s="84" t="str">
        <x:v>Carolina Larkspur, Prairie Larkspur</x:v>
      </x:c>
      <x:c r="G256" s="119"/>
      <x:c r="H256" s="119"/>
      <x:c r="I256" s="119"/>
      <x:c r="J256" s="119"/>
      <x:c r="K256" s="119"/>
      <x:c r="L256" s="119"/>
      <x:c r="M256" s="119"/>
      <x:c r="N256" s="115" t="str">
        <x:v>Not Started</x:v>
      </x:c>
      <x:c r="O256" s="115"/>
      <x:c r="P256" s="119"/>
      <x:c r="Q256" s="116"/>
    </x:row>
    <x:row r="257" ht="20" customHeight="1">
      <x:c r="A257" s="83" t="str">
        <x:v>HAYS-0256</x:v>
      </x:c>
      <x:c r="B257" s="87" t="str">
        <x:v>Dermatophyllum secundiflorum</x:v>
      </x:c>
      <x:c r="C257" s="87" t="str">
        <x:v>Dermatophyllum secundiflorum</x:v>
      </x:c>
      <x:c r="D257" s="84" t="str">
        <x:v>Fabaceae</x:v>
      </x:c>
      <x:c r="E257" s="84" t="str">
        <x:v>Dermatophyllum</x:v>
      </x:c>
      <x:c r="F257" s="84" t="str">
        <x:v>Texas Mountain Laurel</x:v>
      </x:c>
      <x:c r="G257" s="119"/>
      <x:c r="H257" s="119"/>
      <x:c r="I257" s="119"/>
      <x:c r="J257" s="119"/>
      <x:c r="K257" s="119"/>
      <x:c r="L257" s="119"/>
      <x:c r="M257" s="119"/>
      <x:c r="N257" s="115" t="str">
        <x:v>Not Started</x:v>
      </x:c>
      <x:c r="O257" s="115"/>
      <x:c r="P257" s="119"/>
      <x:c r="Q257" s="116"/>
    </x:row>
    <x:row r="258" ht="20" customHeight="1">
      <x:c r="A258" s="83" t="str">
        <x:v>HAYS-0257</x:v>
      </x:c>
      <x:c r="B258" s="87" t="str">
        <x:v>Descurainia pinnata</x:v>
      </x:c>
      <x:c r="C258" s="87" t="str">
        <x:v>Descurainia pinnata</x:v>
      </x:c>
      <x:c r="D258" s="84" t="str">
        <x:v>Brassicaceae</x:v>
      </x:c>
      <x:c r="E258" s="84" t="str">
        <x:v>Descurainia</x:v>
      </x:c>
      <x:c r="F258" s="84" t="str">
        <x:v>Western Tansymustard, Tansy-mustard</x:v>
      </x:c>
      <x:c r="G258" s="119"/>
      <x:c r="H258" s="119"/>
      <x:c r="I258" s="119"/>
      <x:c r="J258" s="119"/>
      <x:c r="K258" s="119"/>
      <x:c r="L258" s="119"/>
      <x:c r="M258" s="119"/>
      <x:c r="N258" s="115" t="str">
        <x:v>Not Started</x:v>
      </x:c>
      <x:c r="O258" s="115"/>
      <x:c r="P258" s="119"/>
      <x:c r="Q258" s="116"/>
    </x:row>
    <x:row r="259" ht="20" customHeight="1">
      <x:c r="A259" s="83" t="str">
        <x:v>HAYS-0258</x:v>
      </x:c>
      <x:c r="B259" s="87" t="str">
        <x:v>Desmanthus illinoensis</x:v>
      </x:c>
      <x:c r="C259" s="87" t="str">
        <x:v>Desmanthus illinoensis</x:v>
      </x:c>
      <x:c r="D259" s="84" t="str">
        <x:v>Fabaceae</x:v>
      </x:c>
      <x:c r="E259" s="84" t="str">
        <x:v>Desmanthus</x:v>
      </x:c>
      <x:c r="F259" s="84" t="str">
        <x:v>Illinois Bundleflower, Bundleflower, Prairie Bundle Flower, Prickleweed, Illinois Desmanthus, Prairie Mimosa</x:v>
      </x:c>
      <x:c r="G259" s="119"/>
      <x:c r="H259" s="119"/>
      <x:c r="I259" s="119"/>
      <x:c r="J259" s="119"/>
      <x:c r="K259" s="119"/>
      <x:c r="L259" s="119"/>
      <x:c r="M259" s="119"/>
      <x:c r="N259" s="115" t="str">
        <x:v>Not Started</x:v>
      </x:c>
      <x:c r="O259" s="115"/>
      <x:c r="P259" s="119"/>
      <x:c r="Q259" s="116"/>
    </x:row>
    <x:row r="260" ht="20" customHeight="1">
      <x:c r="A260" s="83" t="str">
        <x:v>HAYS-0259</x:v>
      </x:c>
      <x:c r="B260" s="87" t="str">
        <x:v>Desmanthus leptolobus</x:v>
      </x:c>
      <x:c r="C260" s="87" t="str">
        <x:v>Desmanthus leptolobus</x:v>
      </x:c>
      <x:c r="D260" s="84" t="str">
        <x:v>Fabaceae</x:v>
      </x:c>
      <x:c r="E260" s="84" t="str">
        <x:v>Desmanthus</x:v>
      </x:c>
      <x:c r="F260" s="84" t="str">
        <x:v>Slenderlobe Bundleflower</x:v>
      </x:c>
      <x:c r="G260" s="119"/>
      <x:c r="H260" s="119"/>
      <x:c r="I260" s="119"/>
      <x:c r="J260" s="119"/>
      <x:c r="K260" s="119"/>
      <x:c r="L260" s="119"/>
      <x:c r="M260" s="119"/>
      <x:c r="N260" s="115" t="str">
        <x:v>Not Started</x:v>
      </x:c>
      <x:c r="O260" s="115"/>
      <x:c r="P260" s="119"/>
      <x:c r="Q260" s="116"/>
    </x:row>
    <x:row r="261" ht="20" customHeight="1">
      <x:c r="A261" s="83" t="str">
        <x:v>HAYS-0260</x:v>
      </x:c>
      <x:c r="B261" s="87" t="str">
        <x:v>Desmanthus velutinus</x:v>
      </x:c>
      <x:c r="C261" s="87" t="str">
        <x:v>Desmanthus velutinus</x:v>
      </x:c>
      <x:c r="D261" s="84" t="str">
        <x:v>Fabaceae</x:v>
      </x:c>
      <x:c r="E261" s="84" t="str">
        <x:v>Desmanthus</x:v>
      </x:c>
      <x:c r="F261" s="84" t="str">
        <x:v>Velvet Bundleflower</x:v>
      </x:c>
      <x:c r="G261" s="119"/>
      <x:c r="H261" s="119"/>
      <x:c r="I261" s="119"/>
      <x:c r="J261" s="119"/>
      <x:c r="K261" s="119"/>
      <x:c r="L261" s="119"/>
      <x:c r="M261" s="119"/>
      <x:c r="N261" s="115" t="str">
        <x:v>Not Started</x:v>
      </x:c>
      <x:c r="O261" s="115"/>
      <x:c r="P261" s="119"/>
      <x:c r="Q261" s="116"/>
    </x:row>
    <x:row r="262" ht="20" customHeight="1">
      <x:c r="A262" s="83" t="str">
        <x:v>HAYS-0261</x:v>
      </x:c>
      <x:c r="B262" s="87" t="str">
        <x:v>Desmanthus virgatus</x:v>
      </x:c>
      <x:c r="C262" s="87" t="str">
        <x:v>Desmanthus virgatus</x:v>
      </x:c>
      <x:c r="D262" s="84" t="str">
        <x:v>Fabaceae</x:v>
      </x:c>
      <x:c r="E262" s="84" t="str">
        <x:v>Desmanthus</x:v>
      </x:c>
      <x:c r="F262" s="84" t="str">
        <x:v>Prostrate Bundleflower, Wild Tantan, Slender Mimosa</x:v>
      </x:c>
      <x:c r="G262" s="119"/>
      <x:c r="H262" s="119"/>
      <x:c r="I262" s="119"/>
      <x:c r="J262" s="119"/>
      <x:c r="K262" s="119"/>
      <x:c r="L262" s="119"/>
      <x:c r="M262" s="119"/>
      <x:c r="N262" s="115" t="str">
        <x:v>Not Started</x:v>
      </x:c>
      <x:c r="O262" s="115"/>
      <x:c r="P262" s="119"/>
      <x:c r="Q262" s="116"/>
    </x:row>
    <x:row r="263" ht="20" customHeight="1">
      <x:c r="A263" s="83" t="str">
        <x:v>HAYS-0262</x:v>
      </x:c>
      <x:c r="B263" s="87" t="str">
        <x:v>Desmodium nudiflorum</x:v>
      </x:c>
      <x:c r="C263" s="87" t="str">
        <x:v>Hylodesmum nudiflorum</x:v>
      </x:c>
      <x:c r="D263" s="84" t="str">
        <x:v>Fabaceae</x:v>
      </x:c>
      <x:c r="E263" s="84" t="str">
        <x:v>Hylodesmum</x:v>
      </x:c>
      <x:c r="F263" s="84" t="str">
        <x:v>Nakedflower Ticktrefoil</x:v>
      </x:c>
      <x:c r="G263" s="119"/>
      <x:c r="H263" s="119"/>
      <x:c r="I263" s="119"/>
      <x:c r="J263" s="119"/>
      <x:c r="K263" s="119"/>
      <x:c r="L263" s="119"/>
      <x:c r="M263" s="119"/>
      <x:c r="N263" s="115" t="str">
        <x:v>Not Started</x:v>
      </x:c>
      <x:c r="O263" s="115"/>
      <x:c r="P263" s="119"/>
      <x:c r="Q263" s="116"/>
    </x:row>
    <x:row r="264" ht="20" customHeight="1">
      <x:c r="A264" s="83" t="str">
        <x:v>HAYS-0263</x:v>
      </x:c>
      <x:c r="B264" s="87" t="str">
        <x:v>Desmodium paniculatum</x:v>
      </x:c>
      <x:c r="C264" s="87" t="str">
        <x:v>Desmodium paniculatum</x:v>
      </x:c>
      <x:c r="D264" s="84" t="str">
        <x:v>Fabaceae</x:v>
      </x:c>
      <x:c r="E264" s="84" t="str">
        <x:v>Desmodium</x:v>
      </x:c>
      <x:c r="F264" s="84" t="str">
        <x:v>Panicledleaf Ticktrefoil, Panicled Tick Trefoil, Velcro Vine</x:v>
      </x:c>
      <x:c r="G264" s="119"/>
      <x:c r="H264" s="119"/>
      <x:c r="I264" s="119"/>
      <x:c r="J264" s="119"/>
      <x:c r="K264" s="119"/>
      <x:c r="L264" s="119"/>
      <x:c r="M264" s="119"/>
      <x:c r="N264" s="115" t="str">
        <x:v>Not Started</x:v>
      </x:c>
      <x:c r="O264" s="115"/>
      <x:c r="P264" s="119"/>
      <x:c r="Q264" s="116"/>
    </x:row>
    <x:row r="265" ht="20" customHeight="1">
      <x:c r="A265" s="83" t="str">
        <x:v>HAYS-0264</x:v>
      </x:c>
      <x:c r="B265" s="87" t="str">
        <x:v>Desmodium psilophyllum</x:v>
      </x:c>
      <x:c r="C265" s="87" t="str">
        <x:v>Desmodium psilophyllum</x:v>
      </x:c>
      <x:c r="D265" s="84" t="str">
        <x:v>Fabaceae</x:v>
      </x:c>
      <x:c r="E265" s="84" t="str">
        <x:v>Desmodium</x:v>
      </x:c>
      <x:c r="F265" s="84" t="str">
        <x:v>Simpleleaf Ticktrefoil, Wright's Tickclover, Beggar's Ticks, Sticktights</x:v>
      </x:c>
      <x:c r="G265" s="119"/>
      <x:c r="H265" s="119"/>
      <x:c r="I265" s="119"/>
      <x:c r="J265" s="119"/>
      <x:c r="K265" s="119"/>
      <x:c r="L265" s="119"/>
      <x:c r="M265" s="119"/>
      <x:c r="N265" s="115" t="str">
        <x:v>Not Started</x:v>
      </x:c>
      <x:c r="O265" s="115"/>
      <x:c r="P265" s="119"/>
      <x:c r="Q265" s="116"/>
    </x:row>
    <x:row r="266" ht="20" customHeight="1">
      <x:c r="A266" s="83" t="str">
        <x:v>HAYS-0265</x:v>
      </x:c>
      <x:c r="B266" s="87" t="str">
        <x:v>Desmodium sessilifolium</x:v>
      </x:c>
      <x:c r="C266" s="87" t="str">
        <x:v>Desmodium sessilifolium</x:v>
      </x:c>
      <x:c r="D266" s="84" t="str">
        <x:v>Fabaceae</x:v>
      </x:c>
      <x:c r="E266" s="84" t="str">
        <x:v>Desmodium</x:v>
      </x:c>
      <x:c r="F266" s="84" t="str">
        <x:v>Sessileleaf Ticktrefoil</x:v>
      </x:c>
      <x:c r="G266" s="119"/>
      <x:c r="H266" s="119"/>
      <x:c r="I266" s="119"/>
      <x:c r="J266" s="119"/>
      <x:c r="K266" s="119"/>
      <x:c r="L266" s="119"/>
      <x:c r="M266" s="119"/>
      <x:c r="N266" s="115" t="str">
        <x:v>Not Started</x:v>
      </x:c>
      <x:c r="O266" s="115"/>
      <x:c r="P266" s="119"/>
      <x:c r="Q266" s="116"/>
    </x:row>
    <x:row r="267" ht="20" customHeight="1">
      <x:c r="A267" s="83" t="str">
        <x:v>HAYS-0266</x:v>
      </x:c>
      <x:c r="B267" s="87" t="str">
        <x:v>Diaperia candida</x:v>
      </x:c>
      <x:c r="C267" s="87" t="str">
        <x:v>Diaperia candida</x:v>
      </x:c>
      <x:c r="D267" s="84" t="str">
        <x:v>Asteraceae</x:v>
      </x:c>
      <x:c r="E267" s="84" t="str">
        <x:v>Diaperia</x:v>
      </x:c>
      <x:c r="F267" s="84" t="str">
        <x:v>Silver Pygmycudweed</x:v>
      </x:c>
      <x:c r="G267" s="119"/>
      <x:c r="H267" s="119"/>
      <x:c r="I267" s="119"/>
      <x:c r="J267" s="119"/>
      <x:c r="K267" s="119"/>
      <x:c r="L267" s="119"/>
      <x:c r="M267" s="119"/>
      <x:c r="N267" s="115" t="str">
        <x:v>Not Started</x:v>
      </x:c>
      <x:c r="O267" s="115"/>
      <x:c r="P267" s="119"/>
      <x:c r="Q267" s="116"/>
    </x:row>
    <x:row r="268" ht="20" customHeight="1">
      <x:c r="A268" s="83" t="str">
        <x:v>HAYS-0267</x:v>
      </x:c>
      <x:c r="B268" s="87" t="str">
        <x:v>Dichanthelium acuminatum var. lindheimeri</x:v>
      </x:c>
      <x:c r="C268" s="87" t="str">
        <x:v>Dichanthelium lindheimeri</x:v>
      </x:c>
      <x:c r="D268" s="84" t="str">
        <x:v>Poaceae</x:v>
      </x:c>
      <x:c r="E268" s="84" t="str">
        <x:v>Dichanthelium</x:v>
      </x:c>
      <x:c r="F268" s="84" t="str">
        <x:v>Lindheimer Panicgrass, Lindheimer's Rosettegrass, Lindheimer's Rosette Grass</x:v>
      </x:c>
      <x:c r="G268" s="119"/>
      <x:c r="H268" s="119"/>
      <x:c r="I268" s="119"/>
      <x:c r="J268" s="119"/>
      <x:c r="K268" s="119"/>
      <x:c r="L268" s="119"/>
      <x:c r="M268" s="119"/>
      <x:c r="N268" s="115" t="str">
        <x:v>Not Started</x:v>
      </x:c>
      <x:c r="O268" s="115"/>
      <x:c r="P268" s="119"/>
      <x:c r="Q268" s="116"/>
    </x:row>
    <x:row r="269" ht="20" customHeight="1">
      <x:c r="A269" s="83" t="str">
        <x:v>HAYS-0268</x:v>
      </x:c>
      <x:c r="B269" s="87" t="str">
        <x:v>Dichanthelium oligosanthes</x:v>
      </x:c>
      <x:c r="C269" s="87" t="str">
        <x:v>Dichanthelium oligosanthes</x:v>
      </x:c>
      <x:c r="D269" s="84" t="str">
        <x:v>Poaceae</x:v>
      </x:c>
      <x:c r="E269" s="84" t="str">
        <x:v>Dichanthelium</x:v>
      </x:c>
      <x:c r="F269" s="84" t="str">
        <x:v>Heller's Rosette Grass</x:v>
      </x:c>
      <x:c r="G269" s="119"/>
      <x:c r="H269" s="119"/>
      <x:c r="I269" s="119"/>
      <x:c r="J269" s="119"/>
      <x:c r="K269" s="119"/>
      <x:c r="L269" s="119"/>
      <x:c r="M269" s="119"/>
      <x:c r="N269" s="115" t="str">
        <x:v>Not Started</x:v>
      </x:c>
      <x:c r="O269" s="115"/>
      <x:c r="P269" s="119"/>
      <x:c r="Q269" s="116"/>
    </x:row>
    <x:row r="270" ht="20" customHeight="1">
      <x:c r="A270" s="83" t="str">
        <x:v>HAYS-0269</x:v>
      </x:c>
      <x:c r="B270" s="87" t="str">
        <x:v>Dichanthelium pedicellatum</x:v>
      </x:c>
      <x:c r="C270" s="87" t="str">
        <x:v>Dichanthelium pedicellatum</x:v>
      </x:c>
      <x:c r="D270" s="84" t="str">
        <x:v>Poaceae</x:v>
      </x:c>
      <x:c r="E270" s="84" t="str">
        <x:v>Dichanthelium</x:v>
      </x:c>
      <x:c r="F270" s="84" t="str">
        <x:v>Cedar Rosette Grass, Corm-based Panicgrass</x:v>
      </x:c>
      <x:c r="G270" s="119"/>
      <x:c r="H270" s="119"/>
      <x:c r="I270" s="119"/>
      <x:c r="J270" s="119"/>
      <x:c r="K270" s="119"/>
      <x:c r="L270" s="119"/>
      <x:c r="M270" s="119"/>
      <x:c r="N270" s="115" t="str">
        <x:v>Not Started</x:v>
      </x:c>
      <x:c r="O270" s="115"/>
      <x:c r="P270" s="119"/>
      <x:c r="Q270" s="116"/>
    </x:row>
    <x:row r="271" ht="20" customHeight="1">
      <x:c r="A271" s="83" t="str">
        <x:v>HAYS-0270</x:v>
      </x:c>
      <x:c r="B271" s="87" t="str">
        <x:v>Dichondra carolinensis</x:v>
      </x:c>
      <x:c r="C271" s="87" t="str">
        <x:v>Dichondra carolinensis</x:v>
      </x:c>
      <x:c r="D271" s="84" t="str">
        <x:v>Convolvulaceae</x:v>
      </x:c>
      <x:c r="E271" s="84" t="str">
        <x:v>Dichondra</x:v>
      </x:c>
      <x:c r="F271" s="84" t="str">
        <x:v>Carolina Ponyfoot, Ponyfoot</x:v>
      </x:c>
      <x:c r="G271" s="119"/>
      <x:c r="H271" s="119"/>
      <x:c r="I271" s="119"/>
      <x:c r="J271" s="119"/>
      <x:c r="K271" s="119"/>
      <x:c r="L271" s="119"/>
      <x:c r="M271" s="119"/>
      <x:c r="N271" s="115" t="str">
        <x:v>Not Started</x:v>
      </x:c>
      <x:c r="O271" s="115"/>
      <x:c r="P271" s="119"/>
      <x:c r="Q271" s="116"/>
    </x:row>
    <x:row r="272" ht="20" customHeight="1">
      <x:c r="A272" s="83" t="str">
        <x:v>HAYS-0271</x:v>
      </x:c>
      <x:c r="B272" s="87" t="str">
        <x:v>Dichondra recurvata</x:v>
      </x:c>
      <x:c r="C272" s="87" t="str">
        <x:v>Dichondra recurvata</x:v>
      </x:c>
      <x:c r="D272" s="84" t="str">
        <x:v>Convolvulaceae</x:v>
      </x:c>
      <x:c r="E272" s="84" t="str">
        <x:v>Dichondra</x:v>
      </x:c>
      <x:c r="F272" s="84" t="str">
        <x:v>Oakwoods Ponysfoot, Oakwoods Ponyfoot</x:v>
      </x:c>
      <x:c r="G272" s="119"/>
      <x:c r="H272" s="119"/>
      <x:c r="I272" s="119"/>
      <x:c r="J272" s="119"/>
      <x:c r="K272" s="119"/>
      <x:c r="L272" s="119"/>
      <x:c r="M272" s="119"/>
      <x:c r="N272" s="115" t="str">
        <x:v>Not Started</x:v>
      </x:c>
      <x:c r="O272" s="115"/>
      <x:c r="P272" s="119"/>
      <x:c r="Q272" s="116"/>
    </x:row>
    <x:row r="273" ht="20" customHeight="1">
      <x:c r="A273" s="83" t="str">
        <x:v>HAYS-0272</x:v>
      </x:c>
      <x:c r="B273" s="87" t="str">
        <x:v>Dicliptera brachiata</x:v>
      </x:c>
      <x:c r="C273" s="87" t="str">
        <x:v>Dicliptera brachiata</x:v>
      </x:c>
      <x:c r="D273" s="84" t="str">
        <x:v>Acanthaceae</x:v>
      </x:c>
      <x:c r="E273" s="84" t="str">
        <x:v>Dicliptera</x:v>
      </x:c>
      <x:c r="F273" s="84" t="str">
        <x:v>Branched Foldwing, Branched Dicliptera</x:v>
      </x:c>
      <x:c r="G273" s="119"/>
      <x:c r="H273" s="119"/>
      <x:c r="I273" s="119"/>
      <x:c r="J273" s="119"/>
      <x:c r="K273" s="119"/>
      <x:c r="L273" s="119"/>
      <x:c r="M273" s="119"/>
      <x:c r="N273" s="115" t="str">
        <x:v>Not Started</x:v>
      </x:c>
      <x:c r="O273" s="115"/>
      <x:c r="P273" s="119"/>
      <x:c r="Q273" s="116"/>
    </x:row>
    <x:row r="274" ht="20" customHeight="1">
      <x:c r="A274" s="83" t="str">
        <x:v>HAYS-0273</x:v>
      </x:c>
      <x:c r="B274" s="87" t="str">
        <x:v>Digitaria ciliaris</x:v>
      </x:c>
      <x:c r="C274" s="87" t="str">
        <x:v>Digitaria ciliaris</x:v>
      </x:c>
      <x:c r="D274" s="84" t="str">
        <x:v>Poaceae</x:v>
      </x:c>
      <x:c r="E274" s="84" t="str">
        <x:v>Digitaria</x:v>
      </x:c>
      <x:c r="F274" s="84" t="str">
        <x:v>Southern Crabgrass</x:v>
      </x:c>
      <x:c r="G274" s="119"/>
      <x:c r="H274" s="119"/>
      <x:c r="I274" s="119"/>
      <x:c r="J274" s="119"/>
      <x:c r="K274" s="119"/>
      <x:c r="L274" s="119"/>
      <x:c r="M274" s="119"/>
      <x:c r="N274" s="115" t="str">
        <x:v>Not Started</x:v>
      </x:c>
      <x:c r="O274" s="115"/>
      <x:c r="P274" s="119"/>
      <x:c r="Q274" s="116"/>
    </x:row>
    <x:row r="275" ht="20" customHeight="1">
      <x:c r="A275" s="83" t="str">
        <x:v>HAYS-0274</x:v>
      </x:c>
      <x:c r="B275" s="87" t="str">
        <x:v>Digitaria cognata</x:v>
      </x:c>
      <x:c r="C275" s="87" t="str">
        <x:v>Digitaria cognata</x:v>
      </x:c>
      <x:c r="D275" s="84" t="str">
        <x:v>Poaceae</x:v>
      </x:c>
      <x:c r="E275" s="84" t="str">
        <x:v>Digitaria</x:v>
      </x:c>
      <x:c r="F275" s="84" t="str">
        <x:v>Carolina Crabgrass, Fall Witchgrass</x:v>
      </x:c>
      <x:c r="G275" s="119"/>
      <x:c r="H275" s="119"/>
      <x:c r="I275" s="119"/>
      <x:c r="J275" s="119"/>
      <x:c r="K275" s="119"/>
      <x:c r="L275" s="119"/>
      <x:c r="M275" s="119"/>
      <x:c r="N275" s="115" t="str">
        <x:v>Not Started</x:v>
      </x:c>
      <x:c r="O275" s="115"/>
      <x:c r="P275" s="119"/>
      <x:c r="Q275" s="116"/>
    </x:row>
    <x:row r="276" ht="20" customHeight="1">
      <x:c r="A276" s="83" t="str">
        <x:v>HAYS-0275</x:v>
      </x:c>
      <x:c r="B276" s="87" t="str">
        <x:v>Diospyros texana</x:v>
      </x:c>
      <x:c r="C276" s="87" t="str">
        <x:v>Diospyros texana</x:v>
      </x:c>
      <x:c r="D276" s="84" t="str">
        <x:v>Ebenaceae</x:v>
      </x:c>
      <x:c r="E276" s="84" t="str">
        <x:v>Diospyros</x:v>
      </x:c>
      <x:c r="F276" s="84" t="str">
        <x:v>Texas Persimmon, Mexican Persimmon, Black Persimmon, Chapote, Chapote Prieto</x:v>
      </x:c>
      <x:c r="G276" s="119"/>
      <x:c r="H276" s="119"/>
      <x:c r="I276" s="119"/>
      <x:c r="J276" s="119"/>
      <x:c r="K276" s="119"/>
      <x:c r="L276" s="119"/>
      <x:c r="M276" s="119"/>
      <x:c r="N276" s="115" t="str">
        <x:v>Not Started</x:v>
      </x:c>
      <x:c r="O276" s="115"/>
      <x:c r="P276" s="119"/>
      <x:c r="Q276" s="116"/>
    </x:row>
    <x:row r="277" ht="20" customHeight="1">
      <x:c r="A277" s="83" t="str">
        <x:v>HAYS-0276</x:v>
      </x:c>
      <x:c r="B277" s="87" t="str">
        <x:v>Diospyros virginiana</x:v>
      </x:c>
      <x:c r="C277" s="87" t="str">
        <x:v>Diospyros virginiana</x:v>
      </x:c>
      <x:c r="D277" s="84" t="str">
        <x:v>Ebenaceae</x:v>
      </x:c>
      <x:c r="E277" s="84" t="str">
        <x:v>Diospyros</x:v>
      </x:c>
      <x:c r="F277" s="84" t="str">
        <x:v>Common Persimmon, Eastern Persimmon, Possumwood, Date Plum, Winter Plum, Jove's Fruit</x:v>
      </x:c>
      <x:c r="G277" s="119"/>
      <x:c r="H277" s="119"/>
      <x:c r="I277" s="119"/>
      <x:c r="J277" s="119"/>
      <x:c r="K277" s="119"/>
      <x:c r="L277" s="119"/>
      <x:c r="M277" s="119"/>
      <x:c r="N277" s="115" t="str">
        <x:v>Not Started</x:v>
      </x:c>
      <x:c r="O277" s="115"/>
      <x:c r="P277" s="119"/>
      <x:c r="Q277" s="116"/>
    </x:row>
    <x:row r="278" ht="20" customHeight="1">
      <x:c r="A278" s="83" t="str">
        <x:v>HAYS-0277</x:v>
      </x:c>
      <x:c r="B278" s="87" t="str">
        <x:v>Draba cuneifolia</x:v>
      </x:c>
      <x:c r="C278" s="87" t="str">
        <x:v>Tomostima cuneifolia</x:v>
      </x:c>
      <x:c r="D278" s="84" t="str">
        <x:v>Brassicaceae</x:v>
      </x:c>
      <x:c r="E278" s="84" t="str">
        <x:v>Tomostima</x:v>
      </x:c>
      <x:c r="F278" s="84" t="str">
        <x:v>Wedgeleaf Draba, Whitlow-grass</x:v>
      </x:c>
      <x:c r="G278" s="119"/>
      <x:c r="H278" s="119"/>
      <x:c r="I278" s="119"/>
      <x:c r="J278" s="119"/>
      <x:c r="K278" s="119"/>
      <x:c r="L278" s="119"/>
      <x:c r="M278" s="119"/>
      <x:c r="N278" s="115" t="str">
        <x:v>Not Started</x:v>
      </x:c>
      <x:c r="O278" s="115"/>
      <x:c r="P278" s="119"/>
      <x:c r="Q278" s="116"/>
    </x:row>
    <x:row r="279" ht="20" customHeight="1">
      <x:c r="A279" s="83" t="str">
        <x:v>HAYS-0278</x:v>
      </x:c>
      <x:c r="B279" s="87" t="str">
        <x:v>Dracopis amplexicaulis</x:v>
      </x:c>
      <x:c r="C279" s="87" t="str">
        <x:v>Rudbeckia amplexicaulis</x:v>
      </x:c>
      <x:c r="D279" s="84" t="str">
        <x:v>Asteraceae</x:v>
      </x:c>
      <x:c r="E279" s="84" t="str">
        <x:v>Rudbeckia</x:v>
      </x:c>
      <x:c r="F279" s="84" t="str">
        <x:v>Clasping Coneflower, Clasping-leaf Coneflower</x:v>
      </x:c>
      <x:c r="G279" s="119"/>
      <x:c r="H279" s="119"/>
      <x:c r="I279" s="119"/>
      <x:c r="J279" s="119"/>
      <x:c r="K279" s="119"/>
      <x:c r="L279" s="119"/>
      <x:c r="M279" s="119"/>
      <x:c r="N279" s="115" t="str">
        <x:v>Not Started</x:v>
      </x:c>
      <x:c r="O279" s="115"/>
      <x:c r="P279" s="119"/>
      <x:c r="Q279" s="116"/>
    </x:row>
    <x:row r="280" ht="20" customHeight="1">
      <x:c r="A280" s="83" t="str">
        <x:v>HAYS-0279</x:v>
      </x:c>
      <x:c r="B280" s="87" t="str">
        <x:v>Dyschoriste linearis</x:v>
      </x:c>
      <x:c r="C280" s="87" t="str">
        <x:v>Dyschoriste linearis</x:v>
      </x:c>
      <x:c r="D280" s="84" t="str">
        <x:v>Acanthaceae</x:v>
      </x:c>
      <x:c r="E280" s="84" t="str">
        <x:v>Dyschoriste</x:v>
      </x:c>
      <x:c r="F280" s="84" t="str">
        <x:v>Snake Herb, Polkadots, Narrowleaf Dyschoriste</x:v>
      </x:c>
      <x:c r="G280" s="119"/>
      <x:c r="H280" s="119"/>
      <x:c r="I280" s="119"/>
      <x:c r="J280" s="119"/>
      <x:c r="K280" s="119"/>
      <x:c r="L280" s="119"/>
      <x:c r="M280" s="119"/>
      <x:c r="N280" s="115" t="str">
        <x:v>Not Started</x:v>
      </x:c>
      <x:c r="O280" s="115"/>
      <x:c r="P280" s="119"/>
      <x:c r="Q280" s="116"/>
    </x:row>
    <x:row r="281" ht="20" customHeight="1">
      <x:c r="A281" s="83" t="str">
        <x:v>HAYS-0280</x:v>
      </x:c>
      <x:c r="B281" s="87" t="str">
        <x:v>Dysodiopsis tagetoides</x:v>
      </x:c>
      <x:c r="C281" s="87" t="str">
        <x:v>Dysodiopsis tagetoides</x:v>
      </x:c>
      <x:c r="D281" s="84" t="str">
        <x:v>Asteraceae</x:v>
      </x:c>
      <x:c r="E281" s="84" t="str">
        <x:v>Dysodiopsis</x:v>
      </x:c>
      <x:c r="F281" s="84" t="str">
        <x:v>False Dogfennel, Dogweed</x:v>
      </x:c>
      <x:c r="G281" s="119"/>
      <x:c r="H281" s="119"/>
      <x:c r="I281" s="119"/>
      <x:c r="J281" s="119"/>
      <x:c r="K281" s="119"/>
      <x:c r="L281" s="119"/>
      <x:c r="M281" s="119"/>
      <x:c r="N281" s="115" t="str">
        <x:v>Not Started</x:v>
      </x:c>
      <x:c r="O281" s="115"/>
      <x:c r="P281" s="119"/>
      <x:c r="Q281" s="116"/>
    </x:row>
    <x:row r="282" ht="20" customHeight="1">
      <x:c r="A282" s="83" t="str">
        <x:v>HAYS-0281</x:v>
      </x:c>
      <x:c r="B282" s="87" t="str">
        <x:v>Echinacea angustifolia</x:v>
      </x:c>
      <x:c r="C282" s="87" t="str">
        <x:v>Echinacea angustifolia</x:v>
      </x:c>
      <x:c r="D282" s="84" t="str">
        <x:v>Asteraceae</x:v>
      </x:c>
      <x:c r="E282" s="84" t="str">
        <x:v>Echinacea</x:v>
      </x:c>
      <x:c r="F282" s="84" t="str">
        <x:v>Black Samson, Black Samson Echinacea, Narrow-leaf Coneflower</x:v>
      </x:c>
      <x:c r="G282" s="119"/>
      <x:c r="H282" s="119"/>
      <x:c r="I282" s="119"/>
      <x:c r="J282" s="119"/>
      <x:c r="K282" s="119"/>
      <x:c r="L282" s="119"/>
      <x:c r="M282" s="119"/>
      <x:c r="N282" s="115" t="str">
        <x:v>Not Started</x:v>
      </x:c>
      <x:c r="O282" s="115"/>
      <x:c r="P282" s="119"/>
      <x:c r="Q282" s="116"/>
    </x:row>
    <x:row r="283" ht="20" customHeight="1">
      <x:c r="A283" s="83" t="str">
        <x:v>HAYS-0282</x:v>
      </x:c>
      <x:c r="B283" s="87" t="str">
        <x:v>Echinocactus texensis</x:v>
      </x:c>
      <x:c r="C283" s="87" t="str">
        <x:v>Homalocephala texensis</x:v>
      </x:c>
      <x:c r="D283" s="84" t="str">
        <x:v>Cactaceae</x:v>
      </x:c>
      <x:c r="E283" s="84" t="str">
        <x:v>Homalocephala</x:v>
      </x:c>
      <x:c r="F283" s="84" t="str">
        <x:v>Horse Crippler, Horse Crippler Cactus, Devil's Head, Chisos Hedgehog Cactus, Chisos Hedgehog</x:v>
      </x:c>
      <x:c r="G283" s="119"/>
      <x:c r="H283" s="119"/>
      <x:c r="I283" s="119"/>
      <x:c r="J283" s="119"/>
      <x:c r="K283" s="119"/>
      <x:c r="L283" s="119"/>
      <x:c r="M283" s="119"/>
      <x:c r="N283" s="115" t="str">
        <x:v>Not Started</x:v>
      </x:c>
      <x:c r="O283" s="115"/>
      <x:c r="P283" s="119"/>
      <x:c r="Q283" s="116"/>
    </x:row>
    <x:row r="284" ht="20" customHeight="1">
      <x:c r="A284" s="83" t="str">
        <x:v>HAYS-0283</x:v>
      </x:c>
      <x:c r="B284" s="87" t="str">
        <x:v>Echinocereus reichenbachii</x:v>
      </x:c>
      <x:c r="C284" s="87" t="str">
        <x:v>Echinocereus reichenbachii</x:v>
      </x:c>
      <x:c r="D284" s="84" t="str">
        <x:v>Cactaceae</x:v>
      </x:c>
      <x:c r="E284" s="84" t="str">
        <x:v>Echinocereus</x:v>
      </x:c>
      <x:c r="F284" s="84" t="str">
        <x:v>Lace Hedgehog Cactus, Lace Cactus, Lace Hedgehog, Purple Candle</x:v>
      </x:c>
      <x:c r="G284" s="119"/>
      <x:c r="H284" s="119"/>
      <x:c r="I284" s="119"/>
      <x:c r="J284" s="119"/>
      <x:c r="K284" s="119"/>
      <x:c r="L284" s="119"/>
      <x:c r="M284" s="119"/>
      <x:c r="N284" s="115" t="str">
        <x:v>Not Started</x:v>
      </x:c>
      <x:c r="O284" s="115"/>
      <x:c r="P284" s="119"/>
      <x:c r="Q284" s="116"/>
    </x:row>
    <x:row r="285" ht="20" customHeight="1">
      <x:c r="A285" s="83" t="str">
        <x:v>HAYS-0284</x:v>
      </x:c>
      <x:c r="B285" s="87" t="str">
        <x:v>Echinocereus triglochidiatus</x:v>
      </x:c>
      <x:c r="C285" s="87" t="str">
        <x:v>Echinocereus triglochidiatus</x:v>
      </x:c>
      <x:c r="D285" s="84" t="str">
        <x:v>Cactaceae</x:v>
      </x:c>
      <x:c r="E285" s="84" t="str">
        <x:v>Echinocereus</x:v>
      </x:c>
      <x:c r="F285" s="84" t="str">
        <x:v>Claret Cup, Claret Cup Cactus, Hedgehog Cactus, Kingcup Cactus, Mojave Mound, Mohave Mound</x:v>
      </x:c>
      <x:c r="G285" s="119"/>
      <x:c r="H285" s="119"/>
      <x:c r="I285" s="119"/>
      <x:c r="J285" s="119"/>
      <x:c r="K285" s="119"/>
      <x:c r="L285" s="119"/>
      <x:c r="M285" s="119"/>
      <x:c r="N285" s="115" t="str">
        <x:v>Not Started</x:v>
      </x:c>
      <x:c r="O285" s="115"/>
      <x:c r="P285" s="119"/>
      <x:c r="Q285" s="116"/>
    </x:row>
    <x:row r="286" ht="20" customHeight="1">
      <x:c r="A286" s="83" t="str">
        <x:v>HAYS-0285</x:v>
      </x:c>
      <x:c r="B286" s="87" t="str">
        <x:v>Echinodorus berteroi</x:v>
      </x:c>
      <x:c r="C286" s="87" t="str">
        <x:v>Echinodorus berteroi</x:v>
      </x:c>
      <x:c r="D286" s="84" t="str">
        <x:v>Alismataceae</x:v>
      </x:c>
      <x:c r="E286" s="84" t="str">
        <x:v>Echinodorus</x:v>
      </x:c>
      <x:c r="F286" s="84" t="str">
        <x:v>Upright Burrhead</x:v>
      </x:c>
      <x:c r="G286" s="119"/>
      <x:c r="H286" s="119"/>
      <x:c r="I286" s="119"/>
      <x:c r="J286" s="119"/>
      <x:c r="K286" s="119"/>
      <x:c r="L286" s="119"/>
      <x:c r="M286" s="119"/>
      <x:c r="N286" s="115" t="str">
        <x:v>Not Started</x:v>
      </x:c>
      <x:c r="O286" s="115"/>
      <x:c r="P286" s="119"/>
      <x:c r="Q286" s="116"/>
    </x:row>
    <x:row r="287" ht="20" customHeight="1">
      <x:c r="A287" s="83" t="str">
        <x:v>HAYS-0286</x:v>
      </x:c>
      <x:c r="B287" s="87" t="str">
        <x:v>Eclipta prostrata</x:v>
      </x:c>
      <x:c r="C287" s="87" t="str">
        <x:v>Eclipta prostrata</x:v>
      </x:c>
      <x:c r="D287" s="84" t="str">
        <x:v>Asteraceae</x:v>
      </x:c>
      <x:c r="E287" s="84" t="str">
        <x:v>Eclipta</x:v>
      </x:c>
      <x:c r="F287" s="84" t="str">
        <x:v>Pie Plant, False Daisy, Eclipta</x:v>
      </x:c>
      <x:c r="G287" s="119"/>
      <x:c r="H287" s="119"/>
      <x:c r="I287" s="119"/>
      <x:c r="J287" s="119"/>
      <x:c r="K287" s="119"/>
      <x:c r="L287" s="119"/>
      <x:c r="M287" s="119"/>
      <x:c r="N287" s="115" t="str">
        <x:v>Not Started</x:v>
      </x:c>
      <x:c r="O287" s="115"/>
      <x:c r="P287" s="119"/>
      <x:c r="Q287" s="116"/>
    </x:row>
    <x:row r="288" ht="20" customHeight="1">
      <x:c r="A288" s="83" t="str">
        <x:v>HAYS-0287</x:v>
      </x:c>
      <x:c r="B288" s="87" t="str">
        <x:v>Ehretia anacua</x:v>
      </x:c>
      <x:c r="C288" s="87" t="str">
        <x:v>Ehretia anacua</x:v>
      </x:c>
      <x:c r="D288" s="84" t="str">
        <x:v>Boraginaceae</x:v>
      </x:c>
      <x:c r="E288" s="84" t="str">
        <x:v>Ehretia</x:v>
      </x:c>
      <x:c r="F288" s="84" t="str">
        <x:v>Anacua, Sugarberry Anacua, Anaqua, Anacahuita, Knockaway, Knackaway, Sandpaper Tree, Manzanita, Manzanillo, Tlalahuacate</x:v>
      </x:c>
      <x:c r="G288" s="119"/>
      <x:c r="H288" s="119"/>
      <x:c r="I288" s="119"/>
      <x:c r="J288" s="119"/>
      <x:c r="K288" s="119"/>
      <x:c r="L288" s="119"/>
      <x:c r="M288" s="119"/>
      <x:c r="N288" s="115" t="str">
        <x:v>Not Started</x:v>
      </x:c>
      <x:c r="O288" s="115"/>
      <x:c r="P288" s="119"/>
      <x:c r="Q288" s="116"/>
    </x:row>
    <x:row r="289" ht="20" customHeight="1">
      <x:c r="A289" s="83" t="str">
        <x:v>HAYS-0288</x:v>
      </x:c>
      <x:c r="B289" s="87" t="str">
        <x:v>Eleocharis atropurpurea</x:v>
      </x:c>
      <x:c r="C289" s="87" t="str">
        <x:v>Eleocharis atropurpurea</x:v>
      </x:c>
      <x:c r="D289" s="84" t="str">
        <x:v>Cyperaceae</x:v>
      </x:c>
      <x:c r="E289" s="84" t="str">
        <x:v>Eleocharis</x:v>
      </x:c>
      <x:c r="F289" s="84" t="str">
        <x:v>Purple Spikerush</x:v>
      </x:c>
      <x:c r="G289" s="119"/>
      <x:c r="H289" s="119"/>
      <x:c r="I289" s="119"/>
      <x:c r="J289" s="119"/>
      <x:c r="K289" s="119"/>
      <x:c r="L289" s="119"/>
      <x:c r="M289" s="119"/>
      <x:c r="N289" s="115" t="str">
        <x:v>Not Started</x:v>
      </x:c>
      <x:c r="O289" s="115"/>
      <x:c r="P289" s="119"/>
      <x:c r="Q289" s="116"/>
    </x:row>
    <x:row r="290" ht="20" customHeight="1">
      <x:c r="A290" s="83" t="str">
        <x:v>HAYS-0289</x:v>
      </x:c>
      <x:c r="B290" s="87" t="str">
        <x:v>Eleocharis montevidensis</x:v>
      </x:c>
      <x:c r="C290" s="87" t="str">
        <x:v>Eleocharis montevidensis</x:v>
      </x:c>
      <x:c r="D290" s="84" t="str">
        <x:v>Cyperaceae</x:v>
      </x:c>
      <x:c r="E290" s="84" t="str">
        <x:v>Eleocharis</x:v>
      </x:c>
      <x:c r="F290" s="84" t="str">
        <x:v>Sand Spikerush, Spike Rush</x:v>
      </x:c>
      <x:c r="G290" s="119"/>
      <x:c r="H290" s="119"/>
      <x:c r="I290" s="119"/>
      <x:c r="J290" s="119"/>
      <x:c r="K290" s="119"/>
      <x:c r="L290" s="119"/>
      <x:c r="M290" s="119"/>
      <x:c r="N290" s="115" t="str">
        <x:v>Not Started</x:v>
      </x:c>
      <x:c r="O290" s="115"/>
      <x:c r="P290" s="119"/>
      <x:c r="Q290" s="116"/>
    </x:row>
    <x:row r="291" ht="20" customHeight="1">
      <x:c r="A291" s="83" t="str">
        <x:v>HAYS-0290</x:v>
      </x:c>
      <x:c r="B291" s="87" t="str">
        <x:v>Eleocharis rostellata</x:v>
      </x:c>
      <x:c r="C291" s="87" t="str">
        <x:v>Eleocharis rostellata</x:v>
      </x:c>
      <x:c r="D291" s="84" t="str">
        <x:v>Cyperaceae</x:v>
      </x:c>
      <x:c r="E291" s="84" t="str">
        <x:v>Eleocharis</x:v>
      </x:c>
      <x:c r="F291" s="84" t="str">
        <x:v>Beaked Spikerush, Leap Frog Spike Rush</x:v>
      </x:c>
      <x:c r="G291" s="119"/>
      <x:c r="H291" s="119"/>
      <x:c r="I291" s="119"/>
      <x:c r="J291" s="119"/>
      <x:c r="K291" s="119"/>
      <x:c r="L291" s="119"/>
      <x:c r="M291" s="119"/>
      <x:c r="N291" s="115" t="str">
        <x:v>Not Started</x:v>
      </x:c>
      <x:c r="O291" s="115"/>
      <x:c r="P291" s="119"/>
      <x:c r="Q291" s="116"/>
    </x:row>
    <x:row r="292" ht="20" customHeight="1">
      <x:c r="A292" s="83" t="str">
        <x:v>HAYS-0291</x:v>
      </x:c>
      <x:c r="B292" s="87" t="str">
        <x:v>Elymus canadensis</x:v>
      </x:c>
      <x:c r="C292" s="87" t="str">
        <x:v>Elymus canadensis</x:v>
      </x:c>
      <x:c r="D292" s="84" t="str">
        <x:v>Poaceae</x:v>
      </x:c>
      <x:c r="E292" s="84" t="str">
        <x:v>Elymus</x:v>
      </x:c>
      <x:c r="F292" s="84" t="str">
        <x:v>Canada Wildrye</x:v>
      </x:c>
      <x:c r="G292" s="119"/>
      <x:c r="H292" s="119"/>
      <x:c r="I292" s="119"/>
      <x:c r="J292" s="119"/>
      <x:c r="K292" s="119"/>
      <x:c r="L292" s="119"/>
      <x:c r="M292" s="119"/>
      <x:c r="N292" s="115" t="str">
        <x:v>Not Started</x:v>
      </x:c>
      <x:c r="O292" s="115"/>
      <x:c r="P292" s="119"/>
      <x:c r="Q292" s="116"/>
    </x:row>
    <x:row r="293" ht="20" customHeight="1">
      <x:c r="A293" s="83" t="str">
        <x:v>HAYS-0292</x:v>
      </x:c>
      <x:c r="B293" s="87" t="str">
        <x:v>Elymus virginicus</x:v>
      </x:c>
      <x:c r="C293" s="87" t="str">
        <x:v>Elymus virginicus</x:v>
      </x:c>
      <x:c r="D293" s="84" t="str">
        <x:v>Poaceae</x:v>
      </x:c>
      <x:c r="E293" s="84" t="str">
        <x:v>Elymus</x:v>
      </x:c>
      <x:c r="F293" s="84" t="str">
        <x:v>Virginia Wild Rye, Virginia Wildrye</x:v>
      </x:c>
      <x:c r="G293" s="119"/>
      <x:c r="H293" s="119"/>
      <x:c r="I293" s="119"/>
      <x:c r="J293" s="119"/>
      <x:c r="K293" s="119"/>
      <x:c r="L293" s="119"/>
      <x:c r="M293" s="119"/>
      <x:c r="N293" s="115" t="str">
        <x:v>Not Started</x:v>
      </x:c>
      <x:c r="O293" s="115"/>
      <x:c r="P293" s="119"/>
      <x:c r="Q293" s="116"/>
    </x:row>
    <x:row r="294" ht="20" customHeight="1">
      <x:c r="A294" s="83" t="str">
        <x:v>HAYS-0293</x:v>
      </x:c>
      <x:c r="B294" s="87" t="str">
        <x:v>Engelmannia peristenia</x:v>
      </x:c>
      <x:c r="C294" s="87" t="str">
        <x:v>Engelmannia peristenia</x:v>
      </x:c>
      <x:c r="D294" s="84" t="str">
        <x:v>Asteraceae</x:v>
      </x:c>
      <x:c r="E294" s="84" t="str">
        <x:v>Engelmannia</x:v>
      </x:c>
      <x:c r="F294" s="84" t="str">
        <x:v>Engelmann's Daisy, Engelmann Daisy, Cutleaf Daisy</x:v>
      </x:c>
      <x:c r="G294" s="119"/>
      <x:c r="H294" s="119"/>
      <x:c r="I294" s="119"/>
      <x:c r="J294" s="119"/>
      <x:c r="K294" s="119"/>
      <x:c r="L294" s="119"/>
      <x:c r="M294" s="119"/>
      <x:c r="N294" s="115" t="str">
        <x:v>Not Started</x:v>
      </x:c>
      <x:c r="O294" s="115"/>
      <x:c r="P294" s="119"/>
      <x:c r="Q294" s="116"/>
    </x:row>
    <x:row r="295" ht="20" customHeight="1">
      <x:c r="A295" s="83" t="str">
        <x:v>HAYS-0294</x:v>
      </x:c>
      <x:c r="B295" s="87" t="str">
        <x:v>Ephedra antisyphilitica</x:v>
      </x:c>
      <x:c r="C295" s="87" t="str">
        <x:v>Ephedra antisyphilitica</x:v>
      </x:c>
      <x:c r="D295" s="84" t="str">
        <x:v>Ephedraceae</x:v>
      </x:c>
      <x:c r="E295" s="84" t="str">
        <x:v>Ephedra</x:v>
      </x:c>
      <x:c r="F295" s="84" t="str">
        <x:v>Mormon Tea, Joint-fir, Clapweed, Popote</x:v>
      </x:c>
      <x:c r="G295" s="119"/>
      <x:c r="H295" s="119"/>
      <x:c r="I295" s="119"/>
      <x:c r="J295" s="119"/>
      <x:c r="K295" s="119"/>
      <x:c r="L295" s="119"/>
      <x:c r="M295" s="119"/>
      <x:c r="N295" s="115" t="str">
        <x:v>Not Started</x:v>
      </x:c>
      <x:c r="O295" s="115"/>
      <x:c r="P295" s="119"/>
      <x:c r="Q295" s="116"/>
    </x:row>
    <x:row r="296" ht="20" customHeight="1">
      <x:c r="A296" s="83" t="str">
        <x:v>HAYS-0295</x:v>
      </x:c>
      <x:c r="B296" s="87" t="str">
        <x:v>Epipactis gigantea</x:v>
      </x:c>
      <x:c r="C296" s="87" t="str">
        <x:v>Epipactis gigantea</x:v>
      </x:c>
      <x:c r="D296" s="84" t="str">
        <x:v>Orchidaceae</x:v>
      </x:c>
      <x:c r="E296" s="84" t="str">
        <x:v>Epipactis</x:v>
      </x:c>
      <x:c r="F296" s="84" t="str">
        <x:v>Stream Orchid, Chatterbox Orchid, Giant Hellebore</x:v>
      </x:c>
      <x:c r="G296" s="119"/>
      <x:c r="H296" s="119"/>
      <x:c r="I296" s="119"/>
      <x:c r="J296" s="119"/>
      <x:c r="K296" s="119"/>
      <x:c r="L296" s="119"/>
      <x:c r="M296" s="119"/>
      <x:c r="N296" s="115" t="str">
        <x:v>Not Started</x:v>
      </x:c>
      <x:c r="O296" s="115"/>
      <x:c r="P296" s="119"/>
      <x:c r="Q296" s="116"/>
    </x:row>
    <x:row r="297" ht="20" customHeight="1">
      <x:c r="A297" s="83" t="str">
        <x:v>HAYS-0296</x:v>
      </x:c>
      <x:c r="B297" s="87" t="str">
        <x:v>Equisetum hyemale</x:v>
      </x:c>
      <x:c r="C297" s="87" t="str">
        <x:v>Equisetum hyemale</x:v>
      </x:c>
      <x:c r="D297" s="84" t="str">
        <x:v>Equisetaceae</x:v>
      </x:c>
      <x:c r="E297" s="84" t="str">
        <x:v>Equisetum</x:v>
      </x:c>
      <x:c r="F297" s="84" t="str">
        <x:v>Scouring-rush Horsetail, Horsetail, Scouring Rush, Canuela</x:v>
      </x:c>
      <x:c r="G297" s="119"/>
      <x:c r="H297" s="119"/>
      <x:c r="I297" s="119"/>
      <x:c r="J297" s="119"/>
      <x:c r="K297" s="119"/>
      <x:c r="L297" s="119"/>
      <x:c r="M297" s="119"/>
      <x:c r="N297" s="115" t="str">
        <x:v>Not Started</x:v>
      </x:c>
      <x:c r="O297" s="115"/>
      <x:c r="P297" s="119"/>
      <x:c r="Q297" s="116"/>
    </x:row>
    <x:row r="298" ht="20" customHeight="1">
      <x:c r="A298" s="83" t="str">
        <x:v>HAYS-0297</x:v>
      </x:c>
      <x:c r="B298" s="87" t="str">
        <x:v>Eragrostis hirsuta</x:v>
      </x:c>
      <x:c r="C298" s="87" t="str">
        <x:v>Eragrostis hirsuta</x:v>
      </x:c>
      <x:c r="D298" s="84" t="str">
        <x:v>Poaceae</x:v>
      </x:c>
      <x:c r="E298" s="84" t="str">
        <x:v>Eragrostis</x:v>
      </x:c>
      <x:c r="F298" s="84" t="str">
        <x:v>Big Top Love Grass</x:v>
      </x:c>
      <x:c r="G298" s="119"/>
      <x:c r="H298" s="119"/>
      <x:c r="I298" s="119"/>
      <x:c r="J298" s="119"/>
      <x:c r="K298" s="119"/>
      <x:c r="L298" s="119"/>
      <x:c r="M298" s="119"/>
      <x:c r="N298" s="115" t="str">
        <x:v>Not Started</x:v>
      </x:c>
      <x:c r="O298" s="115"/>
      <x:c r="P298" s="119"/>
      <x:c r="Q298" s="116"/>
    </x:row>
    <x:row r="299" ht="20" customHeight="1">
      <x:c r="A299" s="83" t="str">
        <x:v>HAYS-0298</x:v>
      </x:c>
      <x:c r="B299" s="87" t="str">
        <x:v>Eragrostis intermedia</x:v>
      </x:c>
      <x:c r="C299" s="87" t="str">
        <x:v>Eragrostis intermedia</x:v>
      </x:c>
      <x:c r="D299" s="84" t="str">
        <x:v>Poaceae</x:v>
      </x:c>
      <x:c r="E299" s="84" t="str">
        <x:v>Eragrostis</x:v>
      </x:c>
      <x:c r="F299" s="84" t="str">
        <x:v>Plains Lovegrass, Plains Love Grass</x:v>
      </x:c>
      <x:c r="G299" s="119"/>
      <x:c r="H299" s="119"/>
      <x:c r="I299" s="119"/>
      <x:c r="J299" s="119"/>
      <x:c r="K299" s="119"/>
      <x:c r="L299" s="119"/>
      <x:c r="M299" s="119"/>
      <x:c r="N299" s="115" t="str">
        <x:v>Not Started</x:v>
      </x:c>
      <x:c r="O299" s="115"/>
      <x:c r="P299" s="119"/>
      <x:c r="Q299" s="116"/>
    </x:row>
    <x:row r="300" ht="20" customHeight="1">
      <x:c r="A300" s="83" t="str">
        <x:v>HAYS-0299</x:v>
      </x:c>
      <x:c r="B300" s="87" t="str">
        <x:v>Eragrostis lugens</x:v>
      </x:c>
      <x:c r="C300" s="87" t="str">
        <x:v>Eragrostis lugens</x:v>
      </x:c>
      <x:c r="D300" s="84" t="str">
        <x:v>Poaceae</x:v>
      </x:c>
      <x:c r="E300" s="84" t="str">
        <x:v>Eragrostis</x:v>
      </x:c>
      <x:c r="F300" s="84" t="str">
        <x:v>Mourning Lovegrass , Mourning Love Grass</x:v>
      </x:c>
      <x:c r="G300" s="119"/>
      <x:c r="H300" s="119"/>
      <x:c r="I300" s="119"/>
      <x:c r="J300" s="119"/>
      <x:c r="K300" s="119"/>
      <x:c r="L300" s="119"/>
      <x:c r="M300" s="119"/>
      <x:c r="N300" s="115" t="str">
        <x:v>Not Started</x:v>
      </x:c>
      <x:c r="O300" s="115"/>
      <x:c r="P300" s="119"/>
      <x:c r="Q300" s="116"/>
    </x:row>
    <x:row r="301" ht="20" customHeight="1">
      <x:c r="A301" s="83" t="str">
        <x:v>HAYS-0300</x:v>
      </x:c>
      <x:c r="B301" s="87" t="str">
        <x:v>Eragrostis secundiflora</x:v>
      </x:c>
      <x:c r="C301" s="87" t="str">
        <x:v>Eragrostis secundiflora</x:v>
      </x:c>
      <x:c r="D301" s="84" t="str">
        <x:v>Poaceae</x:v>
      </x:c>
      <x:c r="E301" s="84" t="str">
        <x:v>Eragrostis</x:v>
      </x:c>
      <x:c r="F301" s="84" t="str">
        <x:v>Red Lovegrass , Red Love Grass</x:v>
      </x:c>
      <x:c r="G301" s="119"/>
      <x:c r="H301" s="119"/>
      <x:c r="I301" s="119"/>
      <x:c r="J301" s="119"/>
      <x:c r="K301" s="119"/>
      <x:c r="L301" s="119"/>
      <x:c r="M301" s="119"/>
      <x:c r="N301" s="115" t="str">
        <x:v>Not Started</x:v>
      </x:c>
      <x:c r="O301" s="115"/>
      <x:c r="P301" s="119"/>
      <x:c r="Q301" s="116"/>
    </x:row>
    <x:row r="302" ht="20" customHeight="1">
      <x:c r="A302" s="83" t="str">
        <x:v>HAYS-0301</x:v>
      </x:c>
      <x:c r="B302" s="87" t="str">
        <x:v>Eragrostis spectabilis</x:v>
      </x:c>
      <x:c r="C302" s="87" t="str">
        <x:v>Eragrostis spectabilis</x:v>
      </x:c>
      <x:c r="D302" s="84" t="str">
        <x:v>Poaceae</x:v>
      </x:c>
      <x:c r="E302" s="84" t="str">
        <x:v>Eragrostis</x:v>
      </x:c>
      <x:c r="F302" s="84" t="str">
        <x:v>Purple Lovegrass, Purple Love Grass, Purple Plains Lovegrass, Tumblegrass, Petticoat Climber</x:v>
      </x:c>
      <x:c r="G302" s="119"/>
      <x:c r="H302" s="119"/>
      <x:c r="I302" s="119"/>
      <x:c r="J302" s="119"/>
      <x:c r="K302" s="119"/>
      <x:c r="L302" s="119"/>
      <x:c r="M302" s="119"/>
      <x:c r="N302" s="115" t="str">
        <x:v>Not Started</x:v>
      </x:c>
      <x:c r="O302" s="115"/>
      <x:c r="P302" s="119"/>
      <x:c r="Q302" s="116"/>
    </x:row>
    <x:row r="303" ht="20" customHeight="1">
      <x:c r="A303" s="83" t="str">
        <x:v>HAYS-0302</x:v>
      </x:c>
      <x:c r="B303" s="87" t="str">
        <x:v>Eragrostis trichodes</x:v>
      </x:c>
      <x:c r="C303" s="87" t="str">
        <x:v>Eragrostis trichodes</x:v>
      </x:c>
      <x:c r="D303" s="84" t="str">
        <x:v>Poaceae</x:v>
      </x:c>
      <x:c r="E303" s="84" t="str">
        <x:v>Eragrostis</x:v>
      </x:c>
      <x:c r="F303" s="84" t="str">
        <x:v>Sand Love Grass, Sand lovegrass</x:v>
      </x:c>
      <x:c r="G303" s="119"/>
      <x:c r="H303" s="119"/>
      <x:c r="I303" s="119"/>
      <x:c r="J303" s="119"/>
      <x:c r="K303" s="119"/>
      <x:c r="L303" s="119"/>
      <x:c r="M303" s="119"/>
      <x:c r="N303" s="115" t="str">
        <x:v>Not Started</x:v>
      </x:c>
      <x:c r="O303" s="115"/>
      <x:c r="P303" s="119"/>
      <x:c r="Q303" s="116"/>
    </x:row>
    <x:row r="304" ht="20" customHeight="1">
      <x:c r="A304" s="83" t="str">
        <x:v>HAYS-0303</x:v>
      </x:c>
      <x:c r="B304" s="87" t="str">
        <x:v>Erigeron geiseri</x:v>
      </x:c>
      <x:c r="C304" s="87" t="str">
        <x:v>Erigeron geiseri</x:v>
      </x:c>
      <x:c r="D304" s="84" t="str">
        <x:v>Asteraceae</x:v>
      </x:c>
      <x:c r="E304" s="84" t="str">
        <x:v>Erigeron</x:v>
      </x:c>
      <x:c r="F304" s="84" t="str">
        <x:v>Geiser's Fleabane</x:v>
      </x:c>
      <x:c r="G304" s="119"/>
      <x:c r="H304" s="119"/>
      <x:c r="I304" s="119"/>
      <x:c r="J304" s="119"/>
      <x:c r="K304" s="119"/>
      <x:c r="L304" s="119"/>
      <x:c r="M304" s="119"/>
      <x:c r="N304" s="115" t="str">
        <x:v>Not Started</x:v>
      </x:c>
      <x:c r="O304" s="115"/>
      <x:c r="P304" s="119"/>
      <x:c r="Q304" s="116"/>
    </x:row>
    <x:row r="305" ht="20" customHeight="1">
      <x:c r="A305" s="83" t="str">
        <x:v>HAYS-0304</x:v>
      </x:c>
      <x:c r="B305" s="87" t="str">
        <x:v>Erigeron modestus</x:v>
      </x:c>
      <x:c r="C305" s="87" t="str">
        <x:v>Erigeron modestus</x:v>
      </x:c>
      <x:c r="D305" s="84" t="str">
        <x:v>Asteraceae</x:v>
      </x:c>
      <x:c r="E305" s="84" t="str">
        <x:v>Erigeron</x:v>
      </x:c>
      <x:c r="F305" s="84" t="str">
        <x:v>Plains Fleabane, Prairie Fleabane</x:v>
      </x:c>
      <x:c r="G305" s="119"/>
      <x:c r="H305" s="119"/>
      <x:c r="I305" s="119"/>
      <x:c r="J305" s="119"/>
      <x:c r="K305" s="119"/>
      <x:c r="L305" s="119"/>
      <x:c r="M305" s="119"/>
      <x:c r="N305" s="115" t="str">
        <x:v>Not Started</x:v>
      </x:c>
      <x:c r="O305" s="115"/>
      <x:c r="P305" s="119"/>
      <x:c r="Q305" s="116"/>
    </x:row>
    <x:row r="306" ht="20" customHeight="1">
      <x:c r="A306" s="83" t="str">
        <x:v>HAYS-0305</x:v>
      </x:c>
      <x:c r="B306" s="87" t="str">
        <x:v>Erigeron philadelphicus</x:v>
      </x:c>
      <x:c r="C306" s="87" t="str">
        <x:v>Erigeron philadelphicus</x:v>
      </x:c>
      <x:c r="D306" s="84" t="str">
        <x:v>Asteraceae</x:v>
      </x:c>
      <x:c r="E306" s="84" t="str">
        <x:v>Erigeron</x:v>
      </x:c>
      <x:c r="F306" s="84" t="str">
        <x:v>Philadelphia Fleabane</x:v>
      </x:c>
      <x:c r="G306" s="119"/>
      <x:c r="H306" s="119"/>
      <x:c r="I306" s="119"/>
      <x:c r="J306" s="119"/>
      <x:c r="K306" s="119"/>
      <x:c r="L306" s="119"/>
      <x:c r="M306" s="119"/>
      <x:c r="N306" s="115" t="str">
        <x:v>Not Started</x:v>
      </x:c>
      <x:c r="O306" s="115"/>
      <x:c r="P306" s="119"/>
      <x:c r="Q306" s="116"/>
    </x:row>
    <x:row r="307" ht="20" customHeight="1">
      <x:c r="A307" s="83" t="str">
        <x:v>HAYS-0306</x:v>
      </x:c>
      <x:c r="B307" s="87" t="str">
        <x:v>Eriochloa sericea</x:v>
      </x:c>
      <x:c r="C307" s="87" t="str">
        <x:v>Eriochloa sericea</x:v>
      </x:c>
      <x:c r="D307" s="84" t="str">
        <x:v>Poaceae</x:v>
      </x:c>
      <x:c r="E307" s="84" t="str">
        <x:v>Eriochloa</x:v>
      </x:c>
      <x:c r="F307" s="84" t="str">
        <x:v>Texas Cupgrass</x:v>
      </x:c>
      <x:c r="G307" s="119"/>
      <x:c r="H307" s="119"/>
      <x:c r="I307" s="119"/>
      <x:c r="J307" s="119"/>
      <x:c r="K307" s="119"/>
      <x:c r="L307" s="119"/>
      <x:c r="M307" s="119"/>
      <x:c r="N307" s="115" t="str">
        <x:v>Not Started</x:v>
      </x:c>
      <x:c r="O307" s="115"/>
      <x:c r="P307" s="119"/>
      <x:c r="Q307" s="116"/>
    </x:row>
    <x:row r="308" ht="20" customHeight="1">
      <x:c r="A308" s="83" t="str">
        <x:v>HAYS-0307</x:v>
      </x:c>
      <x:c r="B308" s="87" t="str">
        <x:v>Eriogonum longifolium</x:v>
      </x:c>
      <x:c r="C308" s="87" t="str">
        <x:v>Eriogonum longifolium</x:v>
      </x:c>
      <x:c r="D308" s="84" t="str">
        <x:v>Polygonaceae</x:v>
      </x:c>
      <x:c r="E308" s="84" t="str">
        <x:v>Eriogonum</x:v>
      </x:c>
      <x:c r="F308" s="84" t="str">
        <x:v>Longleaf Buckwheat, Longleaf Wild Buckwheat</x:v>
      </x:c>
      <x:c r="G308" s="119"/>
      <x:c r="H308" s="119"/>
      <x:c r="I308" s="119"/>
      <x:c r="J308" s="119"/>
      <x:c r="K308" s="119"/>
      <x:c r="L308" s="119"/>
      <x:c r="M308" s="119"/>
      <x:c r="N308" s="115" t="str">
        <x:v>Not Started</x:v>
      </x:c>
      <x:c r="O308" s="115"/>
      <x:c r="P308" s="119"/>
      <x:c r="Q308" s="116"/>
    </x:row>
    <x:row r="309" ht="20" customHeight="1">
      <x:c r="A309" s="83" t="str">
        <x:v>HAYS-0308</x:v>
      </x:c>
      <x:c r="B309" s="87" t="str">
        <x:v>Erioneuron pilosum</x:v>
      </x:c>
      <x:c r="C309" s="87" t="str">
        <x:v>Erioneuron pilosum</x:v>
      </x:c>
      <x:c r="D309" s="84" t="str">
        <x:v>Poaceae</x:v>
      </x:c>
      <x:c r="E309" s="84" t="str">
        <x:v>Erioneuron</x:v>
      </x:c>
      <x:c r="F309" s="84" t="str">
        <x:v>Hairy Woollygrass, Hairy Tridens</x:v>
      </x:c>
      <x:c r="G309" s="119"/>
      <x:c r="H309" s="119"/>
      <x:c r="I309" s="119"/>
      <x:c r="J309" s="119"/>
      <x:c r="K309" s="119"/>
      <x:c r="L309" s="119"/>
      <x:c r="M309" s="119"/>
      <x:c r="N309" s="115" t="str">
        <x:v>Not Started</x:v>
      </x:c>
      <x:c r="O309" s="115"/>
      <x:c r="P309" s="119"/>
      <x:c r="Q309" s="116"/>
    </x:row>
    <x:row r="310" ht="20" customHeight="1">
      <x:c r="A310" s="83" t="str">
        <x:v>HAYS-0309</x:v>
      </x:c>
      <x:c r="B310" s="87" t="str">
        <x:v>Erodium texanum</x:v>
      </x:c>
      <x:c r="C310" s="87" t="str">
        <x:v>Erodium texanum</x:v>
      </x:c>
      <x:c r="D310" s="84" t="str">
        <x:v>Geraniaceae</x:v>
      </x:c>
      <x:c r="E310" s="84" t="str">
        <x:v>Erodium</x:v>
      </x:c>
      <x:c r="F310" s="84" t="str">
        <x:v>Texas Stork's Bill, Stork's Bill, Pine Needle, Fillaree</x:v>
      </x:c>
      <x:c r="G310" s="119"/>
      <x:c r="H310" s="119"/>
      <x:c r="I310" s="119"/>
      <x:c r="J310" s="119"/>
      <x:c r="K310" s="119"/>
      <x:c r="L310" s="119"/>
      <x:c r="M310" s="119"/>
      <x:c r="N310" s="115" t="str">
        <x:v>Not Started</x:v>
      </x:c>
      <x:c r="O310" s="115"/>
      <x:c r="P310" s="119"/>
      <x:c r="Q310" s="116"/>
    </x:row>
    <x:row r="311" ht="20" customHeight="1">
      <x:c r="A311" s="83" t="str">
        <x:v>HAYS-0310</x:v>
      </x:c>
      <x:c r="B311" s="87" t="str">
        <x:v>Eryngium leavenworthii</x:v>
      </x:c>
      <x:c r="C311" s="87" t="str">
        <x:v>Eryngium leavenworthii</x:v>
      </x:c>
      <x:c r="D311" s="84" t="str">
        <x:v>Apiaceae</x:v>
      </x:c>
      <x:c r="E311" s="84" t="str">
        <x:v>Eryngium</x:v>
      </x:c>
      <x:c r="F311" s="84" t="str">
        <x:v>Leavenworth's Eryngo, Eryngo, False Purple Thistle</x:v>
      </x:c>
      <x:c r="G311" s="119"/>
      <x:c r="H311" s="119"/>
      <x:c r="I311" s="119"/>
      <x:c r="J311" s="119"/>
      <x:c r="K311" s="119"/>
      <x:c r="L311" s="119"/>
      <x:c r="M311" s="119"/>
      <x:c r="N311" s="115" t="str">
        <x:v>Not Started</x:v>
      </x:c>
      <x:c r="O311" s="115"/>
      <x:c r="P311" s="119"/>
      <x:c r="Q311" s="116"/>
    </x:row>
    <x:row r="312" ht="20" customHeight="1">
      <x:c r="A312" s="83" t="str">
        <x:v>HAYS-0311</x:v>
      </x:c>
      <x:c r="B312" s="87" t="str">
        <x:v>Eryngium yuccifolium</x:v>
      </x:c>
      <x:c r="C312" s="87" t="str">
        <x:v>Eryngium yuccifolium</x:v>
      </x:c>
      <x:c r="D312" s="84" t="str">
        <x:v>Apiaceae</x:v>
      </x:c>
      <x:c r="E312" s="84" t="str">
        <x:v>Eryngium</x:v>
      </x:c>
      <x:c r="F312" s="84" t="str">
        <x:v>Rattlesnake Master, Button Eryngo, Button Snakeroot, Beargrass, Bear's Grass</x:v>
      </x:c>
      <x:c r="G312" s="119"/>
      <x:c r="H312" s="119"/>
      <x:c r="I312" s="119"/>
      <x:c r="J312" s="119"/>
      <x:c r="K312" s="119"/>
      <x:c r="L312" s="119"/>
      <x:c r="M312" s="119"/>
      <x:c r="N312" s="115" t="str">
        <x:v>Not Started</x:v>
      </x:c>
      <x:c r="O312" s="115"/>
      <x:c r="P312" s="119"/>
      <x:c r="Q312" s="116"/>
    </x:row>
    <x:row r="313" ht="20" customHeight="1">
      <x:c r="A313" s="83" t="str">
        <x:v>HAYS-0312</x:v>
      </x:c>
      <x:c r="B313" s="87" t="str">
        <x:v>Erythrina herbacea</x:v>
      </x:c>
      <x:c r="C313" s="87" t="str">
        <x:v>Erythrina herbacea</x:v>
      </x:c>
      <x:c r="D313" s="84" t="str">
        <x:v>Fabaceae</x:v>
      </x:c>
      <x:c r="E313" s="84" t="str">
        <x:v>Erythrina</x:v>
      </x:c>
      <x:c r="F313" s="84" t="str">
        <x:v>Coral Bean</x:v>
      </x:c>
      <x:c r="G313" s="119"/>
      <x:c r="H313" s="119"/>
      <x:c r="I313" s="119"/>
      <x:c r="J313" s="119"/>
      <x:c r="K313" s="119"/>
      <x:c r="L313" s="119"/>
      <x:c r="M313" s="119"/>
      <x:c r="N313" s="115" t="str">
        <x:v>Not Started</x:v>
      </x:c>
      <x:c r="O313" s="115"/>
      <x:c r="P313" s="119"/>
      <x:c r="Q313" s="116"/>
    </x:row>
    <x:row r="314" ht="20" customHeight="1">
      <x:c r="A314" s="83" t="str">
        <x:v>HAYS-0313</x:v>
      </x:c>
      <x:c r="B314" s="87" t="str">
        <x:v>Eupatorium serotinum</x:v>
      </x:c>
      <x:c r="C314" s="87" t="str">
        <x:v>Eupatorium serotinum</x:v>
      </x:c>
      <x:c r="D314" s="84" t="str">
        <x:v>Asteraceae</x:v>
      </x:c>
      <x:c r="E314" s="84" t="str">
        <x:v>Eupatorium</x:v>
      </x:c>
      <x:c r="F314" s="84" t="str">
        <x:v>White Boneset, Lateflowering Thoroughwort, Late Boneset, Late-flowering Boneset</x:v>
      </x:c>
      <x:c r="G314" s="119"/>
      <x:c r="H314" s="119"/>
      <x:c r="I314" s="119"/>
      <x:c r="J314" s="119"/>
      <x:c r="K314" s="119"/>
      <x:c r="L314" s="119"/>
      <x:c r="M314" s="119"/>
      <x:c r="N314" s="115" t="str">
        <x:v>Not Started</x:v>
      </x:c>
      <x:c r="O314" s="115"/>
      <x:c r="P314" s="119"/>
      <x:c r="Q314" s="116"/>
    </x:row>
    <x:row r="315" ht="105" customHeight="1">
      <x:c r="A315" s="83" t="str">
        <x:v>HAYS-0314</x:v>
      </x:c>
      <x:c r="B315" s="87" t="str">
        <x:v>Euphorbia cyathophora</x:v>
      </x:c>
      <x:c r="C315" s="87" t="str">
        <x:v>Euphorbia cyathophora</x:v>
      </x:c>
      <x:c r="D315" s="84" t="str">
        <x:v>Euphorbiaceae</x:v>
      </x:c>
      <x:c r="E315" s="84" t="str">
        <x:v>Euphorbia</x:v>
      </x:c>
      <x:c r="F315" s="84" t="str">
        <x:v>Wild Poinsettia, Poinsettia, Fire On The Mountain</x:v>
      </x:c>
      <x:c r="G315" s="119" t="str">
        <x:v>Tall annual 'wild poinsettia' with alternate leaves and upper bracts often colored white, pink, or red at the base.</x:v>
      </x:c>
      <x:c r="H315" s="119" t="str">
        <x:v>Cyathium present; highly reduced staminate flowers surround a central pistillate flower; involucral glands and sometimes petal-like appendages; milky latex common; capsule typically three-lobed. Species evidence: Leaves usually alternate; distal bracts often colored at base; one involucral gland; green glabrous capsule; leaf shape can vary on one plant.</x:v>
      </x:c>
      <x:c r="I315" s="119" t="str">
        <x:v>E. dentata; E. marginata</x:v>
      </x:c>
      <x:c r="J315" s="119" t="str">
        <x:v>Leaves usually alternate; distal bracts often colored at base; one involucral gland; green glabrous capsule; leaf shape can vary on one plant.</x:v>
      </x:c>
      <x:c r="K315" s="119" t="str">
        <x:v>Whole top, leaf arrangement, bract color pattern, gland count, capsule hairs.</x:v>
      </x:c>
      <x:c r="L315" s="119" t="str">
        <x:v>Bottomlands, banks and disturbed ground; late spring–fall.</x:v>
      </x:c>
      <x:c r="M315" s="119" t="str">
        <x:v>https://floranorthamerica.org/Euphorbia_cyathophora</x:v>
      </x:c>
      <x:c r="N315" s="115" t="str">
        <x:v>In Progress</x:v>
      </x:c>
      <x:c r="O315" s="115" t="str">
        <x:v>Main chat — Euphorbiaceae pilot</x:v>
      </x:c>
      <x:c r="P315" s="119" t="str">
        <x:v>High first-pass. Next: Do not over-weight variable leaf outline.</x:v>
      </x:c>
      <x:c r="Q315" s="116" t="str">
        <x:v>2026-07-28</x:v>
      </x:c>
    </x:row>
    <x:row r="316" ht="105" customHeight="1">
      <x:c r="A316" s="83" t="str">
        <x:v>HAYS-0315</x:v>
      </x:c>
      <x:c r="B316" s="87" t="str">
        <x:v>Euphorbia dentata</x:v>
      </x:c>
      <x:c r="C316" s="87" t="str">
        <x:v>Euphorbia dentata</x:v>
      </x:c>
      <x:c r="D316" s="84" t="str">
        <x:v>Euphorbiaceae</x:v>
      </x:c>
      <x:c r="E316" s="84" t="str">
        <x:v>Euphorbia</x:v>
      </x:c>
      <x:c r="F316" s="84" t="str">
        <x:v>Toothed Spurge, Toothed-leaf Poinsettia</x:v>
      </x:c>
      <x:c r="G316" s="119" t="str">
        <x:v>Upright annual with usually opposite, coarsely toothed leaves and weak filamentlike hairs beneath.</x:v>
      </x:c>
      <x:c r="H316" s="119" t="str">
        <x:v>Cyathium present; highly reduced staminate flowers surround a central pistillate flower; involucral glands and sometimes petal-like appendages; milky latex common; capsule typically three-lobed. Species evidence: Leaves usually opposite with coarsely crenate-dentate or doubly crenate margins; capsule glabrous; 1–2 glands; weak filiform hairs beneath.</x:v>
      </x:c>
      <x:c r="I316" s="119" t="str">
        <x:v>E. cyathophora; E. davidii where present</x:v>
      </x:c>
      <x:c r="J316" s="119" t="str">
        <x:v>Leaves usually opposite with coarsely crenate-dentate or doubly crenate margins; capsule glabrous; 1–2 glands; weak filiform hairs beneath.</x:v>
      </x:c>
      <x:c r="K316" s="119" t="str">
        <x:v>Leaf arrangement and teeth, underside hairs, gland number/form, capsule surface, seed.</x:v>
      </x:c>
      <x:c r="L316" s="119" t="str">
        <x:v>Prairies, glades, banks and disturbed ground; spring–fall.</x:v>
      </x:c>
      <x:c r="M316" s="119" t="str">
        <x:v>https://floranorthamerica.org/Euphorbia_dentata</x:v>
      </x:c>
      <x:c r="N316" s="115" t="str">
        <x:v>In Progress</x:v>
      </x:c>
      <x:c r="O316" s="115" t="str">
        <x:v>Main chat — Euphorbiaceae pilot</x:v>
      </x:c>
      <x:c r="P316" s="119" t="str">
        <x:v>High first-pass. Next: Use seed/capsule details when E. davidii is a realistic regional lookalike.</x:v>
      </x:c>
      <x:c r="Q316" s="116" t="str">
        <x:v>2026-07-28</x:v>
      </x:c>
    </x:row>
    <x:row r="317" ht="105" customHeight="1">
      <x:c r="A317" s="83" t="str">
        <x:v>HAYS-0316</x:v>
      </x:c>
      <x:c r="B317" s="87" t="str">
        <x:v>Euphorbia marginata</x:v>
      </x:c>
      <x:c r="C317" s="87" t="str">
        <x:v>Euphorbia marginata</x:v>
      </x:c>
      <x:c r="D317" s="84" t="str">
        <x:v>Euphorbiaceae</x:v>
      </x:c>
      <x:c r="E317" s="84" t="str">
        <x:v>Euphorbia</x:v>
      </x:c>
      <x:c r="F317" s="84" t="str">
        <x:v>Snow On The Mountain, Snow-on-the-mountain</x:v>
      </x:c>
      <x:c r="G317" s="119" t="str">
        <x:v>Snow-on-the-mountain: conspicuous white margins on the upper leaves and floral bracts.</x:v>
      </x:c>
      <x:c r="H317" s="119" t="str">
        <x:v>Cyathium present; highly reduced staminate flowers surround a central pistillate flower; involucral glands and sometimes petal-like appendages; milky latex common; capsule typically three-lobed. Species evidence: Alternate broad leaves; distal leaves often white-margined; white-margined dichasial bracts; 4–5 glands with large white appendages; ovary/capsule hairy.</x:v>
      </x:c>
      <x:c r="I317" s="119" t="str">
        <x:v>E. cyathophora and cultivated/escaped white-bracted Euphorbia</x:v>
      </x:c>
      <x:c r="J317" s="119" t="str">
        <x:v>Alternate broad leaves; distal leaves often white-margined; white-margined dichasial bracts; 4–5 glands with large white appendages; ovary/capsule hairy.</x:v>
      </x:c>
      <x:c r="K317" s="119" t="str">
        <x:v>Whole flowering top, upper leaf/bract margins, cyathium glands, capsule hairs.</x:v>
      </x:c>
      <x:c r="L317" s="119" t="str">
        <x:v>Grasslands and disturbed areas; summer–fall.</x:v>
      </x:c>
      <x:c r="M317" s="119" t="str">
        <x:v>https://floranorthamerica.org/Euphorbia_marginata</x:v>
      </x:c>
      <x:c r="N317" s="115" t="str">
        <x:v>In Progress</x:v>
      </x:c>
      <x:c r="O317" s="115" t="str">
        <x:v>Main chat — Euphorbiaceae pilot</x:v>
      </x:c>
      <x:c r="P317" s="119" t="str">
        <x:v>High first-pass. Next: Note that vegetative plants lack the easiest white-bract clue.</x:v>
      </x:c>
      <x:c r="Q317" s="116" t="str">
        <x:v>2026-07-28</x:v>
      </x:c>
    </x:row>
    <x:row r="318" ht="105" customHeight="1">
      <x:c r="A318" s="83" t="str">
        <x:v>HAYS-0317</x:v>
      </x:c>
      <x:c r="B318" s="87" t="str">
        <x:v>Euphorbia roemeriana</x:v>
      </x:c>
      <x:c r="C318" s="87" t="str">
        <x:v>Euphorbia roemeriana</x:v>
      </x:c>
      <x:c r="D318" s="84" t="str">
        <x:v>Euphorbiaceae</x:v>
      </x:c>
      <x:c r="E318" s="84" t="str">
        <x:v>Euphorbia</x:v>
      </x:c>
      <x:c r="F318" s="84" t="str">
        <x:v>Roemer's Spurge</x:v>
      </x:c>
      <x:c r="G318" s="119" t="str">
        <x:v>Use the Euphorbia cyathium and three-lobed fruit to reach genus; the species profile remains incomplete.</x:v>
      </x:c>
      <x:c r="H318" s="119" t="str">
        <x:v>Cyathium present; highly reduced staminate flowers surround a central pistillate flower; involucral glands and sometimes petal-like appendages; milky latex common; capsule typically three-lobed. Species evidence: Do not identify by overall narrow-leaved habit alone. Confirm section-level cyathium, leaf arrangement, glands, fruit hairs, and seed.</x:v>
      </x:c>
      <x:c r="I318" s="119" t="str">
        <x:v>Other upright narrow-leaved Euphorbia</x:v>
      </x:c>
      <x:c r="J318" s="119" t="str">
        <x:v>Do not identify by overall narrow-leaved habit alone. Confirm section-level cyathium, leaf arrangement, glands, fruit hairs, and seed.</x:v>
      </x:c>
      <x:c r="K318" s="119" t="str">
        <x:v>Whole habit, leaf pairs and stipules, cyathium from above and side, gland appendages, ovary/capsule hairs, mature seed.</x:v>
      </x:c>
      <x:c r="L318" s="119"/>
      <x:c r="M318" s="119" t="str">
        <x:v>https://floranorthamerica.org/Euphorbia_roemeriana</x:v>
      </x:c>
      <x:c r="N318" s="115" t="str">
        <x:v>In Progress</x:v>
      </x:c>
      <x:c r="O318" s="115" t="str">
        <x:v>Main chat — Euphorbiaceae pilot</x:v>
      </x:c>
      <x:c r="P318" s="119" t="str">
        <x:v>Genus strong / species pending. Next: Complete an authoritative species treatment for E. roemeriana.</x:v>
      </x:c>
      <x:c r="Q318" s="116" t="str">
        <x:v>2026-07-28</x:v>
      </x:c>
    </x:row>
    <x:row r="319" ht="20" customHeight="1">
      <x:c r="A319" s="83" t="str">
        <x:v>HAYS-0318</x:v>
      </x:c>
      <x:c r="B319" s="87" t="str">
        <x:v>Eustoma exaltatum</x:v>
      </x:c>
      <x:c r="C319" s="87" t="str">
        <x:v>Eustoma exaltatum</x:v>
      </x:c>
      <x:c r="D319" s="84" t="str">
        <x:v>Gentianaceae</x:v>
      </x:c>
      <x:c r="E319" s="84" t="str">
        <x:v>Eustoma</x:v>
      </x:c>
      <x:c r="F319" s="84" t="str">
        <x:v>Catchfly Prairie Gentian, Bluebell Gentian, Western Blue Gentian, Blue Marsh Lily, Small Bluebell, Catchfly Gentian, Seaside Gentian</x:v>
      </x:c>
      <x:c r="G319" s="119"/>
      <x:c r="H319" s="119"/>
      <x:c r="I319" s="119"/>
      <x:c r="J319" s="119"/>
      <x:c r="K319" s="119"/>
      <x:c r="L319" s="119"/>
      <x:c r="M319" s="119"/>
      <x:c r="N319" s="115" t="str">
        <x:v>Not Started</x:v>
      </x:c>
      <x:c r="O319" s="115"/>
      <x:c r="P319" s="119"/>
      <x:c r="Q319" s="116"/>
    </x:row>
    <x:row r="320" ht="20" customHeight="1">
      <x:c r="A320" s="83" t="str">
        <x:v>HAYS-0319</x:v>
      </x:c>
      <x:c r="B320" s="87" t="str">
        <x:v>Eustoma exaltatum ssp. russellianum</x:v>
      </x:c>
      <x:c r="C320" s="87" t="str">
        <x:v>Eustoma russellianum</x:v>
      </x:c>
      <x:c r="D320" s="84" t="str">
        <x:v>Gentianaceae</x:v>
      </x:c>
      <x:c r="E320" s="84" t="str">
        <x:v>Eustoma</x:v>
      </x:c>
      <x:c r="F320" s="84" t="str">
        <x:v>Texas Bluebells, Texas Bluebell, Bluebell, Showy Prairie Gentian, Prairie Gentian</x:v>
      </x:c>
      <x:c r="G320" s="119"/>
      <x:c r="H320" s="119"/>
      <x:c r="I320" s="119"/>
      <x:c r="J320" s="119"/>
      <x:c r="K320" s="119"/>
      <x:c r="L320" s="119"/>
      <x:c r="M320" s="119"/>
      <x:c r="N320" s="115" t="str">
        <x:v>Not Started</x:v>
      </x:c>
      <x:c r="O320" s="115"/>
      <x:c r="P320" s="119"/>
      <x:c r="Q320" s="116"/>
    </x:row>
    <x:row r="321" ht="20" customHeight="1">
      <x:c r="A321" s="83" t="str">
        <x:v>HAYS-0320</x:v>
      </x:c>
      <x:c r="B321" s="87" t="str">
        <x:v>Evax candida</x:v>
      </x:c>
      <x:c r="C321" s="87" t="str">
        <x:v>Diaperia candida</x:v>
      </x:c>
      <x:c r="D321" s="84" t="str">
        <x:v>Asteraceae</x:v>
      </x:c>
      <x:c r="E321" s="84" t="str">
        <x:v>Diaperia</x:v>
      </x:c>
      <x:c r="F321" s="84" t="str">
        <x:v>Silver Pygmycudweed</x:v>
      </x:c>
      <x:c r="G321" s="119"/>
      <x:c r="H321" s="119"/>
      <x:c r="I321" s="119"/>
      <x:c r="J321" s="119"/>
      <x:c r="K321" s="119"/>
      <x:c r="L321" s="119"/>
      <x:c r="M321" s="119"/>
      <x:c r="N321" s="115" t="str">
        <x:v>Not Started</x:v>
      </x:c>
      <x:c r="O321" s="115"/>
      <x:c r="P321" s="119"/>
      <x:c r="Q321" s="116"/>
    </x:row>
    <x:row r="322" ht="20" customHeight="1">
      <x:c r="A322" s="83" t="str">
        <x:v>HAYS-0321</x:v>
      </x:c>
      <x:c r="B322" s="87" t="str">
        <x:v>Evax prolifera</x:v>
      </x:c>
      <x:c r="C322" s="87" t="str">
        <x:v>Diaperia prolifera</x:v>
      </x:c>
      <x:c r="D322" s="84" t="str">
        <x:v>Asteraceae</x:v>
      </x:c>
      <x:c r="E322" s="84" t="str">
        <x:v>Diaperia</x:v>
      </x:c>
      <x:c r="F322" s="84" t="str">
        <x:v>Bighead Pygmycudweed, Rabbit Tobacco</x:v>
      </x:c>
      <x:c r="G322" s="119"/>
      <x:c r="H322" s="119"/>
      <x:c r="I322" s="119"/>
      <x:c r="J322" s="119"/>
      <x:c r="K322" s="119"/>
      <x:c r="L322" s="119"/>
      <x:c r="M322" s="119"/>
      <x:c r="N322" s="115" t="str">
        <x:v>Not Started</x:v>
      </x:c>
      <x:c r="O322" s="115"/>
      <x:c r="P322" s="119"/>
      <x:c r="Q322" s="116"/>
    </x:row>
    <x:row r="323" ht="20" customHeight="1">
      <x:c r="A323" s="83" t="str">
        <x:v>HAYS-0322</x:v>
      </x:c>
      <x:c r="B323" s="87" t="str">
        <x:v>Evax verna</x:v>
      </x:c>
      <x:c r="C323" s="87" t="str">
        <x:v>Diaperia verna</x:v>
      </x:c>
      <x:c r="D323" s="84" t="str">
        <x:v>Asteraceae</x:v>
      </x:c>
      <x:c r="E323" s="84" t="str">
        <x:v>Diaperia</x:v>
      </x:c>
      <x:c r="F323" s="84" t="str">
        <x:v>Spring Pygmycudweed</x:v>
      </x:c>
      <x:c r="G323" s="119"/>
      <x:c r="H323" s="119"/>
      <x:c r="I323" s="119"/>
      <x:c r="J323" s="119"/>
      <x:c r="K323" s="119"/>
      <x:c r="L323" s="119"/>
      <x:c r="M323" s="119"/>
      <x:c r="N323" s="115" t="str">
        <x:v>Not Started</x:v>
      </x:c>
      <x:c r="O323" s="115"/>
      <x:c r="P323" s="119"/>
      <x:c r="Q323" s="116"/>
    </x:row>
    <x:row r="324" ht="20" customHeight="1">
      <x:c r="A324" s="83" t="str">
        <x:v>HAYS-0323</x:v>
      </x:c>
      <x:c r="B324" s="87" t="str">
        <x:v>Evolvulus nuttallianus</x:v>
      </x:c>
      <x:c r="C324" s="87" t="str">
        <x:v>Evolvulus nuttallianus</x:v>
      </x:c>
      <x:c r="D324" s="84" t="str">
        <x:v>Convolvulaceae</x:v>
      </x:c>
      <x:c r="E324" s="84" t="str">
        <x:v>Evolvulus</x:v>
      </x:c>
      <x:c r="F324" s="84" t="str">
        <x:v>Shaggy Dwarf Morning-glory, Silky Evolvulus, Shaggy Evolvulus</x:v>
      </x:c>
      <x:c r="G324" s="119"/>
      <x:c r="H324" s="119"/>
      <x:c r="I324" s="119"/>
      <x:c r="J324" s="119"/>
      <x:c r="K324" s="119"/>
      <x:c r="L324" s="119"/>
      <x:c r="M324" s="119"/>
      <x:c r="N324" s="115" t="str">
        <x:v>Not Started</x:v>
      </x:c>
      <x:c r="O324" s="115"/>
      <x:c r="P324" s="119"/>
      <x:c r="Q324" s="116"/>
    </x:row>
    <x:row r="325" ht="20" customHeight="1">
      <x:c r="A325" s="83" t="str">
        <x:v>HAYS-0324</x:v>
      </x:c>
      <x:c r="B325" s="87" t="str">
        <x:v>Evolvulus sericeus</x:v>
      </x:c>
      <x:c r="C325" s="87" t="str">
        <x:v>Evolvulus sericeus</x:v>
      </x:c>
      <x:c r="D325" s="84" t="str">
        <x:v>Convolvulaceae</x:v>
      </x:c>
      <x:c r="E325" s="84" t="str">
        <x:v>Evolvulus</x:v>
      </x:c>
      <x:c r="F325" s="84" t="str">
        <x:v>Silver Dwarf Morning-glory, White Evolvulus</x:v>
      </x:c>
      <x:c r="G325" s="119"/>
      <x:c r="H325" s="119"/>
      <x:c r="I325" s="119"/>
      <x:c r="J325" s="119"/>
      <x:c r="K325" s="119"/>
      <x:c r="L325" s="119"/>
      <x:c r="M325" s="119"/>
      <x:c r="N325" s="115" t="str">
        <x:v>Not Started</x:v>
      </x:c>
      <x:c r="O325" s="115"/>
      <x:c r="P325" s="119"/>
      <x:c r="Q325" s="116"/>
    </x:row>
    <x:row r="326" ht="20" customHeight="1">
      <x:c r="A326" s="83" t="str">
        <x:v>HAYS-0325</x:v>
      </x:c>
      <x:c r="B326" s="87" t="str">
        <x:v>Eysenhardtia texana</x:v>
      </x:c>
      <x:c r="C326" s="87" t="str">
        <x:v>Eysenhardtia texana</x:v>
      </x:c>
      <x:c r="D326" s="84" t="str">
        <x:v>Fabaceae</x:v>
      </x:c>
      <x:c r="E326" s="84" t="str">
        <x:v>Eysenhardtia</x:v>
      </x:c>
      <x:c r="F326" s="84" t="str">
        <x:v>Texas Kidneywood, Kidneywood, Bee Brush, Vara Dulce, Palo Dulce</x:v>
      </x:c>
      <x:c r="G326" s="119"/>
      <x:c r="H326" s="119"/>
      <x:c r="I326" s="119"/>
      <x:c r="J326" s="119"/>
      <x:c r="K326" s="119"/>
      <x:c r="L326" s="119"/>
      <x:c r="M326" s="119"/>
      <x:c r="N326" s="115" t="str">
        <x:v>Not Started</x:v>
      </x:c>
      <x:c r="O326" s="115"/>
      <x:c r="P326" s="119"/>
      <x:c r="Q326" s="116"/>
    </x:row>
    <x:row r="327" ht="20" customHeight="1">
      <x:c r="A327" s="83" t="str">
        <x:v>HAYS-0326</x:v>
      </x:c>
      <x:c r="B327" s="87" t="str">
        <x:v>Festuca versuta</x:v>
      </x:c>
      <x:c r="C327" s="87" t="str">
        <x:v>Festuca versuta</x:v>
      </x:c>
      <x:c r="D327" s="84" t="str">
        <x:v>Poaceae</x:v>
      </x:c>
      <x:c r="E327" s="84" t="str">
        <x:v>Festuca</x:v>
      </x:c>
      <x:c r="F327" s="84" t="str">
        <x:v>Texas Fescue</x:v>
      </x:c>
      <x:c r="G327" s="119"/>
      <x:c r="H327" s="119"/>
      <x:c r="I327" s="119"/>
      <x:c r="J327" s="119"/>
      <x:c r="K327" s="119"/>
      <x:c r="L327" s="119"/>
      <x:c r="M327" s="119"/>
      <x:c r="N327" s="115" t="str">
        <x:v>Not Started</x:v>
      </x:c>
      <x:c r="O327" s="115"/>
      <x:c r="P327" s="119"/>
      <x:c r="Q327" s="116"/>
    </x:row>
    <x:row r="328" ht="20" customHeight="1">
      <x:c r="A328" s="83" t="str">
        <x:v>HAYS-0327</x:v>
      </x:c>
      <x:c r="B328" s="87" t="str">
        <x:v>Fimbristylis puberula</x:v>
      </x:c>
      <x:c r="C328" s="87" t="str">
        <x:v>Fimbristylis puberula</x:v>
      </x:c>
      <x:c r="D328" s="84" t="str">
        <x:v>Cyperaceae</x:v>
      </x:c>
      <x:c r="E328" s="84" t="str">
        <x:v>Fimbristylis</x:v>
      </x:c>
      <x:c r="F328" s="84" t="str">
        <x:v>Hairy Fimbry</x:v>
      </x:c>
      <x:c r="G328" s="119"/>
      <x:c r="H328" s="119"/>
      <x:c r="I328" s="119"/>
      <x:c r="J328" s="119"/>
      <x:c r="K328" s="119"/>
      <x:c r="L328" s="119"/>
      <x:c r="M328" s="119"/>
      <x:c r="N328" s="115" t="str">
        <x:v>Not Started</x:v>
      </x:c>
      <x:c r="O328" s="115"/>
      <x:c r="P328" s="119"/>
      <x:c r="Q328" s="116"/>
    </x:row>
    <x:row r="329" ht="20" customHeight="1">
      <x:c r="A329" s="83" t="str">
        <x:v>HAYS-0328</x:v>
      </x:c>
      <x:c r="B329" s="87" t="str">
        <x:v>Fimbristylis vahlii</x:v>
      </x:c>
      <x:c r="C329" s="87" t="str">
        <x:v>Fimbristylis vahlii</x:v>
      </x:c>
      <x:c r="D329" s="84" t="str">
        <x:v>Cyperaceae</x:v>
      </x:c>
      <x:c r="E329" s="84" t="str">
        <x:v>Fimbristylis</x:v>
      </x:c>
      <x:c r="F329" s="84" t="str">
        <x:v>Vahl's Fimbry</x:v>
      </x:c>
      <x:c r="G329" s="119"/>
      <x:c r="H329" s="119"/>
      <x:c r="I329" s="119"/>
      <x:c r="J329" s="119"/>
      <x:c r="K329" s="119"/>
      <x:c r="L329" s="119"/>
      <x:c r="M329" s="119"/>
      <x:c r="N329" s="115" t="str">
        <x:v>Not Started</x:v>
      </x:c>
      <x:c r="O329" s="115"/>
      <x:c r="P329" s="119"/>
      <x:c r="Q329" s="116"/>
    </x:row>
    <x:row r="330" ht="20" customHeight="1">
      <x:c r="A330" s="83" t="str">
        <x:v>HAYS-0329</x:v>
      </x:c>
      <x:c r="B330" s="87" t="str">
        <x:v>Fleischmannia incarnata</x:v>
      </x:c>
      <x:c r="C330" s="87" t="str">
        <x:v>Fleischmannia incarnata</x:v>
      </x:c>
      <x:c r="D330" s="84" t="str">
        <x:v>Asteraceae</x:v>
      </x:c>
      <x:c r="E330" s="84" t="str">
        <x:v>Fleischmannia</x:v>
      </x:c>
      <x:c r="F330" s="84" t="str">
        <x:v>Pink Thoroughwort</x:v>
      </x:c>
      <x:c r="G330" s="119"/>
      <x:c r="H330" s="119"/>
      <x:c r="I330" s="119"/>
      <x:c r="J330" s="119"/>
      <x:c r="K330" s="119"/>
      <x:c r="L330" s="119"/>
      <x:c r="M330" s="119"/>
      <x:c r="N330" s="115" t="str">
        <x:v>Not Started</x:v>
      </x:c>
      <x:c r="O330" s="115"/>
      <x:c r="P330" s="119"/>
      <x:c r="Q330" s="116"/>
    </x:row>
    <x:row r="331" ht="20" customHeight="1">
      <x:c r="A331" s="83" t="str">
        <x:v>HAYS-0330</x:v>
      </x:c>
      <x:c r="B331" s="87" t="str">
        <x:v>Forestiera pubescens</x:v>
      </x:c>
      <x:c r="C331" s="87" t="str">
        <x:v>Forestiera pubescens</x:v>
      </x:c>
      <x:c r="D331" s="84" t="str">
        <x:v>Oleaceae</x:v>
      </x:c>
      <x:c r="E331" s="84" t="str">
        <x:v>Forestiera</x:v>
      </x:c>
      <x:c r="F331" s="84" t="str">
        <x:v>Elbowbush, Stretchberry, Spring Herald, Desert Olive, Tanglewood, Devil's Elbow, Spring Goldenglow, New Mexico Privet, Texas Forsythia</x:v>
      </x:c>
      <x:c r="G331" s="119"/>
      <x:c r="H331" s="119"/>
      <x:c r="I331" s="119"/>
      <x:c r="J331" s="119"/>
      <x:c r="K331" s="119"/>
      <x:c r="L331" s="119"/>
      <x:c r="M331" s="119"/>
      <x:c r="N331" s="115" t="str">
        <x:v>Not Started</x:v>
      </x:c>
      <x:c r="O331" s="115"/>
      <x:c r="P331" s="119"/>
      <x:c r="Q331" s="116"/>
    </x:row>
    <x:row r="332" ht="20" customHeight="1">
      <x:c r="A332" s="83" t="str">
        <x:v>HAYS-0331</x:v>
      </x:c>
      <x:c r="B332" s="87" t="str">
        <x:v>Frangula caroliniana</x:v>
      </x:c>
      <x:c r="C332" s="87" t="str">
        <x:v>Frangula caroliniana</x:v>
      </x:c>
      <x:c r="D332" s="84" t="str">
        <x:v>Rhamnaceae</x:v>
      </x:c>
      <x:c r="E332" s="84" t="str">
        <x:v>Frangula</x:v>
      </x:c>
      <x:c r="F332" s="84" t="str">
        <x:v>Carolina Buckthorn, Carolina False Buckthorn, Yellow Buckthorn, Indian Cherry, Yellowwood</x:v>
      </x:c>
      <x:c r="G332" s="119"/>
      <x:c r="H332" s="119"/>
      <x:c r="I332" s="119"/>
      <x:c r="J332" s="119"/>
      <x:c r="K332" s="119"/>
      <x:c r="L332" s="119"/>
      <x:c r="M332" s="119"/>
      <x:c r="N332" s="115" t="str">
        <x:v>Not Started</x:v>
      </x:c>
      <x:c r="O332" s="115"/>
      <x:c r="P332" s="119"/>
      <x:c r="Q332" s="116"/>
    </x:row>
    <x:row r="333" ht="20" customHeight="1">
      <x:c r="A333" s="83" t="str">
        <x:v>HAYS-0332</x:v>
      </x:c>
      <x:c r="B333" s="87" t="str">
        <x:v>Fraxinus albicans</x:v>
      </x:c>
      <x:c r="C333" s="87" t="str">
        <x:v>Fraxinus albicans</x:v>
      </x:c>
      <x:c r="D333" s="84" t="str">
        <x:v>Oleaceae</x:v>
      </x:c>
      <x:c r="E333" s="84" t="str">
        <x:v>Fraxinus</x:v>
      </x:c>
      <x:c r="F333" s="84" t="str">
        <x:v>Texas Ash, Mountain Ash</x:v>
      </x:c>
      <x:c r="G333" s="119"/>
      <x:c r="H333" s="119"/>
      <x:c r="I333" s="119"/>
      <x:c r="J333" s="119"/>
      <x:c r="K333" s="119"/>
      <x:c r="L333" s="119"/>
      <x:c r="M333" s="119"/>
      <x:c r="N333" s="115" t="str">
        <x:v>Not Started</x:v>
      </x:c>
      <x:c r="O333" s="115"/>
      <x:c r="P333" s="119"/>
      <x:c r="Q333" s="116"/>
    </x:row>
    <x:row r="334" ht="20" customHeight="1">
      <x:c r="A334" s="83" t="str">
        <x:v>HAYS-0333</x:v>
      </x:c>
      <x:c r="B334" s="87" t="str">
        <x:v>Fraxinus pennsylvanica</x:v>
      </x:c>
      <x:c r="C334" s="87" t="str">
        <x:v>Fraxinus pennsylvanica</x:v>
      </x:c>
      <x:c r="D334" s="84" t="str">
        <x:v>Oleaceae</x:v>
      </x:c>
      <x:c r="E334" s="84" t="str">
        <x:v>Fraxinus</x:v>
      </x:c>
      <x:c r="F334" s="84" t="str">
        <x:v>Green Ash Tree / Water Ash</x:v>
      </x:c>
      <x:c r="G334" s="119"/>
      <x:c r="H334" s="119"/>
      <x:c r="I334" s="119"/>
      <x:c r="J334" s="119"/>
      <x:c r="K334" s="119"/>
      <x:c r="L334" s="119"/>
      <x:c r="M334" s="119"/>
      <x:c r="N334" s="115" t="str">
        <x:v>Not Started</x:v>
      </x:c>
      <x:c r="O334" s="115"/>
      <x:c r="P334" s="119"/>
      <x:c r="Q334" s="116"/>
    </x:row>
    <x:row r="335" ht="20" customHeight="1">
      <x:c r="A335" s="83" t="str">
        <x:v>HAYS-0334</x:v>
      </x:c>
      <x:c r="B335" s="87" t="str">
        <x:v>Froelichia gracilis</x:v>
      </x:c>
      <x:c r="C335" s="87" t="str">
        <x:v>Froelichia gracilis</x:v>
      </x:c>
      <x:c r="D335" s="84" t="str">
        <x:v>Amaranthaceae</x:v>
      </x:c>
      <x:c r="E335" s="84" t="str">
        <x:v>Froelichia</x:v>
      </x:c>
      <x:c r="F335" s="84" t="str">
        <x:v>Slender Snakecotton, Snake-cotton</x:v>
      </x:c>
      <x:c r="G335" s="119"/>
      <x:c r="H335" s="119"/>
      <x:c r="I335" s="119"/>
      <x:c r="J335" s="119"/>
      <x:c r="K335" s="119"/>
      <x:c r="L335" s="119"/>
      <x:c r="M335" s="119"/>
      <x:c r="N335" s="115" t="str">
        <x:v>Not Started</x:v>
      </x:c>
      <x:c r="O335" s="115"/>
      <x:c r="P335" s="119"/>
      <x:c r="Q335" s="116"/>
    </x:row>
    <x:row r="336" ht="20" customHeight="1">
      <x:c r="A336" s="83" t="str">
        <x:v>HAYS-0335</x:v>
      </x:c>
      <x:c r="B336" s="87" t="str">
        <x:v>Fuirena simplex</x:v>
      </x:c>
      <x:c r="C336" s="87" t="str">
        <x:v>Fuirena simplex</x:v>
      </x:c>
      <x:c r="D336" s="84" t="str">
        <x:v>Cyperaceae</x:v>
      </x:c>
      <x:c r="E336" s="84" t="str">
        <x:v>Fuirena</x:v>
      </x:c>
      <x:c r="F336" s="84" t="str">
        <x:v>Western Umbrella-sedge, Umbrellagrass, Western Umbrella Sedge</x:v>
      </x:c>
      <x:c r="G336" s="119"/>
      <x:c r="H336" s="119"/>
      <x:c r="I336" s="119"/>
      <x:c r="J336" s="119"/>
      <x:c r="K336" s="119"/>
      <x:c r="L336" s="119"/>
      <x:c r="M336" s="119"/>
      <x:c r="N336" s="115" t="str">
        <x:v>Not Started</x:v>
      </x:c>
      <x:c r="O336" s="115"/>
      <x:c r="P336" s="119"/>
      <x:c r="Q336" s="116"/>
    </x:row>
    <x:row r="337" ht="20" customHeight="1">
      <x:c r="A337" s="83" t="str">
        <x:v>HAYS-0336</x:v>
      </x:c>
      <x:c r="B337" s="87" t="str">
        <x:v>Funastrum cynanchoides</x:v>
      </x:c>
      <x:c r="C337" s="87" t="str">
        <x:v>Funastrum cynanchoides</x:v>
      </x:c>
      <x:c r="D337" s="84" t="str">
        <x:v>Apocynaceae</x:v>
      </x:c>
      <x:c r="E337" s="84" t="str">
        <x:v>Funastrum</x:v>
      </x:c>
      <x:c r="F337" s="84" t="str">
        <x:v>Fringed Twinevine, Climbing Milkweed Vine, Twine-vine</x:v>
      </x:c>
      <x:c r="G337" s="119"/>
      <x:c r="H337" s="119"/>
      <x:c r="I337" s="119"/>
      <x:c r="J337" s="119"/>
      <x:c r="K337" s="119"/>
      <x:c r="L337" s="119"/>
      <x:c r="M337" s="119"/>
      <x:c r="N337" s="115" t="str">
        <x:v>Not Started</x:v>
      </x:c>
      <x:c r="O337" s="115"/>
      <x:c r="P337" s="119"/>
      <x:c r="Q337" s="116"/>
    </x:row>
    <x:row r="338" ht="20" customHeight="1">
      <x:c r="A338" s="83" t="str">
        <x:v>HAYS-0337</x:v>
      </x:c>
      <x:c r="B338" s="87" t="str">
        <x:v>Gaillardia aestivalis</x:v>
      </x:c>
      <x:c r="C338" s="87" t="str">
        <x:v>Gaillardia aestivalis</x:v>
      </x:c>
      <x:c r="D338" s="84" t="str">
        <x:v>Asteraceae</x:v>
      </x:c>
      <x:c r="E338" s="84" t="str">
        <x:v>Gaillardia</x:v>
      </x:c>
      <x:c r="F338" s="84" t="str">
        <x:v>Lanceleaf blanketflower</x:v>
      </x:c>
      <x:c r="G338" s="119"/>
      <x:c r="H338" s="119"/>
      <x:c r="I338" s="119"/>
      <x:c r="J338" s="119"/>
      <x:c r="K338" s="119"/>
      <x:c r="L338" s="119"/>
      <x:c r="M338" s="119"/>
      <x:c r="N338" s="115" t="str">
        <x:v>Not Started</x:v>
      </x:c>
      <x:c r="O338" s="115"/>
      <x:c r="P338" s="119"/>
      <x:c r="Q338" s="116"/>
    </x:row>
    <x:row r="339" ht="20" customHeight="1">
      <x:c r="A339" s="83" t="str">
        <x:v>HAYS-0338</x:v>
      </x:c>
      <x:c r="B339" s="87" t="str">
        <x:v>Gaillardia amblyodon</x:v>
      </x:c>
      <x:c r="C339" s="87" t="str">
        <x:v>Gaillardia amblyodon</x:v>
      </x:c>
      <x:c r="D339" s="84" t="str">
        <x:v>Asteraceae</x:v>
      </x:c>
      <x:c r="E339" s="84" t="str">
        <x:v>Gaillardia</x:v>
      </x:c>
      <x:c r="F339" s="84" t="str">
        <x:v>Maroon Blanket Flower</x:v>
      </x:c>
      <x:c r="G339" s="119"/>
      <x:c r="H339" s="119"/>
      <x:c r="I339" s="119"/>
      <x:c r="J339" s="119"/>
      <x:c r="K339" s="119"/>
      <x:c r="L339" s="119"/>
      <x:c r="M339" s="119"/>
      <x:c r="N339" s="115" t="str">
        <x:v>Not Started</x:v>
      </x:c>
      <x:c r="O339" s="115"/>
      <x:c r="P339" s="119"/>
      <x:c r="Q339" s="116"/>
    </x:row>
    <x:row r="340" ht="20" customHeight="1">
      <x:c r="A340" s="83" t="str">
        <x:v>HAYS-0339</x:v>
      </x:c>
      <x:c r="B340" s="87" t="str">
        <x:v>Gaillardia pulchella</x:v>
      </x:c>
      <x:c r="C340" s="87" t="str">
        <x:v>Gaillardia pulchella</x:v>
      </x:c>
      <x:c r="D340" s="84" t="str">
        <x:v>Asteraceae</x:v>
      </x:c>
      <x:c r="E340" s="84" t="str">
        <x:v>Gaillardia</x:v>
      </x:c>
      <x:c r="F340" s="84" t="str">
        <x:v>Indian Blanket, Firewheel, Girasol Rojo</x:v>
      </x:c>
      <x:c r="G340" s="119"/>
      <x:c r="H340" s="119"/>
      <x:c r="I340" s="119"/>
      <x:c r="J340" s="119"/>
      <x:c r="K340" s="119"/>
      <x:c r="L340" s="119"/>
      <x:c r="M340" s="119"/>
      <x:c r="N340" s="115" t="str">
        <x:v>Not Started</x:v>
      </x:c>
      <x:c r="O340" s="115"/>
      <x:c r="P340" s="119"/>
      <x:c r="Q340" s="116"/>
    </x:row>
    <x:row r="341" ht="20" customHeight="1">
      <x:c r="A341" s="83" t="str">
        <x:v>HAYS-0340</x:v>
      </x:c>
      <x:c r="B341" s="87" t="str">
        <x:v>Gaillardia suavis</x:v>
      </x:c>
      <x:c r="C341" s="87" t="str">
        <x:v>Gaillardia suavis</x:v>
      </x:c>
      <x:c r="D341" s="84" t="str">
        <x:v>Asteraceae</x:v>
      </x:c>
      <x:c r="E341" s="84" t="str">
        <x:v>Gaillardia</x:v>
      </x:c>
      <x:c r="F341" s="84" t="str">
        <x:v>Pincushion Daisy, Fragrant Gaillardia, Rayless Gaillardia, Perfumeballs</x:v>
      </x:c>
      <x:c r="G341" s="119"/>
      <x:c r="H341" s="119"/>
      <x:c r="I341" s="119"/>
      <x:c r="J341" s="119"/>
      <x:c r="K341" s="119"/>
      <x:c r="L341" s="119"/>
      <x:c r="M341" s="119"/>
      <x:c r="N341" s="115" t="str">
        <x:v>Not Started</x:v>
      </x:c>
      <x:c r="O341" s="115"/>
      <x:c r="P341" s="119"/>
      <x:c r="Q341" s="116"/>
    </x:row>
    <x:row r="342" ht="20" customHeight="1">
      <x:c r="A342" s="83" t="str">
        <x:v>HAYS-0341</x:v>
      </x:c>
      <x:c r="B342" s="87" t="str">
        <x:v>Galactia canescens</x:v>
      </x:c>
      <x:c r="C342" s="87" t="str">
        <x:v>Galactia canescens</x:v>
      </x:c>
      <x:c r="D342" s="84" t="str">
        <x:v>Fabaceae</x:v>
      </x:c>
      <x:c r="E342" s="84" t="str">
        <x:v>Galactia</x:v>
      </x:c>
      <x:c r="F342" s="84" t="str">
        <x:v>Hoary Milkpea</x:v>
      </x:c>
      <x:c r="G342" s="119"/>
      <x:c r="H342" s="119"/>
      <x:c r="I342" s="119"/>
      <x:c r="J342" s="119"/>
      <x:c r="K342" s="119"/>
      <x:c r="L342" s="119"/>
      <x:c r="M342" s="119"/>
      <x:c r="N342" s="115" t="str">
        <x:v>Not Started</x:v>
      </x:c>
      <x:c r="O342" s="115"/>
      <x:c r="P342" s="119"/>
      <x:c r="Q342" s="116"/>
    </x:row>
    <x:row r="343" ht="20" customHeight="1">
      <x:c r="A343" s="83" t="str">
        <x:v>HAYS-0342</x:v>
      </x:c>
      <x:c r="B343" s="87" t="str">
        <x:v>Galactia texana</x:v>
      </x:c>
      <x:c r="C343" s="87" t="str">
        <x:v>Galactia texana</x:v>
      </x:c>
      <x:c r="D343" s="84" t="str">
        <x:v>Fabaceae</x:v>
      </x:c>
      <x:c r="E343" s="84" t="str">
        <x:v>Galactia</x:v>
      </x:c>
      <x:c r="F343" s="84" t="str">
        <x:v>Texas Milkpea</x:v>
      </x:c>
      <x:c r="G343" s="119"/>
      <x:c r="H343" s="119"/>
      <x:c r="I343" s="119"/>
      <x:c r="J343" s="119"/>
      <x:c r="K343" s="119"/>
      <x:c r="L343" s="119"/>
      <x:c r="M343" s="119"/>
      <x:c r="N343" s="115" t="str">
        <x:v>Not Started</x:v>
      </x:c>
      <x:c r="O343" s="115"/>
      <x:c r="P343" s="119"/>
      <x:c r="Q343" s="116"/>
    </x:row>
    <x:row r="344" ht="20" customHeight="1">
      <x:c r="A344" s="83" t="str">
        <x:v>HAYS-0343</x:v>
      </x:c>
      <x:c r="B344" s="87" t="str">
        <x:v>Galium aparine</x:v>
      </x:c>
      <x:c r="C344" s="87" t="str">
        <x:v>Galium aparine</x:v>
      </x:c>
      <x:c r="D344" s="84" t="str">
        <x:v>Rubiaceae</x:v>
      </x:c>
      <x:c r="E344" s="84" t="str">
        <x:v>Galium</x:v>
      </x:c>
      <x:c r="F344" s="84" t="str">
        <x:v>Stickywilly, Catchweed Bedstraw, Cleavers, Common Bedstraw, Sticky Weed, Goose Grass</x:v>
      </x:c>
      <x:c r="G344" s="119"/>
      <x:c r="H344" s="119"/>
      <x:c r="I344" s="119"/>
      <x:c r="J344" s="119"/>
      <x:c r="K344" s="119"/>
      <x:c r="L344" s="119"/>
      <x:c r="M344" s="119"/>
      <x:c r="N344" s="115" t="str">
        <x:v>Not Started</x:v>
      </x:c>
      <x:c r="O344" s="115"/>
      <x:c r="P344" s="119"/>
      <x:c r="Q344" s="116"/>
    </x:row>
    <x:row r="345" ht="20" customHeight="1">
      <x:c r="A345" s="83" t="str">
        <x:v>HAYS-0344</x:v>
      </x:c>
      <x:c r="B345" s="87" t="str">
        <x:v>Galium texense</x:v>
      </x:c>
      <x:c r="C345" s="87" t="str">
        <x:v>Galium texense</x:v>
      </x:c>
      <x:c r="D345" s="84" t="str">
        <x:v>Rubiaceae</x:v>
      </x:c>
      <x:c r="E345" s="84" t="str">
        <x:v>Galium</x:v>
      </x:c>
      <x:c r="F345" s="84" t="str">
        <x:v>Texas Bedstraw</x:v>
      </x:c>
      <x:c r="G345" s="119"/>
      <x:c r="H345" s="119"/>
      <x:c r="I345" s="119"/>
      <x:c r="J345" s="119"/>
      <x:c r="K345" s="119"/>
      <x:c r="L345" s="119"/>
      <x:c r="M345" s="119"/>
      <x:c r="N345" s="115" t="str">
        <x:v>Not Started</x:v>
      </x:c>
      <x:c r="O345" s="115"/>
      <x:c r="P345" s="119"/>
      <x:c r="Q345" s="116"/>
    </x:row>
    <x:row r="346" ht="20" customHeight="1">
      <x:c r="A346" s="83" t="str">
        <x:v>HAYS-0345</x:v>
      </x:c>
      <x:c r="B346" s="87" t="str">
        <x:v>Galium virgatum</x:v>
      </x:c>
      <x:c r="C346" s="87" t="str">
        <x:v>Galium virgatum</x:v>
      </x:c>
      <x:c r="D346" s="84" t="str">
        <x:v>Rubiaceae</x:v>
      </x:c>
      <x:c r="E346" s="84" t="str">
        <x:v>Galium</x:v>
      </x:c>
      <x:c r="F346" s="84" t="str">
        <x:v>Southwestern Bedstraw, Southwest Bedstraw</x:v>
      </x:c>
      <x:c r="G346" s="119"/>
      <x:c r="H346" s="119"/>
      <x:c r="I346" s="119"/>
      <x:c r="J346" s="119"/>
      <x:c r="K346" s="119"/>
      <x:c r="L346" s="119"/>
      <x:c r="M346" s="119"/>
      <x:c r="N346" s="115" t="str">
        <x:v>Not Started</x:v>
      </x:c>
      <x:c r="O346" s="115"/>
      <x:c r="P346" s="119"/>
      <x:c r="Q346" s="116"/>
    </x:row>
    <x:row r="347" ht="20" customHeight="1">
      <x:c r="A347" s="83" t="str">
        <x:v>HAYS-0346</x:v>
      </x:c>
      <x:c r="B347" s="87" t="str">
        <x:v>Galphimia angustifolia</x:v>
      </x:c>
      <x:c r="C347" s="87" t="str">
        <x:v>Galphimia angustifolia</x:v>
      </x:c>
      <x:c r="D347" s="84" t="str">
        <x:v>Malpighiaceae</x:v>
      </x:c>
      <x:c r="E347" s="84" t="str">
        <x:v>Galphimia</x:v>
      </x:c>
      <x:c r="F347" s="84" t="str">
        <x:v>Narrowleaf Goldshower, Thryallis, Narrow-leaf Goldshower</x:v>
      </x:c>
      <x:c r="G347" s="119"/>
      <x:c r="H347" s="119"/>
      <x:c r="I347" s="119"/>
      <x:c r="J347" s="119"/>
      <x:c r="K347" s="119"/>
      <x:c r="L347" s="119"/>
      <x:c r="M347" s="119"/>
      <x:c r="N347" s="115" t="str">
        <x:v>Not Started</x:v>
      </x:c>
      <x:c r="O347" s="115"/>
      <x:c r="P347" s="119"/>
      <x:c r="Q347" s="116"/>
    </x:row>
    <x:row r="348" ht="20" customHeight="1">
      <x:c r="A348" s="83" t="str">
        <x:v>HAYS-0347</x:v>
      </x:c>
      <x:c r="B348" s="87" t="str">
        <x:v>Gamochaeta purpurea</x:v>
      </x:c>
      <x:c r="C348" s="87" t="str">
        <x:v>Gamochaeta purpurea</x:v>
      </x:c>
      <x:c r="D348" s="84" t="str">
        <x:v>Asteraceae</x:v>
      </x:c>
      <x:c r="E348" s="84" t="str">
        <x:v>Gamochaeta</x:v>
      </x:c>
      <x:c r="F348" s="84" t="str">
        <x:v>Spoonleaf Purple Everlasting , Early Cudweed</x:v>
      </x:c>
      <x:c r="G348" s="119"/>
      <x:c r="H348" s="119"/>
      <x:c r="I348" s="119"/>
      <x:c r="J348" s="119"/>
      <x:c r="K348" s="119"/>
      <x:c r="L348" s="119"/>
      <x:c r="M348" s="119"/>
      <x:c r="N348" s="115" t="str">
        <x:v>Not Started</x:v>
      </x:c>
      <x:c r="O348" s="115"/>
      <x:c r="P348" s="119"/>
      <x:c r="Q348" s="116"/>
    </x:row>
    <x:row r="349" ht="20" customHeight="1">
      <x:c r="A349" s="83" t="str">
        <x:v>HAYS-0348</x:v>
      </x:c>
      <x:c r="B349" s="87" t="str">
        <x:v>Garrya ovata ssp. lindheimeri</x:v>
      </x:c>
      <x:c r="C349" s="87" t="str">
        <x:v>Garrya lindheimeri</x:v>
      </x:c>
      <x:c r="D349" s="84" t="str">
        <x:v>Garryaceae</x:v>
      </x:c>
      <x:c r="E349" s="84" t="str">
        <x:v>Garrya</x:v>
      </x:c>
      <x:c r="F349" s="84" t="str">
        <x:v>Mexican Silktassel, Lindheimer's Silktassel</x:v>
      </x:c>
      <x:c r="G349" s="119"/>
      <x:c r="H349" s="119"/>
      <x:c r="I349" s="119"/>
      <x:c r="J349" s="119"/>
      <x:c r="K349" s="119"/>
      <x:c r="L349" s="119"/>
      <x:c r="M349" s="119"/>
      <x:c r="N349" s="115" t="str">
        <x:v>Not Started</x:v>
      </x:c>
      <x:c r="O349" s="115"/>
      <x:c r="P349" s="119"/>
      <x:c r="Q349" s="116"/>
    </x:row>
    <x:row r="350" ht="20" customHeight="1">
      <x:c r="A350" s="83" t="str">
        <x:v>HAYS-0349</x:v>
      </x:c>
      <x:c r="B350" s="87" t="str">
        <x:v>Geranium carolinianum</x:v>
      </x:c>
      <x:c r="C350" s="87" t="str">
        <x:v>Geranium carolinianum</x:v>
      </x:c>
      <x:c r="D350" s="84" t="str">
        <x:v>Geraniaceae</x:v>
      </x:c>
      <x:c r="E350" s="84" t="str">
        <x:v>Geranium</x:v>
      </x:c>
      <x:c r="F350" s="84" t="str">
        <x:v>Carolina Geranium, Wild Geranium, Carolina Cranesbill</x:v>
      </x:c>
      <x:c r="G350" s="119"/>
      <x:c r="H350" s="119"/>
      <x:c r="I350" s="119"/>
      <x:c r="J350" s="119"/>
      <x:c r="K350" s="119"/>
      <x:c r="L350" s="119"/>
      <x:c r="M350" s="119"/>
      <x:c r="N350" s="115" t="str">
        <x:v>Not Started</x:v>
      </x:c>
      <x:c r="O350" s="115"/>
      <x:c r="P350" s="119"/>
      <x:c r="Q350" s="116"/>
    </x:row>
    <x:row r="351" ht="20" customHeight="1">
      <x:c r="A351" s="83" t="str">
        <x:v>HAYS-0350</x:v>
      </x:c>
      <x:c r="B351" s="87" t="str">
        <x:v>Geranium texanum</x:v>
      </x:c>
      <x:c r="C351" s="87" t="str">
        <x:v>Geranium texanum</x:v>
      </x:c>
      <x:c r="D351" s="84" t="str">
        <x:v>Geraniaceae</x:v>
      </x:c>
      <x:c r="E351" s="84" t="str">
        <x:v>Geranium</x:v>
      </x:c>
      <x:c r="F351" s="84" t="str">
        <x:v>Texas Geranium</x:v>
      </x:c>
      <x:c r="G351" s="119"/>
      <x:c r="H351" s="119"/>
      <x:c r="I351" s="119"/>
      <x:c r="J351" s="119"/>
      <x:c r="K351" s="119"/>
      <x:c r="L351" s="119"/>
      <x:c r="M351" s="119"/>
      <x:c r="N351" s="115" t="str">
        <x:v>Not Started</x:v>
      </x:c>
      <x:c r="O351" s="115"/>
      <x:c r="P351" s="119"/>
      <x:c r="Q351" s="116"/>
    </x:row>
    <x:row r="352" ht="20" customHeight="1">
      <x:c r="A352" s="83" t="str">
        <x:v>HAYS-0351</x:v>
      </x:c>
      <x:c r="B352" s="87" t="str">
        <x:v>Geum canadense</x:v>
      </x:c>
      <x:c r="C352" s="87" t="str">
        <x:v>Geum canadense</x:v>
      </x:c>
      <x:c r="D352" s="84" t="str">
        <x:v>Rosaceae</x:v>
      </x:c>
      <x:c r="E352" s="84" t="str">
        <x:v>Geum</x:v>
      </x:c>
      <x:c r="F352" s="84" t="str">
        <x:v>White Avens</x:v>
      </x:c>
      <x:c r="G352" s="119"/>
      <x:c r="H352" s="119"/>
      <x:c r="I352" s="119"/>
      <x:c r="J352" s="119"/>
      <x:c r="K352" s="119"/>
      <x:c r="L352" s="119"/>
      <x:c r="M352" s="119"/>
      <x:c r="N352" s="115" t="str">
        <x:v>Not Started</x:v>
      </x:c>
      <x:c r="O352" s="115"/>
      <x:c r="P352" s="119"/>
      <x:c r="Q352" s="116"/>
    </x:row>
    <x:row r="353" ht="20" customHeight="1">
      <x:c r="A353" s="83" t="str">
        <x:v>HAYS-0352</x:v>
      </x:c>
      <x:c r="B353" s="87" t="str">
        <x:v>Giliastrum incisum</x:v>
      </x:c>
      <x:c r="C353" s="87" t="str">
        <x:v>Giliastrum incisum</x:v>
      </x:c>
      <x:c r="D353" s="84" t="str">
        <x:v>Polemoniaceae</x:v>
      </x:c>
      <x:c r="E353" s="84" t="str">
        <x:v>Giliastrum</x:v>
      </x:c>
      <x:c r="F353" s="84" t="str">
        <x:v>Splitleaf Gilia, Split-leaf Gilia, Cut-leaf Gilia</x:v>
      </x:c>
      <x:c r="G353" s="119"/>
      <x:c r="H353" s="119"/>
      <x:c r="I353" s="119"/>
      <x:c r="J353" s="119"/>
      <x:c r="K353" s="119"/>
      <x:c r="L353" s="119"/>
      <x:c r="M353" s="119"/>
      <x:c r="N353" s="115" t="str">
        <x:v>Not Started</x:v>
      </x:c>
      <x:c r="O353" s="115"/>
      <x:c r="P353" s="119"/>
      <x:c r="Q353" s="116"/>
    </x:row>
    <x:row r="354" ht="20" customHeight="1">
      <x:c r="A354" s="83" t="str">
        <x:v>HAYS-0353</x:v>
      </x:c>
      <x:c r="B354" s="87" t="str">
        <x:v>Giliastrum rigidulum</x:v>
      </x:c>
      <x:c r="C354" s="87" t="str">
        <x:v>Giliastrum rigidulum</x:v>
      </x:c>
      <x:c r="D354" s="84" t="str">
        <x:v>Polemoniaceae</x:v>
      </x:c>
      <x:c r="E354" s="84" t="str">
        <x:v>Giliastrum</x:v>
      </x:c>
      <x:c r="F354" s="84" t="str">
        <x:v>Bluebowls, Blue Gilia</x:v>
      </x:c>
      <x:c r="G354" s="119"/>
      <x:c r="H354" s="119"/>
      <x:c r="I354" s="119"/>
      <x:c r="J354" s="119"/>
      <x:c r="K354" s="119"/>
      <x:c r="L354" s="119"/>
      <x:c r="M354" s="119"/>
      <x:c r="N354" s="115" t="str">
        <x:v>Not Started</x:v>
      </x:c>
      <x:c r="O354" s="115"/>
      <x:c r="P354" s="119"/>
      <x:c r="Q354" s="116"/>
    </x:row>
    <x:row r="355" ht="20" customHeight="1">
      <x:c r="A355" s="83" t="str">
        <x:v>HAYS-0354</x:v>
      </x:c>
      <x:c r="B355" s="87" t="str">
        <x:v>Glandularia bipinnatifida</x:v>
      </x:c>
      <x:c r="C355" s="87" t="str">
        <x:v>Glandularia bipinnatifida</x:v>
      </x:c>
      <x:c r="D355" s="84" t="str">
        <x:v>Verbenaceae</x:v>
      </x:c>
      <x:c r="E355" s="84" t="str">
        <x:v>Glandularia</x:v>
      </x:c>
      <x:c r="F355" s="84" t="str">
        <x:v>Prairie Verbena, Purple Prairie Verbena, Dakota Vervain, Dakota Mock Vervain, Moradilla, Alfombrilla</x:v>
      </x:c>
      <x:c r="G355" s="119"/>
      <x:c r="H355" s="119"/>
      <x:c r="I355" s="119"/>
      <x:c r="J355" s="119"/>
      <x:c r="K355" s="119"/>
      <x:c r="L355" s="119"/>
      <x:c r="M355" s="119"/>
      <x:c r="N355" s="115" t="str">
        <x:v>Not Started</x:v>
      </x:c>
      <x:c r="O355" s="115"/>
      <x:c r="P355" s="119"/>
      <x:c r="Q355" s="116"/>
    </x:row>
    <x:row r="356" ht="20" customHeight="1">
      <x:c r="A356" s="83" t="str">
        <x:v>HAYS-0355</x:v>
      </x:c>
      <x:c r="B356" s="87" t="str">
        <x:v>Glandularia bipinnatifida var. bipinnatifida</x:v>
      </x:c>
      <x:c r="C356" s="87"/>
      <x:c r="D356" s="84" t="str">
        <x:v>[Taxonomy unresolved]</x:v>
      </x:c>
      <x:c r="E356" s="84" t="str">
        <x:v>Glandularia</x:v>
      </x:c>
      <x:c r="F356" s="84" t="str">
        <x:v>Prairie Verbena, Purple Prairie Verbena, Dakota Mock Vervain, Dakota Vervain</x:v>
      </x:c>
      <x:c r="G356" s="119"/>
      <x:c r="H356" s="119"/>
      <x:c r="I356" s="119"/>
      <x:c r="J356" s="119"/>
      <x:c r="K356" s="119"/>
      <x:c r="L356" s="119"/>
      <x:c r="M356" s="119"/>
      <x:c r="N356" s="115" t="str">
        <x:v>Not Started</x:v>
      </x:c>
      <x:c r="O356" s="115"/>
      <x:c r="P356" s="119"/>
      <x:c r="Q356" s="116"/>
    </x:row>
    <x:row r="357" ht="20" customHeight="1">
      <x:c r="A357" s="83" t="str">
        <x:v>HAYS-0356</x:v>
      </x:c>
      <x:c r="B357" s="87" t="str">
        <x:v>Glandularia pumila</x:v>
      </x:c>
      <x:c r="C357" s="87" t="str">
        <x:v>Glandularia pumila</x:v>
      </x:c>
      <x:c r="D357" s="84" t="str">
        <x:v>Verbenaceae</x:v>
      </x:c>
      <x:c r="E357" s="84" t="str">
        <x:v>Glandularia</x:v>
      </x:c>
      <x:c r="F357" s="84" t="str">
        <x:v>Dwarf Vervain, Low Verbena, Pink Mock Vervain, Pink Verbena, Wild Vervain</x:v>
      </x:c>
      <x:c r="G357" s="119"/>
      <x:c r="H357" s="119"/>
      <x:c r="I357" s="119"/>
      <x:c r="J357" s="119"/>
      <x:c r="K357" s="119"/>
      <x:c r="L357" s="119"/>
      <x:c r="M357" s="119"/>
      <x:c r="N357" s="115" t="str">
        <x:v>Not Started</x:v>
      </x:c>
      <x:c r="O357" s="115"/>
      <x:c r="P357" s="119"/>
      <x:c r="Q357" s="116"/>
    </x:row>
    <x:row r="358" ht="20" customHeight="1">
      <x:c r="A358" s="83" t="str">
        <x:v>HAYS-0357</x:v>
      </x:c>
      <x:c r="B358" s="87" t="str">
        <x:v>Gleditsia triacanthos</x:v>
      </x:c>
      <x:c r="C358" s="87" t="str">
        <x:v>Gleditsia triacanthos</x:v>
      </x:c>
      <x:c r="D358" s="84" t="str">
        <x:v>Fabaceae</x:v>
      </x:c>
      <x:c r="E358" s="84" t="str">
        <x:v>Gleditsia</x:v>
      </x:c>
      <x:c r="F358" s="84" t="str">
        <x:v>Honey Locust, Common Honey Locust, Thorny Common Honey Locust, Honey Shucks Locust, Sweet Locust, Thorny Locust, Honey Shucks, Sweet Bean Tree</x:v>
      </x:c>
      <x:c r="G358" s="119"/>
      <x:c r="H358" s="119"/>
      <x:c r="I358" s="119"/>
      <x:c r="J358" s="119"/>
      <x:c r="K358" s="119"/>
      <x:c r="L358" s="119"/>
      <x:c r="M358" s="119"/>
      <x:c r="N358" s="115" t="str">
        <x:v>Not Started</x:v>
      </x:c>
      <x:c r="O358" s="115"/>
      <x:c r="P358" s="119"/>
      <x:c r="Q358" s="116"/>
    </x:row>
    <x:row r="359" ht="20" customHeight="1">
      <x:c r="A359" s="83" t="str">
        <x:v>HAYS-0358</x:v>
      </x:c>
      <x:c r="B359" s="87" t="str">
        <x:v>Grindelia lanceolata</x:v>
      </x:c>
      <x:c r="C359" s="87" t="str">
        <x:v>Grindelia lanceolata</x:v>
      </x:c>
      <x:c r="D359" s="84" t="str">
        <x:v>Asteraceae</x:v>
      </x:c>
      <x:c r="E359" s="84" t="str">
        <x:v>Grindelia</x:v>
      </x:c>
      <x:c r="F359" s="84" t="str">
        <x:v>Narrowleaf Gumweed</x:v>
      </x:c>
      <x:c r="G359" s="119"/>
      <x:c r="H359" s="119"/>
      <x:c r="I359" s="119"/>
      <x:c r="J359" s="119"/>
      <x:c r="K359" s="119"/>
      <x:c r="L359" s="119"/>
      <x:c r="M359" s="119"/>
      <x:c r="N359" s="115" t="str">
        <x:v>Not Started</x:v>
      </x:c>
      <x:c r="O359" s="115"/>
      <x:c r="P359" s="119"/>
      <x:c r="Q359" s="116"/>
    </x:row>
    <x:row r="360" ht="20" customHeight="1">
      <x:c r="A360" s="83" t="str">
        <x:v>HAYS-0359</x:v>
      </x:c>
      <x:c r="B360" s="87" t="str">
        <x:v>Grindelia nuda var. nuda</x:v>
      </x:c>
      <x:c r="C360" s="87"/>
      <x:c r="D360" s="84" t="str">
        <x:v>[Taxonomy unresolved]</x:v>
      </x:c>
      <x:c r="E360" s="84" t="str">
        <x:v>Grindelia</x:v>
      </x:c>
      <x:c r="F360" s="84" t="str">
        <x:v>Curlytop Gumweed</x:v>
      </x:c>
      <x:c r="G360" s="119"/>
      <x:c r="H360" s="119"/>
      <x:c r="I360" s="119"/>
      <x:c r="J360" s="119"/>
      <x:c r="K360" s="119"/>
      <x:c r="L360" s="119"/>
      <x:c r="M360" s="119"/>
      <x:c r="N360" s="115" t="str">
        <x:v>Not Started</x:v>
      </x:c>
      <x:c r="O360" s="115"/>
      <x:c r="P360" s="119"/>
      <x:c r="Q360" s="116"/>
    </x:row>
    <x:row r="361" ht="20" customHeight="1">
      <x:c r="A361" s="83" t="str">
        <x:v>HAYS-0360</x:v>
      </x:c>
      <x:c r="B361" s="87" t="str">
        <x:v>Grindelia papposa</x:v>
      </x:c>
      <x:c r="C361" s="87" t="str">
        <x:v>Grindelia ciliata</x:v>
      </x:c>
      <x:c r="D361" s="84" t="str">
        <x:v>Asteraceae</x:v>
      </x:c>
      <x:c r="E361" s="84" t="str">
        <x:v>Grindelia</x:v>
      </x:c>
      <x:c r="F361" s="84" t="str">
        <x:v>Spanish Gold, Clasping-leaved Haplopappus, Saw-leaf Daisy</x:v>
      </x:c>
      <x:c r="G361" s="119"/>
      <x:c r="H361" s="119"/>
      <x:c r="I361" s="119"/>
      <x:c r="J361" s="119"/>
      <x:c r="K361" s="119"/>
      <x:c r="L361" s="119"/>
      <x:c r="M361" s="119"/>
      <x:c r="N361" s="115" t="str">
        <x:v>Not Started</x:v>
      </x:c>
      <x:c r="O361" s="115"/>
      <x:c r="P361" s="119"/>
      <x:c r="Q361" s="116"/>
    </x:row>
    <x:row r="362" ht="20" customHeight="1">
      <x:c r="A362" s="83" t="str">
        <x:v>HAYS-0361</x:v>
      </x:c>
      <x:c r="B362" s="87" t="str">
        <x:v>Grindelia squarrosa</x:v>
      </x:c>
      <x:c r="C362" s="87" t="str">
        <x:v>Grindelia squarrosa</x:v>
      </x:c>
      <x:c r="D362" s="84" t="str">
        <x:v>Asteraceae</x:v>
      </x:c>
      <x:c r="E362" s="84" t="str">
        <x:v>Grindelia</x:v>
      </x:c>
      <x:c r="F362" s="84" t="str">
        <x:v>Curlycup Gumweed</x:v>
      </x:c>
      <x:c r="G362" s="119"/>
      <x:c r="H362" s="119"/>
      <x:c r="I362" s="119"/>
      <x:c r="J362" s="119"/>
      <x:c r="K362" s="119"/>
      <x:c r="L362" s="119"/>
      <x:c r="M362" s="119"/>
      <x:c r="N362" s="115" t="str">
        <x:v>Not Started</x:v>
      </x:c>
      <x:c r="O362" s="115"/>
      <x:c r="P362" s="119"/>
      <x:c r="Q362" s="116"/>
    </x:row>
    <x:row r="363" ht="20" customHeight="1">
      <x:c r="A363" s="83" t="str">
        <x:v>HAYS-0362</x:v>
      </x:c>
      <x:c r="B363" s="87" t="str">
        <x:v>Gutierrezia texana</x:v>
      </x:c>
      <x:c r="C363" s="87" t="str">
        <x:v>Gutierrezia texana</x:v>
      </x:c>
      <x:c r="D363" s="84" t="str">
        <x:v>Asteraceae</x:v>
      </x:c>
      <x:c r="E363" s="84" t="str">
        <x:v>Gutierrezia</x:v>
      </x:c>
      <x:c r="F363" s="84" t="str">
        <x:v>Texas Snakeweed</x:v>
      </x:c>
      <x:c r="G363" s="119"/>
      <x:c r="H363" s="119"/>
      <x:c r="I363" s="119"/>
      <x:c r="J363" s="119"/>
      <x:c r="K363" s="119"/>
      <x:c r="L363" s="119"/>
      <x:c r="M363" s="119"/>
      <x:c r="N363" s="115" t="str">
        <x:v>Not Started</x:v>
      </x:c>
      <x:c r="O363" s="115"/>
      <x:c r="P363" s="119"/>
      <x:c r="Q363" s="116"/>
    </x:row>
    <x:row r="364" ht="20" customHeight="1">
      <x:c r="A364" s="83" t="str">
        <x:v>HAYS-0363</x:v>
      </x:c>
      <x:c r="B364" s="87" t="str">
        <x:v>Gymnosperma glutinosum</x:v>
      </x:c>
      <x:c r="C364" s="87" t="str">
        <x:v>Gymnosperma glutinosum</x:v>
      </x:c>
      <x:c r="D364" s="84" t="str">
        <x:v>Asteraceae</x:v>
      </x:c>
      <x:c r="E364" s="84" t="str">
        <x:v>Gymnosperma</x:v>
      </x:c>
      <x:c r="F364" s="84" t="str">
        <x:v>Gumhead, Tatalencho</x:v>
      </x:c>
      <x:c r="G364" s="119"/>
      <x:c r="H364" s="119"/>
      <x:c r="I364" s="119"/>
      <x:c r="J364" s="119"/>
      <x:c r="K364" s="119"/>
      <x:c r="L364" s="119"/>
      <x:c r="M364" s="119"/>
      <x:c r="N364" s="115" t="str">
        <x:v>Not Started</x:v>
      </x:c>
      <x:c r="O364" s="115"/>
      <x:c r="P364" s="119"/>
      <x:c r="Q364" s="116"/>
    </x:row>
    <x:row r="365" ht="20" customHeight="1">
      <x:c r="A365" s="83" t="str">
        <x:v>HAYS-0364</x:v>
      </x:c>
      <x:c r="B365" s="87" t="str">
        <x:v>Hedeoma acinoides</x:v>
      </x:c>
      <x:c r="C365" s="87" t="str">
        <x:v>Hedeoma acinoides</x:v>
      </x:c>
      <x:c r="D365" s="84" t="str">
        <x:v>Lamiaceae</x:v>
      </x:c>
      <x:c r="E365" s="84" t="str">
        <x:v>Hedeoma</x:v>
      </x:c>
      <x:c r="F365" s="84" t="str">
        <x:v>Pannyroyal (annual), Slender False Pennyroyal</x:v>
      </x:c>
      <x:c r="G365" s="119"/>
      <x:c r="H365" s="119"/>
      <x:c r="I365" s="119"/>
      <x:c r="J365" s="119"/>
      <x:c r="K365" s="119"/>
      <x:c r="L365" s="119"/>
      <x:c r="M365" s="119"/>
      <x:c r="N365" s="115" t="str">
        <x:v>Not Started</x:v>
      </x:c>
      <x:c r="O365" s="115"/>
      <x:c r="P365" s="119"/>
      <x:c r="Q365" s="116"/>
    </x:row>
    <x:row r="366" ht="20" customHeight="1">
      <x:c r="A366" s="83" t="str">
        <x:v>HAYS-0365</x:v>
      </x:c>
      <x:c r="B366" s="87" t="str">
        <x:v>Hedeoma drummondii</x:v>
      </x:c>
      <x:c r="C366" s="87" t="str">
        <x:v>Hedeoma drummondii</x:v>
      </x:c>
      <x:c r="D366" s="84" t="str">
        <x:v>Lamiaceae</x:v>
      </x:c>
      <x:c r="E366" s="84" t="str">
        <x:v>Hedeoma</x:v>
      </x:c>
      <x:c r="F366" s="84" t="str">
        <x:v>Drummond's False Pennyroyal, Limoncillo, Mock Pennyroyal</x:v>
      </x:c>
      <x:c r="G366" s="119"/>
      <x:c r="H366" s="119"/>
      <x:c r="I366" s="119"/>
      <x:c r="J366" s="119"/>
      <x:c r="K366" s="119"/>
      <x:c r="L366" s="119"/>
      <x:c r="M366" s="119"/>
      <x:c r="N366" s="115" t="str">
        <x:v>Not Started</x:v>
      </x:c>
      <x:c r="O366" s="115"/>
      <x:c r="P366" s="119"/>
      <x:c r="Q366" s="116"/>
    </x:row>
    <x:row r="367" ht="20" customHeight="1">
      <x:c r="A367" s="83" t="str">
        <x:v>HAYS-0366</x:v>
      </x:c>
      <x:c r="B367" s="87" t="str">
        <x:v>Hedeoma reverchonii</x:v>
      </x:c>
      <x:c r="C367" s="87" t="str">
        <x:v>Hedeoma reverchonii</x:v>
      </x:c>
      <x:c r="D367" s="84" t="str">
        <x:v>Lamiaceae</x:v>
      </x:c>
      <x:c r="E367" s="84" t="str">
        <x:v>Hedeoma</x:v>
      </x:c>
      <x:c r="F367" s="84" t="str">
        <x:v>Reverchon's False Pennyroyal</x:v>
      </x:c>
      <x:c r="G367" s="119"/>
      <x:c r="H367" s="119"/>
      <x:c r="I367" s="119"/>
      <x:c r="J367" s="119"/>
      <x:c r="K367" s="119"/>
      <x:c r="L367" s="119"/>
      <x:c r="M367" s="119"/>
      <x:c r="N367" s="115" t="str">
        <x:v>Not Started</x:v>
      </x:c>
      <x:c r="O367" s="115"/>
      <x:c r="P367" s="119"/>
      <x:c r="Q367" s="116"/>
    </x:row>
    <x:row r="368" ht="20" customHeight="1">
      <x:c r="A368" s="83" t="str">
        <x:v>HAYS-0367</x:v>
      </x:c>
      <x:c r="B368" s="87" t="str">
        <x:v>Hedeoma reverchonii var. serpyllifolia</x:v>
      </x:c>
      <x:c r="C368" s="87" t="str">
        <x:v>Hedeoma serpyllifolia</x:v>
      </x:c>
      <x:c r="D368" s="84" t="str">
        <x:v>Lamiaceae</x:v>
      </x:c>
      <x:c r="E368" s="84" t="str">
        <x:v>Hedeoma</x:v>
      </x:c>
      <x:c r="F368" s="84" t="str">
        <x:v>Reverchon's False Pennyroyal, Rock Hedeoma</x:v>
      </x:c>
      <x:c r="G368" s="119"/>
      <x:c r="H368" s="119"/>
      <x:c r="I368" s="119"/>
      <x:c r="J368" s="119"/>
      <x:c r="K368" s="119"/>
      <x:c r="L368" s="119"/>
      <x:c r="M368" s="119"/>
      <x:c r="N368" s="115" t="str">
        <x:v>Not Started</x:v>
      </x:c>
      <x:c r="O368" s="115"/>
      <x:c r="P368" s="119"/>
      <x:c r="Q368" s="116"/>
    </x:row>
    <x:row r="369" ht="20" customHeight="1">
      <x:c r="A369" s="83" t="str">
        <x:v>HAYS-0368</x:v>
      </x:c>
      <x:c r="B369" s="87" t="str">
        <x:v>Helenium amarum</x:v>
      </x:c>
      <x:c r="C369" s="87" t="str">
        <x:v>Helenium amarum</x:v>
      </x:c>
      <x:c r="D369" s="84" t="str">
        <x:v>Asteraceae</x:v>
      </x:c>
      <x:c r="E369" s="84" t="str">
        <x:v>Helenium</x:v>
      </x:c>
      <x:c r="F369" s="84" t="str">
        <x:v>Southern Wild Hyacinth</x:v>
      </x:c>
      <x:c r="G369" s="119"/>
      <x:c r="H369" s="119"/>
      <x:c r="I369" s="119"/>
      <x:c r="J369" s="119"/>
      <x:c r="K369" s="119"/>
      <x:c r="L369" s="119"/>
      <x:c r="M369" s="119"/>
      <x:c r="N369" s="115" t="str">
        <x:v>Not Started</x:v>
      </x:c>
      <x:c r="O369" s="115"/>
      <x:c r="P369" s="119"/>
      <x:c r="Q369" s="116"/>
    </x:row>
    <x:row r="370" ht="20" customHeight="1">
      <x:c r="A370" s="83" t="str">
        <x:v>HAYS-0369</x:v>
      </x:c>
      <x:c r="B370" s="87" t="str">
        <x:v>Helenium amarum var. amarum</x:v>
      </x:c>
      <x:c r="C370" s="87" t="str">
        <x:v>Helenium amarum var. amarum</x:v>
      </x:c>
      <x:c r="D370" s="84" t="str">
        <x:v>Asteraceae</x:v>
      </x:c>
      <x:c r="E370" s="84" t="str">
        <x:v>Helenium</x:v>
      </x:c>
      <x:c r="F370" s="84" t="str">
        <x:v>Yellow Bitterweed, Yellowdicks</x:v>
      </x:c>
      <x:c r="G370" s="119"/>
      <x:c r="H370" s="119"/>
      <x:c r="I370" s="119"/>
      <x:c r="J370" s="119"/>
      <x:c r="K370" s="119"/>
      <x:c r="L370" s="119"/>
      <x:c r="M370" s="119"/>
      <x:c r="N370" s="115" t="str">
        <x:v>Not Started</x:v>
      </x:c>
      <x:c r="O370" s="115"/>
      <x:c r="P370" s="119"/>
      <x:c r="Q370" s="116"/>
    </x:row>
    <x:row r="371" ht="20" customHeight="1">
      <x:c r="A371" s="83" t="str">
        <x:v>HAYS-0370</x:v>
      </x:c>
      <x:c r="B371" s="87" t="str">
        <x:v>Helenium amarum var. badium</x:v>
      </x:c>
      <x:c r="C371" s="87" t="str">
        <x:v>Helenium amarum var. badium</x:v>
      </x:c>
      <x:c r="D371" s="84" t="str">
        <x:v>Asteraceae</x:v>
      </x:c>
      <x:c r="E371" s="84" t="str">
        <x:v>Helenium</x:v>
      </x:c>
      <x:c r="F371" s="84" t="str">
        <x:v>Brown Bitterweed, Basin Sneezeweed</x:v>
      </x:c>
      <x:c r="G371" s="119"/>
      <x:c r="H371" s="119"/>
      <x:c r="I371" s="119"/>
      <x:c r="J371" s="119"/>
      <x:c r="K371" s="119"/>
      <x:c r="L371" s="119"/>
      <x:c r="M371" s="119"/>
      <x:c r="N371" s="115" t="str">
        <x:v>Not Started</x:v>
      </x:c>
      <x:c r="O371" s="115"/>
      <x:c r="P371" s="119"/>
      <x:c r="Q371" s="116"/>
    </x:row>
    <x:row r="372" ht="20" customHeight="1">
      <x:c r="A372" s="83" t="str">
        <x:v>HAYS-0371</x:v>
      </x:c>
      <x:c r="B372" s="87" t="str">
        <x:v>Helenium autumnale</x:v>
      </x:c>
      <x:c r="C372" s="87" t="str">
        <x:v>Helenium autumnale</x:v>
      </x:c>
      <x:c r="D372" s="84" t="str">
        <x:v>Asteraceae</x:v>
      </x:c>
      <x:c r="E372" s="84" t="str">
        <x:v>Helenium</x:v>
      </x:c>
      <x:c r="F372" s="84" t="str">
        <x:v>Common Sneezeweed, Fall Sneezeweed, Autumn Sneezeweed</x:v>
      </x:c>
      <x:c r="G372" s="119"/>
      <x:c r="H372" s="119"/>
      <x:c r="I372" s="119"/>
      <x:c r="J372" s="119"/>
      <x:c r="K372" s="119"/>
      <x:c r="L372" s="119"/>
      <x:c r="M372" s="119"/>
      <x:c r="N372" s="115" t="str">
        <x:v>Not Started</x:v>
      </x:c>
      <x:c r="O372" s="115"/>
      <x:c r="P372" s="119"/>
      <x:c r="Q372" s="116"/>
    </x:row>
    <x:row r="373" ht="20" customHeight="1">
      <x:c r="A373" s="83" t="str">
        <x:v>HAYS-0372</x:v>
      </x:c>
      <x:c r="B373" s="87" t="str">
        <x:v>Helenium elegans</x:v>
      </x:c>
      <x:c r="C373" s="87" t="str">
        <x:v>Helenium elegans</x:v>
      </x:c>
      <x:c r="D373" s="84" t="str">
        <x:v>Asteraceae</x:v>
      </x:c>
      <x:c r="E373" s="84" t="str">
        <x:v>Helenium</x:v>
      </x:c>
      <x:c r="F373" s="84" t="str">
        <x:v>Pretty Sneezeweed</x:v>
      </x:c>
      <x:c r="G373" s="119"/>
      <x:c r="H373" s="119"/>
      <x:c r="I373" s="119"/>
      <x:c r="J373" s="119"/>
      <x:c r="K373" s="119"/>
      <x:c r="L373" s="119"/>
      <x:c r="M373" s="119"/>
      <x:c r="N373" s="115" t="str">
        <x:v>Not Started</x:v>
      </x:c>
      <x:c r="O373" s="115"/>
      <x:c r="P373" s="119"/>
      <x:c r="Q373" s="116"/>
    </x:row>
    <x:row r="374" ht="20" customHeight="1">
      <x:c r="A374" s="83" t="str">
        <x:v>HAYS-0373</x:v>
      </x:c>
      <x:c r="B374" s="87" t="str">
        <x:v>Helenium quadridentatum</x:v>
      </x:c>
      <x:c r="C374" s="87" t="str">
        <x:v>Helenium quadridentatum</x:v>
      </x:c>
      <x:c r="D374" s="84" t="str">
        <x:v>Asteraceae</x:v>
      </x:c>
      <x:c r="E374" s="84" t="str">
        <x:v>Helenium</x:v>
      </x:c>
      <x:c r="F374" s="84" t="str">
        <x:v>Longdisk Sneezeweed, Sneezeweed</x:v>
      </x:c>
      <x:c r="G374" s="119"/>
      <x:c r="H374" s="119"/>
      <x:c r="I374" s="119"/>
      <x:c r="J374" s="119"/>
      <x:c r="K374" s="119"/>
      <x:c r="L374" s="119"/>
      <x:c r="M374" s="119"/>
      <x:c r="N374" s="115" t="str">
        <x:v>Not Started</x:v>
      </x:c>
      <x:c r="O374" s="115"/>
      <x:c r="P374" s="119"/>
      <x:c r="Q374" s="116"/>
    </x:row>
    <x:row r="375" ht="20" customHeight="1">
      <x:c r="A375" s="83" t="str">
        <x:v>HAYS-0374</x:v>
      </x:c>
      <x:c r="B375" s="87" t="str">
        <x:v>Helianthus annuus</x:v>
      </x:c>
      <x:c r="C375" s="87" t="str">
        <x:v>Helianthus annuus</x:v>
      </x:c>
      <x:c r="D375" s="84" t="str">
        <x:v>Asteraceae</x:v>
      </x:c>
      <x:c r="E375" s="84" t="str">
        <x:v>Helianthus</x:v>
      </x:c>
      <x:c r="F375" s="84" t="str">
        <x:v>Common Sunflower, Annual Sunflower</x:v>
      </x:c>
      <x:c r="G375" s="119"/>
      <x:c r="H375" s="119"/>
      <x:c r="I375" s="119"/>
      <x:c r="J375" s="119"/>
      <x:c r="K375" s="119"/>
      <x:c r="L375" s="119"/>
      <x:c r="M375" s="119"/>
      <x:c r="N375" s="115" t="str">
        <x:v>Not Started</x:v>
      </x:c>
      <x:c r="O375" s="115"/>
      <x:c r="P375" s="119"/>
      <x:c r="Q375" s="116"/>
    </x:row>
    <x:row r="376" ht="20" customHeight="1">
      <x:c r="A376" s="83" t="str">
        <x:v>HAYS-0375</x:v>
      </x:c>
      <x:c r="B376" s="87" t="str">
        <x:v>Helianthus maximiliani</x:v>
      </x:c>
      <x:c r="C376" s="87" t="str">
        <x:v>Helianthus maximiliani</x:v>
      </x:c>
      <x:c r="D376" s="84" t="str">
        <x:v>Asteraceae</x:v>
      </x:c>
      <x:c r="E376" s="84" t="str">
        <x:v>Helianthus</x:v>
      </x:c>
      <x:c r="F376" s="84" t="str">
        <x:v>Maximilian Sunflower, Max Sunflower</x:v>
      </x:c>
      <x:c r="G376" s="119"/>
      <x:c r="H376" s="119"/>
      <x:c r="I376" s="119"/>
      <x:c r="J376" s="119"/>
      <x:c r="K376" s="119"/>
      <x:c r="L376" s="119"/>
      <x:c r="M376" s="119"/>
      <x:c r="N376" s="115" t="str">
        <x:v>Not Started</x:v>
      </x:c>
      <x:c r="O376" s="115"/>
      <x:c r="P376" s="119"/>
      <x:c r="Q376" s="116"/>
    </x:row>
    <x:row r="377" ht="20" customHeight="1">
      <x:c r="A377" s="83" t="str">
        <x:v>HAYS-0376</x:v>
      </x:c>
      <x:c r="B377" s="87" t="str">
        <x:v>Heliotropium procumbens</x:v>
      </x:c>
      <x:c r="C377" s="87" t="str">
        <x:v>Euploca procumbens</x:v>
      </x:c>
      <x:c r="D377" s="84" t="str">
        <x:v>Boraginaceae</x:v>
      </x:c>
      <x:c r="E377" s="84" t="str">
        <x:v>Euploca</x:v>
      </x:c>
      <x:c r="F377" s="84" t="str">
        <x:v>Fourspike Heliotrope</x:v>
      </x:c>
      <x:c r="G377" s="119"/>
      <x:c r="H377" s="119"/>
      <x:c r="I377" s="119"/>
      <x:c r="J377" s="119"/>
      <x:c r="K377" s="119"/>
      <x:c r="L377" s="119"/>
      <x:c r="M377" s="119"/>
      <x:c r="N377" s="115" t="str">
        <x:v>Not Started</x:v>
      </x:c>
      <x:c r="O377" s="115"/>
      <x:c r="P377" s="119"/>
      <x:c r="Q377" s="116"/>
    </x:row>
    <x:row r="378" ht="20" customHeight="1">
      <x:c r="A378" s="83" t="str">
        <x:v>HAYS-0377</x:v>
      </x:c>
      <x:c r="B378" s="87" t="str">
        <x:v>Heliotropium tenellum</x:v>
      </x:c>
      <x:c r="C378" s="87" t="str">
        <x:v>Euploca tenella</x:v>
      </x:c>
      <x:c r="D378" s="84" t="str">
        <x:v>Boraginaceae</x:v>
      </x:c>
      <x:c r="E378" s="84" t="str">
        <x:v>Euploca</x:v>
      </x:c>
      <x:c r="F378" s="84" t="str">
        <x:v>Pasture Heliotrope, White Heliotrope</x:v>
      </x:c>
      <x:c r="G378" s="119"/>
      <x:c r="H378" s="119"/>
      <x:c r="I378" s="119"/>
      <x:c r="J378" s="119"/>
      <x:c r="K378" s="119"/>
      <x:c r="L378" s="119"/>
      <x:c r="M378" s="119"/>
      <x:c r="N378" s="115" t="str">
        <x:v>Not Started</x:v>
      </x:c>
      <x:c r="O378" s="115"/>
      <x:c r="P378" s="119"/>
      <x:c r="Q378" s="116"/>
    </x:row>
    <x:row r="379" ht="20" customHeight="1">
      <x:c r="A379" s="83" t="str">
        <x:v>HAYS-0378</x:v>
      </x:c>
      <x:c r="B379" s="87" t="str">
        <x:v>Hesperaloe parviflora</x:v>
      </x:c>
      <x:c r="C379" s="87" t="str">
        <x:v>Hesperaloe parviflora</x:v>
      </x:c>
      <x:c r="D379" s="84" t="str">
        <x:v>Asparagaceae</x:v>
      </x:c>
      <x:c r="E379" s="84" t="str">
        <x:v>Hesperaloe</x:v>
      </x:c>
      <x:c r="F379" s="84" t="str">
        <x:v>Red Yucca, Coral Yucca, Red-flowered False Yucca, Redflower False Yucca, Yellow Yucca, Hummingbird Yucca, Samandoque</x:v>
      </x:c>
      <x:c r="G379" s="119"/>
      <x:c r="H379" s="119"/>
      <x:c r="I379" s="119"/>
      <x:c r="J379" s="119"/>
      <x:c r="K379" s="119"/>
      <x:c r="L379" s="119"/>
      <x:c r="M379" s="119"/>
      <x:c r="N379" s="115" t="str">
        <x:v>Not Started</x:v>
      </x:c>
      <x:c r="O379" s="115"/>
      <x:c r="P379" s="119"/>
      <x:c r="Q379" s="116"/>
    </x:row>
    <x:row r="380" ht="20" customHeight="1">
      <x:c r="A380" s="83" t="str">
        <x:v>HAYS-0379</x:v>
      </x:c>
      <x:c r="B380" s="87" t="str">
        <x:v>Heteranthera dubia</x:v>
      </x:c>
      <x:c r="C380" s="87" t="str">
        <x:v>Heteranthera dubia</x:v>
      </x:c>
      <x:c r="D380" s="84" t="str">
        <x:v>Pontederiaceae</x:v>
      </x:c>
      <x:c r="E380" s="84" t="str">
        <x:v>Heteranthera</x:v>
      </x:c>
      <x:c r="F380" s="84" t="str">
        <x:v>Grassleaf Mudplantain, Water Stargrass</x:v>
      </x:c>
      <x:c r="G380" s="119"/>
      <x:c r="H380" s="119"/>
      <x:c r="I380" s="119"/>
      <x:c r="J380" s="119"/>
      <x:c r="K380" s="119"/>
      <x:c r="L380" s="119"/>
      <x:c r="M380" s="119"/>
      <x:c r="N380" s="115" t="str">
        <x:v>Not Started</x:v>
      </x:c>
      <x:c r="O380" s="115"/>
      <x:c r="P380" s="119"/>
      <x:c r="Q380" s="116"/>
    </x:row>
    <x:row r="381" ht="20" customHeight="1">
      <x:c r="A381" s="83" t="str">
        <x:v>HAYS-0380</x:v>
      </x:c>
      <x:c r="B381" s="87" t="str">
        <x:v>Heterotheca canescens</x:v>
      </x:c>
      <x:c r="C381" s="87" t="str">
        <x:v>Heterotheca canescens</x:v>
      </x:c>
      <x:c r="D381" s="84" t="str">
        <x:v>Asteraceae</x:v>
      </x:c>
      <x:c r="E381" s="84" t="str">
        <x:v>Heterotheca</x:v>
      </x:c>
      <x:c r="F381" s="84" t="str">
        <x:v>Hoary False Goldenaster, Gray Golden-aster</x:v>
      </x:c>
      <x:c r="G381" s="119"/>
      <x:c r="H381" s="119"/>
      <x:c r="I381" s="119"/>
      <x:c r="J381" s="119"/>
      <x:c r="K381" s="119"/>
      <x:c r="L381" s="119"/>
      <x:c r="M381" s="119"/>
      <x:c r="N381" s="115" t="str">
        <x:v>Not Started</x:v>
      </x:c>
      <x:c r="O381" s="115"/>
      <x:c r="P381" s="119"/>
      <x:c r="Q381" s="116"/>
    </x:row>
    <x:row r="382" ht="20" customHeight="1">
      <x:c r="A382" s="83" t="str">
        <x:v>HAYS-0381</x:v>
      </x:c>
      <x:c r="B382" s="87" t="str">
        <x:v>Heterotheca stenophylla</x:v>
      </x:c>
      <x:c r="C382" s="87" t="str">
        <x:v>Heterotheca stenophylla</x:v>
      </x:c>
      <x:c r="D382" s="84" t="str">
        <x:v>Asteraceae</x:v>
      </x:c>
      <x:c r="E382" s="84" t="str">
        <x:v>Heterotheca</x:v>
      </x:c>
      <x:c r="F382" s="84" t="str">
        <x:v>Stiffleaf False Goldenaster, Sticky Granite-daisy</x:v>
      </x:c>
      <x:c r="G382" s="119"/>
      <x:c r="H382" s="119"/>
      <x:c r="I382" s="119"/>
      <x:c r="J382" s="119"/>
      <x:c r="K382" s="119"/>
      <x:c r="L382" s="119"/>
      <x:c r="M382" s="119"/>
      <x:c r="N382" s="115" t="str">
        <x:v>Not Started</x:v>
      </x:c>
      <x:c r="O382" s="115"/>
      <x:c r="P382" s="119"/>
      <x:c r="Q382" s="116"/>
    </x:row>
    <x:row r="383" ht="20" customHeight="1">
      <x:c r="A383" s="83" t="str">
        <x:v>HAYS-0382</x:v>
      </x:c>
      <x:c r="B383" s="87" t="str">
        <x:v>Heterotheca subaxillaris</x:v>
      </x:c>
      <x:c r="C383" s="87" t="str">
        <x:v>Heterotheca subaxillaris</x:v>
      </x:c>
      <x:c r="D383" s="84" t="str">
        <x:v>Asteraceae</x:v>
      </x:c>
      <x:c r="E383" s="84" t="str">
        <x:v>Heterotheca</x:v>
      </x:c>
      <x:c r="F383" s="84" t="str">
        <x:v>Camphorweed, Camphor Weed</x:v>
      </x:c>
      <x:c r="G383" s="119"/>
      <x:c r="H383" s="119"/>
      <x:c r="I383" s="119"/>
      <x:c r="J383" s="119"/>
      <x:c r="K383" s="119"/>
      <x:c r="L383" s="119"/>
      <x:c r="M383" s="119"/>
      <x:c r="N383" s="115" t="str">
        <x:v>Not Started</x:v>
      </x:c>
      <x:c r="O383" s="115"/>
      <x:c r="P383" s="119"/>
      <x:c r="Q383" s="116"/>
    </x:row>
    <x:row r="384" ht="20" customHeight="1">
      <x:c r="A384" s="83" t="str">
        <x:v>HAYS-0383</x:v>
      </x:c>
      <x:c r="B384" s="87" t="str">
        <x:v>Heterotheca villosa</x:v>
      </x:c>
      <x:c r="C384" s="87" t="str">
        <x:v>Heterotheca villosa</x:v>
      </x:c>
      <x:c r="D384" s="84" t="str">
        <x:v>Asteraceae</x:v>
      </x:c>
      <x:c r="E384" s="84" t="str">
        <x:v>Heterotheca</x:v>
      </x:c>
      <x:c r="F384" s="84" t="str">
        <x:v>Hairy False Goldenaster, Hairy Golden-aster</x:v>
      </x:c>
      <x:c r="G384" s="119"/>
      <x:c r="H384" s="119"/>
      <x:c r="I384" s="119"/>
      <x:c r="J384" s="119"/>
      <x:c r="K384" s="119"/>
      <x:c r="L384" s="119"/>
      <x:c r="M384" s="119"/>
      <x:c r="N384" s="115" t="str">
        <x:v>Not Started</x:v>
      </x:c>
      <x:c r="O384" s="115"/>
      <x:c r="P384" s="119"/>
      <x:c r="Q384" s="116"/>
    </x:row>
    <x:row r="385" ht="20" customHeight="1">
      <x:c r="A385" s="83" t="str">
        <x:v>HAYS-0384</x:v>
      </x:c>
      <x:c r="B385" s="87" t="str">
        <x:v>Hexalectris nitida</x:v>
      </x:c>
      <x:c r="C385" s="87" t="str">
        <x:v>Bletia nitida</x:v>
      </x:c>
      <x:c r="D385" s="84" t="str">
        <x:v>Orchidaceae</x:v>
      </x:c>
      <x:c r="E385" s="84" t="str">
        <x:v>Bletia</x:v>
      </x:c>
      <x:c r="F385" s="84" t="str">
        <x:v>Glass Mountain Crested Coralroot, Glass Mountain Crested Coral Root</x:v>
      </x:c>
      <x:c r="G385" s="119"/>
      <x:c r="H385" s="119"/>
      <x:c r="I385" s="119"/>
      <x:c r="J385" s="119"/>
      <x:c r="K385" s="119"/>
      <x:c r="L385" s="119"/>
      <x:c r="M385" s="119"/>
      <x:c r="N385" s="115" t="str">
        <x:v>Not Started</x:v>
      </x:c>
      <x:c r="O385" s="115"/>
      <x:c r="P385" s="119"/>
      <x:c r="Q385" s="116"/>
    </x:row>
    <x:row r="386" ht="20" customHeight="1">
      <x:c r="A386" s="83" t="str">
        <x:v>HAYS-0385</x:v>
      </x:c>
      <x:c r="B386" s="87" t="str">
        <x:v>Hexalectris warnockii</x:v>
      </x:c>
      <x:c r="C386" s="87" t="str">
        <x:v>Bletia warnockii</x:v>
      </x:c>
      <x:c r="D386" s="84" t="str">
        <x:v>Orchidaceae</x:v>
      </x:c>
      <x:c r="E386" s="84" t="str">
        <x:v>Bletia</x:v>
      </x:c>
      <x:c r="F386" s="84" t="str">
        <x:v>Texas Crested Coralroot, Texas Purple Spike, Texas Crested Coral Root</x:v>
      </x:c>
      <x:c r="G386" s="119"/>
      <x:c r="H386" s="119"/>
      <x:c r="I386" s="119"/>
      <x:c r="J386" s="119"/>
      <x:c r="K386" s="119"/>
      <x:c r="L386" s="119"/>
      <x:c r="M386" s="119"/>
      <x:c r="N386" s="115" t="str">
        <x:v>Not Started</x:v>
      </x:c>
      <x:c r="O386" s="115"/>
      <x:c r="P386" s="119"/>
      <x:c r="Q386" s="116"/>
    </x:row>
    <x:row r="387" ht="20" customHeight="1">
      <x:c r="A387" s="83" t="str">
        <x:v>HAYS-0386</x:v>
      </x:c>
      <x:c r="B387" s="87" t="str">
        <x:v>Hibiscus laevis</x:v>
      </x:c>
      <x:c r="C387" s="87" t="str">
        <x:v>Muenchhusia laevis</x:v>
      </x:c>
      <x:c r="D387" s="84" t="str">
        <x:v>Malvaceae</x:v>
      </x:c>
      <x:c r="E387" s="84" t="str">
        <x:v>Muenchhusia</x:v>
      </x:c>
      <x:c r="F387" s="84" t="str">
        <x:v>Halberdleaf Rosemallow, Halberdleaf Hibiscus, Scarlet Rose Mallow, Halberd-leaved Hibiscus, Halberd-leaved Rose-mallow</x:v>
      </x:c>
      <x:c r="G387" s="119"/>
      <x:c r="H387" s="119"/>
      <x:c r="I387" s="119"/>
      <x:c r="J387" s="119"/>
      <x:c r="K387" s="119"/>
      <x:c r="L387" s="119"/>
      <x:c r="M387" s="119"/>
      <x:c r="N387" s="115" t="str">
        <x:v>Not Started</x:v>
      </x:c>
      <x:c r="O387" s="115"/>
      <x:c r="P387" s="119"/>
      <x:c r="Q387" s="116"/>
    </x:row>
    <x:row r="388" ht="20" customHeight="1">
      <x:c r="A388" s="83" t="str">
        <x:v>HAYS-0387</x:v>
      </x:c>
      <x:c r="B388" s="87" t="str">
        <x:v>Hibiscus moscheutos</x:v>
      </x:c>
      <x:c r="C388" s="87" t="str">
        <x:v>Muenchhusia moscheutos</x:v>
      </x:c>
      <x:c r="D388" s="84" t="str">
        <x:v>Malvaceae</x:v>
      </x:c>
      <x:c r="E388" s="84" t="str">
        <x:v>Muenchhusia</x:v>
      </x:c>
      <x:c r="F388" s="84" t="str">
        <x:v>Crimson-eyed Rose-mallow, Marshmallow Hibiscus</x:v>
      </x:c>
      <x:c r="G388" s="119"/>
      <x:c r="H388" s="119"/>
      <x:c r="I388" s="119"/>
      <x:c r="J388" s="119"/>
      <x:c r="K388" s="119"/>
      <x:c r="L388" s="119"/>
      <x:c r="M388" s="119"/>
      <x:c r="N388" s="115" t="str">
        <x:v>Not Started</x:v>
      </x:c>
      <x:c r="O388" s="115"/>
      <x:c r="P388" s="119"/>
      <x:c r="Q388" s="116"/>
    </x:row>
    <x:row r="389" ht="20" customHeight="1">
      <x:c r="A389" s="83" t="str">
        <x:v>HAYS-0388</x:v>
      </x:c>
      <x:c r="B389" s="87" t="str">
        <x:v>Hilaria belangeri</x:v>
      </x:c>
      <x:c r="C389" s="87" t="str">
        <x:v>Hilaria belangeri</x:v>
      </x:c>
      <x:c r="D389" s="84" t="str">
        <x:v>Poaceae</x:v>
      </x:c>
      <x:c r="E389" s="84" t="str">
        <x:v>Hilaria</x:v>
      </x:c>
      <x:c r="F389" s="84" t="str">
        <x:v>Curly Mesquite Grass, Curly Mesquite</x:v>
      </x:c>
      <x:c r="G389" s="119"/>
      <x:c r="H389" s="119"/>
      <x:c r="I389" s="119"/>
      <x:c r="J389" s="119"/>
      <x:c r="K389" s="119"/>
      <x:c r="L389" s="119"/>
      <x:c r="M389" s="119"/>
      <x:c r="N389" s="115" t="str">
        <x:v>Not Started</x:v>
      </x:c>
      <x:c r="O389" s="115"/>
      <x:c r="P389" s="119"/>
      <x:c r="Q389" s="116"/>
    </x:row>
    <x:row r="390" ht="20" customHeight="1">
      <x:c r="A390" s="83" t="str">
        <x:v>HAYS-0389</x:v>
      </x:c>
      <x:c r="B390" s="87" t="str">
        <x:v>Hordeum pusillum</x:v>
      </x:c>
      <x:c r="C390" s="87" t="str">
        <x:v>Hordeum pusillum</x:v>
      </x:c>
      <x:c r="D390" s="84" t="str">
        <x:v>Poaceae</x:v>
      </x:c>
      <x:c r="E390" s="84" t="str">
        <x:v>Hordeum</x:v>
      </x:c>
      <x:c r="F390" s="84" t="str">
        <x:v>Little Barley</x:v>
      </x:c>
      <x:c r="G390" s="119"/>
      <x:c r="H390" s="119"/>
      <x:c r="I390" s="119"/>
      <x:c r="J390" s="119"/>
      <x:c r="K390" s="119"/>
      <x:c r="L390" s="119"/>
      <x:c r="M390" s="119"/>
      <x:c r="N390" s="115" t="str">
        <x:v>Not Started</x:v>
      </x:c>
      <x:c r="O390" s="115"/>
      <x:c r="P390" s="119"/>
      <x:c r="Q390" s="116"/>
    </x:row>
    <x:row r="391" ht="20" customHeight="1">
      <x:c r="A391" s="83" t="str">
        <x:v>HAYS-0390</x:v>
      </x:c>
      <x:c r="B391" s="87" t="str">
        <x:v>Hydrocotyle umbellata</x:v>
      </x:c>
      <x:c r="C391" s="87" t="str">
        <x:v>Hydrocotyle umbellata</x:v>
      </x:c>
      <x:c r="D391" s="84" t="str">
        <x:v>Araliaceae</x:v>
      </x:c>
      <x:c r="E391" s="84" t="str">
        <x:v>Hydrocotyle</x:v>
      </x:c>
      <x:c r="F391" s="84" t="str">
        <x:v>Manyflower Marsh-pennywort, Many-flowered Marsh-pennywort, Marsh Pennywort, Water Pennywort, Money Plant</x:v>
      </x:c>
      <x:c r="G391" s="119"/>
      <x:c r="H391" s="119"/>
      <x:c r="I391" s="119"/>
      <x:c r="J391" s="119"/>
      <x:c r="K391" s="119"/>
      <x:c r="L391" s="119"/>
      <x:c r="M391" s="119"/>
      <x:c r="N391" s="115" t="str">
        <x:v>Not Started</x:v>
      </x:c>
      <x:c r="O391" s="115"/>
      <x:c r="P391" s="119"/>
      <x:c r="Q391" s="116"/>
    </x:row>
    <x:row r="392" ht="20" customHeight="1">
      <x:c r="A392" s="83" t="str">
        <x:v>HAYS-0391</x:v>
      </x:c>
      <x:c r="B392" s="87" t="str">
        <x:v>Hydrocotyle verticillata</x:v>
      </x:c>
      <x:c r="C392" s="87" t="str">
        <x:v>Hydrocotyle verticillata</x:v>
      </x:c>
      <x:c r="D392" s="84" t="str">
        <x:v>Araliaceae</x:v>
      </x:c>
      <x:c r="E392" s="84" t="str">
        <x:v>Hydrocotyle</x:v>
      </x:c>
      <x:c r="F392" s="84" t="str">
        <x:v>Whorled Marshpennywort</x:v>
      </x:c>
      <x:c r="G392" s="119"/>
      <x:c r="H392" s="119"/>
      <x:c r="I392" s="119"/>
      <x:c r="J392" s="119"/>
      <x:c r="K392" s="119"/>
      <x:c r="L392" s="119"/>
      <x:c r="M392" s="119"/>
      <x:c r="N392" s="115" t="str">
        <x:v>Not Started</x:v>
      </x:c>
      <x:c r="O392" s="115"/>
      <x:c r="P392" s="119"/>
      <x:c r="Q392" s="116"/>
    </x:row>
    <x:row r="393" ht="20" customHeight="1">
      <x:c r="A393" s="83" t="str">
        <x:v>HAYS-0392</x:v>
      </x:c>
      <x:c r="B393" s="87" t="str">
        <x:v>Hygrophila lacustris</x:v>
      </x:c>
      <x:c r="C393" s="87" t="str">
        <x:v>Hygrophila costata</x:v>
      </x:c>
      <x:c r="D393" s="84" t="str">
        <x:v>Acanthaceae</x:v>
      </x:c>
      <x:c r="E393" s="84" t="str">
        <x:v>Hygrophila</x:v>
      </x:c>
      <x:c r="F393" s="84" t="str">
        <x:v>Gulf Swampweed</x:v>
      </x:c>
      <x:c r="G393" s="119"/>
      <x:c r="H393" s="119"/>
      <x:c r="I393" s="119"/>
      <x:c r="J393" s="119"/>
      <x:c r="K393" s="119"/>
      <x:c r="L393" s="119"/>
      <x:c r="M393" s="119"/>
      <x:c r="N393" s="115" t="str">
        <x:v>Not Started</x:v>
      </x:c>
      <x:c r="O393" s="115"/>
      <x:c r="P393" s="119"/>
      <x:c r="Q393" s="116"/>
    </x:row>
    <x:row r="394" ht="20" customHeight="1">
      <x:c r="A394" s="83" t="str">
        <x:v>HAYS-0393</x:v>
      </x:c>
      <x:c r="B394" s="87" t="str">
        <x:v>Hymenopappus artemisiifolius var. artemisiifolius</x:v>
      </x:c>
      <x:c r="C394" s="87" t="str">
        <x:v>Hymenopappus artemisiifolius var. artemisiifolius</x:v>
      </x:c>
      <x:c r="D394" s="84" t="str">
        <x:v>Asteraceae</x:v>
      </x:c>
      <x:c r="E394" s="84" t="str">
        <x:v>Hymenopappus</x:v>
      </x:c>
      <x:c r="F394" s="84" t="str">
        <x:v>Oldplainsman</x:v>
      </x:c>
      <x:c r="G394" s="119"/>
      <x:c r="H394" s="119"/>
      <x:c r="I394" s="119"/>
      <x:c r="J394" s="119"/>
      <x:c r="K394" s="119"/>
      <x:c r="L394" s="119"/>
      <x:c r="M394" s="119"/>
      <x:c r="N394" s="115" t="str">
        <x:v>Not Started</x:v>
      </x:c>
      <x:c r="O394" s="115"/>
      <x:c r="P394" s="119"/>
      <x:c r="Q394" s="116"/>
    </x:row>
    <x:row r="395" ht="20" customHeight="1">
      <x:c r="A395" s="83" t="str">
        <x:v>HAYS-0394</x:v>
      </x:c>
      <x:c r="B395" s="87" t="str">
        <x:v>Hymenopappus scabiosaeus var. corymbosus</x:v>
      </x:c>
      <x:c r="C395" s="87" t="str">
        <x:v>Hymenopappus scabiosaeus var. corymbosus</x:v>
      </x:c>
      <x:c r="D395" s="84" t="str">
        <x:v>Asteraceae</x:v>
      </x:c>
      <x:c r="E395" s="84" t="str">
        <x:v>Hymenopappus</x:v>
      </x:c>
      <x:c r="F395" s="84" t="str">
        <x:v>Carolina Woollywhite, Old Plainsman</x:v>
      </x:c>
      <x:c r="G395" s="119"/>
      <x:c r="H395" s="119"/>
      <x:c r="I395" s="119"/>
      <x:c r="J395" s="119"/>
      <x:c r="K395" s="119"/>
      <x:c r="L395" s="119"/>
      <x:c r="M395" s="119"/>
      <x:c r="N395" s="115" t="str">
        <x:v>Not Started</x:v>
      </x:c>
      <x:c r="O395" s="115"/>
      <x:c r="P395" s="119"/>
      <x:c r="Q395" s="116"/>
    </x:row>
    <x:row r="396" ht="20" customHeight="1">
      <x:c r="A396" s="83" t="str">
        <x:v>HAYS-0395</x:v>
      </x:c>
      <x:c r="B396" s="87" t="str">
        <x:v>Hymenopappus tenuifolius</x:v>
      </x:c>
      <x:c r="C396" s="87" t="str">
        <x:v>Hymenopappus tenuifolius</x:v>
      </x:c>
      <x:c r="D396" s="84" t="str">
        <x:v>Asteraceae</x:v>
      </x:c>
      <x:c r="E396" s="84" t="str">
        <x:v>Hymenopappus</x:v>
      </x:c>
      <x:c r="F396" s="84" t="str">
        <x:v>Chalk Hill Hymenopappus, Chalkhill Woolywhite</x:v>
      </x:c>
      <x:c r="G396" s="119"/>
      <x:c r="H396" s="119"/>
      <x:c r="I396" s="119"/>
      <x:c r="J396" s="119"/>
      <x:c r="K396" s="119"/>
      <x:c r="L396" s="119"/>
      <x:c r="M396" s="119"/>
      <x:c r="N396" s="115" t="str">
        <x:v>Not Started</x:v>
      </x:c>
      <x:c r="O396" s="115"/>
      <x:c r="P396" s="119"/>
      <x:c r="Q396" s="116"/>
    </x:row>
    <x:row r="397" ht="20" customHeight="1">
      <x:c r="A397" s="83" t="str">
        <x:v>HAYS-0396</x:v>
      </x:c>
      <x:c r="B397" s="87" t="str">
        <x:v>Hypericum hypericoides</x:v>
      </x:c>
      <x:c r="C397" s="87" t="str">
        <x:v>Hypericum hypericoides</x:v>
      </x:c>
      <x:c r="D397" s="84" t="str">
        <x:v>Hypericaceae</x:v>
      </x:c>
      <x:c r="E397" s="84" t="str">
        <x:v>Hypericum</x:v>
      </x:c>
      <x:c r="F397" s="84" t="str">
        <x:v>St. Andrew's-cross</x:v>
      </x:c>
      <x:c r="G397" s="119"/>
      <x:c r="H397" s="119"/>
      <x:c r="I397" s="119"/>
      <x:c r="J397" s="119"/>
      <x:c r="K397" s="119"/>
      <x:c r="L397" s="119"/>
      <x:c r="M397" s="119"/>
      <x:c r="N397" s="115" t="str">
        <x:v>Not Started</x:v>
      </x:c>
      <x:c r="O397" s="115"/>
      <x:c r="P397" s="119"/>
      <x:c r="Q397" s="116"/>
    </x:row>
    <x:row r="398" ht="20" customHeight="1">
      <x:c r="A398" s="83" t="str">
        <x:v>HAYS-0397</x:v>
      </x:c>
      <x:c r="B398" s="87" t="str">
        <x:v>Ibervillea lindheimeri</x:v>
      </x:c>
      <x:c r="C398" s="87" t="str">
        <x:v>Ibervillea lindheimeri</x:v>
      </x:c>
      <x:c r="D398" s="84" t="str">
        <x:v>Cucurbitaceae</x:v>
      </x:c>
      <x:c r="E398" s="84" t="str">
        <x:v>Ibervillea</x:v>
      </x:c>
      <x:c r="F398" s="84" t="str">
        <x:v>Balsam Gourd, Lindheimer's Globeberry, Globe Berry, Snake-apple, Balsam-apple</x:v>
      </x:c>
      <x:c r="G398" s="119"/>
      <x:c r="H398" s="119"/>
      <x:c r="I398" s="119"/>
      <x:c r="J398" s="119"/>
      <x:c r="K398" s="119"/>
      <x:c r="L398" s="119"/>
      <x:c r="M398" s="119"/>
      <x:c r="N398" s="115" t="str">
        <x:v>Not Started</x:v>
      </x:c>
      <x:c r="O398" s="115"/>
      <x:c r="P398" s="119"/>
      <x:c r="Q398" s="116"/>
    </x:row>
    <x:row r="399" ht="20" customHeight="1">
      <x:c r="A399" s="83" t="str">
        <x:v>HAYS-0398</x:v>
      </x:c>
      <x:c r="B399" s="87" t="str">
        <x:v>Ilex decidua</x:v>
      </x:c>
      <x:c r="C399" s="87" t="str">
        <x:v>Ilex decidua</x:v>
      </x:c>
      <x:c r="D399" s="84" t="str">
        <x:v>Aquifoliaceae</x:v>
      </x:c>
      <x:c r="E399" s="84" t="str">
        <x:v>Ilex</x:v>
      </x:c>
      <x:c r="F399" s="84" t="str">
        <x:v>Possumhaw, Possumhaw Holly, Deciduous Holly, Meadow Holly, Prairie Holly, Swamp Holly, Welk Holly, Deciduous Yaupon, Bearberry, Winterberry</x:v>
      </x:c>
      <x:c r="G399" s="119"/>
      <x:c r="H399" s="119"/>
      <x:c r="I399" s="119"/>
      <x:c r="J399" s="119"/>
      <x:c r="K399" s="119"/>
      <x:c r="L399" s="119"/>
      <x:c r="M399" s="119"/>
      <x:c r="N399" s="115" t="str">
        <x:v>Not Started</x:v>
      </x:c>
      <x:c r="O399" s="115"/>
      <x:c r="P399" s="119"/>
      <x:c r="Q399" s="116"/>
    </x:row>
    <x:row r="400" ht="20" customHeight="1">
      <x:c r="A400" s="83" t="str">
        <x:v>HAYS-0399</x:v>
      </x:c>
      <x:c r="B400" s="87" t="str">
        <x:v>Ilex vomitoria</x:v>
      </x:c>
      <x:c r="C400" s="87" t="str">
        <x:v>Ilex vomitoria</x:v>
      </x:c>
      <x:c r="D400" s="84" t="str">
        <x:v>Aquifoliaceae</x:v>
      </x:c>
      <x:c r="E400" s="84" t="str">
        <x:v>Ilex</x:v>
      </x:c>
      <x:c r="F400" s="84" t="str">
        <x:v>Yaupon, Yaupon Holly, Cassina</x:v>
      </x:c>
      <x:c r="G400" s="119"/>
      <x:c r="H400" s="119"/>
      <x:c r="I400" s="119"/>
      <x:c r="J400" s="119"/>
      <x:c r="K400" s="119"/>
      <x:c r="L400" s="119"/>
      <x:c r="M400" s="119"/>
      <x:c r="N400" s="115" t="str">
        <x:v>Not Started</x:v>
      </x:c>
      <x:c r="O400" s="115"/>
      <x:c r="P400" s="119"/>
      <x:c r="Q400" s="116"/>
    </x:row>
    <x:row r="401" ht="20" customHeight="1">
      <x:c r="A401" s="83" t="str">
        <x:v>HAYS-0400</x:v>
      </x:c>
      <x:c r="B401" s="87" t="str">
        <x:v>Indigofera miniata</x:v>
      </x:c>
      <x:c r="C401" s="87" t="str">
        <x:v>Indigofera miniata</x:v>
      </x:c>
      <x:c r="D401" s="84" t="str">
        <x:v>Fabaceae</x:v>
      </x:c>
      <x:c r="E401" s="84" t="str">
        <x:v>Indigofera</x:v>
      </x:c>
      <x:c r="F401" s="84" t="str">
        <x:v>Scarlet Pea, Coastal Indigo, Texas Indigo, Western Indigo</x:v>
      </x:c>
      <x:c r="G401" s="119"/>
      <x:c r="H401" s="119"/>
      <x:c r="I401" s="119"/>
      <x:c r="J401" s="119"/>
      <x:c r="K401" s="119"/>
      <x:c r="L401" s="119"/>
      <x:c r="M401" s="119"/>
      <x:c r="N401" s="115" t="str">
        <x:v>Not Started</x:v>
      </x:c>
      <x:c r="O401" s="115"/>
      <x:c r="P401" s="119"/>
      <x:c r="Q401" s="116"/>
    </x:row>
    <x:row r="402" ht="20" customHeight="1">
      <x:c r="A402" s="83" t="str">
        <x:v>HAYS-0401</x:v>
      </x:c>
      <x:c r="B402" s="87" t="str">
        <x:v>Ipomoea cordatotriloba var. cordatotriloba</x:v>
      </x:c>
      <x:c r="C402" s="87"/>
      <x:c r="D402" s="84" t="str">
        <x:v>[Taxonomy unresolved]</x:v>
      </x:c>
      <x:c r="E402" s="84" t="str">
        <x:v>Ipomoea</x:v>
      </x:c>
      <x:c r="F402" s="84" t="str">
        <x:v>Tievine, Sharp-pod Morning Glory, Purple Bindweed, Tie Vine</x:v>
      </x:c>
      <x:c r="G402" s="119"/>
      <x:c r="H402" s="119"/>
      <x:c r="I402" s="119"/>
      <x:c r="J402" s="119"/>
      <x:c r="K402" s="119"/>
      <x:c r="L402" s="119"/>
      <x:c r="M402" s="119"/>
      <x:c r="N402" s="115" t="str">
        <x:v>Not Started</x:v>
      </x:c>
      <x:c r="O402" s="115"/>
      <x:c r="P402" s="119"/>
      <x:c r="Q402" s="116"/>
    </x:row>
    <x:row r="403" ht="20" customHeight="1">
      <x:c r="A403" s="83" t="str">
        <x:v>HAYS-0402</x:v>
      </x:c>
      <x:c r="B403" s="87" t="str">
        <x:v>Ipomoea lindheimeri</x:v>
      </x:c>
      <x:c r="C403" s="87" t="str">
        <x:v>Ipomoea lindheimeri</x:v>
      </x:c>
      <x:c r="D403" s="84" t="str">
        <x:v>Convolvulaceae</x:v>
      </x:c>
      <x:c r="E403" s="84" t="str">
        <x:v>Ipomoea</x:v>
      </x:c>
      <x:c r="F403" s="84" t="str">
        <x:v>Lindheimer's Morning-glory, Blue Morning Glory</x:v>
      </x:c>
      <x:c r="G403" s="119"/>
      <x:c r="H403" s="119"/>
      <x:c r="I403" s="119"/>
      <x:c r="J403" s="119"/>
      <x:c r="K403" s="119"/>
      <x:c r="L403" s="119"/>
      <x:c r="M403" s="119"/>
      <x:c r="N403" s="115" t="str">
        <x:v>Not Started</x:v>
      </x:c>
      <x:c r="O403" s="115"/>
      <x:c r="P403" s="119"/>
      <x:c r="Q403" s="116"/>
    </x:row>
    <x:row r="404" ht="20" customHeight="1">
      <x:c r="A404" s="83" t="str">
        <x:v>HAYS-0403</x:v>
      </x:c>
      <x:c r="B404" s="87" t="str">
        <x:v>Ipomopsis rubra</x:v>
      </x:c>
      <x:c r="C404" s="87" t="str">
        <x:v>Ipomopsis rubra</x:v>
      </x:c>
      <x:c r="D404" s="84" t="str">
        <x:v>Polemoniaceae</x:v>
      </x:c>
      <x:c r="E404" s="84" t="str">
        <x:v>Ipomopsis</x:v>
      </x:c>
      <x:c r="F404" s="84" t="str">
        <x:v>Standing Cypress, Texas Plume, Red Texas Star, Red Gilia</x:v>
      </x:c>
      <x:c r="G404" s="119"/>
      <x:c r="H404" s="119"/>
      <x:c r="I404" s="119"/>
      <x:c r="J404" s="119"/>
      <x:c r="K404" s="119"/>
      <x:c r="L404" s="119"/>
      <x:c r="M404" s="119"/>
      <x:c r="N404" s="115" t="str">
        <x:v>Not Started</x:v>
      </x:c>
      <x:c r="O404" s="115"/>
      <x:c r="P404" s="119"/>
      <x:c r="Q404" s="116"/>
    </x:row>
    <x:row r="405" ht="20" customHeight="1">
      <x:c r="A405" s="83" t="str">
        <x:v>HAYS-0404</x:v>
      </x:c>
      <x:c r="B405" s="87" t="str">
        <x:v>Iva angustifolia</x:v>
      </x:c>
      <x:c r="C405" s="87" t="str">
        <x:v>Iva asperifolia var. angustifolia</x:v>
      </x:c>
      <x:c r="D405" s="84" t="str">
        <x:v>Asteraceae</x:v>
      </x:c>
      <x:c r="E405" s="84" t="str">
        <x:v>Iva</x:v>
      </x:c>
      <x:c r="F405" s="84" t="str">
        <x:v>Narrowleaf Marshelder, Narrow-leaf Sumpweed, Narrowleaf Marsh Elder</x:v>
      </x:c>
      <x:c r="G405" s="119"/>
      <x:c r="H405" s="119"/>
      <x:c r="I405" s="119"/>
      <x:c r="J405" s="119"/>
      <x:c r="K405" s="119"/>
      <x:c r="L405" s="119"/>
      <x:c r="M405" s="119"/>
      <x:c r="N405" s="115" t="str">
        <x:v>Not Started</x:v>
      </x:c>
      <x:c r="O405" s="115"/>
      <x:c r="P405" s="119"/>
      <x:c r="Q405" s="116"/>
    </x:row>
    <x:row r="406" ht="20" customHeight="1">
      <x:c r="A406" s="83" t="str">
        <x:v>HAYS-0405</x:v>
      </x:c>
      <x:c r="B406" s="87" t="str">
        <x:v>Iva annua</x:v>
      </x:c>
      <x:c r="C406" s="87" t="str">
        <x:v>Iva annua</x:v>
      </x:c>
      <x:c r="D406" s="84" t="str">
        <x:v>Asteraceae</x:v>
      </x:c>
      <x:c r="E406" s="84" t="str">
        <x:v>Iva</x:v>
      </x:c>
      <x:c r="F406" s="84" t="str">
        <x:v>Annual Marshelder, Marshelder, Sumpweed, Annual Marsh Elder, Marsh Elder</x:v>
      </x:c>
      <x:c r="G406" s="119"/>
      <x:c r="H406" s="119"/>
      <x:c r="I406" s="119"/>
      <x:c r="J406" s="119"/>
      <x:c r="K406" s="119"/>
      <x:c r="L406" s="119"/>
      <x:c r="M406" s="119"/>
      <x:c r="N406" s="115" t="str">
        <x:v>Not Started</x:v>
      </x:c>
      <x:c r="O406" s="115"/>
      <x:c r="P406" s="119"/>
      <x:c r="Q406" s="116"/>
    </x:row>
    <x:row r="407" ht="20" customHeight="1">
      <x:c r="A407" s="83" t="str">
        <x:v>HAYS-0406</x:v>
      </x:c>
      <x:c r="B407" s="87" t="str">
        <x:v>Juglans major</x:v>
      </x:c>
      <x:c r="C407" s="87" t="str">
        <x:v>Juglans major</x:v>
      </x:c>
      <x:c r="D407" s="84" t="str">
        <x:v>Juglandaceae</x:v>
      </x:c>
      <x:c r="E407" s="84" t="str">
        <x:v>Juglans</x:v>
      </x:c>
      <x:c r="F407" s="84" t="str">
        <x:v>Arizona Walnut, Arizona Black Walnut, River Walnut, Mountain Walnut, Nogal Silvestre</x:v>
      </x:c>
      <x:c r="G407" s="119"/>
      <x:c r="H407" s="119"/>
      <x:c r="I407" s="119"/>
      <x:c r="J407" s="119"/>
      <x:c r="K407" s="119"/>
      <x:c r="L407" s="119"/>
      <x:c r="M407" s="119"/>
      <x:c r="N407" s="115" t="str">
        <x:v>Not Started</x:v>
      </x:c>
      <x:c r="O407" s="115"/>
      <x:c r="P407" s="119"/>
      <x:c r="Q407" s="116"/>
    </x:row>
    <x:row r="408" ht="20" customHeight="1">
      <x:c r="A408" s="83" t="str">
        <x:v>HAYS-0407</x:v>
      </x:c>
      <x:c r="B408" s="87" t="str">
        <x:v>Juglans microcarpa</x:v>
      </x:c>
      <x:c r="C408" s="87" t="str">
        <x:v>Juglans microcarpa</x:v>
      </x:c>
      <x:c r="D408" s="84" t="str">
        <x:v>Juglandaceae</x:v>
      </x:c>
      <x:c r="E408" s="84" t="str">
        <x:v>Juglans</x:v>
      </x:c>
      <x:c r="F408" s="84" t="str">
        <x:v>Littleleaf Walnut, Little walnut</x:v>
      </x:c>
      <x:c r="G408" s="119"/>
      <x:c r="H408" s="119"/>
      <x:c r="I408" s="119"/>
      <x:c r="J408" s="119"/>
      <x:c r="K408" s="119"/>
      <x:c r="L408" s="119"/>
      <x:c r="M408" s="119"/>
      <x:c r="N408" s="115" t="str">
        <x:v>Not Started</x:v>
      </x:c>
      <x:c r="O408" s="115"/>
      <x:c r="P408" s="119"/>
      <x:c r="Q408" s="116"/>
    </x:row>
    <x:row r="409" ht="20" customHeight="1">
      <x:c r="A409" s="83" t="str">
        <x:v>HAYS-0408</x:v>
      </x:c>
      <x:c r="B409" s="87" t="str">
        <x:v>Juglans nigra</x:v>
      </x:c>
      <x:c r="C409" s="87" t="str">
        <x:v>Juglans nigra</x:v>
      </x:c>
      <x:c r="D409" s="84" t="str">
        <x:v>Juglandaceae</x:v>
      </x:c>
      <x:c r="E409" s="84" t="str">
        <x:v>Juglans</x:v>
      </x:c>
      <x:c r="F409" s="84" t="str">
        <x:v>Black Walnut</x:v>
      </x:c>
      <x:c r="G409" s="119"/>
      <x:c r="H409" s="119"/>
      <x:c r="I409" s="119"/>
      <x:c r="J409" s="119"/>
      <x:c r="K409" s="119"/>
      <x:c r="L409" s="119"/>
      <x:c r="M409" s="119"/>
      <x:c r="N409" s="115" t="str">
        <x:v>Not Started</x:v>
      </x:c>
      <x:c r="O409" s="115"/>
      <x:c r="P409" s="119"/>
      <x:c r="Q409" s="116"/>
    </x:row>
    <x:row r="410" ht="20" customHeight="1">
      <x:c r="A410" s="83" t="str">
        <x:v>HAYS-0409</x:v>
      </x:c>
      <x:c r="B410" s="87" t="str">
        <x:v>Juncus dichotomus</x:v>
      </x:c>
      <x:c r="C410" s="87" t="str">
        <x:v>Juncus dichotomus</x:v>
      </x:c>
      <x:c r="D410" s="84" t="str">
        <x:v>Juncaceae</x:v>
      </x:c>
      <x:c r="E410" s="84" t="str">
        <x:v>Juncus</x:v>
      </x:c>
      <x:c r="F410" s="84" t="str">
        <x:v>Forked Rush</x:v>
      </x:c>
      <x:c r="G410" s="119"/>
      <x:c r="H410" s="119"/>
      <x:c r="I410" s="119"/>
      <x:c r="J410" s="119"/>
      <x:c r="K410" s="119"/>
      <x:c r="L410" s="119"/>
      <x:c r="M410" s="119"/>
      <x:c r="N410" s="115" t="str">
        <x:v>Not Started</x:v>
      </x:c>
      <x:c r="O410" s="115"/>
      <x:c r="P410" s="119"/>
      <x:c r="Q410" s="116"/>
    </x:row>
    <x:row r="411" ht="20" customHeight="1">
      <x:c r="A411" s="83" t="str">
        <x:v>HAYS-0410</x:v>
      </x:c>
      <x:c r="B411" s="87" t="str">
        <x:v>Juncus filipendulus</x:v>
      </x:c>
      <x:c r="C411" s="87" t="str">
        <x:v>Juncus filipendulus</x:v>
      </x:c>
      <x:c r="D411" s="84" t="str">
        <x:v>Juncaceae</x:v>
      </x:c>
      <x:c r="E411" s="84" t="str">
        <x:v>Juncus</x:v>
      </x:c>
      <x:c r="F411" s="84" t="str">
        <x:v>Ringseed Rush</x:v>
      </x:c>
      <x:c r="G411" s="119"/>
      <x:c r="H411" s="119"/>
      <x:c r="I411" s="119"/>
      <x:c r="J411" s="119"/>
      <x:c r="K411" s="119"/>
      <x:c r="L411" s="119"/>
      <x:c r="M411" s="119"/>
      <x:c r="N411" s="115" t="str">
        <x:v>Not Started</x:v>
      </x:c>
      <x:c r="O411" s="115"/>
      <x:c r="P411" s="119"/>
      <x:c r="Q411" s="116"/>
    </x:row>
    <x:row r="412" ht="20" customHeight="1">
      <x:c r="A412" s="83" t="str">
        <x:v>HAYS-0411</x:v>
      </x:c>
      <x:c r="B412" s="87" t="str">
        <x:v>Juncus texanus</x:v>
      </x:c>
      <x:c r="C412" s="87" t="str">
        <x:v>Juncus texanus</x:v>
      </x:c>
      <x:c r="D412" s="84" t="str">
        <x:v>Juncaceae</x:v>
      </x:c>
      <x:c r="E412" s="84" t="str">
        <x:v>Juncus</x:v>
      </x:c>
      <x:c r="F412" s="84" t="str">
        <x:v>Texas Rush</x:v>
      </x:c>
      <x:c r="G412" s="119"/>
      <x:c r="H412" s="119"/>
      <x:c r="I412" s="119"/>
      <x:c r="J412" s="119"/>
      <x:c r="K412" s="119"/>
      <x:c r="L412" s="119"/>
      <x:c r="M412" s="119"/>
      <x:c r="N412" s="115" t="str">
        <x:v>Not Started</x:v>
      </x:c>
      <x:c r="O412" s="115"/>
      <x:c r="P412" s="119"/>
      <x:c r="Q412" s="116"/>
    </x:row>
    <x:row r="413" ht="20" customHeight="1">
      <x:c r="A413" s="83" t="str">
        <x:v>HAYS-0412</x:v>
      </x:c>
      <x:c r="B413" s="87" t="str">
        <x:v>Juniperus ashei</x:v>
      </x:c>
      <x:c r="C413" s="87" t="str">
        <x:v>Juniperus ashei</x:v>
      </x:c>
      <x:c r="D413" s="84" t="str">
        <x:v>Cupressaceae</x:v>
      </x:c>
      <x:c r="E413" s="84" t="str">
        <x:v>Juniperus</x:v>
      </x:c>
      <x:c r="F413" s="84" t="str">
        <x:v>Ashe Juniper</x:v>
      </x:c>
      <x:c r="G413" s="119"/>
      <x:c r="H413" s="119"/>
      <x:c r="I413" s="119"/>
      <x:c r="J413" s="119"/>
      <x:c r="K413" s="119"/>
      <x:c r="L413" s="119"/>
      <x:c r="M413" s="119"/>
      <x:c r="N413" s="115" t="str">
        <x:v>Not Started</x:v>
      </x:c>
      <x:c r="O413" s="115"/>
      <x:c r="P413" s="119"/>
      <x:c r="Q413" s="116"/>
    </x:row>
    <x:row r="414" ht="20" customHeight="1">
      <x:c r="A414" s="83" t="str">
        <x:v>HAYS-0413</x:v>
      </x:c>
      <x:c r="B414" s="87" t="str">
        <x:v>Juniperus virginiana</x:v>
      </x:c>
      <x:c r="C414" s="87" t="str">
        <x:v>Juniperus virginiana</x:v>
      </x:c>
      <x:c r="D414" s="84" t="str">
        <x:v>Cupressaceae</x:v>
      </x:c>
      <x:c r="E414" s="84" t="str">
        <x:v>Juniperus</x:v>
      </x:c>
      <x:c r="F414" s="84" t="str">
        <x:v>Eastern Red Cedar, Eastern Redcedar, Virginia Juniper, Red Juniper, Pencil Cedar, Carolina Cedar, Red Savin</x:v>
      </x:c>
      <x:c r="G414" s="119"/>
      <x:c r="H414" s="119"/>
      <x:c r="I414" s="119"/>
      <x:c r="J414" s="119"/>
      <x:c r="K414" s="119"/>
      <x:c r="L414" s="119"/>
      <x:c r="M414" s="119"/>
      <x:c r="N414" s="115" t="str">
        <x:v>Not Started</x:v>
      </x:c>
      <x:c r="O414" s="115"/>
      <x:c r="P414" s="119"/>
      <x:c r="Q414" s="116"/>
    </x:row>
    <x:row r="415" ht="20" customHeight="1">
      <x:c r="A415" s="83" t="str">
        <x:v>HAYS-0414</x:v>
      </x:c>
      <x:c r="B415" s="87" t="str">
        <x:v>Justicia americana</x:v>
      </x:c>
      <x:c r="C415" s="87" t="str">
        <x:v>Dianthera americana</x:v>
      </x:c>
      <x:c r="D415" s="84" t="str">
        <x:v>Acanthaceae</x:v>
      </x:c>
      <x:c r="E415" s="84" t="str">
        <x:v>Dianthera</x:v>
      </x:c>
      <x:c r="F415" s="84" t="str">
        <x:v>American Water-willow, Water-willow</x:v>
      </x:c>
      <x:c r="G415" s="119"/>
      <x:c r="H415" s="119"/>
      <x:c r="I415" s="119"/>
      <x:c r="J415" s="119"/>
      <x:c r="K415" s="119"/>
      <x:c r="L415" s="119"/>
      <x:c r="M415" s="119"/>
      <x:c r="N415" s="115" t="str">
        <x:v>Not Started</x:v>
      </x:c>
      <x:c r="O415" s="115"/>
      <x:c r="P415" s="119"/>
      <x:c r="Q415" s="116"/>
    </x:row>
    <x:row r="416" ht="20" customHeight="1">
      <x:c r="A416" s="83" t="str">
        <x:v>HAYS-0415</x:v>
      </x:c>
      <x:c r="B416" s="87" t="str">
        <x:v>Justicia pilosella</x:v>
      </x:c>
      <x:c r="C416" s="87" t="str">
        <x:v>Justicia pilosella</x:v>
      </x:c>
      <x:c r="D416" s="84" t="str">
        <x:v>Acanthaceae</x:v>
      </x:c>
      <x:c r="E416" s="84" t="str">
        <x:v>Justicia</x:v>
      </x:c>
      <x:c r="F416" s="84" t="str">
        <x:v>Hairy Tube-tongue, Gregg's Tube-tongue, False Honeysuckle</x:v>
      </x:c>
      <x:c r="G416" s="119"/>
      <x:c r="H416" s="119"/>
      <x:c r="I416" s="119"/>
      <x:c r="J416" s="119"/>
      <x:c r="K416" s="119"/>
      <x:c r="L416" s="119"/>
      <x:c r="M416" s="119"/>
      <x:c r="N416" s="115" t="str">
        <x:v>Not Started</x:v>
      </x:c>
      <x:c r="O416" s="115"/>
      <x:c r="P416" s="119"/>
      <x:c r="Q416" s="116"/>
    </x:row>
    <x:row r="417" ht="20" customHeight="1">
      <x:c r="A417" s="83" t="str">
        <x:v>HAYS-0416</x:v>
      </x:c>
      <x:c r="B417" s="87" t="str">
        <x:v>Kallstroemia parviflora</x:v>
      </x:c>
      <x:c r="C417" s="87" t="str">
        <x:v>Kallstroemia parviflora</x:v>
      </x:c>
      <x:c r="D417" s="84" t="str">
        <x:v>Zygophyllaceae</x:v>
      </x:c>
      <x:c r="E417" s="84" t="str">
        <x:v>Kallstroemia</x:v>
      </x:c>
      <x:c r="F417" s="84" t="str">
        <x:v>Warty Caltrop, Small-flowered Carpetweed</x:v>
      </x:c>
      <x:c r="G417" s="119"/>
      <x:c r="H417" s="119"/>
      <x:c r="I417" s="119"/>
      <x:c r="J417" s="119"/>
      <x:c r="K417" s="119"/>
      <x:c r="L417" s="119"/>
      <x:c r="M417" s="119"/>
      <x:c r="N417" s="115" t="str">
        <x:v>Not Started</x:v>
      </x:c>
      <x:c r="O417" s="115"/>
      <x:c r="P417" s="119"/>
      <x:c r="Q417" s="116"/>
    </x:row>
    <x:row r="418" ht="20" customHeight="1">
      <x:c r="A418" s="83" t="str">
        <x:v>HAYS-0417</x:v>
      </x:c>
      <x:c r="B418" s="87" t="str">
        <x:v>Krameria lanceolata</x:v>
      </x:c>
      <x:c r="C418" s="87" t="str">
        <x:v>Krameria lanceolata</x:v>
      </x:c>
      <x:c r="D418" s="84" t="str">
        <x:v>Krameriaceae</x:v>
      </x:c>
      <x:c r="E418" s="84" t="str">
        <x:v>Krameria</x:v>
      </x:c>
      <x:c r="F418" s="84" t="str">
        <x:v>Trailing Krameria, Ratany, Crameria, Prairie Sandbur, Trailing Ratany</x:v>
      </x:c>
      <x:c r="G418" s="119"/>
      <x:c r="H418" s="119"/>
      <x:c r="I418" s="119"/>
      <x:c r="J418" s="119"/>
      <x:c r="K418" s="119"/>
      <x:c r="L418" s="119"/>
      <x:c r="M418" s="119"/>
      <x:c r="N418" s="115" t="str">
        <x:v>Not Started</x:v>
      </x:c>
      <x:c r="O418" s="115"/>
      <x:c r="P418" s="119"/>
      <x:c r="Q418" s="116"/>
    </x:row>
    <x:row r="419" ht="20" customHeight="1">
      <x:c r="A419" s="83" t="str">
        <x:v>HAYS-0418</x:v>
      </x:c>
      <x:c r="B419" s="87" t="str">
        <x:v>Krigia caespitosa</x:v>
      </x:c>
      <x:c r="C419" s="87"/>
      <x:c r="D419" s="84" t="str">
        <x:v>[Taxonomy unresolved]</x:v>
      </x:c>
      <x:c r="E419" s="84" t="str">
        <x:v>Krigia</x:v>
      </x:c>
      <x:c r="F419" s="84" t="str">
        <x:v>Weedy Dwarfdandelion, Dwarf Dandelion</x:v>
      </x:c>
      <x:c r="G419" s="119"/>
      <x:c r="H419" s="119"/>
      <x:c r="I419" s="119"/>
      <x:c r="J419" s="119"/>
      <x:c r="K419" s="119"/>
      <x:c r="L419" s="119"/>
      <x:c r="M419" s="119"/>
      <x:c r="N419" s="115" t="str">
        <x:v>Not Started</x:v>
      </x:c>
      <x:c r="O419" s="115"/>
      <x:c r="P419" s="119"/>
      <x:c r="Q419" s="116"/>
    </x:row>
    <x:row r="420" ht="20" customHeight="1">
      <x:c r="A420" s="83" t="str">
        <x:v>HAYS-0419</x:v>
      </x:c>
      <x:c r="B420" s="87" t="str">
        <x:v>Krigia occidentalis</x:v>
      </x:c>
      <x:c r="C420" s="87" t="str">
        <x:v>Krigia occidentalis</x:v>
      </x:c>
      <x:c r="D420" s="84" t="str">
        <x:v>Asteraceae</x:v>
      </x:c>
      <x:c r="E420" s="84" t="str">
        <x:v>Krigia</x:v>
      </x:c>
      <x:c r="F420" s="84" t="str">
        <x:v>Western Dwarfdandelion</x:v>
      </x:c>
      <x:c r="G420" s="119"/>
      <x:c r="H420" s="119"/>
      <x:c r="I420" s="119"/>
      <x:c r="J420" s="119"/>
      <x:c r="K420" s="119"/>
      <x:c r="L420" s="119"/>
      <x:c r="M420" s="119"/>
      <x:c r="N420" s="115" t="str">
        <x:v>Not Started</x:v>
      </x:c>
      <x:c r="O420" s="115"/>
      <x:c r="P420" s="119"/>
      <x:c r="Q420" s="116"/>
    </x:row>
    <x:row r="421" ht="20" customHeight="1">
      <x:c r="A421" s="83" t="str">
        <x:v>HAYS-0420</x:v>
      </x:c>
      <x:c r="B421" s="87" t="str">
        <x:v>Lactuca ludoviciana</x:v>
      </x:c>
      <x:c r="C421" s="87" t="str">
        <x:v>Lactuca ludoviciana</x:v>
      </x:c>
      <x:c r="D421" s="84" t="str">
        <x:v>Asteraceae</x:v>
      </x:c>
      <x:c r="E421" s="84" t="str">
        <x:v>Lactuca</x:v>
      </x:c>
      <x:c r="F421" s="84" t="str">
        <x:v>Western Wild Lettuce, Louisiana Wild Lettuce, Prairie Lettuce, Prairie Wild Lettuce, Biannual Lettuce</x:v>
      </x:c>
      <x:c r="G421" s="119"/>
      <x:c r="H421" s="119"/>
      <x:c r="I421" s="119"/>
      <x:c r="J421" s="119"/>
      <x:c r="K421" s="119"/>
      <x:c r="L421" s="119"/>
      <x:c r="M421" s="119"/>
      <x:c r="N421" s="115" t="str">
        <x:v>Not Started</x:v>
      </x:c>
      <x:c r="O421" s="115"/>
      <x:c r="P421" s="119"/>
      <x:c r="Q421" s="116"/>
    </x:row>
    <x:row r="422" ht="20" customHeight="1">
      <x:c r="A422" s="83" t="str">
        <x:v>HAYS-0421</x:v>
      </x:c>
      <x:c r="B422" s="87" t="str">
        <x:v>Lantana urticoides</x:v>
      </x:c>
      <x:c r="C422" s="87" t="str">
        <x:v>Lantana urticoides</x:v>
      </x:c>
      <x:c r="D422" s="84" t="str">
        <x:v>Verbenaceae</x:v>
      </x:c>
      <x:c r="E422" s="84" t="str">
        <x:v>Lantana</x:v>
      </x:c>
      <x:c r="F422" s="84" t="str">
        <x:v>Texas Lantana, Calico Bush</x:v>
      </x:c>
      <x:c r="G422" s="119"/>
      <x:c r="H422" s="119"/>
      <x:c r="I422" s="119"/>
      <x:c r="J422" s="119"/>
      <x:c r="K422" s="119"/>
      <x:c r="L422" s="119"/>
      <x:c r="M422" s="119"/>
      <x:c r="N422" s="115" t="str">
        <x:v>Not Started</x:v>
      </x:c>
      <x:c r="O422" s="115"/>
      <x:c r="P422" s="119"/>
      <x:c r="Q422" s="116"/>
    </x:row>
    <x:row r="423" ht="20" customHeight="1">
      <x:c r="A423" s="83" t="str">
        <x:v>HAYS-0422</x:v>
      </x:c>
      <x:c r="B423" s="87" t="str">
        <x:v>Lappula occidentalis var. cupulata</x:v>
      </x:c>
      <x:c r="C423" s="87" t="str">
        <x:v>Lappula texana</x:v>
      </x:c>
      <x:c r="D423" s="84" t="str">
        <x:v>Boraginaceae</x:v>
      </x:c>
      <x:c r="E423" s="84" t="str">
        <x:v>Lappula</x:v>
      </x:c>
      <x:c r="F423" s="84" t="str">
        <x:v>Flatspine Stickseed, Western Stickseed</x:v>
      </x:c>
      <x:c r="G423" s="119"/>
      <x:c r="H423" s="119"/>
      <x:c r="I423" s="119"/>
      <x:c r="J423" s="119"/>
      <x:c r="K423" s="119"/>
      <x:c r="L423" s="119"/>
      <x:c r="M423" s="119"/>
      <x:c r="N423" s="115" t="str">
        <x:v>Not Started</x:v>
      </x:c>
      <x:c r="O423" s="115"/>
      <x:c r="P423" s="119"/>
      <x:c r="Q423" s="116"/>
    </x:row>
    <x:row r="424" ht="20" customHeight="1">
      <x:c r="A424" s="83" t="str">
        <x:v>HAYS-0423</x:v>
      </x:c>
      <x:c r="B424" s="87" t="str">
        <x:v>Leersia oryzoides</x:v>
      </x:c>
      <x:c r="C424" s="87" t="str">
        <x:v>Leersia oryzoides</x:v>
      </x:c>
      <x:c r="D424" s="84" t="str">
        <x:v>Poaceae</x:v>
      </x:c>
      <x:c r="E424" s="84" t="str">
        <x:v>Leersia</x:v>
      </x:c>
      <x:c r="F424" s="84" t="str">
        <x:v>Rice Cutgrass, Rice Cut Grass</x:v>
      </x:c>
      <x:c r="G424" s="119"/>
      <x:c r="H424" s="119"/>
      <x:c r="I424" s="119"/>
      <x:c r="J424" s="119"/>
      <x:c r="K424" s="119"/>
      <x:c r="L424" s="119"/>
      <x:c r="M424" s="119"/>
      <x:c r="N424" s="115" t="str">
        <x:v>Not Started</x:v>
      </x:c>
      <x:c r="O424" s="115"/>
      <x:c r="P424" s="119"/>
      <x:c r="Q424" s="116"/>
    </x:row>
    <x:row r="425" ht="20" customHeight="1">
      <x:c r="A425" s="83" t="str">
        <x:v>HAYS-0424</x:v>
      </x:c>
      <x:c r="B425" s="87" t="str">
        <x:v>Lemna minor</x:v>
      </x:c>
      <x:c r="C425" s="87" t="str">
        <x:v>Lemna minor</x:v>
      </x:c>
      <x:c r="D425" s="84" t="str">
        <x:v>Araceae</x:v>
      </x:c>
      <x:c r="E425" s="84" t="str">
        <x:v>Lemna</x:v>
      </x:c>
      <x:c r="F425" s="84" t="str">
        <x:v>Common Duckweed</x:v>
      </x:c>
      <x:c r="G425" s="119"/>
      <x:c r="H425" s="119"/>
      <x:c r="I425" s="119"/>
      <x:c r="J425" s="119"/>
      <x:c r="K425" s="119"/>
      <x:c r="L425" s="119"/>
      <x:c r="M425" s="119"/>
      <x:c r="N425" s="115" t="str">
        <x:v>Not Started</x:v>
      </x:c>
      <x:c r="O425" s="115"/>
      <x:c r="P425" s="119"/>
      <x:c r="Q425" s="116"/>
    </x:row>
    <x:row r="426" ht="20" customHeight="1">
      <x:c r="A426" s="83" t="str">
        <x:v>HAYS-0425</x:v>
      </x:c>
      <x:c r="B426" s="87" t="str">
        <x:v>Lepidium austrinum</x:v>
      </x:c>
      <x:c r="C426" s="87" t="str">
        <x:v>Lepidium austrinum</x:v>
      </x:c>
      <x:c r="D426" s="84" t="str">
        <x:v>Brassicaceae</x:v>
      </x:c>
      <x:c r="E426" s="84" t="str">
        <x:v>Lepidium</x:v>
      </x:c>
      <x:c r="F426" s="84" t="str">
        <x:v>Southern Peppergrass, Southern Pepperwort</x:v>
      </x:c>
      <x:c r="G426" s="119"/>
      <x:c r="H426" s="119"/>
      <x:c r="I426" s="119"/>
      <x:c r="J426" s="119"/>
      <x:c r="K426" s="119"/>
      <x:c r="L426" s="119"/>
      <x:c r="M426" s="119"/>
      <x:c r="N426" s="115" t="str">
        <x:v>Not Started</x:v>
      </x:c>
      <x:c r="O426" s="115"/>
      <x:c r="P426" s="119"/>
      <x:c r="Q426" s="116"/>
    </x:row>
    <x:row r="427" ht="20" customHeight="1">
      <x:c r="A427" s="83" t="str">
        <x:v>HAYS-0426</x:v>
      </x:c>
      <x:c r="B427" s="87" t="str">
        <x:v>Lepidium virginicum</x:v>
      </x:c>
      <x:c r="C427" s="87" t="str">
        <x:v>Lepidium virginicum</x:v>
      </x:c>
      <x:c r="D427" s="84" t="str">
        <x:v>Brassicaceae</x:v>
      </x:c>
      <x:c r="E427" s="84" t="str">
        <x:v>Lepidium</x:v>
      </x:c>
      <x:c r="F427" s="84" t="str">
        <x:v>Virginia Peppergrass, Virginia Pepperweed, Peppergrass, Poor Man's Pepper</x:v>
      </x:c>
      <x:c r="G427" s="119"/>
      <x:c r="H427" s="119"/>
      <x:c r="I427" s="119"/>
      <x:c r="J427" s="119"/>
      <x:c r="K427" s="119"/>
      <x:c r="L427" s="119"/>
      <x:c r="M427" s="119"/>
      <x:c r="N427" s="115" t="str">
        <x:v>Not Started</x:v>
      </x:c>
      <x:c r="O427" s="115"/>
      <x:c r="P427" s="119"/>
      <x:c r="Q427" s="116"/>
    </x:row>
    <x:row r="428" ht="20" customHeight="1">
      <x:c r="A428" s="83" t="str">
        <x:v>HAYS-0427</x:v>
      </x:c>
      <x:c r="B428" s="87" t="str">
        <x:v>Leptochloa dubia</x:v>
      </x:c>
      <x:c r="C428" s="87" t="str">
        <x:v>Disakisperma dubium</x:v>
      </x:c>
      <x:c r="D428" s="84" t="str">
        <x:v>Poaceae</x:v>
      </x:c>
      <x:c r="E428" s="84" t="str">
        <x:v>Disakisperma</x:v>
      </x:c>
      <x:c r="F428" s="84" t="str">
        <x:v>Green Sprangletop</x:v>
      </x:c>
      <x:c r="G428" s="119"/>
      <x:c r="H428" s="119"/>
      <x:c r="I428" s="119"/>
      <x:c r="J428" s="119"/>
      <x:c r="K428" s="119"/>
      <x:c r="L428" s="119"/>
      <x:c r="M428" s="119"/>
      <x:c r="N428" s="115" t="str">
        <x:v>Not Started</x:v>
      </x:c>
      <x:c r="O428" s="115"/>
      <x:c r="P428" s="119"/>
      <x:c r="Q428" s="116"/>
    </x:row>
    <x:row r="429" ht="20" customHeight="1">
      <x:c r="A429" s="83" t="str">
        <x:v>HAYS-0428</x:v>
      </x:c>
      <x:c r="B429" s="87" t="str">
        <x:v>Leptochloa panicea ssp. mucronata</x:v>
      </x:c>
      <x:c r="C429" s="87" t="str">
        <x:v>Dinebra panicea subsp. mucronata</x:v>
      </x:c>
      <x:c r="D429" s="84" t="str">
        <x:v>Poaceae</x:v>
      </x:c>
      <x:c r="E429" s="84" t="str">
        <x:v>Dinebra</x:v>
      </x:c>
      <x:c r="F429" s="84" t="str">
        <x:v>Mississippi Sprangletop, Mucronate Sprangletop</x:v>
      </x:c>
      <x:c r="G429" s="119"/>
      <x:c r="H429" s="119"/>
      <x:c r="I429" s="119"/>
      <x:c r="J429" s="119"/>
      <x:c r="K429" s="119"/>
      <x:c r="L429" s="119"/>
      <x:c r="M429" s="119"/>
      <x:c r="N429" s="115" t="str">
        <x:v>Not Started</x:v>
      </x:c>
      <x:c r="O429" s="115"/>
      <x:c r="P429" s="119"/>
      <x:c r="Q429" s="116"/>
    </x:row>
    <x:row r="430" ht="20" customHeight="1">
      <x:c r="A430" s="83" t="str">
        <x:v>HAYS-0429</x:v>
      </x:c>
      <x:c r="B430" s="87" t="str">
        <x:v>Lespedeza texana</x:v>
      </x:c>
      <x:c r="C430" s="87" t="str">
        <x:v>Lespedeza texana</x:v>
      </x:c>
      <x:c r="D430" s="84" t="str">
        <x:v>Fabaceae</x:v>
      </x:c>
      <x:c r="E430" s="84" t="str">
        <x:v>Lespedeza</x:v>
      </x:c>
      <x:c r="F430" s="84" t="str">
        <x:v>Texas Lespedeza, Texas Bush-clover</x:v>
      </x:c>
      <x:c r="G430" s="119"/>
      <x:c r="H430" s="119"/>
      <x:c r="I430" s="119"/>
      <x:c r="J430" s="119"/>
      <x:c r="K430" s="119"/>
      <x:c r="L430" s="119"/>
      <x:c r="M430" s="119"/>
      <x:c r="N430" s="115" t="str">
        <x:v>Not Started</x:v>
      </x:c>
      <x:c r="O430" s="115"/>
      <x:c r="P430" s="119"/>
      <x:c r="Q430" s="116"/>
    </x:row>
    <x:row r="431" ht="20" customHeight="1">
      <x:c r="A431" s="83" t="str">
        <x:v>HAYS-0430</x:v>
      </x:c>
      <x:c r="B431" s="87" t="str">
        <x:v>Lesquerella densiflora</x:v>
      </x:c>
      <x:c r="C431" s="87" t="str">
        <x:v>Physaria densiflora</x:v>
      </x:c>
      <x:c r="D431" s="84" t="str">
        <x:v>Brassicaceae</x:v>
      </x:c>
      <x:c r="E431" s="84" t="str">
        <x:v>Physaria</x:v>
      </x:c>
      <x:c r="F431" s="84" t="str">
        <x:v>Denseflower Bladderpod, Low Bladderpod</x:v>
      </x:c>
      <x:c r="G431" s="119"/>
      <x:c r="H431" s="119"/>
      <x:c r="I431" s="119"/>
      <x:c r="J431" s="119"/>
      <x:c r="K431" s="119"/>
      <x:c r="L431" s="119"/>
      <x:c r="M431" s="119"/>
      <x:c r="N431" s="115" t="str">
        <x:v>Not Started</x:v>
      </x:c>
      <x:c r="O431" s="115"/>
      <x:c r="P431" s="119"/>
      <x:c r="Q431" s="116"/>
    </x:row>
    <x:row r="432" ht="20" customHeight="1">
      <x:c r="A432" s="83" t="str">
        <x:v>HAYS-0431</x:v>
      </x:c>
      <x:c r="B432" s="87" t="str">
        <x:v>Lesquerella engelmannii</x:v>
      </x:c>
      <x:c r="C432" s="87" t="str">
        <x:v>Physaria engelmannii</x:v>
      </x:c>
      <x:c r="D432" s="84" t="str">
        <x:v>Brassicaceae</x:v>
      </x:c>
      <x:c r="E432" s="84" t="str">
        <x:v>Physaria</x:v>
      </x:c>
      <x:c r="F432" s="84" t="str">
        <x:v>Engelmann's Bladderpod</x:v>
      </x:c>
      <x:c r="G432" s="119"/>
      <x:c r="H432" s="119"/>
      <x:c r="I432" s="119"/>
      <x:c r="J432" s="119"/>
      <x:c r="K432" s="119"/>
      <x:c r="L432" s="119"/>
      <x:c r="M432" s="119"/>
      <x:c r="N432" s="115" t="str">
        <x:v>Not Started</x:v>
      </x:c>
      <x:c r="O432" s="115"/>
      <x:c r="P432" s="119"/>
      <x:c r="Q432" s="116"/>
    </x:row>
    <x:row r="433" ht="20" customHeight="1">
      <x:c r="A433" s="83" t="str">
        <x:v>HAYS-0432</x:v>
      </x:c>
      <x:c r="B433" s="87" t="str">
        <x:v>Lesquerella gracilis</x:v>
      </x:c>
      <x:c r="C433" s="87" t="str">
        <x:v>Physaria gracilis subsp. gracilis</x:v>
      </x:c>
      <x:c r="D433" s="84" t="str">
        <x:v>Brassicaceae</x:v>
      </x:c>
      <x:c r="E433" s="84" t="str">
        <x:v>Physaria</x:v>
      </x:c>
      <x:c r="F433" s="84" t="str">
        <x:v>Spreading Bladderpod, Cloth-of-gold</x:v>
      </x:c>
      <x:c r="G433" s="119"/>
      <x:c r="H433" s="119"/>
      <x:c r="I433" s="119"/>
      <x:c r="J433" s="119"/>
      <x:c r="K433" s="119"/>
      <x:c r="L433" s="119"/>
      <x:c r="M433" s="119"/>
      <x:c r="N433" s="115" t="str">
        <x:v>Not Started</x:v>
      </x:c>
      <x:c r="O433" s="115"/>
      <x:c r="P433" s="119"/>
      <x:c r="Q433" s="116"/>
    </x:row>
    <x:row r="434" ht="20" customHeight="1">
      <x:c r="A434" s="83" t="str">
        <x:v>HAYS-0433</x:v>
      </x:c>
      <x:c r="B434" s="87" t="str">
        <x:v>Lesquerella grandiflora</x:v>
      </x:c>
      <x:c r="C434" s="87" t="str">
        <x:v>Paysonia grandiflora</x:v>
      </x:c>
      <x:c r="D434" s="84" t="str">
        <x:v>Brassicaceae</x:v>
      </x:c>
      <x:c r="E434" s="84" t="str">
        <x:v>Paysonia</x:v>
      </x:c>
      <x:c r="F434" s="84" t="str">
        <x:v>Bigflower Bladderpod</x:v>
      </x:c>
      <x:c r="G434" s="119"/>
      <x:c r="H434" s="119"/>
      <x:c r="I434" s="119"/>
      <x:c r="J434" s="119"/>
      <x:c r="K434" s="119"/>
      <x:c r="L434" s="119"/>
      <x:c r="M434" s="119"/>
      <x:c r="N434" s="115" t="str">
        <x:v>Not Started</x:v>
      </x:c>
      <x:c r="O434" s="115"/>
      <x:c r="P434" s="119"/>
      <x:c r="Q434" s="116"/>
    </x:row>
    <x:row r="435" ht="20" customHeight="1">
      <x:c r="A435" s="83" t="str">
        <x:v>HAYS-0434</x:v>
      </x:c>
      <x:c r="B435" s="87" t="str">
        <x:v>Lesquerella recurvata</x:v>
      </x:c>
      <x:c r="C435" s="87" t="str">
        <x:v>Physaria recurvata</x:v>
      </x:c>
      <x:c r="D435" s="84" t="str">
        <x:v>Brassicaceae</x:v>
      </x:c>
      <x:c r="E435" s="84" t="str">
        <x:v>Physaria</x:v>
      </x:c>
      <x:c r="F435" s="84" t="str">
        <x:v>Gaslight Bladderpod, Slender Bladderpod</x:v>
      </x:c>
      <x:c r="G435" s="119"/>
      <x:c r="H435" s="119"/>
      <x:c r="I435" s="119"/>
      <x:c r="J435" s="119"/>
      <x:c r="K435" s="119"/>
      <x:c r="L435" s="119"/>
      <x:c r="M435" s="119"/>
      <x:c r="N435" s="115" t="str">
        <x:v>Not Started</x:v>
      </x:c>
      <x:c r="O435" s="115"/>
      <x:c r="P435" s="119"/>
      <x:c r="Q435" s="116"/>
    </x:row>
    <x:row r="436" ht="20" customHeight="1">
      <x:c r="A436" s="83" t="str">
        <x:v>HAYS-0435</x:v>
      </x:c>
      <x:c r="B436" s="87" t="str">
        <x:v>Lesquerella sessilis</x:v>
      </x:c>
      <x:c r="C436" s="87" t="str">
        <x:v>Physaria sessilis</x:v>
      </x:c>
      <x:c r="D436" s="84" t="str">
        <x:v>Brassicaceae</x:v>
      </x:c>
      <x:c r="E436" s="84" t="str">
        <x:v>Physaria</x:v>
      </x:c>
      <x:c r="F436" s="84" t="str">
        <x:v>Sessile Bladderpod</x:v>
      </x:c>
      <x:c r="G436" s="119"/>
      <x:c r="H436" s="119"/>
      <x:c r="I436" s="119"/>
      <x:c r="J436" s="119"/>
      <x:c r="K436" s="119"/>
      <x:c r="L436" s="119"/>
      <x:c r="M436" s="119"/>
      <x:c r="N436" s="115" t="str">
        <x:v>Not Started</x:v>
      </x:c>
      <x:c r="O436" s="115"/>
      <x:c r="P436" s="119"/>
      <x:c r="Q436" s="116"/>
    </x:row>
    <x:row r="437" ht="20" customHeight="1">
      <x:c r="A437" s="83" t="str">
        <x:v>HAYS-0436</x:v>
      </x:c>
      <x:c r="B437" s="87" t="str">
        <x:v>Leucaena retusa</x:v>
      </x:c>
      <x:c r="C437" s="87" t="str">
        <x:v>Leucaena retusa</x:v>
      </x:c>
      <x:c r="D437" s="84" t="str">
        <x:v>Fabaceae</x:v>
      </x:c>
      <x:c r="E437" s="84" t="str">
        <x:v>Leucaena</x:v>
      </x:c>
      <x:c r="F437" s="84" t="str">
        <x:v>Goldenball Leadtree, Littleleaf Leadtree, Little Leucaena, Lemonball, Wahoo Tree</x:v>
      </x:c>
      <x:c r="G437" s="119"/>
      <x:c r="H437" s="119"/>
      <x:c r="I437" s="119"/>
      <x:c r="J437" s="119"/>
      <x:c r="K437" s="119"/>
      <x:c r="L437" s="119"/>
      <x:c r="M437" s="119"/>
      <x:c r="N437" s="115" t="str">
        <x:v>Not Started</x:v>
      </x:c>
      <x:c r="O437" s="115"/>
      <x:c r="P437" s="119"/>
      <x:c r="Q437" s="116"/>
    </x:row>
    <x:row r="438" ht="20" customHeight="1">
      <x:c r="A438" s="83" t="str">
        <x:v>HAYS-0437</x:v>
      </x:c>
      <x:c r="B438" s="87" t="str">
        <x:v>Leucophyllum frutescens</x:v>
      </x:c>
      <x:c r="C438" s="87" t="str">
        <x:v>Leucophyllum frutescens</x:v>
      </x:c>
      <x:c r="D438" s="84" t="str">
        <x:v>Scrophulariaceae</x:v>
      </x:c>
      <x:c r="E438" s="84" t="str">
        <x:v>Leucophyllum</x:v>
      </x:c>
      <x:c r="F438" s="84" t="str">
        <x:v>Cenizo, Purple Sage, Texas Ranger, Texas Barometer Bush, Texas Silverleaf, Texas Sage, Silverleaf</x:v>
      </x:c>
      <x:c r="G438" s="119"/>
      <x:c r="H438" s="119"/>
      <x:c r="I438" s="119"/>
      <x:c r="J438" s="119"/>
      <x:c r="K438" s="119"/>
      <x:c r="L438" s="119"/>
      <x:c r="M438" s="119"/>
      <x:c r="N438" s="115" t="str">
        <x:v>Not Started</x:v>
      </x:c>
      <x:c r="O438" s="115"/>
      <x:c r="P438" s="119"/>
      <x:c r="Q438" s="116"/>
    </x:row>
    <x:row r="439" ht="20" customHeight="1">
      <x:c r="A439" s="83" t="str">
        <x:v>HAYS-0438</x:v>
      </x:c>
      <x:c r="B439" s="87" t="str">
        <x:v>Leucospora multifida</x:v>
      </x:c>
      <x:c r="C439" s="87" t="str">
        <x:v>Leucospora multifida</x:v>
      </x:c>
      <x:c r="D439" s="84" t="str">
        <x:v>Plantaginaceae</x:v>
      </x:c>
      <x:c r="E439" s="84" t="str">
        <x:v>Leucospora</x:v>
      </x:c>
      <x:c r="F439" s="84" t="str">
        <x:v>Narrowleaf Paleseed</x:v>
      </x:c>
      <x:c r="G439" s="119"/>
      <x:c r="H439" s="119"/>
      <x:c r="I439" s="119"/>
      <x:c r="J439" s="119"/>
      <x:c r="K439" s="119"/>
      <x:c r="L439" s="119"/>
      <x:c r="M439" s="119"/>
      <x:c r="N439" s="115" t="str">
        <x:v>Not Started</x:v>
      </x:c>
      <x:c r="O439" s="115"/>
      <x:c r="P439" s="119"/>
      <x:c r="Q439" s="116"/>
    </x:row>
    <x:row r="440" ht="20" customHeight="1">
      <x:c r="A440" s="83" t="str">
        <x:v>HAYS-0439</x:v>
      </x:c>
      <x:c r="B440" s="87" t="str">
        <x:v>Liatris punctata</x:v>
      </x:c>
      <x:c r="C440" s="87" t="str">
        <x:v>Liatris punctata</x:v>
      </x:c>
      <x:c r="D440" s="84" t="str">
        <x:v>Asteraceae</x:v>
      </x:c>
      <x:c r="E440" s="84" t="str">
        <x:v>Liatris</x:v>
      </x:c>
      <x:c r="F440" s="84" t="str">
        <x:v>Dotted Blazing Star, Dotted Gayfeather, Dotted Liatris, Purples</x:v>
      </x:c>
      <x:c r="G440" s="119"/>
      <x:c r="H440" s="119"/>
      <x:c r="I440" s="119"/>
      <x:c r="J440" s="119"/>
      <x:c r="K440" s="119"/>
      <x:c r="L440" s="119"/>
      <x:c r="M440" s="119"/>
      <x:c r="N440" s="115" t="str">
        <x:v>Not Started</x:v>
      </x:c>
      <x:c r="O440" s="115"/>
      <x:c r="P440" s="119"/>
      <x:c r="Q440" s="116"/>
    </x:row>
    <x:row r="441" ht="20" customHeight="1">
      <x:c r="A441" s="83" t="str">
        <x:v>HAYS-0440</x:v>
      </x:c>
      <x:c r="B441" s="87" t="str">
        <x:v>Liatris punctata var. mucronata</x:v>
      </x:c>
      <x:c r="C441" s="87" t="str">
        <x:v>Liatris punctata var. mucronata</x:v>
      </x:c>
      <x:c r="D441" s="84" t="str">
        <x:v>Asteraceae</x:v>
      </x:c>
      <x:c r="E441" s="84" t="str">
        <x:v>Liatris</x:v>
      </x:c>
      <x:c r="F441" s="84" t="str">
        <x:v>Gayfeather</x:v>
      </x:c>
      <x:c r="G441" s="119"/>
      <x:c r="H441" s="119"/>
      <x:c r="I441" s="119"/>
      <x:c r="J441" s="119"/>
      <x:c r="K441" s="119"/>
      <x:c r="L441" s="119"/>
      <x:c r="M441" s="119"/>
      <x:c r="N441" s="115" t="str">
        <x:v>Not Started</x:v>
      </x:c>
      <x:c r="O441" s="115"/>
      <x:c r="P441" s="119"/>
      <x:c r="Q441" s="116"/>
    </x:row>
    <x:row r="442" ht="20" customHeight="1">
      <x:c r="A442" s="83" t="str">
        <x:v>HAYS-0441</x:v>
      </x:c>
      <x:c r="B442" s="87" t="str">
        <x:v>Limnodea arkansana</x:v>
      </x:c>
      <x:c r="C442" s="87" t="str">
        <x:v>Limnodea arkansana</x:v>
      </x:c>
      <x:c r="D442" s="84" t="str">
        <x:v>Poaceae</x:v>
      </x:c>
      <x:c r="E442" s="84" t="str">
        <x:v>Limnodea</x:v>
      </x:c>
      <x:c r="F442" s="84" t="str">
        <x:v>Ozark Grass, Ozarkgrass</x:v>
      </x:c>
      <x:c r="G442" s="119"/>
      <x:c r="H442" s="119"/>
      <x:c r="I442" s="119"/>
      <x:c r="J442" s="119"/>
      <x:c r="K442" s="119"/>
      <x:c r="L442" s="119"/>
      <x:c r="M442" s="119"/>
      <x:c r="N442" s="115" t="str">
        <x:v>Not Started</x:v>
      </x:c>
      <x:c r="O442" s="115"/>
      <x:c r="P442" s="119"/>
      <x:c r="Q442" s="116"/>
    </x:row>
    <x:row r="443" ht="20" customHeight="1">
      <x:c r="A443" s="83" t="str">
        <x:v>HAYS-0442</x:v>
      </x:c>
      <x:c r="B443" s="87" t="str">
        <x:v>Lindera benzoin</x:v>
      </x:c>
      <x:c r="C443" s="87" t="str">
        <x:v>Lindera benzoin</x:v>
      </x:c>
      <x:c r="D443" s="84" t="str">
        <x:v>Lauraceae</x:v>
      </x:c>
      <x:c r="E443" s="84" t="str">
        <x:v>Lindera</x:v>
      </x:c>
      <x:c r="F443" s="84" t="str">
        <x:v>Northern Spicebush, Spicebush, Wild Allspice</x:v>
      </x:c>
      <x:c r="G443" s="119"/>
      <x:c r="H443" s="119"/>
      <x:c r="I443" s="119"/>
      <x:c r="J443" s="119"/>
      <x:c r="K443" s="119"/>
      <x:c r="L443" s="119"/>
      <x:c r="M443" s="119"/>
      <x:c r="N443" s="115" t="str">
        <x:v>Not Started</x:v>
      </x:c>
      <x:c r="O443" s="115"/>
      <x:c r="P443" s="119"/>
      <x:c r="Q443" s="116"/>
    </x:row>
    <x:row r="444" ht="20" customHeight="1">
      <x:c r="A444" s="83" t="str">
        <x:v>HAYS-0443</x:v>
      </x:c>
      <x:c r="B444" s="87" t="str">
        <x:v>Lindheimera texana</x:v>
      </x:c>
      <x:c r="C444" s="87" t="str">
        <x:v>Lindheimera texana</x:v>
      </x:c>
      <x:c r="D444" s="84" t="str">
        <x:v>Asteraceae</x:v>
      </x:c>
      <x:c r="E444" s="84" t="str">
        <x:v>Lindheimera</x:v>
      </x:c>
      <x:c r="F444" s="84" t="str">
        <x:v>Texas Yellowstar, Texas Star, Texas Yellow-star, Lindheimer Daisy</x:v>
      </x:c>
      <x:c r="G444" s="119"/>
      <x:c r="H444" s="119"/>
      <x:c r="I444" s="119"/>
      <x:c r="J444" s="119"/>
      <x:c r="K444" s="119"/>
      <x:c r="L444" s="119"/>
      <x:c r="M444" s="119"/>
      <x:c r="N444" s="115" t="str">
        <x:v>Not Started</x:v>
      </x:c>
      <x:c r="O444" s="115"/>
      <x:c r="P444" s="119"/>
      <x:c r="Q444" s="116"/>
    </x:row>
    <x:row r="445" ht="20" customHeight="1">
      <x:c r="A445" s="83" t="str">
        <x:v>HAYS-0444</x:v>
      </x:c>
      <x:c r="B445" s="87" t="str">
        <x:v>Linum hudsonioides</x:v>
      </x:c>
      <x:c r="C445" s="87" t="str">
        <x:v>Linum hudsonioides</x:v>
      </x:c>
      <x:c r="D445" s="84" t="str">
        <x:v>Linaceae</x:v>
      </x:c>
      <x:c r="E445" s="84" t="str">
        <x:v>Linum</x:v>
      </x:c>
      <x:c r="F445" s="84" t="str">
        <x:v>Texas Flax, Yellow Flax, Hudson Flax</x:v>
      </x:c>
      <x:c r="G445" s="119"/>
      <x:c r="H445" s="119"/>
      <x:c r="I445" s="119"/>
      <x:c r="J445" s="119"/>
      <x:c r="K445" s="119"/>
      <x:c r="L445" s="119"/>
      <x:c r="M445" s="119"/>
      <x:c r="N445" s="115" t="str">
        <x:v>Not Started</x:v>
      </x:c>
      <x:c r="O445" s="115"/>
      <x:c r="P445" s="119"/>
      <x:c r="Q445" s="116"/>
    </x:row>
    <x:row r="446" ht="20" customHeight="1">
      <x:c r="A446" s="83" t="str">
        <x:v>HAYS-0445</x:v>
      </x:c>
      <x:c r="B446" s="87" t="str">
        <x:v>Linum imbricatum</x:v>
      </x:c>
      <x:c r="C446" s="87" t="str">
        <x:v>Linum imbricatum</x:v>
      </x:c>
      <x:c r="D446" s="84" t="str">
        <x:v>Linaceae</x:v>
      </x:c>
      <x:c r="E446" s="84" t="str">
        <x:v>Linum</x:v>
      </x:c>
      <x:c r="F446" s="84" t="str">
        <x:v>Tufted Flax</x:v>
      </x:c>
      <x:c r="G446" s="119"/>
      <x:c r="H446" s="119"/>
      <x:c r="I446" s="119"/>
      <x:c r="J446" s="119"/>
      <x:c r="K446" s="119"/>
      <x:c r="L446" s="119"/>
      <x:c r="M446" s="119"/>
      <x:c r="N446" s="115" t="str">
        <x:v>Not Started</x:v>
      </x:c>
      <x:c r="O446" s="115"/>
      <x:c r="P446" s="119"/>
      <x:c r="Q446" s="116"/>
    </x:row>
    <x:row r="447" ht="20" customHeight="1">
      <x:c r="A447" s="83" t="str">
        <x:v>HAYS-0446</x:v>
      </x:c>
      <x:c r="B447" s="87" t="str">
        <x:v>Linum rigidum</x:v>
      </x:c>
      <x:c r="C447" s="87" t="str">
        <x:v>Linum rigidum</x:v>
      </x:c>
      <x:c r="D447" s="84" t="str">
        <x:v>Linaceae</x:v>
      </x:c>
      <x:c r="E447" s="84" t="str">
        <x:v>Linum</x:v>
      </x:c>
      <x:c r="F447" s="84" t="str">
        <x:v>Stiffstem Flax, Large-flower Yellow Flax, Yellow Flax</x:v>
      </x:c>
      <x:c r="G447" s="119"/>
      <x:c r="H447" s="119"/>
      <x:c r="I447" s="119"/>
      <x:c r="J447" s="119"/>
      <x:c r="K447" s="119"/>
      <x:c r="L447" s="119"/>
      <x:c r="M447" s="119"/>
      <x:c r="N447" s="115" t="str">
        <x:v>Not Started</x:v>
      </x:c>
      <x:c r="O447" s="115"/>
      <x:c r="P447" s="119"/>
      <x:c r="Q447" s="116"/>
    </x:row>
    <x:row r="448" ht="20" customHeight="1">
      <x:c r="A448" s="83" t="str">
        <x:v>HAYS-0447</x:v>
      </x:c>
      <x:c r="B448" s="87" t="str">
        <x:v>Linum rupestre</x:v>
      </x:c>
      <x:c r="C448" s="87" t="str">
        <x:v>Linum rupestre</x:v>
      </x:c>
      <x:c r="D448" s="84" t="str">
        <x:v>Linaceae</x:v>
      </x:c>
      <x:c r="E448" s="84" t="str">
        <x:v>Linum</x:v>
      </x:c>
      <x:c r="F448" s="84" t="str">
        <x:v>Rock Flax</x:v>
      </x:c>
      <x:c r="G448" s="119"/>
      <x:c r="H448" s="119"/>
      <x:c r="I448" s="119"/>
      <x:c r="J448" s="119"/>
      <x:c r="K448" s="119"/>
      <x:c r="L448" s="119"/>
      <x:c r="M448" s="119"/>
      <x:c r="N448" s="115" t="str">
        <x:v>Not Started</x:v>
      </x:c>
      <x:c r="O448" s="115"/>
      <x:c r="P448" s="119"/>
      <x:c r="Q448" s="116"/>
    </x:row>
    <x:row r="449" ht="20" customHeight="1">
      <x:c r="A449" s="83" t="str">
        <x:v>HAYS-0448</x:v>
      </x:c>
      <x:c r="B449" s="87" t="str">
        <x:v>Lithospermum incisum</x:v>
      </x:c>
      <x:c r="C449" s="87" t="str">
        <x:v>Lithospermum incisum</x:v>
      </x:c>
      <x:c r="D449" s="84" t="str">
        <x:v>Boraginaceae</x:v>
      </x:c>
      <x:c r="E449" s="84" t="str">
        <x:v>Lithospermum</x:v>
      </x:c>
      <x:c r="F449" s="84" t="str">
        <x:v>Fringed Puccoon, Golden Puccoon, Narrowleaf Puccoon, Narrow-leaved Puccoon, Puccoon, Narrowleaf Gromwell, Fringed Gromwell, Narrowleaf Stoneseed</x:v>
      </x:c>
      <x:c r="G449" s="119"/>
      <x:c r="H449" s="119"/>
      <x:c r="I449" s="119"/>
      <x:c r="J449" s="119"/>
      <x:c r="K449" s="119"/>
      <x:c r="L449" s="119"/>
      <x:c r="M449" s="119"/>
      <x:c r="N449" s="115" t="str">
        <x:v>Not Started</x:v>
      </x:c>
      <x:c r="O449" s="115"/>
      <x:c r="P449" s="119"/>
      <x:c r="Q449" s="116"/>
    </x:row>
    <x:row r="450" ht="20" customHeight="1">
      <x:c r="A450" s="83" t="str">
        <x:v>HAYS-0449</x:v>
      </x:c>
      <x:c r="B450" s="87" t="str">
        <x:v>Lithospermum mirabile</x:v>
      </x:c>
      <x:c r="C450" s="87" t="str">
        <x:v>Lithospermum mirabile</x:v>
      </x:c>
      <x:c r="D450" s="84" t="str">
        <x:v>Boraginaceae</x:v>
      </x:c>
      <x:c r="E450" s="84" t="str">
        <x:v>Lithospermum</x:v>
      </x:c>
      <x:c r="F450" s="84" t="str">
        <x:v>San Antonio Stoneseed</x:v>
      </x:c>
      <x:c r="G450" s="119"/>
      <x:c r="H450" s="119"/>
      <x:c r="I450" s="119"/>
      <x:c r="J450" s="119"/>
      <x:c r="K450" s="119"/>
      <x:c r="L450" s="119"/>
      <x:c r="M450" s="119"/>
      <x:c r="N450" s="115" t="str">
        <x:v>Not Started</x:v>
      </x:c>
      <x:c r="O450" s="115"/>
      <x:c r="P450" s="119"/>
      <x:c r="Q450" s="116"/>
    </x:row>
    <x:row r="451" ht="20" customHeight="1">
      <x:c r="A451" s="83" t="str">
        <x:v>HAYS-0450</x:v>
      </x:c>
      <x:c r="B451" s="87" t="str">
        <x:v>Lobelia cardinalis</x:v>
      </x:c>
      <x:c r="C451" s="87" t="str">
        <x:v>Lobelia cardinalis</x:v>
      </x:c>
      <x:c r="D451" s="84" t="str">
        <x:v>Campanulaceae</x:v>
      </x:c>
      <x:c r="E451" s="84" t="str">
        <x:v>Lobelia</x:v>
      </x:c>
      <x:c r="F451" s="84" t="str">
        <x:v>Cardinal Flower</x:v>
      </x:c>
      <x:c r="G451" s="119"/>
      <x:c r="H451" s="119"/>
      <x:c r="I451" s="119"/>
      <x:c r="J451" s="119"/>
      <x:c r="K451" s="119"/>
      <x:c r="L451" s="119"/>
      <x:c r="M451" s="119"/>
      <x:c r="N451" s="115" t="str">
        <x:v>Not Started</x:v>
      </x:c>
      <x:c r="O451" s="115"/>
      <x:c r="P451" s="119"/>
      <x:c r="Q451" s="116"/>
    </x:row>
    <x:row r="452" ht="20" customHeight="1">
      <x:c r="A452" s="83" t="str">
        <x:v>HAYS-0451</x:v>
      </x:c>
      <x:c r="B452" s="87" t="str">
        <x:v>Lonicera albiflora</x:v>
      </x:c>
      <x:c r="C452" s="87" t="str">
        <x:v>Lonicera albiflora</x:v>
      </x:c>
      <x:c r="D452" s="84" t="str">
        <x:v>Caprifoliaceae</x:v>
      </x:c>
      <x:c r="E452" s="84" t="str">
        <x:v>Lonicera</x:v>
      </x:c>
      <x:c r="F452" s="84" t="str">
        <x:v>Western White Honeysuckle, White Shrub Honeysuckle, White Bush Honeysuckle, White Limestone Honeysuckle, Texas Honeysuckle, White Honeysuckle</x:v>
      </x:c>
      <x:c r="G452" s="119"/>
      <x:c r="H452" s="119"/>
      <x:c r="I452" s="119"/>
      <x:c r="J452" s="119"/>
      <x:c r="K452" s="119"/>
      <x:c r="L452" s="119"/>
      <x:c r="M452" s="119"/>
      <x:c r="N452" s="115" t="str">
        <x:v>Not Started</x:v>
      </x:c>
      <x:c r="O452" s="115"/>
      <x:c r="P452" s="119"/>
      <x:c r="Q452" s="116"/>
    </x:row>
    <x:row r="453" ht="20" customHeight="1">
      <x:c r="A453" s="83" t="str">
        <x:v>HAYS-0452</x:v>
      </x:c>
      <x:c r="B453" s="87" t="str">
        <x:v>Lonicera sempervirens</x:v>
      </x:c>
      <x:c r="C453" s="87" t="str">
        <x:v>Lonicera sempervirens</x:v>
      </x:c>
      <x:c r="D453" s="84" t="str">
        <x:v>Caprifoliaceae</x:v>
      </x:c>
      <x:c r="E453" s="84" t="str">
        <x:v>Lonicera</x:v>
      </x:c>
      <x:c r="F453" s="84" t="str">
        <x:v>Coral Honeysuckle, Trumpet Honeysuckle, Woodbine</x:v>
      </x:c>
      <x:c r="G453" s="119"/>
      <x:c r="H453" s="119"/>
      <x:c r="I453" s="119"/>
      <x:c r="J453" s="119"/>
      <x:c r="K453" s="119"/>
      <x:c r="L453" s="119"/>
      <x:c r="M453" s="119"/>
      <x:c r="N453" s="115" t="str">
        <x:v>Not Started</x:v>
      </x:c>
      <x:c r="O453" s="115"/>
      <x:c r="P453" s="119"/>
      <x:c r="Q453" s="116"/>
    </x:row>
    <x:row r="454" ht="20" customHeight="1">
      <x:c r="A454" s="83" t="str">
        <x:v>HAYS-0453</x:v>
      </x:c>
      <x:c r="B454" s="87" t="str">
        <x:v>Ludwigia decurrens</x:v>
      </x:c>
      <x:c r="C454" s="87" t="str">
        <x:v>Ludwigia decurrens</x:v>
      </x:c>
      <x:c r="D454" s="84" t="str">
        <x:v>Onagraceae</x:v>
      </x:c>
      <x:c r="E454" s="84" t="str">
        <x:v>Ludwigia</x:v>
      </x:c>
      <x:c r="F454" s="84" t="str">
        <x:v>Wingleaf Primrose-willow</x:v>
      </x:c>
      <x:c r="G454" s="119"/>
      <x:c r="H454" s="119"/>
      <x:c r="I454" s="119"/>
      <x:c r="J454" s="119"/>
      <x:c r="K454" s="119"/>
      <x:c r="L454" s="119"/>
      <x:c r="M454" s="119"/>
      <x:c r="N454" s="115" t="str">
        <x:v>Not Started</x:v>
      </x:c>
      <x:c r="O454" s="115"/>
      <x:c r="P454" s="119"/>
      <x:c r="Q454" s="116"/>
    </x:row>
    <x:row r="455" ht="20" customHeight="1">
      <x:c r="A455" s="83" t="str">
        <x:v>HAYS-0454</x:v>
      </x:c>
      <x:c r="B455" s="87" t="str">
        <x:v>Ludwigia octovalvis</x:v>
      </x:c>
      <x:c r="C455" s="87" t="str">
        <x:v>Ludwigia octovalvis</x:v>
      </x:c>
      <x:c r="D455" s="84" t="str">
        <x:v>Onagraceae</x:v>
      </x:c>
      <x:c r="E455" s="84" t="str">
        <x:v>Ludwigia</x:v>
      </x:c>
      <x:c r="F455" s="84" t="str">
        <x:v>Mexican Primrose-willow, Narrow-leaf Water Primrose, Seedbox, Mexican Primrose Willow</x:v>
      </x:c>
      <x:c r="G455" s="119"/>
      <x:c r="H455" s="119"/>
      <x:c r="I455" s="119"/>
      <x:c r="J455" s="119"/>
      <x:c r="K455" s="119"/>
      <x:c r="L455" s="119"/>
      <x:c r="M455" s="119"/>
      <x:c r="N455" s="115" t="str">
        <x:v>Not Started</x:v>
      </x:c>
      <x:c r="O455" s="115"/>
      <x:c r="P455" s="119"/>
      <x:c r="Q455" s="116"/>
    </x:row>
    <x:row r="456" ht="20" customHeight="1">
      <x:c r="A456" s="83" t="str">
        <x:v>HAYS-0455</x:v>
      </x:c>
      <x:c r="B456" s="87" t="str">
        <x:v>Ludwigia palustris</x:v>
      </x:c>
      <x:c r="C456" s="87" t="str">
        <x:v>Ludwigia palustris</x:v>
      </x:c>
      <x:c r="D456" s="84" t="str">
        <x:v>Onagraceae</x:v>
      </x:c>
      <x:c r="E456" s="84" t="str">
        <x:v>Ludwigia</x:v>
      </x:c>
      <x:c r="F456" s="84" t="str">
        <x:v>Marsh Seedbox, Water Purslane</x:v>
      </x:c>
      <x:c r="G456" s="119"/>
      <x:c r="H456" s="119"/>
      <x:c r="I456" s="119"/>
      <x:c r="J456" s="119"/>
      <x:c r="K456" s="119"/>
      <x:c r="L456" s="119"/>
      <x:c r="M456" s="119"/>
      <x:c r="N456" s="115" t="str">
        <x:v>Not Started</x:v>
      </x:c>
      <x:c r="O456" s="115"/>
      <x:c r="P456" s="119"/>
      <x:c r="Q456" s="116"/>
    </x:row>
    <x:row r="457" ht="20" customHeight="1">
      <x:c r="A457" s="83" t="str">
        <x:v>HAYS-0456</x:v>
      </x:c>
      <x:c r="B457" s="87" t="str">
        <x:v>Ludwigia peploides</x:v>
      </x:c>
      <x:c r="C457" s="87" t="str">
        <x:v>Ludwigia peploides</x:v>
      </x:c>
      <x:c r="D457" s="84" t="str">
        <x:v>Onagraceae</x:v>
      </x:c>
      <x:c r="E457" s="84" t="str">
        <x:v>Ludwigia</x:v>
      </x:c>
      <x:c r="F457" s="84" t="str">
        <x:v>Floating Primrose-willow, Water-primrose, CreepingÂ Water-primrose</x:v>
      </x:c>
      <x:c r="G457" s="119"/>
      <x:c r="H457" s="119"/>
      <x:c r="I457" s="119"/>
      <x:c r="J457" s="119"/>
      <x:c r="K457" s="119"/>
      <x:c r="L457" s="119"/>
      <x:c r="M457" s="119"/>
      <x:c r="N457" s="115" t="str">
        <x:v>Not Started</x:v>
      </x:c>
      <x:c r="O457" s="115"/>
      <x:c r="P457" s="119"/>
      <x:c r="Q457" s="116"/>
    </x:row>
    <x:row r="458" ht="20" customHeight="1">
      <x:c r="A458" s="83" t="str">
        <x:v>HAYS-0457</x:v>
      </x:c>
      <x:c r="B458" s="87" t="str">
        <x:v>Ludwigia repens</x:v>
      </x:c>
      <x:c r="C458" s="87" t="str">
        <x:v>Ludwigia repens</x:v>
      </x:c>
      <x:c r="D458" s="84" t="str">
        <x:v>Onagraceae</x:v>
      </x:c>
      <x:c r="E458" s="84" t="str">
        <x:v>Ludwigia</x:v>
      </x:c>
      <x:c r="F458" s="84" t="str">
        <x:v>Creeping Primrose-willow, Floating Primrose-willow, Water Primrose</x:v>
      </x:c>
      <x:c r="G458" s="119"/>
      <x:c r="H458" s="119"/>
      <x:c r="I458" s="119"/>
      <x:c r="J458" s="119"/>
      <x:c r="K458" s="119"/>
      <x:c r="L458" s="119"/>
      <x:c r="M458" s="119"/>
      <x:c r="N458" s="115" t="str">
        <x:v>Not Started</x:v>
      </x:c>
      <x:c r="O458" s="115"/>
      <x:c r="P458" s="119"/>
      <x:c r="Q458" s="116"/>
    </x:row>
    <x:row r="459" ht="20" customHeight="1">
      <x:c r="A459" s="83" t="str">
        <x:v>HAYS-0458</x:v>
      </x:c>
      <x:c r="B459" s="87" t="str">
        <x:v>Lupinus texensis</x:v>
      </x:c>
      <x:c r="C459" s="87" t="str">
        <x:v>Lupinus texensis</x:v>
      </x:c>
      <x:c r="D459" s="84" t="str">
        <x:v>Fabaceae</x:v>
      </x:c>
      <x:c r="E459" s="84" t="str">
        <x:v>Lupinus</x:v>
      </x:c>
      <x:c r="F459" s="84" t="str">
        <x:v>Texas Bluebonnet, Bluebonnet, Texas Lupine, Buffalo Clover, Wolf Flower</x:v>
      </x:c>
      <x:c r="G459" s="119"/>
      <x:c r="H459" s="119"/>
      <x:c r="I459" s="119"/>
      <x:c r="J459" s="119"/>
      <x:c r="K459" s="119"/>
      <x:c r="L459" s="119"/>
      <x:c r="M459" s="119"/>
      <x:c r="N459" s="115" t="str">
        <x:v>Not Started</x:v>
      </x:c>
      <x:c r="O459" s="115"/>
      <x:c r="P459" s="119"/>
      <x:c r="Q459" s="116"/>
    </x:row>
    <x:row r="460" ht="20" customHeight="1">
      <x:c r="A460" s="83" t="str">
        <x:v>HAYS-0459</x:v>
      </x:c>
      <x:c r="B460" s="87" t="str">
        <x:v>Luzula bulbosa</x:v>
      </x:c>
      <x:c r="C460" s="87" t="str">
        <x:v>Luzula bulbosa</x:v>
      </x:c>
      <x:c r="D460" s="84" t="str">
        <x:v>Juncaceae</x:v>
      </x:c>
      <x:c r="E460" s="84" t="str">
        <x:v>Luzula</x:v>
      </x:c>
      <x:c r="F460" s="84" t="str">
        <x:v>Bulbous Woodrush</x:v>
      </x:c>
      <x:c r="G460" s="119"/>
      <x:c r="H460" s="119"/>
      <x:c r="I460" s="119"/>
      <x:c r="J460" s="119"/>
      <x:c r="K460" s="119"/>
      <x:c r="L460" s="119"/>
      <x:c r="M460" s="119"/>
      <x:c r="N460" s="115" t="str">
        <x:v>Not Started</x:v>
      </x:c>
      <x:c r="O460" s="115"/>
      <x:c r="P460" s="119"/>
      <x:c r="Q460" s="116"/>
    </x:row>
    <x:row r="461" ht="20" customHeight="1">
      <x:c r="A461" s="83" t="str">
        <x:v>HAYS-0460</x:v>
      </x:c>
      <x:c r="B461" s="87" t="str">
        <x:v>Lygodesmia texana</x:v>
      </x:c>
      <x:c r="C461" s="87" t="str">
        <x:v>Lygodesmia texana</x:v>
      </x:c>
      <x:c r="D461" s="84" t="str">
        <x:v>Asteraceae</x:v>
      </x:c>
      <x:c r="E461" s="84" t="str">
        <x:v>Lygodesmia</x:v>
      </x:c>
      <x:c r="F461" s="84" t="str">
        <x:v>Texas Skeleton Plant, Texas Skeleton Weed, Skeleton-plant, Purple Dandelion, Flowering Straw</x:v>
      </x:c>
      <x:c r="G461" s="119"/>
      <x:c r="H461" s="119"/>
      <x:c r="I461" s="119"/>
      <x:c r="J461" s="119"/>
      <x:c r="K461" s="119"/>
      <x:c r="L461" s="119"/>
      <x:c r="M461" s="119"/>
      <x:c r="N461" s="115" t="str">
        <x:v>Not Started</x:v>
      </x:c>
      <x:c r="O461" s="115"/>
      <x:c r="P461" s="119"/>
      <x:c r="Q461" s="116"/>
    </x:row>
    <x:row r="462" ht="20" customHeight="1">
      <x:c r="A462" s="83" t="str">
        <x:v>HAYS-0461</x:v>
      </x:c>
      <x:c r="B462" s="87" t="str">
        <x:v>Lythrum alatum</x:v>
      </x:c>
      <x:c r="C462" s="87" t="str">
        <x:v>Lythrum alatum</x:v>
      </x:c>
      <x:c r="D462" s="84" t="str">
        <x:v>Lythraceae</x:v>
      </x:c>
      <x:c r="E462" s="84" t="str">
        <x:v>Lythrum</x:v>
      </x:c>
      <x:c r="F462" s="84" t="str">
        <x:v>Winged Lythrum</x:v>
      </x:c>
      <x:c r="G462" s="119"/>
      <x:c r="H462" s="119"/>
      <x:c r="I462" s="119"/>
      <x:c r="J462" s="119"/>
      <x:c r="K462" s="119"/>
      <x:c r="L462" s="119"/>
      <x:c r="M462" s="119"/>
      <x:c r="N462" s="115" t="str">
        <x:v>Not Started</x:v>
      </x:c>
      <x:c r="O462" s="115"/>
      <x:c r="P462" s="119"/>
      <x:c r="Q462" s="116"/>
    </x:row>
    <x:row r="463" ht="20" customHeight="1">
      <x:c r="A463" s="83" t="str">
        <x:v>HAYS-0462</x:v>
      </x:c>
      <x:c r="B463" s="87" t="str">
        <x:v>Lythrum californicum</x:v>
      </x:c>
      <x:c r="C463" s="87" t="str">
        <x:v>Lythrum californicum</x:v>
      </x:c>
      <x:c r="D463" s="84" t="str">
        <x:v>Lythraceae</x:v>
      </x:c>
      <x:c r="E463" s="84" t="str">
        <x:v>Lythrum</x:v>
      </x:c>
      <x:c r="F463" s="84" t="str">
        <x:v>California Loosestrife</x:v>
      </x:c>
      <x:c r="G463" s="119"/>
      <x:c r="H463" s="119"/>
      <x:c r="I463" s="119"/>
      <x:c r="J463" s="119"/>
      <x:c r="K463" s="119"/>
      <x:c r="L463" s="119"/>
      <x:c r="M463" s="119"/>
      <x:c r="N463" s="115" t="str">
        <x:v>Not Started</x:v>
      </x:c>
      <x:c r="O463" s="115"/>
      <x:c r="P463" s="119"/>
      <x:c r="Q463" s="116"/>
    </x:row>
    <x:row r="464" ht="20" customHeight="1">
      <x:c r="A464" s="83" t="str">
        <x:v>HAYS-0463</x:v>
      </x:c>
      <x:c r="B464" s="87" t="str">
        <x:v>Maclura pomifera</x:v>
      </x:c>
      <x:c r="C464" s="87" t="str">
        <x:v>Maclura pomifera</x:v>
      </x:c>
      <x:c r="D464" s="84" t="str">
        <x:v>Moraceae</x:v>
      </x:c>
      <x:c r="E464" s="84" t="str">
        <x:v>Maclura</x:v>
      </x:c>
      <x:c r="F464" s="84" t="str">
        <x:v>Osage Orange, Bois d' Arc, Bodark, Horse Apple, Hedge Apple, Bowwood, Yellowwood, Naranjo Chino, Monkey Brains</x:v>
      </x:c>
      <x:c r="G464" s="119"/>
      <x:c r="H464" s="119"/>
      <x:c r="I464" s="119"/>
      <x:c r="J464" s="119"/>
      <x:c r="K464" s="119"/>
      <x:c r="L464" s="119"/>
      <x:c r="M464" s="119"/>
      <x:c r="N464" s="115" t="str">
        <x:v>Not Started</x:v>
      </x:c>
      <x:c r="O464" s="115"/>
      <x:c r="P464" s="119"/>
      <x:c r="Q464" s="116"/>
    </x:row>
    <x:row r="465" ht="20" customHeight="1">
      <x:c r="A465" s="83" t="str">
        <x:v>HAYS-0464</x:v>
      </x:c>
      <x:c r="B465" s="87" t="str">
        <x:v>Mahonia swaseyi</x:v>
      </x:c>
      <x:c r="C465" s="87" t="str">
        <x:v>Berberis swaseyi</x:v>
      </x:c>
      <x:c r="D465" s="84" t="str">
        <x:v>Berberidaceae</x:v>
      </x:c>
      <x:c r="E465" s="84" t="str">
        <x:v>Berberis</x:v>
      </x:c>
      <x:c r="F465" s="84" t="str">
        <x:v>Texas Barberry, Texas Oregon-grape</x:v>
      </x:c>
      <x:c r="G465" s="119"/>
      <x:c r="H465" s="119"/>
      <x:c r="I465" s="119"/>
      <x:c r="J465" s="119"/>
      <x:c r="K465" s="119"/>
      <x:c r="L465" s="119"/>
      <x:c r="M465" s="119"/>
      <x:c r="N465" s="115" t="str">
        <x:v>Not Started</x:v>
      </x:c>
      <x:c r="O465" s="115"/>
      <x:c r="P465" s="119"/>
      <x:c r="Q465" s="116"/>
    </x:row>
    <x:row r="466" ht="20" customHeight="1">
      <x:c r="A466" s="83" t="str">
        <x:v>HAYS-0465</x:v>
      </x:c>
      <x:c r="B466" s="87" t="str">
        <x:v>Mahonia trifoliolata</x:v>
      </x:c>
      <x:c r="C466" s="87" t="str">
        <x:v>Berberis trifoliolata</x:v>
      </x:c>
      <x:c r="D466" s="84" t="str">
        <x:v>Berberidaceae</x:v>
      </x:c>
      <x:c r="E466" s="84" t="str">
        <x:v>Berberis</x:v>
      </x:c>
      <x:c r="F466" s="84" t="str">
        <x:v>Agarita, Agarito, Algerita, Laredo Mahonia, Laredo Oregon-grape, Trifoliate Barberry, Wild Currant</x:v>
      </x:c>
      <x:c r="G466" s="119"/>
      <x:c r="H466" s="119"/>
      <x:c r="I466" s="119"/>
      <x:c r="J466" s="119"/>
      <x:c r="K466" s="119"/>
      <x:c r="L466" s="119"/>
      <x:c r="M466" s="119"/>
      <x:c r="N466" s="115" t="str">
        <x:v>Not Started</x:v>
      </x:c>
      <x:c r="O466" s="115"/>
      <x:c r="P466" s="119"/>
      <x:c r="Q466" s="116"/>
    </x:row>
    <x:row r="467" ht="20" customHeight="1">
      <x:c r="A467" s="83" t="str">
        <x:v>HAYS-0466</x:v>
      </x:c>
      <x:c r="B467" s="87" t="str">
        <x:v>Malus ioensis var. texana</x:v>
      </x:c>
      <x:c r="C467" s="87" t="str">
        <x:v>Malus ioensis</x:v>
      </x:c>
      <x:c r="D467" s="84" t="str">
        <x:v>Rosaceae</x:v>
      </x:c>
      <x:c r="E467" s="84" t="str">
        <x:v>Malus</x:v>
      </x:c>
      <x:c r="F467" s="84" t="str">
        <x:v>Blanco Crabapple</x:v>
      </x:c>
      <x:c r="G467" s="119"/>
      <x:c r="H467" s="119"/>
      <x:c r="I467" s="119"/>
      <x:c r="J467" s="119"/>
      <x:c r="K467" s="119"/>
      <x:c r="L467" s="119"/>
      <x:c r="M467" s="119"/>
      <x:c r="N467" s="115" t="str">
        <x:v>Not Started</x:v>
      </x:c>
      <x:c r="O467" s="115"/>
      <x:c r="P467" s="119"/>
      <x:c r="Q467" s="116"/>
    </x:row>
    <x:row r="468" ht="20" customHeight="1">
      <x:c r="A468" s="83" t="str">
        <x:v>HAYS-0467</x:v>
      </x:c>
      <x:c r="B468" s="87" t="str">
        <x:v>Malvastrum aurantiacum</x:v>
      </x:c>
      <x:c r="C468" s="87" t="str">
        <x:v>Malvastrum aurantiacum</x:v>
      </x:c>
      <x:c r="D468" s="84" t="str">
        <x:v>Malvaceae</x:v>
      </x:c>
      <x:c r="E468" s="84" t="str">
        <x:v>Malvastrum</x:v>
      </x:c>
      <x:c r="F468" s="84" t="str">
        <x:v>Wright's False Mallow</x:v>
      </x:c>
      <x:c r="G468" s="119"/>
      <x:c r="H468" s="119"/>
      <x:c r="I468" s="119"/>
      <x:c r="J468" s="119"/>
      <x:c r="K468" s="119"/>
      <x:c r="L468" s="119"/>
      <x:c r="M468" s="119"/>
      <x:c r="N468" s="115" t="str">
        <x:v>Not Started</x:v>
      </x:c>
      <x:c r="O468" s="115"/>
      <x:c r="P468" s="119"/>
      <x:c r="Q468" s="116"/>
    </x:row>
    <x:row r="469" ht="20" customHeight="1">
      <x:c r="A469" s="83" t="str">
        <x:v>HAYS-0468</x:v>
      </x:c>
      <x:c r="B469" s="87" t="str">
        <x:v>Malvaviscus arboreus var. drummondii</x:v>
      </x:c>
      <x:c r="C469" s="87" t="str">
        <x:v>Malvaviscus arboreus var. drummondii</x:v>
      </x:c>
      <x:c r="D469" s="84" t="str">
        <x:v>Malvaceae</x:v>
      </x:c>
      <x:c r="E469" s="84" t="str">
        <x:v>Malvaviscus</x:v>
      </x:c>
      <x:c r="F469" s="84" t="str">
        <x:v>Turks Cap</x:v>
      </x:c>
      <x:c r="G469" s="119"/>
      <x:c r="H469" s="119"/>
      <x:c r="I469" s="119"/>
      <x:c r="J469" s="119"/>
      <x:c r="K469" s="119"/>
      <x:c r="L469" s="119"/>
      <x:c r="M469" s="119"/>
      <x:c r="N469" s="115" t="str">
        <x:v>Not Started</x:v>
      </x:c>
      <x:c r="O469" s="115"/>
      <x:c r="P469" s="119"/>
      <x:c r="Q469" s="116"/>
    </x:row>
    <x:row r="470" ht="20" customHeight="1">
      <x:c r="A470" s="83" t="str">
        <x:v>HAYS-0469</x:v>
      </x:c>
      <x:c r="B470" s="87" t="str">
        <x:v>Manfreda maculosa</x:v>
      </x:c>
      <x:c r="C470" s="87" t="str">
        <x:v>Manfreda maculosa</x:v>
      </x:c>
      <x:c r="D470" s="84" t="str">
        <x:v>Asparagaceae</x:v>
      </x:c>
      <x:c r="E470" s="84" t="str">
        <x:v>Manfreda</x:v>
      </x:c>
      <x:c r="F470" s="84" t="str">
        <x:v>False Aloe, Spice Lily, Spice-lily</x:v>
      </x:c>
      <x:c r="G470" s="119"/>
      <x:c r="H470" s="119"/>
      <x:c r="I470" s="119"/>
      <x:c r="J470" s="119"/>
      <x:c r="K470" s="119"/>
      <x:c r="L470" s="119"/>
      <x:c r="M470" s="119"/>
      <x:c r="N470" s="115" t="str">
        <x:v>Not Started</x:v>
      </x:c>
      <x:c r="O470" s="115"/>
      <x:c r="P470" s="119"/>
      <x:c r="Q470" s="116"/>
    </x:row>
    <x:row r="471" ht="20" customHeight="1">
      <x:c r="A471" s="83" t="str">
        <x:v>HAYS-0470</x:v>
      </x:c>
      <x:c r="B471" s="87" t="str">
        <x:v>Marshallia caespitosa</x:v>
      </x:c>
      <x:c r="C471" s="87" t="str">
        <x:v>Marshallia caespitosa</x:v>
      </x:c>
      <x:c r="D471" s="84" t="str">
        <x:v>Asteraceae</x:v>
      </x:c>
      <x:c r="E471" s="84" t="str">
        <x:v>Marshallia</x:v>
      </x:c>
      <x:c r="F471" s="84" t="str">
        <x:v>Barbara's-buttons, Puffballs, White Barbara's-buttons, Barbara's Buttons</x:v>
      </x:c>
      <x:c r="G471" s="119"/>
      <x:c r="H471" s="119"/>
      <x:c r="I471" s="119"/>
      <x:c r="J471" s="119"/>
      <x:c r="K471" s="119"/>
      <x:c r="L471" s="119"/>
      <x:c r="M471" s="119"/>
      <x:c r="N471" s="115" t="str">
        <x:v>Not Started</x:v>
      </x:c>
      <x:c r="O471" s="115"/>
      <x:c r="P471" s="119"/>
      <x:c r="Q471" s="116"/>
    </x:row>
    <x:row r="472" ht="20" customHeight="1">
      <x:c r="A472" s="83" t="str">
        <x:v>HAYS-0471</x:v>
      </x:c>
      <x:c r="B472" s="87" t="str">
        <x:v>Marshallia caespitosa var. signata</x:v>
      </x:c>
      <x:c r="C472" s="87" t="str">
        <x:v>Marshallia caespitosa var. signata</x:v>
      </x:c>
      <x:c r="D472" s="84" t="str">
        <x:v>Asteraceae</x:v>
      </x:c>
      <x:c r="E472" s="84" t="str">
        <x:v>Marshallia</x:v>
      </x:c>
      <x:c r="F472" s="84" t="str">
        <x:v>Marked Barbara's-buttons, Marked Barbara's Buttons, Puffballs</x:v>
      </x:c>
      <x:c r="G472" s="119"/>
      <x:c r="H472" s="119"/>
      <x:c r="I472" s="119"/>
      <x:c r="J472" s="119"/>
      <x:c r="K472" s="119"/>
      <x:c r="L472" s="119"/>
      <x:c r="M472" s="119"/>
      <x:c r="N472" s="115" t="str">
        <x:v>Not Started</x:v>
      </x:c>
      <x:c r="O472" s="115"/>
      <x:c r="P472" s="119"/>
      <x:c r="Q472" s="116"/>
    </x:row>
    <x:row r="473" ht="20" customHeight="1">
      <x:c r="A473" s="83" t="str">
        <x:v>HAYS-0472</x:v>
      </x:c>
      <x:c r="B473" s="87" t="str">
        <x:v>Marsilea macropoda</x:v>
      </x:c>
      <x:c r="C473" s="87" t="str">
        <x:v>Marsilea macropoda</x:v>
      </x:c>
      <x:c r="D473" s="84" t="str">
        <x:v>Marsileaceae</x:v>
      </x:c>
      <x:c r="E473" s="84" t="str">
        <x:v>Marsilea</x:v>
      </x:c>
      <x:c r="F473" s="84" t="str">
        <x:v>Bigfoot Water-clover, Water-clover, Clover-fern, Largefoot Pepperwort</x:v>
      </x:c>
      <x:c r="G473" s="119"/>
      <x:c r="H473" s="119"/>
      <x:c r="I473" s="119"/>
      <x:c r="J473" s="119"/>
      <x:c r="K473" s="119"/>
      <x:c r="L473" s="119"/>
      <x:c r="M473" s="119"/>
      <x:c r="N473" s="115" t="str">
        <x:v>Not Started</x:v>
      </x:c>
      <x:c r="O473" s="115"/>
      <x:c r="P473" s="119"/>
      <x:c r="Q473" s="116"/>
    </x:row>
    <x:row r="474" ht="20" customHeight="1">
      <x:c r="A474" s="83" t="str">
        <x:v>HAYS-0473</x:v>
      </x:c>
      <x:c r="B474" s="87" t="str">
        <x:v>Marsilea vestita</x:v>
      </x:c>
      <x:c r="C474" s="87" t="str">
        <x:v>Marsilea vestita</x:v>
      </x:c>
      <x:c r="D474" s="84" t="str">
        <x:v>Marsileaceae</x:v>
      </x:c>
      <x:c r="E474" s="84" t="str">
        <x:v>Marsilea</x:v>
      </x:c>
      <x:c r="F474" s="84" t="str">
        <x:v>Hairy Water-clover, Hairy Waterclover, Hairy Water Clover, Clover Fern</x:v>
      </x:c>
      <x:c r="G474" s="119"/>
      <x:c r="H474" s="119"/>
      <x:c r="I474" s="119"/>
      <x:c r="J474" s="119"/>
      <x:c r="K474" s="119"/>
      <x:c r="L474" s="119"/>
      <x:c r="M474" s="119"/>
      <x:c r="N474" s="115" t="str">
        <x:v>Not Started</x:v>
      </x:c>
      <x:c r="O474" s="115"/>
      <x:c r="P474" s="119"/>
      <x:c r="Q474" s="116"/>
    </x:row>
    <x:row r="475" ht="20" customHeight="1">
      <x:c r="A475" s="83" t="str">
        <x:v>HAYS-0474</x:v>
      </x:c>
      <x:c r="B475" s="87" t="str">
        <x:v>Matelea biflora</x:v>
      </x:c>
      <x:c r="C475" s="87" t="str">
        <x:v>Chthamalia biflora</x:v>
      </x:c>
      <x:c r="D475" s="84" t="str">
        <x:v>Apocynaceae</x:v>
      </x:c>
      <x:c r="E475" s="84" t="str">
        <x:v>Chthamalia</x:v>
      </x:c>
      <x:c r="F475" s="84" t="str">
        <x:v>Star Milkvine, Purple Milkweed Vine</x:v>
      </x:c>
      <x:c r="G475" s="119"/>
      <x:c r="H475" s="119"/>
      <x:c r="I475" s="119"/>
      <x:c r="J475" s="119"/>
      <x:c r="K475" s="119"/>
      <x:c r="L475" s="119"/>
      <x:c r="M475" s="119"/>
      <x:c r="N475" s="115" t="str">
        <x:v>Not Started</x:v>
      </x:c>
      <x:c r="O475" s="115"/>
      <x:c r="P475" s="119"/>
      <x:c r="Q475" s="116"/>
    </x:row>
    <x:row r="476" ht="20" customHeight="1">
      <x:c r="A476" s="83" t="str">
        <x:v>HAYS-0475</x:v>
      </x:c>
      <x:c r="B476" s="87" t="str">
        <x:v>Matelea edwardsensis</x:v>
      </x:c>
      <x:c r="C476" s="87" t="str">
        <x:v>Matelea edwardsensis</x:v>
      </x:c>
      <x:c r="D476" s="84" t="str">
        <x:v>Apocynaceae</x:v>
      </x:c>
      <x:c r="E476" s="84" t="str">
        <x:v>Matelea</x:v>
      </x:c>
      <x:c r="F476" s="84" t="str">
        <x:v>Plateau Milkvine, Plateau Milkweed Vine</x:v>
      </x:c>
      <x:c r="G476" s="119"/>
      <x:c r="H476" s="119"/>
      <x:c r="I476" s="119"/>
      <x:c r="J476" s="119"/>
      <x:c r="K476" s="119"/>
      <x:c r="L476" s="119"/>
      <x:c r="M476" s="119"/>
      <x:c r="N476" s="115" t="str">
        <x:v>Not Started</x:v>
      </x:c>
      <x:c r="O476" s="115"/>
      <x:c r="P476" s="119"/>
      <x:c r="Q476" s="116"/>
    </x:row>
    <x:row r="477" ht="20" customHeight="1">
      <x:c r="A477" s="83" t="str">
        <x:v>HAYS-0476</x:v>
      </x:c>
      <x:c r="B477" s="87" t="str">
        <x:v>Matelea gonocarpos</x:v>
      </x:c>
      <x:c r="C477" s="87" t="str">
        <x:v>Gonolobus suberosus var. suberosus</x:v>
      </x:c>
      <x:c r="D477" s="84" t="str">
        <x:v>Apocynaceae</x:v>
      </x:c>
      <x:c r="E477" s="84" t="str">
        <x:v>Gonolobus</x:v>
      </x:c>
      <x:c r="F477" s="84" t="str">
        <x:v>Anglepod, Angularfruit Milkvine</x:v>
      </x:c>
      <x:c r="G477" s="119"/>
      <x:c r="H477" s="119"/>
      <x:c r="I477" s="119"/>
      <x:c r="J477" s="119"/>
      <x:c r="K477" s="119"/>
      <x:c r="L477" s="119"/>
      <x:c r="M477" s="119"/>
      <x:c r="N477" s="115" t="str">
        <x:v>Not Started</x:v>
      </x:c>
      <x:c r="O477" s="115"/>
      <x:c r="P477" s="119"/>
      <x:c r="Q477" s="116"/>
    </x:row>
    <x:row r="478" ht="20" customHeight="1">
      <x:c r="A478" s="83" t="str">
        <x:v>HAYS-0477</x:v>
      </x:c>
      <x:c r="B478" s="87" t="str">
        <x:v>Matelea reticulata</x:v>
      </x:c>
      <x:c r="C478" s="87" t="str">
        <x:v>Matelea reticulata</x:v>
      </x:c>
      <x:c r="D478" s="84" t="str">
        <x:v>Apocynaceae</x:v>
      </x:c>
      <x:c r="E478" s="84" t="str">
        <x:v>Matelea</x:v>
      </x:c>
      <x:c r="F478" s="84" t="str">
        <x:v>Pearl Milkweed Vine, Netted Milkvine, Green Milkweed Vine, Net Vein Milkvine</x:v>
      </x:c>
      <x:c r="G478" s="119"/>
      <x:c r="H478" s="119"/>
      <x:c r="I478" s="119"/>
      <x:c r="J478" s="119"/>
      <x:c r="K478" s="119"/>
      <x:c r="L478" s="119"/>
      <x:c r="M478" s="119"/>
      <x:c r="N478" s="115" t="str">
        <x:v>Not Started</x:v>
      </x:c>
      <x:c r="O478" s="115"/>
      <x:c r="P478" s="119"/>
      <x:c r="Q478" s="116"/>
    </x:row>
    <x:row r="479" ht="20" customHeight="1">
      <x:c r="A479" s="83" t="str">
        <x:v>HAYS-0478</x:v>
      </x:c>
      <x:c r="B479" s="87" t="str">
        <x:v>Maurandella antirrhiniflora</x:v>
      </x:c>
      <x:c r="C479" s="87" t="str">
        <x:v>Maurandella antirrhiniflora</x:v>
      </x:c>
      <x:c r="D479" s="84" t="str">
        <x:v>Plantaginaceae</x:v>
      </x:c>
      <x:c r="E479" s="84" t="str">
        <x:v>Maurandella</x:v>
      </x:c>
      <x:c r="F479" s="84" t="str">
        <x:v>Snapdragon Vine , Roving Sailor, Climbing Snapdragon, Little Snapdragon Vine</x:v>
      </x:c>
      <x:c r="G479" s="119"/>
      <x:c r="H479" s="119"/>
      <x:c r="I479" s="119"/>
      <x:c r="J479" s="119"/>
      <x:c r="K479" s="119"/>
      <x:c r="L479" s="119"/>
      <x:c r="M479" s="119"/>
      <x:c r="N479" s="115" t="str">
        <x:v>Not Started</x:v>
      </x:c>
      <x:c r="O479" s="115"/>
      <x:c r="P479" s="119"/>
      <x:c r="Q479" s="116"/>
    </x:row>
    <x:row r="480" ht="20" customHeight="1">
      <x:c r="A480" s="83" t="str">
        <x:v>HAYS-0479</x:v>
      </x:c>
      <x:c r="B480" s="87" t="str">
        <x:v>Mecardonia procumbens</x:v>
      </x:c>
      <x:c r="C480" s="87" t="str">
        <x:v>Mecardonia procumbens</x:v>
      </x:c>
      <x:c r="D480" s="84" t="str">
        <x:v>Plantaginaceae</x:v>
      </x:c>
      <x:c r="E480" s="84" t="str">
        <x:v>Mecardonia</x:v>
      </x:c>
      <x:c r="F480" s="84" t="str">
        <x:v>Baby Jump-up</x:v>
      </x:c>
      <x:c r="G480" s="119"/>
      <x:c r="H480" s="119"/>
      <x:c r="I480" s="119"/>
      <x:c r="J480" s="119"/>
      <x:c r="K480" s="119"/>
      <x:c r="L480" s="119"/>
      <x:c r="M480" s="119"/>
      <x:c r="N480" s="115" t="str">
        <x:v>Not Started</x:v>
      </x:c>
      <x:c r="O480" s="115"/>
      <x:c r="P480" s="119"/>
      <x:c r="Q480" s="116"/>
    </x:row>
    <x:row r="481" ht="20" customHeight="1">
      <x:c r="A481" s="83" t="str">
        <x:v>HAYS-0480</x:v>
      </x:c>
      <x:c r="B481" s="87" t="str">
        <x:v>Melampodium leucanthum</x:v>
      </x:c>
      <x:c r="C481" s="87" t="str">
        <x:v>Melampodium leucanthum</x:v>
      </x:c>
      <x:c r="D481" s="84" t="str">
        <x:v>Asteraceae</x:v>
      </x:c>
      <x:c r="E481" s="84" t="str">
        <x:v>Melampodium</x:v>
      </x:c>
      <x:c r="F481" s="84" t="str">
        <x:v>Blackfoot Daisy, Rock Daisy, Plains Blackfoot, Arnica</x:v>
      </x:c>
      <x:c r="G481" s="119"/>
      <x:c r="H481" s="119"/>
      <x:c r="I481" s="119"/>
      <x:c r="J481" s="119"/>
      <x:c r="K481" s="119"/>
      <x:c r="L481" s="119"/>
      <x:c r="M481" s="119"/>
      <x:c r="N481" s="115" t="str">
        <x:v>Not Started</x:v>
      </x:c>
      <x:c r="O481" s="115"/>
      <x:c r="P481" s="119"/>
      <x:c r="Q481" s="116"/>
    </x:row>
    <x:row r="482" ht="20" customHeight="1">
      <x:c r="A482" s="83" t="str">
        <x:v>HAYS-0481</x:v>
      </x:c>
      <x:c r="B482" s="87" t="str">
        <x:v>Melochia pyramidata</x:v>
      </x:c>
      <x:c r="C482" s="87" t="str">
        <x:v>Melochia pyramidata</x:v>
      </x:c>
      <x:c r="D482" s="84" t="str">
        <x:v>Malvaceae</x:v>
      </x:c>
      <x:c r="E482" s="84" t="str">
        <x:v>Melochia</x:v>
      </x:c>
      <x:c r="F482" s="84" t="str">
        <x:v>Pyramidflower, Broom-wood, Pyramid Flower</x:v>
      </x:c>
      <x:c r="G482" s="119"/>
      <x:c r="H482" s="119"/>
      <x:c r="I482" s="119"/>
      <x:c r="J482" s="119"/>
      <x:c r="K482" s="119"/>
      <x:c r="L482" s="119"/>
      <x:c r="M482" s="119"/>
      <x:c r="N482" s="115" t="str">
        <x:v>Not Started</x:v>
      </x:c>
      <x:c r="O482" s="115"/>
      <x:c r="P482" s="119"/>
      <x:c r="Q482" s="116"/>
    </x:row>
    <x:row r="483" ht="20" customHeight="1">
      <x:c r="A483" s="83" t="str">
        <x:v>HAYS-0482</x:v>
      </x:c>
      <x:c r="B483" s="87" t="str">
        <x:v>Melothria pendula</x:v>
      </x:c>
      <x:c r="C483" s="87" t="str">
        <x:v>Melothria pendula</x:v>
      </x:c>
      <x:c r="D483" s="84" t="str">
        <x:v>Cucurbitaceae</x:v>
      </x:c>
      <x:c r="E483" s="84" t="str">
        <x:v>Melothria</x:v>
      </x:c>
      <x:c r="F483" s="84" t="str">
        <x:v>Guadeloupe Cucumber, Meloncito, Speckled Gourd</x:v>
      </x:c>
      <x:c r="G483" s="119"/>
      <x:c r="H483" s="119"/>
      <x:c r="I483" s="119"/>
      <x:c r="J483" s="119"/>
      <x:c r="K483" s="119"/>
      <x:c r="L483" s="119"/>
      <x:c r="M483" s="119"/>
      <x:c r="N483" s="115" t="str">
        <x:v>Not Started</x:v>
      </x:c>
      <x:c r="O483" s="115"/>
      <x:c r="P483" s="119"/>
      <x:c r="Q483" s="116"/>
    </x:row>
    <x:row r="484" ht="20" customHeight="1">
      <x:c r="A484" s="83" t="str">
        <x:v>HAYS-0483</x:v>
      </x:c>
      <x:c r="B484" s="87" t="str">
        <x:v>Menodora heterophylla</x:v>
      </x:c>
      <x:c r="C484" s="87" t="str">
        <x:v>Menodora heterophylla</x:v>
      </x:c>
      <x:c r="D484" s="84" t="str">
        <x:v>Oleaceae</x:v>
      </x:c>
      <x:c r="E484" s="84" t="str">
        <x:v>Menodora</x:v>
      </x:c>
      <x:c r="F484" s="84" t="str">
        <x:v>Low Menodora, Redbud, Twinpod</x:v>
      </x:c>
      <x:c r="G484" s="119"/>
      <x:c r="H484" s="119"/>
      <x:c r="I484" s="119"/>
      <x:c r="J484" s="119"/>
      <x:c r="K484" s="119"/>
      <x:c r="L484" s="119"/>
      <x:c r="M484" s="119"/>
      <x:c r="N484" s="115" t="str">
        <x:v>Not Started</x:v>
      </x:c>
      <x:c r="O484" s="115"/>
      <x:c r="P484" s="119"/>
      <x:c r="Q484" s="116"/>
    </x:row>
    <x:row r="485" ht="20" customHeight="1">
      <x:c r="A485" s="83" t="str">
        <x:v>HAYS-0484</x:v>
      </x:c>
      <x:c r="B485" s="87" t="str">
        <x:v>Menodora longiflora</x:v>
      </x:c>
      <x:c r="C485" s="87" t="str">
        <x:v>Menodora longiflora</x:v>
      </x:c>
      <x:c r="D485" s="84" t="str">
        <x:v>Oleaceae</x:v>
      </x:c>
      <x:c r="E485" s="84" t="str">
        <x:v>Menodora</x:v>
      </x:c>
      <x:c r="F485" s="84" t="str">
        <x:v>Showy Menodora, Longflower menodora</x:v>
      </x:c>
      <x:c r="G485" s="119"/>
      <x:c r="H485" s="119"/>
      <x:c r="I485" s="119"/>
      <x:c r="J485" s="119"/>
      <x:c r="K485" s="119"/>
      <x:c r="L485" s="119"/>
      <x:c r="M485" s="119"/>
      <x:c r="N485" s="115" t="str">
        <x:v>Not Started</x:v>
      </x:c>
      <x:c r="O485" s="115"/>
      <x:c r="P485" s="119"/>
      <x:c r="Q485" s="116"/>
    </x:row>
    <x:row r="486" ht="20" customHeight="1">
      <x:c r="A486" s="83" t="str">
        <x:v>HAYS-0485</x:v>
      </x:c>
      <x:c r="B486" s="87" t="str">
        <x:v>Mentzelia oligosperma</x:v>
      </x:c>
      <x:c r="C486" s="87" t="str">
        <x:v>Mentzelia oligosperma</x:v>
      </x:c>
      <x:c r="D486" s="84" t="str">
        <x:v>Loasaceae</x:v>
      </x:c>
      <x:c r="E486" s="84" t="str">
        <x:v>Mentzelia</x:v>
      </x:c>
      <x:c r="F486" s="84" t="str">
        <x:v>Stick-leaf, Chickenthief</x:v>
      </x:c>
      <x:c r="G486" s="119"/>
      <x:c r="H486" s="119"/>
      <x:c r="I486" s="119"/>
      <x:c r="J486" s="119"/>
      <x:c r="K486" s="119"/>
      <x:c r="L486" s="119"/>
      <x:c r="M486" s="119"/>
      <x:c r="N486" s="115" t="str">
        <x:v>Not Started</x:v>
      </x:c>
      <x:c r="O486" s="115"/>
      <x:c r="P486" s="119"/>
      <x:c r="Q486" s="116"/>
    </x:row>
    <x:row r="487" ht="20" customHeight="1">
      <x:c r="A487" s="83" t="str">
        <x:v>HAYS-0486</x:v>
      </x:c>
      <x:c r="B487" s="87" t="str">
        <x:v>Merremia dissecta</x:v>
      </x:c>
      <x:c r="C487" s="87" t="str">
        <x:v>Distimake dissectus</x:v>
      </x:c>
      <x:c r="D487" s="84" t="str">
        <x:v>Convolvulaceae</x:v>
      </x:c>
      <x:c r="E487" s="84" t="str">
        <x:v>Distimake</x:v>
      </x:c>
      <x:c r="F487" s="84" t="str">
        <x:v>Alamo Vine, Noyau Vine, Correhuela De Las Doce</x:v>
      </x:c>
      <x:c r="G487" s="119"/>
      <x:c r="H487" s="119"/>
      <x:c r="I487" s="119"/>
      <x:c r="J487" s="119"/>
      <x:c r="K487" s="119"/>
      <x:c r="L487" s="119"/>
      <x:c r="M487" s="119"/>
      <x:c r="N487" s="115" t="str">
        <x:v>Not Started</x:v>
      </x:c>
      <x:c r="O487" s="115"/>
      <x:c r="P487" s="119"/>
      <x:c r="Q487" s="116"/>
    </x:row>
    <x:row r="488" ht="20" customHeight="1">
      <x:c r="A488" s="83" t="str">
        <x:v>HAYS-0487</x:v>
      </x:c>
      <x:c r="B488" s="87" t="str">
        <x:v>Mikania scandens</x:v>
      </x:c>
      <x:c r="C488" s="87" t="str">
        <x:v>Mikania scandens</x:v>
      </x:c>
      <x:c r="D488" s="84" t="str">
        <x:v>Asteraceae</x:v>
      </x:c>
      <x:c r="E488" s="84" t="str">
        <x:v>Mikania</x:v>
      </x:c>
      <x:c r="F488" s="84" t="str">
        <x:v>Climbing Hempvine, Climbing Hempweed</x:v>
      </x:c>
      <x:c r="G488" s="119"/>
      <x:c r="H488" s="119"/>
      <x:c r="I488" s="119"/>
      <x:c r="J488" s="119"/>
      <x:c r="K488" s="119"/>
      <x:c r="L488" s="119"/>
      <x:c r="M488" s="119"/>
      <x:c r="N488" s="115" t="str">
        <x:v>Not Started</x:v>
      </x:c>
      <x:c r="O488" s="115"/>
      <x:c r="P488" s="119"/>
      <x:c r="Q488" s="116"/>
    </x:row>
    <x:row r="489" ht="20" customHeight="1">
      <x:c r="A489" s="83" t="str">
        <x:v>HAYS-0488</x:v>
      </x:c>
      <x:c r="B489" s="87" t="str">
        <x:v>Mimosa aculeaticarpa var. biuncifera</x:v>
      </x:c>
      <x:c r="C489" s="87" t="str">
        <x:v>Mimosa biuncifera</x:v>
      </x:c>
      <x:c r="D489" s="84" t="str">
        <x:v>Fabaceae</x:v>
      </x:c>
      <x:c r="E489" s="84" t="str">
        <x:v>Mimosa</x:v>
      </x:c>
      <x:c r="F489" s="84" t="str">
        <x:v>Catclaw Mimosa, Cat's-claw Mimosa, Wait-a-bit</x:v>
      </x:c>
      <x:c r="G489" s="119"/>
      <x:c r="H489" s="119"/>
      <x:c r="I489" s="119"/>
      <x:c r="J489" s="119"/>
      <x:c r="K489" s="119"/>
      <x:c r="L489" s="119"/>
      <x:c r="M489" s="119"/>
      <x:c r="N489" s="115" t="str">
        <x:v>Not Started</x:v>
      </x:c>
      <x:c r="O489" s="115"/>
      <x:c r="P489" s="119"/>
      <x:c r="Q489" s="116"/>
    </x:row>
    <x:row r="490" ht="20" customHeight="1">
      <x:c r="A490" s="83" t="str">
        <x:v>HAYS-0489</x:v>
      </x:c>
      <x:c r="B490" s="87" t="str">
        <x:v>Mimosa borealis</x:v>
      </x:c>
      <x:c r="C490" s="87" t="str">
        <x:v>Mimosa borealis</x:v>
      </x:c>
      <x:c r="D490" s="84" t="str">
        <x:v>Fabaceae</x:v>
      </x:c>
      <x:c r="E490" s="84" t="str">
        <x:v>Mimosa</x:v>
      </x:c>
      <x:c r="F490" s="84" t="str">
        <x:v>Fragrant Mimosa, Pink Mimosa</x:v>
      </x:c>
      <x:c r="G490" s="119"/>
      <x:c r="H490" s="119"/>
      <x:c r="I490" s="119"/>
      <x:c r="J490" s="119"/>
      <x:c r="K490" s="119"/>
      <x:c r="L490" s="119"/>
      <x:c r="M490" s="119"/>
      <x:c r="N490" s="115" t="str">
        <x:v>Not Started</x:v>
      </x:c>
      <x:c r="O490" s="115"/>
      <x:c r="P490" s="119"/>
      <x:c r="Q490" s="116"/>
    </x:row>
    <x:row r="491" ht="20" customHeight="1">
      <x:c r="A491" s="83" t="str">
        <x:v>HAYS-0490</x:v>
      </x:c>
      <x:c r="B491" s="87" t="str">
        <x:v>Mimosa latidens</x:v>
      </x:c>
      <x:c r="C491" s="87" t="str">
        <x:v>Mimosa latidens</x:v>
      </x:c>
      <x:c r="D491" s="84" t="str">
        <x:v>Fabaceae</x:v>
      </x:c>
      <x:c r="E491" s="84" t="str">
        <x:v>Mimosa</x:v>
      </x:c>
      <x:c r="F491" s="84" t="str">
        <x:v>Kairn's Sensitive Briar</x:v>
      </x:c>
      <x:c r="G491" s="119"/>
      <x:c r="H491" s="119"/>
      <x:c r="I491" s="119"/>
      <x:c r="J491" s="119"/>
      <x:c r="K491" s="119"/>
      <x:c r="L491" s="119"/>
      <x:c r="M491" s="119"/>
      <x:c r="N491" s="115" t="str">
        <x:v>Not Started</x:v>
      </x:c>
      <x:c r="O491" s="115"/>
      <x:c r="P491" s="119"/>
      <x:c r="Q491" s="116"/>
    </x:row>
    <x:row r="492" ht="20" customHeight="1">
      <x:c r="A492" s="83" t="str">
        <x:v>HAYS-0491</x:v>
      </x:c>
      <x:c r="B492" s="87" t="str">
        <x:v>Mimosa roemeriana</x:v>
      </x:c>
      <x:c r="C492" s="87" t="str">
        <x:v>Mimosa roemeriana</x:v>
      </x:c>
      <x:c r="D492" s="84" t="str">
        <x:v>Fabaceae</x:v>
      </x:c>
      <x:c r="E492" s="84" t="str">
        <x:v>Mimosa</x:v>
      </x:c>
      <x:c r="F492" s="84" t="str">
        <x:v>Roemer's Mimosa, Sensitive Briar</x:v>
      </x:c>
      <x:c r="G492" s="119"/>
      <x:c r="H492" s="119"/>
      <x:c r="I492" s="119"/>
      <x:c r="J492" s="119"/>
      <x:c r="K492" s="119"/>
      <x:c r="L492" s="119"/>
      <x:c r="M492" s="119"/>
      <x:c r="N492" s="115" t="str">
        <x:v>Not Started</x:v>
      </x:c>
      <x:c r="O492" s="115"/>
      <x:c r="P492" s="119"/>
      <x:c r="Q492" s="116"/>
    </x:row>
    <x:row r="493" ht="20" customHeight="1">
      <x:c r="A493" s="83" t="str">
        <x:v>HAYS-0492</x:v>
      </x:c>
      <x:c r="B493" s="87" t="str">
        <x:v>Mimosa texana</x:v>
      </x:c>
      <x:c r="C493" s="87" t="str">
        <x:v>Mimosa texana</x:v>
      </x:c>
      <x:c r="D493" s="84" t="str">
        <x:v>Fabaceae</x:v>
      </x:c>
      <x:c r="E493" s="84" t="str">
        <x:v>Mimosa</x:v>
      </x:c>
      <x:c r="F493" s="84" t="str">
        <x:v>Texas Mimosa</x:v>
      </x:c>
      <x:c r="G493" s="119"/>
      <x:c r="H493" s="119"/>
      <x:c r="I493" s="119"/>
      <x:c r="J493" s="119"/>
      <x:c r="K493" s="119"/>
      <x:c r="L493" s="119"/>
      <x:c r="M493" s="119"/>
      <x:c r="N493" s="115" t="str">
        <x:v>Not Started</x:v>
      </x:c>
      <x:c r="O493" s="115"/>
      <x:c r="P493" s="119"/>
      <x:c r="Q493" s="116"/>
    </x:row>
    <x:row r="494" ht="20" customHeight="1">
      <x:c r="A494" s="83" t="str">
        <x:v>HAYS-0493</x:v>
      </x:c>
      <x:c r="B494" s="87" t="str">
        <x:v>Mirabilis albida</x:v>
      </x:c>
      <x:c r="C494" s="87" t="str">
        <x:v>Mirabilis albida</x:v>
      </x:c>
      <x:c r="D494" s="84" t="str">
        <x:v>Nyctaginaceae</x:v>
      </x:c>
      <x:c r="E494" s="84" t="str">
        <x:v>Mirabilis</x:v>
      </x:c>
      <x:c r="F494" s="84" t="str">
        <x:v>White Four O'clock, Dwarf Four O'clock</x:v>
      </x:c>
      <x:c r="G494" s="119"/>
      <x:c r="H494" s="119"/>
      <x:c r="I494" s="119"/>
      <x:c r="J494" s="119"/>
      <x:c r="K494" s="119"/>
      <x:c r="L494" s="119"/>
      <x:c r="M494" s="119"/>
      <x:c r="N494" s="115" t="str">
        <x:v>Not Started</x:v>
      </x:c>
      <x:c r="O494" s="115"/>
      <x:c r="P494" s="119"/>
      <x:c r="Q494" s="116"/>
    </x:row>
    <x:row r="495" ht="20" customHeight="1">
      <x:c r="A495" s="83" t="str">
        <x:v>HAYS-0494</x:v>
      </x:c>
      <x:c r="B495" s="87" t="str">
        <x:v>Mirabilis linearis</x:v>
      </x:c>
      <x:c r="C495" s="87" t="str">
        <x:v>Mirabilis linearis</x:v>
      </x:c>
      <x:c r="D495" s="84" t="str">
        <x:v>Nyctaginaceae</x:v>
      </x:c>
      <x:c r="E495" s="84" t="str">
        <x:v>Mirabilis</x:v>
      </x:c>
      <x:c r="F495" s="84" t="str">
        <x:v>Narrowleaf Four O'Clock</x:v>
      </x:c>
      <x:c r="G495" s="119"/>
      <x:c r="H495" s="119"/>
      <x:c r="I495" s="119"/>
      <x:c r="J495" s="119"/>
      <x:c r="K495" s="119"/>
      <x:c r="L495" s="119"/>
      <x:c r="M495" s="119"/>
      <x:c r="N495" s="115" t="str">
        <x:v>Not Started</x:v>
      </x:c>
      <x:c r="O495" s="115"/>
      <x:c r="P495" s="119"/>
      <x:c r="Q495" s="116"/>
    </x:row>
    <x:row r="496" ht="20" customHeight="1">
      <x:c r="A496" s="83" t="str">
        <x:v>HAYS-0495</x:v>
      </x:c>
      <x:c r="B496" s="87" t="str">
        <x:v>Mirabilis nyctaginea</x:v>
      </x:c>
      <x:c r="C496" s="87" t="str">
        <x:v>Mirabilis nyctaginea</x:v>
      </x:c>
      <x:c r="D496" s="84" t="str">
        <x:v>Nyctaginaceae</x:v>
      </x:c>
      <x:c r="E496" s="84" t="str">
        <x:v>Mirabilis</x:v>
      </x:c>
      <x:c r="F496" s="84" t="str">
        <x:v>Heartleaf Four O'Clock</x:v>
      </x:c>
      <x:c r="G496" s="119"/>
      <x:c r="H496" s="119"/>
      <x:c r="I496" s="119"/>
      <x:c r="J496" s="119"/>
      <x:c r="K496" s="119"/>
      <x:c r="L496" s="119"/>
      <x:c r="M496" s="119"/>
      <x:c r="N496" s="115" t="str">
        <x:v>Not Started</x:v>
      </x:c>
      <x:c r="O496" s="115"/>
      <x:c r="P496" s="119"/>
      <x:c r="Q496" s="116"/>
    </x:row>
    <x:row r="497" ht="20" customHeight="1">
      <x:c r="A497" s="83" t="str">
        <x:v>HAYS-0496</x:v>
      </x:c>
      <x:c r="B497" s="87" t="str">
        <x:v>Mitreola petiolata</x:v>
      </x:c>
      <x:c r="C497" s="87" t="str">
        <x:v>Mitreola petiolata</x:v>
      </x:c>
      <x:c r="D497" s="84" t="str">
        <x:v>Loganiaceae</x:v>
      </x:c>
      <x:c r="E497" s="84" t="str">
        <x:v>Mitreola</x:v>
      </x:c>
      <x:c r="F497" s="84" t="str">
        <x:v>Lax Hornpod</x:v>
      </x:c>
      <x:c r="G497" s="119"/>
      <x:c r="H497" s="119"/>
      <x:c r="I497" s="119"/>
      <x:c r="J497" s="119"/>
      <x:c r="K497" s="119"/>
      <x:c r="L497" s="119"/>
      <x:c r="M497" s="119"/>
      <x:c r="N497" s="115" t="str">
        <x:v>Not Started</x:v>
      </x:c>
      <x:c r="O497" s="115"/>
      <x:c r="P497" s="119"/>
      <x:c r="Q497" s="116"/>
    </x:row>
    <x:row r="498" ht="20" customHeight="1">
      <x:c r="A498" s="83" t="str">
        <x:v>HAYS-0497</x:v>
      </x:c>
      <x:c r="B498" s="87" t="str">
        <x:v>Monarda citriodora</x:v>
      </x:c>
      <x:c r="C498" s="87" t="str">
        <x:v>Monarda citriodora</x:v>
      </x:c>
      <x:c r="D498" s="84" t="str">
        <x:v>Lamiaceae</x:v>
      </x:c>
      <x:c r="E498" s="84" t="str">
        <x:v>Monarda</x:v>
      </x:c>
      <x:c r="F498" s="84" t="str">
        <x:v>Lemon Beebalm, Purple Horsemint, Lemon Mint, Plains Horsemint, Lemon Horsemint, Horsemint, Purple Lemon Mint</x:v>
      </x:c>
      <x:c r="G498" s="119"/>
      <x:c r="H498" s="119"/>
      <x:c r="I498" s="119"/>
      <x:c r="J498" s="119"/>
      <x:c r="K498" s="119"/>
      <x:c r="L498" s="119"/>
      <x:c r="M498" s="119"/>
      <x:c r="N498" s="115" t="str">
        <x:v>Not Started</x:v>
      </x:c>
      <x:c r="O498" s="115"/>
      <x:c r="P498" s="119"/>
      <x:c r="Q498" s="116"/>
    </x:row>
    <x:row r="499" ht="20" customHeight="1">
      <x:c r="A499" s="83" t="str">
        <x:v>HAYS-0498</x:v>
      </x:c>
      <x:c r="B499" s="87" t="str">
        <x:v>Monarda fistulosa</x:v>
      </x:c>
      <x:c r="C499" s="87" t="str">
        <x:v>Monarda fistulosa</x:v>
      </x:c>
      <x:c r="D499" s="84" t="str">
        <x:v>Lamiaceae</x:v>
      </x:c>
      <x:c r="E499" s="84" t="str">
        <x:v>Monarda</x:v>
      </x:c>
      <x:c r="F499" s="84" t="str">
        <x:v>Wild Bergamot</x:v>
      </x:c>
      <x:c r="G499" s="119"/>
      <x:c r="H499" s="119"/>
      <x:c r="I499" s="119"/>
      <x:c r="J499" s="119"/>
      <x:c r="K499" s="119"/>
      <x:c r="L499" s="119"/>
      <x:c r="M499" s="119"/>
      <x:c r="N499" s="115" t="str">
        <x:v>Not Started</x:v>
      </x:c>
      <x:c r="O499" s="115"/>
      <x:c r="P499" s="119"/>
      <x:c r="Q499" s="116"/>
    </x:row>
    <x:row r="500" ht="20" customHeight="1">
      <x:c r="A500" s="83" t="str">
        <x:v>HAYS-0499</x:v>
      </x:c>
      <x:c r="B500" s="87" t="str">
        <x:v>Monarda punctata</x:v>
      </x:c>
      <x:c r="C500" s="87" t="str">
        <x:v>Monarda punctata</x:v>
      </x:c>
      <x:c r="D500" s="84" t="str">
        <x:v>Lamiaceae</x:v>
      </x:c>
      <x:c r="E500" s="84" t="str">
        <x:v>Monarda</x:v>
      </x:c>
      <x:c r="F500" s="84" t="str">
        <x:v>Spotted Beebalm</x:v>
      </x:c>
      <x:c r="G500" s="119"/>
      <x:c r="H500" s="119"/>
      <x:c r="I500" s="119"/>
      <x:c r="J500" s="119"/>
      <x:c r="K500" s="119"/>
      <x:c r="L500" s="119"/>
      <x:c r="M500" s="119"/>
      <x:c r="N500" s="115" t="str">
        <x:v>Not Started</x:v>
      </x:c>
      <x:c r="O500" s="115"/>
      <x:c r="P500" s="119"/>
      <x:c r="Q500" s="116"/>
    </x:row>
    <x:row r="501" ht="20" customHeight="1">
      <x:c r="A501" s="83" t="str">
        <x:v>HAYS-0500</x:v>
      </x:c>
      <x:c r="B501" s="87" t="str">
        <x:v>Monolepis nuttalliana</x:v>
      </x:c>
      <x:c r="C501" s="87" t="str">
        <x:v>Blitum nuttallianum</x:v>
      </x:c>
      <x:c r="D501" s="84" t="str">
        <x:v>Amaranthaceae</x:v>
      </x:c>
      <x:c r="E501" s="84" t="str">
        <x:v>Blitum</x:v>
      </x:c>
      <x:c r="F501" s="84" t="str">
        <x:v>Nuttall's Povertyweed</x:v>
      </x:c>
      <x:c r="G501" s="119"/>
      <x:c r="H501" s="119"/>
      <x:c r="I501" s="119"/>
      <x:c r="J501" s="119"/>
      <x:c r="K501" s="119"/>
      <x:c r="L501" s="119"/>
      <x:c r="M501" s="119"/>
      <x:c r="N501" s="115" t="str">
        <x:v>Not Started</x:v>
      </x:c>
      <x:c r="O501" s="115"/>
      <x:c r="P501" s="119"/>
      <x:c r="Q501" s="116"/>
    </x:row>
    <x:row r="502" ht="20" customHeight="1">
      <x:c r="A502" s="83" t="str">
        <x:v>HAYS-0501</x:v>
      </x:c>
      <x:c r="B502" s="87" t="str">
        <x:v>Morus microphylla</x:v>
      </x:c>
      <x:c r="C502" s="87" t="str">
        <x:v>Morus microphylla</x:v>
      </x:c>
      <x:c r="D502" s="84" t="str">
        <x:v>Moraceae</x:v>
      </x:c>
      <x:c r="E502" s="84" t="str">
        <x:v>Morus</x:v>
      </x:c>
      <x:c r="F502" s="84" t="str">
        <x:v>Texas Mulberry, Littleleaf Mulberry, Mountain Mulberry, Mexican Mulberry, Dwarf Mulberry</x:v>
      </x:c>
      <x:c r="G502" s="119"/>
      <x:c r="H502" s="119"/>
      <x:c r="I502" s="119"/>
      <x:c r="J502" s="119"/>
      <x:c r="K502" s="119"/>
      <x:c r="L502" s="119"/>
      <x:c r="M502" s="119"/>
      <x:c r="N502" s="115" t="str">
        <x:v>Not Started</x:v>
      </x:c>
      <x:c r="O502" s="115"/>
      <x:c r="P502" s="119"/>
      <x:c r="Q502" s="116"/>
    </x:row>
    <x:row r="503" ht="20" customHeight="1">
      <x:c r="A503" s="83" t="str">
        <x:v>HAYS-0502</x:v>
      </x:c>
      <x:c r="B503" s="87" t="str">
        <x:v>Morus rubra</x:v>
      </x:c>
      <x:c r="C503" s="87" t="str">
        <x:v>Morus rubra</x:v>
      </x:c>
      <x:c r="D503" s="84" t="str">
        <x:v>Moraceae</x:v>
      </x:c>
      <x:c r="E503" s="84" t="str">
        <x:v>Morus</x:v>
      </x:c>
      <x:c r="F503" s="84" t="str">
        <x:v>Red Mulberry, Moral</x:v>
      </x:c>
      <x:c r="G503" s="119"/>
      <x:c r="H503" s="119"/>
      <x:c r="I503" s="119"/>
      <x:c r="J503" s="119"/>
      <x:c r="K503" s="119"/>
      <x:c r="L503" s="119"/>
      <x:c r="M503" s="119"/>
      <x:c r="N503" s="115" t="str">
        <x:v>Not Started</x:v>
      </x:c>
      <x:c r="O503" s="115"/>
      <x:c r="P503" s="119"/>
      <x:c r="Q503" s="116"/>
    </x:row>
    <x:row r="504" ht="20" customHeight="1">
      <x:c r="A504" s="83" t="str">
        <x:v>HAYS-0503</x:v>
      </x:c>
      <x:c r="B504" s="87" t="str">
        <x:v>Muhlenbergia dubia</x:v>
      </x:c>
      <x:c r="C504" s="87" t="str">
        <x:v>Muhlenbergia dubia</x:v>
      </x:c>
      <x:c r="D504" s="84" t="str">
        <x:v>Poaceae</x:v>
      </x:c>
      <x:c r="E504" s="84" t="str">
        <x:v>Muhlenbergia</x:v>
      </x:c>
      <x:c r="F504" s="84" t="str">
        <x:v>Pine Muhly</x:v>
      </x:c>
      <x:c r="G504" s="119"/>
      <x:c r="H504" s="119"/>
      <x:c r="I504" s="119"/>
      <x:c r="J504" s="119"/>
      <x:c r="K504" s="119"/>
      <x:c r="L504" s="119"/>
      <x:c r="M504" s="119"/>
      <x:c r="N504" s="115" t="str">
        <x:v>Not Started</x:v>
      </x:c>
      <x:c r="O504" s="115"/>
      <x:c r="P504" s="119"/>
      <x:c r="Q504" s="116"/>
    </x:row>
    <x:row r="505" ht="20" customHeight="1">
      <x:c r="A505" s="83" t="str">
        <x:v>HAYS-0504</x:v>
      </x:c>
      <x:c r="B505" s="87" t="str">
        <x:v>Muhlenbergia lindheimeri</x:v>
      </x:c>
      <x:c r="C505" s="87" t="str">
        <x:v>Muhlenbergia lindheimeri</x:v>
      </x:c>
      <x:c r="D505" s="84" t="str">
        <x:v>Poaceae</x:v>
      </x:c>
      <x:c r="E505" s="84" t="str">
        <x:v>Muhlenbergia</x:v>
      </x:c>
      <x:c r="F505" s="84" t="str">
        <x:v>Lindheimer's Muhly, Lindheimer Muhly, Big Muhly, Blue Muhly</x:v>
      </x:c>
      <x:c r="G505" s="119"/>
      <x:c r="H505" s="119"/>
      <x:c r="I505" s="119"/>
      <x:c r="J505" s="119"/>
      <x:c r="K505" s="119"/>
      <x:c r="L505" s="119"/>
      <x:c r="M505" s="119"/>
      <x:c r="N505" s="115" t="str">
        <x:v>Not Started</x:v>
      </x:c>
      <x:c r="O505" s="115"/>
      <x:c r="P505" s="119"/>
      <x:c r="Q505" s="116"/>
    </x:row>
    <x:row r="506" ht="20" customHeight="1">
      <x:c r="A506" s="83" t="str">
        <x:v>HAYS-0505</x:v>
      </x:c>
      <x:c r="B506" s="87" t="str">
        <x:v>Muhlenbergia reverchonii</x:v>
      </x:c>
      <x:c r="C506" s="87" t="str">
        <x:v>Muhlenbergia reverchonii</x:v>
      </x:c>
      <x:c r="D506" s="84" t="str">
        <x:v>Poaceae</x:v>
      </x:c>
      <x:c r="E506" s="84" t="str">
        <x:v>Muhlenbergia</x:v>
      </x:c>
      <x:c r="F506" s="84" t="str">
        <x:v>Seep Muhly</x:v>
      </x:c>
      <x:c r="G506" s="119"/>
      <x:c r="H506" s="119"/>
      <x:c r="I506" s="119"/>
      <x:c r="J506" s="119"/>
      <x:c r="K506" s="119"/>
      <x:c r="L506" s="119"/>
      <x:c r="M506" s="119"/>
      <x:c r="N506" s="115" t="str">
        <x:v>Not Started</x:v>
      </x:c>
      <x:c r="O506" s="115"/>
      <x:c r="P506" s="119"/>
      <x:c r="Q506" s="116"/>
    </x:row>
    <x:row r="507" ht="20" customHeight="1">
      <x:c r="A507" s="83" t="str">
        <x:v>HAYS-0506</x:v>
      </x:c>
      <x:c r="B507" s="87" t="str">
        <x:v>Muhlenbergia schreberi</x:v>
      </x:c>
      <x:c r="C507" s="87" t="str">
        <x:v>Muhlenbergia schreberi</x:v>
      </x:c>
      <x:c r="D507" s="84" t="str">
        <x:v>Poaceae</x:v>
      </x:c>
      <x:c r="E507" s="84" t="str">
        <x:v>Muhlenbergia</x:v>
      </x:c>
      <x:c r="F507" s="84" t="str">
        <x:v>Nimblewill</x:v>
      </x:c>
      <x:c r="G507" s="119"/>
      <x:c r="H507" s="119"/>
      <x:c r="I507" s="119"/>
      <x:c r="J507" s="119"/>
      <x:c r="K507" s="119"/>
      <x:c r="L507" s="119"/>
      <x:c r="M507" s="119"/>
      <x:c r="N507" s="115" t="str">
        <x:v>Not Started</x:v>
      </x:c>
      <x:c r="O507" s="115"/>
      <x:c r="P507" s="119"/>
      <x:c r="Q507" s="116"/>
    </x:row>
    <x:row r="508" ht="20" customHeight="1">
      <x:c r="A508" s="83" t="str">
        <x:v>HAYS-0507</x:v>
      </x:c>
      <x:c r="B508" s="87" t="str">
        <x:v>Muhlenbergia utilis</x:v>
      </x:c>
      <x:c r="C508" s="87" t="str">
        <x:v>Muhlenbergia utilis</x:v>
      </x:c>
      <x:c r="D508" s="84" t="str">
        <x:v>Poaceae</x:v>
      </x:c>
      <x:c r="E508" s="84" t="str">
        <x:v>Muhlenbergia</x:v>
      </x:c>
      <x:c r="F508" s="84" t="str">
        <x:v>Aparejo Grass, Aparejo Muhly</x:v>
      </x:c>
      <x:c r="G508" s="119"/>
      <x:c r="H508" s="119"/>
      <x:c r="I508" s="119"/>
      <x:c r="J508" s="119"/>
      <x:c r="K508" s="119"/>
      <x:c r="L508" s="119"/>
      <x:c r="M508" s="119"/>
      <x:c r="N508" s="115" t="str">
        <x:v>Not Started</x:v>
      </x:c>
      <x:c r="O508" s="115"/>
      <x:c r="P508" s="119"/>
      <x:c r="Q508" s="116"/>
    </x:row>
    <x:row r="509" ht="20" customHeight="1">
      <x:c r="A509" s="83" t="str">
        <x:v>HAYS-0508</x:v>
      </x:c>
      <x:c r="B509" s="87" t="str">
        <x:v>Muhlenbergia ×involuta</x:v>
      </x:c>
      <x:c r="C509" s="87"/>
      <x:c r="D509" s="84" t="str">
        <x:v>[Taxonomy unresolved]</x:v>
      </x:c>
      <x:c r="E509" s="84" t="str">
        <x:v>Muhlenbergia</x:v>
      </x:c>
      <x:c r="F509" s="84" t="str">
        <x:v>Canyon Muhly, Edwards Plateau Muhly</x:v>
      </x:c>
      <x:c r="G509" s="119"/>
      <x:c r="H509" s="119"/>
      <x:c r="I509" s="119"/>
      <x:c r="J509" s="119"/>
      <x:c r="K509" s="119"/>
      <x:c r="L509" s="119"/>
      <x:c r="M509" s="119"/>
      <x:c r="N509" s="115" t="str">
        <x:v>Not Started</x:v>
      </x:c>
      <x:c r="O509" s="115"/>
      <x:c r="P509" s="119"/>
      <x:c r="Q509" s="116"/>
    </x:row>
    <x:row r="510" ht="20" customHeight="1">
      <x:c r="A510" s="83" t="str">
        <x:v>HAYS-0509</x:v>
      </x:c>
      <x:c r="B510" s="87" t="str">
        <x:v>Myosotis macrosperma</x:v>
      </x:c>
      <x:c r="C510" s="87" t="str">
        <x:v>Myosotis macrosperma</x:v>
      </x:c>
      <x:c r="D510" s="84" t="str">
        <x:v>Boraginaceae</x:v>
      </x:c>
      <x:c r="E510" s="84" t="str">
        <x:v>Myosotis</x:v>
      </x:c>
      <x:c r="F510" s="84" t="str">
        <x:v>Largeseed Forget-me-not</x:v>
      </x:c>
      <x:c r="G510" s="119"/>
      <x:c r="H510" s="119"/>
      <x:c r="I510" s="119"/>
      <x:c r="J510" s="119"/>
      <x:c r="K510" s="119"/>
      <x:c r="L510" s="119"/>
      <x:c r="M510" s="119"/>
      <x:c r="N510" s="115" t="str">
        <x:v>Not Started</x:v>
      </x:c>
      <x:c r="O510" s="115"/>
      <x:c r="P510" s="119"/>
      <x:c r="Q510" s="116"/>
    </x:row>
    <x:row r="511" ht="20" customHeight="1">
      <x:c r="A511" s="83" t="str">
        <x:v>HAYS-0510</x:v>
      </x:c>
      <x:c r="B511" s="87" t="str">
        <x:v>Myriophyllum heterophyllum</x:v>
      </x:c>
      <x:c r="C511" s="87" t="str">
        <x:v>Myriophyllum heterophyllum</x:v>
      </x:c>
      <x:c r="D511" s="84" t="str">
        <x:v>Haloragaceae</x:v>
      </x:c>
      <x:c r="E511" s="84" t="str">
        <x:v>Myriophyllum</x:v>
      </x:c>
      <x:c r="F511" s="84" t="str">
        <x:v>Twoleaf Watermilfoil</x:v>
      </x:c>
      <x:c r="G511" s="119"/>
      <x:c r="H511" s="119"/>
      <x:c r="I511" s="119"/>
      <x:c r="J511" s="119"/>
      <x:c r="K511" s="119"/>
      <x:c r="L511" s="119"/>
      <x:c r="M511" s="119"/>
      <x:c r="N511" s="115" t="str">
        <x:v>Not Started</x:v>
      </x:c>
      <x:c r="O511" s="115"/>
      <x:c r="P511" s="119"/>
      <x:c r="Q511" s="116"/>
    </x:row>
    <x:row r="512" ht="20" customHeight="1">
      <x:c r="A512" s="83" t="str">
        <x:v>HAYS-0511</x:v>
      </x:c>
      <x:c r="B512" s="87" t="str">
        <x:v>Myriopteris alabamensis</x:v>
      </x:c>
      <x:c r="C512" s="87" t="str">
        <x:v>Hemionitis alabamensis</x:v>
      </x:c>
      <x:c r="D512" s="84" t="str">
        <x:v>Pteridaceae</x:v>
      </x:c>
      <x:c r="E512" s="84" t="str">
        <x:v>Hemionitis</x:v>
      </x:c>
      <x:c r="F512" s="84" t="str">
        <x:v>Alabama Lipfern</x:v>
      </x:c>
      <x:c r="G512" s="119"/>
      <x:c r="H512" s="119"/>
      <x:c r="I512" s="119"/>
      <x:c r="J512" s="119"/>
      <x:c r="K512" s="119"/>
      <x:c r="L512" s="119"/>
      <x:c r="M512" s="119"/>
      <x:c r="N512" s="115" t="str">
        <x:v>Not Started</x:v>
      </x:c>
      <x:c r="O512" s="115"/>
      <x:c r="P512" s="119"/>
      <x:c r="Q512" s="116"/>
    </x:row>
    <x:row r="513" ht="20" customHeight="1">
      <x:c r="A513" s="83" t="str">
        <x:v>HAYS-0512</x:v>
      </x:c>
      <x:c r="B513" s="87" t="str">
        <x:v>Nama jamaicense</x:v>
      </x:c>
      <x:c r="C513" s="87"/>
      <x:c r="D513" s="84" t="str">
        <x:v>[Taxonomy unresolved]</x:v>
      </x:c>
      <x:c r="E513" s="84" t="str">
        <x:v>Nama</x:v>
      </x:c>
      <x:c r="F513" s="84" t="str">
        <x:v>Jamaicanweed, Jamaican Weed, Fiddleleaf Nama</x:v>
      </x:c>
      <x:c r="G513" s="119"/>
      <x:c r="H513" s="119"/>
      <x:c r="I513" s="119"/>
      <x:c r="J513" s="119"/>
      <x:c r="K513" s="119"/>
      <x:c r="L513" s="119"/>
      <x:c r="M513" s="119"/>
      <x:c r="N513" s="115" t="str">
        <x:v>Not Started</x:v>
      </x:c>
      <x:c r="O513" s="115"/>
      <x:c r="P513" s="119"/>
      <x:c r="Q513" s="116"/>
    </x:row>
    <x:row r="514" ht="20" customHeight="1">
      <x:c r="A514" s="83" t="str">
        <x:v>HAYS-0513</x:v>
      </x:c>
      <x:c r="B514" s="87" t="str">
        <x:v>Nassella leucotricha</x:v>
      </x:c>
      <x:c r="C514" s="87" t="str">
        <x:v>Nassella leucotricha</x:v>
      </x:c>
      <x:c r="D514" s="84" t="str">
        <x:v>Poaceae</x:v>
      </x:c>
      <x:c r="E514" s="84" t="str">
        <x:v>Nassella</x:v>
      </x:c>
      <x:c r="F514" s="84" t="str">
        <x:v>Texas Wintergrass, Texas Speargrass, Wintergrass</x:v>
      </x:c>
      <x:c r="G514" s="119"/>
      <x:c r="H514" s="119"/>
      <x:c r="I514" s="119"/>
      <x:c r="J514" s="119"/>
      <x:c r="K514" s="119"/>
      <x:c r="L514" s="119"/>
      <x:c r="M514" s="119"/>
      <x:c r="N514" s="115" t="str">
        <x:v>Not Started</x:v>
      </x:c>
      <x:c r="O514" s="115"/>
      <x:c r="P514" s="119"/>
      <x:c r="Q514" s="116"/>
    </x:row>
    <x:row r="515" ht="20" customHeight="1">
      <x:c r="A515" s="83" t="str">
        <x:v>HAYS-0514</x:v>
      </x:c>
      <x:c r="B515" s="87" t="str">
        <x:v>Nekemias arborea</x:v>
      </x:c>
      <x:c r="C515" s="87" t="str">
        <x:v>Nekemias arborea</x:v>
      </x:c>
      <x:c r="D515" s="84" t="str">
        <x:v>Vitaceae</x:v>
      </x:c>
      <x:c r="E515" s="84" t="str">
        <x:v>Nekemias</x:v>
      </x:c>
      <x:c r="F515" s="84" t="str">
        <x:v>Peppervine</x:v>
      </x:c>
      <x:c r="G515" s="119"/>
      <x:c r="H515" s="119"/>
      <x:c r="I515" s="119"/>
      <x:c r="J515" s="119"/>
      <x:c r="K515" s="119"/>
      <x:c r="L515" s="119"/>
      <x:c r="M515" s="119"/>
      <x:c r="N515" s="115" t="str">
        <x:v>Not Started</x:v>
      </x:c>
      <x:c r="O515" s="115"/>
      <x:c r="P515" s="119"/>
      <x:c r="Q515" s="116"/>
    </x:row>
    <x:row r="516" ht="20" customHeight="1">
      <x:c r="A516" s="83" t="str">
        <x:v>HAYS-0515</x:v>
      </x:c>
      <x:c r="B516" s="87" t="str">
        <x:v>Nemastylis geminiflora</x:v>
      </x:c>
      <x:c r="C516" s="87" t="str">
        <x:v>Nemastylis geminiflora</x:v>
      </x:c>
      <x:c r="D516" s="84" t="str">
        <x:v>Iridaceae</x:v>
      </x:c>
      <x:c r="E516" s="84" t="str">
        <x:v>Nemastylis</x:v>
      </x:c>
      <x:c r="F516" s="84" t="str">
        <x:v>Prairie Celestials, Celestials, Prairie Pleatleaf</x:v>
      </x:c>
      <x:c r="G516" s="119"/>
      <x:c r="H516" s="119"/>
      <x:c r="I516" s="119"/>
      <x:c r="J516" s="119"/>
      <x:c r="K516" s="119"/>
      <x:c r="L516" s="119"/>
      <x:c r="M516" s="119"/>
      <x:c r="N516" s="115" t="str">
        <x:v>Not Started</x:v>
      </x:c>
      <x:c r="O516" s="115"/>
      <x:c r="P516" s="119"/>
      <x:c r="Q516" s="116"/>
    </x:row>
    <x:row r="517" ht="20" customHeight="1">
      <x:c r="A517" s="83" t="str">
        <x:v>HAYS-0516</x:v>
      </x:c>
      <x:c r="B517" s="87" t="str">
        <x:v>Nemophila phacelioides</x:v>
      </x:c>
      <x:c r="C517" s="87" t="str">
        <x:v>Nemophila phacelioides</x:v>
      </x:c>
      <x:c r="D517" s="84" t="str">
        <x:v>Boraginaceae</x:v>
      </x:c>
      <x:c r="E517" s="84" t="str">
        <x:v>Nemophila</x:v>
      </x:c>
      <x:c r="F517" s="84" t="str">
        <x:v>Texas Baby Blue Eyes, Large-flower Baby-blue-eyes, Baby Blue-eyes, Flannel Breeches</x:v>
      </x:c>
      <x:c r="G517" s="119"/>
      <x:c r="H517" s="119"/>
      <x:c r="I517" s="119"/>
      <x:c r="J517" s="119"/>
      <x:c r="K517" s="119"/>
      <x:c r="L517" s="119"/>
      <x:c r="M517" s="119"/>
      <x:c r="N517" s="115" t="str">
        <x:v>Not Started</x:v>
      </x:c>
      <x:c r="O517" s="115"/>
      <x:c r="P517" s="119"/>
      <x:c r="Q517" s="116"/>
    </x:row>
    <x:row r="518" ht="20" customHeight="1">
      <x:c r="A518" s="83" t="str">
        <x:v>HAYS-0517</x:v>
      </x:c>
      <x:c r="B518" s="87" t="str">
        <x:v>Neptunia lutea</x:v>
      </x:c>
      <x:c r="C518" s="87" t="str">
        <x:v>Neptunia lutea</x:v>
      </x:c>
      <x:c r="D518" s="84" t="str">
        <x:v>Fabaceae</x:v>
      </x:c>
      <x:c r="E518" s="84" t="str">
        <x:v>Neptunia</x:v>
      </x:c>
      <x:c r="F518" s="84" t="str">
        <x:v>Yellow Sensitive Briar, Yellow Puff</x:v>
      </x:c>
      <x:c r="G518" s="119"/>
      <x:c r="H518" s="119"/>
      <x:c r="I518" s="119"/>
      <x:c r="J518" s="119"/>
      <x:c r="K518" s="119"/>
      <x:c r="L518" s="119"/>
      <x:c r="M518" s="119"/>
      <x:c r="N518" s="115" t="str">
        <x:v>Not Started</x:v>
      </x:c>
      <x:c r="O518" s="115"/>
      <x:c r="P518" s="119"/>
      <x:c r="Q518" s="116"/>
    </x:row>
    <x:row r="519" ht="20" customHeight="1">
      <x:c r="A519" s="83" t="str">
        <x:v>HAYS-0518</x:v>
      </x:c>
      <x:c r="B519" s="87" t="str">
        <x:v>Neptunia pubescens</x:v>
      </x:c>
      <x:c r="C519" s="87" t="str">
        <x:v>Neptunia pubescens</x:v>
      </x:c>
      <x:c r="D519" s="84" t="str">
        <x:v>Fabaceae</x:v>
      </x:c>
      <x:c r="E519" s="84" t="str">
        <x:v>Neptunia</x:v>
      </x:c>
      <x:c r="F519" s="84" t="str">
        <x:v>Tropical Puff</x:v>
      </x:c>
      <x:c r="G519" s="119"/>
      <x:c r="H519" s="119"/>
      <x:c r="I519" s="119"/>
      <x:c r="J519" s="119"/>
      <x:c r="K519" s="119"/>
      <x:c r="L519" s="119"/>
      <x:c r="M519" s="119"/>
      <x:c r="N519" s="115" t="str">
        <x:v>Not Started</x:v>
      </x:c>
      <x:c r="O519" s="115"/>
      <x:c r="P519" s="119"/>
      <x:c r="Q519" s="116"/>
    </x:row>
    <x:row r="520" ht="20" customHeight="1">
      <x:c r="A520" s="83" t="str">
        <x:v>HAYS-0519</x:v>
      </x:c>
      <x:c r="B520" s="87" t="str">
        <x:v>Nicotiana repanda</x:v>
      </x:c>
      <x:c r="C520" s="87" t="str">
        <x:v>Nicotiana repanda</x:v>
      </x:c>
      <x:c r="D520" s="84" t="str">
        <x:v>Solanaceae</x:v>
      </x:c>
      <x:c r="E520" s="84" t="str">
        <x:v>Nicotiana</x:v>
      </x:c>
      <x:c r="F520" s="84" t="str">
        <x:v>Fiddleleaf Tobacco, Fiddle-leaf Tobacco</x:v>
      </x:c>
      <x:c r="G520" s="119"/>
      <x:c r="H520" s="119"/>
      <x:c r="I520" s="119"/>
      <x:c r="J520" s="119"/>
      <x:c r="K520" s="119"/>
      <x:c r="L520" s="119"/>
      <x:c r="M520" s="119"/>
      <x:c r="N520" s="115" t="str">
        <x:v>Not Started</x:v>
      </x:c>
      <x:c r="O520" s="115"/>
      <x:c r="P520" s="119"/>
      <x:c r="Q520" s="116"/>
    </x:row>
    <x:row r="521" ht="20" customHeight="1">
      <x:c r="A521" s="83" t="str">
        <x:v>HAYS-0520</x:v>
      </x:c>
      <x:c r="B521" s="87" t="str">
        <x:v>Nolina lindheimeriana</x:v>
      </x:c>
      <x:c r="C521" s="87" t="str">
        <x:v>Nolina lindheimeriana</x:v>
      </x:c>
      <x:c r="D521" s="84" t="str">
        <x:v>Asparagaceae</x:v>
      </x:c>
      <x:c r="E521" s="84" t="str">
        <x:v>Nolina</x:v>
      </x:c>
      <x:c r="F521" s="84" t="str">
        <x:v>Devil's Shoestring, Devil's-shoestring, Ribbon Grass</x:v>
      </x:c>
      <x:c r="G521" s="119"/>
      <x:c r="H521" s="119"/>
      <x:c r="I521" s="119"/>
      <x:c r="J521" s="119"/>
      <x:c r="K521" s="119"/>
      <x:c r="L521" s="119"/>
      <x:c r="M521" s="119"/>
      <x:c r="N521" s="115" t="str">
        <x:v>Not Started</x:v>
      </x:c>
      <x:c r="O521" s="115"/>
      <x:c r="P521" s="119"/>
      <x:c r="Q521" s="116"/>
    </x:row>
    <x:row r="522" ht="20" customHeight="1">
      <x:c r="A522" s="83" t="str">
        <x:v>HAYS-0521</x:v>
      </x:c>
      <x:c r="B522" s="87" t="str">
        <x:v>Nolina texana</x:v>
      </x:c>
      <x:c r="C522" s="87" t="str">
        <x:v>Nolina texana</x:v>
      </x:c>
      <x:c r="D522" s="84" t="str">
        <x:v>Asparagaceae</x:v>
      </x:c>
      <x:c r="E522" s="84" t="str">
        <x:v>Nolina</x:v>
      </x:c>
      <x:c r="F522" s="84" t="str">
        <x:v>Texas Sacahuista, Texas Beargrass, Basket Grass, Sacahuista, Bunchgrass, Texas Bear-grass</x:v>
      </x:c>
      <x:c r="G522" s="119"/>
      <x:c r="H522" s="119"/>
      <x:c r="I522" s="119"/>
      <x:c r="J522" s="119"/>
      <x:c r="K522" s="119"/>
      <x:c r="L522" s="119"/>
      <x:c r="M522" s="119"/>
      <x:c r="N522" s="115" t="str">
        <x:v>Not Started</x:v>
      </x:c>
      <x:c r="O522" s="115"/>
      <x:c r="P522" s="119"/>
      <x:c r="Q522" s="116"/>
    </x:row>
    <x:row r="523" ht="20" customHeight="1">
      <x:c r="A523" s="83" t="str">
        <x:v>HAYS-0522</x:v>
      </x:c>
      <x:c r="B523" s="87" t="str">
        <x:v>Nuphar lutea ssp. advena</x:v>
      </x:c>
      <x:c r="C523" s="87" t="str">
        <x:v>Nuphar advena</x:v>
      </x:c>
      <x:c r="D523" s="84" t="str">
        <x:v>Nymphaeaceae</x:v>
      </x:c>
      <x:c r="E523" s="84" t="str">
        <x:v>Nuphar</x:v>
      </x:c>
      <x:c r="F523" s="84" t="str">
        <x:v>Common Spatterdock, Spatterdock, Yellow Cow-lily, Cow-lily, Yellow Pond-lily, Brandy-bottle</x:v>
      </x:c>
      <x:c r="G523" s="119"/>
      <x:c r="H523" s="119"/>
      <x:c r="I523" s="119"/>
      <x:c r="J523" s="119"/>
      <x:c r="K523" s="119"/>
      <x:c r="L523" s="119"/>
      <x:c r="M523" s="119"/>
      <x:c r="N523" s="115" t="str">
        <x:v>Not Started</x:v>
      </x:c>
      <x:c r="O523" s="115"/>
      <x:c r="P523" s="119"/>
      <x:c r="Q523" s="116"/>
    </x:row>
    <x:row r="524" ht="20" customHeight="1">
      <x:c r="A524" s="83" t="str">
        <x:v>HAYS-0523</x:v>
      </x:c>
      <x:c r="B524" s="87" t="str">
        <x:v>Nuttallanthus texanus</x:v>
      </x:c>
      <x:c r="C524" s="87" t="str">
        <x:v>Linaria texana</x:v>
      </x:c>
      <x:c r="D524" s="84" t="str">
        <x:v>Plantaginaceae</x:v>
      </x:c>
      <x:c r="E524" s="84" t="str">
        <x:v>Linaria</x:v>
      </x:c>
      <x:c r="F524" s="84" t="str">
        <x:v>Texas Toadflax, Texas Toad-flax, Toadflax</x:v>
      </x:c>
      <x:c r="G524" s="119"/>
      <x:c r="H524" s="119"/>
      <x:c r="I524" s="119"/>
      <x:c r="J524" s="119"/>
      <x:c r="K524" s="119"/>
      <x:c r="L524" s="119"/>
      <x:c r="M524" s="119"/>
      <x:c r="N524" s="115" t="str">
        <x:v>Not Started</x:v>
      </x:c>
      <x:c r="O524" s="115"/>
      <x:c r="P524" s="119"/>
      <x:c r="Q524" s="116"/>
    </x:row>
    <x:row r="525" ht="20" customHeight="1">
      <x:c r="A525" s="83" t="str">
        <x:v>HAYS-0524</x:v>
      </x:c>
      <x:c r="B525" s="87" t="str">
        <x:v>Nymphaea odorata</x:v>
      </x:c>
      <x:c r="C525" s="87" t="str">
        <x:v>Nymphaea odorata</x:v>
      </x:c>
      <x:c r="D525" s="84" t="str">
        <x:v>Nymphaeaceae</x:v>
      </x:c>
      <x:c r="E525" s="84" t="str">
        <x:v>Nymphaea</x:v>
      </x:c>
      <x:c r="F525" s="84" t="str">
        <x:v>American White Water-lily, Fragrant White Water-lily, Fragrant Water-lily, White Water-lily, Sweet-scented White Water-lily, Sweet-scented Water-lily, Beaver Root</x:v>
      </x:c>
      <x:c r="G525" s="119"/>
      <x:c r="H525" s="119"/>
      <x:c r="I525" s="119"/>
      <x:c r="J525" s="119"/>
      <x:c r="K525" s="119"/>
      <x:c r="L525" s="119"/>
      <x:c r="M525" s="119"/>
      <x:c r="N525" s="115" t="str">
        <x:v>Not Started</x:v>
      </x:c>
      <x:c r="O525" s="115"/>
      <x:c r="P525" s="119"/>
      <x:c r="Q525" s="116"/>
    </x:row>
    <x:row r="526" ht="20" customHeight="1">
      <x:c r="A526" s="83" t="str">
        <x:v>HAYS-0525</x:v>
      </x:c>
      <x:c r="B526" s="87" t="str">
        <x:v>Oenothera calcicola</x:v>
      </x:c>
      <x:c r="C526" s="87" t="str">
        <x:v>Oenothera calcicola</x:v>
      </x:c>
      <x:c r="D526" s="84" t="str">
        <x:v>Onagraceae</x:v>
      </x:c>
      <x:c r="E526" s="84" t="str">
        <x:v>Oenothera</x:v>
      </x:c>
      <x:c r="F526" s="84" t="str">
        <x:v>Texas Beeblossom, Limestone Gaura</x:v>
      </x:c>
      <x:c r="G526" s="119"/>
      <x:c r="H526" s="119"/>
      <x:c r="I526" s="119"/>
      <x:c r="J526" s="119"/>
      <x:c r="K526" s="119"/>
      <x:c r="L526" s="119"/>
      <x:c r="M526" s="119"/>
      <x:c r="N526" s="115" t="str">
        <x:v>Not Started</x:v>
      </x:c>
      <x:c r="O526" s="115"/>
      <x:c r="P526" s="119"/>
      <x:c r="Q526" s="116"/>
    </x:row>
    <x:row r="527" ht="20" customHeight="1">
      <x:c r="A527" s="83" t="str">
        <x:v>HAYS-0526</x:v>
      </x:c>
      <x:c r="B527" s="87" t="str">
        <x:v>Oenothera curtiflora</x:v>
      </x:c>
      <x:c r="C527" s="87" t="str">
        <x:v>Oenothera curtiflora</x:v>
      </x:c>
      <x:c r="D527" s="84" t="str">
        <x:v>Onagraceae</x:v>
      </x:c>
      <x:c r="E527" s="84" t="str">
        <x:v>Oenothera</x:v>
      </x:c>
      <x:c r="F527" s="84" t="str">
        <x:v>Velvetweed, Velvetleaf Gaura, Lizard-tail Gaura, Willow Gaura</x:v>
      </x:c>
      <x:c r="G527" s="119"/>
      <x:c r="H527" s="119"/>
      <x:c r="I527" s="119"/>
      <x:c r="J527" s="119"/>
      <x:c r="K527" s="119"/>
      <x:c r="L527" s="119"/>
      <x:c r="M527" s="119"/>
      <x:c r="N527" s="115" t="str">
        <x:v>Not Started</x:v>
      </x:c>
      <x:c r="O527" s="115"/>
      <x:c r="P527" s="119"/>
      <x:c r="Q527" s="116"/>
    </x:row>
    <x:row r="528" ht="20" customHeight="1">
      <x:c r="A528" s="83" t="str">
        <x:v>HAYS-0527</x:v>
      </x:c>
      <x:c r="B528" s="87" t="str">
        <x:v>Oenothera filiformis</x:v>
      </x:c>
      <x:c r="C528" s="87" t="str">
        <x:v>Oenothera filiformis</x:v>
      </x:c>
      <x:c r="D528" s="84" t="str">
        <x:v>Onagraceae</x:v>
      </x:c>
      <x:c r="E528" s="84" t="str">
        <x:v>Oenothera</x:v>
      </x:c>
      <x:c r="F528" s="84" t="str">
        <x:v>Longflower Beeblossom, Longflower Gaura, Large-flowered Gaura, Kearney Gaura, Tall Gaura</x:v>
      </x:c>
      <x:c r="G528" s="119"/>
      <x:c r="H528" s="119"/>
      <x:c r="I528" s="119"/>
      <x:c r="J528" s="119"/>
      <x:c r="K528" s="119"/>
      <x:c r="L528" s="119"/>
      <x:c r="M528" s="119"/>
      <x:c r="N528" s="115" t="str">
        <x:v>Not Started</x:v>
      </x:c>
      <x:c r="O528" s="115"/>
      <x:c r="P528" s="119"/>
      <x:c r="Q528" s="116"/>
    </x:row>
    <x:row r="529" ht="20" customHeight="1">
      <x:c r="A529" s="83" t="str">
        <x:v>HAYS-0528</x:v>
      </x:c>
      <x:c r="B529" s="87" t="str">
        <x:v>Oenothera jamesii</x:v>
      </x:c>
      <x:c r="C529" s="87" t="str">
        <x:v>Oenothera jamesii</x:v>
      </x:c>
      <x:c r="D529" s="84" t="str">
        <x:v>Onagraceae</x:v>
      </x:c>
      <x:c r="E529" s="84" t="str">
        <x:v>Oenothera</x:v>
      </x:c>
      <x:c r="F529" s="84" t="str">
        <x:v>Trumpet Evening-primrose, Trumpet Evening Primrose, River Primrose</x:v>
      </x:c>
      <x:c r="G529" s="119"/>
      <x:c r="H529" s="119"/>
      <x:c r="I529" s="119"/>
      <x:c r="J529" s="119"/>
      <x:c r="K529" s="119"/>
      <x:c r="L529" s="119"/>
      <x:c r="M529" s="119"/>
      <x:c r="N529" s="115" t="str">
        <x:v>Not Started</x:v>
      </x:c>
      <x:c r="O529" s="115"/>
      <x:c r="P529" s="119"/>
      <x:c r="Q529" s="116"/>
    </x:row>
    <x:row r="530" ht="20" customHeight="1">
      <x:c r="A530" s="83" t="str">
        <x:v>HAYS-0529</x:v>
      </x:c>
      <x:c r="B530" s="87" t="str">
        <x:v>Oenothera lindheimeri</x:v>
      </x:c>
      <x:c r="C530" s="87" t="str">
        <x:v>Oenothera lindheimeri</x:v>
      </x:c>
      <x:c r="D530" s="84" t="str">
        <x:v>Onagraceae</x:v>
      </x:c>
      <x:c r="E530" s="84" t="str">
        <x:v>Oenothera</x:v>
      </x:c>
      <x:c r="F530" s="84" t="str">
        <x:v>Pink Gaura</x:v>
      </x:c>
      <x:c r="G530" s="119"/>
      <x:c r="H530" s="119"/>
      <x:c r="I530" s="119"/>
      <x:c r="J530" s="119"/>
      <x:c r="K530" s="119"/>
      <x:c r="L530" s="119"/>
      <x:c r="M530" s="119"/>
      <x:c r="N530" s="115" t="str">
        <x:v>Not Started</x:v>
      </x:c>
      <x:c r="O530" s="115"/>
      <x:c r="P530" s="119"/>
      <x:c r="Q530" s="116"/>
    </x:row>
    <x:row r="531" ht="20" customHeight="1">
      <x:c r="A531" s="83" t="str">
        <x:v>HAYS-0530</x:v>
      </x:c>
      <x:c r="B531" s="87" t="str">
        <x:v>Oenothera macrocarpa</x:v>
      </x:c>
      <x:c r="C531" s="87" t="str">
        <x:v>Oenothera macrocarpa</x:v>
      </x:c>
      <x:c r="D531" s="84" t="str">
        <x:v>Onagraceae</x:v>
      </x:c>
      <x:c r="E531" s="84" t="str">
        <x:v>Oenothera</x:v>
      </x:c>
      <x:c r="F531" s="84" t="str">
        <x:v>Missouri Primrose, Fluttermills</x:v>
      </x:c>
      <x:c r="G531" s="119"/>
      <x:c r="H531" s="119"/>
      <x:c r="I531" s="119"/>
      <x:c r="J531" s="119"/>
      <x:c r="K531" s="119"/>
      <x:c r="L531" s="119"/>
      <x:c r="M531" s="119"/>
      <x:c r="N531" s="115" t="str">
        <x:v>Not Started</x:v>
      </x:c>
      <x:c r="O531" s="115"/>
      <x:c r="P531" s="119"/>
      <x:c r="Q531" s="116"/>
    </x:row>
    <x:row r="532" ht="20" customHeight="1">
      <x:c r="A532" s="83" t="str">
        <x:v>HAYS-0531</x:v>
      </x:c>
      <x:c r="B532" s="87" t="str">
        <x:v>Oenothera patriciae</x:v>
      </x:c>
      <x:c r="C532" s="87" t="str">
        <x:v>Oenothera patriciae</x:v>
      </x:c>
      <x:c r="D532" s="84" t="str">
        <x:v>Onagraceae</x:v>
      </x:c>
      <x:c r="E532" s="84" t="str">
        <x:v>Oenothera</x:v>
      </x:c>
      <x:c r="F532" s="84" t="str">
        <x:v>Plains Beeblossom, Plains Gaura</x:v>
      </x:c>
      <x:c r="G532" s="119"/>
      <x:c r="H532" s="119"/>
      <x:c r="I532" s="119"/>
      <x:c r="J532" s="119"/>
      <x:c r="K532" s="119"/>
      <x:c r="L532" s="119"/>
      <x:c r="M532" s="119"/>
      <x:c r="N532" s="115" t="str">
        <x:v>Not Started</x:v>
      </x:c>
      <x:c r="O532" s="115"/>
      <x:c r="P532" s="119"/>
      <x:c r="Q532" s="116"/>
    </x:row>
    <x:row r="533" ht="20" customHeight="1">
      <x:c r="A533" s="83" t="str">
        <x:v>HAYS-0532</x:v>
      </x:c>
      <x:c r="B533" s="87" t="str">
        <x:v>Oenothera rosea</x:v>
      </x:c>
      <x:c r="C533" s="87" t="str">
        <x:v>Oenothera rosea</x:v>
      </x:c>
      <x:c r="D533" s="84" t="str">
        <x:v>Onagraceae</x:v>
      </x:c>
      <x:c r="E533" s="84" t="str">
        <x:v>Oenothera</x:v>
      </x:c>
      <x:c r="F533" s="84" t="str">
        <x:v>Rose Evening Primrose</x:v>
      </x:c>
      <x:c r="G533" s="119"/>
      <x:c r="H533" s="119"/>
      <x:c r="I533" s="119"/>
      <x:c r="J533" s="119"/>
      <x:c r="K533" s="119"/>
      <x:c r="L533" s="119"/>
      <x:c r="M533" s="119"/>
      <x:c r="N533" s="115" t="str">
        <x:v>Not Started</x:v>
      </x:c>
      <x:c r="O533" s="115"/>
      <x:c r="P533" s="119"/>
      <x:c r="Q533" s="116"/>
    </x:row>
    <x:row r="534" ht="20" customHeight="1">
      <x:c r="A534" s="83" t="str">
        <x:v>HAYS-0533</x:v>
      </x:c>
      <x:c r="B534" s="87" t="str">
        <x:v>Oenothera sinuosa</x:v>
      </x:c>
      <x:c r="C534" s="87" t="str">
        <x:v>Oenothera sinuosa</x:v>
      </x:c>
      <x:c r="D534" s="84" t="str">
        <x:v>Onagraceae</x:v>
      </x:c>
      <x:c r="E534" s="84" t="str">
        <x:v>Oenothera</x:v>
      </x:c>
      <x:c r="F534" s="84" t="str">
        <x:v>Wavyleaf Beeblossom, Wavyleaf Gaura</x:v>
      </x:c>
      <x:c r="G534" s="119"/>
      <x:c r="H534" s="119"/>
      <x:c r="I534" s="119"/>
      <x:c r="J534" s="119"/>
      <x:c r="K534" s="119"/>
      <x:c r="L534" s="119"/>
      <x:c r="M534" s="119"/>
      <x:c r="N534" s="115" t="str">
        <x:v>Not Started</x:v>
      </x:c>
      <x:c r="O534" s="115"/>
      <x:c r="P534" s="119"/>
      <x:c r="Q534" s="116"/>
    </x:row>
    <x:row r="535" ht="20" customHeight="1">
      <x:c r="A535" s="83" t="str">
        <x:v>HAYS-0534</x:v>
      </x:c>
      <x:c r="B535" s="87" t="str">
        <x:v>Oenothera speciosa</x:v>
      </x:c>
      <x:c r="C535" s="87" t="str">
        <x:v>Oenothera speciosa</x:v>
      </x:c>
      <x:c r="D535" s="84" t="str">
        <x:v>Onagraceae</x:v>
      </x:c>
      <x:c r="E535" s="84" t="str">
        <x:v>Oenothera</x:v>
      </x:c>
      <x:c r="F535" s="84" t="str">
        <x:v>Pink Evening Primrose, Showy Evening Primrose, Mexican Evening Primrose, Showy Primrose, Pink Ladies, Buttercups, Pink Buttercups</x:v>
      </x:c>
      <x:c r="G535" s="119"/>
      <x:c r="H535" s="119"/>
      <x:c r="I535" s="119"/>
      <x:c r="J535" s="119"/>
      <x:c r="K535" s="119"/>
      <x:c r="L535" s="119"/>
      <x:c r="M535" s="119"/>
      <x:c r="N535" s="115" t="str">
        <x:v>Not Started</x:v>
      </x:c>
      <x:c r="O535" s="115"/>
      <x:c r="P535" s="119"/>
      <x:c r="Q535" s="116"/>
    </x:row>
    <x:row r="536" ht="20" customHeight="1">
      <x:c r="A536" s="83" t="str">
        <x:v>HAYS-0535</x:v>
      </x:c>
      <x:c r="B536" s="87" t="str">
        <x:v>Oenothera suffrutescens</x:v>
      </x:c>
      <x:c r="C536" s="87" t="str">
        <x:v>Oenothera suffrutescens</x:v>
      </x:c>
      <x:c r="D536" s="84" t="str">
        <x:v>Onagraceae</x:v>
      </x:c>
      <x:c r="E536" s="84" t="str">
        <x:v>Oenothera</x:v>
      </x:c>
      <x:c r="F536" s="84" t="str">
        <x:v>Scarlet Beeblossom, Scarlet Gaura</x:v>
      </x:c>
      <x:c r="G536" s="119"/>
      <x:c r="H536" s="119"/>
      <x:c r="I536" s="119"/>
      <x:c r="J536" s="119"/>
      <x:c r="K536" s="119"/>
      <x:c r="L536" s="119"/>
      <x:c r="M536" s="119"/>
      <x:c r="N536" s="115" t="str">
        <x:v>Not Started</x:v>
      </x:c>
      <x:c r="O536" s="115"/>
      <x:c r="P536" s="119"/>
      <x:c r="Q536" s="116"/>
    </x:row>
    <x:row r="537" ht="20" customHeight="1">
      <x:c r="A537" s="83" t="str">
        <x:v>HAYS-0536</x:v>
      </x:c>
      <x:c r="B537" s="87" t="str">
        <x:v>Oenothera suffulta</x:v>
      </x:c>
      <x:c r="C537" s="87" t="str">
        <x:v>Oenothera suffulta</x:v>
      </x:c>
      <x:c r="D537" s="84" t="str">
        <x:v>Onagraceae</x:v>
      </x:c>
      <x:c r="E537" s="84" t="str">
        <x:v>Oenothera</x:v>
      </x:c>
      <x:c r="F537" s="84" t="str">
        <x:v>Kisses, Wild Honeysuckle, Beeblossom, Roadside Gaura</x:v>
      </x:c>
      <x:c r="G537" s="119"/>
      <x:c r="H537" s="119"/>
      <x:c r="I537" s="119"/>
      <x:c r="J537" s="119"/>
      <x:c r="K537" s="119"/>
      <x:c r="L537" s="119"/>
      <x:c r="M537" s="119"/>
      <x:c r="N537" s="115" t="str">
        <x:v>Not Started</x:v>
      </x:c>
      <x:c r="O537" s="115"/>
      <x:c r="P537" s="119"/>
      <x:c r="Q537" s="116"/>
    </x:row>
    <x:row r="538" ht="20" customHeight="1">
      <x:c r="A538" s="83" t="str">
        <x:v>HAYS-0537</x:v>
      </x:c>
      <x:c r="B538" s="87" t="str">
        <x:v>Oenothera triloba</x:v>
      </x:c>
      <x:c r="C538" s="87" t="str">
        <x:v>Oenothera triloba</x:v>
      </x:c>
      <x:c r="D538" s="84" t="str">
        <x:v>Onagraceae</x:v>
      </x:c>
      <x:c r="E538" s="84" t="str">
        <x:v>Oenothera</x:v>
      </x:c>
      <x:c r="F538" s="84" t="str">
        <x:v>Stemless Evening-primrose, Stemless Evening Primrose</x:v>
      </x:c>
      <x:c r="G538" s="119"/>
      <x:c r="H538" s="119"/>
      <x:c r="I538" s="119"/>
      <x:c r="J538" s="119"/>
      <x:c r="K538" s="119"/>
      <x:c r="L538" s="119"/>
      <x:c r="M538" s="119"/>
      <x:c r="N538" s="115" t="str">
        <x:v>Not Started</x:v>
      </x:c>
      <x:c r="O538" s="115"/>
      <x:c r="P538" s="119"/>
      <x:c r="Q538" s="116"/>
    </x:row>
    <x:row r="539" ht="20" customHeight="1">
      <x:c r="A539" s="83" t="str">
        <x:v>HAYS-0538</x:v>
      </x:c>
      <x:c r="B539" s="87" t="str">
        <x:v>Oenothera xerogaura</x:v>
      </x:c>
      <x:c r="C539" s="87"/>
      <x:c r="D539" s="84" t="str">
        <x:v>[Taxonomy unresolved]</x:v>
      </x:c>
      <x:c r="E539" s="84" t="str">
        <x:v>Oenothera</x:v>
      </x:c>
      <x:c r="F539" s="84" t="str">
        <x:v>Drummond's Beeblossom, Drummond's Gaura</x:v>
      </x:c>
      <x:c r="G539" s="119"/>
      <x:c r="H539" s="119"/>
      <x:c r="I539" s="119"/>
      <x:c r="J539" s="119"/>
      <x:c r="K539" s="119"/>
      <x:c r="L539" s="119"/>
      <x:c r="M539" s="119"/>
      <x:c r="N539" s="115" t="str">
        <x:v>Not Started</x:v>
      </x:c>
      <x:c r="O539" s="115"/>
      <x:c r="P539" s="119"/>
      <x:c r="Q539" s="116"/>
    </x:row>
    <x:row r="540" ht="20" customHeight="1">
      <x:c r="A540" s="83" t="str">
        <x:v>HAYS-0539</x:v>
      </x:c>
      <x:c r="B540" s="87" t="str">
        <x:v>Onosmodium bejariense var. bejariense</x:v>
      </x:c>
      <x:c r="C540" s="87"/>
      <x:c r="D540" s="84" t="str">
        <x:v>[Taxonomy unresolved]</x:v>
      </x:c>
      <x:c r="E540" s="84" t="str">
        <x:v>Onosmodium</x:v>
      </x:c>
      <x:c r="F540" s="84" t="str">
        <x:v>Marbleseed</x:v>
      </x:c>
      <x:c r="G540" s="119"/>
      <x:c r="H540" s="119"/>
      <x:c r="I540" s="119"/>
      <x:c r="J540" s="119"/>
      <x:c r="K540" s="119"/>
      <x:c r="L540" s="119"/>
      <x:c r="M540" s="119"/>
      <x:c r="N540" s="115" t="str">
        <x:v>Not Started</x:v>
      </x:c>
      <x:c r="O540" s="115"/>
      <x:c r="P540" s="119"/>
      <x:c r="Q540" s="116"/>
    </x:row>
    <x:row r="541" ht="20" customHeight="1">
      <x:c r="A541" s="83" t="str">
        <x:v>HAYS-0540</x:v>
      </x:c>
      <x:c r="B541" s="87" t="str">
        <x:v>Onosmodium helleri</x:v>
      </x:c>
      <x:c r="C541" s="87" t="str">
        <x:v>Lithospermum helleri</x:v>
      </x:c>
      <x:c r="D541" s="84" t="str">
        <x:v>Boraginaceae</x:v>
      </x:c>
      <x:c r="E541" s="84" t="str">
        <x:v>Lithospermum</x:v>
      </x:c>
      <x:c r="F541" s="84" t="str">
        <x:v>Heller's Marbleseed, Marble-seed</x:v>
      </x:c>
      <x:c r="G541" s="119"/>
      <x:c r="H541" s="119"/>
      <x:c r="I541" s="119"/>
      <x:c r="J541" s="119"/>
      <x:c r="K541" s="119"/>
      <x:c r="L541" s="119"/>
      <x:c r="M541" s="119"/>
      <x:c r="N541" s="115" t="str">
        <x:v>Not Started</x:v>
      </x:c>
      <x:c r="O541" s="115"/>
      <x:c r="P541" s="119"/>
      <x:c r="Q541" s="116"/>
    </x:row>
    <x:row r="542" ht="20" customHeight="1">
      <x:c r="A542" s="83" t="str">
        <x:v>HAYS-0541</x:v>
      </x:c>
      <x:c r="B542" s="87" t="str">
        <x:v>Opuntia engelmannii</x:v>
      </x:c>
      <x:c r="C542" s="87" t="str">
        <x:v>Opuntia engelmannii</x:v>
      </x:c>
      <x:c r="D542" s="84" t="str">
        <x:v>Cactaceae</x:v>
      </x:c>
      <x:c r="E542" s="84" t="str">
        <x:v>Opuntia</x:v>
      </x:c>
      <x:c r="F542" s="84" t="str">
        <x:v>Prickly Pear 'Englemann's'</x:v>
      </x:c>
      <x:c r="G542" s="119"/>
      <x:c r="H542" s="119"/>
      <x:c r="I542" s="119"/>
      <x:c r="J542" s="119"/>
      <x:c r="K542" s="119"/>
      <x:c r="L542" s="119"/>
      <x:c r="M542" s="119"/>
      <x:c r="N542" s="115" t="str">
        <x:v>Not Started</x:v>
      </x:c>
      <x:c r="O542" s="115"/>
      <x:c r="P542" s="119"/>
      <x:c r="Q542" s="116"/>
    </x:row>
    <x:row r="543" ht="20" customHeight="1">
      <x:c r="A543" s="83" t="str">
        <x:v>HAYS-0542</x:v>
      </x:c>
      <x:c r="B543" s="87" t="str">
        <x:v>Opuntia engelmannii var. lindheimeri</x:v>
      </x:c>
      <x:c r="C543" s="87" t="str">
        <x:v>Opuntia engelmannii var. lindheimeri</x:v>
      </x:c>
      <x:c r="D543" s="84" t="str">
        <x:v>Cactaceae</x:v>
      </x:c>
      <x:c r="E543" s="84" t="str">
        <x:v>Opuntia</x:v>
      </x:c>
      <x:c r="F543" s="84" t="str">
        <x:v>Texas Prickly Pear, Lindheimer's Prickly Pear, Lindheimer Prickly Pear</x:v>
      </x:c>
      <x:c r="G543" s="119"/>
      <x:c r="H543" s="119"/>
      <x:c r="I543" s="119"/>
      <x:c r="J543" s="119"/>
      <x:c r="K543" s="119"/>
      <x:c r="L543" s="119"/>
      <x:c r="M543" s="119"/>
      <x:c r="N543" s="115" t="str">
        <x:v>Not Started</x:v>
      </x:c>
      <x:c r="O543" s="115"/>
      <x:c r="P543" s="119"/>
      <x:c r="Q543" s="116"/>
    </x:row>
    <x:row r="544" ht="20" customHeight="1">
      <x:c r="A544" s="83" t="str">
        <x:v>HAYS-0543</x:v>
      </x:c>
      <x:c r="B544" s="87" t="str">
        <x:v>Opuntia macrorhiza</x:v>
      </x:c>
      <x:c r="C544" s="87" t="str">
        <x:v>Opuntia macrorhiza</x:v>
      </x:c>
      <x:c r="D544" s="84" t="str">
        <x:v>Cactaceae</x:v>
      </x:c>
      <x:c r="E544" s="84" t="str">
        <x:v>Opuntia</x:v>
      </x:c>
      <x:c r="F544" s="84" t="str">
        <x:v>Bigroot Prickly Pear, Twist-spine Prickly Pear, Common Prickly Pear, Plains Prickly Pear</x:v>
      </x:c>
      <x:c r="G544" s="119"/>
      <x:c r="H544" s="119"/>
      <x:c r="I544" s="119"/>
      <x:c r="J544" s="119"/>
      <x:c r="K544" s="119"/>
      <x:c r="L544" s="119"/>
      <x:c r="M544" s="119"/>
      <x:c r="N544" s="115" t="str">
        <x:v>Not Started</x:v>
      </x:c>
      <x:c r="O544" s="115"/>
      <x:c r="P544" s="119"/>
      <x:c r="Q544" s="116"/>
    </x:row>
    <x:row r="545" ht="20" customHeight="1">
      <x:c r="A545" s="83" t="str">
        <x:v>HAYS-0544</x:v>
      </x:c>
      <x:c r="B545" s="87" t="str">
        <x:v>Opuntia phaeacantha</x:v>
      </x:c>
      <x:c r="C545" s="87" t="str">
        <x:v>Opuntia phaeacantha</x:v>
      </x:c>
      <x:c r="D545" s="84" t="str">
        <x:v>Cactaceae</x:v>
      </x:c>
      <x:c r="E545" s="84" t="str">
        <x:v>Opuntia</x:v>
      </x:c>
      <x:c r="F545" s="84" t="str">
        <x:v>Tulip Prickly Pear, Brownspine Prickly Pear Cactus, Purple-fruited Prickly Pear, Brown-spined Prickly Pear, New Mexico Prickly Pear, Desert Prickly Pear</x:v>
      </x:c>
      <x:c r="G545" s="119"/>
      <x:c r="H545" s="119"/>
      <x:c r="I545" s="119"/>
      <x:c r="J545" s="119"/>
      <x:c r="K545" s="119"/>
      <x:c r="L545" s="119"/>
      <x:c r="M545" s="119"/>
      <x:c r="N545" s="115" t="str">
        <x:v>Not Started</x:v>
      </x:c>
      <x:c r="O545" s="115"/>
      <x:c r="P545" s="119"/>
      <x:c r="Q545" s="116"/>
    </x:row>
    <x:row r="546" ht="20" customHeight="1">
      <x:c r="A546" s="83" t="str">
        <x:v>HAYS-0545</x:v>
      </x:c>
      <x:c r="B546" s="87" t="str">
        <x:v>Oxalis albicans</x:v>
      </x:c>
      <x:c r="C546" s="87" t="str">
        <x:v>Oxalis albicans</x:v>
      </x:c>
      <x:c r="D546" s="84" t="str">
        <x:v>Oxalidaceae</x:v>
      </x:c>
      <x:c r="E546" s="84" t="str">
        <x:v>Oxalis</x:v>
      </x:c>
      <x:c r="F546" s="84" t="str">
        <x:v>Radishroot Woodsorrel</x:v>
      </x:c>
      <x:c r="G546" s="119"/>
      <x:c r="H546" s="119"/>
      <x:c r="I546" s="119"/>
      <x:c r="J546" s="119"/>
      <x:c r="K546" s="119"/>
      <x:c r="L546" s="119"/>
      <x:c r="M546" s="119"/>
      <x:c r="N546" s="115" t="str">
        <x:v>Not Started</x:v>
      </x:c>
      <x:c r="O546" s="115"/>
      <x:c r="P546" s="119"/>
      <x:c r="Q546" s="116"/>
    </x:row>
    <x:row r="547" ht="20" customHeight="1">
      <x:c r="A547" s="83" t="str">
        <x:v>HAYS-0546</x:v>
      </x:c>
      <x:c r="B547" s="87" t="str">
        <x:v>Oxalis drummondii</x:v>
      </x:c>
      <x:c r="C547" s="87" t="str">
        <x:v>Oxalis drummondii</x:v>
      </x:c>
      <x:c r="D547" s="84" t="str">
        <x:v>Oxalidaceae</x:v>
      </x:c>
      <x:c r="E547" s="84" t="str">
        <x:v>Oxalis</x:v>
      </x:c>
      <x:c r="F547" s="84" t="str">
        <x:v>Drummond's Wood-sorrel, Large-leaf Wood-sorrel, Drummond's Woodsorrel</x:v>
      </x:c>
      <x:c r="G547" s="119"/>
      <x:c r="H547" s="119"/>
      <x:c r="I547" s="119"/>
      <x:c r="J547" s="119"/>
      <x:c r="K547" s="119"/>
      <x:c r="L547" s="119"/>
      <x:c r="M547" s="119"/>
      <x:c r="N547" s="115" t="str">
        <x:v>Not Started</x:v>
      </x:c>
      <x:c r="O547" s="115"/>
      <x:c r="P547" s="119"/>
      <x:c r="Q547" s="116"/>
    </x:row>
    <x:row r="548" ht="20" customHeight="1">
      <x:c r="A548" s="83" t="str">
        <x:v>HAYS-0547</x:v>
      </x:c>
      <x:c r="B548" s="87" t="str">
        <x:v>Oxalis stricta</x:v>
      </x:c>
      <x:c r="C548" s="87" t="str">
        <x:v>Oxalis stricta</x:v>
      </x:c>
      <x:c r="D548" s="84" t="str">
        <x:v>Oxalidaceae</x:v>
      </x:c>
      <x:c r="E548" s="84" t="str">
        <x:v>Oxalis</x:v>
      </x:c>
      <x:c r="F548" s="84" t="str">
        <x:v>Common Yellow Oxalis, Yellow Wood-sorrel, Upright Yellow Wood-sorrel, Yellow Woodsorrel</x:v>
      </x:c>
      <x:c r="G548" s="119"/>
      <x:c r="H548" s="119"/>
      <x:c r="I548" s="119"/>
      <x:c r="J548" s="119"/>
      <x:c r="K548" s="119"/>
      <x:c r="L548" s="119"/>
      <x:c r="M548" s="119"/>
      <x:c r="N548" s="115" t="str">
        <x:v>Not Started</x:v>
      </x:c>
      <x:c r="O548" s="115"/>
      <x:c r="P548" s="119"/>
      <x:c r="Q548" s="116"/>
    </x:row>
    <x:row r="549" ht="20" customHeight="1">
      <x:c r="A549" s="83" t="str">
        <x:v>HAYS-0548</x:v>
      </x:c>
      <x:c r="B549" s="87" t="str">
        <x:v>Oxalis violacea</x:v>
      </x:c>
      <x:c r="C549" s="87" t="str">
        <x:v>Oxalis violacea</x:v>
      </x:c>
      <x:c r="D549" s="84" t="str">
        <x:v>Oxalidaceae</x:v>
      </x:c>
      <x:c r="E549" s="84" t="str">
        <x:v>Oxalis</x:v>
      </x:c>
      <x:c r="F549" s="84" t="str">
        <x:v>Violet Woodsorrel, Violet Wood-sorrel</x:v>
      </x:c>
      <x:c r="G549" s="119"/>
      <x:c r="H549" s="119"/>
      <x:c r="I549" s="119"/>
      <x:c r="J549" s="119"/>
      <x:c r="K549" s="119"/>
      <x:c r="L549" s="119"/>
      <x:c r="M549" s="119"/>
      <x:c r="N549" s="115" t="str">
        <x:v>Not Started</x:v>
      </x:c>
      <x:c r="O549" s="115"/>
      <x:c r="P549" s="119"/>
      <x:c r="Q549" s="116"/>
    </x:row>
    <x:row r="550" ht="20" customHeight="1">
      <x:c r="A550" s="83" t="str">
        <x:v>HAYS-0549</x:v>
      </x:c>
      <x:c r="B550" s="87" t="str">
        <x:v>Packera glabella</x:v>
      </x:c>
      <x:c r="C550" s="87" t="str">
        <x:v>Packera glabella</x:v>
      </x:c>
      <x:c r="D550" s="84" t="str">
        <x:v>Asteraceae</x:v>
      </x:c>
      <x:c r="E550" s="84" t="str">
        <x:v>Packera</x:v>
      </x:c>
      <x:c r="F550" s="84" t="str">
        <x:v>Butterweed, Cress-leaf Groundsel, Yellowtop</x:v>
      </x:c>
      <x:c r="G550" s="119"/>
      <x:c r="H550" s="119"/>
      <x:c r="I550" s="119"/>
      <x:c r="J550" s="119"/>
      <x:c r="K550" s="119"/>
      <x:c r="L550" s="119"/>
      <x:c r="M550" s="119"/>
      <x:c r="N550" s="115" t="str">
        <x:v>Not Started</x:v>
      </x:c>
      <x:c r="O550" s="115"/>
      <x:c r="P550" s="119"/>
      <x:c r="Q550" s="116"/>
    </x:row>
    <x:row r="551" ht="20" customHeight="1">
      <x:c r="A551" s="83" t="str">
        <x:v>HAYS-0550</x:v>
      </x:c>
      <x:c r="B551" s="87" t="str">
        <x:v>Packera obovata</x:v>
      </x:c>
      <x:c r="C551" s="87" t="str">
        <x:v>Packera obovata</x:v>
      </x:c>
      <x:c r="D551" s="84" t="str">
        <x:v>Asteraceae</x:v>
      </x:c>
      <x:c r="E551" s="84" t="str">
        <x:v>Packera</x:v>
      </x:c>
      <x:c r="F551" s="84" t="str">
        <x:v>Golden Groundsel, Roundleaf Groundsel, Roundleaf Ragwort</x:v>
      </x:c>
      <x:c r="G551" s="119"/>
      <x:c r="H551" s="119"/>
      <x:c r="I551" s="119"/>
      <x:c r="J551" s="119"/>
      <x:c r="K551" s="119"/>
      <x:c r="L551" s="119"/>
      <x:c r="M551" s="119"/>
      <x:c r="N551" s="115" t="str">
        <x:v>Not Started</x:v>
      </x:c>
      <x:c r="O551" s="115"/>
      <x:c r="P551" s="119"/>
      <x:c r="Q551" s="116"/>
    </x:row>
    <x:row r="552" ht="20" customHeight="1">
      <x:c r="A552" s="83" t="str">
        <x:v>HAYS-0551</x:v>
      </x:c>
      <x:c r="B552" s="87" t="str">
        <x:v>Packera tampicana</x:v>
      </x:c>
      <x:c r="C552" s="87" t="str">
        <x:v>Packera tampicana</x:v>
      </x:c>
      <x:c r="D552" s="84" t="str">
        <x:v>Asteraceae</x:v>
      </x:c>
      <x:c r="E552" s="84" t="str">
        <x:v>Packera</x:v>
      </x:c>
      <x:c r="F552" s="84" t="str">
        <x:v>Yellowtop, Great Plains Ragwort, Butterweed</x:v>
      </x:c>
      <x:c r="G552" s="119"/>
      <x:c r="H552" s="119"/>
      <x:c r="I552" s="119"/>
      <x:c r="J552" s="119"/>
      <x:c r="K552" s="119"/>
      <x:c r="L552" s="119"/>
      <x:c r="M552" s="119"/>
      <x:c r="N552" s="115" t="str">
        <x:v>Not Started</x:v>
      </x:c>
      <x:c r="O552" s="115"/>
      <x:c r="P552" s="119"/>
      <x:c r="Q552" s="116"/>
    </x:row>
    <x:row r="553" ht="20" customHeight="1">
      <x:c r="A553" s="83" t="str">
        <x:v>HAYS-0552</x:v>
      </x:c>
      <x:c r="B553" s="87" t="str">
        <x:v>Palafoxia callosa</x:v>
      </x:c>
      <x:c r="C553" s="87" t="str">
        <x:v>Palafoxia callosa</x:v>
      </x:c>
      <x:c r="D553" s="84" t="str">
        <x:v>Asteraceae</x:v>
      </x:c>
      <x:c r="E553" s="84" t="str">
        <x:v>Palafoxia</x:v>
      </x:c>
      <x:c r="F553" s="84" t="str">
        <x:v>Small Palafox, Small Palafoxia</x:v>
      </x:c>
      <x:c r="G553" s="119"/>
      <x:c r="H553" s="119"/>
      <x:c r="I553" s="119"/>
      <x:c r="J553" s="119"/>
      <x:c r="K553" s="119"/>
      <x:c r="L553" s="119"/>
      <x:c r="M553" s="119"/>
      <x:c r="N553" s="115" t="str">
        <x:v>Not Started</x:v>
      </x:c>
      <x:c r="O553" s="115"/>
      <x:c r="P553" s="119"/>
      <x:c r="Q553" s="116"/>
    </x:row>
    <x:row r="554" ht="20" customHeight="1">
      <x:c r="A554" s="83" t="str">
        <x:v>HAYS-0553</x:v>
      </x:c>
      <x:c r="B554" s="87" t="str">
        <x:v>Panicum capillare</x:v>
      </x:c>
      <x:c r="C554" s="87" t="str">
        <x:v>Panicum capillare</x:v>
      </x:c>
      <x:c r="D554" s="84" t="str">
        <x:v>Poaceae</x:v>
      </x:c>
      <x:c r="E554" s="84" t="str">
        <x:v>Panicum</x:v>
      </x:c>
      <x:c r="F554" s="84" t="str">
        <x:v>Witchgrass</x:v>
      </x:c>
      <x:c r="G554" s="119"/>
      <x:c r="H554" s="119"/>
      <x:c r="I554" s="119"/>
      <x:c r="J554" s="119"/>
      <x:c r="K554" s="119"/>
      <x:c r="L554" s="119"/>
      <x:c r="M554" s="119"/>
      <x:c r="N554" s="115" t="str">
        <x:v>Not Started</x:v>
      </x:c>
      <x:c r="O554" s="115"/>
      <x:c r="P554" s="119"/>
      <x:c r="Q554" s="116"/>
    </x:row>
    <x:row r="555" ht="20" customHeight="1">
      <x:c r="A555" s="83" t="str">
        <x:v>HAYS-0554</x:v>
      </x:c>
      <x:c r="B555" s="87" t="str">
        <x:v>Panicum hallii</x:v>
      </x:c>
      <x:c r="C555" s="87" t="str">
        <x:v>Panicum hallii</x:v>
      </x:c>
      <x:c r="D555" s="84" t="str">
        <x:v>Poaceae</x:v>
      </x:c>
      <x:c r="E555" s="84" t="str">
        <x:v>Panicum</x:v>
      </x:c>
      <x:c r="F555" s="84" t="str">
        <x:v>Hall's Panicgrass, Hall's Panic Grass</x:v>
      </x:c>
      <x:c r="G555" s="119"/>
      <x:c r="H555" s="119"/>
      <x:c r="I555" s="119"/>
      <x:c r="J555" s="119"/>
      <x:c r="K555" s="119"/>
      <x:c r="L555" s="119"/>
      <x:c r="M555" s="119"/>
      <x:c r="N555" s="115" t="str">
        <x:v>Not Started</x:v>
      </x:c>
      <x:c r="O555" s="115"/>
      <x:c r="P555" s="119"/>
      <x:c r="Q555" s="116"/>
    </x:row>
    <x:row r="556" ht="20" customHeight="1">
      <x:c r="A556" s="83" t="str">
        <x:v>HAYS-0555</x:v>
      </x:c>
      <x:c r="B556" s="87" t="str">
        <x:v>Panicum obtusum</x:v>
      </x:c>
      <x:c r="C556" s="87" t="str">
        <x:v>Hopia obtusa</x:v>
      </x:c>
      <x:c r="D556" s="84" t="str">
        <x:v>Poaceae</x:v>
      </x:c>
      <x:c r="E556" s="84" t="str">
        <x:v>Hopia</x:v>
      </x:c>
      <x:c r="F556" s="84" t="str">
        <x:v>Vine Mesquite</x:v>
      </x:c>
      <x:c r="G556" s="119"/>
      <x:c r="H556" s="119"/>
      <x:c r="I556" s="119"/>
      <x:c r="J556" s="119"/>
      <x:c r="K556" s="119"/>
      <x:c r="L556" s="119"/>
      <x:c r="M556" s="119"/>
      <x:c r="N556" s="115" t="str">
        <x:v>Not Started</x:v>
      </x:c>
      <x:c r="O556" s="115"/>
      <x:c r="P556" s="119"/>
      <x:c r="Q556" s="116"/>
    </x:row>
    <x:row r="557" ht="20" customHeight="1">
      <x:c r="A557" s="83" t="str">
        <x:v>HAYS-0556</x:v>
      </x:c>
      <x:c r="B557" s="87" t="str">
        <x:v>Panicum virgatum</x:v>
      </x:c>
      <x:c r="C557" s="87" t="str">
        <x:v>Panicum virgatum</x:v>
      </x:c>
      <x:c r="D557" s="84" t="str">
        <x:v>Poaceae</x:v>
      </x:c>
      <x:c r="E557" s="84" t="str">
        <x:v>Panicum</x:v>
      </x:c>
      <x:c r="F557" s="84" t="str">
        <x:v>Switchgrass, Wand Panic Grass</x:v>
      </x:c>
      <x:c r="G557" s="119"/>
      <x:c r="H557" s="119"/>
      <x:c r="I557" s="119"/>
      <x:c r="J557" s="119"/>
      <x:c r="K557" s="119"/>
      <x:c r="L557" s="119"/>
      <x:c r="M557" s="119"/>
      <x:c r="N557" s="115" t="str">
        <x:v>Not Started</x:v>
      </x:c>
      <x:c r="O557" s="115"/>
      <x:c r="P557" s="119"/>
      <x:c r="Q557" s="116"/>
    </x:row>
    <x:row r="558" ht="20" customHeight="1">
      <x:c r="A558" s="83" t="str">
        <x:v>HAYS-0557</x:v>
      </x:c>
      <x:c r="B558" s="87" t="str">
        <x:v>Parietaria pensylvanica</x:v>
      </x:c>
      <x:c r="C558" s="87" t="str">
        <x:v>Parietaria pensylvanica</x:v>
      </x:c>
      <x:c r="D558" s="84" t="str">
        <x:v>Urticaceae</x:v>
      </x:c>
      <x:c r="E558" s="84" t="str">
        <x:v>Parietaria</x:v>
      </x:c>
      <x:c r="F558" s="84" t="str">
        <x:v>Pennsylvania Pellitory, Pennsylvania Cucumber Plant</x:v>
      </x:c>
      <x:c r="G558" s="119"/>
      <x:c r="H558" s="119"/>
      <x:c r="I558" s="119"/>
      <x:c r="J558" s="119"/>
      <x:c r="K558" s="119"/>
      <x:c r="L558" s="119"/>
      <x:c r="M558" s="119"/>
      <x:c r="N558" s="115" t="str">
        <x:v>Not Started</x:v>
      </x:c>
      <x:c r="O558" s="115"/>
      <x:c r="P558" s="119"/>
      <x:c r="Q558" s="116"/>
    </x:row>
    <x:row r="559" ht="20" customHeight="1">
      <x:c r="A559" s="83" t="str">
        <x:v>HAYS-0558</x:v>
      </x:c>
      <x:c r="B559" s="87" t="str">
        <x:v>Parkinsonia aculeata</x:v>
      </x:c>
      <x:c r="C559" s="87" t="str">
        <x:v>Parkinsonia aculeata</x:v>
      </x:c>
      <x:c r="D559" s="84" t="str">
        <x:v>Fabaceae</x:v>
      </x:c>
      <x:c r="E559" s="84" t="str">
        <x:v>Parkinsonia</x:v>
      </x:c>
      <x:c r="F559" s="84" t="str">
        <x:v>Retama</x:v>
      </x:c>
      <x:c r="G559" s="119"/>
      <x:c r="H559" s="119"/>
      <x:c r="I559" s="119"/>
      <x:c r="J559" s="119"/>
      <x:c r="K559" s="119"/>
      <x:c r="L559" s="119"/>
      <x:c r="M559" s="119"/>
      <x:c r="N559" s="115" t="str">
        <x:v>Not Started</x:v>
      </x:c>
      <x:c r="O559" s="115"/>
      <x:c r="P559" s="119"/>
      <x:c r="Q559" s="116"/>
    </x:row>
    <x:row r="560" ht="20" customHeight="1">
      <x:c r="A560" s="83" t="str">
        <x:v>HAYS-0559</x:v>
      </x:c>
      <x:c r="B560" s="87" t="str">
        <x:v>Paronychia virginica</x:v>
      </x:c>
      <x:c r="C560" s="87" t="str">
        <x:v>Paronychia virginica</x:v>
      </x:c>
      <x:c r="D560" s="84" t="str">
        <x:v>Caryophyllaceae</x:v>
      </x:c>
      <x:c r="E560" s="84" t="str">
        <x:v>Paronychia</x:v>
      </x:c>
      <x:c r="F560" s="84" t="str">
        <x:v>Whitlow-wort, Square-head Nailwort, Broom Nailwort, Yellow Nailwort, Park's Nailwort</x:v>
      </x:c>
      <x:c r="G560" s="119"/>
      <x:c r="H560" s="119"/>
      <x:c r="I560" s="119"/>
      <x:c r="J560" s="119"/>
      <x:c r="K560" s="119"/>
      <x:c r="L560" s="119"/>
      <x:c r="M560" s="119"/>
      <x:c r="N560" s="115" t="str">
        <x:v>Not Started</x:v>
      </x:c>
      <x:c r="O560" s="115"/>
      <x:c r="P560" s="119"/>
      <x:c r="Q560" s="116"/>
    </x:row>
    <x:row r="561" ht="20" customHeight="1">
      <x:c r="A561" s="83" t="str">
        <x:v>HAYS-0560</x:v>
      </x:c>
      <x:c r="B561" s="87" t="str">
        <x:v>Parthenium confertum</x:v>
      </x:c>
      <x:c r="C561" s="87" t="str">
        <x:v>Parthenium confertum</x:v>
      </x:c>
      <x:c r="D561" s="84" t="str">
        <x:v>Asteraceae</x:v>
      </x:c>
      <x:c r="E561" s="84" t="str">
        <x:v>Parthenium</x:v>
      </x:c>
      <x:c r="F561" s="84" t="str">
        <x:v>Gray's Feverfew</x:v>
      </x:c>
      <x:c r="G561" s="119"/>
      <x:c r="H561" s="119"/>
      <x:c r="I561" s="119"/>
      <x:c r="J561" s="119"/>
      <x:c r="K561" s="119"/>
      <x:c r="L561" s="119"/>
      <x:c r="M561" s="119"/>
      <x:c r="N561" s="115" t="str">
        <x:v>Not Started</x:v>
      </x:c>
      <x:c r="O561" s="115"/>
      <x:c r="P561" s="119"/>
      <x:c r="Q561" s="116"/>
    </x:row>
    <x:row r="562" ht="20" customHeight="1">
      <x:c r="A562" s="83" t="str">
        <x:v>HAYS-0561</x:v>
      </x:c>
      <x:c r="B562" s="87" t="str">
        <x:v>Parthenocissus heptaphylla</x:v>
      </x:c>
      <x:c r="C562" s="87" t="str">
        <x:v>Parthenocissus heptaphylla</x:v>
      </x:c>
      <x:c r="D562" s="84" t="str">
        <x:v>Vitaceae</x:v>
      </x:c>
      <x:c r="E562" s="84" t="str">
        <x:v>Parthenocissus</x:v>
      </x:c>
      <x:c r="F562" s="84" t="str">
        <x:v>Sevenleaf Creeper, Seven-leaf Creeper</x:v>
      </x:c>
      <x:c r="G562" s="119"/>
      <x:c r="H562" s="119"/>
      <x:c r="I562" s="119"/>
      <x:c r="J562" s="119"/>
      <x:c r="K562" s="119"/>
      <x:c r="L562" s="119"/>
      <x:c r="M562" s="119"/>
      <x:c r="N562" s="115" t="str">
        <x:v>Not Started</x:v>
      </x:c>
      <x:c r="O562" s="115"/>
      <x:c r="P562" s="119"/>
      <x:c r="Q562" s="116"/>
    </x:row>
    <x:row r="563" ht="20" customHeight="1">
      <x:c r="A563" s="83" t="str">
        <x:v>HAYS-0562</x:v>
      </x:c>
      <x:c r="B563" s="87" t="str">
        <x:v>Parthenocissus quinquefolia</x:v>
      </x:c>
      <x:c r="C563" s="87" t="str">
        <x:v>Parthenocissus quinquefolia</x:v>
      </x:c>
      <x:c r="D563" s="84" t="str">
        <x:v>Vitaceae</x:v>
      </x:c>
      <x:c r="E563" s="84" t="str">
        <x:v>Parthenocissus</x:v>
      </x:c>
      <x:c r="F563" s="84" t="str">
        <x:v>Virginia Creeper</x:v>
      </x:c>
      <x:c r="G563" s="119"/>
      <x:c r="H563" s="119"/>
      <x:c r="I563" s="119"/>
      <x:c r="J563" s="119"/>
      <x:c r="K563" s="119"/>
      <x:c r="L563" s="119"/>
      <x:c r="M563" s="119"/>
      <x:c r="N563" s="115" t="str">
        <x:v>Not Started</x:v>
      </x:c>
      <x:c r="O563" s="115"/>
      <x:c r="P563" s="119"/>
      <x:c r="Q563" s="116"/>
    </x:row>
    <x:row r="564" ht="20" customHeight="1">
      <x:c r="A564" s="83" t="str">
        <x:v>HAYS-0563</x:v>
      </x:c>
      <x:c r="B564" s="87" t="str">
        <x:v>Paspalum distichum</x:v>
      </x:c>
      <x:c r="C564" s="87" t="str">
        <x:v>Paspalum distichum</x:v>
      </x:c>
      <x:c r="D564" s="84" t="str">
        <x:v>Poaceae</x:v>
      </x:c>
      <x:c r="E564" s="84" t="str">
        <x:v>Paspalum</x:v>
      </x:c>
      <x:c r="F564" s="84" t="str">
        <x:v>Knotgrass</x:v>
      </x:c>
      <x:c r="G564" s="119"/>
      <x:c r="H564" s="119"/>
      <x:c r="I564" s="119"/>
      <x:c r="J564" s="119"/>
      <x:c r="K564" s="119"/>
      <x:c r="L564" s="119"/>
      <x:c r="M564" s="119"/>
      <x:c r="N564" s="115" t="str">
        <x:v>Not Started</x:v>
      </x:c>
      <x:c r="O564" s="115"/>
      <x:c r="P564" s="119"/>
      <x:c r="Q564" s="116"/>
    </x:row>
    <x:row r="565" ht="20" customHeight="1">
      <x:c r="A565" s="83" t="str">
        <x:v>HAYS-0564</x:v>
      </x:c>
      <x:c r="B565" s="87" t="str">
        <x:v>Paspalum floridanum</x:v>
      </x:c>
      <x:c r="C565" s="87" t="str">
        <x:v>Paspalum floridanum</x:v>
      </x:c>
      <x:c r="D565" s="84" t="str">
        <x:v>Poaceae</x:v>
      </x:c>
      <x:c r="E565" s="84" t="str">
        <x:v>Paspalum</x:v>
      </x:c>
      <x:c r="F565" s="84" t="str">
        <x:v>Florida Paspalum</x:v>
      </x:c>
      <x:c r="G565" s="119"/>
      <x:c r="H565" s="119"/>
      <x:c r="I565" s="119"/>
      <x:c r="J565" s="119"/>
      <x:c r="K565" s="119"/>
      <x:c r="L565" s="119"/>
      <x:c r="M565" s="119"/>
      <x:c r="N565" s="115" t="str">
        <x:v>Not Started</x:v>
      </x:c>
      <x:c r="O565" s="115"/>
      <x:c r="P565" s="119"/>
      <x:c r="Q565" s="116"/>
    </x:row>
    <x:row r="566" ht="20" customHeight="1">
      <x:c r="A566" s="83" t="str">
        <x:v>HAYS-0565</x:v>
      </x:c>
      <x:c r="B566" s="87" t="str">
        <x:v>Paspalum pubiflorum</x:v>
      </x:c>
      <x:c r="C566" s="87" t="str">
        <x:v>Paspalum pubiflorum</x:v>
      </x:c>
      <x:c r="D566" s="84" t="str">
        <x:v>Poaceae</x:v>
      </x:c>
      <x:c r="E566" s="84" t="str">
        <x:v>Paspalum</x:v>
      </x:c>
      <x:c r="F566" s="84" t="str">
        <x:v>Hairyseed Paspalum</x:v>
      </x:c>
      <x:c r="G566" s="119"/>
      <x:c r="H566" s="119"/>
      <x:c r="I566" s="119"/>
      <x:c r="J566" s="119"/>
      <x:c r="K566" s="119"/>
      <x:c r="L566" s="119"/>
      <x:c r="M566" s="119"/>
      <x:c r="N566" s="115" t="str">
        <x:v>Not Started</x:v>
      </x:c>
      <x:c r="O566" s="115"/>
      <x:c r="P566" s="119"/>
      <x:c r="Q566" s="116"/>
    </x:row>
    <x:row r="567" ht="20" customHeight="1">
      <x:c r="A567" s="83" t="str">
        <x:v>HAYS-0566</x:v>
      </x:c>
      <x:c r="B567" s="87" t="str">
        <x:v>Paspalum setaceum</x:v>
      </x:c>
      <x:c r="C567" s="87" t="str">
        <x:v>Paspalum setaceum</x:v>
      </x:c>
      <x:c r="D567" s="84" t="str">
        <x:v>Poaceae</x:v>
      </x:c>
      <x:c r="E567" s="84" t="str">
        <x:v>Paspalum</x:v>
      </x:c>
      <x:c r="F567" s="84" t="str">
        <x:v>Thin Paspalum</x:v>
      </x:c>
      <x:c r="G567" s="119"/>
      <x:c r="H567" s="119"/>
      <x:c r="I567" s="119"/>
      <x:c r="J567" s="119"/>
      <x:c r="K567" s="119"/>
      <x:c r="L567" s="119"/>
      <x:c r="M567" s="119"/>
      <x:c r="N567" s="115" t="str">
        <x:v>Not Started</x:v>
      </x:c>
      <x:c r="O567" s="115"/>
      <x:c r="P567" s="119"/>
      <x:c r="Q567" s="116"/>
    </x:row>
    <x:row r="568" ht="20" customHeight="1">
      <x:c r="A568" s="83" t="str">
        <x:v>HAYS-0567</x:v>
      </x:c>
      <x:c r="B568" s="87" t="str">
        <x:v>Passiflora affinis</x:v>
      </x:c>
      <x:c r="C568" s="87" t="str">
        <x:v>Passiflora affinis</x:v>
      </x:c>
      <x:c r="D568" s="84" t="str">
        <x:v>Passifloraceae</x:v>
      </x:c>
      <x:c r="E568" s="84" t="str">
        <x:v>Passiflora</x:v>
      </x:c>
      <x:c r="F568" s="84" t="str">
        <x:v>Yellow Passionflower, Bracted Passionflower</x:v>
      </x:c>
      <x:c r="G568" s="119"/>
      <x:c r="H568" s="119"/>
      <x:c r="I568" s="119"/>
      <x:c r="J568" s="119"/>
      <x:c r="K568" s="119"/>
      <x:c r="L568" s="119"/>
      <x:c r="M568" s="119"/>
      <x:c r="N568" s="115" t="str">
        <x:v>Not Started</x:v>
      </x:c>
      <x:c r="O568" s="115"/>
      <x:c r="P568" s="119"/>
      <x:c r="Q568" s="116"/>
    </x:row>
    <x:row r="569" ht="20" customHeight="1">
      <x:c r="A569" s="83" t="str">
        <x:v>HAYS-0568</x:v>
      </x:c>
      <x:c r="B569" s="87" t="str">
        <x:v>Passiflora foetida</x:v>
      </x:c>
      <x:c r="C569" s="87" t="str">
        <x:v>Passiflora foetida</x:v>
      </x:c>
      <x:c r="D569" s="84" t="str">
        <x:v>Passifloraceae</x:v>
      </x:c>
      <x:c r="E569" s="84" t="str">
        <x:v>Passiflora</x:v>
      </x:c>
      <x:c r="F569" s="84" t="str">
        <x:v>Corona De Cristo, Fetid Passionflower</x:v>
      </x:c>
      <x:c r="G569" s="119"/>
      <x:c r="H569" s="119"/>
      <x:c r="I569" s="119"/>
      <x:c r="J569" s="119"/>
      <x:c r="K569" s="119"/>
      <x:c r="L569" s="119"/>
      <x:c r="M569" s="119"/>
      <x:c r="N569" s="115" t="str">
        <x:v>Not Started</x:v>
      </x:c>
      <x:c r="O569" s="115"/>
      <x:c r="P569" s="119"/>
      <x:c r="Q569" s="116"/>
    </x:row>
    <x:row r="570" ht="20" customHeight="1">
      <x:c r="A570" s="83" t="str">
        <x:v>HAYS-0569</x:v>
      </x:c>
      <x:c r="B570" s="87" t="str">
        <x:v>Passiflora lutea</x:v>
      </x:c>
      <x:c r="C570" s="87" t="str">
        <x:v>Passiflora lutea</x:v>
      </x:c>
      <x:c r="D570" s="84" t="str">
        <x:v>Passifloraceae</x:v>
      </x:c>
      <x:c r="E570" s="84" t="str">
        <x:v>Passiflora</x:v>
      </x:c>
      <x:c r="F570" s="84" t="str">
        <x:v>Yellow Passionflower, Yellow Passion Vine, Yellow Passion-flower</x:v>
      </x:c>
      <x:c r="G570" s="119"/>
      <x:c r="H570" s="119"/>
      <x:c r="I570" s="119"/>
      <x:c r="J570" s="119"/>
      <x:c r="K570" s="119"/>
      <x:c r="L570" s="119"/>
      <x:c r="M570" s="119"/>
      <x:c r="N570" s="115" t="str">
        <x:v>Not Started</x:v>
      </x:c>
      <x:c r="O570" s="115"/>
      <x:c r="P570" s="119"/>
      <x:c r="Q570" s="116"/>
    </x:row>
    <x:row r="571" ht="20" customHeight="1">
      <x:c r="A571" s="83" t="str">
        <x:v>HAYS-0570</x:v>
      </x:c>
      <x:c r="B571" s="87" t="str">
        <x:v>Passiflora tenuiloba</x:v>
      </x:c>
      <x:c r="C571" s="87" t="str">
        <x:v>Passiflora tenuiloba</x:v>
      </x:c>
      <x:c r="D571" s="84" t="str">
        <x:v>Passifloraceae</x:v>
      </x:c>
      <x:c r="E571" s="84" t="str">
        <x:v>Passiflora</x:v>
      </x:c>
      <x:c r="F571" s="84" t="str">
        <x:v>Slenderlobe Passionflower, Birdwing Passionflower</x:v>
      </x:c>
      <x:c r="G571" s="119"/>
      <x:c r="H571" s="119"/>
      <x:c r="I571" s="119"/>
      <x:c r="J571" s="119"/>
      <x:c r="K571" s="119"/>
      <x:c r="L571" s="119"/>
      <x:c r="M571" s="119"/>
      <x:c r="N571" s="115" t="str">
        <x:v>Not Started</x:v>
      </x:c>
      <x:c r="O571" s="115"/>
      <x:c r="P571" s="119"/>
      <x:c r="Q571" s="116"/>
    </x:row>
    <x:row r="572" ht="20" customHeight="1">
      <x:c r="A572" s="83" t="str">
        <x:v>HAYS-0571</x:v>
      </x:c>
      <x:c r="B572" s="87" t="str">
        <x:v>Pavonia lasiopetala</x:v>
      </x:c>
      <x:c r="C572" s="87" t="str">
        <x:v>Pavonia lasiopetala</x:v>
      </x:c>
      <x:c r="D572" s="84" t="str">
        <x:v>Malvaceae</x:v>
      </x:c>
      <x:c r="E572" s="84" t="str">
        <x:v>Pavonia</x:v>
      </x:c>
      <x:c r="F572" s="84" t="str">
        <x:v>Rock Rose, Rose Pavonia, Rose Mallow, Pavonia</x:v>
      </x:c>
      <x:c r="G572" s="119"/>
      <x:c r="H572" s="119"/>
      <x:c r="I572" s="119"/>
      <x:c r="J572" s="119"/>
      <x:c r="K572" s="119"/>
      <x:c r="L572" s="119"/>
      <x:c r="M572" s="119"/>
      <x:c r="N572" s="115" t="str">
        <x:v>Not Started</x:v>
      </x:c>
      <x:c r="O572" s="115"/>
      <x:c r="P572" s="119"/>
      <x:c r="Q572" s="116"/>
    </x:row>
    <x:row r="573" ht="20" customHeight="1">
      <x:c r="A573" s="83" t="str">
        <x:v>HAYS-0572</x:v>
      </x:c>
      <x:c r="B573" s="87" t="str">
        <x:v>Pectis angustifolia var. fastigiata</x:v>
      </x:c>
      <x:c r="C573" s="87" t="str">
        <x:v>Pectis angustifolia var. fastigiata</x:v>
      </x:c>
      <x:c r="D573" s="84" t="str">
        <x:v>Asteraceae</x:v>
      </x:c>
      <x:c r="E573" s="84" t="str">
        <x:v>Pectis</x:v>
      </x:c>
      <x:c r="F573" s="84" t="str">
        <x:v>Lemonscent</x:v>
      </x:c>
      <x:c r="G573" s="119"/>
      <x:c r="H573" s="119"/>
      <x:c r="I573" s="119"/>
      <x:c r="J573" s="119"/>
      <x:c r="K573" s="119"/>
      <x:c r="L573" s="119"/>
      <x:c r="M573" s="119"/>
      <x:c r="N573" s="115" t="str">
        <x:v>Not Started</x:v>
      </x:c>
      <x:c r="O573" s="115"/>
      <x:c r="P573" s="119"/>
      <x:c r="Q573" s="116"/>
    </x:row>
    <x:row r="574" ht="20" customHeight="1">
      <x:c r="A574" s="83" t="str">
        <x:v>HAYS-0573</x:v>
      </x:c>
      <x:c r="B574" s="87" t="str">
        <x:v>Pediomelum cuspidatum</x:v>
      </x:c>
      <x:c r="C574" s="87" t="str">
        <x:v>Pediomelum cuspidatum</x:v>
      </x:c>
      <x:c r="D574" s="84" t="str">
        <x:v>Fabaceae</x:v>
      </x:c>
      <x:c r="E574" s="84" t="str">
        <x:v>Pediomelum</x:v>
      </x:c>
      <x:c r="F574" s="84" t="str">
        <x:v>Indian-turnip, Largebract Indian Breadroot, Tall Scurfy Pea, Tall-bread Scurf-pea</x:v>
      </x:c>
      <x:c r="G574" s="119"/>
      <x:c r="H574" s="119"/>
      <x:c r="I574" s="119"/>
      <x:c r="J574" s="119"/>
      <x:c r="K574" s="119"/>
      <x:c r="L574" s="119"/>
      <x:c r="M574" s="119"/>
      <x:c r="N574" s="115" t="str">
        <x:v>Not Started</x:v>
      </x:c>
      <x:c r="O574" s="115"/>
      <x:c r="P574" s="119"/>
      <x:c r="Q574" s="116"/>
    </x:row>
    <x:row r="575" ht="20" customHeight="1">
      <x:c r="A575" s="83" t="str">
        <x:v>HAYS-0574</x:v>
      </x:c>
      <x:c r="B575" s="87" t="str">
        <x:v>Pediomelum cyphocalyx</x:v>
      </x:c>
      <x:c r="C575" s="87" t="str">
        <x:v>Pediomelum cyphocalyx</x:v>
      </x:c>
      <x:c r="D575" s="84" t="str">
        <x:v>Fabaceae</x:v>
      </x:c>
      <x:c r="E575" s="84" t="str">
        <x:v>Pediomelum</x:v>
      </x:c>
      <x:c r="F575" s="84" t="str">
        <x:v>Turniproot, Wand Psoralea, Turnip-root Scurf-pea</x:v>
      </x:c>
      <x:c r="G575" s="119"/>
      <x:c r="H575" s="119"/>
      <x:c r="I575" s="119"/>
      <x:c r="J575" s="119"/>
      <x:c r="K575" s="119"/>
      <x:c r="L575" s="119"/>
      <x:c r="M575" s="119"/>
      <x:c r="N575" s="115" t="str">
        <x:v>Not Started</x:v>
      </x:c>
      <x:c r="O575" s="115"/>
      <x:c r="P575" s="119"/>
      <x:c r="Q575" s="116"/>
    </x:row>
    <x:row r="576" ht="20" customHeight="1">
      <x:c r="A576" s="83" t="str">
        <x:v>HAYS-0575</x:v>
      </x:c>
      <x:c r="B576" s="87" t="str">
        <x:v>Pediomelum latestipulatum</x:v>
      </x:c>
      <x:c r="C576" s="87" t="str">
        <x:v>Pediomelum latestipulatum</x:v>
      </x:c>
      <x:c r="D576" s="84" t="str">
        <x:v>Fabaceae</x:v>
      </x:c>
      <x:c r="E576" s="84" t="str">
        <x:v>Pediomelum</x:v>
      </x:c>
      <x:c r="F576" s="84" t="str">
        <x:v>Texas Plains Indian Breadroot, Scurfpea, Scurf-pea</x:v>
      </x:c>
      <x:c r="G576" s="119"/>
      <x:c r="H576" s="119"/>
      <x:c r="I576" s="119"/>
      <x:c r="J576" s="119"/>
      <x:c r="K576" s="119"/>
      <x:c r="L576" s="119"/>
      <x:c r="M576" s="119"/>
      <x:c r="N576" s="115" t="str">
        <x:v>Not Started</x:v>
      </x:c>
      <x:c r="O576" s="115"/>
      <x:c r="P576" s="119"/>
      <x:c r="Q576" s="116"/>
    </x:row>
    <x:row r="577" ht="20" customHeight="1">
      <x:c r="A577" s="83" t="str">
        <x:v>HAYS-0576</x:v>
      </x:c>
      <x:c r="B577" s="87" t="str">
        <x:v>Pediomelum linearifolium</x:v>
      </x:c>
      <x:c r="C577" s="87" t="str">
        <x:v>Pediomelum linearifolium</x:v>
      </x:c>
      <x:c r="D577" s="84" t="str">
        <x:v>Fabaceae</x:v>
      </x:c>
      <x:c r="E577" s="84" t="str">
        <x:v>Pediomelum</x:v>
      </x:c>
      <x:c r="F577" s="84" t="str">
        <x:v>Narrowleaf Indian Breadroot, Narrow-leaf Scurf-pea</x:v>
      </x:c>
      <x:c r="G577" s="119"/>
      <x:c r="H577" s="119"/>
      <x:c r="I577" s="119"/>
      <x:c r="J577" s="119"/>
      <x:c r="K577" s="119"/>
      <x:c r="L577" s="119"/>
      <x:c r="M577" s="119"/>
      <x:c r="N577" s="115" t="str">
        <x:v>Not Started</x:v>
      </x:c>
      <x:c r="O577" s="115"/>
      <x:c r="P577" s="119"/>
      <x:c r="Q577" s="116"/>
    </x:row>
    <x:row r="578" ht="20" customHeight="1">
      <x:c r="A578" s="83" t="str">
        <x:v>HAYS-0577</x:v>
      </x:c>
      <x:c r="B578" s="87" t="str">
        <x:v>Pediomelum rhombifolium</x:v>
      </x:c>
      <x:c r="C578" s="87" t="str">
        <x:v>Pediomelum rhombifolium</x:v>
      </x:c>
      <x:c r="D578" s="84" t="str">
        <x:v>Fabaceae</x:v>
      </x:c>
      <x:c r="E578" s="84" t="str">
        <x:v>Pediomelum</x:v>
      </x:c>
      <x:c r="F578" s="84" t="str">
        <x:v>Gulf Indian Breadroot, Brown-flowered Psoralea, Round-leaf Scurf-pea</x:v>
      </x:c>
      <x:c r="G578" s="119"/>
      <x:c r="H578" s="119"/>
      <x:c r="I578" s="119"/>
      <x:c r="J578" s="119"/>
      <x:c r="K578" s="119"/>
      <x:c r="L578" s="119"/>
      <x:c r="M578" s="119"/>
      <x:c r="N578" s="115" t="str">
        <x:v>Not Started</x:v>
      </x:c>
      <x:c r="O578" s="115"/>
      <x:c r="P578" s="119"/>
      <x:c r="Q578" s="116"/>
    </x:row>
    <x:row r="579" ht="20" customHeight="1">
      <x:c r="A579" s="83" t="str">
        <x:v>HAYS-0578</x:v>
      </x:c>
      <x:c r="B579" s="87" t="str">
        <x:v>Pellaea atropurpurea</x:v>
      </x:c>
      <x:c r="C579" s="87" t="str">
        <x:v>Hemionitis atropurpurea</x:v>
      </x:c>
      <x:c r="D579" s="84" t="str">
        <x:v>Pteridaceae</x:v>
      </x:c>
      <x:c r="E579" s="84" t="str">
        <x:v>Hemionitis</x:v>
      </x:c>
      <x:c r="F579" s="84" t="str">
        <x:v>Purple Cliffbrake</x:v>
      </x:c>
      <x:c r="G579" s="119"/>
      <x:c r="H579" s="119"/>
      <x:c r="I579" s="119"/>
      <x:c r="J579" s="119"/>
      <x:c r="K579" s="119"/>
      <x:c r="L579" s="119"/>
      <x:c r="M579" s="119"/>
      <x:c r="N579" s="115" t="str">
        <x:v>Not Started</x:v>
      </x:c>
      <x:c r="O579" s="115"/>
      <x:c r="P579" s="119"/>
      <x:c r="Q579" s="116"/>
    </x:row>
    <x:row r="580" ht="20" customHeight="1">
      <x:c r="A580" s="83" t="str">
        <x:v>HAYS-0579</x:v>
      </x:c>
      <x:c r="B580" s="87" t="str">
        <x:v>Pellaea ovata</x:v>
      </x:c>
      <x:c r="C580" s="87" t="str">
        <x:v>Hemionitis ovata</x:v>
      </x:c>
      <x:c r="D580" s="84" t="str">
        <x:v>Pteridaceae</x:v>
      </x:c>
      <x:c r="E580" s="84" t="str">
        <x:v>Hemionitis</x:v>
      </x:c>
      <x:c r="F580" s="84" t="str">
        <x:v>Ovateleaf Cliffbrake, Ovate-leaf Cliffbrake</x:v>
      </x:c>
      <x:c r="G580" s="119"/>
      <x:c r="H580" s="119"/>
      <x:c r="I580" s="119"/>
      <x:c r="J580" s="119"/>
      <x:c r="K580" s="119"/>
      <x:c r="L580" s="119"/>
      <x:c r="M580" s="119"/>
      <x:c r="N580" s="115" t="str">
        <x:v>Not Started</x:v>
      </x:c>
      <x:c r="O580" s="115"/>
      <x:c r="P580" s="119"/>
      <x:c r="Q580" s="116"/>
    </x:row>
    <x:row r="581" ht="20" customHeight="1">
      <x:c r="A581" s="83" t="str">
        <x:v>HAYS-0580</x:v>
      </x:c>
      <x:c r="B581" s="87" t="str">
        <x:v>Pellaea wrightiana</x:v>
      </x:c>
      <x:c r="C581" s="87" t="str">
        <x:v>Hemionitis wrightiana</x:v>
      </x:c>
      <x:c r="D581" s="84" t="str">
        <x:v>Pteridaceae</x:v>
      </x:c>
      <x:c r="E581" s="84" t="str">
        <x:v>Hemionitis</x:v>
      </x:c>
      <x:c r="F581" s="84" t="str">
        <x:v>Wright's Cliffbrake Fern, Wright's Cliffbrake</x:v>
      </x:c>
      <x:c r="G581" s="119"/>
      <x:c r="H581" s="119"/>
      <x:c r="I581" s="119"/>
      <x:c r="J581" s="119"/>
      <x:c r="K581" s="119"/>
      <x:c r="L581" s="119"/>
      <x:c r="M581" s="119"/>
      <x:c r="N581" s="115" t="str">
        <x:v>Not Started</x:v>
      </x:c>
      <x:c r="O581" s="115"/>
      <x:c r="P581" s="119"/>
      <x:c r="Q581" s="116"/>
    </x:row>
    <x:row r="582" ht="20" customHeight="1">
      <x:c r="A582" s="83" t="str">
        <x:v>HAYS-0581</x:v>
      </x:c>
      <x:c r="B582" s="87" t="str">
        <x:v>Penstemon baccharifolius</x:v>
      </x:c>
      <x:c r="C582" s="87" t="str">
        <x:v>Penstemon baccharifolius</x:v>
      </x:c>
      <x:c r="D582" s="84" t="str">
        <x:v>Plantaginaceae</x:v>
      </x:c>
      <x:c r="E582" s="84" t="str">
        <x:v>Penstemon</x:v>
      </x:c>
      <x:c r="F582" s="84" t="str">
        <x:v>Rock Penstemon, Rock Beardtongue, Cut-leaf Penstemon, Cut-leaf Beardtongue, Baccharis-leaf Penstemon, Baccharis-leaf Beardtongue</x:v>
      </x:c>
      <x:c r="G582" s="119"/>
      <x:c r="H582" s="119"/>
      <x:c r="I582" s="119"/>
      <x:c r="J582" s="119"/>
      <x:c r="K582" s="119"/>
      <x:c r="L582" s="119"/>
      <x:c r="M582" s="119"/>
      <x:c r="N582" s="115" t="str">
        <x:v>Not Started</x:v>
      </x:c>
      <x:c r="O582" s="115"/>
      <x:c r="P582" s="119"/>
      <x:c r="Q582" s="116"/>
    </x:row>
    <x:row r="583" ht="20" customHeight="1">
      <x:c r="A583" s="83" t="str">
        <x:v>HAYS-0582</x:v>
      </x:c>
      <x:c r="B583" s="87" t="str">
        <x:v>Penstemon cobaea</x:v>
      </x:c>
      <x:c r="C583" s="87" t="str">
        <x:v>Penstemon cobaea</x:v>
      </x:c>
      <x:c r="D583" s="84" t="str">
        <x:v>Plantaginaceae</x:v>
      </x:c>
      <x:c r="E583" s="84" t="str">
        <x:v>Penstemon</x:v>
      </x:c>
      <x:c r="F583" s="84" t="str">
        <x:v>Prairie Penstemon, Prairie Beardtongue, Foxglove Penstemon, Foxglove Beardtongue, False Foxglove, Large-flowered Penstemon, Large-flowered Beardtongue, Cobaea Penstemon, Cobaea Beardtongue, Wild Foxglove</x:v>
      </x:c>
      <x:c r="G583" s="119"/>
      <x:c r="H583" s="119"/>
      <x:c r="I583" s="119"/>
      <x:c r="J583" s="119"/>
      <x:c r="K583" s="119"/>
      <x:c r="L583" s="119"/>
      <x:c r="M583" s="119"/>
      <x:c r="N583" s="115" t="str">
        <x:v>Not Started</x:v>
      </x:c>
      <x:c r="O583" s="115"/>
      <x:c r="P583" s="119"/>
      <x:c r="Q583" s="116"/>
    </x:row>
    <x:row r="584" ht="20" customHeight="1">
      <x:c r="A584" s="83" t="str">
        <x:v>HAYS-0583</x:v>
      </x:c>
      <x:c r="B584" s="87" t="str">
        <x:v>Penstemon triflorus</x:v>
      </x:c>
      <x:c r="C584" s="87" t="str">
        <x:v>Penstemon triflorus</x:v>
      </x:c>
      <x:c r="D584" s="84" t="str">
        <x:v>Plantaginaceae</x:v>
      </x:c>
      <x:c r="E584" s="84" t="str">
        <x:v>Penstemon</x:v>
      </x:c>
      <x:c r="F584" s="84" t="str">
        <x:v>Hill Country Penstemon, Hill Country Beardtongue, Scarlet Penstemon, Scarlet Beardtongue, Heller's Penstemon, Heller's Beardtongue</x:v>
      </x:c>
      <x:c r="G584" s="119"/>
      <x:c r="H584" s="119"/>
      <x:c r="I584" s="119"/>
      <x:c r="J584" s="119"/>
      <x:c r="K584" s="119"/>
      <x:c r="L584" s="119"/>
      <x:c r="M584" s="119"/>
      <x:c r="N584" s="115" t="str">
        <x:v>Not Started</x:v>
      </x:c>
      <x:c r="O584" s="115"/>
      <x:c r="P584" s="119"/>
      <x:c r="Q584" s="116"/>
    </x:row>
    <x:row r="585" ht="20" customHeight="1">
      <x:c r="A585" s="83" t="str">
        <x:v>HAYS-0584</x:v>
      </x:c>
      <x:c r="B585" s="87" t="str">
        <x:v>Perityle lindheimeri</x:v>
      </x:c>
      <x:c r="C585" s="87" t="str">
        <x:v>Laphamia lindheimeri</x:v>
      </x:c>
      <x:c r="D585" s="84" t="str">
        <x:v>Asteraceae</x:v>
      </x:c>
      <x:c r="E585" s="84" t="str">
        <x:v>Laphamia</x:v>
      </x:c>
      <x:c r="F585" s="84" t="str">
        <x:v>Rocky Daisy, Lindheimer's rock daisy</x:v>
      </x:c>
      <x:c r="G585" s="119"/>
      <x:c r="H585" s="119"/>
      <x:c r="I585" s="119"/>
      <x:c r="J585" s="119"/>
      <x:c r="K585" s="119"/>
      <x:c r="L585" s="119"/>
      <x:c r="M585" s="119"/>
      <x:c r="N585" s="115" t="str">
        <x:v>Not Started</x:v>
      </x:c>
      <x:c r="O585" s="115"/>
      <x:c r="P585" s="119"/>
      <x:c r="Q585" s="116"/>
    </x:row>
    <x:row r="586" ht="20" customHeight="1">
      <x:c r="A586" s="83" t="str">
        <x:v>HAYS-0585</x:v>
      </x:c>
      <x:c r="B586" s="87" t="str">
        <x:v>Persicaria pensylvanica</x:v>
      </x:c>
      <x:c r="C586" s="87" t="str">
        <x:v>Persicaria pensylvanica</x:v>
      </x:c>
      <x:c r="D586" s="84" t="str">
        <x:v>Polygonaceae</x:v>
      </x:c>
      <x:c r="E586" s="84" t="str">
        <x:v>Persicaria</x:v>
      </x:c>
      <x:c r="F586" s="84" t="str">
        <x:v>Pennsylvania Smartweed, Pink Smartweed</x:v>
      </x:c>
      <x:c r="G586" s="119"/>
      <x:c r="H586" s="119"/>
      <x:c r="I586" s="119"/>
      <x:c r="J586" s="119"/>
      <x:c r="K586" s="119"/>
      <x:c r="L586" s="119"/>
      <x:c r="M586" s="119"/>
      <x:c r="N586" s="115" t="str">
        <x:v>Not Started</x:v>
      </x:c>
      <x:c r="O586" s="115"/>
      <x:c r="P586" s="119"/>
      <x:c r="Q586" s="116"/>
    </x:row>
    <x:row r="587" ht="20" customHeight="1">
      <x:c r="A587" s="83" t="str">
        <x:v>HAYS-0586</x:v>
      </x:c>
      <x:c r="B587" s="87" t="str">
        <x:v>Phacelia congesta</x:v>
      </x:c>
      <x:c r="C587" s="87" t="str">
        <x:v>Phacelia congesta</x:v>
      </x:c>
      <x:c r="D587" s="84" t="str">
        <x:v>Boraginaceae</x:v>
      </x:c>
      <x:c r="E587" s="84" t="str">
        <x:v>Phacelia</x:v>
      </x:c>
      <x:c r="F587" s="84" t="str">
        <x:v>Caterpillars, Blue Curls, Fiddleneck</x:v>
      </x:c>
      <x:c r="G587" s="119"/>
      <x:c r="H587" s="119"/>
      <x:c r="I587" s="119"/>
      <x:c r="J587" s="119"/>
      <x:c r="K587" s="119"/>
      <x:c r="L587" s="119"/>
      <x:c r="M587" s="119"/>
      <x:c r="N587" s="115" t="str">
        <x:v>Not Started</x:v>
      </x:c>
      <x:c r="O587" s="115"/>
      <x:c r="P587" s="119"/>
      <x:c r="Q587" s="116"/>
    </x:row>
    <x:row r="588" ht="20" customHeight="1">
      <x:c r="A588" s="83" t="str">
        <x:v>HAYS-0587</x:v>
      </x:c>
      <x:c r="B588" s="87" t="str">
        <x:v>Phacelia patuliflora</x:v>
      </x:c>
      <x:c r="C588" s="87" t="str">
        <x:v>Phacelia patuliflora</x:v>
      </x:c>
      <x:c r="D588" s="84" t="str">
        <x:v>Boraginaceae</x:v>
      </x:c>
      <x:c r="E588" s="84" t="str">
        <x:v>Phacelia</x:v>
      </x:c>
      <x:c r="F588" s="84" t="str">
        <x:v>Sand Phacelia, Sand Scorpionweed, Blue Phacelia</x:v>
      </x:c>
      <x:c r="G588" s="119"/>
      <x:c r="H588" s="119"/>
      <x:c r="I588" s="119"/>
      <x:c r="J588" s="119"/>
      <x:c r="K588" s="119"/>
      <x:c r="L588" s="119"/>
      <x:c r="M588" s="119"/>
      <x:c r="N588" s="115" t="str">
        <x:v>Not Started</x:v>
      </x:c>
      <x:c r="O588" s="115"/>
      <x:c r="P588" s="119"/>
      <x:c r="Q588" s="116"/>
    </x:row>
    <x:row r="589" ht="20" customHeight="1">
      <x:c r="A589" s="83" t="str">
        <x:v>HAYS-0588</x:v>
      </x:c>
      <x:c r="B589" s="87" t="str">
        <x:v>Phacelia strictiflora</x:v>
      </x:c>
      <x:c r="C589" s="87" t="str">
        <x:v>Phacelia strictiflora</x:v>
      </x:c>
      <x:c r="D589" s="84" t="str">
        <x:v>Boraginaceae</x:v>
      </x:c>
      <x:c r="E589" s="84" t="str">
        <x:v>Phacelia</x:v>
      </x:c>
      <x:c r="F589" s="84" t="str">
        <x:v>Prairie Phacelia</x:v>
      </x:c>
      <x:c r="G589" s="119"/>
      <x:c r="H589" s="119"/>
      <x:c r="I589" s="119"/>
      <x:c r="J589" s="119"/>
      <x:c r="K589" s="119"/>
      <x:c r="L589" s="119"/>
      <x:c r="M589" s="119"/>
      <x:c r="N589" s="115" t="str">
        <x:v>Not Started</x:v>
      </x:c>
      <x:c r="O589" s="115"/>
      <x:c r="P589" s="119"/>
      <x:c r="Q589" s="116"/>
    </x:row>
    <x:row r="590" ht="20" customHeight="1">
      <x:c r="A590" s="83" t="str">
        <x:v>HAYS-0589</x:v>
      </x:c>
      <x:c r="B590" s="87" t="str">
        <x:v>Phalaris caroliniana</x:v>
      </x:c>
      <x:c r="C590" s="87" t="str">
        <x:v>Phalaris caroliniana</x:v>
      </x:c>
      <x:c r="D590" s="84" t="str">
        <x:v>Poaceae</x:v>
      </x:c>
      <x:c r="E590" s="84" t="str">
        <x:v>Phalaris</x:v>
      </x:c>
      <x:c r="F590" s="84" t="str">
        <x:v>Carolina Canarygrass, Maygrass</x:v>
      </x:c>
      <x:c r="G590" s="119"/>
      <x:c r="H590" s="119"/>
      <x:c r="I590" s="119"/>
      <x:c r="J590" s="119"/>
      <x:c r="K590" s="119"/>
      <x:c r="L590" s="119"/>
      <x:c r="M590" s="119"/>
      <x:c r="N590" s="115" t="str">
        <x:v>Not Started</x:v>
      </x:c>
      <x:c r="O590" s="115"/>
      <x:c r="P590" s="119"/>
      <x:c r="Q590" s="116"/>
    </x:row>
    <x:row r="591" ht="20" customHeight="1">
      <x:c r="A591" s="83" t="str">
        <x:v>HAYS-0590</x:v>
      </x:c>
      <x:c r="B591" s="87" t="str">
        <x:v>Phemeranthus aurantiacus</x:v>
      </x:c>
      <x:c r="C591" s="87" t="str">
        <x:v>Talinum aurantiacum</x:v>
      </x:c>
      <x:c r="D591" s="84" t="str">
        <x:v>Talinaceae</x:v>
      </x:c>
      <x:c r="E591" s="84" t="str">
        <x:v>Talinum</x:v>
      </x:c>
      <x:c r="F591" s="84" t="str">
        <x:v>Orange Flameflower, Flameflower, Fameflower, Talinum</x:v>
      </x:c>
      <x:c r="G591" s="119"/>
      <x:c r="H591" s="119"/>
      <x:c r="I591" s="119"/>
      <x:c r="J591" s="119"/>
      <x:c r="K591" s="119"/>
      <x:c r="L591" s="119"/>
      <x:c r="M591" s="119"/>
      <x:c r="N591" s="115" t="str">
        <x:v>Not Started</x:v>
      </x:c>
      <x:c r="O591" s="115"/>
      <x:c r="P591" s="119"/>
      <x:c r="Q591" s="116"/>
    </x:row>
    <x:row r="592" ht="20" customHeight="1">
      <x:c r="A592" s="83" t="str">
        <x:v>HAYS-0591</x:v>
      </x:c>
      <x:c r="B592" s="87" t="str">
        <x:v>Philadelphus ernestii</x:v>
      </x:c>
      <x:c r="C592" s="87" t="str">
        <x:v>Philadelphus texensis var. ernestii</x:v>
      </x:c>
      <x:c r="D592" s="84" t="str">
        <x:v>Hydrangeaceae</x:v>
      </x:c>
      <x:c r="E592" s="84" t="str">
        <x:v>Philadelphus</x:v>
      </x:c>
      <x:c r="F592" s="84" t="str">
        <x:v>Canyon Mock Orange, Canyon Mock-orange, Mock-orange</x:v>
      </x:c>
      <x:c r="G592" s="119"/>
      <x:c r="H592" s="119"/>
      <x:c r="I592" s="119"/>
      <x:c r="J592" s="119"/>
      <x:c r="K592" s="119"/>
      <x:c r="L592" s="119"/>
      <x:c r="M592" s="119"/>
      <x:c r="N592" s="115" t="str">
        <x:v>Not Started</x:v>
      </x:c>
      <x:c r="O592" s="115"/>
      <x:c r="P592" s="119"/>
      <x:c r="Q592" s="116"/>
    </x:row>
    <x:row r="593" ht="20" customHeight="1">
      <x:c r="A593" s="83" t="str">
        <x:v>HAYS-0592</x:v>
      </x:c>
      <x:c r="B593" s="87" t="str">
        <x:v>Philadelphus texensis</x:v>
      </x:c>
      <x:c r="C593" s="87" t="str">
        <x:v>Philadelphus texensis</x:v>
      </x:c>
      <x:c r="D593" s="84" t="str">
        <x:v>Hydrangeaceae</x:v>
      </x:c>
      <x:c r="E593" s="84" t="str">
        <x:v>Philadelphus</x:v>
      </x:c>
      <x:c r="F593" s="84" t="str">
        <x:v>Texas Mock Orange</x:v>
      </x:c>
      <x:c r="G593" s="119"/>
      <x:c r="H593" s="119"/>
      <x:c r="I593" s="119"/>
      <x:c r="J593" s="119"/>
      <x:c r="K593" s="119"/>
      <x:c r="L593" s="119"/>
      <x:c r="M593" s="119"/>
      <x:c r="N593" s="115" t="str">
        <x:v>Not Started</x:v>
      </x:c>
      <x:c r="O593" s="115"/>
      <x:c r="P593" s="119"/>
      <x:c r="Q593" s="116"/>
    </x:row>
    <x:row r="594" ht="20" customHeight="1">
      <x:c r="A594" s="83" t="str">
        <x:v>HAYS-0593</x:v>
      </x:c>
      <x:c r="B594" s="87" t="str">
        <x:v>Phlox drummondii</x:v>
      </x:c>
      <x:c r="C594" s="87" t="str">
        <x:v>Phlox drummondii</x:v>
      </x:c>
      <x:c r="D594" s="84" t="str">
        <x:v>Polemoniaceae</x:v>
      </x:c>
      <x:c r="E594" s="84" t="str">
        <x:v>Phlox</x:v>
      </x:c>
      <x:c r="F594" s="84" t="str">
        <x:v>Annual Phlox, Drummond Phlox, Pride-of-Texas, Texas Pride</x:v>
      </x:c>
      <x:c r="G594" s="119"/>
      <x:c r="H594" s="119"/>
      <x:c r="I594" s="119"/>
      <x:c r="J594" s="119"/>
      <x:c r="K594" s="119"/>
      <x:c r="L594" s="119"/>
      <x:c r="M594" s="119"/>
      <x:c r="N594" s="115" t="str">
        <x:v>Not Started</x:v>
      </x:c>
      <x:c r="O594" s="115"/>
      <x:c r="P594" s="119"/>
      <x:c r="Q594" s="116"/>
    </x:row>
    <x:row r="595" ht="20" customHeight="1">
      <x:c r="A595" s="83" t="str">
        <x:v>HAYS-0594</x:v>
      </x:c>
      <x:c r="B595" s="87" t="str">
        <x:v>Phlox pilosa</x:v>
      </x:c>
      <x:c r="C595" s="87" t="str">
        <x:v>Phlox pilosa</x:v>
      </x:c>
      <x:c r="D595" s="84" t="str">
        <x:v>Polemoniaceae</x:v>
      </x:c>
      <x:c r="E595" s="84" t="str">
        <x:v>Phlox</x:v>
      </x:c>
      <x:c r="F595" s="84" t="str">
        <x:v>Downy Phlox, Prairie Phlox, Fragrant Phlox</x:v>
      </x:c>
      <x:c r="G595" s="119"/>
      <x:c r="H595" s="119"/>
      <x:c r="I595" s="119"/>
      <x:c r="J595" s="119"/>
      <x:c r="K595" s="119"/>
      <x:c r="L595" s="119"/>
      <x:c r="M595" s="119"/>
      <x:c r="N595" s="115" t="str">
        <x:v>Not Started</x:v>
      </x:c>
      <x:c r="O595" s="115"/>
      <x:c r="P595" s="119"/>
      <x:c r="Q595" s="116"/>
    </x:row>
    <x:row r="596" ht="20" customHeight="1">
      <x:c r="A596" s="83" t="str">
        <x:v>HAYS-0595</x:v>
      </x:c>
      <x:c r="B596" s="87" t="str">
        <x:v>Phlox pilosa ssp. riparia</x:v>
      </x:c>
      <x:c r="C596" s="87" t="str">
        <x:v>Phlox pilosa subsp. riparia</x:v>
      </x:c>
      <x:c r="D596" s="84" t="str">
        <x:v>Polemoniaceae</x:v>
      </x:c>
      <x:c r="E596" s="84" t="str">
        <x:v>Phlox</x:v>
      </x:c>
      <x:c r="F596" s="84" t="str">
        <x:v>Streamside Phlox</x:v>
      </x:c>
      <x:c r="G596" s="119"/>
      <x:c r="H596" s="119"/>
      <x:c r="I596" s="119"/>
      <x:c r="J596" s="119"/>
      <x:c r="K596" s="119"/>
      <x:c r="L596" s="119"/>
      <x:c r="M596" s="119"/>
      <x:c r="N596" s="115" t="str">
        <x:v>Not Started</x:v>
      </x:c>
      <x:c r="O596" s="115"/>
      <x:c r="P596" s="119"/>
      <x:c r="Q596" s="116"/>
    </x:row>
    <x:row r="597" ht="20" customHeight="1">
      <x:c r="A597" s="83" t="str">
        <x:v>HAYS-0596</x:v>
      </x:c>
      <x:c r="B597" s="87" t="str">
        <x:v>Phlox roemeriana</x:v>
      </x:c>
      <x:c r="C597" s="87" t="str">
        <x:v>Phlox roemeriana</x:v>
      </x:c>
      <x:c r="D597" s="84" t="str">
        <x:v>Polemoniaceae</x:v>
      </x:c>
      <x:c r="E597" s="84" t="str">
        <x:v>Phlox</x:v>
      </x:c>
      <x:c r="F597" s="84" t="str">
        <x:v>Goldeneye Phlox, Golden-eye Phlox</x:v>
      </x:c>
      <x:c r="G597" s="119"/>
      <x:c r="H597" s="119"/>
      <x:c r="I597" s="119"/>
      <x:c r="J597" s="119"/>
      <x:c r="K597" s="119"/>
      <x:c r="L597" s="119"/>
      <x:c r="M597" s="119"/>
      <x:c r="N597" s="115" t="str">
        <x:v>Not Started</x:v>
      </x:c>
      <x:c r="O597" s="115"/>
      <x:c r="P597" s="119"/>
      <x:c r="Q597" s="116"/>
    </x:row>
    <x:row r="598" ht="20" customHeight="1">
      <x:c r="A598" s="83" t="str">
        <x:v>HAYS-0597</x:v>
      </x:c>
      <x:c r="B598" s="87" t="str">
        <x:v>Phoradendron tomentosum</x:v>
      </x:c>
      <x:c r="C598" s="87" t="str">
        <x:v>Phoradendron leucarpum</x:v>
      </x:c>
      <x:c r="D598" s="84" t="str">
        <x:v>Santalaceae</x:v>
      </x:c>
      <x:c r="E598" s="84" t="str">
        <x:v>Phoradendron</x:v>
      </x:c>
      <x:c r="F598" s="84" t="str">
        <x:v>Christmas Mistletoe, Mistletoe, Injerto</x:v>
      </x:c>
      <x:c r="G598" s="119"/>
      <x:c r="H598" s="119"/>
      <x:c r="I598" s="119"/>
      <x:c r="J598" s="119"/>
      <x:c r="K598" s="119"/>
      <x:c r="L598" s="119"/>
      <x:c r="M598" s="119"/>
      <x:c r="N598" s="115" t="str">
        <x:v>Not Started</x:v>
      </x:c>
      <x:c r="O598" s="115"/>
      <x:c r="P598" s="119"/>
      <x:c r="Q598" s="116"/>
    </x:row>
    <x:row r="599" ht="20" customHeight="1">
      <x:c r="A599" s="83" t="str">
        <x:v>HAYS-0598</x:v>
      </x:c>
      <x:c r="B599" s="87" t="str">
        <x:v>Phyla nodiflora</x:v>
      </x:c>
      <x:c r="C599" s="87" t="str">
        <x:v>Phyla nodiflora</x:v>
      </x:c>
      <x:c r="D599" s="84" t="str">
        <x:v>Verbenaceae</x:v>
      </x:c>
      <x:c r="E599" s="84" t="str">
        <x:v>Phyla</x:v>
      </x:c>
      <x:c r="F599" s="84" t="str">
        <x:v>Texas Frogfruit, Turkey Tangle Fogfruit, Frogfruit</x:v>
      </x:c>
      <x:c r="G599" s="119"/>
      <x:c r="H599" s="119"/>
      <x:c r="I599" s="119"/>
      <x:c r="J599" s="119"/>
      <x:c r="K599" s="119"/>
      <x:c r="L599" s="119"/>
      <x:c r="M599" s="119"/>
      <x:c r="N599" s="115" t="str">
        <x:v>Not Started</x:v>
      </x:c>
      <x:c r="O599" s="115"/>
      <x:c r="P599" s="119"/>
      <x:c r="Q599" s="116"/>
    </x:row>
    <x:row r="600" ht="20" customHeight="1">
      <x:c r="A600" s="83" t="str">
        <x:v>HAYS-0599</x:v>
      </x:c>
      <x:c r="B600" s="87" t="str">
        <x:v>Phyllanthus polygonoides</x:v>
      </x:c>
      <x:c r="C600" s="87" t="str">
        <x:v>Phyllanthus polygonoides</x:v>
      </x:c>
      <x:c r="D600" s="84" t="str">
        <x:v>Phyllanthaceae</x:v>
      </x:c>
      <x:c r="E600" s="84" t="str">
        <x:v>Phyllanthus</x:v>
      </x:c>
      <x:c r="F600" s="84" t="str">
        <x:v>Smartweed Leaf-flower, Knotweed Leafflower</x:v>
      </x:c>
      <x:c r="G600" s="119"/>
      <x:c r="H600" s="119"/>
      <x:c r="I600" s="119"/>
      <x:c r="J600" s="119"/>
      <x:c r="K600" s="119"/>
      <x:c r="L600" s="119"/>
      <x:c r="M600" s="119"/>
      <x:c r="N600" s="115" t="str">
        <x:v>Not Started</x:v>
      </x:c>
      <x:c r="O600" s="115"/>
      <x:c r="P600" s="119"/>
      <x:c r="Q600" s="116"/>
    </x:row>
    <x:row r="601" ht="20" customHeight="1">
      <x:c r="A601" s="83" t="str">
        <x:v>HAYS-0600</x:v>
      </x:c>
      <x:c r="B601" s="87" t="str">
        <x:v>Physalis cinerascens</x:v>
      </x:c>
      <x:c r="C601" s="87" t="str">
        <x:v>Physalis cinerascens</x:v>
      </x:c>
      <x:c r="D601" s="84" t="str">
        <x:v>Solanaceae</x:v>
      </x:c>
      <x:c r="E601" s="84" t="str">
        <x:v>Physalis</x:v>
      </x:c>
      <x:c r="F601" s="84" t="str">
        <x:v>Smallflower Groundcherry</x:v>
      </x:c>
      <x:c r="G601" s="119"/>
      <x:c r="H601" s="119"/>
      <x:c r="I601" s="119"/>
      <x:c r="J601" s="119"/>
      <x:c r="K601" s="119"/>
      <x:c r="L601" s="119"/>
      <x:c r="M601" s="119"/>
      <x:c r="N601" s="115" t="str">
        <x:v>Not Started</x:v>
      </x:c>
      <x:c r="O601" s="115"/>
      <x:c r="P601" s="119"/>
      <x:c r="Q601" s="116"/>
    </x:row>
    <x:row r="602" ht="20" customHeight="1">
      <x:c r="A602" s="83" t="str">
        <x:v>HAYS-0601</x:v>
      </x:c>
      <x:c r="B602" s="87" t="str">
        <x:v>Physostegia angustifolia</x:v>
      </x:c>
      <x:c r="C602" s="87" t="str">
        <x:v>Physostegia angustifolia</x:v>
      </x:c>
      <x:c r="D602" s="84" t="str">
        <x:v>Lamiaceae</x:v>
      </x:c>
      <x:c r="E602" s="84" t="str">
        <x:v>Physostegia</x:v>
      </x:c>
      <x:c r="F602" s="84" t="str">
        <x:v>Spring Obedient / Flase Dragon Head</x:v>
      </x:c>
      <x:c r="G602" s="119"/>
      <x:c r="H602" s="119"/>
      <x:c r="I602" s="119"/>
      <x:c r="J602" s="119"/>
      <x:c r="K602" s="119"/>
      <x:c r="L602" s="119"/>
      <x:c r="M602" s="119"/>
      <x:c r="N602" s="115" t="str">
        <x:v>Not Started</x:v>
      </x:c>
      <x:c r="O602" s="115"/>
      <x:c r="P602" s="119"/>
      <x:c r="Q602" s="116"/>
    </x:row>
    <x:row r="603" ht="20" customHeight="1">
      <x:c r="A603" s="83" t="str">
        <x:v>HAYS-0602</x:v>
      </x:c>
      <x:c r="B603" s="87" t="str">
        <x:v>Physostegia correllii</x:v>
      </x:c>
      <x:c r="C603" s="87" t="str">
        <x:v>Physostegia correllii</x:v>
      </x:c>
      <x:c r="D603" s="84" t="str">
        <x:v>Lamiaceae</x:v>
      </x:c>
      <x:c r="E603" s="84" t="str">
        <x:v>Physostegia</x:v>
      </x:c>
      <x:c r="F603" s="84" t="str">
        <x:v>Correll's False Dragonhead</x:v>
      </x:c>
      <x:c r="G603" s="119"/>
      <x:c r="H603" s="119"/>
      <x:c r="I603" s="119"/>
      <x:c r="J603" s="119"/>
      <x:c r="K603" s="119"/>
      <x:c r="L603" s="119"/>
      <x:c r="M603" s="119"/>
      <x:c r="N603" s="115" t="str">
        <x:v>Not Started</x:v>
      </x:c>
      <x:c r="O603" s="115"/>
      <x:c r="P603" s="119"/>
      <x:c r="Q603" s="116"/>
    </x:row>
    <x:row r="604" ht="20" customHeight="1">
      <x:c r="A604" s="83" t="str">
        <x:v>HAYS-0603</x:v>
      </x:c>
      <x:c r="B604" s="87" t="str">
        <x:v>Physostegia virginiana</x:v>
      </x:c>
      <x:c r="C604" s="87" t="str">
        <x:v>Physostegia virginiana</x:v>
      </x:c>
      <x:c r="D604" s="84" t="str">
        <x:v>Lamiaceae</x:v>
      </x:c>
      <x:c r="E604" s="84" t="str">
        <x:v>Physostegia</x:v>
      </x:c>
      <x:c r="F604" s="84" t="str">
        <x:v>Fall Obedient Plant, False Dragonhead, Virginia Lions-heart</x:v>
      </x:c>
      <x:c r="G604" s="119"/>
      <x:c r="H604" s="119"/>
      <x:c r="I604" s="119"/>
      <x:c r="J604" s="119"/>
      <x:c r="K604" s="119"/>
      <x:c r="L604" s="119"/>
      <x:c r="M604" s="119"/>
      <x:c r="N604" s="115" t="str">
        <x:v>Not Started</x:v>
      </x:c>
      <x:c r="O604" s="115"/>
      <x:c r="P604" s="119"/>
      <x:c r="Q604" s="116"/>
    </x:row>
    <x:row r="605" ht="20" customHeight="1">
      <x:c r="A605" s="83" t="str">
        <x:v>HAYS-0604</x:v>
      </x:c>
      <x:c r="B605" s="87" t="str">
        <x:v>Phytolacca americana</x:v>
      </x:c>
      <x:c r="C605" s="87" t="str">
        <x:v>Phytolacca americana</x:v>
      </x:c>
      <x:c r="D605" s="84" t="str">
        <x:v>Phytolaccaceae</x:v>
      </x:c>
      <x:c r="E605" s="84" t="str">
        <x:v>Phytolacca</x:v>
      </x:c>
      <x:c r="F605" s="84" t="str">
        <x:v>American Pokeweed, Great Pokeweed, Pokeweed, Pokeberry, Red Ink Plant, Pigeonberry</x:v>
      </x:c>
      <x:c r="G605" s="119"/>
      <x:c r="H605" s="119"/>
      <x:c r="I605" s="119"/>
      <x:c r="J605" s="119"/>
      <x:c r="K605" s="119"/>
      <x:c r="L605" s="119"/>
      <x:c r="M605" s="119"/>
      <x:c r="N605" s="115" t="str">
        <x:v>Not Started</x:v>
      </x:c>
      <x:c r="O605" s="115"/>
      <x:c r="P605" s="119"/>
      <x:c r="Q605" s="116"/>
    </x:row>
    <x:row r="606" ht="20" customHeight="1">
      <x:c r="A606" s="83" t="str">
        <x:v>HAYS-0605</x:v>
      </x:c>
      <x:c r="B606" s="87" t="str">
        <x:v>Pilostyles thurberi</x:v>
      </x:c>
      <x:c r="C606" s="87" t="str">
        <x:v>Pilostyles thurberi</x:v>
      </x:c>
      <x:c r="D606" s="84" t="str">
        <x:v>Apodanthaceae</x:v>
      </x:c>
      <x:c r="E606" s="84" t="str">
        <x:v>Pilostyles</x:v>
      </x:c>
      <x:c r="F606" s="84" t="str">
        <x:v>Thurber's Stemsucker, Pilostyles</x:v>
      </x:c>
      <x:c r="G606" s="119"/>
      <x:c r="H606" s="119"/>
      <x:c r="I606" s="119"/>
      <x:c r="J606" s="119"/>
      <x:c r="K606" s="119"/>
      <x:c r="L606" s="119"/>
      <x:c r="M606" s="119"/>
      <x:c r="N606" s="115" t="str">
        <x:v>Not Started</x:v>
      </x:c>
      <x:c r="O606" s="115"/>
      <x:c r="P606" s="119"/>
      <x:c r="Q606" s="116"/>
    </x:row>
    <x:row r="607" ht="20" customHeight="1">
      <x:c r="A607" s="83" t="str">
        <x:v>HAYS-0606</x:v>
      </x:c>
      <x:c r="B607" s="87" t="str">
        <x:v>Pinaropappus roseus</x:v>
      </x:c>
      <x:c r="C607" s="87" t="str">
        <x:v>Pinaropappus roseus</x:v>
      </x:c>
      <x:c r="D607" s="84" t="str">
        <x:v>Asteraceae</x:v>
      </x:c>
      <x:c r="E607" s="84" t="str">
        <x:v>Pinaropappus</x:v>
      </x:c>
      <x:c r="F607" s="84" t="str">
        <x:v>White Rocklettuce, White Dandelion, Pink Dandelion, White Rock Lettuce</x:v>
      </x:c>
      <x:c r="G607" s="119"/>
      <x:c r="H607" s="119"/>
      <x:c r="I607" s="119"/>
      <x:c r="J607" s="119"/>
      <x:c r="K607" s="119"/>
      <x:c r="L607" s="119"/>
      <x:c r="M607" s="119"/>
      <x:c r="N607" s="115" t="str">
        <x:v>Not Started</x:v>
      </x:c>
      <x:c r="O607" s="115"/>
      <x:c r="P607" s="119"/>
      <x:c r="Q607" s="116"/>
    </x:row>
    <x:row r="608" ht="20" customHeight="1">
      <x:c r="A608" s="83" t="str">
        <x:v>HAYS-0607</x:v>
      </x:c>
      <x:c r="B608" s="87" t="str">
        <x:v>Pistia stratiotes</x:v>
      </x:c>
      <x:c r="C608" s="87" t="str">
        <x:v>Pistia stratiotes</x:v>
      </x:c>
      <x:c r="D608" s="84" t="str">
        <x:v>Araceae</x:v>
      </x:c>
      <x:c r="E608" s="84" t="str">
        <x:v>Pistia</x:v>
      </x:c>
      <x:c r="F608" s="84" t="str">
        <x:v>Water Lettuce</x:v>
      </x:c>
      <x:c r="G608" s="119"/>
      <x:c r="H608" s="119"/>
      <x:c r="I608" s="119"/>
      <x:c r="J608" s="119"/>
      <x:c r="K608" s="119"/>
      <x:c r="L608" s="119"/>
      <x:c r="M608" s="119"/>
      <x:c r="N608" s="115" t="str">
        <x:v>Not Started</x:v>
      </x:c>
      <x:c r="O608" s="115"/>
      <x:c r="P608" s="119"/>
      <x:c r="Q608" s="116"/>
    </x:row>
    <x:row r="609" ht="20" customHeight="1">
      <x:c r="A609" s="83" t="str">
        <x:v>HAYS-0608</x:v>
      </x:c>
      <x:c r="B609" s="87" t="str">
        <x:v>Plantago helleri</x:v>
      </x:c>
      <x:c r="C609" s="87" t="str">
        <x:v>Plantago helleri</x:v>
      </x:c>
      <x:c r="D609" s="84" t="str">
        <x:v>Plantaginaceae</x:v>
      </x:c>
      <x:c r="E609" s="84" t="str">
        <x:v>Plantago</x:v>
      </x:c>
      <x:c r="F609" s="84" t="str">
        <x:v>Heller's Plantain, Cedar Plantain</x:v>
      </x:c>
      <x:c r="G609" s="119"/>
      <x:c r="H609" s="119"/>
      <x:c r="I609" s="119"/>
      <x:c r="J609" s="119"/>
      <x:c r="K609" s="119"/>
      <x:c r="L609" s="119"/>
      <x:c r="M609" s="119"/>
      <x:c r="N609" s="115" t="str">
        <x:v>Not Started</x:v>
      </x:c>
      <x:c r="O609" s="115"/>
      <x:c r="P609" s="119"/>
      <x:c r="Q609" s="116"/>
    </x:row>
    <x:row r="610" ht="20" customHeight="1">
      <x:c r="A610" s="83" t="str">
        <x:v>HAYS-0609</x:v>
      </x:c>
      <x:c r="B610" s="87" t="str">
        <x:v>Plantago rhodosperma</x:v>
      </x:c>
      <x:c r="C610" s="87" t="str">
        <x:v>Plantago rhodosperma</x:v>
      </x:c>
      <x:c r="D610" s="84" t="str">
        <x:v>Plantaginaceae</x:v>
      </x:c>
      <x:c r="E610" s="84" t="str">
        <x:v>Plantago</x:v>
      </x:c>
      <x:c r="F610" s="84" t="str">
        <x:v>Redseed Plantain, Red-seeded Plantain</x:v>
      </x:c>
      <x:c r="G610" s="119"/>
      <x:c r="H610" s="119"/>
      <x:c r="I610" s="119"/>
      <x:c r="J610" s="119"/>
      <x:c r="K610" s="119"/>
      <x:c r="L610" s="119"/>
      <x:c r="M610" s="119"/>
      <x:c r="N610" s="115" t="str">
        <x:v>Not Started</x:v>
      </x:c>
      <x:c r="O610" s="115"/>
      <x:c r="P610" s="119"/>
      <x:c r="Q610" s="116"/>
    </x:row>
    <x:row r="611" ht="20" customHeight="1">
      <x:c r="A611" s="83" t="str">
        <x:v>HAYS-0610</x:v>
      </x:c>
      <x:c r="B611" s="87" t="str">
        <x:v>Platanus occidentalis</x:v>
      </x:c>
      <x:c r="C611" s="87" t="str">
        <x:v>Platanus occidentalis</x:v>
      </x:c>
      <x:c r="D611" s="84" t="str">
        <x:v>Platanaceae</x:v>
      </x:c>
      <x:c r="E611" s="84" t="str">
        <x:v>Platanus</x:v>
      </x:c>
      <x:c r="F611" s="84" t="str">
        <x:v>American Sycamore, Eastern Sycamore, American Plane Tree, Plane Tree, Buttonwood, Buttonball Tree</x:v>
      </x:c>
      <x:c r="G611" s="119"/>
      <x:c r="H611" s="119"/>
      <x:c r="I611" s="119"/>
      <x:c r="J611" s="119"/>
      <x:c r="K611" s="119"/>
      <x:c r="L611" s="119"/>
      <x:c r="M611" s="119"/>
      <x:c r="N611" s="115" t="str">
        <x:v>Not Started</x:v>
      </x:c>
      <x:c r="O611" s="115"/>
      <x:c r="P611" s="119"/>
      <x:c r="Q611" s="116"/>
    </x:row>
    <x:row r="612" ht="20" customHeight="1">
      <x:c r="A612" s="83" t="str">
        <x:v>HAYS-0611</x:v>
      </x:c>
      <x:c r="B612" s="87" t="str">
        <x:v>Plectocephalus americanus</x:v>
      </x:c>
      <x:c r="C612" s="87" t="str">
        <x:v>Plectocephalus americanus</x:v>
      </x:c>
      <x:c r="D612" s="84" t="str">
        <x:v>Asteraceae</x:v>
      </x:c>
      <x:c r="E612" s="84" t="str">
        <x:v>Plectocephalus</x:v>
      </x:c>
      <x:c r="F612" s="84" t="str">
        <x:v>American Basket-flower</x:v>
      </x:c>
      <x:c r="G612" s="119"/>
      <x:c r="H612" s="119"/>
      <x:c r="I612" s="119"/>
      <x:c r="J612" s="119"/>
      <x:c r="K612" s="119"/>
      <x:c r="L612" s="119"/>
      <x:c r="M612" s="119"/>
      <x:c r="N612" s="115" t="str">
        <x:v>Not Started</x:v>
      </x:c>
      <x:c r="O612" s="115"/>
      <x:c r="P612" s="119"/>
      <x:c r="Q612" s="116"/>
    </x:row>
    <x:row r="613" ht="20" customHeight="1">
      <x:c r="A613" s="83" t="str">
        <x:v>HAYS-0612</x:v>
      </x:c>
      <x:c r="B613" s="87" t="str">
        <x:v>Pleuraphis mutica</x:v>
      </x:c>
      <x:c r="C613" s="87" t="str">
        <x:v>Hilaria mutica</x:v>
      </x:c>
      <x:c r="D613" s="84" t="str">
        <x:v>Poaceae</x:v>
      </x:c>
      <x:c r="E613" s="84" t="str">
        <x:v>Hilaria</x:v>
      </x:c>
      <x:c r="F613" s="84" t="str">
        <x:v>Tobosagrass, Tobosa Grass</x:v>
      </x:c>
      <x:c r="G613" s="119"/>
      <x:c r="H613" s="119"/>
      <x:c r="I613" s="119"/>
      <x:c r="J613" s="119"/>
      <x:c r="K613" s="119"/>
      <x:c r="L613" s="119"/>
      <x:c r="M613" s="119"/>
      <x:c r="N613" s="115" t="str">
        <x:v>Not Started</x:v>
      </x:c>
      <x:c r="O613" s="115"/>
      <x:c r="P613" s="119"/>
      <x:c r="Q613" s="116"/>
    </x:row>
    <x:row r="614" ht="20" customHeight="1">
      <x:c r="A614" s="83" t="str">
        <x:v>HAYS-0613</x:v>
      </x:c>
      <x:c r="B614" s="87" t="str">
        <x:v>Pluchea camphorata</x:v>
      </x:c>
      <x:c r="C614" s="87" t="str">
        <x:v>Pluchea camphorata</x:v>
      </x:c>
      <x:c r="D614" s="84" t="str">
        <x:v>Asteraceae</x:v>
      </x:c>
      <x:c r="E614" s="84" t="str">
        <x:v>Pluchea</x:v>
      </x:c>
      <x:c r="F614" s="84" t="str">
        <x:v>Camphor Pluchea, Camphor Weed</x:v>
      </x:c>
      <x:c r="G614" s="119"/>
      <x:c r="H614" s="119"/>
      <x:c r="I614" s="119"/>
      <x:c r="J614" s="119"/>
      <x:c r="K614" s="119"/>
      <x:c r="L614" s="119"/>
      <x:c r="M614" s="119"/>
      <x:c r="N614" s="115" t="str">
        <x:v>Not Started</x:v>
      </x:c>
      <x:c r="O614" s="115"/>
      <x:c r="P614" s="119"/>
      <x:c r="Q614" s="116"/>
    </x:row>
    <x:row r="615" ht="20" customHeight="1">
      <x:c r="A615" s="83" t="str">
        <x:v>HAYS-0614</x:v>
      </x:c>
      <x:c r="B615" s="87" t="str">
        <x:v>Pluchea odorata</x:v>
      </x:c>
      <x:c r="C615" s="87" t="str">
        <x:v>Pluchea odorata</x:v>
      </x:c>
      <x:c r="D615" s="84" t="str">
        <x:v>Asteraceae</x:v>
      </x:c>
      <x:c r="E615" s="84" t="str">
        <x:v>Pluchea</x:v>
      </x:c>
      <x:c r="F615" s="84" t="str">
        <x:v>Sweetscent, Saltmarsh Fleabane</x:v>
      </x:c>
      <x:c r="G615" s="119"/>
      <x:c r="H615" s="119"/>
      <x:c r="I615" s="119"/>
      <x:c r="J615" s="119"/>
      <x:c r="K615" s="119"/>
      <x:c r="L615" s="119"/>
      <x:c r="M615" s="119"/>
      <x:c r="N615" s="115" t="str">
        <x:v>Not Started</x:v>
      </x:c>
      <x:c r="O615" s="115"/>
      <x:c r="P615" s="119"/>
      <x:c r="Q615" s="116"/>
    </x:row>
    <x:row r="616" ht="20" customHeight="1">
      <x:c r="A616" s="83" t="str">
        <x:v>HAYS-0615</x:v>
      </x:c>
      <x:c r="B616" s="87" t="str">
        <x:v>Poa arachnifera</x:v>
      </x:c>
      <x:c r="C616" s="87" t="str">
        <x:v>Poa arachnifera</x:v>
      </x:c>
      <x:c r="D616" s="84" t="str">
        <x:v>Poaceae</x:v>
      </x:c>
      <x:c r="E616" s="84" t="str">
        <x:v>Poa</x:v>
      </x:c>
      <x:c r="F616" s="84" t="str">
        <x:v>Texas Bluegrass, Texas Blue Grass</x:v>
      </x:c>
      <x:c r="G616" s="119"/>
      <x:c r="H616" s="119"/>
      <x:c r="I616" s="119"/>
      <x:c r="J616" s="119"/>
      <x:c r="K616" s="119"/>
      <x:c r="L616" s="119"/>
      <x:c r="M616" s="119"/>
      <x:c r="N616" s="115" t="str">
        <x:v>Not Started</x:v>
      </x:c>
      <x:c r="O616" s="115"/>
      <x:c r="P616" s="119"/>
      <x:c r="Q616" s="116"/>
    </x:row>
    <x:row r="617" ht="20" customHeight="1">
      <x:c r="A617" s="83" t="str">
        <x:v>HAYS-0616</x:v>
      </x:c>
      <x:c r="B617" s="87" t="str">
        <x:v>Polanisia dodecandra ssp. trachysperma</x:v>
      </x:c>
      <x:c r="C617" s="87" t="str">
        <x:v>Cleome trachysperma</x:v>
      </x:c>
      <x:c r="D617" s="84" t="str">
        <x:v>Cleomaceae</x:v>
      </x:c>
      <x:c r="E617" s="84" t="str">
        <x:v>Cleome</x:v>
      </x:c>
      <x:c r="F617" s="84" t="str">
        <x:v>Sandyseed Clammyweed, Clammy-weed, Clammyweed</x:v>
      </x:c>
      <x:c r="G617" s="119"/>
      <x:c r="H617" s="119"/>
      <x:c r="I617" s="119"/>
      <x:c r="J617" s="119"/>
      <x:c r="K617" s="119"/>
      <x:c r="L617" s="119"/>
      <x:c r="M617" s="119"/>
      <x:c r="N617" s="115" t="str">
        <x:v>Not Started</x:v>
      </x:c>
      <x:c r="O617" s="115"/>
      <x:c r="P617" s="119"/>
      <x:c r="Q617" s="116"/>
    </x:row>
    <x:row r="618" ht="20" customHeight="1">
      <x:c r="A618" s="83" t="str">
        <x:v>HAYS-0617</x:v>
      </x:c>
      <x:c r="B618" s="87" t="str">
        <x:v>Polygala alba</x:v>
      </x:c>
      <x:c r="C618" s="87" t="str">
        <x:v>Senega alba</x:v>
      </x:c>
      <x:c r="D618" s="84" t="str">
        <x:v>Polygalaceae</x:v>
      </x:c>
      <x:c r="E618" s="84" t="str">
        <x:v>Senega</x:v>
      </x:c>
      <x:c r="F618" s="84" t="str">
        <x:v>White Milkwort</x:v>
      </x:c>
      <x:c r="G618" s="119"/>
      <x:c r="H618" s="119"/>
      <x:c r="I618" s="119"/>
      <x:c r="J618" s="119"/>
      <x:c r="K618" s="119"/>
      <x:c r="L618" s="119"/>
      <x:c r="M618" s="119"/>
      <x:c r="N618" s="115" t="str">
        <x:v>Not Started</x:v>
      </x:c>
      <x:c r="O618" s="115"/>
      <x:c r="P618" s="119"/>
      <x:c r="Q618" s="116"/>
    </x:row>
    <x:row r="619" ht="20" customHeight="1">
      <x:c r="A619" s="83" t="str">
        <x:v>HAYS-0618</x:v>
      </x:c>
      <x:c r="B619" s="87" t="str">
        <x:v>Polygala lindheimeri var. lindheimeri</x:v>
      </x:c>
      <x:c r="C619" s="87"/>
      <x:c r="D619" s="84" t="str">
        <x:v>[Taxonomy unresolved]</x:v>
      </x:c>
      <x:c r="E619" s="84" t="str">
        <x:v>Polygala</x:v>
      </x:c>
      <x:c r="F619" s="84" t="str">
        <x:v>Shrubby Milkwort, Purple Milkwort</x:v>
      </x:c>
      <x:c r="G619" s="119"/>
      <x:c r="H619" s="119"/>
      <x:c r="I619" s="119"/>
      <x:c r="J619" s="119"/>
      <x:c r="K619" s="119"/>
      <x:c r="L619" s="119"/>
      <x:c r="M619" s="119"/>
      <x:c r="N619" s="115" t="str">
        <x:v>Not Started</x:v>
      </x:c>
      <x:c r="O619" s="115"/>
      <x:c r="P619" s="119"/>
      <x:c r="Q619" s="116"/>
    </x:row>
    <x:row r="620" ht="20" customHeight="1">
      <x:c r="A620" s="83" t="str">
        <x:v>HAYS-0619</x:v>
      </x:c>
      <x:c r="B620" s="87" t="str">
        <x:v>Polygonum glabrum</x:v>
      </x:c>
      <x:c r="C620" s="87"/>
      <x:c r="D620" s="84" t="str">
        <x:v>[Taxonomy unresolved]</x:v>
      </x:c>
      <x:c r="E620" s="84" t="str">
        <x:v>Polygonum</x:v>
      </x:c>
      <x:c r="F620" s="84" t="str">
        <x:v>Denseflower Knotweed</x:v>
      </x:c>
      <x:c r="G620" s="119"/>
      <x:c r="H620" s="119"/>
      <x:c r="I620" s="119"/>
      <x:c r="J620" s="119"/>
      <x:c r="K620" s="119"/>
      <x:c r="L620" s="119"/>
      <x:c r="M620" s="119"/>
      <x:c r="N620" s="115" t="str">
        <x:v>Not Started</x:v>
      </x:c>
      <x:c r="O620" s="115"/>
      <x:c r="P620" s="119"/>
      <x:c r="Q620" s="116"/>
    </x:row>
    <x:row r="621" ht="20" customHeight="1">
      <x:c r="A621" s="83" t="str">
        <x:v>HAYS-0620</x:v>
      </x:c>
      <x:c r="B621" s="87" t="str">
        <x:v>Polygonum hydropiperoides</x:v>
      </x:c>
      <x:c r="C621" s="87" t="str">
        <x:v>Persicaria hydropiperoides</x:v>
      </x:c>
      <x:c r="D621" s="84" t="str">
        <x:v>Polygonaceae</x:v>
      </x:c>
      <x:c r="E621" s="84" t="str">
        <x:v>Persicaria</x:v>
      </x:c>
      <x:c r="F621" s="84" t="str">
        <x:v>Swamp Smartweed</x:v>
      </x:c>
      <x:c r="G621" s="119"/>
      <x:c r="H621" s="119"/>
      <x:c r="I621" s="119"/>
      <x:c r="J621" s="119"/>
      <x:c r="K621" s="119"/>
      <x:c r="L621" s="119"/>
      <x:c r="M621" s="119"/>
      <x:c r="N621" s="115" t="str">
        <x:v>Not Started</x:v>
      </x:c>
      <x:c r="O621" s="115"/>
      <x:c r="P621" s="119"/>
      <x:c r="Q621" s="116"/>
    </x:row>
    <x:row r="622" ht="20" customHeight="1">
      <x:c r="A622" s="83" t="str">
        <x:v>HAYS-0621</x:v>
      </x:c>
      <x:c r="B622" s="87" t="str">
        <x:v>Polygonum lapathifolium</x:v>
      </x:c>
      <x:c r="C622" s="87"/>
      <x:c r="D622" s="84" t="str">
        <x:v>[Taxonomy unresolved]</x:v>
      </x:c>
      <x:c r="E622" s="84" t="str">
        <x:v>Polygonum</x:v>
      </x:c>
      <x:c r="F622" s="84" t="str">
        <x:v>Curlytop Knotweed, Curl-top Smartweed, Pale Smartweed</x:v>
      </x:c>
      <x:c r="G622" s="119"/>
      <x:c r="H622" s="119"/>
      <x:c r="I622" s="119"/>
      <x:c r="J622" s="119"/>
      <x:c r="K622" s="119"/>
      <x:c r="L622" s="119"/>
      <x:c r="M622" s="119"/>
      <x:c r="N622" s="115" t="str">
        <x:v>Not Started</x:v>
      </x:c>
      <x:c r="O622" s="115"/>
      <x:c r="P622" s="119"/>
      <x:c r="Q622" s="116"/>
    </x:row>
    <x:row r="623" ht="20" customHeight="1">
      <x:c r="A623" s="83" t="str">
        <x:v>HAYS-0622</x:v>
      </x:c>
      <x:c r="B623" s="87" t="str">
        <x:v>Polygonum punctatum</x:v>
      </x:c>
      <x:c r="C623" s="87"/>
      <x:c r="D623" s="84" t="str">
        <x:v>[Taxonomy unresolved]</x:v>
      </x:c>
      <x:c r="E623" s="84" t="str">
        <x:v>Polygonum</x:v>
      </x:c>
      <x:c r="F623" s="84" t="str">
        <x:v>Dotted Smartweed</x:v>
      </x:c>
      <x:c r="G623" s="119"/>
      <x:c r="H623" s="119"/>
      <x:c r="I623" s="119"/>
      <x:c r="J623" s="119"/>
      <x:c r="K623" s="119"/>
      <x:c r="L623" s="119"/>
      <x:c r="M623" s="119"/>
      <x:c r="N623" s="115" t="str">
        <x:v>Not Started</x:v>
      </x:c>
      <x:c r="O623" s="115"/>
      <x:c r="P623" s="119"/>
      <x:c r="Q623" s="116"/>
    </x:row>
    <x:row r="624" ht="20" customHeight="1">
      <x:c r="A624" s="83" t="str">
        <x:v>HAYS-0623</x:v>
      </x:c>
      <x:c r="B624" s="87" t="str">
        <x:v>Polygonum setaceum</x:v>
      </x:c>
      <x:c r="C624" s="87"/>
      <x:c r="D624" s="84" t="str">
        <x:v>[Taxonomy unresolved]</x:v>
      </x:c>
      <x:c r="E624" s="84" t="str">
        <x:v>Polygonum</x:v>
      </x:c>
      <x:c r="F624" s="84" t="str">
        <x:v>Bog Smartweed</x:v>
      </x:c>
      <x:c r="G624" s="119"/>
      <x:c r="H624" s="119"/>
      <x:c r="I624" s="119"/>
      <x:c r="J624" s="119"/>
      <x:c r="K624" s="119"/>
      <x:c r="L624" s="119"/>
      <x:c r="M624" s="119"/>
      <x:c r="N624" s="115" t="str">
        <x:v>Not Started</x:v>
      </x:c>
      <x:c r="O624" s="115"/>
      <x:c r="P624" s="119"/>
      <x:c r="Q624" s="116"/>
    </x:row>
    <x:row r="625" ht="20" customHeight="1">
      <x:c r="A625" s="83" t="str">
        <x:v>HAYS-0624</x:v>
      </x:c>
      <x:c r="B625" s="87" t="str">
        <x:v>Polytaenia nuttallii</x:v>
      </x:c>
      <x:c r="C625" s="87" t="str">
        <x:v>Polytaenia nuttallii</x:v>
      </x:c>
      <x:c r="D625" s="84" t="str">
        <x:v>Apiaceae</x:v>
      </x:c>
      <x:c r="E625" s="84" t="str">
        <x:v>Polytaenia</x:v>
      </x:c>
      <x:c r="F625" s="84" t="str">
        <x:v>Nuttall's Prairie Parsley, Prairie Parsley, Wild Dill, Prairie Parsnip</x:v>
      </x:c>
      <x:c r="G625" s="119"/>
      <x:c r="H625" s="119"/>
      <x:c r="I625" s="119"/>
      <x:c r="J625" s="119"/>
      <x:c r="K625" s="119"/>
      <x:c r="L625" s="119"/>
      <x:c r="M625" s="119"/>
      <x:c r="N625" s="115" t="str">
        <x:v>Not Started</x:v>
      </x:c>
      <x:c r="O625" s="115"/>
      <x:c r="P625" s="119"/>
      <x:c r="Q625" s="116"/>
    </x:row>
    <x:row r="626" ht="20" customHeight="1">
      <x:c r="A626" s="83" t="str">
        <x:v>HAYS-0625</x:v>
      </x:c>
      <x:c r="B626" s="87" t="str">
        <x:v>Polytaenia texana</x:v>
      </x:c>
      <x:c r="C626" s="87" t="str">
        <x:v>Polytaenia texana</x:v>
      </x:c>
      <x:c r="D626" s="84" t="str">
        <x:v>Apiaceae</x:v>
      </x:c>
      <x:c r="E626" s="84" t="str">
        <x:v>Polytaenia</x:v>
      </x:c>
      <x:c r="F626" s="84" t="str">
        <x:v>Texas Prairie Parsley, Texas-parsley, Texas Parsley</x:v>
      </x:c>
      <x:c r="G626" s="119"/>
      <x:c r="H626" s="119"/>
      <x:c r="I626" s="119"/>
      <x:c r="J626" s="119"/>
      <x:c r="K626" s="119"/>
      <x:c r="L626" s="119"/>
      <x:c r="M626" s="119"/>
      <x:c r="N626" s="115" t="str">
        <x:v>Not Started</x:v>
      </x:c>
      <x:c r="O626" s="115"/>
      <x:c r="P626" s="119"/>
      <x:c r="Q626" s="116"/>
    </x:row>
    <x:row r="627" ht="20" customHeight="1">
      <x:c r="A627" s="83" t="str">
        <x:v>HAYS-0626</x:v>
      </x:c>
      <x:c r="B627" s="87" t="str">
        <x:v>Pontederia cordata</x:v>
      </x:c>
      <x:c r="C627" s="87" t="str">
        <x:v>Pontederia cordata</x:v>
      </x:c>
      <x:c r="D627" s="84" t="str">
        <x:v>Pontederiaceae</x:v>
      </x:c>
      <x:c r="E627" s="84" t="str">
        <x:v>Pontederia</x:v>
      </x:c>
      <x:c r="F627" s="84" t="str">
        <x:v>Pickerelweed, Pickerel Rush</x:v>
      </x:c>
      <x:c r="G627" s="119"/>
      <x:c r="H627" s="119"/>
      <x:c r="I627" s="119"/>
      <x:c r="J627" s="119"/>
      <x:c r="K627" s="119"/>
      <x:c r="L627" s="119"/>
      <x:c r="M627" s="119"/>
      <x:c r="N627" s="115" t="str">
        <x:v>Not Started</x:v>
      </x:c>
      <x:c r="O627" s="115"/>
      <x:c r="P627" s="119"/>
      <x:c r="Q627" s="116"/>
    </x:row>
    <x:row r="628" ht="20" customHeight="1">
      <x:c r="A628" s="83" t="str">
        <x:v>HAYS-0627</x:v>
      </x:c>
      <x:c r="B628" s="87" t="str">
        <x:v>Populus deltoides</x:v>
      </x:c>
      <x:c r="C628" s="87" t="str">
        <x:v>Populus deltoides</x:v>
      </x:c>
      <x:c r="D628" s="84" t="str">
        <x:v>Salicaceae</x:v>
      </x:c>
      <x:c r="E628" s="84" t="str">
        <x:v>Populus</x:v>
      </x:c>
      <x:c r="F628" s="84" t="str">
        <x:v>Eastern Cottonwood, Carolina Poplar, Necklace Poplar, Alamo</x:v>
      </x:c>
      <x:c r="G628" s="119"/>
      <x:c r="H628" s="119"/>
      <x:c r="I628" s="119"/>
      <x:c r="J628" s="119"/>
      <x:c r="K628" s="119"/>
      <x:c r="L628" s="119"/>
      <x:c r="M628" s="119"/>
      <x:c r="N628" s="115" t="str">
        <x:v>Not Started</x:v>
      </x:c>
      <x:c r="O628" s="115"/>
      <x:c r="P628" s="119"/>
      <x:c r="Q628" s="116"/>
    </x:row>
    <x:row r="629" ht="20" customHeight="1">
      <x:c r="A629" s="83" t="str">
        <x:v>HAYS-0628</x:v>
      </x:c>
      <x:c r="B629" s="87" t="str">
        <x:v>Populus deltoides ssp. deltoides</x:v>
      </x:c>
      <x:c r="C629" s="87" t="str">
        <x:v>Populus deltoides subsp. deltoides</x:v>
      </x:c>
      <x:c r="D629" s="84" t="str">
        <x:v>Salicaceae</x:v>
      </x:c>
      <x:c r="E629" s="84" t="str">
        <x:v>Populus</x:v>
      </x:c>
      <x:c r="F629" s="84" t="str">
        <x:v>Eastern Cottonwood, Southern Cottonwood, Carolina Poplar, Eastern Poplar, Necklace Poplar, Alamo</x:v>
      </x:c>
      <x:c r="G629" s="119"/>
      <x:c r="H629" s="119"/>
      <x:c r="I629" s="119"/>
      <x:c r="J629" s="119"/>
      <x:c r="K629" s="119"/>
      <x:c r="L629" s="119"/>
      <x:c r="M629" s="119"/>
      <x:c r="N629" s="115" t="str">
        <x:v>Not Started</x:v>
      </x:c>
      <x:c r="O629" s="115"/>
      <x:c r="P629" s="119"/>
      <x:c r="Q629" s="116"/>
    </x:row>
    <x:row r="630" ht="20" customHeight="1">
      <x:c r="A630" s="83" t="str">
        <x:v>HAYS-0629</x:v>
      </x:c>
      <x:c r="B630" s="87" t="str">
        <x:v>Portulaca pilosa</x:v>
      </x:c>
      <x:c r="C630" s="87" t="str">
        <x:v>Portulaca pilosa</x:v>
      </x:c>
      <x:c r="D630" s="84" t="str">
        <x:v>Portulacaceae</x:v>
      </x:c>
      <x:c r="E630" s="84" t="str">
        <x:v>Portulaca</x:v>
      </x:c>
      <x:c r="F630" s="84" t="str">
        <x:v>Kiss Me Quick, Chisme</x:v>
      </x:c>
      <x:c r="G630" s="119"/>
      <x:c r="H630" s="119"/>
      <x:c r="I630" s="119"/>
      <x:c r="J630" s="119"/>
      <x:c r="K630" s="119"/>
      <x:c r="L630" s="119"/>
      <x:c r="M630" s="119"/>
      <x:c r="N630" s="115" t="str">
        <x:v>Not Started</x:v>
      </x:c>
      <x:c r="O630" s="115"/>
      <x:c r="P630" s="119"/>
      <x:c r="Q630" s="116"/>
    </x:row>
    <x:row r="631" ht="20" customHeight="1">
      <x:c r="A631" s="83" t="str">
        <x:v>HAYS-0630</x:v>
      </x:c>
      <x:c r="B631" s="87" t="str">
        <x:v>Portulaca umbraticola</x:v>
      </x:c>
      <x:c r="C631" s="87" t="str">
        <x:v>Portulaca umbraticola</x:v>
      </x:c>
      <x:c r="D631" s="84" t="str">
        <x:v>Portulacaceae</x:v>
      </x:c>
      <x:c r="E631" s="84" t="str">
        <x:v>Portulaca</x:v>
      </x:c>
      <x:c r="F631" s="84" t="str">
        <x:v>Wingpod Purslane, Purslane</x:v>
      </x:c>
      <x:c r="G631" s="119"/>
      <x:c r="H631" s="119"/>
      <x:c r="I631" s="119"/>
      <x:c r="J631" s="119"/>
      <x:c r="K631" s="119"/>
      <x:c r="L631" s="119"/>
      <x:c r="M631" s="119"/>
      <x:c r="N631" s="115" t="str">
        <x:v>Not Started</x:v>
      </x:c>
      <x:c r="O631" s="115"/>
      <x:c r="P631" s="119"/>
      <x:c r="Q631" s="116"/>
    </x:row>
    <x:row r="632" ht="20" customHeight="1">
      <x:c r="A632" s="83" t="str">
        <x:v>HAYS-0631</x:v>
      </x:c>
      <x:c r="B632" s="87" t="str">
        <x:v>Potamogeton illinoensis</x:v>
      </x:c>
      <x:c r="C632" s="87" t="str">
        <x:v>Potamogeton illinoensis</x:v>
      </x:c>
      <x:c r="D632" s="84" t="str">
        <x:v>Potamogetonaceae</x:v>
      </x:c>
      <x:c r="E632" s="84" t="str">
        <x:v>Potamogeton</x:v>
      </x:c>
      <x:c r="F632" s="84" t="str">
        <x:v>Illinois Pondweed</x:v>
      </x:c>
      <x:c r="G632" s="119"/>
      <x:c r="H632" s="119"/>
      <x:c r="I632" s="119"/>
      <x:c r="J632" s="119"/>
      <x:c r="K632" s="119"/>
      <x:c r="L632" s="119"/>
      <x:c r="M632" s="119"/>
      <x:c r="N632" s="115" t="str">
        <x:v>Not Started</x:v>
      </x:c>
      <x:c r="O632" s="115"/>
      <x:c r="P632" s="119"/>
      <x:c r="Q632" s="116"/>
    </x:row>
    <x:row r="633" ht="20" customHeight="1">
      <x:c r="A633" s="83" t="str">
        <x:v>HAYS-0632</x:v>
      </x:c>
      <x:c r="B633" s="87" t="str">
        <x:v>Potamogeton nodosus</x:v>
      </x:c>
      <x:c r="C633" s="87" t="str">
        <x:v>Potamogeton nodosus</x:v>
      </x:c>
      <x:c r="D633" s="84" t="str">
        <x:v>Potamogetonaceae</x:v>
      </x:c>
      <x:c r="E633" s="84" t="str">
        <x:v>Potamogeton</x:v>
      </x:c>
      <x:c r="F633" s="84" t="str">
        <x:v>Longleaf Pondweed, Knotty Pondweed</x:v>
      </x:c>
      <x:c r="G633" s="119"/>
      <x:c r="H633" s="119"/>
      <x:c r="I633" s="119"/>
      <x:c r="J633" s="119"/>
      <x:c r="K633" s="119"/>
      <x:c r="L633" s="119"/>
      <x:c r="M633" s="119"/>
      <x:c r="N633" s="115" t="str">
        <x:v>Not Started</x:v>
      </x:c>
      <x:c r="O633" s="115"/>
      <x:c r="P633" s="119"/>
      <x:c r="Q633" s="116"/>
    </x:row>
    <x:row r="634" ht="20" customHeight="1">
      <x:c r="A634" s="83" t="str">
        <x:v>HAYS-0633</x:v>
      </x:c>
      <x:c r="B634" s="87" t="str">
        <x:v>Potamogeton pusillus</x:v>
      </x:c>
      <x:c r="C634" s="87" t="str">
        <x:v>Potamogeton pusillus</x:v>
      </x:c>
      <x:c r="D634" s="84" t="str">
        <x:v>Potamogetonaceae</x:v>
      </x:c>
      <x:c r="E634" s="84" t="str">
        <x:v>Potamogeton</x:v>
      </x:c>
      <x:c r="F634" s="84" t="str">
        <x:v>Small Pondweed</x:v>
      </x:c>
      <x:c r="G634" s="119"/>
      <x:c r="H634" s="119"/>
      <x:c r="I634" s="119"/>
      <x:c r="J634" s="119"/>
      <x:c r="K634" s="119"/>
      <x:c r="L634" s="119"/>
      <x:c r="M634" s="119"/>
      <x:c r="N634" s="115" t="str">
        <x:v>Not Started</x:v>
      </x:c>
      <x:c r="O634" s="115"/>
      <x:c r="P634" s="119"/>
      <x:c r="Q634" s="116"/>
    </x:row>
    <x:row r="635" ht="20" customHeight="1">
      <x:c r="A635" s="83" t="str">
        <x:v>HAYS-0634</x:v>
      </x:c>
      <x:c r="B635" s="87" t="str">
        <x:v>Proboscidea louisianica</x:v>
      </x:c>
      <x:c r="C635" s="87" t="str">
        <x:v>Proboscidea louisianica</x:v>
      </x:c>
      <x:c r="D635" s="84" t="str">
        <x:v>Martyniaceae</x:v>
      </x:c>
      <x:c r="E635" s="84" t="str">
        <x:v>Proboscidea</x:v>
      </x:c>
      <x:c r="F635" s="84" t="str">
        <x:v>Louisiana Devil's-claw, Devil's claw, Ram's-horn, Unicorn Plant, Proboscis Flower</x:v>
      </x:c>
      <x:c r="G635" s="119"/>
      <x:c r="H635" s="119"/>
      <x:c r="I635" s="119"/>
      <x:c r="J635" s="119"/>
      <x:c r="K635" s="119"/>
      <x:c r="L635" s="119"/>
      <x:c r="M635" s="119"/>
      <x:c r="N635" s="115" t="str">
        <x:v>Not Started</x:v>
      </x:c>
      <x:c r="O635" s="115"/>
      <x:c r="P635" s="119"/>
      <x:c r="Q635" s="116"/>
    </x:row>
    <x:row r="636" ht="20" customHeight="1">
      <x:c r="A636" s="83" t="str">
        <x:v>HAYS-0635</x:v>
      </x:c>
      <x:c r="B636" s="87" t="str">
        <x:v>Prosopis glandulosa</x:v>
      </x:c>
      <x:c r="C636" s="87" t="str">
        <x:v>Neltuma glandulosa</x:v>
      </x:c>
      <x:c r="D636" s="84" t="str">
        <x:v>Fabaceae</x:v>
      </x:c>
      <x:c r="E636" s="84" t="str">
        <x:v>Neltuma</x:v>
      </x:c>
      <x:c r="F636" s="84" t="str">
        <x:v>Honey Mesquite, Glandular Mesquite, Algarroba</x:v>
      </x:c>
      <x:c r="G636" s="119"/>
      <x:c r="H636" s="119"/>
      <x:c r="I636" s="119"/>
      <x:c r="J636" s="119"/>
      <x:c r="K636" s="119"/>
      <x:c r="L636" s="119"/>
      <x:c r="M636" s="119"/>
      <x:c r="N636" s="115" t="str">
        <x:v>Not Started</x:v>
      </x:c>
      <x:c r="O636" s="115"/>
      <x:c r="P636" s="119"/>
      <x:c r="Q636" s="116"/>
    </x:row>
    <x:row r="637" ht="20" customHeight="1">
      <x:c r="A637" s="83" t="str">
        <x:v>HAYS-0636</x:v>
      </x:c>
      <x:c r="B637" s="87" t="str">
        <x:v>Prunus angustifolia</x:v>
      </x:c>
      <x:c r="C637" s="87" t="str">
        <x:v>Prunus angustifolia</x:v>
      </x:c>
      <x:c r="D637" s="84" t="str">
        <x:v>Rosaceae</x:v>
      </x:c>
      <x:c r="E637" s="84" t="str">
        <x:v>Prunus</x:v>
      </x:c>
      <x:c r="F637" s="84" t="str">
        <x:v>Chickasaw Plum, Sandhill Plum</x:v>
      </x:c>
      <x:c r="G637" s="119"/>
      <x:c r="H637" s="119"/>
      <x:c r="I637" s="119"/>
      <x:c r="J637" s="119"/>
      <x:c r="K637" s="119"/>
      <x:c r="L637" s="119"/>
      <x:c r="M637" s="119"/>
      <x:c r="N637" s="115" t="str">
        <x:v>Not Started</x:v>
      </x:c>
      <x:c r="O637" s="115"/>
      <x:c r="P637" s="119"/>
      <x:c r="Q637" s="116"/>
    </x:row>
    <x:row r="638" ht="20" customHeight="1">
      <x:c r="A638" s="83" t="str">
        <x:v>HAYS-0637</x:v>
      </x:c>
      <x:c r="B638" s="87" t="str">
        <x:v>Prunus caroliniana</x:v>
      </x:c>
      <x:c r="C638" s="87" t="str">
        <x:v>Prunus caroliniana</x:v>
      </x:c>
      <x:c r="D638" s="84" t="str">
        <x:v>Rosaceae</x:v>
      </x:c>
      <x:c r="E638" s="84" t="str">
        <x:v>Prunus</x:v>
      </x:c>
      <x:c r="F638" s="84" t="str">
        <x:v>Carolina Cherry-laurel, Cherry-laurel, Laurel Cherry, Carolina Laurel Cherry</x:v>
      </x:c>
      <x:c r="G638" s="119"/>
      <x:c r="H638" s="119"/>
      <x:c r="I638" s="119"/>
      <x:c r="J638" s="119"/>
      <x:c r="K638" s="119"/>
      <x:c r="L638" s="119"/>
      <x:c r="M638" s="119"/>
      <x:c r="N638" s="115" t="str">
        <x:v>Not Started</x:v>
      </x:c>
      <x:c r="O638" s="115"/>
      <x:c r="P638" s="119"/>
      <x:c r="Q638" s="116"/>
    </x:row>
    <x:row r="639" ht="20" customHeight="1">
      <x:c r="A639" s="83" t="str">
        <x:v>HAYS-0638</x:v>
      </x:c>
      <x:c r="B639" s="87" t="str">
        <x:v>Prunus mexicana</x:v>
      </x:c>
      <x:c r="C639" s="87" t="str">
        <x:v>Prunus mexicana</x:v>
      </x:c>
      <x:c r="D639" s="84" t="str">
        <x:v>Rosaceae</x:v>
      </x:c>
      <x:c r="E639" s="84" t="str">
        <x:v>Prunus</x:v>
      </x:c>
      <x:c r="F639" s="84" t="str">
        <x:v>Mexican Plum, Bigtree Plum, Inch Plum</x:v>
      </x:c>
      <x:c r="G639" s="119"/>
      <x:c r="H639" s="119"/>
      <x:c r="I639" s="119"/>
      <x:c r="J639" s="119"/>
      <x:c r="K639" s="119"/>
      <x:c r="L639" s="119"/>
      <x:c r="M639" s="119"/>
      <x:c r="N639" s="115" t="str">
        <x:v>Not Started</x:v>
      </x:c>
      <x:c r="O639" s="115"/>
      <x:c r="P639" s="119"/>
      <x:c r="Q639" s="116"/>
    </x:row>
    <x:row r="640" ht="20" customHeight="1">
      <x:c r="A640" s="83" t="str">
        <x:v>HAYS-0639</x:v>
      </x:c>
      <x:c r="B640" s="87" t="str">
        <x:v>Prunus rivularis</x:v>
      </x:c>
      <x:c r="C640" s="87" t="str">
        <x:v>Prunus rivularis</x:v>
      </x:c>
      <x:c r="D640" s="84" t="str">
        <x:v>Rosaceae</x:v>
      </x:c>
      <x:c r="E640" s="84" t="str">
        <x:v>Prunus</x:v>
      </x:c>
      <x:c r="F640" s="84" t="str">
        <x:v>River Plum, Creek Plum, Hog Plum</x:v>
      </x:c>
      <x:c r="G640" s="119"/>
      <x:c r="H640" s="119"/>
      <x:c r="I640" s="119"/>
      <x:c r="J640" s="119"/>
      <x:c r="K640" s="119"/>
      <x:c r="L640" s="119"/>
      <x:c r="M640" s="119"/>
      <x:c r="N640" s="115" t="str">
        <x:v>Not Started</x:v>
      </x:c>
      <x:c r="O640" s="115"/>
      <x:c r="P640" s="119"/>
      <x:c r="Q640" s="116"/>
    </x:row>
    <x:row r="641" ht="20" customHeight="1">
      <x:c r="A641" s="83" t="str">
        <x:v>HAYS-0640</x:v>
      </x:c>
      <x:c r="B641" s="87" t="str">
        <x:v>Prunus serotina</x:v>
      </x:c>
      <x:c r="C641" s="87" t="str">
        <x:v>Prunus serotina</x:v>
      </x:c>
      <x:c r="D641" s="84" t="str">
        <x:v>Rosaceae</x:v>
      </x:c>
      <x:c r="E641" s="84" t="str">
        <x:v>Prunus</x:v>
      </x:c>
      <x:c r="F641" s="84" t="str">
        <x:v>Black Cherry, Wild Black Cherry, Rum Cherry</x:v>
      </x:c>
      <x:c r="G641" s="119"/>
      <x:c r="H641" s="119"/>
      <x:c r="I641" s="119"/>
      <x:c r="J641" s="119"/>
      <x:c r="K641" s="119"/>
      <x:c r="L641" s="119"/>
      <x:c r="M641" s="119"/>
      <x:c r="N641" s="115" t="str">
        <x:v>Not Started</x:v>
      </x:c>
      <x:c r="O641" s="115"/>
      <x:c r="P641" s="119"/>
      <x:c r="Q641" s="116"/>
    </x:row>
    <x:row r="642" ht="20" customHeight="1">
      <x:c r="A642" s="83" t="str">
        <x:v>HAYS-0641</x:v>
      </x:c>
      <x:c r="B642" s="87" t="str">
        <x:v>Prunus serotina var. eximia</x:v>
      </x:c>
      <x:c r="C642" s="87" t="str">
        <x:v>Prunus serotina var. eximia</x:v>
      </x:c>
      <x:c r="D642" s="84" t="str">
        <x:v>Rosaceae</x:v>
      </x:c>
      <x:c r="E642" s="84" t="str">
        <x:v>Prunus</x:v>
      </x:c>
      <x:c r="F642" s="84" t="str">
        <x:v>Escarpment Cherry</x:v>
      </x:c>
      <x:c r="G642" s="119"/>
      <x:c r="H642" s="119"/>
      <x:c r="I642" s="119"/>
      <x:c r="J642" s="119"/>
      <x:c r="K642" s="119"/>
      <x:c r="L642" s="119"/>
      <x:c r="M642" s="119"/>
      <x:c r="N642" s="115" t="str">
        <x:v>Not Started</x:v>
      </x:c>
      <x:c r="O642" s="115"/>
      <x:c r="P642" s="119"/>
      <x:c r="Q642" s="116"/>
    </x:row>
    <x:row r="643" ht="20" customHeight="1">
      <x:c r="A643" s="83" t="str">
        <x:v>HAYS-0642</x:v>
      </x:c>
      <x:c r="B643" s="87" t="str">
        <x:v>Pseudognaphalium obtusifolium</x:v>
      </x:c>
      <x:c r="C643" s="87" t="str">
        <x:v>Pseudognaphalium obtusifolium</x:v>
      </x:c>
      <x:c r="D643" s="84" t="str">
        <x:v>Asteraceae</x:v>
      </x:c>
      <x:c r="E643" s="84" t="str">
        <x:v>Pseudognaphalium</x:v>
      </x:c>
      <x:c r="F643" s="84" t="str">
        <x:v>Sweet Everlasting, Rabbit-tobacco, Fragrant Cudweed</x:v>
      </x:c>
      <x:c r="G643" s="119"/>
      <x:c r="H643" s="119"/>
      <x:c r="I643" s="119"/>
      <x:c r="J643" s="119"/>
      <x:c r="K643" s="119"/>
      <x:c r="L643" s="119"/>
      <x:c r="M643" s="119"/>
      <x:c r="N643" s="115" t="str">
        <x:v>Not Started</x:v>
      </x:c>
      <x:c r="O643" s="115"/>
      <x:c r="P643" s="119"/>
      <x:c r="Q643" s="116"/>
    </x:row>
    <x:row r="644" ht="20" customHeight="1">
      <x:c r="A644" s="83" t="str">
        <x:v>HAYS-0643</x:v>
      </x:c>
      <x:c r="B644" s="87" t="str">
        <x:v>Psoralidium tenuiflorum</x:v>
      </x:c>
      <x:c r="C644" s="87" t="str">
        <x:v>Pediomelum tenuiflorum</x:v>
      </x:c>
      <x:c r="D644" s="84" t="str">
        <x:v>Fabaceae</x:v>
      </x:c>
      <x:c r="E644" s="84" t="str">
        <x:v>Pediomelum</x:v>
      </x:c>
      <x:c r="F644" s="84" t="str">
        <x:v>Slimflower Scurfpea, Scurfy Pea</x:v>
      </x:c>
      <x:c r="G644" s="119"/>
      <x:c r="H644" s="119"/>
      <x:c r="I644" s="119"/>
      <x:c r="J644" s="119"/>
      <x:c r="K644" s="119"/>
      <x:c r="L644" s="119"/>
      <x:c r="M644" s="119"/>
      <x:c r="N644" s="115" t="str">
        <x:v>Not Started</x:v>
      </x:c>
      <x:c r="O644" s="115"/>
      <x:c r="P644" s="119"/>
      <x:c r="Q644" s="116"/>
    </x:row>
    <x:row r="645" ht="20" customHeight="1">
      <x:c r="A645" s="83" t="str">
        <x:v>HAYS-0644</x:v>
      </x:c>
      <x:c r="B645" s="87" t="str">
        <x:v>Ptelea trifoliata</x:v>
      </x:c>
      <x:c r="C645" s="87" t="str">
        <x:v>Ptelea trifoliata</x:v>
      </x:c>
      <x:c r="D645" s="84" t="str">
        <x:v>Rutaceae</x:v>
      </x:c>
      <x:c r="E645" s="84" t="str">
        <x:v>Ptelea</x:v>
      </x:c>
      <x:c r="F645" s="84" t="str">
        <x:v>Wafer Ash, Common Hoptree, Hop Tree</x:v>
      </x:c>
      <x:c r="G645" s="119"/>
      <x:c r="H645" s="119"/>
      <x:c r="I645" s="119"/>
      <x:c r="J645" s="119"/>
      <x:c r="K645" s="119"/>
      <x:c r="L645" s="119"/>
      <x:c r="M645" s="119"/>
      <x:c r="N645" s="115" t="str">
        <x:v>Not Started</x:v>
      </x:c>
      <x:c r="O645" s="115"/>
      <x:c r="P645" s="119"/>
      <x:c r="Q645" s="116"/>
    </x:row>
    <x:row r="646" ht="20" customHeight="1">
      <x:c r="A646" s="83" t="str">
        <x:v>HAYS-0645</x:v>
      </x:c>
      <x:c r="B646" s="87" t="str">
        <x:v>Pyrrhopappus carolinianus</x:v>
      </x:c>
      <x:c r="C646" s="87" t="str">
        <x:v>Pyrrhopappus carolinianus</x:v>
      </x:c>
      <x:c r="D646" s="84" t="str">
        <x:v>Asteraceae</x:v>
      </x:c>
      <x:c r="E646" s="84" t="str">
        <x:v>Pyrrhopappus</x:v>
      </x:c>
      <x:c r="F646" s="84" t="str">
        <x:v>Carolina Desert-chicory, Texas Dandelion, False Dandelion</x:v>
      </x:c>
      <x:c r="G646" s="119"/>
      <x:c r="H646" s="119"/>
      <x:c r="I646" s="119"/>
      <x:c r="J646" s="119"/>
      <x:c r="K646" s="119"/>
      <x:c r="L646" s="119"/>
      <x:c r="M646" s="119"/>
      <x:c r="N646" s="115" t="str">
        <x:v>Not Started</x:v>
      </x:c>
      <x:c r="O646" s="115"/>
      <x:c r="P646" s="119"/>
      <x:c r="Q646" s="116"/>
    </x:row>
    <x:row r="647" ht="20" customHeight="1">
      <x:c r="A647" s="83" t="str">
        <x:v>HAYS-0646</x:v>
      </x:c>
      <x:c r="B647" s="87" t="str">
        <x:v>Pyrrhopappus grandiflorus</x:v>
      </x:c>
      <x:c r="C647" s="87" t="str">
        <x:v>Pyrrhopappus grandiflorus</x:v>
      </x:c>
      <x:c r="D647" s="84" t="str">
        <x:v>Asteraceae</x:v>
      </x:c>
      <x:c r="E647" s="84" t="str">
        <x:v>Pyrrhopappus</x:v>
      </x:c>
      <x:c r="F647" s="84" t="str">
        <x:v>Tuberous Desert-chicory</x:v>
      </x:c>
      <x:c r="G647" s="119"/>
      <x:c r="H647" s="119"/>
      <x:c r="I647" s="119"/>
      <x:c r="J647" s="119"/>
      <x:c r="K647" s="119"/>
      <x:c r="L647" s="119"/>
      <x:c r="M647" s="119"/>
      <x:c r="N647" s="115" t="str">
        <x:v>Not Started</x:v>
      </x:c>
      <x:c r="O647" s="115"/>
      <x:c r="P647" s="119"/>
      <x:c r="Q647" s="116"/>
    </x:row>
    <x:row r="648" ht="20" customHeight="1">
      <x:c r="A648" s="83" t="str">
        <x:v>HAYS-0647</x:v>
      </x:c>
      <x:c r="B648" s="87" t="str">
        <x:v>Pyrrhopappus pauciflorus</x:v>
      </x:c>
      <x:c r="C648" s="87" t="str">
        <x:v>Pyrrhopappus pauciflorus</x:v>
      </x:c>
      <x:c r="D648" s="84" t="str">
        <x:v>Asteraceae</x:v>
      </x:c>
      <x:c r="E648" s="84" t="str">
        <x:v>Pyrrhopappus</x:v>
      </x:c>
      <x:c r="F648" s="84" t="str">
        <x:v>Smallflower Desert-chicory, Texas Dandelion, False Dandelion</x:v>
      </x:c>
      <x:c r="G648" s="119"/>
      <x:c r="H648" s="119"/>
      <x:c r="I648" s="119"/>
      <x:c r="J648" s="119"/>
      <x:c r="K648" s="119"/>
      <x:c r="L648" s="119"/>
      <x:c r="M648" s="119"/>
      <x:c r="N648" s="115" t="str">
        <x:v>Not Started</x:v>
      </x:c>
      <x:c r="O648" s="115"/>
      <x:c r="P648" s="119"/>
      <x:c r="Q648" s="116"/>
    </x:row>
    <x:row r="649" ht="20" customHeight="1">
      <x:c r="A649" s="83" t="str">
        <x:v>HAYS-0648</x:v>
      </x:c>
      <x:c r="B649" s="87" t="str">
        <x:v>Quercus buckleyi</x:v>
      </x:c>
      <x:c r="C649" s="87" t="str">
        <x:v>Quercus buckleyi</x:v>
      </x:c>
      <x:c r="D649" s="84" t="str">
        <x:v>Fagaceae</x:v>
      </x:c>
      <x:c r="E649" s="84" t="str">
        <x:v>Quercus</x:v>
      </x:c>
      <x:c r="F649" s="84" t="str">
        <x:v>Texas Red Oak, Buckley Oak, Texas Oak, Spanish Oak, Spotted Oak, Rock Oak</x:v>
      </x:c>
      <x:c r="G649" s="119"/>
      <x:c r="H649" s="119"/>
      <x:c r="I649" s="119"/>
      <x:c r="J649" s="119"/>
      <x:c r="K649" s="119"/>
      <x:c r="L649" s="119"/>
      <x:c r="M649" s="119"/>
      <x:c r="N649" s="115" t="str">
        <x:v>Not Started</x:v>
      </x:c>
      <x:c r="O649" s="115"/>
      <x:c r="P649" s="119"/>
      <x:c r="Q649" s="116"/>
    </x:row>
    <x:row r="650" ht="20" customHeight="1">
      <x:c r="A650" s="83" t="str">
        <x:v>HAYS-0649</x:v>
      </x:c>
      <x:c r="B650" s="87" t="str">
        <x:v>Quercus fusiformis</x:v>
      </x:c>
      <x:c r="C650" s="87" t="str">
        <x:v>Quercus fusiformis</x:v>
      </x:c>
      <x:c r="D650" s="84" t="str">
        <x:v>Fagaceae</x:v>
      </x:c>
      <x:c r="E650" s="84" t="str">
        <x:v>Quercus</x:v>
      </x:c>
      <x:c r="F650" s="84" t="str">
        <x:v>Escarpment Live Oak, Plateau Live Oak, Hill Country Live Oak, Texas Live Oak, Scrub Live Oak, Plateau Oak, Encino Molino, Tesmoli</x:v>
      </x:c>
      <x:c r="G650" s="119"/>
      <x:c r="H650" s="119"/>
      <x:c r="I650" s="119"/>
      <x:c r="J650" s="119"/>
      <x:c r="K650" s="119"/>
      <x:c r="L650" s="119"/>
      <x:c r="M650" s="119"/>
      <x:c r="N650" s="115" t="str">
        <x:v>Not Started</x:v>
      </x:c>
      <x:c r="O650" s="115"/>
      <x:c r="P650" s="119"/>
      <x:c r="Q650" s="116"/>
    </x:row>
    <x:row r="651" ht="20" customHeight="1">
      <x:c r="A651" s="83" t="str">
        <x:v>HAYS-0650</x:v>
      </x:c>
      <x:c r="B651" s="87" t="str">
        <x:v>Quercus laceyi</x:v>
      </x:c>
      <x:c r="C651" s="87" t="str">
        <x:v>Quercus laceyi</x:v>
      </x:c>
      <x:c r="D651" s="84" t="str">
        <x:v>Fagaceae</x:v>
      </x:c>
      <x:c r="E651" s="84" t="str">
        <x:v>Quercus</x:v>
      </x:c>
      <x:c r="F651" s="84" t="str">
        <x:v>Lacey Oak, Texas Blue Oak, Canyon Oak, Smoky Oak, Rock Oak</x:v>
      </x:c>
      <x:c r="G651" s="119"/>
      <x:c r="H651" s="119"/>
      <x:c r="I651" s="119"/>
      <x:c r="J651" s="119"/>
      <x:c r="K651" s="119"/>
      <x:c r="L651" s="119"/>
      <x:c r="M651" s="119"/>
      <x:c r="N651" s="115" t="str">
        <x:v>Not Started</x:v>
      </x:c>
      <x:c r="O651" s="115"/>
      <x:c r="P651" s="119"/>
      <x:c r="Q651" s="116"/>
    </x:row>
    <x:row r="652" ht="20" customHeight="1">
      <x:c r="A652" s="83" t="str">
        <x:v>HAYS-0651</x:v>
      </x:c>
      <x:c r="B652" s="87" t="str">
        <x:v>Quercus macrocarpa</x:v>
      </x:c>
      <x:c r="C652" s="87" t="str">
        <x:v>Quercus macrocarpa</x:v>
      </x:c>
      <x:c r="D652" s="84" t="str">
        <x:v>Fagaceae</x:v>
      </x:c>
      <x:c r="E652" s="84" t="str">
        <x:v>Quercus</x:v>
      </x:c>
      <x:c r="F652" s="84" t="str">
        <x:v>Bur Oak, Burr Oak, Savanna Oak, Overcup Oak, Prairie Oak, Mossy-cup Oak, Mossy-overcup Oak, Blue Oak</x:v>
      </x:c>
      <x:c r="G652" s="119"/>
      <x:c r="H652" s="119"/>
      <x:c r="I652" s="119"/>
      <x:c r="J652" s="119"/>
      <x:c r="K652" s="119"/>
      <x:c r="L652" s="119"/>
      <x:c r="M652" s="119"/>
      <x:c r="N652" s="115" t="str">
        <x:v>Not Started</x:v>
      </x:c>
      <x:c r="O652" s="115"/>
      <x:c r="P652" s="119"/>
      <x:c r="Q652" s="116"/>
    </x:row>
    <x:row r="653" ht="20" customHeight="1">
      <x:c r="A653" s="83" t="str">
        <x:v>HAYS-0652</x:v>
      </x:c>
      <x:c r="B653" s="87" t="str">
        <x:v>Quercus marilandica</x:v>
      </x:c>
      <x:c r="C653" s="87" t="str">
        <x:v>Quercus marilandica</x:v>
      </x:c>
      <x:c r="D653" s="84" t="str">
        <x:v>Fagaceae</x:v>
      </x:c>
      <x:c r="E653" s="84" t="str">
        <x:v>Quercus</x:v>
      </x:c>
      <x:c r="F653" s="84" t="str">
        <x:v>Blackjack Oak, Barren Oak, Black Oak, Jack Oak</x:v>
      </x:c>
      <x:c r="G653" s="119"/>
      <x:c r="H653" s="119"/>
      <x:c r="I653" s="119"/>
      <x:c r="J653" s="119"/>
      <x:c r="K653" s="119"/>
      <x:c r="L653" s="119"/>
      <x:c r="M653" s="119"/>
      <x:c r="N653" s="115" t="str">
        <x:v>Not Started</x:v>
      </x:c>
      <x:c r="O653" s="115"/>
      <x:c r="P653" s="119"/>
      <x:c r="Q653" s="116"/>
    </x:row>
    <x:row r="654" ht="20" customHeight="1">
      <x:c r="A654" s="83" t="str">
        <x:v>HAYS-0653</x:v>
      </x:c>
      <x:c r="B654" s="87" t="str">
        <x:v>Quercus muehlenbergii</x:v>
      </x:c>
      <x:c r="C654" s="87" t="str">
        <x:v>Quercus muehlenbergii</x:v>
      </x:c>
      <x:c r="D654" s="84" t="str">
        <x:v>Fagaceae</x:v>
      </x:c>
      <x:c r="E654" s="84" t="str">
        <x:v>Quercus</x:v>
      </x:c>
      <x:c r="F654" s="84" t="str">
        <x:v>Chinquapin Oak</x:v>
      </x:c>
      <x:c r="G654" s="119"/>
      <x:c r="H654" s="119"/>
      <x:c r="I654" s="119"/>
      <x:c r="J654" s="119"/>
      <x:c r="K654" s="119"/>
      <x:c r="L654" s="119"/>
      <x:c r="M654" s="119"/>
      <x:c r="N654" s="115" t="str">
        <x:v>Not Started</x:v>
      </x:c>
      <x:c r="O654" s="115"/>
      <x:c r="P654" s="119"/>
      <x:c r="Q654" s="116"/>
    </x:row>
    <x:row r="655" ht="20" customHeight="1">
      <x:c r="A655" s="83" t="str">
        <x:v>HAYS-0654</x:v>
      </x:c>
      <x:c r="B655" s="87" t="str">
        <x:v>Quercus shumardii</x:v>
      </x:c>
      <x:c r="C655" s="87" t="str">
        <x:v>Quercus shumardii</x:v>
      </x:c>
      <x:c r="D655" s="84" t="str">
        <x:v>Fagaceae</x:v>
      </x:c>
      <x:c r="E655" s="84" t="str">
        <x:v>Quercus</x:v>
      </x:c>
      <x:c r="F655" s="84" t="str">
        <x:v>Shumard Oak, Shumard's Oak, Shumard Red Oak, Southern Red Oak, Swamp Red Oak, Spotted Oak</x:v>
      </x:c>
      <x:c r="G655" s="119"/>
      <x:c r="H655" s="119"/>
      <x:c r="I655" s="119"/>
      <x:c r="J655" s="119"/>
      <x:c r="K655" s="119"/>
      <x:c r="L655" s="119"/>
      <x:c r="M655" s="119"/>
      <x:c r="N655" s="115" t="str">
        <x:v>Not Started</x:v>
      </x:c>
      <x:c r="O655" s="115"/>
      <x:c r="P655" s="119"/>
      <x:c r="Q655" s="116"/>
    </x:row>
    <x:row r="656" ht="20" customHeight="1">
      <x:c r="A656" s="83" t="str">
        <x:v>HAYS-0655</x:v>
      </x:c>
      <x:c r="B656" s="87" t="str">
        <x:v>Quercus sinuata var. breviloba</x:v>
      </x:c>
      <x:c r="C656" s="87" t="str">
        <x:v>Quercus sinuata var. breviloba</x:v>
      </x:c>
      <x:c r="D656" s="84" t="str">
        <x:v>Fagaceae</x:v>
      </x:c>
      <x:c r="E656" s="84" t="str">
        <x:v>Quercus</x:v>
      </x:c>
      <x:c r="F656" s="84" t="str">
        <x:v>White Shin Oak, Bigelow Oak, Scaly-bark Oak, Limestone Durand Oak, Shortlobe Oak, Bastard Oak</x:v>
      </x:c>
      <x:c r="G656" s="119"/>
      <x:c r="H656" s="119"/>
      <x:c r="I656" s="119"/>
      <x:c r="J656" s="119"/>
      <x:c r="K656" s="119"/>
      <x:c r="L656" s="119"/>
      <x:c r="M656" s="119"/>
      <x:c r="N656" s="115" t="str">
        <x:v>Not Started</x:v>
      </x:c>
      <x:c r="O656" s="115"/>
      <x:c r="P656" s="119"/>
      <x:c r="Q656" s="116"/>
    </x:row>
    <x:row r="657" ht="20" customHeight="1">
      <x:c r="A657" s="83" t="str">
        <x:v>HAYS-0656</x:v>
      </x:c>
      <x:c r="B657" s="87" t="str">
        <x:v>Quercus stellata</x:v>
      </x:c>
      <x:c r="C657" s="87" t="str">
        <x:v>Quercus stellata</x:v>
      </x:c>
      <x:c r="D657" s="84" t="str">
        <x:v>Fagaceae</x:v>
      </x:c>
      <x:c r="E657" s="84" t="str">
        <x:v>Quercus</x:v>
      </x:c>
      <x:c r="F657" s="84" t="str">
        <x:v>Post Oak, Iron Oak, Cross Oak</x:v>
      </x:c>
      <x:c r="G657" s="119"/>
      <x:c r="H657" s="119"/>
      <x:c r="I657" s="119"/>
      <x:c r="J657" s="119"/>
      <x:c r="K657" s="119"/>
      <x:c r="L657" s="119"/>
      <x:c r="M657" s="119"/>
      <x:c r="N657" s="115" t="str">
        <x:v>Not Started</x:v>
      </x:c>
      <x:c r="O657" s="115"/>
      <x:c r="P657" s="119"/>
      <x:c r="Q657" s="116"/>
    </x:row>
    <x:row r="658" ht="20" customHeight="1">
      <x:c r="A658" s="83" t="str">
        <x:v>HAYS-0657</x:v>
      </x:c>
      <x:c r="B658" s="87" t="str">
        <x:v>Quercus virginiana</x:v>
      </x:c>
      <x:c r="C658" s="87" t="str">
        <x:v>Quercus virginiana</x:v>
      </x:c>
      <x:c r="D658" s="84" t="str">
        <x:v>Fagaceae</x:v>
      </x:c>
      <x:c r="E658" s="84" t="str">
        <x:v>Quercus</x:v>
      </x:c>
      <x:c r="F658" s="84" t="str">
        <x:v>Coastal Live Oak, Southern Live Oak, Virginia Live Oak, Live Oak, Encino</x:v>
      </x:c>
      <x:c r="G658" s="119"/>
      <x:c r="H658" s="119"/>
      <x:c r="I658" s="119"/>
      <x:c r="J658" s="119"/>
      <x:c r="K658" s="119"/>
      <x:c r="L658" s="119"/>
      <x:c r="M658" s="119"/>
      <x:c r="N658" s="115" t="str">
        <x:v>Not Started</x:v>
      </x:c>
      <x:c r="O658" s="115"/>
      <x:c r="P658" s="119"/>
      <x:c r="Q658" s="116"/>
    </x:row>
    <x:row r="659" ht="20" customHeight="1">
      <x:c r="A659" s="83" t="str">
        <x:v>HAYS-0658</x:v>
      </x:c>
      <x:c r="B659" s="87" t="str">
        <x:v>Ranunculus fascicularis</x:v>
      </x:c>
      <x:c r="C659" s="87" t="str">
        <x:v>Ranunculus fascicularis</x:v>
      </x:c>
      <x:c r="D659" s="84" t="str">
        <x:v>Ranunculaceae</x:v>
      </x:c>
      <x:c r="E659" s="84" t="str">
        <x:v>Ranunculus</x:v>
      </x:c>
      <x:c r="F659" s="84" t="str">
        <x:v>Early Buttercup, Tufted Buttercup, Prairie Buttercup</x:v>
      </x:c>
      <x:c r="G659" s="119"/>
      <x:c r="H659" s="119"/>
      <x:c r="I659" s="119"/>
      <x:c r="J659" s="119"/>
      <x:c r="K659" s="119"/>
      <x:c r="L659" s="119"/>
      <x:c r="M659" s="119"/>
      <x:c r="N659" s="115" t="str">
        <x:v>Not Started</x:v>
      </x:c>
      <x:c r="O659" s="115"/>
      <x:c r="P659" s="119"/>
      <x:c r="Q659" s="116"/>
    </x:row>
    <x:row r="660" ht="20" customHeight="1">
      <x:c r="A660" s="83" t="str">
        <x:v>HAYS-0659</x:v>
      </x:c>
      <x:c r="B660" s="87" t="str">
        <x:v>Ranunculus macranthus</x:v>
      </x:c>
      <x:c r="C660" s="87" t="str">
        <x:v>Ranunculus macranthus</x:v>
      </x:c>
      <x:c r="D660" s="84" t="str">
        <x:v>Ranunculaceae</x:v>
      </x:c>
      <x:c r="E660" s="84" t="str">
        <x:v>Ranunculus</x:v>
      </x:c>
      <x:c r="F660" s="84" t="str">
        <x:v>Large Buttercup</x:v>
      </x:c>
      <x:c r="G660" s="119"/>
      <x:c r="H660" s="119"/>
      <x:c r="I660" s="119"/>
      <x:c r="J660" s="119"/>
      <x:c r="K660" s="119"/>
      <x:c r="L660" s="119"/>
      <x:c r="M660" s="119"/>
      <x:c r="N660" s="115" t="str">
        <x:v>Not Started</x:v>
      </x:c>
      <x:c r="O660" s="115"/>
      <x:c r="P660" s="119"/>
      <x:c r="Q660" s="116"/>
    </x:row>
    <x:row r="661" ht="20" customHeight="1">
      <x:c r="A661" s="83" t="str">
        <x:v>HAYS-0660</x:v>
      </x:c>
      <x:c r="B661" s="87" t="str">
        <x:v>Ranunculus sceleratus</x:v>
      </x:c>
      <x:c r="C661" s="87" t="str">
        <x:v>Ranunculus sceleratus</x:v>
      </x:c>
      <x:c r="D661" s="84" t="str">
        <x:v>Ranunculaceae</x:v>
      </x:c>
      <x:c r="E661" s="84" t="str">
        <x:v>Ranunculus</x:v>
      </x:c>
      <x:c r="F661" s="84" t="str">
        <x:v>Cursed Buttercup</x:v>
      </x:c>
      <x:c r="G661" s="119"/>
      <x:c r="H661" s="119"/>
      <x:c r="I661" s="119"/>
      <x:c r="J661" s="119"/>
      <x:c r="K661" s="119"/>
      <x:c r="L661" s="119"/>
      <x:c r="M661" s="119"/>
      <x:c r="N661" s="115" t="str">
        <x:v>Not Started</x:v>
      </x:c>
      <x:c r="O661" s="115"/>
      <x:c r="P661" s="119"/>
      <x:c r="Q661" s="116"/>
    </x:row>
    <x:row r="662" ht="20" customHeight="1">
      <x:c r="A662" s="83" t="str">
        <x:v>HAYS-0661</x:v>
      </x:c>
      <x:c r="B662" s="87" t="str">
        <x:v>Ratibida columnifera</x:v>
      </x:c>
      <x:c r="C662" s="87" t="str">
        <x:v>Ratibida columnifera</x:v>
      </x:c>
      <x:c r="D662" s="84" t="str">
        <x:v>Asteraceae</x:v>
      </x:c>
      <x:c r="E662" s="84" t="str">
        <x:v>Ratibida</x:v>
      </x:c>
      <x:c r="F662" s="84" t="str">
        <x:v>Mexican Hat, Red-spike Mexican Hat, Upright Prairie Coneflower, Prairie Coneflower, Long-headed Coneflower, Thimbleflower</x:v>
      </x:c>
      <x:c r="G662" s="119"/>
      <x:c r="H662" s="119"/>
      <x:c r="I662" s="119"/>
      <x:c r="J662" s="119"/>
      <x:c r="K662" s="119"/>
      <x:c r="L662" s="119"/>
      <x:c r="M662" s="119"/>
      <x:c r="N662" s="115" t="str">
        <x:v>Not Started</x:v>
      </x:c>
      <x:c r="O662" s="115"/>
      <x:c r="P662" s="119"/>
      <x:c r="Q662" s="116"/>
    </x:row>
    <x:row r="663" ht="20" customHeight="1">
      <x:c r="A663" s="83" t="str">
        <x:v>HAYS-0662</x:v>
      </x:c>
      <x:c r="B663" s="87" t="str">
        <x:v>Rhus aromatica</x:v>
      </x:c>
      <x:c r="C663" s="87" t="str">
        <x:v>Rhus aromatica</x:v>
      </x:c>
      <x:c r="D663" s="84" t="str">
        <x:v>Anacardiaceae</x:v>
      </x:c>
      <x:c r="E663" s="84" t="str">
        <x:v>Rhus</x:v>
      </x:c>
      <x:c r="F663" s="84" t="str">
        <x:v>Fragrant Sumac, Aromatic Sumac, Lemon Sumac, Polecat Bush</x:v>
      </x:c>
      <x:c r="G663" s="119"/>
      <x:c r="H663" s="119"/>
      <x:c r="I663" s="119"/>
      <x:c r="J663" s="119"/>
      <x:c r="K663" s="119"/>
      <x:c r="L663" s="119"/>
      <x:c r="M663" s="119"/>
      <x:c r="N663" s="115" t="str">
        <x:v>Not Started</x:v>
      </x:c>
      <x:c r="O663" s="115"/>
      <x:c r="P663" s="119"/>
      <x:c r="Q663" s="116"/>
    </x:row>
    <x:row r="664" ht="20" customHeight="1">
      <x:c r="A664" s="83" t="str">
        <x:v>HAYS-0663</x:v>
      </x:c>
      <x:c r="B664" s="87" t="str">
        <x:v>Rhus lanceolata</x:v>
      </x:c>
      <x:c r="C664" s="87" t="str">
        <x:v>Rhus copallinum var. lanceolata</x:v>
      </x:c>
      <x:c r="D664" s="84" t="str">
        <x:v>Anacardiaceae</x:v>
      </x:c>
      <x:c r="E664" s="84" t="str">
        <x:v>Rhus</x:v>
      </x:c>
      <x:c r="F664" s="84" t="str">
        <x:v>Prairie Flameleaf Sumac, Flameleaf Sumac, Prairie Sumac, Lance-leaf Sumac, Lance-leaved Sumac, Texas Sumac, Tree Sumac, Limestone Sumac, Prairie Shining Sumac</x:v>
      </x:c>
      <x:c r="G664" s="119"/>
      <x:c r="H664" s="119"/>
      <x:c r="I664" s="119"/>
      <x:c r="J664" s="119"/>
      <x:c r="K664" s="119"/>
      <x:c r="L664" s="119"/>
      <x:c r="M664" s="119"/>
      <x:c r="N664" s="115" t="str">
        <x:v>Not Started</x:v>
      </x:c>
      <x:c r="O664" s="115"/>
      <x:c r="P664" s="119"/>
      <x:c r="Q664" s="116"/>
    </x:row>
    <x:row r="665" ht="20" customHeight="1">
      <x:c r="A665" s="83" t="str">
        <x:v>HAYS-0664</x:v>
      </x:c>
      <x:c r="B665" s="87" t="str">
        <x:v>Rhus microphylla</x:v>
      </x:c>
      <x:c r="C665" s="87" t="str">
        <x:v>Rhus microphylla</x:v>
      </x:c>
      <x:c r="D665" s="84" t="str">
        <x:v>Anacardiaceae</x:v>
      </x:c>
      <x:c r="E665" s="84" t="str">
        <x:v>Rhus</x:v>
      </x:c>
      <x:c r="F665" s="84" t="str">
        <x:v>Littleleaf Sumac</x:v>
      </x:c>
      <x:c r="G665" s="119"/>
      <x:c r="H665" s="119"/>
      <x:c r="I665" s="119"/>
      <x:c r="J665" s="119"/>
      <x:c r="K665" s="119"/>
      <x:c r="L665" s="119"/>
      <x:c r="M665" s="119"/>
      <x:c r="N665" s="115" t="str">
        <x:v>Not Started</x:v>
      </x:c>
      <x:c r="O665" s="115"/>
      <x:c r="P665" s="119"/>
      <x:c r="Q665" s="116"/>
    </x:row>
    <x:row r="666" ht="20" customHeight="1">
      <x:c r="A666" s="83" t="str">
        <x:v>HAYS-0665</x:v>
      </x:c>
      <x:c r="B666" s="87" t="str">
        <x:v>Rhus trilobata var. trilobata</x:v>
      </x:c>
      <x:c r="C666" s="87" t="str">
        <x:v>Rhus aromatica var. aromatica</x:v>
      </x:c>
      <x:c r="D666" s="84" t="str">
        <x:v>Anacardiaceae</x:v>
      </x:c>
      <x:c r="E666" s="84" t="str">
        <x:v>Rhus</x:v>
      </x:c>
      <x:c r="F666" s="84" t="str">
        <x:v>Skunkbush Sumac</x:v>
      </x:c>
      <x:c r="G666" s="119"/>
      <x:c r="H666" s="119"/>
      <x:c r="I666" s="119"/>
      <x:c r="J666" s="119"/>
      <x:c r="K666" s="119"/>
      <x:c r="L666" s="119"/>
      <x:c r="M666" s="119"/>
      <x:c r="N666" s="115" t="str">
        <x:v>Not Started</x:v>
      </x:c>
      <x:c r="O666" s="115"/>
      <x:c r="P666" s="119"/>
      <x:c r="Q666" s="116"/>
    </x:row>
    <x:row r="667" ht="20" customHeight="1">
      <x:c r="A667" s="83" t="str">
        <x:v>HAYS-0666</x:v>
      </x:c>
      <x:c r="B667" s="87" t="str">
        <x:v>Rhus virens</x:v>
      </x:c>
      <x:c r="C667" s="87" t="str">
        <x:v>Rhus virens</x:v>
      </x:c>
      <x:c r="D667" s="84" t="str">
        <x:v>Anacardiaceae</x:v>
      </x:c>
      <x:c r="E667" s="84" t="str">
        <x:v>Rhus</x:v>
      </x:c>
      <x:c r="F667" s="84" t="str">
        <x:v>Evergreen Sumac, Tobacco Sumac, Lambrisco, Lentrisco</x:v>
      </x:c>
      <x:c r="G667" s="119"/>
      <x:c r="H667" s="119"/>
      <x:c r="I667" s="119"/>
      <x:c r="J667" s="119"/>
      <x:c r="K667" s="119"/>
      <x:c r="L667" s="119"/>
      <x:c r="M667" s="119"/>
      <x:c r="N667" s="115" t="str">
        <x:v>Not Started</x:v>
      </x:c>
      <x:c r="O667" s="115"/>
      <x:c r="P667" s="119"/>
      <x:c r="Q667" s="116"/>
    </x:row>
    <x:row r="668" ht="20" customHeight="1">
      <x:c r="A668" s="83" t="str">
        <x:v>HAYS-0667</x:v>
      </x:c>
      <x:c r="B668" s="87" t="str">
        <x:v>Rhynchosia americana</x:v>
      </x:c>
      <x:c r="C668" s="87" t="str">
        <x:v>Rhynchosia americana</x:v>
      </x:c>
      <x:c r="D668" s="84" t="str">
        <x:v>Fabaceae</x:v>
      </x:c>
      <x:c r="E668" s="84" t="str">
        <x:v>Rhynchosia</x:v>
      </x:c>
      <x:c r="F668" s="84" t="str">
        <x:v>American Snoutbean</x:v>
      </x:c>
      <x:c r="G668" s="119"/>
      <x:c r="H668" s="119"/>
      <x:c r="I668" s="119"/>
      <x:c r="J668" s="119"/>
      <x:c r="K668" s="119"/>
      <x:c r="L668" s="119"/>
      <x:c r="M668" s="119"/>
      <x:c r="N668" s="115" t="str">
        <x:v>Not Started</x:v>
      </x:c>
      <x:c r="O668" s="115"/>
      <x:c r="P668" s="119"/>
      <x:c r="Q668" s="116"/>
    </x:row>
    <x:row r="669" ht="20" customHeight="1">
      <x:c r="A669" s="83" t="str">
        <x:v>HAYS-0668</x:v>
      </x:c>
      <x:c r="B669" s="87" t="str">
        <x:v>Rhynchosia minima</x:v>
      </x:c>
      <x:c r="C669" s="87" t="str">
        <x:v>Rhynchosia minima</x:v>
      </x:c>
      <x:c r="D669" s="84" t="str">
        <x:v>Fabaceae</x:v>
      </x:c>
      <x:c r="E669" s="84" t="str">
        <x:v>Rhynchosia</x:v>
      </x:c>
      <x:c r="F669" s="84" t="str">
        <x:v>Least Snoutbean</x:v>
      </x:c>
      <x:c r="G669" s="119"/>
      <x:c r="H669" s="119"/>
      <x:c r="I669" s="119"/>
      <x:c r="J669" s="119"/>
      <x:c r="K669" s="119"/>
      <x:c r="L669" s="119"/>
      <x:c r="M669" s="119"/>
      <x:c r="N669" s="115" t="str">
        <x:v>Not Started</x:v>
      </x:c>
      <x:c r="O669" s="115"/>
      <x:c r="P669" s="119"/>
      <x:c r="Q669" s="116"/>
    </x:row>
    <x:row r="670" ht="20" customHeight="1">
      <x:c r="A670" s="83" t="str">
        <x:v>HAYS-0669</x:v>
      </x:c>
      <x:c r="B670" s="87" t="str">
        <x:v>Rhynchosia senna var. texana</x:v>
      </x:c>
      <x:c r="C670" s="87" t="str">
        <x:v>Rhynchosia senna</x:v>
      </x:c>
      <x:c r="D670" s="84" t="str">
        <x:v>Fabaceae</x:v>
      </x:c>
      <x:c r="E670" s="84" t="str">
        <x:v>Rhynchosia</x:v>
      </x:c>
      <x:c r="F670" s="84" t="str">
        <x:v>Texas Snoutbean, Texas Snout-bean</x:v>
      </x:c>
      <x:c r="G670" s="119"/>
      <x:c r="H670" s="119"/>
      <x:c r="I670" s="119"/>
      <x:c r="J670" s="119"/>
      <x:c r="K670" s="119"/>
      <x:c r="L670" s="119"/>
      <x:c r="M670" s="119"/>
      <x:c r="N670" s="115" t="str">
        <x:v>Not Started</x:v>
      </x:c>
      <x:c r="O670" s="115"/>
      <x:c r="P670" s="119"/>
      <x:c r="Q670" s="116"/>
    </x:row>
    <x:row r="671" ht="20" customHeight="1">
      <x:c r="A671" s="83" t="str">
        <x:v>HAYS-0670</x:v>
      </x:c>
      <x:c r="B671" s="87" t="str">
        <x:v>Rhynchospora colorata</x:v>
      </x:c>
      <x:c r="C671" s="87" t="str">
        <x:v>Rhynchospora colorata</x:v>
      </x:c>
      <x:c r="D671" s="84" t="str">
        <x:v>Cyperaceae</x:v>
      </x:c>
      <x:c r="E671" s="84" t="str">
        <x:v>Rhynchospora</x:v>
      </x:c>
      <x:c r="F671" s="84" t="str">
        <x:v>Whitetop Sedge, White-topped Sedge, Starrush Whitetop, Star Sedge, Star Rush</x:v>
      </x:c>
      <x:c r="G671" s="119"/>
      <x:c r="H671" s="119"/>
      <x:c r="I671" s="119"/>
      <x:c r="J671" s="119"/>
      <x:c r="K671" s="119"/>
      <x:c r="L671" s="119"/>
      <x:c r="M671" s="119"/>
      <x:c r="N671" s="115" t="str">
        <x:v>Not Started</x:v>
      </x:c>
      <x:c r="O671" s="115"/>
      <x:c r="P671" s="119"/>
      <x:c r="Q671" s="116"/>
    </x:row>
    <x:row r="672" ht="20" customHeight="1">
      <x:c r="A672" s="83" t="str">
        <x:v>HAYS-0671</x:v>
      </x:c>
      <x:c r="B672" s="87" t="str">
        <x:v>Rhynchospora nivea</x:v>
      </x:c>
      <x:c r="C672" s="87" t="str">
        <x:v>Rhynchospora nivea</x:v>
      </x:c>
      <x:c r="D672" s="84" t="str">
        <x:v>Cyperaceae</x:v>
      </x:c>
      <x:c r="E672" s="84" t="str">
        <x:v>Rhynchospora</x:v>
      </x:c>
      <x:c r="F672" s="84" t="str">
        <x:v>Showy Whitetop</x:v>
      </x:c>
      <x:c r="G672" s="119"/>
      <x:c r="H672" s="119"/>
      <x:c r="I672" s="119"/>
      <x:c r="J672" s="119"/>
      <x:c r="K672" s="119"/>
      <x:c r="L672" s="119"/>
      <x:c r="M672" s="119"/>
      <x:c r="N672" s="115" t="str">
        <x:v>Not Started</x:v>
      </x:c>
      <x:c r="O672" s="115"/>
      <x:c r="P672" s="119"/>
      <x:c r="Q672" s="116"/>
    </x:row>
    <x:row r="673" ht="20" customHeight="1">
      <x:c r="A673" s="83" t="str">
        <x:v>HAYS-0672</x:v>
      </x:c>
      <x:c r="B673" s="87" t="str">
        <x:v>Rivina humilis</x:v>
      </x:c>
      <x:c r="C673" s="87" t="str">
        <x:v>Rivina humilis</x:v>
      </x:c>
      <x:c r="D673" s="84" t="str">
        <x:v>Petiveriaceae</x:v>
      </x:c>
      <x:c r="E673" s="84" t="str">
        <x:v>Rivina</x:v>
      </x:c>
      <x:c r="F673" s="84" t="str">
        <x:v>Pigeonberry, Rouge Plant, Baby-peppers, Bloodberry</x:v>
      </x:c>
      <x:c r="G673" s="119"/>
      <x:c r="H673" s="119"/>
      <x:c r="I673" s="119"/>
      <x:c r="J673" s="119"/>
      <x:c r="K673" s="119"/>
      <x:c r="L673" s="119"/>
      <x:c r="M673" s="119"/>
      <x:c r="N673" s="115" t="str">
        <x:v>Not Started</x:v>
      </x:c>
      <x:c r="O673" s="115"/>
      <x:c r="P673" s="119"/>
      <x:c r="Q673" s="116"/>
    </x:row>
    <x:row r="674" ht="20" customHeight="1">
      <x:c r="A674" s="83" t="str">
        <x:v>HAYS-0673</x:v>
      </x:c>
      <x:c r="B674" s="87" t="str">
        <x:v>Robinia pseudoacacia</x:v>
      </x:c>
      <x:c r="C674" s="87" t="str">
        <x:v>Robinia pseudoacacia</x:v>
      </x:c>
      <x:c r="D674" s="84" t="str">
        <x:v>Fabaceae</x:v>
      </x:c>
      <x:c r="E674" s="84" t="str">
        <x:v>Robinia</x:v>
      </x:c>
      <x:c r="F674" s="84" t="str">
        <x:v>Black Locust</x:v>
      </x:c>
      <x:c r="G674" s="119"/>
      <x:c r="H674" s="119"/>
      <x:c r="I674" s="119"/>
      <x:c r="J674" s="119"/>
      <x:c r="K674" s="119"/>
      <x:c r="L674" s="119"/>
      <x:c r="M674" s="119"/>
      <x:c r="N674" s="115" t="str">
        <x:v>Not Started</x:v>
      </x:c>
      <x:c r="O674" s="115"/>
      <x:c r="P674" s="119"/>
      <x:c r="Q674" s="116"/>
    </x:row>
    <x:row r="675" ht="20" customHeight="1">
      <x:c r="A675" s="83" t="str">
        <x:v>HAYS-0674</x:v>
      </x:c>
      <x:c r="B675" s="87" t="str">
        <x:v>Rotala ramosior</x:v>
      </x:c>
      <x:c r="C675" s="87" t="str">
        <x:v>Rotala ramosior</x:v>
      </x:c>
      <x:c r="D675" s="84" t="str">
        <x:v>Lythraceae</x:v>
      </x:c>
      <x:c r="E675" s="84" t="str">
        <x:v>Rotala</x:v>
      </x:c>
      <x:c r="F675" s="84" t="str">
        <x:v>Lowland Rotala</x:v>
      </x:c>
      <x:c r="G675" s="119"/>
      <x:c r="H675" s="119"/>
      <x:c r="I675" s="119"/>
      <x:c r="J675" s="119"/>
      <x:c r="K675" s="119"/>
      <x:c r="L675" s="119"/>
      <x:c r="M675" s="119"/>
      <x:c r="N675" s="115" t="str">
        <x:v>Not Started</x:v>
      </x:c>
      <x:c r="O675" s="115"/>
      <x:c r="P675" s="119"/>
      <x:c r="Q675" s="116"/>
    </x:row>
    <x:row r="676" ht="20" customHeight="1">
      <x:c r="A676" s="83" t="str">
        <x:v>HAYS-0675</x:v>
      </x:c>
      <x:c r="B676" s="87" t="str">
        <x:v>Rubus trivialis</x:v>
      </x:c>
      <x:c r="C676" s="87" t="str">
        <x:v>Rubus trivialis</x:v>
      </x:c>
      <x:c r="D676" s="84" t="str">
        <x:v>Rosaceae</x:v>
      </x:c>
      <x:c r="E676" s="84" t="str">
        <x:v>Rubus</x:v>
      </x:c>
      <x:c r="F676" s="84" t="str">
        <x:v>Southern Dewberry, Dewberry</x:v>
      </x:c>
      <x:c r="G676" s="119"/>
      <x:c r="H676" s="119"/>
      <x:c r="I676" s="119"/>
      <x:c r="J676" s="119"/>
      <x:c r="K676" s="119"/>
      <x:c r="L676" s="119"/>
      <x:c r="M676" s="119"/>
      <x:c r="N676" s="115" t="str">
        <x:v>Not Started</x:v>
      </x:c>
      <x:c r="O676" s="115"/>
      <x:c r="P676" s="119"/>
      <x:c r="Q676" s="116"/>
    </x:row>
    <x:row r="677" ht="20" customHeight="1">
      <x:c r="A677" s="83" t="str">
        <x:v>HAYS-0676</x:v>
      </x:c>
      <x:c r="B677" s="87" t="str">
        <x:v>Rudbeckia hirta</x:v>
      </x:c>
      <x:c r="C677" s="87" t="str">
        <x:v>Rudbeckia hirta</x:v>
      </x:c>
      <x:c r="D677" s="84" t="str">
        <x:v>Asteraceae</x:v>
      </x:c>
      <x:c r="E677" s="84" t="str">
        <x:v>Rudbeckia</x:v>
      </x:c>
      <x:c r="F677" s="84" t="str">
        <x:v>Black-eyed Susan, Common Black-eyed Susan, Brown-eyed Susan, Blackeyed Susan</x:v>
      </x:c>
      <x:c r="G677" s="119"/>
      <x:c r="H677" s="119"/>
      <x:c r="I677" s="119"/>
      <x:c r="J677" s="119"/>
      <x:c r="K677" s="119"/>
      <x:c r="L677" s="119"/>
      <x:c r="M677" s="119"/>
      <x:c r="N677" s="115" t="str">
        <x:v>Not Started</x:v>
      </x:c>
      <x:c r="O677" s="115"/>
      <x:c r="P677" s="119"/>
      <x:c r="Q677" s="116"/>
    </x:row>
    <x:row r="678" ht="20" customHeight="1">
      <x:c r="A678" s="83" t="str">
        <x:v>HAYS-0677</x:v>
      </x:c>
      <x:c r="B678" s="87" t="str">
        <x:v>Rudbeckia hirta var. pulcherrima</x:v>
      </x:c>
      <x:c r="C678" s="87" t="str">
        <x:v>Rudbeckia hirta var. pulcherrima</x:v>
      </x:c>
      <x:c r="D678" s="84" t="str">
        <x:v>Asteraceae</x:v>
      </x:c>
      <x:c r="E678" s="84" t="str">
        <x:v>Rudbeckia</x:v>
      </x:c>
      <x:c r="F678" s="84" t="str">
        <x:v>Black-eyed Susan, Blackeyed Susan, Brown-eyed Susan, Pinewoods Coneflower</x:v>
      </x:c>
      <x:c r="G678" s="119"/>
      <x:c r="H678" s="119"/>
      <x:c r="I678" s="119"/>
      <x:c r="J678" s="119"/>
      <x:c r="K678" s="119"/>
      <x:c r="L678" s="119"/>
      <x:c r="M678" s="119"/>
      <x:c r="N678" s="115" t="str">
        <x:v>Not Started</x:v>
      </x:c>
      <x:c r="O678" s="115"/>
      <x:c r="P678" s="119"/>
      <x:c r="Q678" s="116"/>
    </x:row>
    <x:row r="679" ht="20" customHeight="1">
      <x:c r="A679" s="83" t="str">
        <x:v>HAYS-0678</x:v>
      </x:c>
      <x:c r="B679" s="87" t="str">
        <x:v>Ruellia drummondiana</x:v>
      </x:c>
      <x:c r="C679" s="87" t="str">
        <x:v>Ruellia drummondiana</x:v>
      </x:c>
      <x:c r="D679" s="84" t="str">
        <x:v>Acanthaceae</x:v>
      </x:c>
      <x:c r="E679" s="84" t="str">
        <x:v>Ruellia</x:v>
      </x:c>
      <x:c r="F679" s="84" t="str">
        <x:v>Drummond's Ruellia, Drummond's Wild Petunia</x:v>
      </x:c>
      <x:c r="G679" s="119"/>
      <x:c r="H679" s="119"/>
      <x:c r="I679" s="119"/>
      <x:c r="J679" s="119"/>
      <x:c r="K679" s="119"/>
      <x:c r="L679" s="119"/>
      <x:c r="M679" s="119"/>
      <x:c r="N679" s="115" t="str">
        <x:v>Not Started</x:v>
      </x:c>
      <x:c r="O679" s="115"/>
      <x:c r="P679" s="119"/>
      <x:c r="Q679" s="116"/>
    </x:row>
    <x:row r="680" ht="20" customHeight="1">
      <x:c r="A680" s="83" t="str">
        <x:v>HAYS-0679</x:v>
      </x:c>
      <x:c r="B680" s="87" t="str">
        <x:v>Ruellia humilis</x:v>
      </x:c>
      <x:c r="C680" s="87" t="str">
        <x:v>Ruellia humilis</x:v>
      </x:c>
      <x:c r="D680" s="84" t="str">
        <x:v>Acanthaceae</x:v>
      </x:c>
      <x:c r="E680" s="84" t="str">
        <x:v>Ruellia</x:v>
      </x:c>
      <x:c r="F680" s="84" t="str">
        <x:v>Prairie Petunia</x:v>
      </x:c>
      <x:c r="G680" s="119"/>
      <x:c r="H680" s="119"/>
      <x:c r="I680" s="119"/>
      <x:c r="J680" s="119"/>
      <x:c r="K680" s="119"/>
      <x:c r="L680" s="119"/>
      <x:c r="M680" s="119"/>
      <x:c r="N680" s="115" t="str">
        <x:v>Not Started</x:v>
      </x:c>
      <x:c r="O680" s="115"/>
      <x:c r="P680" s="119"/>
      <x:c r="Q680" s="116"/>
    </x:row>
    <x:row r="681" ht="20" customHeight="1">
      <x:c r="A681" s="83" t="str">
        <x:v>HAYS-0680</x:v>
      </x:c>
      <x:c r="B681" s="87" t="str">
        <x:v>Ruellia nudiflora</x:v>
      </x:c>
      <x:c r="C681" s="87" t="str">
        <x:v>Ruellia ciliatiflora</x:v>
      </x:c>
      <x:c r="D681" s="84" t="str">
        <x:v>Acanthaceae</x:v>
      </x:c>
      <x:c r="E681" s="84" t="str">
        <x:v>Ruellia</x:v>
      </x:c>
      <x:c r="F681" s="84" t="str">
        <x:v>Violet Ruellia, Common Wild Petunia, Violet Wild Petunia, Wild Petunia, Hierba De La Calentura</x:v>
      </x:c>
      <x:c r="G681" s="119"/>
      <x:c r="H681" s="119"/>
      <x:c r="I681" s="119"/>
      <x:c r="J681" s="119"/>
      <x:c r="K681" s="119"/>
      <x:c r="L681" s="119"/>
      <x:c r="M681" s="119"/>
      <x:c r="N681" s="115" t="str">
        <x:v>Not Started</x:v>
      </x:c>
      <x:c r="O681" s="115"/>
      <x:c r="P681" s="119"/>
      <x:c r="Q681" s="116"/>
    </x:row>
    <x:row r="682" ht="20" customHeight="1">
      <x:c r="A682" s="83" t="str">
        <x:v>HAYS-0681</x:v>
      </x:c>
      <x:c r="B682" s="87" t="str">
        <x:v>Ruellia nudiflora var. nudiflora</x:v>
      </x:c>
      <x:c r="C682" s="87"/>
      <x:c r="D682" s="84" t="str">
        <x:v>[Taxonomy unresolved]</x:v>
      </x:c>
      <x:c r="E682" s="84" t="str">
        <x:v>Ruellia</x:v>
      </x:c>
      <x:c r="F682" s="84" t="str">
        <x:v>Violet Wild Petunia</x:v>
      </x:c>
      <x:c r="G682" s="119"/>
      <x:c r="H682" s="119"/>
      <x:c r="I682" s="119"/>
      <x:c r="J682" s="119"/>
      <x:c r="K682" s="119"/>
      <x:c r="L682" s="119"/>
      <x:c r="M682" s="119"/>
      <x:c r="N682" s="115" t="str">
        <x:v>Not Started</x:v>
      </x:c>
      <x:c r="O682" s="115"/>
      <x:c r="P682" s="119"/>
      <x:c r="Q682" s="116"/>
    </x:row>
    <x:row r="683" ht="20" customHeight="1">
      <x:c r="A683" s="83" t="str">
        <x:v>HAYS-0682</x:v>
      </x:c>
      <x:c r="B683" s="87" t="str">
        <x:v>Ruellia occidentalis</x:v>
      </x:c>
      <x:c r="C683" s="87" t="str">
        <x:v>Ruellia ciliatiflora</x:v>
      </x:c>
      <x:c r="D683" s="84" t="str">
        <x:v>Acanthaceae</x:v>
      </x:c>
      <x:c r="E683" s="84" t="str">
        <x:v>Ruellia</x:v>
      </x:c>
      <x:c r="F683" s="84" t="str">
        <x:v>Western Wild Petunia</x:v>
      </x:c>
      <x:c r="G683" s="119"/>
      <x:c r="H683" s="119"/>
      <x:c r="I683" s="119"/>
      <x:c r="J683" s="119"/>
      <x:c r="K683" s="119"/>
      <x:c r="L683" s="119"/>
      <x:c r="M683" s="119"/>
      <x:c r="N683" s="115" t="str">
        <x:v>Not Started</x:v>
      </x:c>
      <x:c r="O683" s="115"/>
      <x:c r="P683" s="119"/>
      <x:c r="Q683" s="116"/>
    </x:row>
    <x:row r="684" ht="20" customHeight="1">
      <x:c r="A684" s="83" t="str">
        <x:v>HAYS-0683</x:v>
      </x:c>
      <x:c r="B684" s="87" t="str">
        <x:v>Rumex chrysocarpus</x:v>
      </x:c>
      <x:c r="C684" s="87"/>
      <x:c r="D684" s="84" t="str">
        <x:v>[Taxonomy unresolved]</x:v>
      </x:c>
      <x:c r="E684" s="84" t="str">
        <x:v>Rumex</x:v>
      </x:c>
      <x:c r="F684" s="84" t="str">
        <x:v>Amamastla</x:v>
      </x:c>
      <x:c r="G684" s="119"/>
      <x:c r="H684" s="119"/>
      <x:c r="I684" s="119"/>
      <x:c r="J684" s="119"/>
      <x:c r="K684" s="119"/>
      <x:c r="L684" s="119"/>
      <x:c r="M684" s="119"/>
      <x:c r="N684" s="115" t="str">
        <x:v>Not Started</x:v>
      </x:c>
      <x:c r="O684" s="115"/>
      <x:c r="P684" s="119"/>
      <x:c r="Q684" s="116"/>
    </x:row>
    <x:row r="685" ht="20" customHeight="1">
      <x:c r="A685" s="83" t="str">
        <x:v>HAYS-0684</x:v>
      </x:c>
      <x:c r="B685" s="87" t="str">
        <x:v>Sabal mexicana</x:v>
      </x:c>
      <x:c r="C685" s="87" t="str">
        <x:v>Sabal mexicana</x:v>
      </x:c>
      <x:c r="D685" s="84" t="str">
        <x:v>Arecaceae</x:v>
      </x:c>
      <x:c r="E685" s="84" t="str">
        <x:v>Sabal</x:v>
      </x:c>
      <x:c r="F685" s="84" t="str">
        <x:v>Texas Palmetto</x:v>
      </x:c>
      <x:c r="G685" s="119"/>
      <x:c r="H685" s="119"/>
      <x:c r="I685" s="119"/>
      <x:c r="J685" s="119"/>
      <x:c r="K685" s="119"/>
      <x:c r="L685" s="119"/>
      <x:c r="M685" s="119"/>
      <x:c r="N685" s="115" t="str">
        <x:v>Not Started</x:v>
      </x:c>
      <x:c r="O685" s="115"/>
      <x:c r="P685" s="119"/>
      <x:c r="Q685" s="116"/>
    </x:row>
    <x:row r="686" ht="20" customHeight="1">
      <x:c r="A686" s="83" t="str">
        <x:v>HAYS-0685</x:v>
      </x:c>
      <x:c r="B686" s="87" t="str">
        <x:v>Sabal minor</x:v>
      </x:c>
      <x:c r="C686" s="87" t="str">
        <x:v>Sabal minor</x:v>
      </x:c>
      <x:c r="D686" s="84" t="str">
        <x:v>Arecaceae</x:v>
      </x:c>
      <x:c r="E686" s="84" t="str">
        <x:v>Sabal</x:v>
      </x:c>
      <x:c r="F686" s="84" t="str">
        <x:v>Dwarf Palmetto, Bush Palmetto, Palmetto</x:v>
      </x:c>
      <x:c r="G686" s="119"/>
      <x:c r="H686" s="119"/>
      <x:c r="I686" s="119"/>
      <x:c r="J686" s="119"/>
      <x:c r="K686" s="119"/>
      <x:c r="L686" s="119"/>
      <x:c r="M686" s="119"/>
      <x:c r="N686" s="115" t="str">
        <x:v>Not Started</x:v>
      </x:c>
      <x:c r="O686" s="115"/>
      <x:c r="P686" s="119"/>
      <x:c r="Q686" s="116"/>
    </x:row>
    <x:row r="687" ht="20" customHeight="1">
      <x:c r="A687" s="83" t="str">
        <x:v>HAYS-0686</x:v>
      </x:c>
      <x:c r="B687" s="87" t="str">
        <x:v>Sagittaria graminea</x:v>
      </x:c>
      <x:c r="C687" s="87" t="str">
        <x:v>Sagittaria graminea</x:v>
      </x:c>
      <x:c r="D687" s="84" t="str">
        <x:v>Alismataceae</x:v>
      </x:c>
      <x:c r="E687" s="84" t="str">
        <x:v>Sagittaria</x:v>
      </x:c>
      <x:c r="F687" s="84" t="str">
        <x:v>Grassy Arrowhead, Grass-leaf Arrowhead</x:v>
      </x:c>
      <x:c r="G687" s="119"/>
      <x:c r="H687" s="119"/>
      <x:c r="I687" s="119"/>
      <x:c r="J687" s="119"/>
      <x:c r="K687" s="119"/>
      <x:c r="L687" s="119"/>
      <x:c r="M687" s="119"/>
      <x:c r="N687" s="115" t="str">
        <x:v>Not Started</x:v>
      </x:c>
      <x:c r="O687" s="115"/>
      <x:c r="P687" s="119"/>
      <x:c r="Q687" s="116"/>
    </x:row>
    <x:row r="688" ht="20" customHeight="1">
      <x:c r="A688" s="83" t="str">
        <x:v>HAYS-0687</x:v>
      </x:c>
      <x:c r="B688" s="87" t="str">
        <x:v>Sagittaria graminea var. graminea</x:v>
      </x:c>
      <x:c r="C688" s="87"/>
      <x:c r="D688" s="84" t="str">
        <x:v>[Taxonomy unresolved]</x:v>
      </x:c>
      <x:c r="E688" s="84" t="str">
        <x:v>Sagittaria</x:v>
      </x:c>
      <x:c r="F688" s="84" t="str">
        <x:v>Grassy Arrowhead</x:v>
      </x:c>
      <x:c r="G688" s="119"/>
      <x:c r="H688" s="119"/>
      <x:c r="I688" s="119"/>
      <x:c r="J688" s="119"/>
      <x:c r="K688" s="119"/>
      <x:c r="L688" s="119"/>
      <x:c r="M688" s="119"/>
      <x:c r="N688" s="115" t="str">
        <x:v>Not Started</x:v>
      </x:c>
      <x:c r="O688" s="115"/>
      <x:c r="P688" s="119"/>
      <x:c r="Q688" s="116"/>
    </x:row>
    <x:row r="689" ht="20" customHeight="1">
      <x:c r="A689" s="83" t="str">
        <x:v>HAYS-0688</x:v>
      </x:c>
      <x:c r="B689" s="87" t="str">
        <x:v>Sagittaria lancifolia</x:v>
      </x:c>
      <x:c r="C689" s="87" t="str">
        <x:v>Sagittaria lancifolia</x:v>
      </x:c>
      <x:c r="D689" s="84" t="str">
        <x:v>Alismataceae</x:v>
      </x:c>
      <x:c r="E689" s="84" t="str">
        <x:v>Sagittaria</x:v>
      </x:c>
      <x:c r="F689" s="84" t="str">
        <x:v>Lanceleaf Arrowhead</x:v>
      </x:c>
      <x:c r="G689" s="119"/>
      <x:c r="H689" s="119"/>
      <x:c r="I689" s="119"/>
      <x:c r="J689" s="119"/>
      <x:c r="K689" s="119"/>
      <x:c r="L689" s="119"/>
      <x:c r="M689" s="119"/>
      <x:c r="N689" s="115" t="str">
        <x:v>Not Started</x:v>
      </x:c>
      <x:c r="O689" s="115"/>
      <x:c r="P689" s="119"/>
      <x:c r="Q689" s="116"/>
    </x:row>
    <x:row r="690" ht="20" customHeight="1">
      <x:c r="A690" s="83" t="str">
        <x:v>HAYS-0689</x:v>
      </x:c>
      <x:c r="B690" s="87" t="str">
        <x:v>Sagittaria platyphylla</x:v>
      </x:c>
      <x:c r="C690" s="87" t="str">
        <x:v>Sagittaria platyphylla</x:v>
      </x:c>
      <x:c r="D690" s="84" t="str">
        <x:v>Alismataceae</x:v>
      </x:c>
      <x:c r="E690" s="84" t="str">
        <x:v>Sagittaria</x:v>
      </x:c>
      <x:c r="F690" s="84" t="str">
        <x:v>Delta Arrowhead</x:v>
      </x:c>
      <x:c r="G690" s="119"/>
      <x:c r="H690" s="119"/>
      <x:c r="I690" s="119"/>
      <x:c r="J690" s="119"/>
      <x:c r="K690" s="119"/>
      <x:c r="L690" s="119"/>
      <x:c r="M690" s="119"/>
      <x:c r="N690" s="115" t="str">
        <x:v>Not Started</x:v>
      </x:c>
      <x:c r="O690" s="115"/>
      <x:c r="P690" s="119"/>
      <x:c r="Q690" s="116"/>
    </x:row>
    <x:row r="691" ht="20" customHeight="1">
      <x:c r="A691" s="83" t="str">
        <x:v>HAYS-0690</x:v>
      </x:c>
      <x:c r="B691" s="87" t="str">
        <x:v>Salix nigra</x:v>
      </x:c>
      <x:c r="C691" s="87" t="str">
        <x:v>Salix nigra</x:v>
      </x:c>
      <x:c r="D691" s="84" t="str">
        <x:v>Salicaceae</x:v>
      </x:c>
      <x:c r="E691" s="84" t="str">
        <x:v>Salix</x:v>
      </x:c>
      <x:c r="F691" s="84" t="str">
        <x:v>Black Willow, Gulf Black Willow, Swamp Willow, Sauz</x:v>
      </x:c>
      <x:c r="G691" s="119"/>
      <x:c r="H691" s="119"/>
      <x:c r="I691" s="119"/>
      <x:c r="J691" s="119"/>
      <x:c r="K691" s="119"/>
      <x:c r="L691" s="119"/>
      <x:c r="M691" s="119"/>
      <x:c r="N691" s="115" t="str">
        <x:v>Not Started</x:v>
      </x:c>
      <x:c r="O691" s="115"/>
      <x:c r="P691" s="119"/>
      <x:c r="Q691" s="116"/>
    </x:row>
    <x:row r="692" ht="20" customHeight="1">
      <x:c r="A692" s="83" t="str">
        <x:v>HAYS-0691</x:v>
      </x:c>
      <x:c r="B692" s="87" t="str">
        <x:v>Salvia azurea</x:v>
      </x:c>
      <x:c r="C692" s="87" t="str">
        <x:v>Salvia azurea</x:v>
      </x:c>
      <x:c r="D692" s="84" t="str">
        <x:v>Lamiaceae</x:v>
      </x:c>
      <x:c r="E692" s="84" t="str">
        <x:v>Salvia</x:v>
      </x:c>
      <x:c r="F692" s="84" t="str">
        <x:v>Pitcher Sage, Blue Sage</x:v>
      </x:c>
      <x:c r="G692" s="119"/>
      <x:c r="H692" s="119"/>
      <x:c r="I692" s="119"/>
      <x:c r="J692" s="119"/>
      <x:c r="K692" s="119"/>
      <x:c r="L692" s="119"/>
      <x:c r="M692" s="119"/>
      <x:c r="N692" s="115" t="str">
        <x:v>Not Started</x:v>
      </x:c>
      <x:c r="O692" s="115"/>
      <x:c r="P692" s="119"/>
      <x:c r="Q692" s="116"/>
    </x:row>
    <x:row r="693" ht="20" customHeight="1">
      <x:c r="A693" s="83" t="str">
        <x:v>HAYS-0692</x:v>
      </x:c>
      <x:c r="B693" s="87" t="str">
        <x:v>Salvia ballotiflora</x:v>
      </x:c>
      <x:c r="C693" s="87" t="str">
        <x:v>Salvia ballotiflora</x:v>
      </x:c>
      <x:c r="D693" s="84" t="str">
        <x:v>Lamiaceae</x:v>
      </x:c>
      <x:c r="E693" s="84" t="str">
        <x:v>Salvia</x:v>
      </x:c>
      <x:c r="F693" s="84" t="str">
        <x:v>Shrubby Blue Sage</x:v>
      </x:c>
      <x:c r="G693" s="119"/>
      <x:c r="H693" s="119"/>
      <x:c r="I693" s="119"/>
      <x:c r="J693" s="119"/>
      <x:c r="K693" s="119"/>
      <x:c r="L693" s="119"/>
      <x:c r="M693" s="119"/>
      <x:c r="N693" s="115" t="str">
        <x:v>Not Started</x:v>
      </x:c>
      <x:c r="O693" s="115"/>
      <x:c r="P693" s="119"/>
      <x:c r="Q693" s="116"/>
    </x:row>
    <x:row r="694" ht="20" customHeight="1">
      <x:c r="A694" s="83" t="str">
        <x:v>HAYS-0693</x:v>
      </x:c>
      <x:c r="B694" s="87" t="str">
        <x:v>Salvia coccinea</x:v>
      </x:c>
      <x:c r="C694" s="87" t="str">
        <x:v>Salvia coccinea</x:v>
      </x:c>
      <x:c r="D694" s="84" t="str">
        <x:v>Lamiaceae</x:v>
      </x:c>
      <x:c r="E694" s="84" t="str">
        <x:v>Salvia</x:v>
      </x:c>
      <x:c r="F694" s="84" t="str">
        <x:v>Scarlet Sage, Tropical Sage, Blood Sage, Red Sage, Indian Fire</x:v>
      </x:c>
      <x:c r="G694" s="119"/>
      <x:c r="H694" s="119"/>
      <x:c r="I694" s="119"/>
      <x:c r="J694" s="119"/>
      <x:c r="K694" s="119"/>
      <x:c r="L694" s="119"/>
      <x:c r="M694" s="119"/>
      <x:c r="N694" s="115" t="str">
        <x:v>Not Started</x:v>
      </x:c>
      <x:c r="O694" s="115"/>
      <x:c r="P694" s="119"/>
      <x:c r="Q694" s="116"/>
    </x:row>
    <x:row r="695" ht="20" customHeight="1">
      <x:c r="A695" s="83" t="str">
        <x:v>HAYS-0694</x:v>
      </x:c>
      <x:c r="B695" s="87" t="str">
        <x:v>Salvia engelmannii</x:v>
      </x:c>
      <x:c r="C695" s="87" t="str">
        <x:v>Salvia engelmannii</x:v>
      </x:c>
      <x:c r="D695" s="84" t="str">
        <x:v>Lamiaceae</x:v>
      </x:c>
      <x:c r="E695" s="84" t="str">
        <x:v>Salvia</x:v>
      </x:c>
      <x:c r="F695" s="84" t="str">
        <x:v>Engelmann's Sage, Engelmann's Salvia</x:v>
      </x:c>
      <x:c r="G695" s="119"/>
      <x:c r="H695" s="119"/>
      <x:c r="I695" s="119"/>
      <x:c r="J695" s="119"/>
      <x:c r="K695" s="119"/>
      <x:c r="L695" s="119"/>
      <x:c r="M695" s="119"/>
      <x:c r="N695" s="115" t="str">
        <x:v>Not Started</x:v>
      </x:c>
      <x:c r="O695" s="115"/>
      <x:c r="P695" s="119"/>
      <x:c r="Q695" s="116"/>
    </x:row>
    <x:row r="696" ht="20" customHeight="1">
      <x:c r="A696" s="83" t="str">
        <x:v>HAYS-0695</x:v>
      </x:c>
      <x:c r="B696" s="87" t="str">
        <x:v>Salvia farinacea</x:v>
      </x:c>
      <x:c r="C696" s="87" t="str">
        <x:v>Salvia farinacea</x:v>
      </x:c>
      <x:c r="D696" s="84" t="str">
        <x:v>Lamiaceae</x:v>
      </x:c>
      <x:c r="E696" s="84" t="str">
        <x:v>Salvia</x:v>
      </x:c>
      <x:c r="F696" s="84" t="str">
        <x:v>Mealy Blue Sage, Mealy Sage, Mealycup Sage</x:v>
      </x:c>
      <x:c r="G696" s="119"/>
      <x:c r="H696" s="119"/>
      <x:c r="I696" s="119"/>
      <x:c r="J696" s="119"/>
      <x:c r="K696" s="119"/>
      <x:c r="L696" s="119"/>
      <x:c r="M696" s="119"/>
      <x:c r="N696" s="115" t="str">
        <x:v>Not Started</x:v>
      </x:c>
      <x:c r="O696" s="115"/>
      <x:c r="P696" s="119"/>
      <x:c r="Q696" s="116"/>
    </x:row>
    <x:row r="697" ht="20" customHeight="1">
      <x:c r="A697" s="83" t="str">
        <x:v>HAYS-0696</x:v>
      </x:c>
      <x:c r="B697" s="87" t="str">
        <x:v>Salvia greggii</x:v>
      </x:c>
      <x:c r="C697" s="87" t="str">
        <x:v>Salvia greggii</x:v>
      </x:c>
      <x:c r="D697" s="84" t="str">
        <x:v>Lamiaceae</x:v>
      </x:c>
      <x:c r="E697" s="84" t="str">
        <x:v>Salvia</x:v>
      </x:c>
      <x:c r="F697" s="84" t="str">
        <x:v>Autumn Sage, Cherry Sage, Gregg Salvia</x:v>
      </x:c>
      <x:c r="G697" s="119"/>
      <x:c r="H697" s="119"/>
      <x:c r="I697" s="119"/>
      <x:c r="J697" s="119"/>
      <x:c r="K697" s="119"/>
      <x:c r="L697" s="119"/>
      <x:c r="M697" s="119"/>
      <x:c r="N697" s="115" t="str">
        <x:v>Not Started</x:v>
      </x:c>
      <x:c r="O697" s="115"/>
      <x:c r="P697" s="119"/>
      <x:c r="Q697" s="116"/>
    </x:row>
    <x:row r="698" ht="20" customHeight="1">
      <x:c r="A698" s="83" t="str">
        <x:v>HAYS-0697</x:v>
      </x:c>
      <x:c r="B698" s="87" t="str">
        <x:v>Salvia lyrata</x:v>
      </x:c>
      <x:c r="C698" s="87" t="str">
        <x:v>Salvia lyrata</x:v>
      </x:c>
      <x:c r="D698" s="84" t="str">
        <x:v>Lamiaceae</x:v>
      </x:c>
      <x:c r="E698" s="84" t="str">
        <x:v>Salvia</x:v>
      </x:c>
      <x:c r="F698" s="84" t="str">
        <x:v>Lyreleaf Sage, Cancer Weed</x:v>
      </x:c>
      <x:c r="G698" s="119"/>
      <x:c r="H698" s="119"/>
      <x:c r="I698" s="119"/>
      <x:c r="J698" s="119"/>
      <x:c r="K698" s="119"/>
      <x:c r="L698" s="119"/>
      <x:c r="M698" s="119"/>
      <x:c r="N698" s="115" t="str">
        <x:v>Not Started</x:v>
      </x:c>
      <x:c r="O698" s="115"/>
      <x:c r="P698" s="119"/>
      <x:c r="Q698" s="116"/>
    </x:row>
    <x:row r="699" ht="20" customHeight="1">
      <x:c r="A699" s="83" t="str">
        <x:v>HAYS-0698</x:v>
      </x:c>
      <x:c r="B699" s="87" t="str">
        <x:v>Salvia pentstemonoides</x:v>
      </x:c>
      <x:c r="C699" s="87" t="str">
        <x:v>Salvia pentstemonoides</x:v>
      </x:c>
      <x:c r="D699" s="84" t="str">
        <x:v>Lamiaceae</x:v>
      </x:c>
      <x:c r="E699" s="84" t="str">
        <x:v>Salvia</x:v>
      </x:c>
      <x:c r="F699" s="84" t="str">
        <x:v>Big Red Sage</x:v>
      </x:c>
      <x:c r="G699" s="119"/>
      <x:c r="H699" s="119"/>
      <x:c r="I699" s="119"/>
      <x:c r="J699" s="119"/>
      <x:c r="K699" s="119"/>
      <x:c r="L699" s="119"/>
      <x:c r="M699" s="119"/>
      <x:c r="N699" s="115" t="str">
        <x:v>Not Started</x:v>
      </x:c>
      <x:c r="O699" s="115"/>
      <x:c r="P699" s="119"/>
      <x:c r="Q699" s="116"/>
    </x:row>
    <x:row r="700" ht="20" customHeight="1">
      <x:c r="A700" s="83" t="str">
        <x:v>HAYS-0699</x:v>
      </x:c>
      <x:c r="B700" s="87" t="str">
        <x:v>Salvia roemeriana</x:v>
      </x:c>
      <x:c r="C700" s="87" t="str">
        <x:v>Salvia roemeriana</x:v>
      </x:c>
      <x:c r="D700" s="84" t="str">
        <x:v>Lamiaceae</x:v>
      </x:c>
      <x:c r="E700" s="84" t="str">
        <x:v>Salvia</x:v>
      </x:c>
      <x:c r="F700" s="84" t="str">
        <x:v>Cedar Sage</x:v>
      </x:c>
      <x:c r="G700" s="119"/>
      <x:c r="H700" s="119"/>
      <x:c r="I700" s="119"/>
      <x:c r="J700" s="119"/>
      <x:c r="K700" s="119"/>
      <x:c r="L700" s="119"/>
      <x:c r="M700" s="119"/>
      <x:c r="N700" s="115" t="str">
        <x:v>Not Started</x:v>
      </x:c>
      <x:c r="O700" s="115"/>
      <x:c r="P700" s="119"/>
      <x:c r="Q700" s="116"/>
    </x:row>
    <x:row r="701" ht="20" customHeight="1">
      <x:c r="A701" s="83" t="str">
        <x:v>HAYS-0700</x:v>
      </x:c>
      <x:c r="B701" s="87" t="str">
        <x:v>Salvia texana</x:v>
      </x:c>
      <x:c r="C701" s="87" t="str">
        <x:v>Salvia texana</x:v>
      </x:c>
      <x:c r="D701" s="84" t="str">
        <x:v>Lamiaceae</x:v>
      </x:c>
      <x:c r="E701" s="84" t="str">
        <x:v>Salvia</x:v>
      </x:c>
      <x:c r="F701" s="84" t="str">
        <x:v>Texas Sage, Blue Sage</x:v>
      </x:c>
      <x:c r="G701" s="119"/>
      <x:c r="H701" s="119"/>
      <x:c r="I701" s="119"/>
      <x:c r="J701" s="119"/>
      <x:c r="K701" s="119"/>
      <x:c r="L701" s="119"/>
      <x:c r="M701" s="119"/>
      <x:c r="N701" s="115" t="str">
        <x:v>Not Started</x:v>
      </x:c>
      <x:c r="O701" s="115"/>
      <x:c r="P701" s="119"/>
      <x:c r="Q701" s="116"/>
    </x:row>
    <x:row r="702" ht="20" customHeight="1">
      <x:c r="A702" s="83" t="str">
        <x:v>HAYS-0701</x:v>
      </x:c>
      <x:c r="B702" s="87" t="str">
        <x:v>Sambucus nigra</x:v>
      </x:c>
      <x:c r="C702" s="87" t="str">
        <x:v>Sambucus nigra</x:v>
      </x:c>
      <x:c r="D702" s="84" t="str">
        <x:v>Viburnaceae</x:v>
      </x:c>
      <x:c r="E702" s="84" t="str">
        <x:v>Sambucus</x:v>
      </x:c>
      <x:c r="F702" s="84" t="str">
        <x:v>Black Elderberry</x:v>
      </x:c>
      <x:c r="G702" s="119"/>
      <x:c r="H702" s="119"/>
      <x:c r="I702" s="119"/>
      <x:c r="J702" s="119"/>
      <x:c r="K702" s="119"/>
      <x:c r="L702" s="119"/>
      <x:c r="M702" s="119"/>
      <x:c r="N702" s="115" t="str">
        <x:v>Not Started</x:v>
      </x:c>
      <x:c r="O702" s="115"/>
      <x:c r="P702" s="119"/>
      <x:c r="Q702" s="116"/>
    </x:row>
    <x:row r="703" ht="20" customHeight="1">
      <x:c r="A703" s="83" t="str">
        <x:v>HAYS-0702</x:v>
      </x:c>
      <x:c r="B703" s="87" t="str">
        <x:v>Sambucus nigra ssp. canadensis</x:v>
      </x:c>
      <x:c r="C703" s="87" t="str">
        <x:v>Sambucus canadensis</x:v>
      </x:c>
      <x:c r="D703" s="84" t="str">
        <x:v>Viburnaceae</x:v>
      </x:c>
      <x:c r="E703" s="84" t="str">
        <x:v>Sambucus</x:v>
      </x:c>
      <x:c r="F703" s="84" t="str">
        <x:v>Common Elderberry</x:v>
      </x:c>
      <x:c r="G703" s="119"/>
      <x:c r="H703" s="119"/>
      <x:c r="I703" s="119"/>
      <x:c r="J703" s="119"/>
      <x:c r="K703" s="119"/>
      <x:c r="L703" s="119"/>
      <x:c r="M703" s="119"/>
      <x:c r="N703" s="115" t="str">
        <x:v>Not Started</x:v>
      </x:c>
      <x:c r="O703" s="115"/>
      <x:c r="P703" s="119"/>
      <x:c r="Q703" s="116"/>
    </x:row>
    <x:row r="704" ht="20" customHeight="1">
      <x:c r="A704" s="83" t="str">
        <x:v>HAYS-0703</x:v>
      </x:c>
      <x:c r="B704" s="87" t="str">
        <x:v>Samolus ebracteatus</x:v>
      </x:c>
      <x:c r="C704" s="87" t="str">
        <x:v>Samolus ebracteatus</x:v>
      </x:c>
      <x:c r="D704" s="84" t="str">
        <x:v>Primulaceae</x:v>
      </x:c>
      <x:c r="E704" s="84" t="str">
        <x:v>Samolus</x:v>
      </x:c>
      <x:c r="F704" s="84" t="str">
        <x:v>Limewater Brookweed</x:v>
      </x:c>
      <x:c r="G704" s="119"/>
      <x:c r="H704" s="119"/>
      <x:c r="I704" s="119"/>
      <x:c r="J704" s="119"/>
      <x:c r="K704" s="119"/>
      <x:c r="L704" s="119"/>
      <x:c r="M704" s="119"/>
      <x:c r="N704" s="115" t="str">
        <x:v>Not Started</x:v>
      </x:c>
      <x:c r="O704" s="115"/>
      <x:c r="P704" s="119"/>
      <x:c r="Q704" s="116"/>
    </x:row>
    <x:row r="705" ht="20" customHeight="1">
      <x:c r="A705" s="83" t="str">
        <x:v>HAYS-0704</x:v>
      </x:c>
      <x:c r="B705" s="87" t="str">
        <x:v>Samolus valerandi ssp. parviflorus</x:v>
      </x:c>
      <x:c r="C705" s="87" t="str">
        <x:v>Samolus parviflorus</x:v>
      </x:c>
      <x:c r="D705" s="84" t="str">
        <x:v>Primulaceae</x:v>
      </x:c>
      <x:c r="E705" s="84" t="str">
        <x:v>Samolus</x:v>
      </x:c>
      <x:c r="F705" s="84" t="str">
        <x:v>Seaside Brookweed, Water Pimpernel, Thin-leaf Brookweed</x:v>
      </x:c>
      <x:c r="G705" s="119"/>
      <x:c r="H705" s="119"/>
      <x:c r="I705" s="119"/>
      <x:c r="J705" s="119"/>
      <x:c r="K705" s="119"/>
      <x:c r="L705" s="119"/>
      <x:c r="M705" s="119"/>
      <x:c r="N705" s="115" t="str">
        <x:v>Not Started</x:v>
      </x:c>
      <x:c r="O705" s="115"/>
      <x:c r="P705" s="119"/>
      <x:c r="Q705" s="116"/>
    </x:row>
    <x:row r="706" ht="20" customHeight="1">
      <x:c r="A706" s="83" t="str">
        <x:v>HAYS-0705</x:v>
      </x:c>
      <x:c r="B706" s="87" t="str">
        <x:v>Sanicula canadensis</x:v>
      </x:c>
      <x:c r="C706" s="87" t="str">
        <x:v>Sanicula canadensis</x:v>
      </x:c>
      <x:c r="D706" s="84" t="str">
        <x:v>Apiaceae</x:v>
      </x:c>
      <x:c r="E706" s="84" t="str">
        <x:v>Sanicula</x:v>
      </x:c>
      <x:c r="F706" s="84" t="str">
        <x:v>Canadian Blacksnakeroot, Black Snakeroot</x:v>
      </x:c>
      <x:c r="G706" s="119"/>
      <x:c r="H706" s="119"/>
      <x:c r="I706" s="119"/>
      <x:c r="J706" s="119"/>
      <x:c r="K706" s="119"/>
      <x:c r="L706" s="119"/>
      <x:c r="M706" s="119"/>
      <x:c r="N706" s="115" t="str">
        <x:v>Not Started</x:v>
      </x:c>
      <x:c r="O706" s="115"/>
      <x:c r="P706" s="119"/>
      <x:c r="Q706" s="116"/>
    </x:row>
    <x:row r="707" ht="20" customHeight="1">
      <x:c r="A707" s="83" t="str">
        <x:v>HAYS-0706</x:v>
      </x:c>
      <x:c r="B707" s="87" t="str">
        <x:v>Sapindus saponaria</x:v>
      </x:c>
      <x:c r="C707" s="87" t="str">
        <x:v>Sapindus saponaria</x:v>
      </x:c>
      <x:c r="D707" s="84" t="str">
        <x:v>Sapindaceae</x:v>
      </x:c>
      <x:c r="E707" s="84" t="str">
        <x:v>Sapindus</x:v>
      </x:c>
      <x:c r="F707" s="84" t="str">
        <x:v>Wingleaf Soapberry, Soapberry, Wild China Tree</x:v>
      </x:c>
      <x:c r="G707" s="119"/>
      <x:c r="H707" s="119"/>
      <x:c r="I707" s="119"/>
      <x:c r="J707" s="119"/>
      <x:c r="K707" s="119"/>
      <x:c r="L707" s="119"/>
      <x:c r="M707" s="119"/>
      <x:c r="N707" s="115" t="str">
        <x:v>Not Started</x:v>
      </x:c>
      <x:c r="O707" s="115"/>
      <x:c r="P707" s="119"/>
      <x:c r="Q707" s="116"/>
    </x:row>
    <x:row r="708" ht="20" customHeight="1">
      <x:c r="A708" s="83" t="str">
        <x:v>HAYS-0707</x:v>
      </x:c>
      <x:c r="B708" s="87" t="str">
        <x:v>Sapindus saponaria var. drummondii</x:v>
      </x:c>
      <x:c r="C708" s="87" t="str">
        <x:v>Sapindus drummondii</x:v>
      </x:c>
      <x:c r="D708" s="84" t="str">
        <x:v>Sapindaceae</x:v>
      </x:c>
      <x:c r="E708" s="84" t="str">
        <x:v>Sapindus</x:v>
      </x:c>
      <x:c r="F708" s="84" t="str">
        <x:v>Wingleaf Soapberry, Soapberry, Wild China Tree</x:v>
      </x:c>
      <x:c r="G708" s="119"/>
      <x:c r="H708" s="119"/>
      <x:c r="I708" s="119"/>
      <x:c r="J708" s="119"/>
      <x:c r="K708" s="119"/>
      <x:c r="L708" s="119"/>
      <x:c r="M708" s="119"/>
      <x:c r="N708" s="115" t="str">
        <x:v>Not Started</x:v>
      </x:c>
      <x:c r="O708" s="115"/>
      <x:c r="P708" s="119"/>
      <x:c r="Q708" s="116"/>
    </x:row>
    <x:row r="709" ht="20" customHeight="1">
      <x:c r="A709" s="83" t="str">
        <x:v>HAYS-0708</x:v>
      </x:c>
      <x:c r="B709" s="87" t="str">
        <x:v>Saururus cernuus</x:v>
      </x:c>
      <x:c r="C709" s="87" t="str">
        <x:v>Saururus cernuus</x:v>
      </x:c>
      <x:c r="D709" s="84" t="str">
        <x:v>Saururaceae</x:v>
      </x:c>
      <x:c r="E709" s="84" t="str">
        <x:v>Saururus</x:v>
      </x:c>
      <x:c r="F709" s="84" t="str">
        <x:v>Lizard's Tail, Lizard Tail, Breastweed, Water Dragon</x:v>
      </x:c>
      <x:c r="G709" s="119"/>
      <x:c r="H709" s="119"/>
      <x:c r="I709" s="119"/>
      <x:c r="J709" s="119"/>
      <x:c r="K709" s="119"/>
      <x:c r="L709" s="119"/>
      <x:c r="M709" s="119"/>
      <x:c r="N709" s="115" t="str">
        <x:v>Not Started</x:v>
      </x:c>
      <x:c r="O709" s="115"/>
      <x:c r="P709" s="119"/>
      <x:c r="Q709" s="116"/>
    </x:row>
    <x:row r="710" ht="20" customHeight="1">
      <x:c r="A710" s="83" t="str">
        <x:v>HAYS-0709</x:v>
      </x:c>
      <x:c r="B710" s="87" t="str">
        <x:v>Schedonnardus paniculatus</x:v>
      </x:c>
      <x:c r="C710" s="87" t="str">
        <x:v>Muhlenbergia paniculata</x:v>
      </x:c>
      <x:c r="D710" s="84" t="str">
        <x:v>Poaceae</x:v>
      </x:c>
      <x:c r="E710" s="84" t="str">
        <x:v>Muhlenbergia</x:v>
      </x:c>
      <x:c r="F710" s="84" t="str">
        <x:v>Tumblegrass, Tumble Grass</x:v>
      </x:c>
      <x:c r="G710" s="119"/>
      <x:c r="H710" s="119"/>
      <x:c r="I710" s="119"/>
      <x:c r="J710" s="119"/>
      <x:c r="K710" s="119"/>
      <x:c r="L710" s="119"/>
      <x:c r="M710" s="119"/>
      <x:c r="N710" s="115" t="str">
        <x:v>Not Started</x:v>
      </x:c>
      <x:c r="O710" s="115"/>
      <x:c r="P710" s="119"/>
      <x:c r="Q710" s="116"/>
    </x:row>
    <x:row r="711" ht="20" customHeight="1">
      <x:c r="A711" s="83" t="str">
        <x:v>HAYS-0710</x:v>
      </x:c>
      <x:c r="B711" s="87" t="str">
        <x:v>Schizachyrium scoparium</x:v>
      </x:c>
      <x:c r="C711" s="87" t="str">
        <x:v>Schizachyrium scoparium</x:v>
      </x:c>
      <x:c r="D711" s="84" t="str">
        <x:v>Poaceae</x:v>
      </x:c>
      <x:c r="E711" s="84" t="str">
        <x:v>Schizachyrium</x:v>
      </x:c>
      <x:c r="F711" s="84" t="str">
        <x:v>Little Bluestem, Popotillo Azul</x:v>
      </x:c>
      <x:c r="G711" s="119"/>
      <x:c r="H711" s="119"/>
      <x:c r="I711" s="119"/>
      <x:c r="J711" s="119"/>
      <x:c r="K711" s="119"/>
      <x:c r="L711" s="119"/>
      <x:c r="M711" s="119"/>
      <x:c r="N711" s="115" t="str">
        <x:v>Not Started</x:v>
      </x:c>
      <x:c r="O711" s="115"/>
      <x:c r="P711" s="119"/>
      <x:c r="Q711" s="116"/>
    </x:row>
    <x:row r="712" ht="20" customHeight="1">
      <x:c r="A712" s="83" t="str">
        <x:v>HAYS-0711</x:v>
      </x:c>
      <x:c r="B712" s="87" t="str">
        <x:v>Schoenocaulon drummondii</x:v>
      </x:c>
      <x:c r="C712" s="87"/>
      <x:c r="D712" s="84" t="str">
        <x:v>[Taxonomy unresolved]</x:v>
      </x:c>
      <x:c r="E712" s="84" t="str">
        <x:v>Schoenocaulon</x:v>
      </x:c>
      <x:c r="F712" s="84" t="str">
        <x:v>Green Feathershank, Green Lily</x:v>
      </x:c>
      <x:c r="G712" s="119"/>
      <x:c r="H712" s="119"/>
      <x:c r="I712" s="119"/>
      <x:c r="J712" s="119"/>
      <x:c r="K712" s="119"/>
      <x:c r="L712" s="119"/>
      <x:c r="M712" s="119"/>
      <x:c r="N712" s="115" t="str">
        <x:v>Not Started</x:v>
      </x:c>
      <x:c r="O712" s="115"/>
      <x:c r="P712" s="119"/>
      <x:c r="Q712" s="116"/>
    </x:row>
    <x:row r="713" ht="20" customHeight="1">
      <x:c r="A713" s="83" t="str">
        <x:v>HAYS-0712</x:v>
      </x:c>
      <x:c r="B713" s="87" t="str">
        <x:v>Schoenocaulon texanum</x:v>
      </x:c>
      <x:c r="C713" s="87" t="str">
        <x:v>Schoenocaulon texanum</x:v>
      </x:c>
      <x:c r="D713" s="84" t="str">
        <x:v>Melanthiaceae</x:v>
      </x:c>
      <x:c r="E713" s="84" t="str">
        <x:v>Schoenocaulon</x:v>
      </x:c>
      <x:c r="F713" s="84" t="str">
        <x:v>Texas Feathershank, Green Lily, Texas Sabadilla</x:v>
      </x:c>
      <x:c r="G713" s="119"/>
      <x:c r="H713" s="119"/>
      <x:c r="I713" s="119"/>
      <x:c r="J713" s="119"/>
      <x:c r="K713" s="119"/>
      <x:c r="L713" s="119"/>
      <x:c r="M713" s="119"/>
      <x:c r="N713" s="115" t="str">
        <x:v>Not Started</x:v>
      </x:c>
      <x:c r="O713" s="115"/>
      <x:c r="P713" s="119"/>
      <x:c r="Q713" s="116"/>
    </x:row>
    <x:row r="714" ht="20" customHeight="1">
      <x:c r="A714" s="83" t="str">
        <x:v>HAYS-0713</x:v>
      </x:c>
      <x:c r="B714" s="87" t="str">
        <x:v>Schoenoplectus californicus</x:v>
      </x:c>
      <x:c r="C714" s="87" t="str">
        <x:v>Schoenoplectus californicus</x:v>
      </x:c>
      <x:c r="D714" s="84" t="str">
        <x:v>Cyperaceae</x:v>
      </x:c>
      <x:c r="E714" s="84" t="str">
        <x:v>Schoenoplectus</x:v>
      </x:c>
      <x:c r="F714" s="84" t="str">
        <x:v>California Bulrush, California Club-rush, Giant Bulrush</x:v>
      </x:c>
      <x:c r="G714" s="119"/>
      <x:c r="H714" s="119"/>
      <x:c r="I714" s="119"/>
      <x:c r="J714" s="119"/>
      <x:c r="K714" s="119"/>
      <x:c r="L714" s="119"/>
      <x:c r="M714" s="119"/>
      <x:c r="N714" s="115" t="str">
        <x:v>Not Started</x:v>
      </x:c>
      <x:c r="O714" s="115"/>
      <x:c r="P714" s="119"/>
      <x:c r="Q714" s="116"/>
    </x:row>
    <x:row r="715" ht="20" customHeight="1">
      <x:c r="A715" s="83" t="str">
        <x:v>HAYS-0714</x:v>
      </x:c>
      <x:c r="B715" s="87" t="str">
        <x:v>Schoenoplectus tabernaemontani</x:v>
      </x:c>
      <x:c r="C715" s="87" t="str">
        <x:v>Schoenoplectus tabernaemontani</x:v>
      </x:c>
      <x:c r="D715" s="84" t="str">
        <x:v>Cyperaceae</x:v>
      </x:c>
      <x:c r="E715" s="84" t="str">
        <x:v>Schoenoplectus</x:v>
      </x:c>
      <x:c r="F715" s="84" t="str">
        <x:v>Softstem Bulrush, Soft-stem Club-rush, Great Bulrush</x:v>
      </x:c>
      <x:c r="G715" s="119"/>
      <x:c r="H715" s="119"/>
      <x:c r="I715" s="119"/>
      <x:c r="J715" s="119"/>
      <x:c r="K715" s="119"/>
      <x:c r="L715" s="119"/>
      <x:c r="M715" s="119"/>
      <x:c r="N715" s="115" t="str">
        <x:v>Not Started</x:v>
      </x:c>
      <x:c r="O715" s="115"/>
      <x:c r="P715" s="119"/>
      <x:c r="Q715" s="116"/>
    </x:row>
    <x:row r="716" ht="20" customHeight="1">
      <x:c r="A716" s="83" t="str">
        <x:v>HAYS-0715</x:v>
      </x:c>
      <x:c r="B716" s="87" t="str">
        <x:v>Scutellaria drummondii</x:v>
      </x:c>
      <x:c r="C716" s="87" t="str">
        <x:v>Scutellaria drummondii</x:v>
      </x:c>
      <x:c r="D716" s="84" t="str">
        <x:v>Lamiaceae</x:v>
      </x:c>
      <x:c r="E716" s="84" t="str">
        <x:v>Scutellaria</x:v>
      </x:c>
      <x:c r="F716" s="84" t="str">
        <x:v>Drummond's Skullcap</x:v>
      </x:c>
      <x:c r="G716" s="119"/>
      <x:c r="H716" s="119"/>
      <x:c r="I716" s="119"/>
      <x:c r="J716" s="119"/>
      <x:c r="K716" s="119"/>
      <x:c r="L716" s="119"/>
      <x:c r="M716" s="119"/>
      <x:c r="N716" s="115" t="str">
        <x:v>Not Started</x:v>
      </x:c>
      <x:c r="O716" s="115"/>
      <x:c r="P716" s="119"/>
      <x:c r="Q716" s="116"/>
    </x:row>
    <x:row r="717" ht="20" customHeight="1">
      <x:c r="A717" s="83" t="str">
        <x:v>HAYS-0716</x:v>
      </x:c>
      <x:c r="B717" s="87" t="str">
        <x:v>Scutellaria ovata</x:v>
      </x:c>
      <x:c r="C717" s="87" t="str">
        <x:v>Scutellaria ovata</x:v>
      </x:c>
      <x:c r="D717" s="84" t="str">
        <x:v>Lamiaceae</x:v>
      </x:c>
      <x:c r="E717" s="84" t="str">
        <x:v>Scutellaria</x:v>
      </x:c>
      <x:c r="F717" s="84" t="str">
        <x:v>Heartleaf Skullcap, Heart-leaf Skullcap</x:v>
      </x:c>
      <x:c r="G717" s="119"/>
      <x:c r="H717" s="119"/>
      <x:c r="I717" s="119"/>
      <x:c r="J717" s="119"/>
      <x:c r="K717" s="119"/>
      <x:c r="L717" s="119"/>
      <x:c r="M717" s="119"/>
      <x:c r="N717" s="115" t="str">
        <x:v>Not Started</x:v>
      </x:c>
      <x:c r="O717" s="115"/>
      <x:c r="P717" s="119"/>
      <x:c r="Q717" s="116"/>
    </x:row>
    <x:row r="718" ht="20" customHeight="1">
      <x:c r="A718" s="83" t="str">
        <x:v>HAYS-0717</x:v>
      </x:c>
      <x:c r="B718" s="87" t="str">
        <x:v>Scutellaria wrightii</x:v>
      </x:c>
      <x:c r="C718" s="87" t="str">
        <x:v>Scutellaria wrightii</x:v>
      </x:c>
      <x:c r="D718" s="84" t="str">
        <x:v>Lamiaceae</x:v>
      </x:c>
      <x:c r="E718" s="84" t="str">
        <x:v>Scutellaria</x:v>
      </x:c>
      <x:c r="F718" s="84" t="str">
        <x:v>Wright's Skullcap, Bushy Skullcap, Shrubby Skullcap</x:v>
      </x:c>
      <x:c r="G718" s="119"/>
      <x:c r="H718" s="119"/>
      <x:c r="I718" s="119"/>
      <x:c r="J718" s="119"/>
      <x:c r="K718" s="119"/>
      <x:c r="L718" s="119"/>
      <x:c r="M718" s="119"/>
      <x:c r="N718" s="115" t="str">
        <x:v>Not Started</x:v>
      </x:c>
      <x:c r="O718" s="115"/>
      <x:c r="P718" s="119"/>
      <x:c r="Q718" s="116"/>
    </x:row>
    <x:row r="719" ht="20" customHeight="1">
      <x:c r="A719" s="83" t="str">
        <x:v>HAYS-0718</x:v>
      </x:c>
      <x:c r="B719" s="87" t="str">
        <x:v>Sedum nuttallianum</x:v>
      </x:c>
      <x:c r="C719" s="87" t="str">
        <x:v>Sedum nuttallii</x:v>
      </x:c>
      <x:c r="D719" s="84" t="str">
        <x:v>Crassulaceae</x:v>
      </x:c>
      <x:c r="E719" s="84" t="str">
        <x:v>Sedum</x:v>
      </x:c>
      <x:c r="F719" s="84" t="str">
        <x:v>Yellow Stonecrop</x:v>
      </x:c>
      <x:c r="G719" s="119"/>
      <x:c r="H719" s="119"/>
      <x:c r="I719" s="119"/>
      <x:c r="J719" s="119"/>
      <x:c r="K719" s="119"/>
      <x:c r="L719" s="119"/>
      <x:c r="M719" s="119"/>
      <x:c r="N719" s="115" t="str">
        <x:v>Not Started</x:v>
      </x:c>
      <x:c r="O719" s="115"/>
      <x:c r="P719" s="119"/>
      <x:c r="Q719" s="116"/>
    </x:row>
    <x:row r="720" ht="20" customHeight="1">
      <x:c r="A720" s="83" t="str">
        <x:v>HAYS-0719</x:v>
      </x:c>
      <x:c r="B720" s="87" t="str">
        <x:v>Selaginella apoda</x:v>
      </x:c>
      <x:c r="C720" s="87" t="str">
        <x:v>Selaginella apoda</x:v>
      </x:c>
      <x:c r="D720" s="84" t="str">
        <x:v>Selaginellaceae</x:v>
      </x:c>
      <x:c r="E720" s="84" t="str">
        <x:v>Selaginella</x:v>
      </x:c>
      <x:c r="F720" s="84" t="str">
        <x:v>Meadow Spikemoss</x:v>
      </x:c>
      <x:c r="G720" s="119"/>
      <x:c r="H720" s="119"/>
      <x:c r="I720" s="119"/>
      <x:c r="J720" s="119"/>
      <x:c r="K720" s="119"/>
      <x:c r="L720" s="119"/>
      <x:c r="M720" s="119"/>
      <x:c r="N720" s="115" t="str">
        <x:v>Not Started</x:v>
      </x:c>
      <x:c r="O720" s="115"/>
      <x:c r="P720" s="119"/>
      <x:c r="Q720" s="116"/>
    </x:row>
    <x:row r="721" ht="20" customHeight="1">
      <x:c r="A721" s="83" t="str">
        <x:v>HAYS-0720</x:v>
      </x:c>
      <x:c r="B721" s="87" t="str">
        <x:v>Selaginella arenicola</x:v>
      </x:c>
      <x:c r="C721" s="87" t="str">
        <x:v>Selaginella arenicola</x:v>
      </x:c>
      <x:c r="D721" s="84" t="str">
        <x:v>Selaginellaceae</x:v>
      </x:c>
      <x:c r="E721" s="84" t="str">
        <x:v>Selaginella</x:v>
      </x:c>
      <x:c r="F721" s="84" t="str">
        <x:v>Sand Spikemoss, Sand Spike-moss</x:v>
      </x:c>
      <x:c r="G721" s="119"/>
      <x:c r="H721" s="119"/>
      <x:c r="I721" s="119"/>
      <x:c r="J721" s="119"/>
      <x:c r="K721" s="119"/>
      <x:c r="L721" s="119"/>
      <x:c r="M721" s="119"/>
      <x:c r="N721" s="115" t="str">
        <x:v>Not Started</x:v>
      </x:c>
      <x:c r="O721" s="115"/>
      <x:c r="P721" s="119"/>
      <x:c r="Q721" s="116"/>
    </x:row>
    <x:row r="722" ht="20" customHeight="1">
      <x:c r="A722" s="83" t="str">
        <x:v>HAYS-0721</x:v>
      </x:c>
      <x:c r="B722" s="87" t="str">
        <x:v>Senecio ampullaceus</x:v>
      </x:c>
      <x:c r="C722" s="87" t="str">
        <x:v>Senecio ampullaceus</x:v>
      </x:c>
      <x:c r="D722" s="84" t="str">
        <x:v>Asteraceae</x:v>
      </x:c>
      <x:c r="E722" s="84" t="str">
        <x:v>Senecio</x:v>
      </x:c>
      <x:c r="F722" s="84" t="str">
        <x:v>Texas Ragwort, Texas Groundsel, Texas Butterweed</x:v>
      </x:c>
      <x:c r="G722" s="119"/>
      <x:c r="H722" s="119"/>
      <x:c r="I722" s="119"/>
      <x:c r="J722" s="119"/>
      <x:c r="K722" s="119"/>
      <x:c r="L722" s="119"/>
      <x:c r="M722" s="119"/>
      <x:c r="N722" s="115" t="str">
        <x:v>Not Started</x:v>
      </x:c>
      <x:c r="O722" s="115"/>
      <x:c r="P722" s="119"/>
      <x:c r="Q722" s="116"/>
    </x:row>
    <x:row r="723" ht="20" customHeight="1">
      <x:c r="A723" s="83" t="str">
        <x:v>HAYS-0722</x:v>
      </x:c>
      <x:c r="B723" s="87" t="str">
        <x:v>Senegalia greggii</x:v>
      </x:c>
      <x:c r="C723" s="87" t="str">
        <x:v>Senegalia greggii</x:v>
      </x:c>
      <x:c r="D723" s="84" t="str">
        <x:v>Fabaceae</x:v>
      </x:c>
      <x:c r="E723" s="84" t="str">
        <x:v>Senegalia</x:v>
      </x:c>
      <x:c r="F723" s="84" t="str">
        <x:v>Gregg Acacia, Gregg's Acacia, Gregg Catclaw Acacia, Gregg's Catclaw Acacia, Gregg Catclaw, Gregg's Catclaw, Texas Catclaw Acacia, Texas Catclaw, Long-flowered Catclaw Acacia, Longflower Catclaw Acacia, Long-flowered Catclaw, Longflower Catclaw, Catclaw Acacia, Catclaw, Devil's Claw, Uña De Gato</x:v>
      </x:c>
      <x:c r="G723" s="119"/>
      <x:c r="H723" s="119"/>
      <x:c r="I723" s="119"/>
      <x:c r="J723" s="119"/>
      <x:c r="K723" s="119"/>
      <x:c r="L723" s="119"/>
      <x:c r="M723" s="119"/>
      <x:c r="N723" s="115" t="str">
        <x:v>Not Started</x:v>
      </x:c>
      <x:c r="O723" s="115"/>
      <x:c r="P723" s="119"/>
      <x:c r="Q723" s="116"/>
    </x:row>
    <x:row r="724" ht="20" customHeight="1">
      <x:c r="A724" s="83" t="str">
        <x:v>HAYS-0723</x:v>
      </x:c>
      <x:c r="B724" s="87" t="str">
        <x:v>Senegalia roemeriana</x:v>
      </x:c>
      <x:c r="C724" s="87" t="str">
        <x:v>Senegalia roemeriana</x:v>
      </x:c>
      <x:c r="D724" s="84" t="str">
        <x:v>Fabaceae</x:v>
      </x:c>
      <x:c r="E724" s="84" t="str">
        <x:v>Senegalia</x:v>
      </x:c>
      <x:c r="F724" s="84" t="str">
        <x:v>Roemer Acacia, Roemer's Acacia, Roundflower Catclaw, Round-flowered Catclaw, Catclaw Acacia, Catclaw</x:v>
      </x:c>
      <x:c r="G724" s="119"/>
      <x:c r="H724" s="119"/>
      <x:c r="I724" s="119"/>
      <x:c r="J724" s="119"/>
      <x:c r="K724" s="119"/>
      <x:c r="L724" s="119"/>
      <x:c r="M724" s="119"/>
      <x:c r="N724" s="115" t="str">
        <x:v>Not Started</x:v>
      </x:c>
      <x:c r="O724" s="115"/>
      <x:c r="P724" s="119"/>
      <x:c r="Q724" s="116"/>
    </x:row>
    <x:row r="725" ht="20" customHeight="1">
      <x:c r="A725" s="83" t="str">
        <x:v>HAYS-0724</x:v>
      </x:c>
      <x:c r="B725" s="87" t="str">
        <x:v>Senegalia wrightii</x:v>
      </x:c>
      <x:c r="C725" s="87" t="str">
        <x:v>Senegalia wrightii</x:v>
      </x:c>
      <x:c r="D725" s="84" t="str">
        <x:v>Fabaceae</x:v>
      </x:c>
      <x:c r="E725" s="84" t="str">
        <x:v>Senegalia</x:v>
      </x:c>
      <x:c r="F725" s="84" t="str">
        <x:v>Wright Acacia, Wright's Acacia, Catclaw Acacia, Catclaw</x:v>
      </x:c>
      <x:c r="G725" s="119"/>
      <x:c r="H725" s="119"/>
      <x:c r="I725" s="119"/>
      <x:c r="J725" s="119"/>
      <x:c r="K725" s="119"/>
      <x:c r="L725" s="119"/>
      <x:c r="M725" s="119"/>
      <x:c r="N725" s="115" t="str">
        <x:v>Not Started</x:v>
      </x:c>
      <x:c r="O725" s="115"/>
      <x:c r="P725" s="119"/>
      <x:c r="Q725" s="116"/>
    </x:row>
    <x:row r="726" ht="20" customHeight="1">
      <x:c r="A726" s="83" t="str">
        <x:v>HAYS-0725</x:v>
      </x:c>
      <x:c r="B726" s="87" t="str">
        <x:v>Senna lindheimeriana</x:v>
      </x:c>
      <x:c r="C726" s="87" t="str">
        <x:v>Senna lindheimeriana</x:v>
      </x:c>
      <x:c r="D726" s="84" t="str">
        <x:v>Fabaceae</x:v>
      </x:c>
      <x:c r="E726" s="84" t="str">
        <x:v>Senna</x:v>
      </x:c>
      <x:c r="F726" s="84" t="str">
        <x:v>Lindheimer's Senna, Velvet Leaf Senna, Velvetleaf Senna, Velvet-leaf Wild Sensitive-plant, Puppy-dog Ears</x:v>
      </x:c>
      <x:c r="G726" s="119"/>
      <x:c r="H726" s="119"/>
      <x:c r="I726" s="119"/>
      <x:c r="J726" s="119"/>
      <x:c r="K726" s="119"/>
      <x:c r="L726" s="119"/>
      <x:c r="M726" s="119"/>
      <x:c r="N726" s="115" t="str">
        <x:v>Not Started</x:v>
      </x:c>
      <x:c r="O726" s="115"/>
      <x:c r="P726" s="119"/>
      <x:c r="Q726" s="116"/>
    </x:row>
    <x:row r="727" ht="20" customHeight="1">
      <x:c r="A727" s="83" t="str">
        <x:v>HAYS-0726</x:v>
      </x:c>
      <x:c r="B727" s="87" t="str">
        <x:v>Senna roemeriana</x:v>
      </x:c>
      <x:c r="C727" s="87" t="str">
        <x:v>Senna roemeriana</x:v>
      </x:c>
      <x:c r="D727" s="84" t="str">
        <x:v>Fabaceae</x:v>
      </x:c>
      <x:c r="E727" s="84" t="str">
        <x:v>Senna</x:v>
      </x:c>
      <x:c r="F727" s="84" t="str">
        <x:v>Twoleaf Senna, Two Leaved Senna</x:v>
      </x:c>
      <x:c r="G727" s="119"/>
      <x:c r="H727" s="119"/>
      <x:c r="I727" s="119"/>
      <x:c r="J727" s="119"/>
      <x:c r="K727" s="119"/>
      <x:c r="L727" s="119"/>
      <x:c r="M727" s="119"/>
      <x:c r="N727" s="115" t="str">
        <x:v>Not Started</x:v>
      </x:c>
      <x:c r="O727" s="115"/>
      <x:c r="P727" s="119"/>
      <x:c r="Q727" s="116"/>
    </x:row>
    <x:row r="728" ht="20" customHeight="1">
      <x:c r="A728" s="83" t="str">
        <x:v>HAYS-0727</x:v>
      </x:c>
      <x:c r="B728" s="87" t="str">
        <x:v>Sesbania drummondii</x:v>
      </x:c>
      <x:c r="C728" s="87" t="str">
        <x:v>Sesbania drummondii</x:v>
      </x:c>
      <x:c r="D728" s="84" t="str">
        <x:v>Fabaceae</x:v>
      </x:c>
      <x:c r="E728" s="84" t="str">
        <x:v>Sesbania</x:v>
      </x:c>
      <x:c r="F728" s="84" t="str">
        <x:v>Rattlebush, Rattlebox, Poisonbean</x:v>
      </x:c>
      <x:c r="G728" s="119"/>
      <x:c r="H728" s="119"/>
      <x:c r="I728" s="119"/>
      <x:c r="J728" s="119"/>
      <x:c r="K728" s="119"/>
      <x:c r="L728" s="119"/>
      <x:c r="M728" s="119"/>
      <x:c r="N728" s="115" t="str">
        <x:v>Not Started</x:v>
      </x:c>
      <x:c r="O728" s="115"/>
      <x:c r="P728" s="119"/>
      <x:c r="Q728" s="116"/>
    </x:row>
    <x:row r="729" ht="20" customHeight="1">
      <x:c r="A729" s="83" t="str">
        <x:v>HAYS-0728</x:v>
      </x:c>
      <x:c r="B729" s="87" t="str">
        <x:v>Sesbania herbacea</x:v>
      </x:c>
      <x:c r="C729" s="87" t="str">
        <x:v>Sesbania herbacea</x:v>
      </x:c>
      <x:c r="D729" s="84" t="str">
        <x:v>Fabaceae</x:v>
      </x:c>
      <x:c r="E729" s="84" t="str">
        <x:v>Sesbania</x:v>
      </x:c>
      <x:c r="F729" s="84" t="str">
        <x:v>Coffeeweed, Bigpod Sesbania</x:v>
      </x:c>
      <x:c r="G729" s="119"/>
      <x:c r="H729" s="119"/>
      <x:c r="I729" s="119"/>
      <x:c r="J729" s="119"/>
      <x:c r="K729" s="119"/>
      <x:c r="L729" s="119"/>
      <x:c r="M729" s="119"/>
      <x:c r="N729" s="115" t="str">
        <x:v>Not Started</x:v>
      </x:c>
      <x:c r="O729" s="115"/>
      <x:c r="P729" s="119"/>
      <x:c r="Q729" s="116"/>
    </x:row>
    <x:row r="730" ht="20" customHeight="1">
      <x:c r="A730" s="83" t="str">
        <x:v>HAYS-0729</x:v>
      </x:c>
      <x:c r="B730" s="87" t="str">
        <x:v>Setaria parviflora</x:v>
      </x:c>
      <x:c r="C730" s="87" t="str">
        <x:v>Setaria parviflora</x:v>
      </x:c>
      <x:c r="D730" s="84" t="str">
        <x:v>Poaceae</x:v>
      </x:c>
      <x:c r="E730" s="84" t="str">
        <x:v>Setaria</x:v>
      </x:c>
      <x:c r="F730" s="84" t="str">
        <x:v>Marsh Bristlegrass, Knotroot Bristlegrass</x:v>
      </x:c>
      <x:c r="G730" s="119"/>
      <x:c r="H730" s="119"/>
      <x:c r="I730" s="119"/>
      <x:c r="J730" s="119"/>
      <x:c r="K730" s="119"/>
      <x:c r="L730" s="119"/>
      <x:c r="M730" s="119"/>
      <x:c r="N730" s="115" t="str">
        <x:v>Not Started</x:v>
      </x:c>
      <x:c r="O730" s="115"/>
      <x:c r="P730" s="119"/>
      <x:c r="Q730" s="116"/>
    </x:row>
    <x:row r="731" ht="20" customHeight="1">
      <x:c r="A731" s="83" t="str">
        <x:v>HAYS-0730</x:v>
      </x:c>
      <x:c r="B731" s="87" t="str">
        <x:v>Setaria reverchonii</x:v>
      </x:c>
      <x:c r="C731" s="87" t="str">
        <x:v>Setaria reverchonii</x:v>
      </x:c>
      <x:c r="D731" s="84" t="str">
        <x:v>Poaceae</x:v>
      </x:c>
      <x:c r="E731" s="84" t="str">
        <x:v>Setaria</x:v>
      </x:c>
      <x:c r="F731" s="84" t="str">
        <x:v>Reverchon's Bristlegrass</x:v>
      </x:c>
      <x:c r="G731" s="119"/>
      <x:c r="H731" s="119"/>
      <x:c r="I731" s="119"/>
      <x:c r="J731" s="119"/>
      <x:c r="K731" s="119"/>
      <x:c r="L731" s="119"/>
      <x:c r="M731" s="119"/>
      <x:c r="N731" s="115" t="str">
        <x:v>Not Started</x:v>
      </x:c>
      <x:c r="O731" s="115"/>
      <x:c r="P731" s="119"/>
      <x:c r="Q731" s="116"/>
    </x:row>
    <x:row r="732" ht="20" customHeight="1">
      <x:c r="A732" s="83" t="str">
        <x:v>HAYS-0731</x:v>
      </x:c>
      <x:c r="B732" s="87" t="str">
        <x:v>Setaria scheelei</x:v>
      </x:c>
      <x:c r="C732" s="87" t="str">
        <x:v>Setaria scheelei</x:v>
      </x:c>
      <x:c r="D732" s="84" t="str">
        <x:v>Poaceae</x:v>
      </x:c>
      <x:c r="E732" s="84" t="str">
        <x:v>Setaria</x:v>
      </x:c>
      <x:c r="F732" s="84" t="str">
        <x:v>Southwestern Bristlegrass, Scheele's Bristlegrass, Scheele's Foxtail Grass, Foxtail Grass</x:v>
      </x:c>
      <x:c r="G732" s="119"/>
      <x:c r="H732" s="119"/>
      <x:c r="I732" s="119"/>
      <x:c r="J732" s="119"/>
      <x:c r="K732" s="119"/>
      <x:c r="L732" s="119"/>
      <x:c r="M732" s="119"/>
      <x:c r="N732" s="115" t="str">
        <x:v>Not Started</x:v>
      </x:c>
      <x:c r="O732" s="115"/>
      <x:c r="P732" s="119"/>
      <x:c r="Q732" s="116"/>
    </x:row>
    <x:row r="733" ht="20" customHeight="1">
      <x:c r="A733" s="83" t="str">
        <x:v>HAYS-0732</x:v>
      </x:c>
      <x:c r="B733" s="87" t="str">
        <x:v>Seymeria texana</x:v>
      </x:c>
      <x:c r="C733" s="87" t="str">
        <x:v>Seymeria bipinnatisecta</x:v>
      </x:c>
      <x:c r="D733" s="84" t="str">
        <x:v>Orobanchaceae</x:v>
      </x:c>
      <x:c r="E733" s="84" t="str">
        <x:v>Seymeria</x:v>
      </x:c>
      <x:c r="F733" s="84" t="str">
        <x:v>Texas Blacksenna</x:v>
      </x:c>
      <x:c r="G733" s="119"/>
      <x:c r="H733" s="119"/>
      <x:c r="I733" s="119"/>
      <x:c r="J733" s="119"/>
      <x:c r="K733" s="119"/>
      <x:c r="L733" s="119"/>
      <x:c r="M733" s="119"/>
      <x:c r="N733" s="115" t="str">
        <x:v>Not Started</x:v>
      </x:c>
      <x:c r="O733" s="115"/>
      <x:c r="P733" s="119"/>
      <x:c r="Q733" s="116"/>
    </x:row>
    <x:row r="734" ht="20" customHeight="1">
      <x:c r="A734" s="83" t="str">
        <x:v>HAYS-0733</x:v>
      </x:c>
      <x:c r="B734" s="87" t="str">
        <x:v>Sibara virginica</x:v>
      </x:c>
      <x:c r="C734" s="87" t="str">
        <x:v>Planodes virginicum</x:v>
      </x:c>
      <x:c r="D734" s="84" t="str">
        <x:v>Brassicaceae</x:v>
      </x:c>
      <x:c r="E734" s="84" t="str">
        <x:v>Planodes</x:v>
      </x:c>
      <x:c r="F734" s="84" t="str">
        <x:v>Virginia Winged Rockcress</x:v>
      </x:c>
      <x:c r="G734" s="119"/>
      <x:c r="H734" s="119"/>
      <x:c r="I734" s="119"/>
      <x:c r="J734" s="119"/>
      <x:c r="K734" s="119"/>
      <x:c r="L734" s="119"/>
      <x:c r="M734" s="119"/>
      <x:c r="N734" s="115" t="str">
        <x:v>Not Started</x:v>
      </x:c>
      <x:c r="O734" s="115"/>
      <x:c r="P734" s="119"/>
      <x:c r="Q734" s="116"/>
    </x:row>
    <x:row r="735" ht="20" customHeight="1">
      <x:c r="A735" s="83" t="str">
        <x:v>HAYS-0734</x:v>
      </x:c>
      <x:c r="B735" s="87" t="str">
        <x:v>Sida spinosa</x:v>
      </x:c>
      <x:c r="C735" s="87" t="str">
        <x:v>Sida spinosa</x:v>
      </x:c>
      <x:c r="D735" s="84" t="str">
        <x:v>Malvaceae</x:v>
      </x:c>
      <x:c r="E735" s="84" t="str">
        <x:v>Sida</x:v>
      </x:c>
      <x:c r="F735" s="84" t="str">
        <x:v>Prickly Fanpetals</x:v>
      </x:c>
      <x:c r="G735" s="119"/>
      <x:c r="H735" s="119"/>
      <x:c r="I735" s="119"/>
      <x:c r="J735" s="119"/>
      <x:c r="K735" s="119"/>
      <x:c r="L735" s="119"/>
      <x:c r="M735" s="119"/>
      <x:c r="N735" s="115" t="str">
        <x:v>Not Started</x:v>
      </x:c>
      <x:c r="O735" s="115"/>
      <x:c r="P735" s="119"/>
      <x:c r="Q735" s="116"/>
    </x:row>
    <x:row r="736" ht="20" customHeight="1">
      <x:c r="A736" s="83" t="str">
        <x:v>HAYS-0735</x:v>
      </x:c>
      <x:c r="B736" s="87" t="str">
        <x:v>Sideroxylon lanuginosum</x:v>
      </x:c>
      <x:c r="C736" s="87" t="str">
        <x:v>Sideroxylon lanuginosum</x:v>
      </x:c>
      <x:c r="D736" s="84" t="str">
        <x:v>Sapotaceae</x:v>
      </x:c>
      <x:c r="E736" s="84" t="str">
        <x:v>Sideroxylon</x:v>
      </x:c>
      <x:c r="F736" s="84" t="str">
        <x:v>Gum Bumelia, Gum Bully, Woollybucket Bumelia, Woolly Bumelia, Gum Woollybucket, Woolly Buckthorn, Chittamwood, Shittamwood, Gum Elastic, Coma, Black Haw</x:v>
      </x:c>
      <x:c r="G736" s="119"/>
      <x:c r="H736" s="119"/>
      <x:c r="I736" s="119"/>
      <x:c r="J736" s="119"/>
      <x:c r="K736" s="119"/>
      <x:c r="L736" s="119"/>
      <x:c r="M736" s="119"/>
      <x:c r="N736" s="115" t="str">
        <x:v>Not Started</x:v>
      </x:c>
      <x:c r="O736" s="115"/>
      <x:c r="P736" s="119"/>
      <x:c r="Q736" s="116"/>
    </x:row>
    <x:row r="737" ht="20" customHeight="1">
      <x:c r="A737" s="83" t="str">
        <x:v>HAYS-0736</x:v>
      </x:c>
      <x:c r="B737" s="87" t="str">
        <x:v>Silene antirrhina</x:v>
      </x:c>
      <x:c r="C737" s="87" t="str">
        <x:v>Silene antirrhina</x:v>
      </x:c>
      <x:c r="D737" s="84" t="str">
        <x:v>Caryophyllaceae</x:v>
      </x:c>
      <x:c r="E737" s="84" t="str">
        <x:v>Silene</x:v>
      </x:c>
      <x:c r="F737" s="84" t="str">
        <x:v>Sleepy Silene, Sleepy Catchfly, Sticky Catchfly</x:v>
      </x:c>
      <x:c r="G737" s="119"/>
      <x:c r="H737" s="119"/>
      <x:c r="I737" s="119"/>
      <x:c r="J737" s="119"/>
      <x:c r="K737" s="119"/>
      <x:c r="L737" s="119"/>
      <x:c r="M737" s="119"/>
      <x:c r="N737" s="115" t="str">
        <x:v>Not Started</x:v>
      </x:c>
      <x:c r="O737" s="115"/>
      <x:c r="P737" s="119"/>
      <x:c r="Q737" s="116"/>
    </x:row>
    <x:row r="738" ht="20" customHeight="1">
      <x:c r="A738" s="83" t="str">
        <x:v>HAYS-0737</x:v>
      </x:c>
      <x:c r="B738" s="87" t="str">
        <x:v>Silphium albiflorum</x:v>
      </x:c>
      <x:c r="C738" s="87" t="str">
        <x:v>Silphium albiflorum</x:v>
      </x:c>
      <x:c r="D738" s="84" t="str">
        <x:v>Asteraceae</x:v>
      </x:c>
      <x:c r="E738" s="84" t="str">
        <x:v>Silphium</x:v>
      </x:c>
      <x:c r="F738" s="84" t="str">
        <x:v>White Rosinweed, White-flowered Rosinweed, Compass Plant</x:v>
      </x:c>
      <x:c r="G738" s="119"/>
      <x:c r="H738" s="119"/>
      <x:c r="I738" s="119"/>
      <x:c r="J738" s="119"/>
      <x:c r="K738" s="119"/>
      <x:c r="L738" s="119"/>
      <x:c r="M738" s="119"/>
      <x:c r="N738" s="115" t="str">
        <x:v>Not Started</x:v>
      </x:c>
      <x:c r="O738" s="115"/>
      <x:c r="P738" s="119"/>
      <x:c r="Q738" s="116"/>
    </x:row>
    <x:row r="739" ht="20" customHeight="1">
      <x:c r="A739" s="83" t="str">
        <x:v>HAYS-0738</x:v>
      </x:c>
      <x:c r="B739" s="87" t="str">
        <x:v>Silphium integrifolium</x:v>
      </x:c>
      <x:c r="C739" s="87" t="str">
        <x:v>Silphium integrifolium</x:v>
      </x:c>
      <x:c r="D739" s="84" t="str">
        <x:v>Asteraceae</x:v>
      </x:c>
      <x:c r="E739" s="84" t="str">
        <x:v>Silphium</x:v>
      </x:c>
      <x:c r="F739" s="84" t="str">
        <x:v>Wholeleaf Rosinweed, Entire-leaf Rosinweed</x:v>
      </x:c>
      <x:c r="G739" s="119"/>
      <x:c r="H739" s="119"/>
      <x:c r="I739" s="119"/>
      <x:c r="J739" s="119"/>
      <x:c r="K739" s="119"/>
      <x:c r="L739" s="119"/>
      <x:c r="M739" s="119"/>
      <x:c r="N739" s="115" t="str">
        <x:v>Not Started</x:v>
      </x:c>
      <x:c r="O739" s="115"/>
      <x:c r="P739" s="119"/>
      <x:c r="Q739" s="116"/>
    </x:row>
    <x:row r="740" ht="20" customHeight="1">
      <x:c r="A740" s="83" t="str">
        <x:v>HAYS-0739</x:v>
      </x:c>
      <x:c r="B740" s="87" t="str">
        <x:v>Silphium laciniatum</x:v>
      </x:c>
      <x:c r="C740" s="87" t="str">
        <x:v>Silphium laciniatum</x:v>
      </x:c>
      <x:c r="D740" s="84" t="str">
        <x:v>Asteraceae</x:v>
      </x:c>
      <x:c r="E740" s="84" t="str">
        <x:v>Silphium</x:v>
      </x:c>
      <x:c r="F740" s="84" t="str">
        <x:v>Compassplant, Compass Plant</x:v>
      </x:c>
      <x:c r="G740" s="119"/>
      <x:c r="H740" s="119"/>
      <x:c r="I740" s="119"/>
      <x:c r="J740" s="119"/>
      <x:c r="K740" s="119"/>
      <x:c r="L740" s="119"/>
      <x:c r="M740" s="119"/>
      <x:c r="N740" s="115" t="str">
        <x:v>Not Started</x:v>
      </x:c>
      <x:c r="O740" s="115"/>
      <x:c r="P740" s="119"/>
      <x:c r="Q740" s="116"/>
    </x:row>
    <x:row r="741" ht="20" customHeight="1">
      <x:c r="A741" s="83" t="str">
        <x:v>HAYS-0740</x:v>
      </x:c>
      <x:c r="B741" s="87" t="str">
        <x:v>Silphium radula</x:v>
      </x:c>
      <x:c r="C741" s="87" t="str">
        <x:v>Silphium radula</x:v>
      </x:c>
      <x:c r="D741" s="84" t="str">
        <x:v>Asteraceae</x:v>
      </x:c>
      <x:c r="E741" s="84" t="str">
        <x:v>Silphium</x:v>
      </x:c>
      <x:c r="F741" s="84" t="str">
        <x:v>Roughstem Rosinweed</x:v>
      </x:c>
      <x:c r="G741" s="119"/>
      <x:c r="H741" s="119"/>
      <x:c r="I741" s="119"/>
      <x:c r="J741" s="119"/>
      <x:c r="K741" s="119"/>
      <x:c r="L741" s="119"/>
      <x:c r="M741" s="119"/>
      <x:c r="N741" s="115" t="str">
        <x:v>Not Started</x:v>
      </x:c>
      <x:c r="O741" s="115"/>
      <x:c r="P741" s="119"/>
      <x:c r="Q741" s="116"/>
    </x:row>
    <x:row r="742" ht="20" customHeight="1">
      <x:c r="A742" s="83" t="str">
        <x:v>HAYS-0741</x:v>
      </x:c>
      <x:c r="B742" s="87" t="str">
        <x:v>Simsia calva</x:v>
      </x:c>
      <x:c r="C742" s="87" t="str">
        <x:v>Simsia calva</x:v>
      </x:c>
      <x:c r="D742" s="84" t="str">
        <x:v>Asteraceae</x:v>
      </x:c>
      <x:c r="E742" s="84" t="str">
        <x:v>Simsia</x:v>
      </x:c>
      <x:c r="F742" s="84" t="str">
        <x:v>Awnless Bushsunflower</x:v>
      </x:c>
      <x:c r="G742" s="119"/>
      <x:c r="H742" s="119"/>
      <x:c r="I742" s="119"/>
      <x:c r="J742" s="119"/>
      <x:c r="K742" s="119"/>
      <x:c r="L742" s="119"/>
      <x:c r="M742" s="119"/>
      <x:c r="N742" s="115" t="str">
        <x:v>Not Started</x:v>
      </x:c>
      <x:c r="O742" s="115"/>
      <x:c r="P742" s="119"/>
      <x:c r="Q742" s="116"/>
    </x:row>
    <x:row r="743" ht="20" customHeight="1">
      <x:c r="A743" s="83" t="str">
        <x:v>HAYS-0742</x:v>
      </x:c>
      <x:c r="B743" s="87" t="str">
        <x:v>Sisyrinchium angustifolium</x:v>
      </x:c>
      <x:c r="C743" s="87" t="str">
        <x:v>Sisyrinchium angustifolium</x:v>
      </x:c>
      <x:c r="D743" s="84" t="str">
        <x:v>Iridaceae</x:v>
      </x:c>
      <x:c r="E743" s="84" t="str">
        <x:v>Sisyrinchium</x:v>
      </x:c>
      <x:c r="F743" s="84" t="str">
        <x:v>Narrowleaf Blue-eyed Grass, Narrow-leaf Blue-eyed-grass, Bermuda Blue-eyed Grass, Blue-eyed Grass</x:v>
      </x:c>
      <x:c r="G743" s="119"/>
      <x:c r="H743" s="119"/>
      <x:c r="I743" s="119"/>
      <x:c r="J743" s="119"/>
      <x:c r="K743" s="119"/>
      <x:c r="L743" s="119"/>
      <x:c r="M743" s="119"/>
      <x:c r="N743" s="115" t="str">
        <x:v>Not Started</x:v>
      </x:c>
      <x:c r="O743" s="115"/>
      <x:c r="P743" s="119"/>
      <x:c r="Q743" s="116"/>
    </x:row>
    <x:row r="744" ht="20" customHeight="1">
      <x:c r="A744" s="83" t="str">
        <x:v>HAYS-0743</x:v>
      </x:c>
      <x:c r="B744" s="87" t="str">
        <x:v>Sisyrinchium biforme</x:v>
      </x:c>
      <x:c r="C744" s="87" t="str">
        <x:v>Sisyrinchium biforme</x:v>
      </x:c>
      <x:c r="D744" s="84" t="str">
        <x:v>Iridaceae</x:v>
      </x:c>
      <x:c r="E744" s="84" t="str">
        <x:v>Sisyrinchium</x:v>
      </x:c>
      <x:c r="F744" s="84" t="str">
        <x:v>Wiry Blue-eyed Grass</x:v>
      </x:c>
      <x:c r="G744" s="119"/>
      <x:c r="H744" s="119"/>
      <x:c r="I744" s="119"/>
      <x:c r="J744" s="119"/>
      <x:c r="K744" s="119"/>
      <x:c r="L744" s="119"/>
      <x:c r="M744" s="119"/>
      <x:c r="N744" s="115" t="str">
        <x:v>Not Started</x:v>
      </x:c>
      <x:c r="O744" s="115"/>
      <x:c r="P744" s="119"/>
      <x:c r="Q744" s="116"/>
    </x:row>
    <x:row r="745" ht="20" customHeight="1">
      <x:c r="A745" s="83" t="str">
        <x:v>HAYS-0744</x:v>
      </x:c>
      <x:c r="B745" s="87" t="str">
        <x:v>Sisyrinchium chilense</x:v>
      </x:c>
      <x:c r="C745" s="87" t="str">
        <x:v>Sisyrinchium chilense</x:v>
      </x:c>
      <x:c r="D745" s="84" t="str">
        <x:v>Iridaceae</x:v>
      </x:c>
      <x:c r="E745" s="84" t="str">
        <x:v>Sisyrinchium</x:v>
      </x:c>
      <x:c r="F745" s="84" t="str">
        <x:v>Swordleaf Blue-eyed Grass, Sword-leaf Blue-eyed Grass</x:v>
      </x:c>
      <x:c r="G745" s="119"/>
      <x:c r="H745" s="119"/>
      <x:c r="I745" s="119"/>
      <x:c r="J745" s="119"/>
      <x:c r="K745" s="119"/>
      <x:c r="L745" s="119"/>
      <x:c r="M745" s="119"/>
      <x:c r="N745" s="115" t="str">
        <x:v>Not Started</x:v>
      </x:c>
      <x:c r="O745" s="115"/>
      <x:c r="P745" s="119"/>
      <x:c r="Q745" s="116"/>
    </x:row>
    <x:row r="746" ht="20" customHeight="1">
      <x:c r="A746" s="83" t="str">
        <x:v>HAYS-0745</x:v>
      </x:c>
      <x:c r="B746" s="87" t="str">
        <x:v>Sisyrinchium langloisii</x:v>
      </x:c>
      <x:c r="C746" s="87" t="str">
        <x:v>Sisyrinchium langloisii</x:v>
      </x:c>
      <x:c r="D746" s="84" t="str">
        <x:v>Iridaceae</x:v>
      </x:c>
      <x:c r="E746" s="84" t="str">
        <x:v>Sisyrinchium</x:v>
      </x:c>
      <x:c r="F746" s="84" t="str">
        <x:v>Roadside Blue-eyed Grass, Dotted Blue-eyed Grass, Southern Blue-eyed Grass</x:v>
      </x:c>
      <x:c r="G746" s="119"/>
      <x:c r="H746" s="119"/>
      <x:c r="I746" s="119"/>
      <x:c r="J746" s="119"/>
      <x:c r="K746" s="119"/>
      <x:c r="L746" s="119"/>
      <x:c r="M746" s="119"/>
      <x:c r="N746" s="115" t="str">
        <x:v>Not Started</x:v>
      </x:c>
      <x:c r="O746" s="115"/>
      <x:c r="P746" s="119"/>
      <x:c r="Q746" s="116"/>
    </x:row>
    <x:row r="747" ht="20" customHeight="1">
      <x:c r="A747" s="83" t="str">
        <x:v>HAYS-0746</x:v>
      </x:c>
      <x:c r="B747" s="87" t="str">
        <x:v>Smilax bona-nox</x:v>
      </x:c>
      <x:c r="C747" s="87" t="str">
        <x:v>Smilax bona-nox</x:v>
      </x:c>
      <x:c r="D747" s="84" t="str">
        <x:v>Smilacaceae</x:v>
      </x:c>
      <x:c r="E747" s="84" t="str">
        <x:v>Smilax</x:v>
      </x:c>
      <x:c r="F747" s="84" t="str">
        <x:v>Sawbriar, Saw Greenbriar, Catbriar, Barbed Wire Vine, Bullbriar, Stretchberry Vine</x:v>
      </x:c>
      <x:c r="G747" s="119"/>
      <x:c r="H747" s="119"/>
      <x:c r="I747" s="119"/>
      <x:c r="J747" s="119"/>
      <x:c r="K747" s="119"/>
      <x:c r="L747" s="119"/>
      <x:c r="M747" s="119"/>
      <x:c r="N747" s="115" t="str">
        <x:v>Not Started</x:v>
      </x:c>
      <x:c r="O747" s="115"/>
      <x:c r="P747" s="119"/>
      <x:c r="Q747" s="116"/>
    </x:row>
    <x:row r="748" ht="20" customHeight="1">
      <x:c r="A748" s="83" t="str">
        <x:v>HAYS-0747</x:v>
      </x:c>
      <x:c r="B748" s="87" t="str">
        <x:v>Smilax tamnoides</x:v>
      </x:c>
      <x:c r="C748" s="87" t="str">
        <x:v>Smilax tamnoides</x:v>
      </x:c>
      <x:c r="D748" s="84" t="str">
        <x:v>Smilacaceae</x:v>
      </x:c>
      <x:c r="E748" s="84" t="str">
        <x:v>Smilax</x:v>
      </x:c>
      <x:c r="F748" s="84" t="str">
        <x:v>Bristly Greenbriar</x:v>
      </x:c>
      <x:c r="G748" s="119"/>
      <x:c r="H748" s="119"/>
      <x:c r="I748" s="119"/>
      <x:c r="J748" s="119"/>
      <x:c r="K748" s="119"/>
      <x:c r="L748" s="119"/>
      <x:c r="M748" s="119"/>
      <x:c r="N748" s="115" t="str">
        <x:v>Not Started</x:v>
      </x:c>
      <x:c r="O748" s="115"/>
      <x:c r="P748" s="119"/>
      <x:c r="Q748" s="116"/>
    </x:row>
    <x:row r="749" ht="20" customHeight="1">
      <x:c r="A749" s="83" t="str">
        <x:v>HAYS-0748</x:v>
      </x:c>
      <x:c r="B749" s="87" t="str">
        <x:v>Solanum americanum</x:v>
      </x:c>
      <x:c r="C749" s="87" t="str">
        <x:v>Solanum americanum</x:v>
      </x:c>
      <x:c r="D749" s="84" t="str">
        <x:v>Solanaceae</x:v>
      </x:c>
      <x:c r="E749" s="84" t="str">
        <x:v>Solanum</x:v>
      </x:c>
      <x:c r="F749" s="84" t="str">
        <x:v>American Black Nightshade</x:v>
      </x:c>
      <x:c r="G749" s="119"/>
      <x:c r="H749" s="119"/>
      <x:c r="I749" s="119"/>
      <x:c r="J749" s="119"/>
      <x:c r="K749" s="119"/>
      <x:c r="L749" s="119"/>
      <x:c r="M749" s="119"/>
      <x:c r="N749" s="115" t="str">
        <x:v>Not Started</x:v>
      </x:c>
      <x:c r="O749" s="115"/>
      <x:c r="P749" s="119"/>
      <x:c r="Q749" s="116"/>
    </x:row>
    <x:row r="750" ht="20" customHeight="1">
      <x:c r="A750" s="83" t="str">
        <x:v>HAYS-0749</x:v>
      </x:c>
      <x:c r="B750" s="87" t="str">
        <x:v>Solanum dimidiatum</x:v>
      </x:c>
      <x:c r="C750" s="87" t="str">
        <x:v>Solanum dimidiatum</x:v>
      </x:c>
      <x:c r="D750" s="84" t="str">
        <x:v>Solanaceae</x:v>
      </x:c>
      <x:c r="E750" s="84" t="str">
        <x:v>Solanum</x:v>
      </x:c>
      <x:c r="F750" s="84" t="str">
        <x:v>Western Horsenettle, Western Horse-nettle</x:v>
      </x:c>
      <x:c r="G750" s="119"/>
      <x:c r="H750" s="119"/>
      <x:c r="I750" s="119"/>
      <x:c r="J750" s="119"/>
      <x:c r="K750" s="119"/>
      <x:c r="L750" s="119"/>
      <x:c r="M750" s="119"/>
      <x:c r="N750" s="115" t="str">
        <x:v>Not Started</x:v>
      </x:c>
      <x:c r="O750" s="115"/>
      <x:c r="P750" s="119"/>
      <x:c r="Q750" s="116"/>
    </x:row>
    <x:row r="751" ht="20" customHeight="1">
      <x:c r="A751" s="83" t="str">
        <x:v>HAYS-0750</x:v>
      </x:c>
      <x:c r="B751" s="87" t="str">
        <x:v>Solanum elaeagnifolium</x:v>
      </x:c>
      <x:c r="C751" s="87" t="str">
        <x:v>Solanum elaeagnifolium</x:v>
      </x:c>
      <x:c r="D751" s="84" t="str">
        <x:v>Solanaceae</x:v>
      </x:c>
      <x:c r="E751" s="84" t="str">
        <x:v>Solanum</x:v>
      </x:c>
      <x:c r="F751" s="84" t="str">
        <x:v>Silverleaf Nightshade, Silver-leaf Nightshade, White Horse Nettle, Trompillo, Tomato Weed, Bull Nettle</x:v>
      </x:c>
      <x:c r="G751" s="119"/>
      <x:c r="H751" s="119"/>
      <x:c r="I751" s="119"/>
      <x:c r="J751" s="119"/>
      <x:c r="K751" s="119"/>
      <x:c r="L751" s="119"/>
      <x:c r="M751" s="119"/>
      <x:c r="N751" s="115" t="str">
        <x:v>Not Started</x:v>
      </x:c>
      <x:c r="O751" s="115"/>
      <x:c r="P751" s="119"/>
      <x:c r="Q751" s="116"/>
    </x:row>
    <x:row r="752" ht="20" customHeight="1">
      <x:c r="A752" s="83" t="str">
        <x:v>HAYS-0751</x:v>
      </x:c>
      <x:c r="B752" s="87" t="str">
        <x:v>Solanum ptycanthum</x:v>
      </x:c>
      <x:c r="C752" s="87"/>
      <x:c r="D752" s="84" t="str">
        <x:v>[Taxonomy unresolved]</x:v>
      </x:c>
      <x:c r="E752" s="84" t="str">
        <x:v>Solanum</x:v>
      </x:c>
      <x:c r="F752" s="84" t="str">
        <x:v>Eastern Black Nightshade, West Indian Nightshade, Common Nightshade, Black Nightshade</x:v>
      </x:c>
      <x:c r="G752" s="119"/>
      <x:c r="H752" s="119"/>
      <x:c r="I752" s="119"/>
      <x:c r="J752" s="119"/>
      <x:c r="K752" s="119"/>
      <x:c r="L752" s="119"/>
      <x:c r="M752" s="119"/>
      <x:c r="N752" s="115" t="str">
        <x:v>Not Started</x:v>
      </x:c>
      <x:c r="O752" s="115"/>
      <x:c r="P752" s="119"/>
      <x:c r="Q752" s="116"/>
    </x:row>
    <x:row r="753" ht="20" customHeight="1">
      <x:c r="A753" s="83" t="str">
        <x:v>HAYS-0752</x:v>
      </x:c>
      <x:c r="B753" s="87" t="str">
        <x:v>Solanum rostratum</x:v>
      </x:c>
      <x:c r="C753" s="87" t="str">
        <x:v>Solanum rostratum</x:v>
      </x:c>
      <x:c r="D753" s="84" t="str">
        <x:v>Solanaceae</x:v>
      </x:c>
      <x:c r="E753" s="84" t="str">
        <x:v>Solanum</x:v>
      </x:c>
      <x:c r="F753" s="84" t="str">
        <x:v>Buffalo Bur, Buffalo Bur Nightshade, Buffalobur Nightshade</x:v>
      </x:c>
      <x:c r="G753" s="119"/>
      <x:c r="H753" s="119"/>
      <x:c r="I753" s="119"/>
      <x:c r="J753" s="119"/>
      <x:c r="K753" s="119"/>
      <x:c r="L753" s="119"/>
      <x:c r="M753" s="119"/>
      <x:c r="N753" s="115" t="str">
        <x:v>Not Started</x:v>
      </x:c>
      <x:c r="O753" s="115"/>
      <x:c r="P753" s="119"/>
      <x:c r="Q753" s="116"/>
    </x:row>
    <x:row r="754" ht="20" customHeight="1">
      <x:c r="A754" s="83" t="str">
        <x:v>HAYS-0753</x:v>
      </x:c>
      <x:c r="B754" s="87" t="str">
        <x:v>Solanum triquetrum</x:v>
      </x:c>
      <x:c r="C754" s="87" t="str">
        <x:v>Solanum triquetrum</x:v>
      </x:c>
      <x:c r="D754" s="84" t="str">
        <x:v>Solanaceae</x:v>
      </x:c>
      <x:c r="E754" s="84" t="str">
        <x:v>Solanum</x:v>
      </x:c>
      <x:c r="F754" s="84" t="str">
        <x:v>Texas Nightshade, Hierba Mora</x:v>
      </x:c>
      <x:c r="G754" s="119"/>
      <x:c r="H754" s="119"/>
      <x:c r="I754" s="119"/>
      <x:c r="J754" s="119"/>
      <x:c r="K754" s="119"/>
      <x:c r="L754" s="119"/>
      <x:c r="M754" s="119"/>
      <x:c r="N754" s="115" t="str">
        <x:v>Not Started</x:v>
      </x:c>
      <x:c r="O754" s="115"/>
      <x:c r="P754" s="119"/>
      <x:c r="Q754" s="116"/>
    </x:row>
    <x:row r="755" ht="20" customHeight="1">
      <x:c r="A755" s="83" t="str">
        <x:v>HAYS-0754</x:v>
      </x:c>
      <x:c r="B755" s="87" t="str">
        <x:v>Solidago altissima</x:v>
      </x:c>
      <x:c r="C755" s="87" t="str">
        <x:v>Solidago altissima</x:v>
      </x:c>
      <x:c r="D755" s="84" t="str">
        <x:v>Asteraceae</x:v>
      </x:c>
      <x:c r="E755" s="84" t="str">
        <x:v>Solidago</x:v>
      </x:c>
      <x:c r="F755" s="84" t="str">
        <x:v>Tall Goldenrod, Late Goldenrod, Canadian Goldenrod, Canada Goldenrod</x:v>
      </x:c>
      <x:c r="G755" s="119"/>
      <x:c r="H755" s="119"/>
      <x:c r="I755" s="119"/>
      <x:c r="J755" s="119"/>
      <x:c r="K755" s="119"/>
      <x:c r="L755" s="119"/>
      <x:c r="M755" s="119"/>
      <x:c r="N755" s="115" t="str">
        <x:v>Not Started</x:v>
      </x:c>
      <x:c r="O755" s="115"/>
      <x:c r="P755" s="119"/>
      <x:c r="Q755" s="116"/>
    </x:row>
    <x:row r="756" ht="20" customHeight="1">
      <x:c r="A756" s="83" t="str">
        <x:v>HAYS-0755</x:v>
      </x:c>
      <x:c r="B756" s="87" t="str">
        <x:v>Solidago gigantea</x:v>
      </x:c>
      <x:c r="C756" s="87" t="str">
        <x:v>Solidago gigantea</x:v>
      </x:c>
      <x:c r="D756" s="84" t="str">
        <x:v>Asteraceae</x:v>
      </x:c>
      <x:c r="E756" s="84" t="str">
        <x:v>Solidago</x:v>
      </x:c>
      <x:c r="F756" s="84" t="str">
        <x:v>Giant Goldenrod, Smooth Goldenrod, Tall Goldenrod, Late Goldenrod, Early Goldenrod</x:v>
      </x:c>
      <x:c r="G756" s="119"/>
      <x:c r="H756" s="119"/>
      <x:c r="I756" s="119"/>
      <x:c r="J756" s="119"/>
      <x:c r="K756" s="119"/>
      <x:c r="L756" s="119"/>
      <x:c r="M756" s="119"/>
      <x:c r="N756" s="115" t="str">
        <x:v>Not Started</x:v>
      </x:c>
      <x:c r="O756" s="115"/>
      <x:c r="P756" s="119"/>
      <x:c r="Q756" s="116"/>
    </x:row>
    <x:row r="757" ht="20" customHeight="1">
      <x:c r="A757" s="83" t="str">
        <x:v>HAYS-0756</x:v>
      </x:c>
      <x:c r="B757" s="87" t="str">
        <x:v>Solidago juliae</x:v>
      </x:c>
      <x:c r="C757" s="87" t="str">
        <x:v>Solidago juliae</x:v>
      </x:c>
      <x:c r="D757" s="84" t="str">
        <x:v>Asteraceae</x:v>
      </x:c>
      <x:c r="E757" s="84" t="str">
        <x:v>Solidago</x:v>
      </x:c>
      <x:c r="F757" s="84" t="str">
        <x:v>Julia's Goldenrod</x:v>
      </x:c>
      <x:c r="G757" s="119"/>
      <x:c r="H757" s="119"/>
      <x:c r="I757" s="119"/>
      <x:c r="J757" s="119"/>
      <x:c r="K757" s="119"/>
      <x:c r="L757" s="119"/>
      <x:c r="M757" s="119"/>
      <x:c r="N757" s="115" t="str">
        <x:v>Not Started</x:v>
      </x:c>
      <x:c r="O757" s="115"/>
      <x:c r="P757" s="119"/>
      <x:c r="Q757" s="116"/>
    </x:row>
    <x:row r="758" ht="20" customHeight="1">
      <x:c r="A758" s="83" t="str">
        <x:v>HAYS-0757</x:v>
      </x:c>
      <x:c r="B758" s="87" t="str">
        <x:v>Solidago nemoralis</x:v>
      </x:c>
      <x:c r="C758" s="87" t="str">
        <x:v>Solidago nemoralis</x:v>
      </x:c>
      <x:c r="D758" s="84" t="str">
        <x:v>Asteraceae</x:v>
      </x:c>
      <x:c r="E758" s="84" t="str">
        <x:v>Solidago</x:v>
      </x:c>
      <x:c r="F758" s="84" t="str">
        <x:v>Gray Goldenrod, Prairie Goldenrod, Oldfield Goldenrod, Grayleaf Goldenrod, Gray-leaved Goldenrod, Dyersweed Goldenrod, Dwarf Goldenrod, Field Goldenrod</x:v>
      </x:c>
      <x:c r="G758" s="119"/>
      <x:c r="H758" s="119"/>
      <x:c r="I758" s="119"/>
      <x:c r="J758" s="119"/>
      <x:c r="K758" s="119"/>
      <x:c r="L758" s="119"/>
      <x:c r="M758" s="119"/>
      <x:c r="N758" s="115" t="str">
        <x:v>Not Started</x:v>
      </x:c>
      <x:c r="O758" s="115"/>
      <x:c r="P758" s="119"/>
      <x:c r="Q758" s="116"/>
    </x:row>
    <x:row r="759" ht="20" customHeight="1">
      <x:c r="A759" s="83" t="str">
        <x:v>HAYS-0758</x:v>
      </x:c>
      <x:c r="B759" s="87" t="str">
        <x:v>Solidago radula</x:v>
      </x:c>
      <x:c r="C759" s="87" t="str">
        <x:v>Solidago radula</x:v>
      </x:c>
      <x:c r="D759" s="84" t="str">
        <x:v>Asteraceae</x:v>
      </x:c>
      <x:c r="E759" s="84" t="str">
        <x:v>Solidago</x:v>
      </x:c>
      <x:c r="F759" s="84" t="str">
        <x:v>Western Rough Goldenrod</x:v>
      </x:c>
      <x:c r="G759" s="119"/>
      <x:c r="H759" s="119"/>
      <x:c r="I759" s="119"/>
      <x:c r="J759" s="119"/>
      <x:c r="K759" s="119"/>
      <x:c r="L759" s="119"/>
      <x:c r="M759" s="119"/>
      <x:c r="N759" s="115" t="str">
        <x:v>Not Started</x:v>
      </x:c>
      <x:c r="O759" s="115"/>
      <x:c r="P759" s="119"/>
      <x:c r="Q759" s="116"/>
    </x:row>
    <x:row r="760" ht="20" customHeight="1">
      <x:c r="A760" s="83" t="str">
        <x:v>HAYS-0759</x:v>
      </x:c>
      <x:c r="B760" s="87" t="str">
        <x:v>Sorghastrum elliottii</x:v>
      </x:c>
      <x:c r="C760" s="87" t="str">
        <x:v>Sorghastrum elliottii</x:v>
      </x:c>
      <x:c r="D760" s="84" t="str">
        <x:v>Poaceae</x:v>
      </x:c>
      <x:c r="E760" s="84" t="str">
        <x:v>Sorghastrum</x:v>
      </x:c>
      <x:c r="F760" s="84" t="str">
        <x:v>Slender Indiangrass</x:v>
      </x:c>
      <x:c r="G760" s="119"/>
      <x:c r="H760" s="119"/>
      <x:c r="I760" s="119"/>
      <x:c r="J760" s="119"/>
      <x:c r="K760" s="119"/>
      <x:c r="L760" s="119"/>
      <x:c r="M760" s="119"/>
      <x:c r="N760" s="115" t="str">
        <x:v>Not Started</x:v>
      </x:c>
      <x:c r="O760" s="115"/>
      <x:c r="P760" s="119"/>
      <x:c r="Q760" s="116"/>
    </x:row>
    <x:row r="761" ht="20" customHeight="1">
      <x:c r="A761" s="83" t="str">
        <x:v>HAYS-0760</x:v>
      </x:c>
      <x:c r="B761" s="87" t="str">
        <x:v>Sorghastrum nutans</x:v>
      </x:c>
      <x:c r="C761" s="87" t="str">
        <x:v>Sorghastrum nutans</x:v>
      </x:c>
      <x:c r="D761" s="84" t="str">
        <x:v>Poaceae</x:v>
      </x:c>
      <x:c r="E761" s="84" t="str">
        <x:v>Sorghastrum</x:v>
      </x:c>
      <x:c r="F761" s="84" t="str">
        <x:v>Indiangrass, Yellow Indiangrass, Indian Grass</x:v>
      </x:c>
      <x:c r="G761" s="119"/>
      <x:c r="H761" s="119"/>
      <x:c r="I761" s="119"/>
      <x:c r="J761" s="119"/>
      <x:c r="K761" s="119"/>
      <x:c r="L761" s="119"/>
      <x:c r="M761" s="119"/>
      <x:c r="N761" s="115" t="str">
        <x:v>Not Started</x:v>
      </x:c>
      <x:c r="O761" s="115"/>
      <x:c r="P761" s="119"/>
      <x:c r="Q761" s="116"/>
    </x:row>
    <x:row r="762" ht="20" customHeight="1">
      <x:c r="A762" s="83" t="str">
        <x:v>HAYS-0761</x:v>
      </x:c>
      <x:c r="B762" s="87" t="str">
        <x:v>Sphaeralcea lindheimeri</x:v>
      </x:c>
      <x:c r="C762" s="87" t="str">
        <x:v>Sphaeralcea lindheimeri</x:v>
      </x:c>
      <x:c r="D762" s="84" t="str">
        <x:v>Malvaceae</x:v>
      </x:c>
      <x:c r="E762" s="84" t="str">
        <x:v>Sphaeralcea</x:v>
      </x:c>
      <x:c r="F762" s="84" t="str">
        <x:v>Woolly Globemallow</x:v>
      </x:c>
      <x:c r="G762" s="119"/>
      <x:c r="H762" s="119"/>
      <x:c r="I762" s="119"/>
      <x:c r="J762" s="119"/>
      <x:c r="K762" s="119"/>
      <x:c r="L762" s="119"/>
      <x:c r="M762" s="119"/>
      <x:c r="N762" s="115" t="str">
        <x:v>Not Started</x:v>
      </x:c>
      <x:c r="O762" s="115"/>
      <x:c r="P762" s="119"/>
      <x:c r="Q762" s="116"/>
    </x:row>
    <x:row r="763" ht="20" customHeight="1">
      <x:c r="A763" s="83" t="str">
        <x:v>HAYS-0762</x:v>
      </x:c>
      <x:c r="B763" s="87" t="str">
        <x:v>Spigelia hedyotidea</x:v>
      </x:c>
      <x:c r="C763" s="87" t="str">
        <x:v>Spigelia hedyotidea</x:v>
      </x:c>
      <x:c r="D763" s="84" t="str">
        <x:v>Loganiaceae</x:v>
      </x:c>
      <x:c r="E763" s="84" t="str">
        <x:v>Spigelia</x:v>
      </x:c>
      <x:c r="F763" s="84" t="str">
        <x:v>Prairie Pinkroot, Prairie Pink Root</x:v>
      </x:c>
      <x:c r="G763" s="119"/>
      <x:c r="H763" s="119"/>
      <x:c r="I763" s="119"/>
      <x:c r="J763" s="119"/>
      <x:c r="K763" s="119"/>
      <x:c r="L763" s="119"/>
      <x:c r="M763" s="119"/>
      <x:c r="N763" s="115" t="str">
        <x:v>Not Started</x:v>
      </x:c>
      <x:c r="O763" s="115"/>
      <x:c r="P763" s="119"/>
      <x:c r="Q763" s="116"/>
    </x:row>
    <x:row r="764" ht="20" customHeight="1">
      <x:c r="A764" s="83" t="str">
        <x:v>HAYS-0763</x:v>
      </x:c>
      <x:c r="B764" s="87" t="str">
        <x:v>Spiranthes cernua</x:v>
      </x:c>
      <x:c r="C764" s="87" t="str">
        <x:v>Spiranthes cernua</x:v>
      </x:c>
      <x:c r="D764" s="84" t="str">
        <x:v>Orchidaceae</x:v>
      </x:c>
      <x:c r="E764" s="84" t="str">
        <x:v>Spiranthes</x:v>
      </x:c>
      <x:c r="F764" s="84" t="str">
        <x:v>Nodding Ladies'-tresses, Ladies'-tresses, Nodding Lady's Tresses</x:v>
      </x:c>
      <x:c r="G764" s="119"/>
      <x:c r="H764" s="119"/>
      <x:c r="I764" s="119"/>
      <x:c r="J764" s="119"/>
      <x:c r="K764" s="119"/>
      <x:c r="L764" s="119"/>
      <x:c r="M764" s="119"/>
      <x:c r="N764" s="115" t="str">
        <x:v>Not Started</x:v>
      </x:c>
      <x:c r="O764" s="115"/>
      <x:c r="P764" s="119"/>
      <x:c r="Q764" s="116"/>
    </x:row>
    <x:row r="765" ht="20" customHeight="1">
      <x:c r="A765" s="83" t="str">
        <x:v>HAYS-0764</x:v>
      </x:c>
      <x:c r="B765" s="87" t="str">
        <x:v>Spirodela polyrrhiza</x:v>
      </x:c>
      <x:c r="C765" s="87"/>
      <x:c r="D765" s="84" t="str">
        <x:v>[Taxonomy unresolved]</x:v>
      </x:c>
      <x:c r="E765" s="84" t="str">
        <x:v>Spirodela</x:v>
      </x:c>
      <x:c r="F765" s="84" t="str">
        <x:v>Common Duckmeat, Giant Duckweed</x:v>
      </x:c>
      <x:c r="G765" s="119"/>
      <x:c r="H765" s="119"/>
      <x:c r="I765" s="119"/>
      <x:c r="J765" s="119"/>
      <x:c r="K765" s="119"/>
      <x:c r="L765" s="119"/>
      <x:c r="M765" s="119"/>
      <x:c r="N765" s="115" t="str">
        <x:v>Not Started</x:v>
      </x:c>
      <x:c r="O765" s="115"/>
      <x:c r="P765" s="119"/>
      <x:c r="Q765" s="116"/>
    </x:row>
    <x:row r="766" ht="20" customHeight="1">
      <x:c r="A766" s="83" t="str">
        <x:v>HAYS-0765</x:v>
      </x:c>
      <x:c r="B766" s="87" t="str">
        <x:v>Sporobolus clandestinus</x:v>
      </x:c>
      <x:c r="C766" s="87" t="str">
        <x:v>Sporobolus clandestinus</x:v>
      </x:c>
      <x:c r="D766" s="84" t="str">
        <x:v>Poaceae</x:v>
      </x:c>
      <x:c r="E766" s="84" t="str">
        <x:v>Sporobolus</x:v>
      </x:c>
      <x:c r="F766" s="84" t="str">
        <x:v>Hidden Dropseed, Rough Dropseed</x:v>
      </x:c>
      <x:c r="G766" s="119"/>
      <x:c r="H766" s="119"/>
      <x:c r="I766" s="119"/>
      <x:c r="J766" s="119"/>
      <x:c r="K766" s="119"/>
      <x:c r="L766" s="119"/>
      <x:c r="M766" s="119"/>
      <x:c r="N766" s="115" t="str">
        <x:v>Not Started</x:v>
      </x:c>
      <x:c r="O766" s="115"/>
      <x:c r="P766" s="119"/>
      <x:c r="Q766" s="116"/>
    </x:row>
    <x:row r="767" ht="20" customHeight="1">
      <x:c r="A767" s="83" t="str">
        <x:v>HAYS-0766</x:v>
      </x:c>
      <x:c r="B767" s="87" t="str">
        <x:v>Sporobolus compositus</x:v>
      </x:c>
      <x:c r="C767" s="87" t="str">
        <x:v>Sporobolus compositus</x:v>
      </x:c>
      <x:c r="D767" s="84" t="str">
        <x:v>Poaceae</x:v>
      </x:c>
      <x:c r="E767" s="84" t="str">
        <x:v>Sporobolus</x:v>
      </x:c>
      <x:c r="F767" s="84" t="str">
        <x:v>Tall Dropseed, Composite Dropseed, Rough Dropseed</x:v>
      </x:c>
      <x:c r="G767" s="119"/>
      <x:c r="H767" s="119"/>
      <x:c r="I767" s="119"/>
      <x:c r="J767" s="119"/>
      <x:c r="K767" s="119"/>
      <x:c r="L767" s="119"/>
      <x:c r="M767" s="119"/>
      <x:c r="N767" s="115" t="str">
        <x:v>Not Started</x:v>
      </x:c>
      <x:c r="O767" s="115"/>
      <x:c r="P767" s="119"/>
      <x:c r="Q767" s="116"/>
    </x:row>
    <x:row r="768" ht="20" customHeight="1">
      <x:c r="A768" s="83" t="str">
        <x:v>HAYS-0767</x:v>
      </x:c>
      <x:c r="B768" s="87" t="str">
        <x:v>Sporobolus vaginiflorus</x:v>
      </x:c>
      <x:c r="C768" s="87" t="str">
        <x:v>Sporobolus vaginiflorus</x:v>
      </x:c>
      <x:c r="D768" s="84" t="str">
        <x:v>Poaceae</x:v>
      </x:c>
      <x:c r="E768" s="84" t="str">
        <x:v>Sporobolus</x:v>
      </x:c>
      <x:c r="F768" s="84" t="str">
        <x:v>Poverty Dropseed</x:v>
      </x:c>
      <x:c r="G768" s="119"/>
      <x:c r="H768" s="119"/>
      <x:c r="I768" s="119"/>
      <x:c r="J768" s="119"/>
      <x:c r="K768" s="119"/>
      <x:c r="L768" s="119"/>
      <x:c r="M768" s="119"/>
      <x:c r="N768" s="115" t="str">
        <x:v>Not Started</x:v>
      </x:c>
      <x:c r="O768" s="115"/>
      <x:c r="P768" s="119"/>
      <x:c r="Q768" s="116"/>
    </x:row>
    <x:row r="769" ht="20" customHeight="1">
      <x:c r="A769" s="83" t="str">
        <x:v>HAYS-0768</x:v>
      </x:c>
      <x:c r="B769" s="87" t="str">
        <x:v>Stachys crenata</x:v>
      </x:c>
      <x:c r="C769" s="87"/>
      <x:c r="D769" s="84" t="str">
        <x:v>[Taxonomy unresolved]</x:v>
      </x:c>
      <x:c r="E769" s="84" t="str">
        <x:v>Stachys</x:v>
      </x:c>
      <x:c r="F769" s="84" t="str">
        <x:v>Mousesear, Shade Betony, Mouse's Ear</x:v>
      </x:c>
      <x:c r="G769" s="119"/>
      <x:c r="H769" s="119"/>
      <x:c r="I769" s="119"/>
      <x:c r="J769" s="119"/>
      <x:c r="K769" s="119"/>
      <x:c r="L769" s="119"/>
      <x:c r="M769" s="119"/>
      <x:c r="N769" s="115" t="str">
        <x:v>Not Started</x:v>
      </x:c>
      <x:c r="O769" s="115"/>
      <x:c r="P769" s="119"/>
      <x:c r="Q769" s="116"/>
    </x:row>
    <x:row r="770" ht="20" customHeight="1">
      <x:c r="A770" s="83" t="str">
        <x:v>HAYS-0769</x:v>
      </x:c>
      <x:c r="B770" s="87" t="str">
        <x:v>Stellaria prostrata</x:v>
      </x:c>
      <x:c r="C770" s="87" t="str">
        <x:v>Stellaria cuspidata subsp. prostrata</x:v>
      </x:c>
      <x:c r="D770" s="84" t="str">
        <x:v>Caryophyllaceae</x:v>
      </x:c>
      <x:c r="E770" s="84" t="str">
        <x:v>Stellaria</x:v>
      </x:c>
      <x:c r="F770" s="84" t="str">
        <x:v>Prostrate Starwort, Prostrate Chickweed</x:v>
      </x:c>
      <x:c r="G770" s="119"/>
      <x:c r="H770" s="119"/>
      <x:c r="I770" s="119"/>
      <x:c r="J770" s="119"/>
      <x:c r="K770" s="119"/>
      <x:c r="L770" s="119"/>
      <x:c r="M770" s="119"/>
      <x:c r="N770" s="115" t="str">
        <x:v>Not Started</x:v>
      </x:c>
      <x:c r="O770" s="115"/>
      <x:c r="P770" s="119"/>
      <x:c r="Q770" s="116"/>
    </x:row>
    <x:row r="771" ht="20" customHeight="1">
      <x:c r="A771" s="83" t="str">
        <x:v>HAYS-0770</x:v>
      </x:c>
      <x:c r="B771" s="87" t="str">
        <x:v>Stenosiphon linifolius</x:v>
      </x:c>
      <x:c r="C771" s="87"/>
      <x:c r="D771" s="84" t="str">
        <x:v>[Taxonomy unresolved]</x:v>
      </x:c>
      <x:c r="E771" s="84" t="str">
        <x:v>Stenosiphon</x:v>
      </x:c>
      <x:c r="F771" s="84" t="str">
        <x:v>False Gaura</x:v>
      </x:c>
      <x:c r="G771" s="119"/>
      <x:c r="H771" s="119"/>
      <x:c r="I771" s="119"/>
      <x:c r="J771" s="119"/>
      <x:c r="K771" s="119"/>
      <x:c r="L771" s="119"/>
      <x:c r="M771" s="119"/>
      <x:c r="N771" s="115" t="str">
        <x:v>Not Started</x:v>
      </x:c>
      <x:c r="O771" s="115"/>
      <x:c r="P771" s="119"/>
      <x:c r="Q771" s="116"/>
    </x:row>
    <x:row r="772" ht="105" customHeight="1">
      <x:c r="A772" s="83" t="str">
        <x:v>HAYS-0771</x:v>
      </x:c>
      <x:c r="B772" s="87" t="str">
        <x:v>Stillingia texana</x:v>
      </x:c>
      <x:c r="C772" s="87" t="str">
        <x:v>Stillingia texana</x:v>
      </x:c>
      <x:c r="D772" s="84" t="str">
        <x:v>Euphorbiaceae</x:v>
      </x:c>
      <x:c r="E772" s="84" t="str">
        <x:v>Stillingia</x:v>
      </x:c>
      <x:c r="F772" s="84" t="str">
        <x:v>Texas Queen's Delight, Queen's Delight, Texas Toothleaf</x:v>
      </x:c>
      <x:c r="G772" s="119" t="str">
        <x:v>Upright queen's-delight with a terminal spike: female flowers/fruit low, male flowers above.</x:v>
      </x:c>
      <x:c r="H772" s="119" t="str">
        <x:v>Terminal spikelike inflorescence with pistillate flowers proximal and staminate flowers distal; milky latex and bract glands are supporting characters pending regional review. Species evidence: Use terminal inflorescence architecture plus capsule and bracts; leaf outline alone is not sufficient.</x:v>
      </x:c>
      <x:c r="I772" s="119" t="str">
        <x:v>Acalypha; other Stillingia if later added</x:v>
      </x:c>
      <x:c r="J772" s="119" t="str">
        <x:v>Use terminal inflorescence architecture plus capsule and bracts; leaf outline alone is not sufficient.</x:v>
      </x:c>
      <x:c r="K772" s="119" t="str">
        <x:v>Whole plant, terminal spike from base to tip, bracts and glands, leaf margin, capsule.</x:v>
      </x:c>
      <x:c r="L772" s="119"/>
      <x:c r="M772" s="119" t="str">
        <x:v>https://floranorthamerica.org/Stillingia</x:v>
      </x:c>
      <x:c r="N772" s="115" t="str">
        <x:v>In Progress</x:v>
      </x:c>
      <x:c r="O772" s="115" t="str">
        <x:v>Main chat — Euphorbiaceae pilot</x:v>
      </x:c>
      <x:c r="P772" s="119" t="str">
        <x:v>Moderate / singleton species. Next: Add a regional Texas species treatment and verify bract-gland details.</x:v>
      </x:c>
      <x:c r="Q772" s="116" t="str">
        <x:v>2026-07-28</x:v>
      </x:c>
    </x:row>
    <x:row r="773" ht="20" customHeight="1">
      <x:c r="A773" s="83" t="str">
        <x:v>HAYS-0772</x:v>
      </x:c>
      <x:c r="B773" s="87" t="str">
        <x:v>Styphnolobium affine</x:v>
      </x:c>
      <x:c r="C773" s="87" t="str">
        <x:v>Styphnolobium affine</x:v>
      </x:c>
      <x:c r="D773" s="84" t="str">
        <x:v>Fabaceae</x:v>
      </x:c>
      <x:c r="E773" s="84" t="str">
        <x:v>Styphnolobium</x:v>
      </x:c>
      <x:c r="F773" s="84" t="str">
        <x:v>Eve's Necklace, Eve's Necklacepod, Texas Sophora, Pink Sophora, Necklace Tree</x:v>
      </x:c>
      <x:c r="G773" s="119"/>
      <x:c r="H773" s="119"/>
      <x:c r="I773" s="119"/>
      <x:c r="J773" s="119"/>
      <x:c r="K773" s="119"/>
      <x:c r="L773" s="119"/>
      <x:c r="M773" s="119"/>
      <x:c r="N773" s="115" t="str">
        <x:v>Not Started</x:v>
      </x:c>
      <x:c r="O773" s="115"/>
      <x:c r="P773" s="119"/>
      <x:c r="Q773" s="116"/>
    </x:row>
    <x:row r="774" ht="20" customHeight="1">
      <x:c r="A774" s="83" t="str">
        <x:v>HAYS-0773</x:v>
      </x:c>
      <x:c r="B774" s="87" t="str">
        <x:v>Styrax platanifolius</x:v>
      </x:c>
      <x:c r="C774" s="87" t="str">
        <x:v>Styrax platanifolius</x:v>
      </x:c>
      <x:c r="D774" s="84" t="str">
        <x:v>Styracaceae</x:v>
      </x:c>
      <x:c r="E774" s="84" t="str">
        <x:v>Styrax</x:v>
      </x:c>
      <x:c r="F774" s="84" t="str">
        <x:v>Sycamore-leaf Snowbell</x:v>
      </x:c>
      <x:c r="G774" s="119"/>
      <x:c r="H774" s="119"/>
      <x:c r="I774" s="119"/>
      <x:c r="J774" s="119"/>
      <x:c r="K774" s="119"/>
      <x:c r="L774" s="119"/>
      <x:c r="M774" s="119"/>
      <x:c r="N774" s="115" t="str">
        <x:v>Not Started</x:v>
      </x:c>
      <x:c r="O774" s="115"/>
      <x:c r="P774" s="119"/>
      <x:c r="Q774" s="116"/>
    </x:row>
    <x:row r="775" ht="20" customHeight="1">
      <x:c r="A775" s="83" t="str">
        <x:v>HAYS-0774</x:v>
      </x:c>
      <x:c r="B775" s="87" t="str">
        <x:v>Symphoricarpos orbiculatus</x:v>
      </x:c>
      <x:c r="C775" s="87" t="str">
        <x:v>Symphoricarpos orbiculatus</x:v>
      </x:c>
      <x:c r="D775" s="84" t="str">
        <x:v>Caprifoliaceae</x:v>
      </x:c>
      <x:c r="E775" s="84" t="str">
        <x:v>Symphoricarpos</x:v>
      </x:c>
      <x:c r="F775" s="84" t="str">
        <x:v>Coralberry, Indian Currant, Buckbrush</x:v>
      </x:c>
      <x:c r="G775" s="119"/>
      <x:c r="H775" s="119"/>
      <x:c r="I775" s="119"/>
      <x:c r="J775" s="119"/>
      <x:c r="K775" s="119"/>
      <x:c r="L775" s="119"/>
      <x:c r="M775" s="119"/>
      <x:c r="N775" s="115" t="str">
        <x:v>Not Started</x:v>
      </x:c>
      <x:c r="O775" s="115"/>
      <x:c r="P775" s="119"/>
      <x:c r="Q775" s="116"/>
    </x:row>
    <x:row r="776" ht="20" customHeight="1">
      <x:c r="A776" s="83" t="str">
        <x:v>HAYS-0775</x:v>
      </x:c>
      <x:c r="B776" s="87" t="str">
        <x:v>Symphyotrichum drummondii var. texanum</x:v>
      </x:c>
      <x:c r="C776" s="87" t="str">
        <x:v>Symphyotrichum drummondii var. texanum</x:v>
      </x:c>
      <x:c r="D776" s="84" t="str">
        <x:v>Asteraceae</x:v>
      </x:c>
      <x:c r="E776" s="84" t="str">
        <x:v>Symphyotrichum</x:v>
      </x:c>
      <x:c r="F776" s="84" t="str">
        <x:v>Drummond's Aster, Texas Aster</x:v>
      </x:c>
      <x:c r="G776" s="119"/>
      <x:c r="H776" s="119"/>
      <x:c r="I776" s="119"/>
      <x:c r="J776" s="119"/>
      <x:c r="K776" s="119"/>
      <x:c r="L776" s="119"/>
      <x:c r="M776" s="119"/>
      <x:c r="N776" s="115" t="str">
        <x:v>Not Started</x:v>
      </x:c>
      <x:c r="O776" s="115"/>
      <x:c r="P776" s="119"/>
      <x:c r="Q776" s="116"/>
    </x:row>
    <x:row r="777" ht="20" customHeight="1">
      <x:c r="A777" s="83" t="str">
        <x:v>HAYS-0776</x:v>
      </x:c>
      <x:c r="B777" s="87" t="str">
        <x:v>Symphyotrichum ericoides</x:v>
      </x:c>
      <x:c r="C777" s="87" t="str">
        <x:v>Symphyotrichum ericoides</x:v>
      </x:c>
      <x:c r="D777" s="84" t="str">
        <x:v>Asteraceae</x:v>
      </x:c>
      <x:c r="E777" s="84" t="str">
        <x:v>Symphyotrichum</x:v>
      </x:c>
      <x:c r="F777" s="84" t="str">
        <x:v>White Heath Aster, Heath Aster</x:v>
      </x:c>
      <x:c r="G777" s="119"/>
      <x:c r="H777" s="119"/>
      <x:c r="I777" s="119"/>
      <x:c r="J777" s="119"/>
      <x:c r="K777" s="119"/>
      <x:c r="L777" s="119"/>
      <x:c r="M777" s="119"/>
      <x:c r="N777" s="115" t="str">
        <x:v>Not Started</x:v>
      </x:c>
      <x:c r="O777" s="115"/>
      <x:c r="P777" s="119"/>
      <x:c r="Q777" s="116"/>
    </x:row>
    <x:row r="778" ht="20" customHeight="1">
      <x:c r="A778" s="83" t="str">
        <x:v>HAYS-0777</x:v>
      </x:c>
      <x:c r="B778" s="87" t="str">
        <x:v>Symphyotrichum ericoides var. ericoides</x:v>
      </x:c>
      <x:c r="C778" s="87" t="str">
        <x:v>Symphyotrichum ericoides var. ericoides</x:v>
      </x:c>
      <x:c r="D778" s="84" t="str">
        <x:v>Asteraceae</x:v>
      </x:c>
      <x:c r="E778" s="84" t="str">
        <x:v>Symphyotrichum</x:v>
      </x:c>
      <x:c r="F778" s="84" t="str">
        <x:v>White Heath Aster, Heath Aster, White Aster, White Prairie Aster</x:v>
      </x:c>
      <x:c r="G778" s="119"/>
      <x:c r="H778" s="119"/>
      <x:c r="I778" s="119"/>
      <x:c r="J778" s="119"/>
      <x:c r="K778" s="119"/>
      <x:c r="L778" s="119"/>
      <x:c r="M778" s="119"/>
      <x:c r="N778" s="115" t="str">
        <x:v>Not Started</x:v>
      </x:c>
      <x:c r="O778" s="115"/>
      <x:c r="P778" s="119"/>
      <x:c r="Q778" s="116"/>
    </x:row>
    <x:row r="779" ht="20" customHeight="1">
      <x:c r="A779" s="83" t="str">
        <x:v>HAYS-0778</x:v>
      </x:c>
      <x:c r="B779" s="87" t="str">
        <x:v>Symphyotrichum lanceolatum ssp. lanceolatum</x:v>
      </x:c>
      <x:c r="C779" s="87" t="str">
        <x:v>Symphyotrichum lanceolatum subsp. lanceolatum</x:v>
      </x:c>
      <x:c r="D779" s="84" t="str">
        <x:v>Asteraceae</x:v>
      </x:c>
      <x:c r="E779" s="84" t="str">
        <x:v>Symphyotrichum</x:v>
      </x:c>
      <x:c r="F779" s="84" t="str">
        <x:v>White Panicle Aster, Panicled Aster</x:v>
      </x:c>
      <x:c r="G779" s="119"/>
      <x:c r="H779" s="119"/>
      <x:c r="I779" s="119"/>
      <x:c r="J779" s="119"/>
      <x:c r="K779" s="119"/>
      <x:c r="L779" s="119"/>
      <x:c r="M779" s="119"/>
      <x:c r="N779" s="115" t="str">
        <x:v>Not Started</x:v>
      </x:c>
      <x:c r="O779" s="115"/>
      <x:c r="P779" s="119"/>
      <x:c r="Q779" s="116"/>
    </x:row>
    <x:row r="780" ht="20" customHeight="1">
      <x:c r="A780" s="83" t="str">
        <x:v>HAYS-0779</x:v>
      </x:c>
      <x:c r="B780" s="87" t="str">
        <x:v>Symphyotrichum oblongifolium</x:v>
      </x:c>
      <x:c r="C780" s="87" t="str">
        <x:v>Symphyotrichum oblongifolium</x:v>
      </x:c>
      <x:c r="D780" s="84" t="str">
        <x:v>Asteraceae</x:v>
      </x:c>
      <x:c r="E780" s="84" t="str">
        <x:v>Symphyotrichum</x:v>
      </x:c>
      <x:c r="F780" s="84" t="str">
        <x:v>Aromatic Aster, Aromatic American Aster, Fall Aster, Wild Blue Aster, Shale Aster</x:v>
      </x:c>
      <x:c r="G780" s="119"/>
      <x:c r="H780" s="119"/>
      <x:c r="I780" s="119"/>
      <x:c r="J780" s="119"/>
      <x:c r="K780" s="119"/>
      <x:c r="L780" s="119"/>
      <x:c r="M780" s="119"/>
      <x:c r="N780" s="115" t="str">
        <x:v>Not Started</x:v>
      </x:c>
      <x:c r="O780" s="115"/>
      <x:c r="P780" s="119"/>
      <x:c r="Q780" s="116"/>
    </x:row>
    <x:row r="781" ht="20" customHeight="1">
      <x:c r="A781" s="83" t="str">
        <x:v>HAYS-0780</x:v>
      </x:c>
      <x:c r="B781" s="87" t="str">
        <x:v>Symphyotrichum patens</x:v>
      </x:c>
      <x:c r="C781" s="87" t="str">
        <x:v>Symphyotrichum patens</x:v>
      </x:c>
      <x:c r="D781" s="84" t="str">
        <x:v>Asteraceae</x:v>
      </x:c>
      <x:c r="E781" s="84" t="str">
        <x:v>Symphyotrichum</x:v>
      </x:c>
      <x:c r="F781" s="84" t="str">
        <x:v>Late Purple Aster</x:v>
      </x:c>
      <x:c r="G781" s="119"/>
      <x:c r="H781" s="119"/>
      <x:c r="I781" s="119"/>
      <x:c r="J781" s="119"/>
      <x:c r="K781" s="119"/>
      <x:c r="L781" s="119"/>
      <x:c r="M781" s="119"/>
      <x:c r="N781" s="115" t="str">
        <x:v>Not Started</x:v>
      </x:c>
      <x:c r="O781" s="115"/>
      <x:c r="P781" s="119"/>
      <x:c r="Q781" s="116"/>
    </x:row>
    <x:row r="782" ht="20" customHeight="1">
      <x:c r="A782" s="83" t="str">
        <x:v>HAYS-0781</x:v>
      </x:c>
      <x:c r="B782" s="87" t="str">
        <x:v>Symphyotrichum praealtum</x:v>
      </x:c>
      <x:c r="C782" s="87" t="str">
        <x:v>Symphyotrichum praealtum</x:v>
      </x:c>
      <x:c r="D782" s="84" t="str">
        <x:v>Asteraceae</x:v>
      </x:c>
      <x:c r="E782" s="84" t="str">
        <x:v>Symphyotrichum</x:v>
      </x:c>
      <x:c r="F782" s="84" t="str">
        <x:v>Willowleaf Aster</x:v>
      </x:c>
      <x:c r="G782" s="119"/>
      <x:c r="H782" s="119"/>
      <x:c r="I782" s="119"/>
      <x:c r="J782" s="119"/>
      <x:c r="K782" s="119"/>
      <x:c r="L782" s="119"/>
      <x:c r="M782" s="119"/>
      <x:c r="N782" s="115" t="str">
        <x:v>Not Started</x:v>
      </x:c>
      <x:c r="O782" s="115"/>
      <x:c r="P782" s="119"/>
      <x:c r="Q782" s="116"/>
    </x:row>
    <x:row r="783" ht="20" customHeight="1">
      <x:c r="A783" s="83" t="str">
        <x:v>HAYS-0782</x:v>
      </x:c>
      <x:c r="B783" s="87" t="str">
        <x:v>Symphyotrichum sericeum</x:v>
      </x:c>
      <x:c r="C783" s="87" t="str">
        <x:v>Symphyotrichum sericeum</x:v>
      </x:c>
      <x:c r="D783" s="84" t="str">
        <x:v>Asteraceae</x:v>
      </x:c>
      <x:c r="E783" s="84" t="str">
        <x:v>Symphyotrichum</x:v>
      </x:c>
      <x:c r="F783" s="84" t="str">
        <x:v>Western Silver Aster, Western Silver American-aster, Silky Aster</x:v>
      </x:c>
      <x:c r="G783" s="119"/>
      <x:c r="H783" s="119"/>
      <x:c r="I783" s="119"/>
      <x:c r="J783" s="119"/>
      <x:c r="K783" s="119"/>
      <x:c r="L783" s="119"/>
      <x:c r="M783" s="119"/>
      <x:c r="N783" s="115" t="str">
        <x:v>Not Started</x:v>
      </x:c>
      <x:c r="O783" s="115"/>
      <x:c r="P783" s="119"/>
      <x:c r="Q783" s="116"/>
    </x:row>
    <x:row r="784" ht="20" customHeight="1">
      <x:c r="A784" s="83" t="str">
        <x:v>HAYS-0783</x:v>
      </x:c>
      <x:c r="B784" s="87" t="str">
        <x:v>Symphyotrichum subulatum</x:v>
      </x:c>
      <x:c r="C784" s="87" t="str">
        <x:v>Symphyotrichum subulatum</x:v>
      </x:c>
      <x:c r="D784" s="84" t="str">
        <x:v>Asteraceae</x:v>
      </x:c>
      <x:c r="E784" s="84" t="str">
        <x:v>Symphyotrichum</x:v>
      </x:c>
      <x:c r="F784" s="84" t="str">
        <x:v>Eastern Annual Saltmarsh Aster, Baby's Breath Aster, Annual Aster, Blackland Aster, Hierba Del Marrano</x:v>
      </x:c>
      <x:c r="G784" s="119"/>
      <x:c r="H784" s="119"/>
      <x:c r="I784" s="119"/>
      <x:c r="J784" s="119"/>
      <x:c r="K784" s="119"/>
      <x:c r="L784" s="119"/>
      <x:c r="M784" s="119"/>
      <x:c r="N784" s="115" t="str">
        <x:v>Not Started</x:v>
      </x:c>
      <x:c r="O784" s="115"/>
      <x:c r="P784" s="119"/>
      <x:c r="Q784" s="116"/>
    </x:row>
    <x:row r="785" ht="20" customHeight="1">
      <x:c r="A785" s="83" t="str">
        <x:v>HAYS-0784</x:v>
      </x:c>
      <x:c r="B785" s="87" t="str">
        <x:v>Taxodium distichum</x:v>
      </x:c>
      <x:c r="C785" s="87" t="str">
        <x:v>Taxodium distichum</x:v>
      </x:c>
      <x:c r="D785" s="84" t="str">
        <x:v>Cupressaceae</x:v>
      </x:c>
      <x:c r="E785" s="84" t="str">
        <x:v>Taxodium</x:v>
      </x:c>
      <x:c r="F785" s="84" t="str">
        <x:v>Bald Cypress, Baldcypress, Common Bald Cypress, Southern Bald Cypress, Deciduous Cypress, Southern Cypress, Swamp Cypress, Red Cypress, White Cypress, Yellow Cypress, Gulf Cypress, Tidewater Red Cypress</x:v>
      </x:c>
      <x:c r="G785" s="119"/>
      <x:c r="H785" s="119"/>
      <x:c r="I785" s="119"/>
      <x:c r="J785" s="119"/>
      <x:c r="K785" s="119"/>
      <x:c r="L785" s="119"/>
      <x:c r="M785" s="119"/>
      <x:c r="N785" s="115" t="str">
        <x:v>Not Started</x:v>
      </x:c>
      <x:c r="O785" s="115"/>
      <x:c r="P785" s="119"/>
      <x:c r="Q785" s="116"/>
    </x:row>
    <x:row r="786" ht="20" customHeight="1">
      <x:c r="A786" s="83" t="str">
        <x:v>HAYS-0785</x:v>
      </x:c>
      <x:c r="B786" s="87" t="str">
        <x:v>Tecoma stans</x:v>
      </x:c>
      <x:c r="C786" s="87" t="str">
        <x:v>Tecoma stans</x:v>
      </x:c>
      <x:c r="D786" s="84" t="str">
        <x:v>Bignoniaceae</x:v>
      </x:c>
      <x:c r="E786" s="84" t="str">
        <x:v>Tecoma</x:v>
      </x:c>
      <x:c r="F786" s="84" t="str">
        <x:v>Yellow Bells</x:v>
      </x:c>
      <x:c r="G786" s="119"/>
      <x:c r="H786" s="119"/>
      <x:c r="I786" s="119"/>
      <x:c r="J786" s="119"/>
      <x:c r="K786" s="119"/>
      <x:c r="L786" s="119"/>
      <x:c r="M786" s="119"/>
      <x:c r="N786" s="115" t="str">
        <x:v>Not Started</x:v>
      </x:c>
      <x:c r="O786" s="115"/>
      <x:c r="P786" s="119"/>
      <x:c r="Q786" s="116"/>
    </x:row>
    <x:row r="787" ht="20" customHeight="1">
      <x:c r="A787" s="83" t="str">
        <x:v>HAYS-0786</x:v>
      </x:c>
      <x:c r="B787" s="87" t="str">
        <x:v>Tephrosia lindheimeri</x:v>
      </x:c>
      <x:c r="C787" s="87" t="str">
        <x:v>Tephrosia lindheimeri</x:v>
      </x:c>
      <x:c r="D787" s="84" t="str">
        <x:v>Fabaceae</x:v>
      </x:c>
      <x:c r="E787" s="84" t="str">
        <x:v>Tephrosia</x:v>
      </x:c>
      <x:c r="F787" s="84" t="str">
        <x:v>Lindheimer's Hoarypea, Hoary Pea, Lindheimer Tephrosia</x:v>
      </x:c>
      <x:c r="G787" s="119"/>
      <x:c r="H787" s="119"/>
      <x:c r="I787" s="119"/>
      <x:c r="J787" s="119"/>
      <x:c r="K787" s="119"/>
      <x:c r="L787" s="119"/>
      <x:c r="M787" s="119"/>
      <x:c r="N787" s="115" t="str">
        <x:v>Not Started</x:v>
      </x:c>
      <x:c r="O787" s="115"/>
      <x:c r="P787" s="119"/>
      <x:c r="Q787" s="116"/>
    </x:row>
    <x:row r="788" ht="20" customHeight="1">
      <x:c r="A788" s="83" t="str">
        <x:v>HAYS-0787</x:v>
      </x:c>
      <x:c r="B788" s="87" t="str">
        <x:v>Tephrosia potosina</x:v>
      </x:c>
      <x:c r="C788" s="87" t="str">
        <x:v>Tephrosia potosina</x:v>
      </x:c>
      <x:c r="D788" s="84" t="str">
        <x:v>Fabaceae</x:v>
      </x:c>
      <x:c r="E788" s="84" t="str">
        <x:v>Tephrosia</x:v>
      </x:c>
      <x:c r="F788" s="84" t="str">
        <x:v>Edwards Plateau Hoarypea</x:v>
      </x:c>
      <x:c r="G788" s="119"/>
      <x:c r="H788" s="119"/>
      <x:c r="I788" s="119"/>
      <x:c r="J788" s="119"/>
      <x:c r="K788" s="119"/>
      <x:c r="L788" s="119"/>
      <x:c r="M788" s="119"/>
      <x:c r="N788" s="115" t="str">
        <x:v>Not Started</x:v>
      </x:c>
      <x:c r="O788" s="115"/>
      <x:c r="P788" s="119"/>
      <x:c r="Q788" s="116"/>
    </x:row>
    <x:row r="789" ht="20" customHeight="1">
      <x:c r="A789" s="83" t="str">
        <x:v>HAYS-0788</x:v>
      </x:c>
      <x:c r="B789" s="87" t="str">
        <x:v>Tetragonotheca texana</x:v>
      </x:c>
      <x:c r="C789" s="87" t="str">
        <x:v>Tetragonotheca texana</x:v>
      </x:c>
      <x:c r="D789" s="84" t="str">
        <x:v>Asteraceae</x:v>
      </x:c>
      <x:c r="E789" s="84" t="str">
        <x:v>Tetragonotheca</x:v>
      </x:c>
      <x:c r="F789" s="84" t="str">
        <x:v>Squarebud Daisy, Nerve-ray, Square-bud Daisy</x:v>
      </x:c>
      <x:c r="G789" s="119"/>
      <x:c r="H789" s="119"/>
      <x:c r="I789" s="119"/>
      <x:c r="J789" s="119"/>
      <x:c r="K789" s="119"/>
      <x:c r="L789" s="119"/>
      <x:c r="M789" s="119"/>
      <x:c r="N789" s="115" t="str">
        <x:v>Not Started</x:v>
      </x:c>
      <x:c r="O789" s="115"/>
      <x:c r="P789" s="119"/>
      <x:c r="Q789" s="116"/>
    </x:row>
    <x:row r="790" ht="20" customHeight="1">
      <x:c r="A790" s="83" t="str">
        <x:v>HAYS-0789</x:v>
      </x:c>
      <x:c r="B790" s="87" t="str">
        <x:v>Tetraneuris acaulis</x:v>
      </x:c>
      <x:c r="C790" s="87" t="str">
        <x:v>Tetraneuris acaulis</x:v>
      </x:c>
      <x:c r="D790" s="84" t="str">
        <x:v>Asteraceae</x:v>
      </x:c>
      <x:c r="E790" s="84" t="str">
        <x:v>Tetraneuris</x:v>
      </x:c>
      <x:c r="F790" s="84" t="str">
        <x:v>Stemless Four-nerve Daisy, Stemless Hymenoxys, Bitterweed</x:v>
      </x:c>
      <x:c r="G790" s="119"/>
      <x:c r="H790" s="119"/>
      <x:c r="I790" s="119"/>
      <x:c r="J790" s="119"/>
      <x:c r="K790" s="119"/>
      <x:c r="L790" s="119"/>
      <x:c r="M790" s="119"/>
      <x:c r="N790" s="115" t="str">
        <x:v>Not Started</x:v>
      </x:c>
      <x:c r="O790" s="115"/>
      <x:c r="P790" s="119"/>
      <x:c r="Q790" s="116"/>
    </x:row>
    <x:row r="791" ht="20" customHeight="1">
      <x:c r="A791" s="83" t="str">
        <x:v>HAYS-0790</x:v>
      </x:c>
      <x:c r="B791" s="87" t="str">
        <x:v>Tetraneuris linearifolia</x:v>
      </x:c>
      <x:c r="C791" s="87" t="str">
        <x:v>Tetraneuris linearifolia</x:v>
      </x:c>
      <x:c r="D791" s="84" t="str">
        <x:v>Asteraceae</x:v>
      </x:c>
      <x:c r="E791" s="84" t="str">
        <x:v>Tetraneuris</x:v>
      </x:c>
      <x:c r="F791" s="84" t="str">
        <x:v>Fineleaf Fournerved Daisy, Slender-leaf Hymenoxys, Bitterweed</x:v>
      </x:c>
      <x:c r="G791" s="119"/>
      <x:c r="H791" s="119"/>
      <x:c r="I791" s="119"/>
      <x:c r="J791" s="119"/>
      <x:c r="K791" s="119"/>
      <x:c r="L791" s="119"/>
      <x:c r="M791" s="119"/>
      <x:c r="N791" s="115" t="str">
        <x:v>Not Started</x:v>
      </x:c>
      <x:c r="O791" s="115"/>
      <x:c r="P791" s="119"/>
      <x:c r="Q791" s="116"/>
    </x:row>
    <x:row r="792" ht="20" customHeight="1">
      <x:c r="A792" s="83" t="str">
        <x:v>HAYS-0791</x:v>
      </x:c>
      <x:c r="B792" s="87" t="str">
        <x:v>Tetraneuris scaposa</x:v>
      </x:c>
      <x:c r="C792" s="87" t="str">
        <x:v>Tetraneuris scaposa</x:v>
      </x:c>
      <x:c r="D792" s="84" t="str">
        <x:v>Asteraceae</x:v>
      </x:c>
      <x:c r="E792" s="84" t="str">
        <x:v>Tetraneuris</x:v>
      </x:c>
      <x:c r="F792" s="84" t="str">
        <x:v>Four-nerve Daisy, Hymenoxys, Stemmy Four-nerve Daisy, Yellow Daisy, Bitterweed</x:v>
      </x:c>
      <x:c r="G792" s="119"/>
      <x:c r="H792" s="119"/>
      <x:c r="I792" s="119"/>
      <x:c r="J792" s="119"/>
      <x:c r="K792" s="119"/>
      <x:c r="L792" s="119"/>
      <x:c r="M792" s="119"/>
      <x:c r="N792" s="115" t="str">
        <x:v>Not Started</x:v>
      </x:c>
      <x:c r="O792" s="115"/>
      <x:c r="P792" s="119"/>
      <x:c r="Q792" s="116"/>
    </x:row>
    <x:row r="793" ht="20" customHeight="1">
      <x:c r="A793" s="83" t="str">
        <x:v>HAYS-0792</x:v>
      </x:c>
      <x:c r="B793" s="87" t="str">
        <x:v>Tetraneuris scaposa var. scaposa</x:v>
      </x:c>
      <x:c r="C793" s="87" t="str">
        <x:v>Tetraneuris scaposa var. scaposa</x:v>
      </x:c>
      <x:c r="D793" s="84" t="str">
        <x:v>Asteraceae</x:v>
      </x:c>
      <x:c r="E793" s="84" t="str">
        <x:v>Tetraneuris</x:v>
      </x:c>
      <x:c r="F793" s="84" t="str">
        <x:v>Four-nerve Daisy, Hymenoxys, Stemmy Four-nerve Daisy, Bitterweed</x:v>
      </x:c>
      <x:c r="G793" s="119"/>
      <x:c r="H793" s="119"/>
      <x:c r="I793" s="119"/>
      <x:c r="J793" s="119"/>
      <x:c r="K793" s="119"/>
      <x:c r="L793" s="119"/>
      <x:c r="M793" s="119"/>
      <x:c r="N793" s="115" t="str">
        <x:v>Not Started</x:v>
      </x:c>
      <x:c r="O793" s="115"/>
      <x:c r="P793" s="119"/>
      <x:c r="Q793" s="116"/>
    </x:row>
    <x:row r="794" ht="20" customHeight="1">
      <x:c r="A794" s="83" t="str">
        <x:v>HAYS-0793</x:v>
      </x:c>
      <x:c r="B794" s="87" t="str">
        <x:v>Teucrium canadense</x:v>
      </x:c>
      <x:c r="C794" s="87" t="str">
        <x:v>Teucrium canadense</x:v>
      </x:c>
      <x:c r="D794" s="84" t="str">
        <x:v>Lamiaceae</x:v>
      </x:c>
      <x:c r="E794" s="84" t="str">
        <x:v>Teucrium</x:v>
      </x:c>
      <x:c r="F794" s="84" t="str">
        <x:v>American Germander, Canada Germander, Canadian Germander, Germander, Hairy Germander, Wood Sage</x:v>
      </x:c>
      <x:c r="G794" s="119"/>
      <x:c r="H794" s="119"/>
      <x:c r="I794" s="119"/>
      <x:c r="J794" s="119"/>
      <x:c r="K794" s="119"/>
      <x:c r="L794" s="119"/>
      <x:c r="M794" s="119"/>
      <x:c r="N794" s="115" t="str">
        <x:v>Not Started</x:v>
      </x:c>
      <x:c r="O794" s="115"/>
      <x:c r="P794" s="119"/>
      <x:c r="Q794" s="116"/>
    </x:row>
    <x:row r="795" ht="20" customHeight="1">
      <x:c r="A795" s="83" t="str">
        <x:v>HAYS-0794</x:v>
      </x:c>
      <x:c r="B795" s="87" t="str">
        <x:v>Teucrium cubense</x:v>
      </x:c>
      <x:c r="C795" s="87" t="str">
        <x:v>Teucrium cubense</x:v>
      </x:c>
      <x:c r="D795" s="84" t="str">
        <x:v>Lamiaceae</x:v>
      </x:c>
      <x:c r="E795" s="84" t="str">
        <x:v>Teucrium</x:v>
      </x:c>
      <x:c r="F795" s="84" t="str">
        <x:v>Small Coastal Germander</x:v>
      </x:c>
      <x:c r="G795" s="119"/>
      <x:c r="H795" s="119"/>
      <x:c r="I795" s="119"/>
      <x:c r="J795" s="119"/>
      <x:c r="K795" s="119"/>
      <x:c r="L795" s="119"/>
      <x:c r="M795" s="119"/>
      <x:c r="N795" s="115" t="str">
        <x:v>Not Started</x:v>
      </x:c>
      <x:c r="O795" s="115"/>
      <x:c r="P795" s="119"/>
      <x:c r="Q795" s="116"/>
    </x:row>
    <x:row r="796" ht="20" customHeight="1">
      <x:c r="A796" s="83" t="str">
        <x:v>HAYS-0795</x:v>
      </x:c>
      <x:c r="B796" s="87" t="str">
        <x:v>Thamnosma texana</x:v>
      </x:c>
      <x:c r="C796" s="87" t="str">
        <x:v>Thamnosma texana</x:v>
      </x:c>
      <x:c r="D796" s="84" t="str">
        <x:v>Rutaceae</x:v>
      </x:c>
      <x:c r="E796" s="84" t="str">
        <x:v>Thamnosma</x:v>
      </x:c>
      <x:c r="F796" s="84" t="str">
        <x:v>Texas Desert-rue, Dutchman's Breeches, Rue Of The Mountains, Ruda Del Monte</x:v>
      </x:c>
      <x:c r="G796" s="119"/>
      <x:c r="H796" s="119"/>
      <x:c r="I796" s="119"/>
      <x:c r="J796" s="119"/>
      <x:c r="K796" s="119"/>
      <x:c r="L796" s="119"/>
      <x:c r="M796" s="119"/>
      <x:c r="N796" s="115" t="str">
        <x:v>Not Started</x:v>
      </x:c>
      <x:c r="O796" s="115"/>
      <x:c r="P796" s="119"/>
      <x:c r="Q796" s="116"/>
    </x:row>
    <x:row r="797" ht="20" customHeight="1">
      <x:c r="A797" s="83" t="str">
        <x:v>HAYS-0796</x:v>
      </x:c>
      <x:c r="B797" s="87" t="str">
        <x:v>Thelesperma ambiguum</x:v>
      </x:c>
      <x:c r="C797" s="87" t="str">
        <x:v>Thelesperma megapotamicum var. ambiguum</x:v>
      </x:c>
      <x:c r="D797" s="84" t="str">
        <x:v>Asteraceae</x:v>
      </x:c>
      <x:c r="E797" s="84" t="str">
        <x:v>Thelesperma</x:v>
      </x:c>
      <x:c r="F797" s="84" t="str">
        <x:v>Colorado Greenthread</x:v>
      </x:c>
      <x:c r="G797" s="119"/>
      <x:c r="H797" s="119"/>
      <x:c r="I797" s="119"/>
      <x:c r="J797" s="119"/>
      <x:c r="K797" s="119"/>
      <x:c r="L797" s="119"/>
      <x:c r="M797" s="119"/>
      <x:c r="N797" s="115" t="str">
        <x:v>Not Started</x:v>
      </x:c>
      <x:c r="O797" s="115"/>
      <x:c r="P797" s="119"/>
      <x:c r="Q797" s="116"/>
    </x:row>
    <x:row r="798" ht="20" customHeight="1">
      <x:c r="A798" s="83" t="str">
        <x:v>HAYS-0797</x:v>
      </x:c>
      <x:c r="B798" s="87" t="str">
        <x:v>Thelesperma filifolium var. filifolium</x:v>
      </x:c>
      <x:c r="C798" s="87"/>
      <x:c r="D798" s="84" t="str">
        <x:v>[Taxonomy unresolved]</x:v>
      </x:c>
      <x:c r="E798" s="84" t="str">
        <x:v>Thelesperma</x:v>
      </x:c>
      <x:c r="F798" s="84" t="str">
        <x:v>Stiff Greenthread, Showy Navajo Tea, Greenthread</x:v>
      </x:c>
      <x:c r="G798" s="119"/>
      <x:c r="H798" s="119"/>
      <x:c r="I798" s="119"/>
      <x:c r="J798" s="119"/>
      <x:c r="K798" s="119"/>
      <x:c r="L798" s="119"/>
      <x:c r="M798" s="119"/>
      <x:c r="N798" s="115" t="str">
        <x:v>Not Started</x:v>
      </x:c>
      <x:c r="O798" s="115"/>
      <x:c r="P798" s="119"/>
      <x:c r="Q798" s="116"/>
    </x:row>
    <x:row r="799" ht="20" customHeight="1">
      <x:c r="A799" s="83" t="str">
        <x:v>HAYS-0798</x:v>
      </x:c>
      <x:c r="B799" s="87" t="str">
        <x:v>Thelesperma simplicifolium</x:v>
      </x:c>
      <x:c r="C799" s="87" t="str">
        <x:v>Thelesperma simplicifolium</x:v>
      </x:c>
      <x:c r="D799" s="84" t="str">
        <x:v>Asteraceae</x:v>
      </x:c>
      <x:c r="E799" s="84" t="str">
        <x:v>Thelesperma</x:v>
      </x:c>
      <x:c r="F799" s="84" t="str">
        <x:v>Navajo Tea, Slender greenthread</x:v>
      </x:c>
      <x:c r="G799" s="119"/>
      <x:c r="H799" s="119"/>
      <x:c r="I799" s="119"/>
      <x:c r="J799" s="119"/>
      <x:c r="K799" s="119"/>
      <x:c r="L799" s="119"/>
      <x:c r="M799" s="119"/>
      <x:c r="N799" s="115" t="str">
        <x:v>Not Started</x:v>
      </x:c>
      <x:c r="O799" s="115"/>
      <x:c r="P799" s="119"/>
      <x:c r="Q799" s="116"/>
    </x:row>
    <x:row r="800" ht="20" customHeight="1">
      <x:c r="A800" s="83" t="str">
        <x:v>HAYS-0799</x:v>
      </x:c>
      <x:c r="B800" s="87" t="str">
        <x:v>Thelocactus bicolor</x:v>
      </x:c>
      <x:c r="C800" s="87" t="str">
        <x:v>Thelocactus bicolor</x:v>
      </x:c>
      <x:c r="D800" s="84" t="str">
        <x:v>Cactaceae</x:v>
      </x:c>
      <x:c r="E800" s="84" t="str">
        <x:v>Thelocactus</x:v>
      </x:c>
      <x:c r="F800" s="84" t="str">
        <x:v>Glory Of Texas</x:v>
      </x:c>
      <x:c r="G800" s="119"/>
      <x:c r="H800" s="119"/>
      <x:c r="I800" s="119"/>
      <x:c r="J800" s="119"/>
      <x:c r="K800" s="119"/>
      <x:c r="L800" s="119"/>
      <x:c r="M800" s="119"/>
      <x:c r="N800" s="115" t="str">
        <x:v>Not Started</x:v>
      </x:c>
      <x:c r="O800" s="115"/>
      <x:c r="P800" s="119"/>
      <x:c r="Q800" s="116"/>
    </x:row>
    <x:row r="801" ht="20" customHeight="1">
      <x:c r="A801" s="83" t="str">
        <x:v>HAYS-0800</x:v>
      </x:c>
      <x:c r="B801" s="87" t="str">
        <x:v>Thelypteris kunthii</x:v>
      </x:c>
      <x:c r="C801" s="87" t="str">
        <x:v>Thelypteris kunthii</x:v>
      </x:c>
      <x:c r="D801" s="84" t="str">
        <x:v>Aspleniaceae</x:v>
      </x:c>
      <x:c r="E801" s="84" t="str">
        <x:v>Thelypteris</x:v>
      </x:c>
      <x:c r="F801" s="84" t="str">
        <x:v>Wood Fern, River Fern, Southern Shield Fern, Kunth's Maiden Fern, Normal Shield Fern</x:v>
      </x:c>
      <x:c r="G801" s="119"/>
      <x:c r="H801" s="119"/>
      <x:c r="I801" s="119"/>
      <x:c r="J801" s="119"/>
      <x:c r="K801" s="119"/>
      <x:c r="L801" s="119"/>
      <x:c r="M801" s="119"/>
      <x:c r="N801" s="115" t="str">
        <x:v>Not Started</x:v>
      </x:c>
      <x:c r="O801" s="115"/>
      <x:c r="P801" s="119"/>
      <x:c r="Q801" s="116"/>
    </x:row>
    <x:row r="802" ht="20" customHeight="1">
      <x:c r="A802" s="83" t="str">
        <x:v>HAYS-0801</x:v>
      </x:c>
      <x:c r="B802" s="87" t="str">
        <x:v>Thymophylla pentachaeta</x:v>
      </x:c>
      <x:c r="C802" s="87" t="str">
        <x:v>Thymophylla pentachaeta</x:v>
      </x:c>
      <x:c r="D802" s="84" t="str">
        <x:v>Asteraceae</x:v>
      </x:c>
      <x:c r="E802" s="84" t="str">
        <x:v>Thymophylla</x:v>
      </x:c>
      <x:c r="F802" s="84" t="str">
        <x:v>Parralena, Fiveneedle Pricklyleaf, Five-needle Fetid Marigold</x:v>
      </x:c>
      <x:c r="G802" s="119"/>
      <x:c r="H802" s="119"/>
      <x:c r="I802" s="119"/>
      <x:c r="J802" s="119"/>
      <x:c r="K802" s="119"/>
      <x:c r="L802" s="119"/>
      <x:c r="M802" s="119"/>
      <x:c r="N802" s="115" t="str">
        <x:v>Not Started</x:v>
      </x:c>
      <x:c r="O802" s="115"/>
      <x:c r="P802" s="119"/>
      <x:c r="Q802" s="116"/>
    </x:row>
    <x:row r="803" ht="20" customHeight="1">
      <x:c r="A803" s="83" t="str">
        <x:v>HAYS-0802</x:v>
      </x:c>
      <x:c r="B803" s="87" t="str">
        <x:v>Tidestromia lanuginosa</x:v>
      </x:c>
      <x:c r="C803" s="87" t="str">
        <x:v>Tidestromia lanuginosa</x:v>
      </x:c>
      <x:c r="D803" s="84" t="str">
        <x:v>Amaranthaceae</x:v>
      </x:c>
      <x:c r="E803" s="84" t="str">
        <x:v>Tidestromia</x:v>
      </x:c>
      <x:c r="F803" s="84" t="str">
        <x:v>Woolly Tidestromia</x:v>
      </x:c>
      <x:c r="G803" s="119"/>
      <x:c r="H803" s="119"/>
      <x:c r="I803" s="119"/>
      <x:c r="J803" s="119"/>
      <x:c r="K803" s="119"/>
      <x:c r="L803" s="119"/>
      <x:c r="M803" s="119"/>
      <x:c r="N803" s="115" t="str">
        <x:v>Not Started</x:v>
      </x:c>
      <x:c r="O803" s="115"/>
      <x:c r="P803" s="119"/>
      <x:c r="Q803" s="116"/>
    </x:row>
    <x:row r="804" ht="20" customHeight="1">
      <x:c r="A804" s="83" t="str">
        <x:v>HAYS-0803</x:v>
      </x:c>
      <x:c r="B804" s="87" t="str">
        <x:v>Tilia americana</x:v>
      </x:c>
      <x:c r="C804" s="87" t="str">
        <x:v>Tilia americana</x:v>
      </x:c>
      <x:c r="D804" s="84" t="str">
        <x:v>Malvaceae</x:v>
      </x:c>
      <x:c r="E804" s="84" t="str">
        <x:v>Tilia</x:v>
      </x:c>
      <x:c r="F804" s="84" t="str">
        <x:v>American Basswood, American Linden, Lime Tree, Bee Tree</x:v>
      </x:c>
      <x:c r="G804" s="119"/>
      <x:c r="H804" s="119"/>
      <x:c r="I804" s="119"/>
      <x:c r="J804" s="119"/>
      <x:c r="K804" s="119"/>
      <x:c r="L804" s="119"/>
      <x:c r="M804" s="119"/>
      <x:c r="N804" s="115" t="str">
        <x:v>Not Started</x:v>
      </x:c>
      <x:c r="O804" s="115"/>
      <x:c r="P804" s="119"/>
      <x:c r="Q804" s="116"/>
    </x:row>
    <x:row r="805" ht="20" customHeight="1">
      <x:c r="A805" s="83" t="str">
        <x:v>HAYS-0804</x:v>
      </x:c>
      <x:c r="B805" s="87" t="str">
        <x:v>Tilia americana var. caroliniana</x:v>
      </x:c>
      <x:c r="C805" s="87" t="str">
        <x:v>Tilia americana</x:v>
      </x:c>
      <x:c r="D805" s="84" t="str">
        <x:v>Malvaceae</x:v>
      </x:c>
      <x:c r="E805" s="84" t="str">
        <x:v>Tilia</x:v>
      </x:c>
      <x:c r="F805" s="84" t="str">
        <x:v>Carolina Basswood, Florida Basswood, Small-leaved Basswood, Downy Basswood, Carolina Linden, Florida Linden, Small-leaved Linden, Downy Linden</x:v>
      </x:c>
      <x:c r="G805" s="119"/>
      <x:c r="H805" s="119"/>
      <x:c r="I805" s="119"/>
      <x:c r="J805" s="119"/>
      <x:c r="K805" s="119"/>
      <x:c r="L805" s="119"/>
      <x:c r="M805" s="119"/>
      <x:c r="N805" s="115" t="str">
        <x:v>Not Started</x:v>
      </x:c>
      <x:c r="O805" s="115"/>
      <x:c r="P805" s="119"/>
      <x:c r="Q805" s="116"/>
    </x:row>
    <x:row r="806" ht="20" customHeight="1">
      <x:c r="A806" s="83" t="str">
        <x:v>HAYS-0805</x:v>
      </x:c>
      <x:c r="B806" s="87" t="str">
        <x:v>Tillandsia recurvata</x:v>
      </x:c>
      <x:c r="C806" s="87" t="str">
        <x:v>Tillandsia recurvata</x:v>
      </x:c>
      <x:c r="D806" s="84" t="str">
        <x:v>Bromeliaceae</x:v>
      </x:c>
      <x:c r="E806" s="84" t="str">
        <x:v>Tillandsia</x:v>
      </x:c>
      <x:c r="F806" s="84" t="str">
        <x:v>Small Ball Moss, Ball Moss</x:v>
      </x:c>
      <x:c r="G806" s="119"/>
      <x:c r="H806" s="119"/>
      <x:c r="I806" s="119"/>
      <x:c r="J806" s="119"/>
      <x:c r="K806" s="119"/>
      <x:c r="L806" s="119"/>
      <x:c r="M806" s="119"/>
      <x:c r="N806" s="115" t="str">
        <x:v>Not Started</x:v>
      </x:c>
      <x:c r="O806" s="115"/>
      <x:c r="P806" s="119"/>
      <x:c r="Q806" s="116"/>
    </x:row>
    <x:row r="807" ht="20" customHeight="1">
      <x:c r="A807" s="83" t="str">
        <x:v>HAYS-0806</x:v>
      </x:c>
      <x:c r="B807" s="87" t="str">
        <x:v>Tillandsia usneoides</x:v>
      </x:c>
      <x:c r="C807" s="87" t="str">
        <x:v>Tillandsia usneoides</x:v>
      </x:c>
      <x:c r="D807" s="84" t="str">
        <x:v>Bromeliaceae</x:v>
      </x:c>
      <x:c r="E807" s="84" t="str">
        <x:v>Tillandsia</x:v>
      </x:c>
      <x:c r="F807" s="84" t="str">
        <x:v>Spanish Moss</x:v>
      </x:c>
      <x:c r="G807" s="119"/>
      <x:c r="H807" s="119"/>
      <x:c r="I807" s="119"/>
      <x:c r="J807" s="119"/>
      <x:c r="K807" s="119"/>
      <x:c r="L807" s="119"/>
      <x:c r="M807" s="119"/>
      <x:c r="N807" s="115" t="str">
        <x:v>Not Started</x:v>
      </x:c>
      <x:c r="O807" s="115"/>
      <x:c r="P807" s="119"/>
      <x:c r="Q807" s="116"/>
    </x:row>
    <x:row r="808" ht="20" customHeight="1">
      <x:c r="A808" s="83" t="str">
        <x:v>HAYS-0807</x:v>
      </x:c>
      <x:c r="B808" s="87" t="str">
        <x:v>Tinantia anomala</x:v>
      </x:c>
      <x:c r="C808" s="87" t="str">
        <x:v>Tinantia anomala</x:v>
      </x:c>
      <x:c r="D808" s="84" t="str">
        <x:v>Commelinaceae</x:v>
      </x:c>
      <x:c r="E808" s="84" t="str">
        <x:v>Tinantia</x:v>
      </x:c>
      <x:c r="F808" s="84" t="str">
        <x:v>False Dayflower</x:v>
      </x:c>
      <x:c r="G808" s="119"/>
      <x:c r="H808" s="119"/>
      <x:c r="I808" s="119"/>
      <x:c r="J808" s="119"/>
      <x:c r="K808" s="119"/>
      <x:c r="L808" s="119"/>
      <x:c r="M808" s="119"/>
      <x:c r="N808" s="115" t="str">
        <x:v>Not Started</x:v>
      </x:c>
      <x:c r="O808" s="115"/>
      <x:c r="P808" s="119"/>
      <x:c r="Q808" s="116"/>
    </x:row>
    <x:row r="809" ht="20" customHeight="1">
      <x:c r="A809" s="83" t="str">
        <x:v>HAYS-0808</x:v>
      </x:c>
      <x:c r="B809" s="87" t="str">
        <x:v>Tiquilia canescens</x:v>
      </x:c>
      <x:c r="C809" s="87" t="str">
        <x:v>Tiquilia canescens</x:v>
      </x:c>
      <x:c r="D809" s="84" t="str">
        <x:v>Boraginaceae</x:v>
      </x:c>
      <x:c r="E809" s="84" t="str">
        <x:v>Tiquilia</x:v>
      </x:c>
      <x:c r="F809" s="84" t="str">
        <x:v>Woody Crinklemat, Shrubby Coldenia, Shrubby Tiquilia</x:v>
      </x:c>
      <x:c r="G809" s="119"/>
      <x:c r="H809" s="119"/>
      <x:c r="I809" s="119"/>
      <x:c r="J809" s="119"/>
      <x:c r="K809" s="119"/>
      <x:c r="L809" s="119"/>
      <x:c r="M809" s="119"/>
      <x:c r="N809" s="115" t="str">
        <x:v>Not Started</x:v>
      </x:c>
      <x:c r="O809" s="115"/>
      <x:c r="P809" s="119"/>
      <x:c r="Q809" s="116"/>
    </x:row>
    <x:row r="810" ht="20" customHeight="1">
      <x:c r="A810" s="83" t="str">
        <x:v>HAYS-0809</x:v>
      </x:c>
      <x:c r="B810" s="87" t="str">
        <x:v>Toxicodendron radicans</x:v>
      </x:c>
      <x:c r="C810" s="87" t="str">
        <x:v>Toxicodendron radicans</x:v>
      </x:c>
      <x:c r="D810" s="84" t="str">
        <x:v>Anacardiaceae</x:v>
      </x:c>
      <x:c r="E810" s="84" t="str">
        <x:v>Toxicodendron</x:v>
      </x:c>
      <x:c r="F810" s="84" t="str">
        <x:v>Eastern Poison Ivy, Poison Ivy</x:v>
      </x:c>
      <x:c r="G810" s="119"/>
      <x:c r="H810" s="119"/>
      <x:c r="I810" s="119"/>
      <x:c r="J810" s="119"/>
      <x:c r="K810" s="119"/>
      <x:c r="L810" s="119"/>
      <x:c r="M810" s="119"/>
      <x:c r="N810" s="115" t="str">
        <x:v>Not Started</x:v>
      </x:c>
      <x:c r="O810" s="115"/>
      <x:c r="P810" s="119"/>
      <x:c r="Q810" s="116"/>
    </x:row>
    <x:row r="811" ht="20" customHeight="1">
      <x:c r="A811" s="83" t="str">
        <x:v>HAYS-0810</x:v>
      </x:c>
      <x:c r="B811" s="87" t="str">
        <x:v>Tradescantia edwardsiana</x:v>
      </x:c>
      <x:c r="C811" s="87" t="str">
        <x:v>Tradescantia edwardsiana</x:v>
      </x:c>
      <x:c r="D811" s="84" t="str">
        <x:v>Commelinaceae</x:v>
      </x:c>
      <x:c r="E811" s="84" t="str">
        <x:v>Tradescantia</x:v>
      </x:c>
      <x:c r="F811" s="84" t="str">
        <x:v>Plateau Spiderwort, Edwards' Spiderwort</x:v>
      </x:c>
      <x:c r="G811" s="119"/>
      <x:c r="H811" s="119"/>
      <x:c r="I811" s="119"/>
      <x:c r="J811" s="119"/>
      <x:c r="K811" s="119"/>
      <x:c r="L811" s="119"/>
      <x:c r="M811" s="119"/>
      <x:c r="N811" s="115" t="str">
        <x:v>Not Started</x:v>
      </x:c>
      <x:c r="O811" s="115"/>
      <x:c r="P811" s="119"/>
      <x:c r="Q811" s="116"/>
    </x:row>
    <x:row r="812" ht="20" customHeight="1">
      <x:c r="A812" s="83" t="str">
        <x:v>HAYS-0811</x:v>
      </x:c>
      <x:c r="B812" s="87" t="str">
        <x:v>Tradescantia gigantea</x:v>
      </x:c>
      <x:c r="C812" s="87" t="str">
        <x:v>Tradescantia gigantea</x:v>
      </x:c>
      <x:c r="D812" s="84" t="str">
        <x:v>Commelinaceae</x:v>
      </x:c>
      <x:c r="E812" s="84" t="str">
        <x:v>Tradescantia</x:v>
      </x:c>
      <x:c r="F812" s="84" t="str">
        <x:v>Spiderwort, Giant spiderwort</x:v>
      </x:c>
      <x:c r="G812" s="119"/>
      <x:c r="H812" s="119"/>
      <x:c r="I812" s="119"/>
      <x:c r="J812" s="119"/>
      <x:c r="K812" s="119"/>
      <x:c r="L812" s="119"/>
      <x:c r="M812" s="119"/>
      <x:c r="N812" s="115" t="str">
        <x:v>Not Started</x:v>
      </x:c>
      <x:c r="O812" s="115"/>
      <x:c r="P812" s="119"/>
      <x:c r="Q812" s="116"/>
    </x:row>
    <x:row r="813" ht="20" customHeight="1">
      <x:c r="A813" s="83" t="str">
        <x:v>HAYS-0812</x:v>
      </x:c>
      <x:c r="B813" s="87" t="str">
        <x:v>Tradescantia hirsutiflora</x:v>
      </x:c>
      <x:c r="C813" s="87" t="str">
        <x:v>Tradescantia hirsutiflora</x:v>
      </x:c>
      <x:c r="D813" s="84" t="str">
        <x:v>Commelinaceae</x:v>
      </x:c>
      <x:c r="E813" s="84" t="str">
        <x:v>Tradescantia</x:v>
      </x:c>
      <x:c r="F813" s="84" t="str">
        <x:v>Hairyflower Spiderwort</x:v>
      </x:c>
      <x:c r="G813" s="119"/>
      <x:c r="H813" s="119"/>
      <x:c r="I813" s="119"/>
      <x:c r="J813" s="119"/>
      <x:c r="K813" s="119"/>
      <x:c r="L813" s="119"/>
      <x:c r="M813" s="119"/>
      <x:c r="N813" s="115" t="str">
        <x:v>Not Started</x:v>
      </x:c>
      <x:c r="O813" s="115"/>
      <x:c r="P813" s="119"/>
      <x:c r="Q813" s="116"/>
    </x:row>
    <x:row r="814" ht="20" customHeight="1">
      <x:c r="A814" s="83" t="str">
        <x:v>HAYS-0813</x:v>
      </x:c>
      <x:c r="B814" s="87" t="str">
        <x:v>Tradescantia humilis</x:v>
      </x:c>
      <x:c r="C814" s="87" t="str">
        <x:v>Tradescantia humilis</x:v>
      </x:c>
      <x:c r="D814" s="84" t="str">
        <x:v>Commelinaceae</x:v>
      </x:c>
      <x:c r="E814" s="84" t="str">
        <x:v>Tradescantia</x:v>
      </x:c>
      <x:c r="F814" s="84" t="str">
        <x:v>Texas Spiderwort</x:v>
      </x:c>
      <x:c r="G814" s="119"/>
      <x:c r="H814" s="119"/>
      <x:c r="I814" s="119"/>
      <x:c r="J814" s="119"/>
      <x:c r="K814" s="119"/>
      <x:c r="L814" s="119"/>
      <x:c r="M814" s="119"/>
      <x:c r="N814" s="115" t="str">
        <x:v>Not Started</x:v>
      </x:c>
      <x:c r="O814" s="115"/>
      <x:c r="P814" s="119"/>
      <x:c r="Q814" s="116"/>
    </x:row>
    <x:row r="815" ht="20" customHeight="1">
      <x:c r="A815" s="83" t="str">
        <x:v>HAYS-0814</x:v>
      </x:c>
      <x:c r="B815" s="87" t="str">
        <x:v>Tradescantia occidentalis</x:v>
      </x:c>
      <x:c r="C815" s="87" t="str">
        <x:v>Tradescantia occidentalis</x:v>
      </x:c>
      <x:c r="D815" s="84" t="str">
        <x:v>Commelinaceae</x:v>
      </x:c>
      <x:c r="E815" s="84" t="str">
        <x:v>Tradescantia</x:v>
      </x:c>
      <x:c r="F815" s="84" t="str">
        <x:v>Prairie Spiderwort, Western Spiderwort, Spiderwort</x:v>
      </x:c>
      <x:c r="G815" s="119"/>
      <x:c r="H815" s="119"/>
      <x:c r="I815" s="119"/>
      <x:c r="J815" s="119"/>
      <x:c r="K815" s="119"/>
      <x:c r="L815" s="119"/>
      <x:c r="M815" s="119"/>
      <x:c r="N815" s="115" t="str">
        <x:v>Not Started</x:v>
      </x:c>
      <x:c r="O815" s="115"/>
      <x:c r="P815" s="119"/>
      <x:c r="Q815" s="116"/>
    </x:row>
    <x:row r="816" ht="20" customHeight="1">
      <x:c r="A816" s="83" t="str">
        <x:v>HAYS-0815</x:v>
      </x:c>
      <x:c r="B816" s="87" t="str">
        <x:v>Tradescantia pedicellata</x:v>
      </x:c>
      <x:c r="C816" s="87" t="str">
        <x:v>Tradescantia pedicellata</x:v>
      </x:c>
      <x:c r="D816" s="84" t="str">
        <x:v>Commelinaceae</x:v>
      </x:c>
      <x:c r="E816" s="84" t="str">
        <x:v>Tradescantia</x:v>
      </x:c>
      <x:c r="F816" s="84" t="str">
        <x:v>Edwards Plateau Spiderwort, Granite Spiderwort</x:v>
      </x:c>
      <x:c r="G816" s="119"/>
      <x:c r="H816" s="119"/>
      <x:c r="I816" s="119"/>
      <x:c r="J816" s="119"/>
      <x:c r="K816" s="119"/>
      <x:c r="L816" s="119"/>
      <x:c r="M816" s="119"/>
      <x:c r="N816" s="115" t="str">
        <x:v>Not Started</x:v>
      </x:c>
      <x:c r="O816" s="115"/>
      <x:c r="P816" s="119"/>
      <x:c r="Q816" s="116"/>
    </x:row>
    <x:row r="817" ht="112" customHeight="1">
      <x:c r="A817" s="83" t="str">
        <x:v>HAYS-0816</x:v>
      </x:c>
      <x:c r="B817" s="87" t="str">
        <x:v>Tragia betonicifolia</x:v>
      </x:c>
      <x:c r="C817" s="87" t="str">
        <x:v>Tragia betonicifolia</x:v>
      </x:c>
      <x:c r="D817" s="84" t="str">
        <x:v>Euphorbiaceae</x:v>
      </x:c>
      <x:c r="E817" s="84" t="str">
        <x:v>Tragia</x:v>
      </x:c>
      <x:c r="F817" s="84" t="str">
        <x:v>Betonyleaf Noseburn</x:v>
      </x:c>
      <x:c r="G817" s="119" t="str">
        <x:v>The crowded-raceme noseburn: usually 15–80 male flowers packed toward the top.</x:v>
      </x:c>
      <x:c r="H817" s="119" t="str">
        <x:v>Erect, decumbent, or trailing; 20–50 cm; often several branches from the crown; Green to whitish green; stem tip never flexuous (not whip-like or coiling); 10–40 mm petiole; Triangular-lanceolate to triangular-ovate, base Cordate to truncate — heart-notched to nearly straight across; 15–80 per raceme, crowded toward the tip; Pistillate sepals lanceolate, 1.8–5 mm; styles fused for about basal 1/3; stigmas papillate; Capsule 7–9 mm wide; normally three carpels mature.</x:v>
      </x:c>
      <x:c r="I817" s="119" t="str">
        <x:v>Tragia brevispica; Tragia nigricans; Tragia ramosa</x:v>
      </x:c>
      <x:c r="J817" s="119" t="str">
        <x:v>Confirm a non-coiling stem tip, papillate stigmas, long narrow female sepals, and a short male-pedicel base below its bract.</x:v>
      </x:c>
      <x:c r="K817" s="119" t="str">
        <x:v>Whole habit from a safe distance; stem tip; leaf base and petiole with scale; full raceme showing male-flower count; female flower/stigma; capsule.</x:v>
      </x:c>
      <x:c r="L817" s="119" t="str">
        <x:v>Dry sandy soil, disturbed fields, prairies, and open woods; flowers late spring–summer and fruits summer–fall.</x:v>
      </x:c>
      <x:c r="M817" s="119" t="str">
        <x:v>http://www.efloras.org/florataxon.aspx?flora_id=1&amp;taxon_id=242417367
https://fwbg.org/wp-content/uploads/2025/04/FNCT_0210-0617-Acanth-Euph.pdf</x:v>
      </x:c>
      <x:c r="N817" s="115" t="str">
        <x:v>Ready for Review</x:v>
      </x:c>
      <x:c r="O817" s="115" t="str">
        <x:v>Main chat — EUPH-C06 Tragia pilot</x:v>
      </x:c>
      <x:c r="P817" s="119" t="str">
        <x:v>High with flowering raceme. Detailed matrix and all 6 pair comparisons completed; local-photo or voucher review still required.</x:v>
      </x:c>
      <x:c r="Q817" s="116" t="n">
        <x:v>46231.708333333336</x:v>
      </x:c>
    </x:row>
    <x:row r="818" ht="112" customHeight="1">
      <x:c r="A818" s="83" t="str">
        <x:v>HAYS-0817</x:v>
      </x:c>
      <x:c r="B818" s="87" t="str">
        <x:v>Tragia brevispica</x:v>
      </x:c>
      <x:c r="C818" s="87" t="str">
        <x:v>Tragia brevispica</x:v>
      </x:c>
      <x:c r="D818" s="84" t="str">
        <x:v>Euphorbiaceae</x:v>
      </x:c>
      <x:c r="E818" s="84" t="str">
        <x:v>Tragia</x:v>
      </x:c>
      <x:c r="F818" s="84" t="str">
        <x:v>Shortspike Noseburn</x:v>
      </x:c>
      <x:c r="G818" s="119" t="str">
        <x:v>The coiling noseburn: a flexible perennial stem winding around nearby plants, usually with broad heart-based leaves.</x:v>
      </x:c>
      <x:c r="H818" s="119" t="str">
        <x:v>Decumbent, erect, or commonly twining; 20–120 cm; slender tough stems can coil around other herbs; Light green; stem tip usually flexuous (bending or coiling); 6–38 mm petiole; Triangular to cordate; locally often triangular to arrow-shaped, base Truncate to cordate — straight across to heart-notched; 2–8, rarely 10, per raceme; Pistillate sepals ovate, 1.3–3.5 mm; styles fused for basal 1/3; stigmas subpapillate to undulate; Capsule 6.5–7 mm wide; often only one of the three carpels matures—a unique clue in the FNA Tragia treatment.</x:v>
      </x:c>
      <x:c r="I818" s="119" t="str">
        <x:v>Tragia betonicifolia; Tragia nigricans; Tragia ramosa</x:v>
      </x:c>
      <x:c r="J818" s="119" t="str">
        <x:v>Confirm only 2–8 male flowers and, best of all, a fruit in which only one carpel has matured.</x:v>
      </x:c>
      <x:c r="K818" s="119" t="str">
        <x:v>Whole plant showing what the stem coils around; stem tip; broad leaf and base with scale; entire raceme; stigma macro; capsule showing mature carpels.</x:v>
      </x:c>
      <x:c r="L818" s="119" t="str">
        <x:v>Open forests, scrublands, roadsides, and open fields, often loam or clay; flowers spring–fall and fruits late summer–fall.</x:v>
      </x:c>
      <x:c r="M818" s="119" t="str">
        <x:v>http://www.efloras.org/florataxon.aspx?flora_id=1&amp;taxon_id=250101934
https://w3.biosci.utexas.edu/prc/K12/pages/Tragia%20brevispica.html
https://fwbg.org/wp-content/uploads/2025/04/FNCT_0210-0617-Acanth-Euph.pdf</x:v>
      </x:c>
      <x:c r="N818" s="115" t="str">
        <x:v>Ready for Review</x:v>
      </x:c>
      <x:c r="O818" s="115" t="str">
        <x:v>Main chat — EUPH-C06 Tragia pilot</x:v>
      </x:c>
      <x:c r="P818" s="119" t="str">
        <x:v>High with fruit; moderate from foliage. Detailed matrix and all 6 pair comparisons completed; local-photo or voucher review still required.</x:v>
      </x:c>
      <x:c r="Q818" s="116" t="n">
        <x:v>46231.708333333336</x:v>
      </x:c>
    </x:row>
    <x:row r="819" ht="112" customHeight="1">
      <x:c r="A819" s="83" t="str">
        <x:v>HAYS-0818</x:v>
      </x:c>
      <x:c r="B819" s="87" t="str">
        <x:v>Tragia nigricans</x:v>
      </x:c>
      <x:c r="C819" s="87" t="str">
        <x:v>Tragia nigricans</x:v>
      </x:c>
      <x:c r="D819" s="84" t="str">
        <x:v>Euphorbiaceae</x:v>
      </x:c>
      <x:c r="E819" s="84" t="str">
        <x:v>Tragia</x:v>
      </x:c>
      <x:c r="F819" s="84" t="str">
        <x:v>Dark Noseburn</x:v>
      </x:c>
      <x:c r="G819" s="119" t="str">
        <x:v>The dark-stem, short-petiole noseburn: erect with large oblong or oblanceolate, coarsely toothed leaves.</x:v>
      </x:c>
      <x:c r="H819" s="119" t="str">
        <x:v>Erect and self-supporting; 15–55 cm; Purple-green to reddish black; stem tip never flexuous; 1–5 mm — the shortest petiole in this four-species set petiole; Oblong to oblanceolate — widest near or above the middle, base Acute to obtuse — wedge-shaped to rounded, not heart-notched; 2–5 per raceme; Pistillate sepals rhombic-lanceolate, 1–4 mm; styles fused for basal 1/4; stigmas undulate; Capsule 6–7 mm wide; normally three carpels mature.</x:v>
      </x:c>
      <x:c r="I819" s="119" t="str">
        <x:v>Tragia betonicifolia; Tragia brevispica; Tragia ramosa</x:v>
      </x:c>
      <x:c r="J819" s="119" t="str">
        <x:v>Confirm only 2–5 male flowers and 4–5 stamens whose filaments are fused together for half their length.</x:v>
      </x:c>
      <x:c r="K819" s="119" t="str">
        <x:v>Whole erect habit; stem color in neutral light; leaf, petiole, base, and coarse teeth with scale; entire raceme; male flower showing fused filaments; capsule.</x:v>
      </x:c>
      <x:c r="L819" s="119" t="str">
        <x:v>Open oak woodlands of the eastern Edwards Plateau; flowers spring–summer and fruits midsummer–fall.</x:v>
      </x:c>
      <x:c r="M819" s="119" t="str">
        <x:v>http://www.efloras.org/florataxon.aspx?flora_id=1&amp;taxon_id=250102000
http://www.efloras.org/florataxon.aspx?flora_id=1&amp;taxon_id=133273</x:v>
      </x:c>
      <x:c r="N819" s="115" t="str">
        <x:v>Ready for Review</x:v>
      </x:c>
      <x:c r="O819" s="115" t="str">
        <x:v>Main chat — EUPH-C06 Tragia pilot</x:v>
      </x:c>
      <x:c r="P819" s="119" t="str">
        <x:v>High with flowering macro. Detailed matrix and all 6 pair comparisons completed; local-photo or voucher review still required.</x:v>
      </x:c>
      <x:c r="Q819" s="116" t="n">
        <x:v>46231.708333333336</x:v>
      </x:c>
    </x:row>
    <x:row r="820" ht="112" customHeight="1">
      <x:c r="A820" s="83" t="str">
        <x:v>HAYS-0819</x:v>
      </x:c>
      <x:c r="B820" s="87" t="str">
        <x:v>Tragia ramosa</x:v>
      </x:c>
      <x:c r="C820" s="87" t="str">
        <x:v>Tragia ramosa</x:v>
      </x:c>
      <x:c r="D820" s="84" t="str">
        <x:v>Euphorbiaceae</x:v>
      </x:c>
      <x:c r="E820" s="84" t="str">
        <x:v>Tragia</x:v>
      </x:c>
      <x:c r="F820" s="84" t="str">
        <x:v>Branched Noseburn</x:v>
      </x:c>
      <x:c r="G820" s="119" t="str">
        <x:v>The narrow-leaved branched noseburn: usually many upright or trailing branches with narrow upper leaves.</x:v>
      </x:c>
      <x:c r="H820" s="119" t="str">
        <x:v>Erect, decumbent, or trailing; 12–50 cm; commonly many-stemmed and branched from the base; Dark green to light green; stem tip rarely flexuous; 2–20 mm petiole; Linear-lanceolate to narrowly ovate; local UT plants often narrowly triangular, base Truncate to weakly cordate; 2–20 per raceme; Pistillate sepals lanceolate, 0.8–2.5 mm; styles fused for basal 1/3–1/2 and long-exserted; stigmas smooth to undulate; Capsule 6–8 mm wide; normally three carpels mature.</x:v>
      </x:c>
      <x:c r="I820" s="119" t="str">
        <x:v>Tragia betonicifolia; Tragia brevispica; Tragia nigricans</x:v>
      </x:c>
      <x:c r="J820" s="119" t="str">
        <x:v>Confirm smooth-to-undulate stigmas, long-exserted styles, 3–6 stamens, and a three-carpelled capsule.</x:v>
      </x:c>
      <x:c r="K820" s="119" t="str">
        <x:v>Whole branching habit; upper and lower leaf with scale; stem tip; entire raceme; style and stigma macro; three-lobed capsule.</x:v>
      </x:c>
      <x:c r="L820" s="119" t="str">
        <x:v>Oak or pine-juniper woodland, scrub, rocky slopes, and disturbed ground; flowers and fruits spring–fall.</x:v>
      </x:c>
      <x:c r="M820" s="119" t="str">
        <x:v>http://www.efloras.org/florataxon.aspx?flora_id=1&amp;taxon_id=242417369
https://w3.biosci.utexas.edu/prc/K12/pages/Tragia%20ramosa.html
https://fwbg.org/wp-content/uploads/2025/04/FNCT_0210-0617-Acanth-Euph.pdf</x:v>
      </x:c>
      <x:c r="N820" s="115" t="str">
        <x:v>Ready for Review</x:v>
      </x:c>
      <x:c r="O820" s="115" t="str">
        <x:v>Main chat — EUPH-C06 Tragia pilot</x:v>
      </x:c>
      <x:c r="P820" s="119" t="str">
        <x:v>Moderate-high; high with flowers and fruit. Detailed matrix and all 6 pair comparisons completed; local-photo or voucher review still required.</x:v>
      </x:c>
      <x:c r="Q820" s="116" t="n">
        <x:v>46231.708333333336</x:v>
      </x:c>
    </x:row>
    <x:row r="821" ht="20" customHeight="1">
      <x:c r="A821" s="83" t="str">
        <x:v>HAYS-0820</x:v>
      </x:c>
      <x:c r="B821" s="87" t="str">
        <x:v>Tridens albescens</x:v>
      </x:c>
      <x:c r="C821" s="87" t="str">
        <x:v>Tridens albescens</x:v>
      </x:c>
      <x:c r="D821" s="84" t="str">
        <x:v>Poaceae</x:v>
      </x:c>
      <x:c r="E821" s="84" t="str">
        <x:v>Tridens</x:v>
      </x:c>
      <x:c r="F821" s="84" t="str">
        <x:v>White Tridens, White Top</x:v>
      </x:c>
      <x:c r="G821" s="119"/>
      <x:c r="H821" s="119"/>
      <x:c r="I821" s="119"/>
      <x:c r="J821" s="119"/>
      <x:c r="K821" s="119"/>
      <x:c r="L821" s="119"/>
      <x:c r="M821" s="119"/>
      <x:c r="N821" s="115" t="str">
        <x:v>Not Started</x:v>
      </x:c>
      <x:c r="O821" s="115"/>
      <x:c r="P821" s="119"/>
      <x:c r="Q821" s="116"/>
    </x:row>
    <x:row r="822" ht="20" customHeight="1">
      <x:c r="A822" s="83" t="str">
        <x:v>HAYS-0821</x:v>
      </x:c>
      <x:c r="B822" s="87" t="str">
        <x:v>Tridens buckleyanus</x:v>
      </x:c>
      <x:c r="C822" s="87" t="str">
        <x:v>Tridentopsis buckleyana</x:v>
      </x:c>
      <x:c r="D822" s="84" t="str">
        <x:v>Poaceae</x:v>
      </x:c>
      <x:c r="E822" s="84" t="str">
        <x:v>Tridentopsis</x:v>
      </x:c>
      <x:c r="F822" s="84" t="str">
        <x:v>Buckley's Fluffgrass, Buckley's Tridens</x:v>
      </x:c>
      <x:c r="G822" s="119"/>
      <x:c r="H822" s="119"/>
      <x:c r="I822" s="119"/>
      <x:c r="J822" s="119"/>
      <x:c r="K822" s="119"/>
      <x:c r="L822" s="119"/>
      <x:c r="M822" s="119"/>
      <x:c r="N822" s="115" t="str">
        <x:v>Not Started</x:v>
      </x:c>
      <x:c r="O822" s="115"/>
      <x:c r="P822" s="119"/>
      <x:c r="Q822" s="116"/>
    </x:row>
    <x:row r="823" ht="20" customHeight="1">
      <x:c r="A823" s="83" t="str">
        <x:v>HAYS-0822</x:v>
      </x:c>
      <x:c r="B823" s="87" t="str">
        <x:v>Tridens eragrostoides</x:v>
      </x:c>
      <x:c r="C823" s="87" t="str">
        <x:v>Triplasiella eragrostoides</x:v>
      </x:c>
      <x:c r="D823" s="84" t="str">
        <x:v>Poaceae</x:v>
      </x:c>
      <x:c r="E823" s="84" t="str">
        <x:v>Triplasiella</x:v>
      </x:c>
      <x:c r="F823" s="84" t="str">
        <x:v>Lovegrass Tridens</x:v>
      </x:c>
      <x:c r="G823" s="119"/>
      <x:c r="H823" s="119"/>
      <x:c r="I823" s="119"/>
      <x:c r="J823" s="119"/>
      <x:c r="K823" s="119"/>
      <x:c r="L823" s="119"/>
      <x:c r="M823" s="119"/>
      <x:c r="N823" s="115" t="str">
        <x:v>Not Started</x:v>
      </x:c>
      <x:c r="O823" s="115"/>
      <x:c r="P823" s="119"/>
      <x:c r="Q823" s="116"/>
    </x:row>
    <x:row r="824" ht="20" customHeight="1">
      <x:c r="A824" s="83" t="str">
        <x:v>HAYS-0823</x:v>
      </x:c>
      <x:c r="B824" s="87" t="str">
        <x:v>Tridens flavus</x:v>
      </x:c>
      <x:c r="C824" s="87" t="str">
        <x:v>Tridens flavus</x:v>
      </x:c>
      <x:c r="D824" s="84" t="str">
        <x:v>Poaceae</x:v>
      </x:c>
      <x:c r="E824" s="84" t="str">
        <x:v>Tridens</x:v>
      </x:c>
      <x:c r="F824" s="84" t="str">
        <x:v>Purpletop Tridens</x:v>
      </x:c>
      <x:c r="G824" s="119"/>
      <x:c r="H824" s="119"/>
      <x:c r="I824" s="119"/>
      <x:c r="J824" s="119"/>
      <x:c r="K824" s="119"/>
      <x:c r="L824" s="119"/>
      <x:c r="M824" s="119"/>
      <x:c r="N824" s="115" t="str">
        <x:v>Not Started</x:v>
      </x:c>
      <x:c r="O824" s="115"/>
      <x:c r="P824" s="119"/>
      <x:c r="Q824" s="116"/>
    </x:row>
    <x:row r="825" ht="20" customHeight="1">
      <x:c r="A825" s="83" t="str">
        <x:v>HAYS-0824</x:v>
      </x:c>
      <x:c r="B825" s="87" t="str">
        <x:v>Tridens muticus</x:v>
      </x:c>
      <x:c r="C825" s="87" t="str">
        <x:v>Tridentopsis mutica</x:v>
      </x:c>
      <x:c r="D825" s="84" t="str">
        <x:v>Poaceae</x:v>
      </x:c>
      <x:c r="E825" s="84" t="str">
        <x:v>Tridentopsis</x:v>
      </x:c>
      <x:c r="F825" s="84" t="str">
        <x:v>Slim Tridens</x:v>
      </x:c>
      <x:c r="G825" s="119"/>
      <x:c r="H825" s="119"/>
      <x:c r="I825" s="119"/>
      <x:c r="J825" s="119"/>
      <x:c r="K825" s="119"/>
      <x:c r="L825" s="119"/>
      <x:c r="M825" s="119"/>
      <x:c r="N825" s="115" t="str">
        <x:v>Not Started</x:v>
      </x:c>
      <x:c r="O825" s="115"/>
      <x:c r="P825" s="119"/>
      <x:c r="Q825" s="116"/>
    </x:row>
    <x:row r="826" ht="20" customHeight="1">
      <x:c r="A826" s="83" t="str">
        <x:v>HAYS-0825</x:v>
      </x:c>
      <x:c r="B826" s="87" t="str">
        <x:v>Tridens texanus</x:v>
      </x:c>
      <x:c r="C826" s="87" t="str">
        <x:v>Tridens texanus</x:v>
      </x:c>
      <x:c r="D826" s="84" t="str">
        <x:v>Poaceae</x:v>
      </x:c>
      <x:c r="E826" s="84" t="str">
        <x:v>Tridens</x:v>
      </x:c>
      <x:c r="F826" s="84" t="str">
        <x:v>Texas Fluffgrass, Texas Tridens</x:v>
      </x:c>
      <x:c r="G826" s="119"/>
      <x:c r="H826" s="119"/>
      <x:c r="I826" s="119"/>
      <x:c r="J826" s="119"/>
      <x:c r="K826" s="119"/>
      <x:c r="L826" s="119"/>
      <x:c r="M826" s="119"/>
      <x:c r="N826" s="115" t="str">
        <x:v>Not Started</x:v>
      </x:c>
      <x:c r="O826" s="115"/>
      <x:c r="P826" s="119"/>
      <x:c r="Q826" s="116"/>
    </x:row>
    <x:row r="827" ht="20" customHeight="1">
      <x:c r="A827" s="83" t="str">
        <x:v>HAYS-0826</x:v>
      </x:c>
      <x:c r="B827" s="87" t="str">
        <x:v>Triodanis biflora</x:v>
      </x:c>
      <x:c r="C827" s="87" t="str">
        <x:v>Triodanis perfoliata subsp. biflora</x:v>
      </x:c>
      <x:c r="D827" s="84" t="str">
        <x:v>Campanulaceae</x:v>
      </x:c>
      <x:c r="E827" s="84" t="str">
        <x:v>Triodanis</x:v>
      </x:c>
      <x:c r="F827" s="84" t="str">
        <x:v>Small Venus' Looking-glass</x:v>
      </x:c>
      <x:c r="G827" s="119"/>
      <x:c r="H827" s="119"/>
      <x:c r="I827" s="119"/>
      <x:c r="J827" s="119"/>
      <x:c r="K827" s="119"/>
      <x:c r="L827" s="119"/>
      <x:c r="M827" s="119"/>
      <x:c r="N827" s="115" t="str">
        <x:v>Not Started</x:v>
      </x:c>
      <x:c r="O827" s="115"/>
      <x:c r="P827" s="119"/>
      <x:c r="Q827" s="116"/>
    </x:row>
    <x:row r="828" ht="20" customHeight="1">
      <x:c r="A828" s="83" t="str">
        <x:v>HAYS-0827</x:v>
      </x:c>
      <x:c r="B828" s="87" t="str">
        <x:v>Triodanis coloradoensis</x:v>
      </x:c>
      <x:c r="C828" s="87" t="str">
        <x:v>Triodanis coloradoensis</x:v>
      </x:c>
      <x:c r="D828" s="84" t="str">
        <x:v>Campanulaceae</x:v>
      </x:c>
      <x:c r="E828" s="84" t="str">
        <x:v>Triodanis</x:v>
      </x:c>
      <x:c r="F828" s="84" t="str">
        <x:v>Colorado Venus' Looking-glass, Western Venus' Looking Glass</x:v>
      </x:c>
      <x:c r="G828" s="119"/>
      <x:c r="H828" s="119"/>
      <x:c r="I828" s="119"/>
      <x:c r="J828" s="119"/>
      <x:c r="K828" s="119"/>
      <x:c r="L828" s="119"/>
      <x:c r="M828" s="119"/>
      <x:c r="N828" s="115" t="str">
        <x:v>Not Started</x:v>
      </x:c>
      <x:c r="O828" s="115"/>
      <x:c r="P828" s="119"/>
      <x:c r="Q828" s="116"/>
    </x:row>
    <x:row r="829" ht="20" customHeight="1">
      <x:c r="A829" s="83" t="str">
        <x:v>HAYS-0828</x:v>
      </x:c>
      <x:c r="B829" s="87" t="str">
        <x:v>Triodanis leptocarpa</x:v>
      </x:c>
      <x:c r="C829" s="87" t="str">
        <x:v>Triodanis leptocarpa</x:v>
      </x:c>
      <x:c r="D829" s="84" t="str">
        <x:v>Campanulaceae</x:v>
      </x:c>
      <x:c r="E829" s="84" t="str">
        <x:v>Triodanis</x:v>
      </x:c>
      <x:c r="F829" s="84" t="str">
        <x:v>Slimpod Venus' Looking-glass</x:v>
      </x:c>
      <x:c r="G829" s="119"/>
      <x:c r="H829" s="119"/>
      <x:c r="I829" s="119"/>
      <x:c r="J829" s="119"/>
      <x:c r="K829" s="119"/>
      <x:c r="L829" s="119"/>
      <x:c r="M829" s="119"/>
      <x:c r="N829" s="115" t="str">
        <x:v>Not Started</x:v>
      </x:c>
      <x:c r="O829" s="115"/>
      <x:c r="P829" s="119"/>
      <x:c r="Q829" s="116"/>
    </x:row>
    <x:row r="830" ht="20" customHeight="1">
      <x:c r="A830" s="83" t="str">
        <x:v>HAYS-0829</x:v>
      </x:c>
      <x:c r="B830" s="87" t="str">
        <x:v>Triodanis perfoliata</x:v>
      </x:c>
      <x:c r="C830" s="87" t="str">
        <x:v>Triodanis perfoliata</x:v>
      </x:c>
      <x:c r="D830" s="84" t="str">
        <x:v>Campanulaceae</x:v>
      </x:c>
      <x:c r="E830" s="84" t="str">
        <x:v>Triodanis</x:v>
      </x:c>
      <x:c r="F830" s="84" t="str">
        <x:v>Clasping Venus's Looking-glass</x:v>
      </x:c>
      <x:c r="G830" s="119"/>
      <x:c r="H830" s="119"/>
      <x:c r="I830" s="119"/>
      <x:c r="J830" s="119"/>
      <x:c r="K830" s="119"/>
      <x:c r="L830" s="119"/>
      <x:c r="M830" s="119"/>
      <x:c r="N830" s="115" t="str">
        <x:v>Not Started</x:v>
      </x:c>
      <x:c r="O830" s="115"/>
      <x:c r="P830" s="119"/>
      <x:c r="Q830" s="116"/>
    </x:row>
    <x:row r="831" ht="20" customHeight="1">
      <x:c r="A831" s="83" t="str">
        <x:v>HAYS-0830</x:v>
      </x:c>
      <x:c r="B831" s="87" t="str">
        <x:v>Tripsacum dactyloides</x:v>
      </x:c>
      <x:c r="C831" s="87" t="str">
        <x:v>Tripsacum dactyloides</x:v>
      </x:c>
      <x:c r="D831" s="84" t="str">
        <x:v>Poaceae</x:v>
      </x:c>
      <x:c r="E831" s="84" t="str">
        <x:v>Tripsacum</x:v>
      </x:c>
      <x:c r="F831" s="84" t="str">
        <x:v>Eastern Gamagrass, Fakahatchee Grass</x:v>
      </x:c>
      <x:c r="G831" s="119"/>
      <x:c r="H831" s="119"/>
      <x:c r="I831" s="119"/>
      <x:c r="J831" s="119"/>
      <x:c r="K831" s="119"/>
      <x:c r="L831" s="119"/>
      <x:c r="M831" s="119"/>
      <x:c r="N831" s="115" t="str">
        <x:v>Not Started</x:v>
      </x:c>
      <x:c r="O831" s="115"/>
      <x:c r="P831" s="119"/>
      <x:c r="Q831" s="116"/>
    </x:row>
    <x:row r="832" ht="20" customHeight="1">
      <x:c r="A832" s="83" t="str">
        <x:v>HAYS-0831</x:v>
      </x:c>
      <x:c r="B832" s="87" t="str">
        <x:v>Typha domingensis</x:v>
      </x:c>
      <x:c r="C832" s="87" t="str">
        <x:v>Typha domingensis</x:v>
      </x:c>
      <x:c r="D832" s="84" t="str">
        <x:v>Typhaceae</x:v>
      </x:c>
      <x:c r="E832" s="84" t="str">
        <x:v>Typha</x:v>
      </x:c>
      <x:c r="F832" s="84" t="str">
        <x:v>Southern Cattail</x:v>
      </x:c>
      <x:c r="G832" s="119"/>
      <x:c r="H832" s="119"/>
      <x:c r="I832" s="119"/>
      <x:c r="J832" s="119"/>
      <x:c r="K832" s="119"/>
      <x:c r="L832" s="119"/>
      <x:c r="M832" s="119"/>
      <x:c r="N832" s="115" t="str">
        <x:v>Not Started</x:v>
      </x:c>
      <x:c r="O832" s="115"/>
      <x:c r="P832" s="119"/>
      <x:c r="Q832" s="116"/>
    </x:row>
    <x:row r="833" ht="20" customHeight="1">
      <x:c r="A833" s="83" t="str">
        <x:v>HAYS-0832</x:v>
      </x:c>
      <x:c r="B833" s="87" t="str">
        <x:v>Typha latifolia</x:v>
      </x:c>
      <x:c r="C833" s="87" t="str">
        <x:v>Typha latifolia</x:v>
      </x:c>
      <x:c r="D833" s="84" t="str">
        <x:v>Typhaceae</x:v>
      </x:c>
      <x:c r="E833" s="84" t="str">
        <x:v>Typha</x:v>
      </x:c>
      <x:c r="F833" s="84" t="str">
        <x:v>Broadleaf Cattail, Common Cattail</x:v>
      </x:c>
      <x:c r="G833" s="119"/>
      <x:c r="H833" s="119"/>
      <x:c r="I833" s="119"/>
      <x:c r="J833" s="119"/>
      <x:c r="K833" s="119"/>
      <x:c r="L833" s="119"/>
      <x:c r="M833" s="119"/>
      <x:c r="N833" s="115" t="str">
        <x:v>Not Started</x:v>
      </x:c>
      <x:c r="O833" s="115"/>
      <x:c r="P833" s="119"/>
      <x:c r="Q833" s="116"/>
    </x:row>
    <x:row r="834" ht="20" customHeight="1">
      <x:c r="A834" s="83" t="str">
        <x:v>HAYS-0833</x:v>
      </x:c>
      <x:c r="B834" s="87" t="str">
        <x:v>Ulmus americana</x:v>
      </x:c>
      <x:c r="C834" s="87" t="str">
        <x:v>Ulmus americana</x:v>
      </x:c>
      <x:c r="D834" s="84" t="str">
        <x:v>Ulmaceae</x:v>
      </x:c>
      <x:c r="E834" s="84" t="str">
        <x:v>Ulmus</x:v>
      </x:c>
      <x:c r="F834" s="84" t="str">
        <x:v>American Elm, White Elm, Soft Elm, Water Elm, Common Elm</x:v>
      </x:c>
      <x:c r="G834" s="119"/>
      <x:c r="H834" s="119"/>
      <x:c r="I834" s="119"/>
      <x:c r="J834" s="119"/>
      <x:c r="K834" s="119"/>
      <x:c r="L834" s="119"/>
      <x:c r="M834" s="119"/>
      <x:c r="N834" s="115" t="str">
        <x:v>Not Started</x:v>
      </x:c>
      <x:c r="O834" s="115"/>
      <x:c r="P834" s="119"/>
      <x:c r="Q834" s="116"/>
    </x:row>
    <x:row r="835" ht="20" customHeight="1">
      <x:c r="A835" s="83" t="str">
        <x:v>HAYS-0834</x:v>
      </x:c>
      <x:c r="B835" s="87" t="str">
        <x:v>Ulmus crassifolia</x:v>
      </x:c>
      <x:c r="C835" s="87" t="str">
        <x:v>Ulmus crassifolia</x:v>
      </x:c>
      <x:c r="D835" s="84" t="str">
        <x:v>Ulmaceae</x:v>
      </x:c>
      <x:c r="E835" s="84" t="str">
        <x:v>Ulmus</x:v>
      </x:c>
      <x:c r="F835" s="84" t="str">
        <x:v>Cedar Elm, Fall Elm, Basket Elm, Scrub Elm, Lime Elm, Texas Elm, Southern Rock Elm, Olmo</x:v>
      </x:c>
      <x:c r="G835" s="119"/>
      <x:c r="H835" s="119"/>
      <x:c r="I835" s="119"/>
      <x:c r="J835" s="119"/>
      <x:c r="K835" s="119"/>
      <x:c r="L835" s="119"/>
      <x:c r="M835" s="119"/>
      <x:c r="N835" s="115" t="str">
        <x:v>Not Started</x:v>
      </x:c>
      <x:c r="O835" s="115"/>
      <x:c r="P835" s="119"/>
      <x:c r="Q835" s="116"/>
    </x:row>
    <x:row r="836" ht="20" customHeight="1">
      <x:c r="A836" s="83" t="str">
        <x:v>HAYS-0835</x:v>
      </x:c>
      <x:c r="B836" s="87" t="str">
        <x:v>Ulmus rubra</x:v>
      </x:c>
      <x:c r="C836" s="87" t="str">
        <x:v>Ulmus rubra</x:v>
      </x:c>
      <x:c r="D836" s="84" t="str">
        <x:v>Ulmaceae</x:v>
      </x:c>
      <x:c r="E836" s="84" t="str">
        <x:v>Ulmus</x:v>
      </x:c>
      <x:c r="F836" s="84" t="str">
        <x:v>Slippery Elm, Red Elm, Gray Elm, Soft Elm</x:v>
      </x:c>
      <x:c r="G836" s="119"/>
      <x:c r="H836" s="119"/>
      <x:c r="I836" s="119"/>
      <x:c r="J836" s="119"/>
      <x:c r="K836" s="119"/>
      <x:c r="L836" s="119"/>
      <x:c r="M836" s="119"/>
      <x:c r="N836" s="115" t="str">
        <x:v>Not Started</x:v>
      </x:c>
      <x:c r="O836" s="115"/>
      <x:c r="P836" s="119"/>
      <x:c r="Q836" s="116"/>
    </x:row>
    <x:row r="837" ht="20" customHeight="1">
      <x:c r="A837" s="83" t="str">
        <x:v>HAYS-0836</x:v>
      </x:c>
      <x:c r="B837" s="87" t="str">
        <x:v>Ungnadia speciosa</x:v>
      </x:c>
      <x:c r="C837" s="87" t="str">
        <x:v>Ungnadia speciosa</x:v>
      </x:c>
      <x:c r="D837" s="84" t="str">
        <x:v>Sapindaceae</x:v>
      </x:c>
      <x:c r="E837" s="84" t="str">
        <x:v>Ungnadia</x:v>
      </x:c>
      <x:c r="F837" s="84" t="str">
        <x:v>Mexican Buckeye, Monilla</x:v>
      </x:c>
      <x:c r="G837" s="119"/>
      <x:c r="H837" s="119"/>
      <x:c r="I837" s="119"/>
      <x:c r="J837" s="119"/>
      <x:c r="K837" s="119"/>
      <x:c r="L837" s="119"/>
      <x:c r="M837" s="119"/>
      <x:c r="N837" s="115" t="str">
        <x:v>Not Started</x:v>
      </x:c>
      <x:c r="O837" s="115"/>
      <x:c r="P837" s="119"/>
      <x:c r="Q837" s="116"/>
    </x:row>
    <x:row r="838" ht="20" customHeight="1">
      <x:c r="A838" s="83" t="str">
        <x:v>HAYS-0837</x:v>
      </x:c>
      <x:c r="B838" s="87" t="str">
        <x:v>Urochloa texana</x:v>
      </x:c>
      <x:c r="C838" s="87" t="str">
        <x:v>Urochloa texana</x:v>
      </x:c>
      <x:c r="D838" s="84" t="str">
        <x:v>Poaceae</x:v>
      </x:c>
      <x:c r="E838" s="84" t="str">
        <x:v>Urochloa</x:v>
      </x:c>
      <x:c r="F838" s="84" t="str">
        <x:v>Texas Signalgrass</x:v>
      </x:c>
      <x:c r="G838" s="119"/>
      <x:c r="H838" s="119"/>
      <x:c r="I838" s="119"/>
      <x:c r="J838" s="119"/>
      <x:c r="K838" s="119"/>
      <x:c r="L838" s="119"/>
      <x:c r="M838" s="119"/>
      <x:c r="N838" s="115" t="str">
        <x:v>Not Started</x:v>
      </x:c>
      <x:c r="O838" s="115"/>
      <x:c r="P838" s="119"/>
      <x:c r="Q838" s="116"/>
    </x:row>
    <x:row r="839" ht="20" customHeight="1">
      <x:c r="A839" s="83" t="str">
        <x:v>HAYS-0838</x:v>
      </x:c>
      <x:c r="B839" s="87" t="str">
        <x:v>Utricularia gibba</x:v>
      </x:c>
      <x:c r="C839" s="87" t="str">
        <x:v>Utricularia gibba</x:v>
      </x:c>
      <x:c r="D839" s="84" t="str">
        <x:v>Lentibulariaceae</x:v>
      </x:c>
      <x:c r="E839" s="84" t="str">
        <x:v>Utricularia</x:v>
      </x:c>
      <x:c r="F839" s="84" t="str">
        <x:v>Humped Bladderwort, Bladderwort, Conespur Bladderpod</x:v>
      </x:c>
      <x:c r="G839" s="119"/>
      <x:c r="H839" s="119"/>
      <x:c r="I839" s="119"/>
      <x:c r="J839" s="119"/>
      <x:c r="K839" s="119"/>
      <x:c r="L839" s="119"/>
      <x:c r="M839" s="119"/>
      <x:c r="N839" s="115" t="str">
        <x:v>Not Started</x:v>
      </x:c>
      <x:c r="O839" s="115"/>
      <x:c r="P839" s="119"/>
      <x:c r="Q839" s="116"/>
    </x:row>
    <x:row r="840" ht="20" customHeight="1">
      <x:c r="A840" s="83" t="str">
        <x:v>HAYS-0839</x:v>
      </x:c>
      <x:c r="B840" s="87" t="str">
        <x:v>Vachellia farnesiana</x:v>
      </x:c>
      <x:c r="C840" s="87" t="str">
        <x:v>Vachellia farnesiana</x:v>
      </x:c>
      <x:c r="D840" s="84" t="str">
        <x:v>Fabaceae</x:v>
      </x:c>
      <x:c r="E840" s="84" t="str">
        <x:v>Vachellia</x:v>
      </x:c>
      <x:c r="F840" s="84" t="str">
        <x:v>Huisache, Texas Huisache, Sweet Acacia, Perfume Acacia, Mealy Acacia, Mealy Wattle, Cassie</x:v>
      </x:c>
      <x:c r="G840" s="119"/>
      <x:c r="H840" s="119"/>
      <x:c r="I840" s="119"/>
      <x:c r="J840" s="119"/>
      <x:c r="K840" s="119"/>
      <x:c r="L840" s="119"/>
      <x:c r="M840" s="119"/>
      <x:c r="N840" s="115" t="str">
        <x:v>Not Started</x:v>
      </x:c>
      <x:c r="O840" s="115"/>
      <x:c r="P840" s="119"/>
      <x:c r="Q840" s="116"/>
    </x:row>
    <x:row r="841" ht="20" customHeight="1">
      <x:c r="A841" s="83" t="str">
        <x:v>HAYS-0840</x:v>
      </x:c>
      <x:c r="B841" s="87" t="str">
        <x:v>Valerianella amarella</x:v>
      </x:c>
      <x:c r="C841" s="87" t="str">
        <x:v>Valeriana amarella</x:v>
      </x:c>
      <x:c r="D841" s="84" t="str">
        <x:v>Caprifoliaceae</x:v>
      </x:c>
      <x:c r="E841" s="84" t="str">
        <x:v>Valeriana</x:v>
      </x:c>
      <x:c r="F841" s="84" t="str">
        <x:v>Hairy Cornsalad</x:v>
      </x:c>
      <x:c r="G841" s="119"/>
      <x:c r="H841" s="119"/>
      <x:c r="I841" s="119"/>
      <x:c r="J841" s="119"/>
      <x:c r="K841" s="119"/>
      <x:c r="L841" s="119"/>
      <x:c r="M841" s="119"/>
      <x:c r="N841" s="115" t="str">
        <x:v>Not Started</x:v>
      </x:c>
      <x:c r="O841" s="115"/>
      <x:c r="P841" s="119"/>
      <x:c r="Q841" s="116"/>
    </x:row>
    <x:row r="842" ht="20" customHeight="1">
      <x:c r="A842" s="83" t="str">
        <x:v>HAYS-0841</x:v>
      </x:c>
      <x:c r="B842" s="87" t="str">
        <x:v>Vallisneria americana</x:v>
      </x:c>
      <x:c r="C842" s="87" t="str">
        <x:v>Vallisneria americana</x:v>
      </x:c>
      <x:c r="D842" s="84" t="str">
        <x:v>Hydrocharitaceae</x:v>
      </x:c>
      <x:c r="E842" s="84" t="str">
        <x:v>Vallisneria</x:v>
      </x:c>
      <x:c r="F842" s="84" t="str">
        <x:v>American Eelgrass, Water Celery, Eelgrass, Tapegrass</x:v>
      </x:c>
      <x:c r="G842" s="119"/>
      <x:c r="H842" s="119"/>
      <x:c r="I842" s="119"/>
      <x:c r="J842" s="119"/>
      <x:c r="K842" s="119"/>
      <x:c r="L842" s="119"/>
      <x:c r="M842" s="119"/>
      <x:c r="N842" s="115" t="str">
        <x:v>Not Started</x:v>
      </x:c>
      <x:c r="O842" s="115"/>
      <x:c r="P842" s="119"/>
      <x:c r="Q842" s="116"/>
    </x:row>
    <x:row r="843" ht="20" customHeight="1">
      <x:c r="A843" s="83" t="str">
        <x:v>HAYS-0842</x:v>
      </x:c>
      <x:c r="B843" s="87" t="str">
        <x:v>Verbena canescens</x:v>
      </x:c>
      <x:c r="C843" s="87" t="str">
        <x:v>Verbena canescens</x:v>
      </x:c>
      <x:c r="D843" s="84" t="str">
        <x:v>Verbenaceae</x:v>
      </x:c>
      <x:c r="E843" s="84" t="str">
        <x:v>Verbena</x:v>
      </x:c>
      <x:c r="F843" s="84" t="str">
        <x:v>Gray Vervain</x:v>
      </x:c>
      <x:c r="G843" s="119"/>
      <x:c r="H843" s="119"/>
      <x:c r="I843" s="119"/>
      <x:c r="J843" s="119"/>
      <x:c r="K843" s="119"/>
      <x:c r="L843" s="119"/>
      <x:c r="M843" s="119"/>
      <x:c r="N843" s="115" t="str">
        <x:v>Not Started</x:v>
      </x:c>
      <x:c r="O843" s="115"/>
      <x:c r="P843" s="119"/>
      <x:c r="Q843" s="116"/>
    </x:row>
    <x:row r="844" ht="20" customHeight="1">
      <x:c r="A844" s="83" t="str">
        <x:v>HAYS-0843</x:v>
      </x:c>
      <x:c r="B844" s="87" t="str">
        <x:v>Verbena halei</x:v>
      </x:c>
      <x:c r="C844" s="87" t="str">
        <x:v>Verbena halei</x:v>
      </x:c>
      <x:c r="D844" s="84" t="str">
        <x:v>Verbenaceae</x:v>
      </x:c>
      <x:c r="E844" s="84" t="str">
        <x:v>Verbena</x:v>
      </x:c>
      <x:c r="F844" s="84" t="str">
        <x:v>Texas Vervain, Slender Verbena, Texas Verbena, Slender Vervain</x:v>
      </x:c>
      <x:c r="G844" s="119"/>
      <x:c r="H844" s="119"/>
      <x:c r="I844" s="119"/>
      <x:c r="J844" s="119"/>
      <x:c r="K844" s="119"/>
      <x:c r="L844" s="119"/>
      <x:c r="M844" s="119"/>
      <x:c r="N844" s="115" t="str">
        <x:v>Not Started</x:v>
      </x:c>
      <x:c r="O844" s="115"/>
      <x:c r="P844" s="119"/>
      <x:c r="Q844" s="116"/>
    </x:row>
    <x:row r="845" ht="20" customHeight="1">
      <x:c r="A845" s="83" t="str">
        <x:v>HAYS-0844</x:v>
      </x:c>
      <x:c r="B845" s="87" t="str">
        <x:v>Verbena scabra</x:v>
      </x:c>
      <x:c r="C845" s="87" t="str">
        <x:v>Verbena scabra</x:v>
      </x:c>
      <x:c r="D845" s="84" t="str">
        <x:v>Verbenaceae</x:v>
      </x:c>
      <x:c r="E845" s="84" t="str">
        <x:v>Verbena</x:v>
      </x:c>
      <x:c r="F845" s="84" t="str">
        <x:v>Sandpaper Vervain</x:v>
      </x:c>
      <x:c r="G845" s="119"/>
      <x:c r="H845" s="119"/>
      <x:c r="I845" s="119"/>
      <x:c r="J845" s="119"/>
      <x:c r="K845" s="119"/>
      <x:c r="L845" s="119"/>
      <x:c r="M845" s="119"/>
      <x:c r="N845" s="115" t="str">
        <x:v>Not Started</x:v>
      </x:c>
      <x:c r="O845" s="115"/>
      <x:c r="P845" s="119"/>
      <x:c r="Q845" s="116"/>
    </x:row>
    <x:row r="846" ht="20" customHeight="1">
      <x:c r="A846" s="83" t="str">
        <x:v>HAYS-0845</x:v>
      </x:c>
      <x:c r="B846" s="87" t="str">
        <x:v>Verbena xutha</x:v>
      </x:c>
      <x:c r="C846" s="87" t="str">
        <x:v>Verbena xutha</x:v>
      </x:c>
      <x:c r="D846" s="84" t="str">
        <x:v>Verbenaceae</x:v>
      </x:c>
      <x:c r="E846" s="84" t="str">
        <x:v>Verbena</x:v>
      </x:c>
      <x:c r="F846" s="84" t="str">
        <x:v>Gulf Vervain</x:v>
      </x:c>
      <x:c r="G846" s="119"/>
      <x:c r="H846" s="119"/>
      <x:c r="I846" s="119"/>
      <x:c r="J846" s="119"/>
      <x:c r="K846" s="119"/>
      <x:c r="L846" s="119"/>
      <x:c r="M846" s="119"/>
      <x:c r="N846" s="115" t="str">
        <x:v>Not Started</x:v>
      </x:c>
      <x:c r="O846" s="115"/>
      <x:c r="P846" s="119"/>
      <x:c r="Q846" s="116"/>
    </x:row>
    <x:row r="847" ht="20" customHeight="1">
      <x:c r="A847" s="83" t="str">
        <x:v>HAYS-0846</x:v>
      </x:c>
      <x:c r="B847" s="87" t="str">
        <x:v>Verbesina encelioides</x:v>
      </x:c>
      <x:c r="C847" s="87" t="str">
        <x:v>Verbesina encelioides</x:v>
      </x:c>
      <x:c r="D847" s="84" t="str">
        <x:v>Asteraceae</x:v>
      </x:c>
      <x:c r="E847" s="84" t="str">
        <x:v>Verbesina</x:v>
      </x:c>
      <x:c r="F847" s="84" t="str">
        <x:v>Cowpen Daisy, Golden Crownbeard, Butter Daisy</x:v>
      </x:c>
      <x:c r="G847" s="119"/>
      <x:c r="H847" s="119"/>
      <x:c r="I847" s="119"/>
      <x:c r="J847" s="119"/>
      <x:c r="K847" s="119"/>
      <x:c r="L847" s="119"/>
      <x:c r="M847" s="119"/>
      <x:c r="N847" s="115" t="str">
        <x:v>Not Started</x:v>
      </x:c>
      <x:c r="O847" s="115"/>
      <x:c r="P847" s="119"/>
      <x:c r="Q847" s="116"/>
    </x:row>
    <x:row r="848" ht="20" customHeight="1">
      <x:c r="A848" s="83" t="str">
        <x:v>HAYS-0847</x:v>
      </x:c>
      <x:c r="B848" s="87" t="str">
        <x:v>Verbesina lindheimeri</x:v>
      </x:c>
      <x:c r="C848" s="87" t="str">
        <x:v>Verbesina lindheimeri</x:v>
      </x:c>
      <x:c r="D848" s="84" t="str">
        <x:v>Asteraceae</x:v>
      </x:c>
      <x:c r="E848" s="84" t="str">
        <x:v>Verbesina</x:v>
      </x:c>
      <x:c r="F848" s="84" t="str">
        <x:v>Lindheimer's Crownbeard</x:v>
      </x:c>
      <x:c r="G848" s="119"/>
      <x:c r="H848" s="119"/>
      <x:c r="I848" s="119"/>
      <x:c r="J848" s="119"/>
      <x:c r="K848" s="119"/>
      <x:c r="L848" s="119"/>
      <x:c r="M848" s="119"/>
      <x:c r="N848" s="115" t="str">
        <x:v>Not Started</x:v>
      </x:c>
      <x:c r="O848" s="115"/>
      <x:c r="P848" s="119"/>
      <x:c r="Q848" s="116"/>
    </x:row>
    <x:row r="849" ht="20" customHeight="1">
      <x:c r="A849" s="83" t="str">
        <x:v>HAYS-0848</x:v>
      </x:c>
      <x:c r="B849" s="87" t="str">
        <x:v>Verbesina virginica</x:v>
      </x:c>
      <x:c r="C849" s="87" t="str">
        <x:v>Verbesina virginica</x:v>
      </x:c>
      <x:c r="D849" s="84" t="str">
        <x:v>Asteraceae</x:v>
      </x:c>
      <x:c r="E849" s="84" t="str">
        <x:v>Verbesina</x:v>
      </x:c>
      <x:c r="F849" s="84" t="str">
        <x:v>Frostweed, White Crownbeard, Iceplant, Iceweed, Virginia Crownbeard, Indian Tobacco, Richweed, Squawweed</x:v>
      </x:c>
      <x:c r="G849" s="119"/>
      <x:c r="H849" s="119"/>
      <x:c r="I849" s="119"/>
      <x:c r="J849" s="119"/>
      <x:c r="K849" s="119"/>
      <x:c r="L849" s="119"/>
      <x:c r="M849" s="119"/>
      <x:c r="N849" s="115" t="str">
        <x:v>Not Started</x:v>
      </x:c>
      <x:c r="O849" s="115"/>
      <x:c r="P849" s="119"/>
      <x:c r="Q849" s="116"/>
    </x:row>
    <x:row r="850" ht="20" customHeight="1">
      <x:c r="A850" s="83" t="str">
        <x:v>HAYS-0849</x:v>
      </x:c>
      <x:c r="B850" s="87" t="str">
        <x:v>Vernonia baldwinii</x:v>
      </x:c>
      <x:c r="C850" s="87" t="str">
        <x:v>Vernonia baldwinii</x:v>
      </x:c>
      <x:c r="D850" s="84" t="str">
        <x:v>Asteraceae</x:v>
      </x:c>
      <x:c r="E850" s="84" t="str">
        <x:v>Vernonia</x:v>
      </x:c>
      <x:c r="F850" s="84" t="str">
        <x:v>Western Ironweed, Baldwin's Ironweed, Ironweed</x:v>
      </x:c>
      <x:c r="G850" s="119"/>
      <x:c r="H850" s="119"/>
      <x:c r="I850" s="119"/>
      <x:c r="J850" s="119"/>
      <x:c r="K850" s="119"/>
      <x:c r="L850" s="119"/>
      <x:c r="M850" s="119"/>
      <x:c r="N850" s="115" t="str">
        <x:v>Not Started</x:v>
      </x:c>
      <x:c r="O850" s="115"/>
      <x:c r="P850" s="119"/>
      <x:c r="Q850" s="116"/>
    </x:row>
    <x:row r="851" ht="20" customHeight="1">
      <x:c r="A851" s="83" t="str">
        <x:v>HAYS-0850</x:v>
      </x:c>
      <x:c r="B851" s="87" t="str">
        <x:v>Vernonia lindheimeri</x:v>
      </x:c>
      <x:c r="C851" s="87" t="str">
        <x:v>Vernonia lindheimeri</x:v>
      </x:c>
      <x:c r="D851" s="84" t="str">
        <x:v>Asteraceae</x:v>
      </x:c>
      <x:c r="E851" s="84" t="str">
        <x:v>Vernonia</x:v>
      </x:c>
      <x:c r="F851" s="84" t="str">
        <x:v>Woolly Ironweed</x:v>
      </x:c>
      <x:c r="G851" s="119"/>
      <x:c r="H851" s="119"/>
      <x:c r="I851" s="119"/>
      <x:c r="J851" s="119"/>
      <x:c r="K851" s="119"/>
      <x:c r="L851" s="119"/>
      <x:c r="M851" s="119"/>
      <x:c r="N851" s="115" t="str">
        <x:v>Not Started</x:v>
      </x:c>
      <x:c r="O851" s="115"/>
      <x:c r="P851" s="119"/>
      <x:c r="Q851" s="116"/>
    </x:row>
    <x:row r="852" ht="20" customHeight="1">
      <x:c r="A852" s="83" t="str">
        <x:v>HAYS-0851</x:v>
      </x:c>
      <x:c r="B852" s="87" t="str">
        <x:v>Vernonia ×guadalupensis</x:v>
      </x:c>
      <x:c r="C852" s="87"/>
      <x:c r="D852" s="84" t="str">
        <x:v>[Taxonomy unresolved]</x:v>
      </x:c>
      <x:c r="E852" s="84" t="str">
        <x:v>Vernonia</x:v>
      </x:c>
      <x:c r="F852" s="84" t="str">
        <x:v>Guadalupe Ironweed</x:v>
      </x:c>
      <x:c r="G852" s="119"/>
      <x:c r="H852" s="119"/>
      <x:c r="I852" s="119"/>
      <x:c r="J852" s="119"/>
      <x:c r="K852" s="119"/>
      <x:c r="L852" s="119"/>
      <x:c r="M852" s="119"/>
      <x:c r="N852" s="115" t="str">
        <x:v>Not Started</x:v>
      </x:c>
      <x:c r="O852" s="115"/>
      <x:c r="P852" s="119"/>
      <x:c r="Q852" s="116"/>
    </x:row>
    <x:row r="853" ht="20" customHeight="1">
      <x:c r="A853" s="83" t="str">
        <x:v>HAYS-0852</x:v>
      </x:c>
      <x:c r="B853" s="87" t="str">
        <x:v>Veronica anagallis-aquatica</x:v>
      </x:c>
      <x:c r="C853" s="87" t="str">
        <x:v>Veronica anagallis-aquatica</x:v>
      </x:c>
      <x:c r="D853" s="84" t="str">
        <x:v>Plantaginaceae</x:v>
      </x:c>
      <x:c r="E853" s="84" t="str">
        <x:v>Veronica</x:v>
      </x:c>
      <x:c r="F853" s="84" t="str">
        <x:v>Water Speedwell</x:v>
      </x:c>
      <x:c r="G853" s="119"/>
      <x:c r="H853" s="119"/>
      <x:c r="I853" s="119"/>
      <x:c r="J853" s="119"/>
      <x:c r="K853" s="119"/>
      <x:c r="L853" s="119"/>
      <x:c r="M853" s="119"/>
      <x:c r="N853" s="115" t="str">
        <x:v>Not Started</x:v>
      </x:c>
      <x:c r="O853" s="115"/>
      <x:c r="P853" s="119"/>
      <x:c r="Q853" s="116"/>
    </x:row>
    <x:row r="854" ht="20" customHeight="1">
      <x:c r="A854" s="83" t="str">
        <x:v>HAYS-0853</x:v>
      </x:c>
      <x:c r="B854" s="87" t="str">
        <x:v>Viburnum rufidulum</x:v>
      </x:c>
      <x:c r="C854" s="87" t="str">
        <x:v>Viburnum rufidulum</x:v>
      </x:c>
      <x:c r="D854" s="84" t="str">
        <x:v>Viburnaceae</x:v>
      </x:c>
      <x:c r="E854" s="84" t="str">
        <x:v>Viburnum</x:v>
      </x:c>
      <x:c r="F854" s="84" t="str">
        <x:v>Rusty Blackhaw Viburnum, Rusty Blackhaw, Southern Blackhaw, Blackhaw, Bluehaw, Downy Viburnum, Southern Nannyberry, Rusty Nannyberry, Nannyberry</x:v>
      </x:c>
      <x:c r="G854" s="119"/>
      <x:c r="H854" s="119"/>
      <x:c r="I854" s="119"/>
      <x:c r="J854" s="119"/>
      <x:c r="K854" s="119"/>
      <x:c r="L854" s="119"/>
      <x:c r="M854" s="119"/>
      <x:c r="N854" s="115" t="str">
        <x:v>Not Started</x:v>
      </x:c>
      <x:c r="O854" s="115"/>
      <x:c r="P854" s="119"/>
      <x:c r="Q854" s="116"/>
    </x:row>
    <x:row r="855" ht="20" customHeight="1">
      <x:c r="A855" s="83" t="str">
        <x:v>HAYS-0854</x:v>
      </x:c>
      <x:c r="B855" s="87" t="str">
        <x:v>Vicia ludoviciana ssp. leavenworthii</x:v>
      </x:c>
      <x:c r="C855" s="87" t="str">
        <x:v>Vicia ludoviciana var. leavenworthii</x:v>
      </x:c>
      <x:c r="D855" s="84" t="str">
        <x:v>Fabaceae</x:v>
      </x:c>
      <x:c r="E855" s="84" t="str">
        <x:v>Vicia</x:v>
      </x:c>
      <x:c r="F855" s="84" t="str">
        <x:v>Leavenworth's Vetch</x:v>
      </x:c>
      <x:c r="G855" s="119"/>
      <x:c r="H855" s="119"/>
      <x:c r="I855" s="119"/>
      <x:c r="J855" s="119"/>
      <x:c r="K855" s="119"/>
      <x:c r="L855" s="119"/>
      <x:c r="M855" s="119"/>
      <x:c r="N855" s="115" t="str">
        <x:v>Not Started</x:v>
      </x:c>
      <x:c r="O855" s="115"/>
      <x:c r="P855" s="119"/>
      <x:c r="Q855" s="116"/>
    </x:row>
    <x:row r="856" ht="20" customHeight="1">
      <x:c r="A856" s="83" t="str">
        <x:v>HAYS-0855</x:v>
      </x:c>
      <x:c r="B856" s="87" t="str">
        <x:v>Vicia ludoviciana ssp. ludoviciana</x:v>
      </x:c>
      <x:c r="C856" s="87"/>
      <x:c r="D856" s="84" t="str">
        <x:v>[Taxonomy unresolved]</x:v>
      </x:c>
      <x:c r="E856" s="84" t="str">
        <x:v>Vicia</x:v>
      </x:c>
      <x:c r="F856" s="84" t="str">
        <x:v>Deer Pea Vetch, Louisiana Vetch</x:v>
      </x:c>
      <x:c r="G856" s="119"/>
      <x:c r="H856" s="119"/>
      <x:c r="I856" s="119"/>
      <x:c r="J856" s="119"/>
      <x:c r="K856" s="119"/>
      <x:c r="L856" s="119"/>
      <x:c r="M856" s="119"/>
      <x:c r="N856" s="115" t="str">
        <x:v>Not Started</x:v>
      </x:c>
      <x:c r="O856" s="115"/>
      <x:c r="P856" s="119"/>
      <x:c r="Q856" s="116"/>
    </x:row>
    <x:row r="857" ht="20" customHeight="1">
      <x:c r="A857" s="83" t="str">
        <x:v>HAYS-0856</x:v>
      </x:c>
      <x:c r="B857" s="87" t="str">
        <x:v>Viguiera dentata</x:v>
      </x:c>
      <x:c r="C857" s="87" t="str">
        <x:v>Viguiera dentata</x:v>
      </x:c>
      <x:c r="D857" s="84" t="str">
        <x:v>Asteraceae</x:v>
      </x:c>
      <x:c r="E857" s="84" t="str">
        <x:v>Viguiera</x:v>
      </x:c>
      <x:c r="F857" s="84" t="str">
        <x:v>Toothleaf goldeneye</x:v>
      </x:c>
      <x:c r="G857" s="119"/>
      <x:c r="H857" s="119"/>
      <x:c r="I857" s="119"/>
      <x:c r="J857" s="119"/>
      <x:c r="K857" s="119"/>
      <x:c r="L857" s="119"/>
      <x:c r="M857" s="119"/>
      <x:c r="N857" s="115" t="str">
        <x:v>Not Started</x:v>
      </x:c>
      <x:c r="O857" s="115"/>
      <x:c r="P857" s="119"/>
      <x:c r="Q857" s="116"/>
    </x:row>
    <x:row r="858" ht="20" customHeight="1">
      <x:c r="A858" s="83" t="str">
        <x:v>HAYS-0857</x:v>
      </x:c>
      <x:c r="B858" s="87" t="str">
        <x:v>Viola affinis</x:v>
      </x:c>
      <x:c r="C858" s="87" t="str">
        <x:v>Viola affinis</x:v>
      </x:c>
      <x:c r="D858" s="84" t="str">
        <x:v>Violaceae</x:v>
      </x:c>
      <x:c r="E858" s="84" t="str">
        <x:v>Viola</x:v>
      </x:c>
      <x:c r="F858" s="84" t="str">
        <x:v>Sand Violet, Pale Early Violet, Thinleaf Violet, Small Blue Violet</x:v>
      </x:c>
      <x:c r="G858" s="119"/>
      <x:c r="H858" s="119"/>
      <x:c r="I858" s="119"/>
      <x:c r="J858" s="119"/>
      <x:c r="K858" s="119"/>
      <x:c r="L858" s="119"/>
      <x:c r="M858" s="119"/>
      <x:c r="N858" s="115" t="str">
        <x:v>Not Started</x:v>
      </x:c>
      <x:c r="O858" s="115"/>
      <x:c r="P858" s="119"/>
      <x:c r="Q858" s="116"/>
    </x:row>
    <x:row r="859" ht="20" customHeight="1">
      <x:c r="A859" s="83" t="str">
        <x:v>HAYS-0858</x:v>
      </x:c>
      <x:c r="B859" s="87" t="str">
        <x:v>Viola missouriensis</x:v>
      </x:c>
      <x:c r="C859" s="87" t="str">
        <x:v>Viola missouriensis</x:v>
      </x:c>
      <x:c r="D859" s="84" t="str">
        <x:v>Violaceae</x:v>
      </x:c>
      <x:c r="E859" s="84" t="str">
        <x:v>Viola</x:v>
      </x:c>
      <x:c r="F859" s="84" t="str">
        <x:v>Missouri Violet</x:v>
      </x:c>
      <x:c r="G859" s="119"/>
      <x:c r="H859" s="119"/>
      <x:c r="I859" s="119"/>
      <x:c r="J859" s="119"/>
      <x:c r="K859" s="119"/>
      <x:c r="L859" s="119"/>
      <x:c r="M859" s="119"/>
      <x:c r="N859" s="115" t="str">
        <x:v>Not Started</x:v>
      </x:c>
      <x:c r="O859" s="115"/>
      <x:c r="P859" s="119"/>
      <x:c r="Q859" s="116"/>
    </x:row>
    <x:row r="860" ht="20" customHeight="1">
      <x:c r="A860" s="83" t="str">
        <x:v>HAYS-0859</x:v>
      </x:c>
      <x:c r="B860" s="87" t="str">
        <x:v>Vitis cinerea var. helleri</x:v>
      </x:c>
      <x:c r="C860" s="87" t="str">
        <x:v>Vitis berlandieri</x:v>
      </x:c>
      <x:c r="D860" s="84" t="str">
        <x:v>Vitaceae</x:v>
      </x:c>
      <x:c r="E860" s="84" t="str">
        <x:v>Vitis</x:v>
      </x:c>
      <x:c r="F860" s="84" t="str">
        <x:v>Winter Grape, Heller's Grape, Gray-leaf Grape, Smooth-leaf Grape, Sweet Grape, Spanish Grape</x:v>
      </x:c>
      <x:c r="G860" s="119"/>
      <x:c r="H860" s="119"/>
      <x:c r="I860" s="119"/>
      <x:c r="J860" s="119"/>
      <x:c r="K860" s="119"/>
      <x:c r="L860" s="119"/>
      <x:c r="M860" s="119"/>
      <x:c r="N860" s="115" t="str">
        <x:v>Not Started</x:v>
      </x:c>
      <x:c r="O860" s="115"/>
      <x:c r="P860" s="119"/>
      <x:c r="Q860" s="116"/>
    </x:row>
    <x:row r="861" ht="20" customHeight="1">
      <x:c r="A861" s="83" t="str">
        <x:v>HAYS-0860</x:v>
      </x:c>
      <x:c r="B861" s="87" t="str">
        <x:v>Vitis mustangensis</x:v>
      </x:c>
      <x:c r="C861" s="87" t="str">
        <x:v>Vitis mustangensis</x:v>
      </x:c>
      <x:c r="D861" s="84" t="str">
        <x:v>Vitaceae</x:v>
      </x:c>
      <x:c r="E861" s="84" t="str">
        <x:v>Vitis</x:v>
      </x:c>
      <x:c r="F861" s="84" t="str">
        <x:v>Mustang Grape</x:v>
      </x:c>
      <x:c r="G861" s="119"/>
      <x:c r="H861" s="119"/>
      <x:c r="I861" s="119"/>
      <x:c r="J861" s="119"/>
      <x:c r="K861" s="119"/>
      <x:c r="L861" s="119"/>
      <x:c r="M861" s="119"/>
      <x:c r="N861" s="115" t="str">
        <x:v>Not Started</x:v>
      </x:c>
      <x:c r="O861" s="115"/>
      <x:c r="P861" s="119"/>
      <x:c r="Q861" s="116"/>
    </x:row>
    <x:row r="862" ht="20" customHeight="1">
      <x:c r="A862" s="83" t="str">
        <x:v>HAYS-0861</x:v>
      </x:c>
      <x:c r="B862" s="87" t="str">
        <x:v>Vulpia octoflora</x:v>
      </x:c>
      <x:c r="C862" s="87" t="str">
        <x:v>Festuca octoflora</x:v>
      </x:c>
      <x:c r="D862" s="84" t="str">
        <x:v>Poaceae</x:v>
      </x:c>
      <x:c r="E862" s="84" t="str">
        <x:v>Festuca</x:v>
      </x:c>
      <x:c r="F862" s="84" t="str">
        <x:v>Sixweeks Fescue, Common Sixweeks Grass</x:v>
      </x:c>
      <x:c r="G862" s="119"/>
      <x:c r="H862" s="119"/>
      <x:c r="I862" s="119"/>
      <x:c r="J862" s="119"/>
      <x:c r="K862" s="119"/>
      <x:c r="L862" s="119"/>
      <x:c r="M862" s="119"/>
      <x:c r="N862" s="115" t="str">
        <x:v>Not Started</x:v>
      </x:c>
      <x:c r="O862" s="115"/>
      <x:c r="P862" s="119"/>
      <x:c r="Q862" s="116"/>
    </x:row>
    <x:row r="863" ht="20" customHeight="1">
      <x:c r="A863" s="83" t="str">
        <x:v>HAYS-0862</x:v>
      </x:c>
      <x:c r="B863" s="87" t="str">
        <x:v>Warnockia scutellarioides</x:v>
      </x:c>
      <x:c r="C863" s="87" t="str">
        <x:v>Warnockia scutellarioides</x:v>
      </x:c>
      <x:c r="D863" s="84" t="str">
        <x:v>Lamiaceae</x:v>
      </x:c>
      <x:c r="E863" s="84" t="str">
        <x:v>Warnockia</x:v>
      </x:c>
      <x:c r="F863" s="84" t="str">
        <x:v>Prairie Brazosmint, Prairie Brazoria</x:v>
      </x:c>
      <x:c r="G863" s="119"/>
      <x:c r="H863" s="119"/>
      <x:c r="I863" s="119"/>
      <x:c r="J863" s="119"/>
      <x:c r="K863" s="119"/>
      <x:c r="L863" s="119"/>
      <x:c r="M863" s="119"/>
      <x:c r="N863" s="115" t="str">
        <x:v>Not Started</x:v>
      </x:c>
      <x:c r="O863" s="115"/>
      <x:c r="P863" s="119"/>
      <x:c r="Q863" s="116"/>
    </x:row>
    <x:row r="864" ht="20" customHeight="1">
      <x:c r="A864" s="83" t="str">
        <x:v>HAYS-0863</x:v>
      </x:c>
      <x:c r="B864" s="87" t="str">
        <x:v>Wedelia acapulcensis</x:v>
      </x:c>
      <x:c r="C864" s="87" t="str">
        <x:v>Wedelia acapulcensis</x:v>
      </x:c>
      <x:c r="D864" s="84" t="str">
        <x:v>Asteraceae</x:v>
      </x:c>
      <x:c r="E864" s="84" t="str">
        <x:v>Wedelia</x:v>
      </x:c>
      <x:c r="F864" s="84" t="str">
        <x:v>Orange Zexmenia</x:v>
      </x:c>
      <x:c r="G864" s="119"/>
      <x:c r="H864" s="119"/>
      <x:c r="I864" s="119"/>
      <x:c r="J864" s="119"/>
      <x:c r="K864" s="119"/>
      <x:c r="L864" s="119"/>
      <x:c r="M864" s="119"/>
      <x:c r="N864" s="115" t="str">
        <x:v>Not Started</x:v>
      </x:c>
      <x:c r="O864" s="115"/>
      <x:c r="P864" s="119"/>
      <x:c r="Q864" s="116"/>
    </x:row>
    <x:row r="865" ht="20" customHeight="1">
      <x:c r="A865" s="83" t="str">
        <x:v>HAYS-0864</x:v>
      </x:c>
      <x:c r="B865" s="87" t="str">
        <x:v>Wedelia acapulcensis var. hispida</x:v>
      </x:c>
      <x:c r="C865" s="87" t="str">
        <x:v>Wedelia acapulcensis var. hispida</x:v>
      </x:c>
      <x:c r="D865" s="84" t="str">
        <x:v>Asteraceae</x:v>
      </x:c>
      <x:c r="E865" s="84" t="str">
        <x:v>Wedelia</x:v>
      </x:c>
      <x:c r="F865" s="84" t="str">
        <x:v>Zexmenia</x:v>
      </x:c>
      <x:c r="G865" s="119"/>
      <x:c r="H865" s="119"/>
      <x:c r="I865" s="119"/>
      <x:c r="J865" s="119"/>
      <x:c r="K865" s="119"/>
      <x:c r="L865" s="119"/>
      <x:c r="M865" s="119"/>
      <x:c r="N865" s="115" t="str">
        <x:v>Not Started</x:v>
      </x:c>
      <x:c r="O865" s="115"/>
      <x:c r="P865" s="119"/>
      <x:c r="Q865" s="116"/>
    </x:row>
    <x:row r="866" ht="20" customHeight="1">
      <x:c r="A866" s="83" t="str">
        <x:v>HAYS-0865</x:v>
      </x:c>
      <x:c r="B866" s="87" t="str">
        <x:v>Wolffia columbiana</x:v>
      </x:c>
      <x:c r="C866" s="87" t="str">
        <x:v>Wolffia columbiana</x:v>
      </x:c>
      <x:c r="D866" s="84" t="str">
        <x:v>Araceae</x:v>
      </x:c>
      <x:c r="E866" s="84" t="str">
        <x:v>Wolffia</x:v>
      </x:c>
      <x:c r="F866" s="84" t="str">
        <x:v>Columbian Watermeal</x:v>
      </x:c>
      <x:c r="G866" s="119"/>
      <x:c r="H866" s="119"/>
      <x:c r="I866" s="119"/>
      <x:c r="J866" s="119"/>
      <x:c r="K866" s="119"/>
      <x:c r="L866" s="119"/>
      <x:c r="M866" s="119"/>
      <x:c r="N866" s="115" t="str">
        <x:v>Not Started</x:v>
      </x:c>
      <x:c r="O866" s="115"/>
      <x:c r="P866" s="119"/>
      <x:c r="Q866" s="116"/>
    </x:row>
    <x:row r="867" ht="20" customHeight="1">
      <x:c r="A867" s="83" t="str">
        <x:v>HAYS-0866</x:v>
      </x:c>
      <x:c r="B867" s="87" t="str">
        <x:v>Xanthium strumarium</x:v>
      </x:c>
      <x:c r="C867" s="87" t="str">
        <x:v>Xanthium strumarium</x:v>
      </x:c>
      <x:c r="D867" s="84" t="str">
        <x:v>Asteraceae</x:v>
      </x:c>
      <x:c r="E867" s="84" t="str">
        <x:v>Xanthium</x:v>
      </x:c>
      <x:c r="F867" s="84" t="str">
        <x:v>Rough Cocklebur</x:v>
      </x:c>
      <x:c r="G867" s="119"/>
      <x:c r="H867" s="119"/>
      <x:c r="I867" s="119"/>
      <x:c r="J867" s="119"/>
      <x:c r="K867" s="119"/>
      <x:c r="L867" s="119"/>
      <x:c r="M867" s="119"/>
      <x:c r="N867" s="115" t="str">
        <x:v>Not Started</x:v>
      </x:c>
      <x:c r="O867" s="115"/>
      <x:c r="P867" s="119"/>
      <x:c r="Q867" s="116"/>
    </x:row>
    <x:row r="868" ht="20" customHeight="1">
      <x:c r="A868" s="83" t="str">
        <x:v>HAYS-0867</x:v>
      </x:c>
      <x:c r="B868" s="87" t="str">
        <x:v>Yucca arkansana</x:v>
      </x:c>
      <x:c r="C868" s="87" t="str">
        <x:v>Yucca arkansana</x:v>
      </x:c>
      <x:c r="D868" s="84" t="str">
        <x:v>Asparagaceae</x:v>
      </x:c>
      <x:c r="E868" s="84" t="str">
        <x:v>Yucca</x:v>
      </x:c>
      <x:c r="F868" s="84" t="str">
        <x:v>Arkansas Yucca, Softleaf Yucca</x:v>
      </x:c>
      <x:c r="G868" s="119"/>
      <x:c r="H868" s="119"/>
      <x:c r="I868" s="119"/>
      <x:c r="J868" s="119"/>
      <x:c r="K868" s="119"/>
      <x:c r="L868" s="119"/>
      <x:c r="M868" s="119"/>
      <x:c r="N868" s="115" t="str">
        <x:v>Not Started</x:v>
      </x:c>
      <x:c r="O868" s="115"/>
      <x:c r="P868" s="119"/>
      <x:c r="Q868" s="116"/>
    </x:row>
    <x:row r="869" ht="20" customHeight="1">
      <x:c r="A869" s="83" t="str">
        <x:v>HAYS-0868</x:v>
      </x:c>
      <x:c r="B869" s="87" t="str">
        <x:v>Yucca constricta</x:v>
      </x:c>
      <x:c r="C869" s="87" t="str">
        <x:v>Yucca constricta</x:v>
      </x:c>
      <x:c r="D869" s="84" t="str">
        <x:v>Asparagaceae</x:v>
      </x:c>
      <x:c r="E869" s="84" t="str">
        <x:v>Yucca</x:v>
      </x:c>
      <x:c r="F869" s="84" t="str">
        <x:v>Buckley Yucca, Buckley's Yucca</x:v>
      </x:c>
      <x:c r="G869" s="119"/>
      <x:c r="H869" s="119"/>
      <x:c r="I869" s="119"/>
      <x:c r="J869" s="119"/>
      <x:c r="K869" s="119"/>
      <x:c r="L869" s="119"/>
      <x:c r="M869" s="119"/>
      <x:c r="N869" s="115" t="str">
        <x:v>Not Started</x:v>
      </x:c>
      <x:c r="O869" s="115"/>
      <x:c r="P869" s="119"/>
      <x:c r="Q869" s="116"/>
    </x:row>
    <x:row r="870" ht="20" customHeight="1">
      <x:c r="A870" s="83" t="str">
        <x:v>HAYS-0869</x:v>
      </x:c>
      <x:c r="B870" s="87" t="str">
        <x:v>Yucca pallida</x:v>
      </x:c>
      <x:c r="C870" s="87" t="str">
        <x:v>Yucca pallida</x:v>
      </x:c>
      <x:c r="D870" s="84" t="str">
        <x:v>Asparagaceae</x:v>
      </x:c>
      <x:c r="E870" s="84" t="str">
        <x:v>Yucca</x:v>
      </x:c>
      <x:c r="F870" s="84" t="str">
        <x:v>Pale-leaf Yucca</x:v>
      </x:c>
      <x:c r="G870" s="119"/>
      <x:c r="H870" s="119"/>
      <x:c r="I870" s="119"/>
      <x:c r="J870" s="119"/>
      <x:c r="K870" s="119"/>
      <x:c r="L870" s="119"/>
      <x:c r="M870" s="119"/>
      <x:c r="N870" s="115" t="str">
        <x:v>Not Started</x:v>
      </x:c>
      <x:c r="O870" s="115"/>
      <x:c r="P870" s="119"/>
      <x:c r="Q870" s="116"/>
    </x:row>
    <x:row r="871" ht="20" customHeight="1">
      <x:c r="A871" s="83" t="str">
        <x:v>HAYS-0870</x:v>
      </x:c>
      <x:c r="B871" s="87" t="str">
        <x:v>Yucca rupicola</x:v>
      </x:c>
      <x:c r="C871" s="87" t="str">
        <x:v>Yucca rupicola</x:v>
      </x:c>
      <x:c r="D871" s="84" t="str">
        <x:v>Asparagaceae</x:v>
      </x:c>
      <x:c r="E871" s="84" t="str">
        <x:v>Yucca</x:v>
      </x:c>
      <x:c r="F871" s="84" t="str">
        <x:v>Twistleaf Yucca, Twisted-leaf Yucca, Texas Yucca, Spanish Dagger</x:v>
      </x:c>
      <x:c r="G871" s="119"/>
      <x:c r="H871" s="119"/>
      <x:c r="I871" s="119"/>
      <x:c r="J871" s="119"/>
      <x:c r="K871" s="119"/>
      <x:c r="L871" s="119"/>
      <x:c r="M871" s="119"/>
      <x:c r="N871" s="115" t="str">
        <x:v>Not Started</x:v>
      </x:c>
      <x:c r="O871" s="115"/>
      <x:c r="P871" s="119"/>
      <x:c r="Q871" s="116"/>
    </x:row>
    <x:row r="872" ht="20" customHeight="1">
      <x:c r="A872" s="83" t="str">
        <x:v>HAYS-0871</x:v>
      </x:c>
      <x:c r="B872" s="87" t="str">
        <x:v>Yucca torreyi</x:v>
      </x:c>
      <x:c r="C872" s="87" t="str">
        <x:v>Yucca torreyi</x:v>
      </x:c>
      <x:c r="D872" s="84" t="str">
        <x:v>Asparagaceae</x:v>
      </x:c>
      <x:c r="E872" s="84" t="str">
        <x:v>Yucca</x:v>
      </x:c>
      <x:c r="F872" s="84" t="str">
        <x:v>Torrey Yucca, Torrey's Yucca, Spanish Bayonet, Spanish Dagger, Old Shag, Palma</x:v>
      </x:c>
      <x:c r="G872" s="119"/>
      <x:c r="H872" s="119"/>
      <x:c r="I872" s="119"/>
      <x:c r="J872" s="119"/>
      <x:c r="K872" s="119"/>
      <x:c r="L872" s="119"/>
      <x:c r="M872" s="119"/>
      <x:c r="N872" s="115" t="str">
        <x:v>Not Started</x:v>
      </x:c>
      <x:c r="O872" s="115"/>
      <x:c r="P872" s="119"/>
      <x:c r="Q872" s="116"/>
    </x:row>
    <x:row r="873" ht="20" customHeight="1">
      <x:c r="A873" s="83" t="str">
        <x:v>HAYS-0872</x:v>
      </x:c>
      <x:c r="B873" s="87" t="str">
        <x:v>Yucca treculeana</x:v>
      </x:c>
      <x:c r="C873" s="87"/>
      <x:c r="D873" s="84" t="str">
        <x:v>[Taxonomy unresolved]</x:v>
      </x:c>
      <x:c r="E873" s="84" t="str">
        <x:v>Yucca</x:v>
      </x:c>
      <x:c r="F873" s="84" t="str">
        <x:v>Spanish Dagger, Spanish Bayonet, Don Quixote's Lance, Palma Pita, Palma De Datil, Palmito</x:v>
      </x:c>
      <x:c r="G873" s="119"/>
      <x:c r="H873" s="119"/>
      <x:c r="I873" s="119"/>
      <x:c r="J873" s="119"/>
      <x:c r="K873" s="119"/>
      <x:c r="L873" s="119"/>
      <x:c r="M873" s="119"/>
      <x:c r="N873" s="115" t="str">
        <x:v>Not Started</x:v>
      </x:c>
      <x:c r="O873" s="115"/>
      <x:c r="P873" s="119"/>
      <x:c r="Q873" s="116"/>
    </x:row>
    <x:row r="874" ht="20" customHeight="1">
      <x:c r="A874" s="83" t="str">
        <x:v>HAYS-0873</x:v>
      </x:c>
      <x:c r="B874" s="87" t="str">
        <x:v>Zannichellia palustris</x:v>
      </x:c>
      <x:c r="C874" s="87" t="str">
        <x:v>Zannichellia palustris</x:v>
      </x:c>
      <x:c r="D874" s="84" t="str">
        <x:v>Potamogetonaceae</x:v>
      </x:c>
      <x:c r="E874" s="84" t="str">
        <x:v>Zannichellia</x:v>
      </x:c>
      <x:c r="F874" s="84" t="str">
        <x:v>Horned Pondweed, Horned Poolmat, Horned-pondweed</x:v>
      </x:c>
      <x:c r="G874" s="119"/>
      <x:c r="H874" s="119"/>
      <x:c r="I874" s="119"/>
      <x:c r="J874" s="119"/>
      <x:c r="K874" s="119"/>
      <x:c r="L874" s="119"/>
      <x:c r="M874" s="119"/>
      <x:c r="N874" s="115" t="str">
        <x:v>Not Started</x:v>
      </x:c>
      <x:c r="O874" s="115"/>
      <x:c r="P874" s="119"/>
      <x:c r="Q874" s="116"/>
    </x:row>
    <x:row r="875" ht="20" customHeight="1">
      <x:c r="A875" s="83" t="str">
        <x:v>HAYS-0874</x:v>
      </x:c>
      <x:c r="B875" s="87" t="str">
        <x:v>Zanthoxylum hirsutum</x:v>
      </x:c>
      <x:c r="C875" s="87" t="str">
        <x:v>Zanthoxylum clava-herculis subsp. fruticosum</x:v>
      </x:c>
      <x:c r="D875" s="84" t="str">
        <x:v>Rutaceae</x:v>
      </x:c>
      <x:c r="E875" s="84" t="str">
        <x:v>Zanthoxylum</x:v>
      </x:c>
      <x:c r="F875" s="84" t="str">
        <x:v>Texas Hercules' Club, Texas Prickly Ash, Limetone Prickly Ash, Toothache Tree, Tickle-tongue, Tingle-tongue</x:v>
      </x:c>
      <x:c r="G875" s="119"/>
      <x:c r="H875" s="119"/>
      <x:c r="I875" s="119"/>
      <x:c r="J875" s="119"/>
      <x:c r="K875" s="119"/>
      <x:c r="L875" s="119"/>
      <x:c r="M875" s="119"/>
      <x:c r="N875" s="115" t="str">
        <x:v>Not Started</x:v>
      </x:c>
      <x:c r="O875" s="115"/>
      <x:c r="P875" s="119"/>
      <x:c r="Q875" s="116"/>
    </x:row>
    <x:row r="876" ht="20" customHeight="1">
      <x:c r="A876" s="83" t="str">
        <x:v>HAYS-0875</x:v>
      </x:c>
      <x:c r="B876" s="87" t="str">
        <x:v>Zigadenus nuttallii</x:v>
      </x:c>
      <x:c r="C876" s="87" t="str">
        <x:v>Toxicoscordion nuttallii</x:v>
      </x:c>
      <x:c r="D876" s="84" t="str">
        <x:v>Melanthiaceae</x:v>
      </x:c>
      <x:c r="E876" s="84" t="str">
        <x:v>Toxicoscordion</x:v>
      </x:c>
      <x:c r="F876" s="84" t="str">
        <x:v>Nuttall's Death Camas, Death Camas, Poison-onion</x:v>
      </x:c>
      <x:c r="G876" s="119"/>
      <x:c r="H876" s="119"/>
      <x:c r="I876" s="119"/>
      <x:c r="J876" s="119"/>
      <x:c r="K876" s="119"/>
      <x:c r="L876" s="119"/>
      <x:c r="M876" s="119"/>
      <x:c r="N876" s="115" t="str">
        <x:v>Not Started</x:v>
      </x:c>
      <x:c r="O876" s="115"/>
      <x:c r="P876" s="119"/>
      <x:c r="Q876" s="116"/>
    </x:row>
    <x:row r="877" ht="20" customHeight="1">
      <x:c r="A877" s="83" t="str">
        <x:v>HAYS-0876</x:v>
      </x:c>
      <x:c r="B877" s="87" t="str">
        <x:v>Zizania texana</x:v>
      </x:c>
      <x:c r="C877" s="87" t="str">
        <x:v>Zizania texana</x:v>
      </x:c>
      <x:c r="D877" s="84" t="str">
        <x:v>Poaceae</x:v>
      </x:c>
      <x:c r="E877" s="84" t="str">
        <x:v>Zizania</x:v>
      </x:c>
      <x:c r="F877" s="84" t="str">
        <x:v>Texas Wildrice, Texas Wild Rice</x:v>
      </x:c>
      <x:c r="G877" s="119"/>
      <x:c r="H877" s="119"/>
      <x:c r="I877" s="119"/>
      <x:c r="J877" s="119"/>
      <x:c r="K877" s="119"/>
      <x:c r="L877" s="119"/>
      <x:c r="M877" s="119"/>
      <x:c r="N877" s="115" t="str">
        <x:v>Not Started</x:v>
      </x:c>
      <x:c r="O877" s="115"/>
      <x:c r="P877" s="119"/>
      <x:c r="Q877" s="116"/>
    </x:row>
    <x:row r="878" ht="20" customHeight="1">
      <x:c r="A878" s="83" t="str">
        <x:v>HAYS-0877</x:v>
      </x:c>
      <x:c r="B878" s="87" t="str">
        <x:v>Zizaniopsis miliacea</x:v>
      </x:c>
      <x:c r="C878" s="87" t="str">
        <x:v>Zizaniopsis miliacea</x:v>
      </x:c>
      <x:c r="D878" s="84" t="str">
        <x:v>Poaceae</x:v>
      </x:c>
      <x:c r="E878" s="84" t="str">
        <x:v>Zizaniopsis</x:v>
      </x:c>
      <x:c r="F878" s="84" t="str">
        <x:v>Giant Cutgrass</x:v>
      </x:c>
      <x:c r="G878" s="119"/>
      <x:c r="H878" s="119"/>
      <x:c r="I878" s="119"/>
      <x:c r="J878" s="119"/>
      <x:c r="K878" s="119"/>
      <x:c r="L878" s="119"/>
      <x:c r="M878" s="119"/>
      <x:c r="N878" s="115" t="str">
        <x:v>Not Started</x:v>
      </x:c>
      <x:c r="O878" s="115"/>
      <x:c r="P878" s="119"/>
      <x:c r="Q878" s="116"/>
    </x:row>
    <x:row r="879" ht="20" customHeight="1">
      <x:c r="A879" s="83" t="str">
        <x:v>HAYS-0878</x:v>
      </x:c>
      <x:c r="B879" s="87" t="str">
        <x:v>Ziziphus obtusifolia</x:v>
      </x:c>
      <x:c r="C879" s="87" t="str">
        <x:v>Condaliopsis obtusifolia</x:v>
      </x:c>
      <x:c r="D879" s="84" t="str">
        <x:v>Rhamnaceae</x:v>
      </x:c>
      <x:c r="E879" s="84" t="str">
        <x:v>Condaliopsis</x:v>
      </x:c>
      <x:c r="F879" s="84" t="str">
        <x:v>Lotebush, Lote-bush Condalia, Graythorn</x:v>
      </x:c>
      <x:c r="G879" s="119"/>
      <x:c r="H879" s="119"/>
      <x:c r="I879" s="119"/>
      <x:c r="J879" s="119"/>
      <x:c r="K879" s="119"/>
      <x:c r="L879" s="119"/>
      <x:c r="M879" s="119"/>
      <x:c r="N879" s="115" t="str">
        <x:v>Not Started</x:v>
      </x:c>
      <x:c r="O879" s="115"/>
      <x:c r="P879" s="119"/>
      <x:c r="Q879" s="116"/>
    </x:row>
    <x:row r="880" ht="20" customHeight="1">
      <x:c r="A880" s="85" t="str">
        <x:v>HAYS-0879</x:v>
      </x:c>
      <x:c r="B880" s="88" t="str">
        <x:v>Zornia bracteata</x:v>
      </x:c>
      <x:c r="C880" s="88" t="str">
        <x:v>Zornia bracteata</x:v>
      </x:c>
      <x:c r="D880" s="86" t="str">
        <x:v>Fabaceae</x:v>
      </x:c>
      <x:c r="E880" s="86" t="str">
        <x:v>Zornia</x:v>
      </x:c>
      <x:c r="F880" s="86" t="str">
        <x:v>Viperina</x:v>
      </x:c>
      <x:c r="G880" s="120"/>
      <x:c r="H880" s="120"/>
      <x:c r="I880" s="120"/>
      <x:c r="J880" s="120"/>
      <x:c r="K880" s="120"/>
      <x:c r="L880" s="120"/>
      <x:c r="M880" s="120"/>
      <x:c r="N880" s="117" t="str">
        <x:v>Not Started</x:v>
      </x:c>
      <x:c r="O880" s="117"/>
      <x:c r="P880" s="120"/>
      <x:c r="Q880" s="118"/>
    </x:row>
  </x:sheetData>
  <x:conditionalFormatting sqref="N2:N880">
    <x:cfRule type="containsText" dxfId="1" priority="1" operator="containsText" text="Reviewed"/>
    <x:cfRule type="containsText" dxfId="2" priority="2" operator="containsText" text="In Progress"/>
  </x:conditionalFormatting>
  <x:dataValidations count="1">
    <x:dataValidation type="list" sqref="N2:N880">
      <x:formula1>"Not Started,Assigned,In Progress,Ready for Review,Reviewed"</x:formula1>
    </x:dataValidation>
  </x:dataValidations>
  <x:pageMargins left="0.7" right="0.7" top="0.75" bottom="0.75" header="0.3" footer="0.3"/>
  <x:tableParts count="1">
    <x:tablePart xmlns:r="http://schemas.openxmlformats.org/officeDocument/2006/relationships" r:id="Re55f408eb86048b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12" hidden="0" customWidth="1"/>
    <x:col min="3" max="3" width="32" hidden="0" customWidth="1"/>
    <x:col min="4" max="4" width="34" hidden="0" customWidth="1"/>
    <x:col min="5" max="5" width="34" hidden="0" customWidth="1"/>
    <x:col min="6" max="6" width="16" hidden="0" customWidth="1"/>
    <x:col min="7" max="7" width="25" hidden="0" customWidth="1"/>
    <x:col min="8" max="8" width="25" hidden="0" customWidth="1"/>
    <x:col min="9" max="9" width="25" hidden="0" customWidth="1"/>
    <x:col min="10" max="10" width="25" hidden="0" customWidth="1"/>
    <x:col min="11" max="11" width="48" hidden="0" customWidth="1"/>
    <x:col min="12" max="12" width="22" hidden="0" customWidth="1"/>
    <x:col min="13" max="13" width="22" hidden="0" customWidth="1"/>
  </x:cols>
  <x:sheetData>
    <x:row r="1" ht="36" customHeight="1">
      <x:c r="A1" s="81" t="str">
        <x:v>Issue Type</x:v>
      </x:c>
      <x:c r="B1" s="82" t="str">
        <x:v>Record ID</x:v>
      </x:c>
      <x:c r="C1" s="82" t="str">
        <x:v>Submitted Name</x:v>
      </x:c>
      <x:c r="D1" s="82" t="str">
        <x:v>Source Evidence</x:v>
      </x:c>
      <x:c r="E1" s="82" t="str">
        <x:v>Match / Issue Note</x:v>
      </x:c>
      <x:c r="F1" s="82" t="str">
        <x:v>Match or Row Count</x:v>
      </x:c>
      <x:c r="G1" s="82" t="str">
        <x:v>WCVP Matched Name</x:v>
      </x:c>
      <x:c r="H1" s="82" t="str">
        <x:v>WCVP Status</x:v>
      </x:c>
      <x:c r="I1" s="82" t="str">
        <x:v>Family</x:v>
      </x:c>
      <x:c r="J1" s="82" t="str">
        <x:v>Accepted Name</x:v>
      </x:c>
      <x:c r="K1" s="82" t="str">
        <x:v>Recommended Action</x:v>
      </x:c>
      <x:c r="L1" s="82" t="str">
        <x:v>Resolution Status</x:v>
      </x:c>
      <x:c r="M1" s="82" t="str">
        <x:v>Reviewer Notes</x:v>
      </x:c>
    </x:row>
    <x:row r="2" ht="34" customHeight="1">
      <x:c r="A2" s="83" t="str">
        <x:v>No exact WCVP name match</x:v>
      </x:c>
      <x:c r="B2" s="84" t="str">
        <x:v>HAYS-0048</x:v>
      </x:c>
      <x:c r="C2" s="87" t="str">
        <x:v>Andropogon gerardii</x:v>
      </x:c>
      <x:c r="D2" s="95" t="str">
        <x:v>BONAP/NAPA; Wildflower paste; Existing master</x:v>
      </x:c>
      <x:c r="E2" s="95" t="str">
        <x:v>No exact WCVP name match</x:v>
      </x:c>
      <x:c r="F2" s="84" t="n">
        <x:v>0</x:v>
      </x:c>
      <x:c r="G2" s="84" t="str"/>
      <x:c r="H2" s="84" t="str"/>
      <x:c r="I2" s="84" t="str"/>
      <x:c r="J2" s="84" t="str"/>
      <x:c r="K2" s="95" t="str">
        <x:v>Check spelling, rank abbreviation, author citation, or current synonym; do not overwrite the submitted name.</x:v>
      </x:c>
      <x:c r="L2" s="95" t="str">
        <x:v>Open</x:v>
      </x:c>
      <x:c r="M2" s="95" t="str"/>
    </x:row>
    <x:row r="3" ht="34" customHeight="1">
      <x:c r="A3" s="83" t="str">
        <x:v>Ambiguous WCVP name</x:v>
      </x:c>
      <x:c r="B3" s="84" t="str">
        <x:v>HAYS-0050</x:v>
      </x:c>
      <x:c r="C3" s="87" t="str">
        <x:v>Andropogon virginicus</x:v>
      </x:c>
      <x:c r="D3" s="95" t="str">
        <x:v>BONAP/NAPA; Wildflower paste; Existing master</x:v>
      </x:c>
      <x:c r="E3" s="95" t="str">
        <x:v>Ambiguous: 2 WCVP records</x:v>
      </x:c>
      <x:c r="F3" s="84" t="n">
        <x:v>2</x:v>
      </x:c>
      <x:c r="G3" s="84" t="str"/>
      <x:c r="H3" s="84" t="str"/>
      <x:c r="I3" s="84" t="str"/>
      <x:c r="J3" s="84" t="str"/>
      <x:c r="K3" s="95" t="str">
        <x:v>Check spelling, rank abbreviation, author citation, or current synonym; do not overwrite the submitted name.</x:v>
      </x:c>
      <x:c r="L3" s="95" t="str">
        <x:v>Open</x:v>
      </x:c>
      <x:c r="M3" s="95" t="str"/>
    </x:row>
    <x:row r="4" ht="34" customHeight="1">
      <x:c r="A4" s="83" t="str">
        <x:v>No exact WCVP name match</x:v>
      </x:c>
      <x:c r="B4" s="84" t="str">
        <x:v>HAYS-0055</x:v>
      </x:c>
      <x:c r="C4" s="87" t="str">
        <x:v>Anemone edwardsiana var. edwardsiana</x:v>
      </x:c>
      <x:c r="D4" s="95" t="str">
        <x:v>BONAP/NAPA; Wildflower paste</x:v>
      </x:c>
      <x:c r="E4" s="95" t="str">
        <x:v>No exact WCVP name match</x:v>
      </x:c>
      <x:c r="F4" s="84" t="n">
        <x:v>0</x:v>
      </x:c>
      <x:c r="G4" s="84" t="str"/>
      <x:c r="H4" s="84" t="str"/>
      <x:c r="I4" s="84" t="str"/>
      <x:c r="J4" s="84" t="str"/>
      <x:c r="K4" s="95" t="str">
        <x:v>Check spelling, rank abbreviation, author citation, or current synonym; do not overwrite the submitted name.</x:v>
      </x:c>
      <x:c r="L4" s="95" t="str">
        <x:v>Open</x:v>
      </x:c>
      <x:c r="M4" s="95" t="str"/>
    </x:row>
    <x:row r="5" ht="34" customHeight="1">
      <x:c r="A5" s="83" t="str">
        <x:v>No exact WCVP name match</x:v>
      </x:c>
      <x:c r="B5" s="84" t="str">
        <x:v>HAYS-0125</x:v>
      </x:c>
      <x:c r="C5" s="87" t="str">
        <x:v>Buddleja racemosa ssp. racemosa</x:v>
      </x:c>
      <x:c r="D5" s="95" t="str">
        <x:v>BONAP/NAPA; Wildflower paste</x:v>
      </x:c>
      <x:c r="E5" s="95" t="str">
        <x:v>No exact WCVP name match</x:v>
      </x:c>
      <x:c r="F5" s="84" t="n">
        <x:v>0</x:v>
      </x:c>
      <x:c r="G5" s="84" t="str"/>
      <x:c r="H5" s="84" t="str"/>
      <x:c r="I5" s="84" t="str"/>
      <x:c r="J5" s="84" t="str"/>
      <x:c r="K5" s="95" t="str">
        <x:v>Check spelling, rank abbreviation, author citation, or current synonym; do not overwrite the submitted name.</x:v>
      </x:c>
      <x:c r="L5" s="95" t="str">
        <x:v>Open</x:v>
      </x:c>
      <x:c r="M5" s="95" t="str"/>
    </x:row>
    <x:row r="6" ht="34" customHeight="1">
      <x:c r="A6" s="83" t="str">
        <x:v>No exact WCVP name match</x:v>
      </x:c>
      <x:c r="B6" s="84" t="str">
        <x:v>HAYS-0133</x:v>
      </x:c>
      <x:c r="C6" s="87" t="str">
        <x:v>Calylophus serrulatus</x:v>
      </x:c>
      <x:c r="D6" s="95" t="str">
        <x:v>BONAP/NAPA; Wildflower paste</x:v>
      </x:c>
      <x:c r="E6" s="95" t="str">
        <x:v>No exact WCVP name match</x:v>
      </x:c>
      <x:c r="F6" s="84" t="n">
        <x:v>0</x:v>
      </x:c>
      <x:c r="G6" s="84" t="str"/>
      <x:c r="H6" s="84" t="str"/>
      <x:c r="I6" s="84" t="str"/>
      <x:c r="J6" s="84" t="str"/>
      <x:c r="K6" s="95" t="str">
        <x:v>Check spelling, rank abbreviation, author citation, or current synonym; do not overwrite the submitted name.</x:v>
      </x:c>
      <x:c r="L6" s="95" t="str">
        <x:v>Open</x:v>
      </x:c>
      <x:c r="M6" s="95" t="str"/>
    </x:row>
    <x:row r="7" ht="34" customHeight="1">
      <x:c r="A7" s="83" t="str">
        <x:v>No exact WCVP name match</x:v>
      </x:c>
      <x:c r="B7" s="84" t="str">
        <x:v>HAYS-0155</x:v>
      </x:c>
      <x:c r="C7" s="87" t="str">
        <x:v>Celtis laevigata var. laevigata</x:v>
      </x:c>
      <x:c r="D7" s="95" t="str">
        <x:v>BONAP/NAPA; Wildflower paste</x:v>
      </x:c>
      <x:c r="E7" s="95" t="str">
        <x:v>No exact WCVP name match</x:v>
      </x:c>
      <x:c r="F7" s="84" t="n">
        <x:v>0</x:v>
      </x:c>
      <x:c r="G7" s="84" t="str"/>
      <x:c r="H7" s="84" t="str"/>
      <x:c r="I7" s="84" t="str"/>
      <x:c r="J7" s="84" t="str"/>
      <x:c r="K7" s="95" t="str">
        <x:v>Check spelling, rank abbreviation, author citation, or current synonym; do not overwrite the submitted name.</x:v>
      </x:c>
      <x:c r="L7" s="95" t="str">
        <x:v>Open</x:v>
      </x:c>
      <x:c r="M7" s="95" t="str"/>
    </x:row>
    <x:row r="8" ht="34" customHeight="1">
      <x:c r="A8" s="83" t="str">
        <x:v>No exact WCVP name match</x:v>
      </x:c>
      <x:c r="B8" s="84" t="str">
        <x:v>HAYS-0190</x:v>
      </x:c>
      <x:c r="C8" s="87" t="str">
        <x:v>Chloris ×subdolichostachya</x:v>
      </x:c>
      <x:c r="D8" s="95" t="str">
        <x:v>BONAP/NAPA; Wildflower paste</x:v>
      </x:c>
      <x:c r="E8" s="95" t="str">
        <x:v>No exact WCVP name match</x:v>
      </x:c>
      <x:c r="F8" s="84" t="n">
        <x:v>0</x:v>
      </x:c>
      <x:c r="G8" s="84" t="str"/>
      <x:c r="H8" s="84" t="str"/>
      <x:c r="I8" s="84" t="str"/>
      <x:c r="J8" s="84" t="str"/>
      <x:c r="K8" s="95" t="str">
        <x:v>Check spelling, rank abbreviation, author citation, or current synonym; do not overwrite the submitted name.</x:v>
      </x:c>
      <x:c r="L8" s="95" t="str">
        <x:v>Open</x:v>
      </x:c>
      <x:c r="M8" s="95" t="str"/>
    </x:row>
    <x:row r="9" ht="34" customHeight="1">
      <x:c r="A9" s="83" t="str">
        <x:v>No exact WCVP name match</x:v>
      </x:c>
      <x:c r="B9" s="84" t="str">
        <x:v>HAYS-0207</x:v>
      </x:c>
      <x:c r="C9" s="87" t="str">
        <x:v>Commelina erecta var. erecta</x:v>
      </x:c>
      <x:c r="D9" s="95" t="str">
        <x:v>BONAP/NAPA; Wildflower paste</x:v>
      </x:c>
      <x:c r="E9" s="95" t="str">
        <x:v>No exact WCVP name match</x:v>
      </x:c>
      <x:c r="F9" s="84" t="n">
        <x:v>0</x:v>
      </x:c>
      <x:c r="G9" s="84" t="str"/>
      <x:c r="H9" s="84" t="str"/>
      <x:c r="I9" s="84" t="str"/>
      <x:c r="J9" s="84" t="str"/>
      <x:c r="K9" s="95" t="str">
        <x:v>Check spelling, rank abbreviation, author citation, or current synonym; do not overwrite the submitted name.</x:v>
      </x:c>
      <x:c r="L9" s="95" t="str">
        <x:v>Open</x:v>
      </x:c>
      <x:c r="M9" s="95" t="str"/>
    </x:row>
    <x:row r="10" ht="34" customHeight="1">
      <x:c r="A10" s="83" t="str">
        <x:v>No exact WCVP name match</x:v>
      </x:c>
      <x:c r="B10" s="84" t="str">
        <x:v>HAYS-0355</x:v>
      </x:c>
      <x:c r="C10" s="87" t="str">
        <x:v>Glandularia bipinnatifida var. bipinnatifida</x:v>
      </x:c>
      <x:c r="D10" s="95" t="str">
        <x:v>BONAP/NAPA; Wildflower paste</x:v>
      </x:c>
      <x:c r="E10" s="95" t="str">
        <x:v>No exact WCVP name match</x:v>
      </x:c>
      <x:c r="F10" s="84" t="n">
        <x:v>0</x:v>
      </x:c>
      <x:c r="G10" s="84" t="str"/>
      <x:c r="H10" s="84" t="str"/>
      <x:c r="I10" s="84" t="str"/>
      <x:c r="J10" s="84" t="str"/>
      <x:c r="K10" s="95" t="str">
        <x:v>Check spelling, rank abbreviation, author citation, or current synonym; do not overwrite the submitted name.</x:v>
      </x:c>
      <x:c r="L10" s="95" t="str">
        <x:v>Open</x:v>
      </x:c>
      <x:c r="M10" s="95" t="str"/>
    </x:row>
    <x:row r="11" ht="34" customHeight="1">
      <x:c r="A11" s="83" t="str">
        <x:v>No exact WCVP name match</x:v>
      </x:c>
      <x:c r="B11" s="84" t="str">
        <x:v>HAYS-0359</x:v>
      </x:c>
      <x:c r="C11" s="87" t="str">
        <x:v>Grindelia nuda var. nuda</x:v>
      </x:c>
      <x:c r="D11" s="95" t="str">
        <x:v>BONAP/NAPA; Wildflower paste</x:v>
      </x:c>
      <x:c r="E11" s="95" t="str">
        <x:v>No exact WCVP name match</x:v>
      </x:c>
      <x:c r="F11" s="84" t="n">
        <x:v>0</x:v>
      </x:c>
      <x:c r="G11" s="84" t="str"/>
      <x:c r="H11" s="84" t="str"/>
      <x:c r="I11" s="84" t="str"/>
      <x:c r="J11" s="84" t="str"/>
      <x:c r="K11" s="95" t="str">
        <x:v>Check spelling, rank abbreviation, author citation, or current synonym; do not overwrite the submitted name.</x:v>
      </x:c>
      <x:c r="L11" s="95" t="str">
        <x:v>Open</x:v>
      </x:c>
      <x:c r="M11" s="95" t="str"/>
    </x:row>
    <x:row r="12" ht="34" customHeight="1">
      <x:c r="A12" s="83" t="str">
        <x:v>No exact WCVP name match</x:v>
      </x:c>
      <x:c r="B12" s="84" t="str">
        <x:v>HAYS-0401</x:v>
      </x:c>
      <x:c r="C12" s="87" t="str">
        <x:v>Ipomoea cordatotriloba var. cordatotriloba</x:v>
      </x:c>
      <x:c r="D12" s="95" t="str">
        <x:v>BONAP/NAPA; Wildflower paste</x:v>
      </x:c>
      <x:c r="E12" s="95" t="str">
        <x:v>No exact WCVP name match</x:v>
      </x:c>
      <x:c r="F12" s="84" t="n">
        <x:v>0</x:v>
      </x:c>
      <x:c r="G12" s="84" t="str"/>
      <x:c r="H12" s="84" t="str"/>
      <x:c r="I12" s="84" t="str"/>
      <x:c r="J12" s="84" t="str"/>
      <x:c r="K12" s="95" t="str">
        <x:v>Check spelling, rank abbreviation, author citation, or current synonym; do not overwrite the submitted name.</x:v>
      </x:c>
      <x:c r="L12" s="95" t="str">
        <x:v>Open</x:v>
      </x:c>
      <x:c r="M12" s="95" t="str"/>
    </x:row>
    <x:row r="13" ht="34" customHeight="1">
      <x:c r="A13" s="83" t="str">
        <x:v>No exact WCVP name match</x:v>
      </x:c>
      <x:c r="B13" s="84" t="str">
        <x:v>HAYS-0418</x:v>
      </x:c>
      <x:c r="C13" s="87" t="str">
        <x:v>Krigia caespitosa</x:v>
      </x:c>
      <x:c r="D13" s="95" t="str">
        <x:v>BONAP/NAPA; Wildflower paste</x:v>
      </x:c>
      <x:c r="E13" s="95" t="str">
        <x:v>No exact WCVP name match</x:v>
      </x:c>
      <x:c r="F13" s="84" t="n">
        <x:v>0</x:v>
      </x:c>
      <x:c r="G13" s="84" t="str"/>
      <x:c r="H13" s="84" t="str"/>
      <x:c r="I13" s="84" t="str"/>
      <x:c r="J13" s="84" t="str"/>
      <x:c r="K13" s="95" t="str">
        <x:v>Check spelling, rank abbreviation, author citation, or current synonym; do not overwrite the submitted name.</x:v>
      </x:c>
      <x:c r="L13" s="95" t="str">
        <x:v>Open</x:v>
      </x:c>
      <x:c r="M13" s="95" t="str"/>
    </x:row>
    <x:row r="14" ht="34" customHeight="1">
      <x:c r="A14" s="83" t="str">
        <x:v>No exact WCVP name match</x:v>
      </x:c>
      <x:c r="B14" s="84" t="str">
        <x:v>HAYS-0508</x:v>
      </x:c>
      <x:c r="C14" s="87" t="str">
        <x:v>Muhlenbergia ×involuta</x:v>
      </x:c>
      <x:c r="D14" s="95" t="str">
        <x:v>BONAP/NAPA; Wildflower paste</x:v>
      </x:c>
      <x:c r="E14" s="95" t="str">
        <x:v>No exact WCVP name match</x:v>
      </x:c>
      <x:c r="F14" s="84" t="n">
        <x:v>0</x:v>
      </x:c>
      <x:c r="G14" s="84" t="str"/>
      <x:c r="H14" s="84" t="str"/>
      <x:c r="I14" s="84" t="str"/>
      <x:c r="J14" s="84" t="str"/>
      <x:c r="K14" s="95" t="str">
        <x:v>Check spelling, rank abbreviation, author citation, or current synonym; do not overwrite the submitted name.</x:v>
      </x:c>
      <x:c r="L14" s="95" t="str">
        <x:v>Open</x:v>
      </x:c>
      <x:c r="M14" s="95" t="str"/>
    </x:row>
    <x:row r="15" ht="34" customHeight="1">
      <x:c r="A15" s="83" t="str">
        <x:v>No exact WCVP name match</x:v>
      </x:c>
      <x:c r="B15" s="84" t="str">
        <x:v>HAYS-0512</x:v>
      </x:c>
      <x:c r="C15" s="87" t="str">
        <x:v>Nama jamaicense</x:v>
      </x:c>
      <x:c r="D15" s="95" t="str">
        <x:v>BONAP/NAPA; Wildflower paste</x:v>
      </x:c>
      <x:c r="E15" s="95" t="str">
        <x:v>No exact WCVP name match</x:v>
      </x:c>
      <x:c r="F15" s="84" t="n">
        <x:v>0</x:v>
      </x:c>
      <x:c r="G15" s="84" t="str"/>
      <x:c r="H15" s="84" t="str"/>
      <x:c r="I15" s="84" t="str"/>
      <x:c r="J15" s="84" t="str"/>
      <x:c r="K15" s="95" t="str">
        <x:v>Check spelling, rank abbreviation, author citation, or current synonym; do not overwrite the submitted name.</x:v>
      </x:c>
      <x:c r="L15" s="95" t="str">
        <x:v>Open</x:v>
      </x:c>
      <x:c r="M15" s="95" t="str"/>
    </x:row>
    <x:row r="16" ht="34" customHeight="1">
      <x:c r="A16" s="83" t="str">
        <x:v>No exact WCVP name match</x:v>
      </x:c>
      <x:c r="B16" s="84" t="str">
        <x:v>HAYS-0538</x:v>
      </x:c>
      <x:c r="C16" s="87" t="str">
        <x:v>Oenothera xerogaura</x:v>
      </x:c>
      <x:c r="D16" s="95" t="str">
        <x:v>BONAP/NAPA; Wildflower paste</x:v>
      </x:c>
      <x:c r="E16" s="95" t="str">
        <x:v>No exact WCVP name match</x:v>
      </x:c>
      <x:c r="F16" s="84" t="n">
        <x:v>0</x:v>
      </x:c>
      <x:c r="G16" s="84" t="str"/>
      <x:c r="H16" s="84" t="str"/>
      <x:c r="I16" s="84" t="str"/>
      <x:c r="J16" s="84" t="str"/>
      <x:c r="K16" s="95" t="str">
        <x:v>Check spelling, rank abbreviation, author citation, or current synonym; do not overwrite the submitted name.</x:v>
      </x:c>
      <x:c r="L16" s="95" t="str">
        <x:v>Open</x:v>
      </x:c>
      <x:c r="M16" s="95" t="str"/>
    </x:row>
    <x:row r="17" ht="34" customHeight="1">
      <x:c r="A17" s="83" t="str">
        <x:v>No exact WCVP name match</x:v>
      </x:c>
      <x:c r="B17" s="84" t="str">
        <x:v>HAYS-0539</x:v>
      </x:c>
      <x:c r="C17" s="87" t="str">
        <x:v>Onosmodium bejariense var. bejariense</x:v>
      </x:c>
      <x:c r="D17" s="95" t="str">
        <x:v>BONAP/NAPA; Wildflower paste; Existing master</x:v>
      </x:c>
      <x:c r="E17" s="95" t="str">
        <x:v>No exact WCVP name match</x:v>
      </x:c>
      <x:c r="F17" s="84" t="n">
        <x:v>0</x:v>
      </x:c>
      <x:c r="G17" s="84" t="str"/>
      <x:c r="H17" s="84" t="str"/>
      <x:c r="I17" s="84" t="str"/>
      <x:c r="J17" s="84" t="str"/>
      <x:c r="K17" s="95" t="str">
        <x:v>Check spelling, rank abbreviation, author citation, or current synonym; do not overwrite the submitted name.</x:v>
      </x:c>
      <x:c r="L17" s="95" t="str">
        <x:v>Open</x:v>
      </x:c>
      <x:c r="M17" s="95" t="str"/>
    </x:row>
    <x:row r="18" ht="34" customHeight="1">
      <x:c r="A18" s="83" t="str">
        <x:v>No exact WCVP name match</x:v>
      </x:c>
      <x:c r="B18" s="84" t="str">
        <x:v>HAYS-0618</x:v>
      </x:c>
      <x:c r="C18" s="87" t="str">
        <x:v>Polygala lindheimeri var. lindheimeri</x:v>
      </x:c>
      <x:c r="D18" s="95" t="str">
        <x:v>BONAP/NAPA; Wildflower paste</x:v>
      </x:c>
      <x:c r="E18" s="95" t="str">
        <x:v>No exact WCVP name match</x:v>
      </x:c>
      <x:c r="F18" s="84" t="n">
        <x:v>0</x:v>
      </x:c>
      <x:c r="G18" s="84" t="str"/>
      <x:c r="H18" s="84" t="str"/>
      <x:c r="I18" s="84" t="str"/>
      <x:c r="J18" s="84" t="str"/>
      <x:c r="K18" s="95" t="str">
        <x:v>Check spelling, rank abbreviation, author citation, or current synonym; do not overwrite the submitted name.</x:v>
      </x:c>
      <x:c r="L18" s="95" t="str">
        <x:v>Open</x:v>
      </x:c>
      <x:c r="M18" s="95" t="str"/>
    </x:row>
    <x:row r="19" ht="34" customHeight="1">
      <x:c r="A19" s="83" t="str">
        <x:v>Ambiguous WCVP name</x:v>
      </x:c>
      <x:c r="B19" s="84" t="str">
        <x:v>HAYS-0619</x:v>
      </x:c>
      <x:c r="C19" s="87" t="str">
        <x:v>Polygonum glabrum</x:v>
      </x:c>
      <x:c r="D19" s="95" t="str">
        <x:v>BONAP/NAPA; Wildflower paste</x:v>
      </x:c>
      <x:c r="E19" s="95" t="str">
        <x:v>Ambiguous: 4 WCVP records</x:v>
      </x:c>
      <x:c r="F19" s="84" t="n">
        <x:v>4</x:v>
      </x:c>
      <x:c r="G19" s="84" t="str"/>
      <x:c r="H19" s="84" t="str"/>
      <x:c r="I19" s="84" t="str"/>
      <x:c r="J19" s="84" t="str"/>
      <x:c r="K19" s="95" t="str">
        <x:v>Check spelling, rank abbreviation, author citation, or current synonym; do not overwrite the submitted name.</x:v>
      </x:c>
      <x:c r="L19" s="95" t="str">
        <x:v>Open</x:v>
      </x:c>
      <x:c r="M19" s="95" t="str"/>
    </x:row>
    <x:row r="20" ht="34" customHeight="1">
      <x:c r="A20" s="83" t="str">
        <x:v>Ambiguous WCVP name</x:v>
      </x:c>
      <x:c r="B20" s="84" t="str">
        <x:v>HAYS-0621</x:v>
      </x:c>
      <x:c r="C20" s="87" t="str">
        <x:v>Polygonum lapathifolium</x:v>
      </x:c>
      <x:c r="D20" s="95" t="str">
        <x:v>BONAP/NAPA; Wildflower paste</x:v>
      </x:c>
      <x:c r="E20" s="95" t="str">
        <x:v>Ambiguous: 2 WCVP records</x:v>
      </x:c>
      <x:c r="F20" s="84" t="n">
        <x:v>2</x:v>
      </x:c>
      <x:c r="G20" s="84" t="str"/>
      <x:c r="H20" s="84" t="str"/>
      <x:c r="I20" s="84" t="str"/>
      <x:c r="J20" s="84" t="str"/>
      <x:c r="K20" s="95" t="str">
        <x:v>Check spelling, rank abbreviation, author citation, or current synonym; do not overwrite the submitted name.</x:v>
      </x:c>
      <x:c r="L20" s="95" t="str">
        <x:v>Open</x:v>
      </x:c>
      <x:c r="M20" s="95" t="str"/>
    </x:row>
    <x:row r="21" ht="34" customHeight="1">
      <x:c r="A21" s="83" t="str">
        <x:v>Ambiguous WCVP name</x:v>
      </x:c>
      <x:c r="B21" s="84" t="str">
        <x:v>HAYS-0622</x:v>
      </x:c>
      <x:c r="C21" s="87" t="str">
        <x:v>Polygonum punctatum</x:v>
      </x:c>
      <x:c r="D21" s="95" t="str">
        <x:v>BONAP/NAPA; Wildflower paste</x:v>
      </x:c>
      <x:c r="E21" s="95" t="str">
        <x:v>Ambiguous: 7 WCVP records</x:v>
      </x:c>
      <x:c r="F21" s="84" t="n">
        <x:v>7</x:v>
      </x:c>
      <x:c r="G21" s="84" t="str"/>
      <x:c r="H21" s="84" t="str"/>
      <x:c r="I21" s="84" t="str"/>
      <x:c r="J21" s="84" t="str"/>
      <x:c r="K21" s="95" t="str">
        <x:v>Check spelling, rank abbreviation, author citation, or current synonym; do not overwrite the submitted name.</x:v>
      </x:c>
      <x:c r="L21" s="95" t="str">
        <x:v>Open</x:v>
      </x:c>
      <x:c r="M21" s="95" t="str"/>
    </x:row>
    <x:row r="22" ht="34" customHeight="1">
      <x:c r="A22" s="83" t="str">
        <x:v>Ambiguous WCVP name</x:v>
      </x:c>
      <x:c r="B22" s="84" t="str">
        <x:v>HAYS-0623</x:v>
      </x:c>
      <x:c r="C22" s="87" t="str">
        <x:v>Polygonum setaceum</x:v>
      </x:c>
      <x:c r="D22" s="95" t="str">
        <x:v>BONAP/NAPA; Wildflower paste</x:v>
      </x:c>
      <x:c r="E22" s="95" t="str">
        <x:v>Ambiguous: 2 WCVP records</x:v>
      </x:c>
      <x:c r="F22" s="84" t="n">
        <x:v>2</x:v>
      </x:c>
      <x:c r="G22" s="84" t="str"/>
      <x:c r="H22" s="84" t="str"/>
      <x:c r="I22" s="84" t="str"/>
      <x:c r="J22" s="84" t="str"/>
      <x:c r="K22" s="95" t="str">
        <x:v>Check spelling, rank abbreviation, author citation, or current synonym; do not overwrite the submitted name.</x:v>
      </x:c>
      <x:c r="L22" s="95" t="str">
        <x:v>Open</x:v>
      </x:c>
      <x:c r="M22" s="95" t="str"/>
    </x:row>
    <x:row r="23" ht="34" customHeight="1">
      <x:c r="A23" s="83" t="str">
        <x:v>No exact WCVP name match</x:v>
      </x:c>
      <x:c r="B23" s="84" t="str">
        <x:v>HAYS-0681</x:v>
      </x:c>
      <x:c r="C23" s="87" t="str">
        <x:v>Ruellia nudiflora var. nudiflora</x:v>
      </x:c>
      <x:c r="D23" s="95" t="str">
        <x:v>BONAP/NAPA; Wildflower paste</x:v>
      </x:c>
      <x:c r="E23" s="95" t="str">
        <x:v>No exact WCVP name match</x:v>
      </x:c>
      <x:c r="F23" s="84" t="n">
        <x:v>0</x:v>
      </x:c>
      <x:c r="G23" s="84" t="str"/>
      <x:c r="H23" s="84" t="str"/>
      <x:c r="I23" s="84" t="str"/>
      <x:c r="J23" s="84" t="str"/>
      <x:c r="K23" s="95" t="str">
        <x:v>Check spelling, rank abbreviation, author citation, or current synonym; do not overwrite the submitted name.</x:v>
      </x:c>
      <x:c r="L23" s="95" t="str">
        <x:v>Open</x:v>
      </x:c>
      <x:c r="M23" s="95" t="str"/>
    </x:row>
    <x:row r="24" ht="34" customHeight="1">
      <x:c r="A24" s="83" t="str">
        <x:v>No exact WCVP name match</x:v>
      </x:c>
      <x:c r="B24" s="84" t="str">
        <x:v>HAYS-0683</x:v>
      </x:c>
      <x:c r="C24" s="87" t="str">
        <x:v>Rumex chrysocarpus</x:v>
      </x:c>
      <x:c r="D24" s="95" t="str">
        <x:v>BONAP/NAPA; Wildflower paste</x:v>
      </x:c>
      <x:c r="E24" s="95" t="str">
        <x:v>No exact WCVP name match</x:v>
      </x:c>
      <x:c r="F24" s="84" t="n">
        <x:v>0</x:v>
      </x:c>
      <x:c r="G24" s="84" t="str"/>
      <x:c r="H24" s="84" t="str"/>
      <x:c r="I24" s="84" t="str"/>
      <x:c r="J24" s="84" t="str"/>
      <x:c r="K24" s="95" t="str">
        <x:v>Check spelling, rank abbreviation, author citation, or current synonym; do not overwrite the submitted name.</x:v>
      </x:c>
      <x:c r="L24" s="95" t="str">
        <x:v>Open</x:v>
      </x:c>
      <x:c r="M24" s="95" t="str"/>
    </x:row>
    <x:row r="25" ht="34" customHeight="1">
      <x:c r="A25" s="83" t="str">
        <x:v>No exact WCVP name match</x:v>
      </x:c>
      <x:c r="B25" s="84" t="str">
        <x:v>HAYS-0687</x:v>
      </x:c>
      <x:c r="C25" s="87" t="str">
        <x:v>Sagittaria graminea var. graminea</x:v>
      </x:c>
      <x:c r="D25" s="95" t="str">
        <x:v>BONAP/NAPA; Wildflower paste</x:v>
      </x:c>
      <x:c r="E25" s="95" t="str">
        <x:v>No exact WCVP name match</x:v>
      </x:c>
      <x:c r="F25" s="84" t="n">
        <x:v>0</x:v>
      </x:c>
      <x:c r="G25" s="84" t="str"/>
      <x:c r="H25" s="84" t="str"/>
      <x:c r="I25" s="84" t="str"/>
      <x:c r="J25" s="84" t="str"/>
      <x:c r="K25" s="95" t="str">
        <x:v>Check spelling, rank abbreviation, author citation, or current synonym; do not overwrite the submitted name.</x:v>
      </x:c>
      <x:c r="L25" s="95" t="str">
        <x:v>Open</x:v>
      </x:c>
      <x:c r="M25" s="95" t="str"/>
    </x:row>
    <x:row r="26" ht="34" customHeight="1">
      <x:c r="A26" s="83" t="str">
        <x:v>Ambiguous WCVP name</x:v>
      </x:c>
      <x:c r="B26" s="84" t="str">
        <x:v>HAYS-0711</x:v>
      </x:c>
      <x:c r="C26" s="87" t="str">
        <x:v>Schoenocaulon drummondii</x:v>
      </x:c>
      <x:c r="D26" s="95" t="str">
        <x:v>BONAP/NAPA; Wildflower paste</x:v>
      </x:c>
      <x:c r="E26" s="95" t="str">
        <x:v>Ambiguous: 2 WCVP records</x:v>
      </x:c>
      <x:c r="F26" s="84" t="n">
        <x:v>2</x:v>
      </x:c>
      <x:c r="G26" s="84" t="str"/>
      <x:c r="H26" s="84" t="str"/>
      <x:c r="I26" s="84" t="str"/>
      <x:c r="J26" s="84" t="str"/>
      <x:c r="K26" s="95" t="str">
        <x:v>Check spelling, rank abbreviation, author citation, or current synonym; do not overwrite the submitted name.</x:v>
      </x:c>
      <x:c r="L26" s="95" t="str">
        <x:v>Open</x:v>
      </x:c>
      <x:c r="M26" s="95" t="str"/>
    </x:row>
    <x:row r="27" ht="34" customHeight="1">
      <x:c r="A27" s="83" t="str">
        <x:v>No exact WCVP name match</x:v>
      </x:c>
      <x:c r="B27" s="84" t="str">
        <x:v>HAYS-0751</x:v>
      </x:c>
      <x:c r="C27" s="87" t="str">
        <x:v>Solanum ptycanthum</x:v>
      </x:c>
      <x:c r="D27" s="95" t="str">
        <x:v>BONAP/NAPA; Wildflower paste</x:v>
      </x:c>
      <x:c r="E27" s="95" t="str">
        <x:v>No exact WCVP name match</x:v>
      </x:c>
      <x:c r="F27" s="84" t="n">
        <x:v>0</x:v>
      </x:c>
      <x:c r="G27" s="84" t="str"/>
      <x:c r="H27" s="84" t="str"/>
      <x:c r="I27" s="84" t="str"/>
      <x:c r="J27" s="84" t="str"/>
      <x:c r="K27" s="95" t="str">
        <x:v>Check spelling, rank abbreviation, author citation, or current synonym; do not overwrite the submitted name.</x:v>
      </x:c>
      <x:c r="L27" s="95" t="str">
        <x:v>Open</x:v>
      </x:c>
      <x:c r="M27" s="95" t="str"/>
    </x:row>
    <x:row r="28" ht="34" customHeight="1">
      <x:c r="A28" s="83" t="str">
        <x:v>No exact WCVP name match</x:v>
      </x:c>
      <x:c r="B28" s="84" t="str">
        <x:v>HAYS-0764</x:v>
      </x:c>
      <x:c r="C28" s="87" t="str">
        <x:v>Spirodela polyrrhiza</x:v>
      </x:c>
      <x:c r="D28" s="95" t="str">
        <x:v>BONAP/NAPA; Wildflower paste</x:v>
      </x:c>
      <x:c r="E28" s="95" t="str">
        <x:v>No exact WCVP name match</x:v>
      </x:c>
      <x:c r="F28" s="84" t="n">
        <x:v>0</x:v>
      </x:c>
      <x:c r="G28" s="84" t="str"/>
      <x:c r="H28" s="84" t="str"/>
      <x:c r="I28" s="84" t="str"/>
      <x:c r="J28" s="84" t="str"/>
      <x:c r="K28" s="95" t="str">
        <x:v>Check spelling, rank abbreviation, author citation, or current synonym; do not overwrite the submitted name.</x:v>
      </x:c>
      <x:c r="L28" s="95" t="str">
        <x:v>Open</x:v>
      </x:c>
      <x:c r="M28" s="95" t="str"/>
    </x:row>
    <x:row r="29" ht="34" customHeight="1">
      <x:c r="A29" s="83" t="str">
        <x:v>Ambiguous WCVP name</x:v>
      </x:c>
      <x:c r="B29" s="84" t="str">
        <x:v>HAYS-0768</x:v>
      </x:c>
      <x:c r="C29" s="87" t="str">
        <x:v>Stachys crenata</x:v>
      </x:c>
      <x:c r="D29" s="95" t="str">
        <x:v>BONAP/NAPA; Wildflower paste</x:v>
      </x:c>
      <x:c r="E29" s="95" t="str">
        <x:v>Ambiguous: 2 WCVP records</x:v>
      </x:c>
      <x:c r="F29" s="84" t="n">
        <x:v>2</x:v>
      </x:c>
      <x:c r="G29" s="84" t="str"/>
      <x:c r="H29" s="84" t="str"/>
      <x:c r="I29" s="84" t="str"/>
      <x:c r="J29" s="84" t="str"/>
      <x:c r="K29" s="95" t="str">
        <x:v>Check spelling, rank abbreviation, author citation, or current synonym; do not overwrite the submitted name.</x:v>
      </x:c>
      <x:c r="L29" s="95" t="str">
        <x:v>Open</x:v>
      </x:c>
      <x:c r="M29" s="95" t="str"/>
    </x:row>
    <x:row r="30" ht="34" customHeight="1">
      <x:c r="A30" s="83" t="str">
        <x:v>No exact WCVP name match</x:v>
      </x:c>
      <x:c r="B30" s="84" t="str">
        <x:v>HAYS-0770</x:v>
      </x:c>
      <x:c r="C30" s="87" t="str">
        <x:v>Stenosiphon linifolius</x:v>
      </x:c>
      <x:c r="D30" s="95" t="str">
        <x:v>BONAP/NAPA; Wildflower paste</x:v>
      </x:c>
      <x:c r="E30" s="95" t="str">
        <x:v>No exact WCVP name match</x:v>
      </x:c>
      <x:c r="F30" s="84" t="n">
        <x:v>0</x:v>
      </x:c>
      <x:c r="G30" s="84" t="str"/>
      <x:c r="H30" s="84" t="str"/>
      <x:c r="I30" s="84" t="str"/>
      <x:c r="J30" s="84" t="str"/>
      <x:c r="K30" s="95" t="str">
        <x:v>Check spelling, rank abbreviation, author citation, or current synonym; do not overwrite the submitted name.</x:v>
      </x:c>
      <x:c r="L30" s="95" t="str">
        <x:v>Open</x:v>
      </x:c>
      <x:c r="M30" s="95" t="str"/>
    </x:row>
    <x:row r="31" ht="34" customHeight="1">
      <x:c r="A31" s="83" t="str">
        <x:v>No exact WCVP name match</x:v>
      </x:c>
      <x:c r="B31" s="84" t="str">
        <x:v>HAYS-0797</x:v>
      </x:c>
      <x:c r="C31" s="87" t="str">
        <x:v>Thelesperma filifolium var. filifolium</x:v>
      </x:c>
      <x:c r="D31" s="95" t="str">
        <x:v>BONAP/NAPA; Wildflower paste</x:v>
      </x:c>
      <x:c r="E31" s="95" t="str">
        <x:v>No exact WCVP name match</x:v>
      </x:c>
      <x:c r="F31" s="84" t="n">
        <x:v>0</x:v>
      </x:c>
      <x:c r="G31" s="84" t="str"/>
      <x:c r="H31" s="84" t="str"/>
      <x:c r="I31" s="84" t="str"/>
      <x:c r="J31" s="84" t="str"/>
      <x:c r="K31" s="95" t="str">
        <x:v>Check spelling, rank abbreviation, author citation, or current synonym; do not overwrite the submitted name.</x:v>
      </x:c>
      <x:c r="L31" s="95" t="str">
        <x:v>Open</x:v>
      </x:c>
      <x:c r="M31" s="95" t="str"/>
    </x:row>
    <x:row r="32" ht="34" customHeight="1">
      <x:c r="A32" s="83" t="str">
        <x:v>No exact WCVP name match</x:v>
      </x:c>
      <x:c r="B32" s="84" t="str">
        <x:v>HAYS-0851</x:v>
      </x:c>
      <x:c r="C32" s="87" t="str">
        <x:v>Vernonia ×guadalupensis</x:v>
      </x:c>
      <x:c r="D32" s="95" t="str">
        <x:v>Existing master</x:v>
      </x:c>
      <x:c r="E32" s="95" t="str">
        <x:v>No exact WCVP name match</x:v>
      </x:c>
      <x:c r="F32" s="84" t="n">
        <x:v>0</x:v>
      </x:c>
      <x:c r="G32" s="84" t="str"/>
      <x:c r="H32" s="84" t="str"/>
      <x:c r="I32" s="84" t="str"/>
      <x:c r="J32" s="84" t="str"/>
      <x:c r="K32" s="95" t="str">
        <x:v>Check spelling, rank abbreviation, author citation, or current synonym; do not overwrite the submitted name.</x:v>
      </x:c>
      <x:c r="L32" s="95" t="str">
        <x:v>Open</x:v>
      </x:c>
      <x:c r="M32" s="95" t="str"/>
    </x:row>
    <x:row r="33" ht="34" customHeight="1">
      <x:c r="A33" s="83" t="str">
        <x:v>No exact WCVP name match</x:v>
      </x:c>
      <x:c r="B33" s="84" t="str">
        <x:v>HAYS-0855</x:v>
      </x:c>
      <x:c r="C33" s="87" t="str">
        <x:v>Vicia ludoviciana ssp. ludoviciana</x:v>
      </x:c>
      <x:c r="D33" s="95" t="str">
        <x:v>BONAP/NAPA; Wildflower paste</x:v>
      </x:c>
      <x:c r="E33" s="95" t="str">
        <x:v>No exact WCVP name match</x:v>
      </x:c>
      <x:c r="F33" s="84" t="n">
        <x:v>0</x:v>
      </x:c>
      <x:c r="G33" s="84" t="str"/>
      <x:c r="H33" s="84" t="str"/>
      <x:c r="I33" s="84" t="str"/>
      <x:c r="J33" s="84" t="str"/>
      <x:c r="K33" s="95" t="str">
        <x:v>Check spelling, rank abbreviation, author citation, or current synonym; do not overwrite the submitted name.</x:v>
      </x:c>
      <x:c r="L33" s="95" t="str">
        <x:v>Open</x:v>
      </x:c>
      <x:c r="M33" s="95" t="str"/>
    </x:row>
    <x:row r="34" ht="34" customHeight="1">
      <x:c r="A34" s="83" t="str">
        <x:v>No exact WCVP name match</x:v>
      </x:c>
      <x:c r="B34" s="84" t="str">
        <x:v>HAYS-0872</x:v>
      </x:c>
      <x:c r="C34" s="87" t="str">
        <x:v>Yucca treculeana</x:v>
      </x:c>
      <x:c r="D34" s="95" t="str">
        <x:v>BONAP/NAPA; Wildflower paste; Existing master</x:v>
      </x:c>
      <x:c r="E34" s="95" t="str">
        <x:v>No exact WCVP name match</x:v>
      </x:c>
      <x:c r="F34" s="84" t="n">
        <x:v>0</x:v>
      </x:c>
      <x:c r="G34" s="84" t="str"/>
      <x:c r="H34" s="84" t="str"/>
      <x:c r="I34" s="84" t="str"/>
      <x:c r="J34" s="84" t="str"/>
      <x:c r="K34" s="95" t="str">
        <x:v>Check spelling, rank abbreviation, author citation, or current synonym; do not overwrite the submitted name.</x:v>
      </x:c>
      <x:c r="L34" s="95" t="str">
        <x:v>Open</x:v>
      </x:c>
      <x:c r="M34" s="95" t="str"/>
    </x:row>
    <x:row r="35" ht="34" customHeight="1">
      <x:c r="A35" s="83" t="str">
        <x:v>Duplicate rows in existing master</x:v>
      </x:c>
      <x:c r="B35" s="84" t="str"/>
      <x:c r="C35" s="87" t="str">
        <x:v>Conoclinium coelestinum</x:v>
      </x:c>
      <x:c r="D35" s="95" t="str">
        <x:v>Existing master rows 63, 64</x:v>
      </x:c>
      <x:c r="E35" s="95" t="str">
        <x:v>2 source rows share the same normalized scientific name</x:v>
      </x:c>
      <x:c r="F35" s="84" t="n">
        <x:v>2</x:v>
      </x:c>
      <x:c r="G35" s="84" t="str"/>
      <x:c r="H35" s="84" t="str"/>
      <x:c r="I35" s="84" t="str"/>
      <x:c r="J35" s="84" t="str"/>
      <x:c r="K35" s="95" t="str">
        <x:v>Compare the duplicate source rows and retain the best-supported values in future enrichment.</x:v>
      </x:c>
      <x:c r="L35" s="95" t="str">
        <x:v>Open</x:v>
      </x:c>
      <x:c r="M35" s="95" t="str"/>
    </x:row>
    <x:row r="36" ht="34" customHeight="1">
      <x:c r="A36" s="83" t="str">
        <x:v>Duplicate rows in existing master</x:v>
      </x:c>
      <x:c r="B36" s="84" t="str"/>
      <x:c r="C36" s="87" t="str">
        <x:v>Colubrina texensis</x:v>
      </x:c>
      <x:c r="D36" s="95" t="str">
        <x:v>Existing master rows 187, 312</x:v>
      </x:c>
      <x:c r="E36" s="95" t="str">
        <x:v>2 source rows share the same normalized scientific name</x:v>
      </x:c>
      <x:c r="F36" s="84" t="n">
        <x:v>2</x:v>
      </x:c>
      <x:c r="G36" s="84" t="str"/>
      <x:c r="H36" s="84" t="str"/>
      <x:c r="I36" s="84" t="str"/>
      <x:c r="J36" s="84" t="str"/>
      <x:c r="K36" s="95" t="str">
        <x:v>Compare the duplicate source rows and retain the best-supported values in future enrichment.</x:v>
      </x:c>
      <x:c r="L36" s="95" t="str">
        <x:v>Open</x:v>
      </x:c>
      <x:c r="M36" s="95" t="str"/>
    </x:row>
    <x:row r="37" ht="34" customHeight="1">
      <x:c r="A37" s="85" t="str">
        <x:v>Source-list name discrepancy</x:v>
      </x:c>
      <x:c r="B37" s="86" t="str"/>
      <x:c r="C37" s="88" t="str">
        <x:v>Evax candida / Diaperia candida</x:v>
      </x:c>
      <x:c r="D37" s="96" t="str">
        <x:v>BONAP/NAPA; Wildflower paste</x:v>
      </x:c>
      <x:c r="E37" s="96" t="str">
        <x:v>The two 788-name lists differ at this name pair.</x:v>
      </x:c>
      <x:c r="F37" s="86" t="n">
        <x:v>2</x:v>
      </x:c>
      <x:c r="G37" s="86" t="str"/>
      <x:c r="H37" s="86" t="str"/>
      <x:c r="I37" s="86" t="str">
        <x:v>Asteraceae</x:v>
      </x:c>
      <x:c r="J37" s="86" t="str"/>
      <x:c r="K37" s="96" t="str">
        <x:v>Treat as a synonym/history question; keep both submitted-name records until reviewed.</x:v>
      </x:c>
      <x:c r="L37" s="96" t="str">
        <x:v>Open</x:v>
      </x:c>
      <x:c r="M37" s="96" t="str"/>
    </x:row>
  </x:sheetData>
  <x:conditionalFormatting sqref="A2:A37">
    <x:cfRule type="containsText" dxfId="4" priority="1" operator="containsText" text="No exact"/>
  </x:conditionalFormatting>
  <x:dataValidations count="1">
    <x:dataValidation type="list" sqref="L2:L37">
      <x:formula1>"Open,In Review,Resolved,Deferred"</x:formula1>
    </x:dataValidation>
  </x:dataValidations>
  <x:pageMargins left="0.7" right="0.7" top="0.75" bottom="0.75" header="0.3" footer="0.3"/>
  <x:tableParts count="1">
    <x:tablePart xmlns:r="http://schemas.openxmlformats.org/officeDocument/2006/relationships" r:id="R5bd40a623f0e4b3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32" hidden="0" customWidth="1"/>
    <x:col min="4" max="4" width="44" hidden="0" customWidth="1"/>
    <x:col min="5" max="5" width="20" hidden="0" customWidth="1"/>
    <x:col min="6" max="6" width="20" hidden="0" customWidth="1"/>
    <x:col min="7" max="7" width="20" hidden="0" customWidth="1"/>
    <x:col min="8" max="8" width="20" hidden="0" customWidth="1"/>
    <x:col min="9" max="9" width="34" hidden="0" customWidth="1"/>
  </x:cols>
  <x:sheetData>
    <x:row r="1" ht="30" customHeight="1">
      <x:c r="A1" s="81" t="str">
        <x:v>Source</x:v>
      </x:c>
      <x:c r="B1" s="82" t="str">
        <x:v>Source Row</x:v>
      </x:c>
      <x:c r="C1" s="82" t="str">
        <x:v>Scientific Name as Supplied</x:v>
      </x:c>
      <x:c r="D1" s="82" t="str">
        <x:v>Common Name(s)</x:v>
      </x:c>
      <x:c r="E1" s="82" t="str">
        <x:v>Duration</x:v>
      </x:c>
      <x:c r="F1" s="82" t="str">
        <x:v>Habit / Growth Form</x:v>
      </x:c>
      <x:c r="G1" s="82" t="str">
        <x:v>Sun</x:v>
      </x:c>
      <x:c r="H1" s="82" t="str">
        <x:v>Water</x:v>
      </x:c>
      <x:c r="I1" s="82" t="str">
        <x:v>Mechanical Match Key</x:v>
      </x:c>
    </x:row>
    <x:row r="2">
      <x:c r="A2" s="83" t="str">
        <x:v>BONAP/NAPA Hays workbook</x:v>
      </x:c>
      <x:c r="B2" s="84" t="n">
        <x:v>5</x:v>
      </x:c>
      <x:c r="C2" s="87" t="str">
        <x:v>Abutilon fruticosum</x:v>
      </x:c>
      <x:c r="D2" s="84" t="str">
        <x:v>Texas Indian Mallow, Indian Mallow</x:v>
      </x:c>
      <x:c r="E2" s="84" t="str">
        <x:v>Perennial</x:v>
      </x:c>
      <x:c r="F2" s="84" t="str">
        <x:v>Herb</x:v>
      </x:c>
      <x:c r="G2" s="84" t="str">
        <x:v>Sun</x:v>
      </x:c>
      <x:c r="H2" s="84" t="str">
        <x:v>Dry</x:v>
      </x:c>
      <x:c r="I2" s="84" t="str">
        <x:v>abutilon fruticosum</x:v>
      </x:c>
    </x:row>
    <x:row r="3">
      <x:c r="A3" s="83" t="str">
        <x:v>BONAP/NAPA Hays workbook</x:v>
      </x:c>
      <x:c r="B3" s="84" t="n">
        <x:v>6</x:v>
      </x:c>
      <x:c r="C3" s="87" t="str">
        <x:v>Abutilon incanum</x:v>
      </x:c>
      <x:c r="D3" s="84" t="str">
        <x:v>Pelotazo, Indian Mallow, Shrubby Indian Mallow</x:v>
      </x:c>
      <x:c r="E3" s="84" t="str">
        <x:v>Perennial</x:v>
      </x:c>
      <x:c r="F3" s="84" t="str">
        <x:v>Shrub</x:v>
      </x:c>
      <x:c r="G3" s="84" t="str">
        <x:v>Sun</x:v>
      </x:c>
      <x:c r="H3" s="84" t="str">
        <x:v>Dry</x:v>
      </x:c>
      <x:c r="I3" s="84" t="str">
        <x:v>abutilon incanum</x:v>
      </x:c>
    </x:row>
    <x:row r="4">
      <x:c r="A4" s="83" t="str">
        <x:v>BONAP/NAPA Hays workbook</x:v>
      </x:c>
      <x:c r="B4" s="84" t="n">
        <x:v>7</x:v>
      </x:c>
      <x:c r="C4" s="87" t="str">
        <x:v>Acaciella angustissima var. hirta</x:v>
      </x:c>
      <x:c r="D4" s="84" t="str">
        <x:v>Prairie Acacia, Texas Prairie Acacia, Texas Fern Acacia, Prairie Wattle</x:v>
      </x:c>
      <x:c r="E4" s="84" t="str">
        <x:v>Perennial</x:v>
      </x:c>
      <x:c r="F4" s="84" t="str">
        <x:v>Subshrub</x:v>
      </x:c>
      <x:c r="G4" s="84" t="str">
        <x:v>Sun, Shade, Part-shade</x:v>
      </x:c>
      <x:c r="H4" s="84" t="str">
        <x:v>Moist, Dry</x:v>
      </x:c>
      <x:c r="I4" s="84" t="str">
        <x:v>acaciella angustissima var. hirta</x:v>
      </x:c>
    </x:row>
    <x:row r="5">
      <x:c r="A5" s="83" t="str">
        <x:v>BONAP/NAPA Hays workbook</x:v>
      </x:c>
      <x:c r="B5" s="84" t="n">
        <x:v>8</x:v>
      </x:c>
      <x:c r="C5" s="87" t="str">
        <x:v>Acalypha persimilis</x:v>
      </x:c>
      <x:c r="D5" s="84" t="str">
        <x:v>Hornbeam Copperleaf</x:v>
      </x:c>
      <x:c r="E5" s="84" t="str">
        <x:v>Annual</x:v>
      </x:c>
      <x:c r="F5" s="84" t="str">
        <x:v>Herb</x:v>
      </x:c>
      <x:c r="G5" s="84" t="str">
        <x:v>Sun</x:v>
      </x:c>
      <x:c r="H5" s="84" t="str">
        <x:v>Moist, Dry</x:v>
      </x:c>
      <x:c r="I5" s="84" t="str">
        <x:v>acalypha persimilis</x:v>
      </x:c>
    </x:row>
    <x:row r="6">
      <x:c r="A6" s="83" t="str">
        <x:v>BONAP/NAPA Hays workbook</x:v>
      </x:c>
      <x:c r="B6" s="84" t="n">
        <x:v>9</x:v>
      </x:c>
      <x:c r="C6" s="87" t="str">
        <x:v>Acalypha phleoides</x:v>
      </x:c>
      <x:c r="D6" s="84" t="str">
        <x:v>Shrubby Copperleaf, Three-seeded Mercury</x:v>
      </x:c>
      <x:c r="E6" s="84" t="str">
        <x:v>Perennial</x:v>
      </x:c>
      <x:c r="F6" s="84" t="str">
        <x:v>Herb</x:v>
      </x:c>
      <x:c r="G6" s="84" t="str">
        <x:v>Part-shade</x:v>
      </x:c>
      <x:c r="H6" s="84" t="str"/>
      <x:c r="I6" s="84" t="str">
        <x:v>acalypha phleoides</x:v>
      </x:c>
    </x:row>
    <x:row r="7">
      <x:c r="A7" s="83" t="str">
        <x:v>BONAP/NAPA Hays workbook</x:v>
      </x:c>
      <x:c r="B7" s="84" t="n">
        <x:v>10</x:v>
      </x:c>
      <x:c r="C7" s="87" t="str">
        <x:v>Acalypha radians</x:v>
      </x:c>
      <x:c r="D7" s="84" t="str">
        <x:v>Cardinal's Feather, Cardinal Feather</x:v>
      </x:c>
      <x:c r="E7" s="84" t="str">
        <x:v>Perennial</x:v>
      </x:c>
      <x:c r="F7" s="84" t="str">
        <x:v>Herb</x:v>
      </x:c>
      <x:c r="G7" s="84" t="str">
        <x:v>Sun</x:v>
      </x:c>
      <x:c r="H7" s="84" t="str">
        <x:v>Dry</x:v>
      </x:c>
      <x:c r="I7" s="84" t="str">
        <x:v>acalypha radians</x:v>
      </x:c>
    </x:row>
    <x:row r="8">
      <x:c r="A8" s="83" t="str">
        <x:v>BONAP/NAPA Hays workbook</x:v>
      </x:c>
      <x:c r="B8" s="84" t="n">
        <x:v>11</x:v>
      </x:c>
      <x:c r="C8" s="87" t="str">
        <x:v>Acer negundo</x:v>
      </x:c>
      <x:c r="D8" s="84" t="str">
        <x:v>Box Elder, Box Elder Maple, Ash-leaved Maple, Ashleaf Maple, Red River Maple, Fresno De Guajuco</x:v>
      </x:c>
      <x:c r="E8" s="84" t="str">
        <x:v>Perennial</x:v>
      </x:c>
      <x:c r="F8" s="84" t="str">
        <x:v>Tree</x:v>
      </x:c>
      <x:c r="G8" s="84" t="str">
        <x:v>Sun</x:v>
      </x:c>
      <x:c r="H8" s="84" t="str">
        <x:v>Moist</x:v>
      </x:c>
      <x:c r="I8" s="84" t="str">
        <x:v>acer negundo</x:v>
      </x:c>
    </x:row>
    <x:row r="9">
      <x:c r="A9" s="83" t="str">
        <x:v>BONAP/NAPA Hays workbook</x:v>
      </x:c>
      <x:c r="B9" s="84" t="n">
        <x:v>12</x:v>
      </x:c>
      <x:c r="C9" s="87" t="str">
        <x:v>Achillea millefolium</x:v>
      </x:c>
      <x:c r="D9" s="84" t="str">
        <x:v>Common Yarrow, Western Yarrow, Yarrow, Milfoil</x:v>
      </x:c>
      <x:c r="E9" s="84" t="str">
        <x:v>Perennial</x:v>
      </x:c>
      <x:c r="F9" s="84" t="str">
        <x:v>Herb</x:v>
      </x:c>
      <x:c r="G9" s="84" t="str">
        <x:v>Sun, Part-shade</x:v>
      </x:c>
      <x:c r="H9" s="84" t="str">
        <x:v>Dry</x:v>
      </x:c>
      <x:c r="I9" s="84" t="str">
        <x:v>achillea millefolium</x:v>
      </x:c>
    </x:row>
    <x:row r="10">
      <x:c r="A10" s="83" t="str">
        <x:v>BONAP/NAPA Hays workbook</x:v>
      </x:c>
      <x:c r="B10" s="84" t="n">
        <x:v>13</x:v>
      </x:c>
      <x:c r="C10" s="87" t="str">
        <x:v>Acleisanthes longiflora</x:v>
      </x:c>
      <x:c r="D10" s="84" t="str">
        <x:v>Angel's Trumpets, Angel Trumpets</x:v>
      </x:c>
      <x:c r="E10" s="84" t="str">
        <x:v>Perennial</x:v>
      </x:c>
      <x:c r="F10" s="84" t="str">
        <x:v>Herb</x:v>
      </x:c>
      <x:c r="G10" s="84" t="str">
        <x:v>Sun</x:v>
      </x:c>
      <x:c r="H10" s="84" t="str">
        <x:v>Moist, Dry</x:v>
      </x:c>
      <x:c r="I10" s="84" t="str">
        <x:v>acleisanthes longiflora</x:v>
      </x:c>
    </x:row>
    <x:row r="11">
      <x:c r="A11" s="83" t="str">
        <x:v>BONAP/NAPA Hays workbook</x:v>
      </x:c>
      <x:c r="B11" s="84" t="n">
        <x:v>14</x:v>
      </x:c>
      <x:c r="C11" s="87" t="str">
        <x:v>Adiantum capillus-veneris</x:v>
      </x:c>
      <x:c r="D11" s="84" t="str">
        <x:v>Southern Maidenhair Fern, Common Maidenhair Fern, Maidenhair Fern, Venus Hair Fern</x:v>
      </x:c>
      <x:c r="E11" s="84" t="str">
        <x:v>Perennial</x:v>
      </x:c>
      <x:c r="F11" s="84" t="str">
        <x:v>Fern</x:v>
      </x:c>
      <x:c r="G11" s="84" t="str">
        <x:v>Shade, Part-shade</x:v>
      </x:c>
      <x:c r="H11" s="84" t="str">
        <x:v>Wet, Moist</x:v>
      </x:c>
      <x:c r="I11" s="84" t="str">
        <x:v>adiantum capillus-veneris</x:v>
      </x:c>
    </x:row>
    <x:row r="12">
      <x:c r="A12" s="83" t="str">
        <x:v>BONAP/NAPA Hays workbook</x:v>
      </x:c>
      <x:c r="B12" s="84" t="n">
        <x:v>15</x:v>
      </x:c>
      <x:c r="C12" s="87" t="str">
        <x:v>Aesculus pavia</x:v>
      </x:c>
      <x:c r="D12" s="84" t="str">
        <x:v>Red Buckeye, Scarlet Buckeye , Firecracker Plant</x:v>
      </x:c>
      <x:c r="E12" s="84" t="str">
        <x:v>Perennial</x:v>
      </x:c>
      <x:c r="F12" s="84" t="str">
        <x:v>Shrub, Tree</x:v>
      </x:c>
      <x:c r="G12" s="84" t="str">
        <x:v>Part-shade</x:v>
      </x:c>
      <x:c r="H12" s="84" t="str">
        <x:v>Moist</x:v>
      </x:c>
      <x:c r="I12" s="84" t="str">
        <x:v>aesculus pavia</x:v>
      </x:c>
    </x:row>
    <x:row r="13">
      <x:c r="A13" s="83" t="str">
        <x:v>BONAP/NAPA Hays workbook</x:v>
      </x:c>
      <x:c r="B13" s="84" t="n">
        <x:v>16</x:v>
      </x:c>
      <x:c r="C13" s="87" t="str">
        <x:v>Aesculus pavia var. pavia</x:v>
      </x:c>
      <x:c r="D13" s="84" t="str">
        <x:v>Scarlet Buckeye, Red Buckeye, Southern Buckeye, Firecracker Plant</x:v>
      </x:c>
      <x:c r="E13" s="84" t="str">
        <x:v>Perennial</x:v>
      </x:c>
      <x:c r="F13" s="84" t="str">
        <x:v>Shrub, Tree</x:v>
      </x:c>
      <x:c r="G13" s="84" t="str">
        <x:v>Part-shade</x:v>
      </x:c>
      <x:c r="H13" s="84" t="str">
        <x:v>Moist, Dry</x:v>
      </x:c>
      <x:c r="I13" s="84" t="str">
        <x:v>aesculus pavia var. pavia</x:v>
      </x:c>
    </x:row>
    <x:row r="14">
      <x:c r="A14" s="83" t="str">
        <x:v>BONAP/NAPA Hays workbook</x:v>
      </x:c>
      <x:c r="B14" s="84" t="n">
        <x:v>17</x:v>
      </x:c>
      <x:c r="C14" s="87" t="str">
        <x:v>Agalinis edwardsiana</x:v>
      </x:c>
      <x:c r="D14" s="84" t="str">
        <x:v>Plateau False Foxglove, Plateau Agalinis, Plateau Gerardia, Plateau False-foxglove</x:v>
      </x:c>
      <x:c r="E14" s="84" t="str">
        <x:v>Annual</x:v>
      </x:c>
      <x:c r="F14" s="84" t="str">
        <x:v>Herb</x:v>
      </x:c>
      <x:c r="G14" s="84" t="str">
        <x:v>Part-shade</x:v>
      </x:c>
      <x:c r="H14" s="84" t="str"/>
      <x:c r="I14" s="84" t="str">
        <x:v>agalinis edwardsiana</x:v>
      </x:c>
    </x:row>
    <x:row r="15">
      <x:c r="A15" s="83" t="str">
        <x:v>BONAP/NAPA Hays workbook</x:v>
      </x:c>
      <x:c r="B15" s="84" t="n">
        <x:v>18</x:v>
      </x:c>
      <x:c r="C15" s="87" t="str">
        <x:v>Agalinis heterophylla</x:v>
      </x:c>
      <x:c r="D15" s="84" t="str">
        <x:v>Prairie Agalinis, Prairie False-foxglove</x:v>
      </x:c>
      <x:c r="E15" s="84" t="str">
        <x:v>Annual</x:v>
      </x:c>
      <x:c r="F15" s="84" t="str">
        <x:v>Herb</x:v>
      </x:c>
      <x:c r="G15" s="84" t="str">
        <x:v>Part-shade</x:v>
      </x:c>
      <x:c r="H15" s="84" t="str">
        <x:v>Moist, Dry</x:v>
      </x:c>
      <x:c r="I15" s="84" t="str">
        <x:v>agalinis heterophylla</x:v>
      </x:c>
    </x:row>
    <x:row r="16">
      <x:c r="A16" s="83" t="str">
        <x:v>BONAP/NAPA Hays workbook</x:v>
      </x:c>
      <x:c r="B16" s="84" t="n">
        <x:v>19</x:v>
      </x:c>
      <x:c r="C16" s="87" t="str">
        <x:v>Ageratina altissima</x:v>
      </x:c>
      <x:c r="D16" s="84" t="str">
        <x:v>White Snakeroot</x:v>
      </x:c>
      <x:c r="E16" s="84" t="str">
        <x:v>Perennial</x:v>
      </x:c>
      <x:c r="F16" s="84" t="str">
        <x:v>Herb</x:v>
      </x:c>
      <x:c r="G16" s="84" t="str">
        <x:v>Sun, Part-shade</x:v>
      </x:c>
      <x:c r="H16" s="84" t="str">
        <x:v>Moist, Dry</x:v>
      </x:c>
      <x:c r="I16" s="84" t="str">
        <x:v>ageratina altissima</x:v>
      </x:c>
    </x:row>
    <x:row r="17">
      <x:c r="A17" s="83" t="str">
        <x:v>BONAP/NAPA Hays workbook</x:v>
      </x:c>
      <x:c r="B17" s="84" t="n">
        <x:v>20</x:v>
      </x:c>
      <x:c r="C17" s="87" t="str">
        <x:v>Ageratina havanensis</x:v>
      </x:c>
      <x:c r="D17" s="84" t="str">
        <x:v>Shrubby Boneset, White Mistflower, White Shrub Mistflower, Havana Snakeroot</x:v>
      </x:c>
      <x:c r="E17" s="84" t="str">
        <x:v>Perennial</x:v>
      </x:c>
      <x:c r="F17" s="84" t="str">
        <x:v>Shrub</x:v>
      </x:c>
      <x:c r="G17" s="84" t="str">
        <x:v>Sun, Part-shade</x:v>
      </x:c>
      <x:c r="H17" s="84" t="str">
        <x:v>Dry</x:v>
      </x:c>
      <x:c r="I17" s="84" t="str">
        <x:v>ageratina havanensis</x:v>
      </x:c>
    </x:row>
    <x:row r="18">
      <x:c r="A18" s="83" t="str">
        <x:v>BONAP/NAPA Hays workbook</x:v>
      </x:c>
      <x:c r="B18" s="84" t="n">
        <x:v>21</x:v>
      </x:c>
      <x:c r="C18" s="87" t="str">
        <x:v>Allium canadense</x:v>
      </x:c>
      <x:c r="D18" s="84" t="str">
        <x:v>Meadow Garlic, Wild Garlic, Wild Onion</x:v>
      </x:c>
      <x:c r="E18" s="84" t="str">
        <x:v>Perennial</x:v>
      </x:c>
      <x:c r="F18" s="84" t="str">
        <x:v>Grass/Grass-like</x:v>
      </x:c>
      <x:c r="G18" s="84" t="str">
        <x:v>Sun</x:v>
      </x:c>
      <x:c r="H18" s="84" t="str">
        <x:v>Moist</x:v>
      </x:c>
      <x:c r="I18" s="84" t="str">
        <x:v>allium canadense</x:v>
      </x:c>
    </x:row>
    <x:row r="19">
      <x:c r="A19" s="83" t="str">
        <x:v>BONAP/NAPA Hays workbook</x:v>
      </x:c>
      <x:c r="B19" s="84" t="n">
        <x:v>22</x:v>
      </x:c>
      <x:c r="C19" s="87" t="str">
        <x:v>Allium drummondii</x:v>
      </x:c>
      <x:c r="D19" s="84" t="str">
        <x:v>Drummond's Onion, Wild Garlic, Drummond Wild Onion</x:v>
      </x:c>
      <x:c r="E19" s="84" t="str">
        <x:v>Perennial</x:v>
      </x:c>
      <x:c r="F19" s="84" t="str">
        <x:v>Herb</x:v>
      </x:c>
      <x:c r="G19" s="84" t="str">
        <x:v>Sun</x:v>
      </x:c>
      <x:c r="H19" s="84" t="str">
        <x:v>Dry</x:v>
      </x:c>
      <x:c r="I19" s="84" t="str">
        <x:v>allium drummondii</x:v>
      </x:c>
    </x:row>
    <x:row r="20">
      <x:c r="A20" s="83" t="str">
        <x:v>BONAP/NAPA Hays workbook</x:v>
      </x:c>
      <x:c r="B20" s="84" t="n">
        <x:v>23</x:v>
      </x:c>
      <x:c r="C20" s="87" t="str">
        <x:v>Allowissadula holosericea</x:v>
      </x:c>
      <x:c r="D20" s="84" t="str">
        <x:v>Velvet-leaf Mallow, Chisos Mountain False Indianmallow</x:v>
      </x:c>
      <x:c r="E20" s="84" t="str">
        <x:v>Perennial</x:v>
      </x:c>
      <x:c r="F20" s="84" t="str">
        <x:v>Shrub</x:v>
      </x:c>
      <x:c r="G20" s="84" t="str">
        <x:v>Part-shade</x:v>
      </x:c>
      <x:c r="H20" s="84" t="str">
        <x:v>Moist</x:v>
      </x:c>
      <x:c r="I20" s="84" t="str">
        <x:v>allowissadula holosericea</x:v>
      </x:c>
    </x:row>
    <x:row r="21">
      <x:c r="A21" s="83" t="str">
        <x:v>BONAP/NAPA Hays workbook</x:v>
      </x:c>
      <x:c r="B21" s="84" t="n">
        <x:v>24</x:v>
      </x:c>
      <x:c r="C21" s="87" t="str">
        <x:v>Aloysia gratissima</x:v>
      </x:c>
      <x:c r="D21" s="84" t="str">
        <x:v>Whitebrush, Bee-brush, White-brush, Common Bee-brush, Beebrush, Privet Lippia</x:v>
      </x:c>
      <x:c r="E21" s="84" t="str">
        <x:v>Perennial</x:v>
      </x:c>
      <x:c r="F21" s="84" t="str">
        <x:v>Shrub</x:v>
      </x:c>
      <x:c r="G21" s="84" t="str">
        <x:v>Sun, Part-shade</x:v>
      </x:c>
      <x:c r="H21" s="84" t="str">
        <x:v>Moist</x:v>
      </x:c>
      <x:c r="I21" s="84" t="str">
        <x:v>aloysia gratissima</x:v>
      </x:c>
    </x:row>
    <x:row r="22">
      <x:c r="A22" s="83" t="str">
        <x:v>BONAP/NAPA Hays workbook</x:v>
      </x:c>
      <x:c r="B22" s="84" t="n">
        <x:v>25</x:v>
      </x:c>
      <x:c r="C22" s="87" t="str">
        <x:v>Amaranthus palmeri</x:v>
      </x:c>
      <x:c r="D22" s="84" t="str">
        <x:v>Carelessweed</x:v>
      </x:c>
      <x:c r="E22" s="84" t="str">
        <x:v>Annual</x:v>
      </x:c>
      <x:c r="F22" s="84" t="str">
        <x:v>Herb</x:v>
      </x:c>
      <x:c r="G22" s="84" t="str"/>
      <x:c r="H22" s="84" t="str"/>
      <x:c r="I22" s="84" t="str">
        <x:v>amaranthus palmeri</x:v>
      </x:c>
    </x:row>
    <x:row r="23">
      <x:c r="A23" s="83" t="str">
        <x:v>BONAP/NAPA Hays workbook</x:v>
      </x:c>
      <x:c r="B23" s="84" t="n">
        <x:v>26</x:v>
      </x:c>
      <x:c r="C23" s="87" t="str">
        <x:v>Amaranthus polygonoides</x:v>
      </x:c>
      <x:c r="D23" s="84" t="str">
        <x:v>Tropical Amaranth</x:v>
      </x:c>
      <x:c r="E23" s="84" t="str">
        <x:v>Annual</x:v>
      </x:c>
      <x:c r="F23" s="84" t="str">
        <x:v>Herb</x:v>
      </x:c>
      <x:c r="G23" s="84" t="str"/>
      <x:c r="H23" s="84" t="str"/>
      <x:c r="I23" s="84" t="str">
        <x:v>amaranthus polygonoides</x:v>
      </x:c>
    </x:row>
    <x:row r="24">
      <x:c r="A24" s="83" t="str">
        <x:v>BONAP/NAPA Hays workbook</x:v>
      </x:c>
      <x:c r="B24" s="84" t="n">
        <x:v>27</x:v>
      </x:c>
      <x:c r="C24" s="87" t="str">
        <x:v>Amaranthus retroflexus</x:v>
      </x:c>
      <x:c r="D24" s="84" t="str">
        <x:v>Redroot Amaranth</x:v>
      </x:c>
      <x:c r="E24" s="84" t="str">
        <x:v>Annual</x:v>
      </x:c>
      <x:c r="F24" s="84" t="str">
        <x:v>Herb</x:v>
      </x:c>
      <x:c r="G24" s="84" t="str"/>
      <x:c r="H24" s="84" t="str"/>
      <x:c r="I24" s="84" t="str">
        <x:v>amaranthus retroflexus</x:v>
      </x:c>
    </x:row>
    <x:row r="25">
      <x:c r="A25" s="83" t="str">
        <x:v>BONAP/NAPA Hays workbook</x:v>
      </x:c>
      <x:c r="B25" s="84" t="n">
        <x:v>28</x:v>
      </x:c>
      <x:c r="C25" s="87" t="str">
        <x:v>Amaranthus scleropoides</x:v>
      </x:c>
      <x:c r="D25" s="84" t="str">
        <x:v>Bonebract Amaranth</x:v>
      </x:c>
      <x:c r="E25" s="84" t="str">
        <x:v>Annual</x:v>
      </x:c>
      <x:c r="F25" s="84" t="str">
        <x:v>Herb</x:v>
      </x:c>
      <x:c r="G25" s="84" t="str">
        <x:v>Sun</x:v>
      </x:c>
      <x:c r="H25" s="84" t="str">
        <x:v>Moist</x:v>
      </x:c>
      <x:c r="I25" s="84" t="str">
        <x:v>amaranthus scleropoides</x:v>
      </x:c>
    </x:row>
    <x:row r="26">
      <x:c r="A26" s="83" t="str">
        <x:v>BONAP/NAPA Hays workbook</x:v>
      </x:c>
      <x:c r="B26" s="84" t="n">
        <x:v>29</x:v>
      </x:c>
      <x:c r="C26" s="87" t="str">
        <x:v>Amaranthus spinosus</x:v>
      </x:c>
      <x:c r="D26" s="84" t="str">
        <x:v>Spiny Amaranth, Thorny Pigweed</x:v>
      </x:c>
      <x:c r="E26" s="84" t="str">
        <x:v>Annual</x:v>
      </x:c>
      <x:c r="F26" s="84" t="str">
        <x:v>Herb</x:v>
      </x:c>
      <x:c r="G26" s="84" t="str"/>
      <x:c r="H26" s="84" t="str"/>
      <x:c r="I26" s="84" t="str">
        <x:v>amaranthus spinosus</x:v>
      </x:c>
    </x:row>
    <x:row r="27">
      <x:c r="A27" s="83" t="str">
        <x:v>BONAP/NAPA Hays workbook</x:v>
      </x:c>
      <x:c r="B27" s="84" t="n">
        <x:v>30</x:v>
      </x:c>
      <x:c r="C27" s="87" t="str">
        <x:v>Ambrosia artemisiifolia</x:v>
      </x:c>
      <x:c r="D27" s="84" t="str">
        <x:v>Annual Ragweed, Short Ragweed</x:v>
      </x:c>
      <x:c r="E27" s="84" t="str">
        <x:v>Annual</x:v>
      </x:c>
      <x:c r="F27" s="84" t="str">
        <x:v>Herb</x:v>
      </x:c>
      <x:c r="G27" s="84" t="str">
        <x:v>Sun, Shade, Part-shade</x:v>
      </x:c>
      <x:c r="H27" s="84" t="str">
        <x:v>Dry</x:v>
      </x:c>
      <x:c r="I27" s="84" t="str">
        <x:v>ambrosia artemisiifolia</x:v>
      </x:c>
    </x:row>
    <x:row r="28">
      <x:c r="A28" s="83" t="str">
        <x:v>BONAP/NAPA Hays workbook</x:v>
      </x:c>
      <x:c r="B28" s="84" t="n">
        <x:v>31</x:v>
      </x:c>
      <x:c r="C28" s="87" t="str">
        <x:v>Ambrosia psilostachya</x:v>
      </x:c>
      <x:c r="D28" s="84" t="str">
        <x:v>Cuman Ragweed, Western Ragweed, Perennial Ragweed, Common Ragweed</x:v>
      </x:c>
      <x:c r="E28" s="84" t="str">
        <x:v>Perennial</x:v>
      </x:c>
      <x:c r="F28" s="84" t="str">
        <x:v>Herb</x:v>
      </x:c>
      <x:c r="G28" s="84" t="str">
        <x:v>Sun, Part-shade</x:v>
      </x:c>
      <x:c r="H28" s="84" t="str">
        <x:v>Dry</x:v>
      </x:c>
      <x:c r="I28" s="84" t="str">
        <x:v>ambrosia psilostachya</x:v>
      </x:c>
    </x:row>
    <x:row r="29">
      <x:c r="A29" s="83" t="str">
        <x:v>BONAP/NAPA Hays workbook</x:v>
      </x:c>
      <x:c r="B29" s="84" t="n">
        <x:v>32</x:v>
      </x:c>
      <x:c r="C29" s="87" t="str">
        <x:v>Ambrosia trifida</x:v>
      </x:c>
      <x:c r="D29" s="84" t="str">
        <x:v>Great Ragweed, Giant Ragweed</x:v>
      </x:c>
      <x:c r="E29" s="84" t="str">
        <x:v>Annual</x:v>
      </x:c>
      <x:c r="F29" s="84" t="str">
        <x:v>Subshrub</x:v>
      </x:c>
      <x:c r="G29" s="84" t="str">
        <x:v>Shade, Part-shade</x:v>
      </x:c>
      <x:c r="H29" s="84" t="str">
        <x:v>Moist</x:v>
      </x:c>
      <x:c r="I29" s="84" t="str">
        <x:v>ambrosia trifida</x:v>
      </x:c>
    </x:row>
    <x:row r="30">
      <x:c r="A30" s="83" t="str">
        <x:v>BONAP/NAPA Hays workbook</x:v>
      </x:c>
      <x:c r="B30" s="84" t="n">
        <x:v>33</x:v>
      </x:c>
      <x:c r="C30" s="87" t="str">
        <x:v>Ammannia auriculata</x:v>
      </x:c>
      <x:c r="D30" s="84" t="str">
        <x:v>Eared Redstem</x:v>
      </x:c>
      <x:c r="E30" s="84" t="str">
        <x:v>Annual</x:v>
      </x:c>
      <x:c r="F30" s="84" t="str">
        <x:v>Herb</x:v>
      </x:c>
      <x:c r="G30" s="84" t="str"/>
      <x:c r="H30" s="84" t="str"/>
      <x:c r="I30" s="84" t="str">
        <x:v>ammannia auriculata</x:v>
      </x:c>
    </x:row>
    <x:row r="31">
      <x:c r="A31" s="83" t="str">
        <x:v>BONAP/NAPA Hays workbook</x:v>
      </x:c>
      <x:c r="B31" s="84" t="n">
        <x:v>34</x:v>
      </x:c>
      <x:c r="C31" s="87" t="str">
        <x:v>Ammannia coccinea</x:v>
      </x:c>
      <x:c r="D31" s="84" t="str">
        <x:v>Valley Redstem, Scarlet Tooth-cup</x:v>
      </x:c>
      <x:c r="E31" s="84" t="str">
        <x:v>Annual</x:v>
      </x:c>
      <x:c r="F31" s="84" t="str">
        <x:v>Herb</x:v>
      </x:c>
      <x:c r="G31" s="84" t="str">
        <x:v>Sun</x:v>
      </x:c>
      <x:c r="H31" s="84" t="str"/>
      <x:c r="I31" s="84" t="str">
        <x:v>ammannia coccinea</x:v>
      </x:c>
    </x:row>
    <x:row r="32">
      <x:c r="A32" s="83" t="str">
        <x:v>BONAP/NAPA Hays workbook</x:v>
      </x:c>
      <x:c r="B32" s="84" t="n">
        <x:v>35</x:v>
      </x:c>
      <x:c r="C32" s="87" t="str">
        <x:v>Amorpha fruticosa</x:v>
      </x:c>
      <x:c r="D32" s="84" t="str">
        <x:v>Indigo Bush, False Indigo Bush, False Indigo, Desert False Indigo</x:v>
      </x:c>
      <x:c r="E32" s="84" t="str">
        <x:v>Perennial</x:v>
      </x:c>
      <x:c r="F32" s="84" t="str">
        <x:v>Shrub</x:v>
      </x:c>
      <x:c r="G32" s="84" t="str">
        <x:v>Sun, Part-shade</x:v>
      </x:c>
      <x:c r="H32" s="84" t="str">
        <x:v>Moist</x:v>
      </x:c>
      <x:c r="I32" s="84" t="str">
        <x:v>amorpha fruticosa</x:v>
      </x:c>
    </x:row>
    <x:row r="33">
      <x:c r="A33" s="83" t="str">
        <x:v>BONAP/NAPA Hays workbook</x:v>
      </x:c>
      <x:c r="B33" s="84" t="n">
        <x:v>36</x:v>
      </x:c>
      <x:c r="C33" s="87" t="str">
        <x:v>Amorpha roemeriana</x:v>
      </x:c>
      <x:c r="D33" s="84" t="str">
        <x:v>Roemer's False Indigo</x:v>
      </x:c>
      <x:c r="E33" s="84" t="str">
        <x:v>Perennial</x:v>
      </x:c>
      <x:c r="F33" s="84" t="str">
        <x:v>Shrub</x:v>
      </x:c>
      <x:c r="G33" s="84" t="str">
        <x:v>Part-shade</x:v>
      </x:c>
      <x:c r="H33" s="84" t="str">
        <x:v>Moist, Dry</x:v>
      </x:c>
      <x:c r="I33" s="84" t="str">
        <x:v>amorpha roemeriana</x:v>
      </x:c>
    </x:row>
    <x:row r="34">
      <x:c r="A34" s="83" t="str">
        <x:v>BONAP/NAPA Hays workbook</x:v>
      </x:c>
      <x:c r="B34" s="84" t="n">
        <x:v>37</x:v>
      </x:c>
      <x:c r="C34" s="87" t="str">
        <x:v>Ampelopsis cordata</x:v>
      </x:c>
      <x:c r="D34" s="84" t="str">
        <x:v>Heartleaf Peppervine, Heart-leaf Ampelopsis</x:v>
      </x:c>
      <x:c r="E34" s="84" t="str">
        <x:v>Perennial</x:v>
      </x:c>
      <x:c r="F34" s="84" t="str">
        <x:v>Vine</x:v>
      </x:c>
      <x:c r="G34" s="84" t="str">
        <x:v>Part-shade</x:v>
      </x:c>
      <x:c r="H34" s="84" t="str">
        <x:v>Dry</x:v>
      </x:c>
      <x:c r="I34" s="84" t="str">
        <x:v>ampelopsis cordata</x:v>
      </x:c>
    </x:row>
    <x:row r="35">
      <x:c r="A35" s="83" t="str">
        <x:v>BONAP/NAPA Hays workbook</x:v>
      </x:c>
      <x:c r="B35" s="84" t="n">
        <x:v>38</x:v>
      </x:c>
      <x:c r="C35" s="87" t="str">
        <x:v>Amphiachyris amoena</x:v>
      </x:c>
      <x:c r="D35" s="84" t="str">
        <x:v>Texas Broomweed</x:v>
      </x:c>
      <x:c r="E35" s="84" t="str">
        <x:v>Annual</x:v>
      </x:c>
      <x:c r="F35" s="84" t="str">
        <x:v>Herb</x:v>
      </x:c>
      <x:c r="G35" s="84" t="str"/>
      <x:c r="H35" s="84" t="str"/>
      <x:c r="I35" s="84" t="str">
        <x:v>amphiachyris amoena</x:v>
      </x:c>
    </x:row>
    <x:row r="36">
      <x:c r="A36" s="83" t="str">
        <x:v>BONAP/NAPA Hays workbook</x:v>
      </x:c>
      <x:c r="B36" s="84" t="n">
        <x:v>39</x:v>
      </x:c>
      <x:c r="C36" s="87" t="str">
        <x:v>Amphiachyris dracunculoides</x:v>
      </x:c>
      <x:c r="D36" s="84" t="str">
        <x:v>Prairie Broomweed, Broomweed</x:v>
      </x:c>
      <x:c r="E36" s="84" t="str">
        <x:v>Annual</x:v>
      </x:c>
      <x:c r="F36" s="84" t="str">
        <x:v>Herb</x:v>
      </x:c>
      <x:c r="G36" s="84" t="str"/>
      <x:c r="H36" s="84" t="str"/>
      <x:c r="I36" s="84" t="str">
        <x:v>amphiachyris dracunculoides</x:v>
      </x:c>
    </x:row>
    <x:row r="37">
      <x:c r="A37" s="83" t="str">
        <x:v>BONAP/NAPA Hays workbook</x:v>
      </x:c>
      <x:c r="B37" s="84" t="n">
        <x:v>40</x:v>
      </x:c>
      <x:c r="C37" s="87" t="str">
        <x:v>Amsonia ciliata var. texana</x:v>
      </x:c>
      <x:c r="D37" s="84" t="str">
        <x:v>Texas Bluestar</x:v>
      </x:c>
      <x:c r="E37" s="84" t="str">
        <x:v>Perennial</x:v>
      </x:c>
      <x:c r="F37" s="84" t="str">
        <x:v>Herb</x:v>
      </x:c>
      <x:c r="G37" s="84" t="str">
        <x:v>Sun, Part-shade</x:v>
      </x:c>
      <x:c r="H37" s="84" t="str">
        <x:v>Moist</x:v>
      </x:c>
      <x:c r="I37" s="84" t="str">
        <x:v>amsonia ciliata var. texana</x:v>
      </x:c>
    </x:row>
    <x:row r="38">
      <x:c r="A38" s="83" t="str">
        <x:v>BONAP/NAPA Hays workbook</x:v>
      </x:c>
      <x:c r="B38" s="84" t="n">
        <x:v>41</x:v>
      </x:c>
      <x:c r="C38" s="87" t="str">
        <x:v>Amsonia longiflora</x:v>
      </x:c>
      <x:c r="D38" s="84" t="str">
        <x:v>Tubular Bluestar, Trumpet Slimpod</x:v>
      </x:c>
      <x:c r="E38" s="84" t="str">
        <x:v>Perennial</x:v>
      </x:c>
      <x:c r="F38" s="84" t="str">
        <x:v>Herb</x:v>
      </x:c>
      <x:c r="G38" s="84" t="str"/>
      <x:c r="H38" s="84" t="str"/>
      <x:c r="I38" s="84" t="str">
        <x:v>amsonia longiflora</x:v>
      </x:c>
    </x:row>
    <x:row r="39">
      <x:c r="A39" s="83" t="str">
        <x:v>BONAP/NAPA Hays workbook</x:v>
      </x:c>
      <x:c r="B39" s="84" t="n">
        <x:v>42</x:v>
      </x:c>
      <x:c r="C39" s="87" t="str">
        <x:v>Andropogon gerardii</x:v>
      </x:c>
      <x:c r="D39" s="84" t="str">
        <x:v>Big Bluestem, Tall Bluestem, Turkeyfoot</x:v>
      </x:c>
      <x:c r="E39" s="84" t="str">
        <x:v>Perennial</x:v>
      </x:c>
      <x:c r="F39" s="84" t="str">
        <x:v>Grass/Grass-like</x:v>
      </x:c>
      <x:c r="G39" s="84" t="str">
        <x:v>Sun, Part-shade</x:v>
      </x:c>
      <x:c r="H39" s="84" t="str">
        <x:v>Moist</x:v>
      </x:c>
      <x:c r="I39" s="84" t="str">
        <x:v>andropogon gerardii</x:v>
      </x:c>
    </x:row>
    <x:row r="40">
      <x:c r="A40" s="83" t="str">
        <x:v>BONAP/NAPA Hays workbook</x:v>
      </x:c>
      <x:c r="B40" s="84" t="n">
        <x:v>43</x:v>
      </x:c>
      <x:c r="C40" s="87" t="str">
        <x:v>Andropogon glomeratus</x:v>
      </x:c>
      <x:c r="D40" s="84" t="str">
        <x:v>Bushy Bluestem, Brushy Bluestem</x:v>
      </x:c>
      <x:c r="E40" s="84" t="str">
        <x:v>Perennial</x:v>
      </x:c>
      <x:c r="F40" s="84" t="str">
        <x:v>Grass/Grass-like</x:v>
      </x:c>
      <x:c r="G40" s="84" t="str">
        <x:v>Sun</x:v>
      </x:c>
      <x:c r="H40" s="84" t="str">
        <x:v>Wet, Moist</x:v>
      </x:c>
      <x:c r="I40" s="84" t="str">
        <x:v>andropogon glomeratus</x:v>
      </x:c>
    </x:row>
    <x:row r="41">
      <x:c r="A41" s="83" t="str">
        <x:v>BONAP/NAPA Hays workbook</x:v>
      </x:c>
      <x:c r="B41" s="84" t="n">
        <x:v>44</x:v>
      </x:c>
      <x:c r="C41" s="87" t="str">
        <x:v>Andropogon virginicus</x:v>
      </x:c>
      <x:c r="D41" s="84" t="str">
        <x:v>Broomsedge, Broomsedge Bluestem, Yellowsedge Bluestem, Whiskey Grass, Popotillo Pajon</x:v>
      </x:c>
      <x:c r="E41" s="84" t="str">
        <x:v>Perennial</x:v>
      </x:c>
      <x:c r="F41" s="84" t="str">
        <x:v>Grass/Grass-like</x:v>
      </x:c>
      <x:c r="G41" s="84" t="str">
        <x:v>Part-shade</x:v>
      </x:c>
      <x:c r="H41" s="84" t="str">
        <x:v>Moist</x:v>
      </x:c>
      <x:c r="I41" s="84" t="str">
        <x:v>andropogon virginicus</x:v>
      </x:c>
    </x:row>
    <x:row r="42">
      <x:c r="A42" s="83" t="str">
        <x:v>BONAP/NAPA Hays workbook</x:v>
      </x:c>
      <x:c r="B42" s="84" t="n">
        <x:v>45</x:v>
      </x:c>
      <x:c r="C42" s="87" t="str">
        <x:v>Androstephium coeruleum</x:v>
      </x:c>
      <x:c r="D42" s="84" t="str">
        <x:v>Blue Funnel-lily, Prairie Lily, Funnel-flower, Fragrant Lily</x:v>
      </x:c>
      <x:c r="E42" s="84" t="str">
        <x:v>Perennial</x:v>
      </x:c>
      <x:c r="F42" s="84" t="str">
        <x:v>Herb</x:v>
      </x:c>
      <x:c r="G42" s="84" t="str"/>
      <x:c r="H42" s="84" t="str"/>
      <x:c r="I42" s="84" t="str">
        <x:v>androstephium coeruleum</x:v>
      </x:c>
    </x:row>
    <x:row r="43">
      <x:c r="A43" s="83" t="str">
        <x:v>BONAP/NAPA Hays workbook</x:v>
      </x:c>
      <x:c r="B43" s="84" t="n">
        <x:v>46</x:v>
      </x:c>
      <x:c r="C43" s="87" t="str">
        <x:v>Anemia mexicana</x:v>
      </x:c>
      <x:c r="D43" s="84" t="str">
        <x:v>Mexican Fern, Mexican Flowering Fern</x:v>
      </x:c>
      <x:c r="E43" s="84" t="str">
        <x:v>Perennial</x:v>
      </x:c>
      <x:c r="F43" s="84" t="str">
        <x:v>Herb, Fern</x:v>
      </x:c>
      <x:c r="G43" s="84" t="str"/>
      <x:c r="H43" s="84" t="str"/>
      <x:c r="I43" s="84" t="str">
        <x:v>anemia mexicana</x:v>
      </x:c>
    </x:row>
    <x:row r="44">
      <x:c r="A44" s="83" t="str">
        <x:v>BONAP/NAPA Hays workbook</x:v>
      </x:c>
      <x:c r="B44" s="84" t="n">
        <x:v>47</x:v>
      </x:c>
      <x:c r="C44" s="87" t="str">
        <x:v>Anemone berlandieri</x:v>
      </x:c>
      <x:c r="D44" s="84" t="str">
        <x:v>Tenpetal Anemone, Tenpetal Thimbleweed, Windflower, Southern Anemone, Granny's Nightcap</x:v>
      </x:c>
      <x:c r="E44" s="84" t="str">
        <x:v>Perennial</x:v>
      </x:c>
      <x:c r="F44" s="84" t="str">
        <x:v>Herb</x:v>
      </x:c>
      <x:c r="G44" s="84" t="str">
        <x:v>Part-shade</x:v>
      </x:c>
      <x:c r="H44" s="84" t="str"/>
      <x:c r="I44" s="84" t="str">
        <x:v>anemone berlandieri</x:v>
      </x:c>
    </x:row>
    <x:row r="45">
      <x:c r="A45" s="83" t="str">
        <x:v>BONAP/NAPA Hays workbook</x:v>
      </x:c>
      <x:c r="B45" s="84" t="n">
        <x:v>48</x:v>
      </x:c>
      <x:c r="C45" s="87" t="str">
        <x:v>Anemone caroliniana</x:v>
      </x:c>
      <x:c r="D45" s="84" t="str">
        <x:v>Carolina Anemone, Carolina Thimbleweed, Southern Thimbleweed</x:v>
      </x:c>
      <x:c r="E45" s="84" t="str">
        <x:v>Perennial</x:v>
      </x:c>
      <x:c r="F45" s="84" t="str">
        <x:v>Herb</x:v>
      </x:c>
      <x:c r="G45" s="84" t="str">
        <x:v>Sun</x:v>
      </x:c>
      <x:c r="H45" s="84" t="str"/>
      <x:c r="I45" s="84" t="str">
        <x:v>anemone caroliniana</x:v>
      </x:c>
    </x:row>
    <x:row r="46">
      <x:c r="A46" s="83" t="str">
        <x:v>BONAP/NAPA Hays workbook</x:v>
      </x:c>
      <x:c r="B46" s="84" t="n">
        <x:v>49</x:v>
      </x:c>
      <x:c r="C46" s="87" t="str">
        <x:v>Anemone edwardsiana var. edwardsiana</x:v>
      </x:c>
      <x:c r="D46" s="84" t="str">
        <x:v>Edwards Plateau Thimbleweed, Edwards Thimbleweed , Two-flower Anemone</x:v>
      </x:c>
      <x:c r="E46" s="84" t="str">
        <x:v>Perennial</x:v>
      </x:c>
      <x:c r="F46" s="84" t="str">
        <x:v>Herb</x:v>
      </x:c>
      <x:c r="G46" s="84" t="str"/>
      <x:c r="H46" s="84" t="str"/>
      <x:c r="I46" s="84" t="str">
        <x:v>anemone edwardsiana var. edwardsiana</x:v>
      </x:c>
    </x:row>
    <x:row r="47">
      <x:c r="A47" s="83" t="str">
        <x:v>BONAP/NAPA Hays workbook</x:v>
      </x:c>
      <x:c r="B47" s="84" t="n">
        <x:v>50</x:v>
      </x:c>
      <x:c r="C47" s="87" t="str">
        <x:v>Anoda cristata</x:v>
      </x:c>
      <x:c r="D47" s="84" t="str">
        <x:v>Crested Anoda</x:v>
      </x:c>
      <x:c r="E47" s="84" t="str">
        <x:v>Annual</x:v>
      </x:c>
      <x:c r="F47" s="84" t="str">
        <x:v>Herb</x:v>
      </x:c>
      <x:c r="G47" s="84" t="str"/>
      <x:c r="H47" s="84" t="str"/>
      <x:c r="I47" s="84" t="str">
        <x:v>anoda cristata</x:v>
      </x:c>
    </x:row>
    <x:row r="48">
      <x:c r="A48" s="83" t="str">
        <x:v>BONAP/NAPA Hays workbook</x:v>
      </x:c>
      <x:c r="B48" s="84" t="n">
        <x:v>51</x:v>
      </x:c>
      <x:c r="C48" s="87" t="str">
        <x:v>Aphanostephus riddellii</x:v>
      </x:c>
      <x:c r="D48" s="84" t="str">
        <x:v>Riddell's Dozedaisy, Lazy Daisy</x:v>
      </x:c>
      <x:c r="E48" s="84" t="str">
        <x:v>Perennial</x:v>
      </x:c>
      <x:c r="F48" s="84" t="str">
        <x:v>Herb</x:v>
      </x:c>
      <x:c r="G48" s="84" t="str">
        <x:v>Sun</x:v>
      </x:c>
      <x:c r="H48" s="84" t="str">
        <x:v>Moist</x:v>
      </x:c>
      <x:c r="I48" s="84" t="str">
        <x:v>aphanostephus riddellii</x:v>
      </x:c>
    </x:row>
    <x:row r="49">
      <x:c r="A49" s="83" t="str">
        <x:v>BONAP/NAPA Hays workbook</x:v>
      </x:c>
      <x:c r="B49" s="84" t="n">
        <x:v>52</x:v>
      </x:c>
      <x:c r="C49" s="87" t="str">
        <x:v>Aphanostephus skirrhobasis</x:v>
      </x:c>
      <x:c r="D49" s="84" t="str">
        <x:v>Lazy Daisy, Arkansas Lazy Daisy, Arkansas Doze-daisy</x:v>
      </x:c>
      <x:c r="E49" s="84" t="str">
        <x:v>Annual</x:v>
      </x:c>
      <x:c r="F49" s="84" t="str">
        <x:v>Herb</x:v>
      </x:c>
      <x:c r="G49" s="84" t="str">
        <x:v>Sun</x:v>
      </x:c>
      <x:c r="H49" s="84" t="str">
        <x:v>Dry</x:v>
      </x:c>
      <x:c r="I49" s="84" t="str">
        <x:v>aphanostephus skirrhobasis</x:v>
      </x:c>
    </x:row>
    <x:row r="50">
      <x:c r="A50" s="83" t="str">
        <x:v>BONAP/NAPA Hays workbook</x:v>
      </x:c>
      <x:c r="B50" s="84" t="n">
        <x:v>53</x:v>
      </x:c>
      <x:c r="C50" s="87" t="str">
        <x:v>Aquilegia canadensis</x:v>
      </x:c>
      <x:c r="D50" s="84" t="str">
        <x:v>Eastern Red Columbine, Wild Red Columbine</x:v>
      </x:c>
      <x:c r="E50" s="84" t="str">
        <x:v>Perennial</x:v>
      </x:c>
      <x:c r="F50" s="84" t="str">
        <x:v>Herb</x:v>
      </x:c>
      <x:c r="G50" s="84" t="str">
        <x:v>Shade, Part-shade</x:v>
      </x:c>
      <x:c r="H50" s="84" t="str">
        <x:v>Moist, Dry</x:v>
      </x:c>
      <x:c r="I50" s="84" t="str">
        <x:v>aquilegia canadensis</x:v>
      </x:c>
    </x:row>
    <x:row r="51">
      <x:c r="A51" s="83" t="str">
        <x:v>BONAP/NAPA Hays workbook</x:v>
      </x:c>
      <x:c r="B51" s="84" t="n">
        <x:v>54</x:v>
      </x:c>
      <x:c r="C51" s="87" t="str">
        <x:v>Arabis petiolaris</x:v>
      </x:c>
      <x:c r="D51" s="84" t="str">
        <x:v>Brazos Rockcress, Rock-cress, Brazos Rock-cress</x:v>
      </x:c>
      <x:c r="E51" s="84" t="str">
        <x:v>Annual</x:v>
      </x:c>
      <x:c r="F51" s="84" t="str">
        <x:v>Herb</x:v>
      </x:c>
      <x:c r="G51" s="84" t="str">
        <x:v>Sun</x:v>
      </x:c>
      <x:c r="H51" s="84" t="str"/>
      <x:c r="I51" s="84" t="str">
        <x:v>arabis petiolaris</x:v>
      </x:c>
    </x:row>
    <x:row r="52">
      <x:c r="A52" s="83" t="str">
        <x:v>BONAP/NAPA Hays workbook</x:v>
      </x:c>
      <x:c r="B52" s="84" t="n">
        <x:v>55</x:v>
      </x:c>
      <x:c r="C52" s="87" t="str">
        <x:v>Arbutus xalapensis</x:v>
      </x:c>
      <x:c r="D52" s="84" t="str">
        <x:v>Texas Madrone, Madrone, Texas Arbutus, Manzanita, Xoxocote, Amazaquitl</x:v>
      </x:c>
      <x:c r="E52" s="84" t="str">
        <x:v>Perennial</x:v>
      </x:c>
      <x:c r="F52" s="84" t="str">
        <x:v>Tree</x:v>
      </x:c>
      <x:c r="G52" s="84" t="str">
        <x:v>Sun, Part-shade</x:v>
      </x:c>
      <x:c r="H52" s="84" t="str">
        <x:v>Dry</x:v>
      </x:c>
      <x:c r="I52" s="84" t="str">
        <x:v>arbutus xalapensis</x:v>
      </x:c>
    </x:row>
    <x:row r="53">
      <x:c r="A53" s="83" t="str">
        <x:v>BONAP/NAPA Hays workbook</x:v>
      </x:c>
      <x:c r="B53" s="84" t="n">
        <x:v>56</x:v>
      </x:c>
      <x:c r="C53" s="87" t="str">
        <x:v>Arenaria benthamii</x:v>
      </x:c>
      <x:c r="D53" s="84" t="str">
        <x:v>Hilly Sandwort</x:v>
      </x:c>
      <x:c r="E53" s="84" t="str">
        <x:v>Annual</x:v>
      </x:c>
      <x:c r="F53" s="84" t="str">
        <x:v>Herb</x:v>
      </x:c>
      <x:c r="G53" s="84" t="str">
        <x:v>Sun, Part-shade</x:v>
      </x:c>
      <x:c r="H53" s="84" t="str">
        <x:v>Moist</x:v>
      </x:c>
      <x:c r="I53" s="84" t="str">
        <x:v>arenaria benthamii</x:v>
      </x:c>
    </x:row>
    <x:row r="54">
      <x:c r="A54" s="83" t="str">
        <x:v>BONAP/NAPA Hays workbook</x:v>
      </x:c>
      <x:c r="B54" s="84" t="n">
        <x:v>57</x:v>
      </x:c>
      <x:c r="C54" s="87" t="str">
        <x:v>Argemone albiflora</x:v>
      </x:c>
      <x:c r="D54" s="84" t="str">
        <x:v>Bluestem Pricklypoppy, White Pricklypoppy, White Prickly Poppy</x:v>
      </x:c>
      <x:c r="E54" s="84" t="str">
        <x:v>Annual</x:v>
      </x:c>
      <x:c r="F54" s="84" t="str">
        <x:v>Herb</x:v>
      </x:c>
      <x:c r="G54" s="84" t="str">
        <x:v>Part-shade</x:v>
      </x:c>
      <x:c r="H54" s="84" t="str">
        <x:v>Dry</x:v>
      </x:c>
      <x:c r="I54" s="84" t="str">
        <x:v>argemone albiflora</x:v>
      </x:c>
    </x:row>
    <x:row r="55">
      <x:c r="A55" s="83" t="str">
        <x:v>BONAP/NAPA Hays workbook</x:v>
      </x:c>
      <x:c r="B55" s="84" t="n">
        <x:v>58</x:v>
      </x:c>
      <x:c r="C55" s="87" t="str">
        <x:v>Argemone aurantiaca</x:v>
      </x:c>
      <x:c r="D55" s="84" t="str">
        <x:v>Texas Pricklypoppy, Texas Prickly Poppy</x:v>
      </x:c>
      <x:c r="E55" s="84" t="str">
        <x:v>Annual, Biennial</x:v>
      </x:c>
      <x:c r="F55" s="84" t="str">
        <x:v>Herb</x:v>
      </x:c>
      <x:c r="G55" s="84" t="str">
        <x:v>Sun</x:v>
      </x:c>
      <x:c r="H55" s="84" t="str">
        <x:v>Moist, Dry</x:v>
      </x:c>
      <x:c r="I55" s="84" t="str">
        <x:v>argemone aurantiaca</x:v>
      </x:c>
    </x:row>
    <x:row r="56">
      <x:c r="A56" s="83" t="str">
        <x:v>BONAP/NAPA Hays workbook</x:v>
      </x:c>
      <x:c r="B56" s="84" t="n">
        <x:v>59</x:v>
      </x:c>
      <x:c r="C56" s="87" t="str">
        <x:v>Argyrochosma dealbata</x:v>
      </x:c>
      <x:c r="D56" s="84" t="str">
        <x:v>Powdery False Cloak Fern, Powdery Cloak Fern, False Cloak Fern</x:v>
      </x:c>
      <x:c r="E56" s="84" t="str">
        <x:v>Perennial</x:v>
      </x:c>
      <x:c r="F56" s="84" t="str">
        <x:v>Herb, Fern</x:v>
      </x:c>
      <x:c r="G56" s="84" t="str">
        <x:v>Shade</x:v>
      </x:c>
      <x:c r="H56" s="84" t="str">
        <x:v>Moist</x:v>
      </x:c>
      <x:c r="I56" s="84" t="str">
        <x:v>argyrochosma dealbata</x:v>
      </x:c>
    </x:row>
    <x:row r="57">
      <x:c r="A57" s="83" t="str">
        <x:v>BONAP/NAPA Hays workbook</x:v>
      </x:c>
      <x:c r="B57" s="84" t="n">
        <x:v>60</x:v>
      </x:c>
      <x:c r="C57" s="87" t="str">
        <x:v>Argythamnia aphoroides</x:v>
      </x:c>
      <x:c r="D57" s="84" t="str">
        <x:v>Hill Country Silverbush</x:v>
      </x:c>
      <x:c r="E57" s="84" t="str">
        <x:v>Perennial</x:v>
      </x:c>
      <x:c r="F57" s="84" t="str">
        <x:v>Herb</x:v>
      </x:c>
      <x:c r="G57" s="84" t="str"/>
      <x:c r="H57" s="84" t="str"/>
      <x:c r="I57" s="84" t="str">
        <x:v>argythamnia aphoroides</x:v>
      </x:c>
    </x:row>
    <x:row r="58">
      <x:c r="A58" s="83" t="str">
        <x:v>BONAP/NAPA Hays workbook</x:v>
      </x:c>
      <x:c r="B58" s="84" t="n">
        <x:v>61</x:v>
      </x:c>
      <x:c r="C58" s="87" t="str">
        <x:v>Argythamnia humilis</x:v>
      </x:c>
      <x:c r="D58" s="84" t="str">
        <x:v>Low Silverbush</x:v>
      </x:c>
      <x:c r="E58" s="84" t="str">
        <x:v>Perennial</x:v>
      </x:c>
      <x:c r="F58" s="84" t="str">
        <x:v>Subshrub</x:v>
      </x:c>
      <x:c r="G58" s="84" t="str">
        <x:v>Sun, Part-shade</x:v>
      </x:c>
      <x:c r="H58" s="84" t="str">
        <x:v>Dry</x:v>
      </x:c>
      <x:c r="I58" s="84" t="str">
        <x:v>argythamnia humilis</x:v>
      </x:c>
    </x:row>
    <x:row r="59">
      <x:c r="A59" s="83" t="str">
        <x:v>BONAP/NAPA Hays workbook</x:v>
      </x:c>
      <x:c r="B59" s="84" t="n">
        <x:v>62</x:v>
      </x:c>
      <x:c r="C59" s="87" t="str">
        <x:v>Argythamnia simulans</x:v>
      </x:c>
      <x:c r="D59" s="84" t="str">
        <x:v>Plateau Silverbush, Tall Wild-mercury</x:v>
      </x:c>
      <x:c r="E59" s="84" t="str">
        <x:v>Perennial</x:v>
      </x:c>
      <x:c r="F59" s="84" t="str">
        <x:v>Herb</x:v>
      </x:c>
      <x:c r="G59" s="84" t="str"/>
      <x:c r="H59" s="84" t="str"/>
      <x:c r="I59" s="84" t="str">
        <x:v>argythamnia simulans</x:v>
      </x:c>
    </x:row>
    <x:row r="60">
      <x:c r="A60" s="83" t="str">
        <x:v>BONAP/NAPA Hays workbook</x:v>
      </x:c>
      <x:c r="B60" s="84" t="n">
        <x:v>63</x:v>
      </x:c>
      <x:c r="C60" s="87" t="str">
        <x:v>Arisaema dracontium</x:v>
      </x:c>
      <x:c r="D60" s="84" t="str">
        <x:v>Green Dragon, Dragonroot, Greendragon</x:v>
      </x:c>
      <x:c r="E60" s="84" t="str">
        <x:v>Perennial</x:v>
      </x:c>
      <x:c r="F60" s="84" t="str">
        <x:v>Herb</x:v>
      </x:c>
      <x:c r="G60" s="84" t="str">
        <x:v>Sun, Shade</x:v>
      </x:c>
      <x:c r="H60" s="84" t="str">
        <x:v>Moist</x:v>
      </x:c>
      <x:c r="I60" s="84" t="str">
        <x:v>arisaema dracontium</x:v>
      </x:c>
    </x:row>
    <x:row r="61">
      <x:c r="A61" s="83" t="str">
        <x:v>BONAP/NAPA Hays workbook</x:v>
      </x:c>
      <x:c r="B61" s="84" t="n">
        <x:v>64</x:v>
      </x:c>
      <x:c r="C61" s="87" t="str">
        <x:v>Aristida oligantha</x:v>
      </x:c>
      <x:c r="D61" s="84" t="str">
        <x:v>Prairie Threeawn, Oldfield (Prairie) 3-awn, Oldfield Threeawn</x:v>
      </x:c>
      <x:c r="E61" s="84" t="str">
        <x:v>Annual</x:v>
      </x:c>
      <x:c r="F61" s="84" t="str">
        <x:v>Grass/Grass-like</x:v>
      </x:c>
      <x:c r="G61" s="84" t="str">
        <x:v>Sun</x:v>
      </x:c>
      <x:c r="H61" s="84" t="str">
        <x:v>Dry</x:v>
      </x:c>
      <x:c r="I61" s="84" t="str">
        <x:v>aristida oligantha</x:v>
      </x:c>
    </x:row>
    <x:row r="62">
      <x:c r="A62" s="83" t="str">
        <x:v>BONAP/NAPA Hays workbook</x:v>
      </x:c>
      <x:c r="B62" s="84" t="n">
        <x:v>65</x:v>
      </x:c>
      <x:c r="C62" s="87" t="str">
        <x:v>Aristida purpurea</x:v>
      </x:c>
      <x:c r="D62" s="84" t="str">
        <x:v>Purple Threeawn, Purple 3-awn, Purple Three-awn, Red Threeawn</x:v>
      </x:c>
      <x:c r="E62" s="84" t="str">
        <x:v>Annual</x:v>
      </x:c>
      <x:c r="F62" s="84" t="str">
        <x:v>Grass/Grass-like</x:v>
      </x:c>
      <x:c r="G62" s="84" t="str">
        <x:v>Sun</x:v>
      </x:c>
      <x:c r="H62" s="84" t="str">
        <x:v>Dry</x:v>
      </x:c>
      <x:c r="I62" s="84" t="str">
        <x:v>aristida purpurea</x:v>
      </x:c>
    </x:row>
    <x:row r="63">
      <x:c r="A63" s="83" t="str">
        <x:v>BONAP/NAPA Hays workbook</x:v>
      </x:c>
      <x:c r="B63" s="84" t="n">
        <x:v>66</x:v>
      </x:c>
      <x:c r="C63" s="87" t="str">
        <x:v>Aristolochia erecta</x:v>
      </x:c>
      <x:c r="D63" s="84" t="str">
        <x:v>Swanflower</x:v>
      </x:c>
      <x:c r="E63" s="84" t="str">
        <x:v>Perennial</x:v>
      </x:c>
      <x:c r="F63" s="84" t="str">
        <x:v>Herb, Vine</x:v>
      </x:c>
      <x:c r="G63" s="84" t="str">
        <x:v>Sun, Part-shade</x:v>
      </x:c>
      <x:c r="H63" s="84" t="str">
        <x:v>Moist</x:v>
      </x:c>
      <x:c r="I63" s="84" t="str">
        <x:v>aristolochia erecta</x:v>
      </x:c>
    </x:row>
    <x:row r="64">
      <x:c r="A64" s="83" t="str">
        <x:v>BONAP/NAPA Hays workbook</x:v>
      </x:c>
      <x:c r="B64" s="84" t="n">
        <x:v>67</x:v>
      </x:c>
      <x:c r="C64" s="87" t="str">
        <x:v>Aristolochia serpentaria</x:v>
      </x:c>
      <x:c r="D64" s="84" t="str">
        <x:v>Virginia Snakeroot, Virginia Dutchmanspipe</x:v>
      </x:c>
      <x:c r="E64" s="84" t="str">
        <x:v>Perennial</x:v>
      </x:c>
      <x:c r="F64" s="84" t="str">
        <x:v>Herb</x:v>
      </x:c>
      <x:c r="G64" s="84" t="str">
        <x:v>Shade</x:v>
      </x:c>
      <x:c r="H64" s="84" t="str">
        <x:v>Dry</x:v>
      </x:c>
      <x:c r="I64" s="84" t="str">
        <x:v>aristolochia serpentaria</x:v>
      </x:c>
    </x:row>
    <x:row r="65">
      <x:c r="A65" s="83" t="str">
        <x:v>BONAP/NAPA Hays workbook</x:v>
      </x:c>
      <x:c r="B65" s="84" t="n">
        <x:v>68</x:v>
      </x:c>
      <x:c r="C65" s="87" t="str">
        <x:v>Arnoglossum plantagineum</x:v>
      </x:c>
      <x:c r="D65" s="84" t="str">
        <x:v>Groovestem Indian Plantain, Indian Plantain, Prairie Plantain, Prairie Indian Plantain</x:v>
      </x:c>
      <x:c r="E65" s="84" t="str">
        <x:v>Perennial</x:v>
      </x:c>
      <x:c r="F65" s="84" t="str">
        <x:v>Herb</x:v>
      </x:c>
      <x:c r="G65" s="84" t="str">
        <x:v>Sun</x:v>
      </x:c>
      <x:c r="H65" s="84" t="str">
        <x:v>Moist</x:v>
      </x:c>
      <x:c r="I65" s="84" t="str">
        <x:v>arnoglossum plantagineum</x:v>
      </x:c>
    </x:row>
    <x:row r="66">
      <x:c r="A66" s="83" t="str">
        <x:v>BONAP/NAPA Hays workbook</x:v>
      </x:c>
      <x:c r="B66" s="84" t="n">
        <x:v>69</x:v>
      </x:c>
      <x:c r="C66" s="87" t="str">
        <x:v>Artemisia ludoviciana</x:v>
      </x:c>
      <x:c r="D66" s="84" t="str">
        <x:v>Louisiana Artemisia, Louisiana Sage, White Sage, Prairie Sage, Silver Sage, White Sagebrush, Louisiana Wormwood, Silver Wormwood, Louisiana Sagewort, Gray Sagewort, Cudweed Sagewort, Mugwort Wormwood</x:v>
      </x:c>
      <x:c r="E66" s="84" t="str">
        <x:v>Perennial</x:v>
      </x:c>
      <x:c r="F66" s="84" t="str">
        <x:v>Subshrub</x:v>
      </x:c>
      <x:c r="G66" s="84" t="str">
        <x:v>Sun</x:v>
      </x:c>
      <x:c r="H66" s="84" t="str">
        <x:v>Dry</x:v>
      </x:c>
      <x:c r="I66" s="84" t="str">
        <x:v>artemisia ludoviciana</x:v>
      </x:c>
    </x:row>
    <x:row r="67">
      <x:c r="A67" s="83" t="str">
        <x:v>BONAP/NAPA Hays workbook</x:v>
      </x:c>
      <x:c r="B67" s="84" t="n">
        <x:v>70</x:v>
      </x:c>
      <x:c r="C67" s="87" t="str">
        <x:v>Asclepias asperula</x:v>
      </x:c>
      <x:c r="D67" s="84" t="str">
        <x:v>Antelope-horns, Spider Milkweed, Green-flowered Milkweed, Spider Antelope-horns, Antelope Horns</x:v>
      </x:c>
      <x:c r="E67" s="84" t="str">
        <x:v>Perennial</x:v>
      </x:c>
      <x:c r="F67" s="84" t="str">
        <x:v>Herb</x:v>
      </x:c>
      <x:c r="G67" s="84" t="str">
        <x:v>Sun</x:v>
      </x:c>
      <x:c r="H67" s="84" t="str">
        <x:v>Moist, Dry</x:v>
      </x:c>
      <x:c r="I67" s="84" t="str">
        <x:v>asclepias asperula</x:v>
      </x:c>
    </x:row>
    <x:row r="68">
      <x:c r="A68" s="83" t="str">
        <x:v>BONAP/NAPA Hays workbook</x:v>
      </x:c>
      <x:c r="B68" s="84" t="n">
        <x:v>71</x:v>
      </x:c>
      <x:c r="C68" s="87" t="str">
        <x:v>Asclepias oenotheroides</x:v>
      </x:c>
      <x:c r="D68" s="84" t="str">
        <x:v>Zizotes Milkweed, Hierba De Zizotes, Side-cluster Milkweed, Longhorn Milkweed, Primrose Milkweed, Lindheimer's Milkweed</x:v>
      </x:c>
      <x:c r="E68" s="84" t="str">
        <x:v>Perennial</x:v>
      </x:c>
      <x:c r="F68" s="84" t="str">
        <x:v>Herb</x:v>
      </x:c>
      <x:c r="G68" s="84" t="str">
        <x:v>Sun</x:v>
      </x:c>
      <x:c r="H68" s="84" t="str">
        <x:v>Dry</x:v>
      </x:c>
      <x:c r="I68" s="84" t="str">
        <x:v>asclepias oenotheroides</x:v>
      </x:c>
    </x:row>
    <x:row r="69">
      <x:c r="A69" s="83" t="str">
        <x:v>BONAP/NAPA Hays workbook</x:v>
      </x:c>
      <x:c r="B69" s="84" t="n">
        <x:v>72</x:v>
      </x:c>
      <x:c r="C69" s="87" t="str">
        <x:v>Asclepias texana</x:v>
      </x:c>
      <x:c r="D69" s="84" t="str">
        <x:v>Texas Milkweed, White Milkweed</x:v>
      </x:c>
      <x:c r="E69" s="84" t="str">
        <x:v>Perennial</x:v>
      </x:c>
      <x:c r="F69" s="84" t="str">
        <x:v>Herb</x:v>
      </x:c>
      <x:c r="G69" s="84" t="str">
        <x:v>Sun</x:v>
      </x:c>
      <x:c r="H69" s="84" t="str">
        <x:v>Dry</x:v>
      </x:c>
      <x:c r="I69" s="84" t="str">
        <x:v>asclepias texana</x:v>
      </x:c>
    </x:row>
    <x:row r="70">
      <x:c r="A70" s="83" t="str">
        <x:v>BONAP/NAPA Hays workbook</x:v>
      </x:c>
      <x:c r="B70" s="84" t="n">
        <x:v>73</x:v>
      </x:c>
      <x:c r="C70" s="87" t="str">
        <x:v>Asclepias viridiflora</x:v>
      </x:c>
      <x:c r="D70" s="84" t="str">
        <x:v>Green Comet Milkweed, Green-flowered Milkweed, Green Milkweed, Wand Milkweed</x:v>
      </x:c>
      <x:c r="E70" s="84" t="str">
        <x:v>Perennial</x:v>
      </x:c>
      <x:c r="F70" s="84" t="str">
        <x:v>Herb</x:v>
      </x:c>
      <x:c r="G70" s="84" t="str">
        <x:v>Sun</x:v>
      </x:c>
      <x:c r="H70" s="84" t="str">
        <x:v>Dry</x:v>
      </x:c>
      <x:c r="I70" s="84" t="str">
        <x:v>asclepias viridiflora</x:v>
      </x:c>
    </x:row>
    <x:row r="71">
      <x:c r="A71" s="83" t="str">
        <x:v>BONAP/NAPA Hays workbook</x:v>
      </x:c>
      <x:c r="B71" s="84" t="n">
        <x:v>74</x:v>
      </x:c>
      <x:c r="C71" s="87" t="str">
        <x:v>Asclepias viridis</x:v>
      </x:c>
      <x:c r="D71" s="84" t="str">
        <x:v>Green Milkweed, Spider Milkweed</x:v>
      </x:c>
      <x:c r="E71" s="84" t="str">
        <x:v>Perennial</x:v>
      </x:c>
      <x:c r="F71" s="84" t="str">
        <x:v>Herb</x:v>
      </x:c>
      <x:c r="G71" s="84" t="str">
        <x:v>Sun</x:v>
      </x:c>
      <x:c r="H71" s="84" t="str">
        <x:v>Moist</x:v>
      </x:c>
      <x:c r="I71" s="84" t="str">
        <x:v>asclepias viridis</x:v>
      </x:c>
    </x:row>
    <x:row r="72">
      <x:c r="A72" s="83" t="str">
        <x:v>BONAP/NAPA Hays workbook</x:v>
      </x:c>
      <x:c r="B72" s="84" t="n">
        <x:v>75</x:v>
      </x:c>
      <x:c r="C72" s="87" t="str">
        <x:v>Asplenium resiliens</x:v>
      </x:c>
      <x:c r="D72" s="84" t="str">
        <x:v>Blackstem Spleenwort</x:v>
      </x:c>
      <x:c r="E72" s="84" t="str">
        <x:v>Perennial</x:v>
      </x:c>
      <x:c r="F72" s="84" t="str">
        <x:v>Herb, Fern</x:v>
      </x:c>
      <x:c r="G72" s="84" t="str"/>
      <x:c r="H72" s="84" t="str"/>
      <x:c r="I72" s="84" t="str">
        <x:v>asplenium resiliens</x:v>
      </x:c>
    </x:row>
    <x:row r="73">
      <x:c r="A73" s="83" t="str">
        <x:v>BONAP/NAPA Hays workbook</x:v>
      </x:c>
      <x:c r="B73" s="84" t="n">
        <x:v>76</x:v>
      </x:c>
      <x:c r="C73" s="87" t="str">
        <x:v>Astragalus crassicarpus var. berlandieri</x:v>
      </x:c>
      <x:c r="D73" s="84" t="str">
        <x:v>Berlandier's Groundplum, Groundplum Milkvetch, Groundplum</x:v>
      </x:c>
      <x:c r="E73" s="84" t="str">
        <x:v>Perennial</x:v>
      </x:c>
      <x:c r="F73" s="84" t="str">
        <x:v>Herb</x:v>
      </x:c>
      <x:c r="G73" s="84" t="str">
        <x:v>Sun</x:v>
      </x:c>
      <x:c r="H73" s="84" t="str">
        <x:v>Dry</x:v>
      </x:c>
      <x:c r="I73" s="84" t="str">
        <x:v>astragalus crassicarpus var. berlandieri</x:v>
      </x:c>
    </x:row>
    <x:row r="74">
      <x:c r="A74" s="83" t="str">
        <x:v>BONAP/NAPA Hays workbook</x:v>
      </x:c>
      <x:c r="B74" s="84" t="n">
        <x:v>77</x:v>
      </x:c>
      <x:c r="C74" s="87" t="str">
        <x:v>Astragalus leptocarpus</x:v>
      </x:c>
      <x:c r="D74" s="84" t="str">
        <x:v>Rare Loco Milkvetch, Slimpod Milkvetch</x:v>
      </x:c>
      <x:c r="E74" s="84" t="str">
        <x:v>Annual</x:v>
      </x:c>
      <x:c r="F74" s="84" t="str">
        <x:v>Herb</x:v>
      </x:c>
      <x:c r="G74" s="84" t="str"/>
      <x:c r="H74" s="84" t="str"/>
      <x:c r="I74" s="84" t="str">
        <x:v>astragalus leptocarpus</x:v>
      </x:c>
    </x:row>
    <x:row r="75">
      <x:c r="A75" s="83" t="str">
        <x:v>BONAP/NAPA Hays workbook</x:v>
      </x:c>
      <x:c r="B75" s="84" t="n">
        <x:v>78</x:v>
      </x:c>
      <x:c r="C75" s="87" t="str">
        <x:v>Astragalus lindheimeri</x:v>
      </x:c>
      <x:c r="D75" s="84" t="str">
        <x:v>Lindheimer's Milkvetch, Lindheimer's Astragulus</x:v>
      </x:c>
      <x:c r="E75" s="84" t="str">
        <x:v>Annual</x:v>
      </x:c>
      <x:c r="F75" s="84" t="str">
        <x:v>Herb</x:v>
      </x:c>
      <x:c r="G75" s="84" t="str">
        <x:v>Sun</x:v>
      </x:c>
      <x:c r="H75" s="84" t="str">
        <x:v>Dry</x:v>
      </x:c>
      <x:c r="I75" s="84" t="str">
        <x:v>astragalus lindheimeri</x:v>
      </x:c>
    </x:row>
    <x:row r="76">
      <x:c r="A76" s="83" t="str">
        <x:v>BONAP/NAPA Hays workbook</x:v>
      </x:c>
      <x:c r="B76" s="84" t="n">
        <x:v>79</x:v>
      </x:c>
      <x:c r="C76" s="87" t="str">
        <x:v>Astragalus nuttallianus</x:v>
      </x:c>
      <x:c r="D76" s="84" t="str">
        <x:v>Nuttall's Milkvetch, Small-flowered Milkvetch</x:v>
      </x:c>
      <x:c r="E76" s="84" t="str">
        <x:v>Annual</x:v>
      </x:c>
      <x:c r="F76" s="84" t="str">
        <x:v>Herb</x:v>
      </x:c>
      <x:c r="G76" s="84" t="str"/>
      <x:c r="H76" s="84" t="str"/>
      <x:c r="I76" s="84" t="str">
        <x:v>astragalus nuttallianus</x:v>
      </x:c>
    </x:row>
    <x:row r="77">
      <x:c r="A77" s="83" t="str">
        <x:v>BONAP/NAPA Hays workbook</x:v>
      </x:c>
      <x:c r="B77" s="84" t="n">
        <x:v>80</x:v>
      </x:c>
      <x:c r="C77" s="87" t="str">
        <x:v>Astragalus plattensis</x:v>
      </x:c>
      <x:c r="D77" s="84" t="str">
        <x:v>Platte River Milkvetch</x:v>
      </x:c>
      <x:c r="E77" s="84" t="str">
        <x:v>Perennial</x:v>
      </x:c>
      <x:c r="F77" s="84" t="str">
        <x:v>Herb</x:v>
      </x:c>
      <x:c r="G77" s="84" t="str">
        <x:v>Sun</x:v>
      </x:c>
      <x:c r="H77" s="84" t="str">
        <x:v>Dry</x:v>
      </x:c>
      <x:c r="I77" s="84" t="str">
        <x:v>astragalus plattensis</x:v>
      </x:c>
    </x:row>
    <x:row r="78">
      <x:c r="A78" s="83" t="str">
        <x:v>BONAP/NAPA Hays workbook</x:v>
      </x:c>
      <x:c r="B78" s="84" t="n">
        <x:v>81</x:v>
      </x:c>
      <x:c r="C78" s="87" t="str">
        <x:v>Astragalus pleianthus</x:v>
      </x:c>
      <x:c r="D78" s="84" t="str">
        <x:v>Edwards Plateau Milkvetch</x:v>
      </x:c>
      <x:c r="E78" s="84" t="str">
        <x:v>Annual</x:v>
      </x:c>
      <x:c r="F78" s="84" t="str">
        <x:v>Herb</x:v>
      </x:c>
      <x:c r="G78" s="84" t="str"/>
      <x:c r="H78" s="84" t="str"/>
      <x:c r="I78" s="84" t="str">
        <x:v>astragalus pleianthus</x:v>
      </x:c>
    </x:row>
    <x:row r="79">
      <x:c r="A79" s="83" t="str">
        <x:v>BONAP/NAPA Hays workbook</x:v>
      </x:c>
      <x:c r="B79" s="84" t="n">
        <x:v>82</x:v>
      </x:c>
      <x:c r="C79" s="87" t="str">
        <x:v>Atriplex canescens</x:v>
      </x:c>
      <x:c r="D79" s="84" t="str">
        <x:v>Chamiso, Four-wing Saltbush, Wing-scale</x:v>
      </x:c>
      <x:c r="E79" s="84" t="str">
        <x:v>Perennial</x:v>
      </x:c>
      <x:c r="F79" s="84" t="str">
        <x:v>Shrub</x:v>
      </x:c>
      <x:c r="G79" s="84" t="str">
        <x:v>Part-shade</x:v>
      </x:c>
      <x:c r="H79" s="84" t="str">
        <x:v>Dry</x:v>
      </x:c>
      <x:c r="I79" s="84" t="str">
        <x:v>atriplex canescens</x:v>
      </x:c>
    </x:row>
    <x:row r="80">
      <x:c r="A80" s="83" t="str">
        <x:v>BONAP/NAPA Hays workbook</x:v>
      </x:c>
      <x:c r="B80" s="84" t="n">
        <x:v>83</x:v>
      </x:c>
      <x:c r="C80" s="87" t="str">
        <x:v>Azolla caroliniana</x:v>
      </x:c>
      <x:c r="D80" s="84" t="str">
        <x:v>Carolina Mosquitofern</x:v>
      </x:c>
      <x:c r="E80" s="84" t="str">
        <x:v>Annual</x:v>
      </x:c>
      <x:c r="F80" s="84" t="str">
        <x:v>Fern</x:v>
      </x:c>
      <x:c r="G80" s="84" t="str"/>
      <x:c r="H80" s="84" t="str"/>
      <x:c r="I80" s="84" t="str">
        <x:v>azolla caroliniana</x:v>
      </x:c>
    </x:row>
    <x:row r="81">
      <x:c r="A81" s="83" t="str">
        <x:v>BONAP/NAPA Hays workbook</x:v>
      </x:c>
      <x:c r="B81" s="84" t="n">
        <x:v>84</x:v>
      </x:c>
      <x:c r="C81" s="87" t="str">
        <x:v>Baccharis neglecta</x:v>
      </x:c>
      <x:c r="D81" s="84" t="str">
        <x:v>False Willow, Jara Dulce, Poverty Weed, Roosevelt Weed</x:v>
      </x:c>
      <x:c r="E81" s="84" t="str">
        <x:v>Perennial</x:v>
      </x:c>
      <x:c r="F81" s="84" t="str">
        <x:v>Shrub</x:v>
      </x:c>
      <x:c r="G81" s="84" t="str">
        <x:v>Part-shade</x:v>
      </x:c>
      <x:c r="H81" s="84" t="str">
        <x:v>Dry</x:v>
      </x:c>
      <x:c r="I81" s="84" t="str">
        <x:v>baccharis neglecta</x:v>
      </x:c>
    </x:row>
    <x:row r="82">
      <x:c r="A82" s="83" t="str">
        <x:v>BONAP/NAPA Hays workbook</x:v>
      </x:c>
      <x:c r="B82" s="84" t="n">
        <x:v>85</x:v>
      </x:c>
      <x:c r="C82" s="87" t="str">
        <x:v>Bacopa monnieri</x:v>
      </x:c>
      <x:c r="D82" s="84" t="str">
        <x:v>Herb-of-grace, Water Hyssop, Coastal Water-hyssop</x:v>
      </x:c>
      <x:c r="E82" s="84" t="str">
        <x:v>Perennial</x:v>
      </x:c>
      <x:c r="F82" s="84" t="str">
        <x:v>Herb</x:v>
      </x:c>
      <x:c r="G82" s="84" t="str">
        <x:v>Sun, Part-shade</x:v>
      </x:c>
      <x:c r="H82" s="84" t="str">
        <x:v>Wet, Moist</x:v>
      </x:c>
      <x:c r="I82" s="84" t="str">
        <x:v>bacopa monnieri</x:v>
      </x:c>
    </x:row>
    <x:row r="83">
      <x:c r="A83" s="83" t="str">
        <x:v>BONAP/NAPA Hays workbook</x:v>
      </x:c>
      <x:c r="B83" s="84" t="n">
        <x:v>86</x:v>
      </x:c>
      <x:c r="C83" s="87" t="str">
        <x:v>Berlandiera betonicifolia</x:v>
      </x:c>
      <x:c r="D83" s="84" t="str">
        <x:v>Texas Greeneyes, Broochflower</x:v>
      </x:c>
      <x:c r="E83" s="84" t="str">
        <x:v>Perennial</x:v>
      </x:c>
      <x:c r="F83" s="84" t="str">
        <x:v>Herb</x:v>
      </x:c>
      <x:c r="G83" s="84" t="str">
        <x:v>Part-shade</x:v>
      </x:c>
      <x:c r="H83" s="84" t="str">
        <x:v>Moist</x:v>
      </x:c>
      <x:c r="I83" s="84" t="str">
        <x:v>berlandiera betonicifolia</x:v>
      </x:c>
    </x:row>
    <x:row r="84">
      <x:c r="A84" s="83" t="str">
        <x:v>BONAP/NAPA Hays workbook</x:v>
      </x:c>
      <x:c r="B84" s="84" t="n">
        <x:v>87</x:v>
      </x:c>
      <x:c r="C84" s="87" t="str">
        <x:v>Bernardia myricifolia</x:v>
      </x:c>
      <x:c r="D84" s="84" t="str">
        <x:v>Mouse's Eye, Mouse Ears</x:v>
      </x:c>
      <x:c r="E84" s="84" t="str">
        <x:v>Perennial</x:v>
      </x:c>
      <x:c r="F84" s="84" t="str">
        <x:v>Shrub</x:v>
      </x:c>
      <x:c r="G84" s="84" t="str"/>
      <x:c r="H84" s="84" t="str"/>
      <x:c r="I84" s="84" t="str">
        <x:v>bernardia myricifolia</x:v>
      </x:c>
    </x:row>
    <x:row r="85">
      <x:c r="A85" s="83" t="str">
        <x:v>BONAP/NAPA Hays workbook</x:v>
      </x:c>
      <x:c r="B85" s="84" t="n">
        <x:v>88</x:v>
      </x:c>
      <x:c r="C85" s="87" t="str">
        <x:v>Bidens laevis</x:v>
      </x:c>
      <x:c r="D85" s="84" t="str">
        <x:v>Smooth Beggartick, Smooth Bidens, Smooth Bur Marigold, Larger Bur Marigold</x:v>
      </x:c>
      <x:c r="E85" s="84" t="str">
        <x:v>Annual</x:v>
      </x:c>
      <x:c r="F85" s="84" t="str">
        <x:v>Herb</x:v>
      </x:c>
      <x:c r="G85" s="84" t="str">
        <x:v>Sun, Part-shade</x:v>
      </x:c>
      <x:c r="H85" s="84" t="str">
        <x:v>Wet, Moist</x:v>
      </x:c>
      <x:c r="I85" s="84" t="str">
        <x:v>bidens laevis</x:v>
      </x:c>
    </x:row>
    <x:row r="86">
      <x:c r="A86" s="83" t="str">
        <x:v>BONAP/NAPA Hays workbook</x:v>
      </x:c>
      <x:c r="B86" s="84" t="n">
        <x:v>89</x:v>
      </x:c>
      <x:c r="C86" s="87" t="str">
        <x:v>Bifora americana</x:v>
      </x:c>
      <x:c r="D86" s="84" t="str">
        <x:v>Prairie Bishop, Prairie Bishop's Weed</x:v>
      </x:c>
      <x:c r="E86" s="84" t="str">
        <x:v>Annual</x:v>
      </x:c>
      <x:c r="F86" s="84" t="str">
        <x:v>Herb</x:v>
      </x:c>
      <x:c r="G86" s="84" t="str">
        <x:v>Sun, Part-shade</x:v>
      </x:c>
      <x:c r="H86" s="84" t="str"/>
      <x:c r="I86" s="84" t="str">
        <x:v>bifora americana</x:v>
      </x:c>
    </x:row>
    <x:row r="87">
      <x:c r="A87" s="83" t="str">
        <x:v>BONAP/NAPA Hays workbook</x:v>
      </x:c>
      <x:c r="B87" s="84" t="n">
        <x:v>90</x:v>
      </x:c>
      <x:c r="C87" s="87" t="str">
        <x:v>Boehmeria cylindrica</x:v>
      </x:c>
      <x:c r="D87" s="84" t="str">
        <x:v>Smallspike False Nettle, Bog Hemp</x:v>
      </x:c>
      <x:c r="E87" s="84" t="str">
        <x:v>Perennial</x:v>
      </x:c>
      <x:c r="F87" s="84" t="str">
        <x:v>Herb</x:v>
      </x:c>
      <x:c r="G87" s="84" t="str">
        <x:v>Sun, Shade, Part-shade</x:v>
      </x:c>
      <x:c r="H87" s="84" t="str">
        <x:v>Moist</x:v>
      </x:c>
      <x:c r="I87" s="84" t="str">
        <x:v>boehmeria cylindrica</x:v>
      </x:c>
    </x:row>
    <x:row r="88">
      <x:c r="A88" s="83" t="str">
        <x:v>BONAP/NAPA Hays workbook</x:v>
      </x:c>
      <x:c r="B88" s="84" t="n">
        <x:v>91</x:v>
      </x:c>
      <x:c r="C88" s="87" t="str">
        <x:v>Boerhavia coccinea</x:v>
      </x:c>
      <x:c r="D88" s="84" t="str">
        <x:v>Scarlet Spiderling</x:v>
      </x:c>
      <x:c r="E88" s="84" t="str">
        <x:v>Perennial</x:v>
      </x:c>
      <x:c r="F88" s="84" t="str">
        <x:v>Herb</x:v>
      </x:c>
      <x:c r="G88" s="84" t="str"/>
      <x:c r="H88" s="84" t="str"/>
      <x:c r="I88" s="84" t="str">
        <x:v>boerhavia coccinea</x:v>
      </x:c>
    </x:row>
    <x:row r="89">
      <x:c r="A89" s="83" t="str">
        <x:v>BONAP/NAPA Hays workbook</x:v>
      </x:c>
      <x:c r="B89" s="84" t="n">
        <x:v>92</x:v>
      </x:c>
      <x:c r="C89" s="87" t="str">
        <x:v>Boerhavia linearifolia</x:v>
      </x:c>
      <x:c r="D89" s="84" t="str">
        <x:v>Narrowleaf Spiderling</x:v>
      </x:c>
      <x:c r="E89" s="84" t="str">
        <x:v>Perennial</x:v>
      </x:c>
      <x:c r="F89" s="84" t="str">
        <x:v>Subshrub</x:v>
      </x:c>
      <x:c r="G89" s="84" t="str"/>
      <x:c r="H89" s="84" t="str"/>
      <x:c r="I89" s="84" t="str">
        <x:v>boerhavia linearifolia</x:v>
      </x:c>
    </x:row>
    <x:row r="90">
      <x:c r="A90" s="83" t="str">
        <x:v>BONAP/NAPA Hays workbook</x:v>
      </x:c>
      <x:c r="B90" s="84" t="n">
        <x:v>93</x:v>
      </x:c>
      <x:c r="C90" s="87" t="str">
        <x:v>Boltonia diffusa</x:v>
      </x:c>
      <x:c r="D90" s="84" t="str">
        <x:v>Doll's Daisy, Smallhead Doll's Daisy</x:v>
      </x:c>
      <x:c r="E90" s="84" t="str">
        <x:v>Perennial</x:v>
      </x:c>
      <x:c r="F90" s="84" t="str">
        <x:v>Herb</x:v>
      </x:c>
      <x:c r="G90" s="84" t="str"/>
      <x:c r="H90" s="84" t="str">
        <x:v>Wet, Moist, Dry</x:v>
      </x:c>
      <x:c r="I90" s="84" t="str">
        <x:v>boltonia diffusa</x:v>
      </x:c>
    </x:row>
    <x:row r="91">
      <x:c r="A91" s="83" t="str">
        <x:v>BONAP/NAPA Hays workbook</x:v>
      </x:c>
      <x:c r="B91" s="84" t="n">
        <x:v>94</x:v>
      </x:c>
      <x:c r="C91" s="87" t="str">
        <x:v>Bothriochloa barbinodis</x:v>
      </x:c>
      <x:c r="D91" s="84" t="str">
        <x:v>Pinhole Bluestem, Cane Bluestem, Cane Beardgrass, Feather Bluestem, Plains Beardgrass</x:v>
      </x:c>
      <x:c r="E91" s="84" t="str">
        <x:v>Perennial</x:v>
      </x:c>
      <x:c r="F91" s="84" t="str">
        <x:v>Grass/Grass-like</x:v>
      </x:c>
      <x:c r="G91" s="84" t="str">
        <x:v>Sun</x:v>
      </x:c>
      <x:c r="H91" s="84" t="str">
        <x:v>Dry</x:v>
      </x:c>
      <x:c r="I91" s="84" t="str">
        <x:v>bothriochloa barbinodis</x:v>
      </x:c>
    </x:row>
    <x:row r="92">
      <x:c r="A92" s="83" t="str">
        <x:v>BONAP/NAPA Hays workbook</x:v>
      </x:c>
      <x:c r="B92" s="84" t="n">
        <x:v>95</x:v>
      </x:c>
      <x:c r="C92" s="87" t="str">
        <x:v>Bothriochloa laguroides</x:v>
      </x:c>
      <x:c r="D92" s="84" t="str">
        <x:v>Silver Bluestem, Silver Beardgrass</x:v>
      </x:c>
      <x:c r="E92" s="84" t="str">
        <x:v>Perennial</x:v>
      </x:c>
      <x:c r="F92" s="84" t="str">
        <x:v>Grass/Grass-like</x:v>
      </x:c>
      <x:c r="G92" s="84" t="str"/>
      <x:c r="H92" s="84" t="str"/>
      <x:c r="I92" s="84" t="str">
        <x:v>bothriochloa laguroides</x:v>
      </x:c>
    </x:row>
    <x:row r="93">
      <x:c r="A93" s="83" t="str">
        <x:v>BONAP/NAPA Hays workbook</x:v>
      </x:c>
      <x:c r="B93" s="84" t="n">
        <x:v>96</x:v>
      </x:c>
      <x:c r="C93" s="87" t="str">
        <x:v>Bouchetia erecta</x:v>
      </x:c>
      <x:c r="D93" s="84" t="str">
        <x:v>Erect Bouchetia, Painted-tongue, Paintedtongue, Painted Tongue</x:v>
      </x:c>
      <x:c r="E93" s="84" t="str">
        <x:v>Perennial</x:v>
      </x:c>
      <x:c r="F93" s="84" t="str">
        <x:v>Herb</x:v>
      </x:c>
      <x:c r="G93" s="84" t="str">
        <x:v>Sun</x:v>
      </x:c>
      <x:c r="H93" s="84" t="str">
        <x:v>Moist</x:v>
      </x:c>
      <x:c r="I93" s="84" t="str">
        <x:v>bouchetia erecta</x:v>
      </x:c>
    </x:row>
    <x:row r="94">
      <x:c r="A94" s="83" t="str">
        <x:v>BONAP/NAPA Hays workbook</x:v>
      </x:c>
      <x:c r="B94" s="84" t="n">
        <x:v>97</x:v>
      </x:c>
      <x:c r="C94" s="87" t="str">
        <x:v>Bouteloua curtipendula</x:v>
      </x:c>
      <x:c r="D94" s="84" t="str">
        <x:v>Sideoats Grama, Banderilla, Banderita, Navajita</x:v>
      </x:c>
      <x:c r="E94" s="84" t="str">
        <x:v>Perennial</x:v>
      </x:c>
      <x:c r="F94" s="84" t="str">
        <x:v>Grass/Grass-like</x:v>
      </x:c>
      <x:c r="G94" s="84" t="str">
        <x:v>Sun, Part-shade</x:v>
      </x:c>
      <x:c r="H94" s="84" t="str">
        <x:v>Moist, Dry</x:v>
      </x:c>
      <x:c r="I94" s="84" t="str">
        <x:v>bouteloua curtipendula</x:v>
      </x:c>
    </x:row>
    <x:row r="95">
      <x:c r="A95" s="83" t="str">
        <x:v>BONAP/NAPA Hays workbook</x:v>
      </x:c>
      <x:c r="B95" s="84" t="n">
        <x:v>98</x:v>
      </x:c>
      <x:c r="C95" s="87" t="str">
        <x:v>Bouteloua dactyloides</x:v>
      </x:c>
      <x:c r="D95" s="84" t="str">
        <x:v>Buffalograss, Buffalo Grass</x:v>
      </x:c>
      <x:c r="E95" s="84" t="str">
        <x:v>Perennial</x:v>
      </x:c>
      <x:c r="F95" s="84" t="str">
        <x:v>Grass/Grass-like</x:v>
      </x:c>
      <x:c r="G95" s="84" t="str">
        <x:v>Sun</x:v>
      </x:c>
      <x:c r="H95" s="84" t="str">
        <x:v>Dry</x:v>
      </x:c>
      <x:c r="I95" s="84" t="str">
        <x:v>bouteloua dactyloides</x:v>
      </x:c>
    </x:row>
    <x:row r="96">
      <x:c r="A96" s="83" t="str">
        <x:v>BONAP/NAPA Hays workbook</x:v>
      </x:c>
      <x:c r="B96" s="84" t="n">
        <x:v>99</x:v>
      </x:c>
      <x:c r="C96" s="87" t="str">
        <x:v>Bouteloua hirsuta</x:v>
      </x:c>
      <x:c r="D96" s="84" t="str">
        <x:v>Hairy Grama</x:v>
      </x:c>
      <x:c r="E96" s="84" t="str">
        <x:v>Perennial</x:v>
      </x:c>
      <x:c r="F96" s="84" t="str">
        <x:v>Grass/Grass-like</x:v>
      </x:c>
      <x:c r="G96" s="84" t="str">
        <x:v>Part-shade</x:v>
      </x:c>
      <x:c r="H96" s="84" t="str">
        <x:v>Dry</x:v>
      </x:c>
      <x:c r="I96" s="84" t="str">
        <x:v>bouteloua hirsuta</x:v>
      </x:c>
    </x:row>
    <x:row r="97">
      <x:c r="A97" s="83" t="str">
        <x:v>BONAP/NAPA Hays workbook</x:v>
      </x:c>
      <x:c r="B97" s="84" t="n">
        <x:v>100</x:v>
      </x:c>
      <x:c r="C97" s="87" t="str">
        <x:v>Bouteloua hirsuta var. pectinata</x:v>
      </x:c>
      <x:c r="D97" s="84" t="str">
        <x:v>Tall Grama, Hairy Grama</x:v>
      </x:c>
      <x:c r="E97" s="84" t="str">
        <x:v>Perennial</x:v>
      </x:c>
      <x:c r="F97" s="84" t="str">
        <x:v>Grass/Grass-like</x:v>
      </x:c>
      <x:c r="G97" s="84" t="str"/>
      <x:c r="H97" s="84" t="str"/>
      <x:c r="I97" s="84" t="str">
        <x:v>bouteloua hirsuta var. pectinata</x:v>
      </x:c>
    </x:row>
    <x:row r="98">
      <x:c r="A98" s="83" t="str">
        <x:v>BONAP/NAPA Hays workbook</x:v>
      </x:c>
      <x:c r="B98" s="84" t="n">
        <x:v>101</x:v>
      </x:c>
      <x:c r="C98" s="87" t="str">
        <x:v>Bouteloua rigidiseta</x:v>
      </x:c>
      <x:c r="D98" s="84" t="str">
        <x:v>Texas Grama</x:v>
      </x:c>
      <x:c r="E98" s="84" t="str">
        <x:v>Perennial</x:v>
      </x:c>
      <x:c r="F98" s="84" t="str">
        <x:v>Grass/Grass-like</x:v>
      </x:c>
      <x:c r="G98" s="84" t="str">
        <x:v>Sun</x:v>
      </x:c>
      <x:c r="H98" s="84" t="str">
        <x:v>Dry</x:v>
      </x:c>
      <x:c r="I98" s="84" t="str">
        <x:v>bouteloua rigidiseta</x:v>
      </x:c>
    </x:row>
    <x:row r="99">
      <x:c r="A99" s="83" t="str">
        <x:v>BONAP/NAPA Hays workbook</x:v>
      </x:c>
      <x:c r="B99" s="84" t="n">
        <x:v>102</x:v>
      </x:c>
      <x:c r="C99" s="87" t="str">
        <x:v>Bouteloua trifida</x:v>
      </x:c>
      <x:c r="D99" s="84" t="str">
        <x:v>Red Grama</x:v>
      </x:c>
      <x:c r="E99" s="84" t="str">
        <x:v>Perennial</x:v>
      </x:c>
      <x:c r="F99" s="84" t="str">
        <x:v>Grass/Grass-like</x:v>
      </x:c>
      <x:c r="G99" s="84" t="str">
        <x:v>Sun</x:v>
      </x:c>
      <x:c r="H99" s="84" t="str"/>
      <x:c r="I99" s="84" t="str">
        <x:v>bouteloua trifida</x:v>
      </x:c>
    </x:row>
    <x:row r="100">
      <x:c r="A100" s="83" t="str">
        <x:v>BONAP/NAPA Hays workbook</x:v>
      </x:c>
      <x:c r="B100" s="84" t="n">
        <x:v>103</x:v>
      </x:c>
      <x:c r="C100" s="87" t="str">
        <x:v>Brickellia cylindracea</x:v>
      </x:c>
      <x:c r="D100" s="84" t="str">
        <x:v>Gravel-bar Brickellbush</x:v>
      </x:c>
      <x:c r="E100" s="84" t="str">
        <x:v>Perennial</x:v>
      </x:c>
      <x:c r="F100" s="84" t="str">
        <x:v>Herb</x:v>
      </x:c>
      <x:c r="G100" s="84" t="str">
        <x:v>Sun, Part-shade</x:v>
      </x:c>
      <x:c r="H100" s="84" t="str">
        <x:v>Moist, Dry</x:v>
      </x:c>
      <x:c r="I100" s="84" t="str">
        <x:v>brickellia cylindracea</x:v>
      </x:c>
    </x:row>
    <x:row r="101">
      <x:c r="A101" s="83" t="str">
        <x:v>BONAP/NAPA Hays workbook</x:v>
      </x:c>
      <x:c r="B101" s="84" t="n">
        <x:v>104</x:v>
      </x:c>
      <x:c r="C101" s="87" t="str">
        <x:v>Brickellia dentata</x:v>
      </x:c>
      <x:c r="D101" s="84" t="str">
        <x:v>Leafy Brickellbush</x:v>
      </x:c>
      <x:c r="E101" s="84" t="str">
        <x:v>Perennial</x:v>
      </x:c>
      <x:c r="F101" s="84" t="str">
        <x:v>Subshrub</x:v>
      </x:c>
      <x:c r="G101" s="84" t="str"/>
      <x:c r="H101" s="84" t="str"/>
      <x:c r="I101" s="84" t="str">
        <x:v>brickellia dentata</x:v>
      </x:c>
    </x:row>
    <x:row r="102">
      <x:c r="A102" s="83" t="str">
        <x:v>BONAP/NAPA Hays workbook</x:v>
      </x:c>
      <x:c r="B102" s="84" t="n">
        <x:v>105</x:v>
      </x:c>
      <x:c r="C102" s="87" t="str">
        <x:v>Brickellia eupatorioides var. gracillima</x:v>
      </x:c>
      <x:c r="D102" s="84" t="str">
        <x:v>False Boneset</x:v>
      </x:c>
      <x:c r="E102" s="84" t="str">
        <x:v>Perennial</x:v>
      </x:c>
      <x:c r="F102" s="84" t="str">
        <x:v>Herb, Subshrub</x:v>
      </x:c>
      <x:c r="G102" s="84" t="str">
        <x:v>Sun</x:v>
      </x:c>
      <x:c r="H102" s="84" t="str">
        <x:v>Dry</x:v>
      </x:c>
      <x:c r="I102" s="84" t="str">
        <x:v>brickellia eupatorioides var. gracillima</x:v>
      </x:c>
    </x:row>
    <x:row r="103">
      <x:c r="A103" s="83" t="str">
        <x:v>BONAP/NAPA Hays workbook</x:v>
      </x:c>
      <x:c r="B103" s="84" t="n">
        <x:v>106</x:v>
      </x:c>
      <x:c r="C103" s="87" t="str">
        <x:v>Bromus pubescens</x:v>
      </x:c>
      <x:c r="D103" s="84" t="str">
        <x:v>Hairy Woodland Brome</x:v>
      </x:c>
      <x:c r="E103" s="84" t="str">
        <x:v>Perennial</x:v>
      </x:c>
      <x:c r="F103" s="84" t="str">
        <x:v>Grass/Grass-like</x:v>
      </x:c>
      <x:c r="G103" s="84" t="str"/>
      <x:c r="H103" s="84" t="str"/>
      <x:c r="I103" s="84" t="str">
        <x:v>bromus pubescens</x:v>
      </x:c>
    </x:row>
    <x:row r="104">
      <x:c r="A104" s="83" t="str">
        <x:v>BONAP/NAPA Hays workbook</x:v>
      </x:c>
      <x:c r="B104" s="84" t="n">
        <x:v>107</x:v>
      </x:c>
      <x:c r="C104" s="87" t="str">
        <x:v>Bromus texensis</x:v>
      </x:c>
      <x:c r="D104" s="84" t="str">
        <x:v>Texas Brome</x:v>
      </x:c>
      <x:c r="E104" s="84" t="str">
        <x:v>Perennial</x:v>
      </x:c>
      <x:c r="F104" s="84" t="str">
        <x:v>Grass/Grass-like</x:v>
      </x:c>
      <x:c r="G104" s="84" t="str"/>
      <x:c r="H104" s="84" t="str"/>
      <x:c r="I104" s="84" t="str">
        <x:v>bromus texensis</x:v>
      </x:c>
    </x:row>
    <x:row r="105">
      <x:c r="A105" s="83" t="str">
        <x:v>BONAP/NAPA Hays workbook</x:v>
      </x:c>
      <x:c r="B105" s="84" t="n">
        <x:v>108</x:v>
      </x:c>
      <x:c r="C105" s="87" t="str">
        <x:v>Buchnera americana</x:v>
      </x:c>
      <x:c r="D105" s="84" t="str">
        <x:v>American Bluehearts, Bluehearts</x:v>
      </x:c>
      <x:c r="E105" s="84" t="str">
        <x:v>Annual</x:v>
      </x:c>
      <x:c r="F105" s="84" t="str">
        <x:v>Herb</x:v>
      </x:c>
      <x:c r="G105" s="84" t="str">
        <x:v>Sun</x:v>
      </x:c>
      <x:c r="H105" s="84" t="str">
        <x:v>Moist</x:v>
      </x:c>
      <x:c r="I105" s="84" t="str">
        <x:v>buchnera americana</x:v>
      </x:c>
    </x:row>
    <x:row r="106">
      <x:c r="A106" s="83" t="str">
        <x:v>BONAP/NAPA Hays workbook</x:v>
      </x:c>
      <x:c r="B106" s="84" t="n">
        <x:v>109</x:v>
      </x:c>
      <x:c r="C106" s="87" t="str">
        <x:v>Buddleja racemosa</x:v>
      </x:c>
      <x:c r="D106" s="84" t="str">
        <x:v>Wand Butterflybush, Wand Butterfly-bush</x:v>
      </x:c>
      <x:c r="E106" s="84" t="str">
        <x:v>Perennial</x:v>
      </x:c>
      <x:c r="F106" s="84" t="str">
        <x:v>Shrub</x:v>
      </x:c>
      <x:c r="G106" s="84" t="str"/>
      <x:c r="H106" s="84" t="str"/>
      <x:c r="I106" s="84" t="str">
        <x:v>buddleja racemosa</x:v>
      </x:c>
    </x:row>
    <x:row r="107">
      <x:c r="A107" s="83" t="str">
        <x:v>BONAP/NAPA Hays workbook</x:v>
      </x:c>
      <x:c r="B107" s="84" t="n">
        <x:v>110</x:v>
      </x:c>
      <x:c r="C107" s="87" t="str">
        <x:v>Buddleja racemosa ssp. racemosa</x:v>
      </x:c>
      <x:c r="D107" s="84" t="str">
        <x:v>Wand Butterflybush</x:v>
      </x:c>
      <x:c r="E107" s="84" t="str">
        <x:v>Perennial</x:v>
      </x:c>
      <x:c r="F107" s="84" t="str">
        <x:v>Shrub</x:v>
      </x:c>
      <x:c r="G107" s="84" t="str">
        <x:v>Shade</x:v>
      </x:c>
      <x:c r="H107" s="84" t="str">
        <x:v>Dry</x:v>
      </x:c>
      <x:c r="I107" s="84" t="str">
        <x:v>buddleja racemosa ssp. racemosa</x:v>
      </x:c>
    </x:row>
    <x:row r="108">
      <x:c r="A108" s="83" t="str">
        <x:v>BONAP/NAPA Hays workbook</x:v>
      </x:c>
      <x:c r="B108" s="84" t="n">
        <x:v>111</x:v>
      </x:c>
      <x:c r="C108" s="87" t="str">
        <x:v>Cabomba caroliniana</x:v>
      </x:c>
      <x:c r="D108" s="84" t="str">
        <x:v>Carolina Fanwort, Green Cabomba, Fish-grass, Washington-grass, Carolina Watershield, Washington-plant</x:v>
      </x:c>
      <x:c r="E108" s="84" t="str">
        <x:v>Perennial</x:v>
      </x:c>
      <x:c r="F108" s="84" t="str">
        <x:v>Herb</x:v>
      </x:c>
      <x:c r="G108" s="84" t="str"/>
      <x:c r="H108" s="84" t="str"/>
      <x:c r="I108" s="84" t="str">
        <x:v>cabomba caroliniana</x:v>
      </x:c>
    </x:row>
    <x:row r="109">
      <x:c r="A109" s="83" t="str">
        <x:v>BONAP/NAPA Hays workbook</x:v>
      </x:c>
      <x:c r="B109" s="84" t="n">
        <x:v>112</x:v>
      </x:c>
      <x:c r="C109" s="87" t="str">
        <x:v>Callicarpa americana</x:v>
      </x:c>
      <x:c r="D109" s="84" t="str">
        <x:v>American Beautyberry , French Mulberry</x:v>
      </x:c>
      <x:c r="E109" s="84" t="str">
        <x:v>Perennial</x:v>
      </x:c>
      <x:c r="F109" s="84" t="str">
        <x:v>Shrub</x:v>
      </x:c>
      <x:c r="G109" s="84" t="str">
        <x:v>Part-shade</x:v>
      </x:c>
      <x:c r="H109" s="84" t="str">
        <x:v>Moist</x:v>
      </x:c>
      <x:c r="I109" s="84" t="str">
        <x:v>callicarpa americana</x:v>
      </x:c>
    </x:row>
    <x:row r="110">
      <x:c r="A110" s="83" t="str">
        <x:v>BONAP/NAPA Hays workbook</x:v>
      </x:c>
      <x:c r="B110" s="84" t="n">
        <x:v>113</x:v>
      </x:c>
      <x:c r="C110" s="87" t="str">
        <x:v>Callirhoe digitata</x:v>
      </x:c>
      <x:c r="D110" s="84" t="str">
        <x:v>Winecup, Standing Winecup, Poppy Mallow, Wine Cup, Finger Poppy-mallow</x:v>
      </x:c>
      <x:c r="E110" s="84" t="str">
        <x:v>Perennial</x:v>
      </x:c>
      <x:c r="F110" s="84" t="str">
        <x:v>Herb</x:v>
      </x:c>
      <x:c r="G110" s="84" t="str">
        <x:v>Sun</x:v>
      </x:c>
      <x:c r="H110" s="84" t="str">
        <x:v>Dry</x:v>
      </x:c>
      <x:c r="I110" s="84" t="str">
        <x:v>callirhoe digitata</x:v>
      </x:c>
    </x:row>
    <x:row r="111">
      <x:c r="A111" s="83" t="str">
        <x:v>BONAP/NAPA Hays workbook</x:v>
      </x:c>
      <x:c r="B111" s="84" t="n">
        <x:v>114</x:v>
      </x:c>
      <x:c r="C111" s="87" t="str">
        <x:v>Callirhoe involucrata</x:v>
      </x:c>
      <x:c r="D111" s="84" t="str">
        <x:v>Winecup, Purple Poppy Mallow</x:v>
      </x:c>
      <x:c r="E111" s="84" t="str">
        <x:v>Perennial</x:v>
      </x:c>
      <x:c r="F111" s="84" t="str">
        <x:v>Herb</x:v>
      </x:c>
      <x:c r="G111" s="84" t="str">
        <x:v>Sun, Part-shade</x:v>
      </x:c>
      <x:c r="H111" s="84" t="str">
        <x:v>Moist, Dry</x:v>
      </x:c>
      <x:c r="I111" s="84" t="str">
        <x:v>callirhoe involucrata</x:v>
      </x:c>
    </x:row>
    <x:row r="112">
      <x:c r="A112" s="83" t="str">
        <x:v>BONAP/NAPA Hays workbook</x:v>
      </x:c>
      <x:c r="B112" s="84" t="n">
        <x:v>115</x:v>
      </x:c>
      <x:c r="C112" s="87" t="str">
        <x:v>Callirhoe leiocarpa</x:v>
      </x:c>
      <x:c r="D112" s="84" t="str">
        <x:v>Tall Poppymallow, Annual Winecup, Tall Poppy-mallow, Tall Poppy Mallow</x:v>
      </x:c>
      <x:c r="E112" s="84" t="str">
        <x:v>Annual</x:v>
      </x:c>
      <x:c r="F112" s="84" t="str">
        <x:v>Herb</x:v>
      </x:c>
      <x:c r="G112" s="84" t="str">
        <x:v>Part-shade</x:v>
      </x:c>
      <x:c r="H112" s="84" t="str">
        <x:v>Moist</x:v>
      </x:c>
      <x:c r="I112" s="84" t="str">
        <x:v>callirhoe leiocarpa</x:v>
      </x:c>
    </x:row>
    <x:row r="113">
      <x:c r="A113" s="83" t="str">
        <x:v>BONAP/NAPA Hays workbook</x:v>
      </x:c>
      <x:c r="B113" s="84" t="n">
        <x:v>116</x:v>
      </x:c>
      <x:c r="C113" s="87" t="str">
        <x:v>Callirhoe pedata</x:v>
      </x:c>
      <x:c r="D113" s="84" t="str">
        <x:v>Palmleaf Poppymallow, Standing Winecup, Finger Poppymallow, Palmleaf Poppy Mallow</x:v>
      </x:c>
      <x:c r="E113" s="84" t="str">
        <x:v>Perennial</x:v>
      </x:c>
      <x:c r="F113" s="84" t="str">
        <x:v>Herb</x:v>
      </x:c>
      <x:c r="G113" s="84" t="str">
        <x:v>Sun, Part-shade</x:v>
      </x:c>
      <x:c r="H113" s="84" t="str">
        <x:v>Moist, Dry</x:v>
      </x:c>
      <x:c r="I113" s="84" t="str">
        <x:v>callirhoe pedata</x:v>
      </x:c>
    </x:row>
    <x:row r="114">
      <x:c r="A114" s="83" t="str">
        <x:v>BONAP/NAPA Hays workbook</x:v>
      </x:c>
      <x:c r="B114" s="84" t="n">
        <x:v>117</x:v>
      </x:c>
      <x:c r="C114" s="87" t="str">
        <x:v>Calylophus berlandieri</x:v>
      </x:c>
      <x:c r="D114" s="84" t="str">
        <x:v>Berlandier's Sundrops , Square-bud Primrose, Sundrops</x:v>
      </x:c>
      <x:c r="E114" s="84" t="str">
        <x:v>Perennial</x:v>
      </x:c>
      <x:c r="F114" s="84" t="str">
        <x:v>Herb, Subshrub</x:v>
      </x:c>
      <x:c r="G114" s="84" t="str">
        <x:v>Sun, Part-shade</x:v>
      </x:c>
      <x:c r="H114" s="84" t="str">
        <x:v>Moist</x:v>
      </x:c>
      <x:c r="I114" s="84" t="str">
        <x:v>calylophus berlandieri</x:v>
      </x:c>
    </x:row>
    <x:row r="115">
      <x:c r="A115" s="83" t="str">
        <x:v>BONAP/NAPA Hays workbook</x:v>
      </x:c>
      <x:c r="B115" s="84" t="n">
        <x:v>118</x:v>
      </x:c>
      <x:c r="C115" s="87" t="str">
        <x:v>Calylophus serrulatus</x:v>
      </x:c>
      <x:c r="D115" s="84" t="str">
        <x:v>Yellow Sundrops, Yellow Evening Primrose, Plains Evening Primrose</x:v>
      </x:c>
      <x:c r="E115" s="84" t="str">
        <x:v>Perennial</x:v>
      </x:c>
      <x:c r="F115" s="84" t="str">
        <x:v>Herb</x:v>
      </x:c>
      <x:c r="G115" s="84" t="str">
        <x:v>Sun</x:v>
      </x:c>
      <x:c r="H115" s="84" t="str">
        <x:v>Dry</x:v>
      </x:c>
      <x:c r="I115" s="84" t="str">
        <x:v>calylophus serrulatus</x:v>
      </x:c>
    </x:row>
    <x:row r="116">
      <x:c r="A116" s="83" t="str">
        <x:v>BONAP/NAPA Hays workbook</x:v>
      </x:c>
      <x:c r="B116" s="84" t="n">
        <x:v>119</x:v>
      </x:c>
      <x:c r="C116" s="87" t="str">
        <x:v>Calyptocarpus vialis</x:v>
      </x:c>
      <x:c r="D116" s="84" t="str">
        <x:v>Horseherb, Straggler Daisy, Hierba Del Caballo, Lawnflower</x:v>
      </x:c>
      <x:c r="E116" s="84" t="str">
        <x:v>Perennial</x:v>
      </x:c>
      <x:c r="F116" s="84" t="str">
        <x:v>Herb</x:v>
      </x:c>
      <x:c r="G116" s="84" t="str">
        <x:v>Sun, Shade, Part-shade</x:v>
      </x:c>
      <x:c r="H116" s="84" t="str">
        <x:v>Moist, Dry</x:v>
      </x:c>
      <x:c r="I116" s="84" t="str">
        <x:v>calyptocarpus vialis</x:v>
      </x:c>
    </x:row>
    <x:row r="117">
      <x:c r="A117" s="83" t="str">
        <x:v>BONAP/NAPA Hays workbook</x:v>
      </x:c>
      <x:c r="B117" s="84" t="n">
        <x:v>120</x:v>
      </x:c>
      <x:c r="C117" s="87" t="str">
        <x:v>Camassia scilloides</x:v>
      </x:c>
      <x:c r="D117" s="84" t="str">
        <x:v>Atlantic Camas, Wild Hyacinth</x:v>
      </x:c>
      <x:c r="E117" s="84" t="str">
        <x:v>Perennial</x:v>
      </x:c>
      <x:c r="F117" s="84" t="str">
        <x:v>Herb</x:v>
      </x:c>
      <x:c r="G117" s="84" t="str">
        <x:v>Shade, Part-shade</x:v>
      </x:c>
      <x:c r="H117" s="84" t="str">
        <x:v>Dry</x:v>
      </x:c>
      <x:c r="I117" s="84" t="str">
        <x:v>camassia scilloides</x:v>
      </x:c>
    </x:row>
    <x:row r="118">
      <x:c r="A118" s="83" t="str">
        <x:v>BONAP/NAPA Hays workbook</x:v>
      </x:c>
      <x:c r="B118" s="84" t="n">
        <x:v>121</x:v>
      </x:c>
      <x:c r="C118" s="87" t="str">
        <x:v>Campsis radicans</x:v>
      </x:c>
      <x:c r="D118" s="84" t="str">
        <x:v>Trumpet Creeper, Trumpet Vine, Common Trumpet Creeper, Cow Vine, Foxglove Vine, Hellvine, Devil's Shoestring</x:v>
      </x:c>
      <x:c r="E118" s="84" t="str">
        <x:v>Perennial</x:v>
      </x:c>
      <x:c r="F118" s="84" t="str">
        <x:v>Vine</x:v>
      </x:c>
      <x:c r="G118" s="84" t="str">
        <x:v>Sun</x:v>
      </x:c>
      <x:c r="H118" s="84" t="str">
        <x:v>Moist, Dry</x:v>
      </x:c>
      <x:c r="I118" s="84" t="str">
        <x:v>campsis radicans</x:v>
      </x:c>
    </x:row>
    <x:row r="119">
      <x:c r="A119" s="83" t="str">
        <x:v>BONAP/NAPA Hays workbook</x:v>
      </x:c>
      <x:c r="B119" s="84" t="n">
        <x:v>122</x:v>
      </x:c>
      <x:c r="C119" s="87" t="str">
        <x:v>Capsicum annuum</x:v>
      </x:c>
      <x:c r="D119" s="84" t="str">
        <x:v>Chile Tepin, Chile Pequin, Chiltepin, Chile Petin, Bird Pepper, Turkey Pepper , Cayenne Pepper</x:v>
      </x:c>
      <x:c r="E119" s="84" t="str">
        <x:v>Annual, Perennial</x:v>
      </x:c>
      <x:c r="F119" s="84" t="str">
        <x:v>Herb</x:v>
      </x:c>
      <x:c r="G119" s="84" t="str">
        <x:v>Sun, Shade, Part-shade</x:v>
      </x:c>
      <x:c r="H119" s="84" t="str">
        <x:v>Moist</x:v>
      </x:c>
      <x:c r="I119" s="84" t="str">
        <x:v>capsicum annuum</x:v>
      </x:c>
    </x:row>
    <x:row r="120">
      <x:c r="A120" s="83" t="str">
        <x:v>BONAP/NAPA Hays workbook</x:v>
      </x:c>
      <x:c r="B120" s="84" t="n">
        <x:v>123</x:v>
      </x:c>
      <x:c r="C120" s="87" t="str">
        <x:v>Carex blanda</x:v>
      </x:c>
      <x:c r="D120" s="84" t="str">
        <x:v>Eastern Woodland Sedge, Creek Sedge, Common Wood Sedge</x:v>
      </x:c>
      <x:c r="E120" s="84" t="str">
        <x:v>Perennial</x:v>
      </x:c>
      <x:c r="F120" s="84" t="str">
        <x:v>Grass/Grass-like</x:v>
      </x:c>
      <x:c r="G120" s="84" t="str">
        <x:v>Sun, Shade, Part-shade</x:v>
      </x:c>
      <x:c r="H120" s="84" t="str">
        <x:v>Moist, Dry</x:v>
      </x:c>
      <x:c r="I120" s="84" t="str">
        <x:v>carex blanda</x:v>
      </x:c>
    </x:row>
    <x:row r="121">
      <x:c r="A121" s="83" t="str">
        <x:v>BONAP/NAPA Hays workbook</x:v>
      </x:c>
      <x:c r="B121" s="84" t="n">
        <x:v>124</x:v>
      </x:c>
      <x:c r="C121" s="87" t="str">
        <x:v>Carex crus-corvi</x:v>
      </x:c>
      <x:c r="D121" s="84" t="str">
        <x:v>Ravenfoot Sedge</x:v>
      </x:c>
      <x:c r="E121" s="84" t="str">
        <x:v>Perennial</x:v>
      </x:c>
      <x:c r="F121" s="84" t="str">
        <x:v>Grass/Grass-like</x:v>
      </x:c>
      <x:c r="G121" s="84" t="str"/>
      <x:c r="H121" s="84" t="str"/>
      <x:c r="I121" s="84" t="str">
        <x:v>carex crus-corvi</x:v>
      </x:c>
    </x:row>
    <x:row r="122">
      <x:c r="A122" s="83" t="str">
        <x:v>BONAP/NAPA Hays workbook</x:v>
      </x:c>
      <x:c r="B122" s="84" t="n">
        <x:v>125</x:v>
      </x:c>
      <x:c r="C122" s="87" t="str">
        <x:v>Carex edwardsiana</x:v>
      </x:c>
      <x:c r="D122" s="84" t="str">
        <x:v>Edwards Plateau Sedge</x:v>
      </x:c>
      <x:c r="E122" s="84" t="str">
        <x:v>Perennial</x:v>
      </x:c>
      <x:c r="F122" s="84" t="str">
        <x:v>Grass/Grass-like</x:v>
      </x:c>
      <x:c r="G122" s="84" t="str"/>
      <x:c r="H122" s="84" t="str"/>
      <x:c r="I122" s="84" t="str">
        <x:v>carex edwardsiana</x:v>
      </x:c>
    </x:row>
    <x:row r="123">
      <x:c r="A123" s="83" t="str">
        <x:v>BONAP/NAPA Hays workbook</x:v>
      </x:c>
      <x:c r="B123" s="84" t="n">
        <x:v>126</x:v>
      </x:c>
      <x:c r="C123" s="87" t="str">
        <x:v>Carex emoryi</x:v>
      </x:c>
      <x:c r="D123" s="84" t="str">
        <x:v>Emory's Sedge, Emory Sedge</x:v>
      </x:c>
      <x:c r="E123" s="84" t="str">
        <x:v>Perennial</x:v>
      </x:c>
      <x:c r="F123" s="84" t="str">
        <x:v>Grass/Grass-like</x:v>
      </x:c>
      <x:c r="G123" s="84" t="str">
        <x:v>Sun, Part-shade</x:v>
      </x:c>
      <x:c r="H123" s="84" t="str">
        <x:v>Wet</x:v>
      </x:c>
      <x:c r="I123" s="84" t="str">
        <x:v>carex emoryi</x:v>
      </x:c>
    </x:row>
    <x:row r="124">
      <x:c r="A124" s="83" t="str">
        <x:v>BONAP/NAPA Hays workbook</x:v>
      </x:c>
      <x:c r="B124" s="84" t="n">
        <x:v>127</x:v>
      </x:c>
      <x:c r="C124" s="87" t="str">
        <x:v>Carex microdonta</x:v>
      </x:c>
      <x:c r="D124" s="84" t="str">
        <x:v>Littletooth Sedge</x:v>
      </x:c>
      <x:c r="E124" s="84" t="str">
        <x:v>Perennial</x:v>
      </x:c>
      <x:c r="F124" s="84" t="str">
        <x:v>Grass/Grass-like</x:v>
      </x:c>
      <x:c r="G124" s="84" t="str"/>
      <x:c r="H124" s="84" t="str"/>
      <x:c r="I124" s="84" t="str">
        <x:v>carex microdonta</x:v>
      </x:c>
    </x:row>
    <x:row r="125">
      <x:c r="A125" s="83" t="str">
        <x:v>BONAP/NAPA Hays workbook</x:v>
      </x:c>
      <x:c r="B125" s="84" t="n">
        <x:v>128</x:v>
      </x:c>
      <x:c r="C125" s="87" t="str">
        <x:v>Carex perdentata</x:v>
      </x:c>
      <x:c r="D125" s="84" t="str">
        <x:v>Sand Sedge, Meadow Sedge</x:v>
      </x:c>
      <x:c r="E125" s="84" t="str">
        <x:v>Perennial</x:v>
      </x:c>
      <x:c r="F125" s="84" t="str">
        <x:v>Grass/Grass-like</x:v>
      </x:c>
      <x:c r="G125" s="84" t="str">
        <x:v>Sun</x:v>
      </x:c>
      <x:c r="H125" s="84" t="str">
        <x:v>Moist</x:v>
      </x:c>
      <x:c r="I125" s="84" t="str">
        <x:v>carex perdentata</x:v>
      </x:c>
    </x:row>
    <x:row r="126">
      <x:c r="A126" s="83" t="str">
        <x:v>BONAP/NAPA Hays workbook</x:v>
      </x:c>
      <x:c r="B126" s="84" t="n">
        <x:v>129</x:v>
      </x:c>
      <x:c r="C126" s="87" t="str">
        <x:v>Carex planostachys</x:v>
      </x:c>
      <x:c r="D126" s="84" t="str">
        <x:v>Cedar Sedge</x:v>
      </x:c>
      <x:c r="E126" s="84" t="str">
        <x:v>Perennial</x:v>
      </x:c>
      <x:c r="F126" s="84" t="str">
        <x:v>Grass/Grass-like</x:v>
      </x:c>
      <x:c r="G126" s="84" t="str">
        <x:v>Part-shade</x:v>
      </x:c>
      <x:c r="H126" s="84" t="str">
        <x:v>Dry</x:v>
      </x:c>
      <x:c r="I126" s="84" t="str">
        <x:v>carex planostachys</x:v>
      </x:c>
    </x:row>
    <x:row r="127">
      <x:c r="A127" s="83" t="str">
        <x:v>BONAP/NAPA Hays workbook</x:v>
      </x:c>
      <x:c r="B127" s="84" t="n">
        <x:v>130</x:v>
      </x:c>
      <x:c r="C127" s="87" t="str">
        <x:v>Carphochaete bigelovii</x:v>
      </x:c>
      <x:c r="D127" s="84" t="str">
        <x:v>Bigelow's Bristlehead, Bigelow Bush</x:v>
      </x:c>
      <x:c r="E127" s="84" t="str">
        <x:v>Perennial</x:v>
      </x:c>
      <x:c r="F127" s="84" t="str">
        <x:v>Subshrub</x:v>
      </x:c>
      <x:c r="G127" s="84" t="str">
        <x:v>Sun, Part-shade</x:v>
      </x:c>
      <x:c r="H127" s="84" t="str"/>
      <x:c r="I127" s="84" t="str">
        <x:v>carphochaete bigelovii</x:v>
      </x:c>
    </x:row>
    <x:row r="128">
      <x:c r="A128" s="83" t="str">
        <x:v>BONAP/NAPA Hays workbook</x:v>
      </x:c>
      <x:c r="B128" s="84" t="n">
        <x:v>131</x:v>
      </x:c>
      <x:c r="C128" s="87" t="str">
        <x:v>Carya illinoinensis</x:v>
      </x:c>
      <x:c r="D128" s="84" t="str">
        <x:v>Pecan</x:v>
      </x:c>
      <x:c r="E128" s="84" t="str">
        <x:v>Perennial</x:v>
      </x:c>
      <x:c r="F128" s="84" t="str">
        <x:v>Tree</x:v>
      </x:c>
      <x:c r="G128" s="84" t="str">
        <x:v>Sun</x:v>
      </x:c>
      <x:c r="H128" s="84" t="str">
        <x:v>Moist</x:v>
      </x:c>
      <x:c r="I128" s="84" t="str">
        <x:v>carya illinoinensis</x:v>
      </x:c>
    </x:row>
    <x:row r="129">
      <x:c r="A129" s="83" t="str">
        <x:v>BONAP/NAPA Hays workbook</x:v>
      </x:c>
      <x:c r="B129" s="84" t="n">
        <x:v>132</x:v>
      </x:c>
      <x:c r="C129" s="87" t="str">
        <x:v>Castilleja indivisa</x:v>
      </x:c>
      <x:c r="D129" s="84" t="str">
        <x:v>Texas Indian Paintbrush, Entireleaf Indian Paintbrush, Texas Paintbrush, Indian Paintbrush, Scarlet Paintbrush</x:v>
      </x:c>
      <x:c r="E129" s="84" t="str">
        <x:v>Annual</x:v>
      </x:c>
      <x:c r="F129" s="84" t="str">
        <x:v>Herb</x:v>
      </x:c>
      <x:c r="G129" s="84" t="str">
        <x:v>Sun</x:v>
      </x:c>
      <x:c r="H129" s="84" t="str">
        <x:v>Dry</x:v>
      </x:c>
      <x:c r="I129" s="84" t="str">
        <x:v>castilleja indivisa</x:v>
      </x:c>
    </x:row>
    <x:row r="130">
      <x:c r="A130" s="83" t="str">
        <x:v>BONAP/NAPA Hays workbook</x:v>
      </x:c>
      <x:c r="B130" s="84" t="n">
        <x:v>133</x:v>
      </x:c>
      <x:c r="C130" s="87" t="str">
        <x:v>Castilleja purpurea var. lindheimeri</x:v>
      </x:c>
      <x:c r="D130" s="84" t="str">
        <x:v>Lindheimer's Paintbrush, Lindheimer's Prairie Paintbrush, Lindheimer's Indian Paintbrush, Prairie Paintbrush</x:v>
      </x:c>
      <x:c r="E130" s="84" t="str">
        <x:v>Perennial</x:v>
      </x:c>
      <x:c r="F130" s="84" t="str">
        <x:v>Herb</x:v>
      </x:c>
      <x:c r="G130" s="84" t="str">
        <x:v>Sun</x:v>
      </x:c>
      <x:c r="H130" s="84" t="str">
        <x:v>Dry</x:v>
      </x:c>
      <x:c r="I130" s="84" t="str">
        <x:v>castilleja purpurea var. lindheimeri</x:v>
      </x:c>
    </x:row>
    <x:row r="131">
      <x:c r="A131" s="83" t="str">
        <x:v>BONAP/NAPA Hays workbook</x:v>
      </x:c>
      <x:c r="B131" s="84" t="n">
        <x:v>134</x:v>
      </x:c>
      <x:c r="C131" s="87" t="str">
        <x:v>Catalpa speciosa</x:v>
      </x:c>
      <x:c r="D131" s="84" t="str">
        <x:v>Northern Catalpa, Catalpa Tree, Cigar Tree, Indian Bean</x:v>
      </x:c>
      <x:c r="E131" s="84" t="str">
        <x:v>Perennial</x:v>
      </x:c>
      <x:c r="F131" s="84" t="str">
        <x:v>Tree</x:v>
      </x:c>
      <x:c r="G131" s="84" t="str">
        <x:v>Part-shade</x:v>
      </x:c>
      <x:c r="H131" s="84" t="str">
        <x:v>Moist</x:v>
      </x:c>
      <x:c r="I131" s="84" t="str">
        <x:v>catalpa speciosa</x:v>
      </x:c>
    </x:row>
    <x:row r="132">
      <x:c r="A132" s="83" t="str">
        <x:v>BONAP/NAPA Hays workbook</x:v>
      </x:c>
      <x:c r="B132" s="84" t="n">
        <x:v>135</x:v>
      </x:c>
      <x:c r="C132" s="87" t="str">
        <x:v>Ceanothus herbaceus</x:v>
      </x:c>
      <x:c r="D132" s="84" t="str">
        <x:v>Prairie Redroot, Smaller Redroot, Small Redroot, Inland Ceanothus, Fuzzy Ceanothus, Jersey Tea, Redroot</x:v>
      </x:c>
      <x:c r="E132" s="84" t="str">
        <x:v>Perennial</x:v>
      </x:c>
      <x:c r="F132" s="84" t="str">
        <x:v>Shrub</x:v>
      </x:c>
      <x:c r="G132" s="84" t="str">
        <x:v>Sun</x:v>
      </x:c>
      <x:c r="H132" s="84" t="str">
        <x:v>Dry</x:v>
      </x:c>
      <x:c r="I132" s="84" t="str">
        <x:v>ceanothus herbaceus</x:v>
      </x:c>
    </x:row>
    <x:row r="133">
      <x:c r="A133" s="83" t="str">
        <x:v>BONAP/NAPA Hays workbook</x:v>
      </x:c>
      <x:c r="B133" s="84" t="n">
        <x:v>136</x:v>
      </x:c>
      <x:c r="C133" s="87" t="str">
        <x:v>Celosia nitida</x:v>
      </x:c>
      <x:c r="D133" s="84" t="str">
        <x:v>West Indian Cock's Comb</x:v>
      </x:c>
      <x:c r="E133" s="84" t="str">
        <x:v>Perennial</x:v>
      </x:c>
      <x:c r="F133" s="84" t="str">
        <x:v>Herb</x:v>
      </x:c>
      <x:c r="G133" s="84" t="str">
        <x:v>Sun</x:v>
      </x:c>
      <x:c r="H133" s="84" t="str">
        <x:v>Moist</x:v>
      </x:c>
      <x:c r="I133" s="84" t="str">
        <x:v>celosia nitida</x:v>
      </x:c>
    </x:row>
    <x:row r="134">
      <x:c r="A134" s="83" t="str">
        <x:v>BONAP/NAPA Hays workbook</x:v>
      </x:c>
      <x:c r="B134" s="84" t="n">
        <x:v>137</x:v>
      </x:c>
      <x:c r="C134" s="87" t="str">
        <x:v>Celtis ehrenbergiana</x:v>
      </x:c>
      <x:c r="D134" s="84" t="str">
        <x:v>Desert Hackberry, Spiny Hackberry, Shiny Hackberry, Granjeno, Huasteco</x:v>
      </x:c>
      <x:c r="E134" s="84" t="str">
        <x:v>Perennial</x:v>
      </x:c>
      <x:c r="F134" s="84" t="str">
        <x:v>Shrub</x:v>
      </x:c>
      <x:c r="G134" s="84" t="str">
        <x:v>Sun, Part-shade</x:v>
      </x:c>
      <x:c r="H134" s="84" t="str">
        <x:v>Dry</x:v>
      </x:c>
      <x:c r="I134" s="84" t="str">
        <x:v>celtis ehrenbergiana</x:v>
      </x:c>
    </x:row>
    <x:row r="135">
      <x:c r="A135" s="83" t="str">
        <x:v>BONAP/NAPA Hays workbook</x:v>
      </x:c>
      <x:c r="B135" s="84" t="n">
        <x:v>138</x:v>
      </x:c>
      <x:c r="C135" s="87" t="str">
        <x:v>Celtis laevigata var. laevigata</x:v>
      </x:c>
      <x:c r="D135" s="84" t="str">
        <x:v>Sugarberry, Palo Blanco</x:v>
      </x:c>
      <x:c r="E135" s="84" t="str">
        <x:v>Perennial</x:v>
      </x:c>
      <x:c r="F135" s="84" t="str">
        <x:v>Shrub, Tree</x:v>
      </x:c>
      <x:c r="G135" s="84" t="str"/>
      <x:c r="H135" s="84" t="str"/>
      <x:c r="I135" s="84" t="str">
        <x:v>celtis laevigata var. laevigata</x:v>
      </x:c>
    </x:row>
    <x:row r="136">
      <x:c r="A136" s="83" t="str">
        <x:v>BONAP/NAPA Hays workbook</x:v>
      </x:c>
      <x:c r="B136" s="84" t="n">
        <x:v>139</x:v>
      </x:c>
      <x:c r="C136" s="87" t="str">
        <x:v>Celtis laevigata var. reticulata</x:v>
      </x:c>
      <x:c r="D136" s="84" t="str">
        <x:v>Netleaf Hackberry, Netleaf Sugar Hackberry, Western Hackberry, Sugar Hackberry, Texas Sugarberry, Palo Blanco, Acibuche</x:v>
      </x:c>
      <x:c r="E136" s="84" t="str">
        <x:v>Perennial</x:v>
      </x:c>
      <x:c r="F136" s="84" t="str">
        <x:v>Tree</x:v>
      </x:c>
      <x:c r="G136" s="84" t="str">
        <x:v>Part-shade</x:v>
      </x:c>
      <x:c r="H136" s="84" t="str"/>
      <x:c r="I136" s="84" t="str">
        <x:v>celtis laevigata var. reticulata</x:v>
      </x:c>
    </x:row>
    <x:row r="137">
      <x:c r="A137" s="83" t="str">
        <x:v>BONAP/NAPA Hays workbook</x:v>
      </x:c>
      <x:c r="B137" s="84" t="n">
        <x:v>140</x:v>
      </x:c>
      <x:c r="C137" s="87" t="str">
        <x:v>Celtis lindheimeri</x:v>
      </x:c>
      <x:c r="D137" s="84" t="str">
        <x:v>Lindheimer's Hackberry, Lindheimer Hackberry</x:v>
      </x:c>
      <x:c r="E137" s="84" t="str">
        <x:v>Perennial</x:v>
      </x:c>
      <x:c r="F137" s="84" t="str">
        <x:v>Tree</x:v>
      </x:c>
      <x:c r="G137" s="84" t="str">
        <x:v>Sun</x:v>
      </x:c>
      <x:c r="H137" s="84" t="str"/>
      <x:c r="I137" s="84" t="str">
        <x:v>celtis lindheimeri</x:v>
      </x:c>
    </x:row>
    <x:row r="138">
      <x:c r="A138" s="83" t="str">
        <x:v>BONAP/NAPA Hays workbook</x:v>
      </x:c>
      <x:c r="B138" s="84" t="n">
        <x:v>141</x:v>
      </x:c>
      <x:c r="C138" s="87" t="str">
        <x:v>Cenchrus spinifex</x:v>
      </x:c>
      <x:c r="D138" s="84" t="str">
        <x:v>Grass Bur, Coastal Sandbur, Field Sandspur, Southern Sandbur, Spiny Burrgrass</x:v>
      </x:c>
      <x:c r="E138" s="84" t="str">
        <x:v>Annual</x:v>
      </x:c>
      <x:c r="F138" s="84" t="str">
        <x:v>Grass/Grass-like</x:v>
      </x:c>
      <x:c r="G138" s="84" t="str">
        <x:v>Sun, Part-shade</x:v>
      </x:c>
      <x:c r="H138" s="84" t="str">
        <x:v>Moist, Dry</x:v>
      </x:c>
      <x:c r="I138" s="84" t="str">
        <x:v>cenchrus spinifex</x:v>
      </x:c>
    </x:row>
    <x:row r="139">
      <x:c r="A139" s="83" t="str">
        <x:v>BONAP/NAPA Hays workbook</x:v>
      </x:c>
      <x:c r="B139" s="84" t="n">
        <x:v>142</x:v>
      </x:c>
      <x:c r="C139" s="87" t="str">
        <x:v>Centaurium beyrichii</x:v>
      </x:c>
      <x:c r="D139" s="84" t="str">
        <x:v>Mountain Pink, Mountain Centaury, Quinineweed, Rock Centaury, Meadow Pink, Catchfly</x:v>
      </x:c>
      <x:c r="E139" s="84" t="str">
        <x:v>Annual</x:v>
      </x:c>
      <x:c r="F139" s="84" t="str">
        <x:v>Herb</x:v>
      </x:c>
      <x:c r="G139" s="84" t="str">
        <x:v>Part-shade</x:v>
      </x:c>
      <x:c r="H139" s="84" t="str">
        <x:v>Dry</x:v>
      </x:c>
      <x:c r="I139" s="84" t="str">
        <x:v>centaurium beyrichii</x:v>
      </x:c>
    </x:row>
    <x:row r="140">
      <x:c r="A140" s="83" t="str">
        <x:v>BONAP/NAPA Hays workbook</x:v>
      </x:c>
      <x:c r="B140" s="84" t="n">
        <x:v>143</x:v>
      </x:c>
      <x:c r="C140" s="87" t="str">
        <x:v>Centaurium calycosum</x:v>
      </x:c>
      <x:c r="D140" s="84" t="str">
        <x:v>Buckley Centaury, Rosita, Shortflower Centaury</x:v>
      </x:c>
      <x:c r="E140" s="84" t="str">
        <x:v>Annual</x:v>
      </x:c>
      <x:c r="F140" s="84" t="str">
        <x:v>Herb</x:v>
      </x:c>
      <x:c r="G140" s="84" t="str"/>
      <x:c r="H140" s="84" t="str"/>
      <x:c r="I140" s="84" t="str">
        <x:v>centaurium calycosum</x:v>
      </x:c>
    </x:row>
    <x:row r="141">
      <x:c r="A141" s="83" t="str">
        <x:v>BONAP/NAPA Hays workbook</x:v>
      </x:c>
      <x:c r="B141" s="84" t="n">
        <x:v>144</x:v>
      </x:c>
      <x:c r="C141" s="87" t="str">
        <x:v>Centaurium texense</x:v>
      </x:c>
      <x:c r="D141" s="84" t="str">
        <x:v>Lady Bird's Centaury, Texas Centaury</x:v>
      </x:c>
      <x:c r="E141" s="84" t="str">
        <x:v>Annual</x:v>
      </x:c>
      <x:c r="F141" s="84" t="str">
        <x:v>Herb</x:v>
      </x:c>
      <x:c r="G141" s="84" t="str">
        <x:v>Sun, Part-shade</x:v>
      </x:c>
      <x:c r="H141" s="84" t="str"/>
      <x:c r="I141" s="84" t="str">
        <x:v>centaurium texense</x:v>
      </x:c>
    </x:row>
    <x:row r="142">
      <x:c r="A142" s="83" t="str">
        <x:v>BONAP/NAPA Hays workbook</x:v>
      </x:c>
      <x:c r="B142" s="84" t="n">
        <x:v>145</x:v>
      </x:c>
      <x:c r="C142" s="87" t="str">
        <x:v>Centella erecta</x:v>
      </x:c>
      <x:c r="D142" s="84" t="str">
        <x:v>Erect Centella, Erect Spadeleaf</x:v>
      </x:c>
      <x:c r="E142" s="84" t="str">
        <x:v>Perennial</x:v>
      </x:c>
      <x:c r="F142" s="84" t="str">
        <x:v>Herb</x:v>
      </x:c>
      <x:c r="G142" s="84" t="str">
        <x:v>Sun</x:v>
      </x:c>
      <x:c r="H142" s="84" t="str">
        <x:v>Moist</x:v>
      </x:c>
      <x:c r="I142" s="84" t="str">
        <x:v>centella erecta</x:v>
      </x:c>
    </x:row>
    <x:row r="143">
      <x:c r="A143" s="83" t="str">
        <x:v>BONAP/NAPA Hays workbook</x:v>
      </x:c>
      <x:c r="B143" s="84" t="n">
        <x:v>146</x:v>
      </x:c>
      <x:c r="C143" s="87" t="str">
        <x:v>Cephalanthus occidentalis</x:v>
      </x:c>
      <x:c r="D143" s="84" t="str">
        <x:v>Common Buttonbush, Buttonbush, Button Willow, Honey Bells, Honeybells, Honey Balls, Honeyballs, Button-bush</x:v>
      </x:c>
      <x:c r="E143" s="84" t="str">
        <x:v>Perennial</x:v>
      </x:c>
      <x:c r="F143" s="84" t="str">
        <x:v>Shrub</x:v>
      </x:c>
      <x:c r="G143" s="84" t="str">
        <x:v>Shade, Part-shade</x:v>
      </x:c>
      <x:c r="H143" s="84" t="str">
        <x:v>Wet, Moist</x:v>
      </x:c>
      <x:c r="I143" s="84" t="str">
        <x:v>cephalanthus occidentalis</x:v>
      </x:c>
    </x:row>
    <x:row r="144">
      <x:c r="A144" s="83" t="str">
        <x:v>BONAP/NAPA Hays workbook</x:v>
      </x:c>
      <x:c r="B144" s="84" t="n">
        <x:v>147</x:v>
      </x:c>
      <x:c r="C144" s="87" t="str">
        <x:v>Cerastium brachypodum</x:v>
      </x:c>
      <x:c r="D144" s="84" t="str">
        <x:v>Shortstalk Chickweed, Short-stalk Chickweed</x:v>
      </x:c>
      <x:c r="E144" s="84" t="str">
        <x:v>Annual, Perennial</x:v>
      </x:c>
      <x:c r="F144" s="84" t="str">
        <x:v>Herb</x:v>
      </x:c>
      <x:c r="G144" s="84" t="str"/>
      <x:c r="H144" s="84" t="str"/>
      <x:c r="I144" s="84" t="str">
        <x:v>cerastium brachypodum</x:v>
      </x:c>
    </x:row>
    <x:row r="145">
      <x:c r="A145" s="83" t="str">
        <x:v>BONAP/NAPA Hays workbook</x:v>
      </x:c>
      <x:c r="B145" s="84" t="n">
        <x:v>148</x:v>
      </x:c>
      <x:c r="C145" s="87" t="str">
        <x:v>Ceratophyllum demersum</x:v>
      </x:c>
      <x:c r="D145" s="84" t="str">
        <x:v>Coon's Tail</x:v>
      </x:c>
      <x:c r="E145" s="84" t="str">
        <x:v>Perennial</x:v>
      </x:c>
      <x:c r="F145" s="84" t="str">
        <x:v>Herb</x:v>
      </x:c>
      <x:c r="G145" s="84" t="str">
        <x:v>Part-shade</x:v>
      </x:c>
      <x:c r="H145" s="84" t="str"/>
      <x:c r="I145" s="84" t="str">
        <x:v>ceratophyllum demersum</x:v>
      </x:c>
    </x:row>
    <x:row r="146">
      <x:c r="A146" s="83" t="str">
        <x:v>BONAP/NAPA Hays workbook</x:v>
      </x:c>
      <x:c r="B146" s="84" t="n">
        <x:v>149</x:v>
      </x:c>
      <x:c r="C146" s="87" t="str">
        <x:v>Cercis canadensis var. texensis</x:v>
      </x:c>
      <x:c r="D146" s="84" t="str">
        <x:v>Texas Redbud</x:v>
      </x:c>
      <x:c r="E146" s="84" t="str">
        <x:v>Perennial</x:v>
      </x:c>
      <x:c r="F146" s="84" t="str">
        <x:v>Tree</x:v>
      </x:c>
      <x:c r="G146" s="84" t="str">
        <x:v>Sun, Part-shade</x:v>
      </x:c>
      <x:c r="H146" s="84" t="str">
        <x:v>Dry</x:v>
      </x:c>
      <x:c r="I146" s="84" t="str">
        <x:v>cercis canadensis var. texensis</x:v>
      </x:c>
    </x:row>
    <x:row r="147">
      <x:c r="A147" s="83" t="str">
        <x:v>BONAP/NAPA Hays workbook</x:v>
      </x:c>
      <x:c r="B147" s="84" t="n">
        <x:v>150</x:v>
      </x:c>
      <x:c r="C147" s="87" t="str">
        <x:v>Chaerophyllum tainturieri</x:v>
      </x:c>
      <x:c r="D147" s="84" t="str">
        <x:v>Hairyfruit Chervil, Southern Chervil</x:v>
      </x:c>
      <x:c r="E147" s="84" t="str">
        <x:v>Annual</x:v>
      </x:c>
      <x:c r="F147" s="84" t="str">
        <x:v>Herb</x:v>
      </x:c>
      <x:c r="G147" s="84" t="str"/>
      <x:c r="H147" s="84" t="str"/>
      <x:c r="I147" s="84" t="str">
        <x:v>chaerophyllum tainturieri</x:v>
      </x:c>
    </x:row>
    <x:row r="148">
      <x:c r="A148" s="83" t="str">
        <x:v>BONAP/NAPA Hays workbook</x:v>
      </x:c>
      <x:c r="B148" s="84" t="n">
        <x:v>151</x:v>
      </x:c>
      <x:c r="C148" s="87" t="str">
        <x:v>Chaetopappa bellidifolia</x:v>
      </x:c>
      <x:c r="D148" s="84" t="str">
        <x:v>Whiteray Leastdaisy, Dwarf White Aster, Edwards Lazy Daisy</x:v>
      </x:c>
      <x:c r="E148" s="84" t="str">
        <x:v>Annual</x:v>
      </x:c>
      <x:c r="F148" s="84" t="str">
        <x:v>Herb</x:v>
      </x:c>
      <x:c r="G148" s="84" t="str">
        <x:v>Sun</x:v>
      </x:c>
      <x:c r="H148" s="84" t="str"/>
      <x:c r="I148" s="84" t="str">
        <x:v>chaetopappa bellidifolia</x:v>
      </x:c>
    </x:row>
    <x:row r="149">
      <x:c r="A149" s="83" t="str">
        <x:v>BONAP/NAPA Hays workbook</x:v>
      </x:c>
      <x:c r="B149" s="84" t="n">
        <x:v>152</x:v>
      </x:c>
      <x:c r="C149" s="87" t="str">
        <x:v>Chaetopappa effusa</x:v>
      </x:c>
      <x:c r="D149" s="84" t="str">
        <x:v>Spreading Leastdaisy</x:v>
      </x:c>
      <x:c r="E149" s="84" t="str">
        <x:v>Perennial</x:v>
      </x:c>
      <x:c r="F149" s="84" t="str">
        <x:v>Subshrub</x:v>
      </x:c>
      <x:c r="G149" s="84" t="str"/>
      <x:c r="H149" s="84" t="str"/>
      <x:c r="I149" s="84" t="str">
        <x:v>chaetopappa effusa</x:v>
      </x:c>
    </x:row>
    <x:row r="150">
      <x:c r="A150" s="83" t="str">
        <x:v>BONAP/NAPA Hays workbook</x:v>
      </x:c>
      <x:c r="B150" s="84" t="n">
        <x:v>153</x:v>
      </x:c>
      <x:c r="C150" s="87" t="str">
        <x:v>Chamaecrista fasciculata</x:v>
      </x:c>
      <x:c r="D150" s="84" t="str">
        <x:v>Partridge Pea, Sleepingplant, Sensitive Plant</x:v>
      </x:c>
      <x:c r="E150" s="84" t="str">
        <x:v>Annual</x:v>
      </x:c>
      <x:c r="F150" s="84" t="str">
        <x:v>Herb</x:v>
      </x:c>
      <x:c r="G150" s="84" t="str">
        <x:v>Sun, Part-shade</x:v>
      </x:c>
      <x:c r="H150" s="84" t="str">
        <x:v>Moist, Dry</x:v>
      </x:c>
      <x:c r="I150" s="84" t="str">
        <x:v>chamaecrista fasciculata</x:v>
      </x:c>
    </x:row>
    <x:row r="151">
      <x:c r="A151" s="83" t="str">
        <x:v>BONAP/NAPA Hays workbook</x:v>
      </x:c>
      <x:c r="B151" s="84" t="n">
        <x:v>154</x:v>
      </x:c>
      <x:c r="C151" s="87" t="str">
        <x:v>Chamaesaracha coniodes</x:v>
      </x:c>
      <x:c r="D151" s="84" t="str">
        <x:v>Gray Five Eyes, False Nightshade, Ground Saracha, Prostrate Ground-cherry</x:v>
      </x:c>
      <x:c r="E151" s="84" t="str">
        <x:v>Perennial</x:v>
      </x:c>
      <x:c r="F151" s="84" t="str">
        <x:v>Herb</x:v>
      </x:c>
      <x:c r="G151" s="84" t="str">
        <x:v>Part-shade</x:v>
      </x:c>
      <x:c r="H151" s="84" t="str"/>
      <x:c r="I151" s="84" t="str">
        <x:v>chamaesaracha coniodes</x:v>
      </x:c>
    </x:row>
    <x:row r="152">
      <x:c r="A152" s="83" t="str">
        <x:v>BONAP/NAPA Hays workbook</x:v>
      </x:c>
      <x:c r="B152" s="84" t="n">
        <x:v>155</x:v>
      </x:c>
      <x:c r="C152" s="87" t="str">
        <x:v>Chamaesaracha coronopus</x:v>
      </x:c>
      <x:c r="D152" s="84" t="str">
        <x:v>Greenleaf Five Eyes, Green False Nightshade</x:v>
      </x:c>
      <x:c r="E152" s="84" t="str">
        <x:v>Perennial</x:v>
      </x:c>
      <x:c r="F152" s="84" t="str">
        <x:v>Herb</x:v>
      </x:c>
      <x:c r="G152" s="84" t="str"/>
      <x:c r="H152" s="84" t="str"/>
      <x:c r="I152" s="84" t="str">
        <x:v>chamaesaracha coronopus</x:v>
      </x:c>
    </x:row>
    <x:row r="153">
      <x:c r="A153" s="83" t="str">
        <x:v>BONAP/NAPA Hays workbook</x:v>
      </x:c>
      <x:c r="B153" s="84" t="n">
        <x:v>156</x:v>
      </x:c>
      <x:c r="C153" s="87" t="str">
        <x:v>Chamaesaracha edwardsiana</x:v>
      </x:c>
      <x:c r="D153" s="84" t="str">
        <x:v>Edwards Plateau Five Eyes</x:v>
      </x:c>
      <x:c r="E153" s="84" t="str">
        <x:v>Perennial</x:v>
      </x:c>
      <x:c r="F153" s="84" t="str">
        <x:v>Herb</x:v>
      </x:c>
      <x:c r="G153" s="84" t="str">
        <x:v>Sun, Part-shade</x:v>
      </x:c>
      <x:c r="H153" s="84" t="str"/>
      <x:c r="I153" s="84" t="str">
        <x:v>chamaesaracha edwardsiana</x:v>
      </x:c>
    </x:row>
    <x:row r="154">
      <x:c r="A154" s="83" t="str">
        <x:v>BONAP/NAPA Hays workbook</x:v>
      </x:c>
      <x:c r="B154" s="84" t="n">
        <x:v>157</x:v>
      </x:c>
      <x:c r="C154" s="87" t="str">
        <x:v>Chamaesyce angusta</x:v>
      </x:c>
      <x:c r="D154" s="84" t="str">
        <x:v>Blackfoot Sandmat, Narrow-leaf Spurge</x:v>
      </x:c>
      <x:c r="E154" s="84" t="str">
        <x:v>Perennial</x:v>
      </x:c>
      <x:c r="F154" s="84" t="str">
        <x:v>Herb</x:v>
      </x:c>
      <x:c r="G154" s="84" t="str"/>
      <x:c r="H154" s="84" t="str"/>
      <x:c r="I154" s="84" t="str">
        <x:v>chamaesyce angusta</x:v>
      </x:c>
    </x:row>
    <x:row r="155">
      <x:c r="A155" s="83" t="str">
        <x:v>BONAP/NAPA Hays workbook</x:v>
      </x:c>
      <x:c r="B155" s="84" t="n">
        <x:v>158</x:v>
      </x:c>
      <x:c r="C155" s="87" t="str">
        <x:v>Chamaesyce fendleri</x:v>
      </x:c>
      <x:c r="D155" s="84" t="str">
        <x:v>Fendler's Sandmat, Fendler's Spurge, Fendler's Carpetweed, Fendler's Euphorb</x:v>
      </x:c>
      <x:c r="E155" s="84" t="str">
        <x:v>Perennial</x:v>
      </x:c>
      <x:c r="F155" s="84" t="str">
        <x:v>Herb</x:v>
      </x:c>
      <x:c r="G155" s="84" t="str"/>
      <x:c r="H155" s="84" t="str"/>
      <x:c r="I155" s="84" t="str">
        <x:v>chamaesyce fendleri</x:v>
      </x:c>
    </x:row>
    <x:row r="156">
      <x:c r="A156" s="83" t="str">
        <x:v>BONAP/NAPA Hays workbook</x:v>
      </x:c>
      <x:c r="B156" s="84" t="n">
        <x:v>159</x:v>
      </x:c>
      <x:c r="C156" s="87" t="str">
        <x:v>Chamaesyce nutans</x:v>
      </x:c>
      <x:c r="D156" s="84" t="str">
        <x:v>Nodding Spurge, Eyebane</x:v>
      </x:c>
      <x:c r="E156" s="84" t="str">
        <x:v>Annual</x:v>
      </x:c>
      <x:c r="F156" s="84" t="str">
        <x:v>Herb</x:v>
      </x:c>
      <x:c r="G156" s="84" t="str">
        <x:v>Sun</x:v>
      </x:c>
      <x:c r="H156" s="84" t="str">
        <x:v>Dry</x:v>
      </x:c>
      <x:c r="I156" s="84" t="str">
        <x:v>chamaesyce nutans</x:v>
      </x:c>
    </x:row>
    <x:row r="157">
      <x:c r="A157" s="83" t="str">
        <x:v>BONAP/NAPA Hays workbook</x:v>
      </x:c>
      <x:c r="B157" s="84" t="n">
        <x:v>160</x:v>
      </x:c>
      <x:c r="C157" s="87" t="str">
        <x:v>Chamaesyce prostrata</x:v>
      </x:c>
      <x:c r="D157" s="84" t="str">
        <x:v>Prostrate Spurge, Prostrate Sandmat, Ground Spurge</x:v>
      </x:c>
      <x:c r="E157" s="84" t="str">
        <x:v>Annual</x:v>
      </x:c>
      <x:c r="F157" s="84" t="str">
        <x:v>Herb</x:v>
      </x:c>
      <x:c r="G157" s="84" t="str">
        <x:v>Sun, Part-shade</x:v>
      </x:c>
      <x:c r="H157" s="84" t="str">
        <x:v>Dry</x:v>
      </x:c>
      <x:c r="I157" s="84" t="str">
        <x:v>chamaesyce prostrata</x:v>
      </x:c>
    </x:row>
    <x:row r="158">
      <x:c r="A158" s="83" t="str">
        <x:v>BONAP/NAPA Hays workbook</x:v>
      </x:c>
      <x:c r="B158" s="84" t="n">
        <x:v>161</x:v>
      </x:c>
      <x:c r="C158" s="87" t="str">
        <x:v>Chamaesyce serpens</x:v>
      </x:c>
      <x:c r="D158" s="84" t="str">
        <x:v>Matted Sandmat, Prostrate Spurge, Creeping Spurge</x:v>
      </x:c>
      <x:c r="E158" s="84" t="str">
        <x:v>Annual</x:v>
      </x:c>
      <x:c r="F158" s="84" t="str">
        <x:v>Herb</x:v>
      </x:c>
      <x:c r="G158" s="84" t="str"/>
      <x:c r="H158" s="84" t="str"/>
      <x:c r="I158" s="84" t="str">
        <x:v>chamaesyce serpens</x:v>
      </x:c>
    </x:row>
    <x:row r="159">
      <x:c r="A159" s="83" t="str">
        <x:v>BONAP/NAPA Hays workbook</x:v>
      </x:c>
      <x:c r="B159" s="84" t="n">
        <x:v>162</x:v>
      </x:c>
      <x:c r="C159" s="87" t="str">
        <x:v>Chamaesyce villifera</x:v>
      </x:c>
      <x:c r="D159" s="84" t="str">
        <x:v>Hairy Sandmat</x:v>
      </x:c>
      <x:c r="E159" s="84" t="str">
        <x:v>Perennial</x:v>
      </x:c>
      <x:c r="F159" s="84" t="str">
        <x:v>Herb</x:v>
      </x:c>
      <x:c r="G159" s="84" t="str"/>
      <x:c r="H159" s="84" t="str"/>
      <x:c r="I159" s="84" t="str">
        <x:v>chamaesyce villifera</x:v>
      </x:c>
    </x:row>
    <x:row r="160">
      <x:c r="A160" s="83" t="str">
        <x:v>BONAP/NAPA Hays workbook</x:v>
      </x:c>
      <x:c r="B160" s="84" t="n">
        <x:v>163</x:v>
      </x:c>
      <x:c r="C160" s="87" t="str">
        <x:v>Chaptalia texana</x:v>
      </x:c>
      <x:c r="D160" s="84" t="str">
        <x:v>Texas Silverpuff, Silverpuff, Nodding Lettuce, Silver Puff</x:v>
      </x:c>
      <x:c r="E160" s="84" t="str">
        <x:v>Perennial</x:v>
      </x:c>
      <x:c r="F160" s="84" t="str">
        <x:v>Herb</x:v>
      </x:c>
      <x:c r="G160" s="84" t="str">
        <x:v>Shade, Part-shade</x:v>
      </x:c>
      <x:c r="H160" s="84" t="str">
        <x:v>Dry</x:v>
      </x:c>
      <x:c r="I160" s="84" t="str">
        <x:v>chaptalia texana</x:v>
      </x:c>
    </x:row>
    <x:row r="161">
      <x:c r="A161" s="83" t="str">
        <x:v>BONAP/NAPA Hays workbook</x:v>
      </x:c>
      <x:c r="B161" s="84" t="n">
        <x:v>164</x:v>
      </x:c>
      <x:c r="C161" s="87" t="str">
        <x:v>Chasmanthium latifolium</x:v>
      </x:c>
      <x:c r="D161" s="84" t="str">
        <x:v>Inland Sea Oats, Indian Wood Oats, Wild Oats, River Oats, Flathead Oats, Upland Oats, Upland Sea Oats</x:v>
      </x:c>
      <x:c r="E161" s="84" t="str">
        <x:v>Perennial</x:v>
      </x:c>
      <x:c r="F161" s="84" t="str">
        <x:v>Grass/Grass-like</x:v>
      </x:c>
      <x:c r="G161" s="84" t="str">
        <x:v>Shade, Part-shade</x:v>
      </x:c>
      <x:c r="H161" s="84" t="str">
        <x:v>Moist</x:v>
      </x:c>
      <x:c r="I161" s="84" t="str">
        <x:v>chasmanthium latifolium</x:v>
      </x:c>
    </x:row>
    <x:row r="162">
      <x:c r="A162" s="83" t="str">
        <x:v>BONAP/NAPA Hays workbook</x:v>
      </x:c>
      <x:c r="B162" s="84" t="n">
        <x:v>165</x:v>
      </x:c>
      <x:c r="C162" s="87" t="str">
        <x:v>Cheilanthes horridula</x:v>
      </x:c>
      <x:c r="D162" s="84" t="str">
        <x:v>Rough Lipfern</x:v>
      </x:c>
      <x:c r="E162" s="84" t="str">
        <x:v>Perennial</x:v>
      </x:c>
      <x:c r="F162" s="84" t="str">
        <x:v>Fern</x:v>
      </x:c>
      <x:c r="G162" s="84" t="str">
        <x:v>Sun</x:v>
      </x:c>
      <x:c r="H162" s="84" t="str">
        <x:v>Dry</x:v>
      </x:c>
      <x:c r="I162" s="84" t="str">
        <x:v>cheilanthes horridula</x:v>
      </x:c>
    </x:row>
    <x:row r="163">
      <x:c r="A163" s="83" t="str">
        <x:v>BONAP/NAPA Hays workbook</x:v>
      </x:c>
      <x:c r="B163" s="84" t="n">
        <x:v>166</x:v>
      </x:c>
      <x:c r="C163" s="87" t="str">
        <x:v>Chloracantha spinosa</x:v>
      </x:c>
      <x:c r="D163" s="84" t="str">
        <x:v>Spiny Chloracantha, Mexican Devil-weed</x:v>
      </x:c>
      <x:c r="E163" s="84" t="str">
        <x:v>Perennial</x:v>
      </x:c>
      <x:c r="F163" s="84" t="str">
        <x:v>Herb</x:v>
      </x:c>
      <x:c r="G163" s="84" t="str"/>
      <x:c r="H163" s="84" t="str"/>
      <x:c r="I163" s="84" t="str">
        <x:v>chloracantha spinosa</x:v>
      </x:c>
    </x:row>
    <x:row r="164">
      <x:c r="A164" s="83" t="str">
        <x:v>BONAP/NAPA Hays workbook</x:v>
      </x:c>
      <x:c r="B164" s="84" t="n">
        <x:v>167</x:v>
      </x:c>
      <x:c r="C164" s="87" t="str">
        <x:v>Chloris andropogonoides</x:v>
      </x:c>
      <x:c r="D164" s="84" t="str">
        <x:v>Slimspike Windmill Grass</x:v>
      </x:c>
      <x:c r="E164" s="84" t="str">
        <x:v>Perennial</x:v>
      </x:c>
      <x:c r="F164" s="84" t="str">
        <x:v>Grass/Grass-like</x:v>
      </x:c>
      <x:c r="G164" s="84" t="str">
        <x:v>Sun</x:v>
      </x:c>
      <x:c r="H164" s="84" t="str">
        <x:v>Moist, Dry</x:v>
      </x:c>
      <x:c r="I164" s="84" t="str">
        <x:v>chloris andropogonoides</x:v>
      </x:c>
    </x:row>
    <x:row r="165">
      <x:c r="A165" s="83" t="str">
        <x:v>BONAP/NAPA Hays workbook</x:v>
      </x:c>
      <x:c r="B165" s="84" t="n">
        <x:v>168</x:v>
      </x:c>
      <x:c r="C165" s="87" t="str">
        <x:v>Chloris cucullata</x:v>
      </x:c>
      <x:c r="D165" s="84" t="str">
        <x:v>Hooded Windmill Grass, Hooded Windmillgrass</x:v>
      </x:c>
      <x:c r="E165" s="84" t="str">
        <x:v>Perennial</x:v>
      </x:c>
      <x:c r="F165" s="84" t="str">
        <x:v>Grass/Grass-like</x:v>
      </x:c>
      <x:c r="G165" s="84" t="str">
        <x:v>Part-shade</x:v>
      </x:c>
      <x:c r="H165" s="84" t="str">
        <x:v>Moist</x:v>
      </x:c>
      <x:c r="I165" s="84" t="str">
        <x:v>chloris cucullata</x:v>
      </x:c>
    </x:row>
    <x:row r="166">
      <x:c r="A166" s="83" t="str">
        <x:v>BONAP/NAPA Hays workbook</x:v>
      </x:c>
      <x:c r="B166" s="84" t="n">
        <x:v>169</x:v>
      </x:c>
      <x:c r="C166" s="87" t="str">
        <x:v>Chloris verticillata</x:v>
      </x:c>
      <x:c r="D166" s="84" t="str">
        <x:v>Tumble Windmill Grass, Windmillgrass</x:v>
      </x:c>
      <x:c r="E166" s="84" t="str">
        <x:v>Perennial</x:v>
      </x:c>
      <x:c r="F166" s="84" t="str">
        <x:v>Grass/Grass-like</x:v>
      </x:c>
      <x:c r="G166" s="84" t="str">
        <x:v>Sun, Part-shade</x:v>
      </x:c>
      <x:c r="H166" s="84" t="str"/>
      <x:c r="I166" s="84" t="str">
        <x:v>chloris verticillata</x:v>
      </x:c>
    </x:row>
    <x:row r="167">
      <x:c r="A167" s="83" t="str">
        <x:v>BONAP/NAPA Hays workbook</x:v>
      </x:c>
      <x:c r="B167" s="84" t="n">
        <x:v>170</x:v>
      </x:c>
      <x:c r="C167" s="87" t="str">
        <x:v>Chloris ×subdolichostachya</x:v>
      </x:c>
      <x:c r="D167" s="84" t="str">
        <x:v>Shortspike Windmillgrass</x:v>
      </x:c>
      <x:c r="E167" s="84" t="str">
        <x:v>Perennial</x:v>
      </x:c>
      <x:c r="F167" s="84" t="str">
        <x:v>Grass/Grass-like</x:v>
      </x:c>
      <x:c r="G167" s="84" t="str">
        <x:v>Sun</x:v>
      </x:c>
      <x:c r="H167" s="84" t="str">
        <x:v>Moist, Dry</x:v>
      </x:c>
      <x:c r="I167" s="84" t="str">
        <x:v>chloris xsubdolichostachya</x:v>
      </x:c>
    </x:row>
    <x:row r="168">
      <x:c r="A168" s="83" t="str">
        <x:v>BONAP/NAPA Hays workbook</x:v>
      </x:c>
      <x:c r="B168" s="84" t="n">
        <x:v>171</x:v>
      </x:c>
      <x:c r="C168" s="87" t="str">
        <x:v>Chrysopsis texana</x:v>
      </x:c>
      <x:c r="D168" s="84" t="str">
        <x:v>Texas Chrysopsis</x:v>
      </x:c>
      <x:c r="E168" s="84" t="str">
        <x:v>Annual</x:v>
      </x:c>
      <x:c r="F168" s="84" t="str">
        <x:v>Herb</x:v>
      </x:c>
      <x:c r="G168" s="84" t="str"/>
      <x:c r="H168" s="84" t="str"/>
      <x:c r="I168" s="84" t="str">
        <x:v>chrysopsis texana</x:v>
      </x:c>
    </x:row>
    <x:row r="169">
      <x:c r="A169" s="83" t="str">
        <x:v>BONAP/NAPA Hays workbook</x:v>
      </x:c>
      <x:c r="B169" s="84" t="n">
        <x:v>172</x:v>
      </x:c>
      <x:c r="C169" s="87" t="str">
        <x:v>Cirsium ochrocentrum</x:v>
      </x:c>
      <x:c r="D169" s="84" t="str">
        <x:v>Yellowspine Thistle</x:v>
      </x:c>
      <x:c r="E169" s="84" t="str">
        <x:v>Biennial</x:v>
      </x:c>
      <x:c r="F169" s="84" t="str">
        <x:v>Herb</x:v>
      </x:c>
      <x:c r="G169" s="84" t="str"/>
      <x:c r="H169" s="84" t="str"/>
      <x:c r="I169" s="84" t="str">
        <x:v>cirsium ochrocentrum</x:v>
      </x:c>
    </x:row>
    <x:row r="170">
      <x:c r="A170" s="83" t="str">
        <x:v>BONAP/NAPA Hays workbook</x:v>
      </x:c>
      <x:c r="B170" s="84" t="n">
        <x:v>173</x:v>
      </x:c>
      <x:c r="C170" s="87" t="str">
        <x:v>Cirsium texanum</x:v>
      </x:c>
      <x:c r="D170" s="84" t="str">
        <x:v>Texas Thistle, Purple Thistle</x:v>
      </x:c>
      <x:c r="E170" s="84" t="str">
        <x:v>Biennial</x:v>
      </x:c>
      <x:c r="F170" s="84" t="str">
        <x:v>Herb</x:v>
      </x:c>
      <x:c r="G170" s="84" t="str">
        <x:v>Sun</x:v>
      </x:c>
      <x:c r="H170" s="84" t="str">
        <x:v>Dry</x:v>
      </x:c>
      <x:c r="I170" s="84" t="str">
        <x:v>cirsium texanum</x:v>
      </x:c>
    </x:row>
    <x:row r="171">
      <x:c r="A171" s="83" t="str">
        <x:v>BONAP/NAPA Hays workbook</x:v>
      </x:c>
      <x:c r="B171" s="84" t="n">
        <x:v>174</x:v>
      </x:c>
      <x:c r="C171" s="87" t="str">
        <x:v>Cissus trifoliata</x:v>
      </x:c>
      <x:c r="D171" s="84" t="str">
        <x:v>Cow-itch Vine, Cow Itch Vine, Sorrelvine, Grape Ivy, Possum Grape, Arizona Grape Ivy</x:v>
      </x:c>
      <x:c r="E171" s="84" t="str">
        <x:v>Perennial</x:v>
      </x:c>
      <x:c r="F171" s="84" t="str">
        <x:v>Vine</x:v>
      </x:c>
      <x:c r="G171" s="84" t="str">
        <x:v>Part-shade</x:v>
      </x:c>
      <x:c r="H171" s="84" t="str"/>
      <x:c r="I171" s="84" t="str">
        <x:v>cissus trifoliata</x:v>
      </x:c>
    </x:row>
    <x:row r="172">
      <x:c r="A172" s="83" t="str">
        <x:v>BONAP/NAPA Hays workbook</x:v>
      </x:c>
      <x:c r="B172" s="84" t="n">
        <x:v>175</x:v>
      </x:c>
      <x:c r="C172" s="87" t="str">
        <x:v>Cladium mariscus ssp. jamaicense</x:v>
      </x:c>
      <x:c r="D172" s="84" t="str">
        <x:v>Jamaica Swamp Sawgrass, Jamaican Saw-grass, Saw-grass</x:v>
      </x:c>
      <x:c r="E172" s="84" t="str">
        <x:v>Perennial</x:v>
      </x:c>
      <x:c r="F172" s="84" t="str">
        <x:v>Grass/Grass-like</x:v>
      </x:c>
      <x:c r="G172" s="84" t="str">
        <x:v>Sun, Part-shade</x:v>
      </x:c>
      <x:c r="H172" s="84" t="str">
        <x:v>Wet, Moist</x:v>
      </x:c>
      <x:c r="I172" s="84" t="str">
        <x:v>cladium mariscus ssp. jamaicense</x:v>
      </x:c>
    </x:row>
    <x:row r="173">
      <x:c r="A173" s="83" t="str">
        <x:v>BONAP/NAPA Hays workbook</x:v>
      </x:c>
      <x:c r="B173" s="84" t="n">
        <x:v>176</x:v>
      </x:c>
      <x:c r="C173" s="87" t="str">
        <x:v>Clematis drummondii</x:v>
      </x:c>
      <x:c r="D173" s="84" t="str">
        <x:v>Old Man's Beard, Drummond's Clematis, Texas Virgin's Bower, Goat's Beard</x:v>
      </x:c>
      <x:c r="E173" s="84" t="str">
        <x:v>Perennial</x:v>
      </x:c>
      <x:c r="F173" s="84" t="str">
        <x:v>Vine</x:v>
      </x:c>
      <x:c r="G173" s="84" t="str">
        <x:v>Sun, Part-shade</x:v>
      </x:c>
      <x:c r="H173" s="84" t="str">
        <x:v>Moist, Dry</x:v>
      </x:c>
      <x:c r="I173" s="84" t="str">
        <x:v>clematis drummondii</x:v>
      </x:c>
    </x:row>
    <x:row r="174">
      <x:c r="A174" s="83" t="str">
        <x:v>BONAP/NAPA Hays workbook</x:v>
      </x:c>
      <x:c r="B174" s="84" t="n">
        <x:v>177</x:v>
      </x:c>
      <x:c r="C174" s="87" t="str">
        <x:v>Clematis reticulata</x:v>
      </x:c>
      <x:c r="D174" s="84" t="str">
        <x:v>Netleaf Leather Flower</x:v>
      </x:c>
      <x:c r="E174" s="84" t="str">
        <x:v>Perennial</x:v>
      </x:c>
      <x:c r="F174" s="84" t="str">
        <x:v>Vine</x:v>
      </x:c>
      <x:c r="G174" s="84" t="str">
        <x:v>Sun, Part-shade</x:v>
      </x:c>
      <x:c r="H174" s="84" t="str"/>
      <x:c r="I174" s="84" t="str">
        <x:v>clematis reticulata</x:v>
      </x:c>
    </x:row>
    <x:row r="175">
      <x:c r="A175" s="83" t="str">
        <x:v>BONAP/NAPA Hays workbook</x:v>
      </x:c>
      <x:c r="B175" s="84" t="n">
        <x:v>178</x:v>
      </x:c>
      <x:c r="C175" s="87" t="str">
        <x:v>Clematis texensis</x:v>
      </x:c>
      <x:c r="D175" s="84" t="str">
        <x:v>Scarlet Clematis, Scarlet Leatherflower, Texas Clematis</x:v>
      </x:c>
      <x:c r="E175" s="84" t="str">
        <x:v>Perennial</x:v>
      </x:c>
      <x:c r="F175" s="84" t="str">
        <x:v>Vine</x:v>
      </x:c>
      <x:c r="G175" s="84" t="str">
        <x:v>Part-shade</x:v>
      </x:c>
      <x:c r="H175" s="84" t="str">
        <x:v>Moist</x:v>
      </x:c>
      <x:c r="I175" s="84" t="str">
        <x:v>clematis texensis</x:v>
      </x:c>
    </x:row>
    <x:row r="176">
      <x:c r="A176" s="83" t="str">
        <x:v>BONAP/NAPA Hays workbook</x:v>
      </x:c>
      <x:c r="B176" s="84" t="n">
        <x:v>179</x:v>
      </x:c>
      <x:c r="C176" s="87" t="str">
        <x:v>Cnidoscolus texanus</x:v>
      </x:c>
      <x:c r="D176" s="84" t="str">
        <x:v>Texas Bullnettle, Bull Nettle, Tread-softly, Spurge Nettle</x:v>
      </x:c>
      <x:c r="E176" s="84" t="str">
        <x:v>Perennial</x:v>
      </x:c>
      <x:c r="F176" s="84" t="str">
        <x:v>Herb</x:v>
      </x:c>
      <x:c r="G176" s="84" t="str"/>
      <x:c r="H176" s="84" t="str"/>
      <x:c r="I176" s="84" t="str">
        <x:v>cnidoscolus texanus</x:v>
      </x:c>
    </x:row>
    <x:row r="177">
      <x:c r="A177" s="83" t="str">
        <x:v>BONAP/NAPA Hays workbook</x:v>
      </x:c>
      <x:c r="B177" s="84" t="n">
        <x:v>180</x:v>
      </x:c>
      <x:c r="C177" s="87" t="str">
        <x:v>Cocculus carolinus</x:v>
      </x:c>
      <x:c r="D177" s="84" t="str">
        <x:v>Carolina Snailseed, Carolina Coralbead, Carolina Moonseed, Red Berried Moonseed, Carolina Red Berried Moonseed</x:v>
      </x:c>
      <x:c r="E177" s="84" t="str">
        <x:v>Perennial</x:v>
      </x:c>
      <x:c r="F177" s="84" t="str">
        <x:v>Vine</x:v>
      </x:c>
      <x:c r="G177" s="84" t="str">
        <x:v>Part-shade</x:v>
      </x:c>
      <x:c r="H177" s="84" t="str">
        <x:v>Moist</x:v>
      </x:c>
      <x:c r="I177" s="84" t="str">
        <x:v>cocculus carolinus</x:v>
      </x:c>
    </x:row>
    <x:row r="178">
      <x:c r="A178" s="83" t="str">
        <x:v>BONAP/NAPA Hays workbook</x:v>
      </x:c>
      <x:c r="B178" s="84" t="n">
        <x:v>181</x:v>
      </x:c>
      <x:c r="C178" s="87" t="str">
        <x:v>Colubrina texensis</x:v>
      </x:c>
      <x:c r="D178" s="84" t="str">
        <x:v>Texas Hog Plum, Texas Snakewood, Texas Colubrina, Hog Plum</x:v>
      </x:c>
      <x:c r="E178" s="84" t="str">
        <x:v>Perennial</x:v>
      </x:c>
      <x:c r="F178" s="84" t="str">
        <x:v>Shrub</x:v>
      </x:c>
      <x:c r="G178" s="84" t="str">
        <x:v>Part-shade</x:v>
      </x:c>
      <x:c r="H178" s="84" t="str">
        <x:v>Dry</x:v>
      </x:c>
      <x:c r="I178" s="84" t="str">
        <x:v>colubrina texensis</x:v>
      </x:c>
    </x:row>
    <x:row r="179">
      <x:c r="A179" s="83" t="str">
        <x:v>BONAP/NAPA Hays workbook</x:v>
      </x:c>
      <x:c r="B179" s="84" t="n">
        <x:v>182</x:v>
      </x:c>
      <x:c r="C179" s="87" t="str">
        <x:v>Commelina erecta</x:v>
      </x:c>
      <x:c r="D179" s="84" t="str">
        <x:v>Dayflower, Widow's Tears, White-mouth Dayflower, Whitemouth Dayflower</x:v>
      </x:c>
      <x:c r="E179" s="84" t="str">
        <x:v>Perennial</x:v>
      </x:c>
      <x:c r="F179" s="84" t="str">
        <x:v>Herb</x:v>
      </x:c>
      <x:c r="G179" s="84" t="str">
        <x:v>Part-shade</x:v>
      </x:c>
      <x:c r="H179" s="84" t="str">
        <x:v>Dry</x:v>
      </x:c>
      <x:c r="I179" s="84" t="str">
        <x:v>commelina erecta</x:v>
      </x:c>
    </x:row>
    <x:row r="180">
      <x:c r="A180" s="83" t="str">
        <x:v>BONAP/NAPA Hays workbook</x:v>
      </x:c>
      <x:c r="B180" s="84" t="n">
        <x:v>183</x:v>
      </x:c>
      <x:c r="C180" s="87" t="str">
        <x:v>Commelina erecta var. angustifolia</x:v>
      </x:c>
      <x:c r="D180" s="84" t="str">
        <x:v>Whitemouth Dayflower, Narrow-leaf Dayflower, Widow's Tears</x:v>
      </x:c>
      <x:c r="E180" s="84" t="str">
        <x:v>Perennial</x:v>
      </x:c>
      <x:c r="F180" s="84" t="str">
        <x:v>Herb</x:v>
      </x:c>
      <x:c r="G180" s="84" t="str">
        <x:v>Sun, Part-shade</x:v>
      </x:c>
      <x:c r="H180" s="84" t="str">
        <x:v>Moist, Dry</x:v>
      </x:c>
      <x:c r="I180" s="84" t="str">
        <x:v>commelina erecta var. angustifolia</x:v>
      </x:c>
    </x:row>
    <x:row r="181">
      <x:c r="A181" s="83" t="str">
        <x:v>BONAP/NAPA Hays workbook</x:v>
      </x:c>
      <x:c r="B181" s="84" t="n">
        <x:v>184</x:v>
      </x:c>
      <x:c r="C181" s="87" t="str">
        <x:v>Commelina erecta var. deamiana</x:v>
      </x:c>
      <x:c r="D181" s="84" t="str">
        <x:v>Whitemouth Dayflower, Erect Dayflower, Narrowleaved Dayflower, Widow's Tears</x:v>
      </x:c>
      <x:c r="E181" s="84" t="str">
        <x:v>Perennial</x:v>
      </x:c>
      <x:c r="F181" s="84" t="str">
        <x:v>Herb</x:v>
      </x:c>
      <x:c r="G181" s="84" t="str"/>
      <x:c r="H181" s="84" t="str"/>
      <x:c r="I181" s="84" t="str">
        <x:v>commelina erecta var. deamiana</x:v>
      </x:c>
    </x:row>
    <x:row r="182">
      <x:c r="A182" s="83" t="str">
        <x:v>BONAP/NAPA Hays workbook</x:v>
      </x:c>
      <x:c r="B182" s="84" t="n">
        <x:v>185</x:v>
      </x:c>
      <x:c r="C182" s="87" t="str">
        <x:v>Commelina erecta var. erecta</x:v>
      </x:c>
      <x:c r="D182" s="84" t="str">
        <x:v>Whitemouth Dayflower, Day Flower, Widow's Tears</x:v>
      </x:c>
      <x:c r="E182" s="84" t="str">
        <x:v>Perennial</x:v>
      </x:c>
      <x:c r="F182" s="84" t="str">
        <x:v>Herb</x:v>
      </x:c>
      <x:c r="G182" s="84" t="str"/>
      <x:c r="H182" s="84" t="str"/>
      <x:c r="I182" s="84" t="str">
        <x:v>commelina erecta var. erecta</x:v>
      </x:c>
    </x:row>
    <x:row r="183">
      <x:c r="A183" s="83" t="str">
        <x:v>BONAP/NAPA Hays workbook</x:v>
      </x:c>
      <x:c r="B183" s="84" t="n">
        <x:v>186</x:v>
      </x:c>
      <x:c r="C183" s="87" t="str">
        <x:v>Condalia hookeri</x:v>
      </x:c>
      <x:c r="D183" s="84" t="str">
        <x:v>Bluewood Condalia, Brasil, Brasilwood, Bluewood, Logwood, Purple Haw, Capul Negro</x:v>
      </x:c>
      <x:c r="E183" s="84" t="str">
        <x:v>Perennial</x:v>
      </x:c>
      <x:c r="F183" s="84" t="str">
        <x:v>Shrub, Tree</x:v>
      </x:c>
      <x:c r="G183" s="84" t="str">
        <x:v>Part-shade</x:v>
      </x:c>
      <x:c r="H183" s="84" t="str">
        <x:v>Dry</x:v>
      </x:c>
      <x:c r="I183" s="84" t="str">
        <x:v>condalia hookeri</x:v>
      </x:c>
    </x:row>
    <x:row r="184">
      <x:c r="A184" s="83" t="str">
        <x:v>BONAP/NAPA Hays workbook</x:v>
      </x:c>
      <x:c r="B184" s="84" t="n">
        <x:v>187</x:v>
      </x:c>
      <x:c r="C184" s="87" t="str">
        <x:v>Conoclinium coelestinum</x:v>
      </x:c>
      <x:c r="D184" s="84" t="str">
        <x:v>Blue Mistflower, Wild Ageratum, Blue Boneset</x:v>
      </x:c>
      <x:c r="E184" s="84" t="str">
        <x:v>Perennial</x:v>
      </x:c>
      <x:c r="F184" s="84" t="str">
        <x:v>Herb</x:v>
      </x:c>
      <x:c r="G184" s="84" t="str">
        <x:v>Sun, Part-shade</x:v>
      </x:c>
      <x:c r="H184" s="84" t="str">
        <x:v>Moist</x:v>
      </x:c>
      <x:c r="I184" s="84" t="str">
        <x:v>conoclinium coelestinum</x:v>
      </x:c>
    </x:row>
    <x:row r="185">
      <x:c r="A185" s="83" t="str">
        <x:v>BONAP/NAPA Hays workbook</x:v>
      </x:c>
      <x:c r="B185" s="84" t="n">
        <x:v>188</x:v>
      </x:c>
      <x:c r="C185" s="87" t="str">
        <x:v>Convolvulus equitans</x:v>
      </x:c>
      <x:c r="D185" s="84" t="str">
        <x:v>Texas Bindweed, Bindweed</x:v>
      </x:c>
      <x:c r="E185" s="84" t="str">
        <x:v>Annual</x:v>
      </x:c>
      <x:c r="F185" s="84" t="str">
        <x:v>Vine</x:v>
      </x:c>
      <x:c r="G185" s="84" t="str">
        <x:v>Part-shade</x:v>
      </x:c>
      <x:c r="H185" s="84" t="str">
        <x:v>Dry</x:v>
      </x:c>
      <x:c r="I185" s="84" t="str">
        <x:v>convolvulus equitans</x:v>
      </x:c>
    </x:row>
    <x:row r="186">
      <x:c r="A186" s="83" t="str">
        <x:v>BONAP/NAPA Hays workbook</x:v>
      </x:c>
      <x:c r="B186" s="84" t="n">
        <x:v>189</x:v>
      </x:c>
      <x:c r="C186" s="87" t="str">
        <x:v>Conyza canadensis</x:v>
      </x:c>
      <x:c r="D186" s="84" t="str">
        <x:v>Horseweed, Canadian Horseweed</x:v>
      </x:c>
      <x:c r="E186" s="84" t="str">
        <x:v>Annual</x:v>
      </x:c>
      <x:c r="F186" s="84" t="str">
        <x:v>Herb</x:v>
      </x:c>
      <x:c r="G186" s="84" t="str">
        <x:v>Sun</x:v>
      </x:c>
      <x:c r="H186" s="84" t="str"/>
      <x:c r="I186" s="84" t="str">
        <x:v>conyza canadensis</x:v>
      </x:c>
    </x:row>
    <x:row r="187">
      <x:c r="A187" s="83" t="str">
        <x:v>BONAP/NAPA Hays workbook</x:v>
      </x:c>
      <x:c r="B187" s="84" t="n">
        <x:v>190</x:v>
      </x:c>
      <x:c r="C187" s="87" t="str">
        <x:v>Cooperia drummondii</x:v>
      </x:c>
      <x:c r="D187" s="84" t="str">
        <x:v>Evening Rain Lily, Evening Star Rain Lily</x:v>
      </x:c>
      <x:c r="E187" s="84" t="str">
        <x:v>Perennial</x:v>
      </x:c>
      <x:c r="F187" s="84" t="str">
        <x:v>Herb</x:v>
      </x:c>
      <x:c r="G187" s="84" t="str">
        <x:v>Sun, Part-shade</x:v>
      </x:c>
      <x:c r="H187" s="84" t="str">
        <x:v>Moist, Dry</x:v>
      </x:c>
      <x:c r="I187" s="84" t="str">
        <x:v>cooperia drummondii</x:v>
      </x:c>
    </x:row>
    <x:row r="188">
      <x:c r="A188" s="83" t="str">
        <x:v>BONAP/NAPA Hays workbook</x:v>
      </x:c>
      <x:c r="B188" s="84" t="n">
        <x:v>191</x:v>
      </x:c>
      <x:c r="C188" s="87" t="str">
        <x:v>Cooperia pedunculata</x:v>
      </x:c>
      <x:c r="D188" s="84" t="str">
        <x:v>Hill Country Rain Lily, Prairie Lily, Rain Lily, Flor De Mayo</x:v>
      </x:c>
      <x:c r="E188" s="84" t="str">
        <x:v>Perennial</x:v>
      </x:c>
      <x:c r="F188" s="84" t="str">
        <x:v>Herb</x:v>
      </x:c>
      <x:c r="G188" s="84" t="str">
        <x:v>Sun</x:v>
      </x:c>
      <x:c r="H188" s="84" t="str">
        <x:v>Moist</x:v>
      </x:c>
      <x:c r="I188" s="84" t="str">
        <x:v>cooperia pedunculata</x:v>
      </x:c>
    </x:row>
    <x:row r="189">
      <x:c r="A189" s="83" t="str">
        <x:v>BONAP/NAPA Hays workbook</x:v>
      </x:c>
      <x:c r="B189" s="84" t="n">
        <x:v>192</x:v>
      </x:c>
      <x:c r="C189" s="87" t="str">
        <x:v>Corallorhiza wisteriana</x:v>
      </x:c>
      <x:c r="D189" s="84" t="str">
        <x:v>Spring Coral-root, Spring Coral Root, Early Southern Coral-root, Wister's Coral-root, Yellow Coral-root, Arousing Coral-root, Spring Coralroot</x:v>
      </x:c>
      <x:c r="E189" s="84" t="str">
        <x:v>Perennial</x:v>
      </x:c>
      <x:c r="F189" s="84" t="str">
        <x:v>Herb</x:v>
      </x:c>
      <x:c r="G189" s="84" t="str"/>
      <x:c r="H189" s="84" t="str"/>
      <x:c r="I189" s="84" t="str">
        <x:v>corallorhiza wisteriana</x:v>
      </x:c>
    </x:row>
    <x:row r="190">
      <x:c r="A190" s="83" t="str">
        <x:v>BONAP/NAPA Hays workbook</x:v>
      </x:c>
      <x:c r="B190" s="84" t="n">
        <x:v>193</x:v>
      </x:c>
      <x:c r="C190" s="87" t="str">
        <x:v>Coreopsis basalis</x:v>
      </x:c>
      <x:c r="D190" s="84" t="str">
        <x:v>Goldenmane Tickseed, Golden-wave</x:v>
      </x:c>
      <x:c r="E190" s="84" t="str">
        <x:v>Annual</x:v>
      </x:c>
      <x:c r="F190" s="84" t="str">
        <x:v>Herb</x:v>
      </x:c>
      <x:c r="G190" s="84" t="str">
        <x:v>Sun</x:v>
      </x:c>
      <x:c r="H190" s="84" t="str">
        <x:v>Dry</x:v>
      </x:c>
      <x:c r="I190" s="84" t="str">
        <x:v>coreopsis basalis</x:v>
      </x:c>
    </x:row>
    <x:row r="191">
      <x:c r="A191" s="83" t="str">
        <x:v>BONAP/NAPA Hays workbook</x:v>
      </x:c>
      <x:c r="B191" s="84" t="n">
        <x:v>194</x:v>
      </x:c>
      <x:c r="C191" s="87" t="str">
        <x:v>Coreopsis tinctoria</x:v>
      </x:c>
      <x:c r="D191" s="84" t="str">
        <x:v>Plains Coreopsis, Golden Tickseed, Goldenwave, Calliopsis</x:v>
      </x:c>
      <x:c r="E191" s="84" t="str">
        <x:v>Annual</x:v>
      </x:c>
      <x:c r="F191" s="84" t="str">
        <x:v>Herb</x:v>
      </x:c>
      <x:c r="G191" s="84" t="str">
        <x:v>Sun, Part-shade</x:v>
      </x:c>
      <x:c r="H191" s="84" t="str">
        <x:v>Moist</x:v>
      </x:c>
      <x:c r="I191" s="84" t="str">
        <x:v>coreopsis tinctoria</x:v>
      </x:c>
    </x:row>
    <x:row r="192">
      <x:c r="A192" s="83" t="str">
        <x:v>BONAP/NAPA Hays workbook</x:v>
      </x:c>
      <x:c r="B192" s="84" t="n">
        <x:v>195</x:v>
      </x:c>
      <x:c r="C192" s="87" t="str">
        <x:v>Coreopsis wrightii</x:v>
      </x:c>
      <x:c r="D192" s="84" t="str">
        <x:v>Rock Tickseed, Golden-wave</x:v>
      </x:c>
      <x:c r="E192" s="84" t="str">
        <x:v>Annual</x:v>
      </x:c>
      <x:c r="F192" s="84" t="str">
        <x:v>Herb</x:v>
      </x:c>
      <x:c r="G192" s="84" t="str"/>
      <x:c r="H192" s="84" t="str"/>
      <x:c r="I192" s="84" t="str">
        <x:v>coreopsis wrightii</x:v>
      </x:c>
    </x:row>
    <x:row r="193">
      <x:c r="A193" s="83" t="str">
        <x:v>BONAP/NAPA Hays workbook</x:v>
      </x:c>
      <x:c r="B193" s="84" t="n">
        <x:v>196</x:v>
      </x:c>
      <x:c r="C193" s="87" t="str">
        <x:v>Cornus drummondii</x:v>
      </x:c>
      <x:c r="D193" s="84" t="str">
        <x:v>Roughleaf Dogwood, Drummond's Dogwood, Rough-leaf Dogwood</x:v>
      </x:c>
      <x:c r="E193" s="84" t="str">
        <x:v>Perennial</x:v>
      </x:c>
      <x:c r="F193" s="84" t="str">
        <x:v>Tree</x:v>
      </x:c>
      <x:c r="G193" s="84" t="str">
        <x:v>Shade, Part-shade</x:v>
      </x:c>
      <x:c r="H193" s="84" t="str">
        <x:v>Moist, Dry</x:v>
      </x:c>
      <x:c r="I193" s="84" t="str">
        <x:v>cornus drummondii</x:v>
      </x:c>
    </x:row>
    <x:row r="194">
      <x:c r="A194" s="83" t="str">
        <x:v>BONAP/NAPA Hays workbook</x:v>
      </x:c>
      <x:c r="B194" s="84" t="n">
        <x:v>197</x:v>
      </x:c>
      <x:c r="C194" s="87" t="str">
        <x:v>Corydalis curvisiliqua ssp. curvisiliqua</x:v>
      </x:c>
      <x:c r="D194" s="84" t="str">
        <x:v>Curvepod Fumewort</x:v>
      </x:c>
      <x:c r="E194" s="84" t="str">
        <x:v>Annual, Biennial</x:v>
      </x:c>
      <x:c r="F194" s="84" t="str">
        <x:v>Herb</x:v>
      </x:c>
      <x:c r="G194" s="84" t="str"/>
      <x:c r="H194" s="84" t="str"/>
      <x:c r="I194" s="84" t="str">
        <x:v>corydalis curvisiliqua ssp. curvisiliqua</x:v>
      </x:c>
    </x:row>
    <x:row r="195">
      <x:c r="A195" s="83" t="str">
        <x:v>BONAP/NAPA Hays workbook</x:v>
      </x:c>
      <x:c r="B195" s="84" t="n">
        <x:v>198</x:v>
      </x:c>
      <x:c r="C195" s="87" t="str">
        <x:v>Corydalis micrantha</x:v>
      </x:c>
      <x:c r="D195" s="84" t="str">
        <x:v>Smallflower Fumewort, Southern Corydalis, Golden Corydalis</x:v>
      </x:c>
      <x:c r="E195" s="84" t="str">
        <x:v>Annual</x:v>
      </x:c>
      <x:c r="F195" s="84" t="str">
        <x:v>Herb</x:v>
      </x:c>
      <x:c r="G195" s="84" t="str"/>
      <x:c r="H195" s="84" t="str"/>
      <x:c r="I195" s="84" t="str">
        <x:v>corydalis micrantha</x:v>
      </x:c>
    </x:row>
    <x:row r="196">
      <x:c r="A196" s="83" t="str">
        <x:v>BONAP/NAPA Hays workbook</x:v>
      </x:c>
      <x:c r="B196" s="84" t="n">
        <x:v>199</x:v>
      </x:c>
      <x:c r="C196" s="87" t="str">
        <x:v>Coryphantha sulcata</x:v>
      </x:c>
      <x:c r="D196" s="84" t="str">
        <x:v>Pineapple Cactus, Nipple Cactus</x:v>
      </x:c>
      <x:c r="E196" s="84" t="str">
        <x:v>Perennial</x:v>
      </x:c>
      <x:c r="F196" s="84" t="str">
        <x:v>Cactus/Succulent</x:v>
      </x:c>
      <x:c r="G196" s="84" t="str">
        <x:v>Sun</x:v>
      </x:c>
      <x:c r="H196" s="84" t="str">
        <x:v>Dry</x:v>
      </x:c>
      <x:c r="I196" s="84" t="str">
        <x:v>coryphantha sulcata</x:v>
      </x:c>
    </x:row>
    <x:row r="197">
      <x:c r="A197" s="83" t="str">
        <x:v>BONAP/NAPA Hays workbook</x:v>
      </x:c>
      <x:c r="B197" s="84" t="n">
        <x:v>200</x:v>
      </x:c>
      <x:c r="C197" s="87" t="str">
        <x:v>Cotinus obovatus</x:v>
      </x:c>
      <x:c r="D197" s="84" t="str">
        <x:v>American Smoke Tree, Texas Smoke Tree, Wild Smoke Tree, Smoke Tree, Smokebush, Chittamwood</x:v>
      </x:c>
      <x:c r="E197" s="84" t="str">
        <x:v>Perennial</x:v>
      </x:c>
      <x:c r="F197" s="84" t="str">
        <x:v>Tree</x:v>
      </x:c>
      <x:c r="G197" s="84" t="str">
        <x:v>Sun, Part-shade</x:v>
      </x:c>
      <x:c r="H197" s="84" t="str">
        <x:v>Dry</x:v>
      </x:c>
      <x:c r="I197" s="84" t="str">
        <x:v>cotinus obovatus</x:v>
      </x:c>
    </x:row>
    <x:row r="198">
      <x:c r="A198" s="83" t="str">
        <x:v>BONAP/NAPA Hays workbook</x:v>
      </x:c>
      <x:c r="B198" s="84" t="n">
        <x:v>201</x:v>
      </x:c>
      <x:c r="C198" s="87" t="str">
        <x:v>Croton capitatus</x:v>
      </x:c>
      <x:c r="D198" s="84" t="str">
        <x:v>Hogwort, Texas Goatweed</x:v>
      </x:c>
      <x:c r="E198" s="84" t="str">
        <x:v>Annual</x:v>
      </x:c>
      <x:c r="F198" s="84" t="str">
        <x:v>Herb</x:v>
      </x:c>
      <x:c r="G198" s="84" t="str"/>
      <x:c r="H198" s="84" t="str"/>
      <x:c r="I198" s="84" t="str">
        <x:v>croton capitatus</x:v>
      </x:c>
    </x:row>
    <x:row r="199">
      <x:c r="A199" s="83" t="str">
        <x:v>BONAP/NAPA Hays workbook</x:v>
      </x:c>
      <x:c r="B199" s="84" t="n">
        <x:v>202</x:v>
      </x:c>
      <x:c r="C199" s="87" t="str">
        <x:v>Croton fruticulosus</x:v>
      </x:c>
      <x:c r="D199" s="84" t="str">
        <x:v>Bush Croton, Encinilla, Hierba Loca</x:v>
      </x:c>
      <x:c r="E199" s="84" t="str">
        <x:v>Perennial</x:v>
      </x:c>
      <x:c r="F199" s="84" t="str">
        <x:v>Herb</x:v>
      </x:c>
      <x:c r="G199" s="84" t="str">
        <x:v>Part-shade</x:v>
      </x:c>
      <x:c r="H199" s="84" t="str">
        <x:v>Dry</x:v>
      </x:c>
      <x:c r="I199" s="84" t="str">
        <x:v>croton fruticulosus</x:v>
      </x:c>
    </x:row>
    <x:row r="200">
      <x:c r="A200" s="83" t="str">
        <x:v>BONAP/NAPA Hays workbook</x:v>
      </x:c>
      <x:c r="B200" s="84" t="n">
        <x:v>203</x:v>
      </x:c>
      <x:c r="C200" s="87" t="str">
        <x:v>Croton lindheimerianus</x:v>
      </x:c>
      <x:c r="D200" s="84" t="str">
        <x:v>Threeseed Croton</x:v>
      </x:c>
      <x:c r="E200" s="84" t="str">
        <x:v>Annual</x:v>
      </x:c>
      <x:c r="F200" s="84" t="str">
        <x:v>Herb</x:v>
      </x:c>
      <x:c r="G200" s="84" t="str">
        <x:v>Sun</x:v>
      </x:c>
      <x:c r="H200" s="84" t="str"/>
      <x:c r="I200" s="84" t="str">
        <x:v>croton lindheimerianus</x:v>
      </x:c>
    </x:row>
    <x:row r="201">
      <x:c r="A201" s="83" t="str">
        <x:v>BONAP/NAPA Hays workbook</x:v>
      </x:c>
      <x:c r="B201" s="84" t="n">
        <x:v>204</x:v>
      </x:c>
      <x:c r="C201" s="87" t="str">
        <x:v>Croton monanthogynus</x:v>
      </x:c>
      <x:c r="D201" s="84" t="str">
        <x:v>Prairie Tea, One-seed Croton, Doveweed, Dove Weed, Prairie Goatweed</x:v>
      </x:c>
      <x:c r="E201" s="84" t="str">
        <x:v>Annual</x:v>
      </x:c>
      <x:c r="F201" s="84" t="str">
        <x:v>Herb</x:v>
      </x:c>
      <x:c r="G201" s="84" t="str">
        <x:v>Sun</x:v>
      </x:c>
      <x:c r="H201" s="84" t="str">
        <x:v>Moist, Dry</x:v>
      </x:c>
      <x:c r="I201" s="84" t="str">
        <x:v>croton monanthogynus</x:v>
      </x:c>
    </x:row>
    <x:row r="202">
      <x:c r="A202" s="83" t="str">
        <x:v>BONAP/NAPA Hays workbook</x:v>
      </x:c>
      <x:c r="B202" s="84" t="n">
        <x:v>205</x:v>
      </x:c>
      <x:c r="C202" s="87" t="str">
        <x:v>Croton texensis</x:v>
      </x:c>
      <x:c r="D202" s="84" t="str">
        <x:v>Texas Croton, Skunkweed, Texas Goatweed</x:v>
      </x:c>
      <x:c r="E202" s="84" t="str">
        <x:v>Annual</x:v>
      </x:c>
      <x:c r="F202" s="84" t="str">
        <x:v>Herb</x:v>
      </x:c>
      <x:c r="G202" s="84" t="str"/>
      <x:c r="H202" s="84" t="str"/>
      <x:c r="I202" s="84" t="str">
        <x:v>croton texensis</x:v>
      </x:c>
    </x:row>
    <x:row r="203">
      <x:c r="A203" s="83" t="str">
        <x:v>BONAP/NAPA Hays workbook</x:v>
      </x:c>
      <x:c r="B203" s="84" t="n">
        <x:v>206</x:v>
      </x:c>
      <x:c r="C203" s="87" t="str">
        <x:v>Cryptantha texana</x:v>
      </x:c>
      <x:c r="D203" s="84" t="str">
        <x:v>Pick Me Nots</x:v>
      </x:c>
      <x:c r="E203" s="84" t="str">
        <x:v>Annual</x:v>
      </x:c>
      <x:c r="F203" s="84" t="str">
        <x:v>Herb</x:v>
      </x:c>
      <x:c r="G203" s="84" t="str"/>
      <x:c r="H203" s="84" t="str"/>
      <x:c r="I203" s="84" t="str">
        <x:v>cryptantha texana</x:v>
      </x:c>
    </x:row>
    <x:row r="204">
      <x:c r="A204" s="83" t="str">
        <x:v>BONAP/NAPA Hays workbook</x:v>
      </x:c>
      <x:c r="B204" s="84" t="n">
        <x:v>207</x:v>
      </x:c>
      <x:c r="C204" s="87" t="str">
        <x:v>Cucurbita foetidissima</x:v>
      </x:c>
      <x:c r="D204" s="84" t="str">
        <x:v>Stinking Gourd, Buffalo Gourd, Missouri Gourd, Stink Gourd, Wild Gourd</x:v>
      </x:c>
      <x:c r="E204" s="84" t="str">
        <x:v>Perennial</x:v>
      </x:c>
      <x:c r="F204" s="84" t="str">
        <x:v>Herb</x:v>
      </x:c>
      <x:c r="G204" s="84" t="str">
        <x:v>Sun</x:v>
      </x:c>
      <x:c r="H204" s="84" t="str"/>
      <x:c r="I204" s="84" t="str">
        <x:v>cucurbita foetidissima</x:v>
      </x:c>
    </x:row>
    <x:row r="205">
      <x:c r="A205" s="83" t="str">
        <x:v>BONAP/NAPA Hays workbook</x:v>
      </x:c>
      <x:c r="B205" s="84" t="n">
        <x:v>208</x:v>
      </x:c>
      <x:c r="C205" s="87" t="str">
        <x:v>Cuscuta exaltata</x:v>
      </x:c>
      <x:c r="D205" s="84" t="str">
        <x:v>Tree Dodder, Tall Dodder</x:v>
      </x:c>
      <x:c r="E205" s="84" t="str">
        <x:v>Annual</x:v>
      </x:c>
      <x:c r="F205" s="84" t="str">
        <x:v>Vine</x:v>
      </x:c>
      <x:c r="G205" s="84" t="str"/>
      <x:c r="H205" s="84" t="str"/>
      <x:c r="I205" s="84" t="str">
        <x:v>cuscuta exaltata</x:v>
      </x:c>
    </x:row>
    <x:row r="206">
      <x:c r="A206" s="83" t="str">
        <x:v>BONAP/NAPA Hays workbook</x:v>
      </x:c>
      <x:c r="B206" s="84" t="n">
        <x:v>209</x:v>
      </x:c>
      <x:c r="C206" s="87" t="str">
        <x:v>Cuscuta indecora</x:v>
      </x:c>
      <x:c r="D206" s="84" t="str">
        <x:v>Bigseed Alfalfa Dodder, Largeseed Dodder, Pretty Dodder</x:v>
      </x:c>
      <x:c r="E206" s="84" t="str">
        <x:v>Perennial</x:v>
      </x:c>
      <x:c r="F206" s="84" t="str">
        <x:v>Herb, Vine</x:v>
      </x:c>
      <x:c r="G206" s="84" t="str"/>
      <x:c r="H206" s="84" t="str"/>
      <x:c r="I206" s="84" t="str">
        <x:v>cuscuta indecora</x:v>
      </x:c>
    </x:row>
    <x:row r="207">
      <x:c r="A207" s="83" t="str">
        <x:v>BONAP/NAPA Hays workbook</x:v>
      </x:c>
      <x:c r="B207" s="84" t="n">
        <x:v>210</x:v>
      </x:c>
      <x:c r="C207" s="87" t="str">
        <x:v>Cuscuta obtusiflora</x:v>
      </x:c>
      <x:c r="D207" s="84" t="str">
        <x:v>Peruvian Dodder</x:v>
      </x:c>
      <x:c r="E207" s="84" t="str">
        <x:v>Annual, Perennial</x:v>
      </x:c>
      <x:c r="F207" s="84" t="str">
        <x:v>Herb, Vine</x:v>
      </x:c>
      <x:c r="G207" s="84" t="str"/>
      <x:c r="H207" s="84" t="str"/>
      <x:c r="I207" s="84" t="str">
        <x:v>cuscuta obtusiflora</x:v>
      </x:c>
    </x:row>
    <x:row r="208">
      <x:c r="A208" s="83" t="str">
        <x:v>BONAP/NAPA Hays workbook</x:v>
      </x:c>
      <x:c r="B208" s="84" t="n">
        <x:v>211</x:v>
      </x:c>
      <x:c r="C208" s="87" t="str">
        <x:v>Cuscuta pentagona</x:v>
      </x:c>
      <x:c r="D208" s="84" t="str">
        <x:v>Fiveangled Dodder</x:v>
      </x:c>
      <x:c r="E208" s="84" t="str">
        <x:v>Annual</x:v>
      </x:c>
      <x:c r="F208" s="84" t="str">
        <x:v>Vine</x:v>
      </x:c>
      <x:c r="G208" s="84" t="str"/>
      <x:c r="H208" s="84" t="str"/>
      <x:c r="I208" s="84" t="str">
        <x:v>cuscuta pentagona</x:v>
      </x:c>
    </x:row>
    <x:row r="209">
      <x:c r="A209" s="83" t="str">
        <x:v>BONAP/NAPA Hays workbook</x:v>
      </x:c>
      <x:c r="B209" s="84" t="n">
        <x:v>212</x:v>
      </x:c>
      <x:c r="C209" s="87" t="str">
        <x:v>Cylindropuntia leptocaulis</x:v>
      </x:c>
      <x:c r="D209" s="84" t="str">
        <x:v>Tasajillo, Christmas Cactus, Pencil Cactus, Christmas Cholla, Desert Christmas Cactus</x:v>
      </x:c>
      <x:c r="E209" s="84" t="str">
        <x:v>Perennial</x:v>
      </x:c>
      <x:c r="F209" s="84" t="str">
        <x:v>Cactus/Succulent</x:v>
      </x:c>
      <x:c r="G209" s="84" t="str">
        <x:v>Sun</x:v>
      </x:c>
      <x:c r="H209" s="84" t="str">
        <x:v>Dry</x:v>
      </x:c>
      <x:c r="I209" s="84" t="str">
        <x:v>cylindropuntia leptocaulis</x:v>
      </x:c>
    </x:row>
    <x:row r="210">
      <x:c r="A210" s="83" t="str">
        <x:v>BONAP/NAPA Hays workbook</x:v>
      </x:c>
      <x:c r="B210" s="84" t="n">
        <x:v>213</x:v>
      </x:c>
      <x:c r="C210" s="87" t="str">
        <x:v>Cymopterus macrorhizus</x:v>
      </x:c>
      <x:c r="D210" s="84" t="str">
        <x:v>Bigroot Springparsley, Big-root Cymopterus</x:v>
      </x:c>
      <x:c r="E210" s="84" t="str">
        <x:v>Perennial</x:v>
      </x:c>
      <x:c r="F210" s="84" t="str">
        <x:v>Herb</x:v>
      </x:c>
      <x:c r="G210" s="84" t="str"/>
      <x:c r="H210" s="84" t="str"/>
      <x:c r="I210" s="84" t="str">
        <x:v>cymopterus macrorhizus</x:v>
      </x:c>
    </x:row>
    <x:row r="211">
      <x:c r="A211" s="83" t="str">
        <x:v>BONAP/NAPA Hays workbook</x:v>
      </x:c>
      <x:c r="B211" s="84" t="n">
        <x:v>214</x:v>
      </x:c>
      <x:c r="C211" s="87" t="str">
        <x:v>Cynanchum barbigerum</x:v>
      </x:c>
      <x:c r="D211" s="84" t="str">
        <x:v>Bearded Swallow-wort, Thicket Threadvine</x:v>
      </x:c>
      <x:c r="E211" s="84" t="str">
        <x:v>Perennial</x:v>
      </x:c>
      <x:c r="F211" s="84" t="str">
        <x:v>Vine</x:v>
      </x:c>
      <x:c r="G211" s="84" t="str">
        <x:v>Sun</x:v>
      </x:c>
      <x:c r="H211" s="84" t="str"/>
      <x:c r="I211" s="84" t="str">
        <x:v>cynanchum barbigerum</x:v>
      </x:c>
    </x:row>
    <x:row r="212">
      <x:c r="A212" s="83" t="str">
        <x:v>BONAP/NAPA Hays workbook</x:v>
      </x:c>
      <x:c r="B212" s="84" t="n">
        <x:v>215</x:v>
      </x:c>
      <x:c r="C212" s="87" t="str">
        <x:v>Cyperus esculentus</x:v>
      </x:c>
      <x:c r="D212" s="84" t="str">
        <x:v>Yellow Nutsedge, Chufa Sedge, Yellow Nut-grass</x:v>
      </x:c>
      <x:c r="E212" s="84" t="str">
        <x:v>Perennial</x:v>
      </x:c>
      <x:c r="F212" s="84" t="str">
        <x:v>Grass/Grass-like</x:v>
      </x:c>
      <x:c r="G212" s="84" t="str">
        <x:v>Sun, Part-shade</x:v>
      </x:c>
      <x:c r="H212" s="84" t="str">
        <x:v>Moist</x:v>
      </x:c>
      <x:c r="I212" s="84" t="str">
        <x:v>cyperus esculentus</x:v>
      </x:c>
    </x:row>
    <x:row r="213">
      <x:c r="A213" s="83" t="str">
        <x:v>BONAP/NAPA Hays workbook</x:v>
      </x:c>
      <x:c r="B213" s="84" t="n">
        <x:v>216</x:v>
      </x:c>
      <x:c r="C213" s="87" t="str">
        <x:v>Cyperus odoratus</x:v>
      </x:c>
      <x:c r="D213" s="84" t="str">
        <x:v>Fragrant Flatsedge, Fragrant Sedge</x:v>
      </x:c>
      <x:c r="E213" s="84" t="str">
        <x:v>Annual</x:v>
      </x:c>
      <x:c r="F213" s="84" t="str">
        <x:v>Grass/Grass-like</x:v>
      </x:c>
      <x:c r="G213" s="84" t="str">
        <x:v>Sun</x:v>
      </x:c>
      <x:c r="H213" s="84" t="str"/>
      <x:c r="I213" s="84" t="str">
        <x:v>cyperus odoratus</x:v>
      </x:c>
    </x:row>
    <x:row r="214">
      <x:c r="A214" s="83" t="str">
        <x:v>BONAP/NAPA Hays workbook</x:v>
      </x:c>
      <x:c r="B214" s="84" t="n">
        <x:v>217</x:v>
      </x:c>
      <x:c r="C214" s="87" t="str">
        <x:v>Cyperus retroflexus</x:v>
      </x:c>
      <x:c r="D214" s="84" t="str">
        <x:v>Oneflower Flatsedge</x:v>
      </x:c>
      <x:c r="E214" s="84" t="str">
        <x:v>Perennial</x:v>
      </x:c>
      <x:c r="F214" s="84" t="str">
        <x:v>Grass/Grass-like</x:v>
      </x:c>
      <x:c r="G214" s="84" t="str"/>
      <x:c r="H214" s="84" t="str"/>
      <x:c r="I214" s="84" t="str">
        <x:v>cyperus retroflexus</x:v>
      </x:c>
    </x:row>
    <x:row r="215">
      <x:c r="A215" s="83" t="str">
        <x:v>BONAP/NAPA Hays workbook</x:v>
      </x:c>
      <x:c r="B215" s="84" t="n">
        <x:v>218</x:v>
      </x:c>
      <x:c r="C215" s="87" t="str">
        <x:v>Cyperus strigosus</x:v>
      </x:c>
      <x:c r="D215" s="84" t="str">
        <x:v>Straw-colored Flatsedge</x:v>
      </x:c>
      <x:c r="E215" s="84" t="str">
        <x:v>Perennial</x:v>
      </x:c>
      <x:c r="F215" s="84" t="str">
        <x:v>Grass/Grass-like</x:v>
      </x:c>
      <x:c r="G215" s="84" t="str"/>
      <x:c r="H215" s="84" t="str"/>
      <x:c r="I215" s="84" t="str">
        <x:v>cyperus strigosus</x:v>
      </x:c>
    </x:row>
    <x:row r="216">
      <x:c r="A216" s="83" t="str">
        <x:v>BONAP/NAPA Hays workbook</x:v>
      </x:c>
      <x:c r="B216" s="84" t="n">
        <x:v>219</x:v>
      </x:c>
      <x:c r="C216" s="87" t="str">
        <x:v>Dalea aurea</x:v>
      </x:c>
      <x:c r="D216" s="84" t="str">
        <x:v>Golden Prairie Clover, Golden Dalea</x:v>
      </x:c>
      <x:c r="E216" s="84" t="str">
        <x:v>Perennial</x:v>
      </x:c>
      <x:c r="F216" s="84" t="str">
        <x:v>Herb</x:v>
      </x:c>
      <x:c r="G216" s="84" t="str">
        <x:v>Sun</x:v>
      </x:c>
      <x:c r="H216" s="84" t="str">
        <x:v>Dry</x:v>
      </x:c>
      <x:c r="I216" s="84" t="str">
        <x:v>dalea aurea</x:v>
      </x:c>
    </x:row>
    <x:row r="217">
      <x:c r="A217" s="83" t="str">
        <x:v>BONAP/NAPA Hays workbook</x:v>
      </x:c>
      <x:c r="B217" s="84" t="n">
        <x:v>220</x:v>
      </x:c>
      <x:c r="C217" s="87" t="str">
        <x:v>Dalea compacta</x:v>
      </x:c>
      <x:c r="D217" s="84" t="str">
        <x:v>Compact Prairie Clover, Purple Prairie Clover</x:v>
      </x:c>
      <x:c r="E217" s="84" t="str">
        <x:v>Perennial</x:v>
      </x:c>
      <x:c r="F217" s="84" t="str">
        <x:v>Herb</x:v>
      </x:c>
      <x:c r="G217" s="84" t="str"/>
      <x:c r="H217" s="84" t="str"/>
      <x:c r="I217" s="84" t="str">
        <x:v>dalea compacta</x:v>
      </x:c>
    </x:row>
    <x:row r="218">
      <x:c r="A218" s="83" t="str">
        <x:v>BONAP/NAPA Hays workbook</x:v>
      </x:c>
      <x:c r="B218" s="84" t="n">
        <x:v>221</x:v>
      </x:c>
      <x:c r="C218" s="87" t="str">
        <x:v>Dalea frutescens</x:v>
      </x:c>
      <x:c r="D218" s="84" t="str">
        <x:v>Black Dalea, Black Prairie Clover</x:v>
      </x:c>
      <x:c r="E218" s="84" t="str">
        <x:v>Perennial</x:v>
      </x:c>
      <x:c r="F218" s="84" t="str">
        <x:v>Shrub</x:v>
      </x:c>
      <x:c r="G218" s="84" t="str">
        <x:v>Sun</x:v>
      </x:c>
      <x:c r="H218" s="84" t="str">
        <x:v>Dry</x:v>
      </x:c>
      <x:c r="I218" s="84" t="str">
        <x:v>dalea frutescens</x:v>
      </x:c>
    </x:row>
    <x:row r="219">
      <x:c r="A219" s="83" t="str">
        <x:v>BONAP/NAPA Hays workbook</x:v>
      </x:c>
      <x:c r="B219" s="84" t="n">
        <x:v>222</x:v>
      </x:c>
      <x:c r="C219" s="87" t="str">
        <x:v>Dalea hallii</x:v>
      </x:c>
      <x:c r="D219" s="84" t="str">
        <x:v>Hall's Prairie Clover, Hall's Dalea</x:v>
      </x:c>
      <x:c r="E219" s="84" t="str">
        <x:v>Perennial</x:v>
      </x:c>
      <x:c r="F219" s="84" t="str">
        <x:v>Shrub</x:v>
      </x:c>
      <x:c r="G219" s="84" t="str"/>
      <x:c r="H219" s="84" t="str"/>
      <x:c r="I219" s="84" t="str">
        <x:v>dalea hallii</x:v>
      </x:c>
    </x:row>
    <x:row r="220">
      <x:c r="A220" s="83" t="str">
        <x:v>BONAP/NAPA Hays workbook</x:v>
      </x:c>
      <x:c r="B220" s="84" t="n">
        <x:v>223</x:v>
      </x:c>
      <x:c r="C220" s="87" t="str">
        <x:v>Dalea multiflora</x:v>
      </x:c>
      <x:c r="D220" s="84" t="str">
        <x:v>Roundhead Prairie Clover, White Prairie Clover, Round Headed Dalea, Round Headed Clover</x:v>
      </x:c>
      <x:c r="E220" s="84" t="str">
        <x:v>Perennial</x:v>
      </x:c>
      <x:c r="F220" s="84" t="str">
        <x:v>Herb</x:v>
      </x:c>
      <x:c r="G220" s="84" t="str">
        <x:v>Sun</x:v>
      </x:c>
      <x:c r="H220" s="84" t="str">
        <x:v>Dry</x:v>
      </x:c>
      <x:c r="I220" s="84" t="str">
        <x:v>dalea multiflora</x:v>
      </x:c>
    </x:row>
    <x:row r="221">
      <x:c r="A221" s="83" t="str">
        <x:v>BONAP/NAPA Hays workbook</x:v>
      </x:c>
      <x:c r="B221" s="84" t="n">
        <x:v>224</x:v>
      </x:c>
      <x:c r="C221" s="87" t="str">
        <x:v>Dalea nana</x:v>
      </x:c>
      <x:c r="D221" s="84" t="str">
        <x:v>Dwarf Prairie Clover, Dwarf Dalea</x:v>
      </x:c>
      <x:c r="E221" s="84" t="str">
        <x:v>Perennial</x:v>
      </x:c>
      <x:c r="F221" s="84" t="str">
        <x:v>Shrub</x:v>
      </x:c>
      <x:c r="G221" s="84" t="str"/>
      <x:c r="H221" s="84" t="str"/>
      <x:c r="I221" s="84" t="str">
        <x:v>dalea nana</x:v>
      </x:c>
    </x:row>
    <x:row r="222">
      <x:c r="A222" s="83" t="str">
        <x:v>BONAP/NAPA Hays workbook</x:v>
      </x:c>
      <x:c r="B222" s="84" t="n">
        <x:v>225</x:v>
      </x:c>
      <x:c r="C222" s="87" t="str">
        <x:v>Dalea purpurea</x:v>
      </x:c>
      <x:c r="D222" s="84" t="str">
        <x:v>Purple Prairie Clover</x:v>
      </x:c>
      <x:c r="E222" s="84" t="str">
        <x:v>Perennial</x:v>
      </x:c>
      <x:c r="F222" s="84" t="str">
        <x:v>Subshrub</x:v>
      </x:c>
      <x:c r="G222" s="84" t="str">
        <x:v>Sun</x:v>
      </x:c>
      <x:c r="H222" s="84" t="str">
        <x:v>Dry</x:v>
      </x:c>
      <x:c r="I222" s="84" t="str">
        <x:v>dalea purpurea</x:v>
      </x:c>
    </x:row>
    <x:row r="223">
      <x:c r="A223" s="83" t="str">
        <x:v>BONAP/NAPA Hays workbook</x:v>
      </x:c>
      <x:c r="B223" s="84" t="n">
        <x:v>226</x:v>
      </x:c>
      <x:c r="C223" s="87" t="str">
        <x:v>Dalea tenuis</x:v>
      </x:c>
      <x:c r="D223" s="84" t="str">
        <x:v>Pinkglobe Prairie Clover</x:v>
      </x:c>
      <x:c r="E223" s="84" t="str">
        <x:v>Perennial</x:v>
      </x:c>
      <x:c r="F223" s="84" t="str">
        <x:v>Subshrub</x:v>
      </x:c>
      <x:c r="G223" s="84" t="str"/>
      <x:c r="H223" s="84" t="str"/>
      <x:c r="I223" s="84" t="str">
        <x:v>dalea tenuis</x:v>
      </x:c>
    </x:row>
    <x:row r="224">
      <x:c r="A224" s="83" t="str">
        <x:v>BONAP/NAPA Hays workbook</x:v>
      </x:c>
      <x:c r="B224" s="84" t="n">
        <x:v>227</x:v>
      </x:c>
      <x:c r="C224" s="87" t="str">
        <x:v>Dasylirion texanum</x:v>
      </x:c>
      <x:c r="D224" s="84" t="str">
        <x:v>Texas Sotol, Sotol</x:v>
      </x:c>
      <x:c r="E224" s="84" t="str">
        <x:v>Perennial</x:v>
      </x:c>
      <x:c r="F224" s="84" t="str">
        <x:v>Grass/Grass-like</x:v>
      </x:c>
      <x:c r="G224" s="84" t="str">
        <x:v>Sun</x:v>
      </x:c>
      <x:c r="H224" s="84" t="str">
        <x:v>Dry</x:v>
      </x:c>
      <x:c r="I224" s="84" t="str">
        <x:v>dasylirion texanum</x:v>
      </x:c>
    </x:row>
    <x:row r="225">
      <x:c r="A225" s="83" t="str">
        <x:v>BONAP/NAPA Hays workbook</x:v>
      </x:c>
      <x:c r="B225" s="84" t="n">
        <x:v>228</x:v>
      </x:c>
      <x:c r="C225" s="87" t="str">
        <x:v>Daucosma laciniata</x:v>
      </x:c>
      <x:c r="D225" s="84" t="str">
        <x:v>Meadow Parasol, Daucosma</x:v>
      </x:c>
      <x:c r="E225" s="84" t="str">
        <x:v>Annual</x:v>
      </x:c>
      <x:c r="F225" s="84" t="str">
        <x:v>Herb</x:v>
      </x:c>
      <x:c r="G225" s="84" t="str"/>
      <x:c r="H225" s="84" t="str"/>
      <x:c r="I225" s="84" t="str">
        <x:v>daucosma laciniata</x:v>
      </x:c>
    </x:row>
    <x:row r="226">
      <x:c r="A226" s="83" t="str">
        <x:v>BONAP/NAPA Hays workbook</x:v>
      </x:c>
      <x:c r="B226" s="84" t="n">
        <x:v>229</x:v>
      </x:c>
      <x:c r="C226" s="87" t="str">
        <x:v>Daucus pusillus</x:v>
      </x:c>
      <x:c r="D226" s="84" t="str">
        <x:v>American Wild Carrot, Rattlesnake-weed, Wild Carrot</x:v>
      </x:c>
      <x:c r="E226" s="84" t="str">
        <x:v>Annual, Biennial</x:v>
      </x:c>
      <x:c r="F226" s="84" t="str">
        <x:v>Herb</x:v>
      </x:c>
      <x:c r="G226" s="84" t="str"/>
      <x:c r="H226" s="84" t="str"/>
      <x:c r="I226" s="84" t="str">
        <x:v>daucus pusillus</x:v>
      </x:c>
    </x:row>
    <x:row r="227">
      <x:c r="A227" s="83" t="str">
        <x:v>BONAP/NAPA Hays workbook</x:v>
      </x:c>
      <x:c r="B227" s="84" t="n">
        <x:v>230</x:v>
      </x:c>
      <x:c r="C227" s="87" t="str">
        <x:v>Delphinium carolinianum ssp. vimineum</x:v>
      </x:c>
      <x:c r="D227" s="84" t="str">
        <x:v>Carolina Larkspur, Prairie Larkspur</x:v>
      </x:c>
      <x:c r="E227" s="84" t="str">
        <x:v>Perennial</x:v>
      </x:c>
      <x:c r="F227" s="84" t="str">
        <x:v>Herb</x:v>
      </x:c>
      <x:c r="G227" s="84" t="str">
        <x:v>Part-shade</x:v>
      </x:c>
      <x:c r="H227" s="84" t="str">
        <x:v>Dry</x:v>
      </x:c>
      <x:c r="I227" s="84" t="str">
        <x:v>delphinium carolinianum ssp. vimineum</x:v>
      </x:c>
    </x:row>
    <x:row r="228">
      <x:c r="A228" s="83" t="str">
        <x:v>BONAP/NAPA Hays workbook</x:v>
      </x:c>
      <x:c r="B228" s="84" t="n">
        <x:v>231</x:v>
      </x:c>
      <x:c r="C228" s="87" t="str">
        <x:v>Dermatophyllum secundiflorum</x:v>
      </x:c>
      <x:c r="D228" s="84" t="str">
        <x:v>Texas Mountain Laurel, Mountain Laurel, Mescal Bean, Mescal Bean Sophora, Frijolillo, Frijolito</x:v>
      </x:c>
      <x:c r="E228" s="84" t="str">
        <x:v>Perennial</x:v>
      </x:c>
      <x:c r="F228" s="84" t="str">
        <x:v>Shrub, Tree</x:v>
      </x:c>
      <x:c r="G228" s="84" t="str">
        <x:v>Sun, Part-shade</x:v>
      </x:c>
      <x:c r="H228" s="84" t="str">
        <x:v>Moist, Dry</x:v>
      </x:c>
      <x:c r="I228" s="84" t="str">
        <x:v>dermatophyllum secundiflorum</x:v>
      </x:c>
    </x:row>
    <x:row r="229">
      <x:c r="A229" s="83" t="str">
        <x:v>BONAP/NAPA Hays workbook</x:v>
      </x:c>
      <x:c r="B229" s="84" t="n">
        <x:v>232</x:v>
      </x:c>
      <x:c r="C229" s="87" t="str">
        <x:v>Descurainia pinnata</x:v>
      </x:c>
      <x:c r="D229" s="84" t="str">
        <x:v>Western Tansymustard, Tansy-mustard</x:v>
      </x:c>
      <x:c r="E229" s="84" t="str">
        <x:v>Annual</x:v>
      </x:c>
      <x:c r="F229" s="84" t="str">
        <x:v>Herb</x:v>
      </x:c>
      <x:c r="G229" s="84" t="str">
        <x:v>Sun</x:v>
      </x:c>
      <x:c r="H229" s="84" t="str">
        <x:v>Dry</x:v>
      </x:c>
      <x:c r="I229" s="84" t="str">
        <x:v>descurainia pinnata</x:v>
      </x:c>
    </x:row>
    <x:row r="230">
      <x:c r="A230" s="83" t="str">
        <x:v>BONAP/NAPA Hays workbook</x:v>
      </x:c>
      <x:c r="B230" s="84" t="n">
        <x:v>233</x:v>
      </x:c>
      <x:c r="C230" s="87" t="str">
        <x:v>Desmanthus illinoensis</x:v>
      </x:c>
      <x:c r="D230" s="84" t="str">
        <x:v>Illinois Bundleflower, Bundleflower, Prairie Bundle Flower, Prickleweed, Illinois Desmanthus, Prairie Mimosa</x:v>
      </x:c>
      <x:c r="E230" s="84" t="str">
        <x:v>Perennial</x:v>
      </x:c>
      <x:c r="F230" s="84" t="str">
        <x:v>Shrub</x:v>
      </x:c>
      <x:c r="G230" s="84" t="str">
        <x:v>Sun</x:v>
      </x:c>
      <x:c r="H230" s="84" t="str">
        <x:v>Moist</x:v>
      </x:c>
      <x:c r="I230" s="84" t="str">
        <x:v>desmanthus illinoensis</x:v>
      </x:c>
    </x:row>
    <x:row r="231">
      <x:c r="A231" s="83" t="str">
        <x:v>BONAP/NAPA Hays workbook</x:v>
      </x:c>
      <x:c r="B231" s="84" t="n">
        <x:v>234</x:v>
      </x:c>
      <x:c r="C231" s="87" t="str">
        <x:v>Desmanthus leptolobus</x:v>
      </x:c>
      <x:c r="D231" s="84" t="str">
        <x:v>Slenderlobe Bundleflower</x:v>
      </x:c>
      <x:c r="E231" s="84" t="str">
        <x:v>Perennial</x:v>
      </x:c>
      <x:c r="F231" s="84" t="str">
        <x:v>Herb</x:v>
      </x:c>
      <x:c r="G231" s="84" t="str"/>
      <x:c r="H231" s="84" t="str"/>
      <x:c r="I231" s="84" t="str">
        <x:v>desmanthus leptolobus</x:v>
      </x:c>
    </x:row>
    <x:row r="232">
      <x:c r="A232" s="83" t="str">
        <x:v>BONAP/NAPA Hays workbook</x:v>
      </x:c>
      <x:c r="B232" s="84" t="n">
        <x:v>235</x:v>
      </x:c>
      <x:c r="C232" s="87" t="str">
        <x:v>Desmanthus velutinus</x:v>
      </x:c>
      <x:c r="D232" s="84" t="str">
        <x:v>Velvet Bundleflower</x:v>
      </x:c>
      <x:c r="E232" s="84" t="str">
        <x:v>Perennial</x:v>
      </x:c>
      <x:c r="F232" s="84" t="str">
        <x:v>Herb</x:v>
      </x:c>
      <x:c r="G232" s="84" t="str"/>
      <x:c r="H232" s="84" t="str"/>
      <x:c r="I232" s="84" t="str">
        <x:v>desmanthus velutinus</x:v>
      </x:c>
    </x:row>
    <x:row r="233">
      <x:c r="A233" s="83" t="str">
        <x:v>BONAP/NAPA Hays workbook</x:v>
      </x:c>
      <x:c r="B233" s="84" t="n">
        <x:v>236</x:v>
      </x:c>
      <x:c r="C233" s="87" t="str">
        <x:v>Desmanthus virgatus</x:v>
      </x:c>
      <x:c r="D233" s="84" t="str">
        <x:v>Prostrate Bundleflower, Wild Tantan, Slender Mimosa</x:v>
      </x:c>
      <x:c r="E233" s="84" t="str">
        <x:v>Perennial</x:v>
      </x:c>
      <x:c r="F233" s="84" t="str">
        <x:v>Herb, Subshrub</x:v>
      </x:c>
      <x:c r="G233" s="84" t="str"/>
      <x:c r="H233" s="84" t="str"/>
      <x:c r="I233" s="84" t="str">
        <x:v>desmanthus virgatus</x:v>
      </x:c>
    </x:row>
    <x:row r="234">
      <x:c r="A234" s="83" t="str">
        <x:v>BONAP/NAPA Hays workbook</x:v>
      </x:c>
      <x:c r="B234" s="84" t="n">
        <x:v>237</x:v>
      </x:c>
      <x:c r="C234" s="87" t="str">
        <x:v>Desmodium nudiflorum</x:v>
      </x:c>
      <x:c r="D234" s="84" t="str">
        <x:v>Nakedflower Ticktrefoil</x:v>
      </x:c>
      <x:c r="E234" s="84" t="str">
        <x:v>Perennial</x:v>
      </x:c>
      <x:c r="F234" s="84" t="str">
        <x:v>Herb</x:v>
      </x:c>
      <x:c r="G234" s="84" t="str">
        <x:v>Part-shade</x:v>
      </x:c>
      <x:c r="H234" s="84" t="str">
        <x:v>Moist</x:v>
      </x:c>
      <x:c r="I234" s="84" t="str">
        <x:v>desmodium nudiflorum</x:v>
      </x:c>
    </x:row>
    <x:row r="235">
      <x:c r="A235" s="83" t="str">
        <x:v>BONAP/NAPA Hays workbook</x:v>
      </x:c>
      <x:c r="B235" s="84" t="n">
        <x:v>238</x:v>
      </x:c>
      <x:c r="C235" s="87" t="str">
        <x:v>Desmodium paniculatum</x:v>
      </x:c>
      <x:c r="D235" s="84" t="str">
        <x:v>Panicledleaf Ticktrefoil, Panicled Tick Trefoil, Velcro Vine</x:v>
      </x:c>
      <x:c r="E235" s="84" t="str">
        <x:v>Perennial</x:v>
      </x:c>
      <x:c r="F235" s="84" t="str">
        <x:v>Herb</x:v>
      </x:c>
      <x:c r="G235" s="84" t="str">
        <x:v>Part-shade</x:v>
      </x:c>
      <x:c r="H235" s="84" t="str">
        <x:v>Dry</x:v>
      </x:c>
      <x:c r="I235" s="84" t="str">
        <x:v>desmodium paniculatum</x:v>
      </x:c>
    </x:row>
    <x:row r="236">
      <x:c r="A236" s="83" t="str">
        <x:v>BONAP/NAPA Hays workbook</x:v>
      </x:c>
      <x:c r="B236" s="84" t="n">
        <x:v>239</x:v>
      </x:c>
      <x:c r="C236" s="87" t="str">
        <x:v>Desmodium psilophyllum</x:v>
      </x:c>
      <x:c r="D236" s="84" t="str">
        <x:v>Simpleleaf Ticktrefoil, Wright's Tickclover, Beggar's Ticks, Sticktights</x:v>
      </x:c>
      <x:c r="E236" s="84" t="str">
        <x:v>Perennial</x:v>
      </x:c>
      <x:c r="F236" s="84" t="str">
        <x:v>Herb</x:v>
      </x:c>
      <x:c r="G236" s="84" t="str"/>
      <x:c r="H236" s="84" t="str"/>
      <x:c r="I236" s="84" t="str">
        <x:v>desmodium psilophyllum</x:v>
      </x:c>
    </x:row>
    <x:row r="237">
      <x:c r="A237" s="83" t="str">
        <x:v>BONAP/NAPA Hays workbook</x:v>
      </x:c>
      <x:c r="B237" s="84" t="n">
        <x:v>240</x:v>
      </x:c>
      <x:c r="C237" s="87" t="str">
        <x:v>Desmodium sessilifolium</x:v>
      </x:c>
      <x:c r="D237" s="84" t="str">
        <x:v>Sessileleaf Ticktrefoil</x:v>
      </x:c>
      <x:c r="E237" s="84" t="str">
        <x:v>Perennial</x:v>
      </x:c>
      <x:c r="F237" s="84" t="str">
        <x:v>Herb</x:v>
      </x:c>
      <x:c r="G237" s="84" t="str">
        <x:v>Sun</x:v>
      </x:c>
      <x:c r="H237" s="84" t="str">
        <x:v>Dry</x:v>
      </x:c>
      <x:c r="I237" s="84" t="str">
        <x:v>desmodium sessilifolium</x:v>
      </x:c>
    </x:row>
    <x:row r="238">
      <x:c r="A238" s="83" t="str">
        <x:v>BONAP/NAPA Hays workbook</x:v>
      </x:c>
      <x:c r="B238" s="84" t="n">
        <x:v>241</x:v>
      </x:c>
      <x:c r="C238" s="87" t="str">
        <x:v>Dichanthelium acuminatum var. lindheimeri</x:v>
      </x:c>
      <x:c r="D238" s="84" t="str">
        <x:v>Lindheimer Panicgrass, Lindheimer's Rosettegrass, Lindheimer's Rosette Grass</x:v>
      </x:c>
      <x:c r="E238" s="84" t="str">
        <x:v>Perennial</x:v>
      </x:c>
      <x:c r="F238" s="84" t="str">
        <x:v>Grass/Grass-like</x:v>
      </x:c>
      <x:c r="G238" s="84" t="str">
        <x:v>Sun, Part-shade</x:v>
      </x:c>
      <x:c r="H238" s="84" t="str"/>
      <x:c r="I238" s="84" t="str">
        <x:v>dichanthelium acuminatum var. lindheimeri</x:v>
      </x:c>
    </x:row>
    <x:row r="239">
      <x:c r="A239" s="83" t="str">
        <x:v>BONAP/NAPA Hays workbook</x:v>
      </x:c>
      <x:c r="B239" s="84" t="n">
        <x:v>242</x:v>
      </x:c>
      <x:c r="C239" s="87" t="str">
        <x:v>Dichanthelium oligosanthes</x:v>
      </x:c>
      <x:c r="D239" s="84" t="str">
        <x:v>Heller's Rosette Grass</x:v>
      </x:c>
      <x:c r="E239" s="84" t="str">
        <x:v>Perennial</x:v>
      </x:c>
      <x:c r="F239" s="84" t="str">
        <x:v>Grass/Grass-like</x:v>
      </x:c>
      <x:c r="G239" s="84" t="str"/>
      <x:c r="H239" s="84" t="str"/>
      <x:c r="I239" s="84" t="str">
        <x:v>dichanthelium oligosanthes</x:v>
      </x:c>
    </x:row>
    <x:row r="240">
      <x:c r="A240" s="83" t="str">
        <x:v>BONAP/NAPA Hays workbook</x:v>
      </x:c>
      <x:c r="B240" s="84" t="n">
        <x:v>243</x:v>
      </x:c>
      <x:c r="C240" s="87" t="str">
        <x:v>Dichanthelium pedicellatum</x:v>
      </x:c>
      <x:c r="D240" s="84" t="str">
        <x:v>Cedar Rosette Grass, Corm-based Panicgrass</x:v>
      </x:c>
      <x:c r="E240" s="84" t="str">
        <x:v>Perennial</x:v>
      </x:c>
      <x:c r="F240" s="84" t="str">
        <x:v>Grass/Grass-like</x:v>
      </x:c>
      <x:c r="G240" s="84" t="str"/>
      <x:c r="H240" s="84" t="str"/>
      <x:c r="I240" s="84" t="str">
        <x:v>dichanthelium pedicellatum</x:v>
      </x:c>
    </x:row>
    <x:row r="241">
      <x:c r="A241" s="83" t="str">
        <x:v>BONAP/NAPA Hays workbook</x:v>
      </x:c>
      <x:c r="B241" s="84" t="n">
        <x:v>244</x:v>
      </x:c>
      <x:c r="C241" s="87" t="str">
        <x:v>Dichondra carolinensis</x:v>
      </x:c>
      <x:c r="D241" s="84" t="str">
        <x:v>Carolina Ponyfoot, Ponyfoot</x:v>
      </x:c>
      <x:c r="E241" s="84" t="str">
        <x:v>Perennial</x:v>
      </x:c>
      <x:c r="F241" s="84" t="str">
        <x:v>Herb</x:v>
      </x:c>
      <x:c r="G241" s="84" t="str"/>
      <x:c r="H241" s="84" t="str"/>
      <x:c r="I241" s="84" t="str">
        <x:v>dichondra carolinensis</x:v>
      </x:c>
    </x:row>
    <x:row r="242">
      <x:c r="A242" s="83" t="str">
        <x:v>BONAP/NAPA Hays workbook</x:v>
      </x:c>
      <x:c r="B242" s="84" t="n">
        <x:v>245</x:v>
      </x:c>
      <x:c r="C242" s="87" t="str">
        <x:v>Dichondra recurvata</x:v>
      </x:c>
      <x:c r="D242" s="84" t="str">
        <x:v>Oakwoods Ponysfoot, Oakwoods Ponyfoot</x:v>
      </x:c>
      <x:c r="E242" s="84" t="str">
        <x:v>Perennial</x:v>
      </x:c>
      <x:c r="F242" s="84" t="str">
        <x:v>Herb</x:v>
      </x:c>
      <x:c r="G242" s="84" t="str"/>
      <x:c r="H242" s="84" t="str"/>
      <x:c r="I242" s="84" t="str">
        <x:v>dichondra recurvata</x:v>
      </x:c>
    </x:row>
    <x:row r="243">
      <x:c r="A243" s="83" t="str">
        <x:v>BONAP/NAPA Hays workbook</x:v>
      </x:c>
      <x:c r="B243" s="84" t="n">
        <x:v>246</x:v>
      </x:c>
      <x:c r="C243" s="87" t="str">
        <x:v>Dicliptera brachiata</x:v>
      </x:c>
      <x:c r="D243" s="84" t="str">
        <x:v>Branched Foldwing, Branched Dicliptera</x:v>
      </x:c>
      <x:c r="E243" s="84" t="str">
        <x:v>Perennial</x:v>
      </x:c>
      <x:c r="F243" s="84" t="str">
        <x:v>Herb</x:v>
      </x:c>
      <x:c r="G243" s="84" t="str">
        <x:v>Part-shade</x:v>
      </x:c>
      <x:c r="H243" s="84" t="str">
        <x:v>Moist</x:v>
      </x:c>
      <x:c r="I243" s="84" t="str">
        <x:v>dicliptera brachiata</x:v>
      </x:c>
    </x:row>
    <x:row r="244">
      <x:c r="A244" s="83" t="str">
        <x:v>BONAP/NAPA Hays workbook</x:v>
      </x:c>
      <x:c r="B244" s="84" t="n">
        <x:v>247</x:v>
      </x:c>
      <x:c r="C244" s="87" t="str">
        <x:v>Digitaria ciliaris</x:v>
      </x:c>
      <x:c r="D244" s="84" t="str">
        <x:v>Southern Crabgrass</x:v>
      </x:c>
      <x:c r="E244" s="84" t="str">
        <x:v>Annual, Perennial</x:v>
      </x:c>
      <x:c r="F244" s="84" t="str">
        <x:v>Grass/Grass-like</x:v>
      </x:c>
      <x:c r="G244" s="84" t="str"/>
      <x:c r="H244" s="84" t="str"/>
      <x:c r="I244" s="84" t="str">
        <x:v>digitaria ciliaris</x:v>
      </x:c>
    </x:row>
    <x:row r="245">
      <x:c r="A245" s="83" t="str">
        <x:v>BONAP/NAPA Hays workbook</x:v>
      </x:c>
      <x:c r="B245" s="84" t="n">
        <x:v>248</x:v>
      </x:c>
      <x:c r="C245" s="87" t="str">
        <x:v>Digitaria cognata</x:v>
      </x:c>
      <x:c r="D245" s="84" t="str">
        <x:v>Carolina Crabgrass, Fall Witchgrass</x:v>
      </x:c>
      <x:c r="E245" s="84" t="str">
        <x:v>Perennial</x:v>
      </x:c>
      <x:c r="F245" s="84" t="str">
        <x:v>Grass/Grass-like</x:v>
      </x:c>
      <x:c r="G245" s="84" t="str">
        <x:v>Sun, Shade, Part-shade</x:v>
      </x:c>
      <x:c r="H245" s="84" t="str">
        <x:v>Dry</x:v>
      </x:c>
      <x:c r="I245" s="84" t="str">
        <x:v>digitaria cognata</x:v>
      </x:c>
    </x:row>
    <x:row r="246">
      <x:c r="A246" s="83" t="str">
        <x:v>BONAP/NAPA Hays workbook</x:v>
      </x:c>
      <x:c r="B246" s="84" t="n">
        <x:v>249</x:v>
      </x:c>
      <x:c r="C246" s="87" t="str">
        <x:v>Diospyros texana</x:v>
      </x:c>
      <x:c r="D246" s="84" t="str">
        <x:v>Texas Persimmon, Mexican Persimmon, Black Persimmon, Chapote, Chapote Prieto</x:v>
      </x:c>
      <x:c r="E246" s="84" t="str">
        <x:v>Perennial</x:v>
      </x:c>
      <x:c r="F246" s="84" t="str">
        <x:v>Tree</x:v>
      </x:c>
      <x:c r="G246" s="84" t="str">
        <x:v>Sun, Part-shade</x:v>
      </x:c>
      <x:c r="H246" s="84" t="str">
        <x:v>Dry</x:v>
      </x:c>
      <x:c r="I246" s="84" t="str">
        <x:v>diospyros texana</x:v>
      </x:c>
    </x:row>
    <x:row r="247">
      <x:c r="A247" s="83" t="str">
        <x:v>BONAP/NAPA Hays workbook</x:v>
      </x:c>
      <x:c r="B247" s="84" t="n">
        <x:v>250</x:v>
      </x:c>
      <x:c r="C247" s="87" t="str">
        <x:v>Draba cuneifolia</x:v>
      </x:c>
      <x:c r="D247" s="84" t="str">
        <x:v>Wedgeleaf Draba, Whitlow-grass</x:v>
      </x:c>
      <x:c r="E247" s="84" t="str">
        <x:v>Annual</x:v>
      </x:c>
      <x:c r="F247" s="84" t="str">
        <x:v>Herb</x:v>
      </x:c>
      <x:c r="G247" s="84" t="str"/>
      <x:c r="H247" s="84" t="str"/>
      <x:c r="I247" s="84" t="str">
        <x:v>draba cuneifolia</x:v>
      </x:c>
    </x:row>
    <x:row r="248">
      <x:c r="A248" s="83" t="str">
        <x:v>BONAP/NAPA Hays workbook</x:v>
      </x:c>
      <x:c r="B248" s="84" t="n">
        <x:v>251</x:v>
      </x:c>
      <x:c r="C248" s="87" t="str">
        <x:v>Dracopis amplexicaulis</x:v>
      </x:c>
      <x:c r="D248" s="84" t="str">
        <x:v>Clasping Coneflower, Clasping-leaf Coneflower</x:v>
      </x:c>
      <x:c r="E248" s="84" t="str">
        <x:v>Annual</x:v>
      </x:c>
      <x:c r="F248" s="84" t="str">
        <x:v>Herb</x:v>
      </x:c>
      <x:c r="G248" s="84" t="str">
        <x:v>Part-shade</x:v>
      </x:c>
      <x:c r="H248" s="84" t="str">
        <x:v>Moist</x:v>
      </x:c>
      <x:c r="I248" s="84" t="str">
        <x:v>dracopis amplexicaulis</x:v>
      </x:c>
    </x:row>
    <x:row r="249">
      <x:c r="A249" s="83" t="str">
        <x:v>BONAP/NAPA Hays workbook</x:v>
      </x:c>
      <x:c r="B249" s="84" t="n">
        <x:v>252</x:v>
      </x:c>
      <x:c r="C249" s="87" t="str">
        <x:v>Dyschoriste linearis</x:v>
      </x:c>
      <x:c r="D249" s="84" t="str">
        <x:v>Snake Herb, Polkadots, Narrowleaf Dyschoriste</x:v>
      </x:c>
      <x:c r="E249" s="84" t="str">
        <x:v>Perennial</x:v>
      </x:c>
      <x:c r="F249" s="84" t="str">
        <x:v>Herb</x:v>
      </x:c>
      <x:c r="G249" s="84" t="str">
        <x:v>Sun</x:v>
      </x:c>
      <x:c r="H249" s="84" t="str">
        <x:v>Wet, Moist</x:v>
      </x:c>
      <x:c r="I249" s="84" t="str">
        <x:v>dyschoriste linearis</x:v>
      </x:c>
    </x:row>
    <x:row r="250">
      <x:c r="A250" s="83" t="str">
        <x:v>BONAP/NAPA Hays workbook</x:v>
      </x:c>
      <x:c r="B250" s="84" t="n">
        <x:v>253</x:v>
      </x:c>
      <x:c r="C250" s="87" t="str">
        <x:v>Dysodiopsis tagetoides</x:v>
      </x:c>
      <x:c r="D250" s="84" t="str">
        <x:v>False Dogfennel, Dogweed</x:v>
      </x:c>
      <x:c r="E250" s="84" t="str">
        <x:v>Perennial</x:v>
      </x:c>
      <x:c r="F250" s="84" t="str">
        <x:v>Herb</x:v>
      </x:c>
      <x:c r="G250" s="84" t="str"/>
      <x:c r="H250" s="84" t="str"/>
      <x:c r="I250" s="84" t="str">
        <x:v>dysodiopsis tagetoides</x:v>
      </x:c>
    </x:row>
    <x:row r="251">
      <x:c r="A251" s="83" t="str">
        <x:v>BONAP/NAPA Hays workbook</x:v>
      </x:c>
      <x:c r="B251" s="84" t="n">
        <x:v>254</x:v>
      </x:c>
      <x:c r="C251" s="87" t="str">
        <x:v>Echinacea angustifolia</x:v>
      </x:c>
      <x:c r="D251" s="84" t="str">
        <x:v>Black Samson, Black Samson Echinacea, Narrow-leaf Coneflower</x:v>
      </x:c>
      <x:c r="E251" s="84" t="str">
        <x:v>Perennial</x:v>
      </x:c>
      <x:c r="F251" s="84" t="str">
        <x:v>Herb</x:v>
      </x:c>
      <x:c r="G251" s="84" t="str">
        <x:v>Sun, Part-shade</x:v>
      </x:c>
      <x:c r="H251" s="84" t="str">
        <x:v>Dry</x:v>
      </x:c>
      <x:c r="I251" s="84" t="str">
        <x:v>echinacea angustifolia</x:v>
      </x:c>
    </x:row>
    <x:row r="252">
      <x:c r="A252" s="83" t="str">
        <x:v>BONAP/NAPA Hays workbook</x:v>
      </x:c>
      <x:c r="B252" s="84" t="n">
        <x:v>255</x:v>
      </x:c>
      <x:c r="C252" s="87" t="str">
        <x:v>Echinocactus texensis</x:v>
      </x:c>
      <x:c r="D252" s="84" t="str">
        <x:v>Horse Crippler, Horse Crippler Cactus, Devil's Head, Chisos Hedgehog Cactus, Chisos Hedgehog</x:v>
      </x:c>
      <x:c r="E252" s="84" t="str">
        <x:v>Perennial</x:v>
      </x:c>
      <x:c r="F252" s="84" t="str">
        <x:v>Cactus/Succulent</x:v>
      </x:c>
      <x:c r="G252" s="84" t="str">
        <x:v>Sun</x:v>
      </x:c>
      <x:c r="H252" s="84" t="str">
        <x:v>Dry</x:v>
      </x:c>
      <x:c r="I252" s="84" t="str">
        <x:v>echinocactus texensis</x:v>
      </x:c>
    </x:row>
    <x:row r="253">
      <x:c r="A253" s="83" t="str">
        <x:v>BONAP/NAPA Hays workbook</x:v>
      </x:c>
      <x:c r="B253" s="84" t="n">
        <x:v>256</x:v>
      </x:c>
      <x:c r="C253" s="87" t="str">
        <x:v>Echinocereus reichenbachii</x:v>
      </x:c>
      <x:c r="D253" s="84" t="str">
        <x:v>Lace Hedgehog Cactus, Lace Cactus, Lace Hedgehog, Purple Candle</x:v>
      </x:c>
      <x:c r="E253" s="84" t="str">
        <x:v>Perennial</x:v>
      </x:c>
      <x:c r="F253" s="84" t="str">
        <x:v>Cactus/Succulent</x:v>
      </x:c>
      <x:c r="G253" s="84" t="str">
        <x:v>Sun</x:v>
      </x:c>
      <x:c r="H253" s="84" t="str">
        <x:v>Dry</x:v>
      </x:c>
      <x:c r="I253" s="84" t="str">
        <x:v>echinocereus reichenbachii</x:v>
      </x:c>
    </x:row>
    <x:row r="254">
      <x:c r="A254" s="83" t="str">
        <x:v>BONAP/NAPA Hays workbook</x:v>
      </x:c>
      <x:c r="B254" s="84" t="n">
        <x:v>257</x:v>
      </x:c>
      <x:c r="C254" s="87" t="str">
        <x:v>Echinocereus triglochidiatus</x:v>
      </x:c>
      <x:c r="D254" s="84" t="str">
        <x:v>Claret Cup, Claret Cup Cactus, Hedgehog Cactus, Kingcup Cactus, Mojave Mound, Mohave Mound</x:v>
      </x:c>
      <x:c r="E254" s="84" t="str">
        <x:v>Perennial</x:v>
      </x:c>
      <x:c r="F254" s="84" t="str">
        <x:v>Cactus/Succulent</x:v>
      </x:c>
      <x:c r="G254" s="84" t="str">
        <x:v>Sun</x:v>
      </x:c>
      <x:c r="H254" s="84" t="str">
        <x:v>Dry</x:v>
      </x:c>
      <x:c r="I254" s="84" t="str">
        <x:v>echinocereus triglochidiatus</x:v>
      </x:c>
    </x:row>
    <x:row r="255">
      <x:c r="A255" s="83" t="str">
        <x:v>BONAP/NAPA Hays workbook</x:v>
      </x:c>
      <x:c r="B255" s="84" t="n">
        <x:v>258</x:v>
      </x:c>
      <x:c r="C255" s="87" t="str">
        <x:v>Echinodorus berteroi</x:v>
      </x:c>
      <x:c r="D255" s="84" t="str">
        <x:v>Upright Burrhead</x:v>
      </x:c>
      <x:c r="E255" s="84" t="str">
        <x:v>Annual</x:v>
      </x:c>
      <x:c r="F255" s="84" t="str">
        <x:v>Herb</x:v>
      </x:c>
      <x:c r="G255" s="84" t="str"/>
      <x:c r="H255" s="84" t="str"/>
      <x:c r="I255" s="84" t="str">
        <x:v>echinodorus berteroi</x:v>
      </x:c>
    </x:row>
    <x:row r="256">
      <x:c r="A256" s="83" t="str">
        <x:v>BONAP/NAPA Hays workbook</x:v>
      </x:c>
      <x:c r="B256" s="84" t="n">
        <x:v>259</x:v>
      </x:c>
      <x:c r="C256" s="87" t="str">
        <x:v>Eclipta prostrata</x:v>
      </x:c>
      <x:c r="D256" s="84" t="str">
        <x:v>Pie Plant, False Daisy, Eclipta</x:v>
      </x:c>
      <x:c r="E256" s="84" t="str">
        <x:v>Annual, Perennial</x:v>
      </x:c>
      <x:c r="F256" s="84" t="str">
        <x:v>Herb</x:v>
      </x:c>
      <x:c r="G256" s="84" t="str"/>
      <x:c r="H256" s="84" t="str"/>
      <x:c r="I256" s="84" t="str">
        <x:v>eclipta prostrata</x:v>
      </x:c>
    </x:row>
    <x:row r="257">
      <x:c r="A257" s="83" t="str">
        <x:v>BONAP/NAPA Hays workbook</x:v>
      </x:c>
      <x:c r="B257" s="84" t="n">
        <x:v>260</x:v>
      </x:c>
      <x:c r="C257" s="87" t="str">
        <x:v>Ehretia anacua</x:v>
      </x:c>
      <x:c r="D257" s="84" t="str">
        <x:v>Anacua, Sugarberry Anacua, Anaqua, Anacahuita, Knockaway, Knackaway, Sandpaper Tree, Manzanita, Manzanillo, Tlalahuacate</x:v>
      </x:c>
      <x:c r="E257" s="84" t="str">
        <x:v>Perennial</x:v>
      </x:c>
      <x:c r="F257" s="84" t="str">
        <x:v>Tree</x:v>
      </x:c>
      <x:c r="G257" s="84" t="str">
        <x:v>Sun, Part-shade</x:v>
      </x:c>
      <x:c r="H257" s="84" t="str">
        <x:v>Dry</x:v>
      </x:c>
      <x:c r="I257" s="84" t="str">
        <x:v>ehretia anacua</x:v>
      </x:c>
    </x:row>
    <x:row r="258">
      <x:c r="A258" s="83" t="str">
        <x:v>BONAP/NAPA Hays workbook</x:v>
      </x:c>
      <x:c r="B258" s="84" t="n">
        <x:v>261</x:v>
      </x:c>
      <x:c r="C258" s="87" t="str">
        <x:v>Eleocharis atropurpurea</x:v>
      </x:c>
      <x:c r="D258" s="84" t="str">
        <x:v>Purple Spikerush</x:v>
      </x:c>
      <x:c r="E258" s="84" t="str">
        <x:v>Annual</x:v>
      </x:c>
      <x:c r="F258" s="84" t="str">
        <x:v>Grass/Grass-like</x:v>
      </x:c>
      <x:c r="G258" s="84" t="str"/>
      <x:c r="H258" s="84" t="str"/>
      <x:c r="I258" s="84" t="str">
        <x:v>eleocharis atropurpurea</x:v>
      </x:c>
    </x:row>
    <x:row r="259">
      <x:c r="A259" s="83" t="str">
        <x:v>BONAP/NAPA Hays workbook</x:v>
      </x:c>
      <x:c r="B259" s="84" t="n">
        <x:v>262</x:v>
      </x:c>
      <x:c r="C259" s="87" t="str">
        <x:v>Eleocharis montevidensis</x:v>
      </x:c>
      <x:c r="D259" s="84" t="str">
        <x:v>Sand Spikerush, Spike Rush</x:v>
      </x:c>
      <x:c r="E259" s="84" t="str">
        <x:v>Perennial</x:v>
      </x:c>
      <x:c r="F259" s="84" t="str">
        <x:v>Grass/Grass-like</x:v>
      </x:c>
      <x:c r="G259" s="84" t="str">
        <x:v>Sun</x:v>
      </x:c>
      <x:c r="H259" s="84" t="str">
        <x:v>Wet, Moist</x:v>
      </x:c>
      <x:c r="I259" s="84" t="str">
        <x:v>eleocharis montevidensis</x:v>
      </x:c>
    </x:row>
    <x:row r="260">
      <x:c r="A260" s="83" t="str">
        <x:v>BONAP/NAPA Hays workbook</x:v>
      </x:c>
      <x:c r="B260" s="84" t="n">
        <x:v>263</x:v>
      </x:c>
      <x:c r="C260" s="87" t="str">
        <x:v>Eleocharis rostellata</x:v>
      </x:c>
      <x:c r="D260" s="84" t="str">
        <x:v>Beaked Spikerush, Leap Frog Spike Rush</x:v>
      </x:c>
      <x:c r="E260" s="84" t="str">
        <x:v>Perennial</x:v>
      </x:c>
      <x:c r="F260" s="84" t="str">
        <x:v>Grass/Grass-like</x:v>
      </x:c>
      <x:c r="G260" s="84" t="str">
        <x:v>Part-shade</x:v>
      </x:c>
      <x:c r="H260" s="84" t="str">
        <x:v>Wet</x:v>
      </x:c>
      <x:c r="I260" s="84" t="str">
        <x:v>eleocharis rostellata</x:v>
      </x:c>
    </x:row>
    <x:row r="261">
      <x:c r="A261" s="83" t="str">
        <x:v>BONAP/NAPA Hays workbook</x:v>
      </x:c>
      <x:c r="B261" s="84" t="n">
        <x:v>264</x:v>
      </x:c>
      <x:c r="C261" s="87" t="str">
        <x:v>Elymus canadensis</x:v>
      </x:c>
      <x:c r="D261" s="84" t="str">
        <x:v>Canada Wild Rye, Canadian Wildrye, Prairie Wildrye, Nodding Wildrye</x:v>
      </x:c>
      <x:c r="E261" s="84" t="str">
        <x:v>Perennial</x:v>
      </x:c>
      <x:c r="F261" s="84" t="str">
        <x:v>Grass/Grass-like</x:v>
      </x:c>
      <x:c r="G261" s="84" t="str">
        <x:v>Sun, Part-shade</x:v>
      </x:c>
      <x:c r="H261" s="84" t="str">
        <x:v>Moist</x:v>
      </x:c>
      <x:c r="I261" s="84" t="str">
        <x:v>elymus canadensis</x:v>
      </x:c>
    </x:row>
    <x:row r="262">
      <x:c r="A262" s="83" t="str">
        <x:v>BONAP/NAPA Hays workbook</x:v>
      </x:c>
      <x:c r="B262" s="84" t="n">
        <x:v>265</x:v>
      </x:c>
      <x:c r="C262" s="87" t="str">
        <x:v>Elymus virginicus</x:v>
      </x:c>
      <x:c r="D262" s="84" t="str">
        <x:v>Virginia Wild Rye, Virginia Wildrye</x:v>
      </x:c>
      <x:c r="E262" s="84" t="str">
        <x:v>Perennial</x:v>
      </x:c>
      <x:c r="F262" s="84" t="str">
        <x:v>Grass/Grass-like</x:v>
      </x:c>
      <x:c r="G262" s="84" t="str">
        <x:v>Part-shade</x:v>
      </x:c>
      <x:c r="H262" s="84" t="str">
        <x:v>Moist</x:v>
      </x:c>
      <x:c r="I262" s="84" t="str">
        <x:v>elymus virginicus</x:v>
      </x:c>
    </x:row>
    <x:row r="263">
      <x:c r="A263" s="83" t="str">
        <x:v>BONAP/NAPA Hays workbook</x:v>
      </x:c>
      <x:c r="B263" s="84" t="n">
        <x:v>266</x:v>
      </x:c>
      <x:c r="C263" s="87" t="str">
        <x:v>Engelmannia peristenia</x:v>
      </x:c>
      <x:c r="D263" s="84" t="str">
        <x:v>Engelmann's Daisy, Engelmann Daisy, Cutleaf Daisy</x:v>
      </x:c>
      <x:c r="E263" s="84" t="str">
        <x:v>Perennial</x:v>
      </x:c>
      <x:c r="F263" s="84" t="str">
        <x:v>Herb</x:v>
      </x:c>
      <x:c r="G263" s="84" t="str">
        <x:v>Sun</x:v>
      </x:c>
      <x:c r="H263" s="84" t="str">
        <x:v>Dry</x:v>
      </x:c>
      <x:c r="I263" s="84" t="str">
        <x:v>engelmannia peristenia</x:v>
      </x:c>
    </x:row>
    <x:row r="264">
      <x:c r="A264" s="83" t="str">
        <x:v>BONAP/NAPA Hays workbook</x:v>
      </x:c>
      <x:c r="B264" s="84" t="n">
        <x:v>267</x:v>
      </x:c>
      <x:c r="C264" s="87" t="str">
        <x:v>Ephedra antisyphilitica</x:v>
      </x:c>
      <x:c r="D264" s="84" t="str">
        <x:v>Mormon Tea, Joint-fir, Clapweed, Popote</x:v>
      </x:c>
      <x:c r="E264" s="84" t="str">
        <x:v>Perennial</x:v>
      </x:c>
      <x:c r="F264" s="84" t="str">
        <x:v>Shrub</x:v>
      </x:c>
      <x:c r="G264" s="84" t="str">
        <x:v>Part-shade</x:v>
      </x:c>
      <x:c r="H264" s="84" t="str">
        <x:v>Dry</x:v>
      </x:c>
      <x:c r="I264" s="84" t="str">
        <x:v>ephedra antisyphilitica</x:v>
      </x:c>
    </x:row>
    <x:row r="265">
      <x:c r="A265" s="83" t="str">
        <x:v>BONAP/NAPA Hays workbook</x:v>
      </x:c>
      <x:c r="B265" s="84" t="n">
        <x:v>268</x:v>
      </x:c>
      <x:c r="C265" s="87" t="str">
        <x:v>Epipactis gigantea</x:v>
      </x:c>
      <x:c r="D265" s="84" t="str">
        <x:v>Stream Orchid, Chatterbox Orchid, Giant Hellebore</x:v>
      </x:c>
      <x:c r="E265" s="84" t="str">
        <x:v>Perennial</x:v>
      </x:c>
      <x:c r="F265" s="84" t="str">
        <x:v>Herb</x:v>
      </x:c>
      <x:c r="G265" s="84" t="str">
        <x:v>Shade, Part-shade</x:v>
      </x:c>
      <x:c r="H265" s="84" t="str">
        <x:v>Wet, Moist</x:v>
      </x:c>
      <x:c r="I265" s="84" t="str">
        <x:v>epipactis gigantea</x:v>
      </x:c>
    </x:row>
    <x:row r="266">
      <x:c r="A266" s="83" t="str">
        <x:v>BONAP/NAPA Hays workbook</x:v>
      </x:c>
      <x:c r="B266" s="84" t="n">
        <x:v>269</x:v>
      </x:c>
      <x:c r="C266" s="87" t="str">
        <x:v>Equisetum hyemale</x:v>
      </x:c>
      <x:c r="D266" s="84" t="str">
        <x:v>Scouring-rush Horsetail, Horsetail, Scouring Rush, Canuela</x:v>
      </x:c>
      <x:c r="E266" s="84" t="str">
        <x:v>Perennial</x:v>
      </x:c>
      <x:c r="F266" s="84" t="str">
        <x:v>Herb</x:v>
      </x:c>
      <x:c r="G266" s="84" t="str">
        <x:v>Sun, Shade, Part-shade</x:v>
      </x:c>
      <x:c r="H266" s="84" t="str">
        <x:v>Wet, Moist</x:v>
      </x:c>
      <x:c r="I266" s="84" t="str">
        <x:v>equisetum hyemale</x:v>
      </x:c>
    </x:row>
    <x:row r="267">
      <x:c r="A267" s="83" t="str">
        <x:v>BONAP/NAPA Hays workbook</x:v>
      </x:c>
      <x:c r="B267" s="84" t="n">
        <x:v>270</x:v>
      </x:c>
      <x:c r="C267" s="87" t="str">
        <x:v>Eragrostis hirsuta</x:v>
      </x:c>
      <x:c r="D267" s="84" t="str">
        <x:v>Bigtop Lovegrass , Bigtop Love Grass</x:v>
      </x:c>
      <x:c r="E267" s="84" t="str">
        <x:v>Perennial</x:v>
      </x:c>
      <x:c r="F267" s="84" t="str">
        <x:v>Grass/Grass-like</x:v>
      </x:c>
      <x:c r="G267" s="84" t="str"/>
      <x:c r="H267" s="84" t="str"/>
      <x:c r="I267" s="84" t="str">
        <x:v>eragrostis hirsuta</x:v>
      </x:c>
    </x:row>
    <x:row r="268">
      <x:c r="A268" s="83" t="str">
        <x:v>BONAP/NAPA Hays workbook</x:v>
      </x:c>
      <x:c r="B268" s="84" t="n">
        <x:v>271</x:v>
      </x:c>
      <x:c r="C268" s="87" t="str">
        <x:v>Eragrostis intermedia</x:v>
      </x:c>
      <x:c r="D268" s="84" t="str">
        <x:v>Plains Lovegrass, Plains Love Grass</x:v>
      </x:c>
      <x:c r="E268" s="84" t="str">
        <x:v>Perennial</x:v>
      </x:c>
      <x:c r="F268" s="84" t="str">
        <x:v>Grass/Grass-like</x:v>
      </x:c>
      <x:c r="G268" s="84" t="str">
        <x:v>Part-shade</x:v>
      </x:c>
      <x:c r="H268" s="84" t="str">
        <x:v>Dry</x:v>
      </x:c>
      <x:c r="I268" s="84" t="str">
        <x:v>eragrostis intermedia</x:v>
      </x:c>
    </x:row>
    <x:row r="269">
      <x:c r="A269" s="83" t="str">
        <x:v>BONAP/NAPA Hays workbook</x:v>
      </x:c>
      <x:c r="B269" s="84" t="n">
        <x:v>272</x:v>
      </x:c>
      <x:c r="C269" s="87" t="str">
        <x:v>Eragrostis lugens</x:v>
      </x:c>
      <x:c r="D269" s="84" t="str">
        <x:v>Mourning Lovegrass , Mourning Love Grass</x:v>
      </x:c>
      <x:c r="E269" s="84" t="str">
        <x:v>Perennial</x:v>
      </x:c>
      <x:c r="F269" s="84" t="str">
        <x:v>Grass/Grass-like</x:v>
      </x:c>
      <x:c r="G269" s="84" t="str"/>
      <x:c r="H269" s="84" t="str"/>
      <x:c r="I269" s="84" t="str">
        <x:v>eragrostis lugens</x:v>
      </x:c>
    </x:row>
    <x:row r="270">
      <x:c r="A270" s="83" t="str">
        <x:v>BONAP/NAPA Hays workbook</x:v>
      </x:c>
      <x:c r="B270" s="84" t="n">
        <x:v>273</x:v>
      </x:c>
      <x:c r="C270" s="87" t="str">
        <x:v>Eragrostis secundiflora</x:v>
      </x:c>
      <x:c r="D270" s="84" t="str">
        <x:v>Red Lovegrass , Red Love Grass</x:v>
      </x:c>
      <x:c r="E270" s="84" t="str">
        <x:v>Perennial</x:v>
      </x:c>
      <x:c r="F270" s="84" t="str">
        <x:v>Grass/Grass-like</x:v>
      </x:c>
      <x:c r="G270" s="84" t="str"/>
      <x:c r="H270" s="84" t="str"/>
      <x:c r="I270" s="84" t="str">
        <x:v>eragrostis secundiflora</x:v>
      </x:c>
    </x:row>
    <x:row r="271">
      <x:c r="A271" s="83" t="str">
        <x:v>BONAP/NAPA Hays workbook</x:v>
      </x:c>
      <x:c r="B271" s="84" t="n">
        <x:v>274</x:v>
      </x:c>
      <x:c r="C271" s="87" t="str">
        <x:v>Eragrostis trichodes</x:v>
      </x:c>
      <x:c r="D271" s="84" t="str">
        <x:v>Sand Lovegrass, Sand Love Grass</x:v>
      </x:c>
      <x:c r="E271" s="84" t="str">
        <x:v>Perennial</x:v>
      </x:c>
      <x:c r="F271" s="84" t="str">
        <x:v>Grass/Grass-like</x:v>
      </x:c>
      <x:c r="G271" s="84" t="str">
        <x:v>Part-shade</x:v>
      </x:c>
      <x:c r="H271" s="84" t="str"/>
      <x:c r="I271" s="84" t="str">
        <x:v>eragrostis trichodes</x:v>
      </x:c>
    </x:row>
    <x:row r="272">
      <x:c r="A272" s="83" t="str">
        <x:v>BONAP/NAPA Hays workbook</x:v>
      </x:c>
      <x:c r="B272" s="84" t="n">
        <x:v>275</x:v>
      </x:c>
      <x:c r="C272" s="87" t="str">
        <x:v>Erigeron geiseri</x:v>
      </x:c>
      <x:c r="D272" s="84" t="str">
        <x:v>Geiser's Fleabane</x:v>
      </x:c>
      <x:c r="E272" s="84" t="str">
        <x:v>Annual</x:v>
      </x:c>
      <x:c r="F272" s="84" t="str">
        <x:v>Herb</x:v>
      </x:c>
      <x:c r="G272" s="84" t="str"/>
      <x:c r="H272" s="84" t="str"/>
      <x:c r="I272" s="84" t="str">
        <x:v>erigeron geiseri</x:v>
      </x:c>
    </x:row>
    <x:row r="273">
      <x:c r="A273" s="83" t="str">
        <x:v>BONAP/NAPA Hays workbook</x:v>
      </x:c>
      <x:c r="B273" s="84" t="n">
        <x:v>276</x:v>
      </x:c>
      <x:c r="C273" s="87" t="str">
        <x:v>Erigeron modestus</x:v>
      </x:c>
      <x:c r="D273" s="84" t="str">
        <x:v>Plains Fleabane, Prairie Fleabane</x:v>
      </x:c>
      <x:c r="E273" s="84" t="str">
        <x:v>Perennial</x:v>
      </x:c>
      <x:c r="F273" s="84" t="str">
        <x:v>Herb</x:v>
      </x:c>
      <x:c r="G273" s="84" t="str">
        <x:v>Sun</x:v>
      </x:c>
      <x:c r="H273" s="84" t="str">
        <x:v>Dry</x:v>
      </x:c>
      <x:c r="I273" s="84" t="str">
        <x:v>erigeron modestus</x:v>
      </x:c>
    </x:row>
    <x:row r="274">
      <x:c r="A274" s="83" t="str">
        <x:v>BONAP/NAPA Hays workbook</x:v>
      </x:c>
      <x:c r="B274" s="84" t="n">
        <x:v>277</x:v>
      </x:c>
      <x:c r="C274" s="87" t="str">
        <x:v>Erigeron philadelphicus</x:v>
      </x:c>
      <x:c r="D274" s="84" t="str">
        <x:v>Philadelphia Fleabane, Fleabane Daisy</x:v>
      </x:c>
      <x:c r="E274" s="84" t="str">
        <x:v>Biennial</x:v>
      </x:c>
      <x:c r="F274" s="84" t="str">
        <x:v>Herb</x:v>
      </x:c>
      <x:c r="G274" s="84" t="str">
        <x:v>Part-shade</x:v>
      </x:c>
      <x:c r="H274" s="84" t="str"/>
      <x:c r="I274" s="84" t="str">
        <x:v>erigeron philadelphicus</x:v>
      </x:c>
    </x:row>
    <x:row r="275">
      <x:c r="A275" s="83" t="str">
        <x:v>BONAP/NAPA Hays workbook</x:v>
      </x:c>
      <x:c r="B275" s="84" t="n">
        <x:v>278</x:v>
      </x:c>
      <x:c r="C275" s="87" t="str">
        <x:v>Eriochloa sericea</x:v>
      </x:c>
      <x:c r="D275" s="84" t="str">
        <x:v>Texas Cupgrass</x:v>
      </x:c>
      <x:c r="E275" s="84" t="str">
        <x:v>Perennial</x:v>
      </x:c>
      <x:c r="F275" s="84" t="str">
        <x:v>Grass/Grass-like</x:v>
      </x:c>
      <x:c r="G275" s="84" t="str">
        <x:v>Sun</x:v>
      </x:c>
      <x:c r="H275" s="84" t="str">
        <x:v>Dry</x:v>
      </x:c>
      <x:c r="I275" s="84" t="str">
        <x:v>eriochloa sericea</x:v>
      </x:c>
    </x:row>
    <x:row r="276">
      <x:c r="A276" s="83" t="str">
        <x:v>BONAP/NAPA Hays workbook</x:v>
      </x:c>
      <x:c r="B276" s="84" t="n">
        <x:v>279</x:v>
      </x:c>
      <x:c r="C276" s="87" t="str">
        <x:v>Erioneuron pilosum</x:v>
      </x:c>
      <x:c r="D276" s="84" t="str">
        <x:v>Hairy Woollygrass, Hairy Tridens</x:v>
      </x:c>
      <x:c r="E276" s="84" t="str">
        <x:v>Perennial</x:v>
      </x:c>
      <x:c r="F276" s="84" t="str">
        <x:v>Grass/Grass-like</x:v>
      </x:c>
      <x:c r="G276" s="84" t="str">
        <x:v>Sun</x:v>
      </x:c>
      <x:c r="H276" s="84" t="str">
        <x:v>Dry</x:v>
      </x:c>
      <x:c r="I276" s="84" t="str">
        <x:v>erioneuron pilosum</x:v>
      </x:c>
    </x:row>
    <x:row r="277">
      <x:c r="A277" s="83" t="str">
        <x:v>BONAP/NAPA Hays workbook</x:v>
      </x:c>
      <x:c r="B277" s="84" t="n">
        <x:v>280</x:v>
      </x:c>
      <x:c r="C277" s="87" t="str">
        <x:v>Erodium texanum</x:v>
      </x:c>
      <x:c r="D277" s="84" t="str">
        <x:v>Texas Stork's Bill, Stork's Bill, Pine Needle, Fillaree</x:v>
      </x:c>
      <x:c r="E277" s="84" t="str">
        <x:v>Annual, Biennial</x:v>
      </x:c>
      <x:c r="F277" s="84" t="str">
        <x:v>Herb</x:v>
      </x:c>
      <x:c r="G277" s="84" t="str">
        <x:v>Sun</x:v>
      </x:c>
      <x:c r="H277" s="84" t="str">
        <x:v>Dry</x:v>
      </x:c>
      <x:c r="I277" s="84" t="str">
        <x:v>erodium texanum</x:v>
      </x:c>
    </x:row>
    <x:row r="278">
      <x:c r="A278" s="83" t="str">
        <x:v>BONAP/NAPA Hays workbook</x:v>
      </x:c>
      <x:c r="B278" s="84" t="n">
        <x:v>281</x:v>
      </x:c>
      <x:c r="C278" s="87" t="str">
        <x:v>Eryngium leavenworthii</x:v>
      </x:c>
      <x:c r="D278" s="84" t="str">
        <x:v>Leavenworth's Eryngo, Eryngo, False Purple Thistle</x:v>
      </x:c>
      <x:c r="E278" s="84" t="str">
        <x:v>Annual</x:v>
      </x:c>
      <x:c r="F278" s="84" t="str">
        <x:v>Herb</x:v>
      </x:c>
      <x:c r="G278" s="84" t="str">
        <x:v>Sun, Part-shade</x:v>
      </x:c>
      <x:c r="H278" s="84" t="str">
        <x:v>Moist</x:v>
      </x:c>
      <x:c r="I278" s="84" t="str">
        <x:v>eryngium leavenworthii</x:v>
      </x:c>
    </x:row>
    <x:row r="279">
      <x:c r="A279" s="83" t="str">
        <x:v>BONAP/NAPA Hays workbook</x:v>
      </x:c>
      <x:c r="B279" s="84" t="n">
        <x:v>282</x:v>
      </x:c>
      <x:c r="C279" s="87" t="str">
        <x:v>Eupatorium serotinum</x:v>
      </x:c>
      <x:c r="D279" s="84" t="str">
        <x:v>White Boneset, Lateflowering Thoroughwort, Late Boneset, Late-flowering Boneset</x:v>
      </x:c>
      <x:c r="E279" s="84" t="str">
        <x:v>Perennial</x:v>
      </x:c>
      <x:c r="F279" s="84" t="str">
        <x:v>Herb</x:v>
      </x:c>
      <x:c r="G279" s="84" t="str">
        <x:v>Part-shade</x:v>
      </x:c>
      <x:c r="H279" s="84" t="str">
        <x:v>Moist</x:v>
      </x:c>
      <x:c r="I279" s="84" t="str">
        <x:v>eupatorium serotinum</x:v>
      </x:c>
    </x:row>
    <x:row r="280">
      <x:c r="A280" s="83" t="str">
        <x:v>BONAP/NAPA Hays workbook</x:v>
      </x:c>
      <x:c r="B280" s="84" t="n">
        <x:v>283</x:v>
      </x:c>
      <x:c r="C280" s="87" t="str">
        <x:v>Euphorbia cyathophora</x:v>
      </x:c>
      <x:c r="D280" s="84" t="str">
        <x:v>Wild Poinsettia, Poinsettia, Fire On The Mountain</x:v>
      </x:c>
      <x:c r="E280" s="84" t="str">
        <x:v>Annual</x:v>
      </x:c>
      <x:c r="F280" s="84" t="str">
        <x:v>Herb</x:v>
      </x:c>
      <x:c r="G280" s="84" t="str">
        <x:v>Sun</x:v>
      </x:c>
      <x:c r="H280" s="84" t="str">
        <x:v>Moist</x:v>
      </x:c>
      <x:c r="I280" s="84" t="str">
        <x:v>euphorbia cyathophora</x:v>
      </x:c>
    </x:row>
    <x:row r="281">
      <x:c r="A281" s="83" t="str">
        <x:v>BONAP/NAPA Hays workbook</x:v>
      </x:c>
      <x:c r="B281" s="84" t="n">
        <x:v>284</x:v>
      </x:c>
      <x:c r="C281" s="87" t="str">
        <x:v>Euphorbia dentata</x:v>
      </x:c>
      <x:c r="D281" s="84" t="str">
        <x:v>Toothed Spurge, Toothed-leaf Poinsettia</x:v>
      </x:c>
      <x:c r="E281" s="84" t="str">
        <x:v>Annual</x:v>
      </x:c>
      <x:c r="F281" s="84" t="str">
        <x:v>Herb</x:v>
      </x:c>
      <x:c r="G281" s="84" t="str"/>
      <x:c r="H281" s="84" t="str"/>
      <x:c r="I281" s="84" t="str">
        <x:v>euphorbia dentata</x:v>
      </x:c>
    </x:row>
    <x:row r="282">
      <x:c r="A282" s="83" t="str">
        <x:v>BONAP/NAPA Hays workbook</x:v>
      </x:c>
      <x:c r="B282" s="84" t="n">
        <x:v>285</x:v>
      </x:c>
      <x:c r="C282" s="87" t="str">
        <x:v>Euphorbia marginata</x:v>
      </x:c>
      <x:c r="D282" s="84" t="str">
        <x:v>Snow On The Mountain, Snow-on-the-mountain</x:v>
      </x:c>
      <x:c r="E282" s="84" t="str">
        <x:v>Annual</x:v>
      </x:c>
      <x:c r="F282" s="84" t="str">
        <x:v>Herb</x:v>
      </x:c>
      <x:c r="G282" s="84" t="str">
        <x:v>Part-shade</x:v>
      </x:c>
      <x:c r="H282" s="84" t="str">
        <x:v>Moist</x:v>
      </x:c>
      <x:c r="I282" s="84" t="str">
        <x:v>euphorbia marginata</x:v>
      </x:c>
    </x:row>
    <x:row r="283">
      <x:c r="A283" s="83" t="str">
        <x:v>BONAP/NAPA Hays workbook</x:v>
      </x:c>
      <x:c r="B283" s="84" t="n">
        <x:v>286</x:v>
      </x:c>
      <x:c r="C283" s="87" t="str">
        <x:v>Euphorbia roemeriana</x:v>
      </x:c>
      <x:c r="D283" s="84" t="str">
        <x:v>Roemer's Spurge</x:v>
      </x:c>
      <x:c r="E283" s="84" t="str">
        <x:v>Annual</x:v>
      </x:c>
      <x:c r="F283" s="84" t="str">
        <x:v>Herb</x:v>
      </x:c>
      <x:c r="G283" s="84" t="str"/>
      <x:c r="H283" s="84" t="str"/>
      <x:c r="I283" s="84" t="str">
        <x:v>euphorbia roemeriana</x:v>
      </x:c>
    </x:row>
    <x:row r="284">
      <x:c r="A284" s="83" t="str">
        <x:v>BONAP/NAPA Hays workbook</x:v>
      </x:c>
      <x:c r="B284" s="84" t="n">
        <x:v>287</x:v>
      </x:c>
      <x:c r="C284" s="87" t="str">
        <x:v>Eustoma exaltatum ssp. russellianum</x:v>
      </x:c>
      <x:c r="D284" s="84" t="str">
        <x:v>Texas Bluebells, Texas Bluebell, Bluebell, Showy Prairie Gentian, Prairie Gentian</x:v>
      </x:c>
      <x:c r="E284" s="84" t="str">
        <x:v>Annual, Biennial, Perennial</x:v>
      </x:c>
      <x:c r="F284" s="84" t="str">
        <x:v>Herb</x:v>
      </x:c>
      <x:c r="G284" s="84" t="str">
        <x:v>Sun</x:v>
      </x:c>
      <x:c r="H284" s="84" t="str">
        <x:v>Moist</x:v>
      </x:c>
      <x:c r="I284" s="84" t="str">
        <x:v>eustoma exaltatum ssp. russellianum</x:v>
      </x:c>
    </x:row>
    <x:row r="285">
      <x:c r="A285" s="83" t="str">
        <x:v>BONAP/NAPA Hays workbook</x:v>
      </x:c>
      <x:c r="B285" s="84" t="n">
        <x:v>288</x:v>
      </x:c>
      <x:c r="C285" s="87" t="str">
        <x:v>Evax candida</x:v>
      </x:c>
      <x:c r="D285" s="84" t="str">
        <x:v>Silver Pygmycudweed</x:v>
      </x:c>
      <x:c r="E285" s="84" t="str">
        <x:v>Annual</x:v>
      </x:c>
      <x:c r="F285" s="84" t="str">
        <x:v>Herb</x:v>
      </x:c>
      <x:c r="G285" s="84" t="str"/>
      <x:c r="H285" s="84" t="str"/>
      <x:c r="I285" s="84" t="str">
        <x:v>evax candida</x:v>
      </x:c>
    </x:row>
    <x:row r="286">
      <x:c r="A286" s="83" t="str">
        <x:v>BONAP/NAPA Hays workbook</x:v>
      </x:c>
      <x:c r="B286" s="84" t="n">
        <x:v>289</x:v>
      </x:c>
      <x:c r="C286" s="87" t="str">
        <x:v>Evax prolifera</x:v>
      </x:c>
      <x:c r="D286" s="84" t="str">
        <x:v>Bighead Pygmycudweed, Rabbit Tobacco</x:v>
      </x:c>
      <x:c r="E286" s="84" t="str">
        <x:v>Annual</x:v>
      </x:c>
      <x:c r="F286" s="84" t="str">
        <x:v>Herb</x:v>
      </x:c>
      <x:c r="G286" s="84" t="str">
        <x:v>Part-shade</x:v>
      </x:c>
      <x:c r="H286" s="84" t="str"/>
      <x:c r="I286" s="84" t="str">
        <x:v>evax prolifera</x:v>
      </x:c>
    </x:row>
    <x:row r="287">
      <x:c r="A287" s="83" t="str">
        <x:v>BONAP/NAPA Hays workbook</x:v>
      </x:c>
      <x:c r="B287" s="84" t="n">
        <x:v>290</x:v>
      </x:c>
      <x:c r="C287" s="87" t="str">
        <x:v>Evax verna</x:v>
      </x:c>
      <x:c r="D287" s="84" t="str">
        <x:v>Spring Pygmycudweed</x:v>
      </x:c>
      <x:c r="E287" s="84" t="str">
        <x:v>Annual</x:v>
      </x:c>
      <x:c r="F287" s="84" t="str">
        <x:v>Herb</x:v>
      </x:c>
      <x:c r="G287" s="84" t="str"/>
      <x:c r="H287" s="84" t="str"/>
      <x:c r="I287" s="84" t="str">
        <x:v>evax verna</x:v>
      </x:c>
    </x:row>
    <x:row r="288">
      <x:c r="A288" s="83" t="str">
        <x:v>BONAP/NAPA Hays workbook</x:v>
      </x:c>
      <x:c r="B288" s="84" t="n">
        <x:v>291</x:v>
      </x:c>
      <x:c r="C288" s="87" t="str">
        <x:v>Evolvulus nuttallianus</x:v>
      </x:c>
      <x:c r="D288" s="84" t="str">
        <x:v>Shaggy Dwarf Morning-glory, Silky Evolvulus, Shaggy Evolvulus</x:v>
      </x:c>
      <x:c r="E288" s="84" t="str">
        <x:v>Perennial</x:v>
      </x:c>
      <x:c r="F288" s="84" t="str">
        <x:v>Herb</x:v>
      </x:c>
      <x:c r="G288" s="84" t="str"/>
      <x:c r="H288" s="84" t="str"/>
      <x:c r="I288" s="84" t="str">
        <x:v>evolvulus nuttallianus</x:v>
      </x:c>
    </x:row>
    <x:row r="289">
      <x:c r="A289" s="83" t="str">
        <x:v>BONAP/NAPA Hays workbook</x:v>
      </x:c>
      <x:c r="B289" s="84" t="n">
        <x:v>292</x:v>
      </x:c>
      <x:c r="C289" s="87" t="str">
        <x:v>Evolvulus sericeus</x:v>
      </x:c>
      <x:c r="D289" s="84" t="str">
        <x:v>Silver Dwarf Morning-glory, White Evolvulus</x:v>
      </x:c>
      <x:c r="E289" s="84" t="str">
        <x:v>Perennial</x:v>
      </x:c>
      <x:c r="F289" s="84" t="str">
        <x:v>Herb</x:v>
      </x:c>
      <x:c r="G289" s="84" t="str">
        <x:v>Sun</x:v>
      </x:c>
      <x:c r="H289" s="84" t="str">
        <x:v>Dry</x:v>
      </x:c>
      <x:c r="I289" s="84" t="str">
        <x:v>evolvulus sericeus</x:v>
      </x:c>
    </x:row>
    <x:row r="290">
      <x:c r="A290" s="83" t="str">
        <x:v>BONAP/NAPA Hays workbook</x:v>
      </x:c>
      <x:c r="B290" s="84" t="n">
        <x:v>293</x:v>
      </x:c>
      <x:c r="C290" s="87" t="str">
        <x:v>Eysenhardtia texana</x:v>
      </x:c>
      <x:c r="D290" s="84" t="str">
        <x:v>Texas Kidneywood, Kidneywood, Bee Brush, Vara Dulce, Palo Dulce</x:v>
      </x:c>
      <x:c r="E290" s="84" t="str">
        <x:v>Perennial</x:v>
      </x:c>
      <x:c r="F290" s="84" t="str">
        <x:v>Shrub</x:v>
      </x:c>
      <x:c r="G290" s="84" t="str">
        <x:v>Sun</x:v>
      </x:c>
      <x:c r="H290" s="84" t="str">
        <x:v>Dry</x:v>
      </x:c>
      <x:c r="I290" s="84" t="str">
        <x:v>eysenhardtia texana</x:v>
      </x:c>
    </x:row>
    <x:row r="291">
      <x:c r="A291" s="83" t="str">
        <x:v>BONAP/NAPA Hays workbook</x:v>
      </x:c>
      <x:c r="B291" s="84" t="n">
        <x:v>294</x:v>
      </x:c>
      <x:c r="C291" s="87" t="str">
        <x:v>Festuca versuta</x:v>
      </x:c>
      <x:c r="D291" s="84" t="str">
        <x:v>Texas Fescue</x:v>
      </x:c>
      <x:c r="E291" s="84" t="str">
        <x:v>Perennial</x:v>
      </x:c>
      <x:c r="F291" s="84" t="str">
        <x:v>Grass/Grass-like</x:v>
      </x:c>
      <x:c r="G291" s="84" t="str"/>
      <x:c r="H291" s="84" t="str"/>
      <x:c r="I291" s="84" t="str">
        <x:v>festuca versuta</x:v>
      </x:c>
    </x:row>
    <x:row r="292">
      <x:c r="A292" s="83" t="str">
        <x:v>BONAP/NAPA Hays workbook</x:v>
      </x:c>
      <x:c r="B292" s="84" t="n">
        <x:v>295</x:v>
      </x:c>
      <x:c r="C292" s="87" t="str">
        <x:v>Fimbristylis puberula</x:v>
      </x:c>
      <x:c r="D292" s="84" t="str">
        <x:v>Hairy Fimbry</x:v>
      </x:c>
      <x:c r="E292" s="84" t="str">
        <x:v>Perennial</x:v>
      </x:c>
      <x:c r="F292" s="84" t="str">
        <x:v>Grass/Grass-like</x:v>
      </x:c>
      <x:c r="G292" s="84" t="str"/>
      <x:c r="H292" s="84" t="str"/>
      <x:c r="I292" s="84" t="str">
        <x:v>fimbristylis puberula</x:v>
      </x:c>
    </x:row>
    <x:row r="293">
      <x:c r="A293" s="83" t="str">
        <x:v>BONAP/NAPA Hays workbook</x:v>
      </x:c>
      <x:c r="B293" s="84" t="n">
        <x:v>296</x:v>
      </x:c>
      <x:c r="C293" s="87" t="str">
        <x:v>Fimbristylis vahlii</x:v>
      </x:c>
      <x:c r="D293" s="84" t="str">
        <x:v>Vahl's Fimbry</x:v>
      </x:c>
      <x:c r="E293" s="84" t="str">
        <x:v>Annual</x:v>
      </x:c>
      <x:c r="F293" s="84" t="str">
        <x:v>Grass/Grass-like</x:v>
      </x:c>
      <x:c r="G293" s="84" t="str"/>
      <x:c r="H293" s="84" t="str"/>
      <x:c r="I293" s="84" t="str">
        <x:v>fimbristylis vahlii</x:v>
      </x:c>
    </x:row>
    <x:row r="294">
      <x:c r="A294" s="83" t="str">
        <x:v>BONAP/NAPA Hays workbook</x:v>
      </x:c>
      <x:c r="B294" s="84" t="n">
        <x:v>297</x:v>
      </x:c>
      <x:c r="C294" s="87" t="str">
        <x:v>Forestiera pubescens</x:v>
      </x:c>
      <x:c r="D294" s="84" t="str">
        <x:v>Elbowbush, Stretchberry, Spring Herald, Desert Olive, Tanglewood, Devil's Elbow, Spring Goldenglow, New Mexico Privet, Texas Forsythia, Elbow Bush</x:v>
      </x:c>
      <x:c r="E294" s="84" t="str">
        <x:v>Perennial</x:v>
      </x:c>
      <x:c r="F294" s="84" t="str">
        <x:v>Shrub</x:v>
      </x:c>
      <x:c r="G294" s="84" t="str">
        <x:v>Sun, Shade, Part-shade</x:v>
      </x:c>
      <x:c r="H294" s="84" t="str">
        <x:v>Moist, Dry</x:v>
      </x:c>
      <x:c r="I294" s="84" t="str">
        <x:v>forestiera pubescens</x:v>
      </x:c>
    </x:row>
    <x:row r="295">
      <x:c r="A295" s="83" t="str">
        <x:v>BONAP/NAPA Hays workbook</x:v>
      </x:c>
      <x:c r="B295" s="84" t="n">
        <x:v>298</x:v>
      </x:c>
      <x:c r="C295" s="87" t="str">
        <x:v>Frangula caroliniana</x:v>
      </x:c>
      <x:c r="D295" s="84" t="str">
        <x:v>Carolina Buckthorn, Carolina False Buckthorn, Yellow Buckthorn, Indian Cherry, Yellowwood</x:v>
      </x:c>
      <x:c r="E295" s="84" t="str">
        <x:v>Perennial</x:v>
      </x:c>
      <x:c r="F295" s="84" t="str">
        <x:v>Tree</x:v>
      </x:c>
      <x:c r="G295" s="84" t="str">
        <x:v>Part-shade</x:v>
      </x:c>
      <x:c r="H295" s="84" t="str">
        <x:v>Moist</x:v>
      </x:c>
      <x:c r="I295" s="84" t="str">
        <x:v>frangula caroliniana</x:v>
      </x:c>
    </x:row>
    <x:row r="296">
      <x:c r="A296" s="83" t="str">
        <x:v>BONAP/NAPA Hays workbook</x:v>
      </x:c>
      <x:c r="B296" s="84" t="n">
        <x:v>299</x:v>
      </x:c>
      <x:c r="C296" s="87" t="str">
        <x:v>Fraxinus albicans</x:v>
      </x:c>
      <x:c r="D296" s="84" t="str">
        <x:v>Texas Ash, Mountain Ash</x:v>
      </x:c>
      <x:c r="E296" s="84" t="str">
        <x:v>Perennial</x:v>
      </x:c>
      <x:c r="F296" s="84" t="str">
        <x:v>Tree</x:v>
      </x:c>
      <x:c r="G296" s="84" t="str">
        <x:v>Part-shade</x:v>
      </x:c>
      <x:c r="H296" s="84" t="str">
        <x:v>Dry</x:v>
      </x:c>
      <x:c r="I296" s="84" t="str">
        <x:v>fraxinus albicans</x:v>
      </x:c>
    </x:row>
    <x:row r="297">
      <x:c r="A297" s="83" t="str">
        <x:v>BONAP/NAPA Hays workbook</x:v>
      </x:c>
      <x:c r="B297" s="84" t="n">
        <x:v>300</x:v>
      </x:c>
      <x:c r="C297" s="87" t="str">
        <x:v>Fraxinus pennsylvanica</x:v>
      </x:c>
      <x:c r="D297" s="84" t="str">
        <x:v>Green Ash, Red Ash, Swamp Ash, River Ash, Water Ash, Darlington Ash</x:v>
      </x:c>
      <x:c r="E297" s="84" t="str">
        <x:v>Perennial</x:v>
      </x:c>
      <x:c r="F297" s="84" t="str">
        <x:v>Tree</x:v>
      </x:c>
      <x:c r="G297" s="84" t="str">
        <x:v>Sun, Shade, Part-shade</x:v>
      </x:c>
      <x:c r="H297" s="84" t="str">
        <x:v>Wet, Moist, Dry</x:v>
      </x:c>
      <x:c r="I297" s="84" t="str">
        <x:v>fraxinus pennsylvanica</x:v>
      </x:c>
    </x:row>
    <x:row r="298">
      <x:c r="A298" s="83" t="str">
        <x:v>BONAP/NAPA Hays workbook</x:v>
      </x:c>
      <x:c r="B298" s="84" t="n">
        <x:v>301</x:v>
      </x:c>
      <x:c r="C298" s="87" t="str">
        <x:v>Froelichia gracilis</x:v>
      </x:c>
      <x:c r="D298" s="84" t="str">
        <x:v>Slender Snakecotton, Snake-cotton</x:v>
      </x:c>
      <x:c r="E298" s="84" t="str">
        <x:v>Annual</x:v>
      </x:c>
      <x:c r="F298" s="84" t="str">
        <x:v>Herb</x:v>
      </x:c>
      <x:c r="G298" s="84" t="str"/>
      <x:c r="H298" s="84" t="str"/>
      <x:c r="I298" s="84" t="str">
        <x:v>froelichia gracilis</x:v>
      </x:c>
    </x:row>
    <x:row r="299">
      <x:c r="A299" s="83" t="str">
        <x:v>BONAP/NAPA Hays workbook</x:v>
      </x:c>
      <x:c r="B299" s="84" t="n">
        <x:v>302</x:v>
      </x:c>
      <x:c r="C299" s="87" t="str">
        <x:v>Fuirena simplex</x:v>
      </x:c>
      <x:c r="D299" s="84" t="str">
        <x:v>Western Umbrella-sedge, Umbrellagrass, Western Umbrella Sedge</x:v>
      </x:c>
      <x:c r="E299" s="84" t="str">
        <x:v>Perennial</x:v>
      </x:c>
      <x:c r="F299" s="84" t="str">
        <x:v>Grass/Grass-like</x:v>
      </x:c>
      <x:c r="G299" s="84" t="str"/>
      <x:c r="H299" s="84" t="str"/>
      <x:c r="I299" s="84" t="str">
        <x:v>fuirena simplex</x:v>
      </x:c>
    </x:row>
    <x:row r="300">
      <x:c r="A300" s="83" t="str">
        <x:v>BONAP/NAPA Hays workbook</x:v>
      </x:c>
      <x:c r="B300" s="84" t="n">
        <x:v>303</x:v>
      </x:c>
      <x:c r="C300" s="87" t="str">
        <x:v>Funastrum cynanchoides</x:v>
      </x:c>
      <x:c r="D300" s="84" t="str">
        <x:v>Fringed Twinevine, Climbing Milkweed Vine, Twine-vine</x:v>
      </x:c>
      <x:c r="E300" s="84" t="str">
        <x:v>Perennial</x:v>
      </x:c>
      <x:c r="F300" s="84" t="str">
        <x:v>Vine</x:v>
      </x:c>
      <x:c r="G300" s="84" t="str">
        <x:v>Part-shade</x:v>
      </x:c>
      <x:c r="H300" s="84" t="str">
        <x:v>Dry</x:v>
      </x:c>
      <x:c r="I300" s="84" t="str">
        <x:v>funastrum cynanchoides</x:v>
      </x:c>
    </x:row>
    <x:row r="301">
      <x:c r="A301" s="83" t="str">
        <x:v>BONAP/NAPA Hays workbook</x:v>
      </x:c>
      <x:c r="B301" s="84" t="n">
        <x:v>304</x:v>
      </x:c>
      <x:c r="C301" s="87" t="str">
        <x:v>Gaillardia pulchella</x:v>
      </x:c>
      <x:c r="D301" s="84" t="str">
        <x:v>Indian Blanket, Firewheel, Girasol Rojo</x:v>
      </x:c>
      <x:c r="E301" s="84" t="str">
        <x:v>Annual</x:v>
      </x:c>
      <x:c r="F301" s="84" t="str">
        <x:v>Herb</x:v>
      </x:c>
      <x:c r="G301" s="84" t="str">
        <x:v>Sun, Part-shade</x:v>
      </x:c>
      <x:c r="H301" s="84" t="str">
        <x:v>Dry</x:v>
      </x:c>
      <x:c r="I301" s="84" t="str">
        <x:v>gaillardia pulchella</x:v>
      </x:c>
    </x:row>
    <x:row r="302">
      <x:c r="A302" s="83" t="str">
        <x:v>BONAP/NAPA Hays workbook</x:v>
      </x:c>
      <x:c r="B302" s="84" t="n">
        <x:v>305</x:v>
      </x:c>
      <x:c r="C302" s="87" t="str">
        <x:v>Gaillardia suavis</x:v>
      </x:c>
      <x:c r="D302" s="84" t="str">
        <x:v>Pincushion Daisy, Fragrant Gaillardia, Rayless Gaillardia, Perfumeballs</x:v>
      </x:c>
      <x:c r="E302" s="84" t="str">
        <x:v>Perennial</x:v>
      </x:c>
      <x:c r="F302" s="84" t="str">
        <x:v>Herb</x:v>
      </x:c>
      <x:c r="G302" s="84" t="str">
        <x:v>Part-shade</x:v>
      </x:c>
      <x:c r="H302" s="84" t="str">
        <x:v>Dry</x:v>
      </x:c>
      <x:c r="I302" s="84" t="str">
        <x:v>gaillardia suavis</x:v>
      </x:c>
    </x:row>
    <x:row r="303">
      <x:c r="A303" s="83" t="str">
        <x:v>BONAP/NAPA Hays workbook</x:v>
      </x:c>
      <x:c r="B303" s="84" t="n">
        <x:v>306</x:v>
      </x:c>
      <x:c r="C303" s="87" t="str">
        <x:v>Galactia canescens</x:v>
      </x:c>
      <x:c r="D303" s="84" t="str">
        <x:v>Hoary Milkpea</x:v>
      </x:c>
      <x:c r="E303" s="84" t="str">
        <x:v>Perennial</x:v>
      </x:c>
      <x:c r="F303" s="84" t="str">
        <x:v>Herb</x:v>
      </x:c>
      <x:c r="G303" s="84" t="str"/>
      <x:c r="H303" s="84" t="str"/>
      <x:c r="I303" s="84" t="str">
        <x:v>galactia canescens</x:v>
      </x:c>
    </x:row>
    <x:row r="304">
      <x:c r="A304" s="83" t="str">
        <x:v>BONAP/NAPA Hays workbook</x:v>
      </x:c>
      <x:c r="B304" s="84" t="n">
        <x:v>307</x:v>
      </x:c>
      <x:c r="C304" s="87" t="str">
        <x:v>Galactia texana</x:v>
      </x:c>
      <x:c r="D304" s="84" t="str">
        <x:v>Texas Milkpea</x:v>
      </x:c>
      <x:c r="E304" s="84" t="str">
        <x:v>Perennial</x:v>
      </x:c>
      <x:c r="F304" s="84" t="str">
        <x:v>Vine</x:v>
      </x:c>
      <x:c r="G304" s="84" t="str"/>
      <x:c r="H304" s="84" t="str"/>
      <x:c r="I304" s="84" t="str">
        <x:v>galactia texana</x:v>
      </x:c>
    </x:row>
    <x:row r="305">
      <x:c r="A305" s="83" t="str">
        <x:v>BONAP/NAPA Hays workbook</x:v>
      </x:c>
      <x:c r="B305" s="84" t="n">
        <x:v>308</x:v>
      </x:c>
      <x:c r="C305" s="87" t="str">
        <x:v>Galium aparine</x:v>
      </x:c>
      <x:c r="D305" s="84" t="str">
        <x:v>Stickywilly, Catchweed Bedstraw, Cleavers, Common Bedstraw, Sticky Weed, Goose Grass</x:v>
      </x:c>
      <x:c r="E305" s="84" t="str">
        <x:v>Annual</x:v>
      </x:c>
      <x:c r="F305" s="84" t="str">
        <x:v>Herb, Vine</x:v>
      </x:c>
      <x:c r="G305" s="84" t="str">
        <x:v>Shade</x:v>
      </x:c>
      <x:c r="H305" s="84" t="str"/>
      <x:c r="I305" s="84" t="str">
        <x:v>galium aparine</x:v>
      </x:c>
    </x:row>
    <x:row r="306">
      <x:c r="A306" s="83" t="str">
        <x:v>BONAP/NAPA Hays workbook</x:v>
      </x:c>
      <x:c r="B306" s="84" t="n">
        <x:v>309</x:v>
      </x:c>
      <x:c r="C306" s="87" t="str">
        <x:v>Galium texense</x:v>
      </x:c>
      <x:c r="D306" s="84" t="str">
        <x:v>Texas Bedstraw</x:v>
      </x:c>
      <x:c r="E306" s="84" t="str">
        <x:v>Annual</x:v>
      </x:c>
      <x:c r="F306" s="84" t="str">
        <x:v>Herb</x:v>
      </x:c>
      <x:c r="G306" s="84" t="str"/>
      <x:c r="H306" s="84" t="str"/>
      <x:c r="I306" s="84" t="str">
        <x:v>galium texense</x:v>
      </x:c>
    </x:row>
    <x:row r="307">
      <x:c r="A307" s="83" t="str">
        <x:v>BONAP/NAPA Hays workbook</x:v>
      </x:c>
      <x:c r="B307" s="84" t="n">
        <x:v>310</x:v>
      </x:c>
      <x:c r="C307" s="87" t="str">
        <x:v>Galium virgatum</x:v>
      </x:c>
      <x:c r="D307" s="84" t="str">
        <x:v>Southwestern Bedstraw, Southwest Bedstraw</x:v>
      </x:c>
      <x:c r="E307" s="84" t="str">
        <x:v>Annual</x:v>
      </x:c>
      <x:c r="F307" s="84" t="str">
        <x:v>Herb</x:v>
      </x:c>
      <x:c r="G307" s="84" t="str"/>
      <x:c r="H307" s="84" t="str"/>
      <x:c r="I307" s="84" t="str">
        <x:v>galium virgatum</x:v>
      </x:c>
    </x:row>
    <x:row r="308">
      <x:c r="A308" s="83" t="str">
        <x:v>BONAP/NAPA Hays workbook</x:v>
      </x:c>
      <x:c r="B308" s="84" t="n">
        <x:v>311</x:v>
      </x:c>
      <x:c r="C308" s="87" t="str">
        <x:v>Galphimia angustifolia</x:v>
      </x:c>
      <x:c r="D308" s="84" t="str">
        <x:v>Narrowleaf Goldshower, Thryallis, Narrow-leaf Goldshower</x:v>
      </x:c>
      <x:c r="E308" s="84" t="str">
        <x:v>Perennial</x:v>
      </x:c>
      <x:c r="F308" s="84" t="str">
        <x:v>Shrub</x:v>
      </x:c>
      <x:c r="G308" s="84" t="str">
        <x:v>Part-shade</x:v>
      </x:c>
      <x:c r="H308" s="84" t="str">
        <x:v>Moist, Dry</x:v>
      </x:c>
      <x:c r="I308" s="84" t="str">
        <x:v>galphimia angustifolia</x:v>
      </x:c>
    </x:row>
    <x:row r="309">
      <x:c r="A309" s="83" t="str">
        <x:v>BONAP/NAPA Hays workbook</x:v>
      </x:c>
      <x:c r="B309" s="84" t="n">
        <x:v>312</x:v>
      </x:c>
      <x:c r="C309" s="87" t="str">
        <x:v>Gamochaeta purpurea</x:v>
      </x:c>
      <x:c r="D309" s="84" t="str">
        <x:v>Spoonleaf Purple Everlasting , Early Cudweed</x:v>
      </x:c>
      <x:c r="E309" s="84" t="str">
        <x:v>Annual, Biennial</x:v>
      </x:c>
      <x:c r="F309" s="84" t="str">
        <x:v>Herb</x:v>
      </x:c>
      <x:c r="G309" s="84" t="str"/>
      <x:c r="H309" s="84" t="str"/>
      <x:c r="I309" s="84" t="str">
        <x:v>gamochaeta purpurea</x:v>
      </x:c>
    </x:row>
    <x:row r="310">
      <x:c r="A310" s="83" t="str">
        <x:v>BONAP/NAPA Hays workbook</x:v>
      </x:c>
      <x:c r="B310" s="84" t="n">
        <x:v>313</x:v>
      </x:c>
      <x:c r="C310" s="87" t="str">
        <x:v>Garrya ovata ssp. lindheimeri</x:v>
      </x:c>
      <x:c r="D310" s="84" t="str">
        <x:v>Lindheimer's Silktassel, Lindheimer Silktassel, Lindheimer's Garrya, Lindheimer Garrya, Mexican Silktassel, Mexican Garrya, Eggleaf Silktassel, Eggleaf Garrya</x:v>
      </x:c>
      <x:c r="E310" s="84" t="str">
        <x:v>Perennial</x:v>
      </x:c>
      <x:c r="F310" s="84" t="str">
        <x:v>Shrub</x:v>
      </x:c>
      <x:c r="G310" s="84" t="str">
        <x:v>Part-shade</x:v>
      </x:c>
      <x:c r="H310" s="84" t="str">
        <x:v>Moist, Dry</x:v>
      </x:c>
      <x:c r="I310" s="84" t="str">
        <x:v>garrya ovata ssp. lindheimeri</x:v>
      </x:c>
    </x:row>
    <x:row r="311">
      <x:c r="A311" s="83" t="str">
        <x:v>BONAP/NAPA Hays workbook</x:v>
      </x:c>
      <x:c r="B311" s="84" t="n">
        <x:v>314</x:v>
      </x:c>
      <x:c r="C311" s="87" t="str">
        <x:v>Geranium carolinianum</x:v>
      </x:c>
      <x:c r="D311" s="84" t="str">
        <x:v>Carolina Geranium, Wild Geranium, Carolina Cranesbill</x:v>
      </x:c>
      <x:c r="E311" s="84" t="str">
        <x:v>Annual</x:v>
      </x:c>
      <x:c r="F311" s="84" t="str">
        <x:v>Herb</x:v>
      </x:c>
      <x:c r="G311" s="84" t="str">
        <x:v>Part-shade</x:v>
      </x:c>
      <x:c r="H311" s="84" t="str"/>
      <x:c r="I311" s="84" t="str">
        <x:v>geranium carolinianum</x:v>
      </x:c>
    </x:row>
    <x:row r="312">
      <x:c r="A312" s="83" t="str">
        <x:v>BONAP/NAPA Hays workbook</x:v>
      </x:c>
      <x:c r="B312" s="84" t="n">
        <x:v>315</x:v>
      </x:c>
      <x:c r="C312" s="87" t="str">
        <x:v>Geranium texanum</x:v>
      </x:c>
      <x:c r="D312" s="84" t="str">
        <x:v>Texas Geranium</x:v>
      </x:c>
      <x:c r="E312" s="84" t="str">
        <x:v>Annual</x:v>
      </x:c>
      <x:c r="F312" s="84" t="str">
        <x:v>Herb</x:v>
      </x:c>
      <x:c r="G312" s="84" t="str"/>
      <x:c r="H312" s="84" t="str"/>
      <x:c r="I312" s="84" t="str">
        <x:v>geranium texanum</x:v>
      </x:c>
    </x:row>
    <x:row r="313">
      <x:c r="A313" s="83" t="str">
        <x:v>BONAP/NAPA Hays workbook</x:v>
      </x:c>
      <x:c r="B313" s="84" t="n">
        <x:v>316</x:v>
      </x:c>
      <x:c r="C313" s="87" t="str">
        <x:v>Geum canadense</x:v>
      </x:c>
      <x:c r="D313" s="84" t="str">
        <x:v>White Avens</x:v>
      </x:c>
      <x:c r="E313" s="84" t="str">
        <x:v>Perennial</x:v>
      </x:c>
      <x:c r="F313" s="84" t="str">
        <x:v>Herb</x:v>
      </x:c>
      <x:c r="G313" s="84" t="str">
        <x:v>Shade, Part-shade</x:v>
      </x:c>
      <x:c r="H313" s="84" t="str">
        <x:v>Moist, Dry</x:v>
      </x:c>
      <x:c r="I313" s="84" t="str">
        <x:v>geum canadense</x:v>
      </x:c>
    </x:row>
    <x:row r="314">
      <x:c r="A314" s="83" t="str">
        <x:v>BONAP/NAPA Hays workbook</x:v>
      </x:c>
      <x:c r="B314" s="84" t="n">
        <x:v>317</x:v>
      </x:c>
      <x:c r="C314" s="87" t="str">
        <x:v>Giliastrum incisum</x:v>
      </x:c>
      <x:c r="D314" s="84" t="str">
        <x:v>Splitleaf Gilia, Split-leaf Gilia, Cut-leaf Gilia</x:v>
      </x:c>
      <x:c r="E314" s="84" t="str">
        <x:v>Annual, Biennial, Perennial</x:v>
      </x:c>
      <x:c r="F314" s="84" t="str">
        <x:v>Herb</x:v>
      </x:c>
      <x:c r="G314" s="84" t="str">
        <x:v>Sun</x:v>
      </x:c>
      <x:c r="H314" s="84" t="str">
        <x:v>Dry</x:v>
      </x:c>
      <x:c r="I314" s="84" t="str">
        <x:v>giliastrum incisum</x:v>
      </x:c>
    </x:row>
    <x:row r="315">
      <x:c r="A315" s="83" t="str">
        <x:v>BONAP/NAPA Hays workbook</x:v>
      </x:c>
      <x:c r="B315" s="84" t="n">
        <x:v>318</x:v>
      </x:c>
      <x:c r="C315" s="87" t="str">
        <x:v>Giliastrum rigidulum</x:v>
      </x:c>
      <x:c r="D315" s="84" t="str">
        <x:v>Bluebowls, Blue Gilia</x:v>
      </x:c>
      <x:c r="E315" s="84" t="str">
        <x:v>Annual</x:v>
      </x:c>
      <x:c r="F315" s="84" t="str">
        <x:v>Herb</x:v>
      </x:c>
      <x:c r="G315" s="84" t="str">
        <x:v>Sun</x:v>
      </x:c>
      <x:c r="H315" s="84" t="str"/>
      <x:c r="I315" s="84" t="str">
        <x:v>giliastrum rigidulum</x:v>
      </x:c>
    </x:row>
    <x:row r="316">
      <x:c r="A316" s="83" t="str">
        <x:v>BONAP/NAPA Hays workbook</x:v>
      </x:c>
      <x:c r="B316" s="84" t="n">
        <x:v>319</x:v>
      </x:c>
      <x:c r="C316" s="87" t="str">
        <x:v>Glandularia bipinnatifida var. bipinnatifida</x:v>
      </x:c>
      <x:c r="D316" s="84" t="str">
        <x:v>Prairie Verbena, Purple Prairie Verbena, Dakota Mock Vervain, Dakota Vervain</x:v>
      </x:c>
      <x:c r="E316" s="84" t="str">
        <x:v>Annual, Perennial</x:v>
      </x:c>
      <x:c r="F316" s="84" t="str">
        <x:v>Herb</x:v>
      </x:c>
      <x:c r="G316" s="84" t="str">
        <x:v>Sun, Part-shade</x:v>
      </x:c>
      <x:c r="H316" s="84" t="str">
        <x:v>Dry</x:v>
      </x:c>
      <x:c r="I316" s="84" t="str">
        <x:v>glandularia bipinnatifida var. bipinnatifida</x:v>
      </x:c>
    </x:row>
    <x:row r="317">
      <x:c r="A317" s="83" t="str">
        <x:v>BONAP/NAPA Hays workbook</x:v>
      </x:c>
      <x:c r="B317" s="84" t="n">
        <x:v>320</x:v>
      </x:c>
      <x:c r="C317" s="87" t="str">
        <x:v>Glandularia pumila</x:v>
      </x:c>
      <x:c r="D317" s="84" t="str">
        <x:v>Dwarf Vervain, Low Verbena, Pink Mock Vervain, Pink Verbena, Wild Vervain</x:v>
      </x:c>
      <x:c r="E317" s="84" t="str">
        <x:v>Annual</x:v>
      </x:c>
      <x:c r="F317" s="84" t="str">
        <x:v>Herb</x:v>
      </x:c>
      <x:c r="G317" s="84" t="str"/>
      <x:c r="H317" s="84" t="str"/>
      <x:c r="I317" s="84" t="str">
        <x:v>glandularia pumila</x:v>
      </x:c>
    </x:row>
    <x:row r="318">
      <x:c r="A318" s="83" t="str">
        <x:v>BONAP/NAPA Hays workbook</x:v>
      </x:c>
      <x:c r="B318" s="84" t="n">
        <x:v>321</x:v>
      </x:c>
      <x:c r="C318" s="87" t="str">
        <x:v>Grindelia nuda var. nuda</x:v>
      </x:c>
      <x:c r="D318" s="84" t="str">
        <x:v>Curlytop Gumweed</x:v>
      </x:c>
      <x:c r="E318" s="84" t="str">
        <x:v>Annual, Biennial, Perennial</x:v>
      </x:c>
      <x:c r="F318" s="84" t="str">
        <x:v>Herb</x:v>
      </x:c>
      <x:c r="G318" s="84" t="str"/>
      <x:c r="H318" s="84" t="str"/>
      <x:c r="I318" s="84" t="str">
        <x:v>grindelia nuda var. nuda</x:v>
      </x:c>
    </x:row>
    <x:row r="319">
      <x:c r="A319" s="83" t="str">
        <x:v>BONAP/NAPA Hays workbook</x:v>
      </x:c>
      <x:c r="B319" s="84" t="n">
        <x:v>322</x:v>
      </x:c>
      <x:c r="C319" s="87" t="str">
        <x:v>Grindelia papposa</x:v>
      </x:c>
      <x:c r="D319" s="84" t="str">
        <x:v>Spanish Gold, Clasping-leaved Haplopappus, Saw-leaf Daisy</x:v>
      </x:c>
      <x:c r="E319" s="84" t="str">
        <x:v>Annual</x:v>
      </x:c>
      <x:c r="F319" s="84" t="str">
        <x:v>Herb</x:v>
      </x:c>
      <x:c r="G319" s="84" t="str"/>
      <x:c r="H319" s="84" t="str"/>
      <x:c r="I319" s="84" t="str">
        <x:v>grindelia papposa</x:v>
      </x:c>
    </x:row>
    <x:row r="320">
      <x:c r="A320" s="83" t="str">
        <x:v>BONAP/NAPA Hays workbook</x:v>
      </x:c>
      <x:c r="B320" s="84" t="n">
        <x:v>323</x:v>
      </x:c>
      <x:c r="C320" s="87" t="str">
        <x:v>Grindelia squarrosa</x:v>
      </x:c>
      <x:c r="D320" s="84" t="str">
        <x:v>Curlycup Gumweed</x:v>
      </x:c>
      <x:c r="E320" s="84" t="str">
        <x:v>Annual, Biennial, Perennial</x:v>
      </x:c>
      <x:c r="F320" s="84" t="str">
        <x:v>Herb</x:v>
      </x:c>
      <x:c r="G320" s="84" t="str"/>
      <x:c r="H320" s="84" t="str">
        <x:v>Dry</x:v>
      </x:c>
      <x:c r="I320" s="84" t="str">
        <x:v>grindelia squarrosa</x:v>
      </x:c>
    </x:row>
    <x:row r="321">
      <x:c r="A321" s="83" t="str">
        <x:v>BONAP/NAPA Hays workbook</x:v>
      </x:c>
      <x:c r="B321" s="84" t="n">
        <x:v>324</x:v>
      </x:c>
      <x:c r="C321" s="87" t="str">
        <x:v>Gutierrezia texana</x:v>
      </x:c>
      <x:c r="D321" s="84" t="str">
        <x:v>Texas Snakeweed</x:v>
      </x:c>
      <x:c r="E321" s="84" t="str">
        <x:v>Annual, Perennial</x:v>
      </x:c>
      <x:c r="F321" s="84" t="str">
        <x:v>Herb, Subshrub</x:v>
      </x:c>
      <x:c r="G321" s="84" t="str"/>
      <x:c r="H321" s="84" t="str"/>
      <x:c r="I321" s="84" t="str">
        <x:v>gutierrezia texana</x:v>
      </x:c>
    </x:row>
    <x:row r="322">
      <x:c r="A322" s="83" t="str">
        <x:v>BONAP/NAPA Hays workbook</x:v>
      </x:c>
      <x:c r="B322" s="84" t="n">
        <x:v>325</x:v>
      </x:c>
      <x:c r="C322" s="87" t="str">
        <x:v>Gymnosperma glutinosum</x:v>
      </x:c>
      <x:c r="D322" s="84" t="str">
        <x:v>Gumhead, Tatalencho</x:v>
      </x:c>
      <x:c r="E322" s="84" t="str">
        <x:v>Perennial</x:v>
      </x:c>
      <x:c r="F322" s="84" t="str">
        <x:v>Herb</x:v>
      </x:c>
      <x:c r="G322" s="84" t="str"/>
      <x:c r="H322" s="84" t="str"/>
      <x:c r="I322" s="84" t="str">
        <x:v>gymnosperma glutinosum</x:v>
      </x:c>
    </x:row>
    <x:row r="323">
      <x:c r="A323" s="83" t="str">
        <x:v>BONAP/NAPA Hays workbook</x:v>
      </x:c>
      <x:c r="B323" s="84" t="n">
        <x:v>326</x:v>
      </x:c>
      <x:c r="C323" s="87" t="str">
        <x:v>Hedeoma acinoides</x:v>
      </x:c>
      <x:c r="D323" s="84" t="str">
        <x:v>Slender False Pennyroyal, Annual Pennyroyal, Slender Hedeoma</x:v>
      </x:c>
      <x:c r="E323" s="84" t="str">
        <x:v>Annual</x:v>
      </x:c>
      <x:c r="F323" s="84" t="str">
        <x:v>Herb</x:v>
      </x:c>
      <x:c r="G323" s="84" t="str">
        <x:v>Sun, Part-shade</x:v>
      </x:c>
      <x:c r="H323" s="84" t="str">
        <x:v>Moist, Dry</x:v>
      </x:c>
      <x:c r="I323" s="84" t="str">
        <x:v>hedeoma acinoides</x:v>
      </x:c>
    </x:row>
    <x:row r="324">
      <x:c r="A324" s="83" t="str">
        <x:v>BONAP/NAPA Hays workbook</x:v>
      </x:c>
      <x:c r="B324" s="84" t="n">
        <x:v>327</x:v>
      </x:c>
      <x:c r="C324" s="87" t="str">
        <x:v>Hedeoma drummondii</x:v>
      </x:c>
      <x:c r="D324" s="84" t="str">
        <x:v>Drummond's False Pennyroyal, Limoncillo, Mock Pennyroyal</x:v>
      </x:c>
      <x:c r="E324" s="84" t="str">
        <x:v>Annual</x:v>
      </x:c>
      <x:c r="F324" s="84" t="str">
        <x:v>Herb</x:v>
      </x:c>
      <x:c r="G324" s="84" t="str">
        <x:v>Part-shade</x:v>
      </x:c>
      <x:c r="H324" s="84" t="str">
        <x:v>Dry</x:v>
      </x:c>
      <x:c r="I324" s="84" t="str">
        <x:v>hedeoma drummondii</x:v>
      </x:c>
    </x:row>
    <x:row r="325">
      <x:c r="A325" s="83" t="str">
        <x:v>BONAP/NAPA Hays workbook</x:v>
      </x:c>
      <x:c r="B325" s="84" t="n">
        <x:v>328</x:v>
      </x:c>
      <x:c r="C325" s="87" t="str">
        <x:v>Hedeoma reverchonii var. serpyllifolia</x:v>
      </x:c>
      <x:c r="D325" s="84" t="str">
        <x:v>Reverchon's False Pennyroyal, Rock Hedeoma</x:v>
      </x:c>
      <x:c r="E325" s="84" t="str">
        <x:v>Perennial</x:v>
      </x:c>
      <x:c r="F325" s="84" t="str">
        <x:v>Herb</x:v>
      </x:c>
      <x:c r="G325" s="84" t="str"/>
      <x:c r="H325" s="84" t="str"/>
      <x:c r="I325" s="84" t="str">
        <x:v>hedeoma reverchonii var. serpyllifolia</x:v>
      </x:c>
    </x:row>
    <x:row r="326">
      <x:c r="A326" s="83" t="str">
        <x:v>BONAP/NAPA Hays workbook</x:v>
      </x:c>
      <x:c r="B326" s="84" t="n">
        <x:v>329</x:v>
      </x:c>
      <x:c r="C326" s="87" t="str">
        <x:v>Helenium amarum var. amarum</x:v>
      </x:c>
      <x:c r="D326" s="84" t="str">
        <x:v>Yellow Bitterweed, Yellowdicks</x:v>
      </x:c>
      <x:c r="E326" s="84" t="str">
        <x:v>Annual</x:v>
      </x:c>
      <x:c r="F326" s="84" t="str">
        <x:v>Herb</x:v>
      </x:c>
      <x:c r="G326" s="84" t="str"/>
      <x:c r="H326" s="84" t="str"/>
      <x:c r="I326" s="84" t="str">
        <x:v>helenium amarum var. amarum</x:v>
      </x:c>
    </x:row>
    <x:row r="327">
      <x:c r="A327" s="83" t="str">
        <x:v>BONAP/NAPA Hays workbook</x:v>
      </x:c>
      <x:c r="B327" s="84" t="n">
        <x:v>330</x:v>
      </x:c>
      <x:c r="C327" s="87" t="str">
        <x:v>Helenium amarum var. badium</x:v>
      </x:c>
      <x:c r="D327" s="84" t="str">
        <x:v>Brown Bitterweed, Basin Sneezeweed</x:v>
      </x:c>
      <x:c r="E327" s="84" t="str">
        <x:v>Annual</x:v>
      </x:c>
      <x:c r="F327" s="84" t="str">
        <x:v>Herb</x:v>
      </x:c>
      <x:c r="G327" s="84" t="str"/>
      <x:c r="H327" s="84" t="str"/>
      <x:c r="I327" s="84" t="str">
        <x:v>helenium amarum var. badium</x:v>
      </x:c>
    </x:row>
    <x:row r="328">
      <x:c r="A328" s="83" t="str">
        <x:v>BONAP/NAPA Hays workbook</x:v>
      </x:c>
      <x:c r="B328" s="84" t="n">
        <x:v>331</x:v>
      </x:c>
      <x:c r="C328" s="87" t="str">
        <x:v>Helenium autumnale</x:v>
      </x:c>
      <x:c r="D328" s="84" t="str">
        <x:v>Common Sneezeweed, Fall Sneezeweed, Autumn Sneezeweed</x:v>
      </x:c>
      <x:c r="E328" s="84" t="str">
        <x:v>Perennial</x:v>
      </x:c>
      <x:c r="F328" s="84" t="str">
        <x:v>Herb</x:v>
      </x:c>
      <x:c r="G328" s="84" t="str">
        <x:v>Sun</x:v>
      </x:c>
      <x:c r="H328" s="84" t="str">
        <x:v>Moist</x:v>
      </x:c>
      <x:c r="I328" s="84" t="str">
        <x:v>helenium autumnale</x:v>
      </x:c>
    </x:row>
    <x:row r="329">
      <x:c r="A329" s="83" t="str">
        <x:v>BONAP/NAPA Hays workbook</x:v>
      </x:c>
      <x:c r="B329" s="84" t="n">
        <x:v>332</x:v>
      </x:c>
      <x:c r="C329" s="87" t="str">
        <x:v>Helenium elegans</x:v>
      </x:c>
      <x:c r="D329" s="84" t="str">
        <x:v>Pretty Sneezeweed</x:v>
      </x:c>
      <x:c r="E329" s="84" t="str">
        <x:v>Annual</x:v>
      </x:c>
      <x:c r="F329" s="84" t="str">
        <x:v>Herb</x:v>
      </x:c>
      <x:c r="G329" s="84" t="str"/>
      <x:c r="H329" s="84" t="str"/>
      <x:c r="I329" s="84" t="str">
        <x:v>helenium elegans</x:v>
      </x:c>
    </x:row>
    <x:row r="330">
      <x:c r="A330" s="83" t="str">
        <x:v>BONAP/NAPA Hays workbook</x:v>
      </x:c>
      <x:c r="B330" s="84" t="n">
        <x:v>333</x:v>
      </x:c>
      <x:c r="C330" s="87" t="str">
        <x:v>Helenium quadridentatum</x:v>
      </x:c>
      <x:c r="D330" s="84" t="str">
        <x:v>Longdisk Sneezeweed, Sneezeweed</x:v>
      </x:c>
      <x:c r="E330" s="84" t="str">
        <x:v>Annual</x:v>
      </x:c>
      <x:c r="F330" s="84" t="str">
        <x:v>Herb</x:v>
      </x:c>
      <x:c r="G330" s="84" t="str"/>
      <x:c r="H330" s="84" t="str"/>
      <x:c r="I330" s="84" t="str">
        <x:v>helenium quadridentatum</x:v>
      </x:c>
    </x:row>
    <x:row r="331">
      <x:c r="A331" s="83" t="str">
        <x:v>BONAP/NAPA Hays workbook</x:v>
      </x:c>
      <x:c r="B331" s="84" t="n">
        <x:v>334</x:v>
      </x:c>
      <x:c r="C331" s="87" t="str">
        <x:v>Helianthus annuus</x:v>
      </x:c>
      <x:c r="D331" s="84" t="str">
        <x:v>Common Sunflower, Annual Sunflower</x:v>
      </x:c>
      <x:c r="E331" s="84" t="str">
        <x:v>Annual</x:v>
      </x:c>
      <x:c r="F331" s="84" t="str">
        <x:v>Herb</x:v>
      </x:c>
      <x:c r="G331" s="84" t="str">
        <x:v>Sun</x:v>
      </x:c>
      <x:c r="H331" s="84" t="str">
        <x:v>Dry</x:v>
      </x:c>
      <x:c r="I331" s="84" t="str">
        <x:v>helianthus annuus</x:v>
      </x:c>
    </x:row>
    <x:row r="332">
      <x:c r="A332" s="83" t="str">
        <x:v>BONAP/NAPA Hays workbook</x:v>
      </x:c>
      <x:c r="B332" s="84" t="n">
        <x:v>335</x:v>
      </x:c>
      <x:c r="C332" s="87" t="str">
        <x:v>Helianthus maximiliani</x:v>
      </x:c>
      <x:c r="D332" s="84" t="str">
        <x:v>Maximilian Sunflower, Max Sunflower</x:v>
      </x:c>
      <x:c r="E332" s="84" t="str">
        <x:v>Perennial</x:v>
      </x:c>
      <x:c r="F332" s="84" t="str">
        <x:v>Herb</x:v>
      </x:c>
      <x:c r="G332" s="84" t="str">
        <x:v>Sun</x:v>
      </x:c>
      <x:c r="H332" s="84" t="str">
        <x:v>Moist, Dry</x:v>
      </x:c>
      <x:c r="I332" s="84" t="str">
        <x:v>helianthus maximiliani</x:v>
      </x:c>
    </x:row>
    <x:row r="333">
      <x:c r="A333" s="83" t="str">
        <x:v>BONAP/NAPA Hays workbook</x:v>
      </x:c>
      <x:c r="B333" s="84" t="n">
        <x:v>336</x:v>
      </x:c>
      <x:c r="C333" s="87" t="str">
        <x:v>Heliotropium procumbens</x:v>
      </x:c>
      <x:c r="D333" s="84" t="str">
        <x:v>Fourspike Heliotrope</x:v>
      </x:c>
      <x:c r="E333" s="84" t="str">
        <x:v>Annual, Perennial</x:v>
      </x:c>
      <x:c r="F333" s="84" t="str">
        <x:v>Herb, Subshrub</x:v>
      </x:c>
      <x:c r="G333" s="84" t="str"/>
      <x:c r="H333" s="84" t="str"/>
      <x:c r="I333" s="84" t="str">
        <x:v>heliotropium procumbens</x:v>
      </x:c>
    </x:row>
    <x:row r="334">
      <x:c r="A334" s="83" t="str">
        <x:v>BONAP/NAPA Hays workbook</x:v>
      </x:c>
      <x:c r="B334" s="84" t="n">
        <x:v>337</x:v>
      </x:c>
      <x:c r="C334" s="87" t="str">
        <x:v>Heliotropium tenellum</x:v>
      </x:c>
      <x:c r="D334" s="84" t="str">
        <x:v>Pasture Heliotrope, White Heliotrope</x:v>
      </x:c>
      <x:c r="E334" s="84" t="str">
        <x:v>Annual</x:v>
      </x:c>
      <x:c r="F334" s="84" t="str">
        <x:v>Herb</x:v>
      </x:c>
      <x:c r="G334" s="84" t="str">
        <x:v>Sun</x:v>
      </x:c>
      <x:c r="H334" s="84" t="str">
        <x:v>Dry</x:v>
      </x:c>
      <x:c r="I334" s="84" t="str">
        <x:v>heliotropium tenellum</x:v>
      </x:c>
    </x:row>
    <x:row r="335">
      <x:c r="A335" s="83" t="str">
        <x:v>BONAP/NAPA Hays workbook</x:v>
      </x:c>
      <x:c r="B335" s="84" t="n">
        <x:v>338</x:v>
      </x:c>
      <x:c r="C335" s="87" t="str">
        <x:v>Heteranthera dubia</x:v>
      </x:c>
      <x:c r="D335" s="84" t="str">
        <x:v>Grassleaf Mudplantain, Water Stargrass</x:v>
      </x:c>
      <x:c r="E335" s="84" t="str">
        <x:v>Annual</x:v>
      </x:c>
      <x:c r="F335" s="84" t="str">
        <x:v>Herb</x:v>
      </x:c>
      <x:c r="G335" s="84" t="str"/>
      <x:c r="H335" s="84" t="str"/>
      <x:c r="I335" s="84" t="str">
        <x:v>heteranthera dubia</x:v>
      </x:c>
    </x:row>
    <x:row r="336">
      <x:c r="A336" s="83" t="str">
        <x:v>BONAP/NAPA Hays workbook</x:v>
      </x:c>
      <x:c r="B336" s="84" t="n">
        <x:v>339</x:v>
      </x:c>
      <x:c r="C336" s="87" t="str">
        <x:v>Heterotheca canescens</x:v>
      </x:c>
      <x:c r="D336" s="84" t="str">
        <x:v>Hoary False Goldenaster, Gray Golden-aster</x:v>
      </x:c>
      <x:c r="E336" s="84" t="str">
        <x:v>Perennial</x:v>
      </x:c>
      <x:c r="F336" s="84" t="str">
        <x:v>Herb</x:v>
      </x:c>
      <x:c r="G336" s="84" t="str">
        <x:v>Sun</x:v>
      </x:c>
      <x:c r="H336" s="84" t="str">
        <x:v>Dry</x:v>
      </x:c>
      <x:c r="I336" s="84" t="str">
        <x:v>heterotheca canescens</x:v>
      </x:c>
    </x:row>
    <x:row r="337">
      <x:c r="A337" s="83" t="str">
        <x:v>BONAP/NAPA Hays workbook</x:v>
      </x:c>
      <x:c r="B337" s="84" t="n">
        <x:v>340</x:v>
      </x:c>
      <x:c r="C337" s="87" t="str">
        <x:v>Heterotheca stenophylla</x:v>
      </x:c>
      <x:c r="D337" s="84" t="str">
        <x:v>Stiffleaf False Goldenaster, Sticky Granite-daisy</x:v>
      </x:c>
      <x:c r="E337" s="84" t="str">
        <x:v>Perennial</x:v>
      </x:c>
      <x:c r="F337" s="84" t="str">
        <x:v>Herb</x:v>
      </x:c>
      <x:c r="G337" s="84" t="str"/>
      <x:c r="H337" s="84" t="str"/>
      <x:c r="I337" s="84" t="str">
        <x:v>heterotheca stenophylla</x:v>
      </x:c>
    </x:row>
    <x:row r="338">
      <x:c r="A338" s="83" t="str">
        <x:v>BONAP/NAPA Hays workbook</x:v>
      </x:c>
      <x:c r="B338" s="84" t="n">
        <x:v>341</x:v>
      </x:c>
      <x:c r="C338" s="87" t="str">
        <x:v>Heterotheca subaxillaris</x:v>
      </x:c>
      <x:c r="D338" s="84" t="str">
        <x:v>Camphorweed, Camphor Weed</x:v>
      </x:c>
      <x:c r="E338" s="84" t="str">
        <x:v>Annual</x:v>
      </x:c>
      <x:c r="F338" s="84" t="str">
        <x:v>Herb</x:v>
      </x:c>
      <x:c r="G338" s="84" t="str"/>
      <x:c r="H338" s="84" t="str"/>
      <x:c r="I338" s="84" t="str">
        <x:v>heterotheca subaxillaris</x:v>
      </x:c>
    </x:row>
    <x:row r="339">
      <x:c r="A339" s="83" t="str">
        <x:v>BONAP/NAPA Hays workbook</x:v>
      </x:c>
      <x:c r="B339" s="84" t="n">
        <x:v>342</x:v>
      </x:c>
      <x:c r="C339" s="87" t="str">
        <x:v>Heterotheca villosa</x:v>
      </x:c>
      <x:c r="D339" s="84" t="str">
        <x:v>Hairy False Goldenaster, Hairy Golden-aster</x:v>
      </x:c>
      <x:c r="E339" s="84" t="str">
        <x:v>Perennial</x:v>
      </x:c>
      <x:c r="F339" s="84" t="str">
        <x:v>Herb, Subshrub</x:v>
      </x:c>
      <x:c r="G339" s="84" t="str">
        <x:v>Sun</x:v>
      </x:c>
      <x:c r="H339" s="84" t="str">
        <x:v>Dry</x:v>
      </x:c>
      <x:c r="I339" s="84" t="str">
        <x:v>heterotheca villosa</x:v>
      </x:c>
    </x:row>
    <x:row r="340">
      <x:c r="A340" s="83" t="str">
        <x:v>BONAP/NAPA Hays workbook</x:v>
      </x:c>
      <x:c r="B340" s="84" t="n">
        <x:v>343</x:v>
      </x:c>
      <x:c r="C340" s="87" t="str">
        <x:v>Hexalectris nitida</x:v>
      </x:c>
      <x:c r="D340" s="84" t="str">
        <x:v>Glass Mountain Crested Coralroot, Glass Mountain Crested Coral Root</x:v>
      </x:c>
      <x:c r="E340" s="84" t="str">
        <x:v>Perennial</x:v>
      </x:c>
      <x:c r="F340" s="84" t="str">
        <x:v>Herb</x:v>
      </x:c>
      <x:c r="G340" s="84" t="str"/>
      <x:c r="H340" s="84" t="str"/>
      <x:c r="I340" s="84" t="str">
        <x:v>hexalectris nitida</x:v>
      </x:c>
    </x:row>
    <x:row r="341">
      <x:c r="A341" s="83" t="str">
        <x:v>BONAP/NAPA Hays workbook</x:v>
      </x:c>
      <x:c r="B341" s="84" t="n">
        <x:v>344</x:v>
      </x:c>
      <x:c r="C341" s="87" t="str">
        <x:v>Hexalectris warnockii</x:v>
      </x:c>
      <x:c r="D341" s="84" t="str">
        <x:v>Texas Crested Coralroot, Texas Purple Spike, Texas Crested Coral Root</x:v>
      </x:c>
      <x:c r="E341" s="84" t="str">
        <x:v>Perennial</x:v>
      </x:c>
      <x:c r="F341" s="84" t="str">
        <x:v>Herb</x:v>
      </x:c>
      <x:c r="G341" s="84" t="str"/>
      <x:c r="H341" s="84" t="str"/>
      <x:c r="I341" s="84" t="str">
        <x:v>hexalectris warnockii</x:v>
      </x:c>
    </x:row>
    <x:row r="342">
      <x:c r="A342" s="83" t="str">
        <x:v>BONAP/NAPA Hays workbook</x:v>
      </x:c>
      <x:c r="B342" s="84" t="n">
        <x:v>345</x:v>
      </x:c>
      <x:c r="C342" s="87" t="str">
        <x:v>Hilaria belangeri</x:v>
      </x:c>
      <x:c r="D342" s="84" t="str">
        <x:v>Curly Mesquite Grass, Curly Mesquite</x:v>
      </x:c>
      <x:c r="E342" s="84" t="str">
        <x:v>Perennial</x:v>
      </x:c>
      <x:c r="F342" s="84" t="str">
        <x:v>Grass/Grass-like</x:v>
      </x:c>
      <x:c r="G342" s="84" t="str">
        <x:v>Sun</x:v>
      </x:c>
      <x:c r="H342" s="84" t="str">
        <x:v>Dry</x:v>
      </x:c>
      <x:c r="I342" s="84" t="str">
        <x:v>hilaria belangeri</x:v>
      </x:c>
    </x:row>
    <x:row r="343">
      <x:c r="A343" s="83" t="str">
        <x:v>BONAP/NAPA Hays workbook</x:v>
      </x:c>
      <x:c r="B343" s="84" t="n">
        <x:v>346</x:v>
      </x:c>
      <x:c r="C343" s="87" t="str">
        <x:v>Hordeum pusillum</x:v>
      </x:c>
      <x:c r="D343" s="84" t="str">
        <x:v>Little Barley</x:v>
      </x:c>
      <x:c r="E343" s="84" t="str">
        <x:v>Annual</x:v>
      </x:c>
      <x:c r="F343" s="84" t="str">
        <x:v>Grass/Grass-like</x:v>
      </x:c>
      <x:c r="G343" s="84" t="str">
        <x:v>Sun</x:v>
      </x:c>
      <x:c r="H343" s="84" t="str"/>
      <x:c r="I343" s="84" t="str">
        <x:v>hordeum pusillum</x:v>
      </x:c>
    </x:row>
    <x:row r="344">
      <x:c r="A344" s="83" t="str">
        <x:v>BONAP/NAPA Hays workbook</x:v>
      </x:c>
      <x:c r="B344" s="84" t="n">
        <x:v>347</x:v>
      </x:c>
      <x:c r="C344" s="87" t="str">
        <x:v>Hydrocotyle umbellata</x:v>
      </x:c>
      <x:c r="D344" s="84" t="str">
        <x:v>Manyflower Marsh-pennywort, Many-flowered Marsh-pennywort, Marsh Pennywort, Water Pennywort, Money Plant</x:v>
      </x:c>
      <x:c r="E344" s="84" t="str">
        <x:v>Perennial</x:v>
      </x:c>
      <x:c r="F344" s="84" t="str">
        <x:v>Herb</x:v>
      </x:c>
      <x:c r="G344" s="84" t="str">
        <x:v>Sun, Shade, Part-shade</x:v>
      </x:c>
      <x:c r="H344" s="84" t="str">
        <x:v>Wet, Moist</x:v>
      </x:c>
      <x:c r="I344" s="84" t="str">
        <x:v>hydrocotyle umbellata</x:v>
      </x:c>
    </x:row>
    <x:row r="345">
      <x:c r="A345" s="83" t="str">
        <x:v>BONAP/NAPA Hays workbook</x:v>
      </x:c>
      <x:c r="B345" s="84" t="n">
        <x:v>348</x:v>
      </x:c>
      <x:c r="C345" s="87" t="str">
        <x:v>Hydrocotyle verticillata</x:v>
      </x:c>
      <x:c r="D345" s="84" t="str">
        <x:v>Whorled Marshpennywort</x:v>
      </x:c>
      <x:c r="E345" s="84" t="str">
        <x:v>Perennial</x:v>
      </x:c>
      <x:c r="F345" s="84" t="str">
        <x:v>Herb</x:v>
      </x:c>
      <x:c r="G345" s="84" t="str"/>
      <x:c r="H345" s="84" t="str"/>
      <x:c r="I345" s="84" t="str">
        <x:v>hydrocotyle verticillata</x:v>
      </x:c>
    </x:row>
    <x:row r="346">
      <x:c r="A346" s="83" t="str">
        <x:v>BONAP/NAPA Hays workbook</x:v>
      </x:c>
      <x:c r="B346" s="84" t="n">
        <x:v>349</x:v>
      </x:c>
      <x:c r="C346" s="87" t="str">
        <x:v>Hygrophila lacustris</x:v>
      </x:c>
      <x:c r="D346" s="84" t="str">
        <x:v>Gulf Swampweed</x:v>
      </x:c>
      <x:c r="E346" s="84" t="str">
        <x:v>Perennial</x:v>
      </x:c>
      <x:c r="F346" s="84" t="str">
        <x:v>Herb</x:v>
      </x:c>
      <x:c r="G346" s="84" t="str"/>
      <x:c r="H346" s="84" t="str"/>
      <x:c r="I346" s="84" t="str">
        <x:v>hygrophila lacustris</x:v>
      </x:c>
    </x:row>
    <x:row r="347">
      <x:c r="A347" s="83" t="str">
        <x:v>BONAP/NAPA Hays workbook</x:v>
      </x:c>
      <x:c r="B347" s="84" t="n">
        <x:v>350</x:v>
      </x:c>
      <x:c r="C347" s="87" t="str">
        <x:v>Hymenopappus artemisiifolius var. artemisiifolius</x:v>
      </x:c>
      <x:c r="D347" s="84" t="str">
        <x:v>Oldplainsman</x:v>
      </x:c>
      <x:c r="E347" s="84" t="str">
        <x:v>Biennial</x:v>
      </x:c>
      <x:c r="F347" s="84" t="str">
        <x:v>Herb</x:v>
      </x:c>
      <x:c r="G347" s="84" t="str"/>
      <x:c r="H347" s="84" t="str"/>
      <x:c r="I347" s="84" t="str">
        <x:v>hymenopappus artemisiifolius var. artemisiifolius</x:v>
      </x:c>
    </x:row>
    <x:row r="348">
      <x:c r="A348" s="83" t="str">
        <x:v>BONAP/NAPA Hays workbook</x:v>
      </x:c>
      <x:c r="B348" s="84" t="n">
        <x:v>351</x:v>
      </x:c>
      <x:c r="C348" s="87" t="str">
        <x:v>Hymenopappus scabiosaeus var. corymbosus</x:v>
      </x:c>
      <x:c r="D348" s="84" t="str">
        <x:v>Carolina Woollywhite, Old Plainsman</x:v>
      </x:c>
      <x:c r="E348" s="84" t="str">
        <x:v>Biennial</x:v>
      </x:c>
      <x:c r="F348" s="84" t="str">
        <x:v>Herb</x:v>
      </x:c>
      <x:c r="G348" s="84" t="str"/>
      <x:c r="H348" s="84" t="str"/>
      <x:c r="I348" s="84" t="str">
        <x:v>hymenopappus scabiosaeus var. corymbosus</x:v>
      </x:c>
    </x:row>
    <x:row r="349">
      <x:c r="A349" s="83" t="str">
        <x:v>BONAP/NAPA Hays workbook</x:v>
      </x:c>
      <x:c r="B349" s="84" t="n">
        <x:v>352</x:v>
      </x:c>
      <x:c r="C349" s="87" t="str">
        <x:v>Hymenopappus tenuifolius</x:v>
      </x:c>
      <x:c r="D349" s="84" t="str">
        <x:v>Chalk Hill Hymenopappus, Chalkhill Woolywhite</x:v>
      </x:c>
      <x:c r="E349" s="84" t="str">
        <x:v>Biennial</x:v>
      </x:c>
      <x:c r="F349" s="84" t="str">
        <x:v>Herb</x:v>
      </x:c>
      <x:c r="G349" s="84" t="str"/>
      <x:c r="H349" s="84" t="str"/>
      <x:c r="I349" s="84" t="str">
        <x:v>hymenopappus tenuifolius</x:v>
      </x:c>
    </x:row>
    <x:row r="350">
      <x:c r="A350" s="83" t="str">
        <x:v>BONAP/NAPA Hays workbook</x:v>
      </x:c>
      <x:c r="B350" s="84" t="n">
        <x:v>353</x:v>
      </x:c>
      <x:c r="C350" s="87" t="str">
        <x:v>Hypericum hypericoides</x:v>
      </x:c>
      <x:c r="D350" s="84" t="str">
        <x:v>St. Andrew's-cross</x:v>
      </x:c>
      <x:c r="E350" s="84" t="str">
        <x:v>Perennial</x:v>
      </x:c>
      <x:c r="F350" s="84" t="str">
        <x:v>Subshrub</x:v>
      </x:c>
      <x:c r="G350" s="84" t="str"/>
      <x:c r="H350" s="84" t="str"/>
      <x:c r="I350" s="84" t="str">
        <x:v>hypericum hypericoides</x:v>
      </x:c>
    </x:row>
    <x:row r="351">
      <x:c r="A351" s="83" t="str">
        <x:v>BONAP/NAPA Hays workbook</x:v>
      </x:c>
      <x:c r="B351" s="84" t="n">
        <x:v>354</x:v>
      </x:c>
      <x:c r="C351" s="87" t="str">
        <x:v>Ibervillea lindheimeri</x:v>
      </x:c>
      <x:c r="D351" s="84" t="str">
        <x:v>Balsam Gourd, Lindheimer's Globeberry, Globe Berry, Snake-apple, Balsam-apple</x:v>
      </x:c>
      <x:c r="E351" s="84" t="str">
        <x:v>Perennial</x:v>
      </x:c>
      <x:c r="F351" s="84" t="str">
        <x:v>Vine</x:v>
      </x:c>
      <x:c r="G351" s="84" t="str">
        <x:v>Sun</x:v>
      </x:c>
      <x:c r="H351" s="84" t="str">
        <x:v>Moist</x:v>
      </x:c>
      <x:c r="I351" s="84" t="str">
        <x:v>ibervillea lindheimeri</x:v>
      </x:c>
    </x:row>
    <x:row r="352">
      <x:c r="A352" s="83" t="str">
        <x:v>BONAP/NAPA Hays workbook</x:v>
      </x:c>
      <x:c r="B352" s="84" t="n">
        <x:v>355</x:v>
      </x:c>
      <x:c r="C352" s="87" t="str">
        <x:v>Ilex decidua</x:v>
      </x:c>
      <x:c r="D352" s="84" t="str">
        <x:v>Possumhaw, Possumhaw Holly, Deciduous Holly, Meadow Holly, Prairie Holly, Swamp Holly, Welk Holly, Deciduous Yaupon, Bearberry, Winterberry</x:v>
      </x:c>
      <x:c r="E352" s="84" t="str">
        <x:v>Perennial</x:v>
      </x:c>
      <x:c r="F352" s="84" t="str">
        <x:v>Shrub</x:v>
      </x:c>
      <x:c r="G352" s="84" t="str">
        <x:v>Sun, Part-shade</x:v>
      </x:c>
      <x:c r="H352" s="84" t="str">
        <x:v>Moist</x:v>
      </x:c>
      <x:c r="I352" s="84" t="str">
        <x:v>ilex decidua</x:v>
      </x:c>
    </x:row>
    <x:row r="353">
      <x:c r="A353" s="83" t="str">
        <x:v>BONAP/NAPA Hays workbook</x:v>
      </x:c>
      <x:c r="B353" s="84" t="n">
        <x:v>356</x:v>
      </x:c>
      <x:c r="C353" s="87" t="str">
        <x:v>Ilex vomitoria</x:v>
      </x:c>
      <x:c r="D353" s="84" t="str">
        <x:v>Yaupon, Yaupon Holly, Cassina</x:v>
      </x:c>
      <x:c r="E353" s="84" t="str">
        <x:v>Perennial</x:v>
      </x:c>
      <x:c r="F353" s="84" t="str">
        <x:v>Shrub, Tree</x:v>
      </x:c>
      <x:c r="G353" s="84" t="str">
        <x:v>Sun, Shade, Part-shade</x:v>
      </x:c>
      <x:c r="H353" s="84" t="str">
        <x:v>Moist, Dry</x:v>
      </x:c>
      <x:c r="I353" s="84" t="str">
        <x:v>ilex vomitoria</x:v>
      </x:c>
    </x:row>
    <x:row r="354">
      <x:c r="A354" s="83" t="str">
        <x:v>BONAP/NAPA Hays workbook</x:v>
      </x:c>
      <x:c r="B354" s="84" t="n">
        <x:v>357</x:v>
      </x:c>
      <x:c r="C354" s="87" t="str">
        <x:v>Indigofera miniata</x:v>
      </x:c>
      <x:c r="D354" s="84" t="str">
        <x:v>Scarlet Pea, Coastal Indigo, Texas Indigo, Western Indigo</x:v>
      </x:c>
      <x:c r="E354" s="84" t="str">
        <x:v>Perennial</x:v>
      </x:c>
      <x:c r="F354" s="84" t="str">
        <x:v>Herb</x:v>
      </x:c>
      <x:c r="G354" s="84" t="str">
        <x:v>Sun, Part-shade</x:v>
      </x:c>
      <x:c r="H354" s="84" t="str">
        <x:v>Moist, Dry</x:v>
      </x:c>
      <x:c r="I354" s="84" t="str">
        <x:v>indigofera miniata</x:v>
      </x:c>
    </x:row>
    <x:row r="355">
      <x:c r="A355" s="83" t="str">
        <x:v>BONAP/NAPA Hays workbook</x:v>
      </x:c>
      <x:c r="B355" s="84" t="n">
        <x:v>358</x:v>
      </x:c>
      <x:c r="C355" s="87" t="str">
        <x:v>Ipomoea cordatotriloba var. cordatotriloba</x:v>
      </x:c>
      <x:c r="D355" s="84" t="str">
        <x:v>Tievine, Sharp-pod Morning Glory, Purple Bindweed, Tie Vine</x:v>
      </x:c>
      <x:c r="E355" s="84" t="str">
        <x:v>Perennial</x:v>
      </x:c>
      <x:c r="F355" s="84" t="str">
        <x:v>Vine</x:v>
      </x:c>
      <x:c r="G355" s="84" t="str">
        <x:v>Part-shade</x:v>
      </x:c>
      <x:c r="H355" s="84" t="str"/>
      <x:c r="I355" s="84" t="str">
        <x:v>ipomoea cordatotriloba var. cordatotriloba</x:v>
      </x:c>
    </x:row>
    <x:row r="356">
      <x:c r="A356" s="83" t="str">
        <x:v>BONAP/NAPA Hays workbook</x:v>
      </x:c>
      <x:c r="B356" s="84" t="n">
        <x:v>359</x:v>
      </x:c>
      <x:c r="C356" s="87" t="str">
        <x:v>Ipomoea lindheimeri</x:v>
      </x:c>
      <x:c r="D356" s="84" t="str">
        <x:v>Lindheimer's Morning-glory, Blue Morning Glory</x:v>
      </x:c>
      <x:c r="E356" s="84" t="str">
        <x:v>Perennial</x:v>
      </x:c>
      <x:c r="F356" s="84" t="str">
        <x:v>Vine</x:v>
      </x:c>
      <x:c r="G356" s="84" t="str">
        <x:v>Sun</x:v>
      </x:c>
      <x:c r="H356" s="84" t="str">
        <x:v>Dry</x:v>
      </x:c>
      <x:c r="I356" s="84" t="str">
        <x:v>ipomoea lindheimeri</x:v>
      </x:c>
    </x:row>
    <x:row r="357">
      <x:c r="A357" s="83" t="str">
        <x:v>BONAP/NAPA Hays workbook</x:v>
      </x:c>
      <x:c r="B357" s="84" t="n">
        <x:v>360</x:v>
      </x:c>
      <x:c r="C357" s="87" t="str">
        <x:v>Ipomopsis rubra</x:v>
      </x:c>
      <x:c r="D357" s="84" t="str">
        <x:v>Standing Cypress, Texas Plume, Red Texas Star, Red Gilia</x:v>
      </x:c>
      <x:c r="E357" s="84" t="str">
        <x:v>Biennial</x:v>
      </x:c>
      <x:c r="F357" s="84" t="str">
        <x:v>Herb</x:v>
      </x:c>
      <x:c r="G357" s="84" t="str">
        <x:v>Sun, Part-shade</x:v>
      </x:c>
      <x:c r="H357" s="84" t="str">
        <x:v>Dry</x:v>
      </x:c>
      <x:c r="I357" s="84" t="str">
        <x:v>ipomopsis rubra</x:v>
      </x:c>
    </x:row>
    <x:row r="358">
      <x:c r="A358" s="83" t="str">
        <x:v>BONAP/NAPA Hays workbook</x:v>
      </x:c>
      <x:c r="B358" s="84" t="n">
        <x:v>361</x:v>
      </x:c>
      <x:c r="C358" s="87" t="str">
        <x:v>Iva angustifolia</x:v>
      </x:c>
      <x:c r="D358" s="84" t="str">
        <x:v>Narrowleaf Marshelder, Narrow-leaf Sumpweed, Narrowleaf Marsh Elder</x:v>
      </x:c>
      <x:c r="E358" s="84" t="str">
        <x:v>Annual</x:v>
      </x:c>
      <x:c r="F358" s="84" t="str">
        <x:v>Herb</x:v>
      </x:c>
      <x:c r="G358" s="84" t="str"/>
      <x:c r="H358" s="84" t="str"/>
      <x:c r="I358" s="84" t="str">
        <x:v>iva angustifolia</x:v>
      </x:c>
    </x:row>
    <x:row r="359">
      <x:c r="A359" s="83" t="str">
        <x:v>BONAP/NAPA Hays workbook</x:v>
      </x:c>
      <x:c r="B359" s="84" t="n">
        <x:v>362</x:v>
      </x:c>
      <x:c r="C359" s="87" t="str">
        <x:v>Iva annua</x:v>
      </x:c>
      <x:c r="D359" s="84" t="str">
        <x:v>Annual Marshelder, Marshelder, Sumpweed, Annual Marsh Elder, Marsh Elder</x:v>
      </x:c>
      <x:c r="E359" s="84" t="str">
        <x:v>Annual</x:v>
      </x:c>
      <x:c r="F359" s="84" t="str">
        <x:v>Herb</x:v>
      </x:c>
      <x:c r="G359" s="84" t="str"/>
      <x:c r="H359" s="84" t="str"/>
      <x:c r="I359" s="84" t="str">
        <x:v>iva annua</x:v>
      </x:c>
    </x:row>
    <x:row r="360">
      <x:c r="A360" s="83" t="str">
        <x:v>BONAP/NAPA Hays workbook</x:v>
      </x:c>
      <x:c r="B360" s="84" t="n">
        <x:v>363</x:v>
      </x:c>
      <x:c r="C360" s="87" t="str">
        <x:v>Juglans major</x:v>
      </x:c>
      <x:c r="D360" s="84" t="str">
        <x:v>Arizona Walnut, Arizona Black Walnut, River Walnut, Mountain Walnut, Nogal Silvestre</x:v>
      </x:c>
      <x:c r="E360" s="84" t="str">
        <x:v>Perennial</x:v>
      </x:c>
      <x:c r="F360" s="84" t="str">
        <x:v>Tree</x:v>
      </x:c>
      <x:c r="G360" s="84" t="str">
        <x:v>Sun, Part-shade</x:v>
      </x:c>
      <x:c r="H360" s="84" t="str">
        <x:v>Dry</x:v>
      </x:c>
      <x:c r="I360" s="84" t="str">
        <x:v>juglans major</x:v>
      </x:c>
    </x:row>
    <x:row r="361">
      <x:c r="A361" s="83" t="str">
        <x:v>BONAP/NAPA Hays workbook</x:v>
      </x:c>
      <x:c r="B361" s="84" t="n">
        <x:v>364</x:v>
      </x:c>
      <x:c r="C361" s="87" t="str">
        <x:v>Juglans microcarpa</x:v>
      </x:c>
      <x:c r="D361" s="84" t="str">
        <x:v>Little Walnut, Texas Walnut, Texas Black Walnut, River Walnut, Nogalito, Nogalillo, Namboca</x:v>
      </x:c>
      <x:c r="E361" s="84" t="str">
        <x:v>Perennial</x:v>
      </x:c>
      <x:c r="F361" s="84" t="str">
        <x:v>Tree</x:v>
      </x:c>
      <x:c r="G361" s="84" t="str">
        <x:v>Part-shade</x:v>
      </x:c>
      <x:c r="H361" s="84" t="str">
        <x:v>Dry</x:v>
      </x:c>
      <x:c r="I361" s="84" t="str">
        <x:v>juglans microcarpa</x:v>
      </x:c>
    </x:row>
    <x:row r="362">
      <x:c r="A362" s="83" t="str">
        <x:v>BONAP/NAPA Hays workbook</x:v>
      </x:c>
      <x:c r="B362" s="84" t="n">
        <x:v>365</x:v>
      </x:c>
      <x:c r="C362" s="87" t="str">
        <x:v>Juncus dichotomus</x:v>
      </x:c>
      <x:c r="D362" s="84" t="str">
        <x:v>Forked Rush</x:v>
      </x:c>
      <x:c r="E362" s="84" t="str">
        <x:v>Perennial</x:v>
      </x:c>
      <x:c r="F362" s="84" t="str">
        <x:v>Grass/Grass-like</x:v>
      </x:c>
      <x:c r="G362" s="84" t="str"/>
      <x:c r="H362" s="84" t="str"/>
      <x:c r="I362" s="84" t="str">
        <x:v>juncus dichotomus</x:v>
      </x:c>
    </x:row>
    <x:row r="363">
      <x:c r="A363" s="83" t="str">
        <x:v>BONAP/NAPA Hays workbook</x:v>
      </x:c>
      <x:c r="B363" s="84" t="n">
        <x:v>366</x:v>
      </x:c>
      <x:c r="C363" s="87" t="str">
        <x:v>Juncus filipendulus</x:v>
      </x:c>
      <x:c r="D363" s="84" t="str">
        <x:v>Ringseed Rush</x:v>
      </x:c>
      <x:c r="E363" s="84" t="str">
        <x:v>Perennial</x:v>
      </x:c>
      <x:c r="F363" s="84" t="str">
        <x:v>Grass/Grass-like</x:v>
      </x:c>
      <x:c r="G363" s="84" t="str"/>
      <x:c r="H363" s="84" t="str"/>
      <x:c r="I363" s="84" t="str">
        <x:v>juncus filipendulus</x:v>
      </x:c>
    </x:row>
    <x:row r="364">
      <x:c r="A364" s="83" t="str">
        <x:v>BONAP/NAPA Hays workbook</x:v>
      </x:c>
      <x:c r="B364" s="84" t="n">
        <x:v>367</x:v>
      </x:c>
      <x:c r="C364" s="87" t="str">
        <x:v>Juncus texanus</x:v>
      </x:c>
      <x:c r="D364" s="84" t="str">
        <x:v>Texas Rush</x:v>
      </x:c>
      <x:c r="E364" s="84" t="str">
        <x:v>Perennial</x:v>
      </x:c>
      <x:c r="F364" s="84" t="str">
        <x:v>Grass/Grass-like</x:v>
      </x:c>
      <x:c r="G364" s="84" t="str"/>
      <x:c r="H364" s="84" t="str"/>
      <x:c r="I364" s="84" t="str">
        <x:v>juncus texanus</x:v>
      </x:c>
    </x:row>
    <x:row r="365">
      <x:c r="A365" s="83" t="str">
        <x:v>BONAP/NAPA Hays workbook</x:v>
      </x:c>
      <x:c r="B365" s="84" t="n">
        <x:v>368</x:v>
      </x:c>
      <x:c r="C365" s="87" t="str">
        <x:v>Juniperus ashei</x:v>
      </x:c>
      <x:c r="D365" s="84" t="str">
        <x:v>Ashe Juniper, Ashe's Juniper, Mountain Cedar, Rock Cedar, Post Cedar, Texas Cedar, Brake Cedar, Mexican Juniper, Blueberry Juniper, Ozark White Cedar, Sabino, Enebro</x:v>
      </x:c>
      <x:c r="E365" s="84" t="str">
        <x:v>Perennial</x:v>
      </x:c>
      <x:c r="F365" s="84" t="str">
        <x:v>Tree</x:v>
      </x:c>
      <x:c r="G365" s="84" t="str">
        <x:v>Part-shade</x:v>
      </x:c>
      <x:c r="H365" s="84" t="str">
        <x:v>Dry</x:v>
      </x:c>
      <x:c r="I365" s="84" t="str">
        <x:v>juniperus ashei</x:v>
      </x:c>
    </x:row>
    <x:row r="366">
      <x:c r="A366" s="83" t="str">
        <x:v>BONAP/NAPA Hays workbook</x:v>
      </x:c>
      <x:c r="B366" s="84" t="n">
        <x:v>369</x:v>
      </x:c>
      <x:c r="C366" s="87" t="str">
        <x:v>Juniperus virginiana</x:v>
      </x:c>
      <x:c r="D366" s="84" t="str">
        <x:v>Eastern Red Cedar, Eastern Redcedar, Virginia Juniper, Red Juniper, Pencil Cedar, Carolina Cedar, Red Savin</x:v>
      </x:c>
      <x:c r="E366" s="84" t="str">
        <x:v>Perennial</x:v>
      </x:c>
      <x:c r="F366" s="84" t="str">
        <x:v>Tree</x:v>
      </x:c>
      <x:c r="G366" s="84" t="str">
        <x:v>Sun, Shade, Part-shade</x:v>
      </x:c>
      <x:c r="H366" s="84" t="str">
        <x:v>Dry</x:v>
      </x:c>
      <x:c r="I366" s="84" t="str">
        <x:v>juniperus virginiana</x:v>
      </x:c>
    </x:row>
    <x:row r="367">
      <x:c r="A367" s="83" t="str">
        <x:v>BONAP/NAPA Hays workbook</x:v>
      </x:c>
      <x:c r="B367" s="84" t="n">
        <x:v>370</x:v>
      </x:c>
      <x:c r="C367" s="87" t="str">
        <x:v>Justicia americana</x:v>
      </x:c>
      <x:c r="D367" s="84" t="str">
        <x:v>American Water-willow, Water-willow</x:v>
      </x:c>
      <x:c r="E367" s="84" t="str">
        <x:v>Perennial</x:v>
      </x:c>
      <x:c r="F367" s="84" t="str">
        <x:v>Herb</x:v>
      </x:c>
      <x:c r="G367" s="84" t="str">
        <x:v>Sun, Part-shade</x:v>
      </x:c>
      <x:c r="H367" s="84" t="str">
        <x:v>Wet, Moist</x:v>
      </x:c>
      <x:c r="I367" s="84" t="str">
        <x:v>justicia americana</x:v>
      </x:c>
    </x:row>
    <x:row r="368">
      <x:c r="A368" s="83" t="str">
        <x:v>BONAP/NAPA Hays workbook</x:v>
      </x:c>
      <x:c r="B368" s="84" t="n">
        <x:v>371</x:v>
      </x:c>
      <x:c r="C368" s="87" t="str">
        <x:v>Justicia pilosella</x:v>
      </x:c>
      <x:c r="D368" s="84" t="str">
        <x:v>Hairy Tube-tongue, Gregg's Tube-tongue, False Honeysuckle</x:v>
      </x:c>
      <x:c r="E368" s="84" t="str">
        <x:v>Perennial</x:v>
      </x:c>
      <x:c r="F368" s="84" t="str">
        <x:v>Herb</x:v>
      </x:c>
      <x:c r="G368" s="84" t="str">
        <x:v>Part-shade</x:v>
      </x:c>
      <x:c r="H368" s="84" t="str">
        <x:v>Moist, Dry</x:v>
      </x:c>
      <x:c r="I368" s="84" t="str">
        <x:v>justicia pilosella</x:v>
      </x:c>
    </x:row>
    <x:row r="369">
      <x:c r="A369" s="83" t="str">
        <x:v>BONAP/NAPA Hays workbook</x:v>
      </x:c>
      <x:c r="B369" s="84" t="n">
        <x:v>372</x:v>
      </x:c>
      <x:c r="C369" s="87" t="str">
        <x:v>Kallstroemia parviflora</x:v>
      </x:c>
      <x:c r="D369" s="84" t="str">
        <x:v>Warty Caltrop, Small-flowered Carpetweed</x:v>
      </x:c>
      <x:c r="E369" s="84" t="str">
        <x:v>Annual</x:v>
      </x:c>
      <x:c r="F369" s="84" t="str">
        <x:v>Herb</x:v>
      </x:c>
      <x:c r="G369" s="84" t="str">
        <x:v>Sun</x:v>
      </x:c>
      <x:c r="H369" s="84" t="str">
        <x:v>Dry</x:v>
      </x:c>
      <x:c r="I369" s="84" t="str">
        <x:v>kallstroemia parviflora</x:v>
      </x:c>
    </x:row>
    <x:row r="370">
      <x:c r="A370" s="83" t="str">
        <x:v>BONAP/NAPA Hays workbook</x:v>
      </x:c>
      <x:c r="B370" s="84" t="n">
        <x:v>373</x:v>
      </x:c>
      <x:c r="C370" s="87" t="str">
        <x:v>Krameria lanceolata</x:v>
      </x:c>
      <x:c r="D370" s="84" t="str">
        <x:v>Trailing Krameria, Ratany, Crameria, Prairie Sandbur, Trailing Ratany</x:v>
      </x:c>
      <x:c r="E370" s="84" t="str">
        <x:v>Perennial</x:v>
      </x:c>
      <x:c r="F370" s="84" t="str">
        <x:v>Herb</x:v>
      </x:c>
      <x:c r="G370" s="84" t="str">
        <x:v>Part-shade</x:v>
      </x:c>
      <x:c r="H370" s="84" t="str"/>
      <x:c r="I370" s="84" t="str">
        <x:v>krameria lanceolata</x:v>
      </x:c>
    </x:row>
    <x:row r="371">
      <x:c r="A371" s="83" t="str">
        <x:v>BONAP/NAPA Hays workbook</x:v>
      </x:c>
      <x:c r="B371" s="84" t="n">
        <x:v>374</x:v>
      </x:c>
      <x:c r="C371" s="87" t="str">
        <x:v>Krigia caespitosa</x:v>
      </x:c>
      <x:c r="D371" s="84" t="str">
        <x:v>Weedy Dwarfdandelion, Dwarf Dandelion</x:v>
      </x:c>
      <x:c r="E371" s="84" t="str">
        <x:v>Annual</x:v>
      </x:c>
      <x:c r="F371" s="84" t="str">
        <x:v>Herb</x:v>
      </x:c>
      <x:c r="G371" s="84" t="str"/>
      <x:c r="H371" s="84" t="str"/>
      <x:c r="I371" s="84" t="str">
        <x:v>krigia caespitosa</x:v>
      </x:c>
    </x:row>
    <x:row r="372">
      <x:c r="A372" s="83" t="str">
        <x:v>BONAP/NAPA Hays workbook</x:v>
      </x:c>
      <x:c r="B372" s="84" t="n">
        <x:v>375</x:v>
      </x:c>
      <x:c r="C372" s="87" t="str">
        <x:v>Krigia occidentalis</x:v>
      </x:c>
      <x:c r="D372" s="84" t="str">
        <x:v>Western Dwarfdandelion</x:v>
      </x:c>
      <x:c r="E372" s="84" t="str">
        <x:v>Annual</x:v>
      </x:c>
      <x:c r="F372" s="84" t="str">
        <x:v>Herb</x:v>
      </x:c>
      <x:c r="G372" s="84" t="str"/>
      <x:c r="H372" s="84" t="str"/>
      <x:c r="I372" s="84" t="str">
        <x:v>krigia occidentalis</x:v>
      </x:c>
    </x:row>
    <x:row r="373">
      <x:c r="A373" s="83" t="str">
        <x:v>BONAP/NAPA Hays workbook</x:v>
      </x:c>
      <x:c r="B373" s="84" t="n">
        <x:v>376</x:v>
      </x:c>
      <x:c r="C373" s="87" t="str">
        <x:v>Lactuca ludoviciana</x:v>
      </x:c>
      <x:c r="D373" s="84" t="str">
        <x:v>Western Wild Lettuce, Louisiana Wild Lettuce, Prairie Lettuce, Prairie Wild Lettuce, Biannual Lettuce</x:v>
      </x:c>
      <x:c r="E373" s="84" t="str">
        <x:v>Biennial, Perennial</x:v>
      </x:c>
      <x:c r="F373" s="84" t="str">
        <x:v>Herb</x:v>
      </x:c>
      <x:c r="G373" s="84" t="str">
        <x:v>Sun, Part-shade</x:v>
      </x:c>
      <x:c r="H373" s="84" t="str">
        <x:v>Moist, Dry</x:v>
      </x:c>
      <x:c r="I373" s="84" t="str">
        <x:v>lactuca ludoviciana</x:v>
      </x:c>
    </x:row>
    <x:row r="374">
      <x:c r="A374" s="83" t="str">
        <x:v>BONAP/NAPA Hays workbook</x:v>
      </x:c>
      <x:c r="B374" s="84" t="n">
        <x:v>377</x:v>
      </x:c>
      <x:c r="C374" s="87" t="str">
        <x:v>Lantana urticoides</x:v>
      </x:c>
      <x:c r="D374" s="84" t="str">
        <x:v>Texas Lantana, Calico Bush</x:v>
      </x:c>
      <x:c r="E374" s="84" t="str">
        <x:v>Perennial</x:v>
      </x:c>
      <x:c r="F374" s="84" t="str">
        <x:v>Shrub</x:v>
      </x:c>
      <x:c r="G374" s="84" t="str">
        <x:v>Sun</x:v>
      </x:c>
      <x:c r="H374" s="84" t="str">
        <x:v>Dry</x:v>
      </x:c>
      <x:c r="I374" s="84" t="str">
        <x:v>lantana urticoides</x:v>
      </x:c>
    </x:row>
    <x:row r="375">
      <x:c r="A375" s="83" t="str">
        <x:v>BONAP/NAPA Hays workbook</x:v>
      </x:c>
      <x:c r="B375" s="84" t="n">
        <x:v>378</x:v>
      </x:c>
      <x:c r="C375" s="87" t="str">
        <x:v>Lappula occidentalis var. cupulata</x:v>
      </x:c>
      <x:c r="D375" s="84" t="str">
        <x:v>Flatspine Stickseed, Western Stickseed</x:v>
      </x:c>
      <x:c r="E375" s="84" t="str">
        <x:v>Annual, Biennial</x:v>
      </x:c>
      <x:c r="F375" s="84" t="str">
        <x:v>Herb</x:v>
      </x:c>
      <x:c r="G375" s="84" t="str"/>
      <x:c r="H375" s="84" t="str"/>
      <x:c r="I375" s="84" t="str">
        <x:v>lappula occidentalis var. cupulata</x:v>
      </x:c>
    </x:row>
    <x:row r="376">
      <x:c r="A376" s="83" t="str">
        <x:v>BONAP/NAPA Hays workbook</x:v>
      </x:c>
      <x:c r="B376" s="84" t="n">
        <x:v>379</x:v>
      </x:c>
      <x:c r="C376" s="87" t="str">
        <x:v>Leersia oryzoides</x:v>
      </x:c>
      <x:c r="D376" s="84" t="str">
        <x:v>Rice Cutgrass, Rice Cut Grass</x:v>
      </x:c>
      <x:c r="E376" s="84" t="str">
        <x:v>Perennial</x:v>
      </x:c>
      <x:c r="F376" s="84" t="str">
        <x:v>Grass/Grass-like</x:v>
      </x:c>
      <x:c r="G376" s="84" t="str">
        <x:v>Part-shade</x:v>
      </x:c>
      <x:c r="H376" s="84" t="str">
        <x:v>Wet</x:v>
      </x:c>
      <x:c r="I376" s="84" t="str">
        <x:v>leersia oryzoides</x:v>
      </x:c>
    </x:row>
    <x:row r="377">
      <x:c r="A377" s="83" t="str">
        <x:v>BONAP/NAPA Hays workbook</x:v>
      </x:c>
      <x:c r="B377" s="84" t="n">
        <x:v>380</x:v>
      </x:c>
      <x:c r="C377" s="87" t="str">
        <x:v>Lemna minor</x:v>
      </x:c>
      <x:c r="D377" s="84" t="str">
        <x:v>Common Duckweed</x:v>
      </x:c>
      <x:c r="E377" s="84" t="str">
        <x:v>Perennial</x:v>
      </x:c>
      <x:c r="F377" s="84" t="str">
        <x:v>Herb</x:v>
      </x:c>
      <x:c r="G377" s="84" t="str">
        <x:v>Sun</x:v>
      </x:c>
      <x:c r="H377" s="84" t="str">
        <x:v>Wet</x:v>
      </x:c>
      <x:c r="I377" s="84" t="str">
        <x:v>lemna minor</x:v>
      </x:c>
    </x:row>
    <x:row r="378">
      <x:c r="A378" s="83" t="str">
        <x:v>BONAP/NAPA Hays workbook</x:v>
      </x:c>
      <x:c r="B378" s="84" t="n">
        <x:v>381</x:v>
      </x:c>
      <x:c r="C378" s="87" t="str">
        <x:v>Lepidium austrinum</x:v>
      </x:c>
      <x:c r="D378" s="84" t="str">
        <x:v>Southern Peppergrass, Southern Pepperwort</x:v>
      </x:c>
      <x:c r="E378" s="84" t="str">
        <x:v>Annual</x:v>
      </x:c>
      <x:c r="F378" s="84" t="str">
        <x:v>Herb</x:v>
      </x:c>
      <x:c r="G378" s="84" t="str"/>
      <x:c r="H378" s="84" t="str"/>
      <x:c r="I378" s="84" t="str">
        <x:v>lepidium austrinum</x:v>
      </x:c>
    </x:row>
    <x:row r="379">
      <x:c r="A379" s="83" t="str">
        <x:v>BONAP/NAPA Hays workbook</x:v>
      </x:c>
      <x:c r="B379" s="84" t="n">
        <x:v>382</x:v>
      </x:c>
      <x:c r="C379" s="87" t="str">
        <x:v>Lepidium virginicum</x:v>
      </x:c>
      <x:c r="D379" s="84" t="str">
        <x:v>Virginia Peppergrass, Virginia Pepperweed, Peppergrass, Poor Man's Pepper</x:v>
      </x:c>
      <x:c r="E379" s="84" t="str">
        <x:v>Annual</x:v>
      </x:c>
      <x:c r="F379" s="84" t="str">
        <x:v>Herb</x:v>
      </x:c>
      <x:c r="G379" s="84" t="str">
        <x:v>Sun</x:v>
      </x:c>
      <x:c r="H379" s="84" t="str">
        <x:v>Dry</x:v>
      </x:c>
      <x:c r="I379" s="84" t="str">
        <x:v>lepidium virginicum</x:v>
      </x:c>
    </x:row>
    <x:row r="380">
      <x:c r="A380" s="83" t="str">
        <x:v>BONAP/NAPA Hays workbook</x:v>
      </x:c>
      <x:c r="B380" s="84" t="n">
        <x:v>383</x:v>
      </x:c>
      <x:c r="C380" s="87" t="str">
        <x:v>Leptochloa dubia</x:v>
      </x:c>
      <x:c r="D380" s="84" t="str">
        <x:v>Green Sprangletop</x:v>
      </x:c>
      <x:c r="E380" s="84" t="str">
        <x:v>Perennial</x:v>
      </x:c>
      <x:c r="F380" s="84" t="str">
        <x:v>Grass/Grass-like</x:v>
      </x:c>
      <x:c r="G380" s="84" t="str">
        <x:v>Part-shade</x:v>
      </x:c>
      <x:c r="H380" s="84" t="str">
        <x:v>Dry</x:v>
      </x:c>
      <x:c r="I380" s="84" t="str">
        <x:v>leptochloa dubia</x:v>
      </x:c>
    </x:row>
    <x:row r="381">
      <x:c r="A381" s="83" t="str">
        <x:v>BONAP/NAPA Hays workbook</x:v>
      </x:c>
      <x:c r="B381" s="84" t="n">
        <x:v>384</x:v>
      </x:c>
      <x:c r="C381" s="87" t="str">
        <x:v>Leptochloa panicea ssp. mucronata</x:v>
      </x:c>
      <x:c r="D381" s="84" t="str">
        <x:v>Mississippi Sprangletop, Mucronate Sprangletop</x:v>
      </x:c>
      <x:c r="E381" s="84" t="str">
        <x:v>Annual, Perennial</x:v>
      </x:c>
      <x:c r="F381" s="84" t="str">
        <x:v>Grass/Grass-like</x:v>
      </x:c>
      <x:c r="G381" s="84" t="str"/>
      <x:c r="H381" s="84" t="str"/>
      <x:c r="I381" s="84" t="str">
        <x:v>leptochloa panicea ssp. mucronata</x:v>
      </x:c>
    </x:row>
    <x:row r="382">
      <x:c r="A382" s="83" t="str">
        <x:v>BONAP/NAPA Hays workbook</x:v>
      </x:c>
      <x:c r="B382" s="84" t="n">
        <x:v>385</x:v>
      </x:c>
      <x:c r="C382" s="87" t="str">
        <x:v>Lespedeza texana</x:v>
      </x:c>
      <x:c r="D382" s="84" t="str">
        <x:v>Texas Lespedeza, Texas Bush-clover</x:v>
      </x:c>
      <x:c r="E382" s="84" t="str">
        <x:v>Perennial</x:v>
      </x:c>
      <x:c r="F382" s="84" t="str">
        <x:v>Herb</x:v>
      </x:c>
      <x:c r="G382" s="84" t="str">
        <x:v>Sun</x:v>
      </x:c>
      <x:c r="H382" s="84" t="str"/>
      <x:c r="I382" s="84" t="str">
        <x:v>lespedeza texana</x:v>
      </x:c>
    </x:row>
    <x:row r="383">
      <x:c r="A383" s="83" t="str">
        <x:v>BONAP/NAPA Hays workbook</x:v>
      </x:c>
      <x:c r="B383" s="84" t="n">
        <x:v>386</x:v>
      </x:c>
      <x:c r="C383" s="87" t="str">
        <x:v>Lesquerella densiflora</x:v>
      </x:c>
      <x:c r="D383" s="84" t="str">
        <x:v>Denseflower Bladderpod, Low Bladderpod</x:v>
      </x:c>
      <x:c r="E383" s="84" t="str">
        <x:v>Annual</x:v>
      </x:c>
      <x:c r="F383" s="84" t="str">
        <x:v>Herb</x:v>
      </x:c>
      <x:c r="G383" s="84" t="str"/>
      <x:c r="H383" s="84" t="str"/>
      <x:c r="I383" s="84" t="str">
        <x:v>lesquerella densiflora</x:v>
      </x:c>
    </x:row>
    <x:row r="384">
      <x:c r="A384" s="83" t="str">
        <x:v>BONAP/NAPA Hays workbook</x:v>
      </x:c>
      <x:c r="B384" s="84" t="n">
        <x:v>387</x:v>
      </x:c>
      <x:c r="C384" s="87" t="str">
        <x:v>Lesquerella engelmannii</x:v>
      </x:c>
      <x:c r="D384" s="84" t="str">
        <x:v>Engelmann's Bladderpod</x:v>
      </x:c>
      <x:c r="E384" s="84" t="str">
        <x:v>Perennial</x:v>
      </x:c>
      <x:c r="F384" s="84" t="str">
        <x:v>Herb</x:v>
      </x:c>
      <x:c r="G384" s="84" t="str"/>
      <x:c r="H384" s="84" t="str"/>
      <x:c r="I384" s="84" t="str">
        <x:v>lesquerella engelmannii</x:v>
      </x:c>
    </x:row>
    <x:row r="385">
      <x:c r="A385" s="83" t="str">
        <x:v>BONAP/NAPA Hays workbook</x:v>
      </x:c>
      <x:c r="B385" s="84" t="n">
        <x:v>388</x:v>
      </x:c>
      <x:c r="C385" s="87" t="str">
        <x:v>Lesquerella gracilis</x:v>
      </x:c>
      <x:c r="D385" s="84" t="str">
        <x:v>Spreading Bladderpod, Cloth-of-gold</x:v>
      </x:c>
      <x:c r="E385" s="84" t="str">
        <x:v>Annual</x:v>
      </x:c>
      <x:c r="F385" s="84" t="str">
        <x:v>Herb</x:v>
      </x:c>
      <x:c r="G385" s="84" t="str">
        <x:v>Sun</x:v>
      </x:c>
      <x:c r="H385" s="84" t="str"/>
      <x:c r="I385" s="84" t="str">
        <x:v>lesquerella gracilis</x:v>
      </x:c>
    </x:row>
    <x:row r="386">
      <x:c r="A386" s="83" t="str">
        <x:v>BONAP/NAPA Hays workbook</x:v>
      </x:c>
      <x:c r="B386" s="84" t="n">
        <x:v>389</x:v>
      </x:c>
      <x:c r="C386" s="87" t="str">
        <x:v>Lesquerella grandiflora</x:v>
      </x:c>
      <x:c r="D386" s="84" t="str">
        <x:v>Bigflower Bladderpod</x:v>
      </x:c>
      <x:c r="E386" s="84" t="str">
        <x:v>Annual</x:v>
      </x:c>
      <x:c r="F386" s="84" t="str">
        <x:v>Herb</x:v>
      </x:c>
      <x:c r="G386" s="84" t="str"/>
      <x:c r="H386" s="84" t="str"/>
      <x:c r="I386" s="84" t="str">
        <x:v>lesquerella grandiflora</x:v>
      </x:c>
    </x:row>
    <x:row r="387">
      <x:c r="A387" s="83" t="str">
        <x:v>BONAP/NAPA Hays workbook</x:v>
      </x:c>
      <x:c r="B387" s="84" t="n">
        <x:v>390</x:v>
      </x:c>
      <x:c r="C387" s="87" t="str">
        <x:v>Lesquerella recurvata</x:v>
      </x:c>
      <x:c r="D387" s="84" t="str">
        <x:v>Gaslight Bladderpod, Slender Bladderpod</x:v>
      </x:c>
      <x:c r="E387" s="84" t="str">
        <x:v>Annual</x:v>
      </x:c>
      <x:c r="F387" s="84" t="str">
        <x:v>Herb</x:v>
      </x:c>
      <x:c r="G387" s="84" t="str"/>
      <x:c r="H387" s="84" t="str"/>
      <x:c r="I387" s="84" t="str">
        <x:v>lesquerella recurvata</x:v>
      </x:c>
    </x:row>
    <x:row r="388">
      <x:c r="A388" s="83" t="str">
        <x:v>BONAP/NAPA Hays workbook</x:v>
      </x:c>
      <x:c r="B388" s="84" t="n">
        <x:v>391</x:v>
      </x:c>
      <x:c r="C388" s="87" t="str">
        <x:v>Lesquerella sessilis</x:v>
      </x:c>
      <x:c r="D388" s="84" t="str">
        <x:v>Sessile Bladderpod</x:v>
      </x:c>
      <x:c r="E388" s="84" t="str">
        <x:v>Annual</x:v>
      </x:c>
      <x:c r="F388" s="84" t="str">
        <x:v>Herb</x:v>
      </x:c>
      <x:c r="G388" s="84" t="str"/>
      <x:c r="H388" s="84" t="str"/>
      <x:c r="I388" s="84" t="str">
        <x:v>lesquerella sessilis</x:v>
      </x:c>
    </x:row>
    <x:row r="389">
      <x:c r="A389" s="83" t="str">
        <x:v>BONAP/NAPA Hays workbook</x:v>
      </x:c>
      <x:c r="B389" s="84" t="n">
        <x:v>392</x:v>
      </x:c>
      <x:c r="C389" s="87" t="str">
        <x:v>Leucophyllum frutescens</x:v>
      </x:c>
      <x:c r="D389" s="84" t="str">
        <x:v>Cenizo, Purple Sage, Texas Ranger, Texas Barometer Bush, Texas Silverleaf, Texas Sage, Silverleaf</x:v>
      </x:c>
      <x:c r="E389" s="84" t="str">
        <x:v>Perennial</x:v>
      </x:c>
      <x:c r="F389" s="84" t="str">
        <x:v>Shrub</x:v>
      </x:c>
      <x:c r="G389" s="84" t="str">
        <x:v>Sun, Part-shade</x:v>
      </x:c>
      <x:c r="H389" s="84" t="str">
        <x:v>Dry</x:v>
      </x:c>
      <x:c r="I389" s="84" t="str">
        <x:v>leucophyllum frutescens</x:v>
      </x:c>
    </x:row>
    <x:row r="390">
      <x:c r="A390" s="83" t="str">
        <x:v>BONAP/NAPA Hays workbook</x:v>
      </x:c>
      <x:c r="B390" s="84" t="n">
        <x:v>393</x:v>
      </x:c>
      <x:c r="C390" s="87" t="str">
        <x:v>Leucospora multifida</x:v>
      </x:c>
      <x:c r="D390" s="84" t="str">
        <x:v>Narrowleaf Paleseed</x:v>
      </x:c>
      <x:c r="E390" s="84" t="str">
        <x:v>Annual</x:v>
      </x:c>
      <x:c r="F390" s="84" t="str">
        <x:v>Herb</x:v>
      </x:c>
      <x:c r="G390" s="84" t="str"/>
      <x:c r="H390" s="84" t="str"/>
      <x:c r="I390" s="84" t="str">
        <x:v>leucospora multifida</x:v>
      </x:c>
    </x:row>
    <x:row r="391">
      <x:c r="A391" s="83" t="str">
        <x:v>BONAP/NAPA Hays workbook</x:v>
      </x:c>
      <x:c r="B391" s="84" t="n">
        <x:v>394</x:v>
      </x:c>
      <x:c r="C391" s="87" t="str">
        <x:v>Liatris punctata</x:v>
      </x:c>
      <x:c r="D391" s="84" t="str">
        <x:v>Dotted Blazing Star, Dotted Gayfeather, Dotted Liatris, Purples</x:v>
      </x:c>
      <x:c r="E391" s="84" t="str">
        <x:v>Perennial</x:v>
      </x:c>
      <x:c r="F391" s="84" t="str">
        <x:v>Herb</x:v>
      </x:c>
      <x:c r="G391" s="84" t="str">
        <x:v>Sun</x:v>
      </x:c>
      <x:c r="H391" s="84" t="str">
        <x:v>Dry</x:v>
      </x:c>
      <x:c r="I391" s="84" t="str">
        <x:v>liatris punctata</x:v>
      </x:c>
    </x:row>
    <x:row r="392">
      <x:c r="A392" s="83" t="str">
        <x:v>BONAP/NAPA Hays workbook</x:v>
      </x:c>
      <x:c r="B392" s="84" t="n">
        <x:v>395</x:v>
      </x:c>
      <x:c r="C392" s="87" t="str">
        <x:v>Liatris punctata var. mucronata</x:v>
      </x:c>
      <x:c r="D392" s="84" t="str">
        <x:v>Texas Gayfeather, Texas Blazing Star, Texas Liatris, Cusp Liatris, Cusp Blazing Star, Cusp Gayfeather, Narrow-leaf Blazing Star, Narrow-leaf Gayfeather, Purples</x:v>
      </x:c>
      <x:c r="E392" s="84" t="str">
        <x:v>Perennial</x:v>
      </x:c>
      <x:c r="F392" s="84" t="str">
        <x:v>Herb</x:v>
      </x:c>
      <x:c r="G392" s="84" t="str">
        <x:v>Sun</x:v>
      </x:c>
      <x:c r="H392" s="84" t="str">
        <x:v>Dry</x:v>
      </x:c>
      <x:c r="I392" s="84" t="str">
        <x:v>liatris punctata var. mucronata</x:v>
      </x:c>
    </x:row>
    <x:row r="393">
      <x:c r="A393" s="83" t="str">
        <x:v>BONAP/NAPA Hays workbook</x:v>
      </x:c>
      <x:c r="B393" s="84" t="n">
        <x:v>396</x:v>
      </x:c>
      <x:c r="C393" s="87" t="str">
        <x:v>Limnodea arkansana</x:v>
      </x:c>
      <x:c r="D393" s="84" t="str">
        <x:v>Ozark Grass, Ozarkgrass</x:v>
      </x:c>
      <x:c r="E393" s="84" t="str">
        <x:v>Annual</x:v>
      </x:c>
      <x:c r="F393" s="84" t="str">
        <x:v>Grass/Grass-like</x:v>
      </x:c>
      <x:c r="G393" s="84" t="str">
        <x:v>Sun, Shade, Part-shade</x:v>
      </x:c>
      <x:c r="H393" s="84" t="str">
        <x:v>Wet, Moist</x:v>
      </x:c>
      <x:c r="I393" s="84" t="str">
        <x:v>limnodea arkansana</x:v>
      </x:c>
    </x:row>
    <x:row r="394">
      <x:c r="A394" s="83" t="str">
        <x:v>BONAP/NAPA Hays workbook</x:v>
      </x:c>
      <x:c r="B394" s="84" t="n">
        <x:v>397</x:v>
      </x:c>
      <x:c r="C394" s="87" t="str">
        <x:v>Lindera benzoin</x:v>
      </x:c>
      <x:c r="D394" s="84" t="str">
        <x:v>Northern Spicebush, Spicebush, Wild Allspice</x:v>
      </x:c>
      <x:c r="E394" s="84" t="str">
        <x:v>Perennial</x:v>
      </x:c>
      <x:c r="F394" s="84" t="str">
        <x:v>Shrub</x:v>
      </x:c>
      <x:c r="G394" s="84" t="str">
        <x:v>Sun, Shade, Part-shade</x:v>
      </x:c>
      <x:c r="H394" s="84" t="str">
        <x:v>Wet, Moist, Dry</x:v>
      </x:c>
      <x:c r="I394" s="84" t="str">
        <x:v>lindera benzoin</x:v>
      </x:c>
    </x:row>
    <x:row r="395">
      <x:c r="A395" s="83" t="str">
        <x:v>BONAP/NAPA Hays workbook</x:v>
      </x:c>
      <x:c r="B395" s="84" t="n">
        <x:v>398</x:v>
      </x:c>
      <x:c r="C395" s="87" t="str">
        <x:v>Lindheimera texana</x:v>
      </x:c>
      <x:c r="D395" s="84" t="str">
        <x:v>Texas Yellowstar, Texas Star, Texas Yellow-star, Lindheimer Daisy</x:v>
      </x:c>
      <x:c r="E395" s="84" t="str">
        <x:v>Annual</x:v>
      </x:c>
      <x:c r="F395" s="84" t="str">
        <x:v>Herb</x:v>
      </x:c>
      <x:c r="G395" s="84" t="str">
        <x:v>Sun</x:v>
      </x:c>
      <x:c r="H395" s="84" t="str">
        <x:v>Dry</x:v>
      </x:c>
      <x:c r="I395" s="84" t="str">
        <x:v>lindheimera texana</x:v>
      </x:c>
    </x:row>
    <x:row r="396">
      <x:c r="A396" s="83" t="str">
        <x:v>BONAP/NAPA Hays workbook</x:v>
      </x:c>
      <x:c r="B396" s="84" t="n">
        <x:v>399</x:v>
      </x:c>
      <x:c r="C396" s="87" t="str">
        <x:v>Linum hudsonioides</x:v>
      </x:c>
      <x:c r="D396" s="84" t="str">
        <x:v>Texas Flax, Yellow Flax, Hudson Flax</x:v>
      </x:c>
      <x:c r="E396" s="84" t="str">
        <x:v>Annual</x:v>
      </x:c>
      <x:c r="F396" s="84" t="str">
        <x:v>Herb</x:v>
      </x:c>
      <x:c r="G396" s="84" t="str">
        <x:v>Sun</x:v>
      </x:c>
      <x:c r="H396" s="84" t="str">
        <x:v>Dry</x:v>
      </x:c>
      <x:c r="I396" s="84" t="str">
        <x:v>linum hudsonioides</x:v>
      </x:c>
    </x:row>
    <x:row r="397">
      <x:c r="A397" s="83" t="str">
        <x:v>BONAP/NAPA Hays workbook</x:v>
      </x:c>
      <x:c r="B397" s="84" t="n">
        <x:v>400</x:v>
      </x:c>
      <x:c r="C397" s="87" t="str">
        <x:v>Linum imbricatum</x:v>
      </x:c>
      <x:c r="D397" s="84" t="str">
        <x:v>Tufted Flax</x:v>
      </x:c>
      <x:c r="E397" s="84" t="str">
        <x:v>Annual</x:v>
      </x:c>
      <x:c r="F397" s="84" t="str">
        <x:v>Herb</x:v>
      </x:c>
      <x:c r="G397" s="84" t="str"/>
      <x:c r="H397" s="84" t="str"/>
      <x:c r="I397" s="84" t="str">
        <x:v>linum imbricatum</x:v>
      </x:c>
    </x:row>
    <x:row r="398">
      <x:c r="A398" s="83" t="str">
        <x:v>BONAP/NAPA Hays workbook</x:v>
      </x:c>
      <x:c r="B398" s="84" t="n">
        <x:v>401</x:v>
      </x:c>
      <x:c r="C398" s="87" t="str">
        <x:v>Linum rigidum</x:v>
      </x:c>
      <x:c r="D398" s="84" t="str">
        <x:v>Stiffstem Flax, Large-flower Yellow Flax, Yellow Flax</x:v>
      </x:c>
      <x:c r="E398" s="84" t="str">
        <x:v>Annual</x:v>
      </x:c>
      <x:c r="F398" s="84" t="str">
        <x:v>Herb</x:v>
      </x:c>
      <x:c r="G398" s="84" t="str">
        <x:v>Sun</x:v>
      </x:c>
      <x:c r="H398" s="84" t="str">
        <x:v>Dry</x:v>
      </x:c>
      <x:c r="I398" s="84" t="str">
        <x:v>linum rigidum</x:v>
      </x:c>
    </x:row>
    <x:row r="399">
      <x:c r="A399" s="83" t="str">
        <x:v>BONAP/NAPA Hays workbook</x:v>
      </x:c>
      <x:c r="B399" s="84" t="n">
        <x:v>402</x:v>
      </x:c>
      <x:c r="C399" s="87" t="str">
        <x:v>Linum rupestre</x:v>
      </x:c>
      <x:c r="D399" s="84" t="str">
        <x:v>Rock Flax</x:v>
      </x:c>
      <x:c r="E399" s="84" t="str">
        <x:v>Perennial</x:v>
      </x:c>
      <x:c r="F399" s="84" t="str">
        <x:v>Herb</x:v>
      </x:c>
      <x:c r="G399" s="84" t="str"/>
      <x:c r="H399" s="84" t="str"/>
      <x:c r="I399" s="84" t="str">
        <x:v>linum rupestre</x:v>
      </x:c>
    </x:row>
    <x:row r="400">
      <x:c r="A400" s="83" t="str">
        <x:v>BONAP/NAPA Hays workbook</x:v>
      </x:c>
      <x:c r="B400" s="84" t="n">
        <x:v>403</x:v>
      </x:c>
      <x:c r="C400" s="87" t="str">
        <x:v>Lithospermum incisum</x:v>
      </x:c>
      <x:c r="D400" s="84" t="str">
        <x:v>Fringed Puccoon, Golden Puccoon, Narrowleaf Puccoon, Narrow-leaved Puccoon, Puccoon, Narrowleaf Gromwell, Fringed Gromwell, Narrowleaf Stoneseed</x:v>
      </x:c>
      <x:c r="E400" s="84" t="str">
        <x:v>Perennial</x:v>
      </x:c>
      <x:c r="F400" s="84" t="str">
        <x:v>Herb</x:v>
      </x:c>
      <x:c r="G400" s="84" t="str">
        <x:v>Sun</x:v>
      </x:c>
      <x:c r="H400" s="84" t="str">
        <x:v>Dry</x:v>
      </x:c>
      <x:c r="I400" s="84" t="str">
        <x:v>lithospermum incisum</x:v>
      </x:c>
    </x:row>
    <x:row r="401">
      <x:c r="A401" s="83" t="str">
        <x:v>BONAP/NAPA Hays workbook</x:v>
      </x:c>
      <x:c r="B401" s="84" t="n">
        <x:v>404</x:v>
      </x:c>
      <x:c r="C401" s="87" t="str">
        <x:v>Lithospermum mirabile</x:v>
      </x:c>
      <x:c r="D401" s="84" t="str">
        <x:v>San Antonio Stoneseed</x:v>
      </x:c>
      <x:c r="E401" s="84" t="str">
        <x:v>Perennial</x:v>
      </x:c>
      <x:c r="F401" s="84" t="str">
        <x:v>Herb</x:v>
      </x:c>
      <x:c r="G401" s="84" t="str"/>
      <x:c r="H401" s="84" t="str"/>
      <x:c r="I401" s="84" t="str">
        <x:v>lithospermum mirabile</x:v>
      </x:c>
    </x:row>
    <x:row r="402">
      <x:c r="A402" s="83" t="str">
        <x:v>BONAP/NAPA Hays workbook</x:v>
      </x:c>
      <x:c r="B402" s="84" t="n">
        <x:v>405</x:v>
      </x:c>
      <x:c r="C402" s="87" t="str">
        <x:v>Lobelia cardinalis</x:v>
      </x:c>
      <x:c r="D402" s="84" t="str">
        <x:v>Cardinal Flower</x:v>
      </x:c>
      <x:c r="E402" s="84" t="str">
        <x:v>Perennial</x:v>
      </x:c>
      <x:c r="F402" s="84" t="str">
        <x:v>Herb</x:v>
      </x:c>
      <x:c r="G402" s="84" t="str">
        <x:v>Sun, Shade, Part-shade</x:v>
      </x:c>
      <x:c r="H402" s="84" t="str">
        <x:v>Wet, Moist</x:v>
      </x:c>
      <x:c r="I402" s="84" t="str">
        <x:v>lobelia cardinalis</x:v>
      </x:c>
    </x:row>
    <x:row r="403">
      <x:c r="A403" s="83" t="str">
        <x:v>BONAP/NAPA Hays workbook</x:v>
      </x:c>
      <x:c r="B403" s="84" t="n">
        <x:v>406</x:v>
      </x:c>
      <x:c r="C403" s="87" t="str">
        <x:v>Lonicera albiflora</x:v>
      </x:c>
      <x:c r="D403" s="84" t="str">
        <x:v>Western White Honeysuckle, White Shrub Honeysuckle, White Bush Honeysuckle, White Limestone Honeysuckle, Texas Honeysuckle, White Honeysuckle</x:v>
      </x:c>
      <x:c r="E403" s="84" t="str">
        <x:v>Perennial</x:v>
      </x:c>
      <x:c r="F403" s="84" t="str">
        <x:v>Vine</x:v>
      </x:c>
      <x:c r="G403" s="84" t="str">
        <x:v>Sun, Part-shade</x:v>
      </x:c>
      <x:c r="H403" s="84" t="str">
        <x:v>Moist, Dry</x:v>
      </x:c>
      <x:c r="I403" s="84" t="str">
        <x:v>lonicera albiflora</x:v>
      </x:c>
    </x:row>
    <x:row r="404">
      <x:c r="A404" s="83" t="str">
        <x:v>BONAP/NAPA Hays workbook</x:v>
      </x:c>
      <x:c r="B404" s="84" t="n">
        <x:v>407</x:v>
      </x:c>
      <x:c r="C404" s="87" t="str">
        <x:v>Lonicera sempervirens</x:v>
      </x:c>
      <x:c r="D404" s="84" t="str">
        <x:v>Coral Honeysuckle, Trumpet Honeysuckle, Woodbine</x:v>
      </x:c>
      <x:c r="E404" s="84" t="str">
        <x:v>Perennial</x:v>
      </x:c>
      <x:c r="F404" s="84" t="str">
        <x:v>Vine</x:v>
      </x:c>
      <x:c r="G404" s="84" t="str">
        <x:v>Sun, Part-shade</x:v>
      </x:c>
      <x:c r="H404" s="84" t="str">
        <x:v>Moist</x:v>
      </x:c>
      <x:c r="I404" s="84" t="str">
        <x:v>lonicera sempervirens</x:v>
      </x:c>
    </x:row>
    <x:row r="405">
      <x:c r="A405" s="83" t="str">
        <x:v>BONAP/NAPA Hays workbook</x:v>
      </x:c>
      <x:c r="B405" s="84" t="n">
        <x:v>408</x:v>
      </x:c>
      <x:c r="C405" s="87" t="str">
        <x:v>Ludwigia decurrens</x:v>
      </x:c>
      <x:c r="D405" s="84" t="str">
        <x:v>Wingleaf Primrose-willow</x:v>
      </x:c>
      <x:c r="E405" s="84" t="str">
        <x:v>Annual</x:v>
      </x:c>
      <x:c r="F405" s="84" t="str">
        <x:v>Herb</x:v>
      </x:c>
      <x:c r="G405" s="84" t="str"/>
      <x:c r="H405" s="84" t="str"/>
      <x:c r="I405" s="84" t="str">
        <x:v>ludwigia decurrens</x:v>
      </x:c>
    </x:row>
    <x:row r="406">
      <x:c r="A406" s="83" t="str">
        <x:v>BONAP/NAPA Hays workbook</x:v>
      </x:c>
      <x:c r="B406" s="84" t="n">
        <x:v>409</x:v>
      </x:c>
      <x:c r="C406" s="87" t="str">
        <x:v>Ludwigia octovalvis</x:v>
      </x:c>
      <x:c r="D406" s="84" t="str">
        <x:v>Mexican Primrose-willow, Narrow-leaf Water Primrose, Seedbox, Mexican Primrose Willow</x:v>
      </x:c>
      <x:c r="E406" s="84" t="str">
        <x:v>Perennial</x:v>
      </x:c>
      <x:c r="F406" s="84" t="str">
        <x:v>Herb, Subshrub</x:v>
      </x:c>
      <x:c r="G406" s="84" t="str">
        <x:v>Sun, Part-shade</x:v>
      </x:c>
      <x:c r="H406" s="84" t="str">
        <x:v>Moist</x:v>
      </x:c>
      <x:c r="I406" s="84" t="str">
        <x:v>ludwigia octovalvis</x:v>
      </x:c>
    </x:row>
    <x:row r="407">
      <x:c r="A407" s="83" t="str">
        <x:v>BONAP/NAPA Hays workbook</x:v>
      </x:c>
      <x:c r="B407" s="84" t="n">
        <x:v>410</x:v>
      </x:c>
      <x:c r="C407" s="87" t="str">
        <x:v>Ludwigia palustris</x:v>
      </x:c>
      <x:c r="D407" s="84" t="str">
        <x:v>Marsh Seedbox, Water Purslane</x:v>
      </x:c>
      <x:c r="E407" s="84" t="str">
        <x:v>Perennial</x:v>
      </x:c>
      <x:c r="F407" s="84" t="str">
        <x:v>Herb</x:v>
      </x:c>
      <x:c r="G407" s="84" t="str">
        <x:v>Sun</x:v>
      </x:c>
      <x:c r="H407" s="84" t="str">
        <x:v>Wet</x:v>
      </x:c>
      <x:c r="I407" s="84" t="str">
        <x:v>ludwigia palustris</x:v>
      </x:c>
    </x:row>
    <x:row r="408">
      <x:c r="A408" s="83" t="str">
        <x:v>BONAP/NAPA Hays workbook</x:v>
      </x:c>
      <x:c r="B408" s="84" t="n">
        <x:v>411</x:v>
      </x:c>
      <x:c r="C408" s="87" t="str">
        <x:v>Ludwigia peploides</x:v>
      </x:c>
      <x:c r="D408" s="84" t="str">
        <x:v>Floating Primrose-willow, Water-primrose, CreepingÂ Water-primrose</x:v>
      </x:c>
      <x:c r="E408" s="84" t="str">
        <x:v>Perennial</x:v>
      </x:c>
      <x:c r="F408" s="84" t="str">
        <x:v>Herb</x:v>
      </x:c>
      <x:c r="G408" s="84" t="str">
        <x:v>Sun</x:v>
      </x:c>
      <x:c r="H408" s="84" t="str"/>
      <x:c r="I408" s="84" t="str">
        <x:v>ludwigia peploides</x:v>
      </x:c>
    </x:row>
    <x:row r="409">
      <x:c r="A409" s="83" t="str">
        <x:v>BONAP/NAPA Hays workbook</x:v>
      </x:c>
      <x:c r="B409" s="84" t="n">
        <x:v>412</x:v>
      </x:c>
      <x:c r="C409" s="87" t="str">
        <x:v>Ludwigia repens</x:v>
      </x:c>
      <x:c r="D409" s="84" t="str">
        <x:v>Creeping Primrose-willow, Floating Primrose-willow, Water Primrose</x:v>
      </x:c>
      <x:c r="E409" s="84" t="str">
        <x:v>Perennial</x:v>
      </x:c>
      <x:c r="F409" s="84" t="str">
        <x:v>Herb</x:v>
      </x:c>
      <x:c r="G409" s="84" t="str"/>
      <x:c r="H409" s="84" t="str"/>
      <x:c r="I409" s="84" t="str">
        <x:v>ludwigia repens</x:v>
      </x:c>
    </x:row>
    <x:row r="410">
      <x:c r="A410" s="83" t="str">
        <x:v>BONAP/NAPA Hays workbook</x:v>
      </x:c>
      <x:c r="B410" s="84" t="n">
        <x:v>413</x:v>
      </x:c>
      <x:c r="C410" s="87" t="str">
        <x:v>Lupinus texensis</x:v>
      </x:c>
      <x:c r="D410" s="84" t="str">
        <x:v>Texas Bluebonnet, Bluebonnet, Texas Lupine, Buffalo Clover, Wolf Flower</x:v>
      </x:c>
      <x:c r="E410" s="84" t="str">
        <x:v>Annual</x:v>
      </x:c>
      <x:c r="F410" s="84" t="str">
        <x:v>Herb</x:v>
      </x:c>
      <x:c r="G410" s="84" t="str">
        <x:v>Sun</x:v>
      </x:c>
      <x:c r="H410" s="84" t="str">
        <x:v>Dry</x:v>
      </x:c>
      <x:c r="I410" s="84" t="str">
        <x:v>lupinus texensis</x:v>
      </x:c>
    </x:row>
    <x:row r="411">
      <x:c r="A411" s="83" t="str">
        <x:v>BONAP/NAPA Hays workbook</x:v>
      </x:c>
      <x:c r="B411" s="84" t="n">
        <x:v>414</x:v>
      </x:c>
      <x:c r="C411" s="87" t="str">
        <x:v>Luzula bulbosa</x:v>
      </x:c>
      <x:c r="D411" s="84" t="str">
        <x:v>Bulbous Woodrush</x:v>
      </x:c>
      <x:c r="E411" s="84" t="str">
        <x:v>Perennial</x:v>
      </x:c>
      <x:c r="F411" s="84" t="str">
        <x:v>Grass/Grass-like</x:v>
      </x:c>
      <x:c r="G411" s="84" t="str"/>
      <x:c r="H411" s="84" t="str"/>
      <x:c r="I411" s="84" t="str">
        <x:v>luzula bulbosa</x:v>
      </x:c>
    </x:row>
    <x:row r="412">
      <x:c r="A412" s="83" t="str">
        <x:v>BONAP/NAPA Hays workbook</x:v>
      </x:c>
      <x:c r="B412" s="84" t="n">
        <x:v>415</x:v>
      </x:c>
      <x:c r="C412" s="87" t="str">
        <x:v>Lygodesmia texana</x:v>
      </x:c>
      <x:c r="D412" s="84" t="str">
        <x:v>Texas Skeleton Plant, Texas Skeleton Weed, Skeleton-plant, Purple Dandelion, Flowering Straw</x:v>
      </x:c>
      <x:c r="E412" s="84" t="str">
        <x:v>Perennial</x:v>
      </x:c>
      <x:c r="F412" s="84" t="str">
        <x:v>Herb</x:v>
      </x:c>
      <x:c r="G412" s="84" t="str">
        <x:v>Sun</x:v>
      </x:c>
      <x:c r="H412" s="84" t="str">
        <x:v>Dry</x:v>
      </x:c>
      <x:c r="I412" s="84" t="str">
        <x:v>lygodesmia texana</x:v>
      </x:c>
    </x:row>
    <x:row r="413">
      <x:c r="A413" s="83" t="str">
        <x:v>BONAP/NAPA Hays workbook</x:v>
      </x:c>
      <x:c r="B413" s="84" t="n">
        <x:v>416</x:v>
      </x:c>
      <x:c r="C413" s="87" t="str">
        <x:v>Lythrum alatum</x:v>
      </x:c>
      <x:c r="D413" s="84" t="str">
        <x:v>Winged Lythrum</x:v>
      </x:c>
      <x:c r="E413" s="84" t="str">
        <x:v>Perennial</x:v>
      </x:c>
      <x:c r="F413" s="84" t="str">
        <x:v>Subshrub</x:v>
      </x:c>
      <x:c r="G413" s="84" t="str">
        <x:v>Sun</x:v>
      </x:c>
      <x:c r="H413" s="84" t="str">
        <x:v>Wet, Moist</x:v>
      </x:c>
      <x:c r="I413" s="84" t="str">
        <x:v>lythrum alatum</x:v>
      </x:c>
    </x:row>
    <x:row r="414">
      <x:c r="A414" s="83" t="str">
        <x:v>BONAP/NAPA Hays workbook</x:v>
      </x:c>
      <x:c r="B414" s="84" t="n">
        <x:v>417</x:v>
      </x:c>
      <x:c r="C414" s="87" t="str">
        <x:v>Lythrum californicum</x:v>
      </x:c>
      <x:c r="D414" s="84" t="str">
        <x:v>California Loosestrife</x:v>
      </x:c>
      <x:c r="E414" s="84" t="str">
        <x:v>Perennial</x:v>
      </x:c>
      <x:c r="F414" s="84" t="str">
        <x:v>Herb</x:v>
      </x:c>
      <x:c r="G414" s="84" t="str">
        <x:v>Sun</x:v>
      </x:c>
      <x:c r="H414" s="84" t="str">
        <x:v>Moist</x:v>
      </x:c>
      <x:c r="I414" s="84" t="str">
        <x:v>lythrum californicum</x:v>
      </x:c>
    </x:row>
    <x:row r="415">
      <x:c r="A415" s="83" t="str">
        <x:v>BONAP/NAPA Hays workbook</x:v>
      </x:c>
      <x:c r="B415" s="84" t="n">
        <x:v>418</x:v>
      </x:c>
      <x:c r="C415" s="87" t="str">
        <x:v>Maclura pomifera</x:v>
      </x:c>
      <x:c r="D415" s="84" t="str">
        <x:v>Osage Orange, Bois d' Arc, Bodark, Horse Apple, Hedge Apple, Bowwood, Yellowwood, Naranjo Chino, Monkey Brains</x:v>
      </x:c>
      <x:c r="E415" s="84" t="str">
        <x:v>Perennial</x:v>
      </x:c>
      <x:c r="F415" s="84" t="str">
        <x:v>Tree</x:v>
      </x:c>
      <x:c r="G415" s="84" t="str">
        <x:v>Sun, Part-shade</x:v>
      </x:c>
      <x:c r="H415" s="84" t="str">
        <x:v>Moist, Dry</x:v>
      </x:c>
      <x:c r="I415" s="84" t="str">
        <x:v>maclura pomifera</x:v>
      </x:c>
    </x:row>
    <x:row r="416">
      <x:c r="A416" s="83" t="str">
        <x:v>BONAP/NAPA Hays workbook</x:v>
      </x:c>
      <x:c r="B416" s="84" t="n">
        <x:v>419</x:v>
      </x:c>
      <x:c r="C416" s="87" t="str">
        <x:v>Mahonia swaseyi</x:v>
      </x:c>
      <x:c r="D416" s="84" t="str">
        <x:v>Texas Barberry, Texas Oregon-grape</x:v>
      </x:c>
      <x:c r="E416" s="84" t="str">
        <x:v>Perennial</x:v>
      </x:c>
      <x:c r="F416" s="84" t="str">
        <x:v>Shrub</x:v>
      </x:c>
      <x:c r="G416" s="84" t="str">
        <x:v>Sun</x:v>
      </x:c>
      <x:c r="H416" s="84" t="str"/>
      <x:c r="I416" s="84" t="str">
        <x:v>mahonia swaseyi</x:v>
      </x:c>
    </x:row>
    <x:row r="417">
      <x:c r="A417" s="83" t="str">
        <x:v>BONAP/NAPA Hays workbook</x:v>
      </x:c>
      <x:c r="B417" s="84" t="n">
        <x:v>420</x:v>
      </x:c>
      <x:c r="C417" s="87" t="str">
        <x:v>Mahonia trifoliolata</x:v>
      </x:c>
      <x:c r="D417" s="84" t="str">
        <x:v>Agarita, Agarito, Algerita, Laredo Mahonia, Laredo Oregon-grape, Trifoliate Barberry, Wild Currant</x:v>
      </x:c>
      <x:c r="E417" s="84" t="str">
        <x:v>Perennial</x:v>
      </x:c>
      <x:c r="F417" s="84" t="str">
        <x:v>Shrub</x:v>
      </x:c>
      <x:c r="G417" s="84" t="str">
        <x:v>Sun, Part-shade</x:v>
      </x:c>
      <x:c r="H417" s="84" t="str">
        <x:v>Moist, Dry</x:v>
      </x:c>
      <x:c r="I417" s="84" t="str">
        <x:v>mahonia trifoliolata</x:v>
      </x:c>
    </x:row>
    <x:row r="418">
      <x:c r="A418" s="83" t="str">
        <x:v>BONAP/NAPA Hays workbook</x:v>
      </x:c>
      <x:c r="B418" s="84" t="n">
        <x:v>421</x:v>
      </x:c>
      <x:c r="C418" s="87" t="str">
        <x:v>Malvastrum aurantiacum</x:v>
      </x:c>
      <x:c r="D418" s="84" t="str">
        <x:v>Wright's False Mallow</x:v>
      </x:c>
      <x:c r="E418" s="84" t="str">
        <x:v>Perennial</x:v>
      </x:c>
      <x:c r="F418" s="84" t="str">
        <x:v>Shrub</x:v>
      </x:c>
      <x:c r="G418" s="84" t="str">
        <x:v>Sun</x:v>
      </x:c>
      <x:c r="H418" s="84" t="str">
        <x:v>Dry</x:v>
      </x:c>
      <x:c r="I418" s="84" t="str">
        <x:v>malvastrum aurantiacum</x:v>
      </x:c>
    </x:row>
    <x:row r="419">
      <x:c r="A419" s="83" t="str">
        <x:v>BONAP/NAPA Hays workbook</x:v>
      </x:c>
      <x:c r="B419" s="84" t="n">
        <x:v>422</x:v>
      </x:c>
      <x:c r="C419" s="87" t="str">
        <x:v>Malvaviscus arboreus var. drummondii</x:v>
      </x:c>
      <x:c r="D419" s="84" t="str">
        <x:v>Turk's Cap, Drummond's Turk's Cap, Drummond Turk's Cap, Wax Mallow, Drummond's Wax Mallow, Drummond Wax Mallow, Red Mallow, Texas Mallow, Mexican Apple, Sleeping Hibiscus, Bleeding Hearts, Manzanita</x:v>
      </x:c>
      <x:c r="E419" s="84" t="str">
        <x:v>Perennial</x:v>
      </x:c>
      <x:c r="F419" s="84" t="str">
        <x:v>Shrub</x:v>
      </x:c>
      <x:c r="G419" s="84" t="str">
        <x:v>Shade, Part-shade</x:v>
      </x:c>
      <x:c r="H419" s="84" t="str">
        <x:v>Moist, Dry</x:v>
      </x:c>
      <x:c r="I419" s="84" t="str">
        <x:v>malvaviscus arboreus var. drummondii</x:v>
      </x:c>
    </x:row>
    <x:row r="420">
      <x:c r="A420" s="83" t="str">
        <x:v>BONAP/NAPA Hays workbook</x:v>
      </x:c>
      <x:c r="B420" s="84" t="n">
        <x:v>423</x:v>
      </x:c>
      <x:c r="C420" s="87" t="str">
        <x:v>Marshallia caespitosa var. signata</x:v>
      </x:c>
      <x:c r="D420" s="84" t="str">
        <x:v>Marked Barbara's-buttons, Marked Barbara's Buttons, Puffballs</x:v>
      </x:c>
      <x:c r="E420" s="84" t="str">
        <x:v>Perennial</x:v>
      </x:c>
      <x:c r="F420" s="84" t="str">
        <x:v>Herb</x:v>
      </x:c>
      <x:c r="G420" s="84" t="str"/>
      <x:c r="H420" s="84" t="str"/>
      <x:c r="I420" s="84" t="str">
        <x:v>marshallia caespitosa var. signata</x:v>
      </x:c>
    </x:row>
    <x:row r="421">
      <x:c r="A421" s="83" t="str">
        <x:v>BONAP/NAPA Hays workbook</x:v>
      </x:c>
      <x:c r="B421" s="84" t="n">
        <x:v>424</x:v>
      </x:c>
      <x:c r="C421" s="87" t="str">
        <x:v>Marsilea vestita</x:v>
      </x:c>
      <x:c r="D421" s="84" t="str">
        <x:v>Hairy Water-clover, Hairy Waterclover, Hairy Water Clover, Clover Fern</x:v>
      </x:c>
      <x:c r="E421" s="84" t="str">
        <x:v>Perennial</x:v>
      </x:c>
      <x:c r="F421" s="84" t="str">
        <x:v>Herb, Fern</x:v>
      </x:c>
      <x:c r="G421" s="84" t="str">
        <x:v>Part-shade</x:v>
      </x:c>
      <x:c r="H421" s="84" t="str">
        <x:v>Wet</x:v>
      </x:c>
      <x:c r="I421" s="84" t="str">
        <x:v>marsilea vestita</x:v>
      </x:c>
    </x:row>
    <x:row r="422">
      <x:c r="A422" s="83" t="str">
        <x:v>BONAP/NAPA Hays workbook</x:v>
      </x:c>
      <x:c r="B422" s="84" t="n">
        <x:v>425</x:v>
      </x:c>
      <x:c r="C422" s="87" t="str">
        <x:v>Matelea biflora</x:v>
      </x:c>
      <x:c r="D422" s="84" t="str">
        <x:v>Star Milkvine, Purple Milkweed Vine</x:v>
      </x:c>
      <x:c r="E422" s="84" t="str">
        <x:v>Perennial</x:v>
      </x:c>
      <x:c r="F422" s="84" t="str">
        <x:v>Vine</x:v>
      </x:c>
      <x:c r="G422" s="84" t="str">
        <x:v>Sun, Part-shade</x:v>
      </x:c>
      <x:c r="H422" s="84" t="str">
        <x:v>Dry</x:v>
      </x:c>
      <x:c r="I422" s="84" t="str">
        <x:v>matelea biflora</x:v>
      </x:c>
    </x:row>
    <x:row r="423">
      <x:c r="A423" s="83" t="str">
        <x:v>BONAP/NAPA Hays workbook</x:v>
      </x:c>
      <x:c r="B423" s="84" t="n">
        <x:v>426</x:v>
      </x:c>
      <x:c r="C423" s="87" t="str">
        <x:v>Matelea edwardsensis</x:v>
      </x:c>
      <x:c r="D423" s="84" t="str">
        <x:v>Plateau Milkvine, Plateau Milkweed Vine</x:v>
      </x:c>
      <x:c r="E423" s="84" t="str">
        <x:v>Perennial</x:v>
      </x:c>
      <x:c r="F423" s="84" t="str">
        <x:v>Vine</x:v>
      </x:c>
      <x:c r="G423" s="84" t="str"/>
      <x:c r="H423" s="84" t="str"/>
      <x:c r="I423" s="84" t="str">
        <x:v>matelea edwardsensis</x:v>
      </x:c>
    </x:row>
    <x:row r="424">
      <x:c r="A424" s="83" t="str">
        <x:v>BONAP/NAPA Hays workbook</x:v>
      </x:c>
      <x:c r="B424" s="84" t="n">
        <x:v>427</x:v>
      </x:c>
      <x:c r="C424" s="87" t="str">
        <x:v>Matelea gonocarpos</x:v>
      </x:c>
      <x:c r="D424" s="84" t="str">
        <x:v>Anglepod, Angularfruit Milkvine</x:v>
      </x:c>
      <x:c r="E424" s="84" t="str">
        <x:v>Perennial</x:v>
      </x:c>
      <x:c r="F424" s="84" t="str">
        <x:v>Vine</x:v>
      </x:c>
      <x:c r="G424" s="84" t="str"/>
      <x:c r="H424" s="84" t="str"/>
      <x:c r="I424" s="84" t="str">
        <x:v>matelea gonocarpos</x:v>
      </x:c>
    </x:row>
    <x:row r="425">
      <x:c r="A425" s="83" t="str">
        <x:v>BONAP/NAPA Hays workbook</x:v>
      </x:c>
      <x:c r="B425" s="84" t="n">
        <x:v>428</x:v>
      </x:c>
      <x:c r="C425" s="87" t="str">
        <x:v>Matelea reticulata</x:v>
      </x:c>
      <x:c r="D425" s="84" t="str">
        <x:v>Pearl Milkweed Vine, Netted Milkvine, Green Milkweed Vine, Net Vein Milkvine</x:v>
      </x:c>
      <x:c r="E425" s="84" t="str">
        <x:v>Perennial</x:v>
      </x:c>
      <x:c r="F425" s="84" t="str">
        <x:v>Vine</x:v>
      </x:c>
      <x:c r="G425" s="84" t="str">
        <x:v>Part-shade</x:v>
      </x:c>
      <x:c r="H425" s="84" t="str">
        <x:v>Dry</x:v>
      </x:c>
      <x:c r="I425" s="84" t="str">
        <x:v>matelea reticulata</x:v>
      </x:c>
    </x:row>
    <x:row r="426">
      <x:c r="A426" s="83" t="str">
        <x:v>BONAP/NAPA Hays workbook</x:v>
      </x:c>
      <x:c r="B426" s="84" t="n">
        <x:v>429</x:v>
      </x:c>
      <x:c r="C426" s="87" t="str">
        <x:v>Maurandella antirrhiniflora</x:v>
      </x:c>
      <x:c r="D426" s="84" t="str">
        <x:v>Snapdragon Vine , Roving Sailor, Climbing Snapdragon, Little Snapdragon Vine</x:v>
      </x:c>
      <x:c r="E426" s="84" t="str">
        <x:v>Perennial</x:v>
      </x:c>
      <x:c r="F426" s="84" t="str">
        <x:v>Vine</x:v>
      </x:c>
      <x:c r="G426" s="84" t="str">
        <x:v>Part-shade</x:v>
      </x:c>
      <x:c r="H426" s="84" t="str">
        <x:v>Dry</x:v>
      </x:c>
      <x:c r="I426" s="84" t="str">
        <x:v>maurandella antirrhiniflora</x:v>
      </x:c>
    </x:row>
    <x:row r="427">
      <x:c r="A427" s="83" t="str">
        <x:v>BONAP/NAPA Hays workbook</x:v>
      </x:c>
      <x:c r="B427" s="84" t="n">
        <x:v>430</x:v>
      </x:c>
      <x:c r="C427" s="87" t="str">
        <x:v>Mecardonia procumbens</x:v>
      </x:c>
      <x:c r="D427" s="84" t="str">
        <x:v>Baby Jump-up</x:v>
      </x:c>
      <x:c r="E427" s="84" t="str">
        <x:v>Annual</x:v>
      </x:c>
      <x:c r="F427" s="84" t="str">
        <x:v>Herb</x:v>
      </x:c>
      <x:c r="G427" s="84" t="str"/>
      <x:c r="H427" s="84" t="str"/>
      <x:c r="I427" s="84" t="str">
        <x:v>mecardonia procumbens</x:v>
      </x:c>
    </x:row>
    <x:row r="428">
      <x:c r="A428" s="83" t="str">
        <x:v>BONAP/NAPA Hays workbook</x:v>
      </x:c>
      <x:c r="B428" s="84" t="n">
        <x:v>431</x:v>
      </x:c>
      <x:c r="C428" s="87" t="str">
        <x:v>Melampodium leucanthum</x:v>
      </x:c>
      <x:c r="D428" s="84" t="str">
        <x:v>Blackfoot Daisy, Rock Daisy, Plains Blackfoot, Arnica</x:v>
      </x:c>
      <x:c r="E428" s="84" t="str">
        <x:v>Perennial</x:v>
      </x:c>
      <x:c r="F428" s="84" t="str">
        <x:v>Herb</x:v>
      </x:c>
      <x:c r="G428" s="84" t="str">
        <x:v>Sun, Part-shade</x:v>
      </x:c>
      <x:c r="H428" s="84" t="str">
        <x:v>Dry</x:v>
      </x:c>
      <x:c r="I428" s="84" t="str">
        <x:v>melampodium leucanthum</x:v>
      </x:c>
    </x:row>
    <x:row r="429">
      <x:c r="A429" s="83" t="str">
        <x:v>BONAP/NAPA Hays workbook</x:v>
      </x:c>
      <x:c r="B429" s="84" t="n">
        <x:v>432</x:v>
      </x:c>
      <x:c r="C429" s="87" t="str">
        <x:v>Melochia pyramidata</x:v>
      </x:c>
      <x:c r="D429" s="84" t="str">
        <x:v>Pyramidflower, Broom-wood, Pyramid Flower</x:v>
      </x:c>
      <x:c r="E429" s="84" t="str">
        <x:v>Annual</x:v>
      </x:c>
      <x:c r="F429" s="84" t="str">
        <x:v>Herb, Subshrub, Shrub</x:v>
      </x:c>
      <x:c r="G429" s="84" t="str"/>
      <x:c r="H429" s="84" t="str"/>
      <x:c r="I429" s="84" t="str">
        <x:v>melochia pyramidata</x:v>
      </x:c>
    </x:row>
    <x:row r="430">
      <x:c r="A430" s="83" t="str">
        <x:v>BONAP/NAPA Hays workbook</x:v>
      </x:c>
      <x:c r="B430" s="84" t="n">
        <x:v>433</x:v>
      </x:c>
      <x:c r="C430" s="87" t="str">
        <x:v>Melothria pendula</x:v>
      </x:c>
      <x:c r="D430" s="84" t="str">
        <x:v>Guadeloupe Cucumber, Meloncito, Speckled Gourd</x:v>
      </x:c>
      <x:c r="E430" s="84" t="str">
        <x:v>Perennial</x:v>
      </x:c>
      <x:c r="F430" s="84" t="str">
        <x:v>Vine</x:v>
      </x:c>
      <x:c r="G430" s="84" t="str"/>
      <x:c r="H430" s="84" t="str"/>
      <x:c r="I430" s="84" t="str">
        <x:v>melothria pendula</x:v>
      </x:c>
    </x:row>
    <x:row r="431">
      <x:c r="A431" s="83" t="str">
        <x:v>BONAP/NAPA Hays workbook</x:v>
      </x:c>
      <x:c r="B431" s="84" t="n">
        <x:v>434</x:v>
      </x:c>
      <x:c r="C431" s="87" t="str">
        <x:v>Menodora heterophylla</x:v>
      </x:c>
      <x:c r="D431" s="84" t="str">
        <x:v>Low Menodora, Redbud, Twinpod</x:v>
      </x:c>
      <x:c r="E431" s="84" t="str">
        <x:v>Perennial</x:v>
      </x:c>
      <x:c r="F431" s="84" t="str">
        <x:v>Herb</x:v>
      </x:c>
      <x:c r="G431" s="84" t="str">
        <x:v>Part-shade</x:v>
      </x:c>
      <x:c r="H431" s="84" t="str">
        <x:v>Dry</x:v>
      </x:c>
      <x:c r="I431" s="84" t="str">
        <x:v>menodora heterophylla</x:v>
      </x:c>
    </x:row>
    <x:row r="432">
      <x:c r="A432" s="83" t="str">
        <x:v>BONAP/NAPA Hays workbook</x:v>
      </x:c>
      <x:c r="B432" s="84" t="n">
        <x:v>435</x:v>
      </x:c>
      <x:c r="C432" s="87" t="str">
        <x:v>Menodora longiflora</x:v>
      </x:c>
      <x:c r="D432" s="84" t="str">
        <x:v>Showy Menodora, Twinpod</x:v>
      </x:c>
      <x:c r="E432" s="84" t="str">
        <x:v>Perennial</x:v>
      </x:c>
      <x:c r="F432" s="84" t="str">
        <x:v>Herb</x:v>
      </x:c>
      <x:c r="G432" s="84" t="str">
        <x:v>Part-shade</x:v>
      </x:c>
      <x:c r="H432" s="84" t="str">
        <x:v>Dry</x:v>
      </x:c>
      <x:c r="I432" s="84" t="str">
        <x:v>menodora longiflora</x:v>
      </x:c>
    </x:row>
    <x:row r="433">
      <x:c r="A433" s="83" t="str">
        <x:v>BONAP/NAPA Hays workbook</x:v>
      </x:c>
      <x:c r="B433" s="84" t="n">
        <x:v>436</x:v>
      </x:c>
      <x:c r="C433" s="87" t="str">
        <x:v>Mentzelia oligosperma</x:v>
      </x:c>
      <x:c r="D433" s="84" t="str">
        <x:v>Stick-leaf, Chickenthief</x:v>
      </x:c>
      <x:c r="E433" s="84" t="str">
        <x:v>Perennial</x:v>
      </x:c>
      <x:c r="F433" s="84" t="str">
        <x:v>Shrub</x:v>
      </x:c>
      <x:c r="G433" s="84" t="str"/>
      <x:c r="H433" s="84" t="str"/>
      <x:c r="I433" s="84" t="str">
        <x:v>mentzelia oligosperma</x:v>
      </x:c>
    </x:row>
    <x:row r="434">
      <x:c r="A434" s="83" t="str">
        <x:v>BONAP/NAPA Hays workbook</x:v>
      </x:c>
      <x:c r="B434" s="84" t="n">
        <x:v>437</x:v>
      </x:c>
      <x:c r="C434" s="87" t="str">
        <x:v>Merremia dissecta</x:v>
      </x:c>
      <x:c r="D434" s="84" t="str">
        <x:v>Alamo Vine, Noyau Vine, Correhuela De Las Doce</x:v>
      </x:c>
      <x:c r="E434" s="84" t="str">
        <x:v>Perennial</x:v>
      </x:c>
      <x:c r="F434" s="84" t="str">
        <x:v>Vine</x:v>
      </x:c>
      <x:c r="G434" s="84" t="str">
        <x:v>Sun, Part-shade</x:v>
      </x:c>
      <x:c r="H434" s="84" t="str">
        <x:v>Moist, Dry</x:v>
      </x:c>
      <x:c r="I434" s="84" t="str">
        <x:v>merremia dissecta</x:v>
      </x:c>
    </x:row>
    <x:row r="435">
      <x:c r="A435" s="83" t="str">
        <x:v>BONAP/NAPA Hays workbook</x:v>
      </x:c>
      <x:c r="B435" s="84" t="n">
        <x:v>438</x:v>
      </x:c>
      <x:c r="C435" s="87" t="str">
        <x:v>Mikania scandens</x:v>
      </x:c>
      <x:c r="D435" s="84" t="str">
        <x:v>Climbing Hempvine, Climbing Hempweed</x:v>
      </x:c>
      <x:c r="E435" s="84" t="str">
        <x:v>Perennial</x:v>
      </x:c>
      <x:c r="F435" s="84" t="str">
        <x:v>Vine</x:v>
      </x:c>
      <x:c r="G435" s="84" t="str">
        <x:v>Shade</x:v>
      </x:c>
      <x:c r="H435" s="84" t="str">
        <x:v>Wet</x:v>
      </x:c>
      <x:c r="I435" s="84" t="str">
        <x:v>mikania scandens</x:v>
      </x:c>
    </x:row>
    <x:row r="436">
      <x:c r="A436" s="83" t="str">
        <x:v>BONAP/NAPA Hays workbook</x:v>
      </x:c>
      <x:c r="B436" s="84" t="n">
        <x:v>439</x:v>
      </x:c>
      <x:c r="C436" s="87" t="str">
        <x:v>Mimosa aculeaticarpa var. biuncifera</x:v>
      </x:c>
      <x:c r="D436" s="84" t="str">
        <x:v>Catclaw Mimosa, Cat's-claw Mimosa, Wait-a-bit</x:v>
      </x:c>
      <x:c r="E436" s="84" t="str">
        <x:v>Perennial</x:v>
      </x:c>
      <x:c r="F436" s="84" t="str">
        <x:v>Tree</x:v>
      </x:c>
      <x:c r="G436" s="84" t="str"/>
      <x:c r="H436" s="84" t="str"/>
      <x:c r="I436" s="84" t="str">
        <x:v>mimosa aculeaticarpa var. biuncifera</x:v>
      </x:c>
    </x:row>
    <x:row r="437">
      <x:c r="A437" s="83" t="str">
        <x:v>BONAP/NAPA Hays workbook</x:v>
      </x:c>
      <x:c r="B437" s="84" t="n">
        <x:v>440</x:v>
      </x:c>
      <x:c r="C437" s="87" t="str">
        <x:v>Mimosa borealis</x:v>
      </x:c>
      <x:c r="D437" s="84" t="str">
        <x:v>Fragrant Mimosa, Pink Mimosa</x:v>
      </x:c>
      <x:c r="E437" s="84" t="str">
        <x:v>Perennial</x:v>
      </x:c>
      <x:c r="F437" s="84" t="str">
        <x:v>Shrub</x:v>
      </x:c>
      <x:c r="G437" s="84" t="str">
        <x:v>Sun, Part-shade</x:v>
      </x:c>
      <x:c r="H437" s="84" t="str">
        <x:v>Dry</x:v>
      </x:c>
      <x:c r="I437" s="84" t="str">
        <x:v>mimosa borealis</x:v>
      </x:c>
    </x:row>
    <x:row r="438">
      <x:c r="A438" s="83" t="str">
        <x:v>BONAP/NAPA Hays workbook</x:v>
      </x:c>
      <x:c r="B438" s="84" t="n">
        <x:v>441</x:v>
      </x:c>
      <x:c r="C438" s="87" t="str">
        <x:v>Mimosa latidens</x:v>
      </x:c>
      <x:c r="D438" s="84" t="str">
        <x:v>Kairn's Sensitive Briar</x:v>
      </x:c>
      <x:c r="E438" s="84" t="str">
        <x:v>Perennial</x:v>
      </x:c>
      <x:c r="F438" s="84" t="str">
        <x:v>Herb</x:v>
      </x:c>
      <x:c r="G438" s="84" t="str"/>
      <x:c r="H438" s="84" t="str"/>
      <x:c r="I438" s="84" t="str">
        <x:v>mimosa latidens</x:v>
      </x:c>
    </x:row>
    <x:row r="439">
      <x:c r="A439" s="83" t="str">
        <x:v>BONAP/NAPA Hays workbook</x:v>
      </x:c>
      <x:c r="B439" s="84" t="n">
        <x:v>442</x:v>
      </x:c>
      <x:c r="C439" s="87" t="str">
        <x:v>Mimosa roemeriana</x:v>
      </x:c>
      <x:c r="D439" s="84" t="str">
        <x:v>Roemer's Mimosa, Sensitive Briar</x:v>
      </x:c>
      <x:c r="E439" s="84" t="str">
        <x:v>Perennial</x:v>
      </x:c>
      <x:c r="F439" s="84" t="str">
        <x:v>Herb</x:v>
      </x:c>
      <x:c r="G439" s="84" t="str">
        <x:v>Sun</x:v>
      </x:c>
      <x:c r="H439" s="84" t="str">
        <x:v>Dry</x:v>
      </x:c>
      <x:c r="I439" s="84" t="str">
        <x:v>mimosa roemeriana</x:v>
      </x:c>
    </x:row>
    <x:row r="440">
      <x:c r="A440" s="83" t="str">
        <x:v>BONAP/NAPA Hays workbook</x:v>
      </x:c>
      <x:c r="B440" s="84" t="n">
        <x:v>443</x:v>
      </x:c>
      <x:c r="C440" s="87" t="str">
        <x:v>Mimosa texana</x:v>
      </x:c>
      <x:c r="D440" s="84" t="str">
        <x:v>Texas Mimosa, Wherry Mimosa</x:v>
      </x:c>
      <x:c r="E440" s="84" t="str">
        <x:v>Perennial</x:v>
      </x:c>
      <x:c r="F440" s="84" t="str">
        <x:v>Shrub</x:v>
      </x:c>
      <x:c r="G440" s="84" t="str">
        <x:v>Part-shade</x:v>
      </x:c>
      <x:c r="H440" s="84" t="str">
        <x:v>Dry</x:v>
      </x:c>
      <x:c r="I440" s="84" t="str">
        <x:v>mimosa texana</x:v>
      </x:c>
    </x:row>
    <x:row r="441">
      <x:c r="A441" s="83" t="str">
        <x:v>BONAP/NAPA Hays workbook</x:v>
      </x:c>
      <x:c r="B441" s="84" t="n">
        <x:v>444</x:v>
      </x:c>
      <x:c r="C441" s="87" t="str">
        <x:v>Mirabilis albida</x:v>
      </x:c>
      <x:c r="D441" s="84" t="str">
        <x:v>White Four O'clock, Dwarf Four O'clock</x:v>
      </x:c>
      <x:c r="E441" s="84" t="str">
        <x:v>Perennial</x:v>
      </x:c>
      <x:c r="F441" s="84" t="str">
        <x:v>Herb</x:v>
      </x:c>
      <x:c r="G441" s="84" t="str">
        <x:v>Sun</x:v>
      </x:c>
      <x:c r="H441" s="84" t="str">
        <x:v>Dry</x:v>
      </x:c>
      <x:c r="I441" s="84" t="str">
        <x:v>mirabilis albida</x:v>
      </x:c>
    </x:row>
    <x:row r="442">
      <x:c r="A442" s="83" t="str">
        <x:v>BONAP/NAPA Hays workbook</x:v>
      </x:c>
      <x:c r="B442" s="84" t="n">
        <x:v>445</x:v>
      </x:c>
      <x:c r="C442" s="87" t="str">
        <x:v>Mirabilis linearis</x:v>
      </x:c>
      <x:c r="D442" s="84" t="str">
        <x:v>Narrowleaf Four O'Clock</x:v>
      </x:c>
      <x:c r="E442" s="84" t="str">
        <x:v>Perennial</x:v>
      </x:c>
      <x:c r="F442" s="84" t="str">
        <x:v>Herb, Subshrub</x:v>
      </x:c>
      <x:c r="G442" s="84" t="str">
        <x:v>Sun</x:v>
      </x:c>
      <x:c r="H442" s="84" t="str">
        <x:v>Dry</x:v>
      </x:c>
      <x:c r="I442" s="84" t="str">
        <x:v>mirabilis linearis</x:v>
      </x:c>
    </x:row>
    <x:row r="443">
      <x:c r="A443" s="83" t="str">
        <x:v>BONAP/NAPA Hays workbook</x:v>
      </x:c>
      <x:c r="B443" s="84" t="n">
        <x:v>446</x:v>
      </x:c>
      <x:c r="C443" s="87" t="str">
        <x:v>Mirabilis nyctaginea</x:v>
      </x:c>
      <x:c r="D443" s="84" t="str">
        <x:v>Heartleaf Four O'Clock</x:v>
      </x:c>
      <x:c r="E443" s="84" t="str">
        <x:v>Perennial</x:v>
      </x:c>
      <x:c r="F443" s="84" t="str">
        <x:v>Herb</x:v>
      </x:c>
      <x:c r="G443" s="84" t="str">
        <x:v>Sun, Part-shade</x:v>
      </x:c>
      <x:c r="H443" s="84" t="str">
        <x:v>Dry</x:v>
      </x:c>
      <x:c r="I443" s="84" t="str">
        <x:v>mirabilis nyctaginea</x:v>
      </x:c>
    </x:row>
    <x:row r="444">
      <x:c r="A444" s="83" t="str">
        <x:v>BONAP/NAPA Hays workbook</x:v>
      </x:c>
      <x:c r="B444" s="84" t="n">
        <x:v>447</x:v>
      </x:c>
      <x:c r="C444" s="87" t="str">
        <x:v>Mitreola petiolata</x:v>
      </x:c>
      <x:c r="D444" s="84" t="str">
        <x:v>Lax Hornpod</x:v>
      </x:c>
      <x:c r="E444" s="84" t="str">
        <x:v>Annual</x:v>
      </x:c>
      <x:c r="F444" s="84" t="str">
        <x:v>Herb</x:v>
      </x:c>
      <x:c r="G444" s="84" t="str"/>
      <x:c r="H444" s="84" t="str"/>
      <x:c r="I444" s="84" t="str">
        <x:v>mitreola petiolata</x:v>
      </x:c>
    </x:row>
    <x:row r="445">
      <x:c r="A445" s="83" t="str">
        <x:v>BONAP/NAPA Hays workbook</x:v>
      </x:c>
      <x:c r="B445" s="84" t="n">
        <x:v>448</x:v>
      </x:c>
      <x:c r="C445" s="87" t="str">
        <x:v>Monarda citriodora</x:v>
      </x:c>
      <x:c r="D445" s="84" t="str">
        <x:v>Lemon Beebalm, Purple Horsemint, Lemon Mint, Plains Horsemint, Lemon Horsemint, Horsemint, Purple Lemon Mint</x:v>
      </x:c>
      <x:c r="E445" s="84" t="str">
        <x:v>Annual</x:v>
      </x:c>
      <x:c r="F445" s="84" t="str">
        <x:v>Herb</x:v>
      </x:c>
      <x:c r="G445" s="84" t="str">
        <x:v>Sun, Part-shade</x:v>
      </x:c>
      <x:c r="H445" s="84" t="str">
        <x:v>Dry</x:v>
      </x:c>
      <x:c r="I445" s="84" t="str">
        <x:v>monarda citriodora</x:v>
      </x:c>
    </x:row>
    <x:row r="446">
      <x:c r="A446" s="83" t="str">
        <x:v>BONAP/NAPA Hays workbook</x:v>
      </x:c>
      <x:c r="B446" s="84" t="n">
        <x:v>449</x:v>
      </x:c>
      <x:c r="C446" s="87" t="str">
        <x:v>Monarda punctata</x:v>
      </x:c>
      <x:c r="D446" s="84" t="str">
        <x:v>Spotted Beebalm, Spotted Horsemint, Horsemint</x:v>
      </x:c>
      <x:c r="E446" s="84" t="str">
        <x:v>Perennial</x:v>
      </x:c>
      <x:c r="F446" s="84" t="str">
        <x:v>Herb</x:v>
      </x:c>
      <x:c r="G446" s="84" t="str">
        <x:v>Sun</x:v>
      </x:c>
      <x:c r="H446" s="84" t="str">
        <x:v>Dry</x:v>
      </x:c>
      <x:c r="I446" s="84" t="str">
        <x:v>monarda punctata</x:v>
      </x:c>
    </x:row>
    <x:row r="447">
      <x:c r="A447" s="83" t="str">
        <x:v>BONAP/NAPA Hays workbook</x:v>
      </x:c>
      <x:c r="B447" s="84" t="n">
        <x:v>450</x:v>
      </x:c>
      <x:c r="C447" s="87" t="str">
        <x:v>Monolepis nuttalliana</x:v>
      </x:c>
      <x:c r="D447" s="84" t="str">
        <x:v>Nuttall's Povertyweed</x:v>
      </x:c>
      <x:c r="E447" s="84" t="str">
        <x:v>Annual</x:v>
      </x:c>
      <x:c r="F447" s="84" t="str">
        <x:v>Herb</x:v>
      </x:c>
      <x:c r="G447" s="84" t="str"/>
      <x:c r="H447" s="84" t="str"/>
      <x:c r="I447" s="84" t="str">
        <x:v>monolepis nuttalliana</x:v>
      </x:c>
    </x:row>
    <x:row r="448">
      <x:c r="A448" s="83" t="str">
        <x:v>BONAP/NAPA Hays workbook</x:v>
      </x:c>
      <x:c r="B448" s="84" t="n">
        <x:v>451</x:v>
      </x:c>
      <x:c r="C448" s="87" t="str">
        <x:v>Morus microphylla</x:v>
      </x:c>
      <x:c r="D448" s="84" t="str">
        <x:v>Texas Mulberry, Littleleaf Mulberry, Mountain Mulberry, Mexican Mulberry, Dwarf Mulberry</x:v>
      </x:c>
      <x:c r="E448" s="84" t="str">
        <x:v>Perennial</x:v>
      </x:c>
      <x:c r="F448" s="84" t="str">
        <x:v>Tree</x:v>
      </x:c>
      <x:c r="G448" s="84" t="str">
        <x:v>Part-shade</x:v>
      </x:c>
      <x:c r="H448" s="84" t="str">
        <x:v>Dry</x:v>
      </x:c>
      <x:c r="I448" s="84" t="str">
        <x:v>morus microphylla</x:v>
      </x:c>
    </x:row>
    <x:row r="449">
      <x:c r="A449" s="83" t="str">
        <x:v>BONAP/NAPA Hays workbook</x:v>
      </x:c>
      <x:c r="B449" s="84" t="n">
        <x:v>452</x:v>
      </x:c>
      <x:c r="C449" s="87" t="str">
        <x:v>Morus rubra</x:v>
      </x:c>
      <x:c r="D449" s="84" t="str">
        <x:v>Red Mulberry, Moral</x:v>
      </x:c>
      <x:c r="E449" s="84" t="str">
        <x:v>Perennial</x:v>
      </x:c>
      <x:c r="F449" s="84" t="str">
        <x:v>Tree</x:v>
      </x:c>
      <x:c r="G449" s="84" t="str">
        <x:v>Sun, Shade, Part-shade</x:v>
      </x:c>
      <x:c r="H449" s="84" t="str">
        <x:v>Moist, Dry</x:v>
      </x:c>
      <x:c r="I449" s="84" t="str">
        <x:v>morus rubra</x:v>
      </x:c>
    </x:row>
    <x:row r="450">
      <x:c r="A450" s="83" t="str">
        <x:v>BONAP/NAPA Hays workbook</x:v>
      </x:c>
      <x:c r="B450" s="84" t="n">
        <x:v>453</x:v>
      </x:c>
      <x:c r="C450" s="87" t="str">
        <x:v>Muhlenbergia lindheimeri</x:v>
      </x:c>
      <x:c r="D450" s="84" t="str">
        <x:v>Lindheimer's Muhly, Lindheimer Muhly, Big Muhly, Blue Muhly</x:v>
      </x:c>
      <x:c r="E450" s="84" t="str">
        <x:v>Perennial</x:v>
      </x:c>
      <x:c r="F450" s="84" t="str">
        <x:v>Grass/Grass-like</x:v>
      </x:c>
      <x:c r="G450" s="84" t="str">
        <x:v>Sun</x:v>
      </x:c>
      <x:c r="H450" s="84" t="str">
        <x:v>Moist, Dry</x:v>
      </x:c>
      <x:c r="I450" s="84" t="str">
        <x:v>muhlenbergia lindheimeri</x:v>
      </x:c>
    </x:row>
    <x:row r="451">
      <x:c r="A451" s="83" t="str">
        <x:v>BONAP/NAPA Hays workbook</x:v>
      </x:c>
      <x:c r="B451" s="84" t="n">
        <x:v>454</x:v>
      </x:c>
      <x:c r="C451" s="87" t="str">
        <x:v>Muhlenbergia reverchonii</x:v>
      </x:c>
      <x:c r="D451" s="84" t="str">
        <x:v>Seep Muhly</x:v>
      </x:c>
      <x:c r="E451" s="84" t="str">
        <x:v>Perennial</x:v>
      </x:c>
      <x:c r="F451" s="84" t="str">
        <x:v>Grass/Grass-like</x:v>
      </x:c>
      <x:c r="G451" s="84" t="str">
        <x:v>Sun</x:v>
      </x:c>
      <x:c r="H451" s="84" t="str">
        <x:v>Moist, Dry</x:v>
      </x:c>
      <x:c r="I451" s="84" t="str">
        <x:v>muhlenbergia reverchonii</x:v>
      </x:c>
    </x:row>
    <x:row r="452">
      <x:c r="A452" s="83" t="str">
        <x:v>BONAP/NAPA Hays workbook</x:v>
      </x:c>
      <x:c r="B452" s="84" t="n">
        <x:v>455</x:v>
      </x:c>
      <x:c r="C452" s="87" t="str">
        <x:v>Muhlenbergia schreberi</x:v>
      </x:c>
      <x:c r="D452" s="84" t="str">
        <x:v>Nimblewill</x:v>
      </x:c>
      <x:c r="E452" s="84" t="str">
        <x:v>Perennial</x:v>
      </x:c>
      <x:c r="F452" s="84" t="str">
        <x:v>Grass/Grass-like</x:v>
      </x:c>
      <x:c r="G452" s="84" t="str">
        <x:v>Shade, Part-shade</x:v>
      </x:c>
      <x:c r="H452" s="84" t="str">
        <x:v>Moist</x:v>
      </x:c>
      <x:c r="I452" s="84" t="str">
        <x:v>muhlenbergia schreberi</x:v>
      </x:c>
    </x:row>
    <x:row r="453">
      <x:c r="A453" s="83" t="str">
        <x:v>BONAP/NAPA Hays workbook</x:v>
      </x:c>
      <x:c r="B453" s="84" t="n">
        <x:v>456</x:v>
      </x:c>
      <x:c r="C453" s="87" t="str">
        <x:v>Muhlenbergia utilis</x:v>
      </x:c>
      <x:c r="D453" s="84" t="str">
        <x:v>Aparejo Grass, Aparejo Muhly</x:v>
      </x:c>
      <x:c r="E453" s="84" t="str">
        <x:v>Perennial</x:v>
      </x:c>
      <x:c r="F453" s="84" t="str">
        <x:v>Grass/Grass-like</x:v>
      </x:c>
      <x:c r="G453" s="84" t="str"/>
      <x:c r="H453" s="84" t="str"/>
      <x:c r="I453" s="84" t="str">
        <x:v>muhlenbergia utilis</x:v>
      </x:c>
    </x:row>
    <x:row r="454">
      <x:c r="A454" s="83" t="str">
        <x:v>BONAP/NAPA Hays workbook</x:v>
      </x:c>
      <x:c r="B454" s="84" t="n">
        <x:v>457</x:v>
      </x:c>
      <x:c r="C454" s="87" t="str">
        <x:v>Muhlenbergia ×involuta</x:v>
      </x:c>
      <x:c r="D454" s="84" t="str">
        <x:v>Canyon Muhly, Edwards Plateau Muhly</x:v>
      </x:c>
      <x:c r="E454" s="84" t="str">
        <x:v>Perennial</x:v>
      </x:c>
      <x:c r="F454" s="84" t="str">
        <x:v>Grass/Grass-like</x:v>
      </x:c>
      <x:c r="G454" s="84" t="str"/>
      <x:c r="H454" s="84" t="str"/>
      <x:c r="I454" s="84" t="str">
        <x:v>muhlenbergia xinvoluta</x:v>
      </x:c>
    </x:row>
    <x:row r="455">
      <x:c r="A455" s="83" t="str">
        <x:v>BONAP/NAPA Hays workbook</x:v>
      </x:c>
      <x:c r="B455" s="84" t="n">
        <x:v>458</x:v>
      </x:c>
      <x:c r="C455" s="87" t="str">
        <x:v>Myosotis macrosperma</x:v>
      </x:c>
      <x:c r="D455" s="84" t="str">
        <x:v>Largeseed Forget-me-not</x:v>
      </x:c>
      <x:c r="E455" s="84" t="str">
        <x:v>Annual</x:v>
      </x:c>
      <x:c r="F455" s="84" t="str">
        <x:v>Herb</x:v>
      </x:c>
      <x:c r="G455" s="84" t="str">
        <x:v>Sun, Shade, Part-shade</x:v>
      </x:c>
      <x:c r="H455" s="84" t="str">
        <x:v>Moist, Dry</x:v>
      </x:c>
      <x:c r="I455" s="84" t="str">
        <x:v>myosotis macrosperma</x:v>
      </x:c>
    </x:row>
    <x:row r="456">
      <x:c r="A456" s="83" t="str">
        <x:v>BONAP/NAPA Hays workbook</x:v>
      </x:c>
      <x:c r="B456" s="84" t="n">
        <x:v>459</x:v>
      </x:c>
      <x:c r="C456" s="87" t="str">
        <x:v>Myriophyllum heterophyllum</x:v>
      </x:c>
      <x:c r="D456" s="84" t="str">
        <x:v>Twoleaf Watermilfoil</x:v>
      </x:c>
      <x:c r="E456" s="84" t="str">
        <x:v>Perennial</x:v>
      </x:c>
      <x:c r="F456" s="84" t="str">
        <x:v>Herb</x:v>
      </x:c>
      <x:c r="G456" s="84" t="str"/>
      <x:c r="H456" s="84" t="str"/>
      <x:c r="I456" s="84" t="str">
        <x:v>myriophyllum heterophyllum</x:v>
      </x:c>
    </x:row>
    <x:row r="457">
      <x:c r="A457" s="83" t="str">
        <x:v>BONAP/NAPA Hays workbook</x:v>
      </x:c>
      <x:c r="B457" s="84" t="n">
        <x:v>460</x:v>
      </x:c>
      <x:c r="C457" s="87" t="str">
        <x:v>Myriopteris alabamensis</x:v>
      </x:c>
      <x:c r="D457" s="84" t="str">
        <x:v>Alabama Lipfern</x:v>
      </x:c>
      <x:c r="E457" s="84" t="str">
        <x:v>Perennial</x:v>
      </x:c>
      <x:c r="F457" s="84" t="str">
        <x:v>Herb, Fern</x:v>
      </x:c>
      <x:c r="G457" s="84" t="str"/>
      <x:c r="H457" s="84" t="str"/>
      <x:c r="I457" s="84" t="str">
        <x:v>myriopteris alabamensis</x:v>
      </x:c>
    </x:row>
    <x:row r="458">
      <x:c r="A458" s="83" t="str">
        <x:v>BONAP/NAPA Hays workbook</x:v>
      </x:c>
      <x:c r="B458" s="84" t="n">
        <x:v>461</x:v>
      </x:c>
      <x:c r="C458" s="87" t="str">
        <x:v>Nama jamaicense</x:v>
      </x:c>
      <x:c r="D458" s="84" t="str">
        <x:v>Jamaicanweed, Jamaican Weed, Fiddleleaf Nama</x:v>
      </x:c>
      <x:c r="E458" s="84" t="str">
        <x:v>Annual</x:v>
      </x:c>
      <x:c r="F458" s="84" t="str">
        <x:v>Herb</x:v>
      </x:c>
      <x:c r="G458" s="84" t="str"/>
      <x:c r="H458" s="84" t="str"/>
      <x:c r="I458" s="84" t="str">
        <x:v>nama jamaicense</x:v>
      </x:c>
    </x:row>
    <x:row r="459">
      <x:c r="A459" s="83" t="str">
        <x:v>BONAP/NAPA Hays workbook</x:v>
      </x:c>
      <x:c r="B459" s="84" t="n">
        <x:v>462</x:v>
      </x:c>
      <x:c r="C459" s="87" t="str">
        <x:v>Nassella leucotricha</x:v>
      </x:c>
      <x:c r="D459" s="84" t="str">
        <x:v>Texas Wintergrass, Texas Speargrass, Wintergrass</x:v>
      </x:c>
      <x:c r="E459" s="84" t="str">
        <x:v>Perennial</x:v>
      </x:c>
      <x:c r="F459" s="84" t="str">
        <x:v>Grass/Grass-like</x:v>
      </x:c>
      <x:c r="G459" s="84" t="str">
        <x:v>Sun</x:v>
      </x:c>
      <x:c r="H459" s="84" t="str">
        <x:v>Dry</x:v>
      </x:c>
      <x:c r="I459" s="84" t="str">
        <x:v>nassella leucotricha</x:v>
      </x:c>
    </x:row>
    <x:row r="460">
      <x:c r="A460" s="83" t="str">
        <x:v>BONAP/NAPA Hays workbook</x:v>
      </x:c>
      <x:c r="B460" s="84" t="n">
        <x:v>463</x:v>
      </x:c>
      <x:c r="C460" s="87" t="str">
        <x:v>Nekemias arborea</x:v>
      </x:c>
      <x:c r="D460" s="84" t="str">
        <x:v>Peppervine</x:v>
      </x:c>
      <x:c r="E460" s="84" t="str">
        <x:v>Perennial</x:v>
      </x:c>
      <x:c r="F460" s="84" t="str">
        <x:v>Shrub, Vine</x:v>
      </x:c>
      <x:c r="G460" s="84" t="str">
        <x:v>Sun, Part-shade</x:v>
      </x:c>
      <x:c r="H460" s="84" t="str">
        <x:v>Moist</x:v>
      </x:c>
      <x:c r="I460" s="84" t="str">
        <x:v>nekemias arborea</x:v>
      </x:c>
    </x:row>
    <x:row r="461">
      <x:c r="A461" s="83" t="str">
        <x:v>BONAP/NAPA Hays workbook</x:v>
      </x:c>
      <x:c r="B461" s="84" t="n">
        <x:v>464</x:v>
      </x:c>
      <x:c r="C461" s="87" t="str">
        <x:v>Nemastylis geminiflora</x:v>
      </x:c>
      <x:c r="D461" s="84" t="str">
        <x:v>Prairie Celestials, Celestials, Prairie Pleatleaf</x:v>
      </x:c>
      <x:c r="E461" s="84" t="str">
        <x:v>Perennial</x:v>
      </x:c>
      <x:c r="F461" s="84" t="str">
        <x:v>Herb</x:v>
      </x:c>
      <x:c r="G461" s="84" t="str">
        <x:v>Sun, Part-shade</x:v>
      </x:c>
      <x:c r="H461" s="84" t="str">
        <x:v>Dry</x:v>
      </x:c>
      <x:c r="I461" s="84" t="str">
        <x:v>nemastylis geminiflora</x:v>
      </x:c>
    </x:row>
    <x:row r="462">
      <x:c r="A462" s="83" t="str">
        <x:v>BONAP/NAPA Hays workbook</x:v>
      </x:c>
      <x:c r="B462" s="84" t="n">
        <x:v>465</x:v>
      </x:c>
      <x:c r="C462" s="87" t="str">
        <x:v>Nemophila phacelioides</x:v>
      </x:c>
      <x:c r="D462" s="84" t="str">
        <x:v>Texas Baby Blue Eyes, Large-flower Baby-blue-eyes, Baby Blue-eyes, Flannel Breeches</x:v>
      </x:c>
      <x:c r="E462" s="84" t="str">
        <x:v>Annual</x:v>
      </x:c>
      <x:c r="F462" s="84" t="str">
        <x:v>Herb</x:v>
      </x:c>
      <x:c r="G462" s="84" t="str">
        <x:v>Part-shade</x:v>
      </x:c>
      <x:c r="H462" s="84" t="str">
        <x:v>Dry</x:v>
      </x:c>
      <x:c r="I462" s="84" t="str">
        <x:v>nemophila phacelioides</x:v>
      </x:c>
    </x:row>
    <x:row r="463">
      <x:c r="A463" s="83" t="str">
        <x:v>BONAP/NAPA Hays workbook</x:v>
      </x:c>
      <x:c r="B463" s="84" t="n">
        <x:v>466</x:v>
      </x:c>
      <x:c r="C463" s="87" t="str">
        <x:v>Neptunia lutea</x:v>
      </x:c>
      <x:c r="D463" s="84" t="str">
        <x:v>Yellow Sensitive Briar, Yellow Puff</x:v>
      </x:c>
      <x:c r="E463" s="84" t="str">
        <x:v>Perennial</x:v>
      </x:c>
      <x:c r="F463" s="84" t="str">
        <x:v>Shrub</x:v>
      </x:c>
      <x:c r="G463" s="84" t="str">
        <x:v>Sun</x:v>
      </x:c>
      <x:c r="H463" s="84" t="str"/>
      <x:c r="I463" s="84" t="str">
        <x:v>neptunia lutea</x:v>
      </x:c>
    </x:row>
    <x:row r="464">
      <x:c r="A464" s="83" t="str">
        <x:v>BONAP/NAPA Hays workbook</x:v>
      </x:c>
      <x:c r="B464" s="84" t="n">
        <x:v>467</x:v>
      </x:c>
      <x:c r="C464" s="87" t="str">
        <x:v>Neptunia pubescens</x:v>
      </x:c>
      <x:c r="D464" s="84" t="str">
        <x:v>Tropical Puff</x:v>
      </x:c>
      <x:c r="E464" s="84" t="str">
        <x:v>Perennial</x:v>
      </x:c>
      <x:c r="F464" s="84" t="str">
        <x:v>Herb</x:v>
      </x:c>
      <x:c r="G464" s="84" t="str"/>
      <x:c r="H464" s="84" t="str"/>
      <x:c r="I464" s="84" t="str">
        <x:v>neptunia pubescens</x:v>
      </x:c>
    </x:row>
    <x:row r="465">
      <x:c r="A465" s="83" t="str">
        <x:v>BONAP/NAPA Hays workbook</x:v>
      </x:c>
      <x:c r="B465" s="84" t="n">
        <x:v>468</x:v>
      </x:c>
      <x:c r="C465" s="87" t="str">
        <x:v>Nicotiana repanda</x:v>
      </x:c>
      <x:c r="D465" s="84" t="str">
        <x:v>Fiddleleaf Tobacco, Fiddle-leaf Tobacco</x:v>
      </x:c>
      <x:c r="E465" s="84" t="str">
        <x:v>Annual</x:v>
      </x:c>
      <x:c r="F465" s="84" t="str">
        <x:v>Herb</x:v>
      </x:c>
      <x:c r="G465" s="84" t="str"/>
      <x:c r="H465" s="84" t="str"/>
      <x:c r="I465" s="84" t="str">
        <x:v>nicotiana repanda</x:v>
      </x:c>
    </x:row>
    <x:row r="466">
      <x:c r="A466" s="83" t="str">
        <x:v>BONAP/NAPA Hays workbook</x:v>
      </x:c>
      <x:c r="B466" s="84" t="n">
        <x:v>469</x:v>
      </x:c>
      <x:c r="C466" s="87" t="str">
        <x:v>Nolina lindheimeriana</x:v>
      </x:c>
      <x:c r="D466" s="84" t="str">
        <x:v>Devil's Shoestring, Devil's-shoestring, Ribbon Grass</x:v>
      </x:c>
      <x:c r="E466" s="84" t="str">
        <x:v>Perennial</x:v>
      </x:c>
      <x:c r="F466" s="84" t="str">
        <x:v>Shrub</x:v>
      </x:c>
      <x:c r="G466" s="84" t="str">
        <x:v>Sun, Part-shade</x:v>
      </x:c>
      <x:c r="H466" s="84" t="str">
        <x:v>Dry</x:v>
      </x:c>
      <x:c r="I466" s="84" t="str">
        <x:v>nolina lindheimeriana</x:v>
      </x:c>
    </x:row>
    <x:row r="467">
      <x:c r="A467" s="83" t="str">
        <x:v>BONAP/NAPA Hays workbook</x:v>
      </x:c>
      <x:c r="B467" s="84" t="n">
        <x:v>470</x:v>
      </x:c>
      <x:c r="C467" s="87" t="str">
        <x:v>Nolina texana</x:v>
      </x:c>
      <x:c r="D467" s="84" t="str">
        <x:v>Texas Sacahuista, Texas Beargrass, Basket Grass, Sacahuista, Bunchgrass, Texas Bear-grass</x:v>
      </x:c>
      <x:c r="E467" s="84" t="str">
        <x:v>Perennial</x:v>
      </x:c>
      <x:c r="F467" s="84" t="str">
        <x:v>Grass/Grass-like</x:v>
      </x:c>
      <x:c r="G467" s="84" t="str">
        <x:v>Part-shade</x:v>
      </x:c>
      <x:c r="H467" s="84" t="str">
        <x:v>Dry</x:v>
      </x:c>
      <x:c r="I467" s="84" t="str">
        <x:v>nolina texana</x:v>
      </x:c>
    </x:row>
    <x:row r="468">
      <x:c r="A468" s="83" t="str">
        <x:v>BONAP/NAPA Hays workbook</x:v>
      </x:c>
      <x:c r="B468" s="84" t="n">
        <x:v>471</x:v>
      </x:c>
      <x:c r="C468" s="87" t="str">
        <x:v>Nuphar lutea ssp. advena</x:v>
      </x:c>
      <x:c r="D468" s="84" t="str">
        <x:v>Common Spatterdock, Spatterdock, Yellow Cow-lily, Cow-lily, Yellow Pond-lily, Brandy-bottle</x:v>
      </x:c>
      <x:c r="E468" s="84" t="str">
        <x:v>Perennial</x:v>
      </x:c>
      <x:c r="F468" s="84" t="str">
        <x:v>Herb</x:v>
      </x:c>
      <x:c r="G468" s="84" t="str">
        <x:v>Sun</x:v>
      </x:c>
      <x:c r="H468" s="84" t="str">
        <x:v>Wet</x:v>
      </x:c>
      <x:c r="I468" s="84" t="str">
        <x:v>nuphar lutea ssp. advena</x:v>
      </x:c>
    </x:row>
    <x:row r="469">
      <x:c r="A469" s="83" t="str">
        <x:v>BONAP/NAPA Hays workbook</x:v>
      </x:c>
      <x:c r="B469" s="84" t="n">
        <x:v>472</x:v>
      </x:c>
      <x:c r="C469" s="87" t="str">
        <x:v>Nuttallanthus texanus</x:v>
      </x:c>
      <x:c r="D469" s="84" t="str">
        <x:v>Texas Toadflax, Texas Toad-flax, Toadflax</x:v>
      </x:c>
      <x:c r="E469" s="84" t="str">
        <x:v>Annual</x:v>
      </x:c>
      <x:c r="F469" s="84" t="str">
        <x:v>Herb</x:v>
      </x:c>
      <x:c r="G469" s="84" t="str">
        <x:v>Sun</x:v>
      </x:c>
      <x:c r="H469" s="84" t="str">
        <x:v>Moist</x:v>
      </x:c>
      <x:c r="I469" s="84" t="str">
        <x:v>nuttallanthus texanus</x:v>
      </x:c>
    </x:row>
    <x:row r="470">
      <x:c r="A470" s="83" t="str">
        <x:v>BONAP/NAPA Hays workbook</x:v>
      </x:c>
      <x:c r="B470" s="84" t="n">
        <x:v>473</x:v>
      </x:c>
      <x:c r="C470" s="87" t="str">
        <x:v>Nymphaea odorata</x:v>
      </x:c>
      <x:c r="D470" s="84" t="str">
        <x:v>American White Water-lily, Fragrant White Water-lily, Fragrant Water-lily, White Water-lily, Sweet-scented White Water-lily, Sweet-scented Water-lily, Beaver Root</x:v>
      </x:c>
      <x:c r="E470" s="84" t="str">
        <x:v>Perennial</x:v>
      </x:c>
      <x:c r="F470" s="84" t="str">
        <x:v>Herb</x:v>
      </x:c>
      <x:c r="G470" s="84" t="str">
        <x:v>Sun, Shade, Part-shade</x:v>
      </x:c>
      <x:c r="H470" s="84" t="str">
        <x:v>Wet</x:v>
      </x:c>
      <x:c r="I470" s="84" t="str">
        <x:v>nymphaea odorata</x:v>
      </x:c>
    </x:row>
    <x:row r="471">
      <x:c r="A471" s="83" t="str">
        <x:v>BONAP/NAPA Hays workbook</x:v>
      </x:c>
      <x:c r="B471" s="84" t="n">
        <x:v>474</x:v>
      </x:c>
      <x:c r="C471" s="87" t="str">
        <x:v>Oenothera calcicola</x:v>
      </x:c>
      <x:c r="D471" s="84" t="str">
        <x:v>Texas Beeblossom, Limestone Gaura</x:v>
      </x:c>
      <x:c r="E471" s="84" t="str">
        <x:v>Perennial</x:v>
      </x:c>
      <x:c r="F471" s="84" t="str">
        <x:v>Subshrub</x:v>
      </x:c>
      <x:c r="G471" s="84" t="str">
        <x:v>Part-shade</x:v>
      </x:c>
      <x:c r="H471" s="84" t="str"/>
      <x:c r="I471" s="84" t="str">
        <x:v>oenothera calcicola</x:v>
      </x:c>
    </x:row>
    <x:row r="472">
      <x:c r="A472" s="83" t="str">
        <x:v>BONAP/NAPA Hays workbook</x:v>
      </x:c>
      <x:c r="B472" s="84" t="n">
        <x:v>475</x:v>
      </x:c>
      <x:c r="C472" s="87" t="str">
        <x:v>Oenothera curtiflora</x:v>
      </x:c>
      <x:c r="D472" s="84" t="str">
        <x:v>Velvetweed, Velvetleaf Gaura, Lizard-tail Gaura, Willow Gaura</x:v>
      </x:c>
      <x:c r="E472" s="84" t="str">
        <x:v>Annual</x:v>
      </x:c>
      <x:c r="F472" s="84" t="str">
        <x:v>Herb</x:v>
      </x:c>
      <x:c r="G472" s="84" t="str"/>
      <x:c r="H472" s="84" t="str"/>
      <x:c r="I472" s="84" t="str">
        <x:v>oenothera curtiflora</x:v>
      </x:c>
    </x:row>
    <x:row r="473">
      <x:c r="A473" s="83" t="str">
        <x:v>BONAP/NAPA Hays workbook</x:v>
      </x:c>
      <x:c r="B473" s="84" t="n">
        <x:v>476</x:v>
      </x:c>
      <x:c r="C473" s="87" t="str">
        <x:v>Oenothera filiformis</x:v>
      </x:c>
      <x:c r="D473" s="84" t="str">
        <x:v>Longflower Beeblossom, Longflower Gaura, Large-flowered Gaura, Kearney Gaura, Tall Gaura</x:v>
      </x:c>
      <x:c r="E473" s="84" t="str">
        <x:v>Annual, Biennial, Perennial</x:v>
      </x:c>
      <x:c r="F473" s="84" t="str">
        <x:v>Herb</x:v>
      </x:c>
      <x:c r="G473" s="84" t="str"/>
      <x:c r="H473" s="84" t="str"/>
      <x:c r="I473" s="84" t="str">
        <x:v>oenothera filiformis</x:v>
      </x:c>
    </x:row>
    <x:row r="474">
      <x:c r="A474" s="83" t="str">
        <x:v>BONAP/NAPA Hays workbook</x:v>
      </x:c>
      <x:c r="B474" s="84" t="n">
        <x:v>477</x:v>
      </x:c>
      <x:c r="C474" s="87" t="str">
        <x:v>Oenothera lindheimeri</x:v>
      </x:c>
      <x:c r="D474" s="84" t="str">
        <x:v>White Gaura, Butterfly Gaura, Lindheimer's Beeblossom, Lindheimer's Gaura</x:v>
      </x:c>
      <x:c r="E474" s="84" t="str">
        <x:v>Perennial</x:v>
      </x:c>
      <x:c r="F474" s="84" t="str">
        <x:v>Herb</x:v>
      </x:c>
      <x:c r="G474" s="84" t="str">
        <x:v>Sun, Part-shade</x:v>
      </x:c>
      <x:c r="H474" s="84" t="str">
        <x:v>Moist</x:v>
      </x:c>
      <x:c r="I474" s="84" t="str">
        <x:v>oenothera lindheimeri</x:v>
      </x:c>
    </x:row>
    <x:row r="475">
      <x:c r="A475" s="83" t="str">
        <x:v>BONAP/NAPA Hays workbook</x:v>
      </x:c>
      <x:c r="B475" s="84" t="n">
        <x:v>478</x:v>
      </x:c>
      <x:c r="C475" s="87" t="str">
        <x:v>Oenothera macrocarpa</x:v>
      </x:c>
      <x:c r="D475" s="84" t="str">
        <x:v>Bigfruit Evening-primrose, Missouri Evening-primrose, Fluttermill, Big-fruit Evening-primrose, Missouri Primrose, Bigfruit Evening Primrose</x:v>
      </x:c>
      <x:c r="E475" s="84" t="str">
        <x:v>Perennial</x:v>
      </x:c>
      <x:c r="F475" s="84" t="str">
        <x:v>Herb</x:v>
      </x:c>
      <x:c r="G475" s="84" t="str">
        <x:v>Sun</x:v>
      </x:c>
      <x:c r="H475" s="84" t="str">
        <x:v>Dry</x:v>
      </x:c>
      <x:c r="I475" s="84" t="str">
        <x:v>oenothera macrocarpa</x:v>
      </x:c>
    </x:row>
    <x:row r="476">
      <x:c r="A476" s="83" t="str">
        <x:v>BONAP/NAPA Hays workbook</x:v>
      </x:c>
      <x:c r="B476" s="84" t="n">
        <x:v>479</x:v>
      </x:c>
      <x:c r="C476" s="87" t="str">
        <x:v>Oenothera patriciae</x:v>
      </x:c>
      <x:c r="D476" s="84" t="str">
        <x:v>Plains Beeblossom, Plains Gaura</x:v>
      </x:c>
      <x:c r="E476" s="84" t="str">
        <x:v>Annual</x:v>
      </x:c>
      <x:c r="F476" s="84" t="str">
        <x:v>Herb</x:v>
      </x:c>
      <x:c r="G476" s="84" t="str"/>
      <x:c r="H476" s="84" t="str"/>
      <x:c r="I476" s="84" t="str">
        <x:v>oenothera patriciae</x:v>
      </x:c>
    </x:row>
    <x:row r="477">
      <x:c r="A477" s="83" t="str">
        <x:v>BONAP/NAPA Hays workbook</x:v>
      </x:c>
      <x:c r="B477" s="84" t="n">
        <x:v>480</x:v>
      </x:c>
      <x:c r="C477" s="87" t="str">
        <x:v>Oenothera rosea</x:v>
      </x:c>
      <x:c r="D477" s="84" t="str">
        <x:v>Rose Evening Primrose</x:v>
      </x:c>
      <x:c r="E477" s="84" t="str">
        <x:v>Perennial</x:v>
      </x:c>
      <x:c r="F477" s="84" t="str">
        <x:v>Herb</x:v>
      </x:c>
      <x:c r="G477" s="84" t="str"/>
      <x:c r="H477" s="84" t="str"/>
      <x:c r="I477" s="84" t="str">
        <x:v>oenothera rosea</x:v>
      </x:c>
    </x:row>
    <x:row r="478">
      <x:c r="A478" s="83" t="str">
        <x:v>BONAP/NAPA Hays workbook</x:v>
      </x:c>
      <x:c r="B478" s="84" t="n">
        <x:v>481</x:v>
      </x:c>
      <x:c r="C478" s="87" t="str">
        <x:v>Oenothera sinuosa</x:v>
      </x:c>
      <x:c r="D478" s="84" t="str">
        <x:v>Wavyleaf Beeblossom, Wavyleaf Gaura</x:v>
      </x:c>
      <x:c r="E478" s="84" t="str">
        <x:v>Perennial</x:v>
      </x:c>
      <x:c r="F478" s="84" t="str">
        <x:v>Herb</x:v>
      </x:c>
      <x:c r="G478" s="84" t="str"/>
      <x:c r="H478" s="84" t="str"/>
      <x:c r="I478" s="84" t="str">
        <x:v>oenothera sinuosa</x:v>
      </x:c>
    </x:row>
    <x:row r="479">
      <x:c r="A479" s="83" t="str">
        <x:v>BONAP/NAPA Hays workbook</x:v>
      </x:c>
      <x:c r="B479" s="84" t="n">
        <x:v>482</x:v>
      </x:c>
      <x:c r="C479" s="87" t="str">
        <x:v>Oenothera speciosa</x:v>
      </x:c>
      <x:c r="D479" s="84" t="str">
        <x:v>Pink Evening Primrose, Showy Evening Primrose, Mexican Evening Primrose, Showy Primrose, Pink Ladies, Buttercups, Pink Buttercups</x:v>
      </x:c>
      <x:c r="E479" s="84" t="str">
        <x:v>Perennial</x:v>
      </x:c>
      <x:c r="F479" s="84" t="str">
        <x:v>Herb</x:v>
      </x:c>
      <x:c r="G479" s="84" t="str">
        <x:v>Sun</x:v>
      </x:c>
      <x:c r="H479" s="84" t="str">
        <x:v>Moist, Dry</x:v>
      </x:c>
      <x:c r="I479" s="84" t="str">
        <x:v>oenothera speciosa</x:v>
      </x:c>
    </x:row>
    <x:row r="480">
      <x:c r="A480" s="83" t="str">
        <x:v>BONAP/NAPA Hays workbook</x:v>
      </x:c>
      <x:c r="B480" s="84" t="n">
        <x:v>483</x:v>
      </x:c>
      <x:c r="C480" s="87" t="str">
        <x:v>Oenothera suffrutescens</x:v>
      </x:c>
      <x:c r="D480" s="84" t="str">
        <x:v>Scarlet Beeblossom, Scarlet Gaura</x:v>
      </x:c>
      <x:c r="E480" s="84" t="str">
        <x:v>Perennial</x:v>
      </x:c>
      <x:c r="F480" s="84" t="str">
        <x:v>Shrub</x:v>
      </x:c>
      <x:c r="G480" s="84" t="str">
        <x:v>Sun</x:v>
      </x:c>
      <x:c r="H480" s="84" t="str">
        <x:v>Dry</x:v>
      </x:c>
      <x:c r="I480" s="84" t="str">
        <x:v>oenothera suffrutescens</x:v>
      </x:c>
    </x:row>
    <x:row r="481">
      <x:c r="A481" s="83" t="str">
        <x:v>BONAP/NAPA Hays workbook</x:v>
      </x:c>
      <x:c r="B481" s="84" t="n">
        <x:v>484</x:v>
      </x:c>
      <x:c r="C481" s="87" t="str">
        <x:v>Oenothera suffulta</x:v>
      </x:c>
      <x:c r="D481" s="84" t="str">
        <x:v>Kisses, Wild Honeysuckle, Beeblossom, Roadside Gaura</x:v>
      </x:c>
      <x:c r="E481" s="84" t="str">
        <x:v>Annual</x:v>
      </x:c>
      <x:c r="F481" s="84" t="str">
        <x:v>Shrub</x:v>
      </x:c>
      <x:c r="G481" s="84" t="str">
        <x:v>Sun</x:v>
      </x:c>
      <x:c r="H481" s="84" t="str">
        <x:v>Moist</x:v>
      </x:c>
      <x:c r="I481" s="84" t="str">
        <x:v>oenothera suffulta</x:v>
      </x:c>
    </x:row>
    <x:row r="482">
      <x:c r="A482" s="83" t="str">
        <x:v>BONAP/NAPA Hays workbook</x:v>
      </x:c>
      <x:c r="B482" s="84" t="n">
        <x:v>485</x:v>
      </x:c>
      <x:c r="C482" s="87" t="str">
        <x:v>Oenothera triloba</x:v>
      </x:c>
      <x:c r="D482" s="84" t="str">
        <x:v>Stemless Evening-primrose, Stemless Evening Primrose</x:v>
      </x:c>
      <x:c r="E482" s="84" t="str">
        <x:v>Annual</x:v>
      </x:c>
      <x:c r="F482" s="84" t="str">
        <x:v>Herb</x:v>
      </x:c>
      <x:c r="G482" s="84" t="str">
        <x:v>Sun</x:v>
      </x:c>
      <x:c r="H482" s="84" t="str"/>
      <x:c r="I482" s="84" t="str">
        <x:v>oenothera triloba</x:v>
      </x:c>
    </x:row>
    <x:row r="483">
      <x:c r="A483" s="83" t="str">
        <x:v>BONAP/NAPA Hays workbook</x:v>
      </x:c>
      <x:c r="B483" s="84" t="n">
        <x:v>486</x:v>
      </x:c>
      <x:c r="C483" s="87" t="str">
        <x:v>Oenothera xerogaura</x:v>
      </x:c>
      <x:c r="D483" s="84" t="str">
        <x:v>Drummond's Beeblossom, Drummond's Gaura</x:v>
      </x:c>
      <x:c r="E483" s="84" t="str">
        <x:v>Perennial</x:v>
      </x:c>
      <x:c r="F483" s="84" t="str">
        <x:v>Herb</x:v>
      </x:c>
      <x:c r="G483" s="84" t="str"/>
      <x:c r="H483" s="84" t="str"/>
      <x:c r="I483" s="84" t="str">
        <x:v>oenothera xerogaura</x:v>
      </x:c>
    </x:row>
    <x:row r="484">
      <x:c r="A484" s="83" t="str">
        <x:v>BONAP/NAPA Hays workbook</x:v>
      </x:c>
      <x:c r="B484" s="84" t="n">
        <x:v>487</x:v>
      </x:c>
      <x:c r="C484" s="87" t="str">
        <x:v>Onosmodium bejariense var. bejariense</x:v>
      </x:c>
      <x:c r="D484" s="84" t="str">
        <x:v>Soft-hair Marbleseed, False Gromwell</x:v>
      </x:c>
      <x:c r="E484" s="84" t="str">
        <x:v>Perennial</x:v>
      </x:c>
      <x:c r="F484" s="84" t="str">
        <x:v>Herb</x:v>
      </x:c>
      <x:c r="G484" s="84" t="str">
        <x:v>Sun</x:v>
      </x:c>
      <x:c r="H484" s="84" t="str"/>
      <x:c r="I484" s="84" t="str">
        <x:v>onosmodium bejariense var. bejariense</x:v>
      </x:c>
    </x:row>
    <x:row r="485">
      <x:c r="A485" s="83" t="str">
        <x:v>BONAP/NAPA Hays workbook</x:v>
      </x:c>
      <x:c r="B485" s="84" t="n">
        <x:v>488</x:v>
      </x:c>
      <x:c r="C485" s="87" t="str">
        <x:v>Onosmodium helleri</x:v>
      </x:c>
      <x:c r="D485" s="84" t="str">
        <x:v>Heller's Marbleseed, Marble-seed</x:v>
      </x:c>
      <x:c r="E485" s="84" t="str">
        <x:v>Perennial</x:v>
      </x:c>
      <x:c r="F485" s="84" t="str">
        <x:v>Herb</x:v>
      </x:c>
      <x:c r="G485" s="84" t="str">
        <x:v>Part-shade</x:v>
      </x:c>
      <x:c r="H485" s="84" t="str"/>
      <x:c r="I485" s="84" t="str">
        <x:v>onosmodium helleri</x:v>
      </x:c>
    </x:row>
    <x:row r="486">
      <x:c r="A486" s="83" t="str">
        <x:v>BONAP/NAPA Hays workbook</x:v>
      </x:c>
      <x:c r="B486" s="84" t="n">
        <x:v>489</x:v>
      </x:c>
      <x:c r="C486" s="87" t="str">
        <x:v>Opuntia engelmannii var. lindheimeri</x:v>
      </x:c>
      <x:c r="D486" s="84" t="str">
        <x:v>Texas Prickly Pear, Lindheimer's Prickly Pear, Lindheimer Prickly Pear</x:v>
      </x:c>
      <x:c r="E486" s="84" t="str">
        <x:v>Perennial</x:v>
      </x:c>
      <x:c r="F486" s="84" t="str">
        <x:v>Cactus/Succulent</x:v>
      </x:c>
      <x:c r="G486" s="84" t="str">
        <x:v>Sun, Part-shade</x:v>
      </x:c>
      <x:c r="H486" s="84" t="str">
        <x:v>Dry</x:v>
      </x:c>
      <x:c r="I486" s="84" t="str">
        <x:v>opuntia engelmannii var. lindheimeri</x:v>
      </x:c>
    </x:row>
    <x:row r="487">
      <x:c r="A487" s="83" t="str">
        <x:v>BONAP/NAPA Hays workbook</x:v>
      </x:c>
      <x:c r="B487" s="84" t="n">
        <x:v>490</x:v>
      </x:c>
      <x:c r="C487" s="87" t="str">
        <x:v>Opuntia macrorhiza</x:v>
      </x:c>
      <x:c r="D487" s="84" t="str">
        <x:v>Bigroot Prickly Pear, Twist-spine Prickly Pear, Common Prickly Pear, Plains Prickly Pear</x:v>
      </x:c>
      <x:c r="E487" s="84" t="str">
        <x:v>Perennial</x:v>
      </x:c>
      <x:c r="F487" s="84" t="str">
        <x:v>Cactus/Succulent</x:v>
      </x:c>
      <x:c r="G487" s="84" t="str">
        <x:v>Sun</x:v>
      </x:c>
      <x:c r="H487" s="84" t="str">
        <x:v>Dry</x:v>
      </x:c>
      <x:c r="I487" s="84" t="str">
        <x:v>opuntia macrorhiza</x:v>
      </x:c>
    </x:row>
    <x:row r="488">
      <x:c r="A488" s="83" t="str">
        <x:v>BONAP/NAPA Hays workbook</x:v>
      </x:c>
      <x:c r="B488" s="84" t="n">
        <x:v>491</x:v>
      </x:c>
      <x:c r="C488" s="87" t="str">
        <x:v>Opuntia phaeacantha</x:v>
      </x:c>
      <x:c r="D488" s="84" t="str">
        <x:v>Tulip Prickly Pear, Brownspine Prickly Pear Cactus, Purple-fruited Prickly Pear, Brown-spined Prickly Pear, New Mexico Prickly Pear, Desert Prickly Pear</x:v>
      </x:c>
      <x:c r="E488" s="84" t="str">
        <x:v>Perennial</x:v>
      </x:c>
      <x:c r="F488" s="84" t="str">
        <x:v>Cactus/Succulent</x:v>
      </x:c>
      <x:c r="G488" s="84" t="str">
        <x:v>Part-shade</x:v>
      </x:c>
      <x:c r="H488" s="84" t="str">
        <x:v>Dry</x:v>
      </x:c>
      <x:c r="I488" s="84" t="str">
        <x:v>opuntia phaeacantha</x:v>
      </x:c>
    </x:row>
    <x:row r="489">
      <x:c r="A489" s="83" t="str">
        <x:v>BONAP/NAPA Hays workbook</x:v>
      </x:c>
      <x:c r="B489" s="84" t="n">
        <x:v>492</x:v>
      </x:c>
      <x:c r="C489" s="87" t="str">
        <x:v>Oxalis albicans</x:v>
      </x:c>
      <x:c r="D489" s="84" t="str">
        <x:v>Radishroot Woodsorrel</x:v>
      </x:c>
      <x:c r="E489" s="84" t="str">
        <x:v>Perennial</x:v>
      </x:c>
      <x:c r="F489" s="84" t="str">
        <x:v>Herb, Subshrub</x:v>
      </x:c>
      <x:c r="G489" s="84" t="str"/>
      <x:c r="H489" s="84" t="str"/>
      <x:c r="I489" s="84" t="str">
        <x:v>oxalis albicans</x:v>
      </x:c>
    </x:row>
    <x:row r="490">
      <x:c r="A490" s="83" t="str">
        <x:v>BONAP/NAPA Hays workbook</x:v>
      </x:c>
      <x:c r="B490" s="84" t="n">
        <x:v>493</x:v>
      </x:c>
      <x:c r="C490" s="87" t="str">
        <x:v>Oxalis drummondii</x:v>
      </x:c>
      <x:c r="D490" s="84" t="str">
        <x:v>Drummond's Wood-sorrel, Large-leaf Wood-sorrel, Drummond's Woodsorrel</x:v>
      </x:c>
      <x:c r="E490" s="84" t="str">
        <x:v>Perennial</x:v>
      </x:c>
      <x:c r="F490" s="84" t="str">
        <x:v>Herb</x:v>
      </x:c>
      <x:c r="G490" s="84" t="str">
        <x:v>Sun, Part-shade</x:v>
      </x:c>
      <x:c r="H490" s="84" t="str">
        <x:v>Moist, Dry</x:v>
      </x:c>
      <x:c r="I490" s="84" t="str">
        <x:v>oxalis drummondii</x:v>
      </x:c>
    </x:row>
    <x:row r="491">
      <x:c r="A491" s="83" t="str">
        <x:v>BONAP/NAPA Hays workbook</x:v>
      </x:c>
      <x:c r="B491" s="84" t="n">
        <x:v>494</x:v>
      </x:c>
      <x:c r="C491" s="87" t="str">
        <x:v>Oxalis stricta</x:v>
      </x:c>
      <x:c r="D491" s="84" t="str">
        <x:v>Common Yellow Oxalis, Yellow Wood-sorrel, Upright Yellow Wood-sorrel, Yellow Woodsorrel</x:v>
      </x:c>
      <x:c r="E491" s="84" t="str">
        <x:v>Perennial</x:v>
      </x:c>
      <x:c r="F491" s="84" t="str">
        <x:v>Herb</x:v>
      </x:c>
      <x:c r="G491" s="84" t="str">
        <x:v>Sun</x:v>
      </x:c>
      <x:c r="H491" s="84" t="str">
        <x:v>Dry</x:v>
      </x:c>
      <x:c r="I491" s="84" t="str">
        <x:v>oxalis stricta</x:v>
      </x:c>
    </x:row>
    <x:row r="492">
      <x:c r="A492" s="83" t="str">
        <x:v>BONAP/NAPA Hays workbook</x:v>
      </x:c>
      <x:c r="B492" s="84" t="n">
        <x:v>495</x:v>
      </x:c>
      <x:c r="C492" s="87" t="str">
        <x:v>Oxalis violacea</x:v>
      </x:c>
      <x:c r="D492" s="84" t="str">
        <x:v>Violet Woodsorrel, Violet Wood-sorrel</x:v>
      </x:c>
      <x:c r="E492" s="84" t="str">
        <x:v>Perennial</x:v>
      </x:c>
      <x:c r="F492" s="84" t="str">
        <x:v>Herb</x:v>
      </x:c>
      <x:c r="G492" s="84" t="str">
        <x:v>Part-shade</x:v>
      </x:c>
      <x:c r="H492" s="84" t="str">
        <x:v>Moist</x:v>
      </x:c>
      <x:c r="I492" s="84" t="str">
        <x:v>oxalis violacea</x:v>
      </x:c>
    </x:row>
    <x:row r="493">
      <x:c r="A493" s="83" t="str">
        <x:v>BONAP/NAPA Hays workbook</x:v>
      </x:c>
      <x:c r="B493" s="84" t="n">
        <x:v>496</x:v>
      </x:c>
      <x:c r="C493" s="87" t="str">
        <x:v>Packera glabella</x:v>
      </x:c>
      <x:c r="D493" s="84" t="str">
        <x:v>Butterweed, Cress-leaf Groundsel, Yellowtop</x:v>
      </x:c>
      <x:c r="E493" s="84" t="str">
        <x:v>Annual</x:v>
      </x:c>
      <x:c r="F493" s="84" t="str">
        <x:v>Herb</x:v>
      </x:c>
      <x:c r="G493" s="84" t="str">
        <x:v>Sun, Part-shade</x:v>
      </x:c>
      <x:c r="H493" s="84" t="str">
        <x:v>Moist</x:v>
      </x:c>
      <x:c r="I493" s="84" t="str">
        <x:v>packera glabella</x:v>
      </x:c>
    </x:row>
    <x:row r="494">
      <x:c r="A494" s="83" t="str">
        <x:v>BONAP/NAPA Hays workbook</x:v>
      </x:c>
      <x:c r="B494" s="84" t="n">
        <x:v>497</x:v>
      </x:c>
      <x:c r="C494" s="87" t="str">
        <x:v>Packera obovata</x:v>
      </x:c>
      <x:c r="D494" s="84" t="str">
        <x:v>Golden Groundsel, Roundleaf Groundsel, Roundleaf Ragwort</x:v>
      </x:c>
      <x:c r="E494" s="84" t="str">
        <x:v>Perennial</x:v>
      </x:c>
      <x:c r="F494" s="84" t="str">
        <x:v>Herb</x:v>
      </x:c>
      <x:c r="G494" s="84" t="str">
        <x:v>Shade, Part-shade</x:v>
      </x:c>
      <x:c r="H494" s="84" t="str">
        <x:v>Moist</x:v>
      </x:c>
      <x:c r="I494" s="84" t="str">
        <x:v>packera obovata</x:v>
      </x:c>
    </x:row>
    <x:row r="495">
      <x:c r="A495" s="83" t="str">
        <x:v>BONAP/NAPA Hays workbook</x:v>
      </x:c>
      <x:c r="B495" s="84" t="n">
        <x:v>498</x:v>
      </x:c>
      <x:c r="C495" s="87" t="str">
        <x:v>Packera tampicana</x:v>
      </x:c>
      <x:c r="D495" s="84" t="str">
        <x:v>Yellowtop, Great Plains Ragwort, Butterweed</x:v>
      </x:c>
      <x:c r="E495" s="84" t="str">
        <x:v>Annual</x:v>
      </x:c>
      <x:c r="F495" s="84" t="str">
        <x:v>Herb</x:v>
      </x:c>
      <x:c r="G495" s="84" t="str"/>
      <x:c r="H495" s="84" t="str"/>
      <x:c r="I495" s="84" t="str">
        <x:v>packera tampicana</x:v>
      </x:c>
    </x:row>
    <x:row r="496">
      <x:c r="A496" s="83" t="str">
        <x:v>BONAP/NAPA Hays workbook</x:v>
      </x:c>
      <x:c r="B496" s="84" t="n">
        <x:v>499</x:v>
      </x:c>
      <x:c r="C496" s="87" t="str">
        <x:v>Palafoxia callosa</x:v>
      </x:c>
      <x:c r="D496" s="84" t="str">
        <x:v>Small Palafox, Small Palafoxia</x:v>
      </x:c>
      <x:c r="E496" s="84" t="str">
        <x:v>Annual</x:v>
      </x:c>
      <x:c r="F496" s="84" t="str">
        <x:v>Herb</x:v>
      </x:c>
      <x:c r="G496" s="84" t="str">
        <x:v>Sun</x:v>
      </x:c>
      <x:c r="H496" s="84" t="str">
        <x:v>Dry</x:v>
      </x:c>
      <x:c r="I496" s="84" t="str">
        <x:v>palafoxia callosa</x:v>
      </x:c>
    </x:row>
    <x:row r="497">
      <x:c r="A497" s="83" t="str">
        <x:v>BONAP/NAPA Hays workbook</x:v>
      </x:c>
      <x:c r="B497" s="84" t="n">
        <x:v>500</x:v>
      </x:c>
      <x:c r="C497" s="87" t="str">
        <x:v>Panicum capillare</x:v>
      </x:c>
      <x:c r="D497" s="84" t="str">
        <x:v>Witchgrass</x:v>
      </x:c>
      <x:c r="E497" s="84" t="str">
        <x:v>Annual</x:v>
      </x:c>
      <x:c r="F497" s="84" t="str">
        <x:v>Grass/Grass-like</x:v>
      </x:c>
      <x:c r="G497" s="84" t="str"/>
      <x:c r="H497" s="84" t="str"/>
      <x:c r="I497" s="84" t="str">
        <x:v>panicum capillare</x:v>
      </x:c>
    </x:row>
    <x:row r="498">
      <x:c r="A498" s="83" t="str">
        <x:v>BONAP/NAPA Hays workbook</x:v>
      </x:c>
      <x:c r="B498" s="84" t="n">
        <x:v>501</x:v>
      </x:c>
      <x:c r="C498" s="87" t="str">
        <x:v>Panicum hallii</x:v>
      </x:c>
      <x:c r="D498" s="84" t="str">
        <x:v>Hall's Panicgrass, Hall's Panic Grass</x:v>
      </x:c>
      <x:c r="E498" s="84" t="str">
        <x:v>Perennial</x:v>
      </x:c>
      <x:c r="F498" s="84" t="str">
        <x:v>Grass/Grass-like</x:v>
      </x:c>
      <x:c r="G498" s="84" t="str"/>
      <x:c r="H498" s="84" t="str"/>
      <x:c r="I498" s="84" t="str">
        <x:v>panicum hallii</x:v>
      </x:c>
    </x:row>
    <x:row r="499">
      <x:c r="A499" s="83" t="str">
        <x:v>BONAP/NAPA Hays workbook</x:v>
      </x:c>
      <x:c r="B499" s="84" t="n">
        <x:v>502</x:v>
      </x:c>
      <x:c r="C499" s="87" t="str">
        <x:v>Panicum obtusum</x:v>
      </x:c>
      <x:c r="D499" s="84" t="str">
        <x:v>Vine Mesquite</x:v>
      </x:c>
      <x:c r="E499" s="84" t="str">
        <x:v>Perennial</x:v>
      </x:c>
      <x:c r="F499" s="84" t="str">
        <x:v>Grass/Grass-like</x:v>
      </x:c>
      <x:c r="G499" s="84" t="str">
        <x:v>Part-shade</x:v>
      </x:c>
      <x:c r="H499" s="84" t="str"/>
      <x:c r="I499" s="84" t="str">
        <x:v>panicum obtusum</x:v>
      </x:c>
    </x:row>
    <x:row r="500">
      <x:c r="A500" s="83" t="str">
        <x:v>BONAP/NAPA Hays workbook</x:v>
      </x:c>
      <x:c r="B500" s="84" t="n">
        <x:v>503</x:v>
      </x:c>
      <x:c r="C500" s="87" t="str">
        <x:v>Panicum virgatum</x:v>
      </x:c>
      <x:c r="D500" s="84" t="str">
        <x:v>Switchgrass, Wand Panic Grass</x:v>
      </x:c>
      <x:c r="E500" s="84" t="str">
        <x:v>Perennial</x:v>
      </x:c>
      <x:c r="F500" s="84" t="str">
        <x:v>Grass/Grass-like</x:v>
      </x:c>
      <x:c r="G500" s="84" t="str">
        <x:v>Sun, Part-shade</x:v>
      </x:c>
      <x:c r="H500" s="84" t="str">
        <x:v>Moist, Dry</x:v>
      </x:c>
      <x:c r="I500" s="84" t="str">
        <x:v>panicum virgatum</x:v>
      </x:c>
    </x:row>
    <x:row r="501">
      <x:c r="A501" s="83" t="str">
        <x:v>BONAP/NAPA Hays workbook</x:v>
      </x:c>
      <x:c r="B501" s="84" t="n">
        <x:v>504</x:v>
      </x:c>
      <x:c r="C501" s="87" t="str">
        <x:v>Parietaria pensylvanica</x:v>
      </x:c>
      <x:c r="D501" s="84" t="str">
        <x:v>Pennsylvania Pellitory, Pennsylvania Cucumber Plant</x:v>
      </x:c>
      <x:c r="E501" s="84" t="str">
        <x:v>Annual</x:v>
      </x:c>
      <x:c r="F501" s="84" t="str">
        <x:v>Herb</x:v>
      </x:c>
      <x:c r="G501" s="84" t="str"/>
      <x:c r="H501" s="84" t="str"/>
      <x:c r="I501" s="84" t="str">
        <x:v>parietaria pensylvanica</x:v>
      </x:c>
    </x:row>
    <x:row r="502">
      <x:c r="A502" s="83" t="str">
        <x:v>BONAP/NAPA Hays workbook</x:v>
      </x:c>
      <x:c r="B502" s="84" t="n">
        <x:v>505</x:v>
      </x:c>
      <x:c r="C502" s="87" t="str">
        <x:v>Parkinsonia aculeata</x:v>
      </x:c>
      <x:c r="D502" s="84" t="str">
        <x:v>Retama, Paloverde, Mexican Paloverde, Jerusalem Thorn, Horsebean, Lluvia De Oro</x:v>
      </x:c>
      <x:c r="E502" s="84" t="str">
        <x:v>Perennial</x:v>
      </x:c>
      <x:c r="F502" s="84" t="str">
        <x:v>Tree</x:v>
      </x:c>
      <x:c r="G502" s="84" t="str">
        <x:v>Sun</x:v>
      </x:c>
      <x:c r="H502" s="84" t="str">
        <x:v>Moist, Dry</x:v>
      </x:c>
      <x:c r="I502" s="84" t="str">
        <x:v>parkinsonia aculeata</x:v>
      </x:c>
    </x:row>
    <x:row r="503">
      <x:c r="A503" s="83" t="str">
        <x:v>BONAP/NAPA Hays workbook</x:v>
      </x:c>
      <x:c r="B503" s="84" t="n">
        <x:v>506</x:v>
      </x:c>
      <x:c r="C503" s="87" t="str">
        <x:v>Paronychia virginica</x:v>
      </x:c>
      <x:c r="D503" s="84" t="str">
        <x:v>Whitlow-wort, Square-head Nailwort, Broom Nailwort, Yellow Nailwort, Park's Nailwort</x:v>
      </x:c>
      <x:c r="E503" s="84" t="str">
        <x:v>Perennial</x:v>
      </x:c>
      <x:c r="F503" s="84" t="str">
        <x:v>Herb, Subshrub</x:v>
      </x:c>
      <x:c r="G503" s="84" t="str">
        <x:v>Sun</x:v>
      </x:c>
      <x:c r="H503" s="84" t="str">
        <x:v>Dry</x:v>
      </x:c>
      <x:c r="I503" s="84" t="str">
        <x:v>paronychia virginica</x:v>
      </x:c>
    </x:row>
    <x:row r="504">
      <x:c r="A504" s="83" t="str">
        <x:v>BONAP/NAPA Hays workbook</x:v>
      </x:c>
      <x:c r="B504" s="84" t="n">
        <x:v>507</x:v>
      </x:c>
      <x:c r="C504" s="87" t="str">
        <x:v>Parthenium confertum</x:v>
      </x:c>
      <x:c r="D504" s="84" t="str">
        <x:v>Gray's Feverfew</x:v>
      </x:c>
      <x:c r="E504" s="84" t="str">
        <x:v>Annual, Biennial, Perennial</x:v>
      </x:c>
      <x:c r="F504" s="84" t="str">
        <x:v>Herb, Subshrub</x:v>
      </x:c>
      <x:c r="G504" s="84" t="str"/>
      <x:c r="H504" s="84" t="str"/>
      <x:c r="I504" s="84" t="str">
        <x:v>parthenium confertum</x:v>
      </x:c>
    </x:row>
    <x:row r="505">
      <x:c r="A505" s="83" t="str">
        <x:v>BONAP/NAPA Hays workbook</x:v>
      </x:c>
      <x:c r="B505" s="84" t="n">
        <x:v>508</x:v>
      </x:c>
      <x:c r="C505" s="87" t="str">
        <x:v>Parthenocissus heptaphylla</x:v>
      </x:c>
      <x:c r="D505" s="84" t="str">
        <x:v>Sevenleaf Creeper, Seven-leaf Creeper</x:v>
      </x:c>
      <x:c r="E505" s="84" t="str">
        <x:v>Perennial</x:v>
      </x:c>
      <x:c r="F505" s="84" t="str">
        <x:v>Vine</x:v>
      </x:c>
      <x:c r="G505" s="84" t="str">
        <x:v>Sun, Shade, Part-shade</x:v>
      </x:c>
      <x:c r="H505" s="84" t="str">
        <x:v>Moist</x:v>
      </x:c>
      <x:c r="I505" s="84" t="str">
        <x:v>parthenocissus heptaphylla</x:v>
      </x:c>
    </x:row>
    <x:row r="506">
      <x:c r="A506" s="83" t="str">
        <x:v>BONAP/NAPA Hays workbook</x:v>
      </x:c>
      <x:c r="B506" s="84" t="n">
        <x:v>509</x:v>
      </x:c>
      <x:c r="C506" s="87" t="str">
        <x:v>Parthenocissus quinquefolia</x:v>
      </x:c>
      <x:c r="D506" s="84" t="str">
        <x:v>Virginia Creeper</x:v>
      </x:c>
      <x:c r="E506" s="84" t="str">
        <x:v>Perennial</x:v>
      </x:c>
      <x:c r="F506" s="84" t="str">
        <x:v>Vine</x:v>
      </x:c>
      <x:c r="G506" s="84" t="str">
        <x:v>Sun, Shade, Part-shade</x:v>
      </x:c>
      <x:c r="H506" s="84" t="str">
        <x:v>Moist</x:v>
      </x:c>
      <x:c r="I506" s="84" t="str">
        <x:v>parthenocissus quinquefolia</x:v>
      </x:c>
    </x:row>
    <x:row r="507">
      <x:c r="A507" s="83" t="str">
        <x:v>BONAP/NAPA Hays workbook</x:v>
      </x:c>
      <x:c r="B507" s="84" t="n">
        <x:v>510</x:v>
      </x:c>
      <x:c r="C507" s="87" t="str">
        <x:v>Paspalum distichum</x:v>
      </x:c>
      <x:c r="D507" s="84" t="str">
        <x:v>Knotgrass</x:v>
      </x:c>
      <x:c r="E507" s="84" t="str">
        <x:v>Perennial</x:v>
      </x:c>
      <x:c r="F507" s="84" t="str">
        <x:v>Grass/Grass-like</x:v>
      </x:c>
      <x:c r="G507" s="84" t="str">
        <x:v>Sun</x:v>
      </x:c>
      <x:c r="H507" s="84" t="str"/>
      <x:c r="I507" s="84" t="str">
        <x:v>paspalum distichum</x:v>
      </x:c>
    </x:row>
    <x:row r="508">
      <x:c r="A508" s="83" t="str">
        <x:v>BONAP/NAPA Hays workbook</x:v>
      </x:c>
      <x:c r="B508" s="84" t="n">
        <x:v>511</x:v>
      </x:c>
      <x:c r="C508" s="87" t="str">
        <x:v>Paspalum floridanum</x:v>
      </x:c>
      <x:c r="D508" s="84" t="str">
        <x:v>Florida Paspalum</x:v>
      </x:c>
      <x:c r="E508" s="84" t="str">
        <x:v>Perennial</x:v>
      </x:c>
      <x:c r="F508" s="84" t="str">
        <x:v>Grass/Grass-like</x:v>
      </x:c>
      <x:c r="G508" s="84" t="str">
        <x:v>Part-shade</x:v>
      </x:c>
      <x:c r="H508" s="84" t="str">
        <x:v>Moist</x:v>
      </x:c>
      <x:c r="I508" s="84" t="str">
        <x:v>paspalum floridanum</x:v>
      </x:c>
    </x:row>
    <x:row r="509">
      <x:c r="A509" s="83" t="str">
        <x:v>BONAP/NAPA Hays workbook</x:v>
      </x:c>
      <x:c r="B509" s="84" t="n">
        <x:v>512</x:v>
      </x:c>
      <x:c r="C509" s="87" t="str">
        <x:v>Paspalum pubiflorum</x:v>
      </x:c>
      <x:c r="D509" s="84" t="str">
        <x:v>Hairyseed Paspalum</x:v>
      </x:c>
      <x:c r="E509" s="84" t="str">
        <x:v>Perennial</x:v>
      </x:c>
      <x:c r="F509" s="84" t="str">
        <x:v>Grass/Grass-like</x:v>
      </x:c>
      <x:c r="G509" s="84" t="str"/>
      <x:c r="H509" s="84" t="str"/>
      <x:c r="I509" s="84" t="str">
        <x:v>paspalum pubiflorum</x:v>
      </x:c>
    </x:row>
    <x:row r="510">
      <x:c r="A510" s="83" t="str">
        <x:v>BONAP/NAPA Hays workbook</x:v>
      </x:c>
      <x:c r="B510" s="84" t="n">
        <x:v>513</x:v>
      </x:c>
      <x:c r="C510" s="87" t="str">
        <x:v>Paspalum setaceum</x:v>
      </x:c>
      <x:c r="D510" s="84" t="str">
        <x:v>Thin Paspalum</x:v>
      </x:c>
      <x:c r="E510" s="84" t="str">
        <x:v>Perennial</x:v>
      </x:c>
      <x:c r="F510" s="84" t="str">
        <x:v>Grass/Grass-like</x:v>
      </x:c>
      <x:c r="G510" s="84" t="str"/>
      <x:c r="H510" s="84" t="str"/>
      <x:c r="I510" s="84" t="str">
        <x:v>paspalum setaceum</x:v>
      </x:c>
    </x:row>
    <x:row r="511">
      <x:c r="A511" s="83" t="str">
        <x:v>BONAP/NAPA Hays workbook</x:v>
      </x:c>
      <x:c r="B511" s="84" t="n">
        <x:v>514</x:v>
      </x:c>
      <x:c r="C511" s="87" t="str">
        <x:v>Passiflora affinis</x:v>
      </x:c>
      <x:c r="D511" s="84" t="str">
        <x:v>Bracted Passionflower, Passion Flower</x:v>
      </x:c>
      <x:c r="E511" s="84" t="str">
        <x:v>Perennial</x:v>
      </x:c>
      <x:c r="F511" s="84" t="str">
        <x:v>Vine</x:v>
      </x:c>
      <x:c r="G511" s="84" t="str">
        <x:v>Sun, Part-shade</x:v>
      </x:c>
      <x:c r="H511" s="84" t="str">
        <x:v>Moist, Dry</x:v>
      </x:c>
      <x:c r="I511" s="84" t="str">
        <x:v>passiflora affinis</x:v>
      </x:c>
    </x:row>
    <x:row r="512">
      <x:c r="A512" s="83" t="str">
        <x:v>BONAP/NAPA Hays workbook</x:v>
      </x:c>
      <x:c r="B512" s="84" t="n">
        <x:v>515</x:v>
      </x:c>
      <x:c r="C512" s="87" t="str">
        <x:v>Passiflora lutea</x:v>
      </x:c>
      <x:c r="D512" s="84" t="str">
        <x:v>Yellow Passionflower, Yellow Passion Vine, Yellow Passion-flower</x:v>
      </x:c>
      <x:c r="E512" s="84" t="str">
        <x:v>Perennial</x:v>
      </x:c>
      <x:c r="F512" s="84" t="str">
        <x:v>Herb</x:v>
      </x:c>
      <x:c r="G512" s="84" t="str">
        <x:v>Part-shade</x:v>
      </x:c>
      <x:c r="H512" s="84" t="str">
        <x:v>Moist</x:v>
      </x:c>
      <x:c r="I512" s="84" t="str">
        <x:v>passiflora lutea</x:v>
      </x:c>
    </x:row>
    <x:row r="513">
      <x:c r="A513" s="83" t="str">
        <x:v>BONAP/NAPA Hays workbook</x:v>
      </x:c>
      <x:c r="B513" s="84" t="n">
        <x:v>516</x:v>
      </x:c>
      <x:c r="C513" s="87" t="str">
        <x:v>Passiflora tenuiloba</x:v>
      </x:c>
      <x:c r="D513" s="84" t="str">
        <x:v>Birdwing Passionflower, Slender-lobe Passionflower, Spread Lobe Passionflower, Bird Wing Passionflower</x:v>
      </x:c>
      <x:c r="E513" s="84" t="str">
        <x:v>Perennial</x:v>
      </x:c>
      <x:c r="F513" s="84" t="str">
        <x:v>Vine</x:v>
      </x:c>
      <x:c r="G513" s="84" t="str">
        <x:v>Part-shade</x:v>
      </x:c>
      <x:c r="H513" s="84" t="str">
        <x:v>Dry</x:v>
      </x:c>
      <x:c r="I513" s="84" t="str">
        <x:v>passiflora tenuiloba</x:v>
      </x:c>
    </x:row>
    <x:row r="514">
      <x:c r="A514" s="83" t="str">
        <x:v>BONAP/NAPA Hays workbook</x:v>
      </x:c>
      <x:c r="B514" s="84" t="n">
        <x:v>517</x:v>
      </x:c>
      <x:c r="C514" s="87" t="str">
        <x:v>Pavonia lasiopetala</x:v>
      </x:c>
      <x:c r="D514" s="84" t="str">
        <x:v>Rock Rose, Rose Pavonia, Rose Mallow, Pavonia</x:v>
      </x:c>
      <x:c r="E514" s="84" t="str">
        <x:v>Perennial</x:v>
      </x:c>
      <x:c r="F514" s="84" t="str">
        <x:v>Shrub</x:v>
      </x:c>
      <x:c r="G514" s="84" t="str">
        <x:v>Sun, Part-shade</x:v>
      </x:c>
      <x:c r="H514" s="84" t="str">
        <x:v>Dry</x:v>
      </x:c>
      <x:c r="I514" s="84" t="str">
        <x:v>pavonia lasiopetala</x:v>
      </x:c>
    </x:row>
    <x:row r="515">
      <x:c r="A515" s="83" t="str">
        <x:v>BONAP/NAPA Hays workbook</x:v>
      </x:c>
      <x:c r="B515" s="84" t="n">
        <x:v>518</x:v>
      </x:c>
      <x:c r="C515" s="87" t="str">
        <x:v>Pectis angustifolia var. fastigiata</x:v>
      </x:c>
      <x:c r="D515" s="84" t="str">
        <x:v>Lemonscent</x:v>
      </x:c>
      <x:c r="E515" s="84" t="str">
        <x:v>Annual</x:v>
      </x:c>
      <x:c r="F515" s="84" t="str">
        <x:v>Herb</x:v>
      </x:c>
      <x:c r="G515" s="84" t="str"/>
      <x:c r="H515" s="84" t="str"/>
      <x:c r="I515" s="84" t="str">
        <x:v>pectis angustifolia var. fastigiata</x:v>
      </x:c>
    </x:row>
    <x:row r="516">
      <x:c r="A516" s="83" t="str">
        <x:v>BONAP/NAPA Hays workbook</x:v>
      </x:c>
      <x:c r="B516" s="84" t="n">
        <x:v>519</x:v>
      </x:c>
      <x:c r="C516" s="87" t="str">
        <x:v>Pediomelum cuspidatum</x:v>
      </x:c>
      <x:c r="D516" s="84" t="str">
        <x:v>Indian-turnip, Largebract Indian Breadroot, Tall Scurfy Pea, Tall-bread Scurf-pea</x:v>
      </x:c>
      <x:c r="E516" s="84" t="str">
        <x:v>Perennial</x:v>
      </x:c>
      <x:c r="F516" s="84" t="str">
        <x:v>Herb</x:v>
      </x:c>
      <x:c r="G516" s="84" t="str"/>
      <x:c r="H516" s="84" t="str"/>
      <x:c r="I516" s="84" t="str">
        <x:v>pediomelum cuspidatum</x:v>
      </x:c>
    </x:row>
    <x:row r="517">
      <x:c r="A517" s="83" t="str">
        <x:v>BONAP/NAPA Hays workbook</x:v>
      </x:c>
      <x:c r="B517" s="84" t="n">
        <x:v>520</x:v>
      </x:c>
      <x:c r="C517" s="87" t="str">
        <x:v>Pediomelum cyphocalyx</x:v>
      </x:c>
      <x:c r="D517" s="84" t="str">
        <x:v>Turniproot, Wand Psoralea, Turnip-root Scurf-pea</x:v>
      </x:c>
      <x:c r="E517" s="84" t="str">
        <x:v>Perennial</x:v>
      </x:c>
      <x:c r="F517" s="84" t="str">
        <x:v>Herb</x:v>
      </x:c>
      <x:c r="G517" s="84" t="str"/>
      <x:c r="H517" s="84" t="str"/>
      <x:c r="I517" s="84" t="str">
        <x:v>pediomelum cyphocalyx</x:v>
      </x:c>
    </x:row>
    <x:row r="518">
      <x:c r="A518" s="83" t="str">
        <x:v>BONAP/NAPA Hays workbook</x:v>
      </x:c>
      <x:c r="B518" s="84" t="n">
        <x:v>521</x:v>
      </x:c>
      <x:c r="C518" s="87" t="str">
        <x:v>Pediomelum latestipulatum</x:v>
      </x:c>
      <x:c r="D518" s="84" t="str">
        <x:v>Texas Plains Indian Breadroot, Scurfpea, Scurf-pea</x:v>
      </x:c>
      <x:c r="E518" s="84" t="str">
        <x:v>Perennial</x:v>
      </x:c>
      <x:c r="F518" s="84" t="str">
        <x:v>Herb</x:v>
      </x:c>
      <x:c r="G518" s="84" t="str"/>
      <x:c r="H518" s="84" t="str"/>
      <x:c r="I518" s="84" t="str">
        <x:v>pediomelum latestipulatum</x:v>
      </x:c>
    </x:row>
    <x:row r="519">
      <x:c r="A519" s="83" t="str">
        <x:v>BONAP/NAPA Hays workbook</x:v>
      </x:c>
      <x:c r="B519" s="84" t="n">
        <x:v>522</x:v>
      </x:c>
      <x:c r="C519" s="87" t="str">
        <x:v>Pediomelum linearifolium</x:v>
      </x:c>
      <x:c r="D519" s="84" t="str">
        <x:v>Narrowleaf Indian Breadroot, Narrow-leaf Scurf-pea</x:v>
      </x:c>
      <x:c r="E519" s="84" t="str">
        <x:v>Perennial</x:v>
      </x:c>
      <x:c r="F519" s="84" t="str">
        <x:v>Herb</x:v>
      </x:c>
      <x:c r="G519" s="84" t="str"/>
      <x:c r="H519" s="84" t="str"/>
      <x:c r="I519" s="84" t="str">
        <x:v>pediomelum linearifolium</x:v>
      </x:c>
    </x:row>
    <x:row r="520">
      <x:c r="A520" s="83" t="str">
        <x:v>BONAP/NAPA Hays workbook</x:v>
      </x:c>
      <x:c r="B520" s="84" t="n">
        <x:v>523</x:v>
      </x:c>
      <x:c r="C520" s="87" t="str">
        <x:v>Pediomelum rhombifolium</x:v>
      </x:c>
      <x:c r="D520" s="84" t="str">
        <x:v>Gulf Indian Breadroot, Brown-flowered Psoralea, Round-leaf Scurf-pea</x:v>
      </x:c>
      <x:c r="E520" s="84" t="str">
        <x:v>Perennial</x:v>
      </x:c>
      <x:c r="F520" s="84" t="str">
        <x:v>Herb</x:v>
      </x:c>
      <x:c r="G520" s="84" t="str"/>
      <x:c r="H520" s="84" t="str"/>
      <x:c r="I520" s="84" t="str">
        <x:v>pediomelum rhombifolium</x:v>
      </x:c>
    </x:row>
    <x:row r="521">
      <x:c r="A521" s="83" t="str">
        <x:v>BONAP/NAPA Hays workbook</x:v>
      </x:c>
      <x:c r="B521" s="84" t="n">
        <x:v>524</x:v>
      </x:c>
      <x:c r="C521" s="87" t="str">
        <x:v>Pellaea atropurpurea</x:v>
      </x:c>
      <x:c r="D521" s="84" t="str">
        <x:v>Purple Cliffbrake</x:v>
      </x:c>
      <x:c r="E521" s="84" t="str">
        <x:v>Perennial</x:v>
      </x:c>
      <x:c r="F521" s="84" t="str">
        <x:v>Herb, Fern</x:v>
      </x:c>
      <x:c r="G521" s="84" t="str"/>
      <x:c r="H521" s="84" t="str">
        <x:v>Dry</x:v>
      </x:c>
      <x:c r="I521" s="84" t="str">
        <x:v>pellaea atropurpurea</x:v>
      </x:c>
    </x:row>
    <x:row r="522">
      <x:c r="A522" s="83" t="str">
        <x:v>BONAP/NAPA Hays workbook</x:v>
      </x:c>
      <x:c r="B522" s="84" t="n">
        <x:v>525</x:v>
      </x:c>
      <x:c r="C522" s="87" t="str">
        <x:v>Pellaea ovata</x:v>
      </x:c>
      <x:c r="D522" s="84" t="str">
        <x:v>Ovateleaf Cliffbrake, Ovate-leaf Cliffbrake</x:v>
      </x:c>
      <x:c r="E522" s="84" t="str">
        <x:v>Perennial</x:v>
      </x:c>
      <x:c r="F522" s="84" t="str">
        <x:v>Herb, Fern</x:v>
      </x:c>
      <x:c r="G522" s="84" t="str">
        <x:v>Sun</x:v>
      </x:c>
      <x:c r="H522" s="84" t="str"/>
      <x:c r="I522" s="84" t="str">
        <x:v>pellaea ovata</x:v>
      </x:c>
    </x:row>
    <x:row r="523">
      <x:c r="A523" s="83" t="str">
        <x:v>BONAP/NAPA Hays workbook</x:v>
      </x:c>
      <x:c r="B523" s="84" t="n">
        <x:v>526</x:v>
      </x:c>
      <x:c r="C523" s="87" t="str">
        <x:v>Pellaea wrightiana</x:v>
      </x:c>
      <x:c r="D523" s="84" t="str">
        <x:v>Wright's Cliffbrake Fern, Wright's Cliffbrake</x:v>
      </x:c>
      <x:c r="E523" s="84" t="str">
        <x:v>Perennial</x:v>
      </x:c>
      <x:c r="F523" s="84" t="str">
        <x:v>Fern</x:v>
      </x:c>
      <x:c r="G523" s="84" t="str"/>
      <x:c r="H523" s="84" t="str"/>
      <x:c r="I523" s="84" t="str">
        <x:v>pellaea wrightiana</x:v>
      </x:c>
    </x:row>
    <x:row r="524">
      <x:c r="A524" s="83" t="str">
        <x:v>BONAP/NAPA Hays workbook</x:v>
      </x:c>
      <x:c r="B524" s="84" t="n">
        <x:v>527</x:v>
      </x:c>
      <x:c r="C524" s="87" t="str">
        <x:v>Penstemon cobaea</x:v>
      </x:c>
      <x:c r="D524" s="84" t="str">
        <x:v>Prairie Penstemon, Prairie Beardtongue, Foxglove Penstemon, Foxglove Beardtongue, False Foxglove, Large-flowered Penstemon, Large-flowered Beardtongue, Cobaea Penstemon, Cobaea Beardtongue, Wild Foxglove</x:v>
      </x:c>
      <x:c r="E524" s="84" t="str">
        <x:v>Perennial</x:v>
      </x:c>
      <x:c r="F524" s="84" t="str">
        <x:v>Herb</x:v>
      </x:c>
      <x:c r="G524" s="84" t="str">
        <x:v>Sun, Part-shade</x:v>
      </x:c>
      <x:c r="H524" s="84" t="str">
        <x:v>Dry</x:v>
      </x:c>
      <x:c r="I524" s="84" t="str">
        <x:v>penstemon cobaea</x:v>
      </x:c>
    </x:row>
    <x:row r="525">
      <x:c r="A525" s="83" t="str">
        <x:v>BONAP/NAPA Hays workbook</x:v>
      </x:c>
      <x:c r="B525" s="84" t="n">
        <x:v>528</x:v>
      </x:c>
      <x:c r="C525" s="87" t="str">
        <x:v>Penstemon triflorus</x:v>
      </x:c>
      <x:c r="D525" s="84" t="str">
        <x:v>Hill Country Penstemon, Hill Country Beardtongue, Scarlet Penstemon, Scarlet Beardtongue, Heller's Penstemon, Heller's Beardtongue</x:v>
      </x:c>
      <x:c r="E525" s="84" t="str">
        <x:v>Perennial</x:v>
      </x:c>
      <x:c r="F525" s="84" t="str">
        <x:v>Herb</x:v>
      </x:c>
      <x:c r="G525" s="84" t="str">
        <x:v>Sun</x:v>
      </x:c>
      <x:c r="H525" s="84" t="str">
        <x:v>Dry</x:v>
      </x:c>
      <x:c r="I525" s="84" t="str">
        <x:v>penstemon triflorus</x:v>
      </x:c>
    </x:row>
    <x:row r="526">
      <x:c r="A526" s="83" t="str">
        <x:v>BONAP/NAPA Hays workbook</x:v>
      </x:c>
      <x:c r="B526" s="84" t="n">
        <x:v>529</x:v>
      </x:c>
      <x:c r="C526" s="87" t="str">
        <x:v>Perityle lindheimeri</x:v>
      </x:c>
      <x:c r="D526" s="84" t="str">
        <x:v>Lindheimer's Rockdaisy, Rock Daisy</x:v>
      </x:c>
      <x:c r="E526" s="84" t="str">
        <x:v>Perennial</x:v>
      </x:c>
      <x:c r="F526" s="84" t="str">
        <x:v>Herb, Subshrub</x:v>
      </x:c>
      <x:c r="G526" s="84" t="str"/>
      <x:c r="H526" s="84" t="str"/>
      <x:c r="I526" s="84" t="str">
        <x:v>perityle lindheimeri</x:v>
      </x:c>
    </x:row>
    <x:row r="527">
      <x:c r="A527" s="83" t="str">
        <x:v>BONAP/NAPA Hays workbook</x:v>
      </x:c>
      <x:c r="B527" s="84" t="n">
        <x:v>530</x:v>
      </x:c>
      <x:c r="C527" s="87" t="str">
        <x:v>Persicaria pensylvanica</x:v>
      </x:c>
      <x:c r="D527" s="84" t="str">
        <x:v>Pennsylvania Smartweed, Pink Smartweed</x:v>
      </x:c>
      <x:c r="E527" s="84" t="str">
        <x:v>Annual</x:v>
      </x:c>
      <x:c r="F527" s="84" t="str">
        <x:v>Herb</x:v>
      </x:c>
      <x:c r="G527" s="84" t="str">
        <x:v>Sun</x:v>
      </x:c>
      <x:c r="H527" s="84" t="str">
        <x:v>Moist</x:v>
      </x:c>
      <x:c r="I527" s="84" t="str">
        <x:v>persicaria pensylvanica</x:v>
      </x:c>
    </x:row>
    <x:row r="528">
      <x:c r="A528" s="83" t="str">
        <x:v>BONAP/NAPA Hays workbook</x:v>
      </x:c>
      <x:c r="B528" s="84" t="n">
        <x:v>531</x:v>
      </x:c>
      <x:c r="C528" s="87" t="str">
        <x:v>Phacelia congesta</x:v>
      </x:c>
      <x:c r="D528" s="84" t="str">
        <x:v>Caterpillars, Blue Curls, Fiddleneck</x:v>
      </x:c>
      <x:c r="E528" s="84" t="str">
        <x:v>Annual, Biennial</x:v>
      </x:c>
      <x:c r="F528" s="84" t="str">
        <x:v>Herb</x:v>
      </x:c>
      <x:c r="G528" s="84" t="str">
        <x:v>Sun, Part-shade</x:v>
      </x:c>
      <x:c r="H528" s="84" t="str">
        <x:v>Dry</x:v>
      </x:c>
      <x:c r="I528" s="84" t="str">
        <x:v>phacelia congesta</x:v>
      </x:c>
    </x:row>
    <x:row r="529">
      <x:c r="A529" s="83" t="str">
        <x:v>BONAP/NAPA Hays workbook</x:v>
      </x:c>
      <x:c r="B529" s="84" t="n">
        <x:v>532</x:v>
      </x:c>
      <x:c r="C529" s="87" t="str">
        <x:v>Phacelia patuliflora</x:v>
      </x:c>
      <x:c r="D529" s="84" t="str">
        <x:v>Sand Phacelia, Sand Scorpionweed, Blue Phacelia</x:v>
      </x:c>
      <x:c r="E529" s="84" t="str">
        <x:v>Annual</x:v>
      </x:c>
      <x:c r="F529" s="84" t="str">
        <x:v>Herb</x:v>
      </x:c>
      <x:c r="G529" s="84" t="str">
        <x:v>Part-shade</x:v>
      </x:c>
      <x:c r="H529" s="84" t="str">
        <x:v>Dry</x:v>
      </x:c>
      <x:c r="I529" s="84" t="str">
        <x:v>phacelia patuliflora</x:v>
      </x:c>
    </x:row>
    <x:row r="530">
      <x:c r="A530" s="83" t="str">
        <x:v>BONAP/NAPA Hays workbook</x:v>
      </x:c>
      <x:c r="B530" s="84" t="n">
        <x:v>533</x:v>
      </x:c>
      <x:c r="C530" s="87" t="str">
        <x:v>Phacelia strictiflora</x:v>
      </x:c>
      <x:c r="D530" s="84" t="str">
        <x:v>Prairie Phacelia</x:v>
      </x:c>
      <x:c r="E530" s="84" t="str">
        <x:v>Annual</x:v>
      </x:c>
      <x:c r="F530" s="84" t="str">
        <x:v>Herb</x:v>
      </x:c>
      <x:c r="G530" s="84" t="str"/>
      <x:c r="H530" s="84" t="str"/>
      <x:c r="I530" s="84" t="str">
        <x:v>phacelia strictiflora</x:v>
      </x:c>
    </x:row>
    <x:row r="531">
      <x:c r="A531" s="83" t="str">
        <x:v>BONAP/NAPA Hays workbook</x:v>
      </x:c>
      <x:c r="B531" s="84" t="n">
        <x:v>534</x:v>
      </x:c>
      <x:c r="C531" s="87" t="str">
        <x:v>Phalaris caroliniana</x:v>
      </x:c>
      <x:c r="D531" s="84" t="str">
        <x:v>Carolina Canarygrass, Maygrass</x:v>
      </x:c>
      <x:c r="E531" s="84" t="str">
        <x:v>Annual</x:v>
      </x:c>
      <x:c r="F531" s="84" t="str">
        <x:v>Grass/Grass-like</x:v>
      </x:c>
      <x:c r="G531" s="84" t="str"/>
      <x:c r="H531" s="84" t="str"/>
      <x:c r="I531" s="84" t="str">
        <x:v>phalaris caroliniana</x:v>
      </x:c>
    </x:row>
    <x:row r="532">
      <x:c r="A532" s="83" t="str">
        <x:v>BONAP/NAPA Hays workbook</x:v>
      </x:c>
      <x:c r="B532" s="84" t="n">
        <x:v>535</x:v>
      </x:c>
      <x:c r="C532" s="87" t="str">
        <x:v>Phemeranthus aurantiacus</x:v>
      </x:c>
      <x:c r="D532" s="84" t="str">
        <x:v>Orange Flameflower, Flameflower, Fameflower, Talinum</x:v>
      </x:c>
      <x:c r="E532" s="84" t="str">
        <x:v>Perennial</x:v>
      </x:c>
      <x:c r="F532" s="84" t="str">
        <x:v>Subshrub</x:v>
      </x:c>
      <x:c r="G532" s="84" t="str">
        <x:v>Part-shade</x:v>
      </x:c>
      <x:c r="H532" s="84" t="str">
        <x:v>Dry</x:v>
      </x:c>
      <x:c r="I532" s="84" t="str">
        <x:v>phemeranthus aurantiacus</x:v>
      </x:c>
    </x:row>
    <x:row r="533">
      <x:c r="A533" s="83" t="str">
        <x:v>BONAP/NAPA Hays workbook</x:v>
      </x:c>
      <x:c r="B533" s="84" t="n">
        <x:v>536</x:v>
      </x:c>
      <x:c r="C533" s="87" t="str">
        <x:v>Philadelphus ernestii</x:v>
      </x:c>
      <x:c r="D533" s="84" t="str">
        <x:v>Canyon Mock Orange, Canyon Mock-orange, Mock-orange</x:v>
      </x:c>
      <x:c r="E533" s="84" t="str">
        <x:v>Perennial</x:v>
      </x:c>
      <x:c r="F533" s="84" t="str">
        <x:v>Shrub</x:v>
      </x:c>
      <x:c r="G533" s="84" t="str">
        <x:v>Sun, Part-shade</x:v>
      </x:c>
      <x:c r="H533" s="84" t="str">
        <x:v>Moist, Dry</x:v>
      </x:c>
      <x:c r="I533" s="84" t="str">
        <x:v>philadelphus ernestii</x:v>
      </x:c>
    </x:row>
    <x:row r="534">
      <x:c r="A534" s="83" t="str">
        <x:v>BONAP/NAPA Hays workbook</x:v>
      </x:c>
      <x:c r="B534" s="84" t="n">
        <x:v>537</x:v>
      </x:c>
      <x:c r="C534" s="87" t="str">
        <x:v>Phlox drummondii</x:v>
      </x:c>
      <x:c r="D534" s="84" t="str">
        <x:v>Annual Phlox, Drummond Phlox, Pride-of-Texas, Texas Pride</x:v>
      </x:c>
      <x:c r="E534" s="84" t="str">
        <x:v>Annual</x:v>
      </x:c>
      <x:c r="F534" s="84" t="str">
        <x:v>Herb</x:v>
      </x:c>
      <x:c r="G534" s="84" t="str">
        <x:v>Sun, Part-shade</x:v>
      </x:c>
      <x:c r="H534" s="84" t="str">
        <x:v>Dry</x:v>
      </x:c>
      <x:c r="I534" s="84" t="str">
        <x:v>phlox drummondii</x:v>
      </x:c>
    </x:row>
    <x:row r="535">
      <x:c r="A535" s="83" t="str">
        <x:v>BONAP/NAPA Hays workbook</x:v>
      </x:c>
      <x:c r="B535" s="84" t="n">
        <x:v>538</x:v>
      </x:c>
      <x:c r="C535" s="87" t="str">
        <x:v>Phlox pilosa ssp. riparia</x:v>
      </x:c>
      <x:c r="D535" s="84" t="str">
        <x:v>Streamside Phlox</x:v>
      </x:c>
      <x:c r="E535" s="84" t="str">
        <x:v>Perennial</x:v>
      </x:c>
      <x:c r="F535" s="84" t="str">
        <x:v>Herb, Subshrub</x:v>
      </x:c>
      <x:c r="G535" s="84" t="str"/>
      <x:c r="H535" s="84" t="str"/>
      <x:c r="I535" s="84" t="str">
        <x:v>phlox pilosa ssp. riparia</x:v>
      </x:c>
    </x:row>
    <x:row r="536">
      <x:c r="A536" s="83" t="str">
        <x:v>BONAP/NAPA Hays workbook</x:v>
      </x:c>
      <x:c r="B536" s="84" t="n">
        <x:v>539</x:v>
      </x:c>
      <x:c r="C536" s="87" t="str">
        <x:v>Phlox roemeriana</x:v>
      </x:c>
      <x:c r="D536" s="84" t="str">
        <x:v>Goldeneye Phlox, Golden-eye Phlox</x:v>
      </x:c>
      <x:c r="E536" s="84" t="str">
        <x:v>Annual</x:v>
      </x:c>
      <x:c r="F536" s="84" t="str">
        <x:v>Herb</x:v>
      </x:c>
      <x:c r="G536" s="84" t="str">
        <x:v>Part-shade</x:v>
      </x:c>
      <x:c r="H536" s="84" t="str">
        <x:v>Dry</x:v>
      </x:c>
      <x:c r="I536" s="84" t="str">
        <x:v>phlox roemeriana</x:v>
      </x:c>
    </x:row>
    <x:row r="537">
      <x:c r="A537" s="83" t="str">
        <x:v>BONAP/NAPA Hays workbook</x:v>
      </x:c>
      <x:c r="B537" s="84" t="n">
        <x:v>540</x:v>
      </x:c>
      <x:c r="C537" s="87" t="str">
        <x:v>Phoradendron tomentosum</x:v>
      </x:c>
      <x:c r="D537" s="84" t="str">
        <x:v>Christmas Mistletoe, Mistletoe, Injerto</x:v>
      </x:c>
      <x:c r="E537" s="84" t="str">
        <x:v>Perennial</x:v>
      </x:c>
      <x:c r="F537" s="84" t="str">
        <x:v>Subshrub</x:v>
      </x:c>
      <x:c r="G537" s="84" t="str"/>
      <x:c r="H537" s="84" t="str"/>
      <x:c r="I537" s="84" t="str">
        <x:v>phoradendron tomentosum</x:v>
      </x:c>
    </x:row>
    <x:row r="538">
      <x:c r="A538" s="83" t="str">
        <x:v>BONAP/NAPA Hays workbook</x:v>
      </x:c>
      <x:c r="B538" s="84" t="n">
        <x:v>541</x:v>
      </x:c>
      <x:c r="C538" s="87" t="str">
        <x:v>Phyla nodiflora</x:v>
      </x:c>
      <x:c r="D538" s="84" t="str">
        <x:v>Texas Frogfruit, Turkey Tangle Fogfruit, Frogfruit</x:v>
      </x:c>
      <x:c r="E538" s="84" t="str">
        <x:v>Perennial</x:v>
      </x:c>
      <x:c r="F538" s="84" t="str">
        <x:v>Herb</x:v>
      </x:c>
      <x:c r="G538" s="84" t="str">
        <x:v>Sun, Part-shade</x:v>
      </x:c>
      <x:c r="H538" s="84" t="str">
        <x:v>Moist, Dry</x:v>
      </x:c>
      <x:c r="I538" s="84" t="str">
        <x:v>phyla nodiflora</x:v>
      </x:c>
    </x:row>
    <x:row r="539">
      <x:c r="A539" s="83" t="str">
        <x:v>BONAP/NAPA Hays workbook</x:v>
      </x:c>
      <x:c r="B539" s="84" t="n">
        <x:v>542</x:v>
      </x:c>
      <x:c r="C539" s="87" t="str">
        <x:v>Phyllanthus polygonoides</x:v>
      </x:c>
      <x:c r="D539" s="84" t="str">
        <x:v>Smartweed Leaf-flower, Knotweed Leafflower</x:v>
      </x:c>
      <x:c r="E539" s="84" t="str">
        <x:v>Perennial</x:v>
      </x:c>
      <x:c r="F539" s="84" t="str">
        <x:v>Subshrub</x:v>
      </x:c>
      <x:c r="G539" s="84" t="str"/>
      <x:c r="H539" s="84" t="str"/>
      <x:c r="I539" s="84" t="str">
        <x:v>phyllanthus polygonoides</x:v>
      </x:c>
    </x:row>
    <x:row r="540">
      <x:c r="A540" s="83" t="str">
        <x:v>BONAP/NAPA Hays workbook</x:v>
      </x:c>
      <x:c r="B540" s="84" t="n">
        <x:v>543</x:v>
      </x:c>
      <x:c r="C540" s="87" t="str">
        <x:v>Physalis cinerascens</x:v>
      </x:c>
      <x:c r="D540" s="84" t="str">
        <x:v>Smallflower Groundcherry</x:v>
      </x:c>
      <x:c r="E540" s="84" t="str">
        <x:v>Perennial</x:v>
      </x:c>
      <x:c r="F540" s="84" t="str">
        <x:v>Herb</x:v>
      </x:c>
      <x:c r="G540" s="84" t="str"/>
      <x:c r="H540" s="84" t="str"/>
      <x:c r="I540" s="84" t="str">
        <x:v>physalis cinerascens</x:v>
      </x:c>
    </x:row>
    <x:row r="541">
      <x:c r="A541" s="83" t="str">
        <x:v>BONAP/NAPA Hays workbook</x:v>
      </x:c>
      <x:c r="B541" s="84" t="n">
        <x:v>544</x:v>
      </x:c>
      <x:c r="C541" s="87" t="str">
        <x:v>Physostegia angustifolia</x:v>
      </x:c>
      <x:c r="D541" s="84" t="str">
        <x:v>Narrowleaf False Dragonhead, False Dragon-head</x:v>
      </x:c>
      <x:c r="E541" s="84" t="str">
        <x:v>Perennial</x:v>
      </x:c>
      <x:c r="F541" s="84" t="str">
        <x:v>Herb</x:v>
      </x:c>
      <x:c r="G541" s="84" t="str"/>
      <x:c r="H541" s="84" t="str"/>
      <x:c r="I541" s="84" t="str">
        <x:v>physostegia angustifolia</x:v>
      </x:c>
    </x:row>
    <x:row r="542">
      <x:c r="A542" s="83" t="str">
        <x:v>BONAP/NAPA Hays workbook</x:v>
      </x:c>
      <x:c r="B542" s="84" t="n">
        <x:v>545</x:v>
      </x:c>
      <x:c r="C542" s="87" t="str">
        <x:v>Phytolacca americana</x:v>
      </x:c>
      <x:c r="D542" s="84" t="str">
        <x:v>American Pokeweed, Great Pokeweed, Pokeweed, Pokeberry, Red Ink Plant, Pigeonberry</x:v>
      </x:c>
      <x:c r="E542" s="84" t="str">
        <x:v>Perennial</x:v>
      </x:c>
      <x:c r="F542" s="84" t="str">
        <x:v>Herb</x:v>
      </x:c>
      <x:c r="G542" s="84" t="str">
        <x:v>Part-shade</x:v>
      </x:c>
      <x:c r="H542" s="84" t="str">
        <x:v>Moist</x:v>
      </x:c>
      <x:c r="I542" s="84" t="str">
        <x:v>phytolacca americana</x:v>
      </x:c>
    </x:row>
    <x:row r="543">
      <x:c r="A543" s="83" t="str">
        <x:v>BONAP/NAPA Hays workbook</x:v>
      </x:c>
      <x:c r="B543" s="84" t="n">
        <x:v>546</x:v>
      </x:c>
      <x:c r="C543" s="87" t="str">
        <x:v>Pilostyles thurberi</x:v>
      </x:c>
      <x:c r="D543" s="84" t="str">
        <x:v>Thurber's Stemsucker, Pilostyles</x:v>
      </x:c>
      <x:c r="E543" s="84" t="str">
        <x:v>Perennial</x:v>
      </x:c>
      <x:c r="F543" s="84" t="str">
        <x:v>Herb</x:v>
      </x:c>
      <x:c r="G543" s="84" t="str"/>
      <x:c r="H543" s="84" t="str"/>
      <x:c r="I543" s="84" t="str">
        <x:v>pilostyles thurberi</x:v>
      </x:c>
    </x:row>
    <x:row r="544">
      <x:c r="A544" s="83" t="str">
        <x:v>BONAP/NAPA Hays workbook</x:v>
      </x:c>
      <x:c r="B544" s="84" t="n">
        <x:v>547</x:v>
      </x:c>
      <x:c r="C544" s="87" t="str">
        <x:v>Pinaropappus roseus</x:v>
      </x:c>
      <x:c r="D544" s="84" t="str">
        <x:v>White Rocklettuce, White Dandelion, Pink Dandelion, White Rock Lettuce</x:v>
      </x:c>
      <x:c r="E544" s="84" t="str">
        <x:v>Perennial</x:v>
      </x:c>
      <x:c r="F544" s="84" t="str">
        <x:v>Herb</x:v>
      </x:c>
      <x:c r="G544" s="84" t="str"/>
      <x:c r="H544" s="84" t="str"/>
      <x:c r="I544" s="84" t="str">
        <x:v>pinaropappus roseus</x:v>
      </x:c>
    </x:row>
    <x:row r="545">
      <x:c r="A545" s="83" t="str">
        <x:v>BONAP/NAPA Hays workbook</x:v>
      </x:c>
      <x:c r="B545" s="84" t="n">
        <x:v>548</x:v>
      </x:c>
      <x:c r="C545" s="87" t="str">
        <x:v>Pistia stratiotes</x:v>
      </x:c>
      <x:c r="D545" s="84" t="str">
        <x:v>Water Lettuce</x:v>
      </x:c>
      <x:c r="E545" s="84" t="str">
        <x:v>Perennial</x:v>
      </x:c>
      <x:c r="F545" s="84" t="str">
        <x:v>Herb</x:v>
      </x:c>
      <x:c r="G545" s="84" t="str"/>
      <x:c r="H545" s="84" t="str"/>
      <x:c r="I545" s="84" t="str">
        <x:v>pistia stratiotes</x:v>
      </x:c>
    </x:row>
    <x:row r="546">
      <x:c r="A546" s="83" t="str">
        <x:v>BONAP/NAPA Hays workbook</x:v>
      </x:c>
      <x:c r="B546" s="84" t="n">
        <x:v>549</x:v>
      </x:c>
      <x:c r="C546" s="87" t="str">
        <x:v>Plantago helleri</x:v>
      </x:c>
      <x:c r="D546" s="84" t="str">
        <x:v>Heller's Plantain, Cedar Plantain</x:v>
      </x:c>
      <x:c r="E546" s="84" t="str">
        <x:v>Annual</x:v>
      </x:c>
      <x:c r="F546" s="84" t="str">
        <x:v>Herb</x:v>
      </x:c>
      <x:c r="G546" s="84" t="str"/>
      <x:c r="H546" s="84" t="str"/>
      <x:c r="I546" s="84" t="str">
        <x:v>plantago helleri</x:v>
      </x:c>
    </x:row>
    <x:row r="547">
      <x:c r="A547" s="83" t="str">
        <x:v>BONAP/NAPA Hays workbook</x:v>
      </x:c>
      <x:c r="B547" s="84" t="n">
        <x:v>550</x:v>
      </x:c>
      <x:c r="C547" s="87" t="str">
        <x:v>Plantago rhodosperma</x:v>
      </x:c>
      <x:c r="D547" s="84" t="str">
        <x:v>Redseed Plantain, Red-seeded Plantain</x:v>
      </x:c>
      <x:c r="E547" s="84" t="str">
        <x:v>Annual</x:v>
      </x:c>
      <x:c r="F547" s="84" t="str">
        <x:v>Herb</x:v>
      </x:c>
      <x:c r="G547" s="84" t="str"/>
      <x:c r="H547" s="84" t="str"/>
      <x:c r="I547" s="84" t="str">
        <x:v>plantago rhodosperma</x:v>
      </x:c>
    </x:row>
    <x:row r="548">
      <x:c r="A548" s="83" t="str">
        <x:v>BONAP/NAPA Hays workbook</x:v>
      </x:c>
      <x:c r="B548" s="84" t="n">
        <x:v>551</x:v>
      </x:c>
      <x:c r="C548" s="87" t="str">
        <x:v>Platanus occidentalis</x:v>
      </x:c>
      <x:c r="D548" s="84" t="str">
        <x:v>American Sycamore, Eastern Sycamore, American Plane Tree, Plane Tree, Buttonwood, Buttonball Tree</x:v>
      </x:c>
      <x:c r="E548" s="84" t="str">
        <x:v>Perennial</x:v>
      </x:c>
      <x:c r="F548" s="84" t="str">
        <x:v>Tree</x:v>
      </x:c>
      <x:c r="G548" s="84" t="str">
        <x:v>Sun, Shade, Part-shade</x:v>
      </x:c>
      <x:c r="H548" s="84" t="str">
        <x:v>Moist</x:v>
      </x:c>
      <x:c r="I548" s="84" t="str">
        <x:v>platanus occidentalis</x:v>
      </x:c>
    </x:row>
    <x:row r="549">
      <x:c r="A549" s="83" t="str">
        <x:v>BONAP/NAPA Hays workbook</x:v>
      </x:c>
      <x:c r="B549" s="84" t="n">
        <x:v>552</x:v>
      </x:c>
      <x:c r="C549" s="87" t="str">
        <x:v>Plectocephalus americanus</x:v>
      </x:c>
      <x:c r="D549" s="84" t="str">
        <x:v>American Basket-flower, American Star-thistle, Basket-flower, Star Thistle, Shaving Brush, Basket Flower, American Basketflower</x:v>
      </x:c>
      <x:c r="E549" s="84" t="str">
        <x:v>Annual</x:v>
      </x:c>
      <x:c r="F549" s="84" t="str">
        <x:v>Herb</x:v>
      </x:c>
      <x:c r="G549" s="84" t="str">
        <x:v>Sun, Part-shade</x:v>
      </x:c>
      <x:c r="H549" s="84" t="str">
        <x:v>Dry</x:v>
      </x:c>
      <x:c r="I549" s="84" t="str">
        <x:v>plectocephalus americanus</x:v>
      </x:c>
    </x:row>
    <x:row r="550">
      <x:c r="A550" s="83" t="str">
        <x:v>BONAP/NAPA Hays workbook</x:v>
      </x:c>
      <x:c r="B550" s="84" t="n">
        <x:v>553</x:v>
      </x:c>
      <x:c r="C550" s="87" t="str">
        <x:v>Pleuraphis mutica</x:v>
      </x:c>
      <x:c r="D550" s="84" t="str">
        <x:v>Tobosagrass, Tobosa Grass</x:v>
      </x:c>
      <x:c r="E550" s="84" t="str">
        <x:v>Perennial</x:v>
      </x:c>
      <x:c r="F550" s="84" t="str">
        <x:v>Grass/Grass-like</x:v>
      </x:c>
      <x:c r="G550" s="84" t="str">
        <x:v>Sun</x:v>
      </x:c>
      <x:c r="H550" s="84" t="str">
        <x:v>Dry</x:v>
      </x:c>
      <x:c r="I550" s="84" t="str">
        <x:v>pleuraphis mutica</x:v>
      </x:c>
    </x:row>
    <x:row r="551">
      <x:c r="A551" s="83" t="str">
        <x:v>BONAP/NAPA Hays workbook</x:v>
      </x:c>
      <x:c r="B551" s="84" t="n">
        <x:v>554</x:v>
      </x:c>
      <x:c r="C551" s="87" t="str">
        <x:v>Pluchea camphorata</x:v>
      </x:c>
      <x:c r="D551" s="84" t="str">
        <x:v>Camphor Pluchea, Camphor Weed</x:v>
      </x:c>
      <x:c r="E551" s="84" t="str">
        <x:v>Annual</x:v>
      </x:c>
      <x:c r="F551" s="84" t="str">
        <x:v>Herb</x:v>
      </x:c>
      <x:c r="G551" s="84" t="str"/>
      <x:c r="H551" s="84" t="str"/>
      <x:c r="I551" s="84" t="str">
        <x:v>pluchea camphorata</x:v>
      </x:c>
    </x:row>
    <x:row r="552">
      <x:c r="A552" s="83" t="str">
        <x:v>BONAP/NAPA Hays workbook</x:v>
      </x:c>
      <x:c r="B552" s="84" t="n">
        <x:v>555</x:v>
      </x:c>
      <x:c r="C552" s="87" t="str">
        <x:v>Pluchea odorata</x:v>
      </x:c>
      <x:c r="D552" s="84" t="str">
        <x:v>Sweetscent, Saltmarsh Fleabane</x:v>
      </x:c>
      <x:c r="E552" s="84" t="str">
        <x:v>Annual</x:v>
      </x:c>
      <x:c r="F552" s="84" t="str">
        <x:v>Subshrub</x:v>
      </x:c>
      <x:c r="G552" s="84" t="str">
        <x:v>Sun, Shade, Part-shade</x:v>
      </x:c>
      <x:c r="H552" s="84" t="str">
        <x:v>Moist</x:v>
      </x:c>
      <x:c r="I552" s="84" t="str">
        <x:v>pluchea odorata</x:v>
      </x:c>
    </x:row>
    <x:row r="553">
      <x:c r="A553" s="83" t="str">
        <x:v>BONAP/NAPA Hays workbook</x:v>
      </x:c>
      <x:c r="B553" s="84" t="n">
        <x:v>556</x:v>
      </x:c>
      <x:c r="C553" s="87" t="str">
        <x:v>Polanisia dodecandra ssp. trachysperma</x:v>
      </x:c>
      <x:c r="D553" s="84" t="str">
        <x:v>Sandyseed Clammyweed, Clammy-weed, Clammyweed</x:v>
      </x:c>
      <x:c r="E553" s="84" t="str">
        <x:v>Annual</x:v>
      </x:c>
      <x:c r="F553" s="84" t="str">
        <x:v>Herb</x:v>
      </x:c>
      <x:c r="G553" s="84" t="str">
        <x:v>Sun</x:v>
      </x:c>
      <x:c r="H553" s="84" t="str"/>
      <x:c r="I553" s="84" t="str">
        <x:v>polanisia dodecandra ssp. trachysperma</x:v>
      </x:c>
    </x:row>
    <x:row r="554">
      <x:c r="A554" s="83" t="str">
        <x:v>BONAP/NAPA Hays workbook</x:v>
      </x:c>
      <x:c r="B554" s="84" t="n">
        <x:v>557</x:v>
      </x:c>
      <x:c r="C554" s="87" t="str">
        <x:v>Polygala alba</x:v>
      </x:c>
      <x:c r="D554" s="84" t="str">
        <x:v>White Milkwort</x:v>
      </x:c>
      <x:c r="E554" s="84" t="str">
        <x:v>Perennial</x:v>
      </x:c>
      <x:c r="F554" s="84" t="str">
        <x:v>Herb</x:v>
      </x:c>
      <x:c r="G554" s="84" t="str">
        <x:v>Part-shade</x:v>
      </x:c>
      <x:c r="H554" s="84" t="str">
        <x:v>Dry</x:v>
      </x:c>
      <x:c r="I554" s="84" t="str">
        <x:v>polygala alba</x:v>
      </x:c>
    </x:row>
    <x:row r="555">
      <x:c r="A555" s="83" t="str">
        <x:v>BONAP/NAPA Hays workbook</x:v>
      </x:c>
      <x:c r="B555" s="84" t="n">
        <x:v>558</x:v>
      </x:c>
      <x:c r="C555" s="87" t="str">
        <x:v>Polygala lindheimeri var. lindheimeri</x:v>
      </x:c>
      <x:c r="D555" s="84" t="str">
        <x:v>Shrubby Milkwort, Purple Milkwort</x:v>
      </x:c>
      <x:c r="E555" s="84" t="str">
        <x:v>Perennial</x:v>
      </x:c>
      <x:c r="F555" s="84" t="str">
        <x:v>Herb, Subshrub</x:v>
      </x:c>
      <x:c r="G555" s="84" t="str"/>
      <x:c r="H555" s="84" t="str"/>
      <x:c r="I555" s="84" t="str">
        <x:v>polygala lindheimeri var. lindheimeri</x:v>
      </x:c>
    </x:row>
    <x:row r="556">
      <x:c r="A556" s="83" t="str">
        <x:v>BONAP/NAPA Hays workbook</x:v>
      </x:c>
      <x:c r="B556" s="84" t="n">
        <x:v>559</x:v>
      </x:c>
      <x:c r="C556" s="87" t="str">
        <x:v>Polygonum glabrum</x:v>
      </x:c>
      <x:c r="D556" s="84" t="str">
        <x:v>Denseflower Knotweed</x:v>
      </x:c>
      <x:c r="E556" s="84" t="str">
        <x:v>Annual</x:v>
      </x:c>
      <x:c r="F556" s="84" t="str">
        <x:v>Herb</x:v>
      </x:c>
      <x:c r="G556" s="84" t="str"/>
      <x:c r="H556" s="84" t="str"/>
      <x:c r="I556" s="84" t="str">
        <x:v>polygonum glabrum</x:v>
      </x:c>
    </x:row>
    <x:row r="557">
      <x:c r="A557" s="83" t="str">
        <x:v>BONAP/NAPA Hays workbook</x:v>
      </x:c>
      <x:c r="B557" s="84" t="n">
        <x:v>560</x:v>
      </x:c>
      <x:c r="C557" s="87" t="str">
        <x:v>Polygonum hydropiperoides</x:v>
      </x:c>
      <x:c r="D557" s="84" t="str">
        <x:v>Swamp Smartweed</x:v>
      </x:c>
      <x:c r="E557" s="84" t="str">
        <x:v>Perennial</x:v>
      </x:c>
      <x:c r="F557" s="84" t="str">
        <x:v>Herb</x:v>
      </x:c>
      <x:c r="G557" s="84" t="str">
        <x:v>Sun</x:v>
      </x:c>
      <x:c r="H557" s="84" t="str"/>
      <x:c r="I557" s="84" t="str">
        <x:v>polygonum hydropiperoides</x:v>
      </x:c>
    </x:row>
    <x:row r="558">
      <x:c r="A558" s="83" t="str">
        <x:v>BONAP/NAPA Hays workbook</x:v>
      </x:c>
      <x:c r="B558" s="84" t="n">
        <x:v>561</x:v>
      </x:c>
      <x:c r="C558" s="87" t="str">
        <x:v>Polygonum lapathifolium</x:v>
      </x:c>
      <x:c r="D558" s="84" t="str">
        <x:v>Curlytop Knotweed, Curl-top Smartweed, Pale Smartweed</x:v>
      </x:c>
      <x:c r="E558" s="84" t="str">
        <x:v>Annual</x:v>
      </x:c>
      <x:c r="F558" s="84" t="str">
        <x:v>Herb</x:v>
      </x:c>
      <x:c r="G558" s="84" t="str"/>
      <x:c r="H558" s="84" t="str"/>
      <x:c r="I558" s="84" t="str">
        <x:v>polygonum lapathifolium</x:v>
      </x:c>
    </x:row>
    <x:row r="559">
      <x:c r="A559" s="83" t="str">
        <x:v>BONAP/NAPA Hays workbook</x:v>
      </x:c>
      <x:c r="B559" s="84" t="n">
        <x:v>562</x:v>
      </x:c>
      <x:c r="C559" s="87" t="str">
        <x:v>Polygonum punctatum</x:v>
      </x:c>
      <x:c r="D559" s="84" t="str">
        <x:v>Dotted Smartweed</x:v>
      </x:c>
      <x:c r="E559" s="84" t="str">
        <x:v>Annual</x:v>
      </x:c>
      <x:c r="F559" s="84" t="str">
        <x:v>Herb</x:v>
      </x:c>
      <x:c r="G559" s="84" t="str">
        <x:v>Sun</x:v>
      </x:c>
      <x:c r="H559" s="84" t="str"/>
      <x:c r="I559" s="84" t="str">
        <x:v>polygonum punctatum</x:v>
      </x:c>
    </x:row>
    <x:row r="560">
      <x:c r="A560" s="83" t="str">
        <x:v>BONAP/NAPA Hays workbook</x:v>
      </x:c>
      <x:c r="B560" s="84" t="n">
        <x:v>563</x:v>
      </x:c>
      <x:c r="C560" s="87" t="str">
        <x:v>Polygonum setaceum</x:v>
      </x:c>
      <x:c r="D560" s="84" t="str">
        <x:v>Bog Smartweed</x:v>
      </x:c>
      <x:c r="E560" s="84" t="str">
        <x:v>Perennial</x:v>
      </x:c>
      <x:c r="F560" s="84" t="str">
        <x:v>Herb</x:v>
      </x:c>
      <x:c r="G560" s="84" t="str"/>
      <x:c r="H560" s="84" t="str"/>
      <x:c r="I560" s="84" t="str">
        <x:v>polygonum setaceum</x:v>
      </x:c>
    </x:row>
    <x:row r="561">
      <x:c r="A561" s="83" t="str">
        <x:v>BONAP/NAPA Hays workbook</x:v>
      </x:c>
      <x:c r="B561" s="84" t="n">
        <x:v>564</x:v>
      </x:c>
      <x:c r="C561" s="87" t="str">
        <x:v>Polytaenia nuttallii</x:v>
      </x:c>
      <x:c r="D561" s="84" t="str">
        <x:v>Nuttall's Prairie Parsley, Prairie Parsley, Wild Dill, Prairie Parsnip</x:v>
      </x:c>
      <x:c r="E561" s="84" t="str">
        <x:v>Biennial</x:v>
      </x:c>
      <x:c r="F561" s="84" t="str">
        <x:v>Herb</x:v>
      </x:c>
      <x:c r="G561" s="84" t="str">
        <x:v>Sun, Part-shade</x:v>
      </x:c>
      <x:c r="H561" s="84" t="str">
        <x:v>Moist, Dry</x:v>
      </x:c>
      <x:c r="I561" s="84" t="str">
        <x:v>polytaenia nuttallii</x:v>
      </x:c>
    </x:row>
    <x:row r="562">
      <x:c r="A562" s="83" t="str">
        <x:v>BONAP/NAPA Hays workbook</x:v>
      </x:c>
      <x:c r="B562" s="84" t="n">
        <x:v>565</x:v>
      </x:c>
      <x:c r="C562" s="87" t="str">
        <x:v>Polytaenia texana</x:v>
      </x:c>
      <x:c r="D562" s="84" t="str">
        <x:v>Texas Prairie Parsley, Texas-parsley, Texas Parsley</x:v>
      </x:c>
      <x:c r="E562" s="84" t="str">
        <x:v>Biennial</x:v>
      </x:c>
      <x:c r="F562" s="84" t="str">
        <x:v>Herb</x:v>
      </x:c>
      <x:c r="G562" s="84" t="str">
        <x:v>Sun</x:v>
      </x:c>
      <x:c r="H562" s="84" t="str">
        <x:v>Dry</x:v>
      </x:c>
      <x:c r="I562" s="84" t="str">
        <x:v>polytaenia texana</x:v>
      </x:c>
    </x:row>
    <x:row r="563">
      <x:c r="A563" s="83" t="str">
        <x:v>BONAP/NAPA Hays workbook</x:v>
      </x:c>
      <x:c r="B563" s="84" t="n">
        <x:v>566</x:v>
      </x:c>
      <x:c r="C563" s="87" t="str">
        <x:v>Pontederia cordata</x:v>
      </x:c>
      <x:c r="D563" s="84" t="str">
        <x:v>Pickerelweed, Pickerel Rush</x:v>
      </x:c>
      <x:c r="E563" s="84" t="str">
        <x:v>Perennial</x:v>
      </x:c>
      <x:c r="F563" s="84" t="str">
        <x:v>Herb</x:v>
      </x:c>
      <x:c r="G563" s="84" t="str">
        <x:v>Sun, Part-shade</x:v>
      </x:c>
      <x:c r="H563" s="84" t="str">
        <x:v>Wet, Moist</x:v>
      </x:c>
      <x:c r="I563" s="84" t="str">
        <x:v>pontederia cordata</x:v>
      </x:c>
    </x:row>
    <x:row r="564">
      <x:c r="A564" s="83" t="str">
        <x:v>BONAP/NAPA Hays workbook</x:v>
      </x:c>
      <x:c r="B564" s="84" t="n">
        <x:v>567</x:v>
      </x:c>
      <x:c r="C564" s="87" t="str">
        <x:v>Populus deltoides ssp. deltoides</x:v>
      </x:c>
      <x:c r="D564" s="84" t="str">
        <x:v>Eastern Cottonwood, Southern Cottonwood, Carolina Poplar, Eastern Poplar, Necklace Poplar, Alamo</x:v>
      </x:c>
      <x:c r="E564" s="84" t="str">
        <x:v>Perennial</x:v>
      </x:c>
      <x:c r="F564" s="84" t="str">
        <x:v>Tree</x:v>
      </x:c>
      <x:c r="G564" s="84" t="str">
        <x:v>Sun, Shade, Part-shade</x:v>
      </x:c>
      <x:c r="H564" s="84" t="str">
        <x:v>Moist</x:v>
      </x:c>
      <x:c r="I564" s="84" t="str">
        <x:v>populus deltoides ssp. deltoides</x:v>
      </x:c>
    </x:row>
    <x:row r="565">
      <x:c r="A565" s="83" t="str">
        <x:v>BONAP/NAPA Hays workbook</x:v>
      </x:c>
      <x:c r="B565" s="84" t="n">
        <x:v>568</x:v>
      </x:c>
      <x:c r="C565" s="87" t="str">
        <x:v>Portulaca pilosa</x:v>
      </x:c>
      <x:c r="D565" s="84" t="str">
        <x:v>Kiss Me Quick, Chisme</x:v>
      </x:c>
      <x:c r="E565" s="84" t="str">
        <x:v>Annual</x:v>
      </x:c>
      <x:c r="F565" s="84" t="str">
        <x:v>Herb</x:v>
      </x:c>
      <x:c r="G565" s="84" t="str">
        <x:v>Sun, Part-shade</x:v>
      </x:c>
      <x:c r="H565" s="84" t="str">
        <x:v>Moist, Dry</x:v>
      </x:c>
      <x:c r="I565" s="84" t="str">
        <x:v>portulaca pilosa</x:v>
      </x:c>
    </x:row>
    <x:row r="566">
      <x:c r="A566" s="83" t="str">
        <x:v>BONAP/NAPA Hays workbook</x:v>
      </x:c>
      <x:c r="B566" s="84" t="n">
        <x:v>569</x:v>
      </x:c>
      <x:c r="C566" s="87" t="str">
        <x:v>Portulaca umbraticola</x:v>
      </x:c>
      <x:c r="D566" s="84" t="str">
        <x:v>Wingpod Purslane, Purslane</x:v>
      </x:c>
      <x:c r="E566" s="84" t="str">
        <x:v>Annual</x:v>
      </x:c>
      <x:c r="F566" s="84" t="str">
        <x:v>Herb</x:v>
      </x:c>
      <x:c r="G566" s="84" t="str"/>
      <x:c r="H566" s="84" t="str"/>
      <x:c r="I566" s="84" t="str">
        <x:v>portulaca umbraticola</x:v>
      </x:c>
    </x:row>
    <x:row r="567">
      <x:c r="A567" s="83" t="str">
        <x:v>BONAP/NAPA Hays workbook</x:v>
      </x:c>
      <x:c r="B567" s="84" t="n">
        <x:v>570</x:v>
      </x:c>
      <x:c r="C567" s="87" t="str">
        <x:v>Potamogeton illinoensis</x:v>
      </x:c>
      <x:c r="D567" s="84" t="str">
        <x:v>Illinois Pondweed</x:v>
      </x:c>
      <x:c r="E567" s="84" t="str">
        <x:v>Perennial</x:v>
      </x:c>
      <x:c r="F567" s="84" t="str">
        <x:v>Herb</x:v>
      </x:c>
      <x:c r="G567" s="84" t="str"/>
      <x:c r="H567" s="84" t="str"/>
      <x:c r="I567" s="84" t="str">
        <x:v>potamogeton illinoensis</x:v>
      </x:c>
    </x:row>
    <x:row r="568">
      <x:c r="A568" s="83" t="str">
        <x:v>BONAP/NAPA Hays workbook</x:v>
      </x:c>
      <x:c r="B568" s="84" t="n">
        <x:v>571</x:v>
      </x:c>
      <x:c r="C568" s="87" t="str">
        <x:v>Potamogeton nodosus</x:v>
      </x:c>
      <x:c r="D568" s="84" t="str">
        <x:v>Longleaf Pondweed, Knotty Pondweed</x:v>
      </x:c>
      <x:c r="E568" s="84" t="str">
        <x:v>Perennial</x:v>
      </x:c>
      <x:c r="F568" s="84" t="str">
        <x:v>Herb</x:v>
      </x:c>
      <x:c r="G568" s="84" t="str">
        <x:v>Sun, Part-shade</x:v>
      </x:c>
      <x:c r="H568" s="84" t="str">
        <x:v>Wet</x:v>
      </x:c>
      <x:c r="I568" s="84" t="str">
        <x:v>potamogeton nodosus</x:v>
      </x:c>
    </x:row>
    <x:row r="569">
      <x:c r="A569" s="83" t="str">
        <x:v>BONAP/NAPA Hays workbook</x:v>
      </x:c>
      <x:c r="B569" s="84" t="n">
        <x:v>572</x:v>
      </x:c>
      <x:c r="C569" s="87" t="str">
        <x:v>Potamogeton pusillus</x:v>
      </x:c>
      <x:c r="D569" s="84" t="str">
        <x:v>Small Pondweed</x:v>
      </x:c>
      <x:c r="E569" s="84" t="str">
        <x:v>Perennial</x:v>
      </x:c>
      <x:c r="F569" s="84" t="str">
        <x:v>Herb</x:v>
      </x:c>
      <x:c r="G569" s="84" t="str"/>
      <x:c r="H569" s="84" t="str"/>
      <x:c r="I569" s="84" t="str">
        <x:v>potamogeton pusillus</x:v>
      </x:c>
    </x:row>
    <x:row r="570">
      <x:c r="A570" s="83" t="str">
        <x:v>BONAP/NAPA Hays workbook</x:v>
      </x:c>
      <x:c r="B570" s="84" t="n">
        <x:v>573</x:v>
      </x:c>
      <x:c r="C570" s="87" t="str">
        <x:v>Proboscidea louisianica</x:v>
      </x:c>
      <x:c r="D570" s="84" t="str">
        <x:v>Louisiana Devil's-claw, Devil's claw, Ram's-horn, Unicorn Plant, Proboscis Flower</x:v>
      </x:c>
      <x:c r="E570" s="84" t="str">
        <x:v>Annual</x:v>
      </x:c>
      <x:c r="F570" s="84" t="str">
        <x:v>Herb</x:v>
      </x:c>
      <x:c r="G570" s="84" t="str">
        <x:v>Sun</x:v>
      </x:c>
      <x:c r="H570" s="84" t="str">
        <x:v>Dry</x:v>
      </x:c>
      <x:c r="I570" s="84" t="str">
        <x:v>proboscidea louisianica</x:v>
      </x:c>
    </x:row>
    <x:row r="571">
      <x:c r="A571" s="83" t="str">
        <x:v>BONAP/NAPA Hays workbook</x:v>
      </x:c>
      <x:c r="B571" s="84" t="n">
        <x:v>574</x:v>
      </x:c>
      <x:c r="C571" s="87" t="str">
        <x:v>Prosopis glandulosa</x:v>
      </x:c>
      <x:c r="D571" s="84" t="str">
        <x:v>Honey Mesquite, Glandular Mesquite, Algarroba</x:v>
      </x:c>
      <x:c r="E571" s="84" t="str">
        <x:v>Perennial</x:v>
      </x:c>
      <x:c r="F571" s="84" t="str">
        <x:v>Tree</x:v>
      </x:c>
      <x:c r="G571" s="84" t="str">
        <x:v>Sun</x:v>
      </x:c>
      <x:c r="H571" s="84" t="str">
        <x:v>Dry</x:v>
      </x:c>
      <x:c r="I571" s="84" t="str">
        <x:v>prosopis glandulosa</x:v>
      </x:c>
    </x:row>
    <x:row r="572">
      <x:c r="A572" s="83" t="str">
        <x:v>BONAP/NAPA Hays workbook</x:v>
      </x:c>
      <x:c r="B572" s="84" t="n">
        <x:v>575</x:v>
      </x:c>
      <x:c r="C572" s="87" t="str">
        <x:v>Prunus mexicana</x:v>
      </x:c>
      <x:c r="D572" s="84" t="str">
        <x:v>Mexican Plum, Bigtree Plum, Inch Plum</x:v>
      </x:c>
      <x:c r="E572" s="84" t="str">
        <x:v>Perennial</x:v>
      </x:c>
      <x:c r="F572" s="84" t="str">
        <x:v>Tree</x:v>
      </x:c>
      <x:c r="G572" s="84" t="str">
        <x:v>Sun, Part-shade</x:v>
      </x:c>
      <x:c r="H572" s="84" t="str">
        <x:v>Moist, Dry</x:v>
      </x:c>
      <x:c r="I572" s="84" t="str">
        <x:v>prunus mexicana</x:v>
      </x:c>
    </x:row>
    <x:row r="573">
      <x:c r="A573" s="83" t="str">
        <x:v>BONAP/NAPA Hays workbook</x:v>
      </x:c>
      <x:c r="B573" s="84" t="n">
        <x:v>576</x:v>
      </x:c>
      <x:c r="C573" s="87" t="str">
        <x:v>Prunus rivularis</x:v>
      </x:c>
      <x:c r="D573" s="84" t="str">
        <x:v>River Plum, Creek Plum, Hog Plum</x:v>
      </x:c>
      <x:c r="E573" s="84" t="str">
        <x:v>Perennial</x:v>
      </x:c>
      <x:c r="F573" s="84" t="str">
        <x:v>Shrub</x:v>
      </x:c>
      <x:c r="G573" s="84" t="str">
        <x:v>Part-shade</x:v>
      </x:c>
      <x:c r="H573" s="84" t="str">
        <x:v>Moist, Dry</x:v>
      </x:c>
      <x:c r="I573" s="84" t="str">
        <x:v>prunus rivularis</x:v>
      </x:c>
    </x:row>
    <x:row r="574">
      <x:c r="A574" s="83" t="str">
        <x:v>BONAP/NAPA Hays workbook</x:v>
      </x:c>
      <x:c r="B574" s="84" t="n">
        <x:v>577</x:v>
      </x:c>
      <x:c r="C574" s="87" t="str">
        <x:v>Prunus serotina var. eximia</x:v>
      </x:c>
      <x:c r="D574" s="84" t="str">
        <x:v>Escarpment Black Cherry, Edwards Plateau Black Cherry, Escarpment Cherry</x:v>
      </x:c>
      <x:c r="E574" s="84" t="str">
        <x:v>Perennial</x:v>
      </x:c>
      <x:c r="F574" s="84" t="str">
        <x:v>Tree</x:v>
      </x:c>
      <x:c r="G574" s="84" t="str">
        <x:v>Sun, Part-shade</x:v>
      </x:c>
      <x:c r="H574" s="84" t="str">
        <x:v>Moist</x:v>
      </x:c>
      <x:c r="I574" s="84" t="str">
        <x:v>prunus serotina var. eximia</x:v>
      </x:c>
    </x:row>
    <x:row r="575">
      <x:c r="A575" s="83" t="str">
        <x:v>BONAP/NAPA Hays workbook</x:v>
      </x:c>
      <x:c r="B575" s="84" t="n">
        <x:v>578</x:v>
      </x:c>
      <x:c r="C575" s="87" t="str">
        <x:v>Pseudognaphalium obtusifolium</x:v>
      </x:c>
      <x:c r="D575" s="84" t="str">
        <x:v>Sweet Everlasting, Rabbit-tobacco, Fragrant Cudweed</x:v>
      </x:c>
      <x:c r="E575" s="84" t="str">
        <x:v>Annual</x:v>
      </x:c>
      <x:c r="F575" s="84" t="str">
        <x:v>Herb</x:v>
      </x:c>
      <x:c r="G575" s="84" t="str"/>
      <x:c r="H575" s="84" t="str"/>
      <x:c r="I575" s="84" t="str">
        <x:v>pseudognaphalium obtusifolium</x:v>
      </x:c>
    </x:row>
    <x:row r="576">
      <x:c r="A576" s="83" t="str">
        <x:v>BONAP/NAPA Hays workbook</x:v>
      </x:c>
      <x:c r="B576" s="84" t="n">
        <x:v>579</x:v>
      </x:c>
      <x:c r="C576" s="87" t="str">
        <x:v>Psoralidium tenuiflorum</x:v>
      </x:c>
      <x:c r="D576" s="84" t="str">
        <x:v>Slimflower Scurfpea, Scurfy Pea</x:v>
      </x:c>
      <x:c r="E576" s="84" t="str">
        <x:v>Perennial</x:v>
      </x:c>
      <x:c r="F576" s="84" t="str">
        <x:v>Herb</x:v>
      </x:c>
      <x:c r="G576" s="84" t="str"/>
      <x:c r="H576" s="84" t="str"/>
      <x:c r="I576" s="84" t="str">
        <x:v>psoralidium tenuiflorum</x:v>
      </x:c>
    </x:row>
    <x:row r="577">
      <x:c r="A577" s="83" t="str">
        <x:v>BONAP/NAPA Hays workbook</x:v>
      </x:c>
      <x:c r="B577" s="84" t="n">
        <x:v>580</x:v>
      </x:c>
      <x:c r="C577" s="87" t="str">
        <x:v>Ptelea trifoliata</x:v>
      </x:c>
      <x:c r="D577" s="84" t="str">
        <x:v>Wafer Ash, Common Hoptree, Hop Tree</x:v>
      </x:c>
      <x:c r="E577" s="84" t="str">
        <x:v>Perennial</x:v>
      </x:c>
      <x:c r="F577" s="84" t="str">
        <x:v>Tree</x:v>
      </x:c>
      <x:c r="G577" s="84" t="str">
        <x:v>Sun, Shade, Part-shade</x:v>
      </x:c>
      <x:c r="H577" s="84" t="str">
        <x:v>Wet, Moist, Dry</x:v>
      </x:c>
      <x:c r="I577" s="84" t="str">
        <x:v>ptelea trifoliata</x:v>
      </x:c>
    </x:row>
    <x:row r="578">
      <x:c r="A578" s="83" t="str">
        <x:v>BONAP/NAPA Hays workbook</x:v>
      </x:c>
      <x:c r="B578" s="84" t="n">
        <x:v>581</x:v>
      </x:c>
      <x:c r="C578" s="87" t="str">
        <x:v>Pyrrhopappus carolinianus</x:v>
      </x:c>
      <x:c r="D578" s="84" t="str">
        <x:v>Carolina Desert-chicory, Texas Dandelion, False Dandelion</x:v>
      </x:c>
      <x:c r="E578" s="84" t="str">
        <x:v>Annual</x:v>
      </x:c>
      <x:c r="F578" s="84" t="str">
        <x:v>Herb</x:v>
      </x:c>
      <x:c r="G578" s="84" t="str"/>
      <x:c r="H578" s="84" t="str"/>
      <x:c r="I578" s="84" t="str">
        <x:v>pyrrhopappus carolinianus</x:v>
      </x:c>
    </x:row>
    <x:row r="579">
      <x:c r="A579" s="83" t="str">
        <x:v>BONAP/NAPA Hays workbook</x:v>
      </x:c>
      <x:c r="B579" s="84" t="n">
        <x:v>582</x:v>
      </x:c>
      <x:c r="C579" s="87" t="str">
        <x:v>Pyrrhopappus grandiflorus</x:v>
      </x:c>
      <x:c r="D579" s="84" t="str">
        <x:v>Tuberous Desert-chicory</x:v>
      </x:c>
      <x:c r="E579" s="84" t="str">
        <x:v>Perennial</x:v>
      </x:c>
      <x:c r="F579" s="84" t="str">
        <x:v>Herb</x:v>
      </x:c>
      <x:c r="G579" s="84" t="str"/>
      <x:c r="H579" s="84" t="str"/>
      <x:c r="I579" s="84" t="str">
        <x:v>pyrrhopappus grandiflorus</x:v>
      </x:c>
    </x:row>
    <x:row r="580">
      <x:c r="A580" s="83" t="str">
        <x:v>BONAP/NAPA Hays workbook</x:v>
      </x:c>
      <x:c r="B580" s="84" t="n">
        <x:v>583</x:v>
      </x:c>
      <x:c r="C580" s="87" t="str">
        <x:v>Pyrrhopappus pauciflorus</x:v>
      </x:c>
      <x:c r="D580" s="84" t="str">
        <x:v>Smallflower Desert-chicory, Texas Dandelion, False Dandelion</x:v>
      </x:c>
      <x:c r="E580" s="84" t="str">
        <x:v>Annual</x:v>
      </x:c>
      <x:c r="F580" s="84" t="str">
        <x:v>Herb</x:v>
      </x:c>
      <x:c r="G580" s="84" t="str">
        <x:v>Sun, Part-shade</x:v>
      </x:c>
      <x:c r="H580" s="84" t="str">
        <x:v>Moist, Dry</x:v>
      </x:c>
      <x:c r="I580" s="84" t="str">
        <x:v>pyrrhopappus pauciflorus</x:v>
      </x:c>
    </x:row>
    <x:row r="581">
      <x:c r="A581" s="83" t="str">
        <x:v>BONAP/NAPA Hays workbook</x:v>
      </x:c>
      <x:c r="B581" s="84" t="n">
        <x:v>584</x:v>
      </x:c>
      <x:c r="C581" s="87" t="str">
        <x:v>Quercus buckleyi</x:v>
      </x:c>
      <x:c r="D581" s="84" t="str">
        <x:v>Texas Red Oak, Buckley Oak, Texas Oak, Spanish Oak, Spotted Oak, Rock Oak</x:v>
      </x:c>
      <x:c r="E581" s="84" t="str">
        <x:v>Perennial</x:v>
      </x:c>
      <x:c r="F581" s="84" t="str">
        <x:v>Tree</x:v>
      </x:c>
      <x:c r="G581" s="84" t="str">
        <x:v>Sun, Part-shade</x:v>
      </x:c>
      <x:c r="H581" s="84" t="str">
        <x:v>Dry</x:v>
      </x:c>
      <x:c r="I581" s="84" t="str">
        <x:v>quercus buckleyi</x:v>
      </x:c>
    </x:row>
    <x:row r="582">
      <x:c r="A582" s="83" t="str">
        <x:v>BONAP/NAPA Hays workbook</x:v>
      </x:c>
      <x:c r="B582" s="84" t="n">
        <x:v>585</x:v>
      </x:c>
      <x:c r="C582" s="87" t="str">
        <x:v>Quercus fusiformis</x:v>
      </x:c>
      <x:c r="D582" s="84" t="str">
        <x:v>Escarpment Live Oak, Plateau Live Oak, Hill Country Live Oak, Texas Live Oak, Scrub Live Oak, Plateau Oak, Encino Molino, Tesmoli</x:v>
      </x:c>
      <x:c r="E582" s="84" t="str">
        <x:v>Perennial</x:v>
      </x:c>
      <x:c r="F582" s="84" t="str">
        <x:v>Tree</x:v>
      </x:c>
      <x:c r="G582" s="84" t="str">
        <x:v>Sun, Part-shade</x:v>
      </x:c>
      <x:c r="H582" s="84" t="str">
        <x:v>Dry</x:v>
      </x:c>
      <x:c r="I582" s="84" t="str">
        <x:v>quercus fusiformis</x:v>
      </x:c>
    </x:row>
    <x:row r="583">
      <x:c r="A583" s="83" t="str">
        <x:v>BONAP/NAPA Hays workbook</x:v>
      </x:c>
      <x:c r="B583" s="84" t="n">
        <x:v>586</x:v>
      </x:c>
      <x:c r="C583" s="87" t="str">
        <x:v>Quercus laceyi</x:v>
      </x:c>
      <x:c r="D583" s="84" t="str">
        <x:v>Lacey Oak, Texas Blue Oak, Canyon Oak, Smoky Oak, Rock Oak</x:v>
      </x:c>
      <x:c r="E583" s="84" t="str">
        <x:v>Perennial</x:v>
      </x:c>
      <x:c r="F583" s="84" t="str">
        <x:v>Tree</x:v>
      </x:c>
      <x:c r="G583" s="84" t="str">
        <x:v>Sun, Part-shade</x:v>
      </x:c>
      <x:c r="H583" s="84" t="str">
        <x:v>Dry</x:v>
      </x:c>
      <x:c r="I583" s="84" t="str">
        <x:v>quercus laceyi</x:v>
      </x:c>
    </x:row>
    <x:row r="584">
      <x:c r="A584" s="83" t="str">
        <x:v>BONAP/NAPA Hays workbook</x:v>
      </x:c>
      <x:c r="B584" s="84" t="n">
        <x:v>587</x:v>
      </x:c>
      <x:c r="C584" s="87" t="str">
        <x:v>Quercus macrocarpa</x:v>
      </x:c>
      <x:c r="D584" s="84" t="str">
        <x:v>Bur Oak, Burr Oak, Savanna Oak, Overcup Oak, Prairie Oak, Mossy-cup Oak, Mossy-overcup Oak, Blue Oak</x:v>
      </x:c>
      <x:c r="E584" s="84" t="str">
        <x:v>Perennial</x:v>
      </x:c>
      <x:c r="F584" s="84" t="str">
        <x:v>Tree</x:v>
      </x:c>
      <x:c r="G584" s="84" t="str">
        <x:v>Sun, Shade, Part-shade</x:v>
      </x:c>
      <x:c r="H584" s="84" t="str">
        <x:v>Wet, Moist, Dry</x:v>
      </x:c>
      <x:c r="I584" s="84" t="str">
        <x:v>quercus macrocarpa</x:v>
      </x:c>
    </x:row>
    <x:row r="585">
      <x:c r="A585" s="83" t="str">
        <x:v>BONAP/NAPA Hays workbook</x:v>
      </x:c>
      <x:c r="B585" s="84" t="n">
        <x:v>588</x:v>
      </x:c>
      <x:c r="C585" s="87" t="str">
        <x:v>Quercus marilandica</x:v>
      </x:c>
      <x:c r="D585" s="84" t="str">
        <x:v>Blackjack Oak, Barren Oak, Black Oak, Jack Oak</x:v>
      </x:c>
      <x:c r="E585" s="84" t="str">
        <x:v>Perennial</x:v>
      </x:c>
      <x:c r="F585" s="84" t="str">
        <x:v>Tree</x:v>
      </x:c>
      <x:c r="G585" s="84" t="str">
        <x:v>Part-shade</x:v>
      </x:c>
      <x:c r="H585" s="84" t="str">
        <x:v>Dry</x:v>
      </x:c>
      <x:c r="I585" s="84" t="str">
        <x:v>quercus marilandica</x:v>
      </x:c>
    </x:row>
    <x:row r="586">
      <x:c r="A586" s="83" t="str">
        <x:v>BONAP/NAPA Hays workbook</x:v>
      </x:c>
      <x:c r="B586" s="84" t="n">
        <x:v>589</x:v>
      </x:c>
      <x:c r="C586" s="87" t="str">
        <x:v>Quercus muehlenbergii</x:v>
      </x:c>
      <x:c r="D586" s="84" t="str">
        <x:v>Chinkapin Oak, Chinquapin Oak, Chestnut Oak, Yellow Chestnut Oak, Rock Chestnut Oak, Yellow Oak, Rock Oak</x:v>
      </x:c>
      <x:c r="E586" s="84" t="str">
        <x:v>Perennial</x:v>
      </x:c>
      <x:c r="F586" s="84" t="str">
        <x:v>Tree</x:v>
      </x:c>
      <x:c r="G586" s="84" t="str">
        <x:v>Sun, Part-shade</x:v>
      </x:c>
      <x:c r="H586" s="84" t="str">
        <x:v>Dry</x:v>
      </x:c>
      <x:c r="I586" s="84" t="str">
        <x:v>quercus muehlenbergii</x:v>
      </x:c>
    </x:row>
    <x:row r="587">
      <x:c r="A587" s="83" t="str">
        <x:v>BONAP/NAPA Hays workbook</x:v>
      </x:c>
      <x:c r="B587" s="84" t="n">
        <x:v>590</x:v>
      </x:c>
      <x:c r="C587" s="87" t="str">
        <x:v>Quercus shumardii</x:v>
      </x:c>
      <x:c r="D587" s="84" t="str">
        <x:v>Shumard Oak, Shumard's Oak, Shumard Red Oak, Southern Red Oak, Swamp Red Oak, Spotted Oak</x:v>
      </x:c>
      <x:c r="E587" s="84" t="str">
        <x:v>Perennial</x:v>
      </x:c>
      <x:c r="F587" s="84" t="str">
        <x:v>Tree</x:v>
      </x:c>
      <x:c r="G587" s="84" t="str">
        <x:v>Sun, Part-shade</x:v>
      </x:c>
      <x:c r="H587" s="84" t="str">
        <x:v>Moist, Dry</x:v>
      </x:c>
      <x:c r="I587" s="84" t="str">
        <x:v>quercus shumardii</x:v>
      </x:c>
    </x:row>
    <x:row r="588">
      <x:c r="A588" s="83" t="str">
        <x:v>BONAP/NAPA Hays workbook</x:v>
      </x:c>
      <x:c r="B588" s="84" t="n">
        <x:v>591</x:v>
      </x:c>
      <x:c r="C588" s="87" t="str">
        <x:v>Quercus sinuata var. breviloba</x:v>
      </x:c>
      <x:c r="D588" s="84" t="str">
        <x:v>White Shin Oak, Bigelow Oak, Scaly-bark Oak, Limestone Durand Oak, Shortlobe Oak, Bastard Oak</x:v>
      </x:c>
      <x:c r="E588" s="84" t="str">
        <x:v>Perennial</x:v>
      </x:c>
      <x:c r="F588" s="84" t="str">
        <x:v>Tree</x:v>
      </x:c>
      <x:c r="G588" s="84" t="str">
        <x:v>Part-shade</x:v>
      </x:c>
      <x:c r="H588" s="84" t="str">
        <x:v>Dry</x:v>
      </x:c>
      <x:c r="I588" s="84" t="str">
        <x:v>quercus sinuata var. breviloba</x:v>
      </x:c>
    </x:row>
    <x:row r="589">
      <x:c r="A589" s="83" t="str">
        <x:v>BONAP/NAPA Hays workbook</x:v>
      </x:c>
      <x:c r="B589" s="84" t="n">
        <x:v>592</x:v>
      </x:c>
      <x:c r="C589" s="87" t="str">
        <x:v>Quercus stellata</x:v>
      </x:c>
      <x:c r="D589" s="84" t="str">
        <x:v>Post Oak, Iron Oak, Cross Oak</x:v>
      </x:c>
      <x:c r="E589" s="84" t="str">
        <x:v>Perennial</x:v>
      </x:c>
      <x:c r="F589" s="84" t="str">
        <x:v>Tree</x:v>
      </x:c>
      <x:c r="G589" s="84" t="str">
        <x:v>Sun, Part-shade</x:v>
      </x:c>
      <x:c r="H589" s="84" t="str">
        <x:v>Moist, Dry</x:v>
      </x:c>
      <x:c r="I589" s="84" t="str">
        <x:v>quercus stellata</x:v>
      </x:c>
    </x:row>
    <x:row r="590">
      <x:c r="A590" s="83" t="str">
        <x:v>BONAP/NAPA Hays workbook</x:v>
      </x:c>
      <x:c r="B590" s="84" t="n">
        <x:v>593</x:v>
      </x:c>
      <x:c r="C590" s="87" t="str">
        <x:v>Quercus virginiana</x:v>
      </x:c>
      <x:c r="D590" s="84" t="str">
        <x:v>Southern Live Oak, Virginia Live Oak, Coastal Live Oak, Live Oak, Encino</x:v>
      </x:c>
      <x:c r="E590" s="84" t="str">
        <x:v>Perennial</x:v>
      </x:c>
      <x:c r="F590" s="84" t="str">
        <x:v>Tree</x:v>
      </x:c>
      <x:c r="G590" s="84" t="str">
        <x:v>Sun, Part-shade</x:v>
      </x:c>
      <x:c r="H590" s="84" t="str">
        <x:v>Moist</x:v>
      </x:c>
      <x:c r="I590" s="84" t="str">
        <x:v>quercus virginiana</x:v>
      </x:c>
    </x:row>
    <x:row r="591">
      <x:c r="A591" s="83" t="str">
        <x:v>BONAP/NAPA Hays workbook</x:v>
      </x:c>
      <x:c r="B591" s="84" t="n">
        <x:v>594</x:v>
      </x:c>
      <x:c r="C591" s="87" t="str">
        <x:v>Ranunculus fascicularis</x:v>
      </x:c>
      <x:c r="D591" s="84" t="str">
        <x:v>Early Buttercup, Tufted Buttercup, Prairie Buttercup</x:v>
      </x:c>
      <x:c r="E591" s="84" t="str">
        <x:v>Perennial</x:v>
      </x:c>
      <x:c r="F591" s="84" t="str">
        <x:v>Herb</x:v>
      </x:c>
      <x:c r="G591" s="84" t="str">
        <x:v>Sun, Shade, Part-shade</x:v>
      </x:c>
      <x:c r="H591" s="84" t="str"/>
      <x:c r="I591" s="84" t="str">
        <x:v>ranunculus fascicularis</x:v>
      </x:c>
    </x:row>
    <x:row r="592">
      <x:c r="A592" s="83" t="str">
        <x:v>BONAP/NAPA Hays workbook</x:v>
      </x:c>
      <x:c r="B592" s="84" t="n">
        <x:v>595</x:v>
      </x:c>
      <x:c r="C592" s="87" t="str">
        <x:v>Ranunculus macranthus</x:v>
      </x:c>
      <x:c r="D592" s="84" t="str">
        <x:v>Large Buttercup</x:v>
      </x:c>
      <x:c r="E592" s="84" t="str">
        <x:v>Perennial</x:v>
      </x:c>
      <x:c r="F592" s="84" t="str">
        <x:v>Herb</x:v>
      </x:c>
      <x:c r="G592" s="84" t="str">
        <x:v>Sun</x:v>
      </x:c>
      <x:c r="H592" s="84" t="str">
        <x:v>Moist</x:v>
      </x:c>
      <x:c r="I592" s="84" t="str">
        <x:v>ranunculus macranthus</x:v>
      </x:c>
    </x:row>
    <x:row r="593">
      <x:c r="A593" s="83" t="str">
        <x:v>BONAP/NAPA Hays workbook</x:v>
      </x:c>
      <x:c r="B593" s="84" t="n">
        <x:v>596</x:v>
      </x:c>
      <x:c r="C593" s="87" t="str">
        <x:v>Ranunculus sceleratus</x:v>
      </x:c>
      <x:c r="D593" s="84" t="str">
        <x:v>Cursed Buttercup</x:v>
      </x:c>
      <x:c r="E593" s="84" t="str">
        <x:v>Annual</x:v>
      </x:c>
      <x:c r="F593" s="84" t="str">
        <x:v>Herb</x:v>
      </x:c>
      <x:c r="G593" s="84" t="str">
        <x:v>Part-shade</x:v>
      </x:c>
      <x:c r="H593" s="84" t="str"/>
      <x:c r="I593" s="84" t="str">
        <x:v>ranunculus sceleratus</x:v>
      </x:c>
    </x:row>
    <x:row r="594">
      <x:c r="A594" s="83" t="str">
        <x:v>BONAP/NAPA Hays workbook</x:v>
      </x:c>
      <x:c r="B594" s="84" t="n">
        <x:v>597</x:v>
      </x:c>
      <x:c r="C594" s="87" t="str">
        <x:v>Ratibida columnifera</x:v>
      </x:c>
      <x:c r="D594" s="84" t="str">
        <x:v>Mexican Hat, Red-spike Mexican Hat, Upright Prairie Coneflower, Prairie Coneflower, Long-headed Coneflower, Thimbleflower</x:v>
      </x:c>
      <x:c r="E594" s="84" t="str">
        <x:v>Perennial</x:v>
      </x:c>
      <x:c r="F594" s="84" t="str">
        <x:v>Herb</x:v>
      </x:c>
      <x:c r="G594" s="84" t="str">
        <x:v>Sun</x:v>
      </x:c>
      <x:c r="H594" s="84" t="str">
        <x:v>Moist, Dry</x:v>
      </x:c>
      <x:c r="I594" s="84" t="str">
        <x:v>ratibida columnifera</x:v>
      </x:c>
    </x:row>
    <x:row r="595">
      <x:c r="A595" s="83" t="str">
        <x:v>BONAP/NAPA Hays workbook</x:v>
      </x:c>
      <x:c r="B595" s="84" t="n">
        <x:v>598</x:v>
      </x:c>
      <x:c r="C595" s="87" t="str">
        <x:v>Rhus lanceolata</x:v>
      </x:c>
      <x:c r="D595" s="84" t="str">
        <x:v>Prairie Flameleaf Sumac, Flameleaf Sumac, Prairie Sumac, Lance-leaf Sumac, Lance-leaved Sumac, Texas Sumac, Tree Sumac, Limestone Sumac, Prairie Shining Sumac</x:v>
      </x:c>
      <x:c r="E595" s="84" t="str">
        <x:v>Perennial</x:v>
      </x:c>
      <x:c r="F595" s="84" t="str">
        <x:v>Tree</x:v>
      </x:c>
      <x:c r="G595" s="84" t="str">
        <x:v>Sun</x:v>
      </x:c>
      <x:c r="H595" s="84" t="str">
        <x:v>Dry</x:v>
      </x:c>
      <x:c r="I595" s="84" t="str">
        <x:v>rhus lanceolata</x:v>
      </x:c>
    </x:row>
    <x:row r="596">
      <x:c r="A596" s="83" t="str">
        <x:v>BONAP/NAPA Hays workbook</x:v>
      </x:c>
      <x:c r="B596" s="84" t="n">
        <x:v>599</x:v>
      </x:c>
      <x:c r="C596" s="87" t="str">
        <x:v>Rhus trilobata var. trilobata</x:v>
      </x:c>
      <x:c r="D596" s="84" t="str">
        <x:v>Skunkbush Sumac</x:v>
      </x:c>
      <x:c r="E596" s="84" t="str">
        <x:v>Perennial</x:v>
      </x:c>
      <x:c r="F596" s="84" t="str">
        <x:v>Shrub</x:v>
      </x:c>
      <x:c r="G596" s="84" t="str"/>
      <x:c r="H596" s="84" t="str"/>
      <x:c r="I596" s="84" t="str">
        <x:v>rhus trilobata var. trilobata</x:v>
      </x:c>
    </x:row>
    <x:row r="597">
      <x:c r="A597" s="83" t="str">
        <x:v>BONAP/NAPA Hays workbook</x:v>
      </x:c>
      <x:c r="B597" s="84" t="n">
        <x:v>600</x:v>
      </x:c>
      <x:c r="C597" s="87" t="str">
        <x:v>Rhus virens</x:v>
      </x:c>
      <x:c r="D597" s="84" t="str">
        <x:v>Evergreen Sumac, Tobacco Sumac, Lambrisco, Lentrisco</x:v>
      </x:c>
      <x:c r="E597" s="84" t="str">
        <x:v>Perennial</x:v>
      </x:c>
      <x:c r="F597" s="84" t="str">
        <x:v>Shrub</x:v>
      </x:c>
      <x:c r="G597" s="84" t="str">
        <x:v>Sun, Part-shade</x:v>
      </x:c>
      <x:c r="H597" s="84" t="str">
        <x:v>Dry</x:v>
      </x:c>
      <x:c r="I597" s="84" t="str">
        <x:v>rhus virens</x:v>
      </x:c>
    </x:row>
    <x:row r="598">
      <x:c r="A598" s="83" t="str">
        <x:v>BONAP/NAPA Hays workbook</x:v>
      </x:c>
      <x:c r="B598" s="84" t="n">
        <x:v>601</x:v>
      </x:c>
      <x:c r="C598" s="87" t="str">
        <x:v>Rhynchosia americana</x:v>
      </x:c>
      <x:c r="D598" s="84" t="str">
        <x:v>American Snoutbean</x:v>
      </x:c>
      <x:c r="E598" s="84" t="str">
        <x:v>Perennial</x:v>
      </x:c>
      <x:c r="F598" s="84" t="str">
        <x:v>Herb, Vine</x:v>
      </x:c>
      <x:c r="G598" s="84" t="str"/>
      <x:c r="H598" s="84" t="str"/>
      <x:c r="I598" s="84" t="str">
        <x:v>rhynchosia americana</x:v>
      </x:c>
    </x:row>
    <x:row r="599">
      <x:c r="A599" s="83" t="str">
        <x:v>BONAP/NAPA Hays workbook</x:v>
      </x:c>
      <x:c r="B599" s="84" t="n">
        <x:v>602</x:v>
      </x:c>
      <x:c r="C599" s="87" t="str">
        <x:v>Rhynchosia minima</x:v>
      </x:c>
      <x:c r="D599" s="84" t="str">
        <x:v>Least Snoutbean</x:v>
      </x:c>
      <x:c r="E599" s="84" t="str">
        <x:v>Perennial</x:v>
      </x:c>
      <x:c r="F599" s="84" t="str">
        <x:v>Vine</x:v>
      </x:c>
      <x:c r="G599" s="84" t="str"/>
      <x:c r="H599" s="84" t="str"/>
      <x:c r="I599" s="84" t="str">
        <x:v>rhynchosia minima</x:v>
      </x:c>
    </x:row>
    <x:row r="600">
      <x:c r="A600" s="83" t="str">
        <x:v>BONAP/NAPA Hays workbook</x:v>
      </x:c>
      <x:c r="B600" s="84" t="n">
        <x:v>603</x:v>
      </x:c>
      <x:c r="C600" s="87" t="str">
        <x:v>Rhynchosia senna var. texana</x:v>
      </x:c>
      <x:c r="D600" s="84" t="str">
        <x:v>Texas Snoutbean, Texas Snout-bean</x:v>
      </x:c>
      <x:c r="E600" s="84" t="str">
        <x:v>Perennial</x:v>
      </x:c>
      <x:c r="F600" s="84" t="str">
        <x:v>Vine</x:v>
      </x:c>
      <x:c r="G600" s="84" t="str"/>
      <x:c r="H600" s="84" t="str"/>
      <x:c r="I600" s="84" t="str">
        <x:v>rhynchosia senna var. texana</x:v>
      </x:c>
    </x:row>
    <x:row r="601">
      <x:c r="A601" s="83" t="str">
        <x:v>BONAP/NAPA Hays workbook</x:v>
      </x:c>
      <x:c r="B601" s="84" t="n">
        <x:v>604</x:v>
      </x:c>
      <x:c r="C601" s="87" t="str">
        <x:v>Rhynchospora colorata</x:v>
      </x:c>
      <x:c r="D601" s="84" t="str">
        <x:v>Whitetop Sedge, White-topped Sedge, Starrush Whitetop, Star Sedge, Star Rush</x:v>
      </x:c>
      <x:c r="E601" s="84" t="str">
        <x:v>Perennial</x:v>
      </x:c>
      <x:c r="F601" s="84" t="str">
        <x:v>Grass/Grass-like</x:v>
      </x:c>
      <x:c r="G601" s="84" t="str">
        <x:v>Sun, Part-shade</x:v>
      </x:c>
      <x:c r="H601" s="84" t="str">
        <x:v>Wet</x:v>
      </x:c>
      <x:c r="I601" s="84" t="str">
        <x:v>rhynchospora colorata</x:v>
      </x:c>
    </x:row>
    <x:row r="602">
      <x:c r="A602" s="83" t="str">
        <x:v>BONAP/NAPA Hays workbook</x:v>
      </x:c>
      <x:c r="B602" s="84" t="n">
        <x:v>605</x:v>
      </x:c>
      <x:c r="C602" s="87" t="str">
        <x:v>Rhynchospora nivea</x:v>
      </x:c>
      <x:c r="D602" s="84" t="str">
        <x:v>Showy Whitetop</x:v>
      </x:c>
      <x:c r="E602" s="84" t="str">
        <x:v>Perennial</x:v>
      </x:c>
      <x:c r="F602" s="84" t="str">
        <x:v>Grass/Grass-like</x:v>
      </x:c>
      <x:c r="G602" s="84" t="str"/>
      <x:c r="H602" s="84" t="str"/>
      <x:c r="I602" s="84" t="str">
        <x:v>rhynchospora nivea</x:v>
      </x:c>
    </x:row>
    <x:row r="603">
      <x:c r="A603" s="83" t="str">
        <x:v>BONAP/NAPA Hays workbook</x:v>
      </x:c>
      <x:c r="B603" s="84" t="n">
        <x:v>606</x:v>
      </x:c>
      <x:c r="C603" s="87" t="str">
        <x:v>Rivina humilis</x:v>
      </x:c>
      <x:c r="D603" s="84" t="str">
        <x:v>Pigeonberry, Rouge Plant, Baby-peppers, Bloodberry</x:v>
      </x:c>
      <x:c r="E603" s="84" t="str">
        <x:v>Perennial</x:v>
      </x:c>
      <x:c r="F603" s="84" t="str">
        <x:v>Herb</x:v>
      </x:c>
      <x:c r="G603" s="84" t="str">
        <x:v>Part-shade</x:v>
      </x:c>
      <x:c r="H603" s="84" t="str">
        <x:v>Moist</x:v>
      </x:c>
      <x:c r="I603" s="84" t="str">
        <x:v>rivina humilis</x:v>
      </x:c>
    </x:row>
    <x:row r="604">
      <x:c r="A604" s="83" t="str">
        <x:v>BONAP/NAPA Hays workbook</x:v>
      </x:c>
      <x:c r="B604" s="84" t="n">
        <x:v>607</x:v>
      </x:c>
      <x:c r="C604" s="87" t="str">
        <x:v>Robinia pseudoacacia</x:v>
      </x:c>
      <x:c r="D604" s="84" t="str">
        <x:v>Black Locust</x:v>
      </x:c>
      <x:c r="E604" s="84" t="str">
        <x:v>Perennial</x:v>
      </x:c>
      <x:c r="F604" s="84" t="str">
        <x:v>Tree</x:v>
      </x:c>
      <x:c r="G604" s="84" t="str">
        <x:v>Sun</x:v>
      </x:c>
      <x:c r="H604" s="84" t="str">
        <x:v>Moist, Dry</x:v>
      </x:c>
      <x:c r="I604" s="84" t="str">
        <x:v>robinia pseudoacacia</x:v>
      </x:c>
    </x:row>
    <x:row r="605">
      <x:c r="A605" s="83" t="str">
        <x:v>BONAP/NAPA Hays workbook</x:v>
      </x:c>
      <x:c r="B605" s="84" t="n">
        <x:v>608</x:v>
      </x:c>
      <x:c r="C605" s="87" t="str">
        <x:v>Rotala ramosior</x:v>
      </x:c>
      <x:c r="D605" s="84" t="str">
        <x:v>Lowland Rotala</x:v>
      </x:c>
      <x:c r="E605" s="84" t="str">
        <x:v>Annual</x:v>
      </x:c>
      <x:c r="F605" s="84" t="str">
        <x:v>Herb</x:v>
      </x:c>
      <x:c r="G605" s="84" t="str">
        <x:v>Sun</x:v>
      </x:c>
      <x:c r="H605" s="84" t="str">
        <x:v>Moist</x:v>
      </x:c>
      <x:c r="I605" s="84" t="str">
        <x:v>rotala ramosior</x:v>
      </x:c>
    </x:row>
    <x:row r="606">
      <x:c r="A606" s="83" t="str">
        <x:v>BONAP/NAPA Hays workbook</x:v>
      </x:c>
      <x:c r="B606" s="84" t="n">
        <x:v>609</x:v>
      </x:c>
      <x:c r="C606" s="87" t="str">
        <x:v>Rubus trivialis</x:v>
      </x:c>
      <x:c r="D606" s="84" t="str">
        <x:v>Southern Dewberry, Dewberry</x:v>
      </x:c>
      <x:c r="E606" s="84" t="str">
        <x:v>Perennial</x:v>
      </x:c>
      <x:c r="F606" s="84" t="str">
        <x:v>Herb</x:v>
      </x:c>
      <x:c r="G606" s="84" t="str">
        <x:v>Sun, Part-shade</x:v>
      </x:c>
      <x:c r="H606" s="84" t="str">
        <x:v>Moist, Dry</x:v>
      </x:c>
      <x:c r="I606" s="84" t="str">
        <x:v>rubus trivialis</x:v>
      </x:c>
    </x:row>
    <x:row r="607">
      <x:c r="A607" s="83" t="str">
        <x:v>BONAP/NAPA Hays workbook</x:v>
      </x:c>
      <x:c r="B607" s="84" t="n">
        <x:v>610</x:v>
      </x:c>
      <x:c r="C607" s="87" t="str">
        <x:v>Rudbeckia hirta var. pulcherrima</x:v>
      </x:c>
      <x:c r="D607" s="84" t="str">
        <x:v>Black-eyed Susan, Blackeyed Susan, Brown-eyed Susan, Pinewoods Coneflower</x:v>
      </x:c>
      <x:c r="E607" s="84" t="str">
        <x:v>Annual, Biennial, Perennial</x:v>
      </x:c>
      <x:c r="F607" s="84" t="str">
        <x:v>Herb</x:v>
      </x:c>
      <x:c r="G607" s="84" t="str">
        <x:v>Sun</x:v>
      </x:c>
      <x:c r="H607" s="84" t="str">
        <x:v>Dry</x:v>
      </x:c>
      <x:c r="I607" s="84" t="str">
        <x:v>rudbeckia hirta var. pulcherrima</x:v>
      </x:c>
    </x:row>
    <x:row r="608">
      <x:c r="A608" s="83" t="str">
        <x:v>BONAP/NAPA Hays workbook</x:v>
      </x:c>
      <x:c r="B608" s="84" t="n">
        <x:v>611</x:v>
      </x:c>
      <x:c r="C608" s="87" t="str">
        <x:v>Ruellia drummondiana</x:v>
      </x:c>
      <x:c r="D608" s="84" t="str">
        <x:v>Drummond's Ruellia, Drummond's Wild Petunia</x:v>
      </x:c>
      <x:c r="E608" s="84" t="str">
        <x:v>Perennial</x:v>
      </x:c>
      <x:c r="F608" s="84" t="str">
        <x:v>Herb</x:v>
      </x:c>
      <x:c r="G608" s="84" t="str">
        <x:v>Shade, Part-shade</x:v>
      </x:c>
      <x:c r="H608" s="84" t="str">
        <x:v>Dry</x:v>
      </x:c>
      <x:c r="I608" s="84" t="str">
        <x:v>ruellia drummondiana</x:v>
      </x:c>
    </x:row>
    <x:row r="609">
      <x:c r="A609" s="83" t="str">
        <x:v>BONAP/NAPA Hays workbook</x:v>
      </x:c>
      <x:c r="B609" s="84" t="n">
        <x:v>612</x:v>
      </x:c>
      <x:c r="C609" s="87" t="str">
        <x:v>Ruellia humilis</x:v>
      </x:c>
      <x:c r="D609" s="84" t="str">
        <x:v>Prairie Petunia, Fringeleaf Wild Petunia, Hairy Ruellia, Low Wild Petunia, Low Ruellia, Fringeleaf Ruellia, Fringe-leaf Wild Petunia</x:v>
      </x:c>
      <x:c r="E609" s="84" t="str">
        <x:v>Perennial</x:v>
      </x:c>
      <x:c r="F609" s="84" t="str">
        <x:v>Herb</x:v>
      </x:c>
      <x:c r="G609" s="84" t="str">
        <x:v>Part-shade</x:v>
      </x:c>
      <x:c r="H609" s="84" t="str">
        <x:v>Moist</x:v>
      </x:c>
      <x:c r="I609" s="84" t="str">
        <x:v>ruellia humilis</x:v>
      </x:c>
    </x:row>
    <x:row r="610">
      <x:c r="A610" s="83" t="str">
        <x:v>BONAP/NAPA Hays workbook</x:v>
      </x:c>
      <x:c r="B610" s="84" t="n">
        <x:v>613</x:v>
      </x:c>
      <x:c r="C610" s="87" t="str">
        <x:v>Ruellia nudiflora var. nudiflora</x:v>
      </x:c>
      <x:c r="D610" s="84" t="str">
        <x:v>Violet Wild Petunia</x:v>
      </x:c>
      <x:c r="E610" s="84" t="str">
        <x:v>Perennial</x:v>
      </x:c>
      <x:c r="F610" s="84" t="str">
        <x:v>Herb</x:v>
      </x:c>
      <x:c r="G610" s="84" t="str"/>
      <x:c r="H610" s="84" t="str"/>
      <x:c r="I610" s="84" t="str">
        <x:v>ruellia nudiflora var. nudiflora</x:v>
      </x:c>
    </x:row>
    <x:row r="611">
      <x:c r="A611" s="83" t="str">
        <x:v>BONAP/NAPA Hays workbook</x:v>
      </x:c>
      <x:c r="B611" s="84" t="n">
        <x:v>614</x:v>
      </x:c>
      <x:c r="C611" s="87" t="str">
        <x:v>Ruellia occidentalis</x:v>
      </x:c>
      <x:c r="D611" s="84" t="str">
        <x:v>Western Wild Petunia</x:v>
      </x:c>
      <x:c r="E611" s="84" t="str">
        <x:v>Perennial</x:v>
      </x:c>
      <x:c r="F611" s="84" t="str">
        <x:v>Herb</x:v>
      </x:c>
      <x:c r="G611" s="84" t="str">
        <x:v>Shade, Part-shade</x:v>
      </x:c>
      <x:c r="H611" s="84" t="str">
        <x:v>Moist, Dry</x:v>
      </x:c>
      <x:c r="I611" s="84" t="str">
        <x:v>ruellia occidentalis</x:v>
      </x:c>
    </x:row>
    <x:row r="612">
      <x:c r="A612" s="83" t="str">
        <x:v>BONAP/NAPA Hays workbook</x:v>
      </x:c>
      <x:c r="B612" s="84" t="n">
        <x:v>615</x:v>
      </x:c>
      <x:c r="C612" s="87" t="str">
        <x:v>Rumex chrysocarpus</x:v>
      </x:c>
      <x:c r="D612" s="84" t="str">
        <x:v>Amamastla</x:v>
      </x:c>
      <x:c r="E612" s="84" t="str">
        <x:v>Perennial</x:v>
      </x:c>
      <x:c r="F612" s="84" t="str">
        <x:v>Herb</x:v>
      </x:c>
      <x:c r="G612" s="84" t="str"/>
      <x:c r="H612" s="84" t="str"/>
      <x:c r="I612" s="84" t="str">
        <x:v>rumex chrysocarpus</x:v>
      </x:c>
    </x:row>
    <x:row r="613">
      <x:c r="A613" s="83" t="str">
        <x:v>BONAP/NAPA Hays workbook</x:v>
      </x:c>
      <x:c r="B613" s="84" t="n">
        <x:v>616</x:v>
      </x:c>
      <x:c r="C613" s="87" t="str">
        <x:v>Sabal minor</x:v>
      </x:c>
      <x:c r="D613" s="84" t="str">
        <x:v>Dwarf Palmetto, Bush Palmetto, Palmetto</x:v>
      </x:c>
      <x:c r="E613" s="84" t="str">
        <x:v>Perennial</x:v>
      </x:c>
      <x:c r="F613" s="84" t="str">
        <x:v>Shrub</x:v>
      </x:c>
      <x:c r="G613" s="84" t="str">
        <x:v>Sun, Shade, Part-shade</x:v>
      </x:c>
      <x:c r="H613" s="84" t="str">
        <x:v>Moist, Dry</x:v>
      </x:c>
      <x:c r="I613" s="84" t="str">
        <x:v>sabal minor</x:v>
      </x:c>
    </x:row>
    <x:row r="614">
      <x:c r="A614" s="83" t="str">
        <x:v>BONAP/NAPA Hays workbook</x:v>
      </x:c>
      <x:c r="B614" s="84" t="n">
        <x:v>617</x:v>
      </x:c>
      <x:c r="C614" s="87" t="str">
        <x:v>Sagittaria graminea</x:v>
      </x:c>
      <x:c r="D614" s="84" t="str">
        <x:v>Grassy Arrowhead, Grass-leaf Arrowhead</x:v>
      </x:c>
      <x:c r="E614" s="84" t="str">
        <x:v>Perennial</x:v>
      </x:c>
      <x:c r="F614" s="84" t="str">
        <x:v>Herb</x:v>
      </x:c>
      <x:c r="G614" s="84" t="str"/>
      <x:c r="H614" s="84" t="str"/>
      <x:c r="I614" s="84" t="str">
        <x:v>sagittaria graminea</x:v>
      </x:c>
    </x:row>
    <x:row r="615">
      <x:c r="A615" s="83" t="str">
        <x:v>BONAP/NAPA Hays workbook</x:v>
      </x:c>
      <x:c r="B615" s="84" t="n">
        <x:v>618</x:v>
      </x:c>
      <x:c r="C615" s="87" t="str">
        <x:v>Sagittaria graminea var. graminea</x:v>
      </x:c>
      <x:c r="D615" s="84" t="str">
        <x:v>Grassy Arrowhead</x:v>
      </x:c>
      <x:c r="E615" s="84" t="str">
        <x:v>Perennial</x:v>
      </x:c>
      <x:c r="F615" s="84" t="str">
        <x:v>Herb</x:v>
      </x:c>
      <x:c r="G615" s="84" t="str"/>
      <x:c r="H615" s="84" t="str"/>
      <x:c r="I615" s="84" t="str">
        <x:v>sagittaria graminea var. graminea</x:v>
      </x:c>
    </x:row>
    <x:row r="616">
      <x:c r="A616" s="83" t="str">
        <x:v>BONAP/NAPA Hays workbook</x:v>
      </x:c>
      <x:c r="B616" s="84" t="n">
        <x:v>619</x:v>
      </x:c>
      <x:c r="C616" s="87" t="str">
        <x:v>Sagittaria lancifolia</x:v>
      </x:c>
      <x:c r="D616" s="84" t="str">
        <x:v>Lanceleaf Arrowhead, Duck-potato, Bulltongue Arrowhead, Bull-tongue Arrowhead</x:v>
      </x:c>
      <x:c r="E616" s="84" t="str">
        <x:v>Perennial</x:v>
      </x:c>
      <x:c r="F616" s="84" t="str">
        <x:v>Herb</x:v>
      </x:c>
      <x:c r="G616" s="84" t="str">
        <x:v>Sun</x:v>
      </x:c>
      <x:c r="H616" s="84" t="str">
        <x:v>Wet</x:v>
      </x:c>
      <x:c r="I616" s="84" t="str">
        <x:v>sagittaria lancifolia</x:v>
      </x:c>
    </x:row>
    <x:row r="617">
      <x:c r="A617" s="83" t="str">
        <x:v>BONAP/NAPA Hays workbook</x:v>
      </x:c>
      <x:c r="B617" s="84" t="n">
        <x:v>620</x:v>
      </x:c>
      <x:c r="C617" s="87" t="str">
        <x:v>Sagittaria platyphylla</x:v>
      </x:c>
      <x:c r="D617" s="84" t="str">
        <x:v>Delta Arrowhead</x:v>
      </x:c>
      <x:c r="E617" s="84" t="str">
        <x:v>Perennial</x:v>
      </x:c>
      <x:c r="F617" s="84" t="str">
        <x:v>Herb</x:v>
      </x:c>
      <x:c r="G617" s="84" t="str">
        <x:v>Part-shade</x:v>
      </x:c>
      <x:c r="H617" s="84" t="str">
        <x:v>Wet</x:v>
      </x:c>
      <x:c r="I617" s="84" t="str">
        <x:v>sagittaria platyphylla</x:v>
      </x:c>
    </x:row>
    <x:row r="618">
      <x:c r="A618" s="83" t="str">
        <x:v>BONAP/NAPA Hays workbook</x:v>
      </x:c>
      <x:c r="B618" s="84" t="n">
        <x:v>621</x:v>
      </x:c>
      <x:c r="C618" s="87" t="str">
        <x:v>Salix nigra</x:v>
      </x:c>
      <x:c r="D618" s="84" t="str">
        <x:v>Black Willow, Gulf Black Willow, Swamp Willow, Sauz</x:v>
      </x:c>
      <x:c r="E618" s="84" t="str">
        <x:v>Perennial</x:v>
      </x:c>
      <x:c r="F618" s="84" t="str">
        <x:v>Tree</x:v>
      </x:c>
      <x:c r="G618" s="84" t="str">
        <x:v>Sun, Shade, Part-shade</x:v>
      </x:c>
      <x:c r="H618" s="84" t="str">
        <x:v>Wet, Moist</x:v>
      </x:c>
      <x:c r="I618" s="84" t="str">
        <x:v>salix nigra</x:v>
      </x:c>
    </x:row>
    <x:row r="619">
      <x:c r="A619" s="83" t="str">
        <x:v>BONAP/NAPA Hays workbook</x:v>
      </x:c>
      <x:c r="B619" s="84" t="n">
        <x:v>622</x:v>
      </x:c>
      <x:c r="C619" s="87" t="str">
        <x:v>Salvia azurea</x:v>
      </x:c>
      <x:c r="D619" s="84" t="str">
        <x:v>Pitcher Sage, Big Blue Sage, Azure Sage, Giant Blue Sage, Blue Sage</x:v>
      </x:c>
      <x:c r="E619" s="84" t="str">
        <x:v>Perennial</x:v>
      </x:c>
      <x:c r="F619" s="84" t="str">
        <x:v>Herb</x:v>
      </x:c>
      <x:c r="G619" s="84" t="str">
        <x:v>Part-shade</x:v>
      </x:c>
      <x:c r="H619" s="84" t="str">
        <x:v>Dry</x:v>
      </x:c>
      <x:c r="I619" s="84" t="str">
        <x:v>salvia azurea</x:v>
      </x:c>
    </x:row>
    <x:row r="620">
      <x:c r="A620" s="83" t="str">
        <x:v>BONAP/NAPA Hays workbook</x:v>
      </x:c>
      <x:c r="B620" s="84" t="n">
        <x:v>623</x:v>
      </x:c>
      <x:c r="C620" s="87" t="str">
        <x:v>Salvia ballotiflora</x:v>
      </x:c>
      <x:c r="D620" s="84" t="str">
        <x:v>Shrubby Blue Sage, Blue Shrub Sage, Mejorana</x:v>
      </x:c>
      <x:c r="E620" s="84" t="str">
        <x:v>Perennial</x:v>
      </x:c>
      <x:c r="F620" s="84" t="str">
        <x:v>Shrub</x:v>
      </x:c>
      <x:c r="G620" s="84" t="str">
        <x:v>Sun, Part-shade</x:v>
      </x:c>
      <x:c r="H620" s="84" t="str">
        <x:v>Dry</x:v>
      </x:c>
      <x:c r="I620" s="84" t="str">
        <x:v>salvia ballotiflora</x:v>
      </x:c>
    </x:row>
    <x:row r="621">
      <x:c r="A621" s="83" t="str">
        <x:v>BONAP/NAPA Hays workbook</x:v>
      </x:c>
      <x:c r="B621" s="84" t="n">
        <x:v>624</x:v>
      </x:c>
      <x:c r="C621" s="87" t="str">
        <x:v>Salvia coccinea</x:v>
      </x:c>
      <x:c r="D621" s="84" t="str">
        <x:v>Scarlet Sage, Tropical Sage, Blood Sage, Red Sage, Indian Fire</x:v>
      </x:c>
      <x:c r="E621" s="84" t="str">
        <x:v>Annual, Perennial</x:v>
      </x:c>
      <x:c r="F621" s="84" t="str">
        <x:v>Herb</x:v>
      </x:c>
      <x:c r="G621" s="84" t="str">
        <x:v>Sun, Shade, Part-shade</x:v>
      </x:c>
      <x:c r="H621" s="84" t="str">
        <x:v>Moist, Dry</x:v>
      </x:c>
      <x:c r="I621" s="84" t="str">
        <x:v>salvia coccinea</x:v>
      </x:c>
    </x:row>
    <x:row r="622">
      <x:c r="A622" s="83" t="str">
        <x:v>BONAP/NAPA Hays workbook</x:v>
      </x:c>
      <x:c r="B622" s="84" t="n">
        <x:v>625</x:v>
      </x:c>
      <x:c r="C622" s="87" t="str">
        <x:v>Salvia engelmannii</x:v>
      </x:c>
      <x:c r="D622" s="84" t="str">
        <x:v>Engelmann's Sage, Engelmann's Salvia</x:v>
      </x:c>
      <x:c r="E622" s="84" t="str">
        <x:v>Perennial</x:v>
      </x:c>
      <x:c r="F622" s="84" t="str">
        <x:v>Herb</x:v>
      </x:c>
      <x:c r="G622" s="84" t="str">
        <x:v>Sun, Part-shade</x:v>
      </x:c>
      <x:c r="H622" s="84" t="str">
        <x:v>Moist, Dry</x:v>
      </x:c>
      <x:c r="I622" s="84" t="str">
        <x:v>salvia engelmannii</x:v>
      </x:c>
    </x:row>
    <x:row r="623">
      <x:c r="A623" s="83" t="str">
        <x:v>BONAP/NAPA Hays workbook</x:v>
      </x:c>
      <x:c r="B623" s="84" t="n">
        <x:v>626</x:v>
      </x:c>
      <x:c r="C623" s="87" t="str">
        <x:v>Salvia farinacea</x:v>
      </x:c>
      <x:c r="D623" s="84" t="str">
        <x:v>Mealy Blue Sage, Mealy Sage, Mealycup Sage</x:v>
      </x:c>
      <x:c r="E623" s="84" t="str">
        <x:v>Perennial</x:v>
      </x:c>
      <x:c r="F623" s="84" t="str">
        <x:v>Herb</x:v>
      </x:c>
      <x:c r="G623" s="84" t="str">
        <x:v>Sun</x:v>
      </x:c>
      <x:c r="H623" s="84" t="str">
        <x:v>Dry</x:v>
      </x:c>
      <x:c r="I623" s="84" t="str">
        <x:v>salvia farinacea</x:v>
      </x:c>
    </x:row>
    <x:row r="624">
      <x:c r="A624" s="83" t="str">
        <x:v>BONAP/NAPA Hays workbook</x:v>
      </x:c>
      <x:c r="B624" s="84" t="n">
        <x:v>627</x:v>
      </x:c>
      <x:c r="C624" s="87" t="str">
        <x:v>Salvia lyrata</x:v>
      </x:c>
      <x:c r="D624" s="84" t="str">
        <x:v>Lyreleaf Sage, Cancer Weed</x:v>
      </x:c>
      <x:c r="E624" s="84" t="str">
        <x:v>Perennial</x:v>
      </x:c>
      <x:c r="F624" s="84" t="str">
        <x:v>Herb</x:v>
      </x:c>
      <x:c r="G624" s="84" t="str">
        <x:v>Sun, Shade, Part-shade</x:v>
      </x:c>
      <x:c r="H624" s="84" t="str">
        <x:v>Moist, Dry</x:v>
      </x:c>
      <x:c r="I624" s="84" t="str">
        <x:v>salvia lyrata</x:v>
      </x:c>
    </x:row>
    <x:row r="625">
      <x:c r="A625" s="83" t="str">
        <x:v>BONAP/NAPA Hays workbook</x:v>
      </x:c>
      <x:c r="B625" s="84" t="n">
        <x:v>628</x:v>
      </x:c>
      <x:c r="C625" s="87" t="str">
        <x:v>Salvia roemeriana</x:v>
      </x:c>
      <x:c r="D625" s="84" t="str">
        <x:v>Cedar Sage</x:v>
      </x:c>
      <x:c r="E625" s="84" t="str">
        <x:v>Perennial</x:v>
      </x:c>
      <x:c r="F625" s="84" t="str">
        <x:v>Herb</x:v>
      </x:c>
      <x:c r="G625" s="84" t="str">
        <x:v>Part-shade</x:v>
      </x:c>
      <x:c r="H625" s="84" t="str">
        <x:v>Dry</x:v>
      </x:c>
      <x:c r="I625" s="84" t="str">
        <x:v>salvia roemeriana</x:v>
      </x:c>
    </x:row>
    <x:row r="626">
      <x:c r="A626" s="83" t="str">
        <x:v>BONAP/NAPA Hays workbook</x:v>
      </x:c>
      <x:c r="B626" s="84" t="n">
        <x:v>629</x:v>
      </x:c>
      <x:c r="C626" s="87" t="str">
        <x:v>Salvia texana</x:v>
      </x:c>
      <x:c r="D626" s="84" t="str">
        <x:v>Texas Sage, Blue Sage</x:v>
      </x:c>
      <x:c r="E626" s="84" t="str">
        <x:v>Perennial</x:v>
      </x:c>
      <x:c r="F626" s="84" t="str">
        <x:v>Herb</x:v>
      </x:c>
      <x:c r="G626" s="84" t="str">
        <x:v>Sun, Part-shade</x:v>
      </x:c>
      <x:c r="H626" s="84" t="str">
        <x:v>Dry</x:v>
      </x:c>
      <x:c r="I626" s="84" t="str">
        <x:v>salvia texana</x:v>
      </x:c>
    </x:row>
    <x:row r="627">
      <x:c r="A627" s="83" t="str">
        <x:v>BONAP/NAPA Hays workbook</x:v>
      </x:c>
      <x:c r="B627" s="84" t="n">
        <x:v>630</x:v>
      </x:c>
      <x:c r="C627" s="87" t="str">
        <x:v>Sambucus nigra ssp. canadensis</x:v>
      </x:c>
      <x:c r="D627" s="84" t="str">
        <x:v>Common Elderberry, Black Elder, Mexican Elderberry, Common Elder, Elderberry, Tapiro, Sauco</x:v>
      </x:c>
      <x:c r="E627" s="84" t="str">
        <x:v>Perennial</x:v>
      </x:c>
      <x:c r="F627" s="84" t="str">
        <x:v>Shrub</x:v>
      </x:c>
      <x:c r="G627" s="84" t="str">
        <x:v>Part-shade</x:v>
      </x:c>
      <x:c r="H627" s="84" t="str">
        <x:v>Wet</x:v>
      </x:c>
      <x:c r="I627" s="84" t="str">
        <x:v>sambucus nigra ssp. canadensis</x:v>
      </x:c>
    </x:row>
    <x:row r="628">
      <x:c r="A628" s="83" t="str">
        <x:v>BONAP/NAPA Hays workbook</x:v>
      </x:c>
      <x:c r="B628" s="84" t="n">
        <x:v>631</x:v>
      </x:c>
      <x:c r="C628" s="87" t="str">
        <x:v>Samolus ebracteatus</x:v>
      </x:c>
      <x:c r="D628" s="84" t="str">
        <x:v>Limewater Brookweed</x:v>
      </x:c>
      <x:c r="E628" s="84" t="str">
        <x:v>Perennial</x:v>
      </x:c>
      <x:c r="F628" s="84" t="str">
        <x:v>Herb</x:v>
      </x:c>
      <x:c r="G628" s="84" t="str"/>
      <x:c r="H628" s="84" t="str"/>
      <x:c r="I628" s="84" t="str">
        <x:v>samolus ebracteatus</x:v>
      </x:c>
    </x:row>
    <x:row r="629">
      <x:c r="A629" s="83" t="str">
        <x:v>BONAP/NAPA Hays workbook</x:v>
      </x:c>
      <x:c r="B629" s="84" t="n">
        <x:v>632</x:v>
      </x:c>
      <x:c r="C629" s="87" t="str">
        <x:v>Samolus valerandi ssp. parviflorus</x:v>
      </x:c>
      <x:c r="D629" s="84" t="str">
        <x:v>Seaside Brookweed, Water Pimpernel, Thin-leaf Brookweed</x:v>
      </x:c>
      <x:c r="E629" s="84" t="str">
        <x:v>Perennial</x:v>
      </x:c>
      <x:c r="F629" s="84" t="str">
        <x:v>Herb</x:v>
      </x:c>
      <x:c r="G629" s="84" t="str">
        <x:v>Part-shade</x:v>
      </x:c>
      <x:c r="H629" s="84" t="str"/>
      <x:c r="I629" s="84" t="str">
        <x:v>samolus valerandi ssp. parviflorus</x:v>
      </x:c>
    </x:row>
    <x:row r="630">
      <x:c r="A630" s="83" t="str">
        <x:v>BONAP/NAPA Hays workbook</x:v>
      </x:c>
      <x:c r="B630" s="84" t="n">
        <x:v>633</x:v>
      </x:c>
      <x:c r="C630" s="87" t="str">
        <x:v>Sanicula canadensis</x:v>
      </x:c>
      <x:c r="D630" s="84" t="str">
        <x:v>Canadian Blacksnakeroot, Black Snakeroot</x:v>
      </x:c>
      <x:c r="E630" s="84" t="str">
        <x:v>Biennial</x:v>
      </x:c>
      <x:c r="F630" s="84" t="str">
        <x:v>Herb</x:v>
      </x:c>
      <x:c r="G630" s="84" t="str"/>
      <x:c r="H630" s="84" t="str"/>
      <x:c r="I630" s="84" t="str">
        <x:v>sanicula canadensis</x:v>
      </x:c>
    </x:row>
    <x:row r="631">
      <x:c r="A631" s="83" t="str">
        <x:v>BONAP/NAPA Hays workbook</x:v>
      </x:c>
      <x:c r="B631" s="84" t="n">
        <x:v>634</x:v>
      </x:c>
      <x:c r="C631" s="87" t="str">
        <x:v>Sapindus saponaria</x:v>
      </x:c>
      <x:c r="D631" s="84" t="str">
        <x:v>Wingleaf Soapberry, Soapberry, Wild China Tree</x:v>
      </x:c>
      <x:c r="E631" s="84" t="str">
        <x:v>Perennial</x:v>
      </x:c>
      <x:c r="F631" s="84" t="str">
        <x:v>Tree</x:v>
      </x:c>
      <x:c r="G631" s="84" t="str"/>
      <x:c r="H631" s="84" t="str"/>
      <x:c r="I631" s="84" t="str">
        <x:v>sapindus saponaria</x:v>
      </x:c>
    </x:row>
    <x:row r="632">
      <x:c r="A632" s="83" t="str">
        <x:v>BONAP/NAPA Hays workbook</x:v>
      </x:c>
      <x:c r="B632" s="84" t="n">
        <x:v>635</x:v>
      </x:c>
      <x:c r="C632" s="87" t="str">
        <x:v>Schedonnardus paniculatus</x:v>
      </x:c>
      <x:c r="D632" s="84" t="str">
        <x:v>Tumblegrass, Tumble Grass</x:v>
      </x:c>
      <x:c r="E632" s="84" t="str">
        <x:v>Perennial</x:v>
      </x:c>
      <x:c r="F632" s="84" t="str">
        <x:v>Grass/Grass-like</x:v>
      </x:c>
      <x:c r="G632" s="84" t="str"/>
      <x:c r="H632" s="84" t="str"/>
      <x:c r="I632" s="84" t="str">
        <x:v>schedonnardus paniculatus</x:v>
      </x:c>
    </x:row>
    <x:row r="633">
      <x:c r="A633" s="83" t="str">
        <x:v>BONAP/NAPA Hays workbook</x:v>
      </x:c>
      <x:c r="B633" s="84" t="n">
        <x:v>636</x:v>
      </x:c>
      <x:c r="C633" s="87" t="str">
        <x:v>Schizachyrium scoparium</x:v>
      </x:c>
      <x:c r="D633" s="84" t="str">
        <x:v>Little Bluestem, Popotillo Azul</x:v>
      </x:c>
      <x:c r="E633" s="84" t="str">
        <x:v>Perennial</x:v>
      </x:c>
      <x:c r="F633" s="84" t="str">
        <x:v>Grass/Grass-like</x:v>
      </x:c>
      <x:c r="G633" s="84" t="str">
        <x:v>Sun, Part-shade</x:v>
      </x:c>
      <x:c r="H633" s="84" t="str">
        <x:v>Dry</x:v>
      </x:c>
      <x:c r="I633" s="84" t="str">
        <x:v>schizachyrium scoparium</x:v>
      </x:c>
    </x:row>
    <x:row r="634">
      <x:c r="A634" s="83" t="str">
        <x:v>BONAP/NAPA Hays workbook</x:v>
      </x:c>
      <x:c r="B634" s="84" t="n">
        <x:v>637</x:v>
      </x:c>
      <x:c r="C634" s="87" t="str">
        <x:v>Schoenocaulon drummondii</x:v>
      </x:c>
      <x:c r="D634" s="84" t="str">
        <x:v>Green Feathershank, Green Lily</x:v>
      </x:c>
      <x:c r="E634" s="84" t="str">
        <x:v>Perennial</x:v>
      </x:c>
      <x:c r="F634" s="84" t="str">
        <x:v>Herb</x:v>
      </x:c>
      <x:c r="G634" s="84" t="str">
        <x:v>Sun</x:v>
      </x:c>
      <x:c r="H634" s="84" t="str">
        <x:v>Dry</x:v>
      </x:c>
      <x:c r="I634" s="84" t="str">
        <x:v>schoenocaulon drummondii</x:v>
      </x:c>
    </x:row>
    <x:row r="635">
      <x:c r="A635" s="83" t="str">
        <x:v>BONAP/NAPA Hays workbook</x:v>
      </x:c>
      <x:c r="B635" s="84" t="n">
        <x:v>638</x:v>
      </x:c>
      <x:c r="C635" s="87" t="str">
        <x:v>Schoenocaulon texanum</x:v>
      </x:c>
      <x:c r="D635" s="84" t="str">
        <x:v>Texas Feathershank, Green Lily, Texas Sabadilla</x:v>
      </x:c>
      <x:c r="E635" s="84" t="str">
        <x:v>Perennial</x:v>
      </x:c>
      <x:c r="F635" s="84" t="str">
        <x:v>Herb</x:v>
      </x:c>
      <x:c r="G635" s="84" t="str">
        <x:v>Sun, Part-shade</x:v>
      </x:c>
      <x:c r="H635" s="84" t="str">
        <x:v>Dry</x:v>
      </x:c>
      <x:c r="I635" s="84" t="str">
        <x:v>schoenocaulon texanum</x:v>
      </x:c>
    </x:row>
    <x:row r="636">
      <x:c r="A636" s="83" t="str">
        <x:v>BONAP/NAPA Hays workbook</x:v>
      </x:c>
      <x:c r="B636" s="84" t="n">
        <x:v>639</x:v>
      </x:c>
      <x:c r="C636" s="87" t="str">
        <x:v>Schoenoplectus californicus</x:v>
      </x:c>
      <x:c r="D636" s="84" t="str">
        <x:v>California Bulrush, California Club-rush, Giant Bulrush</x:v>
      </x:c>
      <x:c r="E636" s="84" t="str">
        <x:v>Perennial</x:v>
      </x:c>
      <x:c r="F636" s="84" t="str">
        <x:v>Herb</x:v>
      </x:c>
      <x:c r="G636" s="84" t="str">
        <x:v>Sun</x:v>
      </x:c>
      <x:c r="H636" s="84" t="str"/>
      <x:c r="I636" s="84" t="str">
        <x:v>schoenoplectus californicus</x:v>
      </x:c>
    </x:row>
    <x:row r="637">
      <x:c r="A637" s="83" t="str">
        <x:v>BONAP/NAPA Hays workbook</x:v>
      </x:c>
      <x:c r="B637" s="84" t="n">
        <x:v>640</x:v>
      </x:c>
      <x:c r="C637" s="87" t="str">
        <x:v>Schoenoplectus tabernaemontani</x:v>
      </x:c>
      <x:c r="D637" s="84" t="str">
        <x:v>Softstem Bulrush, Soft-stem Club-rush, Great Bulrush</x:v>
      </x:c>
      <x:c r="E637" s="84" t="str">
        <x:v>Perennial</x:v>
      </x:c>
      <x:c r="F637" s="84" t="str">
        <x:v>Grass/Grass-like</x:v>
      </x:c>
      <x:c r="G637" s="84" t="str">
        <x:v>Sun</x:v>
      </x:c>
      <x:c r="H637" s="84" t="str">
        <x:v>Wet</x:v>
      </x:c>
      <x:c r="I637" s="84" t="str">
        <x:v>schoenoplectus tabernaemontani</x:v>
      </x:c>
    </x:row>
    <x:row r="638">
      <x:c r="A638" s="83" t="str">
        <x:v>BONAP/NAPA Hays workbook</x:v>
      </x:c>
      <x:c r="B638" s="84" t="n">
        <x:v>641</x:v>
      </x:c>
      <x:c r="C638" s="87" t="str">
        <x:v>Scutellaria drummondii</x:v>
      </x:c>
      <x:c r="D638" s="84" t="str">
        <x:v>Drummond's Skullcap</x:v>
      </x:c>
      <x:c r="E638" s="84" t="str">
        <x:v>Annual</x:v>
      </x:c>
      <x:c r="F638" s="84" t="str">
        <x:v>Herb</x:v>
      </x:c>
      <x:c r="G638" s="84" t="str">
        <x:v>Sun</x:v>
      </x:c>
      <x:c r="H638" s="84" t="str">
        <x:v>Dry</x:v>
      </x:c>
      <x:c r="I638" s="84" t="str">
        <x:v>scutellaria drummondii</x:v>
      </x:c>
    </x:row>
    <x:row r="639">
      <x:c r="A639" s="83" t="str">
        <x:v>BONAP/NAPA Hays workbook</x:v>
      </x:c>
      <x:c r="B639" s="84" t="n">
        <x:v>642</x:v>
      </x:c>
      <x:c r="C639" s="87" t="str">
        <x:v>Scutellaria wrightii</x:v>
      </x:c>
      <x:c r="D639" s="84" t="str">
        <x:v>Wright's Skullcap, Bushy Skullcap, Shrubby Skullcap</x:v>
      </x:c>
      <x:c r="E639" s="84" t="str">
        <x:v>Perennial</x:v>
      </x:c>
      <x:c r="F639" s="84" t="str">
        <x:v>Shrub</x:v>
      </x:c>
      <x:c r="G639" s="84" t="str">
        <x:v>Sun, Part-shade</x:v>
      </x:c>
      <x:c r="H639" s="84" t="str">
        <x:v>Moist, Dry</x:v>
      </x:c>
      <x:c r="I639" s="84" t="str">
        <x:v>scutellaria wrightii</x:v>
      </x:c>
    </x:row>
    <x:row r="640">
      <x:c r="A640" s="83" t="str">
        <x:v>BONAP/NAPA Hays workbook</x:v>
      </x:c>
      <x:c r="B640" s="84" t="n">
        <x:v>643</x:v>
      </x:c>
      <x:c r="C640" s="87" t="str">
        <x:v>Sedum nuttallianum</x:v>
      </x:c>
      <x:c r="D640" s="84" t="str">
        <x:v>Yellow Stonecrop</x:v>
      </x:c>
      <x:c r="E640" s="84" t="str">
        <x:v>Annual</x:v>
      </x:c>
      <x:c r="F640" s="84" t="str">
        <x:v>Herb</x:v>
      </x:c>
      <x:c r="G640" s="84" t="str">
        <x:v>Sun</x:v>
      </x:c>
      <x:c r="H640" s="84" t="str">
        <x:v>Dry</x:v>
      </x:c>
      <x:c r="I640" s="84" t="str">
        <x:v>sedum nuttallianum</x:v>
      </x:c>
    </x:row>
    <x:row r="641">
      <x:c r="A641" s="83" t="str">
        <x:v>BONAP/NAPA Hays workbook</x:v>
      </x:c>
      <x:c r="B641" s="84" t="n">
        <x:v>644</x:v>
      </x:c>
      <x:c r="C641" s="87" t="str">
        <x:v>Selaginella apoda</x:v>
      </x:c>
      <x:c r="D641" s="84" t="str">
        <x:v>Meadow Spikemoss</x:v>
      </x:c>
      <x:c r="E641" s="84" t="str">
        <x:v>Perennial</x:v>
      </x:c>
      <x:c r="F641" s="84" t="str">
        <x:v>Herb</x:v>
      </x:c>
      <x:c r="G641" s="84" t="str"/>
      <x:c r="H641" s="84" t="str"/>
      <x:c r="I641" s="84" t="str">
        <x:v>selaginella apoda</x:v>
      </x:c>
    </x:row>
    <x:row r="642">
      <x:c r="A642" s="83" t="str">
        <x:v>BONAP/NAPA Hays workbook</x:v>
      </x:c>
      <x:c r="B642" s="84" t="n">
        <x:v>645</x:v>
      </x:c>
      <x:c r="C642" s="87" t="str">
        <x:v>Selaginella arenicola</x:v>
      </x:c>
      <x:c r="D642" s="84" t="str">
        <x:v>Sand Spikemoss, Sand Spike-moss</x:v>
      </x:c>
      <x:c r="E642" s="84" t="str">
        <x:v>Perennial</x:v>
      </x:c>
      <x:c r="F642" s="84" t="str">
        <x:v>Herb</x:v>
      </x:c>
      <x:c r="G642" s="84" t="str"/>
      <x:c r="H642" s="84" t="str"/>
      <x:c r="I642" s="84" t="str">
        <x:v>selaginella arenicola</x:v>
      </x:c>
    </x:row>
    <x:row r="643">
      <x:c r="A643" s="83" t="str">
        <x:v>BONAP/NAPA Hays workbook</x:v>
      </x:c>
      <x:c r="B643" s="84" t="n">
        <x:v>646</x:v>
      </x:c>
      <x:c r="C643" s="87" t="str">
        <x:v>Senecio ampullaceus</x:v>
      </x:c>
      <x:c r="D643" s="84" t="str">
        <x:v>Texas Ragwort, Texas Groundsel, Texas Butterweed</x:v>
      </x:c>
      <x:c r="E643" s="84" t="str">
        <x:v>Annual</x:v>
      </x:c>
      <x:c r="F643" s="84" t="str">
        <x:v>Herb</x:v>
      </x:c>
      <x:c r="G643" s="84" t="str"/>
      <x:c r="H643" s="84" t="str"/>
      <x:c r="I643" s="84" t="str">
        <x:v>senecio ampullaceus</x:v>
      </x:c>
    </x:row>
    <x:row r="644">
      <x:c r="A644" s="83" t="str">
        <x:v>BONAP/NAPA Hays workbook</x:v>
      </x:c>
      <x:c r="B644" s="84" t="n">
        <x:v>647</x:v>
      </x:c>
      <x:c r="C644" s="87" t="str">
        <x:v>Senegalia roemeriana</x:v>
      </x:c>
      <x:c r="D644" s="84" t="str">
        <x:v>Roemer Acacia, Roemer's Acacia, Roundflower Catclaw, Round-flowered Catclaw, Catclaw Acacia, Catclaw</x:v>
      </x:c>
      <x:c r="E644" s="84" t="str">
        <x:v>Perennial</x:v>
      </x:c>
      <x:c r="F644" s="84" t="str">
        <x:v>Shrub, Tree</x:v>
      </x:c>
      <x:c r="G644" s="84" t="str">
        <x:v>Sun</x:v>
      </x:c>
      <x:c r="H644" s="84" t="str">
        <x:v>Dry</x:v>
      </x:c>
      <x:c r="I644" s="84" t="str">
        <x:v>senegalia roemeriana</x:v>
      </x:c>
    </x:row>
    <x:row r="645">
      <x:c r="A645" s="83" t="str">
        <x:v>BONAP/NAPA Hays workbook</x:v>
      </x:c>
      <x:c r="B645" s="84" t="n">
        <x:v>648</x:v>
      </x:c>
      <x:c r="C645" s="87" t="str">
        <x:v>Senna lindheimeriana</x:v>
      </x:c>
      <x:c r="D645" s="84" t="str">
        <x:v>Lindheimer's Senna, Velvet Leaf Senna, Velvetleaf Senna, Velvet-leaf Wild Sensitive-plant, Puppy-dog Ears</x:v>
      </x:c>
      <x:c r="E645" s="84" t="str">
        <x:v>Perennial</x:v>
      </x:c>
      <x:c r="F645" s="84" t="str">
        <x:v>Shrub</x:v>
      </x:c>
      <x:c r="G645" s="84" t="str">
        <x:v>Sun, Part-shade</x:v>
      </x:c>
      <x:c r="H645" s="84" t="str">
        <x:v>Dry</x:v>
      </x:c>
      <x:c r="I645" s="84" t="str">
        <x:v>senna lindheimeriana</x:v>
      </x:c>
    </x:row>
    <x:row r="646">
      <x:c r="A646" s="83" t="str">
        <x:v>BONAP/NAPA Hays workbook</x:v>
      </x:c>
      <x:c r="B646" s="84" t="n">
        <x:v>649</x:v>
      </x:c>
      <x:c r="C646" s="87" t="str">
        <x:v>Senna roemeriana</x:v>
      </x:c>
      <x:c r="D646" s="84" t="str">
        <x:v>Twoleaf Senna, Two Leaved Senna</x:v>
      </x:c>
      <x:c r="E646" s="84" t="str">
        <x:v>Perennial</x:v>
      </x:c>
      <x:c r="F646" s="84" t="str">
        <x:v>Shrub</x:v>
      </x:c>
      <x:c r="G646" s="84" t="str">
        <x:v>Part-shade</x:v>
      </x:c>
      <x:c r="H646" s="84" t="str">
        <x:v>Dry</x:v>
      </x:c>
      <x:c r="I646" s="84" t="str">
        <x:v>senna roemeriana</x:v>
      </x:c>
    </x:row>
    <x:row r="647">
      <x:c r="A647" s="83" t="str">
        <x:v>BONAP/NAPA Hays workbook</x:v>
      </x:c>
      <x:c r="B647" s="84" t="n">
        <x:v>650</x:v>
      </x:c>
      <x:c r="C647" s="87" t="str">
        <x:v>Sesbania drummondii</x:v>
      </x:c>
      <x:c r="D647" s="84" t="str">
        <x:v>Rattlebush, Rattlebox, Poisonbean</x:v>
      </x:c>
      <x:c r="E647" s="84" t="str">
        <x:v>Perennial</x:v>
      </x:c>
      <x:c r="F647" s="84" t="str">
        <x:v>Shrub</x:v>
      </x:c>
      <x:c r="G647" s="84" t="str"/>
      <x:c r="H647" s="84" t="str"/>
      <x:c r="I647" s="84" t="str">
        <x:v>sesbania drummondii</x:v>
      </x:c>
    </x:row>
    <x:row r="648">
      <x:c r="A648" s="83" t="str">
        <x:v>BONAP/NAPA Hays workbook</x:v>
      </x:c>
      <x:c r="B648" s="84" t="n">
        <x:v>651</x:v>
      </x:c>
      <x:c r="C648" s="87" t="str">
        <x:v>Sesbania herbacea</x:v>
      </x:c>
      <x:c r="D648" s="84" t="str">
        <x:v>Coffeeweed, Bigpod Sesbania</x:v>
      </x:c>
      <x:c r="E648" s="84" t="str">
        <x:v>Annual</x:v>
      </x:c>
      <x:c r="F648" s="84" t="str">
        <x:v>Subshrub</x:v>
      </x:c>
      <x:c r="G648" s="84" t="str"/>
      <x:c r="H648" s="84" t="str"/>
      <x:c r="I648" s="84" t="str">
        <x:v>sesbania herbacea</x:v>
      </x:c>
    </x:row>
    <x:row r="649">
      <x:c r="A649" s="83" t="str">
        <x:v>BONAP/NAPA Hays workbook</x:v>
      </x:c>
      <x:c r="B649" s="84" t="n">
        <x:v>652</x:v>
      </x:c>
      <x:c r="C649" s="87" t="str">
        <x:v>Setaria parviflora</x:v>
      </x:c>
      <x:c r="D649" s="84" t="str">
        <x:v>Marsh Bristlegrass, Knotroot Bristlegrass</x:v>
      </x:c>
      <x:c r="E649" s="84" t="str">
        <x:v>Perennial</x:v>
      </x:c>
      <x:c r="F649" s="84" t="str">
        <x:v>Grass/Grass-like</x:v>
      </x:c>
      <x:c r="G649" s="84" t="str">
        <x:v>Part-shade</x:v>
      </x:c>
      <x:c r="H649" s="84" t="str">
        <x:v>Moist</x:v>
      </x:c>
      <x:c r="I649" s="84" t="str">
        <x:v>setaria parviflora</x:v>
      </x:c>
    </x:row>
    <x:row r="650">
      <x:c r="A650" s="83" t="str">
        <x:v>BONAP/NAPA Hays workbook</x:v>
      </x:c>
      <x:c r="B650" s="84" t="n">
        <x:v>653</x:v>
      </x:c>
      <x:c r="C650" s="87" t="str">
        <x:v>Setaria reverchonii</x:v>
      </x:c>
      <x:c r="D650" s="84" t="str">
        <x:v>Reverchon's Bristlegrass</x:v>
      </x:c>
      <x:c r="E650" s="84" t="str">
        <x:v>Perennial</x:v>
      </x:c>
      <x:c r="F650" s="84" t="str">
        <x:v>Grass/Grass-like</x:v>
      </x:c>
      <x:c r="G650" s="84" t="str"/>
      <x:c r="H650" s="84" t="str"/>
      <x:c r="I650" s="84" t="str">
        <x:v>setaria reverchonii</x:v>
      </x:c>
    </x:row>
    <x:row r="651">
      <x:c r="A651" s="83" t="str">
        <x:v>BONAP/NAPA Hays workbook</x:v>
      </x:c>
      <x:c r="B651" s="84" t="n">
        <x:v>654</x:v>
      </x:c>
      <x:c r="C651" s="87" t="str">
        <x:v>Setaria scheelei</x:v>
      </x:c>
      <x:c r="D651" s="84" t="str">
        <x:v>Southwestern Bristlegrass, Scheele's Bristlegrass, Scheele's Foxtail Grass, Foxtail Grass</x:v>
      </x:c>
      <x:c r="E651" s="84" t="str">
        <x:v>Perennial</x:v>
      </x:c>
      <x:c r="F651" s="84" t="str">
        <x:v>Grass/Grass-like</x:v>
      </x:c>
      <x:c r="G651" s="84" t="str">
        <x:v>Shade, Part-shade</x:v>
      </x:c>
      <x:c r="H651" s="84" t="str">
        <x:v>Moist, Dry</x:v>
      </x:c>
      <x:c r="I651" s="84" t="str">
        <x:v>setaria scheelei</x:v>
      </x:c>
    </x:row>
    <x:row r="652">
      <x:c r="A652" s="83" t="str">
        <x:v>BONAP/NAPA Hays workbook</x:v>
      </x:c>
      <x:c r="B652" s="84" t="n">
        <x:v>655</x:v>
      </x:c>
      <x:c r="C652" s="87" t="str">
        <x:v>Seymeria texana</x:v>
      </x:c>
      <x:c r="D652" s="84" t="str">
        <x:v>Texas Blacksenna</x:v>
      </x:c>
      <x:c r="E652" s="84" t="str">
        <x:v>Annual</x:v>
      </x:c>
      <x:c r="F652" s="84" t="str">
        <x:v>Herb</x:v>
      </x:c>
      <x:c r="G652" s="84" t="str"/>
      <x:c r="H652" s="84" t="str"/>
      <x:c r="I652" s="84" t="str">
        <x:v>seymeria texana</x:v>
      </x:c>
    </x:row>
    <x:row r="653">
      <x:c r="A653" s="83" t="str">
        <x:v>BONAP/NAPA Hays workbook</x:v>
      </x:c>
      <x:c r="B653" s="84" t="n">
        <x:v>656</x:v>
      </x:c>
      <x:c r="C653" s="87" t="str">
        <x:v>Sibara virginica</x:v>
      </x:c>
      <x:c r="D653" s="84" t="str">
        <x:v>Virginia Winged Rockcress</x:v>
      </x:c>
      <x:c r="E653" s="84" t="str">
        <x:v>Annual</x:v>
      </x:c>
      <x:c r="F653" s="84" t="str">
        <x:v>Herb</x:v>
      </x:c>
      <x:c r="G653" s="84" t="str"/>
      <x:c r="H653" s="84" t="str"/>
      <x:c r="I653" s="84" t="str">
        <x:v>sibara virginica</x:v>
      </x:c>
    </x:row>
    <x:row r="654">
      <x:c r="A654" s="83" t="str">
        <x:v>BONAP/NAPA Hays workbook</x:v>
      </x:c>
      <x:c r="B654" s="84" t="n">
        <x:v>657</x:v>
      </x:c>
      <x:c r="C654" s="87" t="str">
        <x:v>Sida spinosa</x:v>
      </x:c>
      <x:c r="D654" s="84" t="str">
        <x:v>Prickly Fanpetals</x:v>
      </x:c>
      <x:c r="E654" s="84" t="str">
        <x:v>Annual</x:v>
      </x:c>
      <x:c r="F654" s="84" t="str">
        <x:v>Subshrub</x:v>
      </x:c>
      <x:c r="G654" s="84" t="str"/>
      <x:c r="H654" s="84" t="str"/>
      <x:c r="I654" s="84" t="str">
        <x:v>sida spinosa</x:v>
      </x:c>
    </x:row>
    <x:row r="655">
      <x:c r="A655" s="83" t="str">
        <x:v>BONAP/NAPA Hays workbook</x:v>
      </x:c>
      <x:c r="B655" s="84" t="n">
        <x:v>658</x:v>
      </x:c>
      <x:c r="C655" s="87" t="str">
        <x:v>Sideroxylon lanuginosum</x:v>
      </x:c>
      <x:c r="D655" s="84" t="str">
        <x:v>Gum Bumelia, Gum Bully, Woollybucket Bumelia, Woolly Bumelia, Gum Woollybucket, Woolly Buckthorn, Chittamwood, Shittamwood, Gum Elastic, Coma, Black Haw</x:v>
      </x:c>
      <x:c r="E655" s="84" t="str">
        <x:v>Perennial</x:v>
      </x:c>
      <x:c r="F655" s="84" t="str">
        <x:v>Shrub, Tree</x:v>
      </x:c>
      <x:c r="G655" s="84" t="str">
        <x:v>Sun, Part-shade</x:v>
      </x:c>
      <x:c r="H655" s="84" t="str">
        <x:v>Dry</x:v>
      </x:c>
      <x:c r="I655" s="84" t="str">
        <x:v>sideroxylon lanuginosum</x:v>
      </x:c>
    </x:row>
    <x:row r="656">
      <x:c r="A656" s="83" t="str">
        <x:v>BONAP/NAPA Hays workbook</x:v>
      </x:c>
      <x:c r="B656" s="84" t="n">
        <x:v>659</x:v>
      </x:c>
      <x:c r="C656" s="87" t="str">
        <x:v>Silene antirrhina</x:v>
      </x:c>
      <x:c r="D656" s="84" t="str">
        <x:v>Sleepy Silene, Sleepy Catchfly, Sticky Catchfly</x:v>
      </x:c>
      <x:c r="E656" s="84" t="str">
        <x:v>Annual</x:v>
      </x:c>
      <x:c r="F656" s="84" t="str">
        <x:v>Herb</x:v>
      </x:c>
      <x:c r="G656" s="84" t="str"/>
      <x:c r="H656" s="84" t="str"/>
      <x:c r="I656" s="84" t="str">
        <x:v>silene antirrhina</x:v>
      </x:c>
    </x:row>
    <x:row r="657">
      <x:c r="A657" s="83" t="str">
        <x:v>BONAP/NAPA Hays workbook</x:v>
      </x:c>
      <x:c r="B657" s="84" t="n">
        <x:v>660</x:v>
      </x:c>
      <x:c r="C657" s="87" t="str">
        <x:v>Silphium integrifolium</x:v>
      </x:c>
      <x:c r="D657" s="84" t="str">
        <x:v>Wholeleaf Rosinweed, Entire-leaf Rosinweed</x:v>
      </x:c>
      <x:c r="E657" s="84" t="str">
        <x:v>Perennial</x:v>
      </x:c>
      <x:c r="F657" s="84" t="str">
        <x:v>Herb</x:v>
      </x:c>
      <x:c r="G657" s="84" t="str">
        <x:v>Sun</x:v>
      </x:c>
      <x:c r="H657" s="84" t="str"/>
      <x:c r="I657" s="84" t="str">
        <x:v>silphium integrifolium</x:v>
      </x:c>
    </x:row>
    <x:row r="658">
      <x:c r="A658" s="83" t="str">
        <x:v>BONAP/NAPA Hays workbook</x:v>
      </x:c>
      <x:c r="B658" s="84" t="n">
        <x:v>661</x:v>
      </x:c>
      <x:c r="C658" s="87" t="str">
        <x:v>Silphium laciniatum</x:v>
      </x:c>
      <x:c r="D658" s="84" t="str">
        <x:v>Compassplant, Compass Plant</x:v>
      </x:c>
      <x:c r="E658" s="84" t="str">
        <x:v>Perennial</x:v>
      </x:c>
      <x:c r="F658" s="84" t="str">
        <x:v>Herb</x:v>
      </x:c>
      <x:c r="G658" s="84" t="str">
        <x:v>Sun</x:v>
      </x:c>
      <x:c r="H658" s="84" t="str">
        <x:v>Dry</x:v>
      </x:c>
      <x:c r="I658" s="84" t="str">
        <x:v>silphium laciniatum</x:v>
      </x:c>
    </x:row>
    <x:row r="659">
      <x:c r="A659" s="83" t="str">
        <x:v>BONAP/NAPA Hays workbook</x:v>
      </x:c>
      <x:c r="B659" s="84" t="n">
        <x:v>662</x:v>
      </x:c>
      <x:c r="C659" s="87" t="str">
        <x:v>Silphium radula</x:v>
      </x:c>
      <x:c r="D659" s="84" t="str">
        <x:v>Roughstem Rosinweed</x:v>
      </x:c>
      <x:c r="E659" s="84" t="str">
        <x:v>Perennial</x:v>
      </x:c>
      <x:c r="F659" s="84" t="str">
        <x:v>Herb</x:v>
      </x:c>
      <x:c r="G659" s="84" t="str">
        <x:v>Sun</x:v>
      </x:c>
      <x:c r="H659" s="84" t="str"/>
      <x:c r="I659" s="84" t="str">
        <x:v>silphium radula</x:v>
      </x:c>
    </x:row>
    <x:row r="660">
      <x:c r="A660" s="83" t="str">
        <x:v>BONAP/NAPA Hays workbook</x:v>
      </x:c>
      <x:c r="B660" s="84" t="n">
        <x:v>663</x:v>
      </x:c>
      <x:c r="C660" s="87" t="str">
        <x:v>Simsia calva</x:v>
      </x:c>
      <x:c r="D660" s="84" t="str">
        <x:v>Awnless Bush Sunflower, Bush Sunflower</x:v>
      </x:c>
      <x:c r="E660" s="84" t="str">
        <x:v>Perennial</x:v>
      </x:c>
      <x:c r="F660" s="84" t="str">
        <x:v>Herb</x:v>
      </x:c>
      <x:c r="G660" s="84" t="str">
        <x:v>Sun</x:v>
      </x:c>
      <x:c r="H660" s="84" t="str">
        <x:v>Dry</x:v>
      </x:c>
      <x:c r="I660" s="84" t="str">
        <x:v>simsia calva</x:v>
      </x:c>
    </x:row>
    <x:row r="661">
      <x:c r="A661" s="83" t="str">
        <x:v>BONAP/NAPA Hays workbook</x:v>
      </x:c>
      <x:c r="B661" s="84" t="n">
        <x:v>664</x:v>
      </x:c>
      <x:c r="C661" s="87" t="str">
        <x:v>Sisyrinchium biforme</x:v>
      </x:c>
      <x:c r="D661" s="84" t="str">
        <x:v>Wiry Blue-eyed Grass</x:v>
      </x:c>
      <x:c r="E661" s="84" t="str">
        <x:v>Perennial</x:v>
      </x:c>
      <x:c r="F661" s="84" t="str">
        <x:v>Herb</x:v>
      </x:c>
      <x:c r="G661" s="84" t="str"/>
      <x:c r="H661" s="84" t="str"/>
      <x:c r="I661" s="84" t="str">
        <x:v>sisyrinchium biforme</x:v>
      </x:c>
    </x:row>
    <x:row r="662">
      <x:c r="A662" s="83" t="str">
        <x:v>BONAP/NAPA Hays workbook</x:v>
      </x:c>
      <x:c r="B662" s="84" t="n">
        <x:v>665</x:v>
      </x:c>
      <x:c r="C662" s="87" t="str">
        <x:v>Sisyrinchium chilense</x:v>
      </x:c>
      <x:c r="D662" s="84" t="str">
        <x:v>Swordleaf Blue-eyed Grass, Sword-leaf Blue-eyed Grass</x:v>
      </x:c>
      <x:c r="E662" s="84" t="str">
        <x:v>Perennial</x:v>
      </x:c>
      <x:c r="F662" s="84" t="str">
        <x:v>Herb</x:v>
      </x:c>
      <x:c r="G662" s="84" t="str">
        <x:v>Sun, Part-shade</x:v>
      </x:c>
      <x:c r="H662" s="84" t="str">
        <x:v>Moist, Dry</x:v>
      </x:c>
      <x:c r="I662" s="84" t="str">
        <x:v>sisyrinchium chilense</x:v>
      </x:c>
    </x:row>
    <x:row r="663">
      <x:c r="A663" s="83" t="str">
        <x:v>BONAP/NAPA Hays workbook</x:v>
      </x:c>
      <x:c r="B663" s="84" t="n">
        <x:v>666</x:v>
      </x:c>
      <x:c r="C663" s="87" t="str">
        <x:v>Sisyrinchium langloisii</x:v>
      </x:c>
      <x:c r="D663" s="84" t="str">
        <x:v>Roadside Blue-eyed Grass, Dotted Blue-eyed Grass, Southern Blue-eyed Grass</x:v>
      </x:c>
      <x:c r="E663" s="84" t="str">
        <x:v>Perennial</x:v>
      </x:c>
      <x:c r="F663" s="84" t="str">
        <x:v>Herb</x:v>
      </x:c>
      <x:c r="G663" s="84" t="str">
        <x:v>Part-shade</x:v>
      </x:c>
      <x:c r="H663" s="84" t="str">
        <x:v>Dry</x:v>
      </x:c>
      <x:c r="I663" s="84" t="str">
        <x:v>sisyrinchium langloisii</x:v>
      </x:c>
    </x:row>
    <x:row r="664">
      <x:c r="A664" s="83" t="str">
        <x:v>BONAP/NAPA Hays workbook</x:v>
      </x:c>
      <x:c r="B664" s="84" t="n">
        <x:v>667</x:v>
      </x:c>
      <x:c r="C664" s="87" t="str">
        <x:v>Smilax bona-nox</x:v>
      </x:c>
      <x:c r="D664" s="84" t="str">
        <x:v>Sawbriar, Saw Greenbriar, Catbriar, Barbed Wire Vine, Bullbriar, Stretchberry Vine</x:v>
      </x:c>
      <x:c r="E664" s="84" t="str">
        <x:v>Perennial</x:v>
      </x:c>
      <x:c r="F664" s="84" t="str">
        <x:v>Vine</x:v>
      </x:c>
      <x:c r="G664" s="84" t="str">
        <x:v>Shade</x:v>
      </x:c>
      <x:c r="H664" s="84" t="str">
        <x:v>Moist, Dry</x:v>
      </x:c>
      <x:c r="I664" s="84" t="str">
        <x:v>smilax bona-nox</x:v>
      </x:c>
    </x:row>
    <x:row r="665">
      <x:c r="A665" s="83" t="str">
        <x:v>BONAP/NAPA Hays workbook</x:v>
      </x:c>
      <x:c r="B665" s="84" t="n">
        <x:v>668</x:v>
      </x:c>
      <x:c r="C665" s="87" t="str">
        <x:v>Smilax tamnoides</x:v>
      </x:c>
      <x:c r="D665" s="84" t="str">
        <x:v>Bristly Greenbriar</x:v>
      </x:c>
      <x:c r="E665" s="84" t="str">
        <x:v>Perennial</x:v>
      </x:c>
      <x:c r="F665" s="84" t="str">
        <x:v>Shrub, Vine</x:v>
      </x:c>
      <x:c r="G665" s="84" t="str"/>
      <x:c r="H665" s="84" t="str"/>
      <x:c r="I665" s="84" t="str">
        <x:v>smilax tamnoides</x:v>
      </x:c>
    </x:row>
    <x:row r="666">
      <x:c r="A666" s="83" t="str">
        <x:v>BONAP/NAPA Hays workbook</x:v>
      </x:c>
      <x:c r="B666" s="84" t="n">
        <x:v>669</x:v>
      </x:c>
      <x:c r="C666" s="87" t="str">
        <x:v>Solanum americanum</x:v>
      </x:c>
      <x:c r="D666" s="84" t="str">
        <x:v>American Black Nightshade</x:v>
      </x:c>
      <x:c r="E666" s="84" t="str">
        <x:v>Annual</x:v>
      </x:c>
      <x:c r="F666" s="84" t="str">
        <x:v>Subshrub</x:v>
      </x:c>
      <x:c r="G666" s="84" t="str"/>
      <x:c r="H666" s="84" t="str"/>
      <x:c r="I666" s="84" t="str">
        <x:v>solanum americanum</x:v>
      </x:c>
    </x:row>
    <x:row r="667">
      <x:c r="A667" s="83" t="str">
        <x:v>BONAP/NAPA Hays workbook</x:v>
      </x:c>
      <x:c r="B667" s="84" t="n">
        <x:v>670</x:v>
      </x:c>
      <x:c r="C667" s="87" t="str">
        <x:v>Solanum dimidiatum</x:v>
      </x:c>
      <x:c r="D667" s="84" t="str">
        <x:v>Western Horsenettle, Western Horse-nettle</x:v>
      </x:c>
      <x:c r="E667" s="84" t="str">
        <x:v>Perennial</x:v>
      </x:c>
      <x:c r="F667" s="84" t="str">
        <x:v>Herb</x:v>
      </x:c>
      <x:c r="G667" s="84" t="str"/>
      <x:c r="H667" s="84" t="str"/>
      <x:c r="I667" s="84" t="str">
        <x:v>solanum dimidiatum</x:v>
      </x:c>
    </x:row>
    <x:row r="668">
      <x:c r="A668" s="83" t="str">
        <x:v>BONAP/NAPA Hays workbook</x:v>
      </x:c>
      <x:c r="B668" s="84" t="n">
        <x:v>671</x:v>
      </x:c>
      <x:c r="C668" s="87" t="str">
        <x:v>Solanum elaeagnifolium</x:v>
      </x:c>
      <x:c r="D668" s="84" t="str">
        <x:v>Silverleaf Nightshade, Silver-leaf Nightshade, White Horse Nettle, Trompillo, Tomato Weed, Bull Nettle</x:v>
      </x:c>
      <x:c r="E668" s="84" t="str">
        <x:v>Perennial</x:v>
      </x:c>
      <x:c r="F668" s="84" t="str">
        <x:v>Herb</x:v>
      </x:c>
      <x:c r="G668" s="84" t="str">
        <x:v>Sun</x:v>
      </x:c>
      <x:c r="H668" s="84" t="str">
        <x:v>Dry</x:v>
      </x:c>
      <x:c r="I668" s="84" t="str">
        <x:v>solanum elaeagnifolium</x:v>
      </x:c>
    </x:row>
    <x:row r="669">
      <x:c r="A669" s="83" t="str">
        <x:v>BONAP/NAPA Hays workbook</x:v>
      </x:c>
      <x:c r="B669" s="84" t="n">
        <x:v>672</x:v>
      </x:c>
      <x:c r="C669" s="87" t="str">
        <x:v>Solanum ptycanthum</x:v>
      </x:c>
      <x:c r="D669" s="84" t="str">
        <x:v>Eastern Black Nightshade, West Indian Nightshade, Common Nightshade, Black Nightshade</x:v>
      </x:c>
      <x:c r="E669" s="84" t="str">
        <x:v>Annual</x:v>
      </x:c>
      <x:c r="F669" s="84" t="str">
        <x:v>Herb</x:v>
      </x:c>
      <x:c r="G669" s="84" t="str"/>
      <x:c r="H669" s="84" t="str"/>
      <x:c r="I669" s="84" t="str">
        <x:v>solanum ptycanthum</x:v>
      </x:c>
    </x:row>
    <x:row r="670">
      <x:c r="A670" s="83" t="str">
        <x:v>BONAP/NAPA Hays workbook</x:v>
      </x:c>
      <x:c r="B670" s="84" t="n">
        <x:v>673</x:v>
      </x:c>
      <x:c r="C670" s="87" t="str">
        <x:v>Solanum rostratum</x:v>
      </x:c>
      <x:c r="D670" s="84" t="str">
        <x:v>Buffalo Bur, Buffalo Bur Nightshade, Buffalobur Nightshade</x:v>
      </x:c>
      <x:c r="E670" s="84" t="str">
        <x:v>Annual</x:v>
      </x:c>
      <x:c r="F670" s="84" t="str">
        <x:v>Herb</x:v>
      </x:c>
      <x:c r="G670" s="84" t="str">
        <x:v>Sun</x:v>
      </x:c>
      <x:c r="H670" s="84" t="str"/>
      <x:c r="I670" s="84" t="str">
        <x:v>solanum rostratum</x:v>
      </x:c>
    </x:row>
    <x:row r="671">
      <x:c r="A671" s="83" t="str">
        <x:v>BONAP/NAPA Hays workbook</x:v>
      </x:c>
      <x:c r="B671" s="84" t="n">
        <x:v>674</x:v>
      </x:c>
      <x:c r="C671" s="87" t="str">
        <x:v>Solanum triquetrum</x:v>
      </x:c>
      <x:c r="D671" s="84" t="str">
        <x:v>Texas Nightshade, Hierba Mora</x:v>
      </x:c>
      <x:c r="E671" s="84" t="str">
        <x:v>Perennial</x:v>
      </x:c>
      <x:c r="F671" s="84" t="str">
        <x:v>Herb, Vine</x:v>
      </x:c>
      <x:c r="G671" s="84" t="str"/>
      <x:c r="H671" s="84" t="str"/>
      <x:c r="I671" s="84" t="str">
        <x:v>solanum triquetrum</x:v>
      </x:c>
    </x:row>
    <x:row r="672">
      <x:c r="A672" s="83" t="str">
        <x:v>BONAP/NAPA Hays workbook</x:v>
      </x:c>
      <x:c r="B672" s="84" t="n">
        <x:v>675</x:v>
      </x:c>
      <x:c r="C672" s="87" t="str">
        <x:v>Solidago altissima</x:v>
      </x:c>
      <x:c r="D672" s="84" t="str">
        <x:v>Tall Goldenrod, Late Goldenrod, Canadian Goldenrod, Canada Goldenrod</x:v>
      </x:c>
      <x:c r="E672" s="84" t="str">
        <x:v>Perennial</x:v>
      </x:c>
      <x:c r="F672" s="84" t="str">
        <x:v>Herb</x:v>
      </x:c>
      <x:c r="G672" s="84" t="str">
        <x:v>Sun, Part-shade</x:v>
      </x:c>
      <x:c r="H672" s="84" t="str">
        <x:v>Moist</x:v>
      </x:c>
      <x:c r="I672" s="84" t="str">
        <x:v>solidago altissima</x:v>
      </x:c>
    </x:row>
    <x:row r="673">
      <x:c r="A673" s="83" t="str">
        <x:v>BONAP/NAPA Hays workbook</x:v>
      </x:c>
      <x:c r="B673" s="84" t="n">
        <x:v>676</x:v>
      </x:c>
      <x:c r="C673" s="87" t="str">
        <x:v>Solidago gigantea</x:v>
      </x:c>
      <x:c r="D673" s="84" t="str">
        <x:v>Giant Goldenrod, Smooth Goldenrod, Tall Goldenrod, Late Goldenrod, Early Goldenrod</x:v>
      </x:c>
      <x:c r="E673" s="84" t="str">
        <x:v>Perennial</x:v>
      </x:c>
      <x:c r="F673" s="84" t="str">
        <x:v>Herb</x:v>
      </x:c>
      <x:c r="G673" s="84" t="str">
        <x:v>Part-shade</x:v>
      </x:c>
      <x:c r="H673" s="84" t="str"/>
      <x:c r="I673" s="84" t="str">
        <x:v>solidago gigantea</x:v>
      </x:c>
    </x:row>
    <x:row r="674">
      <x:c r="A674" s="83" t="str">
        <x:v>BONAP/NAPA Hays workbook</x:v>
      </x:c>
      <x:c r="B674" s="84" t="n">
        <x:v>677</x:v>
      </x:c>
      <x:c r="C674" s="87" t="str">
        <x:v>Solidago juliae</x:v>
      </x:c>
      <x:c r="D674" s="84" t="str">
        <x:v>Julia's Goldenrod</x:v>
      </x:c>
      <x:c r="E674" s="84" t="str">
        <x:v>Perennial</x:v>
      </x:c>
      <x:c r="F674" s="84" t="str">
        <x:v>Herb</x:v>
      </x:c>
      <x:c r="G674" s="84" t="str"/>
      <x:c r="H674" s="84" t="str"/>
      <x:c r="I674" s="84" t="str">
        <x:v>solidago juliae</x:v>
      </x:c>
    </x:row>
    <x:row r="675">
      <x:c r="A675" s="83" t="str">
        <x:v>BONAP/NAPA Hays workbook</x:v>
      </x:c>
      <x:c r="B675" s="84" t="n">
        <x:v>678</x:v>
      </x:c>
      <x:c r="C675" s="87" t="str">
        <x:v>Solidago nemoralis</x:v>
      </x:c>
      <x:c r="D675" s="84" t="str">
        <x:v>Prairie Goldenrod, Gray Goldenrod, Oldfield Goldenrod, Grayleaf Goldenrod, Gray-leaved Goldenrod, Dyersweed Goldenrod, Dwarf Goldenrod, Field Goldenrod</x:v>
      </x:c>
      <x:c r="E675" s="84" t="str">
        <x:v>Perennial</x:v>
      </x:c>
      <x:c r="F675" s="84" t="str">
        <x:v>Herb</x:v>
      </x:c>
      <x:c r="G675" s="84" t="str">
        <x:v>Sun, Shade, Part-shade</x:v>
      </x:c>
      <x:c r="H675" s="84" t="str">
        <x:v>Dry</x:v>
      </x:c>
      <x:c r="I675" s="84" t="str">
        <x:v>solidago nemoralis</x:v>
      </x:c>
    </x:row>
    <x:row r="676">
      <x:c r="A676" s="83" t="str">
        <x:v>BONAP/NAPA Hays workbook</x:v>
      </x:c>
      <x:c r="B676" s="84" t="n">
        <x:v>679</x:v>
      </x:c>
      <x:c r="C676" s="87" t="str">
        <x:v>Solidago radula</x:v>
      </x:c>
      <x:c r="D676" s="84" t="str">
        <x:v>Western Rough Goldenrod</x:v>
      </x:c>
      <x:c r="E676" s="84" t="str">
        <x:v>Perennial</x:v>
      </x:c>
      <x:c r="F676" s="84" t="str">
        <x:v>Herb</x:v>
      </x:c>
      <x:c r="G676" s="84" t="str"/>
      <x:c r="H676" s="84" t="str"/>
      <x:c r="I676" s="84" t="str">
        <x:v>solidago radula</x:v>
      </x:c>
    </x:row>
    <x:row r="677">
      <x:c r="A677" s="83" t="str">
        <x:v>BONAP/NAPA Hays workbook</x:v>
      </x:c>
      <x:c r="B677" s="84" t="n">
        <x:v>680</x:v>
      </x:c>
      <x:c r="C677" s="87" t="str">
        <x:v>Sorghastrum elliottii</x:v>
      </x:c>
      <x:c r="D677" s="84" t="str">
        <x:v>Slender Indiangrass</x:v>
      </x:c>
      <x:c r="E677" s="84" t="str">
        <x:v>Perennial</x:v>
      </x:c>
      <x:c r="F677" s="84" t="str">
        <x:v>Grass/Grass-like</x:v>
      </x:c>
      <x:c r="G677" s="84" t="str"/>
      <x:c r="H677" s="84" t="str"/>
      <x:c r="I677" s="84" t="str">
        <x:v>sorghastrum elliottii</x:v>
      </x:c>
    </x:row>
    <x:row r="678">
      <x:c r="A678" s="83" t="str">
        <x:v>BONAP/NAPA Hays workbook</x:v>
      </x:c>
      <x:c r="B678" s="84" t="n">
        <x:v>681</x:v>
      </x:c>
      <x:c r="C678" s="87" t="str">
        <x:v>Sorghastrum nutans</x:v>
      </x:c>
      <x:c r="D678" s="84" t="str">
        <x:v>Indiangrass, Yellow Indiangrass, Indian Grass</x:v>
      </x:c>
      <x:c r="E678" s="84" t="str">
        <x:v>Perennial</x:v>
      </x:c>
      <x:c r="F678" s="84" t="str">
        <x:v>Grass/Grass-like</x:v>
      </x:c>
      <x:c r="G678" s="84" t="str">
        <x:v>Sun, Shade, Part-shade</x:v>
      </x:c>
      <x:c r="H678" s="84" t="str">
        <x:v>Moist, Dry</x:v>
      </x:c>
      <x:c r="I678" s="84" t="str">
        <x:v>sorghastrum nutans</x:v>
      </x:c>
    </x:row>
    <x:row r="679">
      <x:c r="A679" s="83" t="str">
        <x:v>BONAP/NAPA Hays workbook</x:v>
      </x:c>
      <x:c r="B679" s="84" t="n">
        <x:v>682</x:v>
      </x:c>
      <x:c r="C679" s="87" t="str">
        <x:v>Sphaeralcea lindheimeri</x:v>
      </x:c>
      <x:c r="D679" s="84" t="str">
        <x:v>Woolly Globemallow</x:v>
      </x:c>
      <x:c r="E679" s="84" t="str">
        <x:v>Perennial</x:v>
      </x:c>
      <x:c r="F679" s="84" t="str">
        <x:v>Subshrub</x:v>
      </x:c>
      <x:c r="G679" s="84" t="str">
        <x:v>Sun, Part-shade</x:v>
      </x:c>
      <x:c r="H679" s="84" t="str">
        <x:v>Moist, Dry</x:v>
      </x:c>
      <x:c r="I679" s="84" t="str">
        <x:v>sphaeralcea lindheimeri</x:v>
      </x:c>
    </x:row>
    <x:row r="680">
      <x:c r="A680" s="83" t="str">
        <x:v>BONAP/NAPA Hays workbook</x:v>
      </x:c>
      <x:c r="B680" s="84" t="n">
        <x:v>683</x:v>
      </x:c>
      <x:c r="C680" s="87" t="str">
        <x:v>Spigelia hedyotidea</x:v>
      </x:c>
      <x:c r="D680" s="84" t="str">
        <x:v>Prairie Pinkroot, Prairie Pink Root</x:v>
      </x:c>
      <x:c r="E680" s="84" t="str">
        <x:v>Perennial</x:v>
      </x:c>
      <x:c r="F680" s="84" t="str">
        <x:v>Herb</x:v>
      </x:c>
      <x:c r="G680" s="84" t="str"/>
      <x:c r="H680" s="84" t="str"/>
      <x:c r="I680" s="84" t="str">
        <x:v>spigelia hedyotidea</x:v>
      </x:c>
    </x:row>
    <x:row r="681">
      <x:c r="A681" s="83" t="str">
        <x:v>BONAP/NAPA Hays workbook</x:v>
      </x:c>
      <x:c r="B681" s="84" t="n">
        <x:v>684</x:v>
      </x:c>
      <x:c r="C681" s="87" t="str">
        <x:v>Spiranthes cernua</x:v>
      </x:c>
      <x:c r="D681" s="84" t="str">
        <x:v>Nodding Ladies'-tresses, Ladies'-tresses, Nodding Lady's Tresses</x:v>
      </x:c>
      <x:c r="E681" s="84" t="str">
        <x:v>Perennial</x:v>
      </x:c>
      <x:c r="F681" s="84" t="str">
        <x:v>Herb</x:v>
      </x:c>
      <x:c r="G681" s="84" t="str">
        <x:v>Sun</x:v>
      </x:c>
      <x:c r="H681" s="84" t="str">
        <x:v>Moist</x:v>
      </x:c>
      <x:c r="I681" s="84" t="str">
        <x:v>spiranthes cernua</x:v>
      </x:c>
    </x:row>
    <x:row r="682">
      <x:c r="A682" s="83" t="str">
        <x:v>BONAP/NAPA Hays workbook</x:v>
      </x:c>
      <x:c r="B682" s="84" t="n">
        <x:v>685</x:v>
      </x:c>
      <x:c r="C682" s="87" t="str">
        <x:v>Spirodela polyrrhiza</x:v>
      </x:c>
      <x:c r="D682" s="84" t="str">
        <x:v>Common Duckmeat, Giant Duckweed</x:v>
      </x:c>
      <x:c r="E682" s="84" t="str">
        <x:v>Perennial</x:v>
      </x:c>
      <x:c r="F682" s="84" t="str">
        <x:v>Herb</x:v>
      </x:c>
      <x:c r="G682" s="84" t="str"/>
      <x:c r="H682" s="84" t="str"/>
      <x:c r="I682" s="84" t="str">
        <x:v>spirodela polyrrhiza</x:v>
      </x:c>
    </x:row>
    <x:row r="683">
      <x:c r="A683" s="83" t="str">
        <x:v>BONAP/NAPA Hays workbook</x:v>
      </x:c>
      <x:c r="B683" s="84" t="n">
        <x:v>686</x:v>
      </x:c>
      <x:c r="C683" s="87" t="str">
        <x:v>Sporobolus clandestinus</x:v>
      </x:c>
      <x:c r="D683" s="84" t="str">
        <x:v>Hidden Dropseed, Rough Dropseed</x:v>
      </x:c>
      <x:c r="E683" s="84" t="str">
        <x:v>Perennial</x:v>
      </x:c>
      <x:c r="F683" s="84" t="str">
        <x:v>Grass/Grass-like</x:v>
      </x:c>
      <x:c r="G683" s="84" t="str"/>
      <x:c r="H683" s="84" t="str"/>
      <x:c r="I683" s="84" t="str">
        <x:v>sporobolus clandestinus</x:v>
      </x:c>
    </x:row>
    <x:row r="684">
      <x:c r="A684" s="83" t="str">
        <x:v>BONAP/NAPA Hays workbook</x:v>
      </x:c>
      <x:c r="B684" s="84" t="n">
        <x:v>687</x:v>
      </x:c>
      <x:c r="C684" s="87" t="str">
        <x:v>Sporobolus compositus</x:v>
      </x:c>
      <x:c r="D684" s="84" t="str">
        <x:v>Tall Dropseed, Composite Dropseed, Rough Dropseed</x:v>
      </x:c>
      <x:c r="E684" s="84" t="str">
        <x:v>Perennial</x:v>
      </x:c>
      <x:c r="F684" s="84" t="str">
        <x:v>Grass/Grass-like</x:v>
      </x:c>
      <x:c r="G684" s="84" t="str"/>
      <x:c r="H684" s="84" t="str"/>
      <x:c r="I684" s="84" t="str">
        <x:v>sporobolus compositus</x:v>
      </x:c>
    </x:row>
    <x:row r="685">
      <x:c r="A685" s="83" t="str">
        <x:v>BONAP/NAPA Hays workbook</x:v>
      </x:c>
      <x:c r="B685" s="84" t="n">
        <x:v>688</x:v>
      </x:c>
      <x:c r="C685" s="87" t="str">
        <x:v>Sporobolus vaginiflorus</x:v>
      </x:c>
      <x:c r="D685" s="84" t="str">
        <x:v>Poverty Dropseed</x:v>
      </x:c>
      <x:c r="E685" s="84" t="str">
        <x:v>Annual</x:v>
      </x:c>
      <x:c r="F685" s="84" t="str">
        <x:v>Grass/Grass-like</x:v>
      </x:c>
      <x:c r="G685" s="84" t="str"/>
      <x:c r="H685" s="84" t="str"/>
      <x:c r="I685" s="84" t="str">
        <x:v>sporobolus vaginiflorus</x:v>
      </x:c>
    </x:row>
    <x:row r="686">
      <x:c r="A686" s="83" t="str">
        <x:v>BONAP/NAPA Hays workbook</x:v>
      </x:c>
      <x:c r="B686" s="84" t="n">
        <x:v>689</x:v>
      </x:c>
      <x:c r="C686" s="87" t="str">
        <x:v>Stachys crenata</x:v>
      </x:c>
      <x:c r="D686" s="84" t="str">
        <x:v>Mousesear, Shade Betony, Mouse's Ear</x:v>
      </x:c>
      <x:c r="E686" s="84" t="str">
        <x:v>Annual</x:v>
      </x:c>
      <x:c r="F686" s="84" t="str">
        <x:v>Herb</x:v>
      </x:c>
      <x:c r="G686" s="84" t="str"/>
      <x:c r="H686" s="84" t="str"/>
      <x:c r="I686" s="84" t="str">
        <x:v>stachys crenata</x:v>
      </x:c>
    </x:row>
    <x:row r="687">
      <x:c r="A687" s="83" t="str">
        <x:v>BONAP/NAPA Hays workbook</x:v>
      </x:c>
      <x:c r="B687" s="84" t="n">
        <x:v>690</x:v>
      </x:c>
      <x:c r="C687" s="87" t="str">
        <x:v>Stellaria prostrata</x:v>
      </x:c>
      <x:c r="D687" s="84" t="str">
        <x:v>Prostrate Starwort, Prostrate Chickweed</x:v>
      </x:c>
      <x:c r="E687" s="84" t="str">
        <x:v>Annual</x:v>
      </x:c>
      <x:c r="F687" s="84" t="str">
        <x:v>Herb</x:v>
      </x:c>
      <x:c r="G687" s="84" t="str"/>
      <x:c r="H687" s="84" t="str"/>
      <x:c r="I687" s="84" t="str">
        <x:v>stellaria prostrata</x:v>
      </x:c>
    </x:row>
    <x:row r="688">
      <x:c r="A688" s="83" t="str">
        <x:v>BONAP/NAPA Hays workbook</x:v>
      </x:c>
      <x:c r="B688" s="84" t="n">
        <x:v>691</x:v>
      </x:c>
      <x:c r="C688" s="87" t="str">
        <x:v>Stenosiphon linifolius</x:v>
      </x:c>
      <x:c r="D688" s="84" t="str">
        <x:v>False Gaura</x:v>
      </x:c>
      <x:c r="E688" s="84" t="str">
        <x:v>Perennial</x:v>
      </x:c>
      <x:c r="F688" s="84" t="str">
        <x:v>Herb</x:v>
      </x:c>
      <x:c r="G688" s="84" t="str">
        <x:v>Sun</x:v>
      </x:c>
      <x:c r="H688" s="84" t="str">
        <x:v>Dry</x:v>
      </x:c>
      <x:c r="I688" s="84" t="str">
        <x:v>stenosiphon linifolius</x:v>
      </x:c>
    </x:row>
    <x:row r="689">
      <x:c r="A689" s="83" t="str">
        <x:v>BONAP/NAPA Hays workbook</x:v>
      </x:c>
      <x:c r="B689" s="84" t="n">
        <x:v>692</x:v>
      </x:c>
      <x:c r="C689" s="87" t="str">
        <x:v>Stillingia texana</x:v>
      </x:c>
      <x:c r="D689" s="84" t="str">
        <x:v>Texas Queen's Delight, Queen's Delight, Texas Toothleaf</x:v>
      </x:c>
      <x:c r="E689" s="84" t="str">
        <x:v>Perennial</x:v>
      </x:c>
      <x:c r="F689" s="84" t="str">
        <x:v>Herb</x:v>
      </x:c>
      <x:c r="G689" s="84" t="str">
        <x:v>Part-shade</x:v>
      </x:c>
      <x:c r="H689" s="84" t="str"/>
      <x:c r="I689" s="84" t="str">
        <x:v>stillingia texana</x:v>
      </x:c>
    </x:row>
    <x:row r="690">
      <x:c r="A690" s="83" t="str">
        <x:v>BONAP/NAPA Hays workbook</x:v>
      </x:c>
      <x:c r="B690" s="84" t="n">
        <x:v>693</x:v>
      </x:c>
      <x:c r="C690" s="87" t="str">
        <x:v>Styphnolobium affine</x:v>
      </x:c>
      <x:c r="D690" s="84" t="str">
        <x:v>Eve's Necklace, Eve's Necklacepod, Texas Sophora, Pink Sophora, Necklace Tree</x:v>
      </x:c>
      <x:c r="E690" s="84" t="str">
        <x:v>Perennial</x:v>
      </x:c>
      <x:c r="F690" s="84" t="str">
        <x:v>Tree</x:v>
      </x:c>
      <x:c r="G690" s="84" t="str">
        <x:v>Part-shade</x:v>
      </x:c>
      <x:c r="H690" s="84" t="str">
        <x:v>Dry</x:v>
      </x:c>
      <x:c r="I690" s="84" t="str">
        <x:v>styphnolobium affine</x:v>
      </x:c>
    </x:row>
    <x:row r="691">
      <x:c r="A691" s="83" t="str">
        <x:v>BONAP/NAPA Hays workbook</x:v>
      </x:c>
      <x:c r="B691" s="84" t="n">
        <x:v>694</x:v>
      </x:c>
      <x:c r="C691" s="87" t="str">
        <x:v>Styrax platanifolius</x:v>
      </x:c>
      <x:c r="D691" s="84" t="str">
        <x:v>Sycamore-leaf Snowbell</x:v>
      </x:c>
      <x:c r="E691" s="84" t="str">
        <x:v>Perennial</x:v>
      </x:c>
      <x:c r="F691" s="84" t="str">
        <x:v>Shrub</x:v>
      </x:c>
      <x:c r="G691" s="84" t="str">
        <x:v>Part-shade</x:v>
      </x:c>
      <x:c r="H691" s="84" t="str">
        <x:v>Moist</x:v>
      </x:c>
      <x:c r="I691" s="84" t="str">
        <x:v>styrax platanifolius</x:v>
      </x:c>
    </x:row>
    <x:row r="692">
      <x:c r="A692" s="83" t="str">
        <x:v>BONAP/NAPA Hays workbook</x:v>
      </x:c>
      <x:c r="B692" s="84" t="n">
        <x:v>695</x:v>
      </x:c>
      <x:c r="C692" s="87" t="str">
        <x:v>Symphoricarpos orbiculatus</x:v>
      </x:c>
      <x:c r="D692" s="84" t="str">
        <x:v>Coralberry, Indian Currant, Buckbrush</x:v>
      </x:c>
      <x:c r="E692" s="84" t="str">
        <x:v>Perennial</x:v>
      </x:c>
      <x:c r="F692" s="84" t="str">
        <x:v>Shrub</x:v>
      </x:c>
      <x:c r="G692" s="84" t="str">
        <x:v>Shade, Part-shade</x:v>
      </x:c>
      <x:c r="H692" s="84" t="str">
        <x:v>Moist, Dry</x:v>
      </x:c>
      <x:c r="I692" s="84" t="str">
        <x:v>symphoricarpos orbiculatus</x:v>
      </x:c>
    </x:row>
    <x:row r="693">
      <x:c r="A693" s="83" t="str">
        <x:v>BONAP/NAPA Hays workbook</x:v>
      </x:c>
      <x:c r="B693" s="84" t="n">
        <x:v>696</x:v>
      </x:c>
      <x:c r="C693" s="87" t="str">
        <x:v>Symphyotrichum drummondii var. texanum</x:v>
      </x:c>
      <x:c r="D693" s="84" t="str">
        <x:v>Drummond's Aster, Texas Aster</x:v>
      </x:c>
      <x:c r="E693" s="84" t="str">
        <x:v>Perennial</x:v>
      </x:c>
      <x:c r="F693" s="84" t="str">
        <x:v>Herb</x:v>
      </x:c>
      <x:c r="G693" s="84" t="str">
        <x:v>Part-shade</x:v>
      </x:c>
      <x:c r="H693" s="84" t="str">
        <x:v>Dry</x:v>
      </x:c>
      <x:c r="I693" s="84" t="str">
        <x:v>symphyotrichum drummondii var. texanum</x:v>
      </x:c>
    </x:row>
    <x:row r="694">
      <x:c r="A694" s="83" t="str">
        <x:v>BONAP/NAPA Hays workbook</x:v>
      </x:c>
      <x:c r="B694" s="84" t="n">
        <x:v>697</x:v>
      </x:c>
      <x:c r="C694" s="87" t="str">
        <x:v>Symphyotrichum ericoides var. ericoides</x:v>
      </x:c>
      <x:c r="D694" s="84" t="str">
        <x:v>White Heath Aster, Heath Aster, White Aster, White Prairie Aster</x:v>
      </x:c>
      <x:c r="E694" s="84" t="str">
        <x:v>Perennial</x:v>
      </x:c>
      <x:c r="F694" s="84" t="str">
        <x:v>Herb</x:v>
      </x:c>
      <x:c r="G694" s="84" t="str">
        <x:v>Sun</x:v>
      </x:c>
      <x:c r="H694" s="84" t="str">
        <x:v>Dry</x:v>
      </x:c>
      <x:c r="I694" s="84" t="str">
        <x:v>symphyotrichum ericoides var. ericoides</x:v>
      </x:c>
    </x:row>
    <x:row r="695">
      <x:c r="A695" s="83" t="str">
        <x:v>BONAP/NAPA Hays workbook</x:v>
      </x:c>
      <x:c r="B695" s="84" t="n">
        <x:v>698</x:v>
      </x:c>
      <x:c r="C695" s="87" t="str">
        <x:v>Symphyotrichum lanceolatum ssp. lanceolatum</x:v>
      </x:c>
      <x:c r="D695" s="84" t="str">
        <x:v>White Panicle Aster, Panicled Aster</x:v>
      </x:c>
      <x:c r="E695" s="84" t="str">
        <x:v>Perennial</x:v>
      </x:c>
      <x:c r="F695" s="84" t="str">
        <x:v>Herb</x:v>
      </x:c>
      <x:c r="G695" s="84" t="str"/>
      <x:c r="H695" s="84" t="str"/>
      <x:c r="I695" s="84" t="str">
        <x:v>symphyotrichum lanceolatum ssp. lanceolatum</x:v>
      </x:c>
    </x:row>
    <x:row r="696">
      <x:c r="A696" s="83" t="str">
        <x:v>BONAP/NAPA Hays workbook</x:v>
      </x:c>
      <x:c r="B696" s="84" t="n">
        <x:v>699</x:v>
      </x:c>
      <x:c r="C696" s="87" t="str">
        <x:v>Symphyotrichum oblongifolium</x:v>
      </x:c>
      <x:c r="D696" s="84" t="str">
        <x:v>Aromatic Aster, Aromatic American Aster, Fall Aster, Wild Blue Aster, Shale Aster</x:v>
      </x:c>
      <x:c r="E696" s="84" t="str">
        <x:v>Perennial</x:v>
      </x:c>
      <x:c r="F696" s="84" t="str">
        <x:v>Herb</x:v>
      </x:c>
      <x:c r="G696" s="84" t="str">
        <x:v>Sun, Part-shade</x:v>
      </x:c>
      <x:c r="H696" s="84" t="str">
        <x:v>Moist, Dry</x:v>
      </x:c>
      <x:c r="I696" s="84" t="str">
        <x:v>symphyotrichum oblongifolium</x:v>
      </x:c>
    </x:row>
    <x:row r="697">
      <x:c r="A697" s="83" t="str">
        <x:v>BONAP/NAPA Hays workbook</x:v>
      </x:c>
      <x:c r="B697" s="84" t="n">
        <x:v>700</x:v>
      </x:c>
      <x:c r="C697" s="87" t="str">
        <x:v>Symphyotrichum patens</x:v>
      </x:c>
      <x:c r="D697" s="84" t="str">
        <x:v>Late Purple Aster</x:v>
      </x:c>
      <x:c r="E697" s="84" t="str">
        <x:v>Perennial</x:v>
      </x:c>
      <x:c r="F697" s="84" t="str">
        <x:v>Herb</x:v>
      </x:c>
      <x:c r="G697" s="84" t="str"/>
      <x:c r="H697" s="84" t="str"/>
      <x:c r="I697" s="84" t="str">
        <x:v>symphyotrichum patens</x:v>
      </x:c>
    </x:row>
    <x:row r="698">
      <x:c r="A698" s="83" t="str">
        <x:v>BONAP/NAPA Hays workbook</x:v>
      </x:c>
      <x:c r="B698" s="84" t="n">
        <x:v>701</x:v>
      </x:c>
      <x:c r="C698" s="87" t="str">
        <x:v>Symphyotrichum sericeum</x:v>
      </x:c>
      <x:c r="D698" s="84" t="str">
        <x:v>Western Silver Aster, Western Silver American-aster, Silky Aster</x:v>
      </x:c>
      <x:c r="E698" s="84" t="str">
        <x:v>Perennial</x:v>
      </x:c>
      <x:c r="F698" s="84" t="str">
        <x:v>Herb</x:v>
      </x:c>
      <x:c r="G698" s="84" t="str">
        <x:v>Sun, Part-shade</x:v>
      </x:c>
      <x:c r="H698" s="84" t="str">
        <x:v>Dry</x:v>
      </x:c>
      <x:c r="I698" s="84" t="str">
        <x:v>symphyotrichum sericeum</x:v>
      </x:c>
    </x:row>
    <x:row r="699">
      <x:c r="A699" s="83" t="str">
        <x:v>BONAP/NAPA Hays workbook</x:v>
      </x:c>
      <x:c r="B699" s="84" t="n">
        <x:v>702</x:v>
      </x:c>
      <x:c r="C699" s="87" t="str">
        <x:v>Symphyotrichum subulatum</x:v>
      </x:c>
      <x:c r="D699" s="84" t="str">
        <x:v>Eastern Annual Saltmarsh Aster, Baby's Breath Aster, Annual Aster, Blackland Aster, Hierba Del Marrano</x:v>
      </x:c>
      <x:c r="E699" s="84" t="str">
        <x:v>Annual, Biennial</x:v>
      </x:c>
      <x:c r="F699" s="84" t="str">
        <x:v>Herb</x:v>
      </x:c>
      <x:c r="G699" s="84" t="str">
        <x:v>Shade, Part-shade</x:v>
      </x:c>
      <x:c r="H699" s="84" t="str">
        <x:v>Moist</x:v>
      </x:c>
      <x:c r="I699" s="84" t="str">
        <x:v>symphyotrichum subulatum</x:v>
      </x:c>
    </x:row>
    <x:row r="700">
      <x:c r="A700" s="83" t="str">
        <x:v>BONAP/NAPA Hays workbook</x:v>
      </x:c>
      <x:c r="B700" s="84" t="n">
        <x:v>703</x:v>
      </x:c>
      <x:c r="C700" s="87" t="str">
        <x:v>Taxodium distichum</x:v>
      </x:c>
      <x:c r="D700" s="84" t="str">
        <x:v>Bald Cypress, Baldcypress, Common Bald Cypress, Southern Bald Cypress, Deciduous Cypress, Southern Cypress, Swamp Cypress, Red Cypress, White Cypress, Yellow Cypress, Gulf Cypress, Tidewater Red Cypress</x:v>
      </x:c>
      <x:c r="E700" s="84" t="str">
        <x:v>Perennial</x:v>
      </x:c>
      <x:c r="F700" s="84" t="str">
        <x:v>Tree</x:v>
      </x:c>
      <x:c r="G700" s="84" t="str">
        <x:v>Sun, Part-shade</x:v>
      </x:c>
      <x:c r="H700" s="84" t="str">
        <x:v>Moist</x:v>
      </x:c>
      <x:c r="I700" s="84" t="str">
        <x:v>taxodium distichum</x:v>
      </x:c>
    </x:row>
    <x:row r="701">
      <x:c r="A701" s="83" t="str">
        <x:v>BONAP/NAPA Hays workbook</x:v>
      </x:c>
      <x:c r="B701" s="84" t="n">
        <x:v>704</x:v>
      </x:c>
      <x:c r="C701" s="87" t="str">
        <x:v>Tecoma stans</x:v>
      </x:c>
      <x:c r="D701" s="84" t="str">
        <x:v>Yellow Bells, Yellowbells, Esperanza, Yellow Trumpetbush, Yellow Trumpetflower, Trumpetbush, Trumpetflower, Yellow Elder, Hardy Yellow Trumpet, Yellow Trumpet Bush</x:v>
      </x:c>
      <x:c r="E701" s="84" t="str">
        <x:v>Perennial</x:v>
      </x:c>
      <x:c r="F701" s="84" t="str">
        <x:v>Shrub</x:v>
      </x:c>
      <x:c r="G701" s="84" t="str">
        <x:v>Sun, Part-shade</x:v>
      </x:c>
      <x:c r="H701" s="84" t="str">
        <x:v>Dry</x:v>
      </x:c>
      <x:c r="I701" s="84" t="str">
        <x:v>tecoma stans</x:v>
      </x:c>
    </x:row>
    <x:row r="702">
      <x:c r="A702" s="83" t="str">
        <x:v>BONAP/NAPA Hays workbook</x:v>
      </x:c>
      <x:c r="B702" s="84" t="n">
        <x:v>705</x:v>
      </x:c>
      <x:c r="C702" s="87" t="str">
        <x:v>Tephrosia lindheimeri</x:v>
      </x:c>
      <x:c r="D702" s="84" t="str">
        <x:v>Lindheimer's Hoarypea, Hoary Pea, Lindheimer Tephrosia</x:v>
      </x:c>
      <x:c r="E702" s="84" t="str">
        <x:v>Perennial</x:v>
      </x:c>
      <x:c r="F702" s="84" t="str">
        <x:v>Subshrub</x:v>
      </x:c>
      <x:c r="G702" s="84" t="str">
        <x:v>Part-shade</x:v>
      </x:c>
      <x:c r="H702" s="84" t="str">
        <x:v>Dry</x:v>
      </x:c>
      <x:c r="I702" s="84" t="str">
        <x:v>tephrosia lindheimeri</x:v>
      </x:c>
    </x:row>
    <x:row r="703">
      <x:c r="A703" s="83" t="str">
        <x:v>BONAP/NAPA Hays workbook</x:v>
      </x:c>
      <x:c r="B703" s="84" t="n">
        <x:v>706</x:v>
      </x:c>
      <x:c r="C703" s="87" t="str">
        <x:v>Tephrosia potosina</x:v>
      </x:c>
      <x:c r="D703" s="84" t="str">
        <x:v>Edwards Plateau Hoarypea</x:v>
      </x:c>
      <x:c r="E703" s="84" t="str">
        <x:v>Perennial</x:v>
      </x:c>
      <x:c r="F703" s="84" t="str">
        <x:v>Herb, Subshrub</x:v>
      </x:c>
      <x:c r="G703" s="84" t="str"/>
      <x:c r="H703" s="84" t="str"/>
      <x:c r="I703" s="84" t="str">
        <x:v>tephrosia potosina</x:v>
      </x:c>
    </x:row>
    <x:row r="704">
      <x:c r="A704" s="83" t="str">
        <x:v>BONAP/NAPA Hays workbook</x:v>
      </x:c>
      <x:c r="B704" s="84" t="n">
        <x:v>707</x:v>
      </x:c>
      <x:c r="C704" s="87" t="str">
        <x:v>Tetragonotheca texana</x:v>
      </x:c>
      <x:c r="D704" s="84" t="str">
        <x:v>Squarebud Daisy, Nerve-ray, Square-bud Daisy</x:v>
      </x:c>
      <x:c r="E704" s="84" t="str">
        <x:v>Perennial</x:v>
      </x:c>
      <x:c r="F704" s="84" t="str">
        <x:v>Herb</x:v>
      </x:c>
      <x:c r="G704" s="84" t="str">
        <x:v>Sun</x:v>
      </x:c>
      <x:c r="H704" s="84" t="str">
        <x:v>Dry</x:v>
      </x:c>
      <x:c r="I704" s="84" t="str">
        <x:v>tetragonotheca texana</x:v>
      </x:c>
    </x:row>
    <x:row r="705">
      <x:c r="A705" s="83" t="str">
        <x:v>BONAP/NAPA Hays workbook</x:v>
      </x:c>
      <x:c r="B705" s="84" t="n">
        <x:v>708</x:v>
      </x:c>
      <x:c r="C705" s="87" t="str">
        <x:v>Tetraneuris acaulis</x:v>
      </x:c>
      <x:c r="D705" s="84" t="str">
        <x:v>Stemless Four-nerve Daisy, Stemless Hymenoxys, Bitterweed</x:v>
      </x:c>
      <x:c r="E705" s="84" t="str">
        <x:v>Perennial</x:v>
      </x:c>
      <x:c r="F705" s="84" t="str">
        <x:v>Herb</x:v>
      </x:c>
      <x:c r="G705" s="84" t="str"/>
      <x:c r="H705" s="84" t="str"/>
      <x:c r="I705" s="84" t="str">
        <x:v>tetraneuris acaulis</x:v>
      </x:c>
    </x:row>
    <x:row r="706">
      <x:c r="A706" s="83" t="str">
        <x:v>BONAP/NAPA Hays workbook</x:v>
      </x:c>
      <x:c r="B706" s="84" t="n">
        <x:v>709</x:v>
      </x:c>
      <x:c r="C706" s="87" t="str">
        <x:v>Tetraneuris linearifolia</x:v>
      </x:c>
      <x:c r="D706" s="84" t="str">
        <x:v>Fineleaf Fournerved Daisy, Slender-leaf Hymenoxys, Bitterweed</x:v>
      </x:c>
      <x:c r="E706" s="84" t="str">
        <x:v>Annual</x:v>
      </x:c>
      <x:c r="F706" s="84" t="str">
        <x:v>Herb</x:v>
      </x:c>
      <x:c r="G706" s="84" t="str"/>
      <x:c r="H706" s="84" t="str"/>
      <x:c r="I706" s="84" t="str">
        <x:v>tetraneuris linearifolia</x:v>
      </x:c>
    </x:row>
    <x:row r="707">
      <x:c r="A707" s="83" t="str">
        <x:v>BONAP/NAPA Hays workbook</x:v>
      </x:c>
      <x:c r="B707" s="84" t="n">
        <x:v>710</x:v>
      </x:c>
      <x:c r="C707" s="87" t="str">
        <x:v>Tetraneuris scaposa var. scaposa</x:v>
      </x:c>
      <x:c r="D707" s="84" t="str">
        <x:v>Four-nerve Daisy, Hymenoxys, Stemmy Four-nerve Daisy, Bitterweed</x:v>
      </x:c>
      <x:c r="E707" s="84" t="str">
        <x:v>Perennial</x:v>
      </x:c>
      <x:c r="F707" s="84" t="str">
        <x:v>Herb</x:v>
      </x:c>
      <x:c r="G707" s="84" t="str">
        <x:v>Sun</x:v>
      </x:c>
      <x:c r="H707" s="84" t="str">
        <x:v>Dry</x:v>
      </x:c>
      <x:c r="I707" s="84" t="str">
        <x:v>tetraneuris scaposa var. scaposa</x:v>
      </x:c>
    </x:row>
    <x:row r="708">
      <x:c r="A708" s="83" t="str">
        <x:v>BONAP/NAPA Hays workbook</x:v>
      </x:c>
      <x:c r="B708" s="84" t="n">
        <x:v>711</x:v>
      </x:c>
      <x:c r="C708" s="87" t="str">
        <x:v>Teucrium canadense</x:v>
      </x:c>
      <x:c r="D708" s="84" t="str">
        <x:v>American Germander, Canada Germander, Canadian Germander, Germander, Hairy Germander, Wood Sage</x:v>
      </x:c>
      <x:c r="E708" s="84" t="str">
        <x:v>Perennial</x:v>
      </x:c>
      <x:c r="F708" s="84" t="str">
        <x:v>Herb</x:v>
      </x:c>
      <x:c r="G708" s="84" t="str">
        <x:v>Part-shade</x:v>
      </x:c>
      <x:c r="H708" s="84" t="str">
        <x:v>Moist</x:v>
      </x:c>
      <x:c r="I708" s="84" t="str">
        <x:v>teucrium canadense</x:v>
      </x:c>
    </x:row>
    <x:row r="709">
      <x:c r="A709" s="83" t="str">
        <x:v>BONAP/NAPA Hays workbook</x:v>
      </x:c>
      <x:c r="B709" s="84" t="n">
        <x:v>712</x:v>
      </x:c>
      <x:c r="C709" s="87" t="str">
        <x:v>Thamnosma texana</x:v>
      </x:c>
      <x:c r="D709" s="84" t="str">
        <x:v>Texas Desert-rue, Dutchman's Breeches, Rue Of The Mountains, Ruda Del Monte</x:v>
      </x:c>
      <x:c r="E709" s="84" t="str">
        <x:v>Perennial</x:v>
      </x:c>
      <x:c r="F709" s="84" t="str">
        <x:v>Herb</x:v>
      </x:c>
      <x:c r="G709" s="84" t="str">
        <x:v>Sun</x:v>
      </x:c>
      <x:c r="H709" s="84" t="str">
        <x:v>Dry</x:v>
      </x:c>
      <x:c r="I709" s="84" t="str">
        <x:v>thamnosma texana</x:v>
      </x:c>
    </x:row>
    <x:row r="710">
      <x:c r="A710" s="83" t="str">
        <x:v>BONAP/NAPA Hays workbook</x:v>
      </x:c>
      <x:c r="B710" s="84" t="n">
        <x:v>713</x:v>
      </x:c>
      <x:c r="C710" s="87" t="str">
        <x:v>Thelesperma ambiguum</x:v>
      </x:c>
      <x:c r="D710" s="84" t="str">
        <x:v>Colorado Greenthread</x:v>
      </x:c>
      <x:c r="E710" s="84" t="str">
        <x:v>Perennial</x:v>
      </x:c>
      <x:c r="F710" s="84" t="str">
        <x:v>Herb</x:v>
      </x:c>
      <x:c r="G710" s="84" t="str"/>
      <x:c r="H710" s="84" t="str"/>
      <x:c r="I710" s="84" t="str">
        <x:v>thelesperma ambiguum</x:v>
      </x:c>
    </x:row>
    <x:row r="711">
      <x:c r="A711" s="83" t="str">
        <x:v>BONAP/NAPA Hays workbook</x:v>
      </x:c>
      <x:c r="B711" s="84" t="n">
        <x:v>714</x:v>
      </x:c>
      <x:c r="C711" s="87" t="str">
        <x:v>Thelesperma filifolium var. filifolium</x:v>
      </x:c>
      <x:c r="D711" s="84" t="str">
        <x:v>Stiff Greenthread, Showy Navajo Tea, Greenthread</x:v>
      </x:c>
      <x:c r="E711" s="84" t="str">
        <x:v>Annual, Perennial</x:v>
      </x:c>
      <x:c r="F711" s="84" t="str">
        <x:v>Herb</x:v>
      </x:c>
      <x:c r="G711" s="84" t="str">
        <x:v>Sun</x:v>
      </x:c>
      <x:c r="H711" s="84" t="str">
        <x:v>Dry</x:v>
      </x:c>
      <x:c r="I711" s="84" t="str">
        <x:v>thelesperma filifolium var. filifolium</x:v>
      </x:c>
    </x:row>
    <x:row r="712">
      <x:c r="A712" s="83" t="str">
        <x:v>BONAP/NAPA Hays workbook</x:v>
      </x:c>
      <x:c r="B712" s="84" t="n">
        <x:v>715</x:v>
      </x:c>
      <x:c r="C712" s="87" t="str">
        <x:v>Thelesperma simplicifolium</x:v>
      </x:c>
      <x:c r="D712" s="84" t="str">
        <x:v>Slender Greenthread, Navajo Tea, Cota</x:v>
      </x:c>
      <x:c r="E712" s="84" t="str">
        <x:v>Perennial</x:v>
      </x:c>
      <x:c r="F712" s="84" t="str">
        <x:v>Herb</x:v>
      </x:c>
      <x:c r="G712" s="84" t="str">
        <x:v>Sun</x:v>
      </x:c>
      <x:c r="H712" s="84" t="str">
        <x:v>Dry</x:v>
      </x:c>
      <x:c r="I712" s="84" t="str">
        <x:v>thelesperma simplicifolium</x:v>
      </x:c>
    </x:row>
    <x:row r="713">
      <x:c r="A713" s="83" t="str">
        <x:v>BONAP/NAPA Hays workbook</x:v>
      </x:c>
      <x:c r="B713" s="84" t="n">
        <x:v>716</x:v>
      </x:c>
      <x:c r="C713" s="87" t="str">
        <x:v>Thelocactus bicolor</x:v>
      </x:c>
      <x:c r="D713" s="84" t="str">
        <x:v>Glory Of Texas</x:v>
      </x:c>
      <x:c r="E713" s="84" t="str">
        <x:v>Perennial</x:v>
      </x:c>
      <x:c r="F713" s="84" t="str">
        <x:v>Cactus/Succulent</x:v>
      </x:c>
      <x:c r="G713" s="84" t="str"/>
      <x:c r="H713" s="84" t="str"/>
      <x:c r="I713" s="84" t="str">
        <x:v>thelocactus bicolor</x:v>
      </x:c>
    </x:row>
    <x:row r="714">
      <x:c r="A714" s="83" t="str">
        <x:v>BONAP/NAPA Hays workbook</x:v>
      </x:c>
      <x:c r="B714" s="84" t="n">
        <x:v>717</x:v>
      </x:c>
      <x:c r="C714" s="87" t="str">
        <x:v>Thelypteris kunthii</x:v>
      </x:c>
      <x:c r="D714" s="84" t="str">
        <x:v>Wood Fern, River Fern, Southern Shield Fern, Kunth's Maiden Fern, Normal Shield Fern</x:v>
      </x:c>
      <x:c r="E714" s="84" t="str">
        <x:v>Perennial</x:v>
      </x:c>
      <x:c r="F714" s="84" t="str">
        <x:v>Fern</x:v>
      </x:c>
      <x:c r="G714" s="84" t="str">
        <x:v>Shade, Part-shade</x:v>
      </x:c>
      <x:c r="H714" s="84" t="str">
        <x:v>Moist</x:v>
      </x:c>
      <x:c r="I714" s="84" t="str">
        <x:v>thelypteris kunthii</x:v>
      </x:c>
    </x:row>
    <x:row r="715">
      <x:c r="A715" s="83" t="str">
        <x:v>BONAP/NAPA Hays workbook</x:v>
      </x:c>
      <x:c r="B715" s="84" t="n">
        <x:v>718</x:v>
      </x:c>
      <x:c r="C715" s="87" t="str">
        <x:v>Thymophylla pentachaeta</x:v>
      </x:c>
      <x:c r="D715" s="84" t="str">
        <x:v>Parralena, Fiveneedle Pricklyleaf, Five-needle Fetid Marigold</x:v>
      </x:c>
      <x:c r="E715" s="84" t="str">
        <x:v>Perennial</x:v>
      </x:c>
      <x:c r="F715" s="84" t="str">
        <x:v>Herb, Subshrub</x:v>
      </x:c>
      <x:c r="G715" s="84" t="str"/>
      <x:c r="H715" s="84" t="str"/>
      <x:c r="I715" s="84" t="str">
        <x:v>thymophylla pentachaeta</x:v>
      </x:c>
    </x:row>
    <x:row r="716">
      <x:c r="A716" s="83" t="str">
        <x:v>BONAP/NAPA Hays workbook</x:v>
      </x:c>
      <x:c r="B716" s="84" t="n">
        <x:v>719</x:v>
      </x:c>
      <x:c r="C716" s="87" t="str">
        <x:v>Tidestromia lanuginosa</x:v>
      </x:c>
      <x:c r="D716" s="84" t="str">
        <x:v>Woolly Tidestromia</x:v>
      </x:c>
      <x:c r="E716" s="84" t="str">
        <x:v>Annual</x:v>
      </x:c>
      <x:c r="F716" s="84" t="str">
        <x:v>Herb</x:v>
      </x:c>
      <x:c r="G716" s="84" t="str"/>
      <x:c r="H716" s="84" t="str"/>
      <x:c r="I716" s="84" t="str">
        <x:v>tidestromia lanuginosa</x:v>
      </x:c>
    </x:row>
    <x:row r="717">
      <x:c r="A717" s="83" t="str">
        <x:v>BONAP/NAPA Hays workbook</x:v>
      </x:c>
      <x:c r="B717" s="84" t="n">
        <x:v>720</x:v>
      </x:c>
      <x:c r="C717" s="87" t="str">
        <x:v>Tilia americana var. caroliniana</x:v>
      </x:c>
      <x:c r="D717" s="84" t="str">
        <x:v>Carolina Basswood, Florida Basswood, Small-leaved Basswood, Downy Basswood, Carolina Linden, Florida Linden, Small-leaved Linden, Downy Linden</x:v>
      </x:c>
      <x:c r="E717" s="84" t="str">
        <x:v>Perennial</x:v>
      </x:c>
      <x:c r="F717" s="84" t="str">
        <x:v>Tree</x:v>
      </x:c>
      <x:c r="G717" s="84" t="str"/>
      <x:c r="H717" s="84" t="str"/>
      <x:c r="I717" s="84" t="str">
        <x:v>tilia americana var. caroliniana</x:v>
      </x:c>
    </x:row>
    <x:row r="718">
      <x:c r="A718" s="83" t="str">
        <x:v>BONAP/NAPA Hays workbook</x:v>
      </x:c>
      <x:c r="B718" s="84" t="n">
        <x:v>721</x:v>
      </x:c>
      <x:c r="C718" s="87" t="str">
        <x:v>Tillandsia recurvata</x:v>
      </x:c>
      <x:c r="D718" s="84" t="str">
        <x:v>Small Ball Moss, Ball Moss</x:v>
      </x:c>
      <x:c r="E718" s="84" t="str">
        <x:v>Perennial</x:v>
      </x:c>
      <x:c r="F718" s="84" t="str">
        <x:v>Herb</x:v>
      </x:c>
      <x:c r="G718" s="84" t="str"/>
      <x:c r="H718" s="84" t="str"/>
      <x:c r="I718" s="84" t="str">
        <x:v>tillandsia recurvata</x:v>
      </x:c>
    </x:row>
    <x:row r="719">
      <x:c r="A719" s="83" t="str">
        <x:v>BONAP/NAPA Hays workbook</x:v>
      </x:c>
      <x:c r="B719" s="84" t="n">
        <x:v>722</x:v>
      </x:c>
      <x:c r="C719" s="87" t="str">
        <x:v>Tillandsia usneoides</x:v>
      </x:c>
      <x:c r="D719" s="84" t="str">
        <x:v>Spanish Moss</x:v>
      </x:c>
      <x:c r="E719" s="84" t="str">
        <x:v>Perennial</x:v>
      </x:c>
      <x:c r="F719" s="84" t="str">
        <x:v>Herb</x:v>
      </x:c>
      <x:c r="G719" s="84" t="str">
        <x:v>Shade</x:v>
      </x:c>
      <x:c r="H719" s="84" t="str"/>
      <x:c r="I719" s="84" t="str">
        <x:v>tillandsia usneoides</x:v>
      </x:c>
    </x:row>
    <x:row r="720">
      <x:c r="A720" s="83" t="str">
        <x:v>BONAP/NAPA Hays workbook</x:v>
      </x:c>
      <x:c r="B720" s="84" t="n">
        <x:v>723</x:v>
      </x:c>
      <x:c r="C720" s="87" t="str">
        <x:v>Tinantia anomala</x:v>
      </x:c>
      <x:c r="D720" s="84" t="str">
        <x:v>False Dayflower, Widows Tears, Widow's Tears</x:v>
      </x:c>
      <x:c r="E720" s="84" t="str">
        <x:v>Annual</x:v>
      </x:c>
      <x:c r="F720" s="84" t="str">
        <x:v>Herb</x:v>
      </x:c>
      <x:c r="G720" s="84" t="str">
        <x:v>Part-shade</x:v>
      </x:c>
      <x:c r="H720" s="84" t="str">
        <x:v>Moist</x:v>
      </x:c>
      <x:c r="I720" s="84" t="str">
        <x:v>tinantia anomala</x:v>
      </x:c>
    </x:row>
    <x:row r="721">
      <x:c r="A721" s="83" t="str">
        <x:v>BONAP/NAPA Hays workbook</x:v>
      </x:c>
      <x:c r="B721" s="84" t="n">
        <x:v>724</x:v>
      </x:c>
      <x:c r="C721" s="87" t="str">
        <x:v>Tiquilia canescens</x:v>
      </x:c>
      <x:c r="D721" s="84" t="str">
        <x:v>Woody Crinklemat, Shrubby Coldenia, Shrubby Tiquilia</x:v>
      </x:c>
      <x:c r="E721" s="84" t="str">
        <x:v>Perennial</x:v>
      </x:c>
      <x:c r="F721" s="84" t="str">
        <x:v>Subshrub</x:v>
      </x:c>
      <x:c r="G721" s="84" t="str"/>
      <x:c r="H721" s="84" t="str"/>
      <x:c r="I721" s="84" t="str">
        <x:v>tiquilia canescens</x:v>
      </x:c>
    </x:row>
    <x:row r="722">
      <x:c r="A722" s="83" t="str">
        <x:v>BONAP/NAPA Hays workbook</x:v>
      </x:c>
      <x:c r="B722" s="84" t="n">
        <x:v>725</x:v>
      </x:c>
      <x:c r="C722" s="87" t="str">
        <x:v>Toxicodendron radicans</x:v>
      </x:c>
      <x:c r="D722" s="84" t="str">
        <x:v>Eastern Poison Ivy, Poison Ivy</x:v>
      </x:c>
      <x:c r="E722" s="84" t="str">
        <x:v>Perennial</x:v>
      </x:c>
      <x:c r="F722" s="84" t="str">
        <x:v>Shrub, Vine</x:v>
      </x:c>
      <x:c r="G722" s="84" t="str">
        <x:v>Shade, Part-shade</x:v>
      </x:c>
      <x:c r="H722" s="84" t="str">
        <x:v>Moist</x:v>
      </x:c>
      <x:c r="I722" s="84" t="str">
        <x:v>toxicodendron radicans</x:v>
      </x:c>
    </x:row>
    <x:row r="723">
      <x:c r="A723" s="83" t="str">
        <x:v>BONAP/NAPA Hays workbook</x:v>
      </x:c>
      <x:c r="B723" s="84" t="n">
        <x:v>726</x:v>
      </x:c>
      <x:c r="C723" s="87" t="str">
        <x:v>Tradescantia edwardsiana</x:v>
      </x:c>
      <x:c r="D723" s="84" t="str">
        <x:v>Plateau Spiderwort, Edwards' Spiderwort</x:v>
      </x:c>
      <x:c r="E723" s="84" t="str">
        <x:v>Perennial</x:v>
      </x:c>
      <x:c r="F723" s="84" t="str">
        <x:v>Herb</x:v>
      </x:c>
      <x:c r="G723" s="84" t="str">
        <x:v>Part-shade</x:v>
      </x:c>
      <x:c r="H723" s="84" t="str"/>
      <x:c r="I723" s="84" t="str">
        <x:v>tradescantia edwardsiana</x:v>
      </x:c>
    </x:row>
    <x:row r="724">
      <x:c r="A724" s="83" t="str">
        <x:v>BONAP/NAPA Hays workbook</x:v>
      </x:c>
      <x:c r="B724" s="84" t="n">
        <x:v>727</x:v>
      </x:c>
      <x:c r="C724" s="87" t="str">
        <x:v>Tradescantia gigantea</x:v>
      </x:c>
      <x:c r="D724" s="84" t="str">
        <x:v>Giant Spiderwort</x:v>
      </x:c>
      <x:c r="E724" s="84" t="str">
        <x:v>Perennial</x:v>
      </x:c>
      <x:c r="F724" s="84" t="str">
        <x:v>Herb</x:v>
      </x:c>
      <x:c r="G724" s="84" t="str">
        <x:v>Sun, Part-shade</x:v>
      </x:c>
      <x:c r="H724" s="84" t="str">
        <x:v>Moist</x:v>
      </x:c>
      <x:c r="I724" s="84" t="str">
        <x:v>tradescantia gigantea</x:v>
      </x:c>
    </x:row>
    <x:row r="725">
      <x:c r="A725" s="83" t="str">
        <x:v>BONAP/NAPA Hays workbook</x:v>
      </x:c>
      <x:c r="B725" s="84" t="n">
        <x:v>728</x:v>
      </x:c>
      <x:c r="C725" s="87" t="str">
        <x:v>Tradescantia hirsutiflora</x:v>
      </x:c>
      <x:c r="D725" s="84" t="str">
        <x:v>Hairyflower Spiderwort</x:v>
      </x:c>
      <x:c r="E725" s="84" t="str">
        <x:v>Perennial</x:v>
      </x:c>
      <x:c r="F725" s="84" t="str">
        <x:v>Herb</x:v>
      </x:c>
      <x:c r="G725" s="84" t="str">
        <x:v>Part-shade</x:v>
      </x:c>
      <x:c r="H725" s="84" t="str">
        <x:v>Moist</x:v>
      </x:c>
      <x:c r="I725" s="84" t="str">
        <x:v>tradescantia hirsutiflora</x:v>
      </x:c>
    </x:row>
    <x:row r="726">
      <x:c r="A726" s="83" t="str">
        <x:v>BONAP/NAPA Hays workbook</x:v>
      </x:c>
      <x:c r="B726" s="84" t="n">
        <x:v>729</x:v>
      </x:c>
      <x:c r="C726" s="87" t="str">
        <x:v>Tradescantia humilis</x:v>
      </x:c>
      <x:c r="D726" s="84" t="str">
        <x:v>Texas Spiderwort</x:v>
      </x:c>
      <x:c r="E726" s="84" t="str">
        <x:v>Perennial</x:v>
      </x:c>
      <x:c r="F726" s="84" t="str">
        <x:v>Herb</x:v>
      </x:c>
      <x:c r="G726" s="84" t="str"/>
      <x:c r="H726" s="84" t="str"/>
      <x:c r="I726" s="84" t="str">
        <x:v>tradescantia humilis</x:v>
      </x:c>
    </x:row>
    <x:row r="727">
      <x:c r="A727" s="83" t="str">
        <x:v>BONAP/NAPA Hays workbook</x:v>
      </x:c>
      <x:c r="B727" s="84" t="n">
        <x:v>730</x:v>
      </x:c>
      <x:c r="C727" s="87" t="str">
        <x:v>Tradescantia occidentalis</x:v>
      </x:c>
      <x:c r="D727" s="84" t="str">
        <x:v>Prairie Spiderwort, Western Spiderwort, Spiderwort</x:v>
      </x:c>
      <x:c r="E727" s="84" t="str">
        <x:v>Perennial</x:v>
      </x:c>
      <x:c r="F727" s="84" t="str">
        <x:v>Herb</x:v>
      </x:c>
      <x:c r="G727" s="84" t="str">
        <x:v>Sun, Part-shade</x:v>
      </x:c>
      <x:c r="H727" s="84" t="str">
        <x:v>Dry</x:v>
      </x:c>
      <x:c r="I727" s="84" t="str">
        <x:v>tradescantia occidentalis</x:v>
      </x:c>
    </x:row>
    <x:row r="728">
      <x:c r="A728" s="83" t="str">
        <x:v>BONAP/NAPA Hays workbook</x:v>
      </x:c>
      <x:c r="B728" s="84" t="n">
        <x:v>731</x:v>
      </x:c>
      <x:c r="C728" s="87" t="str">
        <x:v>Tradescantia pedicellata</x:v>
      </x:c>
      <x:c r="D728" s="84" t="str">
        <x:v>Edwards Plateau Spiderwort, Granite Spiderwort</x:v>
      </x:c>
      <x:c r="E728" s="84" t="str">
        <x:v>Perennial</x:v>
      </x:c>
      <x:c r="F728" s="84" t="str">
        <x:v>Herb</x:v>
      </x:c>
      <x:c r="G728" s="84" t="str"/>
      <x:c r="H728" s="84" t="str"/>
      <x:c r="I728" s="84" t="str">
        <x:v>tradescantia pedicellata</x:v>
      </x:c>
    </x:row>
    <x:row r="729">
      <x:c r="A729" s="83" t="str">
        <x:v>BONAP/NAPA Hays workbook</x:v>
      </x:c>
      <x:c r="B729" s="84" t="n">
        <x:v>732</x:v>
      </x:c>
      <x:c r="C729" s="87" t="str">
        <x:v>Tragia betonicifolia</x:v>
      </x:c>
      <x:c r="D729" s="84" t="str">
        <x:v>Betonyleaf Noseburn</x:v>
      </x:c>
      <x:c r="E729" s="84" t="str">
        <x:v>Perennial</x:v>
      </x:c>
      <x:c r="F729" s="84" t="str">
        <x:v>Herb</x:v>
      </x:c>
      <x:c r="G729" s="84" t="str"/>
      <x:c r="H729" s="84" t="str"/>
      <x:c r="I729" s="84" t="str">
        <x:v>tragia betonicifolia</x:v>
      </x:c>
    </x:row>
    <x:row r="730">
      <x:c r="A730" s="83" t="str">
        <x:v>BONAP/NAPA Hays workbook</x:v>
      </x:c>
      <x:c r="B730" s="84" t="n">
        <x:v>733</x:v>
      </x:c>
      <x:c r="C730" s="87" t="str">
        <x:v>Tragia brevispica</x:v>
      </x:c>
      <x:c r="D730" s="84" t="str">
        <x:v>Shortspike Noseburn</x:v>
      </x:c>
      <x:c r="E730" s="84" t="str">
        <x:v>Perennial</x:v>
      </x:c>
      <x:c r="F730" s="84" t="str">
        <x:v>Herb, Vine</x:v>
      </x:c>
      <x:c r="G730" s="84" t="str"/>
      <x:c r="H730" s="84" t="str"/>
      <x:c r="I730" s="84" t="str">
        <x:v>tragia brevispica</x:v>
      </x:c>
    </x:row>
    <x:row r="731">
      <x:c r="A731" s="83" t="str">
        <x:v>BONAP/NAPA Hays workbook</x:v>
      </x:c>
      <x:c r="B731" s="84" t="n">
        <x:v>734</x:v>
      </x:c>
      <x:c r="C731" s="87" t="str">
        <x:v>Tragia nigricans</x:v>
      </x:c>
      <x:c r="D731" s="84" t="str">
        <x:v>Dark Noseburn</x:v>
      </x:c>
      <x:c r="E731" s="84" t="str">
        <x:v>Perennial</x:v>
      </x:c>
      <x:c r="F731" s="84" t="str">
        <x:v>Herb</x:v>
      </x:c>
      <x:c r="G731" s="84" t="str"/>
      <x:c r="H731" s="84" t="str"/>
      <x:c r="I731" s="84" t="str">
        <x:v>tragia nigricans</x:v>
      </x:c>
    </x:row>
    <x:row r="732">
      <x:c r="A732" s="83" t="str">
        <x:v>BONAP/NAPA Hays workbook</x:v>
      </x:c>
      <x:c r="B732" s="84" t="n">
        <x:v>735</x:v>
      </x:c>
      <x:c r="C732" s="87" t="str">
        <x:v>Tragia ramosa</x:v>
      </x:c>
      <x:c r="D732" s="84" t="str">
        <x:v>Branched Noseburn</x:v>
      </x:c>
      <x:c r="E732" s="84" t="str">
        <x:v>Perennial</x:v>
      </x:c>
      <x:c r="F732" s="84" t="str">
        <x:v>Herb</x:v>
      </x:c>
      <x:c r="G732" s="84" t="str"/>
      <x:c r="H732" s="84" t="str"/>
      <x:c r="I732" s="84" t="str">
        <x:v>tragia ramosa</x:v>
      </x:c>
    </x:row>
    <x:row r="733">
      <x:c r="A733" s="83" t="str">
        <x:v>BONAP/NAPA Hays workbook</x:v>
      </x:c>
      <x:c r="B733" s="84" t="n">
        <x:v>736</x:v>
      </x:c>
      <x:c r="C733" s="87" t="str">
        <x:v>Tridens albescens</x:v>
      </x:c>
      <x:c r="D733" s="84" t="str">
        <x:v>White Tridens, White Top</x:v>
      </x:c>
      <x:c r="E733" s="84" t="str">
        <x:v>Perennial</x:v>
      </x:c>
      <x:c r="F733" s="84" t="str">
        <x:v>Grass/Grass-like</x:v>
      </x:c>
      <x:c r="G733" s="84" t="str">
        <x:v>Part-shade</x:v>
      </x:c>
      <x:c r="H733" s="84" t="str">
        <x:v>Moist</x:v>
      </x:c>
      <x:c r="I733" s="84" t="str">
        <x:v>tridens albescens</x:v>
      </x:c>
    </x:row>
    <x:row r="734">
      <x:c r="A734" s="83" t="str">
        <x:v>BONAP/NAPA Hays workbook</x:v>
      </x:c>
      <x:c r="B734" s="84" t="n">
        <x:v>737</x:v>
      </x:c>
      <x:c r="C734" s="87" t="str">
        <x:v>Tridens buckleyanus</x:v>
      </x:c>
      <x:c r="D734" s="84" t="str">
        <x:v>Buckley's Fluffgrass, Buckley's Tridens</x:v>
      </x:c>
      <x:c r="E734" s="84" t="str">
        <x:v>Perennial</x:v>
      </x:c>
      <x:c r="F734" s="84" t="str">
        <x:v>Grass/Grass-like</x:v>
      </x:c>
      <x:c r="G734" s="84" t="str"/>
      <x:c r="H734" s="84" t="str"/>
      <x:c r="I734" s="84" t="str">
        <x:v>tridens buckleyanus</x:v>
      </x:c>
    </x:row>
    <x:row r="735">
      <x:c r="A735" s="83" t="str">
        <x:v>BONAP/NAPA Hays workbook</x:v>
      </x:c>
      <x:c r="B735" s="84" t="n">
        <x:v>738</x:v>
      </x:c>
      <x:c r="C735" s="87" t="str">
        <x:v>Tridens eragrostoides</x:v>
      </x:c>
      <x:c r="D735" s="84" t="str">
        <x:v>Lovegrass Tridens</x:v>
      </x:c>
      <x:c r="E735" s="84" t="str">
        <x:v>Perennial</x:v>
      </x:c>
      <x:c r="F735" s="84" t="str">
        <x:v>Grass/Grass-like</x:v>
      </x:c>
      <x:c r="G735" s="84" t="str"/>
      <x:c r="H735" s="84" t="str"/>
      <x:c r="I735" s="84" t="str">
        <x:v>tridens eragrostoides</x:v>
      </x:c>
    </x:row>
    <x:row r="736">
      <x:c r="A736" s="83" t="str">
        <x:v>BONAP/NAPA Hays workbook</x:v>
      </x:c>
      <x:c r="B736" s="84" t="n">
        <x:v>739</x:v>
      </x:c>
      <x:c r="C736" s="87" t="str">
        <x:v>Tridens flavus</x:v>
      </x:c>
      <x:c r="D736" s="84" t="str">
        <x:v>Purpletop Tridens, Redtop Tridens, Tall Redtop Tridens, Purpletop, Redtop, Tall Redtop</x:v>
      </x:c>
      <x:c r="E736" s="84" t="str">
        <x:v>Perennial</x:v>
      </x:c>
      <x:c r="F736" s="84" t="str">
        <x:v>Grass/Grass-like</x:v>
      </x:c>
      <x:c r="G736" s="84" t="str">
        <x:v>Part-shade</x:v>
      </x:c>
      <x:c r="H736" s="84" t="str">
        <x:v>Dry</x:v>
      </x:c>
      <x:c r="I736" s="84" t="str">
        <x:v>tridens flavus</x:v>
      </x:c>
    </x:row>
    <x:row r="737">
      <x:c r="A737" s="83" t="str">
        <x:v>BONAP/NAPA Hays workbook</x:v>
      </x:c>
      <x:c r="B737" s="84" t="n">
        <x:v>740</x:v>
      </x:c>
      <x:c r="C737" s="87" t="str">
        <x:v>Tridens muticus</x:v>
      </x:c>
      <x:c r="D737" s="84" t="str">
        <x:v>Slim Tridens</x:v>
      </x:c>
      <x:c r="E737" s="84" t="str">
        <x:v>Perennial</x:v>
      </x:c>
      <x:c r="F737" s="84" t="str">
        <x:v>Grass/Grass-like</x:v>
      </x:c>
      <x:c r="G737" s="84" t="str"/>
      <x:c r="H737" s="84" t="str"/>
      <x:c r="I737" s="84" t="str">
        <x:v>tridens muticus</x:v>
      </x:c>
    </x:row>
    <x:row r="738">
      <x:c r="A738" s="83" t="str">
        <x:v>BONAP/NAPA Hays workbook</x:v>
      </x:c>
      <x:c r="B738" s="84" t="n">
        <x:v>741</x:v>
      </x:c>
      <x:c r="C738" s="87" t="str">
        <x:v>Tridens texanus</x:v>
      </x:c>
      <x:c r="D738" s="84" t="str">
        <x:v>Texas Fluffgrass, Texas Tridens</x:v>
      </x:c>
      <x:c r="E738" s="84" t="str">
        <x:v>Perennial</x:v>
      </x:c>
      <x:c r="F738" s="84" t="str">
        <x:v>Grass/Grass-like</x:v>
      </x:c>
      <x:c r="G738" s="84" t="str"/>
      <x:c r="H738" s="84" t="str"/>
      <x:c r="I738" s="84" t="str">
        <x:v>tridens texanus</x:v>
      </x:c>
    </x:row>
    <x:row r="739">
      <x:c r="A739" s="83" t="str">
        <x:v>BONAP/NAPA Hays workbook</x:v>
      </x:c>
      <x:c r="B739" s="84" t="n">
        <x:v>742</x:v>
      </x:c>
      <x:c r="C739" s="87" t="str">
        <x:v>Triodanis biflora</x:v>
      </x:c>
      <x:c r="D739" s="84" t="str">
        <x:v>Small Venus' Looking-glass</x:v>
      </x:c>
      <x:c r="E739" s="84" t="str">
        <x:v>Annual</x:v>
      </x:c>
      <x:c r="F739" s="84" t="str">
        <x:v>Herb</x:v>
      </x:c>
      <x:c r="G739" s="84" t="str"/>
      <x:c r="H739" s="84" t="str"/>
      <x:c r="I739" s="84" t="str">
        <x:v>triodanis biflora</x:v>
      </x:c>
    </x:row>
    <x:row r="740">
      <x:c r="A740" s="83" t="str">
        <x:v>BONAP/NAPA Hays workbook</x:v>
      </x:c>
      <x:c r="B740" s="84" t="n">
        <x:v>743</x:v>
      </x:c>
      <x:c r="C740" s="87" t="str">
        <x:v>Triodanis coloradoensis</x:v>
      </x:c>
      <x:c r="D740" s="84" t="str">
        <x:v>Colorado Venus' Looking-glass, Western Venus' Looking Glass</x:v>
      </x:c>
      <x:c r="E740" s="84" t="str">
        <x:v>Annual</x:v>
      </x:c>
      <x:c r="F740" s="84" t="str">
        <x:v>Herb</x:v>
      </x:c>
      <x:c r="G740" s="84" t="str"/>
      <x:c r="H740" s="84" t="str"/>
      <x:c r="I740" s="84" t="str">
        <x:v>triodanis coloradoensis</x:v>
      </x:c>
    </x:row>
    <x:row r="741">
      <x:c r="A741" s="83" t="str">
        <x:v>BONAP/NAPA Hays workbook</x:v>
      </x:c>
      <x:c r="B741" s="84" t="n">
        <x:v>744</x:v>
      </x:c>
      <x:c r="C741" s="87" t="str">
        <x:v>Triodanis leptocarpa</x:v>
      </x:c>
      <x:c r="D741" s="84" t="str">
        <x:v>Slimpod Venus' Looking-glass</x:v>
      </x:c>
      <x:c r="E741" s="84" t="str">
        <x:v>Annual</x:v>
      </x:c>
      <x:c r="F741" s="84" t="str">
        <x:v>Herb</x:v>
      </x:c>
      <x:c r="G741" s="84" t="str"/>
      <x:c r="H741" s="84" t="str"/>
      <x:c r="I741" s="84" t="str">
        <x:v>triodanis leptocarpa</x:v>
      </x:c>
    </x:row>
    <x:row r="742">
      <x:c r="A742" s="83" t="str">
        <x:v>BONAP/NAPA Hays workbook</x:v>
      </x:c>
      <x:c r="B742" s="84" t="n">
        <x:v>745</x:v>
      </x:c>
      <x:c r="C742" s="87" t="str">
        <x:v>Triodanis perfoliata</x:v>
      </x:c>
      <x:c r="D742" s="84" t="str">
        <x:v>Clasping Venus's Looking-glass</x:v>
      </x:c>
      <x:c r="E742" s="84" t="str">
        <x:v>Annual</x:v>
      </x:c>
      <x:c r="F742" s="84" t="str">
        <x:v>Herb</x:v>
      </x:c>
      <x:c r="G742" s="84" t="str">
        <x:v>Shade</x:v>
      </x:c>
      <x:c r="H742" s="84" t="str">
        <x:v>Dry</x:v>
      </x:c>
      <x:c r="I742" s="84" t="str">
        <x:v>triodanis perfoliata</x:v>
      </x:c>
    </x:row>
    <x:row r="743">
      <x:c r="A743" s="83" t="str">
        <x:v>BONAP/NAPA Hays workbook</x:v>
      </x:c>
      <x:c r="B743" s="84" t="n">
        <x:v>746</x:v>
      </x:c>
      <x:c r="C743" s="87" t="str">
        <x:v>Tripsacum dactyloides</x:v>
      </x:c>
      <x:c r="D743" s="84" t="str">
        <x:v>Eastern Gamagrass, Fakahatchee Grass</x:v>
      </x:c>
      <x:c r="E743" s="84" t="str">
        <x:v>Perennial</x:v>
      </x:c>
      <x:c r="F743" s="84" t="str">
        <x:v>Grass/Grass-like</x:v>
      </x:c>
      <x:c r="G743" s="84" t="str">
        <x:v>Part-shade</x:v>
      </x:c>
      <x:c r="H743" s="84" t="str">
        <x:v>Moist</x:v>
      </x:c>
      <x:c r="I743" s="84" t="str">
        <x:v>tripsacum dactyloides</x:v>
      </x:c>
    </x:row>
    <x:row r="744">
      <x:c r="A744" s="83" t="str">
        <x:v>BONAP/NAPA Hays workbook</x:v>
      </x:c>
      <x:c r="B744" s="84" t="n">
        <x:v>747</x:v>
      </x:c>
      <x:c r="C744" s="87" t="str">
        <x:v>Typha domingensis</x:v>
      </x:c>
      <x:c r="D744" s="84" t="str">
        <x:v>Southern Cattail</x:v>
      </x:c>
      <x:c r="E744" s="84" t="str">
        <x:v>Perennial</x:v>
      </x:c>
      <x:c r="F744" s="84" t="str">
        <x:v>Herb</x:v>
      </x:c>
      <x:c r="G744" s="84" t="str"/>
      <x:c r="H744" s="84" t="str"/>
      <x:c r="I744" s="84" t="str">
        <x:v>typha domingensis</x:v>
      </x:c>
    </x:row>
    <x:row r="745">
      <x:c r="A745" s="83" t="str">
        <x:v>BONAP/NAPA Hays workbook</x:v>
      </x:c>
      <x:c r="B745" s="84" t="n">
        <x:v>748</x:v>
      </x:c>
      <x:c r="C745" s="87" t="str">
        <x:v>Typha latifolia</x:v>
      </x:c>
      <x:c r="D745" s="84" t="str">
        <x:v>Broadleaf Cattail, Common Cattail</x:v>
      </x:c>
      <x:c r="E745" s="84" t="str">
        <x:v>Perennial</x:v>
      </x:c>
      <x:c r="F745" s="84" t="str">
        <x:v>Grass/Grass-like</x:v>
      </x:c>
      <x:c r="G745" s="84" t="str">
        <x:v>Sun, Part-shade</x:v>
      </x:c>
      <x:c r="H745" s="84" t="str">
        <x:v>Wet</x:v>
      </x:c>
      <x:c r="I745" s="84" t="str">
        <x:v>typha latifolia</x:v>
      </x:c>
    </x:row>
    <x:row r="746">
      <x:c r="A746" s="83" t="str">
        <x:v>BONAP/NAPA Hays workbook</x:v>
      </x:c>
      <x:c r="B746" s="84" t="n">
        <x:v>749</x:v>
      </x:c>
      <x:c r="C746" s="87" t="str">
        <x:v>Ulmus americana</x:v>
      </x:c>
      <x:c r="D746" s="84" t="str">
        <x:v>American Elm, White Elm, Soft Elm, Water Elm, Common Elm</x:v>
      </x:c>
      <x:c r="E746" s="84" t="str">
        <x:v>Perennial</x:v>
      </x:c>
      <x:c r="F746" s="84" t="str">
        <x:v>Tree</x:v>
      </x:c>
      <x:c r="G746" s="84" t="str">
        <x:v>Sun, Part-shade</x:v>
      </x:c>
      <x:c r="H746" s="84" t="str">
        <x:v>Moist</x:v>
      </x:c>
      <x:c r="I746" s="84" t="str">
        <x:v>ulmus americana</x:v>
      </x:c>
    </x:row>
    <x:row r="747">
      <x:c r="A747" s="83" t="str">
        <x:v>BONAP/NAPA Hays workbook</x:v>
      </x:c>
      <x:c r="B747" s="84" t="n">
        <x:v>750</x:v>
      </x:c>
      <x:c r="C747" s="87" t="str">
        <x:v>Ulmus crassifolia</x:v>
      </x:c>
      <x:c r="D747" s="84" t="str">
        <x:v>Cedar Elm, Fall Elm, Basket Elm, Scrub Elm, Lime Elm, Texas Elm, Southern Rock Elm, Olmo</x:v>
      </x:c>
      <x:c r="E747" s="84" t="str">
        <x:v>Perennial</x:v>
      </x:c>
      <x:c r="F747" s="84" t="str">
        <x:v>Tree</x:v>
      </x:c>
      <x:c r="G747" s="84" t="str">
        <x:v>Part-shade</x:v>
      </x:c>
      <x:c r="H747" s="84" t="str">
        <x:v>Moist</x:v>
      </x:c>
      <x:c r="I747" s="84" t="str">
        <x:v>ulmus crassifolia</x:v>
      </x:c>
    </x:row>
    <x:row r="748">
      <x:c r="A748" s="83" t="str">
        <x:v>BONAP/NAPA Hays workbook</x:v>
      </x:c>
      <x:c r="B748" s="84" t="n">
        <x:v>751</x:v>
      </x:c>
      <x:c r="C748" s="87" t="str">
        <x:v>Ulmus rubra</x:v>
      </x:c>
      <x:c r="D748" s="84" t="str">
        <x:v>Slippery Elm, Red Elm, Gray Elm, Soft Elm</x:v>
      </x:c>
      <x:c r="E748" s="84" t="str">
        <x:v>Perennial</x:v>
      </x:c>
      <x:c r="F748" s="84" t="str">
        <x:v>Tree</x:v>
      </x:c>
      <x:c r="G748" s="84" t="str">
        <x:v>Sun, Part-shade</x:v>
      </x:c>
      <x:c r="H748" s="84" t="str">
        <x:v>Moist</x:v>
      </x:c>
      <x:c r="I748" s="84" t="str">
        <x:v>ulmus rubra</x:v>
      </x:c>
    </x:row>
    <x:row r="749">
      <x:c r="A749" s="83" t="str">
        <x:v>BONAP/NAPA Hays workbook</x:v>
      </x:c>
      <x:c r="B749" s="84" t="n">
        <x:v>752</x:v>
      </x:c>
      <x:c r="C749" s="87" t="str">
        <x:v>Ungnadia speciosa</x:v>
      </x:c>
      <x:c r="D749" s="84" t="str">
        <x:v>Mexican Buckeye, Monilla</x:v>
      </x:c>
      <x:c r="E749" s="84" t="str">
        <x:v>Perennial</x:v>
      </x:c>
      <x:c r="F749" s="84" t="str">
        <x:v>Tree</x:v>
      </x:c>
      <x:c r="G749" s="84" t="str">
        <x:v>Sun, Part-shade</x:v>
      </x:c>
      <x:c r="H749" s="84" t="str">
        <x:v>Dry</x:v>
      </x:c>
      <x:c r="I749" s="84" t="str">
        <x:v>ungnadia speciosa</x:v>
      </x:c>
    </x:row>
    <x:row r="750">
      <x:c r="A750" s="83" t="str">
        <x:v>BONAP/NAPA Hays workbook</x:v>
      </x:c>
      <x:c r="B750" s="84" t="n">
        <x:v>753</x:v>
      </x:c>
      <x:c r="C750" s="87" t="str">
        <x:v>Urochloa texana</x:v>
      </x:c>
      <x:c r="D750" s="84" t="str">
        <x:v>Texas Signalgrass</x:v>
      </x:c>
      <x:c r="E750" s="84" t="str">
        <x:v>Annual</x:v>
      </x:c>
      <x:c r="F750" s="84" t="str">
        <x:v>Grass/Grass-like</x:v>
      </x:c>
      <x:c r="G750" s="84" t="str"/>
      <x:c r="H750" s="84" t="str"/>
      <x:c r="I750" s="84" t="str">
        <x:v>urochloa texana</x:v>
      </x:c>
    </x:row>
    <x:row r="751">
      <x:c r="A751" s="83" t="str">
        <x:v>BONAP/NAPA Hays workbook</x:v>
      </x:c>
      <x:c r="B751" s="84" t="n">
        <x:v>754</x:v>
      </x:c>
      <x:c r="C751" s="87" t="str">
        <x:v>Utricularia gibba</x:v>
      </x:c>
      <x:c r="D751" s="84" t="str">
        <x:v>Humped Bladderwort, Bladderwort, Conespur Bladderpod</x:v>
      </x:c>
      <x:c r="E751" s="84" t="str">
        <x:v>Perennial</x:v>
      </x:c>
      <x:c r="F751" s="84" t="str">
        <x:v>Herb</x:v>
      </x:c>
      <x:c r="G751" s="84" t="str">
        <x:v>Sun</x:v>
      </x:c>
      <x:c r="H751" s="84" t="str">
        <x:v>Wet</x:v>
      </x:c>
      <x:c r="I751" s="84" t="str">
        <x:v>utricularia gibba</x:v>
      </x:c>
    </x:row>
    <x:row r="752">
      <x:c r="A752" s="83" t="str">
        <x:v>BONAP/NAPA Hays workbook</x:v>
      </x:c>
      <x:c r="B752" s="84" t="n">
        <x:v>755</x:v>
      </x:c>
      <x:c r="C752" s="87" t="str">
        <x:v>Vachellia farnesiana</x:v>
      </x:c>
      <x:c r="D752" s="84" t="str">
        <x:v>Huisache, Texas Huisache, Sweet Acacia, Perfume Acacia, Mealy Acacia, Mealy Wattle, Cassie</x:v>
      </x:c>
      <x:c r="E752" s="84" t="str">
        <x:v>Perennial</x:v>
      </x:c>
      <x:c r="F752" s="84" t="str">
        <x:v>Tree</x:v>
      </x:c>
      <x:c r="G752" s="84" t="str">
        <x:v>Sun</x:v>
      </x:c>
      <x:c r="H752" s="84" t="str">
        <x:v>Dry</x:v>
      </x:c>
      <x:c r="I752" s="84" t="str">
        <x:v>vachellia farnesiana</x:v>
      </x:c>
    </x:row>
    <x:row r="753">
      <x:c r="A753" s="83" t="str">
        <x:v>BONAP/NAPA Hays workbook</x:v>
      </x:c>
      <x:c r="B753" s="84" t="n">
        <x:v>756</x:v>
      </x:c>
      <x:c r="C753" s="87" t="str">
        <x:v>Valerianella amarella</x:v>
      </x:c>
      <x:c r="D753" s="84" t="str">
        <x:v>Hairy Cornsalad</x:v>
      </x:c>
      <x:c r="E753" s="84" t="str">
        <x:v>Annual</x:v>
      </x:c>
      <x:c r="F753" s="84" t="str">
        <x:v>Herb</x:v>
      </x:c>
      <x:c r="G753" s="84" t="str"/>
      <x:c r="H753" s="84" t="str"/>
      <x:c r="I753" s="84" t="str">
        <x:v>valerianella amarella</x:v>
      </x:c>
    </x:row>
    <x:row r="754">
      <x:c r="A754" s="83" t="str">
        <x:v>BONAP/NAPA Hays workbook</x:v>
      </x:c>
      <x:c r="B754" s="84" t="n">
        <x:v>757</x:v>
      </x:c>
      <x:c r="C754" s="87" t="str">
        <x:v>Vallisneria americana</x:v>
      </x:c>
      <x:c r="D754" s="84" t="str">
        <x:v>American Eelgrass, Water Celery, Eelgrass, Tapegrass</x:v>
      </x:c>
      <x:c r="E754" s="84" t="str">
        <x:v>Perennial</x:v>
      </x:c>
      <x:c r="F754" s="84" t="str">
        <x:v>Herb</x:v>
      </x:c>
      <x:c r="G754" s="84" t="str">
        <x:v>Sun, Part-shade</x:v>
      </x:c>
      <x:c r="H754" s="84" t="str">
        <x:v>Wet</x:v>
      </x:c>
      <x:c r="I754" s="84" t="str">
        <x:v>vallisneria americana</x:v>
      </x:c>
    </x:row>
    <x:row r="755">
      <x:c r="A755" s="83" t="str">
        <x:v>BONAP/NAPA Hays workbook</x:v>
      </x:c>
      <x:c r="B755" s="84" t="n">
        <x:v>758</x:v>
      </x:c>
      <x:c r="C755" s="87" t="str">
        <x:v>Verbena canescens</x:v>
      </x:c>
      <x:c r="D755" s="84" t="str">
        <x:v>Gray Vervain</x:v>
      </x:c>
      <x:c r="E755" s="84" t="str">
        <x:v>Perennial</x:v>
      </x:c>
      <x:c r="F755" s="84" t="str">
        <x:v>Herb</x:v>
      </x:c>
      <x:c r="G755" s="84" t="str">
        <x:v>Sun</x:v>
      </x:c>
      <x:c r="H755" s="84" t="str">
        <x:v>Moist, Dry</x:v>
      </x:c>
      <x:c r="I755" s="84" t="str">
        <x:v>verbena canescens</x:v>
      </x:c>
    </x:row>
    <x:row r="756">
      <x:c r="A756" s="83" t="str">
        <x:v>BONAP/NAPA Hays workbook</x:v>
      </x:c>
      <x:c r="B756" s="84" t="n">
        <x:v>759</x:v>
      </x:c>
      <x:c r="C756" s="87" t="str">
        <x:v>Verbena halei</x:v>
      </x:c>
      <x:c r="D756" s="84" t="str">
        <x:v>Texas Vervain, Slender Verbena, Texas Verbena, Slender Vervain</x:v>
      </x:c>
      <x:c r="E756" s="84" t="str">
        <x:v>Perennial</x:v>
      </x:c>
      <x:c r="F756" s="84" t="str">
        <x:v>Shrub</x:v>
      </x:c>
      <x:c r="G756" s="84" t="str">
        <x:v>Sun</x:v>
      </x:c>
      <x:c r="H756" s="84" t="str">
        <x:v>Dry</x:v>
      </x:c>
      <x:c r="I756" s="84" t="str">
        <x:v>verbena halei</x:v>
      </x:c>
    </x:row>
    <x:row r="757">
      <x:c r="A757" s="83" t="str">
        <x:v>BONAP/NAPA Hays workbook</x:v>
      </x:c>
      <x:c r="B757" s="84" t="n">
        <x:v>760</x:v>
      </x:c>
      <x:c r="C757" s="87" t="str">
        <x:v>Verbena scabra</x:v>
      </x:c>
      <x:c r="D757" s="84" t="str">
        <x:v>Sandpaper Vervain</x:v>
      </x:c>
      <x:c r="E757" s="84" t="str">
        <x:v>Annual</x:v>
      </x:c>
      <x:c r="F757" s="84" t="str">
        <x:v>Herb, Subshrub</x:v>
      </x:c>
      <x:c r="G757" s="84" t="str"/>
      <x:c r="H757" s="84" t="str"/>
      <x:c r="I757" s="84" t="str">
        <x:v>verbena scabra</x:v>
      </x:c>
    </x:row>
    <x:row r="758">
      <x:c r="A758" s="83" t="str">
        <x:v>BONAP/NAPA Hays workbook</x:v>
      </x:c>
      <x:c r="B758" s="84" t="n">
        <x:v>761</x:v>
      </x:c>
      <x:c r="C758" s="87" t="str">
        <x:v>Verbesina encelioides</x:v>
      </x:c>
      <x:c r="D758" s="84" t="str">
        <x:v>Cowpen Daisy, Golden Crownbeard, Butter Daisy</x:v>
      </x:c>
      <x:c r="E758" s="84" t="str">
        <x:v>Annual</x:v>
      </x:c>
      <x:c r="F758" s="84" t="str">
        <x:v>Herb</x:v>
      </x:c>
      <x:c r="G758" s="84" t="str">
        <x:v>Sun</x:v>
      </x:c>
      <x:c r="H758" s="84" t="str">
        <x:v>Dry</x:v>
      </x:c>
      <x:c r="I758" s="84" t="str">
        <x:v>verbesina encelioides</x:v>
      </x:c>
    </x:row>
    <x:row r="759">
      <x:c r="A759" s="83" t="str">
        <x:v>BONAP/NAPA Hays workbook</x:v>
      </x:c>
      <x:c r="B759" s="84" t="n">
        <x:v>762</x:v>
      </x:c>
      <x:c r="C759" s="87" t="str">
        <x:v>Verbesina lindheimeri</x:v>
      </x:c>
      <x:c r="D759" s="84" t="str">
        <x:v>Lindheimer's Crownbeard</x:v>
      </x:c>
      <x:c r="E759" s="84" t="str">
        <x:v>Perennial</x:v>
      </x:c>
      <x:c r="F759" s="84" t="str">
        <x:v>Herb</x:v>
      </x:c>
      <x:c r="G759" s="84" t="str"/>
      <x:c r="H759" s="84" t="str"/>
      <x:c r="I759" s="84" t="str">
        <x:v>verbesina lindheimeri</x:v>
      </x:c>
    </x:row>
    <x:row r="760">
      <x:c r="A760" s="83" t="str">
        <x:v>BONAP/NAPA Hays workbook</x:v>
      </x:c>
      <x:c r="B760" s="84" t="n">
        <x:v>763</x:v>
      </x:c>
      <x:c r="C760" s="87" t="str">
        <x:v>Verbesina virginica</x:v>
      </x:c>
      <x:c r="D760" s="84" t="str">
        <x:v>Frostweed, White Crownbeard, Iceplant, Iceweed, Virginia Crownbeard, Indian Tobacco, Richweed, Squawweed</x:v>
      </x:c>
      <x:c r="E760" s="84" t="str">
        <x:v>Biennial, Perennial</x:v>
      </x:c>
      <x:c r="F760" s="84" t="str">
        <x:v>Herb</x:v>
      </x:c>
      <x:c r="G760" s="84" t="str">
        <x:v>Shade, Part-shade</x:v>
      </x:c>
      <x:c r="H760" s="84" t="str">
        <x:v>Moist, Dry</x:v>
      </x:c>
      <x:c r="I760" s="84" t="str">
        <x:v>verbesina virginica</x:v>
      </x:c>
    </x:row>
    <x:row r="761">
      <x:c r="A761" s="83" t="str">
        <x:v>BONAP/NAPA Hays workbook</x:v>
      </x:c>
      <x:c r="B761" s="84" t="n">
        <x:v>764</x:v>
      </x:c>
      <x:c r="C761" s="87" t="str">
        <x:v>Vernonia baldwinii</x:v>
      </x:c>
      <x:c r="D761" s="84" t="str">
        <x:v>Western Ironweed, Baldwin's Ironweed, Ironweed</x:v>
      </x:c>
      <x:c r="E761" s="84" t="str">
        <x:v>Perennial</x:v>
      </x:c>
      <x:c r="F761" s="84" t="str">
        <x:v>Herb</x:v>
      </x:c>
      <x:c r="G761" s="84" t="str">
        <x:v>Sun</x:v>
      </x:c>
      <x:c r="H761" s="84" t="str">
        <x:v>Moist</x:v>
      </x:c>
      <x:c r="I761" s="84" t="str">
        <x:v>vernonia baldwinii</x:v>
      </x:c>
    </x:row>
    <x:row r="762">
      <x:c r="A762" s="83" t="str">
        <x:v>BONAP/NAPA Hays workbook</x:v>
      </x:c>
      <x:c r="B762" s="84" t="n">
        <x:v>765</x:v>
      </x:c>
      <x:c r="C762" s="87" t="str">
        <x:v>Vernonia lindheimeri</x:v>
      </x:c>
      <x:c r="D762" s="84" t="str">
        <x:v>Woolly Ironweed</x:v>
      </x:c>
      <x:c r="E762" s="84" t="str">
        <x:v>Perennial</x:v>
      </x:c>
      <x:c r="F762" s="84" t="str">
        <x:v>Herb</x:v>
      </x:c>
      <x:c r="G762" s="84" t="str">
        <x:v>Sun</x:v>
      </x:c>
      <x:c r="H762" s="84" t="str">
        <x:v>Dry</x:v>
      </x:c>
      <x:c r="I762" s="84" t="str">
        <x:v>vernonia lindheimeri</x:v>
      </x:c>
    </x:row>
    <x:row r="763">
      <x:c r="A763" s="83" t="str">
        <x:v>BONAP/NAPA Hays workbook</x:v>
      </x:c>
      <x:c r="B763" s="84" t="n">
        <x:v>766</x:v>
      </x:c>
      <x:c r="C763" s="87" t="str">
        <x:v>Veronica anagallis-aquatica</x:v>
      </x:c>
      <x:c r="D763" s="84" t="str">
        <x:v>Water Speedwell</x:v>
      </x:c>
      <x:c r="E763" s="84" t="str">
        <x:v>Biennial</x:v>
      </x:c>
      <x:c r="F763" s="84" t="str">
        <x:v>Herb</x:v>
      </x:c>
      <x:c r="G763" s="84" t="str"/>
      <x:c r="H763" s="84" t="str"/>
      <x:c r="I763" s="84" t="str">
        <x:v>veronica anagallis-aquatica</x:v>
      </x:c>
    </x:row>
    <x:row r="764">
      <x:c r="A764" s="83" t="str">
        <x:v>BONAP/NAPA Hays workbook</x:v>
      </x:c>
      <x:c r="B764" s="84" t="n">
        <x:v>767</x:v>
      </x:c>
      <x:c r="C764" s="87" t="str">
        <x:v>Viburnum rufidulum</x:v>
      </x:c>
      <x:c r="D764" s="84" t="str">
        <x:v>Rusty Blackhaw Viburnum, Rusty Blackhaw, Southern Blackhaw, Blackhaw, Bluehaw, Downy Viburnum, Southern Nannyberry, Rusty Nannyberry, Nannyberry</x:v>
      </x:c>
      <x:c r="E764" s="84" t="str">
        <x:v>Perennial</x:v>
      </x:c>
      <x:c r="F764" s="84" t="str">
        <x:v>Tree</x:v>
      </x:c>
      <x:c r="G764" s="84" t="str">
        <x:v>Part-shade</x:v>
      </x:c>
      <x:c r="H764" s="84" t="str">
        <x:v>Dry</x:v>
      </x:c>
      <x:c r="I764" s="84" t="str">
        <x:v>viburnum rufidulum</x:v>
      </x:c>
    </x:row>
    <x:row r="765">
      <x:c r="A765" s="83" t="str">
        <x:v>BONAP/NAPA Hays workbook</x:v>
      </x:c>
      <x:c r="B765" s="84" t="n">
        <x:v>768</x:v>
      </x:c>
      <x:c r="C765" s="87" t="str">
        <x:v>Vicia ludoviciana ssp. leavenworthii</x:v>
      </x:c>
      <x:c r="D765" s="84" t="str">
        <x:v>Leavenworth's Vetch</x:v>
      </x:c>
      <x:c r="E765" s="84" t="str">
        <x:v>Annual</x:v>
      </x:c>
      <x:c r="F765" s="84" t="str">
        <x:v>Vine</x:v>
      </x:c>
      <x:c r="G765" s="84" t="str"/>
      <x:c r="H765" s="84" t="str"/>
      <x:c r="I765" s="84" t="str">
        <x:v>vicia ludoviciana ssp. leavenworthii</x:v>
      </x:c>
    </x:row>
    <x:row r="766">
      <x:c r="A766" s="83" t="str">
        <x:v>BONAP/NAPA Hays workbook</x:v>
      </x:c>
      <x:c r="B766" s="84" t="n">
        <x:v>769</x:v>
      </x:c>
      <x:c r="C766" s="87" t="str">
        <x:v>Vicia ludoviciana ssp. ludoviciana</x:v>
      </x:c>
      <x:c r="D766" s="84" t="str">
        <x:v>Deer Pea Vetch, Louisiana Vetch</x:v>
      </x:c>
      <x:c r="E766" s="84" t="str">
        <x:v>Annual</x:v>
      </x:c>
      <x:c r="F766" s="84" t="str">
        <x:v>Vine</x:v>
      </x:c>
      <x:c r="G766" s="84" t="str"/>
      <x:c r="H766" s="84" t="str"/>
      <x:c r="I766" s="84" t="str">
        <x:v>vicia ludoviciana ssp. ludoviciana</x:v>
      </x:c>
    </x:row>
    <x:row r="767">
      <x:c r="A767" s="83" t="str">
        <x:v>BONAP/NAPA Hays workbook</x:v>
      </x:c>
      <x:c r="B767" s="84" t="n">
        <x:v>770</x:v>
      </x:c>
      <x:c r="C767" s="87" t="str">
        <x:v>Viguiera dentata</x:v>
      </x:c>
      <x:c r="D767" s="84" t="str">
        <x:v>Plateau Goldeneye, Sunflower Goldeneye, Toothleaf Goldeneye, Chimalacate, Golden-eye</x:v>
      </x:c>
      <x:c r="E767" s="84" t="str">
        <x:v>Perennial</x:v>
      </x:c>
      <x:c r="F767" s="84" t="str">
        <x:v>Herb</x:v>
      </x:c>
      <x:c r="G767" s="84" t="str">
        <x:v>Part-shade</x:v>
      </x:c>
      <x:c r="H767" s="84" t="str">
        <x:v>Dry</x:v>
      </x:c>
      <x:c r="I767" s="84" t="str">
        <x:v>viguiera dentata</x:v>
      </x:c>
    </x:row>
    <x:row r="768">
      <x:c r="A768" s="83" t="str">
        <x:v>BONAP/NAPA Hays workbook</x:v>
      </x:c>
      <x:c r="B768" s="84" t="n">
        <x:v>771</x:v>
      </x:c>
      <x:c r="C768" s="87" t="str">
        <x:v>Viola affinis</x:v>
      </x:c>
      <x:c r="D768" s="84" t="str">
        <x:v>Sand Violet, Pale Early Violet, Thinleaf Violet, Small Blue Violet</x:v>
      </x:c>
      <x:c r="E768" s="84" t="str">
        <x:v>Perennial</x:v>
      </x:c>
      <x:c r="F768" s="84" t="str">
        <x:v>Herb</x:v>
      </x:c>
      <x:c r="G768" s="84" t="str">
        <x:v>Part-shade</x:v>
      </x:c>
      <x:c r="H768" s="84" t="str">
        <x:v>Moist</x:v>
      </x:c>
      <x:c r="I768" s="84" t="str">
        <x:v>viola affinis</x:v>
      </x:c>
    </x:row>
    <x:row r="769">
      <x:c r="A769" s="83" t="str">
        <x:v>BONAP/NAPA Hays workbook</x:v>
      </x:c>
      <x:c r="B769" s="84" t="n">
        <x:v>772</x:v>
      </x:c>
      <x:c r="C769" s="87" t="str">
        <x:v>Viola missouriensis</x:v>
      </x:c>
      <x:c r="D769" s="84" t="str">
        <x:v>Missouri Violet</x:v>
      </x:c>
      <x:c r="E769" s="84" t="str">
        <x:v>Annual, Perennial</x:v>
      </x:c>
      <x:c r="F769" s="84" t="str">
        <x:v>Herb</x:v>
      </x:c>
      <x:c r="G769" s="84" t="str">
        <x:v>Shade, Part-shade</x:v>
      </x:c>
      <x:c r="H769" s="84" t="str">
        <x:v>Moist</x:v>
      </x:c>
      <x:c r="I769" s="84" t="str">
        <x:v>viola missouriensis</x:v>
      </x:c>
    </x:row>
    <x:row r="770">
      <x:c r="A770" s="83" t="str">
        <x:v>BONAP/NAPA Hays workbook</x:v>
      </x:c>
      <x:c r="B770" s="84" t="n">
        <x:v>773</x:v>
      </x:c>
      <x:c r="C770" s="87" t="str">
        <x:v>Vitis cinerea var. helleri</x:v>
      </x:c>
      <x:c r="D770" s="84" t="str">
        <x:v>Winter Grape, Heller's Grape, Gray-leaf Grape, Smooth-leaf Grape, Sweet Grape, Spanish Grape</x:v>
      </x:c>
      <x:c r="E770" s="84" t="str">
        <x:v>Perennial</x:v>
      </x:c>
      <x:c r="F770" s="84" t="str">
        <x:v>Vine</x:v>
      </x:c>
      <x:c r="G770" s="84" t="str">
        <x:v>Part-shade</x:v>
      </x:c>
      <x:c r="H770" s="84" t="str">
        <x:v>Moist</x:v>
      </x:c>
      <x:c r="I770" s="84" t="str">
        <x:v>vitis cinerea var. helleri</x:v>
      </x:c>
    </x:row>
    <x:row r="771">
      <x:c r="A771" s="83" t="str">
        <x:v>BONAP/NAPA Hays workbook</x:v>
      </x:c>
      <x:c r="B771" s="84" t="n">
        <x:v>774</x:v>
      </x:c>
      <x:c r="C771" s="87" t="str">
        <x:v>Vitis mustangensis</x:v>
      </x:c>
      <x:c r="D771" s="84" t="str">
        <x:v>Mustang Grape</x:v>
      </x:c>
      <x:c r="E771" s="84" t="str">
        <x:v>Perennial</x:v>
      </x:c>
      <x:c r="F771" s="84" t="str">
        <x:v>Vine</x:v>
      </x:c>
      <x:c r="G771" s="84" t="str">
        <x:v>Part-shade</x:v>
      </x:c>
      <x:c r="H771" s="84" t="str">
        <x:v>Dry</x:v>
      </x:c>
      <x:c r="I771" s="84" t="str">
        <x:v>vitis mustangensis</x:v>
      </x:c>
    </x:row>
    <x:row r="772">
      <x:c r="A772" s="83" t="str">
        <x:v>BONAP/NAPA Hays workbook</x:v>
      </x:c>
      <x:c r="B772" s="84" t="n">
        <x:v>775</x:v>
      </x:c>
      <x:c r="C772" s="87" t="str">
        <x:v>Vulpia octoflora</x:v>
      </x:c>
      <x:c r="D772" s="84" t="str">
        <x:v>Sixweeks Fescue, Common Sixweeks Grass</x:v>
      </x:c>
      <x:c r="E772" s="84" t="str">
        <x:v>Annual</x:v>
      </x:c>
      <x:c r="F772" s="84" t="str">
        <x:v>Grass/Grass-like</x:v>
      </x:c>
      <x:c r="G772" s="84" t="str"/>
      <x:c r="H772" s="84" t="str"/>
      <x:c r="I772" s="84" t="str">
        <x:v>vulpia octoflora</x:v>
      </x:c>
    </x:row>
    <x:row r="773">
      <x:c r="A773" s="83" t="str">
        <x:v>BONAP/NAPA Hays workbook</x:v>
      </x:c>
      <x:c r="B773" s="84" t="n">
        <x:v>776</x:v>
      </x:c>
      <x:c r="C773" s="87" t="str">
        <x:v>Warnockia scutellarioides</x:v>
      </x:c>
      <x:c r="D773" s="84" t="str">
        <x:v>Prairie Brazosmint, Prairie Brazoria</x:v>
      </x:c>
      <x:c r="E773" s="84" t="str">
        <x:v>Annual</x:v>
      </x:c>
      <x:c r="F773" s="84" t="str">
        <x:v>Herb</x:v>
      </x:c>
      <x:c r="G773" s="84" t="str">
        <x:v>Part-shade</x:v>
      </x:c>
      <x:c r="H773" s="84" t="str">
        <x:v>Moist</x:v>
      </x:c>
      <x:c r="I773" s="84" t="str">
        <x:v>warnockia scutellarioides</x:v>
      </x:c>
    </x:row>
    <x:row r="774">
      <x:c r="A774" s="83" t="str">
        <x:v>BONAP/NAPA Hays workbook</x:v>
      </x:c>
      <x:c r="B774" s="84" t="n">
        <x:v>777</x:v>
      </x:c>
      <x:c r="C774" s="87" t="str">
        <x:v>Wedelia acapulcensis var. hispida</x:v>
      </x:c>
      <x:c r="D774" s="84" t="str">
        <x:v>Zexmenia, Orange Zexmenia, Hairy Wedelia, Wedelia, Texas Creeping-oxeye</x:v>
      </x:c>
      <x:c r="E774" s="84" t="str">
        <x:v>Perennial</x:v>
      </x:c>
      <x:c r="F774" s="84" t="str">
        <x:v>Herb</x:v>
      </x:c>
      <x:c r="G774" s="84" t="str">
        <x:v>Sun, Part-shade</x:v>
      </x:c>
      <x:c r="H774" s="84" t="str">
        <x:v>Moist, Dry</x:v>
      </x:c>
      <x:c r="I774" s="84" t="str">
        <x:v>wedelia acapulcensis var. hispida</x:v>
      </x:c>
    </x:row>
    <x:row r="775">
      <x:c r="A775" s="83" t="str">
        <x:v>BONAP/NAPA Hays workbook</x:v>
      </x:c>
      <x:c r="B775" s="84" t="n">
        <x:v>778</x:v>
      </x:c>
      <x:c r="C775" s="87" t="str">
        <x:v>Wolffia columbiana</x:v>
      </x:c>
      <x:c r="D775" s="84" t="str">
        <x:v>Columbian Watermeal</x:v>
      </x:c>
      <x:c r="E775" s="84" t="str">
        <x:v>Perennial</x:v>
      </x:c>
      <x:c r="F775" s="84" t="str">
        <x:v>Herb</x:v>
      </x:c>
      <x:c r="G775" s="84" t="str"/>
      <x:c r="H775" s="84" t="str"/>
      <x:c r="I775" s="84" t="str">
        <x:v>wolffia columbiana</x:v>
      </x:c>
    </x:row>
    <x:row r="776">
      <x:c r="A776" s="83" t="str">
        <x:v>BONAP/NAPA Hays workbook</x:v>
      </x:c>
      <x:c r="B776" s="84" t="n">
        <x:v>779</x:v>
      </x:c>
      <x:c r="C776" s="87" t="str">
        <x:v>Xanthium strumarium</x:v>
      </x:c>
      <x:c r="D776" s="84" t="str">
        <x:v>Rough Cocklebur</x:v>
      </x:c>
      <x:c r="E776" s="84" t="str">
        <x:v>Annual</x:v>
      </x:c>
      <x:c r="F776" s="84" t="str">
        <x:v>Herb</x:v>
      </x:c>
      <x:c r="G776" s="84" t="str"/>
      <x:c r="H776" s="84" t="str"/>
      <x:c r="I776" s="84" t="str">
        <x:v>xanthium strumarium</x:v>
      </x:c>
    </x:row>
    <x:row r="777">
      <x:c r="A777" s="83" t="str">
        <x:v>BONAP/NAPA Hays workbook</x:v>
      </x:c>
      <x:c r="B777" s="84" t="n">
        <x:v>780</x:v>
      </x:c>
      <x:c r="C777" s="87" t="str">
        <x:v>Yucca arkansana</x:v>
      </x:c>
      <x:c r="D777" s="84" t="str">
        <x:v>Arkansas Yucca, Softleaf Yucca</x:v>
      </x:c>
      <x:c r="E777" s="84" t="str">
        <x:v>Perennial</x:v>
      </x:c>
      <x:c r="F777" s="84" t="str">
        <x:v>Cactus/Succulent</x:v>
      </x:c>
      <x:c r="G777" s="84" t="str">
        <x:v>Part-shade</x:v>
      </x:c>
      <x:c r="H777" s="84" t="str">
        <x:v>Dry</x:v>
      </x:c>
      <x:c r="I777" s="84" t="str">
        <x:v>yucca arkansana</x:v>
      </x:c>
    </x:row>
    <x:row r="778">
      <x:c r="A778" s="83" t="str">
        <x:v>BONAP/NAPA Hays workbook</x:v>
      </x:c>
      <x:c r="B778" s="84" t="n">
        <x:v>781</x:v>
      </x:c>
      <x:c r="C778" s="87" t="str">
        <x:v>Yucca constricta</x:v>
      </x:c>
      <x:c r="D778" s="84" t="str">
        <x:v>Buckley Yucca, Buckley's Yucca</x:v>
      </x:c>
      <x:c r="E778" s="84" t="str">
        <x:v>Perennial</x:v>
      </x:c>
      <x:c r="F778" s="84" t="str">
        <x:v>Shrub</x:v>
      </x:c>
      <x:c r="G778" s="84" t="str">
        <x:v>Sun</x:v>
      </x:c>
      <x:c r="H778" s="84" t="str">
        <x:v>Dry</x:v>
      </x:c>
      <x:c r="I778" s="84" t="str">
        <x:v>yucca constricta</x:v>
      </x:c>
    </x:row>
    <x:row r="779">
      <x:c r="A779" s="83" t="str">
        <x:v>BONAP/NAPA Hays workbook</x:v>
      </x:c>
      <x:c r="B779" s="84" t="n">
        <x:v>782</x:v>
      </x:c>
      <x:c r="C779" s="87" t="str">
        <x:v>Yucca pallida</x:v>
      </x:c>
      <x:c r="D779" s="84" t="str">
        <x:v>Pale-leaf Yucca</x:v>
      </x:c>
      <x:c r="E779" s="84" t="str">
        <x:v>Perennial</x:v>
      </x:c>
      <x:c r="F779" s="84" t="str">
        <x:v>Cactus/Succulent</x:v>
      </x:c>
      <x:c r="G779" s="84" t="str">
        <x:v>Sun, Part-shade</x:v>
      </x:c>
      <x:c r="H779" s="84" t="str">
        <x:v>Dry</x:v>
      </x:c>
      <x:c r="I779" s="84" t="str">
        <x:v>yucca pallida</x:v>
      </x:c>
    </x:row>
    <x:row r="780">
      <x:c r="A780" s="83" t="str">
        <x:v>BONAP/NAPA Hays workbook</x:v>
      </x:c>
      <x:c r="B780" s="84" t="n">
        <x:v>783</x:v>
      </x:c>
      <x:c r="C780" s="87" t="str">
        <x:v>Yucca rupicola</x:v>
      </x:c>
      <x:c r="D780" s="84" t="str">
        <x:v>Twistleaf Yucca, Twisted-leaf Yucca, Texas Yucca, Spanish Dagger</x:v>
      </x:c>
      <x:c r="E780" s="84" t="str">
        <x:v>Perennial</x:v>
      </x:c>
      <x:c r="F780" s="84" t="str">
        <x:v>Cactus/Succulent</x:v>
      </x:c>
      <x:c r="G780" s="84" t="str">
        <x:v>Sun, Part-shade</x:v>
      </x:c>
      <x:c r="H780" s="84" t="str">
        <x:v>Dry</x:v>
      </x:c>
      <x:c r="I780" s="84" t="str">
        <x:v>yucca rupicola</x:v>
      </x:c>
    </x:row>
    <x:row r="781">
      <x:c r="A781" s="83" t="str">
        <x:v>BONAP/NAPA Hays workbook</x:v>
      </x:c>
      <x:c r="B781" s="84" t="n">
        <x:v>784</x:v>
      </x:c>
      <x:c r="C781" s="87" t="str">
        <x:v>Yucca torreyi</x:v>
      </x:c>
      <x:c r="D781" s="84" t="str">
        <x:v>Torrey Yucca, Torrey's Yucca, Spanish Bayonet, Spanish Dagger, Old Shag, Palma</x:v>
      </x:c>
      <x:c r="E781" s="84" t="str">
        <x:v>Perennial</x:v>
      </x:c>
      <x:c r="F781" s="84" t="str">
        <x:v>Shrub</x:v>
      </x:c>
      <x:c r="G781" s="84" t="str">
        <x:v>Sun</x:v>
      </x:c>
      <x:c r="H781" s="84" t="str">
        <x:v>Dry</x:v>
      </x:c>
      <x:c r="I781" s="84" t="str">
        <x:v>yucca torreyi</x:v>
      </x:c>
    </x:row>
    <x:row r="782">
      <x:c r="A782" s="83" t="str">
        <x:v>BONAP/NAPA Hays workbook</x:v>
      </x:c>
      <x:c r="B782" s="84" t="n">
        <x:v>785</x:v>
      </x:c>
      <x:c r="C782" s="87" t="str">
        <x:v>Yucca treculeana</x:v>
      </x:c>
      <x:c r="D782" s="84" t="str">
        <x:v>Spanish Dagger, Spanish Bayonet, Don Quixote's Lance, Palma Pita, Palma De Datil, Palmito</x:v>
      </x:c>
      <x:c r="E782" s="84" t="str">
        <x:v>Perennial</x:v>
      </x:c>
      <x:c r="F782" s="84" t="str">
        <x:v>Cactus/Succulent</x:v>
      </x:c>
      <x:c r="G782" s="84" t="str">
        <x:v>Part-shade</x:v>
      </x:c>
      <x:c r="H782" s="84" t="str">
        <x:v>Dry</x:v>
      </x:c>
      <x:c r="I782" s="84" t="str">
        <x:v>yucca treculeana</x:v>
      </x:c>
    </x:row>
    <x:row r="783">
      <x:c r="A783" s="83" t="str">
        <x:v>BONAP/NAPA Hays workbook</x:v>
      </x:c>
      <x:c r="B783" s="84" t="n">
        <x:v>786</x:v>
      </x:c>
      <x:c r="C783" s="87" t="str">
        <x:v>Zannichellia palustris</x:v>
      </x:c>
      <x:c r="D783" s="84" t="str">
        <x:v>Horned Pondweed, Horned Poolmat, Horned-pondweed</x:v>
      </x:c>
      <x:c r="E783" s="84" t="str">
        <x:v>Perennial</x:v>
      </x:c>
      <x:c r="F783" s="84" t="str">
        <x:v>Herb</x:v>
      </x:c>
      <x:c r="G783" s="84" t="str"/>
      <x:c r="H783" s="84" t="str"/>
      <x:c r="I783" s="84" t="str">
        <x:v>zannichellia palustris</x:v>
      </x:c>
    </x:row>
    <x:row r="784">
      <x:c r="A784" s="83" t="str">
        <x:v>BONAP/NAPA Hays workbook</x:v>
      </x:c>
      <x:c r="B784" s="84" t="n">
        <x:v>787</x:v>
      </x:c>
      <x:c r="C784" s="87" t="str">
        <x:v>Zanthoxylum hirsutum</x:v>
      </x:c>
      <x:c r="D784" s="84" t="str">
        <x:v>Texas Hercules' Club, Texas Prickly Ash, Limetone Prickly Ash, Toothache Tree, Tickle-tongue, Tingle-tongue</x:v>
      </x:c>
      <x:c r="E784" s="84" t="str">
        <x:v>Perennial</x:v>
      </x:c>
      <x:c r="F784" s="84" t="str">
        <x:v>Tree</x:v>
      </x:c>
      <x:c r="G784" s="84" t="str">
        <x:v>Part-shade</x:v>
      </x:c>
      <x:c r="H784" s="84" t="str">
        <x:v>Dry</x:v>
      </x:c>
      <x:c r="I784" s="84" t="str">
        <x:v>zanthoxylum hirsutum</x:v>
      </x:c>
    </x:row>
    <x:row r="785">
      <x:c r="A785" s="83" t="str">
        <x:v>BONAP/NAPA Hays workbook</x:v>
      </x:c>
      <x:c r="B785" s="84" t="n">
        <x:v>788</x:v>
      </x:c>
      <x:c r="C785" s="87" t="str">
        <x:v>Zigadenus nuttallii</x:v>
      </x:c>
      <x:c r="D785" s="84" t="str">
        <x:v>Nuttall's Death Camas, Death Camas, Poison-onion</x:v>
      </x:c>
      <x:c r="E785" s="84" t="str">
        <x:v>Perennial</x:v>
      </x:c>
      <x:c r="F785" s="84" t="str">
        <x:v>Herb</x:v>
      </x:c>
      <x:c r="G785" s="84" t="str">
        <x:v>Part-shade</x:v>
      </x:c>
      <x:c r="H785" s="84" t="str"/>
      <x:c r="I785" s="84" t="str">
        <x:v>zigadenus nuttallii</x:v>
      </x:c>
    </x:row>
    <x:row r="786">
      <x:c r="A786" s="83" t="str">
        <x:v>BONAP/NAPA Hays workbook</x:v>
      </x:c>
      <x:c r="B786" s="84" t="n">
        <x:v>789</x:v>
      </x:c>
      <x:c r="C786" s="87" t="str">
        <x:v>Zizania texana</x:v>
      </x:c>
      <x:c r="D786" s="84" t="str">
        <x:v>Texas Wildrice, Texas Wild Rice</x:v>
      </x:c>
      <x:c r="E786" s="84" t="str">
        <x:v>Perennial</x:v>
      </x:c>
      <x:c r="F786" s="84" t="str">
        <x:v>Grass/Grass-like</x:v>
      </x:c>
      <x:c r="G786" s="84" t="str">
        <x:v>Sun</x:v>
      </x:c>
      <x:c r="H786" s="84" t="str">
        <x:v>Wet</x:v>
      </x:c>
      <x:c r="I786" s="84" t="str">
        <x:v>zizania texana</x:v>
      </x:c>
    </x:row>
    <x:row r="787">
      <x:c r="A787" s="83" t="str">
        <x:v>BONAP/NAPA Hays workbook</x:v>
      </x:c>
      <x:c r="B787" s="84" t="n">
        <x:v>790</x:v>
      </x:c>
      <x:c r="C787" s="87" t="str">
        <x:v>Zizaniopsis miliacea</x:v>
      </x:c>
      <x:c r="D787" s="84" t="str">
        <x:v>Giant Cutgrass</x:v>
      </x:c>
      <x:c r="E787" s="84" t="str">
        <x:v>Perennial</x:v>
      </x:c>
      <x:c r="F787" s="84" t="str">
        <x:v>Grass/Grass-like</x:v>
      </x:c>
      <x:c r="G787" s="84" t="str"/>
      <x:c r="H787" s="84" t="str"/>
      <x:c r="I787" s="84" t="str">
        <x:v>zizaniopsis miliacea</x:v>
      </x:c>
    </x:row>
    <x:row r="788">
      <x:c r="A788" s="83" t="str">
        <x:v>BONAP/NAPA Hays workbook</x:v>
      </x:c>
      <x:c r="B788" s="84" t="n">
        <x:v>791</x:v>
      </x:c>
      <x:c r="C788" s="87" t="str">
        <x:v>Ziziphus obtusifolia</x:v>
      </x:c>
      <x:c r="D788" s="84" t="str">
        <x:v>Lotebush, Lote-bush Condalia, Graythorn</x:v>
      </x:c>
      <x:c r="E788" s="84" t="str">
        <x:v>Perennial</x:v>
      </x:c>
      <x:c r="F788" s="84" t="str">
        <x:v>Tree</x:v>
      </x:c>
      <x:c r="G788" s="84" t="str">
        <x:v>Part-shade</x:v>
      </x:c>
      <x:c r="H788" s="84" t="str">
        <x:v>Dry</x:v>
      </x:c>
      <x:c r="I788" s="84" t="str">
        <x:v>ziziphus obtusifolia</x:v>
      </x:c>
    </x:row>
    <x:row r="789">
      <x:c r="A789" s="83" t="str">
        <x:v>BONAP/NAPA Hays workbook</x:v>
      </x:c>
      <x:c r="B789" s="84" t="n">
        <x:v>792</x:v>
      </x:c>
      <x:c r="C789" s="87" t="str">
        <x:v>Zornia bracteata</x:v>
      </x:c>
      <x:c r="D789" s="84" t="str">
        <x:v>Viperina</x:v>
      </x:c>
      <x:c r="E789" s="84" t="str">
        <x:v>Annual</x:v>
      </x:c>
      <x:c r="F789" s="84" t="str">
        <x:v>Herb</x:v>
      </x:c>
      <x:c r="G789" s="84" t="str"/>
      <x:c r="H789" s="84" t="str"/>
      <x:c r="I789" s="84" t="str">
        <x:v>zornia bracteata</x:v>
      </x:c>
    </x:row>
    <x:row r="790">
      <x:c r="A790" s="83" t="str">
        <x:v>Wildflower Center pasted list</x:v>
      </x:c>
      <x:c r="B790" s="84" t="n">
        <x:v>2</x:v>
      </x:c>
      <x:c r="C790" s="87" t="str">
        <x:v>Abutilon fruticosum</x:v>
      </x:c>
      <x:c r="D790" s="84" t="str">
        <x:v>Texas Indian Mallow, Indian Mallow</x:v>
      </x:c>
      <x:c r="E790" s="84" t="str">
        <x:v>Perennial</x:v>
      </x:c>
      <x:c r="F790" s="84" t="str">
        <x:v>Herb</x:v>
      </x:c>
      <x:c r="G790" s="84" t="str">
        <x:v>Sun</x:v>
      </x:c>
      <x:c r="H790" s="84" t="str">
        <x:v>Dry</x:v>
      </x:c>
      <x:c r="I790" s="84" t="str">
        <x:v>abutilon fruticosum</x:v>
      </x:c>
    </x:row>
    <x:row r="791">
      <x:c r="A791" s="83" t="str">
        <x:v>Wildflower Center pasted list</x:v>
      </x:c>
      <x:c r="B791" s="84" t="n">
        <x:v>3</x:v>
      </x:c>
      <x:c r="C791" s="87" t="str">
        <x:v>Abutilon incanum</x:v>
      </x:c>
      <x:c r="D791" s="84" t="str">
        <x:v>Pelotazo, Indian Mallow, Shrubby Indian Mallow</x:v>
      </x:c>
      <x:c r="E791" s="84" t="str">
        <x:v>Perennial</x:v>
      </x:c>
      <x:c r="F791" s="84" t="str">
        <x:v>Shrub</x:v>
      </x:c>
      <x:c r="G791" s="84" t="str">
        <x:v>Sun</x:v>
      </x:c>
      <x:c r="H791" s="84" t="str">
        <x:v>Dry</x:v>
      </x:c>
      <x:c r="I791" s="84" t="str">
        <x:v>abutilon incanum</x:v>
      </x:c>
    </x:row>
    <x:row r="792">
      <x:c r="A792" s="83" t="str">
        <x:v>Wildflower Center pasted list</x:v>
      </x:c>
      <x:c r="B792" s="84" t="n">
        <x:v>4</x:v>
      </x:c>
      <x:c r="C792" s="87" t="str">
        <x:v>Acaciella angustissima var. hirta</x:v>
      </x:c>
      <x:c r="D792" s="84" t="str">
        <x:v>Prairie Acacia, Texas Prairie Acacia, Texas Fern Acacia, Prairie Wattle</x:v>
      </x:c>
      <x:c r="E792" s="84" t="str">
        <x:v>Perennial</x:v>
      </x:c>
      <x:c r="F792" s="84" t="str">
        <x:v>Subshrub</x:v>
      </x:c>
      <x:c r="G792" s="84" t="str">
        <x:v>Sun, Shade, Part-shade</x:v>
      </x:c>
      <x:c r="H792" s="84" t="str">
        <x:v>Moist, Dry</x:v>
      </x:c>
      <x:c r="I792" s="84" t="str">
        <x:v>acaciella angustissima var. hirta</x:v>
      </x:c>
    </x:row>
    <x:row r="793">
      <x:c r="A793" s="83" t="str">
        <x:v>Wildflower Center pasted list</x:v>
      </x:c>
      <x:c r="B793" s="84" t="n">
        <x:v>5</x:v>
      </x:c>
      <x:c r="C793" s="87" t="str">
        <x:v>Acalypha persimilis</x:v>
      </x:c>
      <x:c r="D793" s="84" t="str">
        <x:v>Hornbeam Copperleaf</x:v>
      </x:c>
      <x:c r="E793" s="84" t="str">
        <x:v>Annual</x:v>
      </x:c>
      <x:c r="F793" s="84" t="str">
        <x:v>Herb</x:v>
      </x:c>
      <x:c r="G793" s="84" t="str">
        <x:v>Sun</x:v>
      </x:c>
      <x:c r="H793" s="84" t="str">
        <x:v>Moist, Dry</x:v>
      </x:c>
      <x:c r="I793" s="84" t="str">
        <x:v>acalypha persimilis</x:v>
      </x:c>
    </x:row>
    <x:row r="794">
      <x:c r="A794" s="83" t="str">
        <x:v>Wildflower Center pasted list</x:v>
      </x:c>
      <x:c r="B794" s="84" t="n">
        <x:v>6</x:v>
      </x:c>
      <x:c r="C794" s="87" t="str">
        <x:v>Acalypha phleoides</x:v>
      </x:c>
      <x:c r="D794" s="84" t="str">
        <x:v>Shrubby Copperleaf, Three-seeded Mercury</x:v>
      </x:c>
      <x:c r="E794" s="84" t="str">
        <x:v>Perennial</x:v>
      </x:c>
      <x:c r="F794" s="84" t="str">
        <x:v>Herb</x:v>
      </x:c>
      <x:c r="G794" s="84" t="str">
        <x:v>Part-shade</x:v>
      </x:c>
      <x:c r="H794" s="84" t="str"/>
      <x:c r="I794" s="84" t="str">
        <x:v>acalypha phleoides</x:v>
      </x:c>
    </x:row>
    <x:row r="795">
      <x:c r="A795" s="83" t="str">
        <x:v>Wildflower Center pasted list</x:v>
      </x:c>
      <x:c r="B795" s="84" t="n">
        <x:v>7</x:v>
      </x:c>
      <x:c r="C795" s="87" t="str">
        <x:v>Acalypha radians</x:v>
      </x:c>
      <x:c r="D795" s="84" t="str">
        <x:v>Cardinal's Feather, Cardinal Feather</x:v>
      </x:c>
      <x:c r="E795" s="84" t="str">
        <x:v>Perennial</x:v>
      </x:c>
      <x:c r="F795" s="84" t="str">
        <x:v>Herb</x:v>
      </x:c>
      <x:c r="G795" s="84" t="str">
        <x:v>Sun</x:v>
      </x:c>
      <x:c r="H795" s="84" t="str">
        <x:v>Dry</x:v>
      </x:c>
      <x:c r="I795" s="84" t="str">
        <x:v>acalypha radians</x:v>
      </x:c>
    </x:row>
    <x:row r="796">
      <x:c r="A796" s="83" t="str">
        <x:v>Wildflower Center pasted list</x:v>
      </x:c>
      <x:c r="B796" s="84" t="n">
        <x:v>8</x:v>
      </x:c>
      <x:c r="C796" s="87" t="str">
        <x:v>Acer negundo</x:v>
      </x:c>
      <x:c r="D796" s="84" t="str">
        <x:v>Box Elder, Box Elder Maple, Ash-leaved Maple, Ashleaf Maple, Red River Maple, Fresno De Guajuco</x:v>
      </x:c>
      <x:c r="E796" s="84" t="str">
        <x:v>Perennial</x:v>
      </x:c>
      <x:c r="F796" s="84" t="str">
        <x:v>Tree</x:v>
      </x:c>
      <x:c r="G796" s="84" t="str">
        <x:v>Sun</x:v>
      </x:c>
      <x:c r="H796" s="84" t="str">
        <x:v>Moist</x:v>
      </x:c>
      <x:c r="I796" s="84" t="str">
        <x:v>acer negundo</x:v>
      </x:c>
    </x:row>
    <x:row r="797">
      <x:c r="A797" s="83" t="str">
        <x:v>Wildflower Center pasted list</x:v>
      </x:c>
      <x:c r="B797" s="84" t="n">
        <x:v>9</x:v>
      </x:c>
      <x:c r="C797" s="87" t="str">
        <x:v>Achillea millefolium</x:v>
      </x:c>
      <x:c r="D797" s="84" t="str">
        <x:v>Common Yarrow, Western Yarrow, Yarrow, Milfoil</x:v>
      </x:c>
      <x:c r="E797" s="84" t="str">
        <x:v>Perennial</x:v>
      </x:c>
      <x:c r="F797" s="84" t="str">
        <x:v>Herb</x:v>
      </x:c>
      <x:c r="G797" s="84" t="str">
        <x:v>Sun, Part-shade</x:v>
      </x:c>
      <x:c r="H797" s="84" t="str">
        <x:v>Dry</x:v>
      </x:c>
      <x:c r="I797" s="84" t="str">
        <x:v>achillea millefolium</x:v>
      </x:c>
    </x:row>
    <x:row r="798">
      <x:c r="A798" s="83" t="str">
        <x:v>Wildflower Center pasted list</x:v>
      </x:c>
      <x:c r="B798" s="84" t="n">
        <x:v>10</x:v>
      </x:c>
      <x:c r="C798" s="87" t="str">
        <x:v>Acleisanthes longiflora</x:v>
      </x:c>
      <x:c r="D798" s="84" t="str">
        <x:v>Angel's Trumpets, Angel Trumpets</x:v>
      </x:c>
      <x:c r="E798" s="84" t="str">
        <x:v>Perennial</x:v>
      </x:c>
      <x:c r="F798" s="84" t="str">
        <x:v>Herb</x:v>
      </x:c>
      <x:c r="G798" s="84" t="str">
        <x:v>Sun</x:v>
      </x:c>
      <x:c r="H798" s="84" t="str">
        <x:v>Moist, Dry</x:v>
      </x:c>
      <x:c r="I798" s="84" t="str">
        <x:v>acleisanthes longiflora</x:v>
      </x:c>
    </x:row>
    <x:row r="799">
      <x:c r="A799" s="83" t="str">
        <x:v>Wildflower Center pasted list</x:v>
      </x:c>
      <x:c r="B799" s="84" t="n">
        <x:v>11</x:v>
      </x:c>
      <x:c r="C799" s="87" t="str">
        <x:v>Adiantum capillus-veneris</x:v>
      </x:c>
      <x:c r="D799" s="84" t="str">
        <x:v>Southern Maidenhair Fern, Common Maidenhair Fern, Maidenhair Fern, Venus Hair Fern</x:v>
      </x:c>
      <x:c r="E799" s="84" t="str">
        <x:v>Perennial</x:v>
      </x:c>
      <x:c r="F799" s="84" t="str">
        <x:v>Fern</x:v>
      </x:c>
      <x:c r="G799" s="84" t="str">
        <x:v>Shade, Part-shade</x:v>
      </x:c>
      <x:c r="H799" s="84" t="str">
        <x:v>Wet, Moist</x:v>
      </x:c>
      <x:c r="I799" s="84" t="str">
        <x:v>adiantum capillus-veneris</x:v>
      </x:c>
    </x:row>
    <x:row r="800">
      <x:c r="A800" s="83" t="str">
        <x:v>Wildflower Center pasted list</x:v>
      </x:c>
      <x:c r="B800" s="84" t="n">
        <x:v>12</x:v>
      </x:c>
      <x:c r="C800" s="87" t="str">
        <x:v>Aesculus pavia</x:v>
      </x:c>
      <x:c r="D800" s="84" t="str">
        <x:v>Red Buckeye, Scarlet Buckeye , Firecracker Plant</x:v>
      </x:c>
      <x:c r="E800" s="84" t="str">
        <x:v>Perennial</x:v>
      </x:c>
      <x:c r="F800" s="84" t="str">
        <x:v>Shrub, Tree</x:v>
      </x:c>
      <x:c r="G800" s="84" t="str">
        <x:v>Part-shade</x:v>
      </x:c>
      <x:c r="H800" s="84" t="str">
        <x:v>Moist</x:v>
      </x:c>
      <x:c r="I800" s="84" t="str">
        <x:v>aesculus pavia</x:v>
      </x:c>
    </x:row>
    <x:row r="801">
      <x:c r="A801" s="83" t="str">
        <x:v>Wildflower Center pasted list</x:v>
      </x:c>
      <x:c r="B801" s="84" t="n">
        <x:v>13</x:v>
      </x:c>
      <x:c r="C801" s="87" t="str">
        <x:v>Aesculus pavia var. pavia</x:v>
      </x:c>
      <x:c r="D801" s="84" t="str">
        <x:v>Scarlet Buckeye, Red Buckeye, Southern Buckeye, Firecracker Plant</x:v>
      </x:c>
      <x:c r="E801" s="84" t="str">
        <x:v>Perennial</x:v>
      </x:c>
      <x:c r="F801" s="84" t="str">
        <x:v>Shrub, Tree</x:v>
      </x:c>
      <x:c r="G801" s="84" t="str">
        <x:v>Part-shade</x:v>
      </x:c>
      <x:c r="H801" s="84" t="str">
        <x:v>Moist, Dry</x:v>
      </x:c>
      <x:c r="I801" s="84" t="str">
        <x:v>aesculus pavia var. pavia</x:v>
      </x:c>
    </x:row>
    <x:row r="802">
      <x:c r="A802" s="83" t="str">
        <x:v>Wildflower Center pasted list</x:v>
      </x:c>
      <x:c r="B802" s="84" t="n">
        <x:v>14</x:v>
      </x:c>
      <x:c r="C802" s="87" t="str">
        <x:v>Agalinis edwardsiana</x:v>
      </x:c>
      <x:c r="D802" s="84" t="str">
        <x:v>Plateau False Foxglove, Plateau Agalinis, Plateau Gerardia, Plateau False-foxglove</x:v>
      </x:c>
      <x:c r="E802" s="84" t="str">
        <x:v>Annual</x:v>
      </x:c>
      <x:c r="F802" s="84" t="str">
        <x:v>Herb</x:v>
      </x:c>
      <x:c r="G802" s="84" t="str">
        <x:v>Part-shade</x:v>
      </x:c>
      <x:c r="H802" s="84" t="str"/>
      <x:c r="I802" s="84" t="str">
        <x:v>agalinis edwardsiana</x:v>
      </x:c>
    </x:row>
    <x:row r="803">
      <x:c r="A803" s="83" t="str">
        <x:v>Wildflower Center pasted list</x:v>
      </x:c>
      <x:c r="B803" s="84" t="n">
        <x:v>15</x:v>
      </x:c>
      <x:c r="C803" s="87" t="str">
        <x:v>Agalinis heterophylla</x:v>
      </x:c>
      <x:c r="D803" s="84" t="str">
        <x:v>Prairie Agalinis, Prairie False-foxglove</x:v>
      </x:c>
      <x:c r="E803" s="84" t="str">
        <x:v>Annual</x:v>
      </x:c>
      <x:c r="F803" s="84" t="str">
        <x:v>Herb</x:v>
      </x:c>
      <x:c r="G803" s="84" t="str">
        <x:v>Part-shade</x:v>
      </x:c>
      <x:c r="H803" s="84" t="str">
        <x:v>Moist, Dry</x:v>
      </x:c>
      <x:c r="I803" s="84" t="str">
        <x:v>agalinis heterophylla</x:v>
      </x:c>
    </x:row>
    <x:row r="804">
      <x:c r="A804" s="83" t="str">
        <x:v>Wildflower Center pasted list</x:v>
      </x:c>
      <x:c r="B804" s="84" t="n">
        <x:v>16</x:v>
      </x:c>
      <x:c r="C804" s="87" t="str">
        <x:v>Ageratina altissima</x:v>
      </x:c>
      <x:c r="D804" s="84" t="str">
        <x:v>White Snakeroot</x:v>
      </x:c>
      <x:c r="E804" s="84" t="str">
        <x:v>Perennial</x:v>
      </x:c>
      <x:c r="F804" s="84" t="str">
        <x:v>Herb</x:v>
      </x:c>
      <x:c r="G804" s="84" t="str">
        <x:v>Sun, Part-shade</x:v>
      </x:c>
      <x:c r="H804" s="84" t="str">
        <x:v>Moist, Dry</x:v>
      </x:c>
      <x:c r="I804" s="84" t="str">
        <x:v>ageratina altissima</x:v>
      </x:c>
    </x:row>
    <x:row r="805">
      <x:c r="A805" s="83" t="str">
        <x:v>Wildflower Center pasted list</x:v>
      </x:c>
      <x:c r="B805" s="84" t="n">
        <x:v>17</x:v>
      </x:c>
      <x:c r="C805" s="87" t="str">
        <x:v>Ageratina havanensis</x:v>
      </x:c>
      <x:c r="D805" s="84" t="str">
        <x:v>Shrubby Boneset, White Mistflower, White Shrub Mistflower, Havana Snakeroot</x:v>
      </x:c>
      <x:c r="E805" s="84" t="str">
        <x:v>Perennial</x:v>
      </x:c>
      <x:c r="F805" s="84" t="str">
        <x:v>Shrub</x:v>
      </x:c>
      <x:c r="G805" s="84" t="str">
        <x:v>Sun, Part-shade</x:v>
      </x:c>
      <x:c r="H805" s="84" t="str">
        <x:v>Dry</x:v>
      </x:c>
      <x:c r="I805" s="84" t="str">
        <x:v>ageratina havanensis</x:v>
      </x:c>
    </x:row>
    <x:row r="806">
      <x:c r="A806" s="83" t="str">
        <x:v>Wildflower Center pasted list</x:v>
      </x:c>
      <x:c r="B806" s="84" t="n">
        <x:v>18</x:v>
      </x:c>
      <x:c r="C806" s="87" t="str">
        <x:v>Allium canadense</x:v>
      </x:c>
      <x:c r="D806" s="84" t="str">
        <x:v>Meadow Garlic, Wild Garlic, Wild Onion</x:v>
      </x:c>
      <x:c r="E806" s="84" t="str">
        <x:v>Perennial</x:v>
      </x:c>
      <x:c r="F806" s="84" t="str">
        <x:v>Herb</x:v>
      </x:c>
      <x:c r="G806" s="84" t="str">
        <x:v>Sun</x:v>
      </x:c>
      <x:c r="H806" s="84" t="str">
        <x:v>Moist</x:v>
      </x:c>
      <x:c r="I806" s="84" t="str">
        <x:v>allium canadense</x:v>
      </x:c>
    </x:row>
    <x:row r="807">
      <x:c r="A807" s="83" t="str">
        <x:v>Wildflower Center pasted list</x:v>
      </x:c>
      <x:c r="B807" s="84" t="n">
        <x:v>19</x:v>
      </x:c>
      <x:c r="C807" s="87" t="str">
        <x:v>Allium drummondii</x:v>
      </x:c>
      <x:c r="D807" s="84" t="str">
        <x:v>Drummond's Onion, Wild Garlic, Drummond Wild Onion</x:v>
      </x:c>
      <x:c r="E807" s="84" t="str">
        <x:v>Perennial</x:v>
      </x:c>
      <x:c r="F807" s="84" t="str">
        <x:v>Herb</x:v>
      </x:c>
      <x:c r="G807" s="84" t="str">
        <x:v>Sun</x:v>
      </x:c>
      <x:c r="H807" s="84" t="str">
        <x:v>Dry</x:v>
      </x:c>
      <x:c r="I807" s="84" t="str">
        <x:v>allium drummondii</x:v>
      </x:c>
    </x:row>
    <x:row r="808">
      <x:c r="A808" s="83" t="str">
        <x:v>Wildflower Center pasted list</x:v>
      </x:c>
      <x:c r="B808" s="84" t="n">
        <x:v>20</x:v>
      </x:c>
      <x:c r="C808" s="87" t="str">
        <x:v>Allowissadula holosericea</x:v>
      </x:c>
      <x:c r="D808" s="84" t="str">
        <x:v>Velvet-leaf Mallow, Chisos Mountain False Indianmallow</x:v>
      </x:c>
      <x:c r="E808" s="84" t="str">
        <x:v>Perennial</x:v>
      </x:c>
      <x:c r="F808" s="84" t="str">
        <x:v>Shrub</x:v>
      </x:c>
      <x:c r="G808" s="84" t="str">
        <x:v>Part-shade</x:v>
      </x:c>
      <x:c r="H808" s="84" t="str">
        <x:v>Moist</x:v>
      </x:c>
      <x:c r="I808" s="84" t="str">
        <x:v>allowissadula holosericea</x:v>
      </x:c>
    </x:row>
    <x:row r="809">
      <x:c r="A809" s="83" t="str">
        <x:v>Wildflower Center pasted list</x:v>
      </x:c>
      <x:c r="B809" s="84" t="n">
        <x:v>21</x:v>
      </x:c>
      <x:c r="C809" s="87" t="str">
        <x:v>Aloysia gratissima</x:v>
      </x:c>
      <x:c r="D809" s="84" t="str">
        <x:v>Whitebrush, Bee-brush, White-brush, Common Bee-brush, Beebrush, Privet Lippia</x:v>
      </x:c>
      <x:c r="E809" s="84" t="str">
        <x:v>Perennial</x:v>
      </x:c>
      <x:c r="F809" s="84" t="str">
        <x:v>Shrub</x:v>
      </x:c>
      <x:c r="G809" s="84" t="str">
        <x:v>Sun, Part-shade</x:v>
      </x:c>
      <x:c r="H809" s="84" t="str">
        <x:v>Moist</x:v>
      </x:c>
      <x:c r="I809" s="84" t="str">
        <x:v>aloysia gratissima</x:v>
      </x:c>
    </x:row>
    <x:row r="810">
      <x:c r="A810" s="83" t="str">
        <x:v>Wildflower Center pasted list</x:v>
      </x:c>
      <x:c r="B810" s="84" t="n">
        <x:v>22</x:v>
      </x:c>
      <x:c r="C810" s="87" t="str">
        <x:v>Amaranthus palmeri</x:v>
      </x:c>
      <x:c r="D810" s="84" t="str">
        <x:v>Carelessweed</x:v>
      </x:c>
      <x:c r="E810" s="84" t="str">
        <x:v>Annual</x:v>
      </x:c>
      <x:c r="F810" s="84" t="str">
        <x:v>Herb</x:v>
      </x:c>
      <x:c r="G810" s="84" t="str"/>
      <x:c r="H810" s="84" t="str"/>
      <x:c r="I810" s="84" t="str">
        <x:v>amaranthus palmeri</x:v>
      </x:c>
    </x:row>
    <x:row r="811">
      <x:c r="A811" s="83" t="str">
        <x:v>Wildflower Center pasted list</x:v>
      </x:c>
      <x:c r="B811" s="84" t="n">
        <x:v>23</x:v>
      </x:c>
      <x:c r="C811" s="87" t="str">
        <x:v>Amaranthus polygonoides</x:v>
      </x:c>
      <x:c r="D811" s="84" t="str">
        <x:v>Tropical Amaranth</x:v>
      </x:c>
      <x:c r="E811" s="84" t="str">
        <x:v>Annual</x:v>
      </x:c>
      <x:c r="F811" s="84" t="str">
        <x:v>Herb</x:v>
      </x:c>
      <x:c r="G811" s="84" t="str"/>
      <x:c r="H811" s="84" t="str"/>
      <x:c r="I811" s="84" t="str">
        <x:v>amaranthus polygonoides</x:v>
      </x:c>
    </x:row>
    <x:row r="812">
      <x:c r="A812" s="83" t="str">
        <x:v>Wildflower Center pasted list</x:v>
      </x:c>
      <x:c r="B812" s="84" t="n">
        <x:v>24</x:v>
      </x:c>
      <x:c r="C812" s="87" t="str">
        <x:v>Amaranthus retroflexus</x:v>
      </x:c>
      <x:c r="D812" s="84" t="str">
        <x:v>Redroot Amaranth</x:v>
      </x:c>
      <x:c r="E812" s="84" t="str">
        <x:v>Annual</x:v>
      </x:c>
      <x:c r="F812" s="84" t="str">
        <x:v>Herb</x:v>
      </x:c>
      <x:c r="G812" s="84" t="str"/>
      <x:c r="H812" s="84" t="str"/>
      <x:c r="I812" s="84" t="str">
        <x:v>amaranthus retroflexus</x:v>
      </x:c>
    </x:row>
    <x:row r="813">
      <x:c r="A813" s="83" t="str">
        <x:v>Wildflower Center pasted list</x:v>
      </x:c>
      <x:c r="B813" s="84" t="n">
        <x:v>25</x:v>
      </x:c>
      <x:c r="C813" s="87" t="str">
        <x:v>Amaranthus scleropoides</x:v>
      </x:c>
      <x:c r="D813" s="84" t="str">
        <x:v>Bonebract Amaranth</x:v>
      </x:c>
      <x:c r="E813" s="84" t="str">
        <x:v>Annual</x:v>
      </x:c>
      <x:c r="F813" s="84" t="str">
        <x:v>Herb</x:v>
      </x:c>
      <x:c r="G813" s="84" t="str">
        <x:v>Sun</x:v>
      </x:c>
      <x:c r="H813" s="84" t="str">
        <x:v>Moist</x:v>
      </x:c>
      <x:c r="I813" s="84" t="str">
        <x:v>amaranthus scleropoides</x:v>
      </x:c>
    </x:row>
    <x:row r="814">
      <x:c r="A814" s="83" t="str">
        <x:v>Wildflower Center pasted list</x:v>
      </x:c>
      <x:c r="B814" s="84" t="n">
        <x:v>26</x:v>
      </x:c>
      <x:c r="C814" s="87" t="str">
        <x:v>Amaranthus spinosus</x:v>
      </x:c>
      <x:c r="D814" s="84" t="str">
        <x:v>Spiny Amaranth, Thorny Pigweed</x:v>
      </x:c>
      <x:c r="E814" s="84" t="str">
        <x:v>Annual</x:v>
      </x:c>
      <x:c r="F814" s="84" t="str">
        <x:v>Herb</x:v>
      </x:c>
      <x:c r="G814" s="84" t="str"/>
      <x:c r="H814" s="84" t="str"/>
      <x:c r="I814" s="84" t="str">
        <x:v>amaranthus spinosus</x:v>
      </x:c>
    </x:row>
    <x:row r="815">
      <x:c r="A815" s="83" t="str">
        <x:v>Wildflower Center pasted list</x:v>
      </x:c>
      <x:c r="B815" s="84" t="n">
        <x:v>27</x:v>
      </x:c>
      <x:c r="C815" s="87" t="str">
        <x:v>Ambrosia artemisiifolia</x:v>
      </x:c>
      <x:c r="D815" s="84" t="str">
        <x:v>Annual Ragweed, Short Ragweed</x:v>
      </x:c>
      <x:c r="E815" s="84" t="str">
        <x:v>Annual</x:v>
      </x:c>
      <x:c r="F815" s="84" t="str">
        <x:v>Herb</x:v>
      </x:c>
      <x:c r="G815" s="84" t="str">
        <x:v>Sun, Shade, Part-shade</x:v>
      </x:c>
      <x:c r="H815" s="84" t="str">
        <x:v>Dry</x:v>
      </x:c>
      <x:c r="I815" s="84" t="str">
        <x:v>ambrosia artemisiifolia</x:v>
      </x:c>
    </x:row>
    <x:row r="816">
      <x:c r="A816" s="83" t="str">
        <x:v>Wildflower Center pasted list</x:v>
      </x:c>
      <x:c r="B816" s="84" t="n">
        <x:v>28</x:v>
      </x:c>
      <x:c r="C816" s="87" t="str">
        <x:v>Ambrosia psilostachya</x:v>
      </x:c>
      <x:c r="D816" s="84" t="str">
        <x:v>Cuman Ragweed, Western Ragweed, Perennial Ragweed, Common Ragweed</x:v>
      </x:c>
      <x:c r="E816" s="84" t="str">
        <x:v>Perennial</x:v>
      </x:c>
      <x:c r="F816" s="84" t="str">
        <x:v>Herb</x:v>
      </x:c>
      <x:c r="G816" s="84" t="str">
        <x:v>Sun, Part-shade</x:v>
      </x:c>
      <x:c r="H816" s="84" t="str">
        <x:v>Dry</x:v>
      </x:c>
      <x:c r="I816" s="84" t="str">
        <x:v>ambrosia psilostachya</x:v>
      </x:c>
    </x:row>
    <x:row r="817">
      <x:c r="A817" s="83" t="str">
        <x:v>Wildflower Center pasted list</x:v>
      </x:c>
      <x:c r="B817" s="84" t="n">
        <x:v>29</x:v>
      </x:c>
      <x:c r="C817" s="87" t="str">
        <x:v>Ambrosia trifida</x:v>
      </x:c>
      <x:c r="D817" s="84" t="str">
        <x:v>Great Ragweed, Giant Ragweed</x:v>
      </x:c>
      <x:c r="E817" s="84" t="str">
        <x:v>Annual</x:v>
      </x:c>
      <x:c r="F817" s="84" t="str">
        <x:v>Subshrub</x:v>
      </x:c>
      <x:c r="G817" s="84" t="str">
        <x:v>Shade, Part-shade</x:v>
      </x:c>
      <x:c r="H817" s="84" t="str">
        <x:v>Moist</x:v>
      </x:c>
      <x:c r="I817" s="84" t="str">
        <x:v>ambrosia trifida</x:v>
      </x:c>
    </x:row>
    <x:row r="818">
      <x:c r="A818" s="83" t="str">
        <x:v>Wildflower Center pasted list</x:v>
      </x:c>
      <x:c r="B818" s="84" t="n">
        <x:v>30</x:v>
      </x:c>
      <x:c r="C818" s="87" t="str">
        <x:v>Ammannia auriculata</x:v>
      </x:c>
      <x:c r="D818" s="84" t="str">
        <x:v>Eared Redstem</x:v>
      </x:c>
      <x:c r="E818" s="84" t="str">
        <x:v>Annual</x:v>
      </x:c>
      <x:c r="F818" s="84" t="str">
        <x:v>Herb</x:v>
      </x:c>
      <x:c r="G818" s="84" t="str"/>
      <x:c r="H818" s="84" t="str"/>
      <x:c r="I818" s="84" t="str">
        <x:v>ammannia auriculata</x:v>
      </x:c>
    </x:row>
    <x:row r="819">
      <x:c r="A819" s="83" t="str">
        <x:v>Wildflower Center pasted list</x:v>
      </x:c>
      <x:c r="B819" s="84" t="n">
        <x:v>31</x:v>
      </x:c>
      <x:c r="C819" s="87" t="str">
        <x:v>Ammannia coccinea</x:v>
      </x:c>
      <x:c r="D819" s="84" t="str">
        <x:v>Valley Redstem, Scarlet Tooth-cup</x:v>
      </x:c>
      <x:c r="E819" s="84" t="str">
        <x:v>Annual</x:v>
      </x:c>
      <x:c r="F819" s="84" t="str">
        <x:v>Herb</x:v>
      </x:c>
      <x:c r="G819" s="84" t="str">
        <x:v>Sun</x:v>
      </x:c>
      <x:c r="H819" s="84" t="str"/>
      <x:c r="I819" s="84" t="str">
        <x:v>ammannia coccinea</x:v>
      </x:c>
    </x:row>
    <x:row r="820">
      <x:c r="A820" s="83" t="str">
        <x:v>Wildflower Center pasted list</x:v>
      </x:c>
      <x:c r="B820" s="84" t="n">
        <x:v>32</x:v>
      </x:c>
      <x:c r="C820" s="87" t="str">
        <x:v>Amorpha fruticosa</x:v>
      </x:c>
      <x:c r="D820" s="84" t="str">
        <x:v>Indigo Bush, False Indigo Bush, False Indigo, Desert False Indigo</x:v>
      </x:c>
      <x:c r="E820" s="84" t="str">
        <x:v>Perennial</x:v>
      </x:c>
      <x:c r="F820" s="84" t="str">
        <x:v>Shrub</x:v>
      </x:c>
      <x:c r="G820" s="84" t="str">
        <x:v>Sun, Part-shade</x:v>
      </x:c>
      <x:c r="H820" s="84" t="str">
        <x:v>Moist</x:v>
      </x:c>
      <x:c r="I820" s="84" t="str">
        <x:v>amorpha fruticosa</x:v>
      </x:c>
    </x:row>
    <x:row r="821">
      <x:c r="A821" s="83" t="str">
        <x:v>Wildflower Center pasted list</x:v>
      </x:c>
      <x:c r="B821" s="84" t="n">
        <x:v>33</x:v>
      </x:c>
      <x:c r="C821" s="87" t="str">
        <x:v>Amorpha roemeriana</x:v>
      </x:c>
      <x:c r="D821" s="84" t="str">
        <x:v>Roemer's False Indigo</x:v>
      </x:c>
      <x:c r="E821" s="84" t="str">
        <x:v>Perennial</x:v>
      </x:c>
      <x:c r="F821" s="84" t="str">
        <x:v>Shrub</x:v>
      </x:c>
      <x:c r="G821" s="84" t="str">
        <x:v>Part-shade</x:v>
      </x:c>
      <x:c r="H821" s="84" t="str">
        <x:v>Moist, Dry</x:v>
      </x:c>
      <x:c r="I821" s="84" t="str">
        <x:v>amorpha roemeriana</x:v>
      </x:c>
    </x:row>
    <x:row r="822">
      <x:c r="A822" s="83" t="str">
        <x:v>Wildflower Center pasted list</x:v>
      </x:c>
      <x:c r="B822" s="84" t="n">
        <x:v>34</x:v>
      </x:c>
      <x:c r="C822" s="87" t="str">
        <x:v>Ampelopsis cordata</x:v>
      </x:c>
      <x:c r="D822" s="84" t="str">
        <x:v>Heartleaf Peppervine, Heart-leaf Ampelopsis</x:v>
      </x:c>
      <x:c r="E822" s="84" t="str">
        <x:v>Perennial</x:v>
      </x:c>
      <x:c r="F822" s="84" t="str">
        <x:v>Vine</x:v>
      </x:c>
      <x:c r="G822" s="84" t="str">
        <x:v>Part-shade</x:v>
      </x:c>
      <x:c r="H822" s="84" t="str">
        <x:v>Dry</x:v>
      </x:c>
      <x:c r="I822" s="84" t="str">
        <x:v>ampelopsis cordata</x:v>
      </x:c>
    </x:row>
    <x:row r="823">
      <x:c r="A823" s="83" t="str">
        <x:v>Wildflower Center pasted list</x:v>
      </x:c>
      <x:c r="B823" s="84" t="n">
        <x:v>35</x:v>
      </x:c>
      <x:c r="C823" s="87" t="str">
        <x:v>Amphiachyris amoena</x:v>
      </x:c>
      <x:c r="D823" s="84" t="str">
        <x:v>Texas Broomweed</x:v>
      </x:c>
      <x:c r="E823" s="84" t="str">
        <x:v>Annual</x:v>
      </x:c>
      <x:c r="F823" s="84" t="str">
        <x:v>Herb</x:v>
      </x:c>
      <x:c r="G823" s="84" t="str"/>
      <x:c r="H823" s="84" t="str"/>
      <x:c r="I823" s="84" t="str">
        <x:v>amphiachyris amoena</x:v>
      </x:c>
    </x:row>
    <x:row r="824">
      <x:c r="A824" s="83" t="str">
        <x:v>Wildflower Center pasted list</x:v>
      </x:c>
      <x:c r="B824" s="84" t="n">
        <x:v>36</x:v>
      </x:c>
      <x:c r="C824" s="87" t="str">
        <x:v>Amphiachyris dracunculoides</x:v>
      </x:c>
      <x:c r="D824" s="84" t="str">
        <x:v>Prairie Broomweed, Broomweed</x:v>
      </x:c>
      <x:c r="E824" s="84" t="str">
        <x:v>Annual</x:v>
      </x:c>
      <x:c r="F824" s="84" t="str">
        <x:v>Herb</x:v>
      </x:c>
      <x:c r="G824" s="84" t="str"/>
      <x:c r="H824" s="84" t="str"/>
      <x:c r="I824" s="84" t="str">
        <x:v>amphiachyris dracunculoides</x:v>
      </x:c>
    </x:row>
    <x:row r="825">
      <x:c r="A825" s="83" t="str">
        <x:v>Wildflower Center pasted list</x:v>
      </x:c>
      <x:c r="B825" s="84" t="n">
        <x:v>37</x:v>
      </x:c>
      <x:c r="C825" s="87" t="str">
        <x:v>Amsonia ciliata var. texana</x:v>
      </x:c>
      <x:c r="D825" s="84" t="str">
        <x:v>Texas Bluestar</x:v>
      </x:c>
      <x:c r="E825" s="84" t="str">
        <x:v>Perennial</x:v>
      </x:c>
      <x:c r="F825" s="84" t="str">
        <x:v>Herb</x:v>
      </x:c>
      <x:c r="G825" s="84" t="str">
        <x:v>Sun, Part-shade</x:v>
      </x:c>
      <x:c r="H825" s="84" t="str">
        <x:v>Moist</x:v>
      </x:c>
      <x:c r="I825" s="84" t="str">
        <x:v>amsonia ciliata var. texana</x:v>
      </x:c>
    </x:row>
    <x:row r="826">
      <x:c r="A826" s="83" t="str">
        <x:v>Wildflower Center pasted list</x:v>
      </x:c>
      <x:c r="B826" s="84" t="n">
        <x:v>38</x:v>
      </x:c>
      <x:c r="C826" s="87" t="str">
        <x:v>Amsonia longiflora</x:v>
      </x:c>
      <x:c r="D826" s="84" t="str">
        <x:v>Tubular Bluestar, Trumpet Slimpod</x:v>
      </x:c>
      <x:c r="E826" s="84" t="str">
        <x:v>Perennial</x:v>
      </x:c>
      <x:c r="F826" s="84" t="str">
        <x:v>Herb</x:v>
      </x:c>
      <x:c r="G826" s="84" t="str"/>
      <x:c r="H826" s="84" t="str"/>
      <x:c r="I826" s="84" t="str">
        <x:v>amsonia longiflora</x:v>
      </x:c>
    </x:row>
    <x:row r="827">
      <x:c r="A827" s="83" t="str">
        <x:v>Wildflower Center pasted list</x:v>
      </x:c>
      <x:c r="B827" s="84" t="n">
        <x:v>39</x:v>
      </x:c>
      <x:c r="C827" s="87" t="str">
        <x:v>Andropogon gerardii</x:v>
      </x:c>
      <x:c r="D827" s="84" t="str">
        <x:v>Big Bluestem, Tall Bluestem, Turkeyfoot</x:v>
      </x:c>
      <x:c r="E827" s="84" t="str">
        <x:v>Perennial</x:v>
      </x:c>
      <x:c r="F827" s="84" t="str">
        <x:v>Grass/Grass-like</x:v>
      </x:c>
      <x:c r="G827" s="84" t="str">
        <x:v>Sun, Part-shade</x:v>
      </x:c>
      <x:c r="H827" s="84" t="str">
        <x:v>Moist</x:v>
      </x:c>
      <x:c r="I827" s="84" t="str">
        <x:v>andropogon gerardii</x:v>
      </x:c>
    </x:row>
    <x:row r="828">
      <x:c r="A828" s="83" t="str">
        <x:v>Wildflower Center pasted list</x:v>
      </x:c>
      <x:c r="B828" s="84" t="n">
        <x:v>40</x:v>
      </x:c>
      <x:c r="C828" s="87" t="str">
        <x:v>Andropogon glomeratus</x:v>
      </x:c>
      <x:c r="D828" s="84" t="str">
        <x:v>Bushy Bluestem, Brushy Bluestem</x:v>
      </x:c>
      <x:c r="E828" s="84" t="str">
        <x:v>Perennial</x:v>
      </x:c>
      <x:c r="F828" s="84" t="str">
        <x:v>Grass/Grass-like</x:v>
      </x:c>
      <x:c r="G828" s="84" t="str">
        <x:v>Sun</x:v>
      </x:c>
      <x:c r="H828" s="84" t="str">
        <x:v>Wet, Moist</x:v>
      </x:c>
      <x:c r="I828" s="84" t="str">
        <x:v>andropogon glomeratus</x:v>
      </x:c>
    </x:row>
    <x:row r="829">
      <x:c r="A829" s="83" t="str">
        <x:v>Wildflower Center pasted list</x:v>
      </x:c>
      <x:c r="B829" s="84" t="n">
        <x:v>41</x:v>
      </x:c>
      <x:c r="C829" s="87" t="str">
        <x:v>Andropogon virginicus</x:v>
      </x:c>
      <x:c r="D829" s="84" t="str">
        <x:v>Broomsedge, Broomsedge Bluestem, Yellowsedge Bluestem, Whiskey Grass, Popotillo Pajon</x:v>
      </x:c>
      <x:c r="E829" s="84" t="str">
        <x:v>Perennial</x:v>
      </x:c>
      <x:c r="F829" s="84" t="str">
        <x:v>Grass/Grass-like</x:v>
      </x:c>
      <x:c r="G829" s="84" t="str">
        <x:v>Part-shade</x:v>
      </x:c>
      <x:c r="H829" s="84" t="str">
        <x:v>Moist</x:v>
      </x:c>
      <x:c r="I829" s="84" t="str">
        <x:v>andropogon virginicus</x:v>
      </x:c>
    </x:row>
    <x:row r="830">
      <x:c r="A830" s="83" t="str">
        <x:v>Wildflower Center pasted list</x:v>
      </x:c>
      <x:c r="B830" s="84" t="n">
        <x:v>42</x:v>
      </x:c>
      <x:c r="C830" s="87" t="str">
        <x:v>Androstephium coeruleum</x:v>
      </x:c>
      <x:c r="D830" s="84" t="str">
        <x:v>Blue Funnel-lily, Prairie Lily, Funnel-flower, Fragrant Lily</x:v>
      </x:c>
      <x:c r="E830" s="84" t="str">
        <x:v>Perennial</x:v>
      </x:c>
      <x:c r="F830" s="84" t="str">
        <x:v>Herb</x:v>
      </x:c>
      <x:c r="G830" s="84" t="str"/>
      <x:c r="H830" s="84" t="str"/>
      <x:c r="I830" s="84" t="str">
        <x:v>androstephium coeruleum</x:v>
      </x:c>
    </x:row>
    <x:row r="831">
      <x:c r="A831" s="83" t="str">
        <x:v>Wildflower Center pasted list</x:v>
      </x:c>
      <x:c r="B831" s="84" t="n">
        <x:v>43</x:v>
      </x:c>
      <x:c r="C831" s="87" t="str">
        <x:v>Anemia mexicana</x:v>
      </x:c>
      <x:c r="D831" s="84" t="str">
        <x:v>Mexican Fern, Mexican Flowering Fern</x:v>
      </x:c>
      <x:c r="E831" s="84" t="str">
        <x:v>Perennial</x:v>
      </x:c>
      <x:c r="F831" s="84" t="str">
        <x:v>Herb, Fern</x:v>
      </x:c>
      <x:c r="G831" s="84" t="str"/>
      <x:c r="H831" s="84" t="str"/>
      <x:c r="I831" s="84" t="str">
        <x:v>anemia mexicana</x:v>
      </x:c>
    </x:row>
    <x:row r="832">
      <x:c r="A832" s="83" t="str">
        <x:v>Wildflower Center pasted list</x:v>
      </x:c>
      <x:c r="B832" s="84" t="n">
        <x:v>44</x:v>
      </x:c>
      <x:c r="C832" s="87" t="str">
        <x:v>Anemone berlandieri</x:v>
      </x:c>
      <x:c r="D832" s="84" t="str">
        <x:v>Tenpetal Anemone, Tenpetal Thimbleweed, Windflower, Southern Anemone, Granny's Nightcap</x:v>
      </x:c>
      <x:c r="E832" s="84" t="str">
        <x:v>Perennial</x:v>
      </x:c>
      <x:c r="F832" s="84" t="str">
        <x:v>Herb</x:v>
      </x:c>
      <x:c r="G832" s="84" t="str">
        <x:v>Part-shade</x:v>
      </x:c>
      <x:c r="H832" s="84" t="str"/>
      <x:c r="I832" s="84" t="str">
        <x:v>anemone berlandieri</x:v>
      </x:c>
    </x:row>
    <x:row r="833">
      <x:c r="A833" s="83" t="str">
        <x:v>Wildflower Center pasted list</x:v>
      </x:c>
      <x:c r="B833" s="84" t="n">
        <x:v>45</x:v>
      </x:c>
      <x:c r="C833" s="87" t="str">
        <x:v>Anemone caroliniana</x:v>
      </x:c>
      <x:c r="D833" s="84" t="str">
        <x:v>Carolina Anemone, Carolina Thimbleweed, Southern Thimbleweed</x:v>
      </x:c>
      <x:c r="E833" s="84" t="str">
        <x:v>Perennial</x:v>
      </x:c>
      <x:c r="F833" s="84" t="str">
        <x:v>Herb</x:v>
      </x:c>
      <x:c r="G833" s="84" t="str">
        <x:v>Sun</x:v>
      </x:c>
      <x:c r="H833" s="84" t="str"/>
      <x:c r="I833" s="84" t="str">
        <x:v>anemone caroliniana</x:v>
      </x:c>
    </x:row>
    <x:row r="834">
      <x:c r="A834" s="83" t="str">
        <x:v>Wildflower Center pasted list</x:v>
      </x:c>
      <x:c r="B834" s="84" t="n">
        <x:v>46</x:v>
      </x:c>
      <x:c r="C834" s="87" t="str">
        <x:v>Anemone edwardsiana var. edwardsiana</x:v>
      </x:c>
      <x:c r="D834" s="84" t="str">
        <x:v>Edwards Plateau Thimbleweed, Edwards Thimbleweed , Two-flower Anemone</x:v>
      </x:c>
      <x:c r="E834" s="84" t="str">
        <x:v>Perennial</x:v>
      </x:c>
      <x:c r="F834" s="84" t="str">
        <x:v>Herb</x:v>
      </x:c>
      <x:c r="G834" s="84" t="str"/>
      <x:c r="H834" s="84" t="str"/>
      <x:c r="I834" s="84" t="str">
        <x:v>anemone edwardsiana var. edwardsiana</x:v>
      </x:c>
    </x:row>
    <x:row r="835">
      <x:c r="A835" s="83" t="str">
        <x:v>Wildflower Center pasted list</x:v>
      </x:c>
      <x:c r="B835" s="84" t="n">
        <x:v>47</x:v>
      </x:c>
      <x:c r="C835" s="87" t="str">
        <x:v>Anoda cristata</x:v>
      </x:c>
      <x:c r="D835" s="84" t="str">
        <x:v>Crested Anoda</x:v>
      </x:c>
      <x:c r="E835" s="84" t="str">
        <x:v>Annual</x:v>
      </x:c>
      <x:c r="F835" s="84" t="str">
        <x:v>Herb</x:v>
      </x:c>
      <x:c r="G835" s="84" t="str"/>
      <x:c r="H835" s="84" t="str"/>
      <x:c r="I835" s="84" t="str">
        <x:v>anoda cristata</x:v>
      </x:c>
    </x:row>
    <x:row r="836">
      <x:c r="A836" s="83" t="str">
        <x:v>Wildflower Center pasted list</x:v>
      </x:c>
      <x:c r="B836" s="84" t="n">
        <x:v>48</x:v>
      </x:c>
      <x:c r="C836" s="87" t="str">
        <x:v>Aphanostephus riddellii</x:v>
      </x:c>
      <x:c r="D836" s="84" t="str">
        <x:v>Riddell's Dozedaisy, Lazy Daisy</x:v>
      </x:c>
      <x:c r="E836" s="84" t="str">
        <x:v>Perennial</x:v>
      </x:c>
      <x:c r="F836" s="84" t="str">
        <x:v>Herb</x:v>
      </x:c>
      <x:c r="G836" s="84" t="str">
        <x:v>Sun</x:v>
      </x:c>
      <x:c r="H836" s="84" t="str">
        <x:v>Moist</x:v>
      </x:c>
      <x:c r="I836" s="84" t="str">
        <x:v>aphanostephus riddellii</x:v>
      </x:c>
    </x:row>
    <x:row r="837">
      <x:c r="A837" s="83" t="str">
        <x:v>Wildflower Center pasted list</x:v>
      </x:c>
      <x:c r="B837" s="84" t="n">
        <x:v>49</x:v>
      </x:c>
      <x:c r="C837" s="87" t="str">
        <x:v>Aphanostephus skirrhobasis</x:v>
      </x:c>
      <x:c r="D837" s="84" t="str">
        <x:v>Lazy Daisy, Arkansas Lazy Daisy, Arkansas Doze-daisy</x:v>
      </x:c>
      <x:c r="E837" s="84" t="str">
        <x:v>Annual</x:v>
      </x:c>
      <x:c r="F837" s="84" t="str">
        <x:v>Herb</x:v>
      </x:c>
      <x:c r="G837" s="84" t="str">
        <x:v>Sun</x:v>
      </x:c>
      <x:c r="H837" s="84" t="str">
        <x:v>Dry</x:v>
      </x:c>
      <x:c r="I837" s="84" t="str">
        <x:v>aphanostephus skirrhobasis</x:v>
      </x:c>
    </x:row>
    <x:row r="838">
      <x:c r="A838" s="83" t="str">
        <x:v>Wildflower Center pasted list</x:v>
      </x:c>
      <x:c r="B838" s="84" t="n">
        <x:v>50</x:v>
      </x:c>
      <x:c r="C838" s="87" t="str">
        <x:v>Aquilegia canadensis</x:v>
      </x:c>
      <x:c r="D838" s="84" t="str">
        <x:v>Eastern Red Columbine, Wild Red Columbine</x:v>
      </x:c>
      <x:c r="E838" s="84" t="str">
        <x:v>Perennial</x:v>
      </x:c>
      <x:c r="F838" s="84" t="str">
        <x:v>Herb</x:v>
      </x:c>
      <x:c r="G838" s="84" t="str">
        <x:v>Shade, Part-shade</x:v>
      </x:c>
      <x:c r="H838" s="84" t="str">
        <x:v>Moist, Dry</x:v>
      </x:c>
      <x:c r="I838" s="84" t="str">
        <x:v>aquilegia canadensis</x:v>
      </x:c>
    </x:row>
    <x:row r="839">
      <x:c r="A839" s="83" t="str">
        <x:v>Wildflower Center pasted list</x:v>
      </x:c>
      <x:c r="B839" s="84" t="n">
        <x:v>51</x:v>
      </x:c>
      <x:c r="C839" s="87" t="str">
        <x:v>Arabis petiolaris</x:v>
      </x:c>
      <x:c r="D839" s="84" t="str">
        <x:v>Brazos Rockcress, Rock-cress, Brazos Rock-cress</x:v>
      </x:c>
      <x:c r="E839" s="84" t="str">
        <x:v>Annual</x:v>
      </x:c>
      <x:c r="F839" s="84" t="str">
        <x:v>Herb</x:v>
      </x:c>
      <x:c r="G839" s="84" t="str">
        <x:v>Sun</x:v>
      </x:c>
      <x:c r="H839" s="84" t="str"/>
      <x:c r="I839" s="84" t="str">
        <x:v>arabis petiolaris</x:v>
      </x:c>
    </x:row>
    <x:row r="840">
      <x:c r="A840" s="83" t="str">
        <x:v>Wildflower Center pasted list</x:v>
      </x:c>
      <x:c r="B840" s="84" t="n">
        <x:v>52</x:v>
      </x:c>
      <x:c r="C840" s="87" t="str">
        <x:v>Arbutus xalapensis</x:v>
      </x:c>
      <x:c r="D840" s="84" t="str">
        <x:v>Texas Madrone, Madrone, Texas Arbutus, Manzanita, Xoxocote, Amazaquitl</x:v>
      </x:c>
      <x:c r="E840" s="84" t="str">
        <x:v>Perennial</x:v>
      </x:c>
      <x:c r="F840" s="84" t="str">
        <x:v>Tree</x:v>
      </x:c>
      <x:c r="G840" s="84" t="str">
        <x:v>Sun, Part-shade</x:v>
      </x:c>
      <x:c r="H840" s="84" t="str">
        <x:v>Dry</x:v>
      </x:c>
      <x:c r="I840" s="84" t="str">
        <x:v>arbutus xalapensis</x:v>
      </x:c>
    </x:row>
    <x:row r="841">
      <x:c r="A841" s="83" t="str">
        <x:v>Wildflower Center pasted list</x:v>
      </x:c>
      <x:c r="B841" s="84" t="n">
        <x:v>53</x:v>
      </x:c>
      <x:c r="C841" s="87" t="str">
        <x:v>Arenaria benthamii</x:v>
      </x:c>
      <x:c r="D841" s="84" t="str">
        <x:v>Hilly Sandwort</x:v>
      </x:c>
      <x:c r="E841" s="84" t="str">
        <x:v>Annual</x:v>
      </x:c>
      <x:c r="F841" s="84" t="str">
        <x:v>Herb</x:v>
      </x:c>
      <x:c r="G841" s="84" t="str">
        <x:v>Sun, Part-shade</x:v>
      </x:c>
      <x:c r="H841" s="84" t="str">
        <x:v>Moist</x:v>
      </x:c>
      <x:c r="I841" s="84" t="str">
        <x:v>arenaria benthamii</x:v>
      </x:c>
    </x:row>
    <x:row r="842">
      <x:c r="A842" s="83" t="str">
        <x:v>Wildflower Center pasted list</x:v>
      </x:c>
      <x:c r="B842" s="84" t="n">
        <x:v>54</x:v>
      </x:c>
      <x:c r="C842" s="87" t="str">
        <x:v>Argemone albiflora</x:v>
      </x:c>
      <x:c r="D842" s="84" t="str">
        <x:v>Bluestem Pricklypoppy, White Pricklypoppy, White Prickly Poppy</x:v>
      </x:c>
      <x:c r="E842" s="84" t="str">
        <x:v>Annual</x:v>
      </x:c>
      <x:c r="F842" s="84" t="str">
        <x:v>Herb</x:v>
      </x:c>
      <x:c r="G842" s="84" t="str">
        <x:v>Part-shade</x:v>
      </x:c>
      <x:c r="H842" s="84" t="str">
        <x:v>Dry</x:v>
      </x:c>
      <x:c r="I842" s="84" t="str">
        <x:v>argemone albiflora</x:v>
      </x:c>
    </x:row>
    <x:row r="843">
      <x:c r="A843" s="83" t="str">
        <x:v>Wildflower Center pasted list</x:v>
      </x:c>
      <x:c r="B843" s="84" t="n">
        <x:v>55</x:v>
      </x:c>
      <x:c r="C843" s="87" t="str">
        <x:v>Argemone aurantiaca</x:v>
      </x:c>
      <x:c r="D843" s="84" t="str">
        <x:v>Texas Pricklypoppy, Texas Prickly Poppy</x:v>
      </x:c>
      <x:c r="E843" s="84" t="str">
        <x:v>Annual, Biennial</x:v>
      </x:c>
      <x:c r="F843" s="84" t="str">
        <x:v>Herb</x:v>
      </x:c>
      <x:c r="G843" s="84" t="str">
        <x:v>Sun</x:v>
      </x:c>
      <x:c r="H843" s="84" t="str">
        <x:v>Moist, Dry</x:v>
      </x:c>
      <x:c r="I843" s="84" t="str">
        <x:v>argemone aurantiaca</x:v>
      </x:c>
    </x:row>
    <x:row r="844">
      <x:c r="A844" s="83" t="str">
        <x:v>Wildflower Center pasted list</x:v>
      </x:c>
      <x:c r="B844" s="84" t="n">
        <x:v>56</x:v>
      </x:c>
      <x:c r="C844" s="87" t="str">
        <x:v>Argyrochosma dealbata</x:v>
      </x:c>
      <x:c r="D844" s="84" t="str">
        <x:v>Powdery False Cloak Fern, Powdery Cloak Fern, False Cloak Fern</x:v>
      </x:c>
      <x:c r="E844" s="84" t="str">
        <x:v>Perennial</x:v>
      </x:c>
      <x:c r="F844" s="84" t="str">
        <x:v>Herb, Fern</x:v>
      </x:c>
      <x:c r="G844" s="84" t="str">
        <x:v>Shade</x:v>
      </x:c>
      <x:c r="H844" s="84" t="str">
        <x:v>Moist</x:v>
      </x:c>
      <x:c r="I844" s="84" t="str">
        <x:v>argyrochosma dealbata</x:v>
      </x:c>
    </x:row>
    <x:row r="845">
      <x:c r="A845" s="83" t="str">
        <x:v>Wildflower Center pasted list</x:v>
      </x:c>
      <x:c r="B845" s="84" t="n">
        <x:v>57</x:v>
      </x:c>
      <x:c r="C845" s="87" t="str">
        <x:v>Argythamnia aphoroides</x:v>
      </x:c>
      <x:c r="D845" s="84" t="str">
        <x:v>Hill Country Silverbush</x:v>
      </x:c>
      <x:c r="E845" s="84" t="str">
        <x:v>Perennial</x:v>
      </x:c>
      <x:c r="F845" s="84" t="str">
        <x:v>Herb</x:v>
      </x:c>
      <x:c r="G845" s="84" t="str"/>
      <x:c r="H845" s="84" t="str"/>
      <x:c r="I845" s="84" t="str">
        <x:v>argythamnia aphoroides</x:v>
      </x:c>
    </x:row>
    <x:row r="846">
      <x:c r="A846" s="83" t="str">
        <x:v>Wildflower Center pasted list</x:v>
      </x:c>
      <x:c r="B846" s="84" t="n">
        <x:v>58</x:v>
      </x:c>
      <x:c r="C846" s="87" t="str">
        <x:v>Argythamnia humilis</x:v>
      </x:c>
      <x:c r="D846" s="84" t="str">
        <x:v>Low Silverbush</x:v>
      </x:c>
      <x:c r="E846" s="84" t="str">
        <x:v>Perennial</x:v>
      </x:c>
      <x:c r="F846" s="84" t="str">
        <x:v>Subshrub</x:v>
      </x:c>
      <x:c r="G846" s="84" t="str">
        <x:v>Sun, Part-shade</x:v>
      </x:c>
      <x:c r="H846" s="84" t="str">
        <x:v>Dry</x:v>
      </x:c>
      <x:c r="I846" s="84" t="str">
        <x:v>argythamnia humilis</x:v>
      </x:c>
    </x:row>
    <x:row r="847">
      <x:c r="A847" s="83" t="str">
        <x:v>Wildflower Center pasted list</x:v>
      </x:c>
      <x:c r="B847" s="84" t="n">
        <x:v>59</x:v>
      </x:c>
      <x:c r="C847" s="87" t="str">
        <x:v>Argythamnia simulans</x:v>
      </x:c>
      <x:c r="D847" s="84" t="str">
        <x:v>Plateau Silverbush, Tall Wild-mercury</x:v>
      </x:c>
      <x:c r="E847" s="84" t="str">
        <x:v>Perennial</x:v>
      </x:c>
      <x:c r="F847" s="84" t="str">
        <x:v>Herb</x:v>
      </x:c>
      <x:c r="G847" s="84" t="str"/>
      <x:c r="H847" s="84" t="str"/>
      <x:c r="I847" s="84" t="str">
        <x:v>argythamnia simulans</x:v>
      </x:c>
    </x:row>
    <x:row r="848">
      <x:c r="A848" s="83" t="str">
        <x:v>Wildflower Center pasted list</x:v>
      </x:c>
      <x:c r="B848" s="84" t="n">
        <x:v>60</x:v>
      </x:c>
      <x:c r="C848" s="87" t="str">
        <x:v>Arisaema dracontium</x:v>
      </x:c>
      <x:c r="D848" s="84" t="str">
        <x:v>Green Dragon, Dragonroot, Greendragon</x:v>
      </x:c>
      <x:c r="E848" s="84" t="str">
        <x:v>Perennial</x:v>
      </x:c>
      <x:c r="F848" s="84" t="str">
        <x:v>Herb</x:v>
      </x:c>
      <x:c r="G848" s="84" t="str">
        <x:v>Sun, Shade</x:v>
      </x:c>
      <x:c r="H848" s="84" t="str">
        <x:v>Moist</x:v>
      </x:c>
      <x:c r="I848" s="84" t="str">
        <x:v>arisaema dracontium</x:v>
      </x:c>
    </x:row>
    <x:row r="849">
      <x:c r="A849" s="83" t="str">
        <x:v>Wildflower Center pasted list</x:v>
      </x:c>
      <x:c r="B849" s="84" t="n">
        <x:v>61</x:v>
      </x:c>
      <x:c r="C849" s="87" t="str">
        <x:v>Aristida oligantha</x:v>
      </x:c>
      <x:c r="D849" s="84" t="str">
        <x:v>Prairie Threeawn, Oldfield (Prairie) 3-awn, Oldfield Threeawn</x:v>
      </x:c>
      <x:c r="E849" s="84" t="str">
        <x:v>Annual</x:v>
      </x:c>
      <x:c r="F849" s="84" t="str">
        <x:v>Grass/Grass-like</x:v>
      </x:c>
      <x:c r="G849" s="84" t="str">
        <x:v>Sun</x:v>
      </x:c>
      <x:c r="H849" s="84" t="str">
        <x:v>Dry</x:v>
      </x:c>
      <x:c r="I849" s="84" t="str">
        <x:v>aristida oligantha</x:v>
      </x:c>
    </x:row>
    <x:row r="850">
      <x:c r="A850" s="83" t="str">
        <x:v>Wildflower Center pasted list</x:v>
      </x:c>
      <x:c r="B850" s="84" t="n">
        <x:v>62</x:v>
      </x:c>
      <x:c r="C850" s="87" t="str">
        <x:v>Aristida purpurea</x:v>
      </x:c>
      <x:c r="D850" s="84" t="str">
        <x:v>Purple Threeawn, Purple 3-awn, Purple Three-awn, Red Threeawn</x:v>
      </x:c>
      <x:c r="E850" s="84" t="str">
        <x:v>Annual</x:v>
      </x:c>
      <x:c r="F850" s="84" t="str">
        <x:v>Grass/Grass-like</x:v>
      </x:c>
      <x:c r="G850" s="84" t="str">
        <x:v>Sun</x:v>
      </x:c>
      <x:c r="H850" s="84" t="str">
        <x:v>Dry</x:v>
      </x:c>
      <x:c r="I850" s="84" t="str">
        <x:v>aristida purpurea</x:v>
      </x:c>
    </x:row>
    <x:row r="851">
      <x:c r="A851" s="83" t="str">
        <x:v>Wildflower Center pasted list</x:v>
      </x:c>
      <x:c r="B851" s="84" t="n">
        <x:v>63</x:v>
      </x:c>
      <x:c r="C851" s="87" t="str">
        <x:v>Aristolochia erecta</x:v>
      </x:c>
      <x:c r="D851" s="84" t="str">
        <x:v>Swanflower</x:v>
      </x:c>
      <x:c r="E851" s="84" t="str">
        <x:v>Perennial</x:v>
      </x:c>
      <x:c r="F851" s="84" t="str">
        <x:v>Herb, Vine</x:v>
      </x:c>
      <x:c r="G851" s="84" t="str">
        <x:v>Sun, Part-shade</x:v>
      </x:c>
      <x:c r="H851" s="84" t="str">
        <x:v>Moist</x:v>
      </x:c>
      <x:c r="I851" s="84" t="str">
        <x:v>aristolochia erecta</x:v>
      </x:c>
    </x:row>
    <x:row r="852">
      <x:c r="A852" s="83" t="str">
        <x:v>Wildflower Center pasted list</x:v>
      </x:c>
      <x:c r="B852" s="84" t="n">
        <x:v>64</x:v>
      </x:c>
      <x:c r="C852" s="87" t="str">
        <x:v>Aristolochia serpentaria</x:v>
      </x:c>
      <x:c r="D852" s="84" t="str">
        <x:v>Virginia Snakeroot, Virginia Dutchmanspipe</x:v>
      </x:c>
      <x:c r="E852" s="84" t="str">
        <x:v>Perennial</x:v>
      </x:c>
      <x:c r="F852" s="84" t="str">
        <x:v>Herb</x:v>
      </x:c>
      <x:c r="G852" s="84" t="str">
        <x:v>Shade</x:v>
      </x:c>
      <x:c r="H852" s="84" t="str">
        <x:v>Dry</x:v>
      </x:c>
      <x:c r="I852" s="84" t="str">
        <x:v>aristolochia serpentaria</x:v>
      </x:c>
    </x:row>
    <x:row r="853">
      <x:c r="A853" s="83" t="str">
        <x:v>Wildflower Center pasted list</x:v>
      </x:c>
      <x:c r="B853" s="84" t="n">
        <x:v>65</x:v>
      </x:c>
      <x:c r="C853" s="87" t="str">
        <x:v>Arnoglossum plantagineum</x:v>
      </x:c>
      <x:c r="D853" s="84" t="str">
        <x:v>Groovestem Indian Plantain, Indian Plantain, Prairie Plantain, Prairie Indian Plantain</x:v>
      </x:c>
      <x:c r="E853" s="84" t="str">
        <x:v>Perennial</x:v>
      </x:c>
      <x:c r="F853" s="84" t="str">
        <x:v>Herb</x:v>
      </x:c>
      <x:c r="G853" s="84" t="str">
        <x:v>Sun</x:v>
      </x:c>
      <x:c r="H853" s="84" t="str">
        <x:v>Moist</x:v>
      </x:c>
      <x:c r="I853" s="84" t="str">
        <x:v>arnoglossum plantagineum</x:v>
      </x:c>
    </x:row>
    <x:row r="854">
      <x:c r="A854" s="83" t="str">
        <x:v>Wildflower Center pasted list</x:v>
      </x:c>
      <x:c r="B854" s="84" t="n">
        <x:v>66</x:v>
      </x:c>
      <x:c r="C854" s="87" t="str">
        <x:v>Artemisia ludoviciana</x:v>
      </x:c>
      <x:c r="D854" s="84" t="str">
        <x:v>Louisiana Artemisia, Louisiana Sage, White Sage, Prairie Sage, Silver Sage, White Sagebrush, Louisiana Wormwood, Silver Wormwood, Louisiana Sagewort, Gray Sagewort, Cudweed Sagewort, Mugwort Wormwood</x:v>
      </x:c>
      <x:c r="E854" s="84" t="str">
        <x:v>Perennial</x:v>
      </x:c>
      <x:c r="F854" s="84" t="str">
        <x:v>Subshrub</x:v>
      </x:c>
      <x:c r="G854" s="84" t="str">
        <x:v>Sun</x:v>
      </x:c>
      <x:c r="H854" s="84" t="str">
        <x:v>Dry</x:v>
      </x:c>
      <x:c r="I854" s="84" t="str">
        <x:v>artemisia ludoviciana</x:v>
      </x:c>
    </x:row>
    <x:row r="855">
      <x:c r="A855" s="83" t="str">
        <x:v>Wildflower Center pasted list</x:v>
      </x:c>
      <x:c r="B855" s="84" t="n">
        <x:v>67</x:v>
      </x:c>
      <x:c r="C855" s="87" t="str">
        <x:v>Asclepias asperula</x:v>
      </x:c>
      <x:c r="D855" s="84" t="str">
        <x:v>Antelope-horns, Spider Milkweed, Green-flowered Milkweed, Spider Antelope-horns, Antelope Horns</x:v>
      </x:c>
      <x:c r="E855" s="84" t="str">
        <x:v>Perennial</x:v>
      </x:c>
      <x:c r="F855" s="84" t="str">
        <x:v>Herb</x:v>
      </x:c>
      <x:c r="G855" s="84" t="str">
        <x:v>Sun</x:v>
      </x:c>
      <x:c r="H855" s="84" t="str">
        <x:v>Moist, Dry</x:v>
      </x:c>
      <x:c r="I855" s="84" t="str">
        <x:v>asclepias asperula</x:v>
      </x:c>
    </x:row>
    <x:row r="856">
      <x:c r="A856" s="83" t="str">
        <x:v>Wildflower Center pasted list</x:v>
      </x:c>
      <x:c r="B856" s="84" t="n">
        <x:v>68</x:v>
      </x:c>
      <x:c r="C856" s="87" t="str">
        <x:v>Asclepias oenotheroides</x:v>
      </x:c>
      <x:c r="D856" s="84" t="str">
        <x:v>Zizotes Milkweed, Hierba De Zizotes, Side-cluster Milkweed, Longhorn Milkweed, Primrose Milkweed, Lindheimer's Milkweed</x:v>
      </x:c>
      <x:c r="E856" s="84" t="str">
        <x:v>Perennial</x:v>
      </x:c>
      <x:c r="F856" s="84" t="str">
        <x:v>Herb</x:v>
      </x:c>
      <x:c r="G856" s="84" t="str">
        <x:v>Sun</x:v>
      </x:c>
      <x:c r="H856" s="84" t="str">
        <x:v>Dry</x:v>
      </x:c>
      <x:c r="I856" s="84" t="str">
        <x:v>asclepias oenotheroides</x:v>
      </x:c>
    </x:row>
    <x:row r="857">
      <x:c r="A857" s="83" t="str">
        <x:v>Wildflower Center pasted list</x:v>
      </x:c>
      <x:c r="B857" s="84" t="n">
        <x:v>69</x:v>
      </x:c>
      <x:c r="C857" s="87" t="str">
        <x:v>Asclepias texana</x:v>
      </x:c>
      <x:c r="D857" s="84" t="str">
        <x:v>Texas Milkweed, White Milkweed</x:v>
      </x:c>
      <x:c r="E857" s="84" t="str">
        <x:v>Perennial</x:v>
      </x:c>
      <x:c r="F857" s="84" t="str">
        <x:v>Herb</x:v>
      </x:c>
      <x:c r="G857" s="84" t="str">
        <x:v>Sun</x:v>
      </x:c>
      <x:c r="H857" s="84" t="str">
        <x:v>Dry</x:v>
      </x:c>
      <x:c r="I857" s="84" t="str">
        <x:v>asclepias texana</x:v>
      </x:c>
    </x:row>
    <x:row r="858">
      <x:c r="A858" s="83" t="str">
        <x:v>Wildflower Center pasted list</x:v>
      </x:c>
      <x:c r="B858" s="84" t="n">
        <x:v>70</x:v>
      </x:c>
      <x:c r="C858" s="87" t="str">
        <x:v>Asclepias viridiflora</x:v>
      </x:c>
      <x:c r="D858" s="84" t="str">
        <x:v>Green Comet Milkweed, Green-flowered Milkweed, Green Milkweed, Wand Milkweed</x:v>
      </x:c>
      <x:c r="E858" s="84" t="str">
        <x:v>Perennial</x:v>
      </x:c>
      <x:c r="F858" s="84" t="str">
        <x:v>Herb</x:v>
      </x:c>
      <x:c r="G858" s="84" t="str">
        <x:v>Sun</x:v>
      </x:c>
      <x:c r="H858" s="84" t="str">
        <x:v>Dry</x:v>
      </x:c>
      <x:c r="I858" s="84" t="str">
        <x:v>asclepias viridiflora</x:v>
      </x:c>
    </x:row>
    <x:row r="859">
      <x:c r="A859" s="83" t="str">
        <x:v>Wildflower Center pasted list</x:v>
      </x:c>
      <x:c r="B859" s="84" t="n">
        <x:v>71</x:v>
      </x:c>
      <x:c r="C859" s="87" t="str">
        <x:v>Asclepias viridis</x:v>
      </x:c>
      <x:c r="D859" s="84" t="str">
        <x:v>Green Milkweed, Spider Milkweed</x:v>
      </x:c>
      <x:c r="E859" s="84" t="str">
        <x:v>Perennial</x:v>
      </x:c>
      <x:c r="F859" s="84" t="str">
        <x:v>Herb</x:v>
      </x:c>
      <x:c r="G859" s="84" t="str">
        <x:v>Sun</x:v>
      </x:c>
      <x:c r="H859" s="84" t="str">
        <x:v>Moist</x:v>
      </x:c>
      <x:c r="I859" s="84" t="str">
        <x:v>asclepias viridis</x:v>
      </x:c>
    </x:row>
    <x:row r="860">
      <x:c r="A860" s="83" t="str">
        <x:v>Wildflower Center pasted list</x:v>
      </x:c>
      <x:c r="B860" s="84" t="n">
        <x:v>72</x:v>
      </x:c>
      <x:c r="C860" s="87" t="str">
        <x:v>Asplenium resiliens</x:v>
      </x:c>
      <x:c r="D860" s="84" t="str">
        <x:v>Blackstem Spleenwort</x:v>
      </x:c>
      <x:c r="E860" s="84" t="str">
        <x:v>Perennial</x:v>
      </x:c>
      <x:c r="F860" s="84" t="str">
        <x:v>Herb, Fern</x:v>
      </x:c>
      <x:c r="G860" s="84" t="str"/>
      <x:c r="H860" s="84" t="str"/>
      <x:c r="I860" s="84" t="str">
        <x:v>asplenium resiliens</x:v>
      </x:c>
    </x:row>
    <x:row r="861">
      <x:c r="A861" s="83" t="str">
        <x:v>Wildflower Center pasted list</x:v>
      </x:c>
      <x:c r="B861" s="84" t="n">
        <x:v>73</x:v>
      </x:c>
      <x:c r="C861" s="87" t="str">
        <x:v>Astragalus crassicarpus var. berlandieri</x:v>
      </x:c>
      <x:c r="D861" s="84" t="str">
        <x:v>Berlandier's Groundplum, Groundplum Milkvetch, Groundplum</x:v>
      </x:c>
      <x:c r="E861" s="84" t="str">
        <x:v>Perennial</x:v>
      </x:c>
      <x:c r="F861" s="84" t="str">
        <x:v>Herb</x:v>
      </x:c>
      <x:c r="G861" s="84" t="str">
        <x:v>Sun</x:v>
      </x:c>
      <x:c r="H861" s="84" t="str">
        <x:v>Dry</x:v>
      </x:c>
      <x:c r="I861" s="84" t="str">
        <x:v>astragalus crassicarpus var. berlandieri</x:v>
      </x:c>
    </x:row>
    <x:row r="862">
      <x:c r="A862" s="83" t="str">
        <x:v>Wildflower Center pasted list</x:v>
      </x:c>
      <x:c r="B862" s="84" t="n">
        <x:v>74</x:v>
      </x:c>
      <x:c r="C862" s="87" t="str">
        <x:v>Astragalus leptocarpus</x:v>
      </x:c>
      <x:c r="D862" s="84" t="str">
        <x:v>Rare Loco Milkvetch, Slimpod Milkvetch</x:v>
      </x:c>
      <x:c r="E862" s="84" t="str">
        <x:v>Annual</x:v>
      </x:c>
      <x:c r="F862" s="84" t="str">
        <x:v>Herb</x:v>
      </x:c>
      <x:c r="G862" s="84" t="str"/>
      <x:c r="H862" s="84" t="str"/>
      <x:c r="I862" s="84" t="str">
        <x:v>astragalus leptocarpus</x:v>
      </x:c>
    </x:row>
    <x:row r="863">
      <x:c r="A863" s="83" t="str">
        <x:v>Wildflower Center pasted list</x:v>
      </x:c>
      <x:c r="B863" s="84" t="n">
        <x:v>75</x:v>
      </x:c>
      <x:c r="C863" s="87" t="str">
        <x:v>Astragalus lindheimeri</x:v>
      </x:c>
      <x:c r="D863" s="84" t="str">
        <x:v>Lindheimer's Milkvetch, Lindheimer's Astragulus</x:v>
      </x:c>
      <x:c r="E863" s="84" t="str">
        <x:v>Annual</x:v>
      </x:c>
      <x:c r="F863" s="84" t="str">
        <x:v>Herb</x:v>
      </x:c>
      <x:c r="G863" s="84" t="str">
        <x:v>Sun</x:v>
      </x:c>
      <x:c r="H863" s="84" t="str">
        <x:v>Dry</x:v>
      </x:c>
      <x:c r="I863" s="84" t="str">
        <x:v>astragalus lindheimeri</x:v>
      </x:c>
    </x:row>
    <x:row r="864">
      <x:c r="A864" s="83" t="str">
        <x:v>Wildflower Center pasted list</x:v>
      </x:c>
      <x:c r="B864" s="84" t="n">
        <x:v>76</x:v>
      </x:c>
      <x:c r="C864" s="87" t="str">
        <x:v>Astragalus nuttallianus</x:v>
      </x:c>
      <x:c r="D864" s="84" t="str">
        <x:v>Nuttall's Milkvetch, Small-flowered Milkvetch</x:v>
      </x:c>
      <x:c r="E864" s="84" t="str">
        <x:v>Annual</x:v>
      </x:c>
      <x:c r="F864" s="84" t="str">
        <x:v>Herb</x:v>
      </x:c>
      <x:c r="G864" s="84" t="str"/>
      <x:c r="H864" s="84" t="str"/>
      <x:c r="I864" s="84" t="str">
        <x:v>astragalus nuttallianus</x:v>
      </x:c>
    </x:row>
    <x:row r="865">
      <x:c r="A865" s="83" t="str">
        <x:v>Wildflower Center pasted list</x:v>
      </x:c>
      <x:c r="B865" s="84" t="n">
        <x:v>77</x:v>
      </x:c>
      <x:c r="C865" s="87" t="str">
        <x:v>Astragalus plattensis</x:v>
      </x:c>
      <x:c r="D865" s="84" t="str">
        <x:v>Platte River Milkvetch</x:v>
      </x:c>
      <x:c r="E865" s="84" t="str">
        <x:v>Perennial</x:v>
      </x:c>
      <x:c r="F865" s="84" t="str">
        <x:v>Herb</x:v>
      </x:c>
      <x:c r="G865" s="84" t="str">
        <x:v>Sun</x:v>
      </x:c>
      <x:c r="H865" s="84" t="str">
        <x:v>Dry</x:v>
      </x:c>
      <x:c r="I865" s="84" t="str">
        <x:v>astragalus plattensis</x:v>
      </x:c>
    </x:row>
    <x:row r="866">
      <x:c r="A866" s="83" t="str">
        <x:v>Wildflower Center pasted list</x:v>
      </x:c>
      <x:c r="B866" s="84" t="n">
        <x:v>78</x:v>
      </x:c>
      <x:c r="C866" s="87" t="str">
        <x:v>Astragalus pleianthus</x:v>
      </x:c>
      <x:c r="D866" s="84" t="str">
        <x:v>Edwards Plateau Milkvetch</x:v>
      </x:c>
      <x:c r="E866" s="84" t="str">
        <x:v>Annual</x:v>
      </x:c>
      <x:c r="F866" s="84" t="str">
        <x:v>Herb</x:v>
      </x:c>
      <x:c r="G866" s="84" t="str"/>
      <x:c r="H866" s="84" t="str"/>
      <x:c r="I866" s="84" t="str">
        <x:v>astragalus pleianthus</x:v>
      </x:c>
    </x:row>
    <x:row r="867">
      <x:c r="A867" s="83" t="str">
        <x:v>Wildflower Center pasted list</x:v>
      </x:c>
      <x:c r="B867" s="84" t="n">
        <x:v>79</x:v>
      </x:c>
      <x:c r="C867" s="87" t="str">
        <x:v>Atriplex canescens</x:v>
      </x:c>
      <x:c r="D867" s="84" t="str">
        <x:v>Chamiso, Four-wing Saltbush, Wing-scale</x:v>
      </x:c>
      <x:c r="E867" s="84" t="str">
        <x:v>Perennial</x:v>
      </x:c>
      <x:c r="F867" s="84" t="str">
        <x:v>Shrub</x:v>
      </x:c>
      <x:c r="G867" s="84" t="str">
        <x:v>Part-shade</x:v>
      </x:c>
      <x:c r="H867" s="84" t="str">
        <x:v>Dry</x:v>
      </x:c>
      <x:c r="I867" s="84" t="str">
        <x:v>atriplex canescens</x:v>
      </x:c>
    </x:row>
    <x:row r="868">
      <x:c r="A868" s="83" t="str">
        <x:v>Wildflower Center pasted list</x:v>
      </x:c>
      <x:c r="B868" s="84" t="n">
        <x:v>80</x:v>
      </x:c>
      <x:c r="C868" s="87" t="str">
        <x:v>Azolla caroliniana</x:v>
      </x:c>
      <x:c r="D868" s="84" t="str">
        <x:v>Carolina Mosquitofern</x:v>
      </x:c>
      <x:c r="E868" s="84" t="str">
        <x:v>Annual</x:v>
      </x:c>
      <x:c r="F868" s="84" t="str">
        <x:v>Fern</x:v>
      </x:c>
      <x:c r="G868" s="84" t="str"/>
      <x:c r="H868" s="84" t="str"/>
      <x:c r="I868" s="84" t="str">
        <x:v>azolla caroliniana</x:v>
      </x:c>
    </x:row>
    <x:row r="869">
      <x:c r="A869" s="83" t="str">
        <x:v>Wildflower Center pasted list</x:v>
      </x:c>
      <x:c r="B869" s="84" t="n">
        <x:v>81</x:v>
      </x:c>
      <x:c r="C869" s="87" t="str">
        <x:v>Baccharis neglecta</x:v>
      </x:c>
      <x:c r="D869" s="84" t="str">
        <x:v>False Willow, Jara Dulce, Poverty Weed, Roosevelt Weed</x:v>
      </x:c>
      <x:c r="E869" s="84" t="str">
        <x:v>Perennial</x:v>
      </x:c>
      <x:c r="F869" s="84" t="str">
        <x:v>Shrub</x:v>
      </x:c>
      <x:c r="G869" s="84" t="str">
        <x:v>Part-shade</x:v>
      </x:c>
      <x:c r="H869" s="84" t="str">
        <x:v>Dry</x:v>
      </x:c>
      <x:c r="I869" s="84" t="str">
        <x:v>baccharis neglecta</x:v>
      </x:c>
    </x:row>
    <x:row r="870">
      <x:c r="A870" s="83" t="str">
        <x:v>Wildflower Center pasted list</x:v>
      </x:c>
      <x:c r="B870" s="84" t="n">
        <x:v>82</x:v>
      </x:c>
      <x:c r="C870" s="87" t="str">
        <x:v>Bacopa monnieri</x:v>
      </x:c>
      <x:c r="D870" s="84" t="str">
        <x:v>Herb-of-grace, Water Hyssop, Coastal Water-hyssop</x:v>
      </x:c>
      <x:c r="E870" s="84" t="str">
        <x:v>Perennial</x:v>
      </x:c>
      <x:c r="F870" s="84" t="str">
        <x:v>Herb</x:v>
      </x:c>
      <x:c r="G870" s="84" t="str">
        <x:v>Sun, Part-shade</x:v>
      </x:c>
      <x:c r="H870" s="84" t="str">
        <x:v>Wet, Moist</x:v>
      </x:c>
      <x:c r="I870" s="84" t="str">
        <x:v>bacopa monnieri</x:v>
      </x:c>
    </x:row>
    <x:row r="871">
      <x:c r="A871" s="83" t="str">
        <x:v>Wildflower Center pasted list</x:v>
      </x:c>
      <x:c r="B871" s="84" t="n">
        <x:v>83</x:v>
      </x:c>
      <x:c r="C871" s="87" t="str">
        <x:v>Berlandiera betonicifolia</x:v>
      </x:c>
      <x:c r="D871" s="84" t="str">
        <x:v>Texas Greeneyes, Broochflower</x:v>
      </x:c>
      <x:c r="E871" s="84" t="str">
        <x:v>Perennial</x:v>
      </x:c>
      <x:c r="F871" s="84" t="str">
        <x:v>Herb</x:v>
      </x:c>
      <x:c r="G871" s="84" t="str">
        <x:v>Part-shade</x:v>
      </x:c>
      <x:c r="H871" s="84" t="str">
        <x:v>Moist</x:v>
      </x:c>
      <x:c r="I871" s="84" t="str">
        <x:v>berlandiera betonicifolia</x:v>
      </x:c>
    </x:row>
    <x:row r="872">
      <x:c r="A872" s="83" t="str">
        <x:v>Wildflower Center pasted list</x:v>
      </x:c>
      <x:c r="B872" s="84" t="n">
        <x:v>84</x:v>
      </x:c>
      <x:c r="C872" s="87" t="str">
        <x:v>Bernardia myricifolia</x:v>
      </x:c>
      <x:c r="D872" s="84" t="str">
        <x:v>Mouse's Eye, Mouse Ears</x:v>
      </x:c>
      <x:c r="E872" s="84" t="str">
        <x:v>Perennial</x:v>
      </x:c>
      <x:c r="F872" s="84" t="str">
        <x:v>Shrub</x:v>
      </x:c>
      <x:c r="G872" s="84" t="str"/>
      <x:c r="H872" s="84" t="str"/>
      <x:c r="I872" s="84" t="str">
        <x:v>bernardia myricifolia</x:v>
      </x:c>
    </x:row>
    <x:row r="873">
      <x:c r="A873" s="83" t="str">
        <x:v>Wildflower Center pasted list</x:v>
      </x:c>
      <x:c r="B873" s="84" t="n">
        <x:v>85</x:v>
      </x:c>
      <x:c r="C873" s="87" t="str">
        <x:v>Bidens laevis</x:v>
      </x:c>
      <x:c r="D873" s="84" t="str">
        <x:v>Smooth Beggartick, Smooth Bidens, Smooth Bur Marigold, Larger Bur Marigold</x:v>
      </x:c>
      <x:c r="E873" s="84" t="str">
        <x:v>Annual</x:v>
      </x:c>
      <x:c r="F873" s="84" t="str">
        <x:v>Herb</x:v>
      </x:c>
      <x:c r="G873" s="84" t="str">
        <x:v>Sun, Part-shade</x:v>
      </x:c>
      <x:c r="H873" s="84" t="str">
        <x:v>Wet, Moist</x:v>
      </x:c>
      <x:c r="I873" s="84" t="str">
        <x:v>bidens laevis</x:v>
      </x:c>
    </x:row>
    <x:row r="874">
      <x:c r="A874" s="83" t="str">
        <x:v>Wildflower Center pasted list</x:v>
      </x:c>
      <x:c r="B874" s="84" t="n">
        <x:v>86</x:v>
      </x:c>
      <x:c r="C874" s="87" t="str">
        <x:v>Bifora americana</x:v>
      </x:c>
      <x:c r="D874" s="84" t="str">
        <x:v>Prairie Bishop, Prairie Bishop's Weed</x:v>
      </x:c>
      <x:c r="E874" s="84" t="str">
        <x:v>Annual</x:v>
      </x:c>
      <x:c r="F874" s="84" t="str">
        <x:v>Herb</x:v>
      </x:c>
      <x:c r="G874" s="84" t="str">
        <x:v>Sun, Part-shade</x:v>
      </x:c>
      <x:c r="H874" s="84" t="str"/>
      <x:c r="I874" s="84" t="str">
        <x:v>bifora americana</x:v>
      </x:c>
    </x:row>
    <x:row r="875">
      <x:c r="A875" s="83" t="str">
        <x:v>Wildflower Center pasted list</x:v>
      </x:c>
      <x:c r="B875" s="84" t="n">
        <x:v>87</x:v>
      </x:c>
      <x:c r="C875" s="87" t="str">
        <x:v>Boehmeria cylindrica</x:v>
      </x:c>
      <x:c r="D875" s="84" t="str">
        <x:v>Smallspike False Nettle, Bog Hemp</x:v>
      </x:c>
      <x:c r="E875" s="84" t="str">
        <x:v>Perennial</x:v>
      </x:c>
      <x:c r="F875" s="84" t="str">
        <x:v>Herb</x:v>
      </x:c>
      <x:c r="G875" s="84" t="str">
        <x:v>Sun, Shade, Part-shade</x:v>
      </x:c>
      <x:c r="H875" s="84" t="str">
        <x:v>Moist</x:v>
      </x:c>
      <x:c r="I875" s="84" t="str">
        <x:v>boehmeria cylindrica</x:v>
      </x:c>
    </x:row>
    <x:row r="876">
      <x:c r="A876" s="83" t="str">
        <x:v>Wildflower Center pasted list</x:v>
      </x:c>
      <x:c r="B876" s="84" t="n">
        <x:v>88</x:v>
      </x:c>
      <x:c r="C876" s="87" t="str">
        <x:v>Boerhavia coccinea</x:v>
      </x:c>
      <x:c r="D876" s="84" t="str">
        <x:v>Scarlet Spiderling</x:v>
      </x:c>
      <x:c r="E876" s="84" t="str">
        <x:v>Perennial</x:v>
      </x:c>
      <x:c r="F876" s="84" t="str">
        <x:v>Herb</x:v>
      </x:c>
      <x:c r="G876" s="84" t="str"/>
      <x:c r="H876" s="84" t="str"/>
      <x:c r="I876" s="84" t="str">
        <x:v>boerhavia coccinea</x:v>
      </x:c>
    </x:row>
    <x:row r="877">
      <x:c r="A877" s="83" t="str">
        <x:v>Wildflower Center pasted list</x:v>
      </x:c>
      <x:c r="B877" s="84" t="n">
        <x:v>89</x:v>
      </x:c>
      <x:c r="C877" s="87" t="str">
        <x:v>Boerhavia linearifolia</x:v>
      </x:c>
      <x:c r="D877" s="84" t="str">
        <x:v>Narrowleaf Spiderling</x:v>
      </x:c>
      <x:c r="E877" s="84" t="str">
        <x:v>Perennial</x:v>
      </x:c>
      <x:c r="F877" s="84" t="str">
        <x:v>Subshrub</x:v>
      </x:c>
      <x:c r="G877" s="84" t="str"/>
      <x:c r="H877" s="84" t="str"/>
      <x:c r="I877" s="84" t="str">
        <x:v>boerhavia linearifolia</x:v>
      </x:c>
    </x:row>
    <x:row r="878">
      <x:c r="A878" s="83" t="str">
        <x:v>Wildflower Center pasted list</x:v>
      </x:c>
      <x:c r="B878" s="84" t="n">
        <x:v>90</x:v>
      </x:c>
      <x:c r="C878" s="87" t="str">
        <x:v>Boltonia diffusa</x:v>
      </x:c>
      <x:c r="D878" s="84" t="str">
        <x:v>Doll's Daisy, Smallhead Doll's Daisy</x:v>
      </x:c>
      <x:c r="E878" s="84" t="str">
        <x:v>Perennial</x:v>
      </x:c>
      <x:c r="F878" s="84" t="str">
        <x:v>Herb</x:v>
      </x:c>
      <x:c r="G878" s="84" t="str"/>
      <x:c r="H878" s="84" t="str">
        <x:v>Wet, Moist, Dry</x:v>
      </x:c>
      <x:c r="I878" s="84" t="str">
        <x:v>boltonia diffusa</x:v>
      </x:c>
    </x:row>
    <x:row r="879">
      <x:c r="A879" s="83" t="str">
        <x:v>Wildflower Center pasted list</x:v>
      </x:c>
      <x:c r="B879" s="84" t="n">
        <x:v>91</x:v>
      </x:c>
      <x:c r="C879" s="87" t="str">
        <x:v>Bothriochloa barbinodis</x:v>
      </x:c>
      <x:c r="D879" s="84" t="str">
        <x:v>Pinhole Bluestem, Cane Bluestem, Cane Beardgrass, Feather Bluestem, Plains Beardgrass</x:v>
      </x:c>
      <x:c r="E879" s="84" t="str">
        <x:v>Perennial</x:v>
      </x:c>
      <x:c r="F879" s="84" t="str">
        <x:v>Grass/Grass-like</x:v>
      </x:c>
      <x:c r="G879" s="84" t="str">
        <x:v>Sun</x:v>
      </x:c>
      <x:c r="H879" s="84" t="str">
        <x:v>Dry</x:v>
      </x:c>
      <x:c r="I879" s="84" t="str">
        <x:v>bothriochloa barbinodis</x:v>
      </x:c>
    </x:row>
    <x:row r="880">
      <x:c r="A880" s="83" t="str">
        <x:v>Wildflower Center pasted list</x:v>
      </x:c>
      <x:c r="B880" s="84" t="n">
        <x:v>92</x:v>
      </x:c>
      <x:c r="C880" s="87" t="str">
        <x:v>Bothriochloa laguroides</x:v>
      </x:c>
      <x:c r="D880" s="84" t="str">
        <x:v>Silver Bluestem, Silver Beardgrass</x:v>
      </x:c>
      <x:c r="E880" s="84" t="str">
        <x:v>Perennial</x:v>
      </x:c>
      <x:c r="F880" s="84" t="str">
        <x:v>Grass/Grass-like</x:v>
      </x:c>
      <x:c r="G880" s="84" t="str"/>
      <x:c r="H880" s="84" t="str"/>
      <x:c r="I880" s="84" t="str">
        <x:v>bothriochloa laguroides</x:v>
      </x:c>
    </x:row>
    <x:row r="881">
      <x:c r="A881" s="83" t="str">
        <x:v>Wildflower Center pasted list</x:v>
      </x:c>
      <x:c r="B881" s="84" t="n">
        <x:v>93</x:v>
      </x:c>
      <x:c r="C881" s="87" t="str">
        <x:v>Bouchetia erecta</x:v>
      </x:c>
      <x:c r="D881" s="84" t="str">
        <x:v>Erect Bouchetia, Painted-tongue, Paintedtongue, Painted Tongue</x:v>
      </x:c>
      <x:c r="E881" s="84" t="str">
        <x:v>Perennial</x:v>
      </x:c>
      <x:c r="F881" s="84" t="str">
        <x:v>Herb</x:v>
      </x:c>
      <x:c r="G881" s="84" t="str">
        <x:v>Sun</x:v>
      </x:c>
      <x:c r="H881" s="84" t="str">
        <x:v>Moist</x:v>
      </x:c>
      <x:c r="I881" s="84" t="str">
        <x:v>bouchetia erecta</x:v>
      </x:c>
    </x:row>
    <x:row r="882">
      <x:c r="A882" s="83" t="str">
        <x:v>Wildflower Center pasted list</x:v>
      </x:c>
      <x:c r="B882" s="84" t="n">
        <x:v>94</x:v>
      </x:c>
      <x:c r="C882" s="87" t="str">
        <x:v>Bouteloua curtipendula</x:v>
      </x:c>
      <x:c r="D882" s="84" t="str">
        <x:v>Sideoats Grama, Banderilla, Banderita, Navajita</x:v>
      </x:c>
      <x:c r="E882" s="84" t="str">
        <x:v>Perennial</x:v>
      </x:c>
      <x:c r="F882" s="84" t="str">
        <x:v>Grass/Grass-like</x:v>
      </x:c>
      <x:c r="G882" s="84" t="str">
        <x:v>Sun, Part-shade</x:v>
      </x:c>
      <x:c r="H882" s="84" t="str">
        <x:v>Moist, Dry</x:v>
      </x:c>
      <x:c r="I882" s="84" t="str">
        <x:v>bouteloua curtipendula</x:v>
      </x:c>
    </x:row>
    <x:row r="883">
      <x:c r="A883" s="83" t="str">
        <x:v>Wildflower Center pasted list</x:v>
      </x:c>
      <x:c r="B883" s="84" t="n">
        <x:v>95</x:v>
      </x:c>
      <x:c r="C883" s="87" t="str">
        <x:v>Bouteloua dactyloides</x:v>
      </x:c>
      <x:c r="D883" s="84" t="str">
        <x:v>Buffalograss, Buffalo Grass</x:v>
      </x:c>
      <x:c r="E883" s="84" t="str">
        <x:v>Perennial</x:v>
      </x:c>
      <x:c r="F883" s="84" t="str">
        <x:v>Grass/Grass-like</x:v>
      </x:c>
      <x:c r="G883" s="84" t="str">
        <x:v>Sun</x:v>
      </x:c>
      <x:c r="H883" s="84" t="str">
        <x:v>Dry</x:v>
      </x:c>
      <x:c r="I883" s="84" t="str">
        <x:v>bouteloua dactyloides</x:v>
      </x:c>
    </x:row>
    <x:row r="884">
      <x:c r="A884" s="83" t="str">
        <x:v>Wildflower Center pasted list</x:v>
      </x:c>
      <x:c r="B884" s="84" t="n">
        <x:v>96</x:v>
      </x:c>
      <x:c r="C884" s="87" t="str">
        <x:v>Bouteloua hirsuta</x:v>
      </x:c>
      <x:c r="D884" s="84" t="str">
        <x:v>Hairy Grama</x:v>
      </x:c>
      <x:c r="E884" s="84" t="str">
        <x:v>Perennial</x:v>
      </x:c>
      <x:c r="F884" s="84" t="str">
        <x:v>Grass/Grass-like</x:v>
      </x:c>
      <x:c r="G884" s="84" t="str">
        <x:v>Part-shade</x:v>
      </x:c>
      <x:c r="H884" s="84" t="str">
        <x:v>Dry</x:v>
      </x:c>
      <x:c r="I884" s="84" t="str">
        <x:v>bouteloua hirsuta</x:v>
      </x:c>
    </x:row>
    <x:row r="885">
      <x:c r="A885" s="83" t="str">
        <x:v>Wildflower Center pasted list</x:v>
      </x:c>
      <x:c r="B885" s="84" t="n">
        <x:v>97</x:v>
      </x:c>
      <x:c r="C885" s="87" t="str">
        <x:v>Bouteloua hirsuta var. pectinata</x:v>
      </x:c>
      <x:c r="D885" s="84" t="str">
        <x:v>Tall Grama, Hairy Grama</x:v>
      </x:c>
      <x:c r="E885" s="84" t="str">
        <x:v>Perennial</x:v>
      </x:c>
      <x:c r="F885" s="84" t="str">
        <x:v>Grass/Grass-like</x:v>
      </x:c>
      <x:c r="G885" s="84" t="str"/>
      <x:c r="H885" s="84" t="str"/>
      <x:c r="I885" s="84" t="str">
        <x:v>bouteloua hirsuta var. pectinata</x:v>
      </x:c>
    </x:row>
    <x:row r="886">
      <x:c r="A886" s="83" t="str">
        <x:v>Wildflower Center pasted list</x:v>
      </x:c>
      <x:c r="B886" s="84" t="n">
        <x:v>98</x:v>
      </x:c>
      <x:c r="C886" s="87" t="str">
        <x:v>Bouteloua rigidiseta</x:v>
      </x:c>
      <x:c r="D886" s="84" t="str">
        <x:v>Texas Grama</x:v>
      </x:c>
      <x:c r="E886" s="84" t="str">
        <x:v>Perennial</x:v>
      </x:c>
      <x:c r="F886" s="84" t="str">
        <x:v>Grass/Grass-like</x:v>
      </x:c>
      <x:c r="G886" s="84" t="str">
        <x:v>Sun</x:v>
      </x:c>
      <x:c r="H886" s="84" t="str">
        <x:v>Dry</x:v>
      </x:c>
      <x:c r="I886" s="84" t="str">
        <x:v>bouteloua rigidiseta</x:v>
      </x:c>
    </x:row>
    <x:row r="887">
      <x:c r="A887" s="83" t="str">
        <x:v>Wildflower Center pasted list</x:v>
      </x:c>
      <x:c r="B887" s="84" t="n">
        <x:v>99</x:v>
      </x:c>
      <x:c r="C887" s="87" t="str">
        <x:v>Bouteloua trifida</x:v>
      </x:c>
      <x:c r="D887" s="84" t="str">
        <x:v>Red Grama</x:v>
      </x:c>
      <x:c r="E887" s="84" t="str">
        <x:v>Perennial</x:v>
      </x:c>
      <x:c r="F887" s="84" t="str">
        <x:v>Grass/Grass-like</x:v>
      </x:c>
      <x:c r="G887" s="84" t="str">
        <x:v>Sun</x:v>
      </x:c>
      <x:c r="H887" s="84" t="str"/>
      <x:c r="I887" s="84" t="str">
        <x:v>bouteloua trifida</x:v>
      </x:c>
    </x:row>
    <x:row r="888">
      <x:c r="A888" s="83" t="str">
        <x:v>Wildflower Center pasted list</x:v>
      </x:c>
      <x:c r="B888" s="84" t="n">
        <x:v>100</x:v>
      </x:c>
      <x:c r="C888" s="87" t="str">
        <x:v>Brickellia cylindracea</x:v>
      </x:c>
      <x:c r="D888" s="84" t="str">
        <x:v>Gravel-bar Brickellbush</x:v>
      </x:c>
      <x:c r="E888" s="84" t="str">
        <x:v>Perennial</x:v>
      </x:c>
      <x:c r="F888" s="84" t="str">
        <x:v>Herb</x:v>
      </x:c>
      <x:c r="G888" s="84" t="str">
        <x:v>Sun, Part-shade</x:v>
      </x:c>
      <x:c r="H888" s="84" t="str">
        <x:v>Moist, Dry</x:v>
      </x:c>
      <x:c r="I888" s="84" t="str">
        <x:v>brickellia cylindracea</x:v>
      </x:c>
    </x:row>
    <x:row r="889">
      <x:c r="A889" s="83" t="str">
        <x:v>Wildflower Center pasted list</x:v>
      </x:c>
      <x:c r="B889" s="84" t="n">
        <x:v>101</x:v>
      </x:c>
      <x:c r="C889" s="87" t="str">
        <x:v>Brickellia dentata</x:v>
      </x:c>
      <x:c r="D889" s="84" t="str">
        <x:v>Leafy Brickellbush</x:v>
      </x:c>
      <x:c r="E889" s="84" t="str">
        <x:v>Perennial</x:v>
      </x:c>
      <x:c r="F889" s="84" t="str">
        <x:v>Subshrub</x:v>
      </x:c>
      <x:c r="G889" s="84" t="str"/>
      <x:c r="H889" s="84" t="str"/>
      <x:c r="I889" s="84" t="str">
        <x:v>brickellia dentata</x:v>
      </x:c>
    </x:row>
    <x:row r="890">
      <x:c r="A890" s="83" t="str">
        <x:v>Wildflower Center pasted list</x:v>
      </x:c>
      <x:c r="B890" s="84" t="n">
        <x:v>102</x:v>
      </x:c>
      <x:c r="C890" s="87" t="str">
        <x:v>Brickellia eupatorioides var. gracillima</x:v>
      </x:c>
      <x:c r="D890" s="84" t="str">
        <x:v>False Boneset</x:v>
      </x:c>
      <x:c r="E890" s="84" t="str">
        <x:v>Perennial</x:v>
      </x:c>
      <x:c r="F890" s="84" t="str">
        <x:v>Herb, Subshrub</x:v>
      </x:c>
      <x:c r="G890" s="84" t="str">
        <x:v>Sun</x:v>
      </x:c>
      <x:c r="H890" s="84" t="str">
        <x:v>Dry</x:v>
      </x:c>
      <x:c r="I890" s="84" t="str">
        <x:v>brickellia eupatorioides var. gracillima</x:v>
      </x:c>
    </x:row>
    <x:row r="891">
      <x:c r="A891" s="83" t="str">
        <x:v>Wildflower Center pasted list</x:v>
      </x:c>
      <x:c r="B891" s="84" t="n">
        <x:v>103</x:v>
      </x:c>
      <x:c r="C891" s="87" t="str">
        <x:v>Bromus pubescens</x:v>
      </x:c>
      <x:c r="D891" s="84" t="str">
        <x:v>Hairy Woodland Brome</x:v>
      </x:c>
      <x:c r="E891" s="84" t="str">
        <x:v>Perennial</x:v>
      </x:c>
      <x:c r="F891" s="84" t="str">
        <x:v>Grass/Grass-like</x:v>
      </x:c>
      <x:c r="G891" s="84" t="str"/>
      <x:c r="H891" s="84" t="str"/>
      <x:c r="I891" s="84" t="str">
        <x:v>bromus pubescens</x:v>
      </x:c>
    </x:row>
    <x:row r="892">
      <x:c r="A892" s="83" t="str">
        <x:v>Wildflower Center pasted list</x:v>
      </x:c>
      <x:c r="B892" s="84" t="n">
        <x:v>104</x:v>
      </x:c>
      <x:c r="C892" s="87" t="str">
        <x:v>Bromus texensis</x:v>
      </x:c>
      <x:c r="D892" s="84" t="str">
        <x:v>Texas Brome</x:v>
      </x:c>
      <x:c r="E892" s="84" t="str">
        <x:v>Perennial</x:v>
      </x:c>
      <x:c r="F892" s="84" t="str">
        <x:v>Grass/Grass-like</x:v>
      </x:c>
      <x:c r="G892" s="84" t="str"/>
      <x:c r="H892" s="84" t="str"/>
      <x:c r="I892" s="84" t="str">
        <x:v>bromus texensis</x:v>
      </x:c>
    </x:row>
    <x:row r="893">
      <x:c r="A893" s="83" t="str">
        <x:v>Wildflower Center pasted list</x:v>
      </x:c>
      <x:c r="B893" s="84" t="n">
        <x:v>105</x:v>
      </x:c>
      <x:c r="C893" s="87" t="str">
        <x:v>Buchnera americana</x:v>
      </x:c>
      <x:c r="D893" s="84" t="str">
        <x:v>American Bluehearts, Bluehearts</x:v>
      </x:c>
      <x:c r="E893" s="84" t="str">
        <x:v>Annual</x:v>
      </x:c>
      <x:c r="F893" s="84" t="str">
        <x:v>Herb</x:v>
      </x:c>
      <x:c r="G893" s="84" t="str">
        <x:v>Sun</x:v>
      </x:c>
      <x:c r="H893" s="84" t="str">
        <x:v>Moist</x:v>
      </x:c>
      <x:c r="I893" s="84" t="str">
        <x:v>buchnera americana</x:v>
      </x:c>
    </x:row>
    <x:row r="894">
      <x:c r="A894" s="83" t="str">
        <x:v>Wildflower Center pasted list</x:v>
      </x:c>
      <x:c r="B894" s="84" t="n">
        <x:v>106</x:v>
      </x:c>
      <x:c r="C894" s="87" t="str">
        <x:v>Buddleja racemosa</x:v>
      </x:c>
      <x:c r="D894" s="84" t="str">
        <x:v>Wand Butterflybush, Wand Butterfly-bush</x:v>
      </x:c>
      <x:c r="E894" s="84" t="str">
        <x:v>Perennial</x:v>
      </x:c>
      <x:c r="F894" s="84" t="str">
        <x:v>Shrub</x:v>
      </x:c>
      <x:c r="G894" s="84" t="str"/>
      <x:c r="H894" s="84" t="str"/>
      <x:c r="I894" s="84" t="str">
        <x:v>buddleja racemosa</x:v>
      </x:c>
    </x:row>
    <x:row r="895">
      <x:c r="A895" s="83" t="str">
        <x:v>Wildflower Center pasted list</x:v>
      </x:c>
      <x:c r="B895" s="84" t="n">
        <x:v>107</x:v>
      </x:c>
      <x:c r="C895" s="87" t="str">
        <x:v>Buddleja racemosa ssp. racemosa</x:v>
      </x:c>
      <x:c r="D895" s="84" t="str">
        <x:v>Wand Butterflybush</x:v>
      </x:c>
      <x:c r="E895" s="84" t="str">
        <x:v>Perennial</x:v>
      </x:c>
      <x:c r="F895" s="84" t="str">
        <x:v>Shrub</x:v>
      </x:c>
      <x:c r="G895" s="84" t="str">
        <x:v>Shade</x:v>
      </x:c>
      <x:c r="H895" s="84" t="str">
        <x:v>Dry</x:v>
      </x:c>
      <x:c r="I895" s="84" t="str">
        <x:v>buddleja racemosa ssp. racemosa</x:v>
      </x:c>
    </x:row>
    <x:row r="896">
      <x:c r="A896" s="83" t="str">
        <x:v>Wildflower Center pasted list</x:v>
      </x:c>
      <x:c r="B896" s="84" t="n">
        <x:v>108</x:v>
      </x:c>
      <x:c r="C896" s="87" t="str">
        <x:v>Cabomba caroliniana</x:v>
      </x:c>
      <x:c r="D896" s="84" t="str">
        <x:v>Carolina Fanwort, Green Cabomba, Fish-grass, Washington-grass, Carolina Watershield, Washington-plant</x:v>
      </x:c>
      <x:c r="E896" s="84" t="str">
        <x:v>Perennial</x:v>
      </x:c>
      <x:c r="F896" s="84" t="str">
        <x:v>Herb</x:v>
      </x:c>
      <x:c r="G896" s="84" t="str"/>
      <x:c r="H896" s="84" t="str"/>
      <x:c r="I896" s="84" t="str">
        <x:v>cabomba caroliniana</x:v>
      </x:c>
    </x:row>
    <x:row r="897">
      <x:c r="A897" s="83" t="str">
        <x:v>Wildflower Center pasted list</x:v>
      </x:c>
      <x:c r="B897" s="84" t="n">
        <x:v>109</x:v>
      </x:c>
      <x:c r="C897" s="87" t="str">
        <x:v>Callicarpa americana</x:v>
      </x:c>
      <x:c r="D897" s="84" t="str">
        <x:v>American Beautyberry , French Mulberry</x:v>
      </x:c>
      <x:c r="E897" s="84" t="str">
        <x:v>Perennial</x:v>
      </x:c>
      <x:c r="F897" s="84" t="str">
        <x:v>Shrub</x:v>
      </x:c>
      <x:c r="G897" s="84" t="str">
        <x:v>Part-shade</x:v>
      </x:c>
      <x:c r="H897" s="84" t="str">
        <x:v>Moist</x:v>
      </x:c>
      <x:c r="I897" s="84" t="str">
        <x:v>callicarpa americana</x:v>
      </x:c>
    </x:row>
    <x:row r="898">
      <x:c r="A898" s="83" t="str">
        <x:v>Wildflower Center pasted list</x:v>
      </x:c>
      <x:c r="B898" s="84" t="n">
        <x:v>110</x:v>
      </x:c>
      <x:c r="C898" s="87" t="str">
        <x:v>Callirhoe digitata</x:v>
      </x:c>
      <x:c r="D898" s="84" t="str">
        <x:v>Winecup, Standing Winecup, Poppy Mallow, Wine Cup, Finger Poppy-mallow</x:v>
      </x:c>
      <x:c r="E898" s="84" t="str">
        <x:v>Perennial</x:v>
      </x:c>
      <x:c r="F898" s="84" t="str">
        <x:v>Herb</x:v>
      </x:c>
      <x:c r="G898" s="84" t="str">
        <x:v>Sun</x:v>
      </x:c>
      <x:c r="H898" s="84" t="str">
        <x:v>Dry</x:v>
      </x:c>
      <x:c r="I898" s="84" t="str">
        <x:v>callirhoe digitata</x:v>
      </x:c>
    </x:row>
    <x:row r="899">
      <x:c r="A899" s="83" t="str">
        <x:v>Wildflower Center pasted list</x:v>
      </x:c>
      <x:c r="B899" s="84" t="n">
        <x:v>111</x:v>
      </x:c>
      <x:c r="C899" s="87" t="str">
        <x:v>Callirhoe involucrata</x:v>
      </x:c>
      <x:c r="D899" s="84" t="str">
        <x:v>Winecup, Purple Poppy Mallow</x:v>
      </x:c>
      <x:c r="E899" s="84" t="str">
        <x:v>Perennial</x:v>
      </x:c>
      <x:c r="F899" s="84" t="str">
        <x:v>Herb</x:v>
      </x:c>
      <x:c r="G899" s="84" t="str">
        <x:v>Sun, Part-shade</x:v>
      </x:c>
      <x:c r="H899" s="84" t="str">
        <x:v>Moist, Dry</x:v>
      </x:c>
      <x:c r="I899" s="84" t="str">
        <x:v>callirhoe involucrata</x:v>
      </x:c>
    </x:row>
    <x:row r="900">
      <x:c r="A900" s="83" t="str">
        <x:v>Wildflower Center pasted list</x:v>
      </x:c>
      <x:c r="B900" s="84" t="n">
        <x:v>112</x:v>
      </x:c>
      <x:c r="C900" s="87" t="str">
        <x:v>Callirhoe leiocarpa</x:v>
      </x:c>
      <x:c r="D900" s="84" t="str">
        <x:v>Tall Poppymallow, Annual Winecup, Tall Poppy-mallow, Tall Poppy Mallow</x:v>
      </x:c>
      <x:c r="E900" s="84" t="str">
        <x:v>Annual</x:v>
      </x:c>
      <x:c r="F900" s="84" t="str">
        <x:v>Herb</x:v>
      </x:c>
      <x:c r="G900" s="84" t="str">
        <x:v>Part-shade</x:v>
      </x:c>
      <x:c r="H900" s="84" t="str">
        <x:v>Moist</x:v>
      </x:c>
      <x:c r="I900" s="84" t="str">
        <x:v>callirhoe leiocarpa</x:v>
      </x:c>
    </x:row>
    <x:row r="901">
      <x:c r="A901" s="83" t="str">
        <x:v>Wildflower Center pasted list</x:v>
      </x:c>
      <x:c r="B901" s="84" t="n">
        <x:v>113</x:v>
      </x:c>
      <x:c r="C901" s="87" t="str">
        <x:v>Callirhoe pedata</x:v>
      </x:c>
      <x:c r="D901" s="84" t="str">
        <x:v>Palmleaf Poppymallow, Standing Winecup, Finger Poppymallow, Palmleaf Poppy Mallow</x:v>
      </x:c>
      <x:c r="E901" s="84" t="str">
        <x:v>Perennial</x:v>
      </x:c>
      <x:c r="F901" s="84" t="str">
        <x:v>Herb</x:v>
      </x:c>
      <x:c r="G901" s="84" t="str">
        <x:v>Sun, Part-shade</x:v>
      </x:c>
      <x:c r="H901" s="84" t="str">
        <x:v>Moist, Dry</x:v>
      </x:c>
      <x:c r="I901" s="84" t="str">
        <x:v>callirhoe pedata</x:v>
      </x:c>
    </x:row>
    <x:row r="902">
      <x:c r="A902" s="83" t="str">
        <x:v>Wildflower Center pasted list</x:v>
      </x:c>
      <x:c r="B902" s="84" t="n">
        <x:v>114</x:v>
      </x:c>
      <x:c r="C902" s="87" t="str">
        <x:v>Calylophus berlandieri</x:v>
      </x:c>
      <x:c r="D902" s="84" t="str">
        <x:v>Berlandier's Sundrops , Square-bud Primrose, Sundrops</x:v>
      </x:c>
      <x:c r="E902" s="84" t="str">
        <x:v>Perennial</x:v>
      </x:c>
      <x:c r="F902" s="84" t="str">
        <x:v>Herb, Subshrub</x:v>
      </x:c>
      <x:c r="G902" s="84" t="str">
        <x:v>Sun, Part-shade</x:v>
      </x:c>
      <x:c r="H902" s="84" t="str">
        <x:v>Moist</x:v>
      </x:c>
      <x:c r="I902" s="84" t="str">
        <x:v>calylophus berlandieri</x:v>
      </x:c>
    </x:row>
    <x:row r="903">
      <x:c r="A903" s="83" t="str">
        <x:v>Wildflower Center pasted list</x:v>
      </x:c>
      <x:c r="B903" s="84" t="n">
        <x:v>115</x:v>
      </x:c>
      <x:c r="C903" s="87" t="str">
        <x:v>Calylophus serrulatus</x:v>
      </x:c>
      <x:c r="D903" s="84" t="str">
        <x:v>Yellow Sundrops, Yellow Evening Primrose, Plains Evening Primrose</x:v>
      </x:c>
      <x:c r="E903" s="84" t="str">
        <x:v>Perennial</x:v>
      </x:c>
      <x:c r="F903" s="84" t="str">
        <x:v>Herb</x:v>
      </x:c>
      <x:c r="G903" s="84" t="str">
        <x:v>Sun</x:v>
      </x:c>
      <x:c r="H903" s="84" t="str">
        <x:v>Dry</x:v>
      </x:c>
      <x:c r="I903" s="84" t="str">
        <x:v>calylophus serrulatus</x:v>
      </x:c>
    </x:row>
    <x:row r="904">
      <x:c r="A904" s="83" t="str">
        <x:v>Wildflower Center pasted list</x:v>
      </x:c>
      <x:c r="B904" s="84" t="n">
        <x:v>116</x:v>
      </x:c>
      <x:c r="C904" s="87" t="str">
        <x:v>Calyptocarpus vialis</x:v>
      </x:c>
      <x:c r="D904" s="84" t="str">
        <x:v>Horseherb, Straggler Daisy, Hierba Del Caballo, Lawnflower</x:v>
      </x:c>
      <x:c r="E904" s="84" t="str">
        <x:v>Perennial</x:v>
      </x:c>
      <x:c r="F904" s="84" t="str">
        <x:v>Herb</x:v>
      </x:c>
      <x:c r="G904" s="84" t="str">
        <x:v>Sun, Shade, Part-shade</x:v>
      </x:c>
      <x:c r="H904" s="84" t="str">
        <x:v>Moist, Dry</x:v>
      </x:c>
      <x:c r="I904" s="84" t="str">
        <x:v>calyptocarpus vialis</x:v>
      </x:c>
    </x:row>
    <x:row r="905">
      <x:c r="A905" s="83" t="str">
        <x:v>Wildflower Center pasted list</x:v>
      </x:c>
      <x:c r="B905" s="84" t="n">
        <x:v>117</x:v>
      </x:c>
      <x:c r="C905" s="87" t="str">
        <x:v>Camassia scilloides</x:v>
      </x:c>
      <x:c r="D905" s="84" t="str">
        <x:v>Atlantic Camas, Wild Hyacinth</x:v>
      </x:c>
      <x:c r="E905" s="84" t="str">
        <x:v>Perennial</x:v>
      </x:c>
      <x:c r="F905" s="84" t="str">
        <x:v>Herb</x:v>
      </x:c>
      <x:c r="G905" s="84" t="str">
        <x:v>Shade, Part-shade</x:v>
      </x:c>
      <x:c r="H905" s="84" t="str">
        <x:v>Dry</x:v>
      </x:c>
      <x:c r="I905" s="84" t="str">
        <x:v>camassia scilloides</x:v>
      </x:c>
    </x:row>
    <x:row r="906">
      <x:c r="A906" s="83" t="str">
        <x:v>Wildflower Center pasted list</x:v>
      </x:c>
      <x:c r="B906" s="84" t="n">
        <x:v>118</x:v>
      </x:c>
      <x:c r="C906" s="87" t="str">
        <x:v>Campsis radicans</x:v>
      </x:c>
      <x:c r="D906" s="84" t="str">
        <x:v>Trumpet Creeper, Trumpet Vine, Common Trumpet Creeper, Cow Vine, Foxglove Vine, Hellvine, Devil's Shoestring</x:v>
      </x:c>
      <x:c r="E906" s="84" t="str">
        <x:v>Perennial</x:v>
      </x:c>
      <x:c r="F906" s="84" t="str">
        <x:v>Vine</x:v>
      </x:c>
      <x:c r="G906" s="84" t="str">
        <x:v>Sun</x:v>
      </x:c>
      <x:c r="H906" s="84" t="str">
        <x:v>Moist, Dry</x:v>
      </x:c>
      <x:c r="I906" s="84" t="str">
        <x:v>campsis radicans</x:v>
      </x:c>
    </x:row>
    <x:row r="907">
      <x:c r="A907" s="83" t="str">
        <x:v>Wildflower Center pasted list</x:v>
      </x:c>
      <x:c r="B907" s="84" t="n">
        <x:v>119</x:v>
      </x:c>
      <x:c r="C907" s="87" t="str">
        <x:v>Capsicum annuum</x:v>
      </x:c>
      <x:c r="D907" s="84" t="str">
        <x:v>Chile Tepin, Chile Pequin, Chiltepin, Chile Petin, Bird Pepper, Turkey Pepper , Cayenne Pepper</x:v>
      </x:c>
      <x:c r="E907" s="84" t="str">
        <x:v>Annual, Perennial</x:v>
      </x:c>
      <x:c r="F907" s="84" t="str">
        <x:v>Herb</x:v>
      </x:c>
      <x:c r="G907" s="84" t="str">
        <x:v>Sun, Shade, Part-shade</x:v>
      </x:c>
      <x:c r="H907" s="84" t="str">
        <x:v>Moist</x:v>
      </x:c>
      <x:c r="I907" s="84" t="str">
        <x:v>capsicum annuum</x:v>
      </x:c>
    </x:row>
    <x:row r="908">
      <x:c r="A908" s="83" t="str">
        <x:v>Wildflower Center pasted list</x:v>
      </x:c>
      <x:c r="B908" s="84" t="n">
        <x:v>120</x:v>
      </x:c>
      <x:c r="C908" s="87" t="str">
        <x:v>Carex blanda</x:v>
      </x:c>
      <x:c r="D908" s="84" t="str">
        <x:v>Eastern Woodland Sedge, Creek Sedge, Common Wood Sedge</x:v>
      </x:c>
      <x:c r="E908" s="84" t="str">
        <x:v>Perennial</x:v>
      </x:c>
      <x:c r="F908" s="84" t="str">
        <x:v>Grass/Grass-like</x:v>
      </x:c>
      <x:c r="G908" s="84" t="str">
        <x:v>Sun, Shade, Part-shade</x:v>
      </x:c>
      <x:c r="H908" s="84" t="str">
        <x:v>Moist, Dry</x:v>
      </x:c>
      <x:c r="I908" s="84" t="str">
        <x:v>carex blanda</x:v>
      </x:c>
    </x:row>
    <x:row r="909">
      <x:c r="A909" s="83" t="str">
        <x:v>Wildflower Center pasted list</x:v>
      </x:c>
      <x:c r="B909" s="84" t="n">
        <x:v>121</x:v>
      </x:c>
      <x:c r="C909" s="87" t="str">
        <x:v>Carex crus-corvi</x:v>
      </x:c>
      <x:c r="D909" s="84" t="str">
        <x:v>Ravenfoot Sedge</x:v>
      </x:c>
      <x:c r="E909" s="84" t="str">
        <x:v>Perennial</x:v>
      </x:c>
      <x:c r="F909" s="84" t="str">
        <x:v>Grass/Grass-like</x:v>
      </x:c>
      <x:c r="G909" s="84" t="str"/>
      <x:c r="H909" s="84" t="str"/>
      <x:c r="I909" s="84" t="str">
        <x:v>carex crus-corvi</x:v>
      </x:c>
    </x:row>
    <x:row r="910">
      <x:c r="A910" s="83" t="str">
        <x:v>Wildflower Center pasted list</x:v>
      </x:c>
      <x:c r="B910" s="84" t="n">
        <x:v>122</x:v>
      </x:c>
      <x:c r="C910" s="87" t="str">
        <x:v>Carex edwardsiana</x:v>
      </x:c>
      <x:c r="D910" s="84" t="str">
        <x:v>Edwards Plateau Sedge</x:v>
      </x:c>
      <x:c r="E910" s="84" t="str">
        <x:v>Perennial</x:v>
      </x:c>
      <x:c r="F910" s="84" t="str">
        <x:v>Grass/Grass-like</x:v>
      </x:c>
      <x:c r="G910" s="84" t="str"/>
      <x:c r="H910" s="84" t="str"/>
      <x:c r="I910" s="84" t="str">
        <x:v>carex edwardsiana</x:v>
      </x:c>
    </x:row>
    <x:row r="911">
      <x:c r="A911" s="83" t="str">
        <x:v>Wildflower Center pasted list</x:v>
      </x:c>
      <x:c r="B911" s="84" t="n">
        <x:v>123</x:v>
      </x:c>
      <x:c r="C911" s="87" t="str">
        <x:v>Carex emoryi</x:v>
      </x:c>
      <x:c r="D911" s="84" t="str">
        <x:v>Emory's Sedge, Emory Sedge</x:v>
      </x:c>
      <x:c r="E911" s="84" t="str">
        <x:v>Perennial</x:v>
      </x:c>
      <x:c r="F911" s="84" t="str">
        <x:v>Grass/Grass-like</x:v>
      </x:c>
      <x:c r="G911" s="84" t="str">
        <x:v>Sun, Part-shade</x:v>
      </x:c>
      <x:c r="H911" s="84" t="str">
        <x:v>Wet</x:v>
      </x:c>
      <x:c r="I911" s="84" t="str">
        <x:v>carex emoryi</x:v>
      </x:c>
    </x:row>
    <x:row r="912">
      <x:c r="A912" s="83" t="str">
        <x:v>Wildflower Center pasted list</x:v>
      </x:c>
      <x:c r="B912" s="84" t="n">
        <x:v>124</x:v>
      </x:c>
      <x:c r="C912" s="87" t="str">
        <x:v>Carex microdonta</x:v>
      </x:c>
      <x:c r="D912" s="84" t="str">
        <x:v>Littletooth Sedge</x:v>
      </x:c>
      <x:c r="E912" s="84" t="str">
        <x:v>Perennial</x:v>
      </x:c>
      <x:c r="F912" s="84" t="str">
        <x:v>Grass/Grass-like</x:v>
      </x:c>
      <x:c r="G912" s="84" t="str"/>
      <x:c r="H912" s="84" t="str"/>
      <x:c r="I912" s="84" t="str">
        <x:v>carex microdonta</x:v>
      </x:c>
    </x:row>
    <x:row r="913">
      <x:c r="A913" s="83" t="str">
        <x:v>Wildflower Center pasted list</x:v>
      </x:c>
      <x:c r="B913" s="84" t="n">
        <x:v>125</x:v>
      </x:c>
      <x:c r="C913" s="87" t="str">
        <x:v>Carex perdentata</x:v>
      </x:c>
      <x:c r="D913" s="84" t="str">
        <x:v>Sand Sedge, Meadow Sedge</x:v>
      </x:c>
      <x:c r="E913" s="84" t="str">
        <x:v>Perennial</x:v>
      </x:c>
      <x:c r="F913" s="84" t="str">
        <x:v>Grass/Grass-like</x:v>
      </x:c>
      <x:c r="G913" s="84" t="str">
        <x:v>Sun</x:v>
      </x:c>
      <x:c r="H913" s="84" t="str">
        <x:v>Moist</x:v>
      </x:c>
      <x:c r="I913" s="84" t="str">
        <x:v>carex perdentata</x:v>
      </x:c>
    </x:row>
    <x:row r="914">
      <x:c r="A914" s="83" t="str">
        <x:v>Wildflower Center pasted list</x:v>
      </x:c>
      <x:c r="B914" s="84" t="n">
        <x:v>126</x:v>
      </x:c>
      <x:c r="C914" s="87" t="str">
        <x:v>Carex planostachys</x:v>
      </x:c>
      <x:c r="D914" s="84" t="str">
        <x:v>Cedar Sedge</x:v>
      </x:c>
      <x:c r="E914" s="84" t="str">
        <x:v>Perennial</x:v>
      </x:c>
      <x:c r="F914" s="84" t="str">
        <x:v>Grass/Grass-like</x:v>
      </x:c>
      <x:c r="G914" s="84" t="str">
        <x:v>Part-shade</x:v>
      </x:c>
      <x:c r="H914" s="84" t="str">
        <x:v>Dry</x:v>
      </x:c>
      <x:c r="I914" s="84" t="str">
        <x:v>carex planostachys</x:v>
      </x:c>
    </x:row>
    <x:row r="915">
      <x:c r="A915" s="83" t="str">
        <x:v>Wildflower Center pasted list</x:v>
      </x:c>
      <x:c r="B915" s="84" t="n">
        <x:v>127</x:v>
      </x:c>
      <x:c r="C915" s="87" t="str">
        <x:v>Carphochaete bigelovii</x:v>
      </x:c>
      <x:c r="D915" s="84" t="str">
        <x:v>Bigelow's Bristlehead, Bigelow Bush</x:v>
      </x:c>
      <x:c r="E915" s="84" t="str">
        <x:v>Perennial</x:v>
      </x:c>
      <x:c r="F915" s="84" t="str">
        <x:v>Subshrub</x:v>
      </x:c>
      <x:c r="G915" s="84" t="str">
        <x:v>Sun, Part-shade</x:v>
      </x:c>
      <x:c r="H915" s="84" t="str"/>
      <x:c r="I915" s="84" t="str">
        <x:v>carphochaete bigelovii</x:v>
      </x:c>
    </x:row>
    <x:row r="916">
      <x:c r="A916" s="83" t="str">
        <x:v>Wildflower Center pasted list</x:v>
      </x:c>
      <x:c r="B916" s="84" t="n">
        <x:v>128</x:v>
      </x:c>
      <x:c r="C916" s="87" t="str">
        <x:v>Carya illinoinensis</x:v>
      </x:c>
      <x:c r="D916" s="84" t="str">
        <x:v>Pecan</x:v>
      </x:c>
      <x:c r="E916" s="84" t="str">
        <x:v>Perennial</x:v>
      </x:c>
      <x:c r="F916" s="84" t="str">
        <x:v>Tree</x:v>
      </x:c>
      <x:c r="G916" s="84" t="str">
        <x:v>Sun</x:v>
      </x:c>
      <x:c r="H916" s="84" t="str">
        <x:v>Moist</x:v>
      </x:c>
      <x:c r="I916" s="84" t="str">
        <x:v>carya illinoinensis</x:v>
      </x:c>
    </x:row>
    <x:row r="917">
      <x:c r="A917" s="83" t="str">
        <x:v>Wildflower Center pasted list</x:v>
      </x:c>
      <x:c r="B917" s="84" t="n">
        <x:v>129</x:v>
      </x:c>
      <x:c r="C917" s="87" t="str">
        <x:v>Castilleja indivisa</x:v>
      </x:c>
      <x:c r="D917" s="84" t="str">
        <x:v>Texas Indian Paintbrush, Entireleaf Indian Paintbrush, Texas Paintbrush, Indian Paintbrush, Scarlet Paintbrush</x:v>
      </x:c>
      <x:c r="E917" s="84" t="str">
        <x:v>Annual</x:v>
      </x:c>
      <x:c r="F917" s="84" t="str">
        <x:v>Herb</x:v>
      </x:c>
      <x:c r="G917" s="84" t="str">
        <x:v>Sun</x:v>
      </x:c>
      <x:c r="H917" s="84" t="str">
        <x:v>Dry</x:v>
      </x:c>
      <x:c r="I917" s="84" t="str">
        <x:v>castilleja indivisa</x:v>
      </x:c>
    </x:row>
    <x:row r="918">
      <x:c r="A918" s="83" t="str">
        <x:v>Wildflower Center pasted list</x:v>
      </x:c>
      <x:c r="B918" s="84" t="n">
        <x:v>130</x:v>
      </x:c>
      <x:c r="C918" s="87" t="str">
        <x:v>Castilleja purpurea var. lindheimeri</x:v>
      </x:c>
      <x:c r="D918" s="84" t="str">
        <x:v>Lindheimer's Paintbrush, Lindheimer's Prairie Paintbrush, Lindheimer's Indian Paintbrush, Prairie Paintbrush</x:v>
      </x:c>
      <x:c r="E918" s="84" t="str">
        <x:v>Perennial</x:v>
      </x:c>
      <x:c r="F918" s="84" t="str">
        <x:v>Herb</x:v>
      </x:c>
      <x:c r="G918" s="84" t="str">
        <x:v>Sun</x:v>
      </x:c>
      <x:c r="H918" s="84" t="str">
        <x:v>Dry</x:v>
      </x:c>
      <x:c r="I918" s="84" t="str">
        <x:v>castilleja purpurea var. lindheimeri</x:v>
      </x:c>
    </x:row>
    <x:row r="919">
      <x:c r="A919" s="83" t="str">
        <x:v>Wildflower Center pasted list</x:v>
      </x:c>
      <x:c r="B919" s="84" t="n">
        <x:v>131</x:v>
      </x:c>
      <x:c r="C919" s="87" t="str">
        <x:v>Catalpa speciosa</x:v>
      </x:c>
      <x:c r="D919" s="84" t="str">
        <x:v>Northern Catalpa, Catalpa Tree, Cigar Tree, Indian Bean</x:v>
      </x:c>
      <x:c r="E919" s="84" t="str">
        <x:v>Perennial</x:v>
      </x:c>
      <x:c r="F919" s="84" t="str">
        <x:v>Tree</x:v>
      </x:c>
      <x:c r="G919" s="84" t="str">
        <x:v>Part-shade</x:v>
      </x:c>
      <x:c r="H919" s="84" t="str">
        <x:v>Moist</x:v>
      </x:c>
      <x:c r="I919" s="84" t="str">
        <x:v>catalpa speciosa</x:v>
      </x:c>
    </x:row>
    <x:row r="920">
      <x:c r="A920" s="83" t="str">
        <x:v>Wildflower Center pasted list</x:v>
      </x:c>
      <x:c r="B920" s="84" t="n">
        <x:v>132</x:v>
      </x:c>
      <x:c r="C920" s="87" t="str">
        <x:v>Ceanothus herbaceus</x:v>
      </x:c>
      <x:c r="D920" s="84" t="str">
        <x:v>Prairie Redroot, Smaller Redroot, Small Redroot, Inland Ceanothus, Fuzzy Ceanothus, Jersey Tea, Redroot</x:v>
      </x:c>
      <x:c r="E920" s="84" t="str">
        <x:v>Perennial</x:v>
      </x:c>
      <x:c r="F920" s="84" t="str">
        <x:v>Shrub</x:v>
      </x:c>
      <x:c r="G920" s="84" t="str">
        <x:v>Sun</x:v>
      </x:c>
      <x:c r="H920" s="84" t="str">
        <x:v>Dry</x:v>
      </x:c>
      <x:c r="I920" s="84" t="str">
        <x:v>ceanothus herbaceus</x:v>
      </x:c>
    </x:row>
    <x:row r="921">
      <x:c r="A921" s="83" t="str">
        <x:v>Wildflower Center pasted list</x:v>
      </x:c>
      <x:c r="B921" s="84" t="n">
        <x:v>133</x:v>
      </x:c>
      <x:c r="C921" s="87" t="str">
        <x:v>Celosia nitida</x:v>
      </x:c>
      <x:c r="D921" s="84" t="str">
        <x:v>West Indian Cock's Comb</x:v>
      </x:c>
      <x:c r="E921" s="84" t="str">
        <x:v>Perennial</x:v>
      </x:c>
      <x:c r="F921" s="84" t="str">
        <x:v>Herb</x:v>
      </x:c>
      <x:c r="G921" s="84" t="str">
        <x:v>Sun</x:v>
      </x:c>
      <x:c r="H921" s="84" t="str">
        <x:v>Moist</x:v>
      </x:c>
      <x:c r="I921" s="84" t="str">
        <x:v>celosia nitida</x:v>
      </x:c>
    </x:row>
    <x:row r="922">
      <x:c r="A922" s="83" t="str">
        <x:v>Wildflower Center pasted list</x:v>
      </x:c>
      <x:c r="B922" s="84" t="n">
        <x:v>134</x:v>
      </x:c>
      <x:c r="C922" s="87" t="str">
        <x:v>Celtis ehrenbergiana</x:v>
      </x:c>
      <x:c r="D922" s="84" t="str">
        <x:v>Desert Hackberry, Spiny Hackberry, Shiny Hackberry, Granjeno, Huasteco</x:v>
      </x:c>
      <x:c r="E922" s="84" t="str">
        <x:v>Perennial</x:v>
      </x:c>
      <x:c r="F922" s="84" t="str">
        <x:v>Shrub</x:v>
      </x:c>
      <x:c r="G922" s="84" t="str">
        <x:v>Sun, Part-shade</x:v>
      </x:c>
      <x:c r="H922" s="84" t="str">
        <x:v>Dry</x:v>
      </x:c>
      <x:c r="I922" s="84" t="str">
        <x:v>celtis ehrenbergiana</x:v>
      </x:c>
    </x:row>
    <x:row r="923">
      <x:c r="A923" s="83" t="str">
        <x:v>Wildflower Center pasted list</x:v>
      </x:c>
      <x:c r="B923" s="84" t="n">
        <x:v>135</x:v>
      </x:c>
      <x:c r="C923" s="87" t="str">
        <x:v>Celtis laevigata var. laevigata</x:v>
      </x:c>
      <x:c r="D923" s="84" t="str">
        <x:v>Sugarberry, Palo Blanco</x:v>
      </x:c>
      <x:c r="E923" s="84" t="str">
        <x:v>Perennial</x:v>
      </x:c>
      <x:c r="F923" s="84" t="str">
        <x:v>Shrub, Tree</x:v>
      </x:c>
      <x:c r="G923" s="84" t="str"/>
      <x:c r="H923" s="84" t="str"/>
      <x:c r="I923" s="84" t="str">
        <x:v>celtis laevigata var. laevigata</x:v>
      </x:c>
    </x:row>
    <x:row r="924">
      <x:c r="A924" s="83" t="str">
        <x:v>Wildflower Center pasted list</x:v>
      </x:c>
      <x:c r="B924" s="84" t="n">
        <x:v>136</x:v>
      </x:c>
      <x:c r="C924" s="87" t="str">
        <x:v>Celtis laevigata var. reticulata</x:v>
      </x:c>
      <x:c r="D924" s="84" t="str">
        <x:v>Netleaf Hackberry, Netleaf Sugar Hackberry, Western Hackberry, Sugar Hackberry, Texas Sugarberry, Palo Blanco, Acibuche</x:v>
      </x:c>
      <x:c r="E924" s="84" t="str">
        <x:v>Perennial</x:v>
      </x:c>
      <x:c r="F924" s="84" t="str">
        <x:v>Tree</x:v>
      </x:c>
      <x:c r="G924" s="84" t="str">
        <x:v>Part-shade</x:v>
      </x:c>
      <x:c r="H924" s="84" t="str"/>
      <x:c r="I924" s="84" t="str">
        <x:v>celtis laevigata var. reticulata</x:v>
      </x:c>
    </x:row>
    <x:row r="925">
      <x:c r="A925" s="83" t="str">
        <x:v>Wildflower Center pasted list</x:v>
      </x:c>
      <x:c r="B925" s="84" t="n">
        <x:v>137</x:v>
      </x:c>
      <x:c r="C925" s="87" t="str">
        <x:v>Celtis lindheimeri</x:v>
      </x:c>
      <x:c r="D925" s="84" t="str">
        <x:v>Lindheimer's Hackberry, Lindheimer Hackberry</x:v>
      </x:c>
      <x:c r="E925" s="84" t="str">
        <x:v>Perennial</x:v>
      </x:c>
      <x:c r="F925" s="84" t="str">
        <x:v>Tree</x:v>
      </x:c>
      <x:c r="G925" s="84" t="str">
        <x:v>Sun</x:v>
      </x:c>
      <x:c r="H925" s="84" t="str"/>
      <x:c r="I925" s="84" t="str">
        <x:v>celtis lindheimeri</x:v>
      </x:c>
    </x:row>
    <x:row r="926">
      <x:c r="A926" s="83" t="str">
        <x:v>Wildflower Center pasted list</x:v>
      </x:c>
      <x:c r="B926" s="84" t="n">
        <x:v>138</x:v>
      </x:c>
      <x:c r="C926" s="87" t="str">
        <x:v>Cenchrus spinifex</x:v>
      </x:c>
      <x:c r="D926" s="84" t="str">
        <x:v>Grass Bur, Coastal Sandbur, Field Sandspur, Southern Sandbur, Spiny Burrgrass</x:v>
      </x:c>
      <x:c r="E926" s="84" t="str">
        <x:v>Annual</x:v>
      </x:c>
      <x:c r="F926" s="84" t="str">
        <x:v>Grass/Grass-like</x:v>
      </x:c>
      <x:c r="G926" s="84" t="str">
        <x:v>Sun, Part-shade</x:v>
      </x:c>
      <x:c r="H926" s="84" t="str">
        <x:v>Moist, Dry</x:v>
      </x:c>
      <x:c r="I926" s="84" t="str">
        <x:v>cenchrus spinifex</x:v>
      </x:c>
    </x:row>
    <x:row r="927">
      <x:c r="A927" s="83" t="str">
        <x:v>Wildflower Center pasted list</x:v>
      </x:c>
      <x:c r="B927" s="84" t="n">
        <x:v>139</x:v>
      </x:c>
      <x:c r="C927" s="87" t="str">
        <x:v>Centaurium beyrichii</x:v>
      </x:c>
      <x:c r="D927" s="84" t="str">
        <x:v>Mountain Pink, Mountain Centaury, Quinineweed, Rock Centaury, Meadow Pink, Catchfly</x:v>
      </x:c>
      <x:c r="E927" s="84" t="str">
        <x:v>Annual</x:v>
      </x:c>
      <x:c r="F927" s="84" t="str">
        <x:v>Herb</x:v>
      </x:c>
      <x:c r="G927" s="84" t="str">
        <x:v>Part-shade</x:v>
      </x:c>
      <x:c r="H927" s="84" t="str">
        <x:v>Dry</x:v>
      </x:c>
      <x:c r="I927" s="84" t="str">
        <x:v>centaurium beyrichii</x:v>
      </x:c>
    </x:row>
    <x:row r="928">
      <x:c r="A928" s="83" t="str">
        <x:v>Wildflower Center pasted list</x:v>
      </x:c>
      <x:c r="B928" s="84" t="n">
        <x:v>140</x:v>
      </x:c>
      <x:c r="C928" s="87" t="str">
        <x:v>Centaurium calycosum</x:v>
      </x:c>
      <x:c r="D928" s="84" t="str">
        <x:v>Buckley Centaury, Rosita, Shortflower Centaury</x:v>
      </x:c>
      <x:c r="E928" s="84" t="str">
        <x:v>Annual</x:v>
      </x:c>
      <x:c r="F928" s="84" t="str">
        <x:v>Herb</x:v>
      </x:c>
      <x:c r="G928" s="84" t="str"/>
      <x:c r="H928" s="84" t="str"/>
      <x:c r="I928" s="84" t="str">
        <x:v>centaurium calycosum</x:v>
      </x:c>
    </x:row>
    <x:row r="929">
      <x:c r="A929" s="83" t="str">
        <x:v>Wildflower Center pasted list</x:v>
      </x:c>
      <x:c r="B929" s="84" t="n">
        <x:v>141</x:v>
      </x:c>
      <x:c r="C929" s="87" t="str">
        <x:v>Centaurium texense</x:v>
      </x:c>
      <x:c r="D929" s="84" t="str">
        <x:v>Lady Bird's Centaury, Texas Centaury</x:v>
      </x:c>
      <x:c r="E929" s="84" t="str">
        <x:v>Annual</x:v>
      </x:c>
      <x:c r="F929" s="84" t="str">
        <x:v>Herb</x:v>
      </x:c>
      <x:c r="G929" s="84" t="str">
        <x:v>Sun, Part-shade</x:v>
      </x:c>
      <x:c r="H929" s="84" t="str"/>
      <x:c r="I929" s="84" t="str">
        <x:v>centaurium texense</x:v>
      </x:c>
    </x:row>
    <x:row r="930">
      <x:c r="A930" s="83" t="str">
        <x:v>Wildflower Center pasted list</x:v>
      </x:c>
      <x:c r="B930" s="84" t="n">
        <x:v>142</x:v>
      </x:c>
      <x:c r="C930" s="87" t="str">
        <x:v>Centella erecta</x:v>
      </x:c>
      <x:c r="D930" s="84" t="str">
        <x:v>Erect Centella, Erect Spadeleaf</x:v>
      </x:c>
      <x:c r="E930" s="84" t="str">
        <x:v>Perennial</x:v>
      </x:c>
      <x:c r="F930" s="84" t="str">
        <x:v>Herb</x:v>
      </x:c>
      <x:c r="G930" s="84" t="str">
        <x:v>Sun</x:v>
      </x:c>
      <x:c r="H930" s="84" t="str">
        <x:v>Moist</x:v>
      </x:c>
      <x:c r="I930" s="84" t="str">
        <x:v>centella erecta</x:v>
      </x:c>
    </x:row>
    <x:row r="931">
      <x:c r="A931" s="83" t="str">
        <x:v>Wildflower Center pasted list</x:v>
      </x:c>
      <x:c r="B931" s="84" t="n">
        <x:v>143</x:v>
      </x:c>
      <x:c r="C931" s="87" t="str">
        <x:v>Cephalanthus occidentalis</x:v>
      </x:c>
      <x:c r="D931" s="84" t="str">
        <x:v>Common Buttonbush, Buttonbush, Button Willow, Honey Bells, Honeybells, Honey Balls, Honeyballs, Button-bush</x:v>
      </x:c>
      <x:c r="E931" s="84" t="str">
        <x:v>Perennial</x:v>
      </x:c>
      <x:c r="F931" s="84" t="str">
        <x:v>Shrub</x:v>
      </x:c>
      <x:c r="G931" s="84" t="str">
        <x:v>Shade, Part-shade</x:v>
      </x:c>
      <x:c r="H931" s="84" t="str">
        <x:v>Wet, Moist</x:v>
      </x:c>
      <x:c r="I931" s="84" t="str">
        <x:v>cephalanthus occidentalis</x:v>
      </x:c>
    </x:row>
    <x:row r="932">
      <x:c r="A932" s="83" t="str">
        <x:v>Wildflower Center pasted list</x:v>
      </x:c>
      <x:c r="B932" s="84" t="n">
        <x:v>144</x:v>
      </x:c>
      <x:c r="C932" s="87" t="str">
        <x:v>Cerastium brachypodum</x:v>
      </x:c>
      <x:c r="D932" s="84" t="str">
        <x:v>Shortstalk Chickweed, Short-stalk Chickweed</x:v>
      </x:c>
      <x:c r="E932" s="84" t="str">
        <x:v>Annual, Perennial</x:v>
      </x:c>
      <x:c r="F932" s="84" t="str">
        <x:v>Herb</x:v>
      </x:c>
      <x:c r="G932" s="84" t="str"/>
      <x:c r="H932" s="84" t="str"/>
      <x:c r="I932" s="84" t="str">
        <x:v>cerastium brachypodum</x:v>
      </x:c>
    </x:row>
    <x:row r="933">
      <x:c r="A933" s="83" t="str">
        <x:v>Wildflower Center pasted list</x:v>
      </x:c>
      <x:c r="B933" s="84" t="n">
        <x:v>145</x:v>
      </x:c>
      <x:c r="C933" s="87" t="str">
        <x:v>Ceratophyllum demersum</x:v>
      </x:c>
      <x:c r="D933" s="84" t="str">
        <x:v>Coon's Tail</x:v>
      </x:c>
      <x:c r="E933" s="84" t="str">
        <x:v>Perennial</x:v>
      </x:c>
      <x:c r="F933" s="84" t="str">
        <x:v>Herb</x:v>
      </x:c>
      <x:c r="G933" s="84" t="str">
        <x:v>Part-shade</x:v>
      </x:c>
      <x:c r="H933" s="84" t="str"/>
      <x:c r="I933" s="84" t="str">
        <x:v>ceratophyllum demersum</x:v>
      </x:c>
    </x:row>
    <x:row r="934">
      <x:c r="A934" s="83" t="str">
        <x:v>Wildflower Center pasted list</x:v>
      </x:c>
      <x:c r="B934" s="84" t="n">
        <x:v>146</x:v>
      </x:c>
      <x:c r="C934" s="87" t="str">
        <x:v>Cercis canadensis var. texensis</x:v>
      </x:c>
      <x:c r="D934" s="84" t="str">
        <x:v>Texas Redbud</x:v>
      </x:c>
      <x:c r="E934" s="84" t="str">
        <x:v>Perennial</x:v>
      </x:c>
      <x:c r="F934" s="84" t="str">
        <x:v>Tree</x:v>
      </x:c>
      <x:c r="G934" s="84" t="str">
        <x:v>Sun, Part-shade</x:v>
      </x:c>
      <x:c r="H934" s="84" t="str">
        <x:v>Dry</x:v>
      </x:c>
      <x:c r="I934" s="84" t="str">
        <x:v>cercis canadensis var. texensis</x:v>
      </x:c>
    </x:row>
    <x:row r="935">
      <x:c r="A935" s="83" t="str">
        <x:v>Wildflower Center pasted list</x:v>
      </x:c>
      <x:c r="B935" s="84" t="n">
        <x:v>147</x:v>
      </x:c>
      <x:c r="C935" s="87" t="str">
        <x:v>Chaerophyllum tainturieri</x:v>
      </x:c>
      <x:c r="D935" s="84" t="str">
        <x:v>Hairyfruit Chervil, Southern Chervil</x:v>
      </x:c>
      <x:c r="E935" s="84" t="str">
        <x:v>Annual</x:v>
      </x:c>
      <x:c r="F935" s="84" t="str">
        <x:v>Herb</x:v>
      </x:c>
      <x:c r="G935" s="84" t="str"/>
      <x:c r="H935" s="84" t="str"/>
      <x:c r="I935" s="84" t="str">
        <x:v>chaerophyllum tainturieri</x:v>
      </x:c>
    </x:row>
    <x:row r="936">
      <x:c r="A936" s="83" t="str">
        <x:v>Wildflower Center pasted list</x:v>
      </x:c>
      <x:c r="B936" s="84" t="n">
        <x:v>148</x:v>
      </x:c>
      <x:c r="C936" s="87" t="str">
        <x:v>Chaetopappa bellidifolia</x:v>
      </x:c>
      <x:c r="D936" s="84" t="str">
        <x:v>Whiteray Leastdaisy, Dwarf White Aster, Edwards Lazy Daisy</x:v>
      </x:c>
      <x:c r="E936" s="84" t="str">
        <x:v>Annual</x:v>
      </x:c>
      <x:c r="F936" s="84" t="str">
        <x:v>Herb</x:v>
      </x:c>
      <x:c r="G936" s="84" t="str">
        <x:v>Sun</x:v>
      </x:c>
      <x:c r="H936" s="84" t="str"/>
      <x:c r="I936" s="84" t="str">
        <x:v>chaetopappa bellidifolia</x:v>
      </x:c>
    </x:row>
    <x:row r="937">
      <x:c r="A937" s="83" t="str">
        <x:v>Wildflower Center pasted list</x:v>
      </x:c>
      <x:c r="B937" s="84" t="n">
        <x:v>149</x:v>
      </x:c>
      <x:c r="C937" s="87" t="str">
        <x:v>Chaetopappa effusa</x:v>
      </x:c>
      <x:c r="D937" s="84" t="str">
        <x:v>Spreading Leastdaisy</x:v>
      </x:c>
      <x:c r="E937" s="84" t="str">
        <x:v>Perennial</x:v>
      </x:c>
      <x:c r="F937" s="84" t="str">
        <x:v>Subshrub</x:v>
      </x:c>
      <x:c r="G937" s="84" t="str"/>
      <x:c r="H937" s="84" t="str"/>
      <x:c r="I937" s="84" t="str">
        <x:v>chaetopappa effusa</x:v>
      </x:c>
    </x:row>
    <x:row r="938">
      <x:c r="A938" s="83" t="str">
        <x:v>Wildflower Center pasted list</x:v>
      </x:c>
      <x:c r="B938" s="84" t="n">
        <x:v>150</x:v>
      </x:c>
      <x:c r="C938" s="87" t="str">
        <x:v>Chamaecrista fasciculata</x:v>
      </x:c>
      <x:c r="D938" s="84" t="str">
        <x:v>Partridge Pea, Sleepingplant, Sensitive Plant</x:v>
      </x:c>
      <x:c r="E938" s="84" t="str">
        <x:v>Annual</x:v>
      </x:c>
      <x:c r="F938" s="84" t="str">
        <x:v>Herb</x:v>
      </x:c>
      <x:c r="G938" s="84" t="str">
        <x:v>Sun, Part-shade</x:v>
      </x:c>
      <x:c r="H938" s="84" t="str">
        <x:v>Moist, Dry</x:v>
      </x:c>
      <x:c r="I938" s="84" t="str">
        <x:v>chamaecrista fasciculata</x:v>
      </x:c>
    </x:row>
    <x:row r="939">
      <x:c r="A939" s="83" t="str">
        <x:v>Wildflower Center pasted list</x:v>
      </x:c>
      <x:c r="B939" s="84" t="n">
        <x:v>151</x:v>
      </x:c>
      <x:c r="C939" s="87" t="str">
        <x:v>Chamaesaracha coniodes</x:v>
      </x:c>
      <x:c r="D939" s="84" t="str">
        <x:v>Gray Five Eyes, False Nightshade, Ground Saracha, Prostrate Ground-cherry</x:v>
      </x:c>
      <x:c r="E939" s="84" t="str">
        <x:v>Perennial</x:v>
      </x:c>
      <x:c r="F939" s="84" t="str">
        <x:v>Herb</x:v>
      </x:c>
      <x:c r="G939" s="84" t="str">
        <x:v>Part-shade</x:v>
      </x:c>
      <x:c r="H939" s="84" t="str"/>
      <x:c r="I939" s="84" t="str">
        <x:v>chamaesaracha coniodes</x:v>
      </x:c>
    </x:row>
    <x:row r="940">
      <x:c r="A940" s="83" t="str">
        <x:v>Wildflower Center pasted list</x:v>
      </x:c>
      <x:c r="B940" s="84" t="n">
        <x:v>152</x:v>
      </x:c>
      <x:c r="C940" s="87" t="str">
        <x:v>Chamaesaracha coronopus</x:v>
      </x:c>
      <x:c r="D940" s="84" t="str">
        <x:v>Greenleaf Five Eyes, Green False Nightshade</x:v>
      </x:c>
      <x:c r="E940" s="84" t="str">
        <x:v>Perennial</x:v>
      </x:c>
      <x:c r="F940" s="84" t="str">
        <x:v>Herb</x:v>
      </x:c>
      <x:c r="G940" s="84" t="str"/>
      <x:c r="H940" s="84" t="str"/>
      <x:c r="I940" s="84" t="str">
        <x:v>chamaesaracha coronopus</x:v>
      </x:c>
    </x:row>
    <x:row r="941">
      <x:c r="A941" s="83" t="str">
        <x:v>Wildflower Center pasted list</x:v>
      </x:c>
      <x:c r="B941" s="84" t="n">
        <x:v>153</x:v>
      </x:c>
      <x:c r="C941" s="87" t="str">
        <x:v>Chamaesaracha edwardsiana</x:v>
      </x:c>
      <x:c r="D941" s="84" t="str">
        <x:v>Edwards Plateau Five Eyes</x:v>
      </x:c>
      <x:c r="E941" s="84" t="str">
        <x:v>Perennial</x:v>
      </x:c>
      <x:c r="F941" s="84" t="str">
        <x:v>Herb</x:v>
      </x:c>
      <x:c r="G941" s="84" t="str">
        <x:v>Sun, Part-shade</x:v>
      </x:c>
      <x:c r="H941" s="84" t="str"/>
      <x:c r="I941" s="84" t="str">
        <x:v>chamaesaracha edwardsiana</x:v>
      </x:c>
    </x:row>
    <x:row r="942">
      <x:c r="A942" s="83" t="str">
        <x:v>Wildflower Center pasted list</x:v>
      </x:c>
      <x:c r="B942" s="84" t="n">
        <x:v>154</x:v>
      </x:c>
      <x:c r="C942" s="87" t="str">
        <x:v>Chamaesyce angusta</x:v>
      </x:c>
      <x:c r="D942" s="84" t="str">
        <x:v>Blackfoot Sandmat, Narrow-leaf Spurge</x:v>
      </x:c>
      <x:c r="E942" s="84" t="str">
        <x:v>Perennial</x:v>
      </x:c>
      <x:c r="F942" s="84" t="str">
        <x:v>Herb</x:v>
      </x:c>
      <x:c r="G942" s="84" t="str"/>
      <x:c r="H942" s="84" t="str"/>
      <x:c r="I942" s="84" t="str">
        <x:v>chamaesyce angusta</x:v>
      </x:c>
    </x:row>
    <x:row r="943">
      <x:c r="A943" s="83" t="str">
        <x:v>Wildflower Center pasted list</x:v>
      </x:c>
      <x:c r="B943" s="84" t="n">
        <x:v>155</x:v>
      </x:c>
      <x:c r="C943" s="87" t="str">
        <x:v>Chamaesyce fendleri</x:v>
      </x:c>
      <x:c r="D943" s="84" t="str">
        <x:v>Fendler's Sandmat, Fendler's Spurge, Fendler's Carpetweed, Fendler's Euphorb</x:v>
      </x:c>
      <x:c r="E943" s="84" t="str">
        <x:v>Perennial</x:v>
      </x:c>
      <x:c r="F943" s="84" t="str">
        <x:v>Herb</x:v>
      </x:c>
      <x:c r="G943" s="84" t="str"/>
      <x:c r="H943" s="84" t="str"/>
      <x:c r="I943" s="84" t="str">
        <x:v>chamaesyce fendleri</x:v>
      </x:c>
    </x:row>
    <x:row r="944">
      <x:c r="A944" s="83" t="str">
        <x:v>Wildflower Center pasted list</x:v>
      </x:c>
      <x:c r="B944" s="84" t="n">
        <x:v>156</x:v>
      </x:c>
      <x:c r="C944" s="87" t="str">
        <x:v>Chamaesyce nutans</x:v>
      </x:c>
      <x:c r="D944" s="84" t="str">
        <x:v>Nodding Spurge, Eyebane</x:v>
      </x:c>
      <x:c r="E944" s="84" t="str">
        <x:v>Annual</x:v>
      </x:c>
      <x:c r="F944" s="84" t="str">
        <x:v>Herb</x:v>
      </x:c>
      <x:c r="G944" s="84" t="str">
        <x:v>Sun</x:v>
      </x:c>
      <x:c r="H944" s="84" t="str">
        <x:v>Dry</x:v>
      </x:c>
      <x:c r="I944" s="84" t="str">
        <x:v>chamaesyce nutans</x:v>
      </x:c>
    </x:row>
    <x:row r="945">
      <x:c r="A945" s="83" t="str">
        <x:v>Wildflower Center pasted list</x:v>
      </x:c>
      <x:c r="B945" s="84" t="n">
        <x:v>157</x:v>
      </x:c>
      <x:c r="C945" s="87" t="str">
        <x:v>Chamaesyce prostrata</x:v>
      </x:c>
      <x:c r="D945" s="84" t="str">
        <x:v>Prostrate Spurge, Prostrate Sandmat, Ground Spurge</x:v>
      </x:c>
      <x:c r="E945" s="84" t="str">
        <x:v>Annual</x:v>
      </x:c>
      <x:c r="F945" s="84" t="str">
        <x:v>Herb</x:v>
      </x:c>
      <x:c r="G945" s="84" t="str">
        <x:v>Sun, Part-shade</x:v>
      </x:c>
      <x:c r="H945" s="84" t="str">
        <x:v>Dry</x:v>
      </x:c>
      <x:c r="I945" s="84" t="str">
        <x:v>chamaesyce prostrata</x:v>
      </x:c>
    </x:row>
    <x:row r="946">
      <x:c r="A946" s="83" t="str">
        <x:v>Wildflower Center pasted list</x:v>
      </x:c>
      <x:c r="B946" s="84" t="n">
        <x:v>158</x:v>
      </x:c>
      <x:c r="C946" s="87" t="str">
        <x:v>Chamaesyce serpens</x:v>
      </x:c>
      <x:c r="D946" s="84" t="str">
        <x:v>Matted Sandmat, Prostrate Spurge, Creeping Spurge</x:v>
      </x:c>
      <x:c r="E946" s="84" t="str">
        <x:v>Annual</x:v>
      </x:c>
      <x:c r="F946" s="84" t="str">
        <x:v>Herb</x:v>
      </x:c>
      <x:c r="G946" s="84" t="str"/>
      <x:c r="H946" s="84" t="str"/>
      <x:c r="I946" s="84" t="str">
        <x:v>chamaesyce serpens</x:v>
      </x:c>
    </x:row>
    <x:row r="947">
      <x:c r="A947" s="83" t="str">
        <x:v>Wildflower Center pasted list</x:v>
      </x:c>
      <x:c r="B947" s="84" t="n">
        <x:v>159</x:v>
      </x:c>
      <x:c r="C947" s="87" t="str">
        <x:v>Chamaesyce villifera</x:v>
      </x:c>
      <x:c r="D947" s="84" t="str">
        <x:v>Hairy Sandmat</x:v>
      </x:c>
      <x:c r="E947" s="84" t="str">
        <x:v>Perennial</x:v>
      </x:c>
      <x:c r="F947" s="84" t="str">
        <x:v>Herb</x:v>
      </x:c>
      <x:c r="G947" s="84" t="str"/>
      <x:c r="H947" s="84" t="str"/>
      <x:c r="I947" s="84" t="str">
        <x:v>chamaesyce villifera</x:v>
      </x:c>
    </x:row>
    <x:row r="948">
      <x:c r="A948" s="83" t="str">
        <x:v>Wildflower Center pasted list</x:v>
      </x:c>
      <x:c r="B948" s="84" t="n">
        <x:v>160</x:v>
      </x:c>
      <x:c r="C948" s="87" t="str">
        <x:v>Chaptalia texana</x:v>
      </x:c>
      <x:c r="D948" s="84" t="str">
        <x:v>Texas Silverpuff, Silverpuff, Nodding Lettuce, Silver Puff</x:v>
      </x:c>
      <x:c r="E948" s="84" t="str">
        <x:v>Perennial</x:v>
      </x:c>
      <x:c r="F948" s="84" t="str">
        <x:v>Herb</x:v>
      </x:c>
      <x:c r="G948" s="84" t="str">
        <x:v>Shade, Part-shade</x:v>
      </x:c>
      <x:c r="H948" s="84" t="str">
        <x:v>Dry</x:v>
      </x:c>
      <x:c r="I948" s="84" t="str">
        <x:v>chaptalia texana</x:v>
      </x:c>
    </x:row>
    <x:row r="949">
      <x:c r="A949" s="83" t="str">
        <x:v>Wildflower Center pasted list</x:v>
      </x:c>
      <x:c r="B949" s="84" t="n">
        <x:v>161</x:v>
      </x:c>
      <x:c r="C949" s="87" t="str">
        <x:v>Chasmanthium latifolium</x:v>
      </x:c>
      <x:c r="D949" s="84" t="str">
        <x:v>Inland Sea Oats, Indian Wood Oats, Wild Oats, River Oats, Flathead Oats, Upland Oats, Upland Sea Oats</x:v>
      </x:c>
      <x:c r="E949" s="84" t="str">
        <x:v>Perennial</x:v>
      </x:c>
      <x:c r="F949" s="84" t="str">
        <x:v>Grass/Grass-like</x:v>
      </x:c>
      <x:c r="G949" s="84" t="str">
        <x:v>Shade, Part-shade</x:v>
      </x:c>
      <x:c r="H949" s="84" t="str">
        <x:v>Moist</x:v>
      </x:c>
      <x:c r="I949" s="84" t="str">
        <x:v>chasmanthium latifolium</x:v>
      </x:c>
    </x:row>
    <x:row r="950">
      <x:c r="A950" s="83" t="str">
        <x:v>Wildflower Center pasted list</x:v>
      </x:c>
      <x:c r="B950" s="84" t="n">
        <x:v>162</x:v>
      </x:c>
      <x:c r="C950" s="87" t="str">
        <x:v>Cheilanthes horridula</x:v>
      </x:c>
      <x:c r="D950" s="84" t="str">
        <x:v>Rough Lipfern</x:v>
      </x:c>
      <x:c r="E950" s="84" t="str">
        <x:v>Perennial</x:v>
      </x:c>
      <x:c r="F950" s="84" t="str">
        <x:v>Fern</x:v>
      </x:c>
      <x:c r="G950" s="84" t="str">
        <x:v>Sun</x:v>
      </x:c>
      <x:c r="H950" s="84" t="str">
        <x:v>Dry</x:v>
      </x:c>
      <x:c r="I950" s="84" t="str">
        <x:v>cheilanthes horridula</x:v>
      </x:c>
    </x:row>
    <x:row r="951">
      <x:c r="A951" s="83" t="str">
        <x:v>Wildflower Center pasted list</x:v>
      </x:c>
      <x:c r="B951" s="84" t="n">
        <x:v>163</x:v>
      </x:c>
      <x:c r="C951" s="87" t="str">
        <x:v>Chloracantha spinosa</x:v>
      </x:c>
      <x:c r="D951" s="84" t="str">
        <x:v>Spiny Chloracantha, Mexican Devil-weed</x:v>
      </x:c>
      <x:c r="E951" s="84" t="str">
        <x:v>Perennial</x:v>
      </x:c>
      <x:c r="F951" s="84" t="str">
        <x:v>Herb</x:v>
      </x:c>
      <x:c r="G951" s="84" t="str"/>
      <x:c r="H951" s="84" t="str"/>
      <x:c r="I951" s="84" t="str">
        <x:v>chloracantha spinosa</x:v>
      </x:c>
    </x:row>
    <x:row r="952">
      <x:c r="A952" s="83" t="str">
        <x:v>Wildflower Center pasted list</x:v>
      </x:c>
      <x:c r="B952" s="84" t="n">
        <x:v>164</x:v>
      </x:c>
      <x:c r="C952" s="87" t="str">
        <x:v>Chloris andropogonoides</x:v>
      </x:c>
      <x:c r="D952" s="84" t="str">
        <x:v>Slimspike Windmill Grass</x:v>
      </x:c>
      <x:c r="E952" s="84" t="str">
        <x:v>Perennial</x:v>
      </x:c>
      <x:c r="F952" s="84" t="str">
        <x:v>Grass/Grass-like</x:v>
      </x:c>
      <x:c r="G952" s="84" t="str">
        <x:v>Sun</x:v>
      </x:c>
      <x:c r="H952" s="84" t="str">
        <x:v>Moist, Dry</x:v>
      </x:c>
      <x:c r="I952" s="84" t="str">
        <x:v>chloris andropogonoides</x:v>
      </x:c>
    </x:row>
    <x:row r="953">
      <x:c r="A953" s="83" t="str">
        <x:v>Wildflower Center pasted list</x:v>
      </x:c>
      <x:c r="B953" s="84" t="n">
        <x:v>165</x:v>
      </x:c>
      <x:c r="C953" s="87" t="str">
        <x:v>Chloris cucullata</x:v>
      </x:c>
      <x:c r="D953" s="84" t="str">
        <x:v>Hooded Windmill Grass, Hooded Windmillgrass</x:v>
      </x:c>
      <x:c r="E953" s="84" t="str">
        <x:v>Perennial</x:v>
      </x:c>
      <x:c r="F953" s="84" t="str">
        <x:v>Grass/Grass-like</x:v>
      </x:c>
      <x:c r="G953" s="84" t="str">
        <x:v>Part-shade</x:v>
      </x:c>
      <x:c r="H953" s="84" t="str">
        <x:v>Moist</x:v>
      </x:c>
      <x:c r="I953" s="84" t="str">
        <x:v>chloris cucullata</x:v>
      </x:c>
    </x:row>
    <x:row r="954">
      <x:c r="A954" s="83" t="str">
        <x:v>Wildflower Center pasted list</x:v>
      </x:c>
      <x:c r="B954" s="84" t="n">
        <x:v>166</x:v>
      </x:c>
      <x:c r="C954" s="87" t="str">
        <x:v>Chloris verticillata</x:v>
      </x:c>
      <x:c r="D954" s="84" t="str">
        <x:v>Tumble Windmill Grass, Windmillgrass</x:v>
      </x:c>
      <x:c r="E954" s="84" t="str">
        <x:v>Perennial</x:v>
      </x:c>
      <x:c r="F954" s="84" t="str">
        <x:v>Grass/Grass-like</x:v>
      </x:c>
      <x:c r="G954" s="84" t="str">
        <x:v>Sun, Part-shade</x:v>
      </x:c>
      <x:c r="H954" s="84" t="str"/>
      <x:c r="I954" s="84" t="str">
        <x:v>chloris verticillata</x:v>
      </x:c>
    </x:row>
    <x:row r="955">
      <x:c r="A955" s="83" t="str">
        <x:v>Wildflower Center pasted list</x:v>
      </x:c>
      <x:c r="B955" s="84" t="n">
        <x:v>167</x:v>
      </x:c>
      <x:c r="C955" s="87" t="str">
        <x:v>Chloris ×subdolichostachya</x:v>
      </x:c>
      <x:c r="D955" s="84" t="str">
        <x:v>Shortspike Windmillgrass</x:v>
      </x:c>
      <x:c r="E955" s="84" t="str">
        <x:v>Perennial</x:v>
      </x:c>
      <x:c r="F955" s="84" t="str">
        <x:v>Grass/Grass-like</x:v>
      </x:c>
      <x:c r="G955" s="84" t="str">
        <x:v>Sun</x:v>
      </x:c>
      <x:c r="H955" s="84" t="str">
        <x:v>Moist, Dry</x:v>
      </x:c>
      <x:c r="I955" s="84" t="str">
        <x:v>chloris xsubdolichostachya</x:v>
      </x:c>
    </x:row>
    <x:row r="956">
      <x:c r="A956" s="83" t="str">
        <x:v>Wildflower Center pasted list</x:v>
      </x:c>
      <x:c r="B956" s="84" t="n">
        <x:v>168</x:v>
      </x:c>
      <x:c r="C956" s="87" t="str">
        <x:v>Chrysopsis texana</x:v>
      </x:c>
      <x:c r="D956" s="84" t="str">
        <x:v>Texas Chrysopsis</x:v>
      </x:c>
      <x:c r="E956" s="84" t="str">
        <x:v>Annual</x:v>
      </x:c>
      <x:c r="F956" s="84" t="str">
        <x:v>Herb</x:v>
      </x:c>
      <x:c r="G956" s="84" t="str"/>
      <x:c r="H956" s="84" t="str"/>
      <x:c r="I956" s="84" t="str">
        <x:v>chrysopsis texana</x:v>
      </x:c>
    </x:row>
    <x:row r="957">
      <x:c r="A957" s="83" t="str">
        <x:v>Wildflower Center pasted list</x:v>
      </x:c>
      <x:c r="B957" s="84" t="n">
        <x:v>169</x:v>
      </x:c>
      <x:c r="C957" s="87" t="str">
        <x:v>Cirsium ochrocentrum</x:v>
      </x:c>
      <x:c r="D957" s="84" t="str">
        <x:v>Yellowspine Thistle</x:v>
      </x:c>
      <x:c r="E957" s="84" t="str">
        <x:v>Biennial</x:v>
      </x:c>
      <x:c r="F957" s="84" t="str">
        <x:v>Herb</x:v>
      </x:c>
      <x:c r="G957" s="84" t="str"/>
      <x:c r="H957" s="84" t="str"/>
      <x:c r="I957" s="84" t="str">
        <x:v>cirsium ochrocentrum</x:v>
      </x:c>
    </x:row>
    <x:row r="958">
      <x:c r="A958" s="83" t="str">
        <x:v>Wildflower Center pasted list</x:v>
      </x:c>
      <x:c r="B958" s="84" t="n">
        <x:v>170</x:v>
      </x:c>
      <x:c r="C958" s="87" t="str">
        <x:v>Cirsium texanum</x:v>
      </x:c>
      <x:c r="D958" s="84" t="str">
        <x:v>Texas Thistle, Purple Thistle</x:v>
      </x:c>
      <x:c r="E958" s="84" t="str">
        <x:v>Biennial</x:v>
      </x:c>
      <x:c r="F958" s="84" t="str">
        <x:v>Herb</x:v>
      </x:c>
      <x:c r="G958" s="84" t="str">
        <x:v>Sun</x:v>
      </x:c>
      <x:c r="H958" s="84" t="str">
        <x:v>Dry</x:v>
      </x:c>
      <x:c r="I958" s="84" t="str">
        <x:v>cirsium texanum</x:v>
      </x:c>
    </x:row>
    <x:row r="959">
      <x:c r="A959" s="83" t="str">
        <x:v>Wildflower Center pasted list</x:v>
      </x:c>
      <x:c r="B959" s="84" t="n">
        <x:v>171</x:v>
      </x:c>
      <x:c r="C959" s="87" t="str">
        <x:v>Cissus trifoliata</x:v>
      </x:c>
      <x:c r="D959" s="84" t="str">
        <x:v>Cow-itch Vine, Cow Itch Vine, Sorrelvine, Grape Ivy, Possum Grape, Arizona Grape Ivy</x:v>
      </x:c>
      <x:c r="E959" s="84" t="str">
        <x:v>Perennial</x:v>
      </x:c>
      <x:c r="F959" s="84" t="str">
        <x:v>Vine</x:v>
      </x:c>
      <x:c r="G959" s="84" t="str">
        <x:v>Part-shade</x:v>
      </x:c>
      <x:c r="H959" s="84" t="str"/>
      <x:c r="I959" s="84" t="str">
        <x:v>cissus trifoliata</x:v>
      </x:c>
    </x:row>
    <x:row r="960">
      <x:c r="A960" s="83" t="str">
        <x:v>Wildflower Center pasted list</x:v>
      </x:c>
      <x:c r="B960" s="84" t="n">
        <x:v>172</x:v>
      </x:c>
      <x:c r="C960" s="87" t="str">
        <x:v>Cladium mariscus ssp. jamaicense</x:v>
      </x:c>
      <x:c r="D960" s="84" t="str">
        <x:v>Jamaica Swamp Sawgrass, Jamaican Saw-grass, Saw-grass</x:v>
      </x:c>
      <x:c r="E960" s="84" t="str">
        <x:v>Perennial</x:v>
      </x:c>
      <x:c r="F960" s="84" t="str">
        <x:v>Grass/Grass-like</x:v>
      </x:c>
      <x:c r="G960" s="84" t="str">
        <x:v>Sun, Part-shade</x:v>
      </x:c>
      <x:c r="H960" s="84" t="str">
        <x:v>Wet, Moist</x:v>
      </x:c>
      <x:c r="I960" s="84" t="str">
        <x:v>cladium mariscus ssp. jamaicense</x:v>
      </x:c>
    </x:row>
    <x:row r="961">
      <x:c r="A961" s="83" t="str">
        <x:v>Wildflower Center pasted list</x:v>
      </x:c>
      <x:c r="B961" s="84" t="n">
        <x:v>173</x:v>
      </x:c>
      <x:c r="C961" s="87" t="str">
        <x:v>Clematis drummondii</x:v>
      </x:c>
      <x:c r="D961" s="84" t="str">
        <x:v>Old Man's Beard, Drummond's Clematis, Texas Virgin's Bower, Goat's Beard</x:v>
      </x:c>
      <x:c r="E961" s="84" t="str">
        <x:v>Perennial</x:v>
      </x:c>
      <x:c r="F961" s="84" t="str">
        <x:v>Vine</x:v>
      </x:c>
      <x:c r="G961" s="84" t="str">
        <x:v>Sun, Part-shade</x:v>
      </x:c>
      <x:c r="H961" s="84" t="str">
        <x:v>Moist, Dry</x:v>
      </x:c>
      <x:c r="I961" s="84" t="str">
        <x:v>clematis drummondii</x:v>
      </x:c>
    </x:row>
    <x:row r="962">
      <x:c r="A962" s="83" t="str">
        <x:v>Wildflower Center pasted list</x:v>
      </x:c>
      <x:c r="B962" s="84" t="n">
        <x:v>174</x:v>
      </x:c>
      <x:c r="C962" s="87" t="str">
        <x:v>Clematis reticulata</x:v>
      </x:c>
      <x:c r="D962" s="84" t="str">
        <x:v>Netleaf Leather Flower</x:v>
      </x:c>
      <x:c r="E962" s="84" t="str">
        <x:v>Perennial</x:v>
      </x:c>
      <x:c r="F962" s="84" t="str">
        <x:v>Vine</x:v>
      </x:c>
      <x:c r="G962" s="84" t="str">
        <x:v>Sun, Part-shade</x:v>
      </x:c>
      <x:c r="H962" s="84" t="str"/>
      <x:c r="I962" s="84" t="str">
        <x:v>clematis reticulata</x:v>
      </x:c>
    </x:row>
    <x:row r="963">
      <x:c r="A963" s="83" t="str">
        <x:v>Wildflower Center pasted list</x:v>
      </x:c>
      <x:c r="B963" s="84" t="n">
        <x:v>175</x:v>
      </x:c>
      <x:c r="C963" s="87" t="str">
        <x:v>Clematis texensis</x:v>
      </x:c>
      <x:c r="D963" s="84" t="str">
        <x:v>Scarlet Clematis, Scarlet Leatherflower, Texas Clematis</x:v>
      </x:c>
      <x:c r="E963" s="84" t="str">
        <x:v>Perennial</x:v>
      </x:c>
      <x:c r="F963" s="84" t="str">
        <x:v>Vine</x:v>
      </x:c>
      <x:c r="G963" s="84" t="str">
        <x:v>Part-shade</x:v>
      </x:c>
      <x:c r="H963" s="84" t="str">
        <x:v>Moist</x:v>
      </x:c>
      <x:c r="I963" s="84" t="str">
        <x:v>clematis texensis</x:v>
      </x:c>
    </x:row>
    <x:row r="964">
      <x:c r="A964" s="83" t="str">
        <x:v>Wildflower Center pasted list</x:v>
      </x:c>
      <x:c r="B964" s="84" t="n">
        <x:v>176</x:v>
      </x:c>
      <x:c r="C964" s="87" t="str">
        <x:v>Cnidoscolus texanus</x:v>
      </x:c>
      <x:c r="D964" s="84" t="str">
        <x:v>Texas Bullnettle, Bull Nettle, Tread-softly, Spurge Nettle</x:v>
      </x:c>
      <x:c r="E964" s="84" t="str">
        <x:v>Perennial</x:v>
      </x:c>
      <x:c r="F964" s="84" t="str">
        <x:v>Herb</x:v>
      </x:c>
      <x:c r="G964" s="84" t="str"/>
      <x:c r="H964" s="84" t="str"/>
      <x:c r="I964" s="84" t="str">
        <x:v>cnidoscolus texanus</x:v>
      </x:c>
    </x:row>
    <x:row r="965">
      <x:c r="A965" s="83" t="str">
        <x:v>Wildflower Center pasted list</x:v>
      </x:c>
      <x:c r="B965" s="84" t="n">
        <x:v>177</x:v>
      </x:c>
      <x:c r="C965" s="87" t="str">
        <x:v>Cocculus carolinus</x:v>
      </x:c>
      <x:c r="D965" s="84" t="str">
        <x:v>Carolina Snailseed, Carolina Coralbead, Carolina Moonseed, Red Berried Moonseed, Carolina Red Berried Moonseed</x:v>
      </x:c>
      <x:c r="E965" s="84" t="str">
        <x:v>Perennial</x:v>
      </x:c>
      <x:c r="F965" s="84" t="str">
        <x:v>Vine</x:v>
      </x:c>
      <x:c r="G965" s="84" t="str">
        <x:v>Part-shade</x:v>
      </x:c>
      <x:c r="H965" s="84" t="str">
        <x:v>Moist</x:v>
      </x:c>
      <x:c r="I965" s="84" t="str">
        <x:v>cocculus carolinus</x:v>
      </x:c>
    </x:row>
    <x:row r="966">
      <x:c r="A966" s="83" t="str">
        <x:v>Wildflower Center pasted list</x:v>
      </x:c>
      <x:c r="B966" s="84" t="n">
        <x:v>178</x:v>
      </x:c>
      <x:c r="C966" s="87" t="str">
        <x:v>Colubrina texensis</x:v>
      </x:c>
      <x:c r="D966" s="84" t="str">
        <x:v>Texas Hog Plum, Texas Snakewood, Texas Colubrina, Hog Plum</x:v>
      </x:c>
      <x:c r="E966" s="84" t="str">
        <x:v>Perennial</x:v>
      </x:c>
      <x:c r="F966" s="84" t="str">
        <x:v>Shrub</x:v>
      </x:c>
      <x:c r="G966" s="84" t="str">
        <x:v>Part-shade</x:v>
      </x:c>
      <x:c r="H966" s="84" t="str">
        <x:v>Dry</x:v>
      </x:c>
      <x:c r="I966" s="84" t="str">
        <x:v>colubrina texensis</x:v>
      </x:c>
    </x:row>
    <x:row r="967">
      <x:c r="A967" s="83" t="str">
        <x:v>Wildflower Center pasted list</x:v>
      </x:c>
      <x:c r="B967" s="84" t="n">
        <x:v>179</x:v>
      </x:c>
      <x:c r="C967" s="87" t="str">
        <x:v>Commelina erecta</x:v>
      </x:c>
      <x:c r="D967" s="84" t="str">
        <x:v>Dayflower, Widow's Tears, White-mouth Dayflower, Whitemouth Dayflower</x:v>
      </x:c>
      <x:c r="E967" s="84" t="str">
        <x:v>Perennial</x:v>
      </x:c>
      <x:c r="F967" s="84" t="str">
        <x:v>Herb</x:v>
      </x:c>
      <x:c r="G967" s="84" t="str">
        <x:v>Part-shade</x:v>
      </x:c>
      <x:c r="H967" s="84" t="str">
        <x:v>Dry</x:v>
      </x:c>
      <x:c r="I967" s="84" t="str">
        <x:v>commelina erecta</x:v>
      </x:c>
    </x:row>
    <x:row r="968">
      <x:c r="A968" s="83" t="str">
        <x:v>Wildflower Center pasted list</x:v>
      </x:c>
      <x:c r="B968" s="84" t="n">
        <x:v>180</x:v>
      </x:c>
      <x:c r="C968" s="87" t="str">
        <x:v>Commelina erecta var. angustifolia</x:v>
      </x:c>
      <x:c r="D968" s="84" t="str">
        <x:v>Whitemouth Dayflower, Narrow-leaf Dayflower, Widow's Tears</x:v>
      </x:c>
      <x:c r="E968" s="84" t="str">
        <x:v>Perennial</x:v>
      </x:c>
      <x:c r="F968" s="84" t="str">
        <x:v>Herb</x:v>
      </x:c>
      <x:c r="G968" s="84" t="str">
        <x:v>Sun, Part-shade</x:v>
      </x:c>
      <x:c r="H968" s="84" t="str">
        <x:v>Moist, Dry</x:v>
      </x:c>
      <x:c r="I968" s="84" t="str">
        <x:v>commelina erecta var. angustifolia</x:v>
      </x:c>
    </x:row>
    <x:row r="969">
      <x:c r="A969" s="83" t="str">
        <x:v>Wildflower Center pasted list</x:v>
      </x:c>
      <x:c r="B969" s="84" t="n">
        <x:v>181</x:v>
      </x:c>
      <x:c r="C969" s="87" t="str">
        <x:v>Commelina erecta var. deamiana</x:v>
      </x:c>
      <x:c r="D969" s="84" t="str">
        <x:v>Whitemouth Dayflower, Erect Dayflower, Narrowleaved Dayflower, Widow's Tears</x:v>
      </x:c>
      <x:c r="E969" s="84" t="str">
        <x:v>Perennial</x:v>
      </x:c>
      <x:c r="F969" s="84" t="str">
        <x:v>Herb</x:v>
      </x:c>
      <x:c r="G969" s="84" t="str"/>
      <x:c r="H969" s="84" t="str"/>
      <x:c r="I969" s="84" t="str">
        <x:v>commelina erecta var. deamiana</x:v>
      </x:c>
    </x:row>
    <x:row r="970">
      <x:c r="A970" s="83" t="str">
        <x:v>Wildflower Center pasted list</x:v>
      </x:c>
      <x:c r="B970" s="84" t="n">
        <x:v>182</x:v>
      </x:c>
      <x:c r="C970" s="87" t="str">
        <x:v>Commelina erecta var. erecta</x:v>
      </x:c>
      <x:c r="D970" s="84" t="str">
        <x:v>Whitemouth Dayflower, Day Flower, Widow's Tears</x:v>
      </x:c>
      <x:c r="E970" s="84" t="str">
        <x:v>Perennial</x:v>
      </x:c>
      <x:c r="F970" s="84" t="str">
        <x:v>Herb</x:v>
      </x:c>
      <x:c r="G970" s="84" t="str"/>
      <x:c r="H970" s="84" t="str"/>
      <x:c r="I970" s="84" t="str">
        <x:v>commelina erecta var. erecta</x:v>
      </x:c>
    </x:row>
    <x:row r="971">
      <x:c r="A971" s="83" t="str">
        <x:v>Wildflower Center pasted list</x:v>
      </x:c>
      <x:c r="B971" s="84" t="n">
        <x:v>183</x:v>
      </x:c>
      <x:c r="C971" s="87" t="str">
        <x:v>Condalia hookeri</x:v>
      </x:c>
      <x:c r="D971" s="84" t="str">
        <x:v>Bluewood Condalia, Brasil, Brasilwood, Bluewood, Logwood, Purple Haw, Capul Negro</x:v>
      </x:c>
      <x:c r="E971" s="84" t="str">
        <x:v>Perennial</x:v>
      </x:c>
      <x:c r="F971" s="84" t="str">
        <x:v>Shrub, Tree</x:v>
      </x:c>
      <x:c r="G971" s="84" t="str">
        <x:v>Part-shade</x:v>
      </x:c>
      <x:c r="H971" s="84" t="str">
        <x:v>Dry</x:v>
      </x:c>
      <x:c r="I971" s="84" t="str">
        <x:v>condalia hookeri</x:v>
      </x:c>
    </x:row>
    <x:row r="972">
      <x:c r="A972" s="83" t="str">
        <x:v>Wildflower Center pasted list</x:v>
      </x:c>
      <x:c r="B972" s="84" t="n">
        <x:v>184</x:v>
      </x:c>
      <x:c r="C972" s="87" t="str">
        <x:v>Conoclinium coelestinum</x:v>
      </x:c>
      <x:c r="D972" s="84" t="str">
        <x:v>Blue Mistflower, Wild Ageratum, Blue Boneset</x:v>
      </x:c>
      <x:c r="E972" s="84" t="str">
        <x:v>Perennial</x:v>
      </x:c>
      <x:c r="F972" s="84" t="str">
        <x:v>Herb</x:v>
      </x:c>
      <x:c r="G972" s="84" t="str">
        <x:v>Sun, Part-shade</x:v>
      </x:c>
      <x:c r="H972" s="84" t="str">
        <x:v>Moist</x:v>
      </x:c>
      <x:c r="I972" s="84" t="str">
        <x:v>conoclinium coelestinum</x:v>
      </x:c>
    </x:row>
    <x:row r="973">
      <x:c r="A973" s="83" t="str">
        <x:v>Wildflower Center pasted list</x:v>
      </x:c>
      <x:c r="B973" s="84" t="n">
        <x:v>185</x:v>
      </x:c>
      <x:c r="C973" s="87" t="str">
        <x:v>Convolvulus equitans</x:v>
      </x:c>
      <x:c r="D973" s="84" t="str">
        <x:v>Texas Bindweed, Bindweed</x:v>
      </x:c>
      <x:c r="E973" s="84" t="str">
        <x:v>Annual</x:v>
      </x:c>
      <x:c r="F973" s="84" t="str">
        <x:v>Vine</x:v>
      </x:c>
      <x:c r="G973" s="84" t="str">
        <x:v>Part-shade</x:v>
      </x:c>
      <x:c r="H973" s="84" t="str">
        <x:v>Dry</x:v>
      </x:c>
      <x:c r="I973" s="84" t="str">
        <x:v>convolvulus equitans</x:v>
      </x:c>
    </x:row>
    <x:row r="974">
      <x:c r="A974" s="83" t="str">
        <x:v>Wildflower Center pasted list</x:v>
      </x:c>
      <x:c r="B974" s="84" t="n">
        <x:v>186</x:v>
      </x:c>
      <x:c r="C974" s="87" t="str">
        <x:v>Conyza canadensis</x:v>
      </x:c>
      <x:c r="D974" s="84" t="str">
        <x:v>Horseweed, Canadian Horseweed</x:v>
      </x:c>
      <x:c r="E974" s="84" t="str">
        <x:v>Annual</x:v>
      </x:c>
      <x:c r="F974" s="84" t="str">
        <x:v>Herb</x:v>
      </x:c>
      <x:c r="G974" s="84" t="str">
        <x:v>Sun</x:v>
      </x:c>
      <x:c r="H974" s="84" t="str"/>
      <x:c r="I974" s="84" t="str">
        <x:v>conyza canadensis</x:v>
      </x:c>
    </x:row>
    <x:row r="975">
      <x:c r="A975" s="83" t="str">
        <x:v>Wildflower Center pasted list</x:v>
      </x:c>
      <x:c r="B975" s="84" t="n">
        <x:v>187</x:v>
      </x:c>
      <x:c r="C975" s="87" t="str">
        <x:v>Cooperia drummondii</x:v>
      </x:c>
      <x:c r="D975" s="84" t="str">
        <x:v>Evening Rain Lily, Evening Star Rain Lily</x:v>
      </x:c>
      <x:c r="E975" s="84" t="str">
        <x:v>Perennial</x:v>
      </x:c>
      <x:c r="F975" s="84" t="str">
        <x:v>Herb</x:v>
      </x:c>
      <x:c r="G975" s="84" t="str">
        <x:v>Sun, Part-shade</x:v>
      </x:c>
      <x:c r="H975" s="84" t="str">
        <x:v>Moist, Dry</x:v>
      </x:c>
      <x:c r="I975" s="84" t="str">
        <x:v>cooperia drummondii</x:v>
      </x:c>
    </x:row>
    <x:row r="976">
      <x:c r="A976" s="83" t="str">
        <x:v>Wildflower Center pasted list</x:v>
      </x:c>
      <x:c r="B976" s="84" t="n">
        <x:v>188</x:v>
      </x:c>
      <x:c r="C976" s="87" t="str">
        <x:v>Cooperia pedunculata</x:v>
      </x:c>
      <x:c r="D976" s="84" t="str">
        <x:v>Hill Country Rain Lily, Prairie Lily, Rain Lily, Flor De Mayo</x:v>
      </x:c>
      <x:c r="E976" s="84" t="str">
        <x:v>Perennial</x:v>
      </x:c>
      <x:c r="F976" s="84" t="str">
        <x:v>Herb</x:v>
      </x:c>
      <x:c r="G976" s="84" t="str">
        <x:v>Sun</x:v>
      </x:c>
      <x:c r="H976" s="84" t="str">
        <x:v>Moist</x:v>
      </x:c>
      <x:c r="I976" s="84" t="str">
        <x:v>cooperia pedunculata</x:v>
      </x:c>
    </x:row>
    <x:row r="977">
      <x:c r="A977" s="83" t="str">
        <x:v>Wildflower Center pasted list</x:v>
      </x:c>
      <x:c r="B977" s="84" t="n">
        <x:v>189</x:v>
      </x:c>
      <x:c r="C977" s="87" t="str">
        <x:v>Corallorhiza wisteriana</x:v>
      </x:c>
      <x:c r="D977" s="84" t="str">
        <x:v>Spring Coral-root, Spring Coral Root, Early Southern Coral-root, Wister's Coral-root, Yellow Coral-root, Arousing Coral-root, Spring Coralroot</x:v>
      </x:c>
      <x:c r="E977" s="84" t="str">
        <x:v>Perennial</x:v>
      </x:c>
      <x:c r="F977" s="84" t="str">
        <x:v>Herb</x:v>
      </x:c>
      <x:c r="G977" s="84" t="str"/>
      <x:c r="H977" s="84" t="str"/>
      <x:c r="I977" s="84" t="str">
        <x:v>corallorhiza wisteriana</x:v>
      </x:c>
    </x:row>
    <x:row r="978">
      <x:c r="A978" s="83" t="str">
        <x:v>Wildflower Center pasted list</x:v>
      </x:c>
      <x:c r="B978" s="84" t="n">
        <x:v>190</x:v>
      </x:c>
      <x:c r="C978" s="87" t="str">
        <x:v>Coreopsis basalis</x:v>
      </x:c>
      <x:c r="D978" s="84" t="str">
        <x:v>Goldenmane Tickseed, Golden-wave</x:v>
      </x:c>
      <x:c r="E978" s="84" t="str">
        <x:v>Annual</x:v>
      </x:c>
      <x:c r="F978" s="84" t="str">
        <x:v>Herb</x:v>
      </x:c>
      <x:c r="G978" s="84" t="str">
        <x:v>Sun</x:v>
      </x:c>
      <x:c r="H978" s="84" t="str">
        <x:v>Dry</x:v>
      </x:c>
      <x:c r="I978" s="84" t="str">
        <x:v>coreopsis basalis</x:v>
      </x:c>
    </x:row>
    <x:row r="979">
      <x:c r="A979" s="83" t="str">
        <x:v>Wildflower Center pasted list</x:v>
      </x:c>
      <x:c r="B979" s="84" t="n">
        <x:v>191</x:v>
      </x:c>
      <x:c r="C979" s="87" t="str">
        <x:v>Coreopsis tinctoria</x:v>
      </x:c>
      <x:c r="D979" s="84" t="str">
        <x:v>Plains Coreopsis, Golden Tickseed, Goldenwave, Calliopsis</x:v>
      </x:c>
      <x:c r="E979" s="84" t="str">
        <x:v>Annual</x:v>
      </x:c>
      <x:c r="F979" s="84" t="str">
        <x:v>Herb</x:v>
      </x:c>
      <x:c r="G979" s="84" t="str">
        <x:v>Sun, Part-shade</x:v>
      </x:c>
      <x:c r="H979" s="84" t="str">
        <x:v>Moist</x:v>
      </x:c>
      <x:c r="I979" s="84" t="str">
        <x:v>coreopsis tinctoria</x:v>
      </x:c>
    </x:row>
    <x:row r="980">
      <x:c r="A980" s="83" t="str">
        <x:v>Wildflower Center pasted list</x:v>
      </x:c>
      <x:c r="B980" s="84" t="n">
        <x:v>192</x:v>
      </x:c>
      <x:c r="C980" s="87" t="str">
        <x:v>Coreopsis wrightii</x:v>
      </x:c>
      <x:c r="D980" s="84" t="str">
        <x:v>Rock Tickseed, Golden-wave</x:v>
      </x:c>
      <x:c r="E980" s="84" t="str">
        <x:v>Annual</x:v>
      </x:c>
      <x:c r="F980" s="84" t="str">
        <x:v>Herb</x:v>
      </x:c>
      <x:c r="G980" s="84" t="str"/>
      <x:c r="H980" s="84" t="str"/>
      <x:c r="I980" s="84" t="str">
        <x:v>coreopsis wrightii</x:v>
      </x:c>
    </x:row>
    <x:row r="981">
      <x:c r="A981" s="83" t="str">
        <x:v>Wildflower Center pasted list</x:v>
      </x:c>
      <x:c r="B981" s="84" t="n">
        <x:v>193</x:v>
      </x:c>
      <x:c r="C981" s="87" t="str">
        <x:v>Cornus drummondii</x:v>
      </x:c>
      <x:c r="D981" s="84" t="str">
        <x:v>Roughleaf Dogwood, Drummond's Dogwood, Rough-leaf Dogwood</x:v>
      </x:c>
      <x:c r="E981" s="84" t="str">
        <x:v>Perennial</x:v>
      </x:c>
      <x:c r="F981" s="84" t="str">
        <x:v>Tree</x:v>
      </x:c>
      <x:c r="G981" s="84" t="str">
        <x:v>Shade, Part-shade</x:v>
      </x:c>
      <x:c r="H981" s="84" t="str">
        <x:v>Moist, Dry</x:v>
      </x:c>
      <x:c r="I981" s="84" t="str">
        <x:v>cornus drummondii</x:v>
      </x:c>
    </x:row>
    <x:row r="982">
      <x:c r="A982" s="83" t="str">
        <x:v>Wildflower Center pasted list</x:v>
      </x:c>
      <x:c r="B982" s="84" t="n">
        <x:v>194</x:v>
      </x:c>
      <x:c r="C982" s="87" t="str">
        <x:v>Corydalis curvisiliqua ssp. curvisiliqua</x:v>
      </x:c>
      <x:c r="D982" s="84" t="str">
        <x:v>Curvepod Fumewort</x:v>
      </x:c>
      <x:c r="E982" s="84" t="str">
        <x:v>Annual, Biennial</x:v>
      </x:c>
      <x:c r="F982" s="84" t="str">
        <x:v>Herb</x:v>
      </x:c>
      <x:c r="G982" s="84" t="str"/>
      <x:c r="H982" s="84" t="str"/>
      <x:c r="I982" s="84" t="str">
        <x:v>corydalis curvisiliqua ssp. curvisiliqua</x:v>
      </x:c>
    </x:row>
    <x:row r="983">
      <x:c r="A983" s="83" t="str">
        <x:v>Wildflower Center pasted list</x:v>
      </x:c>
      <x:c r="B983" s="84" t="n">
        <x:v>195</x:v>
      </x:c>
      <x:c r="C983" s="87" t="str">
        <x:v>Corydalis micrantha</x:v>
      </x:c>
      <x:c r="D983" s="84" t="str">
        <x:v>Smallflower Fumewort, Southern Corydalis, Golden Corydalis</x:v>
      </x:c>
      <x:c r="E983" s="84" t="str">
        <x:v>Annual</x:v>
      </x:c>
      <x:c r="F983" s="84" t="str">
        <x:v>Herb</x:v>
      </x:c>
      <x:c r="G983" s="84" t="str"/>
      <x:c r="H983" s="84" t="str"/>
      <x:c r="I983" s="84" t="str">
        <x:v>corydalis micrantha</x:v>
      </x:c>
    </x:row>
    <x:row r="984">
      <x:c r="A984" s="83" t="str">
        <x:v>Wildflower Center pasted list</x:v>
      </x:c>
      <x:c r="B984" s="84" t="n">
        <x:v>196</x:v>
      </x:c>
      <x:c r="C984" s="87" t="str">
        <x:v>Coryphantha sulcata</x:v>
      </x:c>
      <x:c r="D984" s="84" t="str">
        <x:v>Pineapple Cactus, Nipple Cactus</x:v>
      </x:c>
      <x:c r="E984" s="84" t="str">
        <x:v>Perennial</x:v>
      </x:c>
      <x:c r="F984" s="84" t="str">
        <x:v>Cactus/Succulent</x:v>
      </x:c>
      <x:c r="G984" s="84" t="str">
        <x:v>Sun</x:v>
      </x:c>
      <x:c r="H984" s="84" t="str">
        <x:v>Dry</x:v>
      </x:c>
      <x:c r="I984" s="84" t="str">
        <x:v>coryphantha sulcata</x:v>
      </x:c>
    </x:row>
    <x:row r="985">
      <x:c r="A985" s="83" t="str">
        <x:v>Wildflower Center pasted list</x:v>
      </x:c>
      <x:c r="B985" s="84" t="n">
        <x:v>197</x:v>
      </x:c>
      <x:c r="C985" s="87" t="str">
        <x:v>Cotinus obovatus</x:v>
      </x:c>
      <x:c r="D985" s="84" t="str">
        <x:v>American Smoke Tree, Texas Smoke Tree, Wild Smoke Tree, Smoke Tree, Smokebush, Chittamwood</x:v>
      </x:c>
      <x:c r="E985" s="84" t="str">
        <x:v>Perennial</x:v>
      </x:c>
      <x:c r="F985" s="84" t="str">
        <x:v>Tree</x:v>
      </x:c>
      <x:c r="G985" s="84" t="str">
        <x:v>Sun, Part-shade</x:v>
      </x:c>
      <x:c r="H985" s="84" t="str">
        <x:v>Dry</x:v>
      </x:c>
      <x:c r="I985" s="84" t="str">
        <x:v>cotinus obovatus</x:v>
      </x:c>
    </x:row>
    <x:row r="986">
      <x:c r="A986" s="83" t="str">
        <x:v>Wildflower Center pasted list</x:v>
      </x:c>
      <x:c r="B986" s="84" t="n">
        <x:v>198</x:v>
      </x:c>
      <x:c r="C986" s="87" t="str">
        <x:v>Croton capitatus</x:v>
      </x:c>
      <x:c r="D986" s="84" t="str">
        <x:v>Hogwort, Texas Goatweed</x:v>
      </x:c>
      <x:c r="E986" s="84" t="str">
        <x:v>Annual</x:v>
      </x:c>
      <x:c r="F986" s="84" t="str">
        <x:v>Herb</x:v>
      </x:c>
      <x:c r="G986" s="84" t="str"/>
      <x:c r="H986" s="84" t="str"/>
      <x:c r="I986" s="84" t="str">
        <x:v>croton capitatus</x:v>
      </x:c>
    </x:row>
    <x:row r="987">
      <x:c r="A987" s="83" t="str">
        <x:v>Wildflower Center pasted list</x:v>
      </x:c>
      <x:c r="B987" s="84" t="n">
        <x:v>199</x:v>
      </x:c>
      <x:c r="C987" s="87" t="str">
        <x:v>Croton fruticulosus</x:v>
      </x:c>
      <x:c r="D987" s="84" t="str">
        <x:v>Bush Croton, Encinilla, Hierba Loca</x:v>
      </x:c>
      <x:c r="E987" s="84" t="str">
        <x:v>Perennial</x:v>
      </x:c>
      <x:c r="F987" s="84" t="str">
        <x:v>Herb</x:v>
      </x:c>
      <x:c r="G987" s="84" t="str">
        <x:v>Part-shade</x:v>
      </x:c>
      <x:c r="H987" s="84" t="str">
        <x:v>Dry</x:v>
      </x:c>
      <x:c r="I987" s="84" t="str">
        <x:v>croton fruticulosus</x:v>
      </x:c>
    </x:row>
    <x:row r="988">
      <x:c r="A988" s="83" t="str">
        <x:v>Wildflower Center pasted list</x:v>
      </x:c>
      <x:c r="B988" s="84" t="n">
        <x:v>200</x:v>
      </x:c>
      <x:c r="C988" s="87" t="str">
        <x:v>Croton lindheimerianus</x:v>
      </x:c>
      <x:c r="D988" s="84" t="str">
        <x:v>Threeseed Croton</x:v>
      </x:c>
      <x:c r="E988" s="84" t="str">
        <x:v>Annual</x:v>
      </x:c>
      <x:c r="F988" s="84" t="str">
        <x:v>Herb</x:v>
      </x:c>
      <x:c r="G988" s="84" t="str">
        <x:v>Sun</x:v>
      </x:c>
      <x:c r="H988" s="84" t="str"/>
      <x:c r="I988" s="84" t="str">
        <x:v>croton lindheimerianus</x:v>
      </x:c>
    </x:row>
    <x:row r="989">
      <x:c r="A989" s="83" t="str">
        <x:v>Wildflower Center pasted list</x:v>
      </x:c>
      <x:c r="B989" s="84" t="n">
        <x:v>201</x:v>
      </x:c>
      <x:c r="C989" s="87" t="str">
        <x:v>Croton monanthogynus</x:v>
      </x:c>
      <x:c r="D989" s="84" t="str">
        <x:v>Prairie Tea, One-seed Croton, Doveweed, Dove Weed, Prairie Goatweed</x:v>
      </x:c>
      <x:c r="E989" s="84" t="str">
        <x:v>Annual</x:v>
      </x:c>
      <x:c r="F989" s="84" t="str">
        <x:v>Herb</x:v>
      </x:c>
      <x:c r="G989" s="84" t="str">
        <x:v>Sun</x:v>
      </x:c>
      <x:c r="H989" s="84" t="str">
        <x:v>Moist, Dry</x:v>
      </x:c>
      <x:c r="I989" s="84" t="str">
        <x:v>croton monanthogynus</x:v>
      </x:c>
    </x:row>
    <x:row r="990">
      <x:c r="A990" s="83" t="str">
        <x:v>Wildflower Center pasted list</x:v>
      </x:c>
      <x:c r="B990" s="84" t="n">
        <x:v>202</x:v>
      </x:c>
      <x:c r="C990" s="87" t="str">
        <x:v>Croton texensis</x:v>
      </x:c>
      <x:c r="D990" s="84" t="str">
        <x:v>Texas Croton, Skunkweed, Texas Goatweed</x:v>
      </x:c>
      <x:c r="E990" s="84" t="str">
        <x:v>Annual</x:v>
      </x:c>
      <x:c r="F990" s="84" t="str">
        <x:v>Herb</x:v>
      </x:c>
      <x:c r="G990" s="84" t="str"/>
      <x:c r="H990" s="84" t="str"/>
      <x:c r="I990" s="84" t="str">
        <x:v>croton texensis</x:v>
      </x:c>
    </x:row>
    <x:row r="991">
      <x:c r="A991" s="83" t="str">
        <x:v>Wildflower Center pasted list</x:v>
      </x:c>
      <x:c r="B991" s="84" t="n">
        <x:v>203</x:v>
      </x:c>
      <x:c r="C991" s="87" t="str">
        <x:v>Cryptantha texana</x:v>
      </x:c>
      <x:c r="D991" s="84" t="str">
        <x:v>Pick Me Nots</x:v>
      </x:c>
      <x:c r="E991" s="84" t="str">
        <x:v>Annual</x:v>
      </x:c>
      <x:c r="F991" s="84" t="str">
        <x:v>Herb</x:v>
      </x:c>
      <x:c r="G991" s="84" t="str"/>
      <x:c r="H991" s="84" t="str"/>
      <x:c r="I991" s="84" t="str">
        <x:v>cryptantha texana</x:v>
      </x:c>
    </x:row>
    <x:row r="992">
      <x:c r="A992" s="83" t="str">
        <x:v>Wildflower Center pasted list</x:v>
      </x:c>
      <x:c r="B992" s="84" t="n">
        <x:v>204</x:v>
      </x:c>
      <x:c r="C992" s="87" t="str">
        <x:v>Cucurbita foetidissima</x:v>
      </x:c>
      <x:c r="D992" s="84" t="str">
        <x:v>Stinking Gourd, Buffalo Gourd, Missouri Gourd, Stink Gourd, Wild Gourd</x:v>
      </x:c>
      <x:c r="E992" s="84" t="str">
        <x:v>Perennial</x:v>
      </x:c>
      <x:c r="F992" s="84" t="str">
        <x:v>Herb</x:v>
      </x:c>
      <x:c r="G992" s="84" t="str">
        <x:v>Sun</x:v>
      </x:c>
      <x:c r="H992" s="84" t="str"/>
      <x:c r="I992" s="84" t="str">
        <x:v>cucurbita foetidissima</x:v>
      </x:c>
    </x:row>
    <x:row r="993">
      <x:c r="A993" s="83" t="str">
        <x:v>Wildflower Center pasted list</x:v>
      </x:c>
      <x:c r="B993" s="84" t="n">
        <x:v>205</x:v>
      </x:c>
      <x:c r="C993" s="87" t="str">
        <x:v>Cuscuta exaltata</x:v>
      </x:c>
      <x:c r="D993" s="84" t="str">
        <x:v>Tree Dodder, Tall Dodder</x:v>
      </x:c>
      <x:c r="E993" s="84" t="str">
        <x:v>Annual</x:v>
      </x:c>
      <x:c r="F993" s="84" t="str">
        <x:v>Vine</x:v>
      </x:c>
      <x:c r="G993" s="84" t="str"/>
      <x:c r="H993" s="84" t="str"/>
      <x:c r="I993" s="84" t="str">
        <x:v>cuscuta exaltata</x:v>
      </x:c>
    </x:row>
    <x:row r="994">
      <x:c r="A994" s="83" t="str">
        <x:v>Wildflower Center pasted list</x:v>
      </x:c>
      <x:c r="B994" s="84" t="n">
        <x:v>206</x:v>
      </x:c>
      <x:c r="C994" s="87" t="str">
        <x:v>Cuscuta indecora</x:v>
      </x:c>
      <x:c r="D994" s="84" t="str">
        <x:v>Bigseed Alfalfa Dodder, Largeseed Dodder, Pretty Dodder</x:v>
      </x:c>
      <x:c r="E994" s="84" t="str">
        <x:v>Perennial</x:v>
      </x:c>
      <x:c r="F994" s="84" t="str">
        <x:v>Herb, Vine</x:v>
      </x:c>
      <x:c r="G994" s="84" t="str"/>
      <x:c r="H994" s="84" t="str"/>
      <x:c r="I994" s="84" t="str">
        <x:v>cuscuta indecora</x:v>
      </x:c>
    </x:row>
    <x:row r="995">
      <x:c r="A995" s="83" t="str">
        <x:v>Wildflower Center pasted list</x:v>
      </x:c>
      <x:c r="B995" s="84" t="n">
        <x:v>207</x:v>
      </x:c>
      <x:c r="C995" s="87" t="str">
        <x:v>Cuscuta obtusiflora</x:v>
      </x:c>
      <x:c r="D995" s="84" t="str">
        <x:v>Peruvian Dodder</x:v>
      </x:c>
      <x:c r="E995" s="84" t="str">
        <x:v>Annual, Perennial</x:v>
      </x:c>
      <x:c r="F995" s="84" t="str">
        <x:v>Herb, Vine</x:v>
      </x:c>
      <x:c r="G995" s="84" t="str"/>
      <x:c r="H995" s="84" t="str"/>
      <x:c r="I995" s="84" t="str">
        <x:v>cuscuta obtusiflora</x:v>
      </x:c>
    </x:row>
    <x:row r="996">
      <x:c r="A996" s="83" t="str">
        <x:v>Wildflower Center pasted list</x:v>
      </x:c>
      <x:c r="B996" s="84" t="n">
        <x:v>208</x:v>
      </x:c>
      <x:c r="C996" s="87" t="str">
        <x:v>Cuscuta pentagona</x:v>
      </x:c>
      <x:c r="D996" s="84" t="str">
        <x:v>Fiveangled Dodder</x:v>
      </x:c>
      <x:c r="E996" s="84" t="str">
        <x:v>Annual</x:v>
      </x:c>
      <x:c r="F996" s="84" t="str">
        <x:v>Vine</x:v>
      </x:c>
      <x:c r="G996" s="84" t="str"/>
      <x:c r="H996" s="84" t="str"/>
      <x:c r="I996" s="84" t="str">
        <x:v>cuscuta pentagona</x:v>
      </x:c>
    </x:row>
    <x:row r="997">
      <x:c r="A997" s="83" t="str">
        <x:v>Wildflower Center pasted list</x:v>
      </x:c>
      <x:c r="B997" s="84" t="n">
        <x:v>209</x:v>
      </x:c>
      <x:c r="C997" s="87" t="str">
        <x:v>Cylindropuntia leptocaulis</x:v>
      </x:c>
      <x:c r="D997" s="84" t="str">
        <x:v>Tasajillo, Christmas Cactus, Pencil Cactus, Christmas Cholla, Desert Christmas Cactus</x:v>
      </x:c>
      <x:c r="E997" s="84" t="str">
        <x:v>Perennial</x:v>
      </x:c>
      <x:c r="F997" s="84" t="str">
        <x:v>Cactus/Succulent</x:v>
      </x:c>
      <x:c r="G997" s="84" t="str">
        <x:v>Sun</x:v>
      </x:c>
      <x:c r="H997" s="84" t="str">
        <x:v>Dry</x:v>
      </x:c>
      <x:c r="I997" s="84" t="str">
        <x:v>cylindropuntia leptocaulis</x:v>
      </x:c>
    </x:row>
    <x:row r="998">
      <x:c r="A998" s="83" t="str">
        <x:v>Wildflower Center pasted list</x:v>
      </x:c>
      <x:c r="B998" s="84" t="n">
        <x:v>210</x:v>
      </x:c>
      <x:c r="C998" s="87" t="str">
        <x:v>Cymopterus macrorhizus</x:v>
      </x:c>
      <x:c r="D998" s="84" t="str">
        <x:v>Bigroot Springparsley, Big-root Cymopterus</x:v>
      </x:c>
      <x:c r="E998" s="84" t="str">
        <x:v>Perennial</x:v>
      </x:c>
      <x:c r="F998" s="84" t="str">
        <x:v>Herb</x:v>
      </x:c>
      <x:c r="G998" s="84" t="str"/>
      <x:c r="H998" s="84" t="str"/>
      <x:c r="I998" s="84" t="str">
        <x:v>cymopterus macrorhizus</x:v>
      </x:c>
    </x:row>
    <x:row r="999">
      <x:c r="A999" s="83" t="str">
        <x:v>Wildflower Center pasted list</x:v>
      </x:c>
      <x:c r="B999" s="84" t="n">
        <x:v>211</x:v>
      </x:c>
      <x:c r="C999" s="87" t="str">
        <x:v>Cynanchum barbigerum</x:v>
      </x:c>
      <x:c r="D999" s="84" t="str">
        <x:v>Bearded Swallow-wort, Thicket Threadvine</x:v>
      </x:c>
      <x:c r="E999" s="84" t="str">
        <x:v>Perennial</x:v>
      </x:c>
      <x:c r="F999" s="84" t="str">
        <x:v>Vine</x:v>
      </x:c>
      <x:c r="G999" s="84" t="str">
        <x:v>Sun</x:v>
      </x:c>
      <x:c r="H999" s="84" t="str"/>
      <x:c r="I999" s="84" t="str">
        <x:v>cynanchum barbigerum</x:v>
      </x:c>
    </x:row>
    <x:row r="1000">
      <x:c r="A1000" s="83" t="str">
        <x:v>Wildflower Center pasted list</x:v>
      </x:c>
      <x:c r="B1000" s="84" t="n">
        <x:v>212</x:v>
      </x:c>
      <x:c r="C1000" s="87" t="str">
        <x:v>Cyperus esculentus</x:v>
      </x:c>
      <x:c r="D1000" s="84" t="str">
        <x:v>Yellow Nutsedge, Chufa Sedge, Yellow Nut-grass</x:v>
      </x:c>
      <x:c r="E1000" s="84" t="str">
        <x:v>Perennial</x:v>
      </x:c>
      <x:c r="F1000" s="84" t="str">
        <x:v>Grass/Grass-like</x:v>
      </x:c>
      <x:c r="G1000" s="84" t="str">
        <x:v>Sun, Part-shade</x:v>
      </x:c>
      <x:c r="H1000" s="84" t="str">
        <x:v>Moist</x:v>
      </x:c>
      <x:c r="I1000" s="84" t="str">
        <x:v>cyperus esculentus</x:v>
      </x:c>
    </x:row>
    <x:row r="1001">
      <x:c r="A1001" s="83" t="str">
        <x:v>Wildflower Center pasted list</x:v>
      </x:c>
      <x:c r="B1001" s="84" t="n">
        <x:v>213</x:v>
      </x:c>
      <x:c r="C1001" s="87" t="str">
        <x:v>Cyperus odoratus</x:v>
      </x:c>
      <x:c r="D1001" s="84" t="str">
        <x:v>Fragrant Flatsedge, Fragrant Sedge</x:v>
      </x:c>
      <x:c r="E1001" s="84" t="str">
        <x:v>Annual</x:v>
      </x:c>
      <x:c r="F1001" s="84" t="str">
        <x:v>Grass/Grass-like</x:v>
      </x:c>
      <x:c r="G1001" s="84" t="str">
        <x:v>Sun</x:v>
      </x:c>
      <x:c r="H1001" s="84" t="str"/>
      <x:c r="I1001" s="84" t="str">
        <x:v>cyperus odoratus</x:v>
      </x:c>
    </x:row>
    <x:row r="1002">
      <x:c r="A1002" s="83" t="str">
        <x:v>Wildflower Center pasted list</x:v>
      </x:c>
      <x:c r="B1002" s="84" t="n">
        <x:v>214</x:v>
      </x:c>
      <x:c r="C1002" s="87" t="str">
        <x:v>Cyperus retroflexus</x:v>
      </x:c>
      <x:c r="D1002" s="84" t="str">
        <x:v>Oneflower Flatsedge</x:v>
      </x:c>
      <x:c r="E1002" s="84" t="str">
        <x:v>Perennial</x:v>
      </x:c>
      <x:c r="F1002" s="84" t="str">
        <x:v>Grass/Grass-like</x:v>
      </x:c>
      <x:c r="G1002" s="84" t="str"/>
      <x:c r="H1002" s="84" t="str"/>
      <x:c r="I1002" s="84" t="str">
        <x:v>cyperus retroflexus</x:v>
      </x:c>
    </x:row>
    <x:row r="1003">
      <x:c r="A1003" s="83" t="str">
        <x:v>Wildflower Center pasted list</x:v>
      </x:c>
      <x:c r="B1003" s="84" t="n">
        <x:v>215</x:v>
      </x:c>
      <x:c r="C1003" s="87" t="str">
        <x:v>Cyperus strigosus</x:v>
      </x:c>
      <x:c r="D1003" s="84" t="str">
        <x:v>Straw-colored Flatsedge</x:v>
      </x:c>
      <x:c r="E1003" s="84" t="str">
        <x:v>Perennial</x:v>
      </x:c>
      <x:c r="F1003" s="84" t="str">
        <x:v>Grass/Grass-like</x:v>
      </x:c>
      <x:c r="G1003" s="84" t="str"/>
      <x:c r="H1003" s="84" t="str"/>
      <x:c r="I1003" s="84" t="str">
        <x:v>cyperus strigosus</x:v>
      </x:c>
    </x:row>
    <x:row r="1004">
      <x:c r="A1004" s="83" t="str">
        <x:v>Wildflower Center pasted list</x:v>
      </x:c>
      <x:c r="B1004" s="84" t="n">
        <x:v>216</x:v>
      </x:c>
      <x:c r="C1004" s="87" t="str">
        <x:v>Dalea aurea</x:v>
      </x:c>
      <x:c r="D1004" s="84" t="str">
        <x:v>Golden Prairie Clover, Golden Dalea</x:v>
      </x:c>
      <x:c r="E1004" s="84" t="str">
        <x:v>Perennial</x:v>
      </x:c>
      <x:c r="F1004" s="84" t="str">
        <x:v>Herb</x:v>
      </x:c>
      <x:c r="G1004" s="84" t="str">
        <x:v>Sun</x:v>
      </x:c>
      <x:c r="H1004" s="84" t="str">
        <x:v>Dry</x:v>
      </x:c>
      <x:c r="I1004" s="84" t="str">
        <x:v>dalea aurea</x:v>
      </x:c>
    </x:row>
    <x:row r="1005">
      <x:c r="A1005" s="83" t="str">
        <x:v>Wildflower Center pasted list</x:v>
      </x:c>
      <x:c r="B1005" s="84" t="n">
        <x:v>217</x:v>
      </x:c>
      <x:c r="C1005" s="87" t="str">
        <x:v>Dalea compacta</x:v>
      </x:c>
      <x:c r="D1005" s="84" t="str">
        <x:v>Compact Prairie Clover, Purple Prairie Clover</x:v>
      </x:c>
      <x:c r="E1005" s="84" t="str">
        <x:v>Perennial</x:v>
      </x:c>
      <x:c r="F1005" s="84" t="str">
        <x:v>Herb</x:v>
      </x:c>
      <x:c r="G1005" s="84" t="str"/>
      <x:c r="H1005" s="84" t="str"/>
      <x:c r="I1005" s="84" t="str">
        <x:v>dalea compacta</x:v>
      </x:c>
    </x:row>
    <x:row r="1006">
      <x:c r="A1006" s="83" t="str">
        <x:v>Wildflower Center pasted list</x:v>
      </x:c>
      <x:c r="B1006" s="84" t="n">
        <x:v>218</x:v>
      </x:c>
      <x:c r="C1006" s="87" t="str">
        <x:v>Dalea frutescens</x:v>
      </x:c>
      <x:c r="D1006" s="84" t="str">
        <x:v>Black Dalea, Black Prairie Clover</x:v>
      </x:c>
      <x:c r="E1006" s="84" t="str">
        <x:v>Perennial</x:v>
      </x:c>
      <x:c r="F1006" s="84" t="str">
        <x:v>Shrub</x:v>
      </x:c>
      <x:c r="G1006" s="84" t="str">
        <x:v>Sun</x:v>
      </x:c>
      <x:c r="H1006" s="84" t="str">
        <x:v>Dry</x:v>
      </x:c>
      <x:c r="I1006" s="84" t="str">
        <x:v>dalea frutescens</x:v>
      </x:c>
    </x:row>
    <x:row r="1007">
      <x:c r="A1007" s="83" t="str">
        <x:v>Wildflower Center pasted list</x:v>
      </x:c>
      <x:c r="B1007" s="84" t="n">
        <x:v>219</x:v>
      </x:c>
      <x:c r="C1007" s="87" t="str">
        <x:v>Dalea hallii</x:v>
      </x:c>
      <x:c r="D1007" s="84" t="str">
        <x:v>Hall's Prairie Clover, Hall's Dalea</x:v>
      </x:c>
      <x:c r="E1007" s="84" t="str">
        <x:v>Perennial</x:v>
      </x:c>
      <x:c r="F1007" s="84" t="str">
        <x:v>Shrub</x:v>
      </x:c>
      <x:c r="G1007" s="84" t="str"/>
      <x:c r="H1007" s="84" t="str"/>
      <x:c r="I1007" s="84" t="str">
        <x:v>dalea hallii</x:v>
      </x:c>
    </x:row>
    <x:row r="1008">
      <x:c r="A1008" s="83" t="str">
        <x:v>Wildflower Center pasted list</x:v>
      </x:c>
      <x:c r="B1008" s="84" t="n">
        <x:v>220</x:v>
      </x:c>
      <x:c r="C1008" s="87" t="str">
        <x:v>Dalea multiflora</x:v>
      </x:c>
      <x:c r="D1008" s="84" t="str">
        <x:v>Roundhead Prairie Clover, White Prairie Clover, Round Headed Dalea, Round Headed Clover</x:v>
      </x:c>
      <x:c r="E1008" s="84" t="str">
        <x:v>Perennial</x:v>
      </x:c>
      <x:c r="F1008" s="84" t="str">
        <x:v>Herb</x:v>
      </x:c>
      <x:c r="G1008" s="84" t="str">
        <x:v>Sun</x:v>
      </x:c>
      <x:c r="H1008" s="84" t="str">
        <x:v>Dry</x:v>
      </x:c>
      <x:c r="I1008" s="84" t="str">
        <x:v>dalea multiflora</x:v>
      </x:c>
    </x:row>
    <x:row r="1009">
      <x:c r="A1009" s="83" t="str">
        <x:v>Wildflower Center pasted list</x:v>
      </x:c>
      <x:c r="B1009" s="84" t="n">
        <x:v>221</x:v>
      </x:c>
      <x:c r="C1009" s="87" t="str">
        <x:v>Dalea nana</x:v>
      </x:c>
      <x:c r="D1009" s="84" t="str">
        <x:v>Dwarf Prairie Clover, Dwarf Dalea</x:v>
      </x:c>
      <x:c r="E1009" s="84" t="str">
        <x:v>Perennial</x:v>
      </x:c>
      <x:c r="F1009" s="84" t="str">
        <x:v>Shrub</x:v>
      </x:c>
      <x:c r="G1009" s="84" t="str"/>
      <x:c r="H1009" s="84" t="str"/>
      <x:c r="I1009" s="84" t="str">
        <x:v>dalea nana</x:v>
      </x:c>
    </x:row>
    <x:row r="1010">
      <x:c r="A1010" s="83" t="str">
        <x:v>Wildflower Center pasted list</x:v>
      </x:c>
      <x:c r="B1010" s="84" t="n">
        <x:v>222</x:v>
      </x:c>
      <x:c r="C1010" s="87" t="str">
        <x:v>Dalea purpurea</x:v>
      </x:c>
      <x:c r="D1010" s="84" t="str">
        <x:v>Purple Prairie Clover</x:v>
      </x:c>
      <x:c r="E1010" s="84" t="str">
        <x:v>Perennial</x:v>
      </x:c>
      <x:c r="F1010" s="84" t="str">
        <x:v>Subshrub</x:v>
      </x:c>
      <x:c r="G1010" s="84" t="str">
        <x:v>Sun</x:v>
      </x:c>
      <x:c r="H1010" s="84" t="str">
        <x:v>Dry</x:v>
      </x:c>
      <x:c r="I1010" s="84" t="str">
        <x:v>dalea purpurea</x:v>
      </x:c>
    </x:row>
    <x:row r="1011">
      <x:c r="A1011" s="83" t="str">
        <x:v>Wildflower Center pasted list</x:v>
      </x:c>
      <x:c r="B1011" s="84" t="n">
        <x:v>223</x:v>
      </x:c>
      <x:c r="C1011" s="87" t="str">
        <x:v>Dalea tenuis</x:v>
      </x:c>
      <x:c r="D1011" s="84" t="str">
        <x:v>Pinkglobe Prairie Clover</x:v>
      </x:c>
      <x:c r="E1011" s="84" t="str">
        <x:v>Perennial</x:v>
      </x:c>
      <x:c r="F1011" s="84" t="str">
        <x:v>Subshrub</x:v>
      </x:c>
      <x:c r="G1011" s="84" t="str"/>
      <x:c r="H1011" s="84" t="str"/>
      <x:c r="I1011" s="84" t="str">
        <x:v>dalea tenuis</x:v>
      </x:c>
    </x:row>
    <x:row r="1012">
      <x:c r="A1012" s="83" t="str">
        <x:v>Wildflower Center pasted list</x:v>
      </x:c>
      <x:c r="B1012" s="84" t="n">
        <x:v>224</x:v>
      </x:c>
      <x:c r="C1012" s="87" t="str">
        <x:v>Dasylirion texanum</x:v>
      </x:c>
      <x:c r="D1012" s="84" t="str">
        <x:v>Texas Sotol, Sotol</x:v>
      </x:c>
      <x:c r="E1012" s="84" t="str">
        <x:v>Perennial</x:v>
      </x:c>
      <x:c r="F1012" s="84" t="str">
        <x:v>Grass/Grass-like</x:v>
      </x:c>
      <x:c r="G1012" s="84" t="str">
        <x:v>Sun</x:v>
      </x:c>
      <x:c r="H1012" s="84" t="str">
        <x:v>Dry</x:v>
      </x:c>
      <x:c r="I1012" s="84" t="str">
        <x:v>dasylirion texanum</x:v>
      </x:c>
    </x:row>
    <x:row r="1013">
      <x:c r="A1013" s="83" t="str">
        <x:v>Wildflower Center pasted list</x:v>
      </x:c>
      <x:c r="B1013" s="84" t="n">
        <x:v>225</x:v>
      </x:c>
      <x:c r="C1013" s="87" t="str">
        <x:v>Daucosma laciniata</x:v>
      </x:c>
      <x:c r="D1013" s="84" t="str">
        <x:v>Meadow Parasol, Daucosma</x:v>
      </x:c>
      <x:c r="E1013" s="84" t="str">
        <x:v>Annual</x:v>
      </x:c>
      <x:c r="F1013" s="84" t="str">
        <x:v>Herb</x:v>
      </x:c>
      <x:c r="G1013" s="84" t="str"/>
      <x:c r="H1013" s="84" t="str"/>
      <x:c r="I1013" s="84" t="str">
        <x:v>daucosma laciniata</x:v>
      </x:c>
    </x:row>
    <x:row r="1014">
      <x:c r="A1014" s="83" t="str">
        <x:v>Wildflower Center pasted list</x:v>
      </x:c>
      <x:c r="B1014" s="84" t="n">
        <x:v>226</x:v>
      </x:c>
      <x:c r="C1014" s="87" t="str">
        <x:v>Daucus pusillus</x:v>
      </x:c>
      <x:c r="D1014" s="84" t="str">
        <x:v>American Wild Carrot, Rattlesnake-weed, Wild Carrot</x:v>
      </x:c>
      <x:c r="E1014" s="84" t="str">
        <x:v>Annual, Biennial</x:v>
      </x:c>
      <x:c r="F1014" s="84" t="str">
        <x:v>Herb</x:v>
      </x:c>
      <x:c r="G1014" s="84" t="str"/>
      <x:c r="H1014" s="84" t="str"/>
      <x:c r="I1014" s="84" t="str">
        <x:v>daucus pusillus</x:v>
      </x:c>
    </x:row>
    <x:row r="1015">
      <x:c r="A1015" s="83" t="str">
        <x:v>Wildflower Center pasted list</x:v>
      </x:c>
      <x:c r="B1015" s="84" t="n">
        <x:v>227</x:v>
      </x:c>
      <x:c r="C1015" s="87" t="str">
        <x:v>Delphinium carolinianum ssp. vimineum</x:v>
      </x:c>
      <x:c r="D1015" s="84" t="str">
        <x:v>Carolina Larkspur, Prairie Larkspur</x:v>
      </x:c>
      <x:c r="E1015" s="84" t="str">
        <x:v>Perennial</x:v>
      </x:c>
      <x:c r="F1015" s="84" t="str">
        <x:v>Herb</x:v>
      </x:c>
      <x:c r="G1015" s="84" t="str">
        <x:v>Part-shade</x:v>
      </x:c>
      <x:c r="H1015" s="84" t="str">
        <x:v>Dry</x:v>
      </x:c>
      <x:c r="I1015" s="84" t="str">
        <x:v>delphinium carolinianum ssp. vimineum</x:v>
      </x:c>
    </x:row>
    <x:row r="1016">
      <x:c r="A1016" s="83" t="str">
        <x:v>Wildflower Center pasted list</x:v>
      </x:c>
      <x:c r="B1016" s="84" t="n">
        <x:v>228</x:v>
      </x:c>
      <x:c r="C1016" s="87" t="str">
        <x:v>Dermatophyllum secundiflorum</x:v>
      </x:c>
      <x:c r="D1016" s="84" t="str">
        <x:v>Texas Mountain Laurel, Mountain Laurel, Mescal Bean, Mescal Bean Sophora, Frijolillo, Frijolito</x:v>
      </x:c>
      <x:c r="E1016" s="84" t="str">
        <x:v>Perennial</x:v>
      </x:c>
      <x:c r="F1016" s="84" t="str">
        <x:v>Shrub, Tree</x:v>
      </x:c>
      <x:c r="G1016" s="84" t="str">
        <x:v>Sun, Part-shade</x:v>
      </x:c>
      <x:c r="H1016" s="84" t="str">
        <x:v>Moist, Dry</x:v>
      </x:c>
      <x:c r="I1016" s="84" t="str">
        <x:v>dermatophyllum secundiflorum</x:v>
      </x:c>
    </x:row>
    <x:row r="1017">
      <x:c r="A1017" s="83" t="str">
        <x:v>Wildflower Center pasted list</x:v>
      </x:c>
      <x:c r="B1017" s="84" t="n">
        <x:v>229</x:v>
      </x:c>
      <x:c r="C1017" s="87" t="str">
        <x:v>Descurainia pinnata</x:v>
      </x:c>
      <x:c r="D1017" s="84" t="str">
        <x:v>Western Tansymustard, Tansy-mustard</x:v>
      </x:c>
      <x:c r="E1017" s="84" t="str">
        <x:v>Annual</x:v>
      </x:c>
      <x:c r="F1017" s="84" t="str">
        <x:v>Herb</x:v>
      </x:c>
      <x:c r="G1017" s="84" t="str">
        <x:v>Sun</x:v>
      </x:c>
      <x:c r="H1017" s="84" t="str">
        <x:v>Dry</x:v>
      </x:c>
      <x:c r="I1017" s="84" t="str">
        <x:v>descurainia pinnata</x:v>
      </x:c>
    </x:row>
    <x:row r="1018">
      <x:c r="A1018" s="83" t="str">
        <x:v>Wildflower Center pasted list</x:v>
      </x:c>
      <x:c r="B1018" s="84" t="n">
        <x:v>230</x:v>
      </x:c>
      <x:c r="C1018" s="87" t="str">
        <x:v>Desmanthus illinoensis</x:v>
      </x:c>
      <x:c r="D1018" s="84" t="str">
        <x:v>Illinois Bundleflower, Bundleflower, Prairie Bundle Flower, Prickleweed, Illinois Desmanthus, Prairie Mimosa</x:v>
      </x:c>
      <x:c r="E1018" s="84" t="str">
        <x:v>Perennial</x:v>
      </x:c>
      <x:c r="F1018" s="84" t="str">
        <x:v>Shrub</x:v>
      </x:c>
      <x:c r="G1018" s="84" t="str">
        <x:v>Sun</x:v>
      </x:c>
      <x:c r="H1018" s="84" t="str">
        <x:v>Moist</x:v>
      </x:c>
      <x:c r="I1018" s="84" t="str">
        <x:v>desmanthus illinoensis</x:v>
      </x:c>
    </x:row>
    <x:row r="1019">
      <x:c r="A1019" s="83" t="str">
        <x:v>Wildflower Center pasted list</x:v>
      </x:c>
      <x:c r="B1019" s="84" t="n">
        <x:v>231</x:v>
      </x:c>
      <x:c r="C1019" s="87" t="str">
        <x:v>Desmanthus leptolobus</x:v>
      </x:c>
      <x:c r="D1019" s="84" t="str">
        <x:v>Slenderlobe Bundleflower</x:v>
      </x:c>
      <x:c r="E1019" s="84" t="str">
        <x:v>Perennial</x:v>
      </x:c>
      <x:c r="F1019" s="84" t="str">
        <x:v>Herb</x:v>
      </x:c>
      <x:c r="G1019" s="84" t="str"/>
      <x:c r="H1019" s="84" t="str"/>
      <x:c r="I1019" s="84" t="str">
        <x:v>desmanthus leptolobus</x:v>
      </x:c>
    </x:row>
    <x:row r="1020">
      <x:c r="A1020" s="83" t="str">
        <x:v>Wildflower Center pasted list</x:v>
      </x:c>
      <x:c r="B1020" s="84" t="n">
        <x:v>232</x:v>
      </x:c>
      <x:c r="C1020" s="87" t="str">
        <x:v>Desmanthus velutinus</x:v>
      </x:c>
      <x:c r="D1020" s="84" t="str">
        <x:v>Velvet Bundleflower</x:v>
      </x:c>
      <x:c r="E1020" s="84" t="str">
        <x:v>Perennial</x:v>
      </x:c>
      <x:c r="F1020" s="84" t="str">
        <x:v>Herb</x:v>
      </x:c>
      <x:c r="G1020" s="84" t="str"/>
      <x:c r="H1020" s="84" t="str"/>
      <x:c r="I1020" s="84" t="str">
        <x:v>desmanthus velutinus</x:v>
      </x:c>
    </x:row>
    <x:row r="1021">
      <x:c r="A1021" s="83" t="str">
        <x:v>Wildflower Center pasted list</x:v>
      </x:c>
      <x:c r="B1021" s="84" t="n">
        <x:v>233</x:v>
      </x:c>
      <x:c r="C1021" s="87" t="str">
        <x:v>Desmanthus virgatus</x:v>
      </x:c>
      <x:c r="D1021" s="84" t="str">
        <x:v>Prostrate Bundleflower, Wild Tantan, Slender Mimosa</x:v>
      </x:c>
      <x:c r="E1021" s="84" t="str">
        <x:v>Perennial</x:v>
      </x:c>
      <x:c r="F1021" s="84" t="str">
        <x:v>Herb, Subshrub</x:v>
      </x:c>
      <x:c r="G1021" s="84" t="str"/>
      <x:c r="H1021" s="84" t="str"/>
      <x:c r="I1021" s="84" t="str">
        <x:v>desmanthus virgatus</x:v>
      </x:c>
    </x:row>
    <x:row r="1022">
      <x:c r="A1022" s="83" t="str">
        <x:v>Wildflower Center pasted list</x:v>
      </x:c>
      <x:c r="B1022" s="84" t="n">
        <x:v>234</x:v>
      </x:c>
      <x:c r="C1022" s="87" t="str">
        <x:v>Desmodium nudiflorum</x:v>
      </x:c>
      <x:c r="D1022" s="84" t="str">
        <x:v>Nakedflower Ticktrefoil</x:v>
      </x:c>
      <x:c r="E1022" s="84" t="str">
        <x:v>Perennial</x:v>
      </x:c>
      <x:c r="F1022" s="84" t="str">
        <x:v>Herb</x:v>
      </x:c>
      <x:c r="G1022" s="84" t="str">
        <x:v>Part-shade</x:v>
      </x:c>
      <x:c r="H1022" s="84" t="str">
        <x:v>Moist</x:v>
      </x:c>
      <x:c r="I1022" s="84" t="str">
        <x:v>desmodium nudiflorum</x:v>
      </x:c>
    </x:row>
    <x:row r="1023">
      <x:c r="A1023" s="83" t="str">
        <x:v>Wildflower Center pasted list</x:v>
      </x:c>
      <x:c r="B1023" s="84" t="n">
        <x:v>235</x:v>
      </x:c>
      <x:c r="C1023" s="87" t="str">
        <x:v>Desmodium paniculatum</x:v>
      </x:c>
      <x:c r="D1023" s="84" t="str">
        <x:v>Panicledleaf Ticktrefoil, Panicled Tick Trefoil, Velcro Vine</x:v>
      </x:c>
      <x:c r="E1023" s="84" t="str">
        <x:v>Perennial</x:v>
      </x:c>
      <x:c r="F1023" s="84" t="str">
        <x:v>Herb</x:v>
      </x:c>
      <x:c r="G1023" s="84" t="str">
        <x:v>Part-shade</x:v>
      </x:c>
      <x:c r="H1023" s="84" t="str">
        <x:v>Dry</x:v>
      </x:c>
      <x:c r="I1023" s="84" t="str">
        <x:v>desmodium paniculatum</x:v>
      </x:c>
    </x:row>
    <x:row r="1024">
      <x:c r="A1024" s="83" t="str">
        <x:v>Wildflower Center pasted list</x:v>
      </x:c>
      <x:c r="B1024" s="84" t="n">
        <x:v>236</x:v>
      </x:c>
      <x:c r="C1024" s="87" t="str">
        <x:v>Desmodium psilophyllum</x:v>
      </x:c>
      <x:c r="D1024" s="84" t="str">
        <x:v>Simpleleaf Ticktrefoil, Wright's Tickclover, Beggar's Ticks, Sticktights</x:v>
      </x:c>
      <x:c r="E1024" s="84" t="str">
        <x:v>Perennial</x:v>
      </x:c>
      <x:c r="F1024" s="84" t="str">
        <x:v>Herb</x:v>
      </x:c>
      <x:c r="G1024" s="84" t="str"/>
      <x:c r="H1024" s="84" t="str"/>
      <x:c r="I1024" s="84" t="str">
        <x:v>desmodium psilophyllum</x:v>
      </x:c>
    </x:row>
    <x:row r="1025">
      <x:c r="A1025" s="83" t="str">
        <x:v>Wildflower Center pasted list</x:v>
      </x:c>
      <x:c r="B1025" s="84" t="n">
        <x:v>237</x:v>
      </x:c>
      <x:c r="C1025" s="87" t="str">
        <x:v>Desmodium sessilifolium</x:v>
      </x:c>
      <x:c r="D1025" s="84" t="str">
        <x:v>Sessileleaf Ticktrefoil</x:v>
      </x:c>
      <x:c r="E1025" s="84" t="str">
        <x:v>Perennial</x:v>
      </x:c>
      <x:c r="F1025" s="84" t="str">
        <x:v>Herb</x:v>
      </x:c>
      <x:c r="G1025" s="84" t="str">
        <x:v>Sun</x:v>
      </x:c>
      <x:c r="H1025" s="84" t="str">
        <x:v>Dry</x:v>
      </x:c>
      <x:c r="I1025" s="84" t="str">
        <x:v>desmodium sessilifolium</x:v>
      </x:c>
    </x:row>
    <x:row r="1026">
      <x:c r="A1026" s="83" t="str">
        <x:v>Wildflower Center pasted list</x:v>
      </x:c>
      <x:c r="B1026" s="84" t="n">
        <x:v>238</x:v>
      </x:c>
      <x:c r="C1026" s="87" t="str">
        <x:v>Diaperia candida</x:v>
      </x:c>
      <x:c r="D1026" s="84" t="str">
        <x:v>Silver Pygmycudweed</x:v>
      </x:c>
      <x:c r="E1026" s="84" t="str">
        <x:v>Annual</x:v>
      </x:c>
      <x:c r="F1026" s="84" t="str">
        <x:v>Herb</x:v>
      </x:c>
      <x:c r="G1026" s="84" t="str"/>
      <x:c r="H1026" s="84" t="str"/>
      <x:c r="I1026" s="84" t="str">
        <x:v>diaperia candida</x:v>
      </x:c>
    </x:row>
    <x:row r="1027">
      <x:c r="A1027" s="83" t="str">
        <x:v>Wildflower Center pasted list</x:v>
      </x:c>
      <x:c r="B1027" s="84" t="n">
        <x:v>239</x:v>
      </x:c>
      <x:c r="C1027" s="87" t="str">
        <x:v>Dichanthelium acuminatum var. lindheimeri</x:v>
      </x:c>
      <x:c r="D1027" s="84" t="str">
        <x:v>Lindheimer Panicgrass, Lindheimer's Rosettegrass, Lindheimer's Rosette Grass</x:v>
      </x:c>
      <x:c r="E1027" s="84" t="str">
        <x:v>Perennial</x:v>
      </x:c>
      <x:c r="F1027" s="84" t="str">
        <x:v>Grass/Grass-like</x:v>
      </x:c>
      <x:c r="G1027" s="84" t="str">
        <x:v>Sun, Part-shade</x:v>
      </x:c>
      <x:c r="H1027" s="84" t="str"/>
      <x:c r="I1027" s="84" t="str">
        <x:v>dichanthelium acuminatum var. lindheimeri</x:v>
      </x:c>
    </x:row>
    <x:row r="1028">
      <x:c r="A1028" s="83" t="str">
        <x:v>Wildflower Center pasted list</x:v>
      </x:c>
      <x:c r="B1028" s="84" t="n">
        <x:v>240</x:v>
      </x:c>
      <x:c r="C1028" s="87" t="str">
        <x:v>Dichanthelium oligosanthes</x:v>
      </x:c>
      <x:c r="D1028" s="84" t="str">
        <x:v>Heller's Rosette Grass</x:v>
      </x:c>
      <x:c r="E1028" s="84" t="str">
        <x:v>Perennial</x:v>
      </x:c>
      <x:c r="F1028" s="84" t="str">
        <x:v>Grass/Grass-like</x:v>
      </x:c>
      <x:c r="G1028" s="84" t="str"/>
      <x:c r="H1028" s="84" t="str"/>
      <x:c r="I1028" s="84" t="str">
        <x:v>dichanthelium oligosanthes</x:v>
      </x:c>
    </x:row>
    <x:row r="1029">
      <x:c r="A1029" s="83" t="str">
        <x:v>Wildflower Center pasted list</x:v>
      </x:c>
      <x:c r="B1029" s="84" t="n">
        <x:v>241</x:v>
      </x:c>
      <x:c r="C1029" s="87" t="str">
        <x:v>Dichanthelium pedicellatum</x:v>
      </x:c>
      <x:c r="D1029" s="84" t="str">
        <x:v>Cedar Rosette Grass, Corm-based Panicgrass</x:v>
      </x:c>
      <x:c r="E1029" s="84" t="str">
        <x:v>Perennial</x:v>
      </x:c>
      <x:c r="F1029" s="84" t="str">
        <x:v>Grass/Grass-like</x:v>
      </x:c>
      <x:c r="G1029" s="84" t="str"/>
      <x:c r="H1029" s="84" t="str"/>
      <x:c r="I1029" s="84" t="str">
        <x:v>dichanthelium pedicellatum</x:v>
      </x:c>
    </x:row>
    <x:row r="1030">
      <x:c r="A1030" s="83" t="str">
        <x:v>Wildflower Center pasted list</x:v>
      </x:c>
      <x:c r="B1030" s="84" t="n">
        <x:v>242</x:v>
      </x:c>
      <x:c r="C1030" s="87" t="str">
        <x:v>Dichondra carolinensis</x:v>
      </x:c>
      <x:c r="D1030" s="84" t="str">
        <x:v>Carolina Ponyfoot, Ponyfoot, Ponysfoot</x:v>
      </x:c>
      <x:c r="E1030" s="84" t="str">
        <x:v>Perennial</x:v>
      </x:c>
      <x:c r="F1030" s="84" t="str">
        <x:v>Herb</x:v>
      </x:c>
      <x:c r="G1030" s="84" t="str"/>
      <x:c r="H1030" s="84" t="str"/>
      <x:c r="I1030" s="84" t="str">
        <x:v>dichondra carolinensis</x:v>
      </x:c>
    </x:row>
    <x:row r="1031">
      <x:c r="A1031" s="83" t="str">
        <x:v>Wildflower Center pasted list</x:v>
      </x:c>
      <x:c r="B1031" s="84" t="n">
        <x:v>243</x:v>
      </x:c>
      <x:c r="C1031" s="87" t="str">
        <x:v>Dichondra recurvata</x:v>
      </x:c>
      <x:c r="D1031" s="84" t="str">
        <x:v>Oakwoods Ponysfoot, Oakwoods Ponyfoot</x:v>
      </x:c>
      <x:c r="E1031" s="84" t="str">
        <x:v>Perennial</x:v>
      </x:c>
      <x:c r="F1031" s="84" t="str">
        <x:v>Herb</x:v>
      </x:c>
      <x:c r="G1031" s="84" t="str"/>
      <x:c r="H1031" s="84" t="str"/>
      <x:c r="I1031" s="84" t="str">
        <x:v>dichondra recurvata</x:v>
      </x:c>
    </x:row>
    <x:row r="1032">
      <x:c r="A1032" s="83" t="str">
        <x:v>Wildflower Center pasted list</x:v>
      </x:c>
      <x:c r="B1032" s="84" t="n">
        <x:v>244</x:v>
      </x:c>
      <x:c r="C1032" s="87" t="str">
        <x:v>Dicliptera brachiata</x:v>
      </x:c>
      <x:c r="D1032" s="84" t="str">
        <x:v>Branched Foldwing, Branched Dicliptera</x:v>
      </x:c>
      <x:c r="E1032" s="84" t="str">
        <x:v>Perennial</x:v>
      </x:c>
      <x:c r="F1032" s="84" t="str">
        <x:v>Herb</x:v>
      </x:c>
      <x:c r="G1032" s="84" t="str">
        <x:v>Part-shade</x:v>
      </x:c>
      <x:c r="H1032" s="84" t="str">
        <x:v>Moist</x:v>
      </x:c>
      <x:c r="I1032" s="84" t="str">
        <x:v>dicliptera brachiata</x:v>
      </x:c>
    </x:row>
    <x:row r="1033">
      <x:c r="A1033" s="83" t="str">
        <x:v>Wildflower Center pasted list</x:v>
      </x:c>
      <x:c r="B1033" s="84" t="n">
        <x:v>245</x:v>
      </x:c>
      <x:c r="C1033" s="87" t="str">
        <x:v>Digitaria ciliaris</x:v>
      </x:c>
      <x:c r="D1033" s="84" t="str">
        <x:v>Southern Crabgrass</x:v>
      </x:c>
      <x:c r="E1033" s="84" t="str">
        <x:v>Annual, Perennial</x:v>
      </x:c>
      <x:c r="F1033" s="84" t="str">
        <x:v>Grass/Grass-like</x:v>
      </x:c>
      <x:c r="G1033" s="84" t="str"/>
      <x:c r="H1033" s="84" t="str"/>
      <x:c r="I1033" s="84" t="str">
        <x:v>digitaria ciliaris</x:v>
      </x:c>
    </x:row>
    <x:row r="1034">
      <x:c r="A1034" s="83" t="str">
        <x:v>Wildflower Center pasted list</x:v>
      </x:c>
      <x:c r="B1034" s="84" t="n">
        <x:v>246</x:v>
      </x:c>
      <x:c r="C1034" s="87" t="str">
        <x:v>Digitaria cognata</x:v>
      </x:c>
      <x:c r="D1034" s="84" t="str">
        <x:v>Carolina Crabgrass, Fall Witchgrass</x:v>
      </x:c>
      <x:c r="E1034" s="84" t="str">
        <x:v>Perennial</x:v>
      </x:c>
      <x:c r="F1034" s="84" t="str">
        <x:v>Grass/Grass-like</x:v>
      </x:c>
      <x:c r="G1034" s="84" t="str">
        <x:v>Sun, Shade, Part-shade</x:v>
      </x:c>
      <x:c r="H1034" s="84" t="str">
        <x:v>Dry</x:v>
      </x:c>
      <x:c r="I1034" s="84" t="str">
        <x:v>digitaria cognata</x:v>
      </x:c>
    </x:row>
    <x:row r="1035">
      <x:c r="A1035" s="83" t="str">
        <x:v>Wildflower Center pasted list</x:v>
      </x:c>
      <x:c r="B1035" s="84" t="n">
        <x:v>247</x:v>
      </x:c>
      <x:c r="C1035" s="87" t="str">
        <x:v>Diospyros texana</x:v>
      </x:c>
      <x:c r="D1035" s="84" t="str">
        <x:v>Texas Persimmon, Mexican Persimmon, Black Persimmon, Chapote, Chapote Prieto</x:v>
      </x:c>
      <x:c r="E1035" s="84" t="str">
        <x:v>Perennial</x:v>
      </x:c>
      <x:c r="F1035" s="84" t="str">
        <x:v>Tree</x:v>
      </x:c>
      <x:c r="G1035" s="84" t="str">
        <x:v>Sun, Part-shade</x:v>
      </x:c>
      <x:c r="H1035" s="84" t="str">
        <x:v>Dry</x:v>
      </x:c>
      <x:c r="I1035" s="84" t="str">
        <x:v>diospyros texana</x:v>
      </x:c>
    </x:row>
    <x:row r="1036">
      <x:c r="A1036" s="83" t="str">
        <x:v>Wildflower Center pasted list</x:v>
      </x:c>
      <x:c r="B1036" s="84" t="n">
        <x:v>248</x:v>
      </x:c>
      <x:c r="C1036" s="87" t="str">
        <x:v>Draba cuneifolia</x:v>
      </x:c>
      <x:c r="D1036" s="84" t="str">
        <x:v>Wedgeleaf Draba, Whitlow-grass</x:v>
      </x:c>
      <x:c r="E1036" s="84" t="str">
        <x:v>Annual</x:v>
      </x:c>
      <x:c r="F1036" s="84" t="str">
        <x:v>Herb</x:v>
      </x:c>
      <x:c r="G1036" s="84" t="str"/>
      <x:c r="H1036" s="84" t="str"/>
      <x:c r="I1036" s="84" t="str">
        <x:v>draba cuneifolia</x:v>
      </x:c>
    </x:row>
    <x:row r="1037">
      <x:c r="A1037" s="83" t="str">
        <x:v>Wildflower Center pasted list</x:v>
      </x:c>
      <x:c r="B1037" s="84" t="n">
        <x:v>249</x:v>
      </x:c>
      <x:c r="C1037" s="87" t="str">
        <x:v>Dracopis amplexicaulis</x:v>
      </x:c>
      <x:c r="D1037" s="84" t="str">
        <x:v>Clasping Coneflower, Clasping-leaf Coneflower</x:v>
      </x:c>
      <x:c r="E1037" s="84" t="str">
        <x:v>Annual</x:v>
      </x:c>
      <x:c r="F1037" s="84" t="str">
        <x:v>Herb</x:v>
      </x:c>
      <x:c r="G1037" s="84" t="str">
        <x:v>Part-shade</x:v>
      </x:c>
      <x:c r="H1037" s="84" t="str">
        <x:v>Moist</x:v>
      </x:c>
      <x:c r="I1037" s="84" t="str">
        <x:v>dracopis amplexicaulis</x:v>
      </x:c>
    </x:row>
    <x:row r="1038">
      <x:c r="A1038" s="83" t="str">
        <x:v>Wildflower Center pasted list</x:v>
      </x:c>
      <x:c r="B1038" s="84" t="n">
        <x:v>250</x:v>
      </x:c>
      <x:c r="C1038" s="87" t="str">
        <x:v>Dyschoriste linearis</x:v>
      </x:c>
      <x:c r="D1038" s="84" t="str">
        <x:v>Snake Herb, Polkadots, Narrowleaf Dyschoriste</x:v>
      </x:c>
      <x:c r="E1038" s="84" t="str">
        <x:v>Perennial</x:v>
      </x:c>
      <x:c r="F1038" s="84" t="str">
        <x:v>Herb</x:v>
      </x:c>
      <x:c r="G1038" s="84" t="str">
        <x:v>Sun</x:v>
      </x:c>
      <x:c r="H1038" s="84" t="str">
        <x:v>Wet, Moist</x:v>
      </x:c>
      <x:c r="I1038" s="84" t="str">
        <x:v>dyschoriste linearis</x:v>
      </x:c>
    </x:row>
    <x:row r="1039">
      <x:c r="A1039" s="83" t="str">
        <x:v>Wildflower Center pasted list</x:v>
      </x:c>
      <x:c r="B1039" s="84" t="n">
        <x:v>251</x:v>
      </x:c>
      <x:c r="C1039" s="87" t="str">
        <x:v>Dysodiopsis tagetoides</x:v>
      </x:c>
      <x:c r="D1039" s="84" t="str">
        <x:v>False Dogfennel, Dogweed</x:v>
      </x:c>
      <x:c r="E1039" s="84" t="str">
        <x:v>Perennial</x:v>
      </x:c>
      <x:c r="F1039" s="84" t="str">
        <x:v>Herb</x:v>
      </x:c>
      <x:c r="G1039" s="84" t="str"/>
      <x:c r="H1039" s="84" t="str"/>
      <x:c r="I1039" s="84" t="str">
        <x:v>dysodiopsis tagetoides</x:v>
      </x:c>
    </x:row>
    <x:row r="1040">
      <x:c r="A1040" s="83" t="str">
        <x:v>Wildflower Center pasted list</x:v>
      </x:c>
      <x:c r="B1040" s="84" t="n">
        <x:v>252</x:v>
      </x:c>
      <x:c r="C1040" s="87" t="str">
        <x:v>Echinacea angustifolia</x:v>
      </x:c>
      <x:c r="D1040" s="84" t="str">
        <x:v>Black Samson, Black Samson Echinacea, Narrow-leaf Coneflower</x:v>
      </x:c>
      <x:c r="E1040" s="84" t="str">
        <x:v>Perennial</x:v>
      </x:c>
      <x:c r="F1040" s="84" t="str">
        <x:v>Herb</x:v>
      </x:c>
      <x:c r="G1040" s="84" t="str">
        <x:v>Sun, Part-shade</x:v>
      </x:c>
      <x:c r="H1040" s="84" t="str">
        <x:v>Dry</x:v>
      </x:c>
      <x:c r="I1040" s="84" t="str">
        <x:v>echinacea angustifolia</x:v>
      </x:c>
    </x:row>
    <x:row r="1041">
      <x:c r="A1041" s="83" t="str">
        <x:v>Wildflower Center pasted list</x:v>
      </x:c>
      <x:c r="B1041" s="84" t="n">
        <x:v>253</x:v>
      </x:c>
      <x:c r="C1041" s="87" t="str">
        <x:v>Echinocactus texensis</x:v>
      </x:c>
      <x:c r="D1041" s="84" t="str">
        <x:v>Horse Crippler, Horse Crippler Cactus, Devil's Head, Chisos Hedgehog Cactus, Chisos Hedgehog</x:v>
      </x:c>
      <x:c r="E1041" s="84" t="str">
        <x:v>Perennial</x:v>
      </x:c>
      <x:c r="F1041" s="84" t="str">
        <x:v>Cactus/Succulent</x:v>
      </x:c>
      <x:c r="G1041" s="84" t="str">
        <x:v>Sun</x:v>
      </x:c>
      <x:c r="H1041" s="84" t="str">
        <x:v>Dry</x:v>
      </x:c>
      <x:c r="I1041" s="84" t="str">
        <x:v>echinocactus texensis</x:v>
      </x:c>
    </x:row>
    <x:row r="1042">
      <x:c r="A1042" s="83" t="str">
        <x:v>Wildflower Center pasted list</x:v>
      </x:c>
      <x:c r="B1042" s="84" t="n">
        <x:v>254</x:v>
      </x:c>
      <x:c r="C1042" s="87" t="str">
        <x:v>Echinocereus reichenbachii</x:v>
      </x:c>
      <x:c r="D1042" s="84" t="str">
        <x:v>Lace Hedgehog Cactus, Lace Cactus, Lace Hedgehog, Purple Candle</x:v>
      </x:c>
      <x:c r="E1042" s="84" t="str">
        <x:v>Perennial</x:v>
      </x:c>
      <x:c r="F1042" s="84" t="str">
        <x:v>Cactus/Succulent</x:v>
      </x:c>
      <x:c r="G1042" s="84" t="str">
        <x:v>Sun</x:v>
      </x:c>
      <x:c r="H1042" s="84" t="str">
        <x:v>Dry</x:v>
      </x:c>
      <x:c r="I1042" s="84" t="str">
        <x:v>echinocereus reichenbachii</x:v>
      </x:c>
    </x:row>
    <x:row r="1043">
      <x:c r="A1043" s="83" t="str">
        <x:v>Wildflower Center pasted list</x:v>
      </x:c>
      <x:c r="B1043" s="84" t="n">
        <x:v>255</x:v>
      </x:c>
      <x:c r="C1043" s="87" t="str">
        <x:v>Echinocereus triglochidiatus</x:v>
      </x:c>
      <x:c r="D1043" s="84" t="str">
        <x:v>Claret Cup, Claret Cup Cactus, Hedgehog Cactus, Kingcup Cactus, Mojave Mound, Mohave Mound</x:v>
      </x:c>
      <x:c r="E1043" s="84" t="str">
        <x:v>Perennial</x:v>
      </x:c>
      <x:c r="F1043" s="84" t="str">
        <x:v>Cactus/Succulent</x:v>
      </x:c>
      <x:c r="G1043" s="84" t="str">
        <x:v>Sun</x:v>
      </x:c>
      <x:c r="H1043" s="84" t="str">
        <x:v>Dry</x:v>
      </x:c>
      <x:c r="I1043" s="84" t="str">
        <x:v>echinocereus triglochidiatus</x:v>
      </x:c>
    </x:row>
    <x:row r="1044">
      <x:c r="A1044" s="83" t="str">
        <x:v>Wildflower Center pasted list</x:v>
      </x:c>
      <x:c r="B1044" s="84" t="n">
        <x:v>256</x:v>
      </x:c>
      <x:c r="C1044" s="87" t="str">
        <x:v>Echinodorus berteroi</x:v>
      </x:c>
      <x:c r="D1044" s="84" t="str">
        <x:v>Upright Burrhead</x:v>
      </x:c>
      <x:c r="E1044" s="84" t="str">
        <x:v>Annual</x:v>
      </x:c>
      <x:c r="F1044" s="84" t="str">
        <x:v>Herb</x:v>
      </x:c>
      <x:c r="G1044" s="84" t="str"/>
      <x:c r="H1044" s="84" t="str"/>
      <x:c r="I1044" s="84" t="str">
        <x:v>echinodorus berteroi</x:v>
      </x:c>
    </x:row>
    <x:row r="1045">
      <x:c r="A1045" s="83" t="str">
        <x:v>Wildflower Center pasted list</x:v>
      </x:c>
      <x:c r="B1045" s="84" t="n">
        <x:v>257</x:v>
      </x:c>
      <x:c r="C1045" s="87" t="str">
        <x:v>Eclipta prostrata</x:v>
      </x:c>
      <x:c r="D1045" s="84" t="str">
        <x:v>Pie Plant, False Daisy, Eclipta</x:v>
      </x:c>
      <x:c r="E1045" s="84" t="str">
        <x:v>Annual, Perennial</x:v>
      </x:c>
      <x:c r="F1045" s="84" t="str">
        <x:v>Herb</x:v>
      </x:c>
      <x:c r="G1045" s="84" t="str"/>
      <x:c r="H1045" s="84" t="str"/>
      <x:c r="I1045" s="84" t="str">
        <x:v>eclipta prostrata</x:v>
      </x:c>
    </x:row>
    <x:row r="1046">
      <x:c r="A1046" s="83" t="str">
        <x:v>Wildflower Center pasted list</x:v>
      </x:c>
      <x:c r="B1046" s="84" t="n">
        <x:v>258</x:v>
      </x:c>
      <x:c r="C1046" s="87" t="str">
        <x:v>Ehretia anacua</x:v>
      </x:c>
      <x:c r="D1046" s="84" t="str">
        <x:v>Anacua, Sugarberry Anacua, Anaqua, Anacahuita, Knockaway, Knackaway, Sandpaper Tree, Manzanita, Manzanillo, Tlalahuacate</x:v>
      </x:c>
      <x:c r="E1046" s="84" t="str">
        <x:v>Perennial</x:v>
      </x:c>
      <x:c r="F1046" s="84" t="str">
        <x:v>Tree</x:v>
      </x:c>
      <x:c r="G1046" s="84" t="str">
        <x:v>Sun, Part-shade</x:v>
      </x:c>
      <x:c r="H1046" s="84" t="str">
        <x:v>Dry</x:v>
      </x:c>
      <x:c r="I1046" s="84" t="str">
        <x:v>ehretia anacua</x:v>
      </x:c>
    </x:row>
    <x:row r="1047">
      <x:c r="A1047" s="83" t="str">
        <x:v>Wildflower Center pasted list</x:v>
      </x:c>
      <x:c r="B1047" s="84" t="n">
        <x:v>259</x:v>
      </x:c>
      <x:c r="C1047" s="87" t="str">
        <x:v>Eleocharis atropurpurea</x:v>
      </x:c>
      <x:c r="D1047" s="84" t="str">
        <x:v>Purple Spikerush</x:v>
      </x:c>
      <x:c r="E1047" s="84" t="str">
        <x:v>Annual</x:v>
      </x:c>
      <x:c r="F1047" s="84" t="str">
        <x:v>Grass/Grass-like</x:v>
      </x:c>
      <x:c r="G1047" s="84" t="str"/>
      <x:c r="H1047" s="84" t="str"/>
      <x:c r="I1047" s="84" t="str">
        <x:v>eleocharis atropurpurea</x:v>
      </x:c>
    </x:row>
    <x:row r="1048">
      <x:c r="A1048" s="83" t="str">
        <x:v>Wildflower Center pasted list</x:v>
      </x:c>
      <x:c r="B1048" s="84" t="n">
        <x:v>260</x:v>
      </x:c>
      <x:c r="C1048" s="87" t="str">
        <x:v>Eleocharis montevidensis</x:v>
      </x:c>
      <x:c r="D1048" s="84" t="str">
        <x:v>Sand Spikerush, Spike Rush</x:v>
      </x:c>
      <x:c r="E1048" s="84" t="str">
        <x:v>Perennial</x:v>
      </x:c>
      <x:c r="F1048" s="84" t="str">
        <x:v>Grass/Grass-like</x:v>
      </x:c>
      <x:c r="G1048" s="84" t="str">
        <x:v>Sun</x:v>
      </x:c>
      <x:c r="H1048" s="84" t="str">
        <x:v>Wet, Moist</x:v>
      </x:c>
      <x:c r="I1048" s="84" t="str">
        <x:v>eleocharis montevidensis</x:v>
      </x:c>
    </x:row>
    <x:row r="1049">
      <x:c r="A1049" s="83" t="str">
        <x:v>Wildflower Center pasted list</x:v>
      </x:c>
      <x:c r="B1049" s="84" t="n">
        <x:v>261</x:v>
      </x:c>
      <x:c r="C1049" s="87" t="str">
        <x:v>Eleocharis rostellata</x:v>
      </x:c>
      <x:c r="D1049" s="84" t="str">
        <x:v>Beaked Spikerush, Leap Frog Spike Rush</x:v>
      </x:c>
      <x:c r="E1049" s="84" t="str">
        <x:v>Perennial</x:v>
      </x:c>
      <x:c r="F1049" s="84" t="str">
        <x:v>Grass/Grass-like</x:v>
      </x:c>
      <x:c r="G1049" s="84" t="str">
        <x:v>Part-shade</x:v>
      </x:c>
      <x:c r="H1049" s="84" t="str">
        <x:v>Wet</x:v>
      </x:c>
      <x:c r="I1049" s="84" t="str">
        <x:v>eleocharis rostellata</x:v>
      </x:c>
    </x:row>
    <x:row r="1050">
      <x:c r="A1050" s="83" t="str">
        <x:v>Wildflower Center pasted list</x:v>
      </x:c>
      <x:c r="B1050" s="84" t="n">
        <x:v>262</x:v>
      </x:c>
      <x:c r="C1050" s="87" t="str">
        <x:v>Elymus canadensis</x:v>
      </x:c>
      <x:c r="D1050" s="84" t="str">
        <x:v>Canada Wild Rye, Canadian Wildrye, Prairie Wildrye, Nodding Wildrye</x:v>
      </x:c>
      <x:c r="E1050" s="84" t="str">
        <x:v>Perennial</x:v>
      </x:c>
      <x:c r="F1050" s="84" t="str">
        <x:v>Grass/Grass-like</x:v>
      </x:c>
      <x:c r="G1050" s="84" t="str">
        <x:v>Sun, Part-shade</x:v>
      </x:c>
      <x:c r="H1050" s="84" t="str">
        <x:v>Moist</x:v>
      </x:c>
      <x:c r="I1050" s="84" t="str">
        <x:v>elymus canadensis</x:v>
      </x:c>
    </x:row>
    <x:row r="1051">
      <x:c r="A1051" s="83" t="str">
        <x:v>Wildflower Center pasted list</x:v>
      </x:c>
      <x:c r="B1051" s="84" t="n">
        <x:v>263</x:v>
      </x:c>
      <x:c r="C1051" s="87" t="str">
        <x:v>Elymus virginicus</x:v>
      </x:c>
      <x:c r="D1051" s="84" t="str">
        <x:v>Virginia Wild Rye, Virginia Wildrye</x:v>
      </x:c>
      <x:c r="E1051" s="84" t="str">
        <x:v>Perennial</x:v>
      </x:c>
      <x:c r="F1051" s="84" t="str">
        <x:v>Grass/Grass-like</x:v>
      </x:c>
      <x:c r="G1051" s="84" t="str">
        <x:v>Part-shade</x:v>
      </x:c>
      <x:c r="H1051" s="84" t="str">
        <x:v>Moist</x:v>
      </x:c>
      <x:c r="I1051" s="84" t="str">
        <x:v>elymus virginicus</x:v>
      </x:c>
    </x:row>
    <x:row r="1052">
      <x:c r="A1052" s="83" t="str">
        <x:v>Wildflower Center pasted list</x:v>
      </x:c>
      <x:c r="B1052" s="84" t="n">
        <x:v>264</x:v>
      </x:c>
      <x:c r="C1052" s="87" t="str">
        <x:v>Engelmannia peristenia</x:v>
      </x:c>
      <x:c r="D1052" s="84" t="str">
        <x:v>Engelmann's Daisy, Engelmann Daisy, Cutleaf Daisy</x:v>
      </x:c>
      <x:c r="E1052" s="84" t="str">
        <x:v>Perennial</x:v>
      </x:c>
      <x:c r="F1052" s="84" t="str">
        <x:v>Herb</x:v>
      </x:c>
      <x:c r="G1052" s="84" t="str">
        <x:v>Sun</x:v>
      </x:c>
      <x:c r="H1052" s="84" t="str">
        <x:v>Dry</x:v>
      </x:c>
      <x:c r="I1052" s="84" t="str">
        <x:v>engelmannia peristenia</x:v>
      </x:c>
    </x:row>
    <x:row r="1053">
      <x:c r="A1053" s="83" t="str">
        <x:v>Wildflower Center pasted list</x:v>
      </x:c>
      <x:c r="B1053" s="84" t="n">
        <x:v>265</x:v>
      </x:c>
      <x:c r="C1053" s="87" t="str">
        <x:v>Ephedra antisyphilitica</x:v>
      </x:c>
      <x:c r="D1053" s="84" t="str">
        <x:v>Mormon Tea, Joint-fir, Clapweed, Popote</x:v>
      </x:c>
      <x:c r="E1053" s="84" t="str">
        <x:v>Perennial</x:v>
      </x:c>
      <x:c r="F1053" s="84" t="str">
        <x:v>Shrub</x:v>
      </x:c>
      <x:c r="G1053" s="84" t="str">
        <x:v>Part-shade</x:v>
      </x:c>
      <x:c r="H1053" s="84" t="str">
        <x:v>Dry</x:v>
      </x:c>
      <x:c r="I1053" s="84" t="str">
        <x:v>ephedra antisyphilitica</x:v>
      </x:c>
    </x:row>
    <x:row r="1054">
      <x:c r="A1054" s="83" t="str">
        <x:v>Wildflower Center pasted list</x:v>
      </x:c>
      <x:c r="B1054" s="84" t="n">
        <x:v>266</x:v>
      </x:c>
      <x:c r="C1054" s="87" t="str">
        <x:v>Epipactis gigantea</x:v>
      </x:c>
      <x:c r="D1054" s="84" t="str">
        <x:v>Stream Orchid, Chatterbox Orchid, Giant Hellebore</x:v>
      </x:c>
      <x:c r="E1054" s="84" t="str">
        <x:v>Perennial</x:v>
      </x:c>
      <x:c r="F1054" s="84" t="str">
        <x:v>Herb</x:v>
      </x:c>
      <x:c r="G1054" s="84" t="str">
        <x:v>Shade, Part-shade</x:v>
      </x:c>
      <x:c r="H1054" s="84" t="str">
        <x:v>Wet, Moist</x:v>
      </x:c>
      <x:c r="I1054" s="84" t="str">
        <x:v>epipactis gigantea</x:v>
      </x:c>
    </x:row>
    <x:row r="1055">
      <x:c r="A1055" s="83" t="str">
        <x:v>Wildflower Center pasted list</x:v>
      </x:c>
      <x:c r="B1055" s="84" t="n">
        <x:v>267</x:v>
      </x:c>
      <x:c r="C1055" s="87" t="str">
        <x:v>Equisetum hyemale</x:v>
      </x:c>
      <x:c r="D1055" s="84" t="str">
        <x:v>Scouring-rush Horsetail, Horsetail, Scouring Rush, Canuela</x:v>
      </x:c>
      <x:c r="E1055" s="84" t="str">
        <x:v>Perennial</x:v>
      </x:c>
      <x:c r="F1055" s="84" t="str">
        <x:v>Herb</x:v>
      </x:c>
      <x:c r="G1055" s="84" t="str">
        <x:v>Sun, Shade, Part-shade</x:v>
      </x:c>
      <x:c r="H1055" s="84" t="str">
        <x:v>Wet, Moist</x:v>
      </x:c>
      <x:c r="I1055" s="84" t="str">
        <x:v>equisetum hyemale</x:v>
      </x:c>
    </x:row>
    <x:row r="1056">
      <x:c r="A1056" s="83" t="str">
        <x:v>Wildflower Center pasted list</x:v>
      </x:c>
      <x:c r="B1056" s="84" t="n">
        <x:v>268</x:v>
      </x:c>
      <x:c r="C1056" s="87" t="str">
        <x:v>Eragrostis hirsuta</x:v>
      </x:c>
      <x:c r="D1056" s="84" t="str">
        <x:v>Bigtop Lovegrass , Bigtop Love Grass</x:v>
      </x:c>
      <x:c r="E1056" s="84" t="str">
        <x:v>Perennial</x:v>
      </x:c>
      <x:c r="F1056" s="84" t="str">
        <x:v>Grass/Grass-like</x:v>
      </x:c>
      <x:c r="G1056" s="84" t="str"/>
      <x:c r="H1056" s="84" t="str"/>
      <x:c r="I1056" s="84" t="str">
        <x:v>eragrostis hirsuta</x:v>
      </x:c>
    </x:row>
    <x:row r="1057">
      <x:c r="A1057" s="83" t="str">
        <x:v>Wildflower Center pasted list</x:v>
      </x:c>
      <x:c r="B1057" s="84" t="n">
        <x:v>269</x:v>
      </x:c>
      <x:c r="C1057" s="87" t="str">
        <x:v>Eragrostis intermedia</x:v>
      </x:c>
      <x:c r="D1057" s="84" t="str">
        <x:v>Plains Lovegrass, Plains Love Grass</x:v>
      </x:c>
      <x:c r="E1057" s="84" t="str">
        <x:v>Perennial</x:v>
      </x:c>
      <x:c r="F1057" s="84" t="str">
        <x:v>Grass/Grass-like</x:v>
      </x:c>
      <x:c r="G1057" s="84" t="str">
        <x:v>Part-shade</x:v>
      </x:c>
      <x:c r="H1057" s="84" t="str">
        <x:v>Dry</x:v>
      </x:c>
      <x:c r="I1057" s="84" t="str">
        <x:v>eragrostis intermedia</x:v>
      </x:c>
    </x:row>
    <x:row r="1058">
      <x:c r="A1058" s="83" t="str">
        <x:v>Wildflower Center pasted list</x:v>
      </x:c>
      <x:c r="B1058" s="84" t="n">
        <x:v>270</x:v>
      </x:c>
      <x:c r="C1058" s="87" t="str">
        <x:v>Eragrostis lugens</x:v>
      </x:c>
      <x:c r="D1058" s="84" t="str">
        <x:v>Mourning Lovegrass , Mourning Love Grass</x:v>
      </x:c>
      <x:c r="E1058" s="84" t="str">
        <x:v>Perennial</x:v>
      </x:c>
      <x:c r="F1058" s="84" t="str">
        <x:v>Grass/Grass-like</x:v>
      </x:c>
      <x:c r="G1058" s="84" t="str"/>
      <x:c r="H1058" s="84" t="str"/>
      <x:c r="I1058" s="84" t="str">
        <x:v>eragrostis lugens</x:v>
      </x:c>
    </x:row>
    <x:row r="1059">
      <x:c r="A1059" s="83" t="str">
        <x:v>Wildflower Center pasted list</x:v>
      </x:c>
      <x:c r="B1059" s="84" t="n">
        <x:v>271</x:v>
      </x:c>
      <x:c r="C1059" s="87" t="str">
        <x:v>Eragrostis secundiflora</x:v>
      </x:c>
      <x:c r="D1059" s="84" t="str">
        <x:v>Red Lovegrass , Red Love Grass</x:v>
      </x:c>
      <x:c r="E1059" s="84" t="str">
        <x:v>Perennial</x:v>
      </x:c>
      <x:c r="F1059" s="84" t="str">
        <x:v>Grass/Grass-like</x:v>
      </x:c>
      <x:c r="G1059" s="84" t="str"/>
      <x:c r="H1059" s="84" t="str"/>
      <x:c r="I1059" s="84" t="str">
        <x:v>eragrostis secundiflora</x:v>
      </x:c>
    </x:row>
    <x:row r="1060">
      <x:c r="A1060" s="83" t="str">
        <x:v>Wildflower Center pasted list</x:v>
      </x:c>
      <x:c r="B1060" s="84" t="n">
        <x:v>272</x:v>
      </x:c>
      <x:c r="C1060" s="87" t="str">
        <x:v>Eragrostis trichodes</x:v>
      </x:c>
      <x:c r="D1060" s="84" t="str">
        <x:v>Sand Lovegrass, Sand Love Grass</x:v>
      </x:c>
      <x:c r="E1060" s="84" t="str">
        <x:v>Perennial</x:v>
      </x:c>
      <x:c r="F1060" s="84" t="str">
        <x:v>Grass/Grass-like</x:v>
      </x:c>
      <x:c r="G1060" s="84" t="str">
        <x:v>Part-shade</x:v>
      </x:c>
      <x:c r="H1060" s="84" t="str"/>
      <x:c r="I1060" s="84" t="str">
        <x:v>eragrostis trichodes</x:v>
      </x:c>
    </x:row>
    <x:row r="1061">
      <x:c r="A1061" s="83" t="str">
        <x:v>Wildflower Center pasted list</x:v>
      </x:c>
      <x:c r="B1061" s="84" t="n">
        <x:v>273</x:v>
      </x:c>
      <x:c r="C1061" s="87" t="str">
        <x:v>Erigeron geiseri</x:v>
      </x:c>
      <x:c r="D1061" s="84" t="str">
        <x:v>Geiser's Fleabane</x:v>
      </x:c>
      <x:c r="E1061" s="84" t="str">
        <x:v>Annual</x:v>
      </x:c>
      <x:c r="F1061" s="84" t="str">
        <x:v>Herb</x:v>
      </x:c>
      <x:c r="G1061" s="84" t="str"/>
      <x:c r="H1061" s="84" t="str"/>
      <x:c r="I1061" s="84" t="str">
        <x:v>erigeron geiseri</x:v>
      </x:c>
    </x:row>
    <x:row r="1062">
      <x:c r="A1062" s="83" t="str">
        <x:v>Wildflower Center pasted list</x:v>
      </x:c>
      <x:c r="B1062" s="84" t="n">
        <x:v>274</x:v>
      </x:c>
      <x:c r="C1062" s="87" t="str">
        <x:v>Erigeron modestus</x:v>
      </x:c>
      <x:c r="D1062" s="84" t="str">
        <x:v>Plains Fleabane, Prairie Fleabane</x:v>
      </x:c>
      <x:c r="E1062" s="84" t="str">
        <x:v>Perennial</x:v>
      </x:c>
      <x:c r="F1062" s="84" t="str">
        <x:v>Herb</x:v>
      </x:c>
      <x:c r="G1062" s="84" t="str">
        <x:v>Sun</x:v>
      </x:c>
      <x:c r="H1062" s="84" t="str">
        <x:v>Dry</x:v>
      </x:c>
      <x:c r="I1062" s="84" t="str">
        <x:v>erigeron modestus</x:v>
      </x:c>
    </x:row>
    <x:row r="1063">
      <x:c r="A1063" s="83" t="str">
        <x:v>Wildflower Center pasted list</x:v>
      </x:c>
      <x:c r="B1063" s="84" t="n">
        <x:v>275</x:v>
      </x:c>
      <x:c r="C1063" s="87" t="str">
        <x:v>Erigeron philadelphicus</x:v>
      </x:c>
      <x:c r="D1063" s="84" t="str">
        <x:v>Philadelphia Fleabane, Fleabane Daisy</x:v>
      </x:c>
      <x:c r="E1063" s="84" t="str">
        <x:v>Biennial</x:v>
      </x:c>
      <x:c r="F1063" s="84" t="str">
        <x:v>Herb</x:v>
      </x:c>
      <x:c r="G1063" s="84" t="str">
        <x:v>Part-shade</x:v>
      </x:c>
      <x:c r="H1063" s="84" t="str"/>
      <x:c r="I1063" s="84" t="str">
        <x:v>erigeron philadelphicus</x:v>
      </x:c>
    </x:row>
    <x:row r="1064">
      <x:c r="A1064" s="83" t="str">
        <x:v>Wildflower Center pasted list</x:v>
      </x:c>
      <x:c r="B1064" s="84" t="n">
        <x:v>276</x:v>
      </x:c>
      <x:c r="C1064" s="87" t="str">
        <x:v>Eriochloa sericea</x:v>
      </x:c>
      <x:c r="D1064" s="84" t="str">
        <x:v>Texas Cupgrass</x:v>
      </x:c>
      <x:c r="E1064" s="84" t="str">
        <x:v>Perennial</x:v>
      </x:c>
      <x:c r="F1064" s="84" t="str">
        <x:v>Grass/Grass-like</x:v>
      </x:c>
      <x:c r="G1064" s="84" t="str">
        <x:v>Sun</x:v>
      </x:c>
      <x:c r="H1064" s="84" t="str">
        <x:v>Dry</x:v>
      </x:c>
      <x:c r="I1064" s="84" t="str">
        <x:v>eriochloa sericea</x:v>
      </x:c>
    </x:row>
    <x:row r="1065">
      <x:c r="A1065" s="83" t="str">
        <x:v>Wildflower Center pasted list</x:v>
      </x:c>
      <x:c r="B1065" s="84" t="n">
        <x:v>277</x:v>
      </x:c>
      <x:c r="C1065" s="87" t="str">
        <x:v>Erioneuron pilosum</x:v>
      </x:c>
      <x:c r="D1065" s="84" t="str">
        <x:v>Hairy Woollygrass, Hairy Tridens</x:v>
      </x:c>
      <x:c r="E1065" s="84" t="str">
        <x:v>Perennial</x:v>
      </x:c>
      <x:c r="F1065" s="84" t="str">
        <x:v>Grass/Grass-like</x:v>
      </x:c>
      <x:c r="G1065" s="84" t="str">
        <x:v>Sun</x:v>
      </x:c>
      <x:c r="H1065" s="84" t="str">
        <x:v>Dry</x:v>
      </x:c>
      <x:c r="I1065" s="84" t="str">
        <x:v>erioneuron pilosum</x:v>
      </x:c>
    </x:row>
    <x:row r="1066">
      <x:c r="A1066" s="83" t="str">
        <x:v>Wildflower Center pasted list</x:v>
      </x:c>
      <x:c r="B1066" s="84" t="n">
        <x:v>278</x:v>
      </x:c>
      <x:c r="C1066" s="87" t="str">
        <x:v>Erodium texanum</x:v>
      </x:c>
      <x:c r="D1066" s="84" t="str">
        <x:v>Texas Stork's Bill, Stork's Bill, Pine Needle, Fillaree</x:v>
      </x:c>
      <x:c r="E1066" s="84" t="str">
        <x:v>Annual, Biennial</x:v>
      </x:c>
      <x:c r="F1066" s="84" t="str">
        <x:v>Herb</x:v>
      </x:c>
      <x:c r="G1066" s="84" t="str">
        <x:v>Sun</x:v>
      </x:c>
      <x:c r="H1066" s="84" t="str">
        <x:v>Dry</x:v>
      </x:c>
      <x:c r="I1066" s="84" t="str">
        <x:v>erodium texanum</x:v>
      </x:c>
    </x:row>
    <x:row r="1067">
      <x:c r="A1067" s="83" t="str">
        <x:v>Wildflower Center pasted list</x:v>
      </x:c>
      <x:c r="B1067" s="84" t="n">
        <x:v>279</x:v>
      </x:c>
      <x:c r="C1067" s="87" t="str">
        <x:v>Eryngium leavenworthii</x:v>
      </x:c>
      <x:c r="D1067" s="84" t="str">
        <x:v>Leavenworth's Eryngo, Eryngo, False Purple Thistle</x:v>
      </x:c>
      <x:c r="E1067" s="84" t="str">
        <x:v>Annual</x:v>
      </x:c>
      <x:c r="F1067" s="84" t="str">
        <x:v>Herb</x:v>
      </x:c>
      <x:c r="G1067" s="84" t="str">
        <x:v>Sun, Part-shade</x:v>
      </x:c>
      <x:c r="H1067" s="84" t="str">
        <x:v>Moist</x:v>
      </x:c>
      <x:c r="I1067" s="84" t="str">
        <x:v>eryngium leavenworthii</x:v>
      </x:c>
    </x:row>
    <x:row r="1068">
      <x:c r="A1068" s="83" t="str">
        <x:v>Wildflower Center pasted list</x:v>
      </x:c>
      <x:c r="B1068" s="84" t="n">
        <x:v>280</x:v>
      </x:c>
      <x:c r="C1068" s="87" t="str">
        <x:v>Eupatorium serotinum</x:v>
      </x:c>
      <x:c r="D1068" s="84" t="str">
        <x:v>White Boneset, Lateflowering Thoroughwort, Late Boneset, Late-flowering Boneset</x:v>
      </x:c>
      <x:c r="E1068" s="84" t="str">
        <x:v>Perennial</x:v>
      </x:c>
      <x:c r="F1068" s="84" t="str">
        <x:v>Herb</x:v>
      </x:c>
      <x:c r="G1068" s="84" t="str">
        <x:v>Part-shade</x:v>
      </x:c>
      <x:c r="H1068" s="84" t="str">
        <x:v>Moist</x:v>
      </x:c>
      <x:c r="I1068" s="84" t="str">
        <x:v>eupatorium serotinum</x:v>
      </x:c>
    </x:row>
    <x:row r="1069">
      <x:c r="A1069" s="83" t="str">
        <x:v>Wildflower Center pasted list</x:v>
      </x:c>
      <x:c r="B1069" s="84" t="n">
        <x:v>281</x:v>
      </x:c>
      <x:c r="C1069" s="87" t="str">
        <x:v>Euphorbia cyathophora</x:v>
      </x:c>
      <x:c r="D1069" s="84" t="str">
        <x:v>Wild Poinsettia, Poinsettia, Fire On The Mountain</x:v>
      </x:c>
      <x:c r="E1069" s="84" t="str">
        <x:v>Annual</x:v>
      </x:c>
      <x:c r="F1069" s="84" t="str">
        <x:v>Herb</x:v>
      </x:c>
      <x:c r="G1069" s="84" t="str">
        <x:v>Sun</x:v>
      </x:c>
      <x:c r="H1069" s="84" t="str">
        <x:v>Moist</x:v>
      </x:c>
      <x:c r="I1069" s="84" t="str">
        <x:v>euphorbia cyathophora</x:v>
      </x:c>
    </x:row>
    <x:row r="1070">
      <x:c r="A1070" s="83" t="str">
        <x:v>Wildflower Center pasted list</x:v>
      </x:c>
      <x:c r="B1070" s="84" t="n">
        <x:v>282</x:v>
      </x:c>
      <x:c r="C1070" s="87" t="str">
        <x:v>Euphorbia dentata</x:v>
      </x:c>
      <x:c r="D1070" s="84" t="str">
        <x:v>Toothed Spurge, Toothed-leaf Poinsettia</x:v>
      </x:c>
      <x:c r="E1070" s="84" t="str">
        <x:v>Annual</x:v>
      </x:c>
      <x:c r="F1070" s="84" t="str">
        <x:v>Herb</x:v>
      </x:c>
      <x:c r="G1070" s="84" t="str"/>
      <x:c r="H1070" s="84" t="str"/>
      <x:c r="I1070" s="84" t="str">
        <x:v>euphorbia dentata</x:v>
      </x:c>
    </x:row>
    <x:row r="1071">
      <x:c r="A1071" s="83" t="str">
        <x:v>Wildflower Center pasted list</x:v>
      </x:c>
      <x:c r="B1071" s="84" t="n">
        <x:v>283</x:v>
      </x:c>
      <x:c r="C1071" s="87" t="str">
        <x:v>Euphorbia marginata</x:v>
      </x:c>
      <x:c r="D1071" s="84" t="str">
        <x:v>Snow On The Mountain, Snow-on-the-mountain</x:v>
      </x:c>
      <x:c r="E1071" s="84" t="str">
        <x:v>Annual</x:v>
      </x:c>
      <x:c r="F1071" s="84" t="str">
        <x:v>Herb</x:v>
      </x:c>
      <x:c r="G1071" s="84" t="str">
        <x:v>Part-shade</x:v>
      </x:c>
      <x:c r="H1071" s="84" t="str">
        <x:v>Moist</x:v>
      </x:c>
      <x:c r="I1071" s="84" t="str">
        <x:v>euphorbia marginata</x:v>
      </x:c>
    </x:row>
    <x:row r="1072">
      <x:c r="A1072" s="83" t="str">
        <x:v>Wildflower Center pasted list</x:v>
      </x:c>
      <x:c r="B1072" s="84" t="n">
        <x:v>284</x:v>
      </x:c>
      <x:c r="C1072" s="87" t="str">
        <x:v>Euphorbia roemeriana</x:v>
      </x:c>
      <x:c r="D1072" s="84" t="str">
        <x:v>Roemer's Spurge</x:v>
      </x:c>
      <x:c r="E1072" s="84" t="str">
        <x:v>Annual</x:v>
      </x:c>
      <x:c r="F1072" s="84" t="str">
        <x:v>Herb</x:v>
      </x:c>
      <x:c r="G1072" s="84" t="str"/>
      <x:c r="H1072" s="84" t="str"/>
      <x:c r="I1072" s="84" t="str">
        <x:v>euphorbia roemeriana</x:v>
      </x:c>
    </x:row>
    <x:row r="1073">
      <x:c r="A1073" s="83" t="str">
        <x:v>Wildflower Center pasted list</x:v>
      </x:c>
      <x:c r="B1073" s="84" t="n">
        <x:v>285</x:v>
      </x:c>
      <x:c r="C1073" s="87" t="str">
        <x:v>Eustoma exaltatum ssp. russellianum</x:v>
      </x:c>
      <x:c r="D1073" s="84" t="str">
        <x:v>Texas Bluebells, Texas Bluebell, Bluebell, Showy Prairie Gentian, Prairie Gentian</x:v>
      </x:c>
      <x:c r="E1073" s="84" t="str">
        <x:v>Annual, Biennial, Perennial</x:v>
      </x:c>
      <x:c r="F1073" s="84" t="str">
        <x:v>Herb</x:v>
      </x:c>
      <x:c r="G1073" s="84" t="str">
        <x:v>Sun</x:v>
      </x:c>
      <x:c r="H1073" s="84" t="str">
        <x:v>Moist</x:v>
      </x:c>
      <x:c r="I1073" s="84" t="str">
        <x:v>eustoma exaltatum ssp. russellianum</x:v>
      </x:c>
    </x:row>
    <x:row r="1074">
      <x:c r="A1074" s="83" t="str">
        <x:v>Wildflower Center pasted list</x:v>
      </x:c>
      <x:c r="B1074" s="84" t="n">
        <x:v>286</x:v>
      </x:c>
      <x:c r="C1074" s="87" t="str">
        <x:v>Evax prolifera</x:v>
      </x:c>
      <x:c r="D1074" s="84" t="str">
        <x:v>Bighead Pygmycudweed, Rabbit Tobacco</x:v>
      </x:c>
      <x:c r="E1074" s="84" t="str">
        <x:v>Annual</x:v>
      </x:c>
      <x:c r="F1074" s="84" t="str">
        <x:v>Herb</x:v>
      </x:c>
      <x:c r="G1074" s="84" t="str">
        <x:v>Part-shade</x:v>
      </x:c>
      <x:c r="H1074" s="84" t="str"/>
      <x:c r="I1074" s="84" t="str">
        <x:v>evax prolifera</x:v>
      </x:c>
    </x:row>
    <x:row r="1075">
      <x:c r="A1075" s="83" t="str">
        <x:v>Wildflower Center pasted list</x:v>
      </x:c>
      <x:c r="B1075" s="84" t="n">
        <x:v>287</x:v>
      </x:c>
      <x:c r="C1075" s="87" t="str">
        <x:v>Evax verna</x:v>
      </x:c>
      <x:c r="D1075" s="84" t="str">
        <x:v>Spring Pygmycudweed</x:v>
      </x:c>
      <x:c r="E1075" s="84" t="str">
        <x:v>Annual</x:v>
      </x:c>
      <x:c r="F1075" s="84" t="str">
        <x:v>Herb</x:v>
      </x:c>
      <x:c r="G1075" s="84" t="str"/>
      <x:c r="H1075" s="84" t="str"/>
      <x:c r="I1075" s="84" t="str">
        <x:v>evax verna</x:v>
      </x:c>
    </x:row>
    <x:row r="1076">
      <x:c r="A1076" s="83" t="str">
        <x:v>Wildflower Center pasted list</x:v>
      </x:c>
      <x:c r="B1076" s="84" t="n">
        <x:v>288</x:v>
      </x:c>
      <x:c r="C1076" s="87" t="str">
        <x:v>Evolvulus nuttallianus</x:v>
      </x:c>
      <x:c r="D1076" s="84" t="str">
        <x:v>Shaggy Dwarf Morning-glory, Silky Evolvulus, Shaggy Evolvulus</x:v>
      </x:c>
      <x:c r="E1076" s="84" t="str">
        <x:v>Perennial</x:v>
      </x:c>
      <x:c r="F1076" s="84" t="str">
        <x:v>Herb</x:v>
      </x:c>
      <x:c r="G1076" s="84" t="str"/>
      <x:c r="H1076" s="84" t="str"/>
      <x:c r="I1076" s="84" t="str">
        <x:v>evolvulus nuttallianus</x:v>
      </x:c>
    </x:row>
    <x:row r="1077">
      <x:c r="A1077" s="83" t="str">
        <x:v>Wildflower Center pasted list</x:v>
      </x:c>
      <x:c r="B1077" s="84" t="n">
        <x:v>289</x:v>
      </x:c>
      <x:c r="C1077" s="87" t="str">
        <x:v>Evolvulus sericeus</x:v>
      </x:c>
      <x:c r="D1077" s="84" t="str">
        <x:v>Silver Dwarf Morning-glory, White Evolvulus</x:v>
      </x:c>
      <x:c r="E1077" s="84" t="str">
        <x:v>Perennial</x:v>
      </x:c>
      <x:c r="F1077" s="84" t="str">
        <x:v>Herb</x:v>
      </x:c>
      <x:c r="G1077" s="84" t="str">
        <x:v>Sun</x:v>
      </x:c>
      <x:c r="H1077" s="84" t="str">
        <x:v>Dry</x:v>
      </x:c>
      <x:c r="I1077" s="84" t="str">
        <x:v>evolvulus sericeus</x:v>
      </x:c>
    </x:row>
    <x:row r="1078">
      <x:c r="A1078" s="83" t="str">
        <x:v>Wildflower Center pasted list</x:v>
      </x:c>
      <x:c r="B1078" s="84" t="n">
        <x:v>290</x:v>
      </x:c>
      <x:c r="C1078" s="87" t="str">
        <x:v>Eysenhardtia texana</x:v>
      </x:c>
      <x:c r="D1078" s="84" t="str">
        <x:v>Texas Kidneywood, Kidneywood, Bee Brush, Vara Dulce, Palo Dulce</x:v>
      </x:c>
      <x:c r="E1078" s="84" t="str">
        <x:v>Perennial</x:v>
      </x:c>
      <x:c r="F1078" s="84" t="str">
        <x:v>Shrub</x:v>
      </x:c>
      <x:c r="G1078" s="84" t="str">
        <x:v>Sun</x:v>
      </x:c>
      <x:c r="H1078" s="84" t="str">
        <x:v>Dry</x:v>
      </x:c>
      <x:c r="I1078" s="84" t="str">
        <x:v>eysenhardtia texana</x:v>
      </x:c>
    </x:row>
    <x:row r="1079">
      <x:c r="A1079" s="83" t="str">
        <x:v>Wildflower Center pasted list</x:v>
      </x:c>
      <x:c r="B1079" s="84" t="n">
        <x:v>291</x:v>
      </x:c>
      <x:c r="C1079" s="87" t="str">
        <x:v>Festuca versuta</x:v>
      </x:c>
      <x:c r="D1079" s="84" t="str">
        <x:v>Texas Fescue</x:v>
      </x:c>
      <x:c r="E1079" s="84" t="str">
        <x:v>Perennial</x:v>
      </x:c>
      <x:c r="F1079" s="84" t="str">
        <x:v>Grass/Grass-like</x:v>
      </x:c>
      <x:c r="G1079" s="84" t="str"/>
      <x:c r="H1079" s="84" t="str"/>
      <x:c r="I1079" s="84" t="str">
        <x:v>festuca versuta</x:v>
      </x:c>
    </x:row>
    <x:row r="1080">
      <x:c r="A1080" s="83" t="str">
        <x:v>Wildflower Center pasted list</x:v>
      </x:c>
      <x:c r="B1080" s="84" t="n">
        <x:v>292</x:v>
      </x:c>
      <x:c r="C1080" s="87" t="str">
        <x:v>Fimbristylis puberula</x:v>
      </x:c>
      <x:c r="D1080" s="84" t="str">
        <x:v>Hairy Fimbry</x:v>
      </x:c>
      <x:c r="E1080" s="84" t="str">
        <x:v>Perennial</x:v>
      </x:c>
      <x:c r="F1080" s="84" t="str">
        <x:v>Grass/Grass-like</x:v>
      </x:c>
      <x:c r="G1080" s="84" t="str"/>
      <x:c r="H1080" s="84" t="str"/>
      <x:c r="I1080" s="84" t="str">
        <x:v>fimbristylis puberula</x:v>
      </x:c>
    </x:row>
    <x:row r="1081">
      <x:c r="A1081" s="83" t="str">
        <x:v>Wildflower Center pasted list</x:v>
      </x:c>
      <x:c r="B1081" s="84" t="n">
        <x:v>293</x:v>
      </x:c>
      <x:c r="C1081" s="87" t="str">
        <x:v>Fimbristylis vahlii</x:v>
      </x:c>
      <x:c r="D1081" s="84" t="str">
        <x:v>Vahl's Fimbry</x:v>
      </x:c>
      <x:c r="E1081" s="84" t="str">
        <x:v>Annual</x:v>
      </x:c>
      <x:c r="F1081" s="84" t="str">
        <x:v>Grass/Grass-like</x:v>
      </x:c>
      <x:c r="G1081" s="84" t="str"/>
      <x:c r="H1081" s="84" t="str"/>
      <x:c r="I1081" s="84" t="str">
        <x:v>fimbristylis vahlii</x:v>
      </x:c>
    </x:row>
    <x:row r="1082">
      <x:c r="A1082" s="83" t="str">
        <x:v>Wildflower Center pasted list</x:v>
      </x:c>
      <x:c r="B1082" s="84" t="n">
        <x:v>294</x:v>
      </x:c>
      <x:c r="C1082" s="87" t="str">
        <x:v>Forestiera pubescens</x:v>
      </x:c>
      <x:c r="D1082" s="84" t="str">
        <x:v>Elbowbush, Stretchberry, Spring Herald, Desert Olive, Tanglewood, Devil's Elbow, Spring Goldenglow, New Mexico Privet, Texas Forsythia, Elbow Bush</x:v>
      </x:c>
      <x:c r="E1082" s="84" t="str">
        <x:v>Perennial</x:v>
      </x:c>
      <x:c r="F1082" s="84" t="str">
        <x:v>Shrub</x:v>
      </x:c>
      <x:c r="G1082" s="84" t="str">
        <x:v>Sun, Shade, Part-shade</x:v>
      </x:c>
      <x:c r="H1082" s="84" t="str">
        <x:v>Moist, Dry</x:v>
      </x:c>
      <x:c r="I1082" s="84" t="str">
        <x:v>forestiera pubescens</x:v>
      </x:c>
    </x:row>
    <x:row r="1083">
      <x:c r="A1083" s="83" t="str">
        <x:v>Wildflower Center pasted list</x:v>
      </x:c>
      <x:c r="B1083" s="84" t="n">
        <x:v>295</x:v>
      </x:c>
      <x:c r="C1083" s="87" t="str">
        <x:v>Frangula caroliniana</x:v>
      </x:c>
      <x:c r="D1083" s="84" t="str">
        <x:v>Carolina Buckthorn, Carolina False Buckthorn, Yellow Buckthorn, Indian Cherry, Yellowwood</x:v>
      </x:c>
      <x:c r="E1083" s="84" t="str">
        <x:v>Perennial</x:v>
      </x:c>
      <x:c r="F1083" s="84" t="str">
        <x:v>Tree</x:v>
      </x:c>
      <x:c r="G1083" s="84" t="str">
        <x:v>Part-shade</x:v>
      </x:c>
      <x:c r="H1083" s="84" t="str">
        <x:v>Moist</x:v>
      </x:c>
      <x:c r="I1083" s="84" t="str">
        <x:v>frangula caroliniana</x:v>
      </x:c>
    </x:row>
    <x:row r="1084">
      <x:c r="A1084" s="83" t="str">
        <x:v>Wildflower Center pasted list</x:v>
      </x:c>
      <x:c r="B1084" s="84" t="n">
        <x:v>296</x:v>
      </x:c>
      <x:c r="C1084" s="87" t="str">
        <x:v>Fraxinus albicans</x:v>
      </x:c>
      <x:c r="D1084" s="84" t="str">
        <x:v>Texas Ash, Mountain Ash</x:v>
      </x:c>
      <x:c r="E1084" s="84" t="str">
        <x:v>Perennial</x:v>
      </x:c>
      <x:c r="F1084" s="84" t="str">
        <x:v>Tree</x:v>
      </x:c>
      <x:c r="G1084" s="84" t="str">
        <x:v>Part-shade</x:v>
      </x:c>
      <x:c r="H1084" s="84" t="str">
        <x:v>Dry</x:v>
      </x:c>
      <x:c r="I1084" s="84" t="str">
        <x:v>fraxinus albicans</x:v>
      </x:c>
    </x:row>
    <x:row r="1085">
      <x:c r="A1085" s="83" t="str">
        <x:v>Wildflower Center pasted list</x:v>
      </x:c>
      <x:c r="B1085" s="84" t="n">
        <x:v>297</x:v>
      </x:c>
      <x:c r="C1085" s="87" t="str">
        <x:v>Fraxinus pennsylvanica</x:v>
      </x:c>
      <x:c r="D1085" s="84" t="str">
        <x:v>Green Ash, Red Ash, Swamp Ash, River Ash, Water Ash, Darlington Ash</x:v>
      </x:c>
      <x:c r="E1085" s="84" t="str">
        <x:v>Perennial</x:v>
      </x:c>
      <x:c r="F1085" s="84" t="str">
        <x:v>Tree</x:v>
      </x:c>
      <x:c r="G1085" s="84" t="str">
        <x:v>Sun, Shade, Part-shade</x:v>
      </x:c>
      <x:c r="H1085" s="84" t="str">
        <x:v>Wet, Moist, Dry</x:v>
      </x:c>
      <x:c r="I1085" s="84" t="str">
        <x:v>fraxinus pennsylvanica</x:v>
      </x:c>
    </x:row>
    <x:row r="1086">
      <x:c r="A1086" s="83" t="str">
        <x:v>Wildflower Center pasted list</x:v>
      </x:c>
      <x:c r="B1086" s="84" t="n">
        <x:v>298</x:v>
      </x:c>
      <x:c r="C1086" s="87" t="str">
        <x:v>Froelichia gracilis</x:v>
      </x:c>
      <x:c r="D1086" s="84" t="str">
        <x:v>Slender Snakecotton, Snake-cotton</x:v>
      </x:c>
      <x:c r="E1086" s="84" t="str">
        <x:v>Annual</x:v>
      </x:c>
      <x:c r="F1086" s="84" t="str">
        <x:v>Herb</x:v>
      </x:c>
      <x:c r="G1086" s="84" t="str"/>
      <x:c r="H1086" s="84" t="str"/>
      <x:c r="I1086" s="84" t="str">
        <x:v>froelichia gracilis</x:v>
      </x:c>
    </x:row>
    <x:row r="1087">
      <x:c r="A1087" s="83" t="str">
        <x:v>Wildflower Center pasted list</x:v>
      </x:c>
      <x:c r="B1087" s="84" t="n">
        <x:v>299</x:v>
      </x:c>
      <x:c r="C1087" s="87" t="str">
        <x:v>Fuirena simplex</x:v>
      </x:c>
      <x:c r="D1087" s="84" t="str">
        <x:v>Western Umbrella-sedge, Umbrellagrass, Western Umbrella Sedge</x:v>
      </x:c>
      <x:c r="E1087" s="84" t="str">
        <x:v>Perennial</x:v>
      </x:c>
      <x:c r="F1087" s="84" t="str">
        <x:v>Grass/Grass-like</x:v>
      </x:c>
      <x:c r="G1087" s="84" t="str"/>
      <x:c r="H1087" s="84" t="str"/>
      <x:c r="I1087" s="84" t="str">
        <x:v>fuirena simplex</x:v>
      </x:c>
    </x:row>
    <x:row r="1088">
      <x:c r="A1088" s="83" t="str">
        <x:v>Wildflower Center pasted list</x:v>
      </x:c>
      <x:c r="B1088" s="84" t="n">
        <x:v>300</x:v>
      </x:c>
      <x:c r="C1088" s="87" t="str">
        <x:v>Funastrum cynanchoides</x:v>
      </x:c>
      <x:c r="D1088" s="84" t="str">
        <x:v>Fringed Twinevine, Climbing Milkweed Vine, Twine-vine</x:v>
      </x:c>
      <x:c r="E1088" s="84" t="str">
        <x:v>Perennial</x:v>
      </x:c>
      <x:c r="F1088" s="84" t="str">
        <x:v>Vine</x:v>
      </x:c>
      <x:c r="G1088" s="84" t="str">
        <x:v>Part-shade</x:v>
      </x:c>
      <x:c r="H1088" s="84" t="str">
        <x:v>Dry</x:v>
      </x:c>
      <x:c r="I1088" s="84" t="str">
        <x:v>funastrum cynanchoides</x:v>
      </x:c>
    </x:row>
    <x:row r="1089">
      <x:c r="A1089" s="83" t="str">
        <x:v>Wildflower Center pasted list</x:v>
      </x:c>
      <x:c r="B1089" s="84" t="n">
        <x:v>301</x:v>
      </x:c>
      <x:c r="C1089" s="87" t="str">
        <x:v>Gaillardia pulchella</x:v>
      </x:c>
      <x:c r="D1089" s="84" t="str">
        <x:v>Indian Blanket, Firewheel, Girasol Rojo</x:v>
      </x:c>
      <x:c r="E1089" s="84" t="str">
        <x:v>Annual</x:v>
      </x:c>
      <x:c r="F1089" s="84" t="str">
        <x:v>Herb</x:v>
      </x:c>
      <x:c r="G1089" s="84" t="str">
        <x:v>Sun, Part-shade</x:v>
      </x:c>
      <x:c r="H1089" s="84" t="str">
        <x:v>Dry</x:v>
      </x:c>
      <x:c r="I1089" s="84" t="str">
        <x:v>gaillardia pulchella</x:v>
      </x:c>
    </x:row>
    <x:row r="1090">
      <x:c r="A1090" s="83" t="str">
        <x:v>Wildflower Center pasted list</x:v>
      </x:c>
      <x:c r="B1090" s="84" t="n">
        <x:v>302</x:v>
      </x:c>
      <x:c r="C1090" s="87" t="str">
        <x:v>Gaillardia suavis</x:v>
      </x:c>
      <x:c r="D1090" s="84" t="str">
        <x:v>Pincushion Daisy, Fragrant Gaillardia, Rayless Gaillardia, Perfumeballs</x:v>
      </x:c>
      <x:c r="E1090" s="84" t="str">
        <x:v>Perennial</x:v>
      </x:c>
      <x:c r="F1090" s="84" t="str">
        <x:v>Herb</x:v>
      </x:c>
      <x:c r="G1090" s="84" t="str">
        <x:v>Part-shade</x:v>
      </x:c>
      <x:c r="H1090" s="84" t="str">
        <x:v>Dry</x:v>
      </x:c>
      <x:c r="I1090" s="84" t="str">
        <x:v>gaillardia suavis</x:v>
      </x:c>
    </x:row>
    <x:row r="1091">
      <x:c r="A1091" s="83" t="str">
        <x:v>Wildflower Center pasted list</x:v>
      </x:c>
      <x:c r="B1091" s="84" t="n">
        <x:v>303</x:v>
      </x:c>
      <x:c r="C1091" s="87" t="str">
        <x:v>Galactia canescens</x:v>
      </x:c>
      <x:c r="D1091" s="84" t="str">
        <x:v>Hoary Milkpea</x:v>
      </x:c>
      <x:c r="E1091" s="84" t="str">
        <x:v>Perennial</x:v>
      </x:c>
      <x:c r="F1091" s="84" t="str">
        <x:v>Herb</x:v>
      </x:c>
      <x:c r="G1091" s="84" t="str"/>
      <x:c r="H1091" s="84" t="str"/>
      <x:c r="I1091" s="84" t="str">
        <x:v>galactia canescens</x:v>
      </x:c>
    </x:row>
    <x:row r="1092">
      <x:c r="A1092" s="83" t="str">
        <x:v>Wildflower Center pasted list</x:v>
      </x:c>
      <x:c r="B1092" s="84" t="n">
        <x:v>304</x:v>
      </x:c>
      <x:c r="C1092" s="87" t="str">
        <x:v>Galactia texana</x:v>
      </x:c>
      <x:c r="D1092" s="84" t="str">
        <x:v>Texas Milkpea</x:v>
      </x:c>
      <x:c r="E1092" s="84" t="str">
        <x:v>Perennial</x:v>
      </x:c>
      <x:c r="F1092" s="84" t="str">
        <x:v>Vine</x:v>
      </x:c>
      <x:c r="G1092" s="84" t="str"/>
      <x:c r="H1092" s="84" t="str"/>
      <x:c r="I1092" s="84" t="str">
        <x:v>galactia texana</x:v>
      </x:c>
    </x:row>
    <x:row r="1093">
      <x:c r="A1093" s="83" t="str">
        <x:v>Wildflower Center pasted list</x:v>
      </x:c>
      <x:c r="B1093" s="84" t="n">
        <x:v>305</x:v>
      </x:c>
      <x:c r="C1093" s="87" t="str">
        <x:v>Galium aparine</x:v>
      </x:c>
      <x:c r="D1093" s="84" t="str">
        <x:v>Stickywilly, Catchweed Bedstraw, Cleavers, Common Bedstraw, Sticky Weed, Goose Grass</x:v>
      </x:c>
      <x:c r="E1093" s="84" t="str">
        <x:v>Annual</x:v>
      </x:c>
      <x:c r="F1093" s="84" t="str">
        <x:v>Herb, Vine</x:v>
      </x:c>
      <x:c r="G1093" s="84" t="str">
        <x:v>Shade</x:v>
      </x:c>
      <x:c r="H1093" s="84" t="str"/>
      <x:c r="I1093" s="84" t="str">
        <x:v>galium aparine</x:v>
      </x:c>
    </x:row>
    <x:row r="1094">
      <x:c r="A1094" s="83" t="str">
        <x:v>Wildflower Center pasted list</x:v>
      </x:c>
      <x:c r="B1094" s="84" t="n">
        <x:v>306</x:v>
      </x:c>
      <x:c r="C1094" s="87" t="str">
        <x:v>Galium texense</x:v>
      </x:c>
      <x:c r="D1094" s="84" t="str">
        <x:v>Texas Bedstraw</x:v>
      </x:c>
      <x:c r="E1094" s="84" t="str">
        <x:v>Annual</x:v>
      </x:c>
      <x:c r="F1094" s="84" t="str">
        <x:v>Herb</x:v>
      </x:c>
      <x:c r="G1094" s="84" t="str"/>
      <x:c r="H1094" s="84" t="str"/>
      <x:c r="I1094" s="84" t="str">
        <x:v>galium texense</x:v>
      </x:c>
    </x:row>
    <x:row r="1095">
      <x:c r="A1095" s="83" t="str">
        <x:v>Wildflower Center pasted list</x:v>
      </x:c>
      <x:c r="B1095" s="84" t="n">
        <x:v>307</x:v>
      </x:c>
      <x:c r="C1095" s="87" t="str">
        <x:v>Galium virgatum</x:v>
      </x:c>
      <x:c r="D1095" s="84" t="str">
        <x:v>Southwestern Bedstraw, Southwest Bedstraw</x:v>
      </x:c>
      <x:c r="E1095" s="84" t="str">
        <x:v>Annual</x:v>
      </x:c>
      <x:c r="F1095" s="84" t="str">
        <x:v>Herb</x:v>
      </x:c>
      <x:c r="G1095" s="84" t="str"/>
      <x:c r="H1095" s="84" t="str"/>
      <x:c r="I1095" s="84" t="str">
        <x:v>galium virgatum</x:v>
      </x:c>
    </x:row>
    <x:row r="1096">
      <x:c r="A1096" s="83" t="str">
        <x:v>Wildflower Center pasted list</x:v>
      </x:c>
      <x:c r="B1096" s="84" t="n">
        <x:v>308</x:v>
      </x:c>
      <x:c r="C1096" s="87" t="str">
        <x:v>Galphimia angustifolia</x:v>
      </x:c>
      <x:c r="D1096" s="84" t="str">
        <x:v>Narrowleaf Goldshower, Thryallis, Narrow-leaf Goldshower</x:v>
      </x:c>
      <x:c r="E1096" s="84" t="str">
        <x:v>Perennial</x:v>
      </x:c>
      <x:c r="F1096" s="84" t="str">
        <x:v>Shrub</x:v>
      </x:c>
      <x:c r="G1096" s="84" t="str">
        <x:v>Part-shade</x:v>
      </x:c>
      <x:c r="H1096" s="84" t="str">
        <x:v>Moist, Dry</x:v>
      </x:c>
      <x:c r="I1096" s="84" t="str">
        <x:v>galphimia angustifolia</x:v>
      </x:c>
    </x:row>
    <x:row r="1097">
      <x:c r="A1097" s="83" t="str">
        <x:v>Wildflower Center pasted list</x:v>
      </x:c>
      <x:c r="B1097" s="84" t="n">
        <x:v>309</x:v>
      </x:c>
      <x:c r="C1097" s="87" t="str">
        <x:v>Gamochaeta purpurea</x:v>
      </x:c>
      <x:c r="D1097" s="84" t="str">
        <x:v>Spoonleaf Purple Everlasting , Early Cudweed</x:v>
      </x:c>
      <x:c r="E1097" s="84" t="str">
        <x:v>Annual, Biennial</x:v>
      </x:c>
      <x:c r="F1097" s="84" t="str">
        <x:v>Herb</x:v>
      </x:c>
      <x:c r="G1097" s="84" t="str"/>
      <x:c r="H1097" s="84" t="str"/>
      <x:c r="I1097" s="84" t="str">
        <x:v>gamochaeta purpurea</x:v>
      </x:c>
    </x:row>
    <x:row r="1098">
      <x:c r="A1098" s="83" t="str">
        <x:v>Wildflower Center pasted list</x:v>
      </x:c>
      <x:c r="B1098" s="84" t="n">
        <x:v>310</x:v>
      </x:c>
      <x:c r="C1098" s="87" t="str">
        <x:v>Garrya ovata ssp. lindheimeri</x:v>
      </x:c>
      <x:c r="D1098" s="84" t="str">
        <x:v>Lindheimer's Silktassel, Lindheimer Silktassel, Lindheimer's Garrya, Lindheimer Garrya, Mexican Silktassel, Mexican Garrya, Eggleaf Silktassel, Eggleaf Garrya</x:v>
      </x:c>
      <x:c r="E1098" s="84" t="str">
        <x:v>Perennial</x:v>
      </x:c>
      <x:c r="F1098" s="84" t="str">
        <x:v>Shrub</x:v>
      </x:c>
      <x:c r="G1098" s="84" t="str">
        <x:v>Part-shade</x:v>
      </x:c>
      <x:c r="H1098" s="84" t="str">
        <x:v>Moist, Dry</x:v>
      </x:c>
      <x:c r="I1098" s="84" t="str">
        <x:v>garrya ovata ssp. lindheimeri</x:v>
      </x:c>
    </x:row>
    <x:row r="1099">
      <x:c r="A1099" s="83" t="str">
        <x:v>Wildflower Center pasted list</x:v>
      </x:c>
      <x:c r="B1099" s="84" t="n">
        <x:v>311</x:v>
      </x:c>
      <x:c r="C1099" s="87" t="str">
        <x:v>Geranium carolinianum</x:v>
      </x:c>
      <x:c r="D1099" s="84" t="str">
        <x:v>Carolina Geranium, Wild Geranium, Carolina Cranesbill</x:v>
      </x:c>
      <x:c r="E1099" s="84" t="str">
        <x:v>Annual</x:v>
      </x:c>
      <x:c r="F1099" s="84" t="str">
        <x:v>Herb</x:v>
      </x:c>
      <x:c r="G1099" s="84" t="str">
        <x:v>Part-shade</x:v>
      </x:c>
      <x:c r="H1099" s="84" t="str"/>
      <x:c r="I1099" s="84" t="str">
        <x:v>geranium carolinianum</x:v>
      </x:c>
    </x:row>
    <x:row r="1100">
      <x:c r="A1100" s="83" t="str">
        <x:v>Wildflower Center pasted list</x:v>
      </x:c>
      <x:c r="B1100" s="84" t="n">
        <x:v>312</x:v>
      </x:c>
      <x:c r="C1100" s="87" t="str">
        <x:v>Geranium texanum</x:v>
      </x:c>
      <x:c r="D1100" s="84" t="str">
        <x:v>Texas Geranium</x:v>
      </x:c>
      <x:c r="E1100" s="84" t="str">
        <x:v>Annual</x:v>
      </x:c>
      <x:c r="F1100" s="84" t="str">
        <x:v>Herb</x:v>
      </x:c>
      <x:c r="G1100" s="84" t="str"/>
      <x:c r="H1100" s="84" t="str"/>
      <x:c r="I1100" s="84" t="str">
        <x:v>geranium texanum</x:v>
      </x:c>
    </x:row>
    <x:row r="1101">
      <x:c r="A1101" s="83" t="str">
        <x:v>Wildflower Center pasted list</x:v>
      </x:c>
      <x:c r="B1101" s="84" t="n">
        <x:v>313</x:v>
      </x:c>
      <x:c r="C1101" s="87" t="str">
        <x:v>Geum canadense</x:v>
      </x:c>
      <x:c r="D1101" s="84" t="str">
        <x:v>White Avens</x:v>
      </x:c>
      <x:c r="E1101" s="84" t="str">
        <x:v>Perennial</x:v>
      </x:c>
      <x:c r="F1101" s="84" t="str">
        <x:v>Herb</x:v>
      </x:c>
      <x:c r="G1101" s="84" t="str">
        <x:v>Shade, Part-shade</x:v>
      </x:c>
      <x:c r="H1101" s="84" t="str">
        <x:v>Moist, Dry</x:v>
      </x:c>
      <x:c r="I1101" s="84" t="str">
        <x:v>geum canadense</x:v>
      </x:c>
    </x:row>
    <x:row r="1102">
      <x:c r="A1102" s="83" t="str">
        <x:v>Wildflower Center pasted list</x:v>
      </x:c>
      <x:c r="B1102" s="84" t="n">
        <x:v>314</x:v>
      </x:c>
      <x:c r="C1102" s="87" t="str">
        <x:v>Giliastrum incisum</x:v>
      </x:c>
      <x:c r="D1102" s="84" t="str">
        <x:v>Splitleaf Gilia, Split-leaf Gilia, Cut-leaf Gilia</x:v>
      </x:c>
      <x:c r="E1102" s="84" t="str">
        <x:v>Annual, Biennial, Perennial</x:v>
      </x:c>
      <x:c r="F1102" s="84" t="str">
        <x:v>Herb</x:v>
      </x:c>
      <x:c r="G1102" s="84" t="str">
        <x:v>Sun</x:v>
      </x:c>
      <x:c r="H1102" s="84" t="str">
        <x:v>Dry</x:v>
      </x:c>
      <x:c r="I1102" s="84" t="str">
        <x:v>giliastrum incisum</x:v>
      </x:c>
    </x:row>
    <x:row r="1103">
      <x:c r="A1103" s="83" t="str">
        <x:v>Wildflower Center pasted list</x:v>
      </x:c>
      <x:c r="B1103" s="84" t="n">
        <x:v>315</x:v>
      </x:c>
      <x:c r="C1103" s="87" t="str">
        <x:v>Giliastrum rigidulum</x:v>
      </x:c>
      <x:c r="D1103" s="84" t="str">
        <x:v>Bluebowls, Blue Gilia</x:v>
      </x:c>
      <x:c r="E1103" s="84" t="str">
        <x:v>Annual</x:v>
      </x:c>
      <x:c r="F1103" s="84" t="str">
        <x:v>Herb</x:v>
      </x:c>
      <x:c r="G1103" s="84" t="str">
        <x:v>Sun</x:v>
      </x:c>
      <x:c r="H1103" s="84" t="str"/>
      <x:c r="I1103" s="84" t="str">
        <x:v>giliastrum rigidulum</x:v>
      </x:c>
    </x:row>
    <x:row r="1104">
      <x:c r="A1104" s="83" t="str">
        <x:v>Wildflower Center pasted list</x:v>
      </x:c>
      <x:c r="B1104" s="84" t="n">
        <x:v>316</x:v>
      </x:c>
      <x:c r="C1104" s="87" t="str">
        <x:v>Glandularia bipinnatifida var. bipinnatifida</x:v>
      </x:c>
      <x:c r="D1104" s="84" t="str">
        <x:v>Prairie Verbena, Purple Prairie Verbena, Dakota Mock Vervain, Dakota Vervain</x:v>
      </x:c>
      <x:c r="E1104" s="84" t="str">
        <x:v>Annual, Perennial</x:v>
      </x:c>
      <x:c r="F1104" s="84" t="str">
        <x:v>Herb</x:v>
      </x:c>
      <x:c r="G1104" s="84" t="str">
        <x:v>Sun, Part-shade</x:v>
      </x:c>
      <x:c r="H1104" s="84" t="str">
        <x:v>Dry</x:v>
      </x:c>
      <x:c r="I1104" s="84" t="str">
        <x:v>glandularia bipinnatifida var. bipinnatifida</x:v>
      </x:c>
    </x:row>
    <x:row r="1105">
      <x:c r="A1105" s="83" t="str">
        <x:v>Wildflower Center pasted list</x:v>
      </x:c>
      <x:c r="B1105" s="84" t="n">
        <x:v>317</x:v>
      </x:c>
      <x:c r="C1105" s="87" t="str">
        <x:v>Glandularia pumila</x:v>
      </x:c>
      <x:c r="D1105" s="84" t="str">
        <x:v>Dwarf Vervain, Low Verbena, Pink Mock Vervain, Pink Verbena, Wild Vervain</x:v>
      </x:c>
      <x:c r="E1105" s="84" t="str">
        <x:v>Annual</x:v>
      </x:c>
      <x:c r="F1105" s="84" t="str">
        <x:v>Herb</x:v>
      </x:c>
      <x:c r="G1105" s="84" t="str"/>
      <x:c r="H1105" s="84" t="str"/>
      <x:c r="I1105" s="84" t="str">
        <x:v>glandularia pumila</x:v>
      </x:c>
    </x:row>
    <x:row r="1106">
      <x:c r="A1106" s="83" t="str">
        <x:v>Wildflower Center pasted list</x:v>
      </x:c>
      <x:c r="B1106" s="84" t="n">
        <x:v>318</x:v>
      </x:c>
      <x:c r="C1106" s="87" t="str">
        <x:v>Grindelia nuda var. nuda</x:v>
      </x:c>
      <x:c r="D1106" s="84" t="str">
        <x:v>Curlytop Gumweed</x:v>
      </x:c>
      <x:c r="E1106" s="84" t="str">
        <x:v>Annual, Biennial, Perennial</x:v>
      </x:c>
      <x:c r="F1106" s="84" t="str">
        <x:v>Herb</x:v>
      </x:c>
      <x:c r="G1106" s="84" t="str"/>
      <x:c r="H1106" s="84" t="str"/>
      <x:c r="I1106" s="84" t="str">
        <x:v>grindelia nuda var. nuda</x:v>
      </x:c>
    </x:row>
    <x:row r="1107">
      <x:c r="A1107" s="83" t="str">
        <x:v>Wildflower Center pasted list</x:v>
      </x:c>
      <x:c r="B1107" s="84" t="n">
        <x:v>319</x:v>
      </x:c>
      <x:c r="C1107" s="87" t="str">
        <x:v>Grindelia papposa</x:v>
      </x:c>
      <x:c r="D1107" s="84" t="str">
        <x:v>Spanish Gold, Clasping-leaved Haplopappus, Saw-leaf Daisy</x:v>
      </x:c>
      <x:c r="E1107" s="84" t="str">
        <x:v>Annual</x:v>
      </x:c>
      <x:c r="F1107" s="84" t="str">
        <x:v>Herb</x:v>
      </x:c>
      <x:c r="G1107" s="84" t="str"/>
      <x:c r="H1107" s="84" t="str"/>
      <x:c r="I1107" s="84" t="str">
        <x:v>grindelia papposa</x:v>
      </x:c>
    </x:row>
    <x:row r="1108">
      <x:c r="A1108" s="83" t="str">
        <x:v>Wildflower Center pasted list</x:v>
      </x:c>
      <x:c r="B1108" s="84" t="n">
        <x:v>320</x:v>
      </x:c>
      <x:c r="C1108" s="87" t="str">
        <x:v>Grindelia squarrosa</x:v>
      </x:c>
      <x:c r="D1108" s="84" t="str">
        <x:v>Curlycup Gumweed</x:v>
      </x:c>
      <x:c r="E1108" s="84" t="str">
        <x:v>Annual, Biennial, Perennial</x:v>
      </x:c>
      <x:c r="F1108" s="84" t="str">
        <x:v>Herb</x:v>
      </x:c>
      <x:c r="G1108" s="84" t="str"/>
      <x:c r="H1108" s="84" t="str">
        <x:v>Dry</x:v>
      </x:c>
      <x:c r="I1108" s="84" t="str">
        <x:v>grindelia squarrosa</x:v>
      </x:c>
    </x:row>
    <x:row r="1109">
      <x:c r="A1109" s="83" t="str">
        <x:v>Wildflower Center pasted list</x:v>
      </x:c>
      <x:c r="B1109" s="84" t="n">
        <x:v>321</x:v>
      </x:c>
      <x:c r="C1109" s="87" t="str">
        <x:v>Gutierrezia texana</x:v>
      </x:c>
      <x:c r="D1109" s="84" t="str">
        <x:v>Texas Snakeweed</x:v>
      </x:c>
      <x:c r="E1109" s="84" t="str">
        <x:v>Annual, Perennial</x:v>
      </x:c>
      <x:c r="F1109" s="84" t="str">
        <x:v>Herb, Subshrub</x:v>
      </x:c>
      <x:c r="G1109" s="84" t="str"/>
      <x:c r="H1109" s="84" t="str"/>
      <x:c r="I1109" s="84" t="str">
        <x:v>gutierrezia texana</x:v>
      </x:c>
    </x:row>
    <x:row r="1110">
      <x:c r="A1110" s="83" t="str">
        <x:v>Wildflower Center pasted list</x:v>
      </x:c>
      <x:c r="B1110" s="84" t="n">
        <x:v>322</x:v>
      </x:c>
      <x:c r="C1110" s="87" t="str">
        <x:v>Gymnosperma glutinosum</x:v>
      </x:c>
      <x:c r="D1110" s="84" t="str">
        <x:v>Gumhead, Tatalencho</x:v>
      </x:c>
      <x:c r="E1110" s="84" t="str">
        <x:v>Perennial</x:v>
      </x:c>
      <x:c r="F1110" s="84" t="str">
        <x:v>Herb</x:v>
      </x:c>
      <x:c r="G1110" s="84" t="str"/>
      <x:c r="H1110" s="84" t="str"/>
      <x:c r="I1110" s="84" t="str">
        <x:v>gymnosperma glutinosum</x:v>
      </x:c>
    </x:row>
    <x:row r="1111">
      <x:c r="A1111" s="83" t="str">
        <x:v>Wildflower Center pasted list</x:v>
      </x:c>
      <x:c r="B1111" s="84" t="n">
        <x:v>323</x:v>
      </x:c>
      <x:c r="C1111" s="87" t="str">
        <x:v>Hedeoma acinoides</x:v>
      </x:c>
      <x:c r="D1111" s="84" t="str">
        <x:v>Slender False Pennyroyal, Annual Pennyroyal, Slender Hedeoma</x:v>
      </x:c>
      <x:c r="E1111" s="84" t="str">
        <x:v>Annual</x:v>
      </x:c>
      <x:c r="F1111" s="84" t="str">
        <x:v>Herb</x:v>
      </x:c>
      <x:c r="G1111" s="84" t="str">
        <x:v>Sun, Part-shade</x:v>
      </x:c>
      <x:c r="H1111" s="84" t="str">
        <x:v>Moist, Dry</x:v>
      </x:c>
      <x:c r="I1111" s="84" t="str">
        <x:v>hedeoma acinoides</x:v>
      </x:c>
    </x:row>
    <x:row r="1112">
      <x:c r="A1112" s="83" t="str">
        <x:v>Wildflower Center pasted list</x:v>
      </x:c>
      <x:c r="B1112" s="84" t="n">
        <x:v>324</x:v>
      </x:c>
      <x:c r="C1112" s="87" t="str">
        <x:v>Hedeoma drummondii</x:v>
      </x:c>
      <x:c r="D1112" s="84" t="str">
        <x:v>Drummond's False Pennyroyal, Limoncillo, Mock Pennyroyal</x:v>
      </x:c>
      <x:c r="E1112" s="84" t="str">
        <x:v>Annual</x:v>
      </x:c>
      <x:c r="F1112" s="84" t="str">
        <x:v>Herb</x:v>
      </x:c>
      <x:c r="G1112" s="84" t="str">
        <x:v>Part-shade</x:v>
      </x:c>
      <x:c r="H1112" s="84" t="str">
        <x:v>Dry</x:v>
      </x:c>
      <x:c r="I1112" s="84" t="str">
        <x:v>hedeoma drummondii</x:v>
      </x:c>
    </x:row>
    <x:row r="1113">
      <x:c r="A1113" s="83" t="str">
        <x:v>Wildflower Center pasted list</x:v>
      </x:c>
      <x:c r="B1113" s="84" t="n">
        <x:v>325</x:v>
      </x:c>
      <x:c r="C1113" s="87" t="str">
        <x:v>Hedeoma reverchonii var. serpyllifolia</x:v>
      </x:c>
      <x:c r="D1113" s="84" t="str">
        <x:v>Reverchon's False Pennyroyal, Rock Hedeoma</x:v>
      </x:c>
      <x:c r="E1113" s="84" t="str">
        <x:v>Perennial</x:v>
      </x:c>
      <x:c r="F1113" s="84" t="str">
        <x:v>Herb</x:v>
      </x:c>
      <x:c r="G1113" s="84" t="str"/>
      <x:c r="H1113" s="84" t="str"/>
      <x:c r="I1113" s="84" t="str">
        <x:v>hedeoma reverchonii var. serpyllifolia</x:v>
      </x:c>
    </x:row>
    <x:row r="1114">
      <x:c r="A1114" s="83" t="str">
        <x:v>Wildflower Center pasted list</x:v>
      </x:c>
      <x:c r="B1114" s="84" t="n">
        <x:v>326</x:v>
      </x:c>
      <x:c r="C1114" s="87" t="str">
        <x:v>Helenium amarum var. amarum</x:v>
      </x:c>
      <x:c r="D1114" s="84" t="str">
        <x:v>Yellow Bitterweed, Yellowdicks</x:v>
      </x:c>
      <x:c r="E1114" s="84" t="str">
        <x:v>Annual</x:v>
      </x:c>
      <x:c r="F1114" s="84" t="str">
        <x:v>Herb</x:v>
      </x:c>
      <x:c r="G1114" s="84" t="str"/>
      <x:c r="H1114" s="84" t="str"/>
      <x:c r="I1114" s="84" t="str">
        <x:v>helenium amarum var. amarum</x:v>
      </x:c>
    </x:row>
    <x:row r="1115">
      <x:c r="A1115" s="83" t="str">
        <x:v>Wildflower Center pasted list</x:v>
      </x:c>
      <x:c r="B1115" s="84" t="n">
        <x:v>327</x:v>
      </x:c>
      <x:c r="C1115" s="87" t="str">
        <x:v>Helenium amarum var. badium</x:v>
      </x:c>
      <x:c r="D1115" s="84" t="str">
        <x:v>Brown Bitterweed, Basin Sneezeweed</x:v>
      </x:c>
      <x:c r="E1115" s="84" t="str">
        <x:v>Annual</x:v>
      </x:c>
      <x:c r="F1115" s="84" t="str">
        <x:v>Herb</x:v>
      </x:c>
      <x:c r="G1115" s="84" t="str"/>
      <x:c r="H1115" s="84" t="str"/>
      <x:c r="I1115" s="84" t="str">
        <x:v>helenium amarum var. badium</x:v>
      </x:c>
    </x:row>
    <x:row r="1116">
      <x:c r="A1116" s="83" t="str">
        <x:v>Wildflower Center pasted list</x:v>
      </x:c>
      <x:c r="B1116" s="84" t="n">
        <x:v>328</x:v>
      </x:c>
      <x:c r="C1116" s="87" t="str">
        <x:v>Helenium autumnale</x:v>
      </x:c>
      <x:c r="D1116" s="84" t="str">
        <x:v>Common Sneezeweed, Fall Sneezeweed, Autumn Sneezeweed</x:v>
      </x:c>
      <x:c r="E1116" s="84" t="str">
        <x:v>Perennial</x:v>
      </x:c>
      <x:c r="F1116" s="84" t="str">
        <x:v>Herb</x:v>
      </x:c>
      <x:c r="G1116" s="84" t="str">
        <x:v>Sun</x:v>
      </x:c>
      <x:c r="H1116" s="84" t="str">
        <x:v>Moist</x:v>
      </x:c>
      <x:c r="I1116" s="84" t="str">
        <x:v>helenium autumnale</x:v>
      </x:c>
    </x:row>
    <x:row r="1117">
      <x:c r="A1117" s="83" t="str">
        <x:v>Wildflower Center pasted list</x:v>
      </x:c>
      <x:c r="B1117" s="84" t="n">
        <x:v>329</x:v>
      </x:c>
      <x:c r="C1117" s="87" t="str">
        <x:v>Helenium elegans</x:v>
      </x:c>
      <x:c r="D1117" s="84" t="str">
        <x:v>Pretty Sneezeweed</x:v>
      </x:c>
      <x:c r="E1117" s="84" t="str">
        <x:v>Annual</x:v>
      </x:c>
      <x:c r="F1117" s="84" t="str">
        <x:v>Herb</x:v>
      </x:c>
      <x:c r="G1117" s="84" t="str"/>
      <x:c r="H1117" s="84" t="str"/>
      <x:c r="I1117" s="84" t="str">
        <x:v>helenium elegans</x:v>
      </x:c>
    </x:row>
    <x:row r="1118">
      <x:c r="A1118" s="83" t="str">
        <x:v>Wildflower Center pasted list</x:v>
      </x:c>
      <x:c r="B1118" s="84" t="n">
        <x:v>330</x:v>
      </x:c>
      <x:c r="C1118" s="87" t="str">
        <x:v>Helenium quadridentatum</x:v>
      </x:c>
      <x:c r="D1118" s="84" t="str">
        <x:v>Longdisk Sneezeweed, Sneezeweed</x:v>
      </x:c>
      <x:c r="E1118" s="84" t="str">
        <x:v>Annual</x:v>
      </x:c>
      <x:c r="F1118" s="84" t="str">
        <x:v>Herb</x:v>
      </x:c>
      <x:c r="G1118" s="84" t="str"/>
      <x:c r="H1118" s="84" t="str"/>
      <x:c r="I1118" s="84" t="str">
        <x:v>helenium quadridentatum</x:v>
      </x:c>
    </x:row>
    <x:row r="1119">
      <x:c r="A1119" s="83" t="str">
        <x:v>Wildflower Center pasted list</x:v>
      </x:c>
      <x:c r="B1119" s="84" t="n">
        <x:v>331</x:v>
      </x:c>
      <x:c r="C1119" s="87" t="str">
        <x:v>Helianthus annuus</x:v>
      </x:c>
      <x:c r="D1119" s="84" t="str">
        <x:v>Common Sunflower, Annual Sunflower</x:v>
      </x:c>
      <x:c r="E1119" s="84" t="str">
        <x:v>Annual</x:v>
      </x:c>
      <x:c r="F1119" s="84" t="str">
        <x:v>Herb</x:v>
      </x:c>
      <x:c r="G1119" s="84" t="str">
        <x:v>Sun</x:v>
      </x:c>
      <x:c r="H1119" s="84" t="str">
        <x:v>Dry</x:v>
      </x:c>
      <x:c r="I1119" s="84" t="str">
        <x:v>helianthus annuus</x:v>
      </x:c>
    </x:row>
    <x:row r="1120">
      <x:c r="A1120" s="83" t="str">
        <x:v>Wildflower Center pasted list</x:v>
      </x:c>
      <x:c r="B1120" s="84" t="n">
        <x:v>332</x:v>
      </x:c>
      <x:c r="C1120" s="87" t="str">
        <x:v>Helianthus maximiliani</x:v>
      </x:c>
      <x:c r="D1120" s="84" t="str">
        <x:v>Maximilian Sunflower, Max Sunflower</x:v>
      </x:c>
      <x:c r="E1120" s="84" t="str">
        <x:v>Perennial</x:v>
      </x:c>
      <x:c r="F1120" s="84" t="str">
        <x:v>Herb</x:v>
      </x:c>
      <x:c r="G1120" s="84" t="str">
        <x:v>Sun</x:v>
      </x:c>
      <x:c r="H1120" s="84" t="str">
        <x:v>Moist, Dry</x:v>
      </x:c>
      <x:c r="I1120" s="84" t="str">
        <x:v>helianthus maximiliani</x:v>
      </x:c>
    </x:row>
    <x:row r="1121">
      <x:c r="A1121" s="83" t="str">
        <x:v>Wildflower Center pasted list</x:v>
      </x:c>
      <x:c r="B1121" s="84" t="n">
        <x:v>333</x:v>
      </x:c>
      <x:c r="C1121" s="87" t="str">
        <x:v>Heliotropium procumbens</x:v>
      </x:c>
      <x:c r="D1121" s="84" t="str">
        <x:v>Fourspike Heliotrope</x:v>
      </x:c>
      <x:c r="E1121" s="84" t="str">
        <x:v>Annual, Perennial</x:v>
      </x:c>
      <x:c r="F1121" s="84" t="str">
        <x:v>Herb, Subshrub</x:v>
      </x:c>
      <x:c r="G1121" s="84" t="str"/>
      <x:c r="H1121" s="84" t="str"/>
      <x:c r="I1121" s="84" t="str">
        <x:v>heliotropium procumbens</x:v>
      </x:c>
    </x:row>
    <x:row r="1122">
      <x:c r="A1122" s="83" t="str">
        <x:v>Wildflower Center pasted list</x:v>
      </x:c>
      <x:c r="B1122" s="84" t="n">
        <x:v>334</x:v>
      </x:c>
      <x:c r="C1122" s="87" t="str">
        <x:v>Heliotropium tenellum</x:v>
      </x:c>
      <x:c r="D1122" s="84" t="str">
        <x:v>Pasture Heliotrope, White Heliotrope</x:v>
      </x:c>
      <x:c r="E1122" s="84" t="str">
        <x:v>Annual</x:v>
      </x:c>
      <x:c r="F1122" s="84" t="str">
        <x:v>Herb</x:v>
      </x:c>
      <x:c r="G1122" s="84" t="str">
        <x:v>Sun</x:v>
      </x:c>
      <x:c r="H1122" s="84" t="str">
        <x:v>Dry</x:v>
      </x:c>
      <x:c r="I1122" s="84" t="str">
        <x:v>heliotropium tenellum</x:v>
      </x:c>
    </x:row>
    <x:row r="1123">
      <x:c r="A1123" s="83" t="str">
        <x:v>Wildflower Center pasted list</x:v>
      </x:c>
      <x:c r="B1123" s="84" t="n">
        <x:v>335</x:v>
      </x:c>
      <x:c r="C1123" s="87" t="str">
        <x:v>Heteranthera dubia</x:v>
      </x:c>
      <x:c r="D1123" s="84" t="str">
        <x:v>Grassleaf Mudplantain, Water Stargrass</x:v>
      </x:c>
      <x:c r="E1123" s="84" t="str">
        <x:v>Annual</x:v>
      </x:c>
      <x:c r="F1123" s="84" t="str">
        <x:v>Herb</x:v>
      </x:c>
      <x:c r="G1123" s="84" t="str"/>
      <x:c r="H1123" s="84" t="str"/>
      <x:c r="I1123" s="84" t="str">
        <x:v>heteranthera dubia</x:v>
      </x:c>
    </x:row>
    <x:row r="1124">
      <x:c r="A1124" s="83" t="str">
        <x:v>Wildflower Center pasted list</x:v>
      </x:c>
      <x:c r="B1124" s="84" t="n">
        <x:v>336</x:v>
      </x:c>
      <x:c r="C1124" s="87" t="str">
        <x:v>Heterotheca canescens</x:v>
      </x:c>
      <x:c r="D1124" s="84" t="str">
        <x:v>Hoary False Goldenaster, Gray Golden-aster</x:v>
      </x:c>
      <x:c r="E1124" s="84" t="str">
        <x:v>Perennial</x:v>
      </x:c>
      <x:c r="F1124" s="84" t="str">
        <x:v>Herb</x:v>
      </x:c>
      <x:c r="G1124" s="84" t="str">
        <x:v>Sun</x:v>
      </x:c>
      <x:c r="H1124" s="84" t="str">
        <x:v>Dry</x:v>
      </x:c>
      <x:c r="I1124" s="84" t="str">
        <x:v>heterotheca canescens</x:v>
      </x:c>
    </x:row>
    <x:row r="1125">
      <x:c r="A1125" s="83" t="str">
        <x:v>Wildflower Center pasted list</x:v>
      </x:c>
      <x:c r="B1125" s="84" t="n">
        <x:v>337</x:v>
      </x:c>
      <x:c r="C1125" s="87" t="str">
        <x:v>Heterotheca stenophylla</x:v>
      </x:c>
      <x:c r="D1125" s="84" t="str">
        <x:v>Stiffleaf False Goldenaster, Sticky Granite-daisy</x:v>
      </x:c>
      <x:c r="E1125" s="84" t="str">
        <x:v>Perennial</x:v>
      </x:c>
      <x:c r="F1125" s="84" t="str">
        <x:v>Herb</x:v>
      </x:c>
      <x:c r="G1125" s="84" t="str"/>
      <x:c r="H1125" s="84" t="str"/>
      <x:c r="I1125" s="84" t="str">
        <x:v>heterotheca stenophylla</x:v>
      </x:c>
    </x:row>
    <x:row r="1126">
      <x:c r="A1126" s="83" t="str">
        <x:v>Wildflower Center pasted list</x:v>
      </x:c>
      <x:c r="B1126" s="84" t="n">
        <x:v>338</x:v>
      </x:c>
      <x:c r="C1126" s="87" t="str">
        <x:v>Heterotheca subaxillaris</x:v>
      </x:c>
      <x:c r="D1126" s="84" t="str">
        <x:v>Camphorweed, Camphor Weed</x:v>
      </x:c>
      <x:c r="E1126" s="84" t="str">
        <x:v>Annual</x:v>
      </x:c>
      <x:c r="F1126" s="84" t="str">
        <x:v>Herb</x:v>
      </x:c>
      <x:c r="G1126" s="84" t="str"/>
      <x:c r="H1126" s="84" t="str"/>
      <x:c r="I1126" s="84" t="str">
        <x:v>heterotheca subaxillaris</x:v>
      </x:c>
    </x:row>
    <x:row r="1127">
      <x:c r="A1127" s="83" t="str">
        <x:v>Wildflower Center pasted list</x:v>
      </x:c>
      <x:c r="B1127" s="84" t="n">
        <x:v>339</x:v>
      </x:c>
      <x:c r="C1127" s="87" t="str">
        <x:v>Heterotheca villosa</x:v>
      </x:c>
      <x:c r="D1127" s="84" t="str">
        <x:v>Hairy False Goldenaster, Hairy Golden-aster</x:v>
      </x:c>
      <x:c r="E1127" s="84" t="str">
        <x:v>Perennial</x:v>
      </x:c>
      <x:c r="F1127" s="84" t="str">
        <x:v>Herb, Subshrub</x:v>
      </x:c>
      <x:c r="G1127" s="84" t="str">
        <x:v>Sun</x:v>
      </x:c>
      <x:c r="H1127" s="84" t="str">
        <x:v>Dry</x:v>
      </x:c>
      <x:c r="I1127" s="84" t="str">
        <x:v>heterotheca villosa</x:v>
      </x:c>
    </x:row>
    <x:row r="1128">
      <x:c r="A1128" s="83" t="str">
        <x:v>Wildflower Center pasted list</x:v>
      </x:c>
      <x:c r="B1128" s="84" t="n">
        <x:v>340</x:v>
      </x:c>
      <x:c r="C1128" s="87" t="str">
        <x:v>Hexalectris nitida</x:v>
      </x:c>
      <x:c r="D1128" s="84" t="str">
        <x:v>Glass Mountain Crested Coralroot, Glass Mountain Crested Coral Root</x:v>
      </x:c>
      <x:c r="E1128" s="84" t="str">
        <x:v>Perennial</x:v>
      </x:c>
      <x:c r="F1128" s="84" t="str">
        <x:v>Herb</x:v>
      </x:c>
      <x:c r="G1128" s="84" t="str"/>
      <x:c r="H1128" s="84" t="str"/>
      <x:c r="I1128" s="84" t="str">
        <x:v>hexalectris nitida</x:v>
      </x:c>
    </x:row>
    <x:row r="1129">
      <x:c r="A1129" s="83" t="str">
        <x:v>Wildflower Center pasted list</x:v>
      </x:c>
      <x:c r="B1129" s="84" t="n">
        <x:v>341</x:v>
      </x:c>
      <x:c r="C1129" s="87" t="str">
        <x:v>Hexalectris warnockii</x:v>
      </x:c>
      <x:c r="D1129" s="84" t="str">
        <x:v>Texas Crested Coralroot, Texas Purple Spike, Texas Crested Coral Root</x:v>
      </x:c>
      <x:c r="E1129" s="84" t="str">
        <x:v>Perennial</x:v>
      </x:c>
      <x:c r="F1129" s="84" t="str">
        <x:v>Herb</x:v>
      </x:c>
      <x:c r="G1129" s="84" t="str"/>
      <x:c r="H1129" s="84" t="str"/>
      <x:c r="I1129" s="84" t="str">
        <x:v>hexalectris warnockii</x:v>
      </x:c>
    </x:row>
    <x:row r="1130">
      <x:c r="A1130" s="83" t="str">
        <x:v>Wildflower Center pasted list</x:v>
      </x:c>
      <x:c r="B1130" s="84" t="n">
        <x:v>342</x:v>
      </x:c>
      <x:c r="C1130" s="87" t="str">
        <x:v>Hilaria belangeri</x:v>
      </x:c>
      <x:c r="D1130" s="84" t="str">
        <x:v>Curly Mesquite Grass, Curly Mesquite</x:v>
      </x:c>
      <x:c r="E1130" s="84" t="str">
        <x:v>Perennial</x:v>
      </x:c>
      <x:c r="F1130" s="84" t="str">
        <x:v>Grass/Grass-like</x:v>
      </x:c>
      <x:c r="G1130" s="84" t="str">
        <x:v>Sun</x:v>
      </x:c>
      <x:c r="H1130" s="84" t="str">
        <x:v>Dry</x:v>
      </x:c>
      <x:c r="I1130" s="84" t="str">
        <x:v>hilaria belangeri</x:v>
      </x:c>
    </x:row>
    <x:row r="1131">
      <x:c r="A1131" s="83" t="str">
        <x:v>Wildflower Center pasted list</x:v>
      </x:c>
      <x:c r="B1131" s="84" t="n">
        <x:v>343</x:v>
      </x:c>
      <x:c r="C1131" s="87" t="str">
        <x:v>Hordeum pusillum</x:v>
      </x:c>
      <x:c r="D1131" s="84" t="str">
        <x:v>Little Barley</x:v>
      </x:c>
      <x:c r="E1131" s="84" t="str">
        <x:v>Annual</x:v>
      </x:c>
      <x:c r="F1131" s="84" t="str">
        <x:v>Grass/Grass-like</x:v>
      </x:c>
      <x:c r="G1131" s="84" t="str">
        <x:v>Sun</x:v>
      </x:c>
      <x:c r="H1131" s="84" t="str"/>
      <x:c r="I1131" s="84" t="str">
        <x:v>hordeum pusillum</x:v>
      </x:c>
    </x:row>
    <x:row r="1132">
      <x:c r="A1132" s="83" t="str">
        <x:v>Wildflower Center pasted list</x:v>
      </x:c>
      <x:c r="B1132" s="84" t="n">
        <x:v>344</x:v>
      </x:c>
      <x:c r="C1132" s="87" t="str">
        <x:v>Hydrocotyle umbellata</x:v>
      </x:c>
      <x:c r="D1132" s="84" t="str">
        <x:v>Manyflower Marsh-pennywort, Many-flowered Marsh-pennywort, Marsh Pennywort, Water Pennywort, Money Plant</x:v>
      </x:c>
      <x:c r="E1132" s="84" t="str">
        <x:v>Perennial</x:v>
      </x:c>
      <x:c r="F1132" s="84" t="str">
        <x:v>Herb</x:v>
      </x:c>
      <x:c r="G1132" s="84" t="str">
        <x:v>Sun, Shade, Part-shade</x:v>
      </x:c>
      <x:c r="H1132" s="84" t="str">
        <x:v>Wet, Moist</x:v>
      </x:c>
      <x:c r="I1132" s="84" t="str">
        <x:v>hydrocotyle umbellata</x:v>
      </x:c>
    </x:row>
    <x:row r="1133">
      <x:c r="A1133" s="83" t="str">
        <x:v>Wildflower Center pasted list</x:v>
      </x:c>
      <x:c r="B1133" s="84" t="n">
        <x:v>345</x:v>
      </x:c>
      <x:c r="C1133" s="87" t="str">
        <x:v>Hydrocotyle verticillata</x:v>
      </x:c>
      <x:c r="D1133" s="84" t="str">
        <x:v>Whorled Marshpennywort</x:v>
      </x:c>
      <x:c r="E1133" s="84" t="str">
        <x:v>Perennial</x:v>
      </x:c>
      <x:c r="F1133" s="84" t="str">
        <x:v>Herb</x:v>
      </x:c>
      <x:c r="G1133" s="84" t="str"/>
      <x:c r="H1133" s="84" t="str"/>
      <x:c r="I1133" s="84" t="str">
        <x:v>hydrocotyle verticillata</x:v>
      </x:c>
    </x:row>
    <x:row r="1134">
      <x:c r="A1134" s="83" t="str">
        <x:v>Wildflower Center pasted list</x:v>
      </x:c>
      <x:c r="B1134" s="84" t="n">
        <x:v>346</x:v>
      </x:c>
      <x:c r="C1134" s="87" t="str">
        <x:v>Hygrophila lacustris</x:v>
      </x:c>
      <x:c r="D1134" s="84" t="str">
        <x:v>Gulf Swampweed</x:v>
      </x:c>
      <x:c r="E1134" s="84" t="str">
        <x:v>Perennial</x:v>
      </x:c>
      <x:c r="F1134" s="84" t="str">
        <x:v>Herb</x:v>
      </x:c>
      <x:c r="G1134" s="84" t="str"/>
      <x:c r="H1134" s="84" t="str"/>
      <x:c r="I1134" s="84" t="str">
        <x:v>hygrophila lacustris</x:v>
      </x:c>
    </x:row>
    <x:row r="1135">
      <x:c r="A1135" s="83" t="str">
        <x:v>Wildflower Center pasted list</x:v>
      </x:c>
      <x:c r="B1135" s="84" t="n">
        <x:v>347</x:v>
      </x:c>
      <x:c r="C1135" s="87" t="str">
        <x:v>Hymenopappus artemisiifolius var. artemisiifolius</x:v>
      </x:c>
      <x:c r="D1135" s="84" t="str">
        <x:v>Oldplainsman</x:v>
      </x:c>
      <x:c r="E1135" s="84" t="str">
        <x:v>Biennial</x:v>
      </x:c>
      <x:c r="F1135" s="84" t="str">
        <x:v>Herb</x:v>
      </x:c>
      <x:c r="G1135" s="84" t="str"/>
      <x:c r="H1135" s="84" t="str"/>
      <x:c r="I1135" s="84" t="str">
        <x:v>hymenopappus artemisiifolius var. artemisiifolius</x:v>
      </x:c>
    </x:row>
    <x:row r="1136">
      <x:c r="A1136" s="83" t="str">
        <x:v>Wildflower Center pasted list</x:v>
      </x:c>
      <x:c r="B1136" s="84" t="n">
        <x:v>348</x:v>
      </x:c>
      <x:c r="C1136" s="87" t="str">
        <x:v>Hymenopappus scabiosaeus var. corymbosus</x:v>
      </x:c>
      <x:c r="D1136" s="84" t="str">
        <x:v>Carolina Woollywhite, Old Plainsman</x:v>
      </x:c>
      <x:c r="E1136" s="84" t="str">
        <x:v>Biennial</x:v>
      </x:c>
      <x:c r="F1136" s="84" t="str">
        <x:v>Herb</x:v>
      </x:c>
      <x:c r="G1136" s="84" t="str"/>
      <x:c r="H1136" s="84" t="str"/>
      <x:c r="I1136" s="84" t="str">
        <x:v>hymenopappus scabiosaeus var. corymbosus</x:v>
      </x:c>
    </x:row>
    <x:row r="1137">
      <x:c r="A1137" s="83" t="str">
        <x:v>Wildflower Center pasted list</x:v>
      </x:c>
      <x:c r="B1137" s="84" t="n">
        <x:v>349</x:v>
      </x:c>
      <x:c r="C1137" s="87" t="str">
        <x:v>Hymenopappus tenuifolius</x:v>
      </x:c>
      <x:c r="D1137" s="84" t="str">
        <x:v>Chalk Hill Hymenopappus, Chalkhill Woolywhite</x:v>
      </x:c>
      <x:c r="E1137" s="84" t="str">
        <x:v>Biennial</x:v>
      </x:c>
      <x:c r="F1137" s="84" t="str">
        <x:v>Herb</x:v>
      </x:c>
      <x:c r="G1137" s="84" t="str"/>
      <x:c r="H1137" s="84" t="str"/>
      <x:c r="I1137" s="84" t="str">
        <x:v>hymenopappus tenuifolius</x:v>
      </x:c>
    </x:row>
    <x:row r="1138">
      <x:c r="A1138" s="83" t="str">
        <x:v>Wildflower Center pasted list</x:v>
      </x:c>
      <x:c r="B1138" s="84" t="n">
        <x:v>350</x:v>
      </x:c>
      <x:c r="C1138" s="87" t="str">
        <x:v>Hypericum hypericoides</x:v>
      </x:c>
      <x:c r="D1138" s="84" t="str">
        <x:v>St. Andrew's-cross</x:v>
      </x:c>
      <x:c r="E1138" s="84" t="str">
        <x:v>Perennial</x:v>
      </x:c>
      <x:c r="F1138" s="84" t="str">
        <x:v>Subshrub</x:v>
      </x:c>
      <x:c r="G1138" s="84" t="str"/>
      <x:c r="H1138" s="84" t="str"/>
      <x:c r="I1138" s="84" t="str">
        <x:v>hypericum hypericoides</x:v>
      </x:c>
    </x:row>
    <x:row r="1139">
      <x:c r="A1139" s="83" t="str">
        <x:v>Wildflower Center pasted list</x:v>
      </x:c>
      <x:c r="B1139" s="84" t="n">
        <x:v>351</x:v>
      </x:c>
      <x:c r="C1139" s="87" t="str">
        <x:v>Ibervillea lindheimeri</x:v>
      </x:c>
      <x:c r="D1139" s="84" t="str">
        <x:v>Balsam Gourd, Lindheimer's Globeberry, Globe Berry, Snake-apple, Balsam-apple</x:v>
      </x:c>
      <x:c r="E1139" s="84" t="str">
        <x:v>Perennial</x:v>
      </x:c>
      <x:c r="F1139" s="84" t="str">
        <x:v>Vine</x:v>
      </x:c>
      <x:c r="G1139" s="84" t="str">
        <x:v>Sun</x:v>
      </x:c>
      <x:c r="H1139" s="84" t="str">
        <x:v>Moist</x:v>
      </x:c>
      <x:c r="I1139" s="84" t="str">
        <x:v>ibervillea lindheimeri</x:v>
      </x:c>
    </x:row>
    <x:row r="1140">
      <x:c r="A1140" s="83" t="str">
        <x:v>Wildflower Center pasted list</x:v>
      </x:c>
      <x:c r="B1140" s="84" t="n">
        <x:v>352</x:v>
      </x:c>
      <x:c r="C1140" s="87" t="str">
        <x:v>Ilex decidua</x:v>
      </x:c>
      <x:c r="D1140" s="84" t="str">
        <x:v>Possumhaw, Possumhaw Holly, Deciduous Holly, Meadow Holly, Prairie Holly, Swamp Holly, Welk Holly, Deciduous Yaupon, Bearberry, Winterberry</x:v>
      </x:c>
      <x:c r="E1140" s="84" t="str">
        <x:v>Perennial</x:v>
      </x:c>
      <x:c r="F1140" s="84" t="str">
        <x:v>Shrub</x:v>
      </x:c>
      <x:c r="G1140" s="84" t="str">
        <x:v>Sun, Part-shade</x:v>
      </x:c>
      <x:c r="H1140" s="84" t="str">
        <x:v>Moist</x:v>
      </x:c>
      <x:c r="I1140" s="84" t="str">
        <x:v>ilex decidua</x:v>
      </x:c>
    </x:row>
    <x:row r="1141">
      <x:c r="A1141" s="83" t="str">
        <x:v>Wildflower Center pasted list</x:v>
      </x:c>
      <x:c r="B1141" s="84" t="n">
        <x:v>353</x:v>
      </x:c>
      <x:c r="C1141" s="87" t="str">
        <x:v>Ilex vomitoria</x:v>
      </x:c>
      <x:c r="D1141" s="84" t="str">
        <x:v>Yaupon, Yaupon Holly, Cassina</x:v>
      </x:c>
      <x:c r="E1141" s="84" t="str">
        <x:v>Perennial</x:v>
      </x:c>
      <x:c r="F1141" s="84" t="str">
        <x:v>Shrub, Tree</x:v>
      </x:c>
      <x:c r="G1141" s="84" t="str">
        <x:v>Sun, Shade, Part-shade</x:v>
      </x:c>
      <x:c r="H1141" s="84" t="str">
        <x:v>Moist, Dry</x:v>
      </x:c>
      <x:c r="I1141" s="84" t="str">
        <x:v>ilex vomitoria</x:v>
      </x:c>
    </x:row>
    <x:row r="1142">
      <x:c r="A1142" s="83" t="str">
        <x:v>Wildflower Center pasted list</x:v>
      </x:c>
      <x:c r="B1142" s="84" t="n">
        <x:v>354</x:v>
      </x:c>
      <x:c r="C1142" s="87" t="str">
        <x:v>Indigofera miniata</x:v>
      </x:c>
      <x:c r="D1142" s="84" t="str">
        <x:v>Scarlet Pea, Coastal Indigo, Texas Indigo, Western Indigo</x:v>
      </x:c>
      <x:c r="E1142" s="84" t="str">
        <x:v>Perennial</x:v>
      </x:c>
      <x:c r="F1142" s="84" t="str">
        <x:v>Herb</x:v>
      </x:c>
      <x:c r="G1142" s="84" t="str">
        <x:v>Sun, Part-shade</x:v>
      </x:c>
      <x:c r="H1142" s="84" t="str">
        <x:v>Moist, Dry</x:v>
      </x:c>
      <x:c r="I1142" s="84" t="str">
        <x:v>indigofera miniata</x:v>
      </x:c>
    </x:row>
    <x:row r="1143">
      <x:c r="A1143" s="83" t="str">
        <x:v>Wildflower Center pasted list</x:v>
      </x:c>
      <x:c r="B1143" s="84" t="n">
        <x:v>355</x:v>
      </x:c>
      <x:c r="C1143" s="87" t="str">
        <x:v>Ipomoea cordatotriloba var. cordatotriloba</x:v>
      </x:c>
      <x:c r="D1143" s="84" t="str">
        <x:v>Tievine, Sharp-pod Morning Glory, Purple Bindweed, Tie Vine</x:v>
      </x:c>
      <x:c r="E1143" s="84" t="str">
        <x:v>Perennial</x:v>
      </x:c>
      <x:c r="F1143" s="84" t="str">
        <x:v>Vine</x:v>
      </x:c>
      <x:c r="G1143" s="84" t="str">
        <x:v>Part-shade</x:v>
      </x:c>
      <x:c r="H1143" s="84" t="str"/>
      <x:c r="I1143" s="84" t="str">
        <x:v>ipomoea cordatotriloba var. cordatotriloba</x:v>
      </x:c>
    </x:row>
    <x:row r="1144">
      <x:c r="A1144" s="83" t="str">
        <x:v>Wildflower Center pasted list</x:v>
      </x:c>
      <x:c r="B1144" s="84" t="n">
        <x:v>356</x:v>
      </x:c>
      <x:c r="C1144" s="87" t="str">
        <x:v>Ipomoea lindheimeri</x:v>
      </x:c>
      <x:c r="D1144" s="84" t="str">
        <x:v>Lindheimer's Morning-glory, Blue Morning Glory</x:v>
      </x:c>
      <x:c r="E1144" s="84" t="str">
        <x:v>Perennial</x:v>
      </x:c>
      <x:c r="F1144" s="84" t="str">
        <x:v>Vine</x:v>
      </x:c>
      <x:c r="G1144" s="84" t="str">
        <x:v>Sun</x:v>
      </x:c>
      <x:c r="H1144" s="84" t="str">
        <x:v>Dry</x:v>
      </x:c>
      <x:c r="I1144" s="84" t="str">
        <x:v>ipomoea lindheimeri</x:v>
      </x:c>
    </x:row>
    <x:row r="1145">
      <x:c r="A1145" s="83" t="str">
        <x:v>Wildflower Center pasted list</x:v>
      </x:c>
      <x:c r="B1145" s="84" t="n">
        <x:v>357</x:v>
      </x:c>
      <x:c r="C1145" s="87" t="str">
        <x:v>Ipomopsis rubra</x:v>
      </x:c>
      <x:c r="D1145" s="84" t="str">
        <x:v>Standing Cypress, Texas Plume, Red Texas Star, Red Gilia</x:v>
      </x:c>
      <x:c r="E1145" s="84" t="str">
        <x:v>Biennial</x:v>
      </x:c>
      <x:c r="F1145" s="84" t="str">
        <x:v>Herb</x:v>
      </x:c>
      <x:c r="G1145" s="84" t="str">
        <x:v>Sun, Part-shade</x:v>
      </x:c>
      <x:c r="H1145" s="84" t="str">
        <x:v>Dry</x:v>
      </x:c>
      <x:c r="I1145" s="84" t="str">
        <x:v>ipomopsis rubra</x:v>
      </x:c>
    </x:row>
    <x:row r="1146">
      <x:c r="A1146" s="83" t="str">
        <x:v>Wildflower Center pasted list</x:v>
      </x:c>
      <x:c r="B1146" s="84" t="n">
        <x:v>358</x:v>
      </x:c>
      <x:c r="C1146" s="87" t="str">
        <x:v>Iva angustifolia</x:v>
      </x:c>
      <x:c r="D1146" s="84" t="str">
        <x:v>Narrowleaf Marshelder, Narrow-leaf Sumpweed, Narrowleaf Marsh Elder</x:v>
      </x:c>
      <x:c r="E1146" s="84" t="str">
        <x:v>Annual</x:v>
      </x:c>
      <x:c r="F1146" s="84" t="str">
        <x:v>Herb</x:v>
      </x:c>
      <x:c r="G1146" s="84" t="str"/>
      <x:c r="H1146" s="84" t="str"/>
      <x:c r="I1146" s="84" t="str">
        <x:v>iva angustifolia</x:v>
      </x:c>
    </x:row>
    <x:row r="1147">
      <x:c r="A1147" s="83" t="str">
        <x:v>Wildflower Center pasted list</x:v>
      </x:c>
      <x:c r="B1147" s="84" t="n">
        <x:v>359</x:v>
      </x:c>
      <x:c r="C1147" s="87" t="str">
        <x:v>Iva annua</x:v>
      </x:c>
      <x:c r="D1147" s="84" t="str">
        <x:v>Annual Marshelder, Marshelder, Sumpweed, Annual Marsh Elder, Marsh Elder</x:v>
      </x:c>
      <x:c r="E1147" s="84" t="str">
        <x:v>Annual</x:v>
      </x:c>
      <x:c r="F1147" s="84" t="str">
        <x:v>Herb</x:v>
      </x:c>
      <x:c r="G1147" s="84" t="str"/>
      <x:c r="H1147" s="84" t="str"/>
      <x:c r="I1147" s="84" t="str">
        <x:v>iva annua</x:v>
      </x:c>
    </x:row>
    <x:row r="1148">
      <x:c r="A1148" s="83" t="str">
        <x:v>Wildflower Center pasted list</x:v>
      </x:c>
      <x:c r="B1148" s="84" t="n">
        <x:v>360</x:v>
      </x:c>
      <x:c r="C1148" s="87" t="str">
        <x:v>Juglans major</x:v>
      </x:c>
      <x:c r="D1148" s="84" t="str">
        <x:v>Arizona Walnut, Arizona Black Walnut, River Walnut, Mountain Walnut, Nogal Silvestre</x:v>
      </x:c>
      <x:c r="E1148" s="84" t="str">
        <x:v>Perennial</x:v>
      </x:c>
      <x:c r="F1148" s="84" t="str">
        <x:v>Tree</x:v>
      </x:c>
      <x:c r="G1148" s="84" t="str">
        <x:v>Sun, Part-shade</x:v>
      </x:c>
      <x:c r="H1148" s="84" t="str">
        <x:v>Dry</x:v>
      </x:c>
      <x:c r="I1148" s="84" t="str">
        <x:v>juglans major</x:v>
      </x:c>
    </x:row>
    <x:row r="1149">
      <x:c r="A1149" s="83" t="str">
        <x:v>Wildflower Center pasted list</x:v>
      </x:c>
      <x:c r="B1149" s="84" t="n">
        <x:v>361</x:v>
      </x:c>
      <x:c r="C1149" s="87" t="str">
        <x:v>Juglans microcarpa</x:v>
      </x:c>
      <x:c r="D1149" s="84" t="str">
        <x:v>Little Walnut, Texas Walnut, Texas Black Walnut, River Walnut, Nogalito, Nogalillo, Namboca</x:v>
      </x:c>
      <x:c r="E1149" s="84" t="str">
        <x:v>Perennial</x:v>
      </x:c>
      <x:c r="F1149" s="84" t="str">
        <x:v>Tree</x:v>
      </x:c>
      <x:c r="G1149" s="84" t="str">
        <x:v>Part-shade</x:v>
      </x:c>
      <x:c r="H1149" s="84" t="str">
        <x:v>Dry</x:v>
      </x:c>
      <x:c r="I1149" s="84" t="str">
        <x:v>juglans microcarpa</x:v>
      </x:c>
    </x:row>
    <x:row r="1150">
      <x:c r="A1150" s="83" t="str">
        <x:v>Wildflower Center pasted list</x:v>
      </x:c>
      <x:c r="B1150" s="84" t="n">
        <x:v>362</x:v>
      </x:c>
      <x:c r="C1150" s="87" t="str">
        <x:v>Juncus dichotomus</x:v>
      </x:c>
      <x:c r="D1150" s="84" t="str">
        <x:v>Forked Rush</x:v>
      </x:c>
      <x:c r="E1150" s="84" t="str">
        <x:v>Perennial</x:v>
      </x:c>
      <x:c r="F1150" s="84" t="str">
        <x:v>Grass/Grass-like</x:v>
      </x:c>
      <x:c r="G1150" s="84" t="str"/>
      <x:c r="H1150" s="84" t="str"/>
      <x:c r="I1150" s="84" t="str">
        <x:v>juncus dichotomus</x:v>
      </x:c>
    </x:row>
    <x:row r="1151">
      <x:c r="A1151" s="83" t="str">
        <x:v>Wildflower Center pasted list</x:v>
      </x:c>
      <x:c r="B1151" s="84" t="n">
        <x:v>363</x:v>
      </x:c>
      <x:c r="C1151" s="87" t="str">
        <x:v>Juncus filipendulus</x:v>
      </x:c>
      <x:c r="D1151" s="84" t="str">
        <x:v>Ringseed Rush</x:v>
      </x:c>
      <x:c r="E1151" s="84" t="str">
        <x:v>Perennial</x:v>
      </x:c>
      <x:c r="F1151" s="84" t="str">
        <x:v>Grass/Grass-like</x:v>
      </x:c>
      <x:c r="G1151" s="84" t="str"/>
      <x:c r="H1151" s="84" t="str"/>
      <x:c r="I1151" s="84" t="str">
        <x:v>juncus filipendulus</x:v>
      </x:c>
    </x:row>
    <x:row r="1152">
      <x:c r="A1152" s="83" t="str">
        <x:v>Wildflower Center pasted list</x:v>
      </x:c>
      <x:c r="B1152" s="84" t="n">
        <x:v>364</x:v>
      </x:c>
      <x:c r="C1152" s="87" t="str">
        <x:v>Juncus texanus</x:v>
      </x:c>
      <x:c r="D1152" s="84" t="str">
        <x:v>Texas Rush</x:v>
      </x:c>
      <x:c r="E1152" s="84" t="str">
        <x:v>Perennial</x:v>
      </x:c>
      <x:c r="F1152" s="84" t="str">
        <x:v>Grass/Grass-like</x:v>
      </x:c>
      <x:c r="G1152" s="84" t="str"/>
      <x:c r="H1152" s="84" t="str"/>
      <x:c r="I1152" s="84" t="str">
        <x:v>juncus texanus</x:v>
      </x:c>
    </x:row>
    <x:row r="1153">
      <x:c r="A1153" s="83" t="str">
        <x:v>Wildflower Center pasted list</x:v>
      </x:c>
      <x:c r="B1153" s="84" t="n">
        <x:v>365</x:v>
      </x:c>
      <x:c r="C1153" s="87" t="str">
        <x:v>Juniperus ashei</x:v>
      </x:c>
      <x:c r="D1153" s="84" t="str">
        <x:v>Ashe Juniper, Ashe's Juniper, Mountain Cedar, Rock Cedar, Post Cedar, Texas Cedar, Brake Cedar, Mexican Juniper, Blueberry Juniper, Ozark White Cedar, Sabino, Enebro</x:v>
      </x:c>
      <x:c r="E1153" s="84" t="str">
        <x:v>Perennial</x:v>
      </x:c>
      <x:c r="F1153" s="84" t="str">
        <x:v>Tree</x:v>
      </x:c>
      <x:c r="G1153" s="84" t="str">
        <x:v>Part-shade</x:v>
      </x:c>
      <x:c r="H1153" s="84" t="str">
        <x:v>Dry</x:v>
      </x:c>
      <x:c r="I1153" s="84" t="str">
        <x:v>juniperus ashei</x:v>
      </x:c>
    </x:row>
    <x:row r="1154">
      <x:c r="A1154" s="83" t="str">
        <x:v>Wildflower Center pasted list</x:v>
      </x:c>
      <x:c r="B1154" s="84" t="n">
        <x:v>366</x:v>
      </x:c>
      <x:c r="C1154" s="87" t="str">
        <x:v>Juniperus virginiana</x:v>
      </x:c>
      <x:c r="D1154" s="84" t="str">
        <x:v>Eastern Red Cedar, Eastern Redcedar, Virginia Juniper, Red Juniper, Pencil Cedar, Carolina Cedar, Red Savin</x:v>
      </x:c>
      <x:c r="E1154" s="84" t="str">
        <x:v>Perennial</x:v>
      </x:c>
      <x:c r="F1154" s="84" t="str">
        <x:v>Tree</x:v>
      </x:c>
      <x:c r="G1154" s="84" t="str">
        <x:v>Sun, Shade, Part-shade</x:v>
      </x:c>
      <x:c r="H1154" s="84" t="str">
        <x:v>Dry</x:v>
      </x:c>
      <x:c r="I1154" s="84" t="str">
        <x:v>juniperus virginiana</x:v>
      </x:c>
    </x:row>
    <x:row r="1155">
      <x:c r="A1155" s="83" t="str">
        <x:v>Wildflower Center pasted list</x:v>
      </x:c>
      <x:c r="B1155" s="84" t="n">
        <x:v>367</x:v>
      </x:c>
      <x:c r="C1155" s="87" t="str">
        <x:v>Justicia americana</x:v>
      </x:c>
      <x:c r="D1155" s="84" t="str">
        <x:v>American Water-willow, Water-willow</x:v>
      </x:c>
      <x:c r="E1155" s="84" t="str">
        <x:v>Perennial</x:v>
      </x:c>
      <x:c r="F1155" s="84" t="str">
        <x:v>Herb</x:v>
      </x:c>
      <x:c r="G1155" s="84" t="str">
        <x:v>Sun, Part-shade</x:v>
      </x:c>
      <x:c r="H1155" s="84" t="str">
        <x:v>Wet, Moist</x:v>
      </x:c>
      <x:c r="I1155" s="84" t="str">
        <x:v>justicia americana</x:v>
      </x:c>
    </x:row>
    <x:row r="1156">
      <x:c r="A1156" s="83" t="str">
        <x:v>Wildflower Center pasted list</x:v>
      </x:c>
      <x:c r="B1156" s="84" t="n">
        <x:v>368</x:v>
      </x:c>
      <x:c r="C1156" s="87" t="str">
        <x:v>Justicia pilosella</x:v>
      </x:c>
      <x:c r="D1156" s="84" t="str">
        <x:v>Hairy Tube-tongue, Gregg's Tube-tongue, False Honeysuckle</x:v>
      </x:c>
      <x:c r="E1156" s="84" t="str">
        <x:v>Perennial</x:v>
      </x:c>
      <x:c r="F1156" s="84" t="str">
        <x:v>Herb</x:v>
      </x:c>
      <x:c r="G1156" s="84" t="str">
        <x:v>Part-shade</x:v>
      </x:c>
      <x:c r="H1156" s="84" t="str">
        <x:v>Moist, Dry</x:v>
      </x:c>
      <x:c r="I1156" s="84" t="str">
        <x:v>justicia pilosella</x:v>
      </x:c>
    </x:row>
    <x:row r="1157">
      <x:c r="A1157" s="83" t="str">
        <x:v>Wildflower Center pasted list</x:v>
      </x:c>
      <x:c r="B1157" s="84" t="n">
        <x:v>369</x:v>
      </x:c>
      <x:c r="C1157" s="87" t="str">
        <x:v>Kallstroemia parviflora</x:v>
      </x:c>
      <x:c r="D1157" s="84" t="str">
        <x:v>Warty Caltrop, Small-flowered Carpetweed</x:v>
      </x:c>
      <x:c r="E1157" s="84" t="str">
        <x:v>Annual</x:v>
      </x:c>
      <x:c r="F1157" s="84" t="str">
        <x:v>Herb</x:v>
      </x:c>
      <x:c r="G1157" s="84" t="str">
        <x:v>Sun</x:v>
      </x:c>
      <x:c r="H1157" s="84" t="str">
        <x:v>Dry</x:v>
      </x:c>
      <x:c r="I1157" s="84" t="str">
        <x:v>kallstroemia parviflora</x:v>
      </x:c>
    </x:row>
    <x:row r="1158">
      <x:c r="A1158" s="83" t="str">
        <x:v>Wildflower Center pasted list</x:v>
      </x:c>
      <x:c r="B1158" s="84" t="n">
        <x:v>370</x:v>
      </x:c>
      <x:c r="C1158" s="87" t="str">
        <x:v>Krameria lanceolata</x:v>
      </x:c>
      <x:c r="D1158" s="84" t="str">
        <x:v>Trailing Krameria, Ratany, Crameria, Prairie Sandbur, Trailing Ratany</x:v>
      </x:c>
      <x:c r="E1158" s="84" t="str">
        <x:v>Perennial</x:v>
      </x:c>
      <x:c r="F1158" s="84" t="str">
        <x:v>Herb</x:v>
      </x:c>
      <x:c r="G1158" s="84" t="str">
        <x:v>Part-shade</x:v>
      </x:c>
      <x:c r="H1158" s="84" t="str"/>
      <x:c r="I1158" s="84" t="str">
        <x:v>krameria lanceolata</x:v>
      </x:c>
    </x:row>
    <x:row r="1159">
      <x:c r="A1159" s="83" t="str">
        <x:v>Wildflower Center pasted list</x:v>
      </x:c>
      <x:c r="B1159" s="84" t="n">
        <x:v>371</x:v>
      </x:c>
      <x:c r="C1159" s="87" t="str">
        <x:v>Krigia caespitosa</x:v>
      </x:c>
      <x:c r="D1159" s="84" t="str">
        <x:v>Weedy Dwarfdandelion, Dwarf Dandelion</x:v>
      </x:c>
      <x:c r="E1159" s="84" t="str">
        <x:v>Annual</x:v>
      </x:c>
      <x:c r="F1159" s="84" t="str">
        <x:v>Herb</x:v>
      </x:c>
      <x:c r="G1159" s="84" t="str"/>
      <x:c r="H1159" s="84" t="str"/>
      <x:c r="I1159" s="84" t="str">
        <x:v>krigia caespitosa</x:v>
      </x:c>
    </x:row>
    <x:row r="1160">
      <x:c r="A1160" s="83" t="str">
        <x:v>Wildflower Center pasted list</x:v>
      </x:c>
      <x:c r="B1160" s="84" t="n">
        <x:v>372</x:v>
      </x:c>
      <x:c r="C1160" s="87" t="str">
        <x:v>Krigia occidentalis</x:v>
      </x:c>
      <x:c r="D1160" s="84" t="str">
        <x:v>Western Dwarfdandelion</x:v>
      </x:c>
      <x:c r="E1160" s="84" t="str">
        <x:v>Annual</x:v>
      </x:c>
      <x:c r="F1160" s="84" t="str">
        <x:v>Herb</x:v>
      </x:c>
      <x:c r="G1160" s="84" t="str"/>
      <x:c r="H1160" s="84" t="str"/>
      <x:c r="I1160" s="84" t="str">
        <x:v>krigia occidentalis</x:v>
      </x:c>
    </x:row>
    <x:row r="1161">
      <x:c r="A1161" s="83" t="str">
        <x:v>Wildflower Center pasted list</x:v>
      </x:c>
      <x:c r="B1161" s="84" t="n">
        <x:v>373</x:v>
      </x:c>
      <x:c r="C1161" s="87" t="str">
        <x:v>Lactuca ludoviciana</x:v>
      </x:c>
      <x:c r="D1161" s="84" t="str">
        <x:v>Western Wild Lettuce, Louisiana Wild Lettuce, Prairie Lettuce, Prairie Wild Lettuce, Biannual Lettuce</x:v>
      </x:c>
      <x:c r="E1161" s="84" t="str">
        <x:v>Biennial, Perennial</x:v>
      </x:c>
      <x:c r="F1161" s="84" t="str">
        <x:v>Herb</x:v>
      </x:c>
      <x:c r="G1161" s="84" t="str">
        <x:v>Sun, Part-shade</x:v>
      </x:c>
      <x:c r="H1161" s="84" t="str">
        <x:v>Moist, Dry</x:v>
      </x:c>
      <x:c r="I1161" s="84" t="str">
        <x:v>lactuca ludoviciana</x:v>
      </x:c>
    </x:row>
    <x:row r="1162">
      <x:c r="A1162" s="83" t="str">
        <x:v>Wildflower Center pasted list</x:v>
      </x:c>
      <x:c r="B1162" s="84" t="n">
        <x:v>374</x:v>
      </x:c>
      <x:c r="C1162" s="87" t="str">
        <x:v>Lantana urticoides</x:v>
      </x:c>
      <x:c r="D1162" s="84" t="str">
        <x:v>Texas Lantana, Calico Bush</x:v>
      </x:c>
      <x:c r="E1162" s="84" t="str">
        <x:v>Perennial</x:v>
      </x:c>
      <x:c r="F1162" s="84" t="str">
        <x:v>Shrub</x:v>
      </x:c>
      <x:c r="G1162" s="84" t="str">
        <x:v>Sun</x:v>
      </x:c>
      <x:c r="H1162" s="84" t="str">
        <x:v>Dry</x:v>
      </x:c>
      <x:c r="I1162" s="84" t="str">
        <x:v>lantana urticoides</x:v>
      </x:c>
    </x:row>
    <x:row r="1163">
      <x:c r="A1163" s="83" t="str">
        <x:v>Wildflower Center pasted list</x:v>
      </x:c>
      <x:c r="B1163" s="84" t="n">
        <x:v>375</x:v>
      </x:c>
      <x:c r="C1163" s="87" t="str">
        <x:v>Lappula occidentalis var. cupulata</x:v>
      </x:c>
      <x:c r="D1163" s="84" t="str">
        <x:v>Flatspine Stickseed, Western Stickseed</x:v>
      </x:c>
      <x:c r="E1163" s="84" t="str">
        <x:v>Annual, Biennial</x:v>
      </x:c>
      <x:c r="F1163" s="84" t="str">
        <x:v>Herb</x:v>
      </x:c>
      <x:c r="G1163" s="84" t="str"/>
      <x:c r="H1163" s="84" t="str"/>
      <x:c r="I1163" s="84" t="str">
        <x:v>lappula occidentalis var. cupulata</x:v>
      </x:c>
    </x:row>
    <x:row r="1164">
      <x:c r="A1164" s="83" t="str">
        <x:v>Wildflower Center pasted list</x:v>
      </x:c>
      <x:c r="B1164" s="84" t="n">
        <x:v>376</x:v>
      </x:c>
      <x:c r="C1164" s="87" t="str">
        <x:v>Leersia oryzoides</x:v>
      </x:c>
      <x:c r="D1164" s="84" t="str">
        <x:v>Rice Cutgrass, Rice Cut Grass</x:v>
      </x:c>
      <x:c r="E1164" s="84" t="str">
        <x:v>Perennial</x:v>
      </x:c>
      <x:c r="F1164" s="84" t="str">
        <x:v>Grass/Grass-like</x:v>
      </x:c>
      <x:c r="G1164" s="84" t="str">
        <x:v>Part-shade</x:v>
      </x:c>
      <x:c r="H1164" s="84" t="str">
        <x:v>Wet</x:v>
      </x:c>
      <x:c r="I1164" s="84" t="str">
        <x:v>leersia oryzoides</x:v>
      </x:c>
    </x:row>
    <x:row r="1165">
      <x:c r="A1165" s="83" t="str">
        <x:v>Wildflower Center pasted list</x:v>
      </x:c>
      <x:c r="B1165" s="84" t="n">
        <x:v>377</x:v>
      </x:c>
      <x:c r="C1165" s="87" t="str">
        <x:v>Lemna minor</x:v>
      </x:c>
      <x:c r="D1165" s="84" t="str">
        <x:v>Common Duckweed</x:v>
      </x:c>
      <x:c r="E1165" s="84" t="str">
        <x:v>Perennial</x:v>
      </x:c>
      <x:c r="F1165" s="84" t="str">
        <x:v>Herb</x:v>
      </x:c>
      <x:c r="G1165" s="84" t="str">
        <x:v>Sun</x:v>
      </x:c>
      <x:c r="H1165" s="84" t="str">
        <x:v>Wet</x:v>
      </x:c>
      <x:c r="I1165" s="84" t="str">
        <x:v>lemna minor</x:v>
      </x:c>
    </x:row>
    <x:row r="1166">
      <x:c r="A1166" s="83" t="str">
        <x:v>Wildflower Center pasted list</x:v>
      </x:c>
      <x:c r="B1166" s="84" t="n">
        <x:v>378</x:v>
      </x:c>
      <x:c r="C1166" s="87" t="str">
        <x:v>Lepidium austrinum</x:v>
      </x:c>
      <x:c r="D1166" s="84" t="str">
        <x:v>Southern Peppergrass, Southern Pepperwort</x:v>
      </x:c>
      <x:c r="E1166" s="84" t="str">
        <x:v>Annual</x:v>
      </x:c>
      <x:c r="F1166" s="84" t="str">
        <x:v>Herb</x:v>
      </x:c>
      <x:c r="G1166" s="84" t="str"/>
      <x:c r="H1166" s="84" t="str"/>
      <x:c r="I1166" s="84" t="str">
        <x:v>lepidium austrinum</x:v>
      </x:c>
    </x:row>
    <x:row r="1167">
      <x:c r="A1167" s="83" t="str">
        <x:v>Wildflower Center pasted list</x:v>
      </x:c>
      <x:c r="B1167" s="84" t="n">
        <x:v>379</x:v>
      </x:c>
      <x:c r="C1167" s="87" t="str">
        <x:v>Lepidium virginicum</x:v>
      </x:c>
      <x:c r="D1167" s="84" t="str">
        <x:v>Virginia Peppergrass, Virginia Pepperweed, Peppergrass, Poor Man's Pepper</x:v>
      </x:c>
      <x:c r="E1167" s="84" t="str">
        <x:v>Annual</x:v>
      </x:c>
      <x:c r="F1167" s="84" t="str">
        <x:v>Herb</x:v>
      </x:c>
      <x:c r="G1167" s="84" t="str">
        <x:v>Sun</x:v>
      </x:c>
      <x:c r="H1167" s="84" t="str">
        <x:v>Dry</x:v>
      </x:c>
      <x:c r="I1167" s="84" t="str">
        <x:v>lepidium virginicum</x:v>
      </x:c>
    </x:row>
    <x:row r="1168">
      <x:c r="A1168" s="83" t="str">
        <x:v>Wildflower Center pasted list</x:v>
      </x:c>
      <x:c r="B1168" s="84" t="n">
        <x:v>380</x:v>
      </x:c>
      <x:c r="C1168" s="87" t="str">
        <x:v>Leptochloa dubia</x:v>
      </x:c>
      <x:c r="D1168" s="84" t="str">
        <x:v>Green Sprangletop</x:v>
      </x:c>
      <x:c r="E1168" s="84" t="str">
        <x:v>Perennial</x:v>
      </x:c>
      <x:c r="F1168" s="84" t="str">
        <x:v>Grass/Grass-like</x:v>
      </x:c>
      <x:c r="G1168" s="84" t="str">
        <x:v>Part-shade</x:v>
      </x:c>
      <x:c r="H1168" s="84" t="str">
        <x:v>Dry</x:v>
      </x:c>
      <x:c r="I1168" s="84" t="str">
        <x:v>leptochloa dubia</x:v>
      </x:c>
    </x:row>
    <x:row r="1169">
      <x:c r="A1169" s="83" t="str">
        <x:v>Wildflower Center pasted list</x:v>
      </x:c>
      <x:c r="B1169" s="84" t="n">
        <x:v>381</x:v>
      </x:c>
      <x:c r="C1169" s="87" t="str">
        <x:v>Leptochloa panicea ssp. mucronata</x:v>
      </x:c>
      <x:c r="D1169" s="84" t="str">
        <x:v>Mississippi Sprangletop, Mucronate Sprangletop</x:v>
      </x:c>
      <x:c r="E1169" s="84" t="str">
        <x:v>Annual, Perennial</x:v>
      </x:c>
      <x:c r="F1169" s="84" t="str">
        <x:v>Grass/Grass-like</x:v>
      </x:c>
      <x:c r="G1169" s="84" t="str"/>
      <x:c r="H1169" s="84" t="str"/>
      <x:c r="I1169" s="84" t="str">
        <x:v>leptochloa panicea ssp. mucronata</x:v>
      </x:c>
    </x:row>
    <x:row r="1170">
      <x:c r="A1170" s="83" t="str">
        <x:v>Wildflower Center pasted list</x:v>
      </x:c>
      <x:c r="B1170" s="84" t="n">
        <x:v>382</x:v>
      </x:c>
      <x:c r="C1170" s="87" t="str">
        <x:v>Lespedeza texana</x:v>
      </x:c>
      <x:c r="D1170" s="84" t="str">
        <x:v>Texas Lespedeza, Texas Bush-clover</x:v>
      </x:c>
      <x:c r="E1170" s="84" t="str">
        <x:v>Perennial</x:v>
      </x:c>
      <x:c r="F1170" s="84" t="str">
        <x:v>Herb</x:v>
      </x:c>
      <x:c r="G1170" s="84" t="str">
        <x:v>Sun</x:v>
      </x:c>
      <x:c r="H1170" s="84" t="str"/>
      <x:c r="I1170" s="84" t="str">
        <x:v>lespedeza texana</x:v>
      </x:c>
    </x:row>
    <x:row r="1171">
      <x:c r="A1171" s="83" t="str">
        <x:v>Wildflower Center pasted list</x:v>
      </x:c>
      <x:c r="B1171" s="84" t="n">
        <x:v>383</x:v>
      </x:c>
      <x:c r="C1171" s="87" t="str">
        <x:v>Lesquerella densiflora</x:v>
      </x:c>
      <x:c r="D1171" s="84" t="str">
        <x:v>Denseflower Bladderpod, Low Bladderpod</x:v>
      </x:c>
      <x:c r="E1171" s="84" t="str">
        <x:v>Annual</x:v>
      </x:c>
      <x:c r="F1171" s="84" t="str">
        <x:v>Herb</x:v>
      </x:c>
      <x:c r="G1171" s="84" t="str"/>
      <x:c r="H1171" s="84" t="str"/>
      <x:c r="I1171" s="84" t="str">
        <x:v>lesquerella densiflora</x:v>
      </x:c>
    </x:row>
    <x:row r="1172">
      <x:c r="A1172" s="83" t="str">
        <x:v>Wildflower Center pasted list</x:v>
      </x:c>
      <x:c r="B1172" s="84" t="n">
        <x:v>384</x:v>
      </x:c>
      <x:c r="C1172" s="87" t="str">
        <x:v>Lesquerella engelmannii</x:v>
      </x:c>
      <x:c r="D1172" s="84" t="str">
        <x:v>Engelmann's Bladderpod</x:v>
      </x:c>
      <x:c r="E1172" s="84" t="str">
        <x:v>Perennial</x:v>
      </x:c>
      <x:c r="F1172" s="84" t="str">
        <x:v>Herb</x:v>
      </x:c>
      <x:c r="G1172" s="84" t="str"/>
      <x:c r="H1172" s="84" t="str"/>
      <x:c r="I1172" s="84" t="str">
        <x:v>lesquerella engelmannii</x:v>
      </x:c>
    </x:row>
    <x:row r="1173">
      <x:c r="A1173" s="83" t="str">
        <x:v>Wildflower Center pasted list</x:v>
      </x:c>
      <x:c r="B1173" s="84" t="n">
        <x:v>385</x:v>
      </x:c>
      <x:c r="C1173" s="87" t="str">
        <x:v>Lesquerella gracilis</x:v>
      </x:c>
      <x:c r="D1173" s="84" t="str">
        <x:v>Spreading Bladderpod, Cloth-of-gold</x:v>
      </x:c>
      <x:c r="E1173" s="84" t="str">
        <x:v>Annual</x:v>
      </x:c>
      <x:c r="F1173" s="84" t="str">
        <x:v>Herb</x:v>
      </x:c>
      <x:c r="G1173" s="84" t="str">
        <x:v>Sun</x:v>
      </x:c>
      <x:c r="H1173" s="84" t="str"/>
      <x:c r="I1173" s="84" t="str">
        <x:v>lesquerella gracilis</x:v>
      </x:c>
    </x:row>
    <x:row r="1174">
      <x:c r="A1174" s="83" t="str">
        <x:v>Wildflower Center pasted list</x:v>
      </x:c>
      <x:c r="B1174" s="84" t="n">
        <x:v>386</x:v>
      </x:c>
      <x:c r="C1174" s="87" t="str">
        <x:v>Lesquerella grandiflora</x:v>
      </x:c>
      <x:c r="D1174" s="84" t="str">
        <x:v>Bigflower Bladderpod</x:v>
      </x:c>
      <x:c r="E1174" s="84" t="str">
        <x:v>Annual</x:v>
      </x:c>
      <x:c r="F1174" s="84" t="str">
        <x:v>Herb</x:v>
      </x:c>
      <x:c r="G1174" s="84" t="str"/>
      <x:c r="H1174" s="84" t="str"/>
      <x:c r="I1174" s="84" t="str">
        <x:v>lesquerella grandiflora</x:v>
      </x:c>
    </x:row>
    <x:row r="1175">
      <x:c r="A1175" s="83" t="str">
        <x:v>Wildflower Center pasted list</x:v>
      </x:c>
      <x:c r="B1175" s="84" t="n">
        <x:v>387</x:v>
      </x:c>
      <x:c r="C1175" s="87" t="str">
        <x:v>Lesquerella recurvata</x:v>
      </x:c>
      <x:c r="D1175" s="84" t="str">
        <x:v>Gaslight Bladderpod, Slender Bladderpod</x:v>
      </x:c>
      <x:c r="E1175" s="84" t="str">
        <x:v>Annual</x:v>
      </x:c>
      <x:c r="F1175" s="84" t="str">
        <x:v>Herb</x:v>
      </x:c>
      <x:c r="G1175" s="84" t="str"/>
      <x:c r="H1175" s="84" t="str"/>
      <x:c r="I1175" s="84" t="str">
        <x:v>lesquerella recurvata</x:v>
      </x:c>
    </x:row>
    <x:row r="1176">
      <x:c r="A1176" s="83" t="str">
        <x:v>Wildflower Center pasted list</x:v>
      </x:c>
      <x:c r="B1176" s="84" t="n">
        <x:v>388</x:v>
      </x:c>
      <x:c r="C1176" s="87" t="str">
        <x:v>Lesquerella sessilis</x:v>
      </x:c>
      <x:c r="D1176" s="84" t="str">
        <x:v>Sessile Bladderpod</x:v>
      </x:c>
      <x:c r="E1176" s="84" t="str">
        <x:v>Annual</x:v>
      </x:c>
      <x:c r="F1176" s="84" t="str">
        <x:v>Herb</x:v>
      </x:c>
      <x:c r="G1176" s="84" t="str"/>
      <x:c r="H1176" s="84" t="str"/>
      <x:c r="I1176" s="84" t="str">
        <x:v>lesquerella sessilis</x:v>
      </x:c>
    </x:row>
    <x:row r="1177">
      <x:c r="A1177" s="83" t="str">
        <x:v>Wildflower Center pasted list</x:v>
      </x:c>
      <x:c r="B1177" s="84" t="n">
        <x:v>389</x:v>
      </x:c>
      <x:c r="C1177" s="87" t="str">
        <x:v>Leucophyllum frutescens</x:v>
      </x:c>
      <x:c r="D1177" s="84" t="str">
        <x:v>Cenizo, Purple Sage, Texas Ranger, Texas Barometer Bush, Texas Silverleaf, Texas Sage, Silverleaf</x:v>
      </x:c>
      <x:c r="E1177" s="84" t="str">
        <x:v>Perennial</x:v>
      </x:c>
      <x:c r="F1177" s="84" t="str">
        <x:v>Shrub</x:v>
      </x:c>
      <x:c r="G1177" s="84" t="str">
        <x:v>Sun, Part-shade</x:v>
      </x:c>
      <x:c r="H1177" s="84" t="str">
        <x:v>Dry</x:v>
      </x:c>
      <x:c r="I1177" s="84" t="str">
        <x:v>leucophyllum frutescens</x:v>
      </x:c>
    </x:row>
    <x:row r="1178">
      <x:c r="A1178" s="83" t="str">
        <x:v>Wildflower Center pasted list</x:v>
      </x:c>
      <x:c r="B1178" s="84" t="n">
        <x:v>390</x:v>
      </x:c>
      <x:c r="C1178" s="87" t="str">
        <x:v>Leucospora multifida</x:v>
      </x:c>
      <x:c r="D1178" s="84" t="str">
        <x:v>Narrowleaf Paleseed</x:v>
      </x:c>
      <x:c r="E1178" s="84" t="str">
        <x:v>Annual</x:v>
      </x:c>
      <x:c r="F1178" s="84" t="str">
        <x:v>Herb</x:v>
      </x:c>
      <x:c r="G1178" s="84" t="str"/>
      <x:c r="H1178" s="84" t="str"/>
      <x:c r="I1178" s="84" t="str">
        <x:v>leucospora multifida</x:v>
      </x:c>
    </x:row>
    <x:row r="1179">
      <x:c r="A1179" s="83" t="str">
        <x:v>Wildflower Center pasted list</x:v>
      </x:c>
      <x:c r="B1179" s="84" t="n">
        <x:v>391</x:v>
      </x:c>
      <x:c r="C1179" s="87" t="str">
        <x:v>Liatris punctata</x:v>
      </x:c>
      <x:c r="D1179" s="84" t="str">
        <x:v>Dotted Blazing Star, Dotted Gayfeather, Dotted Liatris, Purples</x:v>
      </x:c>
      <x:c r="E1179" s="84" t="str">
        <x:v>Perennial</x:v>
      </x:c>
      <x:c r="F1179" s="84" t="str">
        <x:v>Herb</x:v>
      </x:c>
      <x:c r="G1179" s="84" t="str">
        <x:v>Sun</x:v>
      </x:c>
      <x:c r="H1179" s="84" t="str">
        <x:v>Dry</x:v>
      </x:c>
      <x:c r="I1179" s="84" t="str">
        <x:v>liatris punctata</x:v>
      </x:c>
    </x:row>
    <x:row r="1180">
      <x:c r="A1180" s="83" t="str">
        <x:v>Wildflower Center pasted list</x:v>
      </x:c>
      <x:c r="B1180" s="84" t="n">
        <x:v>392</x:v>
      </x:c>
      <x:c r="C1180" s="87" t="str">
        <x:v>Liatris punctata var. mucronata</x:v>
      </x:c>
      <x:c r="D1180" s="84" t="str">
        <x:v>Texas Gayfeather, Texas Blazing Star, Texas Liatris, Cusp Liatris, Cusp Blazing Star, Cusp Gayfeather, Narrow-leaf Blazing Star, Narrow-leaf Gayfeather, Purples</x:v>
      </x:c>
      <x:c r="E1180" s="84" t="str">
        <x:v>Perennial</x:v>
      </x:c>
      <x:c r="F1180" s="84" t="str">
        <x:v>Herb</x:v>
      </x:c>
      <x:c r="G1180" s="84" t="str">
        <x:v>Sun</x:v>
      </x:c>
      <x:c r="H1180" s="84" t="str">
        <x:v>Dry</x:v>
      </x:c>
      <x:c r="I1180" s="84" t="str">
        <x:v>liatris punctata var. mucronata</x:v>
      </x:c>
    </x:row>
    <x:row r="1181">
      <x:c r="A1181" s="83" t="str">
        <x:v>Wildflower Center pasted list</x:v>
      </x:c>
      <x:c r="B1181" s="84" t="n">
        <x:v>393</x:v>
      </x:c>
      <x:c r="C1181" s="87" t="str">
        <x:v>Limnodea arkansana</x:v>
      </x:c>
      <x:c r="D1181" s="84" t="str">
        <x:v>Ozark Grass, Ozarkgrass</x:v>
      </x:c>
      <x:c r="E1181" s="84" t="str">
        <x:v>Annual</x:v>
      </x:c>
      <x:c r="F1181" s="84" t="str">
        <x:v>Grass/Grass-like</x:v>
      </x:c>
      <x:c r="G1181" s="84" t="str">
        <x:v>Sun, Shade, Part-shade</x:v>
      </x:c>
      <x:c r="H1181" s="84" t="str">
        <x:v>Wet, Moist</x:v>
      </x:c>
      <x:c r="I1181" s="84" t="str">
        <x:v>limnodea arkansana</x:v>
      </x:c>
    </x:row>
    <x:row r="1182">
      <x:c r="A1182" s="83" t="str">
        <x:v>Wildflower Center pasted list</x:v>
      </x:c>
      <x:c r="B1182" s="84" t="n">
        <x:v>394</x:v>
      </x:c>
      <x:c r="C1182" s="87" t="str">
        <x:v>Lindera benzoin</x:v>
      </x:c>
      <x:c r="D1182" s="84" t="str">
        <x:v>Northern Spicebush, Spicebush, Wild Allspice</x:v>
      </x:c>
      <x:c r="E1182" s="84" t="str">
        <x:v>Perennial</x:v>
      </x:c>
      <x:c r="F1182" s="84" t="str">
        <x:v>Shrub</x:v>
      </x:c>
      <x:c r="G1182" s="84" t="str">
        <x:v>Sun, Shade, Part-shade</x:v>
      </x:c>
      <x:c r="H1182" s="84" t="str">
        <x:v>Wet, Moist, Dry</x:v>
      </x:c>
      <x:c r="I1182" s="84" t="str">
        <x:v>lindera benzoin</x:v>
      </x:c>
    </x:row>
    <x:row r="1183">
      <x:c r="A1183" s="83" t="str">
        <x:v>Wildflower Center pasted list</x:v>
      </x:c>
      <x:c r="B1183" s="84" t="n">
        <x:v>395</x:v>
      </x:c>
      <x:c r="C1183" s="87" t="str">
        <x:v>Lindheimera texana</x:v>
      </x:c>
      <x:c r="D1183" s="84" t="str">
        <x:v>Texas Yellowstar, Texas Star, Texas Yellow-star, Lindheimer Daisy</x:v>
      </x:c>
      <x:c r="E1183" s="84" t="str">
        <x:v>Annual</x:v>
      </x:c>
      <x:c r="F1183" s="84" t="str">
        <x:v>Herb</x:v>
      </x:c>
      <x:c r="G1183" s="84" t="str">
        <x:v>Sun</x:v>
      </x:c>
      <x:c r="H1183" s="84" t="str">
        <x:v>Dry</x:v>
      </x:c>
      <x:c r="I1183" s="84" t="str">
        <x:v>lindheimera texana</x:v>
      </x:c>
    </x:row>
    <x:row r="1184">
      <x:c r="A1184" s="83" t="str">
        <x:v>Wildflower Center pasted list</x:v>
      </x:c>
      <x:c r="B1184" s="84" t="n">
        <x:v>396</x:v>
      </x:c>
      <x:c r="C1184" s="87" t="str">
        <x:v>Linum hudsonioides</x:v>
      </x:c>
      <x:c r="D1184" s="84" t="str">
        <x:v>Texas Flax, Yellow Flax, Hudson Flax</x:v>
      </x:c>
      <x:c r="E1184" s="84" t="str">
        <x:v>Annual</x:v>
      </x:c>
      <x:c r="F1184" s="84" t="str">
        <x:v>Herb</x:v>
      </x:c>
      <x:c r="G1184" s="84" t="str">
        <x:v>Sun</x:v>
      </x:c>
      <x:c r="H1184" s="84" t="str">
        <x:v>Dry</x:v>
      </x:c>
      <x:c r="I1184" s="84" t="str">
        <x:v>linum hudsonioides</x:v>
      </x:c>
    </x:row>
    <x:row r="1185">
      <x:c r="A1185" s="83" t="str">
        <x:v>Wildflower Center pasted list</x:v>
      </x:c>
      <x:c r="B1185" s="84" t="n">
        <x:v>397</x:v>
      </x:c>
      <x:c r="C1185" s="87" t="str">
        <x:v>Linum imbricatum</x:v>
      </x:c>
      <x:c r="D1185" s="84" t="str">
        <x:v>Tufted Flax</x:v>
      </x:c>
      <x:c r="E1185" s="84" t="str">
        <x:v>Annual</x:v>
      </x:c>
      <x:c r="F1185" s="84" t="str">
        <x:v>Herb</x:v>
      </x:c>
      <x:c r="G1185" s="84" t="str"/>
      <x:c r="H1185" s="84" t="str"/>
      <x:c r="I1185" s="84" t="str">
        <x:v>linum imbricatum</x:v>
      </x:c>
    </x:row>
    <x:row r="1186">
      <x:c r="A1186" s="83" t="str">
        <x:v>Wildflower Center pasted list</x:v>
      </x:c>
      <x:c r="B1186" s="84" t="n">
        <x:v>398</x:v>
      </x:c>
      <x:c r="C1186" s="87" t="str">
        <x:v>Linum rigidum</x:v>
      </x:c>
      <x:c r="D1186" s="84" t="str">
        <x:v>Stiffstem Flax, Large-flower Yellow Flax, Yellow Flax</x:v>
      </x:c>
      <x:c r="E1186" s="84" t="str">
        <x:v>Annual</x:v>
      </x:c>
      <x:c r="F1186" s="84" t="str">
        <x:v>Herb</x:v>
      </x:c>
      <x:c r="G1186" s="84" t="str">
        <x:v>Sun</x:v>
      </x:c>
      <x:c r="H1186" s="84" t="str">
        <x:v>Dry</x:v>
      </x:c>
      <x:c r="I1186" s="84" t="str">
        <x:v>linum rigidum</x:v>
      </x:c>
    </x:row>
    <x:row r="1187">
      <x:c r="A1187" s="83" t="str">
        <x:v>Wildflower Center pasted list</x:v>
      </x:c>
      <x:c r="B1187" s="84" t="n">
        <x:v>399</x:v>
      </x:c>
      <x:c r="C1187" s="87" t="str">
        <x:v>Linum rupestre</x:v>
      </x:c>
      <x:c r="D1187" s="84" t="str">
        <x:v>Rock Flax</x:v>
      </x:c>
      <x:c r="E1187" s="84" t="str">
        <x:v>Perennial</x:v>
      </x:c>
      <x:c r="F1187" s="84" t="str">
        <x:v>Herb</x:v>
      </x:c>
      <x:c r="G1187" s="84" t="str"/>
      <x:c r="H1187" s="84" t="str"/>
      <x:c r="I1187" s="84" t="str">
        <x:v>linum rupestre</x:v>
      </x:c>
    </x:row>
    <x:row r="1188">
      <x:c r="A1188" s="83" t="str">
        <x:v>Wildflower Center pasted list</x:v>
      </x:c>
      <x:c r="B1188" s="84" t="n">
        <x:v>400</x:v>
      </x:c>
      <x:c r="C1188" s="87" t="str">
        <x:v>Lithospermum incisum</x:v>
      </x:c>
      <x:c r="D1188" s="84" t="str">
        <x:v>Fringed Puccoon, Golden Puccoon, Narrowleaf Puccoon, Narrow-leaved Puccoon, Puccoon, Narrowleaf Gromwell, Fringed Gromwell, Narrowleaf Stoneseed</x:v>
      </x:c>
      <x:c r="E1188" s="84" t="str">
        <x:v>Perennial</x:v>
      </x:c>
      <x:c r="F1188" s="84" t="str">
        <x:v>Herb</x:v>
      </x:c>
      <x:c r="G1188" s="84" t="str">
        <x:v>Sun</x:v>
      </x:c>
      <x:c r="H1188" s="84" t="str">
        <x:v>Dry</x:v>
      </x:c>
      <x:c r="I1188" s="84" t="str">
        <x:v>lithospermum incisum</x:v>
      </x:c>
    </x:row>
    <x:row r="1189">
      <x:c r="A1189" s="83" t="str">
        <x:v>Wildflower Center pasted list</x:v>
      </x:c>
      <x:c r="B1189" s="84" t="n">
        <x:v>401</x:v>
      </x:c>
      <x:c r="C1189" s="87" t="str">
        <x:v>Lithospermum mirabile</x:v>
      </x:c>
      <x:c r="D1189" s="84" t="str">
        <x:v>San Antonio Stoneseed</x:v>
      </x:c>
      <x:c r="E1189" s="84" t="str">
        <x:v>Perennial</x:v>
      </x:c>
      <x:c r="F1189" s="84" t="str">
        <x:v>Herb</x:v>
      </x:c>
      <x:c r="G1189" s="84" t="str"/>
      <x:c r="H1189" s="84" t="str"/>
      <x:c r="I1189" s="84" t="str">
        <x:v>lithospermum mirabile</x:v>
      </x:c>
    </x:row>
    <x:row r="1190">
      <x:c r="A1190" s="83" t="str">
        <x:v>Wildflower Center pasted list</x:v>
      </x:c>
      <x:c r="B1190" s="84" t="n">
        <x:v>402</x:v>
      </x:c>
      <x:c r="C1190" s="87" t="str">
        <x:v>Lobelia cardinalis</x:v>
      </x:c>
      <x:c r="D1190" s="84" t="str">
        <x:v>Cardinal Flower</x:v>
      </x:c>
      <x:c r="E1190" s="84" t="str">
        <x:v>Perennial</x:v>
      </x:c>
      <x:c r="F1190" s="84" t="str">
        <x:v>Herb</x:v>
      </x:c>
      <x:c r="G1190" s="84" t="str">
        <x:v>Sun, Shade, Part-shade</x:v>
      </x:c>
      <x:c r="H1190" s="84" t="str">
        <x:v>Wet, Moist</x:v>
      </x:c>
      <x:c r="I1190" s="84" t="str">
        <x:v>lobelia cardinalis</x:v>
      </x:c>
    </x:row>
    <x:row r="1191">
      <x:c r="A1191" s="83" t="str">
        <x:v>Wildflower Center pasted list</x:v>
      </x:c>
      <x:c r="B1191" s="84" t="n">
        <x:v>403</x:v>
      </x:c>
      <x:c r="C1191" s="87" t="str">
        <x:v>Lonicera albiflora</x:v>
      </x:c>
      <x:c r="D1191" s="84" t="str">
        <x:v>Western White Honeysuckle, White Shrub Honeysuckle, White Bush Honeysuckle, White Limestone Honeysuckle, Texas Honeysuckle, White Honeysuckle</x:v>
      </x:c>
      <x:c r="E1191" s="84" t="str">
        <x:v>Perennial</x:v>
      </x:c>
      <x:c r="F1191" s="84" t="str">
        <x:v>Vine</x:v>
      </x:c>
      <x:c r="G1191" s="84" t="str">
        <x:v>Sun, Part-shade</x:v>
      </x:c>
      <x:c r="H1191" s="84" t="str">
        <x:v>Moist, Dry</x:v>
      </x:c>
      <x:c r="I1191" s="84" t="str">
        <x:v>lonicera albiflora</x:v>
      </x:c>
    </x:row>
    <x:row r="1192">
      <x:c r="A1192" s="83" t="str">
        <x:v>Wildflower Center pasted list</x:v>
      </x:c>
      <x:c r="B1192" s="84" t="n">
        <x:v>404</x:v>
      </x:c>
      <x:c r="C1192" s="87" t="str">
        <x:v>Lonicera sempervirens</x:v>
      </x:c>
      <x:c r="D1192" s="84" t="str">
        <x:v>Coral Honeysuckle, Trumpet Honeysuckle, Woodbine</x:v>
      </x:c>
      <x:c r="E1192" s="84" t="str">
        <x:v>Perennial</x:v>
      </x:c>
      <x:c r="F1192" s="84" t="str">
        <x:v>Vine</x:v>
      </x:c>
      <x:c r="G1192" s="84" t="str">
        <x:v>Sun, Part-shade</x:v>
      </x:c>
      <x:c r="H1192" s="84" t="str">
        <x:v>Moist</x:v>
      </x:c>
      <x:c r="I1192" s="84" t="str">
        <x:v>lonicera sempervirens</x:v>
      </x:c>
    </x:row>
    <x:row r="1193">
      <x:c r="A1193" s="83" t="str">
        <x:v>Wildflower Center pasted list</x:v>
      </x:c>
      <x:c r="B1193" s="84" t="n">
        <x:v>405</x:v>
      </x:c>
      <x:c r="C1193" s="87" t="str">
        <x:v>Ludwigia decurrens</x:v>
      </x:c>
      <x:c r="D1193" s="84" t="str">
        <x:v>Wingleaf Primrose-willow</x:v>
      </x:c>
      <x:c r="E1193" s="84" t="str">
        <x:v>Annual</x:v>
      </x:c>
      <x:c r="F1193" s="84" t="str">
        <x:v>Herb</x:v>
      </x:c>
      <x:c r="G1193" s="84" t="str"/>
      <x:c r="H1193" s="84" t="str"/>
      <x:c r="I1193" s="84" t="str">
        <x:v>ludwigia decurrens</x:v>
      </x:c>
    </x:row>
    <x:row r="1194">
      <x:c r="A1194" s="83" t="str">
        <x:v>Wildflower Center pasted list</x:v>
      </x:c>
      <x:c r="B1194" s="84" t="n">
        <x:v>406</x:v>
      </x:c>
      <x:c r="C1194" s="87" t="str">
        <x:v>Ludwigia octovalvis</x:v>
      </x:c>
      <x:c r="D1194" s="84" t="str">
        <x:v>Mexican Primrose-willow, Narrow-leaf Water Primrose, Seedbox, Mexican Primrose Willow</x:v>
      </x:c>
      <x:c r="E1194" s="84" t="str">
        <x:v>Perennial</x:v>
      </x:c>
      <x:c r="F1194" s="84" t="str">
        <x:v>Herb, Subshrub</x:v>
      </x:c>
      <x:c r="G1194" s="84" t="str">
        <x:v>Sun, Part-shade</x:v>
      </x:c>
      <x:c r="H1194" s="84" t="str">
        <x:v>Moist</x:v>
      </x:c>
      <x:c r="I1194" s="84" t="str">
        <x:v>ludwigia octovalvis</x:v>
      </x:c>
    </x:row>
    <x:row r="1195">
      <x:c r="A1195" s="83" t="str">
        <x:v>Wildflower Center pasted list</x:v>
      </x:c>
      <x:c r="B1195" s="84" t="n">
        <x:v>407</x:v>
      </x:c>
      <x:c r="C1195" s="87" t="str">
        <x:v>Ludwigia palustris</x:v>
      </x:c>
      <x:c r="D1195" s="84" t="str">
        <x:v>Marsh Seedbox, Water Purslane</x:v>
      </x:c>
      <x:c r="E1195" s="84" t="str">
        <x:v>Perennial</x:v>
      </x:c>
      <x:c r="F1195" s="84" t="str">
        <x:v>Herb</x:v>
      </x:c>
      <x:c r="G1195" s="84" t="str">
        <x:v>Sun</x:v>
      </x:c>
      <x:c r="H1195" s="84" t="str">
        <x:v>Wet</x:v>
      </x:c>
      <x:c r="I1195" s="84" t="str">
        <x:v>ludwigia palustris</x:v>
      </x:c>
    </x:row>
    <x:row r="1196">
      <x:c r="A1196" s="83" t="str">
        <x:v>Wildflower Center pasted list</x:v>
      </x:c>
      <x:c r="B1196" s="84" t="n">
        <x:v>408</x:v>
      </x:c>
      <x:c r="C1196" s="87" t="str">
        <x:v>Ludwigia peploides</x:v>
      </x:c>
      <x:c r="D1196" s="84" t="str">
        <x:v>Floating Primrose-willow, Water-primrose, Creeping Water-primrose</x:v>
      </x:c>
      <x:c r="E1196" s="84" t="str">
        <x:v>Perennial</x:v>
      </x:c>
      <x:c r="F1196" s="84" t="str">
        <x:v>Herb</x:v>
      </x:c>
      <x:c r="G1196" s="84" t="str">
        <x:v>Sun</x:v>
      </x:c>
      <x:c r="H1196" s="84" t="str"/>
      <x:c r="I1196" s="84" t="str">
        <x:v>ludwigia peploides</x:v>
      </x:c>
    </x:row>
    <x:row r="1197">
      <x:c r="A1197" s="83" t="str">
        <x:v>Wildflower Center pasted list</x:v>
      </x:c>
      <x:c r="B1197" s="84" t="n">
        <x:v>409</x:v>
      </x:c>
      <x:c r="C1197" s="87" t="str">
        <x:v>Ludwigia repens</x:v>
      </x:c>
      <x:c r="D1197" s="84" t="str">
        <x:v>Creeping Primrose-willow, Floating Primrose-willow, Water Primrose</x:v>
      </x:c>
      <x:c r="E1197" s="84" t="str">
        <x:v>Perennial</x:v>
      </x:c>
      <x:c r="F1197" s="84" t="str">
        <x:v>Herb</x:v>
      </x:c>
      <x:c r="G1197" s="84" t="str"/>
      <x:c r="H1197" s="84" t="str"/>
      <x:c r="I1197" s="84" t="str">
        <x:v>ludwigia repens</x:v>
      </x:c>
    </x:row>
    <x:row r="1198">
      <x:c r="A1198" s="83" t="str">
        <x:v>Wildflower Center pasted list</x:v>
      </x:c>
      <x:c r="B1198" s="84" t="n">
        <x:v>410</x:v>
      </x:c>
      <x:c r="C1198" s="87" t="str">
        <x:v>Lupinus texensis</x:v>
      </x:c>
      <x:c r="D1198" s="84" t="str">
        <x:v>Texas Bluebonnet, Bluebonnet, Texas Lupine, Buffalo Clover, Wolf Flower</x:v>
      </x:c>
      <x:c r="E1198" s="84" t="str">
        <x:v>Annual</x:v>
      </x:c>
      <x:c r="F1198" s="84" t="str">
        <x:v>Herb</x:v>
      </x:c>
      <x:c r="G1198" s="84" t="str">
        <x:v>Sun</x:v>
      </x:c>
      <x:c r="H1198" s="84" t="str">
        <x:v>Dry</x:v>
      </x:c>
      <x:c r="I1198" s="84" t="str">
        <x:v>lupinus texensis</x:v>
      </x:c>
    </x:row>
    <x:row r="1199">
      <x:c r="A1199" s="83" t="str">
        <x:v>Wildflower Center pasted list</x:v>
      </x:c>
      <x:c r="B1199" s="84" t="n">
        <x:v>411</x:v>
      </x:c>
      <x:c r="C1199" s="87" t="str">
        <x:v>Luzula bulbosa</x:v>
      </x:c>
      <x:c r="D1199" s="84" t="str">
        <x:v>Bulbous Woodrush</x:v>
      </x:c>
      <x:c r="E1199" s="84" t="str">
        <x:v>Perennial</x:v>
      </x:c>
      <x:c r="F1199" s="84" t="str">
        <x:v>Grass/Grass-like</x:v>
      </x:c>
      <x:c r="G1199" s="84" t="str"/>
      <x:c r="H1199" s="84" t="str"/>
      <x:c r="I1199" s="84" t="str">
        <x:v>luzula bulbosa</x:v>
      </x:c>
    </x:row>
    <x:row r="1200">
      <x:c r="A1200" s="83" t="str">
        <x:v>Wildflower Center pasted list</x:v>
      </x:c>
      <x:c r="B1200" s="84" t="n">
        <x:v>412</x:v>
      </x:c>
      <x:c r="C1200" s="87" t="str">
        <x:v>Lygodesmia texana</x:v>
      </x:c>
      <x:c r="D1200" s="84" t="str">
        <x:v>Texas Skeleton Plant, Texas Skeleton Weed, Skeleton-plant, Purple Dandelion, Flowering Straw</x:v>
      </x:c>
      <x:c r="E1200" s="84" t="str">
        <x:v>Perennial</x:v>
      </x:c>
      <x:c r="F1200" s="84" t="str">
        <x:v>Herb</x:v>
      </x:c>
      <x:c r="G1200" s="84" t="str">
        <x:v>Sun</x:v>
      </x:c>
      <x:c r="H1200" s="84" t="str">
        <x:v>Dry</x:v>
      </x:c>
      <x:c r="I1200" s="84" t="str">
        <x:v>lygodesmia texana</x:v>
      </x:c>
    </x:row>
    <x:row r="1201">
      <x:c r="A1201" s="83" t="str">
        <x:v>Wildflower Center pasted list</x:v>
      </x:c>
      <x:c r="B1201" s="84" t="n">
        <x:v>413</x:v>
      </x:c>
      <x:c r="C1201" s="87" t="str">
        <x:v>Lythrum alatum</x:v>
      </x:c>
      <x:c r="D1201" s="84" t="str">
        <x:v>Winged Lythrum</x:v>
      </x:c>
      <x:c r="E1201" s="84" t="str">
        <x:v>Perennial</x:v>
      </x:c>
      <x:c r="F1201" s="84" t="str">
        <x:v>Subshrub</x:v>
      </x:c>
      <x:c r="G1201" s="84" t="str">
        <x:v>Sun</x:v>
      </x:c>
      <x:c r="H1201" s="84" t="str">
        <x:v>Wet, Moist</x:v>
      </x:c>
      <x:c r="I1201" s="84" t="str">
        <x:v>lythrum alatum</x:v>
      </x:c>
    </x:row>
    <x:row r="1202">
      <x:c r="A1202" s="83" t="str">
        <x:v>Wildflower Center pasted list</x:v>
      </x:c>
      <x:c r="B1202" s="84" t="n">
        <x:v>414</x:v>
      </x:c>
      <x:c r="C1202" s="87" t="str">
        <x:v>Lythrum californicum</x:v>
      </x:c>
      <x:c r="D1202" s="84" t="str">
        <x:v>California Loosestrife</x:v>
      </x:c>
      <x:c r="E1202" s="84" t="str">
        <x:v>Perennial</x:v>
      </x:c>
      <x:c r="F1202" s="84" t="str">
        <x:v>Herb</x:v>
      </x:c>
      <x:c r="G1202" s="84" t="str">
        <x:v>Sun</x:v>
      </x:c>
      <x:c r="H1202" s="84" t="str">
        <x:v>Moist</x:v>
      </x:c>
      <x:c r="I1202" s="84" t="str">
        <x:v>lythrum californicum</x:v>
      </x:c>
    </x:row>
    <x:row r="1203">
      <x:c r="A1203" s="83" t="str">
        <x:v>Wildflower Center pasted list</x:v>
      </x:c>
      <x:c r="B1203" s="84" t="n">
        <x:v>415</x:v>
      </x:c>
      <x:c r="C1203" s="87" t="str">
        <x:v>Maclura pomifera</x:v>
      </x:c>
      <x:c r="D1203" s="84" t="str">
        <x:v>Osage Orange, Bois d' Arc, Bodark, Horse Apple, Hedge Apple, Bowwood, Yellowwood, Naranjo Chino, Monkey Brains</x:v>
      </x:c>
      <x:c r="E1203" s="84" t="str">
        <x:v>Perennial</x:v>
      </x:c>
      <x:c r="F1203" s="84" t="str">
        <x:v>Tree</x:v>
      </x:c>
      <x:c r="G1203" s="84" t="str">
        <x:v>Sun, Part-shade</x:v>
      </x:c>
      <x:c r="H1203" s="84" t="str">
        <x:v>Moist, Dry</x:v>
      </x:c>
      <x:c r="I1203" s="84" t="str">
        <x:v>maclura pomifera</x:v>
      </x:c>
    </x:row>
    <x:row r="1204">
      <x:c r="A1204" s="83" t="str">
        <x:v>Wildflower Center pasted list</x:v>
      </x:c>
      <x:c r="B1204" s="84" t="n">
        <x:v>416</x:v>
      </x:c>
      <x:c r="C1204" s="87" t="str">
        <x:v>Mahonia swaseyi</x:v>
      </x:c>
      <x:c r="D1204" s="84" t="str">
        <x:v>Texas Barberry, Texas Oregon-grape</x:v>
      </x:c>
      <x:c r="E1204" s="84" t="str">
        <x:v>Perennial</x:v>
      </x:c>
      <x:c r="F1204" s="84" t="str">
        <x:v>Shrub</x:v>
      </x:c>
      <x:c r="G1204" s="84" t="str">
        <x:v>Sun</x:v>
      </x:c>
      <x:c r="H1204" s="84" t="str"/>
      <x:c r="I1204" s="84" t="str">
        <x:v>mahonia swaseyi</x:v>
      </x:c>
    </x:row>
    <x:row r="1205">
      <x:c r="A1205" s="83" t="str">
        <x:v>Wildflower Center pasted list</x:v>
      </x:c>
      <x:c r="B1205" s="84" t="n">
        <x:v>417</x:v>
      </x:c>
      <x:c r="C1205" s="87" t="str">
        <x:v>Mahonia trifoliolata</x:v>
      </x:c>
      <x:c r="D1205" s="84" t="str">
        <x:v>Agarita, Agarito, Algerita, Laredo Mahonia, Laredo Oregon-grape, Trifoliate Barberry, Wild Currant</x:v>
      </x:c>
      <x:c r="E1205" s="84" t="str">
        <x:v>Perennial</x:v>
      </x:c>
      <x:c r="F1205" s="84" t="str">
        <x:v>Shrub</x:v>
      </x:c>
      <x:c r="G1205" s="84" t="str">
        <x:v>Sun, Part-shade</x:v>
      </x:c>
      <x:c r="H1205" s="84" t="str">
        <x:v>Moist, Dry</x:v>
      </x:c>
      <x:c r="I1205" s="84" t="str">
        <x:v>mahonia trifoliolata</x:v>
      </x:c>
    </x:row>
    <x:row r="1206">
      <x:c r="A1206" s="83" t="str">
        <x:v>Wildflower Center pasted list</x:v>
      </x:c>
      <x:c r="B1206" s="84" t="n">
        <x:v>418</x:v>
      </x:c>
      <x:c r="C1206" s="87" t="str">
        <x:v>Malvastrum aurantiacum</x:v>
      </x:c>
      <x:c r="D1206" s="84" t="str">
        <x:v>Wright's False Mallow</x:v>
      </x:c>
      <x:c r="E1206" s="84" t="str">
        <x:v>Perennial</x:v>
      </x:c>
      <x:c r="F1206" s="84" t="str">
        <x:v>Shrub</x:v>
      </x:c>
      <x:c r="G1206" s="84" t="str">
        <x:v>Sun</x:v>
      </x:c>
      <x:c r="H1206" s="84" t="str">
        <x:v>Dry</x:v>
      </x:c>
      <x:c r="I1206" s="84" t="str">
        <x:v>malvastrum aurantiacum</x:v>
      </x:c>
    </x:row>
    <x:row r="1207">
      <x:c r="A1207" s="83" t="str">
        <x:v>Wildflower Center pasted list</x:v>
      </x:c>
      <x:c r="B1207" s="84" t="n">
        <x:v>419</x:v>
      </x:c>
      <x:c r="C1207" s="87" t="str">
        <x:v>Malvaviscus arboreus var. drummondii</x:v>
      </x:c>
      <x:c r="D1207" s="84" t="str">
        <x:v>Turk's Cap, Drummond's Turk's Cap, Drummond Turk's Cap, Wax Mallow, Drummond's Wax Mallow, Drummond Wax Mallow, Red Mallow, Texas Mallow, Mexican Apple, Sleeping Hibiscus, Bleeding Hearts, Manzanita</x:v>
      </x:c>
      <x:c r="E1207" s="84" t="str">
        <x:v>Perennial</x:v>
      </x:c>
      <x:c r="F1207" s="84" t="str">
        <x:v>Shrub</x:v>
      </x:c>
      <x:c r="G1207" s="84" t="str">
        <x:v>Shade, Part-shade</x:v>
      </x:c>
      <x:c r="H1207" s="84" t="str">
        <x:v>Moist, Dry</x:v>
      </x:c>
      <x:c r="I1207" s="84" t="str">
        <x:v>malvaviscus arboreus var. drummondii</x:v>
      </x:c>
    </x:row>
    <x:row r="1208">
      <x:c r="A1208" s="83" t="str">
        <x:v>Wildflower Center pasted list</x:v>
      </x:c>
      <x:c r="B1208" s="84" t="n">
        <x:v>420</x:v>
      </x:c>
      <x:c r="C1208" s="87" t="str">
        <x:v>Marshallia caespitosa var. signata</x:v>
      </x:c>
      <x:c r="D1208" s="84" t="str">
        <x:v>Marked Barbara's-buttons, Marked Barbara's Buttons, Puffballs</x:v>
      </x:c>
      <x:c r="E1208" s="84" t="str">
        <x:v>Perennial</x:v>
      </x:c>
      <x:c r="F1208" s="84" t="str">
        <x:v>Herb</x:v>
      </x:c>
      <x:c r="G1208" s="84" t="str"/>
      <x:c r="H1208" s="84" t="str"/>
      <x:c r="I1208" s="84" t="str">
        <x:v>marshallia caespitosa var. signata</x:v>
      </x:c>
    </x:row>
    <x:row r="1209">
      <x:c r="A1209" s="83" t="str">
        <x:v>Wildflower Center pasted list</x:v>
      </x:c>
      <x:c r="B1209" s="84" t="n">
        <x:v>421</x:v>
      </x:c>
      <x:c r="C1209" s="87" t="str">
        <x:v>Marsilea vestita</x:v>
      </x:c>
      <x:c r="D1209" s="84" t="str">
        <x:v>Hairy Water-clover, Hairy Waterclover, Hairy Water Clover, Clover Fern</x:v>
      </x:c>
      <x:c r="E1209" s="84" t="str">
        <x:v>Perennial</x:v>
      </x:c>
      <x:c r="F1209" s="84" t="str">
        <x:v>Herb, Fern</x:v>
      </x:c>
      <x:c r="G1209" s="84" t="str">
        <x:v>Part-shade</x:v>
      </x:c>
      <x:c r="H1209" s="84" t="str">
        <x:v>Wet</x:v>
      </x:c>
      <x:c r="I1209" s="84" t="str">
        <x:v>marsilea vestita</x:v>
      </x:c>
    </x:row>
    <x:row r="1210">
      <x:c r="A1210" s="83" t="str">
        <x:v>Wildflower Center pasted list</x:v>
      </x:c>
      <x:c r="B1210" s="84" t="n">
        <x:v>422</x:v>
      </x:c>
      <x:c r="C1210" s="87" t="str">
        <x:v>Matelea biflora</x:v>
      </x:c>
      <x:c r="D1210" s="84" t="str">
        <x:v>Star Milkvine, Purple Milkweed Vine</x:v>
      </x:c>
      <x:c r="E1210" s="84" t="str">
        <x:v>Perennial</x:v>
      </x:c>
      <x:c r="F1210" s="84" t="str">
        <x:v>Vine</x:v>
      </x:c>
      <x:c r="G1210" s="84" t="str">
        <x:v>Sun, Part-shade</x:v>
      </x:c>
      <x:c r="H1210" s="84" t="str">
        <x:v>Dry</x:v>
      </x:c>
      <x:c r="I1210" s="84" t="str">
        <x:v>matelea biflora</x:v>
      </x:c>
    </x:row>
    <x:row r="1211">
      <x:c r="A1211" s="83" t="str">
        <x:v>Wildflower Center pasted list</x:v>
      </x:c>
      <x:c r="B1211" s="84" t="n">
        <x:v>423</x:v>
      </x:c>
      <x:c r="C1211" s="87" t="str">
        <x:v>Matelea edwardsensis</x:v>
      </x:c>
      <x:c r="D1211" s="84" t="str">
        <x:v>Plateau Milkvine, Plateau Milkweed Vine</x:v>
      </x:c>
      <x:c r="E1211" s="84" t="str">
        <x:v>Perennial</x:v>
      </x:c>
      <x:c r="F1211" s="84" t="str">
        <x:v>Vine</x:v>
      </x:c>
      <x:c r="G1211" s="84" t="str"/>
      <x:c r="H1211" s="84" t="str"/>
      <x:c r="I1211" s="84" t="str">
        <x:v>matelea edwardsensis</x:v>
      </x:c>
    </x:row>
    <x:row r="1212">
      <x:c r="A1212" s="83" t="str">
        <x:v>Wildflower Center pasted list</x:v>
      </x:c>
      <x:c r="B1212" s="84" t="n">
        <x:v>424</x:v>
      </x:c>
      <x:c r="C1212" s="87" t="str">
        <x:v>Matelea gonocarpos</x:v>
      </x:c>
      <x:c r="D1212" s="84" t="str">
        <x:v>Anglepod, Angularfruit Milkvine</x:v>
      </x:c>
      <x:c r="E1212" s="84" t="str">
        <x:v>Perennial</x:v>
      </x:c>
      <x:c r="F1212" s="84" t="str">
        <x:v>Vine</x:v>
      </x:c>
      <x:c r="G1212" s="84" t="str"/>
      <x:c r="H1212" s="84" t="str"/>
      <x:c r="I1212" s="84" t="str">
        <x:v>matelea gonocarpos</x:v>
      </x:c>
    </x:row>
    <x:row r="1213">
      <x:c r="A1213" s="83" t="str">
        <x:v>Wildflower Center pasted list</x:v>
      </x:c>
      <x:c r="B1213" s="84" t="n">
        <x:v>425</x:v>
      </x:c>
      <x:c r="C1213" s="87" t="str">
        <x:v>Matelea reticulata</x:v>
      </x:c>
      <x:c r="D1213" s="84" t="str">
        <x:v>Pearl Milkweed Vine, Netted Milkvine, Green Milkweed Vine, Net Vein Milkvine</x:v>
      </x:c>
      <x:c r="E1213" s="84" t="str">
        <x:v>Perennial</x:v>
      </x:c>
      <x:c r="F1213" s="84" t="str">
        <x:v>Vine</x:v>
      </x:c>
      <x:c r="G1213" s="84" t="str">
        <x:v>Part-shade</x:v>
      </x:c>
      <x:c r="H1213" s="84" t="str">
        <x:v>Dry</x:v>
      </x:c>
      <x:c r="I1213" s="84" t="str">
        <x:v>matelea reticulata</x:v>
      </x:c>
    </x:row>
    <x:row r="1214">
      <x:c r="A1214" s="83" t="str">
        <x:v>Wildflower Center pasted list</x:v>
      </x:c>
      <x:c r="B1214" s="84" t="n">
        <x:v>426</x:v>
      </x:c>
      <x:c r="C1214" s="87" t="str">
        <x:v>Maurandella antirrhiniflora</x:v>
      </x:c>
      <x:c r="D1214" s="84" t="str">
        <x:v>Snapdragon Vine , Roving Sailor, Climbing Snapdragon, Little Snapdragon Vine</x:v>
      </x:c>
      <x:c r="E1214" s="84" t="str">
        <x:v>Perennial</x:v>
      </x:c>
      <x:c r="F1214" s="84" t="str">
        <x:v>Vine</x:v>
      </x:c>
      <x:c r="G1214" s="84" t="str">
        <x:v>Part-shade</x:v>
      </x:c>
      <x:c r="H1214" s="84" t="str">
        <x:v>Dry</x:v>
      </x:c>
      <x:c r="I1214" s="84" t="str">
        <x:v>maurandella antirrhiniflora</x:v>
      </x:c>
    </x:row>
    <x:row r="1215">
      <x:c r="A1215" s="83" t="str">
        <x:v>Wildflower Center pasted list</x:v>
      </x:c>
      <x:c r="B1215" s="84" t="n">
        <x:v>427</x:v>
      </x:c>
      <x:c r="C1215" s="87" t="str">
        <x:v>Mecardonia procumbens</x:v>
      </x:c>
      <x:c r="D1215" s="84" t="str">
        <x:v>Baby Jump-up</x:v>
      </x:c>
      <x:c r="E1215" s="84" t="str">
        <x:v>Annual</x:v>
      </x:c>
      <x:c r="F1215" s="84" t="str">
        <x:v>Herb</x:v>
      </x:c>
      <x:c r="G1215" s="84" t="str"/>
      <x:c r="H1215" s="84" t="str"/>
      <x:c r="I1215" s="84" t="str">
        <x:v>mecardonia procumbens</x:v>
      </x:c>
    </x:row>
    <x:row r="1216">
      <x:c r="A1216" s="83" t="str">
        <x:v>Wildflower Center pasted list</x:v>
      </x:c>
      <x:c r="B1216" s="84" t="n">
        <x:v>428</x:v>
      </x:c>
      <x:c r="C1216" s="87" t="str">
        <x:v>Melampodium leucanthum</x:v>
      </x:c>
      <x:c r="D1216" s="84" t="str">
        <x:v>Blackfoot Daisy, Rock Daisy, Plains Blackfoot, Arnica</x:v>
      </x:c>
      <x:c r="E1216" s="84" t="str">
        <x:v>Perennial</x:v>
      </x:c>
      <x:c r="F1216" s="84" t="str">
        <x:v>Herb</x:v>
      </x:c>
      <x:c r="G1216" s="84" t="str">
        <x:v>Sun, Part-shade</x:v>
      </x:c>
      <x:c r="H1216" s="84" t="str">
        <x:v>Dry</x:v>
      </x:c>
      <x:c r="I1216" s="84" t="str">
        <x:v>melampodium leucanthum</x:v>
      </x:c>
    </x:row>
    <x:row r="1217">
      <x:c r="A1217" s="83" t="str">
        <x:v>Wildflower Center pasted list</x:v>
      </x:c>
      <x:c r="B1217" s="84" t="n">
        <x:v>429</x:v>
      </x:c>
      <x:c r="C1217" s="87" t="str">
        <x:v>Melochia pyramidata</x:v>
      </x:c>
      <x:c r="D1217" s="84" t="str">
        <x:v>Pyramidflower, Broom-wood, Pyramid Flower</x:v>
      </x:c>
      <x:c r="E1217" s="84" t="str">
        <x:v>Annual</x:v>
      </x:c>
      <x:c r="F1217" s="84" t="str">
        <x:v>Herb, Subshrub, Shrub</x:v>
      </x:c>
      <x:c r="G1217" s="84" t="str"/>
      <x:c r="H1217" s="84" t="str"/>
      <x:c r="I1217" s="84" t="str">
        <x:v>melochia pyramidata</x:v>
      </x:c>
    </x:row>
    <x:row r="1218">
      <x:c r="A1218" s="83" t="str">
        <x:v>Wildflower Center pasted list</x:v>
      </x:c>
      <x:c r="B1218" s="84" t="n">
        <x:v>430</x:v>
      </x:c>
      <x:c r="C1218" s="87" t="str">
        <x:v>Melothria pendula</x:v>
      </x:c>
      <x:c r="D1218" s="84" t="str">
        <x:v>Guadeloupe Cucumber, Meloncito, Speckled Gourd</x:v>
      </x:c>
      <x:c r="E1218" s="84" t="str">
        <x:v>Perennial</x:v>
      </x:c>
      <x:c r="F1218" s="84" t="str">
        <x:v>Vine</x:v>
      </x:c>
      <x:c r="G1218" s="84" t="str"/>
      <x:c r="H1218" s="84" t="str"/>
      <x:c r="I1218" s="84" t="str">
        <x:v>melothria pendula</x:v>
      </x:c>
    </x:row>
    <x:row r="1219">
      <x:c r="A1219" s="83" t="str">
        <x:v>Wildflower Center pasted list</x:v>
      </x:c>
      <x:c r="B1219" s="84" t="n">
        <x:v>431</x:v>
      </x:c>
      <x:c r="C1219" s="87" t="str">
        <x:v>Menodora heterophylla</x:v>
      </x:c>
      <x:c r="D1219" s="84" t="str">
        <x:v>Low Menodora, Redbud, Twinpod</x:v>
      </x:c>
      <x:c r="E1219" s="84" t="str">
        <x:v>Perennial</x:v>
      </x:c>
      <x:c r="F1219" s="84" t="str">
        <x:v>Herb</x:v>
      </x:c>
      <x:c r="G1219" s="84" t="str">
        <x:v>Part-shade</x:v>
      </x:c>
      <x:c r="H1219" s="84" t="str">
        <x:v>Dry</x:v>
      </x:c>
      <x:c r="I1219" s="84" t="str">
        <x:v>menodora heterophylla</x:v>
      </x:c>
    </x:row>
    <x:row r="1220">
      <x:c r="A1220" s="83" t="str">
        <x:v>Wildflower Center pasted list</x:v>
      </x:c>
      <x:c r="B1220" s="84" t="n">
        <x:v>432</x:v>
      </x:c>
      <x:c r="C1220" s="87" t="str">
        <x:v>Menodora longiflora</x:v>
      </x:c>
      <x:c r="D1220" s="84" t="str">
        <x:v>Showy Menodora, Twinpod</x:v>
      </x:c>
      <x:c r="E1220" s="84" t="str">
        <x:v>Perennial</x:v>
      </x:c>
      <x:c r="F1220" s="84" t="str">
        <x:v>Herb</x:v>
      </x:c>
      <x:c r="G1220" s="84" t="str">
        <x:v>Part-shade</x:v>
      </x:c>
      <x:c r="H1220" s="84" t="str">
        <x:v>Dry</x:v>
      </x:c>
      <x:c r="I1220" s="84" t="str">
        <x:v>menodora longiflora</x:v>
      </x:c>
    </x:row>
    <x:row r="1221">
      <x:c r="A1221" s="83" t="str">
        <x:v>Wildflower Center pasted list</x:v>
      </x:c>
      <x:c r="B1221" s="84" t="n">
        <x:v>433</x:v>
      </x:c>
      <x:c r="C1221" s="87" t="str">
        <x:v>Mentzelia oligosperma</x:v>
      </x:c>
      <x:c r="D1221" s="84" t="str">
        <x:v>Stick-leaf, Chickenthief</x:v>
      </x:c>
      <x:c r="E1221" s="84" t="str">
        <x:v>Perennial</x:v>
      </x:c>
      <x:c r="F1221" s="84" t="str">
        <x:v>Shrub</x:v>
      </x:c>
      <x:c r="G1221" s="84" t="str"/>
      <x:c r="H1221" s="84" t="str"/>
      <x:c r="I1221" s="84" t="str">
        <x:v>mentzelia oligosperma</x:v>
      </x:c>
    </x:row>
    <x:row r="1222">
      <x:c r="A1222" s="83" t="str">
        <x:v>Wildflower Center pasted list</x:v>
      </x:c>
      <x:c r="B1222" s="84" t="n">
        <x:v>434</x:v>
      </x:c>
      <x:c r="C1222" s="87" t="str">
        <x:v>Merremia dissecta</x:v>
      </x:c>
      <x:c r="D1222" s="84" t="str">
        <x:v>Alamo Vine, Noyau Vine, Correhuela De Las Doce</x:v>
      </x:c>
      <x:c r="E1222" s="84" t="str">
        <x:v>Perennial</x:v>
      </x:c>
      <x:c r="F1222" s="84" t="str">
        <x:v>Vine</x:v>
      </x:c>
      <x:c r="G1222" s="84" t="str">
        <x:v>Sun, Part-shade</x:v>
      </x:c>
      <x:c r="H1222" s="84" t="str">
        <x:v>Moist, Dry</x:v>
      </x:c>
      <x:c r="I1222" s="84" t="str">
        <x:v>merremia dissecta</x:v>
      </x:c>
    </x:row>
    <x:row r="1223">
      <x:c r="A1223" s="83" t="str">
        <x:v>Wildflower Center pasted list</x:v>
      </x:c>
      <x:c r="B1223" s="84" t="n">
        <x:v>435</x:v>
      </x:c>
      <x:c r="C1223" s="87" t="str">
        <x:v>Mikania scandens</x:v>
      </x:c>
      <x:c r="D1223" s="84" t="str">
        <x:v>Climbing Hempvine, Climbing Hempweed</x:v>
      </x:c>
      <x:c r="E1223" s="84" t="str">
        <x:v>Perennial</x:v>
      </x:c>
      <x:c r="F1223" s="84" t="str">
        <x:v>Vine</x:v>
      </x:c>
      <x:c r="G1223" s="84" t="str">
        <x:v>Shade</x:v>
      </x:c>
      <x:c r="H1223" s="84" t="str">
        <x:v>Wet</x:v>
      </x:c>
      <x:c r="I1223" s="84" t="str">
        <x:v>mikania scandens</x:v>
      </x:c>
    </x:row>
    <x:row r="1224">
      <x:c r="A1224" s="83" t="str">
        <x:v>Wildflower Center pasted list</x:v>
      </x:c>
      <x:c r="B1224" s="84" t="n">
        <x:v>436</x:v>
      </x:c>
      <x:c r="C1224" s="87" t="str">
        <x:v>Mimosa aculeaticarpa var. biuncifera</x:v>
      </x:c>
      <x:c r="D1224" s="84" t="str">
        <x:v>Catclaw Mimosa, Cat's-claw Mimosa, Wait-a-bit</x:v>
      </x:c>
      <x:c r="E1224" s="84" t="str">
        <x:v>Perennial</x:v>
      </x:c>
      <x:c r="F1224" s="84" t="str">
        <x:v>Tree</x:v>
      </x:c>
      <x:c r="G1224" s="84" t="str"/>
      <x:c r="H1224" s="84" t="str"/>
      <x:c r="I1224" s="84" t="str">
        <x:v>mimosa aculeaticarpa var. biuncifera</x:v>
      </x:c>
    </x:row>
    <x:row r="1225">
      <x:c r="A1225" s="83" t="str">
        <x:v>Wildflower Center pasted list</x:v>
      </x:c>
      <x:c r="B1225" s="84" t="n">
        <x:v>437</x:v>
      </x:c>
      <x:c r="C1225" s="87" t="str">
        <x:v>Mimosa borealis</x:v>
      </x:c>
      <x:c r="D1225" s="84" t="str">
        <x:v>Fragrant Mimosa, Pink Mimosa</x:v>
      </x:c>
      <x:c r="E1225" s="84" t="str">
        <x:v>Perennial</x:v>
      </x:c>
      <x:c r="F1225" s="84" t="str">
        <x:v>Shrub</x:v>
      </x:c>
      <x:c r="G1225" s="84" t="str">
        <x:v>Sun, Part-shade</x:v>
      </x:c>
      <x:c r="H1225" s="84" t="str">
        <x:v>Dry</x:v>
      </x:c>
      <x:c r="I1225" s="84" t="str">
        <x:v>mimosa borealis</x:v>
      </x:c>
    </x:row>
    <x:row r="1226">
      <x:c r="A1226" s="83" t="str">
        <x:v>Wildflower Center pasted list</x:v>
      </x:c>
      <x:c r="B1226" s="84" t="n">
        <x:v>438</x:v>
      </x:c>
      <x:c r="C1226" s="87" t="str">
        <x:v>Mimosa latidens</x:v>
      </x:c>
      <x:c r="D1226" s="84" t="str">
        <x:v>Kairn's Sensitive Briar</x:v>
      </x:c>
      <x:c r="E1226" s="84" t="str">
        <x:v>Perennial</x:v>
      </x:c>
      <x:c r="F1226" s="84" t="str">
        <x:v>Herb</x:v>
      </x:c>
      <x:c r="G1226" s="84" t="str"/>
      <x:c r="H1226" s="84" t="str"/>
      <x:c r="I1226" s="84" t="str">
        <x:v>mimosa latidens</x:v>
      </x:c>
    </x:row>
    <x:row r="1227">
      <x:c r="A1227" s="83" t="str">
        <x:v>Wildflower Center pasted list</x:v>
      </x:c>
      <x:c r="B1227" s="84" t="n">
        <x:v>439</x:v>
      </x:c>
      <x:c r="C1227" s="87" t="str">
        <x:v>Mimosa roemeriana</x:v>
      </x:c>
      <x:c r="D1227" s="84" t="str">
        <x:v>Roemer's Mimosa, Sensitive Briar</x:v>
      </x:c>
      <x:c r="E1227" s="84" t="str">
        <x:v>Perennial</x:v>
      </x:c>
      <x:c r="F1227" s="84" t="str">
        <x:v>Herb</x:v>
      </x:c>
      <x:c r="G1227" s="84" t="str">
        <x:v>Sun</x:v>
      </x:c>
      <x:c r="H1227" s="84" t="str">
        <x:v>Dry</x:v>
      </x:c>
      <x:c r="I1227" s="84" t="str">
        <x:v>mimosa roemeriana</x:v>
      </x:c>
    </x:row>
    <x:row r="1228">
      <x:c r="A1228" s="83" t="str">
        <x:v>Wildflower Center pasted list</x:v>
      </x:c>
      <x:c r="B1228" s="84" t="n">
        <x:v>440</x:v>
      </x:c>
      <x:c r="C1228" s="87" t="str">
        <x:v>Mimosa texana</x:v>
      </x:c>
      <x:c r="D1228" s="84" t="str">
        <x:v>Texas Mimosa, Wherry Mimosa</x:v>
      </x:c>
      <x:c r="E1228" s="84" t="str">
        <x:v>Perennial</x:v>
      </x:c>
      <x:c r="F1228" s="84" t="str">
        <x:v>Shrub</x:v>
      </x:c>
      <x:c r="G1228" s="84" t="str">
        <x:v>Part-shade</x:v>
      </x:c>
      <x:c r="H1228" s="84" t="str">
        <x:v>Dry</x:v>
      </x:c>
      <x:c r="I1228" s="84" t="str">
        <x:v>mimosa texana</x:v>
      </x:c>
    </x:row>
    <x:row r="1229">
      <x:c r="A1229" s="83" t="str">
        <x:v>Wildflower Center pasted list</x:v>
      </x:c>
      <x:c r="B1229" s="84" t="n">
        <x:v>441</x:v>
      </x:c>
      <x:c r="C1229" s="87" t="str">
        <x:v>Mirabilis albida</x:v>
      </x:c>
      <x:c r="D1229" s="84" t="str">
        <x:v>White Four O'clock, Dwarf Four O'clock</x:v>
      </x:c>
      <x:c r="E1229" s="84" t="str">
        <x:v>Perennial</x:v>
      </x:c>
      <x:c r="F1229" s="84" t="str">
        <x:v>Herb</x:v>
      </x:c>
      <x:c r="G1229" s="84" t="str">
        <x:v>Sun</x:v>
      </x:c>
      <x:c r="H1229" s="84" t="str">
        <x:v>Dry</x:v>
      </x:c>
      <x:c r="I1229" s="84" t="str">
        <x:v>mirabilis albida</x:v>
      </x:c>
    </x:row>
    <x:row r="1230">
      <x:c r="A1230" s="83" t="str">
        <x:v>Wildflower Center pasted list</x:v>
      </x:c>
      <x:c r="B1230" s="84" t="n">
        <x:v>442</x:v>
      </x:c>
      <x:c r="C1230" s="87" t="str">
        <x:v>Mirabilis linearis</x:v>
      </x:c>
      <x:c r="D1230" s="84" t="str">
        <x:v>Narrowleaf Four O'Clock</x:v>
      </x:c>
      <x:c r="E1230" s="84" t="str">
        <x:v>Perennial</x:v>
      </x:c>
      <x:c r="F1230" s="84" t="str">
        <x:v>Herb, Subshrub</x:v>
      </x:c>
      <x:c r="G1230" s="84" t="str">
        <x:v>Sun</x:v>
      </x:c>
      <x:c r="H1230" s="84" t="str">
        <x:v>Dry</x:v>
      </x:c>
      <x:c r="I1230" s="84" t="str">
        <x:v>mirabilis linearis</x:v>
      </x:c>
    </x:row>
    <x:row r="1231">
      <x:c r="A1231" s="83" t="str">
        <x:v>Wildflower Center pasted list</x:v>
      </x:c>
      <x:c r="B1231" s="84" t="n">
        <x:v>443</x:v>
      </x:c>
      <x:c r="C1231" s="87" t="str">
        <x:v>Mirabilis nyctaginea</x:v>
      </x:c>
      <x:c r="D1231" s="84" t="str">
        <x:v>Heartleaf Four O'Clock</x:v>
      </x:c>
      <x:c r="E1231" s="84" t="str">
        <x:v>Perennial</x:v>
      </x:c>
      <x:c r="F1231" s="84" t="str">
        <x:v>Herb</x:v>
      </x:c>
      <x:c r="G1231" s="84" t="str">
        <x:v>Sun, Part-shade</x:v>
      </x:c>
      <x:c r="H1231" s="84" t="str">
        <x:v>Dry</x:v>
      </x:c>
      <x:c r="I1231" s="84" t="str">
        <x:v>mirabilis nyctaginea</x:v>
      </x:c>
    </x:row>
    <x:row r="1232">
      <x:c r="A1232" s="83" t="str">
        <x:v>Wildflower Center pasted list</x:v>
      </x:c>
      <x:c r="B1232" s="84" t="n">
        <x:v>444</x:v>
      </x:c>
      <x:c r="C1232" s="87" t="str">
        <x:v>Mitreola petiolata</x:v>
      </x:c>
      <x:c r="D1232" s="84" t="str">
        <x:v>Lax Hornpod</x:v>
      </x:c>
      <x:c r="E1232" s="84" t="str">
        <x:v>Annual</x:v>
      </x:c>
      <x:c r="F1232" s="84" t="str">
        <x:v>Herb</x:v>
      </x:c>
      <x:c r="G1232" s="84" t="str"/>
      <x:c r="H1232" s="84" t="str"/>
      <x:c r="I1232" s="84" t="str">
        <x:v>mitreola petiolata</x:v>
      </x:c>
    </x:row>
    <x:row r="1233">
      <x:c r="A1233" s="83" t="str">
        <x:v>Wildflower Center pasted list</x:v>
      </x:c>
      <x:c r="B1233" s="84" t="n">
        <x:v>445</x:v>
      </x:c>
      <x:c r="C1233" s="87" t="str">
        <x:v>Monarda citriodora</x:v>
      </x:c>
      <x:c r="D1233" s="84" t="str">
        <x:v>Lemon Beebalm, Purple Horsemint, Lemon Mint, Plains Horsemint, Lemon Horsemint, Horsemint, Purple Lemon Mint</x:v>
      </x:c>
      <x:c r="E1233" s="84" t="str">
        <x:v>Annual</x:v>
      </x:c>
      <x:c r="F1233" s="84" t="str">
        <x:v>Herb</x:v>
      </x:c>
      <x:c r="G1233" s="84" t="str">
        <x:v>Sun, Part-shade</x:v>
      </x:c>
      <x:c r="H1233" s="84" t="str">
        <x:v>Dry</x:v>
      </x:c>
      <x:c r="I1233" s="84" t="str">
        <x:v>monarda citriodora</x:v>
      </x:c>
    </x:row>
    <x:row r="1234">
      <x:c r="A1234" s="83" t="str">
        <x:v>Wildflower Center pasted list</x:v>
      </x:c>
      <x:c r="B1234" s="84" t="n">
        <x:v>446</x:v>
      </x:c>
      <x:c r="C1234" s="87" t="str">
        <x:v>Monarda punctata</x:v>
      </x:c>
      <x:c r="D1234" s="84" t="str">
        <x:v>Spotted Beebalm, Spotted Horsemint, Horsemint</x:v>
      </x:c>
      <x:c r="E1234" s="84" t="str">
        <x:v>Perennial</x:v>
      </x:c>
      <x:c r="F1234" s="84" t="str">
        <x:v>Herb</x:v>
      </x:c>
      <x:c r="G1234" s="84" t="str">
        <x:v>Sun</x:v>
      </x:c>
      <x:c r="H1234" s="84" t="str">
        <x:v>Dry</x:v>
      </x:c>
      <x:c r="I1234" s="84" t="str">
        <x:v>monarda punctata</x:v>
      </x:c>
    </x:row>
    <x:row r="1235">
      <x:c r="A1235" s="83" t="str">
        <x:v>Wildflower Center pasted list</x:v>
      </x:c>
      <x:c r="B1235" s="84" t="n">
        <x:v>447</x:v>
      </x:c>
      <x:c r="C1235" s="87" t="str">
        <x:v>Monolepis nuttalliana</x:v>
      </x:c>
      <x:c r="D1235" s="84" t="str">
        <x:v>Nuttall's Povertyweed</x:v>
      </x:c>
      <x:c r="E1235" s="84" t="str">
        <x:v>Annual</x:v>
      </x:c>
      <x:c r="F1235" s="84" t="str">
        <x:v>Herb</x:v>
      </x:c>
      <x:c r="G1235" s="84" t="str"/>
      <x:c r="H1235" s="84" t="str"/>
      <x:c r="I1235" s="84" t="str">
        <x:v>monolepis nuttalliana</x:v>
      </x:c>
    </x:row>
    <x:row r="1236">
      <x:c r="A1236" s="83" t="str">
        <x:v>Wildflower Center pasted list</x:v>
      </x:c>
      <x:c r="B1236" s="84" t="n">
        <x:v>448</x:v>
      </x:c>
      <x:c r="C1236" s="87" t="str">
        <x:v>Morus microphylla</x:v>
      </x:c>
      <x:c r="D1236" s="84" t="str">
        <x:v>Texas Mulberry, Littleleaf Mulberry, Mountain Mulberry, Mexican Mulberry, Dwarf Mulberry</x:v>
      </x:c>
      <x:c r="E1236" s="84" t="str">
        <x:v>Perennial</x:v>
      </x:c>
      <x:c r="F1236" s="84" t="str">
        <x:v>Tree</x:v>
      </x:c>
      <x:c r="G1236" s="84" t="str">
        <x:v>Part-shade</x:v>
      </x:c>
      <x:c r="H1236" s="84" t="str">
        <x:v>Dry</x:v>
      </x:c>
      <x:c r="I1236" s="84" t="str">
        <x:v>morus microphylla</x:v>
      </x:c>
    </x:row>
    <x:row r="1237">
      <x:c r="A1237" s="83" t="str">
        <x:v>Wildflower Center pasted list</x:v>
      </x:c>
      <x:c r="B1237" s="84" t="n">
        <x:v>449</x:v>
      </x:c>
      <x:c r="C1237" s="87" t="str">
        <x:v>Morus rubra</x:v>
      </x:c>
      <x:c r="D1237" s="84" t="str">
        <x:v>Red Mulberry, Moral</x:v>
      </x:c>
      <x:c r="E1237" s="84" t="str">
        <x:v>Perennial</x:v>
      </x:c>
      <x:c r="F1237" s="84" t="str">
        <x:v>Tree</x:v>
      </x:c>
      <x:c r="G1237" s="84" t="str">
        <x:v>Sun, Shade, Part-shade</x:v>
      </x:c>
      <x:c r="H1237" s="84" t="str">
        <x:v>Moist, Dry</x:v>
      </x:c>
      <x:c r="I1237" s="84" t="str">
        <x:v>morus rubra</x:v>
      </x:c>
    </x:row>
    <x:row r="1238">
      <x:c r="A1238" s="83" t="str">
        <x:v>Wildflower Center pasted list</x:v>
      </x:c>
      <x:c r="B1238" s="84" t="n">
        <x:v>450</x:v>
      </x:c>
      <x:c r="C1238" s="87" t="str">
        <x:v>Muhlenbergia lindheimeri</x:v>
      </x:c>
      <x:c r="D1238" s="84" t="str">
        <x:v>Lindheimer's Muhly, Lindheimer Muhly, Big Muhly, Blue Muhly</x:v>
      </x:c>
      <x:c r="E1238" s="84" t="str">
        <x:v>Perennial</x:v>
      </x:c>
      <x:c r="F1238" s="84" t="str">
        <x:v>Grass/Grass-like</x:v>
      </x:c>
      <x:c r="G1238" s="84" t="str">
        <x:v>Sun</x:v>
      </x:c>
      <x:c r="H1238" s="84" t="str">
        <x:v>Moist, Dry</x:v>
      </x:c>
      <x:c r="I1238" s="84" t="str">
        <x:v>muhlenbergia lindheimeri</x:v>
      </x:c>
    </x:row>
    <x:row r="1239">
      <x:c r="A1239" s="83" t="str">
        <x:v>Wildflower Center pasted list</x:v>
      </x:c>
      <x:c r="B1239" s="84" t="n">
        <x:v>451</x:v>
      </x:c>
      <x:c r="C1239" s="87" t="str">
        <x:v>Muhlenbergia reverchonii</x:v>
      </x:c>
      <x:c r="D1239" s="84" t="str">
        <x:v>Seep Muhly</x:v>
      </x:c>
      <x:c r="E1239" s="84" t="str">
        <x:v>Perennial</x:v>
      </x:c>
      <x:c r="F1239" s="84" t="str">
        <x:v>Grass/Grass-like</x:v>
      </x:c>
      <x:c r="G1239" s="84" t="str">
        <x:v>Sun</x:v>
      </x:c>
      <x:c r="H1239" s="84" t="str">
        <x:v>Moist, Dry</x:v>
      </x:c>
      <x:c r="I1239" s="84" t="str">
        <x:v>muhlenbergia reverchonii</x:v>
      </x:c>
    </x:row>
    <x:row r="1240">
      <x:c r="A1240" s="83" t="str">
        <x:v>Wildflower Center pasted list</x:v>
      </x:c>
      <x:c r="B1240" s="84" t="n">
        <x:v>452</x:v>
      </x:c>
      <x:c r="C1240" s="87" t="str">
        <x:v>Muhlenbergia schreberi</x:v>
      </x:c>
      <x:c r="D1240" s="84" t="str">
        <x:v>Nimblewill</x:v>
      </x:c>
      <x:c r="E1240" s="84" t="str">
        <x:v>Perennial</x:v>
      </x:c>
      <x:c r="F1240" s="84" t="str">
        <x:v>Grass/Grass-like</x:v>
      </x:c>
      <x:c r="G1240" s="84" t="str">
        <x:v>Shade, Part-shade</x:v>
      </x:c>
      <x:c r="H1240" s="84" t="str">
        <x:v>Moist</x:v>
      </x:c>
      <x:c r="I1240" s="84" t="str">
        <x:v>muhlenbergia schreberi</x:v>
      </x:c>
    </x:row>
    <x:row r="1241">
      <x:c r="A1241" s="83" t="str">
        <x:v>Wildflower Center pasted list</x:v>
      </x:c>
      <x:c r="B1241" s="84" t="n">
        <x:v>453</x:v>
      </x:c>
      <x:c r="C1241" s="87" t="str">
        <x:v>Muhlenbergia utilis</x:v>
      </x:c>
      <x:c r="D1241" s="84" t="str">
        <x:v>Aparejo Grass, Aparejo Muhly</x:v>
      </x:c>
      <x:c r="E1241" s="84" t="str">
        <x:v>Perennial</x:v>
      </x:c>
      <x:c r="F1241" s="84" t="str">
        <x:v>Grass/Grass-like</x:v>
      </x:c>
      <x:c r="G1241" s="84" t="str"/>
      <x:c r="H1241" s="84" t="str"/>
      <x:c r="I1241" s="84" t="str">
        <x:v>muhlenbergia utilis</x:v>
      </x:c>
    </x:row>
    <x:row r="1242">
      <x:c r="A1242" s="83" t="str">
        <x:v>Wildflower Center pasted list</x:v>
      </x:c>
      <x:c r="B1242" s="84" t="n">
        <x:v>454</x:v>
      </x:c>
      <x:c r="C1242" s="87" t="str">
        <x:v>Muhlenbergia ×involuta</x:v>
      </x:c>
      <x:c r="D1242" s="84" t="str">
        <x:v>Canyon Muhly, Edwards Plateau Muhly</x:v>
      </x:c>
      <x:c r="E1242" s="84" t="str">
        <x:v>Perennial</x:v>
      </x:c>
      <x:c r="F1242" s="84" t="str">
        <x:v>Grass/Grass-like</x:v>
      </x:c>
      <x:c r="G1242" s="84" t="str"/>
      <x:c r="H1242" s="84" t="str"/>
      <x:c r="I1242" s="84" t="str">
        <x:v>muhlenbergia xinvoluta</x:v>
      </x:c>
    </x:row>
    <x:row r="1243">
      <x:c r="A1243" s="83" t="str">
        <x:v>Wildflower Center pasted list</x:v>
      </x:c>
      <x:c r="B1243" s="84" t="n">
        <x:v>455</x:v>
      </x:c>
      <x:c r="C1243" s="87" t="str">
        <x:v>Myosotis macrosperma</x:v>
      </x:c>
      <x:c r="D1243" s="84" t="str">
        <x:v>Largeseed Forget-me-not</x:v>
      </x:c>
      <x:c r="E1243" s="84" t="str">
        <x:v>Annual</x:v>
      </x:c>
      <x:c r="F1243" s="84" t="str">
        <x:v>Herb</x:v>
      </x:c>
      <x:c r="G1243" s="84" t="str">
        <x:v>Sun, Shade, Part-shade</x:v>
      </x:c>
      <x:c r="H1243" s="84" t="str">
        <x:v>Moist, Dry</x:v>
      </x:c>
      <x:c r="I1243" s="84" t="str">
        <x:v>myosotis macrosperma</x:v>
      </x:c>
    </x:row>
    <x:row r="1244">
      <x:c r="A1244" s="83" t="str">
        <x:v>Wildflower Center pasted list</x:v>
      </x:c>
      <x:c r="B1244" s="84" t="n">
        <x:v>456</x:v>
      </x:c>
      <x:c r="C1244" s="87" t="str">
        <x:v>Myriophyllum heterophyllum</x:v>
      </x:c>
      <x:c r="D1244" s="84" t="str">
        <x:v>Twoleaf Watermilfoil</x:v>
      </x:c>
      <x:c r="E1244" s="84" t="str">
        <x:v>Perennial</x:v>
      </x:c>
      <x:c r="F1244" s="84" t="str">
        <x:v>Herb</x:v>
      </x:c>
      <x:c r="G1244" s="84" t="str"/>
      <x:c r="H1244" s="84" t="str"/>
      <x:c r="I1244" s="84" t="str">
        <x:v>myriophyllum heterophyllum</x:v>
      </x:c>
    </x:row>
    <x:row r="1245">
      <x:c r="A1245" s="83" t="str">
        <x:v>Wildflower Center pasted list</x:v>
      </x:c>
      <x:c r="B1245" s="84" t="n">
        <x:v>457</x:v>
      </x:c>
      <x:c r="C1245" s="87" t="str">
        <x:v>Myriopteris alabamensis</x:v>
      </x:c>
      <x:c r="D1245" s="84" t="str">
        <x:v>Alabama Lipfern</x:v>
      </x:c>
      <x:c r="E1245" s="84" t="str">
        <x:v>Perennial</x:v>
      </x:c>
      <x:c r="F1245" s="84" t="str">
        <x:v>Herb, Fern</x:v>
      </x:c>
      <x:c r="G1245" s="84" t="str"/>
      <x:c r="H1245" s="84" t="str"/>
      <x:c r="I1245" s="84" t="str">
        <x:v>myriopteris alabamensis</x:v>
      </x:c>
    </x:row>
    <x:row r="1246">
      <x:c r="A1246" s="83" t="str">
        <x:v>Wildflower Center pasted list</x:v>
      </x:c>
      <x:c r="B1246" s="84" t="n">
        <x:v>458</x:v>
      </x:c>
      <x:c r="C1246" s="87" t="str">
        <x:v>Nama jamaicense</x:v>
      </x:c>
      <x:c r="D1246" s="84" t="str">
        <x:v>Jamaicanweed, Jamaican Weed, Fiddleleaf Nama</x:v>
      </x:c>
      <x:c r="E1246" s="84" t="str">
        <x:v>Annual</x:v>
      </x:c>
      <x:c r="F1246" s="84" t="str">
        <x:v>Herb</x:v>
      </x:c>
      <x:c r="G1246" s="84" t="str"/>
      <x:c r="H1246" s="84" t="str"/>
      <x:c r="I1246" s="84" t="str">
        <x:v>nama jamaicense</x:v>
      </x:c>
    </x:row>
    <x:row r="1247">
      <x:c r="A1247" s="83" t="str">
        <x:v>Wildflower Center pasted list</x:v>
      </x:c>
      <x:c r="B1247" s="84" t="n">
        <x:v>459</x:v>
      </x:c>
      <x:c r="C1247" s="87" t="str">
        <x:v>Nassella leucotricha</x:v>
      </x:c>
      <x:c r="D1247" s="84" t="str">
        <x:v>Texas Wintergrass, Texas Speargrass, Wintergrass</x:v>
      </x:c>
      <x:c r="E1247" s="84" t="str">
        <x:v>Perennial</x:v>
      </x:c>
      <x:c r="F1247" s="84" t="str">
        <x:v>Grass/Grass-like</x:v>
      </x:c>
      <x:c r="G1247" s="84" t="str">
        <x:v>Sun</x:v>
      </x:c>
      <x:c r="H1247" s="84" t="str">
        <x:v>Dry</x:v>
      </x:c>
      <x:c r="I1247" s="84" t="str">
        <x:v>nassella leucotricha</x:v>
      </x:c>
    </x:row>
    <x:row r="1248">
      <x:c r="A1248" s="83" t="str">
        <x:v>Wildflower Center pasted list</x:v>
      </x:c>
      <x:c r="B1248" s="84" t="n">
        <x:v>460</x:v>
      </x:c>
      <x:c r="C1248" s="87" t="str">
        <x:v>Nekemias arborea</x:v>
      </x:c>
      <x:c r="D1248" s="84" t="str">
        <x:v>Peppervine</x:v>
      </x:c>
      <x:c r="E1248" s="84" t="str">
        <x:v>Perennial</x:v>
      </x:c>
      <x:c r="F1248" s="84" t="str">
        <x:v>Shrub, Vine</x:v>
      </x:c>
      <x:c r="G1248" s="84" t="str">
        <x:v>Sun, Part-shade</x:v>
      </x:c>
      <x:c r="H1248" s="84" t="str">
        <x:v>Moist</x:v>
      </x:c>
      <x:c r="I1248" s="84" t="str">
        <x:v>nekemias arborea</x:v>
      </x:c>
    </x:row>
    <x:row r="1249">
      <x:c r="A1249" s="83" t="str">
        <x:v>Wildflower Center pasted list</x:v>
      </x:c>
      <x:c r="B1249" s="84" t="n">
        <x:v>461</x:v>
      </x:c>
      <x:c r="C1249" s="87" t="str">
        <x:v>Nemastylis geminiflora</x:v>
      </x:c>
      <x:c r="D1249" s="84" t="str">
        <x:v>Prairie Celestials, Celestials, Prairie Pleatleaf</x:v>
      </x:c>
      <x:c r="E1249" s="84" t="str">
        <x:v>Perennial</x:v>
      </x:c>
      <x:c r="F1249" s="84" t="str">
        <x:v>Herb</x:v>
      </x:c>
      <x:c r="G1249" s="84" t="str">
        <x:v>Sun, Part-shade</x:v>
      </x:c>
      <x:c r="H1249" s="84" t="str">
        <x:v>Dry</x:v>
      </x:c>
      <x:c r="I1249" s="84" t="str">
        <x:v>nemastylis geminiflora</x:v>
      </x:c>
    </x:row>
    <x:row r="1250">
      <x:c r="A1250" s="83" t="str">
        <x:v>Wildflower Center pasted list</x:v>
      </x:c>
      <x:c r="B1250" s="84" t="n">
        <x:v>462</x:v>
      </x:c>
      <x:c r="C1250" s="87" t="str">
        <x:v>Nemophila phacelioides</x:v>
      </x:c>
      <x:c r="D1250" s="84" t="str">
        <x:v>Texas Baby Blue Eyes, Large-flower Baby-blue-eyes, Baby Blue-eyes, Flannel Breeches</x:v>
      </x:c>
      <x:c r="E1250" s="84" t="str">
        <x:v>Annual</x:v>
      </x:c>
      <x:c r="F1250" s="84" t="str">
        <x:v>Herb</x:v>
      </x:c>
      <x:c r="G1250" s="84" t="str">
        <x:v>Part-shade</x:v>
      </x:c>
      <x:c r="H1250" s="84" t="str">
        <x:v>Dry</x:v>
      </x:c>
      <x:c r="I1250" s="84" t="str">
        <x:v>nemophila phacelioides</x:v>
      </x:c>
    </x:row>
    <x:row r="1251">
      <x:c r="A1251" s="83" t="str">
        <x:v>Wildflower Center pasted list</x:v>
      </x:c>
      <x:c r="B1251" s="84" t="n">
        <x:v>463</x:v>
      </x:c>
      <x:c r="C1251" s="87" t="str">
        <x:v>Neptunia lutea</x:v>
      </x:c>
      <x:c r="D1251" s="84" t="str">
        <x:v>Yellow Sensitive Briar, Yellow Puff</x:v>
      </x:c>
      <x:c r="E1251" s="84" t="str">
        <x:v>Perennial</x:v>
      </x:c>
      <x:c r="F1251" s="84" t="str">
        <x:v>Shrub</x:v>
      </x:c>
      <x:c r="G1251" s="84" t="str">
        <x:v>Sun</x:v>
      </x:c>
      <x:c r="H1251" s="84" t="str"/>
      <x:c r="I1251" s="84" t="str">
        <x:v>neptunia lutea</x:v>
      </x:c>
    </x:row>
    <x:row r="1252">
      <x:c r="A1252" s="83" t="str">
        <x:v>Wildflower Center pasted list</x:v>
      </x:c>
      <x:c r="B1252" s="84" t="n">
        <x:v>464</x:v>
      </x:c>
      <x:c r="C1252" s="87" t="str">
        <x:v>Neptunia pubescens</x:v>
      </x:c>
      <x:c r="D1252" s="84" t="str">
        <x:v>Tropical Puff</x:v>
      </x:c>
      <x:c r="E1252" s="84" t="str">
        <x:v>Perennial</x:v>
      </x:c>
      <x:c r="F1252" s="84" t="str">
        <x:v>Herb</x:v>
      </x:c>
      <x:c r="G1252" s="84" t="str"/>
      <x:c r="H1252" s="84" t="str"/>
      <x:c r="I1252" s="84" t="str">
        <x:v>neptunia pubescens</x:v>
      </x:c>
    </x:row>
    <x:row r="1253">
      <x:c r="A1253" s="83" t="str">
        <x:v>Wildflower Center pasted list</x:v>
      </x:c>
      <x:c r="B1253" s="84" t="n">
        <x:v>465</x:v>
      </x:c>
      <x:c r="C1253" s="87" t="str">
        <x:v>Nicotiana repanda</x:v>
      </x:c>
      <x:c r="D1253" s="84" t="str">
        <x:v>Fiddleleaf Tobacco, Fiddle-leaf Tobacco</x:v>
      </x:c>
      <x:c r="E1253" s="84" t="str">
        <x:v>Annual</x:v>
      </x:c>
      <x:c r="F1253" s="84" t="str">
        <x:v>Herb</x:v>
      </x:c>
      <x:c r="G1253" s="84" t="str"/>
      <x:c r="H1253" s="84" t="str"/>
      <x:c r="I1253" s="84" t="str">
        <x:v>nicotiana repanda</x:v>
      </x:c>
    </x:row>
    <x:row r="1254">
      <x:c r="A1254" s="83" t="str">
        <x:v>Wildflower Center pasted list</x:v>
      </x:c>
      <x:c r="B1254" s="84" t="n">
        <x:v>466</x:v>
      </x:c>
      <x:c r="C1254" s="87" t="str">
        <x:v>Nolina lindheimeriana</x:v>
      </x:c>
      <x:c r="D1254" s="84" t="str">
        <x:v>Devil's Shoestring, Devil's-shoestring, Ribbon Grass</x:v>
      </x:c>
      <x:c r="E1254" s="84" t="str">
        <x:v>Perennial</x:v>
      </x:c>
      <x:c r="F1254" s="84" t="str">
        <x:v>Shrub</x:v>
      </x:c>
      <x:c r="G1254" s="84" t="str">
        <x:v>Sun, Part-shade</x:v>
      </x:c>
      <x:c r="H1254" s="84" t="str">
        <x:v>Dry</x:v>
      </x:c>
      <x:c r="I1254" s="84" t="str">
        <x:v>nolina lindheimeriana</x:v>
      </x:c>
    </x:row>
    <x:row r="1255">
      <x:c r="A1255" s="83" t="str">
        <x:v>Wildflower Center pasted list</x:v>
      </x:c>
      <x:c r="B1255" s="84" t="n">
        <x:v>467</x:v>
      </x:c>
      <x:c r="C1255" s="87" t="str">
        <x:v>Nolina texana</x:v>
      </x:c>
      <x:c r="D1255" s="84" t="str">
        <x:v>Texas Sacahuista, Texas Beargrass, Basket Grass, Sacahuista, Bunchgrass, Texas Bear-grass</x:v>
      </x:c>
      <x:c r="E1255" s="84" t="str">
        <x:v>Perennial</x:v>
      </x:c>
      <x:c r="F1255" s="84" t="str">
        <x:v>Grass/Grass-like</x:v>
      </x:c>
      <x:c r="G1255" s="84" t="str">
        <x:v>Part-shade</x:v>
      </x:c>
      <x:c r="H1255" s="84" t="str">
        <x:v>Dry</x:v>
      </x:c>
      <x:c r="I1255" s="84" t="str">
        <x:v>nolina texana</x:v>
      </x:c>
    </x:row>
    <x:row r="1256">
      <x:c r="A1256" s="83" t="str">
        <x:v>Wildflower Center pasted list</x:v>
      </x:c>
      <x:c r="B1256" s="84" t="n">
        <x:v>468</x:v>
      </x:c>
      <x:c r="C1256" s="87" t="str">
        <x:v>Nuphar lutea ssp. advena</x:v>
      </x:c>
      <x:c r="D1256" s="84" t="str">
        <x:v>Common Spatterdock, Spatterdock, Yellow Cow-lily, Cow-lily, Yellow Pond-lily, Brandy-bottle</x:v>
      </x:c>
      <x:c r="E1256" s="84" t="str">
        <x:v>Perennial</x:v>
      </x:c>
      <x:c r="F1256" s="84" t="str">
        <x:v>Herb</x:v>
      </x:c>
      <x:c r="G1256" s="84" t="str">
        <x:v>Sun</x:v>
      </x:c>
      <x:c r="H1256" s="84" t="str">
        <x:v>Wet</x:v>
      </x:c>
      <x:c r="I1256" s="84" t="str">
        <x:v>nuphar lutea ssp. advena</x:v>
      </x:c>
    </x:row>
    <x:row r="1257">
      <x:c r="A1257" s="83" t="str">
        <x:v>Wildflower Center pasted list</x:v>
      </x:c>
      <x:c r="B1257" s="84" t="n">
        <x:v>469</x:v>
      </x:c>
      <x:c r="C1257" s="87" t="str">
        <x:v>Nuttallanthus texanus</x:v>
      </x:c>
      <x:c r="D1257" s="84" t="str">
        <x:v>Texas Toadflax, Texas Toad-flax, Toadflax</x:v>
      </x:c>
      <x:c r="E1257" s="84" t="str">
        <x:v>Annual</x:v>
      </x:c>
      <x:c r="F1257" s="84" t="str">
        <x:v>Herb</x:v>
      </x:c>
      <x:c r="G1257" s="84" t="str">
        <x:v>Sun</x:v>
      </x:c>
      <x:c r="H1257" s="84" t="str">
        <x:v>Moist</x:v>
      </x:c>
      <x:c r="I1257" s="84" t="str">
        <x:v>nuttallanthus texanus</x:v>
      </x:c>
    </x:row>
    <x:row r="1258">
      <x:c r="A1258" s="83" t="str">
        <x:v>Wildflower Center pasted list</x:v>
      </x:c>
      <x:c r="B1258" s="84" t="n">
        <x:v>470</x:v>
      </x:c>
      <x:c r="C1258" s="87" t="str">
        <x:v>Nymphaea odorata</x:v>
      </x:c>
      <x:c r="D1258" s="84" t="str">
        <x:v>American White Water-lily, Fragrant White Water-lily, Fragrant Water-lily, White Water-lily, Sweet-scented White Water-lily, Sweet-scented Water-lily, Beaver Root</x:v>
      </x:c>
      <x:c r="E1258" s="84" t="str">
        <x:v>Perennial</x:v>
      </x:c>
      <x:c r="F1258" s="84" t="str">
        <x:v>Herb</x:v>
      </x:c>
      <x:c r="G1258" s="84" t="str">
        <x:v>Sun, Shade, Part-shade</x:v>
      </x:c>
      <x:c r="H1258" s="84" t="str">
        <x:v>Wet</x:v>
      </x:c>
      <x:c r="I1258" s="84" t="str">
        <x:v>nymphaea odorata</x:v>
      </x:c>
    </x:row>
    <x:row r="1259">
      <x:c r="A1259" s="83" t="str">
        <x:v>Wildflower Center pasted list</x:v>
      </x:c>
      <x:c r="B1259" s="84" t="n">
        <x:v>471</x:v>
      </x:c>
      <x:c r="C1259" s="87" t="str">
        <x:v>Oenothera calcicola</x:v>
      </x:c>
      <x:c r="D1259" s="84" t="str">
        <x:v>Texas Beeblossom, Limestone Gaura</x:v>
      </x:c>
      <x:c r="E1259" s="84" t="str">
        <x:v>Perennial</x:v>
      </x:c>
      <x:c r="F1259" s="84" t="str">
        <x:v>Subshrub</x:v>
      </x:c>
      <x:c r="G1259" s="84" t="str">
        <x:v>Part-shade</x:v>
      </x:c>
      <x:c r="H1259" s="84" t="str"/>
      <x:c r="I1259" s="84" t="str">
        <x:v>oenothera calcicola</x:v>
      </x:c>
    </x:row>
    <x:row r="1260">
      <x:c r="A1260" s="83" t="str">
        <x:v>Wildflower Center pasted list</x:v>
      </x:c>
      <x:c r="B1260" s="84" t="n">
        <x:v>472</x:v>
      </x:c>
      <x:c r="C1260" s="87" t="str">
        <x:v>Oenothera curtiflora</x:v>
      </x:c>
      <x:c r="D1260" s="84" t="str">
        <x:v>Velvetweed, Velvetleaf Gaura, Lizard-tail Gaura, Willow Gaura</x:v>
      </x:c>
      <x:c r="E1260" s="84" t="str">
        <x:v>Annual</x:v>
      </x:c>
      <x:c r="F1260" s="84" t="str">
        <x:v>Herb</x:v>
      </x:c>
      <x:c r="G1260" s="84" t="str"/>
      <x:c r="H1260" s="84" t="str"/>
      <x:c r="I1260" s="84" t="str">
        <x:v>oenothera curtiflora</x:v>
      </x:c>
    </x:row>
    <x:row r="1261">
      <x:c r="A1261" s="83" t="str">
        <x:v>Wildflower Center pasted list</x:v>
      </x:c>
      <x:c r="B1261" s="84" t="n">
        <x:v>473</x:v>
      </x:c>
      <x:c r="C1261" s="87" t="str">
        <x:v>Oenothera filiformis</x:v>
      </x:c>
      <x:c r="D1261" s="84" t="str">
        <x:v>Longflower Beeblossom, Longflower Gaura, Large-flowered Gaura, Kearney Gaura, Tall Gaura</x:v>
      </x:c>
      <x:c r="E1261" s="84" t="str">
        <x:v>Annual, Biennial, Perennial</x:v>
      </x:c>
      <x:c r="F1261" s="84" t="str">
        <x:v>Herb</x:v>
      </x:c>
      <x:c r="G1261" s="84" t="str"/>
      <x:c r="H1261" s="84" t="str"/>
      <x:c r="I1261" s="84" t="str">
        <x:v>oenothera filiformis</x:v>
      </x:c>
    </x:row>
    <x:row r="1262">
      <x:c r="A1262" s="83" t="str">
        <x:v>Wildflower Center pasted list</x:v>
      </x:c>
      <x:c r="B1262" s="84" t="n">
        <x:v>474</x:v>
      </x:c>
      <x:c r="C1262" s="87" t="str">
        <x:v>Oenothera lindheimeri</x:v>
      </x:c>
      <x:c r="D1262" s="84" t="str">
        <x:v>White Gaura, Butterfly Gaura, Lindheimer's Beeblossom, Lindheimer's Gaura</x:v>
      </x:c>
      <x:c r="E1262" s="84" t="str">
        <x:v>Perennial</x:v>
      </x:c>
      <x:c r="F1262" s="84" t="str">
        <x:v>Herb</x:v>
      </x:c>
      <x:c r="G1262" s="84" t="str">
        <x:v>Sun, Part-shade</x:v>
      </x:c>
      <x:c r="H1262" s="84" t="str">
        <x:v>Moist</x:v>
      </x:c>
      <x:c r="I1262" s="84" t="str">
        <x:v>oenothera lindheimeri</x:v>
      </x:c>
    </x:row>
    <x:row r="1263">
      <x:c r="A1263" s="83" t="str">
        <x:v>Wildflower Center pasted list</x:v>
      </x:c>
      <x:c r="B1263" s="84" t="n">
        <x:v>475</x:v>
      </x:c>
      <x:c r="C1263" s="87" t="str">
        <x:v>Oenothera macrocarpa</x:v>
      </x:c>
      <x:c r="D1263" s="84" t="str">
        <x:v>Bigfruit Evening-primrose, Missouri Evening-primrose, Fluttermill, Big-fruit Evening-primrose, Missouri Primrose, Bigfruit Evening Primrose</x:v>
      </x:c>
      <x:c r="E1263" s="84" t="str">
        <x:v>Perennial</x:v>
      </x:c>
      <x:c r="F1263" s="84" t="str">
        <x:v>Herb</x:v>
      </x:c>
      <x:c r="G1263" s="84" t="str">
        <x:v>Sun</x:v>
      </x:c>
      <x:c r="H1263" s="84" t="str">
        <x:v>Dry</x:v>
      </x:c>
      <x:c r="I1263" s="84" t="str">
        <x:v>oenothera macrocarpa</x:v>
      </x:c>
    </x:row>
    <x:row r="1264">
      <x:c r="A1264" s="83" t="str">
        <x:v>Wildflower Center pasted list</x:v>
      </x:c>
      <x:c r="B1264" s="84" t="n">
        <x:v>476</x:v>
      </x:c>
      <x:c r="C1264" s="87" t="str">
        <x:v>Oenothera patriciae</x:v>
      </x:c>
      <x:c r="D1264" s="84" t="str">
        <x:v>Plains Beeblossom, Plains Gaura</x:v>
      </x:c>
      <x:c r="E1264" s="84" t="str">
        <x:v>Annual</x:v>
      </x:c>
      <x:c r="F1264" s="84" t="str">
        <x:v>Herb</x:v>
      </x:c>
      <x:c r="G1264" s="84" t="str"/>
      <x:c r="H1264" s="84" t="str"/>
      <x:c r="I1264" s="84" t="str">
        <x:v>oenothera patriciae</x:v>
      </x:c>
    </x:row>
    <x:row r="1265">
      <x:c r="A1265" s="83" t="str">
        <x:v>Wildflower Center pasted list</x:v>
      </x:c>
      <x:c r="B1265" s="84" t="n">
        <x:v>477</x:v>
      </x:c>
      <x:c r="C1265" s="87" t="str">
        <x:v>Oenothera rosea</x:v>
      </x:c>
      <x:c r="D1265" s="84" t="str">
        <x:v>Rose Evening Primrose</x:v>
      </x:c>
      <x:c r="E1265" s="84" t="str">
        <x:v>Perennial</x:v>
      </x:c>
      <x:c r="F1265" s="84" t="str">
        <x:v>Herb</x:v>
      </x:c>
      <x:c r="G1265" s="84" t="str"/>
      <x:c r="H1265" s="84" t="str"/>
      <x:c r="I1265" s="84" t="str">
        <x:v>oenothera rosea</x:v>
      </x:c>
    </x:row>
    <x:row r="1266">
      <x:c r="A1266" s="83" t="str">
        <x:v>Wildflower Center pasted list</x:v>
      </x:c>
      <x:c r="B1266" s="84" t="n">
        <x:v>478</x:v>
      </x:c>
      <x:c r="C1266" s="87" t="str">
        <x:v>Oenothera sinuosa</x:v>
      </x:c>
      <x:c r="D1266" s="84" t="str">
        <x:v>Wavyleaf Beeblossom, Wavyleaf Gaura</x:v>
      </x:c>
      <x:c r="E1266" s="84" t="str">
        <x:v>Perennial</x:v>
      </x:c>
      <x:c r="F1266" s="84" t="str">
        <x:v>Herb</x:v>
      </x:c>
      <x:c r="G1266" s="84" t="str"/>
      <x:c r="H1266" s="84" t="str"/>
      <x:c r="I1266" s="84" t="str">
        <x:v>oenothera sinuosa</x:v>
      </x:c>
    </x:row>
    <x:row r="1267">
      <x:c r="A1267" s="83" t="str">
        <x:v>Wildflower Center pasted list</x:v>
      </x:c>
      <x:c r="B1267" s="84" t="n">
        <x:v>479</x:v>
      </x:c>
      <x:c r="C1267" s="87" t="str">
        <x:v>Oenothera speciosa</x:v>
      </x:c>
      <x:c r="D1267" s="84" t="str">
        <x:v>Pink Evening Primrose, Showy Evening Primrose, Mexican Evening Primrose, Showy Primrose, Pink Ladies, Buttercups, Pink Buttercups</x:v>
      </x:c>
      <x:c r="E1267" s="84" t="str">
        <x:v>Perennial</x:v>
      </x:c>
      <x:c r="F1267" s="84" t="str">
        <x:v>Herb</x:v>
      </x:c>
      <x:c r="G1267" s="84" t="str">
        <x:v>Sun</x:v>
      </x:c>
      <x:c r="H1267" s="84" t="str">
        <x:v>Moist, Dry</x:v>
      </x:c>
      <x:c r="I1267" s="84" t="str">
        <x:v>oenothera speciosa</x:v>
      </x:c>
    </x:row>
    <x:row r="1268">
      <x:c r="A1268" s="83" t="str">
        <x:v>Wildflower Center pasted list</x:v>
      </x:c>
      <x:c r="B1268" s="84" t="n">
        <x:v>480</x:v>
      </x:c>
      <x:c r="C1268" s="87" t="str">
        <x:v>Oenothera suffrutescens</x:v>
      </x:c>
      <x:c r="D1268" s="84" t="str">
        <x:v>Scarlet Beeblossom, Scarlet Gaura</x:v>
      </x:c>
      <x:c r="E1268" s="84" t="str">
        <x:v>Perennial</x:v>
      </x:c>
      <x:c r="F1268" s="84" t="str">
        <x:v>Shrub</x:v>
      </x:c>
      <x:c r="G1268" s="84" t="str">
        <x:v>Sun</x:v>
      </x:c>
      <x:c r="H1268" s="84" t="str">
        <x:v>Dry</x:v>
      </x:c>
      <x:c r="I1268" s="84" t="str">
        <x:v>oenothera suffrutescens</x:v>
      </x:c>
    </x:row>
    <x:row r="1269">
      <x:c r="A1269" s="83" t="str">
        <x:v>Wildflower Center pasted list</x:v>
      </x:c>
      <x:c r="B1269" s="84" t="n">
        <x:v>481</x:v>
      </x:c>
      <x:c r="C1269" s="87" t="str">
        <x:v>Oenothera suffulta</x:v>
      </x:c>
      <x:c r="D1269" s="84" t="str">
        <x:v>Kisses, Wild Honeysuckle, Beeblossom, Roadside Gaura</x:v>
      </x:c>
      <x:c r="E1269" s="84" t="str">
        <x:v>Annual</x:v>
      </x:c>
      <x:c r="F1269" s="84" t="str">
        <x:v>Shrub</x:v>
      </x:c>
      <x:c r="G1269" s="84" t="str">
        <x:v>Sun</x:v>
      </x:c>
      <x:c r="H1269" s="84" t="str">
        <x:v>Moist</x:v>
      </x:c>
      <x:c r="I1269" s="84" t="str">
        <x:v>oenothera suffulta</x:v>
      </x:c>
    </x:row>
    <x:row r="1270">
      <x:c r="A1270" s="83" t="str">
        <x:v>Wildflower Center pasted list</x:v>
      </x:c>
      <x:c r="B1270" s="84" t="n">
        <x:v>482</x:v>
      </x:c>
      <x:c r="C1270" s="87" t="str">
        <x:v>Oenothera triloba</x:v>
      </x:c>
      <x:c r="D1270" s="84" t="str">
        <x:v>Stemless Evening-primrose, Stemless Evening Primrose</x:v>
      </x:c>
      <x:c r="E1270" s="84" t="str">
        <x:v>Annual</x:v>
      </x:c>
      <x:c r="F1270" s="84" t="str">
        <x:v>Herb</x:v>
      </x:c>
      <x:c r="G1270" s="84" t="str">
        <x:v>Sun</x:v>
      </x:c>
      <x:c r="H1270" s="84" t="str"/>
      <x:c r="I1270" s="84" t="str">
        <x:v>oenothera triloba</x:v>
      </x:c>
    </x:row>
    <x:row r="1271">
      <x:c r="A1271" s="83" t="str">
        <x:v>Wildflower Center pasted list</x:v>
      </x:c>
      <x:c r="B1271" s="84" t="n">
        <x:v>483</x:v>
      </x:c>
      <x:c r="C1271" s="87" t="str">
        <x:v>Oenothera xerogaura</x:v>
      </x:c>
      <x:c r="D1271" s="84" t="str">
        <x:v>Drummond's Beeblossom, Drummond's Gaura</x:v>
      </x:c>
      <x:c r="E1271" s="84" t="str">
        <x:v>Perennial</x:v>
      </x:c>
      <x:c r="F1271" s="84" t="str">
        <x:v>Herb</x:v>
      </x:c>
      <x:c r="G1271" s="84" t="str"/>
      <x:c r="H1271" s="84" t="str"/>
      <x:c r="I1271" s="84" t="str">
        <x:v>oenothera xerogaura</x:v>
      </x:c>
    </x:row>
    <x:row r="1272">
      <x:c r="A1272" s="83" t="str">
        <x:v>Wildflower Center pasted list</x:v>
      </x:c>
      <x:c r="B1272" s="84" t="n">
        <x:v>484</x:v>
      </x:c>
      <x:c r="C1272" s="87" t="str">
        <x:v>Onosmodium bejariense var. bejariense</x:v>
      </x:c>
      <x:c r="D1272" s="84" t="str">
        <x:v>Soft-hair Marbleseed, False Gromwell</x:v>
      </x:c>
      <x:c r="E1272" s="84" t="str">
        <x:v>Perennial</x:v>
      </x:c>
      <x:c r="F1272" s="84" t="str">
        <x:v>Herb</x:v>
      </x:c>
      <x:c r="G1272" s="84" t="str">
        <x:v>Sun</x:v>
      </x:c>
      <x:c r="H1272" s="84" t="str"/>
      <x:c r="I1272" s="84" t="str">
        <x:v>onosmodium bejariense var. bejariense</x:v>
      </x:c>
    </x:row>
    <x:row r="1273">
      <x:c r="A1273" s="83" t="str">
        <x:v>Wildflower Center pasted list</x:v>
      </x:c>
      <x:c r="B1273" s="84" t="n">
        <x:v>485</x:v>
      </x:c>
      <x:c r="C1273" s="87" t="str">
        <x:v>Onosmodium helleri</x:v>
      </x:c>
      <x:c r="D1273" s="84" t="str">
        <x:v>Heller's Marbleseed, Marble-seed</x:v>
      </x:c>
      <x:c r="E1273" s="84" t="str">
        <x:v>Perennial</x:v>
      </x:c>
      <x:c r="F1273" s="84" t="str">
        <x:v>Herb</x:v>
      </x:c>
      <x:c r="G1273" s="84" t="str">
        <x:v>Part-shade</x:v>
      </x:c>
      <x:c r="H1273" s="84" t="str"/>
      <x:c r="I1273" s="84" t="str">
        <x:v>onosmodium helleri</x:v>
      </x:c>
    </x:row>
    <x:row r="1274">
      <x:c r="A1274" s="83" t="str">
        <x:v>Wildflower Center pasted list</x:v>
      </x:c>
      <x:c r="B1274" s="84" t="n">
        <x:v>486</x:v>
      </x:c>
      <x:c r="C1274" s="87" t="str">
        <x:v>Opuntia engelmannii var. lindheimeri</x:v>
      </x:c>
      <x:c r="D1274" s="84" t="str">
        <x:v>Texas Prickly Pear, Lindheimer's Prickly Pear, Lindheimer Prickly Pear</x:v>
      </x:c>
      <x:c r="E1274" s="84" t="str">
        <x:v>Perennial</x:v>
      </x:c>
      <x:c r="F1274" s="84" t="str">
        <x:v>Cactus/Succulent</x:v>
      </x:c>
      <x:c r="G1274" s="84" t="str">
        <x:v>Sun, Part-shade</x:v>
      </x:c>
      <x:c r="H1274" s="84" t="str">
        <x:v>Dry</x:v>
      </x:c>
      <x:c r="I1274" s="84" t="str">
        <x:v>opuntia engelmannii var. lindheimeri</x:v>
      </x:c>
    </x:row>
    <x:row r="1275">
      <x:c r="A1275" s="83" t="str">
        <x:v>Wildflower Center pasted list</x:v>
      </x:c>
      <x:c r="B1275" s="84" t="n">
        <x:v>487</x:v>
      </x:c>
      <x:c r="C1275" s="87" t="str">
        <x:v>Opuntia macrorhiza</x:v>
      </x:c>
      <x:c r="D1275" s="84" t="str">
        <x:v>Bigroot Prickly Pear, Twist-spine Prickly Pear, Common Prickly Pear, Plains Prickly Pear</x:v>
      </x:c>
      <x:c r="E1275" s="84" t="str">
        <x:v>Perennial</x:v>
      </x:c>
      <x:c r="F1275" s="84" t="str">
        <x:v>Cactus/Succulent</x:v>
      </x:c>
      <x:c r="G1275" s="84" t="str">
        <x:v>Sun</x:v>
      </x:c>
      <x:c r="H1275" s="84" t="str">
        <x:v>Dry</x:v>
      </x:c>
      <x:c r="I1275" s="84" t="str">
        <x:v>opuntia macrorhiza</x:v>
      </x:c>
    </x:row>
    <x:row r="1276">
      <x:c r="A1276" s="83" t="str">
        <x:v>Wildflower Center pasted list</x:v>
      </x:c>
      <x:c r="B1276" s="84" t="n">
        <x:v>488</x:v>
      </x:c>
      <x:c r="C1276" s="87" t="str">
        <x:v>Opuntia phaeacantha</x:v>
      </x:c>
      <x:c r="D1276" s="84" t="str">
        <x:v>Tulip Prickly Pear, Brownspine Prickly Pear Cactus, Purple-fruited Prickly Pear, Brown-spined Prickly Pear, New Mexico Prickly Pear, Desert Prickly Pear</x:v>
      </x:c>
      <x:c r="E1276" s="84" t="str">
        <x:v>Perennial</x:v>
      </x:c>
      <x:c r="F1276" s="84" t="str">
        <x:v>Cactus/Succulent</x:v>
      </x:c>
      <x:c r="G1276" s="84" t="str">
        <x:v>Part-shade</x:v>
      </x:c>
      <x:c r="H1276" s="84" t="str">
        <x:v>Dry</x:v>
      </x:c>
      <x:c r="I1276" s="84" t="str">
        <x:v>opuntia phaeacantha</x:v>
      </x:c>
    </x:row>
    <x:row r="1277">
      <x:c r="A1277" s="83" t="str">
        <x:v>Wildflower Center pasted list</x:v>
      </x:c>
      <x:c r="B1277" s="84" t="n">
        <x:v>489</x:v>
      </x:c>
      <x:c r="C1277" s="87" t="str">
        <x:v>Oxalis albicans</x:v>
      </x:c>
      <x:c r="D1277" s="84" t="str">
        <x:v>Radishroot Woodsorrel</x:v>
      </x:c>
      <x:c r="E1277" s="84" t="str">
        <x:v>Perennial</x:v>
      </x:c>
      <x:c r="F1277" s="84" t="str">
        <x:v>Herb, Subshrub</x:v>
      </x:c>
      <x:c r="G1277" s="84" t="str"/>
      <x:c r="H1277" s="84" t="str"/>
      <x:c r="I1277" s="84" t="str">
        <x:v>oxalis albicans</x:v>
      </x:c>
    </x:row>
    <x:row r="1278">
      <x:c r="A1278" s="83" t="str">
        <x:v>Wildflower Center pasted list</x:v>
      </x:c>
      <x:c r="B1278" s="84" t="n">
        <x:v>490</x:v>
      </x:c>
      <x:c r="C1278" s="87" t="str">
        <x:v>Oxalis drummondii</x:v>
      </x:c>
      <x:c r="D1278" s="84" t="str">
        <x:v>Drummond's Wood-sorrel, Large-leaf Wood-sorrel, Drummond's Woodsorrel</x:v>
      </x:c>
      <x:c r="E1278" s="84" t="str">
        <x:v>Perennial</x:v>
      </x:c>
      <x:c r="F1278" s="84" t="str">
        <x:v>Herb</x:v>
      </x:c>
      <x:c r="G1278" s="84" t="str">
        <x:v>Sun, Part-shade</x:v>
      </x:c>
      <x:c r="H1278" s="84" t="str">
        <x:v>Moist, Dry</x:v>
      </x:c>
      <x:c r="I1278" s="84" t="str">
        <x:v>oxalis drummondii</x:v>
      </x:c>
    </x:row>
    <x:row r="1279">
      <x:c r="A1279" s="83" t="str">
        <x:v>Wildflower Center pasted list</x:v>
      </x:c>
      <x:c r="B1279" s="84" t="n">
        <x:v>491</x:v>
      </x:c>
      <x:c r="C1279" s="87" t="str">
        <x:v>Oxalis stricta</x:v>
      </x:c>
      <x:c r="D1279" s="84" t="str">
        <x:v>Common Yellow Oxalis, Yellow Wood-sorrel, Upright Yellow Wood-sorrel, Yellow Woodsorrel</x:v>
      </x:c>
      <x:c r="E1279" s="84" t="str">
        <x:v>Perennial</x:v>
      </x:c>
      <x:c r="F1279" s="84" t="str">
        <x:v>Herb</x:v>
      </x:c>
      <x:c r="G1279" s="84" t="str">
        <x:v>Sun</x:v>
      </x:c>
      <x:c r="H1279" s="84" t="str">
        <x:v>Dry</x:v>
      </x:c>
      <x:c r="I1279" s="84" t="str">
        <x:v>oxalis stricta</x:v>
      </x:c>
    </x:row>
    <x:row r="1280">
      <x:c r="A1280" s="83" t="str">
        <x:v>Wildflower Center pasted list</x:v>
      </x:c>
      <x:c r="B1280" s="84" t="n">
        <x:v>492</x:v>
      </x:c>
      <x:c r="C1280" s="87" t="str">
        <x:v>Oxalis violacea</x:v>
      </x:c>
      <x:c r="D1280" s="84" t="str">
        <x:v>Violet Woodsorrel, Violet Wood-sorrel</x:v>
      </x:c>
      <x:c r="E1280" s="84" t="str">
        <x:v>Perennial</x:v>
      </x:c>
      <x:c r="F1280" s="84" t="str">
        <x:v>Herb</x:v>
      </x:c>
      <x:c r="G1280" s="84" t="str">
        <x:v>Part-shade</x:v>
      </x:c>
      <x:c r="H1280" s="84" t="str">
        <x:v>Moist</x:v>
      </x:c>
      <x:c r="I1280" s="84" t="str">
        <x:v>oxalis violacea</x:v>
      </x:c>
    </x:row>
    <x:row r="1281">
      <x:c r="A1281" s="83" t="str">
        <x:v>Wildflower Center pasted list</x:v>
      </x:c>
      <x:c r="B1281" s="84" t="n">
        <x:v>493</x:v>
      </x:c>
      <x:c r="C1281" s="87" t="str">
        <x:v>Packera glabella</x:v>
      </x:c>
      <x:c r="D1281" s="84" t="str">
        <x:v>Butterweed, Cress-leaf Groundsel, Yellowtop</x:v>
      </x:c>
      <x:c r="E1281" s="84" t="str">
        <x:v>Annual</x:v>
      </x:c>
      <x:c r="F1281" s="84" t="str">
        <x:v>Herb</x:v>
      </x:c>
      <x:c r="G1281" s="84" t="str">
        <x:v>Sun, Part-shade</x:v>
      </x:c>
      <x:c r="H1281" s="84" t="str">
        <x:v>Moist</x:v>
      </x:c>
      <x:c r="I1281" s="84" t="str">
        <x:v>packera glabella</x:v>
      </x:c>
    </x:row>
    <x:row r="1282">
      <x:c r="A1282" s="83" t="str">
        <x:v>Wildflower Center pasted list</x:v>
      </x:c>
      <x:c r="B1282" s="84" t="n">
        <x:v>494</x:v>
      </x:c>
      <x:c r="C1282" s="87" t="str">
        <x:v>Packera obovata</x:v>
      </x:c>
      <x:c r="D1282" s="84" t="str">
        <x:v>Golden Groundsel, Roundleaf Groundsel, Roundleaf Ragwort</x:v>
      </x:c>
      <x:c r="E1282" s="84" t="str">
        <x:v>Perennial</x:v>
      </x:c>
      <x:c r="F1282" s="84" t="str">
        <x:v>Herb</x:v>
      </x:c>
      <x:c r="G1282" s="84" t="str">
        <x:v>Shade, Part-shade</x:v>
      </x:c>
      <x:c r="H1282" s="84" t="str">
        <x:v>Moist</x:v>
      </x:c>
      <x:c r="I1282" s="84" t="str">
        <x:v>packera obovata</x:v>
      </x:c>
    </x:row>
    <x:row r="1283">
      <x:c r="A1283" s="83" t="str">
        <x:v>Wildflower Center pasted list</x:v>
      </x:c>
      <x:c r="B1283" s="84" t="n">
        <x:v>495</x:v>
      </x:c>
      <x:c r="C1283" s="87" t="str">
        <x:v>Packera tampicana</x:v>
      </x:c>
      <x:c r="D1283" s="84" t="str">
        <x:v>Yellowtop, Great Plains Ragwort, Butterweed</x:v>
      </x:c>
      <x:c r="E1283" s="84" t="str">
        <x:v>Annual</x:v>
      </x:c>
      <x:c r="F1283" s="84" t="str">
        <x:v>Herb</x:v>
      </x:c>
      <x:c r="G1283" s="84" t="str"/>
      <x:c r="H1283" s="84" t="str"/>
      <x:c r="I1283" s="84" t="str">
        <x:v>packera tampicana</x:v>
      </x:c>
    </x:row>
    <x:row r="1284">
      <x:c r="A1284" s="83" t="str">
        <x:v>Wildflower Center pasted list</x:v>
      </x:c>
      <x:c r="B1284" s="84" t="n">
        <x:v>496</x:v>
      </x:c>
      <x:c r="C1284" s="87" t="str">
        <x:v>Palafoxia callosa</x:v>
      </x:c>
      <x:c r="D1284" s="84" t="str">
        <x:v>Small Palafox, Small Palafoxia</x:v>
      </x:c>
      <x:c r="E1284" s="84" t="str">
        <x:v>Annual</x:v>
      </x:c>
      <x:c r="F1284" s="84" t="str">
        <x:v>Herb</x:v>
      </x:c>
      <x:c r="G1284" s="84" t="str">
        <x:v>Sun</x:v>
      </x:c>
      <x:c r="H1284" s="84" t="str">
        <x:v>Dry</x:v>
      </x:c>
      <x:c r="I1284" s="84" t="str">
        <x:v>palafoxia callosa</x:v>
      </x:c>
    </x:row>
    <x:row r="1285">
      <x:c r="A1285" s="83" t="str">
        <x:v>Wildflower Center pasted list</x:v>
      </x:c>
      <x:c r="B1285" s="84" t="n">
        <x:v>497</x:v>
      </x:c>
      <x:c r="C1285" s="87" t="str">
        <x:v>Panicum capillare</x:v>
      </x:c>
      <x:c r="D1285" s="84" t="str">
        <x:v>Witchgrass</x:v>
      </x:c>
      <x:c r="E1285" s="84" t="str">
        <x:v>Annual</x:v>
      </x:c>
      <x:c r="F1285" s="84" t="str">
        <x:v>Grass/Grass-like</x:v>
      </x:c>
      <x:c r="G1285" s="84" t="str"/>
      <x:c r="H1285" s="84" t="str"/>
      <x:c r="I1285" s="84" t="str">
        <x:v>panicum capillare</x:v>
      </x:c>
    </x:row>
    <x:row r="1286">
      <x:c r="A1286" s="83" t="str">
        <x:v>Wildflower Center pasted list</x:v>
      </x:c>
      <x:c r="B1286" s="84" t="n">
        <x:v>498</x:v>
      </x:c>
      <x:c r="C1286" s="87" t="str">
        <x:v>Panicum hallii</x:v>
      </x:c>
      <x:c r="D1286" s="84" t="str">
        <x:v>Hall's Panicgrass, Hall's Panic Grass</x:v>
      </x:c>
      <x:c r="E1286" s="84" t="str">
        <x:v>Perennial</x:v>
      </x:c>
      <x:c r="F1286" s="84" t="str">
        <x:v>Grass/Grass-like</x:v>
      </x:c>
      <x:c r="G1286" s="84" t="str"/>
      <x:c r="H1286" s="84" t="str"/>
      <x:c r="I1286" s="84" t="str">
        <x:v>panicum hallii</x:v>
      </x:c>
    </x:row>
    <x:row r="1287">
      <x:c r="A1287" s="83" t="str">
        <x:v>Wildflower Center pasted list</x:v>
      </x:c>
      <x:c r="B1287" s="84" t="n">
        <x:v>499</x:v>
      </x:c>
      <x:c r="C1287" s="87" t="str">
        <x:v>Panicum obtusum</x:v>
      </x:c>
      <x:c r="D1287" s="84" t="str">
        <x:v>Vine Mesquite</x:v>
      </x:c>
      <x:c r="E1287" s="84" t="str">
        <x:v>Perennial</x:v>
      </x:c>
      <x:c r="F1287" s="84" t="str">
        <x:v>Grass/Grass-like</x:v>
      </x:c>
      <x:c r="G1287" s="84" t="str">
        <x:v>Part-shade</x:v>
      </x:c>
      <x:c r="H1287" s="84" t="str"/>
      <x:c r="I1287" s="84" t="str">
        <x:v>panicum obtusum</x:v>
      </x:c>
    </x:row>
    <x:row r="1288">
      <x:c r="A1288" s="83" t="str">
        <x:v>Wildflower Center pasted list</x:v>
      </x:c>
      <x:c r="B1288" s="84" t="n">
        <x:v>500</x:v>
      </x:c>
      <x:c r="C1288" s="87" t="str">
        <x:v>Panicum virgatum</x:v>
      </x:c>
      <x:c r="D1288" s="84" t="str">
        <x:v>Switchgrass, Wand Panic Grass</x:v>
      </x:c>
      <x:c r="E1288" s="84" t="str">
        <x:v>Perennial</x:v>
      </x:c>
      <x:c r="F1288" s="84" t="str">
        <x:v>Grass/Grass-like</x:v>
      </x:c>
      <x:c r="G1288" s="84" t="str">
        <x:v>Sun, Part-shade</x:v>
      </x:c>
      <x:c r="H1288" s="84" t="str">
        <x:v>Moist, Dry</x:v>
      </x:c>
      <x:c r="I1288" s="84" t="str">
        <x:v>panicum virgatum</x:v>
      </x:c>
    </x:row>
    <x:row r="1289">
      <x:c r="A1289" s="83" t="str">
        <x:v>Wildflower Center pasted list</x:v>
      </x:c>
      <x:c r="B1289" s="84" t="n">
        <x:v>501</x:v>
      </x:c>
      <x:c r="C1289" s="87" t="str">
        <x:v>Parietaria pensylvanica</x:v>
      </x:c>
      <x:c r="D1289" s="84" t="str">
        <x:v>Pennsylvania Pellitory, Pennsylvania Cucumber Plant</x:v>
      </x:c>
      <x:c r="E1289" s="84" t="str">
        <x:v>Annual</x:v>
      </x:c>
      <x:c r="F1289" s="84" t="str">
        <x:v>Herb</x:v>
      </x:c>
      <x:c r="G1289" s="84" t="str"/>
      <x:c r="H1289" s="84" t="str"/>
      <x:c r="I1289" s="84" t="str">
        <x:v>parietaria pensylvanica</x:v>
      </x:c>
    </x:row>
    <x:row r="1290">
      <x:c r="A1290" s="83" t="str">
        <x:v>Wildflower Center pasted list</x:v>
      </x:c>
      <x:c r="B1290" s="84" t="n">
        <x:v>502</x:v>
      </x:c>
      <x:c r="C1290" s="87" t="str">
        <x:v>Parkinsonia aculeata</x:v>
      </x:c>
      <x:c r="D1290" s="84" t="str">
        <x:v>Retama, Paloverde, Mexican Paloverde, Jerusalem Thorn, Horsebean, Lluvia De Oro</x:v>
      </x:c>
      <x:c r="E1290" s="84" t="str">
        <x:v>Perennial</x:v>
      </x:c>
      <x:c r="F1290" s="84" t="str">
        <x:v>Tree</x:v>
      </x:c>
      <x:c r="G1290" s="84" t="str">
        <x:v>Sun</x:v>
      </x:c>
      <x:c r="H1290" s="84" t="str">
        <x:v>Moist, Dry</x:v>
      </x:c>
      <x:c r="I1290" s="84" t="str">
        <x:v>parkinsonia aculeata</x:v>
      </x:c>
    </x:row>
    <x:row r="1291">
      <x:c r="A1291" s="83" t="str">
        <x:v>Wildflower Center pasted list</x:v>
      </x:c>
      <x:c r="B1291" s="84" t="n">
        <x:v>503</x:v>
      </x:c>
      <x:c r="C1291" s="87" t="str">
        <x:v>Paronychia virginica</x:v>
      </x:c>
      <x:c r="D1291" s="84" t="str">
        <x:v>Whitlow-wort, Square-head Nailwort, Broom Nailwort, Yellow Nailwort, Park's Nailwort</x:v>
      </x:c>
      <x:c r="E1291" s="84" t="str">
        <x:v>Perennial</x:v>
      </x:c>
      <x:c r="F1291" s="84" t="str">
        <x:v>Herb, Subshrub</x:v>
      </x:c>
      <x:c r="G1291" s="84" t="str">
        <x:v>Sun</x:v>
      </x:c>
      <x:c r="H1291" s="84" t="str">
        <x:v>Dry</x:v>
      </x:c>
      <x:c r="I1291" s="84" t="str">
        <x:v>paronychia virginica</x:v>
      </x:c>
    </x:row>
    <x:row r="1292">
      <x:c r="A1292" s="83" t="str">
        <x:v>Wildflower Center pasted list</x:v>
      </x:c>
      <x:c r="B1292" s="84" t="n">
        <x:v>504</x:v>
      </x:c>
      <x:c r="C1292" s="87" t="str">
        <x:v>Parthenium confertum</x:v>
      </x:c>
      <x:c r="D1292" s="84" t="str">
        <x:v>Gray's Feverfew</x:v>
      </x:c>
      <x:c r="E1292" s="84" t="str">
        <x:v>Annual, Biennial, Perennial</x:v>
      </x:c>
      <x:c r="F1292" s="84" t="str">
        <x:v>Herb, Subshrub</x:v>
      </x:c>
      <x:c r="G1292" s="84" t="str"/>
      <x:c r="H1292" s="84" t="str"/>
      <x:c r="I1292" s="84" t="str">
        <x:v>parthenium confertum</x:v>
      </x:c>
    </x:row>
    <x:row r="1293">
      <x:c r="A1293" s="83" t="str">
        <x:v>Wildflower Center pasted list</x:v>
      </x:c>
      <x:c r="B1293" s="84" t="n">
        <x:v>505</x:v>
      </x:c>
      <x:c r="C1293" s="87" t="str">
        <x:v>Parthenocissus heptaphylla</x:v>
      </x:c>
      <x:c r="D1293" s="84" t="str">
        <x:v>Sevenleaf Creeper, Seven-leaf Creeper</x:v>
      </x:c>
      <x:c r="E1293" s="84" t="str">
        <x:v>Perennial</x:v>
      </x:c>
      <x:c r="F1293" s="84" t="str">
        <x:v>Vine</x:v>
      </x:c>
      <x:c r="G1293" s="84" t="str">
        <x:v>Sun, Shade, Part-shade</x:v>
      </x:c>
      <x:c r="H1293" s="84" t="str">
        <x:v>Moist</x:v>
      </x:c>
      <x:c r="I1293" s="84" t="str">
        <x:v>parthenocissus heptaphylla</x:v>
      </x:c>
    </x:row>
    <x:row r="1294">
      <x:c r="A1294" s="83" t="str">
        <x:v>Wildflower Center pasted list</x:v>
      </x:c>
      <x:c r="B1294" s="84" t="n">
        <x:v>506</x:v>
      </x:c>
      <x:c r="C1294" s="87" t="str">
        <x:v>Parthenocissus quinquefolia</x:v>
      </x:c>
      <x:c r="D1294" s="84" t="str">
        <x:v>Virginia Creeper</x:v>
      </x:c>
      <x:c r="E1294" s="84" t="str">
        <x:v>Perennial</x:v>
      </x:c>
      <x:c r="F1294" s="84" t="str">
        <x:v>Vine</x:v>
      </x:c>
      <x:c r="G1294" s="84" t="str">
        <x:v>Sun, Shade, Part-shade</x:v>
      </x:c>
      <x:c r="H1294" s="84" t="str">
        <x:v>Moist</x:v>
      </x:c>
      <x:c r="I1294" s="84" t="str">
        <x:v>parthenocissus quinquefolia</x:v>
      </x:c>
    </x:row>
    <x:row r="1295">
      <x:c r="A1295" s="83" t="str">
        <x:v>Wildflower Center pasted list</x:v>
      </x:c>
      <x:c r="B1295" s="84" t="n">
        <x:v>507</x:v>
      </x:c>
      <x:c r="C1295" s="87" t="str">
        <x:v>Paspalum distichum</x:v>
      </x:c>
      <x:c r="D1295" s="84" t="str">
        <x:v>Knotgrass</x:v>
      </x:c>
      <x:c r="E1295" s="84" t="str">
        <x:v>Perennial</x:v>
      </x:c>
      <x:c r="F1295" s="84" t="str">
        <x:v>Grass/Grass-like</x:v>
      </x:c>
      <x:c r="G1295" s="84" t="str">
        <x:v>Sun</x:v>
      </x:c>
      <x:c r="H1295" s="84" t="str"/>
      <x:c r="I1295" s="84" t="str">
        <x:v>paspalum distichum</x:v>
      </x:c>
    </x:row>
    <x:row r="1296">
      <x:c r="A1296" s="83" t="str">
        <x:v>Wildflower Center pasted list</x:v>
      </x:c>
      <x:c r="B1296" s="84" t="n">
        <x:v>508</x:v>
      </x:c>
      <x:c r="C1296" s="87" t="str">
        <x:v>Paspalum floridanum</x:v>
      </x:c>
      <x:c r="D1296" s="84" t="str">
        <x:v>Florida Paspalum</x:v>
      </x:c>
      <x:c r="E1296" s="84" t="str">
        <x:v>Perennial</x:v>
      </x:c>
      <x:c r="F1296" s="84" t="str">
        <x:v>Grass/Grass-like</x:v>
      </x:c>
      <x:c r="G1296" s="84" t="str">
        <x:v>Part-shade</x:v>
      </x:c>
      <x:c r="H1296" s="84" t="str">
        <x:v>Moist</x:v>
      </x:c>
      <x:c r="I1296" s="84" t="str">
        <x:v>paspalum floridanum</x:v>
      </x:c>
    </x:row>
    <x:row r="1297">
      <x:c r="A1297" s="83" t="str">
        <x:v>Wildflower Center pasted list</x:v>
      </x:c>
      <x:c r="B1297" s="84" t="n">
        <x:v>509</x:v>
      </x:c>
      <x:c r="C1297" s="87" t="str">
        <x:v>Paspalum pubiflorum</x:v>
      </x:c>
      <x:c r="D1297" s="84" t="str">
        <x:v>Hairyseed Paspalum</x:v>
      </x:c>
      <x:c r="E1297" s="84" t="str">
        <x:v>Perennial</x:v>
      </x:c>
      <x:c r="F1297" s="84" t="str">
        <x:v>Grass/Grass-like</x:v>
      </x:c>
      <x:c r="G1297" s="84" t="str"/>
      <x:c r="H1297" s="84" t="str"/>
      <x:c r="I1297" s="84" t="str">
        <x:v>paspalum pubiflorum</x:v>
      </x:c>
    </x:row>
    <x:row r="1298">
      <x:c r="A1298" s="83" t="str">
        <x:v>Wildflower Center pasted list</x:v>
      </x:c>
      <x:c r="B1298" s="84" t="n">
        <x:v>510</x:v>
      </x:c>
      <x:c r="C1298" s="87" t="str">
        <x:v>Paspalum setaceum</x:v>
      </x:c>
      <x:c r="D1298" s="84" t="str">
        <x:v>Thin Paspalum</x:v>
      </x:c>
      <x:c r="E1298" s="84" t="str">
        <x:v>Perennial</x:v>
      </x:c>
      <x:c r="F1298" s="84" t="str">
        <x:v>Grass/Grass-like</x:v>
      </x:c>
      <x:c r="G1298" s="84" t="str"/>
      <x:c r="H1298" s="84" t="str"/>
      <x:c r="I1298" s="84" t="str">
        <x:v>paspalum setaceum</x:v>
      </x:c>
    </x:row>
    <x:row r="1299">
      <x:c r="A1299" s="83" t="str">
        <x:v>Wildflower Center pasted list</x:v>
      </x:c>
      <x:c r="B1299" s="84" t="n">
        <x:v>511</x:v>
      </x:c>
      <x:c r="C1299" s="87" t="str">
        <x:v>Passiflora affinis</x:v>
      </x:c>
      <x:c r="D1299" s="84" t="str">
        <x:v>Bracted Passionflower, Passion Flower</x:v>
      </x:c>
      <x:c r="E1299" s="84" t="str">
        <x:v>Perennial</x:v>
      </x:c>
      <x:c r="F1299" s="84" t="str">
        <x:v>Vine</x:v>
      </x:c>
      <x:c r="G1299" s="84" t="str">
        <x:v>Sun, Part-shade</x:v>
      </x:c>
      <x:c r="H1299" s="84" t="str">
        <x:v>Moist, Dry</x:v>
      </x:c>
      <x:c r="I1299" s="84" t="str">
        <x:v>passiflora affinis</x:v>
      </x:c>
    </x:row>
    <x:row r="1300">
      <x:c r="A1300" s="83" t="str">
        <x:v>Wildflower Center pasted list</x:v>
      </x:c>
      <x:c r="B1300" s="84" t="n">
        <x:v>512</x:v>
      </x:c>
      <x:c r="C1300" s="87" t="str">
        <x:v>Passiflora lutea</x:v>
      </x:c>
      <x:c r="D1300" s="84" t="str">
        <x:v>Yellow Passionflower, Yellow Passion Vine, Yellow Passion-flower</x:v>
      </x:c>
      <x:c r="E1300" s="84" t="str">
        <x:v>Perennial</x:v>
      </x:c>
      <x:c r="F1300" s="84" t="str">
        <x:v>Herb</x:v>
      </x:c>
      <x:c r="G1300" s="84" t="str">
        <x:v>Part-shade</x:v>
      </x:c>
      <x:c r="H1300" s="84" t="str">
        <x:v>Moist</x:v>
      </x:c>
      <x:c r="I1300" s="84" t="str">
        <x:v>passiflora lutea</x:v>
      </x:c>
    </x:row>
    <x:row r="1301">
      <x:c r="A1301" s="83" t="str">
        <x:v>Wildflower Center pasted list</x:v>
      </x:c>
      <x:c r="B1301" s="84" t="n">
        <x:v>513</x:v>
      </x:c>
      <x:c r="C1301" s="87" t="str">
        <x:v>Passiflora tenuiloba</x:v>
      </x:c>
      <x:c r="D1301" s="84" t="str">
        <x:v>Birdwing Passionflower, Slender-lobe Passionflower, Spread Lobe Passionflower, Bird Wing Passionflower</x:v>
      </x:c>
      <x:c r="E1301" s="84" t="str">
        <x:v>Perennial</x:v>
      </x:c>
      <x:c r="F1301" s="84" t="str">
        <x:v>Vine</x:v>
      </x:c>
      <x:c r="G1301" s="84" t="str">
        <x:v>Part-shade</x:v>
      </x:c>
      <x:c r="H1301" s="84" t="str">
        <x:v>Dry</x:v>
      </x:c>
      <x:c r="I1301" s="84" t="str">
        <x:v>passiflora tenuiloba</x:v>
      </x:c>
    </x:row>
    <x:row r="1302">
      <x:c r="A1302" s="83" t="str">
        <x:v>Wildflower Center pasted list</x:v>
      </x:c>
      <x:c r="B1302" s="84" t="n">
        <x:v>514</x:v>
      </x:c>
      <x:c r="C1302" s="87" t="str">
        <x:v>Pavonia lasiopetala</x:v>
      </x:c>
      <x:c r="D1302" s="84" t="str">
        <x:v>Rock Rose, Rose Pavonia, Rose Mallow, Pavonia</x:v>
      </x:c>
      <x:c r="E1302" s="84" t="str">
        <x:v>Perennial</x:v>
      </x:c>
      <x:c r="F1302" s="84" t="str">
        <x:v>Shrub</x:v>
      </x:c>
      <x:c r="G1302" s="84" t="str">
        <x:v>Sun, Part-shade</x:v>
      </x:c>
      <x:c r="H1302" s="84" t="str">
        <x:v>Dry</x:v>
      </x:c>
      <x:c r="I1302" s="84" t="str">
        <x:v>pavonia lasiopetala</x:v>
      </x:c>
    </x:row>
    <x:row r="1303">
      <x:c r="A1303" s="83" t="str">
        <x:v>Wildflower Center pasted list</x:v>
      </x:c>
      <x:c r="B1303" s="84" t="n">
        <x:v>515</x:v>
      </x:c>
      <x:c r="C1303" s="87" t="str">
        <x:v>Pectis angustifolia var. fastigiata</x:v>
      </x:c>
      <x:c r="D1303" s="84" t="str">
        <x:v>Lemonscent</x:v>
      </x:c>
      <x:c r="E1303" s="84" t="str">
        <x:v>Annual</x:v>
      </x:c>
      <x:c r="F1303" s="84" t="str">
        <x:v>Herb</x:v>
      </x:c>
      <x:c r="G1303" s="84" t="str"/>
      <x:c r="H1303" s="84" t="str"/>
      <x:c r="I1303" s="84" t="str">
        <x:v>pectis angustifolia var. fastigiata</x:v>
      </x:c>
    </x:row>
    <x:row r="1304">
      <x:c r="A1304" s="83" t="str">
        <x:v>Wildflower Center pasted list</x:v>
      </x:c>
      <x:c r="B1304" s="84" t="n">
        <x:v>516</x:v>
      </x:c>
      <x:c r="C1304" s="87" t="str">
        <x:v>Pediomelum cuspidatum</x:v>
      </x:c>
      <x:c r="D1304" s="84" t="str">
        <x:v>Indian-turnip, Largebract Indian Breadroot, Tall Scurfy Pea, Tall-bread Scurf-pea</x:v>
      </x:c>
      <x:c r="E1304" s="84" t="str">
        <x:v>Perennial</x:v>
      </x:c>
      <x:c r="F1304" s="84" t="str">
        <x:v>Herb</x:v>
      </x:c>
      <x:c r="G1304" s="84" t="str"/>
      <x:c r="H1304" s="84" t="str"/>
      <x:c r="I1304" s="84" t="str">
        <x:v>pediomelum cuspidatum</x:v>
      </x:c>
    </x:row>
    <x:row r="1305">
      <x:c r="A1305" s="83" t="str">
        <x:v>Wildflower Center pasted list</x:v>
      </x:c>
      <x:c r="B1305" s="84" t="n">
        <x:v>517</x:v>
      </x:c>
      <x:c r="C1305" s="87" t="str">
        <x:v>Pediomelum cyphocalyx</x:v>
      </x:c>
      <x:c r="D1305" s="84" t="str">
        <x:v>Turniproot, Wand Psoralea, Turnip-root Scurf-pea</x:v>
      </x:c>
      <x:c r="E1305" s="84" t="str">
        <x:v>Perennial</x:v>
      </x:c>
      <x:c r="F1305" s="84" t="str">
        <x:v>Herb</x:v>
      </x:c>
      <x:c r="G1305" s="84" t="str"/>
      <x:c r="H1305" s="84" t="str"/>
      <x:c r="I1305" s="84" t="str">
        <x:v>pediomelum cyphocalyx</x:v>
      </x:c>
    </x:row>
    <x:row r="1306">
      <x:c r="A1306" s="83" t="str">
        <x:v>Wildflower Center pasted list</x:v>
      </x:c>
      <x:c r="B1306" s="84" t="n">
        <x:v>518</x:v>
      </x:c>
      <x:c r="C1306" s="87" t="str">
        <x:v>Pediomelum latestipulatum</x:v>
      </x:c>
      <x:c r="D1306" s="84" t="str">
        <x:v>Texas Plains Indian Breadroot, Scurfpea, Scurf-pea</x:v>
      </x:c>
      <x:c r="E1306" s="84" t="str">
        <x:v>Perennial</x:v>
      </x:c>
      <x:c r="F1306" s="84" t="str">
        <x:v>Herb</x:v>
      </x:c>
      <x:c r="G1306" s="84" t="str"/>
      <x:c r="H1306" s="84" t="str"/>
      <x:c r="I1306" s="84" t="str">
        <x:v>pediomelum latestipulatum</x:v>
      </x:c>
    </x:row>
    <x:row r="1307">
      <x:c r="A1307" s="83" t="str">
        <x:v>Wildflower Center pasted list</x:v>
      </x:c>
      <x:c r="B1307" s="84" t="n">
        <x:v>519</x:v>
      </x:c>
      <x:c r="C1307" s="87" t="str">
        <x:v>Pediomelum linearifolium</x:v>
      </x:c>
      <x:c r="D1307" s="84" t="str">
        <x:v>Narrowleaf Indian Breadroot, Narrow-leaf Scurf-pea</x:v>
      </x:c>
      <x:c r="E1307" s="84" t="str">
        <x:v>Perennial</x:v>
      </x:c>
      <x:c r="F1307" s="84" t="str">
        <x:v>Herb</x:v>
      </x:c>
      <x:c r="G1307" s="84" t="str"/>
      <x:c r="H1307" s="84" t="str"/>
      <x:c r="I1307" s="84" t="str">
        <x:v>pediomelum linearifolium</x:v>
      </x:c>
    </x:row>
    <x:row r="1308">
      <x:c r="A1308" s="83" t="str">
        <x:v>Wildflower Center pasted list</x:v>
      </x:c>
      <x:c r="B1308" s="84" t="n">
        <x:v>520</x:v>
      </x:c>
      <x:c r="C1308" s="87" t="str">
        <x:v>Pediomelum rhombifolium</x:v>
      </x:c>
      <x:c r="D1308" s="84" t="str">
        <x:v>Gulf Indian Breadroot, Brown-flowered Psoralea, Round-leaf Scurf-pea</x:v>
      </x:c>
      <x:c r="E1308" s="84" t="str">
        <x:v>Perennial</x:v>
      </x:c>
      <x:c r="F1308" s="84" t="str">
        <x:v>Herb</x:v>
      </x:c>
      <x:c r="G1308" s="84" t="str"/>
      <x:c r="H1308" s="84" t="str"/>
      <x:c r="I1308" s="84" t="str">
        <x:v>pediomelum rhombifolium</x:v>
      </x:c>
    </x:row>
    <x:row r="1309">
      <x:c r="A1309" s="83" t="str">
        <x:v>Wildflower Center pasted list</x:v>
      </x:c>
      <x:c r="B1309" s="84" t="n">
        <x:v>521</x:v>
      </x:c>
      <x:c r="C1309" s="87" t="str">
        <x:v>Pellaea atropurpurea</x:v>
      </x:c>
      <x:c r="D1309" s="84" t="str">
        <x:v>Purple Cliffbrake</x:v>
      </x:c>
      <x:c r="E1309" s="84" t="str">
        <x:v>Perennial</x:v>
      </x:c>
      <x:c r="F1309" s="84" t="str">
        <x:v>Herb, Fern</x:v>
      </x:c>
      <x:c r="G1309" s="84" t="str"/>
      <x:c r="H1309" s="84" t="str">
        <x:v>Dry</x:v>
      </x:c>
      <x:c r="I1309" s="84" t="str">
        <x:v>pellaea atropurpurea</x:v>
      </x:c>
    </x:row>
    <x:row r="1310">
      <x:c r="A1310" s="83" t="str">
        <x:v>Wildflower Center pasted list</x:v>
      </x:c>
      <x:c r="B1310" s="84" t="n">
        <x:v>522</x:v>
      </x:c>
      <x:c r="C1310" s="87" t="str">
        <x:v>Pellaea ovata</x:v>
      </x:c>
      <x:c r="D1310" s="84" t="str">
        <x:v>Ovateleaf Cliffbrake, Ovate-leaf Cliffbrake</x:v>
      </x:c>
      <x:c r="E1310" s="84" t="str">
        <x:v>Perennial</x:v>
      </x:c>
      <x:c r="F1310" s="84" t="str">
        <x:v>Herb, Fern</x:v>
      </x:c>
      <x:c r="G1310" s="84" t="str">
        <x:v>Sun</x:v>
      </x:c>
      <x:c r="H1310" s="84" t="str"/>
      <x:c r="I1310" s="84" t="str">
        <x:v>pellaea ovata</x:v>
      </x:c>
    </x:row>
    <x:row r="1311">
      <x:c r="A1311" s="83" t="str">
        <x:v>Wildflower Center pasted list</x:v>
      </x:c>
      <x:c r="B1311" s="84" t="n">
        <x:v>523</x:v>
      </x:c>
      <x:c r="C1311" s="87" t="str">
        <x:v>Pellaea wrightiana</x:v>
      </x:c>
      <x:c r="D1311" s="84" t="str">
        <x:v>Wright's Cliffbrake Fern, Wright's Cliffbrake</x:v>
      </x:c>
      <x:c r="E1311" s="84" t="str">
        <x:v>Perennial</x:v>
      </x:c>
      <x:c r="F1311" s="84" t="str">
        <x:v>Fern</x:v>
      </x:c>
      <x:c r="G1311" s="84" t="str"/>
      <x:c r="H1311" s="84" t="str"/>
      <x:c r="I1311" s="84" t="str">
        <x:v>pellaea wrightiana</x:v>
      </x:c>
    </x:row>
    <x:row r="1312">
      <x:c r="A1312" s="83" t="str">
        <x:v>Wildflower Center pasted list</x:v>
      </x:c>
      <x:c r="B1312" s="84" t="n">
        <x:v>524</x:v>
      </x:c>
      <x:c r="C1312" s="87" t="str">
        <x:v>Penstemon cobaea</x:v>
      </x:c>
      <x:c r="D1312" s="84" t="str">
        <x:v>Prairie Penstemon, Prairie Beardtongue, Foxglove Penstemon, Foxglove Beardtongue, False Foxglove, Large-flowered Penstemon, Large-flowered Beardtongue, Cobaea Penstemon, Cobaea Beardtongue, Wild Foxglove</x:v>
      </x:c>
      <x:c r="E1312" s="84" t="str">
        <x:v>Perennial</x:v>
      </x:c>
      <x:c r="F1312" s="84" t="str">
        <x:v>Herb</x:v>
      </x:c>
      <x:c r="G1312" s="84" t="str">
        <x:v>Sun, Part-shade</x:v>
      </x:c>
      <x:c r="H1312" s="84" t="str">
        <x:v>Dry</x:v>
      </x:c>
      <x:c r="I1312" s="84" t="str">
        <x:v>penstemon cobaea</x:v>
      </x:c>
    </x:row>
    <x:row r="1313">
      <x:c r="A1313" s="83" t="str">
        <x:v>Wildflower Center pasted list</x:v>
      </x:c>
      <x:c r="B1313" s="84" t="n">
        <x:v>525</x:v>
      </x:c>
      <x:c r="C1313" s="87" t="str">
        <x:v>Penstemon triflorus</x:v>
      </x:c>
      <x:c r="D1313" s="84" t="str">
        <x:v>Hill Country Penstemon, Hill Country Beardtongue, Scarlet Penstemon, Scarlet Beardtongue, Heller's Penstemon, Heller's Beardtongue</x:v>
      </x:c>
      <x:c r="E1313" s="84" t="str">
        <x:v>Perennial</x:v>
      </x:c>
      <x:c r="F1313" s="84" t="str">
        <x:v>Herb</x:v>
      </x:c>
      <x:c r="G1313" s="84" t="str">
        <x:v>Sun</x:v>
      </x:c>
      <x:c r="H1313" s="84" t="str">
        <x:v>Dry</x:v>
      </x:c>
      <x:c r="I1313" s="84" t="str">
        <x:v>penstemon triflorus</x:v>
      </x:c>
    </x:row>
    <x:row r="1314">
      <x:c r="A1314" s="83" t="str">
        <x:v>Wildflower Center pasted list</x:v>
      </x:c>
      <x:c r="B1314" s="84" t="n">
        <x:v>526</x:v>
      </x:c>
      <x:c r="C1314" s="87" t="str">
        <x:v>Perityle lindheimeri</x:v>
      </x:c>
      <x:c r="D1314" s="84" t="str">
        <x:v>Lindheimer's Rockdaisy, Rock Daisy</x:v>
      </x:c>
      <x:c r="E1314" s="84" t="str">
        <x:v>Perennial</x:v>
      </x:c>
      <x:c r="F1314" s="84" t="str">
        <x:v>Herb, Subshrub</x:v>
      </x:c>
      <x:c r="G1314" s="84" t="str"/>
      <x:c r="H1314" s="84" t="str"/>
      <x:c r="I1314" s="84" t="str">
        <x:v>perityle lindheimeri</x:v>
      </x:c>
    </x:row>
    <x:row r="1315">
      <x:c r="A1315" s="83" t="str">
        <x:v>Wildflower Center pasted list</x:v>
      </x:c>
      <x:c r="B1315" s="84" t="n">
        <x:v>527</x:v>
      </x:c>
      <x:c r="C1315" s="87" t="str">
        <x:v>Persicaria pensylvanica</x:v>
      </x:c>
      <x:c r="D1315" s="84" t="str">
        <x:v>Pennsylvania Smartweed, Pink Smartweed</x:v>
      </x:c>
      <x:c r="E1315" s="84" t="str">
        <x:v>Annual</x:v>
      </x:c>
      <x:c r="F1315" s="84" t="str">
        <x:v>Herb</x:v>
      </x:c>
      <x:c r="G1315" s="84" t="str">
        <x:v>Sun</x:v>
      </x:c>
      <x:c r="H1315" s="84" t="str">
        <x:v>Moist</x:v>
      </x:c>
      <x:c r="I1315" s="84" t="str">
        <x:v>persicaria pensylvanica</x:v>
      </x:c>
    </x:row>
    <x:row r="1316">
      <x:c r="A1316" s="83" t="str">
        <x:v>Wildflower Center pasted list</x:v>
      </x:c>
      <x:c r="B1316" s="84" t="n">
        <x:v>528</x:v>
      </x:c>
      <x:c r="C1316" s="87" t="str">
        <x:v>Phacelia congesta</x:v>
      </x:c>
      <x:c r="D1316" s="84" t="str">
        <x:v>Caterpillars, Blue Curls, Fiddleneck</x:v>
      </x:c>
      <x:c r="E1316" s="84" t="str">
        <x:v>Annual, Biennial</x:v>
      </x:c>
      <x:c r="F1316" s="84" t="str">
        <x:v>Herb</x:v>
      </x:c>
      <x:c r="G1316" s="84" t="str">
        <x:v>Sun, Part-shade</x:v>
      </x:c>
      <x:c r="H1316" s="84" t="str">
        <x:v>Dry</x:v>
      </x:c>
      <x:c r="I1316" s="84" t="str">
        <x:v>phacelia congesta</x:v>
      </x:c>
    </x:row>
    <x:row r="1317">
      <x:c r="A1317" s="83" t="str">
        <x:v>Wildflower Center pasted list</x:v>
      </x:c>
      <x:c r="B1317" s="84" t="n">
        <x:v>529</x:v>
      </x:c>
      <x:c r="C1317" s="87" t="str">
        <x:v>Phacelia patuliflora</x:v>
      </x:c>
      <x:c r="D1317" s="84" t="str">
        <x:v>Sand Phacelia, Sand Scorpionweed, Blue Phacelia</x:v>
      </x:c>
      <x:c r="E1317" s="84" t="str">
        <x:v>Annual</x:v>
      </x:c>
      <x:c r="F1317" s="84" t="str">
        <x:v>Herb</x:v>
      </x:c>
      <x:c r="G1317" s="84" t="str">
        <x:v>Part-shade</x:v>
      </x:c>
      <x:c r="H1317" s="84" t="str">
        <x:v>Dry</x:v>
      </x:c>
      <x:c r="I1317" s="84" t="str">
        <x:v>phacelia patuliflora</x:v>
      </x:c>
    </x:row>
    <x:row r="1318">
      <x:c r="A1318" s="83" t="str">
        <x:v>Wildflower Center pasted list</x:v>
      </x:c>
      <x:c r="B1318" s="84" t="n">
        <x:v>530</x:v>
      </x:c>
      <x:c r="C1318" s="87" t="str">
        <x:v>Phacelia strictiflora</x:v>
      </x:c>
      <x:c r="D1318" s="84" t="str">
        <x:v>Prairie Phacelia</x:v>
      </x:c>
      <x:c r="E1318" s="84" t="str">
        <x:v>Annual</x:v>
      </x:c>
      <x:c r="F1318" s="84" t="str">
        <x:v>Herb</x:v>
      </x:c>
      <x:c r="G1318" s="84" t="str"/>
      <x:c r="H1318" s="84" t="str"/>
      <x:c r="I1318" s="84" t="str">
        <x:v>phacelia strictiflora</x:v>
      </x:c>
    </x:row>
    <x:row r="1319">
      <x:c r="A1319" s="83" t="str">
        <x:v>Wildflower Center pasted list</x:v>
      </x:c>
      <x:c r="B1319" s="84" t="n">
        <x:v>531</x:v>
      </x:c>
      <x:c r="C1319" s="87" t="str">
        <x:v>Phalaris caroliniana</x:v>
      </x:c>
      <x:c r="D1319" s="84" t="str">
        <x:v>Carolina Canarygrass, Maygrass</x:v>
      </x:c>
      <x:c r="E1319" s="84" t="str">
        <x:v>Annual</x:v>
      </x:c>
      <x:c r="F1319" s="84" t="str">
        <x:v>Grass/Grass-like</x:v>
      </x:c>
      <x:c r="G1319" s="84" t="str"/>
      <x:c r="H1319" s="84" t="str"/>
      <x:c r="I1319" s="84" t="str">
        <x:v>phalaris caroliniana</x:v>
      </x:c>
    </x:row>
    <x:row r="1320">
      <x:c r="A1320" s="83" t="str">
        <x:v>Wildflower Center pasted list</x:v>
      </x:c>
      <x:c r="B1320" s="84" t="n">
        <x:v>532</x:v>
      </x:c>
      <x:c r="C1320" s="87" t="str">
        <x:v>Phemeranthus aurantiacus</x:v>
      </x:c>
      <x:c r="D1320" s="84" t="str">
        <x:v>Orange Flameflower, Flameflower, Fameflower, Talinum</x:v>
      </x:c>
      <x:c r="E1320" s="84" t="str">
        <x:v>Perennial</x:v>
      </x:c>
      <x:c r="F1320" s="84" t="str">
        <x:v>Subshrub</x:v>
      </x:c>
      <x:c r="G1320" s="84" t="str">
        <x:v>Part-shade</x:v>
      </x:c>
      <x:c r="H1320" s="84" t="str">
        <x:v>Dry</x:v>
      </x:c>
      <x:c r="I1320" s="84" t="str">
        <x:v>phemeranthus aurantiacus</x:v>
      </x:c>
    </x:row>
    <x:row r="1321">
      <x:c r="A1321" s="83" t="str">
        <x:v>Wildflower Center pasted list</x:v>
      </x:c>
      <x:c r="B1321" s="84" t="n">
        <x:v>533</x:v>
      </x:c>
      <x:c r="C1321" s="87" t="str">
        <x:v>Philadelphus ernestii</x:v>
      </x:c>
      <x:c r="D1321" s="84" t="str">
        <x:v>Canyon Mock Orange, Canyon Mock-orange, Mock-orange</x:v>
      </x:c>
      <x:c r="E1321" s="84" t="str">
        <x:v>Perennial</x:v>
      </x:c>
      <x:c r="F1321" s="84" t="str">
        <x:v>Shrub</x:v>
      </x:c>
      <x:c r="G1321" s="84" t="str">
        <x:v>Sun, Part-shade</x:v>
      </x:c>
      <x:c r="H1321" s="84" t="str">
        <x:v>Moist, Dry</x:v>
      </x:c>
      <x:c r="I1321" s="84" t="str">
        <x:v>philadelphus ernestii</x:v>
      </x:c>
    </x:row>
    <x:row r="1322">
      <x:c r="A1322" s="83" t="str">
        <x:v>Wildflower Center pasted list</x:v>
      </x:c>
      <x:c r="B1322" s="84" t="n">
        <x:v>534</x:v>
      </x:c>
      <x:c r="C1322" s="87" t="str">
        <x:v>Phlox drummondii</x:v>
      </x:c>
      <x:c r="D1322" s="84" t="str">
        <x:v>Annual Phlox, Drummond Phlox, Pride-of-Texas, Texas Pride</x:v>
      </x:c>
      <x:c r="E1322" s="84" t="str">
        <x:v>Annual</x:v>
      </x:c>
      <x:c r="F1322" s="84" t="str">
        <x:v>Herb</x:v>
      </x:c>
      <x:c r="G1322" s="84" t="str">
        <x:v>Sun, Part-shade</x:v>
      </x:c>
      <x:c r="H1322" s="84" t="str">
        <x:v>Dry</x:v>
      </x:c>
      <x:c r="I1322" s="84" t="str">
        <x:v>phlox drummondii</x:v>
      </x:c>
    </x:row>
    <x:row r="1323">
      <x:c r="A1323" s="83" t="str">
        <x:v>Wildflower Center pasted list</x:v>
      </x:c>
      <x:c r="B1323" s="84" t="n">
        <x:v>535</x:v>
      </x:c>
      <x:c r="C1323" s="87" t="str">
        <x:v>Phlox pilosa ssp. riparia</x:v>
      </x:c>
      <x:c r="D1323" s="84" t="str">
        <x:v>Streamside Phlox</x:v>
      </x:c>
      <x:c r="E1323" s="84" t="str">
        <x:v>Perennial</x:v>
      </x:c>
      <x:c r="F1323" s="84" t="str">
        <x:v>Herb, Subshrub</x:v>
      </x:c>
      <x:c r="G1323" s="84" t="str"/>
      <x:c r="H1323" s="84" t="str"/>
      <x:c r="I1323" s="84" t="str">
        <x:v>phlox pilosa ssp. riparia</x:v>
      </x:c>
    </x:row>
    <x:row r="1324">
      <x:c r="A1324" s="83" t="str">
        <x:v>Wildflower Center pasted list</x:v>
      </x:c>
      <x:c r="B1324" s="84" t="n">
        <x:v>536</x:v>
      </x:c>
      <x:c r="C1324" s="87" t="str">
        <x:v>Phlox roemeriana</x:v>
      </x:c>
      <x:c r="D1324" s="84" t="str">
        <x:v>Goldeneye Phlox, Golden-eye Phlox</x:v>
      </x:c>
      <x:c r="E1324" s="84" t="str">
        <x:v>Annual</x:v>
      </x:c>
      <x:c r="F1324" s="84" t="str">
        <x:v>Herb</x:v>
      </x:c>
      <x:c r="G1324" s="84" t="str">
        <x:v>Part-shade</x:v>
      </x:c>
      <x:c r="H1324" s="84" t="str">
        <x:v>Dry</x:v>
      </x:c>
      <x:c r="I1324" s="84" t="str">
        <x:v>phlox roemeriana</x:v>
      </x:c>
    </x:row>
    <x:row r="1325">
      <x:c r="A1325" s="83" t="str">
        <x:v>Wildflower Center pasted list</x:v>
      </x:c>
      <x:c r="B1325" s="84" t="n">
        <x:v>537</x:v>
      </x:c>
      <x:c r="C1325" s="87" t="str">
        <x:v>Phoradendron tomentosum</x:v>
      </x:c>
      <x:c r="D1325" s="84" t="str">
        <x:v>Christmas Mistletoe, Mistletoe, Injerto</x:v>
      </x:c>
      <x:c r="E1325" s="84" t="str">
        <x:v>Perennial</x:v>
      </x:c>
      <x:c r="F1325" s="84" t="str">
        <x:v>Subshrub</x:v>
      </x:c>
      <x:c r="G1325" s="84" t="str"/>
      <x:c r="H1325" s="84" t="str"/>
      <x:c r="I1325" s="84" t="str">
        <x:v>phoradendron tomentosum</x:v>
      </x:c>
    </x:row>
    <x:row r="1326">
      <x:c r="A1326" s="83" t="str">
        <x:v>Wildflower Center pasted list</x:v>
      </x:c>
      <x:c r="B1326" s="84" t="n">
        <x:v>538</x:v>
      </x:c>
      <x:c r="C1326" s="87" t="str">
        <x:v>Phyla nodiflora</x:v>
      </x:c>
      <x:c r="D1326" s="84" t="str">
        <x:v>Texas Frogfruit, Turkey Tangle Fogfruit, Frogfruit</x:v>
      </x:c>
      <x:c r="E1326" s="84" t="str">
        <x:v>Perennial</x:v>
      </x:c>
      <x:c r="F1326" s="84" t="str">
        <x:v>Herb</x:v>
      </x:c>
      <x:c r="G1326" s="84" t="str">
        <x:v>Sun, Part-shade</x:v>
      </x:c>
      <x:c r="H1326" s="84" t="str">
        <x:v>Moist, Dry</x:v>
      </x:c>
      <x:c r="I1326" s="84" t="str">
        <x:v>phyla nodiflora</x:v>
      </x:c>
    </x:row>
    <x:row r="1327">
      <x:c r="A1327" s="83" t="str">
        <x:v>Wildflower Center pasted list</x:v>
      </x:c>
      <x:c r="B1327" s="84" t="n">
        <x:v>539</x:v>
      </x:c>
      <x:c r="C1327" s="87" t="str">
        <x:v>Phyllanthus polygonoides</x:v>
      </x:c>
      <x:c r="D1327" s="84" t="str">
        <x:v>Smartweed Leaf-flower, Knotweed Leafflower</x:v>
      </x:c>
      <x:c r="E1327" s="84" t="str">
        <x:v>Perennial</x:v>
      </x:c>
      <x:c r="F1327" s="84" t="str">
        <x:v>Subshrub</x:v>
      </x:c>
      <x:c r="G1327" s="84" t="str"/>
      <x:c r="H1327" s="84" t="str"/>
      <x:c r="I1327" s="84" t="str">
        <x:v>phyllanthus polygonoides</x:v>
      </x:c>
    </x:row>
    <x:row r="1328">
      <x:c r="A1328" s="83" t="str">
        <x:v>Wildflower Center pasted list</x:v>
      </x:c>
      <x:c r="B1328" s="84" t="n">
        <x:v>540</x:v>
      </x:c>
      <x:c r="C1328" s="87" t="str">
        <x:v>Physalis cinerascens</x:v>
      </x:c>
      <x:c r="D1328" s="84" t="str">
        <x:v>Smallflower Groundcherry</x:v>
      </x:c>
      <x:c r="E1328" s="84" t="str">
        <x:v>Perennial</x:v>
      </x:c>
      <x:c r="F1328" s="84" t="str">
        <x:v>Herb</x:v>
      </x:c>
      <x:c r="G1328" s="84" t="str"/>
      <x:c r="H1328" s="84" t="str"/>
      <x:c r="I1328" s="84" t="str">
        <x:v>physalis cinerascens</x:v>
      </x:c>
    </x:row>
    <x:row r="1329">
      <x:c r="A1329" s="83" t="str">
        <x:v>Wildflower Center pasted list</x:v>
      </x:c>
      <x:c r="B1329" s="84" t="n">
        <x:v>541</x:v>
      </x:c>
      <x:c r="C1329" s="87" t="str">
        <x:v>Physostegia angustifolia</x:v>
      </x:c>
      <x:c r="D1329" s="84" t="str">
        <x:v>Narrowleaf False Dragonhead, False Dragon-head</x:v>
      </x:c>
      <x:c r="E1329" s="84" t="str">
        <x:v>Perennial</x:v>
      </x:c>
      <x:c r="F1329" s="84" t="str">
        <x:v>Herb</x:v>
      </x:c>
      <x:c r="G1329" s="84" t="str"/>
      <x:c r="H1329" s="84" t="str"/>
      <x:c r="I1329" s="84" t="str">
        <x:v>physostegia angustifolia</x:v>
      </x:c>
    </x:row>
    <x:row r="1330">
      <x:c r="A1330" s="83" t="str">
        <x:v>Wildflower Center pasted list</x:v>
      </x:c>
      <x:c r="B1330" s="84" t="n">
        <x:v>542</x:v>
      </x:c>
      <x:c r="C1330" s="87" t="str">
        <x:v>Phytolacca americana</x:v>
      </x:c>
      <x:c r="D1330" s="84" t="str">
        <x:v>American Pokeweed, Great Pokeweed, Pokeweed, Pokeberry, Red Ink Plant, Pigeonberry</x:v>
      </x:c>
      <x:c r="E1330" s="84" t="str">
        <x:v>Perennial</x:v>
      </x:c>
      <x:c r="F1330" s="84" t="str">
        <x:v>Herb</x:v>
      </x:c>
      <x:c r="G1330" s="84" t="str">
        <x:v>Part-shade</x:v>
      </x:c>
      <x:c r="H1330" s="84" t="str">
        <x:v>Moist</x:v>
      </x:c>
      <x:c r="I1330" s="84" t="str">
        <x:v>phytolacca americana</x:v>
      </x:c>
    </x:row>
    <x:row r="1331">
      <x:c r="A1331" s="83" t="str">
        <x:v>Wildflower Center pasted list</x:v>
      </x:c>
      <x:c r="B1331" s="84" t="n">
        <x:v>543</x:v>
      </x:c>
      <x:c r="C1331" s="87" t="str">
        <x:v>Pilostyles thurberi</x:v>
      </x:c>
      <x:c r="D1331" s="84" t="str">
        <x:v>Thurber's Stemsucker, Pilostyles</x:v>
      </x:c>
      <x:c r="E1331" s="84" t="str">
        <x:v>Perennial</x:v>
      </x:c>
      <x:c r="F1331" s="84" t="str">
        <x:v>Herb</x:v>
      </x:c>
      <x:c r="G1331" s="84" t="str"/>
      <x:c r="H1331" s="84" t="str"/>
      <x:c r="I1331" s="84" t="str">
        <x:v>pilostyles thurberi</x:v>
      </x:c>
    </x:row>
    <x:row r="1332">
      <x:c r="A1332" s="83" t="str">
        <x:v>Wildflower Center pasted list</x:v>
      </x:c>
      <x:c r="B1332" s="84" t="n">
        <x:v>544</x:v>
      </x:c>
      <x:c r="C1332" s="87" t="str">
        <x:v>Pinaropappus roseus</x:v>
      </x:c>
      <x:c r="D1332" s="84" t="str">
        <x:v>White Rocklettuce, White Dandelion, Pink Dandelion, White Rock Lettuce</x:v>
      </x:c>
      <x:c r="E1332" s="84" t="str">
        <x:v>Perennial</x:v>
      </x:c>
      <x:c r="F1332" s="84" t="str">
        <x:v>Herb</x:v>
      </x:c>
      <x:c r="G1332" s="84" t="str"/>
      <x:c r="H1332" s="84" t="str"/>
      <x:c r="I1332" s="84" t="str">
        <x:v>pinaropappus roseus</x:v>
      </x:c>
    </x:row>
    <x:row r="1333">
      <x:c r="A1333" s="83" t="str">
        <x:v>Wildflower Center pasted list</x:v>
      </x:c>
      <x:c r="B1333" s="84" t="n">
        <x:v>545</x:v>
      </x:c>
      <x:c r="C1333" s="87" t="str">
        <x:v>Pistia stratiotes</x:v>
      </x:c>
      <x:c r="D1333" s="84" t="str">
        <x:v>Water Lettuce</x:v>
      </x:c>
      <x:c r="E1333" s="84" t="str">
        <x:v>Perennial</x:v>
      </x:c>
      <x:c r="F1333" s="84" t="str">
        <x:v>Herb</x:v>
      </x:c>
      <x:c r="G1333" s="84" t="str"/>
      <x:c r="H1333" s="84" t="str"/>
      <x:c r="I1333" s="84" t="str">
        <x:v>pistia stratiotes</x:v>
      </x:c>
    </x:row>
    <x:row r="1334">
      <x:c r="A1334" s="83" t="str">
        <x:v>Wildflower Center pasted list</x:v>
      </x:c>
      <x:c r="B1334" s="84" t="n">
        <x:v>546</x:v>
      </x:c>
      <x:c r="C1334" s="87" t="str">
        <x:v>Plantago helleri</x:v>
      </x:c>
      <x:c r="D1334" s="84" t="str">
        <x:v>Heller's Plantain, Cedar Plantain</x:v>
      </x:c>
      <x:c r="E1334" s="84" t="str">
        <x:v>Annual</x:v>
      </x:c>
      <x:c r="F1334" s="84" t="str">
        <x:v>Herb</x:v>
      </x:c>
      <x:c r="G1334" s="84" t="str"/>
      <x:c r="H1334" s="84" t="str"/>
      <x:c r="I1334" s="84" t="str">
        <x:v>plantago helleri</x:v>
      </x:c>
    </x:row>
    <x:row r="1335">
      <x:c r="A1335" s="83" t="str">
        <x:v>Wildflower Center pasted list</x:v>
      </x:c>
      <x:c r="B1335" s="84" t="n">
        <x:v>547</x:v>
      </x:c>
      <x:c r="C1335" s="87" t="str">
        <x:v>Plantago rhodosperma</x:v>
      </x:c>
      <x:c r="D1335" s="84" t="str">
        <x:v>Redseed Plantain, Red-seeded Plantain</x:v>
      </x:c>
      <x:c r="E1335" s="84" t="str">
        <x:v>Annual</x:v>
      </x:c>
      <x:c r="F1335" s="84" t="str">
        <x:v>Herb</x:v>
      </x:c>
      <x:c r="G1335" s="84" t="str"/>
      <x:c r="H1335" s="84" t="str"/>
      <x:c r="I1335" s="84" t="str">
        <x:v>plantago rhodosperma</x:v>
      </x:c>
    </x:row>
    <x:row r="1336">
      <x:c r="A1336" s="83" t="str">
        <x:v>Wildflower Center pasted list</x:v>
      </x:c>
      <x:c r="B1336" s="84" t="n">
        <x:v>548</x:v>
      </x:c>
      <x:c r="C1336" s="87" t="str">
        <x:v>Platanus occidentalis</x:v>
      </x:c>
      <x:c r="D1336" s="84" t="str">
        <x:v>American Sycamore, Eastern Sycamore, American Plane Tree, Plane Tree, Buttonwood, Buttonball Tree</x:v>
      </x:c>
      <x:c r="E1336" s="84" t="str">
        <x:v>Perennial</x:v>
      </x:c>
      <x:c r="F1336" s="84" t="str">
        <x:v>Tree</x:v>
      </x:c>
      <x:c r="G1336" s="84" t="str">
        <x:v>Sun, Shade, Part-shade</x:v>
      </x:c>
      <x:c r="H1336" s="84" t="str">
        <x:v>Moist</x:v>
      </x:c>
      <x:c r="I1336" s="84" t="str">
        <x:v>platanus occidentalis</x:v>
      </x:c>
    </x:row>
    <x:row r="1337">
      <x:c r="A1337" s="83" t="str">
        <x:v>Wildflower Center pasted list</x:v>
      </x:c>
      <x:c r="B1337" s="84" t="n">
        <x:v>549</x:v>
      </x:c>
      <x:c r="C1337" s="87" t="str">
        <x:v>Plectocephalus americanus</x:v>
      </x:c>
      <x:c r="D1337" s="84" t="str">
        <x:v>American Basket-flower, American Star-thistle, Basket-flower, Star Thistle, Shaving Brush, Basket Flower, American Basketflower</x:v>
      </x:c>
      <x:c r="E1337" s="84" t="str">
        <x:v>Annual</x:v>
      </x:c>
      <x:c r="F1337" s="84" t="str">
        <x:v>Herb</x:v>
      </x:c>
      <x:c r="G1337" s="84" t="str">
        <x:v>Sun, Part-shade</x:v>
      </x:c>
      <x:c r="H1337" s="84" t="str">
        <x:v>Dry</x:v>
      </x:c>
      <x:c r="I1337" s="84" t="str">
        <x:v>plectocephalus americanus</x:v>
      </x:c>
    </x:row>
    <x:row r="1338">
      <x:c r="A1338" s="83" t="str">
        <x:v>Wildflower Center pasted list</x:v>
      </x:c>
      <x:c r="B1338" s="84" t="n">
        <x:v>550</x:v>
      </x:c>
      <x:c r="C1338" s="87" t="str">
        <x:v>Pleuraphis mutica</x:v>
      </x:c>
      <x:c r="D1338" s="84" t="str">
        <x:v>Tobosagrass, Tobosa Grass</x:v>
      </x:c>
      <x:c r="E1338" s="84" t="str">
        <x:v>Perennial</x:v>
      </x:c>
      <x:c r="F1338" s="84" t="str">
        <x:v>Grass/Grass-like</x:v>
      </x:c>
      <x:c r="G1338" s="84" t="str">
        <x:v>Sun</x:v>
      </x:c>
      <x:c r="H1338" s="84" t="str">
        <x:v>Dry</x:v>
      </x:c>
      <x:c r="I1338" s="84" t="str">
        <x:v>pleuraphis mutica</x:v>
      </x:c>
    </x:row>
    <x:row r="1339">
      <x:c r="A1339" s="83" t="str">
        <x:v>Wildflower Center pasted list</x:v>
      </x:c>
      <x:c r="B1339" s="84" t="n">
        <x:v>551</x:v>
      </x:c>
      <x:c r="C1339" s="87" t="str">
        <x:v>Pluchea camphorata</x:v>
      </x:c>
      <x:c r="D1339" s="84" t="str">
        <x:v>Camphor Pluchea, Camphor Weed</x:v>
      </x:c>
      <x:c r="E1339" s="84" t="str">
        <x:v>Annual</x:v>
      </x:c>
      <x:c r="F1339" s="84" t="str">
        <x:v>Herb</x:v>
      </x:c>
      <x:c r="G1339" s="84" t="str"/>
      <x:c r="H1339" s="84" t="str"/>
      <x:c r="I1339" s="84" t="str">
        <x:v>pluchea camphorata</x:v>
      </x:c>
    </x:row>
    <x:row r="1340">
      <x:c r="A1340" s="83" t="str">
        <x:v>Wildflower Center pasted list</x:v>
      </x:c>
      <x:c r="B1340" s="84" t="n">
        <x:v>552</x:v>
      </x:c>
      <x:c r="C1340" s="87" t="str">
        <x:v>Pluchea odorata</x:v>
      </x:c>
      <x:c r="D1340" s="84" t="str">
        <x:v>Sweetscent, Saltmarsh Fleabane</x:v>
      </x:c>
      <x:c r="E1340" s="84" t="str">
        <x:v>Annual</x:v>
      </x:c>
      <x:c r="F1340" s="84" t="str">
        <x:v>Subshrub</x:v>
      </x:c>
      <x:c r="G1340" s="84" t="str">
        <x:v>Sun, Shade, Part-shade</x:v>
      </x:c>
      <x:c r="H1340" s="84" t="str">
        <x:v>Moist</x:v>
      </x:c>
      <x:c r="I1340" s="84" t="str">
        <x:v>pluchea odorata</x:v>
      </x:c>
    </x:row>
    <x:row r="1341">
      <x:c r="A1341" s="83" t="str">
        <x:v>Wildflower Center pasted list</x:v>
      </x:c>
      <x:c r="B1341" s="84" t="n">
        <x:v>553</x:v>
      </x:c>
      <x:c r="C1341" s="87" t="str">
        <x:v>Polanisia dodecandra ssp. trachysperma</x:v>
      </x:c>
      <x:c r="D1341" s="84" t="str">
        <x:v>Sandyseed Clammyweed, Clammy-weed, Clammyweed</x:v>
      </x:c>
      <x:c r="E1341" s="84" t="str">
        <x:v>Annual</x:v>
      </x:c>
      <x:c r="F1341" s="84" t="str">
        <x:v>Herb</x:v>
      </x:c>
      <x:c r="G1341" s="84" t="str">
        <x:v>Sun</x:v>
      </x:c>
      <x:c r="H1341" s="84" t="str"/>
      <x:c r="I1341" s="84" t="str">
        <x:v>polanisia dodecandra ssp. trachysperma</x:v>
      </x:c>
    </x:row>
    <x:row r="1342">
      <x:c r="A1342" s="83" t="str">
        <x:v>Wildflower Center pasted list</x:v>
      </x:c>
      <x:c r="B1342" s="84" t="n">
        <x:v>554</x:v>
      </x:c>
      <x:c r="C1342" s="87" t="str">
        <x:v>Polygala alba</x:v>
      </x:c>
      <x:c r="D1342" s="84" t="str">
        <x:v>White Milkwort</x:v>
      </x:c>
      <x:c r="E1342" s="84" t="str">
        <x:v>Perennial</x:v>
      </x:c>
      <x:c r="F1342" s="84" t="str">
        <x:v>Herb</x:v>
      </x:c>
      <x:c r="G1342" s="84" t="str">
        <x:v>Part-shade</x:v>
      </x:c>
      <x:c r="H1342" s="84" t="str">
        <x:v>Dry</x:v>
      </x:c>
      <x:c r="I1342" s="84" t="str">
        <x:v>polygala alba</x:v>
      </x:c>
    </x:row>
    <x:row r="1343">
      <x:c r="A1343" s="83" t="str">
        <x:v>Wildflower Center pasted list</x:v>
      </x:c>
      <x:c r="B1343" s="84" t="n">
        <x:v>555</x:v>
      </x:c>
      <x:c r="C1343" s="87" t="str">
        <x:v>Polygala lindheimeri var. lindheimeri</x:v>
      </x:c>
      <x:c r="D1343" s="84" t="str">
        <x:v>Shrubby Milkwort, Purple Milkwort</x:v>
      </x:c>
      <x:c r="E1343" s="84" t="str">
        <x:v>Perennial</x:v>
      </x:c>
      <x:c r="F1343" s="84" t="str">
        <x:v>Herb, Subshrub</x:v>
      </x:c>
      <x:c r="G1343" s="84" t="str"/>
      <x:c r="H1343" s="84" t="str"/>
      <x:c r="I1343" s="84" t="str">
        <x:v>polygala lindheimeri var. lindheimeri</x:v>
      </x:c>
    </x:row>
    <x:row r="1344">
      <x:c r="A1344" s="83" t="str">
        <x:v>Wildflower Center pasted list</x:v>
      </x:c>
      <x:c r="B1344" s="84" t="n">
        <x:v>556</x:v>
      </x:c>
      <x:c r="C1344" s="87" t="str">
        <x:v>Polygonum glabrum</x:v>
      </x:c>
      <x:c r="D1344" s="84" t="str">
        <x:v>Denseflower Knotweed</x:v>
      </x:c>
      <x:c r="E1344" s="84" t="str">
        <x:v>Annual</x:v>
      </x:c>
      <x:c r="F1344" s="84" t="str">
        <x:v>Herb</x:v>
      </x:c>
      <x:c r="G1344" s="84" t="str"/>
      <x:c r="H1344" s="84" t="str"/>
      <x:c r="I1344" s="84" t="str">
        <x:v>polygonum glabrum</x:v>
      </x:c>
    </x:row>
    <x:row r="1345">
      <x:c r="A1345" s="83" t="str">
        <x:v>Wildflower Center pasted list</x:v>
      </x:c>
      <x:c r="B1345" s="84" t="n">
        <x:v>557</x:v>
      </x:c>
      <x:c r="C1345" s="87" t="str">
        <x:v>Polygonum hydropiperoides</x:v>
      </x:c>
      <x:c r="D1345" s="84" t="str">
        <x:v>Swamp Smartweed</x:v>
      </x:c>
      <x:c r="E1345" s="84" t="str">
        <x:v>Perennial</x:v>
      </x:c>
      <x:c r="F1345" s="84" t="str">
        <x:v>Herb</x:v>
      </x:c>
      <x:c r="G1345" s="84" t="str">
        <x:v>Sun</x:v>
      </x:c>
      <x:c r="H1345" s="84" t="str"/>
      <x:c r="I1345" s="84" t="str">
        <x:v>polygonum hydropiperoides</x:v>
      </x:c>
    </x:row>
    <x:row r="1346">
      <x:c r="A1346" s="83" t="str">
        <x:v>Wildflower Center pasted list</x:v>
      </x:c>
      <x:c r="B1346" s="84" t="n">
        <x:v>558</x:v>
      </x:c>
      <x:c r="C1346" s="87" t="str">
        <x:v>Polygonum lapathifolium</x:v>
      </x:c>
      <x:c r="D1346" s="84" t="str">
        <x:v>Curlytop Knotweed, Curl-top Smartweed, Pale Smartweed</x:v>
      </x:c>
      <x:c r="E1346" s="84" t="str">
        <x:v>Annual</x:v>
      </x:c>
      <x:c r="F1346" s="84" t="str">
        <x:v>Herb</x:v>
      </x:c>
      <x:c r="G1346" s="84" t="str"/>
      <x:c r="H1346" s="84" t="str"/>
      <x:c r="I1346" s="84" t="str">
        <x:v>polygonum lapathifolium</x:v>
      </x:c>
    </x:row>
    <x:row r="1347">
      <x:c r="A1347" s="83" t="str">
        <x:v>Wildflower Center pasted list</x:v>
      </x:c>
      <x:c r="B1347" s="84" t="n">
        <x:v>559</x:v>
      </x:c>
      <x:c r="C1347" s="87" t="str">
        <x:v>Polygonum punctatum</x:v>
      </x:c>
      <x:c r="D1347" s="84" t="str">
        <x:v>Dotted Smartweed</x:v>
      </x:c>
      <x:c r="E1347" s="84" t="str">
        <x:v>Annual</x:v>
      </x:c>
      <x:c r="F1347" s="84" t="str">
        <x:v>Herb</x:v>
      </x:c>
      <x:c r="G1347" s="84" t="str">
        <x:v>Sun</x:v>
      </x:c>
      <x:c r="H1347" s="84" t="str"/>
      <x:c r="I1347" s="84" t="str">
        <x:v>polygonum punctatum</x:v>
      </x:c>
    </x:row>
    <x:row r="1348">
      <x:c r="A1348" s="83" t="str">
        <x:v>Wildflower Center pasted list</x:v>
      </x:c>
      <x:c r="B1348" s="84" t="n">
        <x:v>560</x:v>
      </x:c>
      <x:c r="C1348" s="87" t="str">
        <x:v>Polygonum setaceum</x:v>
      </x:c>
      <x:c r="D1348" s="84" t="str">
        <x:v>Bog Smartweed</x:v>
      </x:c>
      <x:c r="E1348" s="84" t="str">
        <x:v>Perennial</x:v>
      </x:c>
      <x:c r="F1348" s="84" t="str">
        <x:v>Herb</x:v>
      </x:c>
      <x:c r="G1348" s="84" t="str"/>
      <x:c r="H1348" s="84" t="str"/>
      <x:c r="I1348" s="84" t="str">
        <x:v>polygonum setaceum</x:v>
      </x:c>
    </x:row>
    <x:row r="1349">
      <x:c r="A1349" s="83" t="str">
        <x:v>Wildflower Center pasted list</x:v>
      </x:c>
      <x:c r="B1349" s="84" t="n">
        <x:v>561</x:v>
      </x:c>
      <x:c r="C1349" s="87" t="str">
        <x:v>Polytaenia nuttallii</x:v>
      </x:c>
      <x:c r="D1349" s="84" t="str">
        <x:v>Nuttall's Prairie Parsley, Prairie Parsley, Wild Dill, Prairie Parsnip</x:v>
      </x:c>
      <x:c r="E1349" s="84" t="str">
        <x:v>Biennial</x:v>
      </x:c>
      <x:c r="F1349" s="84" t="str">
        <x:v>Herb</x:v>
      </x:c>
      <x:c r="G1349" s="84" t="str">
        <x:v>Sun, Part-shade</x:v>
      </x:c>
      <x:c r="H1349" s="84" t="str">
        <x:v>Moist, Dry</x:v>
      </x:c>
      <x:c r="I1349" s="84" t="str">
        <x:v>polytaenia nuttallii</x:v>
      </x:c>
    </x:row>
    <x:row r="1350">
      <x:c r="A1350" s="83" t="str">
        <x:v>Wildflower Center pasted list</x:v>
      </x:c>
      <x:c r="B1350" s="84" t="n">
        <x:v>562</x:v>
      </x:c>
      <x:c r="C1350" s="87" t="str">
        <x:v>Polytaenia texana</x:v>
      </x:c>
      <x:c r="D1350" s="84" t="str">
        <x:v>Texas Prairie Parsley, Texas-parsley, Texas Parsley</x:v>
      </x:c>
      <x:c r="E1350" s="84" t="str">
        <x:v>Biennial</x:v>
      </x:c>
      <x:c r="F1350" s="84" t="str">
        <x:v>Herb</x:v>
      </x:c>
      <x:c r="G1350" s="84" t="str">
        <x:v>Sun</x:v>
      </x:c>
      <x:c r="H1350" s="84" t="str">
        <x:v>Dry</x:v>
      </x:c>
      <x:c r="I1350" s="84" t="str">
        <x:v>polytaenia texana</x:v>
      </x:c>
    </x:row>
    <x:row r="1351">
      <x:c r="A1351" s="83" t="str">
        <x:v>Wildflower Center pasted list</x:v>
      </x:c>
      <x:c r="B1351" s="84" t="n">
        <x:v>563</x:v>
      </x:c>
      <x:c r="C1351" s="87" t="str">
        <x:v>Pontederia cordata</x:v>
      </x:c>
      <x:c r="D1351" s="84" t="str">
        <x:v>Pickerelweed, Pickerel Rush</x:v>
      </x:c>
      <x:c r="E1351" s="84" t="str">
        <x:v>Perennial</x:v>
      </x:c>
      <x:c r="F1351" s="84" t="str">
        <x:v>Herb</x:v>
      </x:c>
      <x:c r="G1351" s="84" t="str">
        <x:v>Sun, Part-shade</x:v>
      </x:c>
      <x:c r="H1351" s="84" t="str">
        <x:v>Wet, Moist</x:v>
      </x:c>
      <x:c r="I1351" s="84" t="str">
        <x:v>pontederia cordata</x:v>
      </x:c>
    </x:row>
    <x:row r="1352">
      <x:c r="A1352" s="83" t="str">
        <x:v>Wildflower Center pasted list</x:v>
      </x:c>
      <x:c r="B1352" s="84" t="n">
        <x:v>564</x:v>
      </x:c>
      <x:c r="C1352" s="87" t="str">
        <x:v>Populus deltoides ssp. deltoides</x:v>
      </x:c>
      <x:c r="D1352" s="84" t="str">
        <x:v>Eastern Cottonwood, Southern Cottonwood, Carolina Poplar, Eastern Poplar, Necklace Poplar, Alamo</x:v>
      </x:c>
      <x:c r="E1352" s="84" t="str">
        <x:v>Perennial</x:v>
      </x:c>
      <x:c r="F1352" s="84" t="str">
        <x:v>Tree</x:v>
      </x:c>
      <x:c r="G1352" s="84" t="str">
        <x:v>Sun, Shade, Part-shade</x:v>
      </x:c>
      <x:c r="H1352" s="84" t="str">
        <x:v>Moist</x:v>
      </x:c>
      <x:c r="I1352" s="84" t="str">
        <x:v>populus deltoides ssp. deltoides</x:v>
      </x:c>
    </x:row>
    <x:row r="1353">
      <x:c r="A1353" s="83" t="str">
        <x:v>Wildflower Center pasted list</x:v>
      </x:c>
      <x:c r="B1353" s="84" t="n">
        <x:v>565</x:v>
      </x:c>
      <x:c r="C1353" s="87" t="str">
        <x:v>Portulaca pilosa</x:v>
      </x:c>
      <x:c r="D1353" s="84" t="str">
        <x:v>Kiss Me Quick, Chisme</x:v>
      </x:c>
      <x:c r="E1353" s="84" t="str">
        <x:v>Annual</x:v>
      </x:c>
      <x:c r="F1353" s="84" t="str">
        <x:v>Herb</x:v>
      </x:c>
      <x:c r="G1353" s="84" t="str">
        <x:v>Sun, Part-shade</x:v>
      </x:c>
      <x:c r="H1353" s="84" t="str">
        <x:v>Moist, Dry</x:v>
      </x:c>
      <x:c r="I1353" s="84" t="str">
        <x:v>portulaca pilosa</x:v>
      </x:c>
    </x:row>
    <x:row r="1354">
      <x:c r="A1354" s="83" t="str">
        <x:v>Wildflower Center pasted list</x:v>
      </x:c>
      <x:c r="B1354" s="84" t="n">
        <x:v>566</x:v>
      </x:c>
      <x:c r="C1354" s="87" t="str">
        <x:v>Portulaca umbraticola</x:v>
      </x:c>
      <x:c r="D1354" s="84" t="str">
        <x:v>Wingpod Purslane, Purslane</x:v>
      </x:c>
      <x:c r="E1354" s="84" t="str">
        <x:v>Annual</x:v>
      </x:c>
      <x:c r="F1354" s="84" t="str">
        <x:v>Herb</x:v>
      </x:c>
      <x:c r="G1354" s="84" t="str"/>
      <x:c r="H1354" s="84" t="str"/>
      <x:c r="I1354" s="84" t="str">
        <x:v>portulaca umbraticola</x:v>
      </x:c>
    </x:row>
    <x:row r="1355">
      <x:c r="A1355" s="83" t="str">
        <x:v>Wildflower Center pasted list</x:v>
      </x:c>
      <x:c r="B1355" s="84" t="n">
        <x:v>567</x:v>
      </x:c>
      <x:c r="C1355" s="87" t="str">
        <x:v>Potamogeton illinoensis</x:v>
      </x:c>
      <x:c r="D1355" s="84" t="str">
        <x:v>Illinois Pondweed</x:v>
      </x:c>
      <x:c r="E1355" s="84" t="str">
        <x:v>Perennial</x:v>
      </x:c>
      <x:c r="F1355" s="84" t="str">
        <x:v>Herb</x:v>
      </x:c>
      <x:c r="G1355" s="84" t="str"/>
      <x:c r="H1355" s="84" t="str"/>
      <x:c r="I1355" s="84" t="str">
        <x:v>potamogeton illinoensis</x:v>
      </x:c>
    </x:row>
    <x:row r="1356">
      <x:c r="A1356" s="83" t="str">
        <x:v>Wildflower Center pasted list</x:v>
      </x:c>
      <x:c r="B1356" s="84" t="n">
        <x:v>568</x:v>
      </x:c>
      <x:c r="C1356" s="87" t="str">
        <x:v>Potamogeton nodosus</x:v>
      </x:c>
      <x:c r="D1356" s="84" t="str">
        <x:v>Longleaf Pondweed, Knotty Pondweed</x:v>
      </x:c>
      <x:c r="E1356" s="84" t="str">
        <x:v>Perennial</x:v>
      </x:c>
      <x:c r="F1356" s="84" t="str">
        <x:v>Herb</x:v>
      </x:c>
      <x:c r="G1356" s="84" t="str">
        <x:v>Sun, Part-shade</x:v>
      </x:c>
      <x:c r="H1356" s="84" t="str">
        <x:v>Wet</x:v>
      </x:c>
      <x:c r="I1356" s="84" t="str">
        <x:v>potamogeton nodosus</x:v>
      </x:c>
    </x:row>
    <x:row r="1357">
      <x:c r="A1357" s="83" t="str">
        <x:v>Wildflower Center pasted list</x:v>
      </x:c>
      <x:c r="B1357" s="84" t="n">
        <x:v>569</x:v>
      </x:c>
      <x:c r="C1357" s="87" t="str">
        <x:v>Potamogeton pusillus</x:v>
      </x:c>
      <x:c r="D1357" s="84" t="str">
        <x:v>Small Pondweed</x:v>
      </x:c>
      <x:c r="E1357" s="84" t="str">
        <x:v>Perennial</x:v>
      </x:c>
      <x:c r="F1357" s="84" t="str">
        <x:v>Herb</x:v>
      </x:c>
      <x:c r="G1357" s="84" t="str"/>
      <x:c r="H1357" s="84" t="str"/>
      <x:c r="I1357" s="84" t="str">
        <x:v>potamogeton pusillus</x:v>
      </x:c>
    </x:row>
    <x:row r="1358">
      <x:c r="A1358" s="83" t="str">
        <x:v>Wildflower Center pasted list</x:v>
      </x:c>
      <x:c r="B1358" s="84" t="n">
        <x:v>570</x:v>
      </x:c>
      <x:c r="C1358" s="87" t="str">
        <x:v>Proboscidea louisianica</x:v>
      </x:c>
      <x:c r="D1358" s="84" t="str">
        <x:v>Louisiana Devil's-claw, Devil's claw, Ram's-horn, Unicorn Plant, Proboscis Flower</x:v>
      </x:c>
      <x:c r="E1358" s="84" t="str">
        <x:v>Annual</x:v>
      </x:c>
      <x:c r="F1358" s="84" t="str">
        <x:v>Herb</x:v>
      </x:c>
      <x:c r="G1358" s="84" t="str">
        <x:v>Sun</x:v>
      </x:c>
      <x:c r="H1358" s="84" t="str">
        <x:v>Dry</x:v>
      </x:c>
      <x:c r="I1358" s="84" t="str">
        <x:v>proboscidea louisianica</x:v>
      </x:c>
    </x:row>
    <x:row r="1359">
      <x:c r="A1359" s="83" t="str">
        <x:v>Wildflower Center pasted list</x:v>
      </x:c>
      <x:c r="B1359" s="84" t="n">
        <x:v>571</x:v>
      </x:c>
      <x:c r="C1359" s="87" t="str">
        <x:v>Prosopis glandulosa</x:v>
      </x:c>
      <x:c r="D1359" s="84" t="str">
        <x:v>Honey Mesquite, Glandular Mesquite, Algarroba</x:v>
      </x:c>
      <x:c r="E1359" s="84" t="str">
        <x:v>Perennial</x:v>
      </x:c>
      <x:c r="F1359" s="84" t="str">
        <x:v>Tree</x:v>
      </x:c>
      <x:c r="G1359" s="84" t="str">
        <x:v>Sun</x:v>
      </x:c>
      <x:c r="H1359" s="84" t="str">
        <x:v>Dry</x:v>
      </x:c>
      <x:c r="I1359" s="84" t="str">
        <x:v>prosopis glandulosa</x:v>
      </x:c>
    </x:row>
    <x:row r="1360">
      <x:c r="A1360" s="83" t="str">
        <x:v>Wildflower Center pasted list</x:v>
      </x:c>
      <x:c r="B1360" s="84" t="n">
        <x:v>572</x:v>
      </x:c>
      <x:c r="C1360" s="87" t="str">
        <x:v>Prunus mexicana</x:v>
      </x:c>
      <x:c r="D1360" s="84" t="str">
        <x:v>Mexican Plum, Bigtree Plum, Inch Plum</x:v>
      </x:c>
      <x:c r="E1360" s="84" t="str">
        <x:v>Perennial</x:v>
      </x:c>
      <x:c r="F1360" s="84" t="str">
        <x:v>Tree</x:v>
      </x:c>
      <x:c r="G1360" s="84" t="str">
        <x:v>Sun, Part-shade</x:v>
      </x:c>
      <x:c r="H1360" s="84" t="str">
        <x:v>Moist, Dry</x:v>
      </x:c>
      <x:c r="I1360" s="84" t="str">
        <x:v>prunus mexicana</x:v>
      </x:c>
    </x:row>
    <x:row r="1361">
      <x:c r="A1361" s="83" t="str">
        <x:v>Wildflower Center pasted list</x:v>
      </x:c>
      <x:c r="B1361" s="84" t="n">
        <x:v>573</x:v>
      </x:c>
      <x:c r="C1361" s="87" t="str">
        <x:v>Prunus rivularis</x:v>
      </x:c>
      <x:c r="D1361" s="84" t="str">
        <x:v>River Plum, Creek Plum, Hog Plum</x:v>
      </x:c>
      <x:c r="E1361" s="84" t="str">
        <x:v>Perennial</x:v>
      </x:c>
      <x:c r="F1361" s="84" t="str">
        <x:v>Shrub</x:v>
      </x:c>
      <x:c r="G1361" s="84" t="str">
        <x:v>Part-shade</x:v>
      </x:c>
      <x:c r="H1361" s="84" t="str">
        <x:v>Moist, Dry</x:v>
      </x:c>
      <x:c r="I1361" s="84" t="str">
        <x:v>prunus rivularis</x:v>
      </x:c>
    </x:row>
    <x:row r="1362">
      <x:c r="A1362" s="83" t="str">
        <x:v>Wildflower Center pasted list</x:v>
      </x:c>
      <x:c r="B1362" s="84" t="n">
        <x:v>574</x:v>
      </x:c>
      <x:c r="C1362" s="87" t="str">
        <x:v>Prunus serotina var. eximia</x:v>
      </x:c>
      <x:c r="D1362" s="84" t="str">
        <x:v>Escarpment Black Cherry, Edwards Plateau Black Cherry, Escarpment Cherry</x:v>
      </x:c>
      <x:c r="E1362" s="84" t="str">
        <x:v>Perennial</x:v>
      </x:c>
      <x:c r="F1362" s="84" t="str">
        <x:v>Tree</x:v>
      </x:c>
      <x:c r="G1362" s="84" t="str">
        <x:v>Sun, Part-shade</x:v>
      </x:c>
      <x:c r="H1362" s="84" t="str">
        <x:v>Moist</x:v>
      </x:c>
      <x:c r="I1362" s="84" t="str">
        <x:v>prunus serotina var. eximia</x:v>
      </x:c>
    </x:row>
    <x:row r="1363">
      <x:c r="A1363" s="83" t="str">
        <x:v>Wildflower Center pasted list</x:v>
      </x:c>
      <x:c r="B1363" s="84" t="n">
        <x:v>575</x:v>
      </x:c>
      <x:c r="C1363" s="87" t="str">
        <x:v>Pseudognaphalium obtusifolium</x:v>
      </x:c>
      <x:c r="D1363" s="84" t="str">
        <x:v>Sweet Everlasting, Rabbit-tobacco, Fragrant Cudweed</x:v>
      </x:c>
      <x:c r="E1363" s="84" t="str">
        <x:v>Annual</x:v>
      </x:c>
      <x:c r="F1363" s="84" t="str">
        <x:v>Herb</x:v>
      </x:c>
      <x:c r="G1363" s="84" t="str"/>
      <x:c r="H1363" s="84" t="str"/>
      <x:c r="I1363" s="84" t="str">
        <x:v>pseudognaphalium obtusifolium</x:v>
      </x:c>
    </x:row>
    <x:row r="1364">
      <x:c r="A1364" s="83" t="str">
        <x:v>Wildflower Center pasted list</x:v>
      </x:c>
      <x:c r="B1364" s="84" t="n">
        <x:v>576</x:v>
      </x:c>
      <x:c r="C1364" s="87" t="str">
        <x:v>Psoralidium tenuiflorum</x:v>
      </x:c>
      <x:c r="D1364" s="84" t="str">
        <x:v>Slimflower Scurfpea, Scurfy Pea</x:v>
      </x:c>
      <x:c r="E1364" s="84" t="str">
        <x:v>Perennial</x:v>
      </x:c>
      <x:c r="F1364" s="84" t="str">
        <x:v>Herb</x:v>
      </x:c>
      <x:c r="G1364" s="84" t="str"/>
      <x:c r="H1364" s="84" t="str"/>
      <x:c r="I1364" s="84" t="str">
        <x:v>psoralidium tenuiflorum</x:v>
      </x:c>
    </x:row>
    <x:row r="1365">
      <x:c r="A1365" s="83" t="str">
        <x:v>Wildflower Center pasted list</x:v>
      </x:c>
      <x:c r="B1365" s="84" t="n">
        <x:v>577</x:v>
      </x:c>
      <x:c r="C1365" s="87" t="str">
        <x:v>Ptelea trifoliata</x:v>
      </x:c>
      <x:c r="D1365" s="84" t="str">
        <x:v>Wafer Ash, Common Hoptree, Hop Tree</x:v>
      </x:c>
      <x:c r="E1365" s="84" t="str">
        <x:v>Perennial</x:v>
      </x:c>
      <x:c r="F1365" s="84" t="str">
        <x:v>Tree</x:v>
      </x:c>
      <x:c r="G1365" s="84" t="str">
        <x:v>Sun, Shade, Part-shade</x:v>
      </x:c>
      <x:c r="H1365" s="84" t="str">
        <x:v>Wet, Moist, Dry</x:v>
      </x:c>
      <x:c r="I1365" s="84" t="str">
        <x:v>ptelea trifoliata</x:v>
      </x:c>
    </x:row>
    <x:row r="1366">
      <x:c r="A1366" s="83" t="str">
        <x:v>Wildflower Center pasted list</x:v>
      </x:c>
      <x:c r="B1366" s="84" t="n">
        <x:v>578</x:v>
      </x:c>
      <x:c r="C1366" s="87" t="str">
        <x:v>Pyrrhopappus carolinianus</x:v>
      </x:c>
      <x:c r="D1366" s="84" t="str">
        <x:v>Carolina Desert-chicory, Texas Dandelion, False Dandelion</x:v>
      </x:c>
      <x:c r="E1366" s="84" t="str">
        <x:v>Annual</x:v>
      </x:c>
      <x:c r="F1366" s="84" t="str">
        <x:v>Herb</x:v>
      </x:c>
      <x:c r="G1366" s="84" t="str"/>
      <x:c r="H1366" s="84" t="str"/>
      <x:c r="I1366" s="84" t="str">
        <x:v>pyrrhopappus carolinianus</x:v>
      </x:c>
    </x:row>
    <x:row r="1367">
      <x:c r="A1367" s="83" t="str">
        <x:v>Wildflower Center pasted list</x:v>
      </x:c>
      <x:c r="B1367" s="84" t="n">
        <x:v>579</x:v>
      </x:c>
      <x:c r="C1367" s="87" t="str">
        <x:v>Pyrrhopappus grandiflorus</x:v>
      </x:c>
      <x:c r="D1367" s="84" t="str">
        <x:v>Tuberous Desert-chicory</x:v>
      </x:c>
      <x:c r="E1367" s="84" t="str">
        <x:v>Perennial</x:v>
      </x:c>
      <x:c r="F1367" s="84" t="str">
        <x:v>Herb</x:v>
      </x:c>
      <x:c r="G1367" s="84" t="str"/>
      <x:c r="H1367" s="84" t="str"/>
      <x:c r="I1367" s="84" t="str">
        <x:v>pyrrhopappus grandiflorus</x:v>
      </x:c>
    </x:row>
    <x:row r="1368">
      <x:c r="A1368" s="83" t="str">
        <x:v>Wildflower Center pasted list</x:v>
      </x:c>
      <x:c r="B1368" s="84" t="n">
        <x:v>580</x:v>
      </x:c>
      <x:c r="C1368" s="87" t="str">
        <x:v>Pyrrhopappus pauciflorus</x:v>
      </x:c>
      <x:c r="D1368" s="84" t="str">
        <x:v>Smallflower Desert-chicory, Texas Dandelion, False Dandelion</x:v>
      </x:c>
      <x:c r="E1368" s="84" t="str">
        <x:v>Annual</x:v>
      </x:c>
      <x:c r="F1368" s="84" t="str">
        <x:v>Herb</x:v>
      </x:c>
      <x:c r="G1368" s="84" t="str">
        <x:v>Sun, Part-shade</x:v>
      </x:c>
      <x:c r="H1368" s="84" t="str">
        <x:v>Moist, Dry</x:v>
      </x:c>
      <x:c r="I1368" s="84" t="str">
        <x:v>pyrrhopappus pauciflorus</x:v>
      </x:c>
    </x:row>
    <x:row r="1369">
      <x:c r="A1369" s="83" t="str">
        <x:v>Wildflower Center pasted list</x:v>
      </x:c>
      <x:c r="B1369" s="84" t="n">
        <x:v>581</x:v>
      </x:c>
      <x:c r="C1369" s="87" t="str">
        <x:v>Quercus buckleyi</x:v>
      </x:c>
      <x:c r="D1369" s="84" t="str">
        <x:v>Texas Red Oak, Buckley Oak, Texas Oak, Spanish Oak, Spotted Oak, Rock Oak</x:v>
      </x:c>
      <x:c r="E1369" s="84" t="str">
        <x:v>Perennial</x:v>
      </x:c>
      <x:c r="F1369" s="84" t="str">
        <x:v>Tree</x:v>
      </x:c>
      <x:c r="G1369" s="84" t="str">
        <x:v>Sun, Part-shade</x:v>
      </x:c>
      <x:c r="H1369" s="84" t="str">
        <x:v>Dry</x:v>
      </x:c>
      <x:c r="I1369" s="84" t="str">
        <x:v>quercus buckleyi</x:v>
      </x:c>
    </x:row>
    <x:row r="1370">
      <x:c r="A1370" s="83" t="str">
        <x:v>Wildflower Center pasted list</x:v>
      </x:c>
      <x:c r="B1370" s="84" t="n">
        <x:v>582</x:v>
      </x:c>
      <x:c r="C1370" s="87" t="str">
        <x:v>Quercus fusiformis</x:v>
      </x:c>
      <x:c r="D1370" s="84" t="str">
        <x:v>Escarpment Live Oak, Plateau Live Oak, Hill Country Live Oak, Texas Live Oak, Scrub Live Oak, Plateau Oak, Encino Molino, Tesmoli</x:v>
      </x:c>
      <x:c r="E1370" s="84" t="str">
        <x:v>Perennial</x:v>
      </x:c>
      <x:c r="F1370" s="84" t="str">
        <x:v>Tree</x:v>
      </x:c>
      <x:c r="G1370" s="84" t="str">
        <x:v>Sun, Part-shade</x:v>
      </x:c>
      <x:c r="H1370" s="84" t="str">
        <x:v>Dry</x:v>
      </x:c>
      <x:c r="I1370" s="84" t="str">
        <x:v>quercus fusiformis</x:v>
      </x:c>
    </x:row>
    <x:row r="1371">
      <x:c r="A1371" s="83" t="str">
        <x:v>Wildflower Center pasted list</x:v>
      </x:c>
      <x:c r="B1371" s="84" t="n">
        <x:v>583</x:v>
      </x:c>
      <x:c r="C1371" s="87" t="str">
        <x:v>Quercus laceyi</x:v>
      </x:c>
      <x:c r="D1371" s="84" t="str">
        <x:v>Lacey Oak, Texas Blue Oak, Canyon Oak, Smoky Oak, Rock Oak</x:v>
      </x:c>
      <x:c r="E1371" s="84" t="str">
        <x:v>Perennial</x:v>
      </x:c>
      <x:c r="F1371" s="84" t="str">
        <x:v>Tree</x:v>
      </x:c>
      <x:c r="G1371" s="84" t="str">
        <x:v>Sun, Part-shade</x:v>
      </x:c>
      <x:c r="H1371" s="84" t="str">
        <x:v>Dry</x:v>
      </x:c>
      <x:c r="I1371" s="84" t="str">
        <x:v>quercus laceyi</x:v>
      </x:c>
    </x:row>
    <x:row r="1372">
      <x:c r="A1372" s="83" t="str">
        <x:v>Wildflower Center pasted list</x:v>
      </x:c>
      <x:c r="B1372" s="84" t="n">
        <x:v>584</x:v>
      </x:c>
      <x:c r="C1372" s="87" t="str">
        <x:v>Quercus macrocarpa</x:v>
      </x:c>
      <x:c r="D1372" s="84" t="str">
        <x:v>Bur Oak, Burr Oak, Savanna Oak, Overcup Oak, Prairie Oak, Mossy-cup Oak, Mossy-overcup Oak, Blue Oak</x:v>
      </x:c>
      <x:c r="E1372" s="84" t="str">
        <x:v>Perennial</x:v>
      </x:c>
      <x:c r="F1372" s="84" t="str">
        <x:v>Tree</x:v>
      </x:c>
      <x:c r="G1372" s="84" t="str">
        <x:v>Sun, Shade, Part-shade</x:v>
      </x:c>
      <x:c r="H1372" s="84" t="str">
        <x:v>Wet, Moist, Dry</x:v>
      </x:c>
      <x:c r="I1372" s="84" t="str">
        <x:v>quercus macrocarpa</x:v>
      </x:c>
    </x:row>
    <x:row r="1373">
      <x:c r="A1373" s="83" t="str">
        <x:v>Wildflower Center pasted list</x:v>
      </x:c>
      <x:c r="B1373" s="84" t="n">
        <x:v>585</x:v>
      </x:c>
      <x:c r="C1373" s="87" t="str">
        <x:v>Quercus marilandica</x:v>
      </x:c>
      <x:c r="D1373" s="84" t="str">
        <x:v>Blackjack Oak, Barren Oak, Black Oak, Jack Oak</x:v>
      </x:c>
      <x:c r="E1373" s="84" t="str">
        <x:v>Perennial</x:v>
      </x:c>
      <x:c r="F1373" s="84" t="str">
        <x:v>Tree</x:v>
      </x:c>
      <x:c r="G1373" s="84" t="str">
        <x:v>Part-shade</x:v>
      </x:c>
      <x:c r="H1373" s="84" t="str">
        <x:v>Dry</x:v>
      </x:c>
      <x:c r="I1373" s="84" t="str">
        <x:v>quercus marilandica</x:v>
      </x:c>
    </x:row>
    <x:row r="1374">
      <x:c r="A1374" s="83" t="str">
        <x:v>Wildflower Center pasted list</x:v>
      </x:c>
      <x:c r="B1374" s="84" t="n">
        <x:v>586</x:v>
      </x:c>
      <x:c r="C1374" s="87" t="str">
        <x:v>Quercus muehlenbergii</x:v>
      </x:c>
      <x:c r="D1374" s="84" t="str">
        <x:v>Chinkapin Oak, Chinquapin Oak, Chestnut Oak, Yellow Chestnut Oak, Rock Chestnut Oak, Yellow Oak, Rock Oak</x:v>
      </x:c>
      <x:c r="E1374" s="84" t="str">
        <x:v>Perennial</x:v>
      </x:c>
      <x:c r="F1374" s="84" t="str">
        <x:v>Tree</x:v>
      </x:c>
      <x:c r="G1374" s="84" t="str">
        <x:v>Sun, Part-shade</x:v>
      </x:c>
      <x:c r="H1374" s="84" t="str">
        <x:v>Dry</x:v>
      </x:c>
      <x:c r="I1374" s="84" t="str">
        <x:v>quercus muehlenbergii</x:v>
      </x:c>
    </x:row>
    <x:row r="1375">
      <x:c r="A1375" s="83" t="str">
        <x:v>Wildflower Center pasted list</x:v>
      </x:c>
      <x:c r="B1375" s="84" t="n">
        <x:v>587</x:v>
      </x:c>
      <x:c r="C1375" s="87" t="str">
        <x:v>Quercus shumardii</x:v>
      </x:c>
      <x:c r="D1375" s="84" t="str">
        <x:v>Shumard Oak, Shumard's Oak, Shumard Red Oak, Southern Red Oak, Swamp Red Oak, Spotted Oak</x:v>
      </x:c>
      <x:c r="E1375" s="84" t="str">
        <x:v>Perennial</x:v>
      </x:c>
      <x:c r="F1375" s="84" t="str">
        <x:v>Tree</x:v>
      </x:c>
      <x:c r="G1375" s="84" t="str">
        <x:v>Sun, Part-shade</x:v>
      </x:c>
      <x:c r="H1375" s="84" t="str">
        <x:v>Moist, Dry</x:v>
      </x:c>
      <x:c r="I1375" s="84" t="str">
        <x:v>quercus shumardii</x:v>
      </x:c>
    </x:row>
    <x:row r="1376">
      <x:c r="A1376" s="83" t="str">
        <x:v>Wildflower Center pasted list</x:v>
      </x:c>
      <x:c r="B1376" s="84" t="n">
        <x:v>588</x:v>
      </x:c>
      <x:c r="C1376" s="87" t="str">
        <x:v>Quercus sinuata var. breviloba</x:v>
      </x:c>
      <x:c r="D1376" s="84" t="str">
        <x:v>White Shin Oak, Bigelow Oak, Scaly-bark Oak, Limestone Durand Oak, Shortlobe Oak, Bastard Oak</x:v>
      </x:c>
      <x:c r="E1376" s="84" t="str">
        <x:v>Perennial</x:v>
      </x:c>
      <x:c r="F1376" s="84" t="str">
        <x:v>Tree</x:v>
      </x:c>
      <x:c r="G1376" s="84" t="str">
        <x:v>Part-shade</x:v>
      </x:c>
      <x:c r="H1376" s="84" t="str">
        <x:v>Dry</x:v>
      </x:c>
      <x:c r="I1376" s="84" t="str">
        <x:v>quercus sinuata var. breviloba</x:v>
      </x:c>
    </x:row>
    <x:row r="1377">
      <x:c r="A1377" s="83" t="str">
        <x:v>Wildflower Center pasted list</x:v>
      </x:c>
      <x:c r="B1377" s="84" t="n">
        <x:v>589</x:v>
      </x:c>
      <x:c r="C1377" s="87" t="str">
        <x:v>Quercus stellata</x:v>
      </x:c>
      <x:c r="D1377" s="84" t="str">
        <x:v>Post Oak, Iron Oak, Cross Oak</x:v>
      </x:c>
      <x:c r="E1377" s="84" t="str">
        <x:v>Perennial</x:v>
      </x:c>
      <x:c r="F1377" s="84" t="str">
        <x:v>Tree</x:v>
      </x:c>
      <x:c r="G1377" s="84" t="str">
        <x:v>Sun, Part-shade</x:v>
      </x:c>
      <x:c r="H1377" s="84" t="str">
        <x:v>Moist, Dry</x:v>
      </x:c>
      <x:c r="I1377" s="84" t="str">
        <x:v>quercus stellata</x:v>
      </x:c>
    </x:row>
    <x:row r="1378">
      <x:c r="A1378" s="83" t="str">
        <x:v>Wildflower Center pasted list</x:v>
      </x:c>
      <x:c r="B1378" s="84" t="n">
        <x:v>590</x:v>
      </x:c>
      <x:c r="C1378" s="87" t="str">
        <x:v>Quercus virginiana</x:v>
      </x:c>
      <x:c r="D1378" s="84" t="str">
        <x:v>Southern Live Oak, Virginia Live Oak, Coastal Live Oak, Live Oak, Encino</x:v>
      </x:c>
      <x:c r="E1378" s="84" t="str">
        <x:v>Perennial</x:v>
      </x:c>
      <x:c r="F1378" s="84" t="str">
        <x:v>Tree</x:v>
      </x:c>
      <x:c r="G1378" s="84" t="str">
        <x:v>Sun, Part-shade</x:v>
      </x:c>
      <x:c r="H1378" s="84" t="str">
        <x:v>Moist</x:v>
      </x:c>
      <x:c r="I1378" s="84" t="str">
        <x:v>quercus virginiana</x:v>
      </x:c>
    </x:row>
    <x:row r="1379">
      <x:c r="A1379" s="83" t="str">
        <x:v>Wildflower Center pasted list</x:v>
      </x:c>
      <x:c r="B1379" s="84" t="n">
        <x:v>591</x:v>
      </x:c>
      <x:c r="C1379" s="87" t="str">
        <x:v>Ranunculus fascicularis</x:v>
      </x:c>
      <x:c r="D1379" s="84" t="str">
        <x:v>Early Buttercup, Tufted Buttercup, Prairie Buttercup</x:v>
      </x:c>
      <x:c r="E1379" s="84" t="str">
        <x:v>Perennial</x:v>
      </x:c>
      <x:c r="F1379" s="84" t="str">
        <x:v>Herb</x:v>
      </x:c>
      <x:c r="G1379" s="84" t="str">
        <x:v>Sun, Shade, Part-shade</x:v>
      </x:c>
      <x:c r="H1379" s="84" t="str"/>
      <x:c r="I1379" s="84" t="str">
        <x:v>ranunculus fascicularis</x:v>
      </x:c>
    </x:row>
    <x:row r="1380">
      <x:c r="A1380" s="83" t="str">
        <x:v>Wildflower Center pasted list</x:v>
      </x:c>
      <x:c r="B1380" s="84" t="n">
        <x:v>592</x:v>
      </x:c>
      <x:c r="C1380" s="87" t="str">
        <x:v>Ranunculus macranthus</x:v>
      </x:c>
      <x:c r="D1380" s="84" t="str">
        <x:v>Large Buttercup</x:v>
      </x:c>
      <x:c r="E1380" s="84" t="str">
        <x:v>Perennial</x:v>
      </x:c>
      <x:c r="F1380" s="84" t="str">
        <x:v>Herb</x:v>
      </x:c>
      <x:c r="G1380" s="84" t="str">
        <x:v>Sun</x:v>
      </x:c>
      <x:c r="H1380" s="84" t="str">
        <x:v>Moist</x:v>
      </x:c>
      <x:c r="I1380" s="84" t="str">
        <x:v>ranunculus macranthus</x:v>
      </x:c>
    </x:row>
    <x:row r="1381">
      <x:c r="A1381" s="83" t="str">
        <x:v>Wildflower Center pasted list</x:v>
      </x:c>
      <x:c r="B1381" s="84" t="n">
        <x:v>593</x:v>
      </x:c>
      <x:c r="C1381" s="87" t="str">
        <x:v>Ranunculus sceleratus</x:v>
      </x:c>
      <x:c r="D1381" s="84" t="str">
        <x:v>Cursed Buttercup</x:v>
      </x:c>
      <x:c r="E1381" s="84" t="str">
        <x:v>Annual</x:v>
      </x:c>
      <x:c r="F1381" s="84" t="str">
        <x:v>Herb</x:v>
      </x:c>
      <x:c r="G1381" s="84" t="str">
        <x:v>Part-shade</x:v>
      </x:c>
      <x:c r="H1381" s="84" t="str"/>
      <x:c r="I1381" s="84" t="str">
        <x:v>ranunculus sceleratus</x:v>
      </x:c>
    </x:row>
    <x:row r="1382">
      <x:c r="A1382" s="83" t="str">
        <x:v>Wildflower Center pasted list</x:v>
      </x:c>
      <x:c r="B1382" s="84" t="n">
        <x:v>594</x:v>
      </x:c>
      <x:c r="C1382" s="87" t="str">
        <x:v>Ratibida columnifera</x:v>
      </x:c>
      <x:c r="D1382" s="84" t="str">
        <x:v>Mexican Hat, Red-spike Mexican Hat, Upright Prairie Coneflower, Prairie Coneflower, Long-headed Coneflower, Thimbleflower</x:v>
      </x:c>
      <x:c r="E1382" s="84" t="str">
        <x:v>Perennial</x:v>
      </x:c>
      <x:c r="F1382" s="84" t="str">
        <x:v>Herb</x:v>
      </x:c>
      <x:c r="G1382" s="84" t="str">
        <x:v>Sun</x:v>
      </x:c>
      <x:c r="H1382" s="84" t="str">
        <x:v>Moist, Dry</x:v>
      </x:c>
      <x:c r="I1382" s="84" t="str">
        <x:v>ratibida columnifera</x:v>
      </x:c>
    </x:row>
    <x:row r="1383">
      <x:c r="A1383" s="83" t="str">
        <x:v>Wildflower Center pasted list</x:v>
      </x:c>
      <x:c r="B1383" s="84" t="n">
        <x:v>595</x:v>
      </x:c>
      <x:c r="C1383" s="87" t="str">
        <x:v>Rhus lanceolata</x:v>
      </x:c>
      <x:c r="D1383" s="84" t="str">
        <x:v>Prairie Flameleaf Sumac, Flameleaf Sumac, Prairie Sumac, Lance-leaf Sumac, Lance-leaved Sumac, Texas Sumac, Tree Sumac, Limestone Sumac, Prairie Shining Sumac</x:v>
      </x:c>
      <x:c r="E1383" s="84" t="str">
        <x:v>Perennial</x:v>
      </x:c>
      <x:c r="F1383" s="84" t="str">
        <x:v>Tree</x:v>
      </x:c>
      <x:c r="G1383" s="84" t="str">
        <x:v>Sun</x:v>
      </x:c>
      <x:c r="H1383" s="84" t="str">
        <x:v>Dry</x:v>
      </x:c>
      <x:c r="I1383" s="84" t="str">
        <x:v>rhus lanceolata</x:v>
      </x:c>
    </x:row>
    <x:row r="1384">
      <x:c r="A1384" s="83" t="str">
        <x:v>Wildflower Center pasted list</x:v>
      </x:c>
      <x:c r="B1384" s="84" t="n">
        <x:v>596</x:v>
      </x:c>
      <x:c r="C1384" s="87" t="str">
        <x:v>Rhus trilobata var. trilobata</x:v>
      </x:c>
      <x:c r="D1384" s="84" t="str">
        <x:v>Skunkbush Sumac</x:v>
      </x:c>
      <x:c r="E1384" s="84" t="str">
        <x:v>Perennial</x:v>
      </x:c>
      <x:c r="F1384" s="84" t="str">
        <x:v>Shrub</x:v>
      </x:c>
      <x:c r="G1384" s="84" t="str"/>
      <x:c r="H1384" s="84" t="str"/>
      <x:c r="I1384" s="84" t="str">
        <x:v>rhus trilobata var. trilobata</x:v>
      </x:c>
    </x:row>
    <x:row r="1385">
      <x:c r="A1385" s="83" t="str">
        <x:v>Wildflower Center pasted list</x:v>
      </x:c>
      <x:c r="B1385" s="84" t="n">
        <x:v>597</x:v>
      </x:c>
      <x:c r="C1385" s="87" t="str">
        <x:v>Rhus virens</x:v>
      </x:c>
      <x:c r="D1385" s="84" t="str">
        <x:v>Evergreen Sumac, Tobacco Sumac, Lambrisco, Lentrisco</x:v>
      </x:c>
      <x:c r="E1385" s="84" t="str">
        <x:v>Perennial</x:v>
      </x:c>
      <x:c r="F1385" s="84" t="str">
        <x:v>Shrub</x:v>
      </x:c>
      <x:c r="G1385" s="84" t="str">
        <x:v>Sun, Part-shade</x:v>
      </x:c>
      <x:c r="H1385" s="84" t="str">
        <x:v>Dry</x:v>
      </x:c>
      <x:c r="I1385" s="84" t="str">
        <x:v>rhus virens</x:v>
      </x:c>
    </x:row>
    <x:row r="1386">
      <x:c r="A1386" s="83" t="str">
        <x:v>Wildflower Center pasted list</x:v>
      </x:c>
      <x:c r="B1386" s="84" t="n">
        <x:v>598</x:v>
      </x:c>
      <x:c r="C1386" s="87" t="str">
        <x:v>Rhynchosia americana</x:v>
      </x:c>
      <x:c r="D1386" s="84" t="str">
        <x:v>American Snoutbean</x:v>
      </x:c>
      <x:c r="E1386" s="84" t="str">
        <x:v>Perennial</x:v>
      </x:c>
      <x:c r="F1386" s="84" t="str">
        <x:v>Herb, Vine</x:v>
      </x:c>
      <x:c r="G1386" s="84" t="str"/>
      <x:c r="H1386" s="84" t="str"/>
      <x:c r="I1386" s="84" t="str">
        <x:v>rhynchosia americana</x:v>
      </x:c>
    </x:row>
    <x:row r="1387">
      <x:c r="A1387" s="83" t="str">
        <x:v>Wildflower Center pasted list</x:v>
      </x:c>
      <x:c r="B1387" s="84" t="n">
        <x:v>599</x:v>
      </x:c>
      <x:c r="C1387" s="87" t="str">
        <x:v>Rhynchosia minima</x:v>
      </x:c>
      <x:c r="D1387" s="84" t="str">
        <x:v>Least Snoutbean</x:v>
      </x:c>
      <x:c r="E1387" s="84" t="str">
        <x:v>Perennial</x:v>
      </x:c>
      <x:c r="F1387" s="84" t="str">
        <x:v>Vine</x:v>
      </x:c>
      <x:c r="G1387" s="84" t="str"/>
      <x:c r="H1387" s="84" t="str"/>
      <x:c r="I1387" s="84" t="str">
        <x:v>rhynchosia minima</x:v>
      </x:c>
    </x:row>
    <x:row r="1388">
      <x:c r="A1388" s="83" t="str">
        <x:v>Wildflower Center pasted list</x:v>
      </x:c>
      <x:c r="B1388" s="84" t="n">
        <x:v>600</x:v>
      </x:c>
      <x:c r="C1388" s="87" t="str">
        <x:v>Rhynchosia senna var. texana</x:v>
      </x:c>
      <x:c r="D1388" s="84" t="str">
        <x:v>Texas Snoutbean, Texas Snout-bean</x:v>
      </x:c>
      <x:c r="E1388" s="84" t="str">
        <x:v>Perennial</x:v>
      </x:c>
      <x:c r="F1388" s="84" t="str">
        <x:v>Vine</x:v>
      </x:c>
      <x:c r="G1388" s="84" t="str"/>
      <x:c r="H1388" s="84" t="str"/>
      <x:c r="I1388" s="84" t="str">
        <x:v>rhynchosia senna var. texana</x:v>
      </x:c>
    </x:row>
    <x:row r="1389">
      <x:c r="A1389" s="83" t="str">
        <x:v>Wildflower Center pasted list</x:v>
      </x:c>
      <x:c r="B1389" s="84" t="n">
        <x:v>601</x:v>
      </x:c>
      <x:c r="C1389" s="87" t="str">
        <x:v>Rhynchospora colorata</x:v>
      </x:c>
      <x:c r="D1389" s="84" t="str">
        <x:v>Whitetop Sedge, White-topped Sedge, Starrush Whitetop, Star Sedge, Star Rush</x:v>
      </x:c>
      <x:c r="E1389" s="84" t="str">
        <x:v>Perennial</x:v>
      </x:c>
      <x:c r="F1389" s="84" t="str">
        <x:v>Grass/Grass-like</x:v>
      </x:c>
      <x:c r="G1389" s="84" t="str">
        <x:v>Sun, Part-shade</x:v>
      </x:c>
      <x:c r="H1389" s="84" t="str">
        <x:v>Wet</x:v>
      </x:c>
      <x:c r="I1389" s="84" t="str">
        <x:v>rhynchospora colorata</x:v>
      </x:c>
    </x:row>
    <x:row r="1390">
      <x:c r="A1390" s="83" t="str">
        <x:v>Wildflower Center pasted list</x:v>
      </x:c>
      <x:c r="B1390" s="84" t="n">
        <x:v>602</x:v>
      </x:c>
      <x:c r="C1390" s="87" t="str">
        <x:v>Rhynchospora nivea</x:v>
      </x:c>
      <x:c r="D1390" s="84" t="str">
        <x:v>Showy Whitetop</x:v>
      </x:c>
      <x:c r="E1390" s="84" t="str">
        <x:v>Perennial</x:v>
      </x:c>
      <x:c r="F1390" s="84" t="str">
        <x:v>Grass/Grass-like</x:v>
      </x:c>
      <x:c r="G1390" s="84" t="str"/>
      <x:c r="H1390" s="84" t="str"/>
      <x:c r="I1390" s="84" t="str">
        <x:v>rhynchospora nivea</x:v>
      </x:c>
    </x:row>
    <x:row r="1391">
      <x:c r="A1391" s="83" t="str">
        <x:v>Wildflower Center pasted list</x:v>
      </x:c>
      <x:c r="B1391" s="84" t="n">
        <x:v>603</x:v>
      </x:c>
      <x:c r="C1391" s="87" t="str">
        <x:v>Rivina humilis</x:v>
      </x:c>
      <x:c r="D1391" s="84" t="str">
        <x:v>Pigeonberry, Rouge Plant, Baby-peppers, Bloodberry</x:v>
      </x:c>
      <x:c r="E1391" s="84" t="str">
        <x:v>Perennial</x:v>
      </x:c>
      <x:c r="F1391" s="84" t="str">
        <x:v>Herb</x:v>
      </x:c>
      <x:c r="G1391" s="84" t="str">
        <x:v>Part-shade</x:v>
      </x:c>
      <x:c r="H1391" s="84" t="str">
        <x:v>Moist</x:v>
      </x:c>
      <x:c r="I1391" s="84" t="str">
        <x:v>rivina humilis</x:v>
      </x:c>
    </x:row>
    <x:row r="1392">
      <x:c r="A1392" s="83" t="str">
        <x:v>Wildflower Center pasted list</x:v>
      </x:c>
      <x:c r="B1392" s="84" t="n">
        <x:v>604</x:v>
      </x:c>
      <x:c r="C1392" s="87" t="str">
        <x:v>Robinia pseudoacacia</x:v>
      </x:c>
      <x:c r="D1392" s="84" t="str">
        <x:v>Black Locust</x:v>
      </x:c>
      <x:c r="E1392" s="84" t="str">
        <x:v>Perennial</x:v>
      </x:c>
      <x:c r="F1392" s="84" t="str">
        <x:v>Tree</x:v>
      </x:c>
      <x:c r="G1392" s="84" t="str">
        <x:v>Sun</x:v>
      </x:c>
      <x:c r="H1392" s="84" t="str">
        <x:v>Moist, Dry</x:v>
      </x:c>
      <x:c r="I1392" s="84" t="str">
        <x:v>robinia pseudoacacia</x:v>
      </x:c>
    </x:row>
    <x:row r="1393">
      <x:c r="A1393" s="83" t="str">
        <x:v>Wildflower Center pasted list</x:v>
      </x:c>
      <x:c r="B1393" s="84" t="n">
        <x:v>605</x:v>
      </x:c>
      <x:c r="C1393" s="87" t="str">
        <x:v>Rotala ramosior</x:v>
      </x:c>
      <x:c r="D1393" s="84" t="str">
        <x:v>Lowland Rotala</x:v>
      </x:c>
      <x:c r="E1393" s="84" t="str">
        <x:v>Annual</x:v>
      </x:c>
      <x:c r="F1393" s="84" t="str">
        <x:v>Herb</x:v>
      </x:c>
      <x:c r="G1393" s="84" t="str">
        <x:v>Sun</x:v>
      </x:c>
      <x:c r="H1393" s="84" t="str">
        <x:v>Moist</x:v>
      </x:c>
      <x:c r="I1393" s="84" t="str">
        <x:v>rotala ramosior</x:v>
      </x:c>
    </x:row>
    <x:row r="1394">
      <x:c r="A1394" s="83" t="str">
        <x:v>Wildflower Center pasted list</x:v>
      </x:c>
      <x:c r="B1394" s="84" t="n">
        <x:v>606</x:v>
      </x:c>
      <x:c r="C1394" s="87" t="str">
        <x:v>Rubus trivialis</x:v>
      </x:c>
      <x:c r="D1394" s="84" t="str">
        <x:v>Southern Dewberry, Dewberry</x:v>
      </x:c>
      <x:c r="E1394" s="84" t="str">
        <x:v>Perennial</x:v>
      </x:c>
      <x:c r="F1394" s="84" t="str">
        <x:v>Herb</x:v>
      </x:c>
      <x:c r="G1394" s="84" t="str">
        <x:v>Sun, Part-shade</x:v>
      </x:c>
      <x:c r="H1394" s="84" t="str">
        <x:v>Moist, Dry</x:v>
      </x:c>
      <x:c r="I1394" s="84" t="str">
        <x:v>rubus trivialis</x:v>
      </x:c>
    </x:row>
    <x:row r="1395">
      <x:c r="A1395" s="83" t="str">
        <x:v>Wildflower Center pasted list</x:v>
      </x:c>
      <x:c r="B1395" s="84" t="n">
        <x:v>607</x:v>
      </x:c>
      <x:c r="C1395" s="87" t="str">
        <x:v>Rudbeckia hirta var. pulcherrima</x:v>
      </x:c>
      <x:c r="D1395" s="84" t="str">
        <x:v>Black-eyed Susan, Blackeyed Susan, Brown-eyed Susan, Pinewoods Coneflower</x:v>
      </x:c>
      <x:c r="E1395" s="84" t="str">
        <x:v>Annual, Biennial, Perennial</x:v>
      </x:c>
      <x:c r="F1395" s="84" t="str">
        <x:v>Herb</x:v>
      </x:c>
      <x:c r="G1395" s="84" t="str">
        <x:v>Sun</x:v>
      </x:c>
      <x:c r="H1395" s="84" t="str">
        <x:v>Dry</x:v>
      </x:c>
      <x:c r="I1395" s="84" t="str">
        <x:v>rudbeckia hirta var. pulcherrima</x:v>
      </x:c>
    </x:row>
    <x:row r="1396">
      <x:c r="A1396" s="83" t="str">
        <x:v>Wildflower Center pasted list</x:v>
      </x:c>
      <x:c r="B1396" s="84" t="n">
        <x:v>608</x:v>
      </x:c>
      <x:c r="C1396" s="87" t="str">
        <x:v>Ruellia drummondiana</x:v>
      </x:c>
      <x:c r="D1396" s="84" t="str">
        <x:v>Drummond's Ruellia, Drummond's Wild Petunia</x:v>
      </x:c>
      <x:c r="E1396" s="84" t="str">
        <x:v>Perennial</x:v>
      </x:c>
      <x:c r="F1396" s="84" t="str">
        <x:v>Herb</x:v>
      </x:c>
      <x:c r="G1396" s="84" t="str">
        <x:v>Shade, Part-shade</x:v>
      </x:c>
      <x:c r="H1396" s="84" t="str">
        <x:v>Dry</x:v>
      </x:c>
      <x:c r="I1396" s="84" t="str">
        <x:v>ruellia drummondiana</x:v>
      </x:c>
    </x:row>
    <x:row r="1397">
      <x:c r="A1397" s="83" t="str">
        <x:v>Wildflower Center pasted list</x:v>
      </x:c>
      <x:c r="B1397" s="84" t="n">
        <x:v>609</x:v>
      </x:c>
      <x:c r="C1397" s="87" t="str">
        <x:v>Ruellia humilis</x:v>
      </x:c>
      <x:c r="D1397" s="84" t="str">
        <x:v>Prairie Petunia, Fringeleaf Wild Petunia, Hairy Ruellia, Low Wild Petunia, Low Ruellia, Fringeleaf Ruellia, Fringe-leaf Wild Petunia</x:v>
      </x:c>
      <x:c r="E1397" s="84" t="str">
        <x:v>Perennial</x:v>
      </x:c>
      <x:c r="F1397" s="84" t="str">
        <x:v>Herb</x:v>
      </x:c>
      <x:c r="G1397" s="84" t="str">
        <x:v>Part-shade</x:v>
      </x:c>
      <x:c r="H1397" s="84" t="str">
        <x:v>Moist</x:v>
      </x:c>
      <x:c r="I1397" s="84" t="str">
        <x:v>ruellia humilis</x:v>
      </x:c>
    </x:row>
    <x:row r="1398">
      <x:c r="A1398" s="83" t="str">
        <x:v>Wildflower Center pasted list</x:v>
      </x:c>
      <x:c r="B1398" s="84" t="n">
        <x:v>610</x:v>
      </x:c>
      <x:c r="C1398" s="87" t="str">
        <x:v>Ruellia nudiflora var. nudiflora</x:v>
      </x:c>
      <x:c r="D1398" s="84" t="str">
        <x:v>Violet Wild Petunia</x:v>
      </x:c>
      <x:c r="E1398" s="84" t="str">
        <x:v>Perennial</x:v>
      </x:c>
      <x:c r="F1398" s="84" t="str">
        <x:v>Herb</x:v>
      </x:c>
      <x:c r="G1398" s="84" t="str"/>
      <x:c r="H1398" s="84" t="str"/>
      <x:c r="I1398" s="84" t="str">
        <x:v>ruellia nudiflora var. nudiflora</x:v>
      </x:c>
    </x:row>
    <x:row r="1399">
      <x:c r="A1399" s="83" t="str">
        <x:v>Wildflower Center pasted list</x:v>
      </x:c>
      <x:c r="B1399" s="84" t="n">
        <x:v>611</x:v>
      </x:c>
      <x:c r="C1399" s="87" t="str">
        <x:v>Ruellia occidentalis</x:v>
      </x:c>
      <x:c r="D1399" s="84" t="str">
        <x:v>Western Wild Petunia</x:v>
      </x:c>
      <x:c r="E1399" s="84" t="str">
        <x:v>Perennial</x:v>
      </x:c>
      <x:c r="F1399" s="84" t="str">
        <x:v>Herb</x:v>
      </x:c>
      <x:c r="G1399" s="84" t="str">
        <x:v>Shade, Part-shade</x:v>
      </x:c>
      <x:c r="H1399" s="84" t="str">
        <x:v>Moist, Dry</x:v>
      </x:c>
      <x:c r="I1399" s="84" t="str">
        <x:v>ruellia occidentalis</x:v>
      </x:c>
    </x:row>
    <x:row r="1400">
      <x:c r="A1400" s="83" t="str">
        <x:v>Wildflower Center pasted list</x:v>
      </x:c>
      <x:c r="B1400" s="84" t="n">
        <x:v>612</x:v>
      </x:c>
      <x:c r="C1400" s="87" t="str">
        <x:v>Rumex chrysocarpus</x:v>
      </x:c>
      <x:c r="D1400" s="84" t="str">
        <x:v>Amamastla</x:v>
      </x:c>
      <x:c r="E1400" s="84" t="str">
        <x:v>Perennial</x:v>
      </x:c>
      <x:c r="F1400" s="84" t="str">
        <x:v>Herb</x:v>
      </x:c>
      <x:c r="G1400" s="84" t="str"/>
      <x:c r="H1400" s="84" t="str"/>
      <x:c r="I1400" s="84" t="str">
        <x:v>rumex chrysocarpus</x:v>
      </x:c>
    </x:row>
    <x:row r="1401">
      <x:c r="A1401" s="83" t="str">
        <x:v>Wildflower Center pasted list</x:v>
      </x:c>
      <x:c r="B1401" s="84" t="n">
        <x:v>613</x:v>
      </x:c>
      <x:c r="C1401" s="87" t="str">
        <x:v>Sabal minor</x:v>
      </x:c>
      <x:c r="D1401" s="84" t="str">
        <x:v>Dwarf Palmetto, Bush Palmetto, Palmetto</x:v>
      </x:c>
      <x:c r="E1401" s="84" t="str">
        <x:v>Perennial</x:v>
      </x:c>
      <x:c r="F1401" s="84" t="str">
        <x:v>Shrub</x:v>
      </x:c>
      <x:c r="G1401" s="84" t="str">
        <x:v>Sun, Shade, Part-shade</x:v>
      </x:c>
      <x:c r="H1401" s="84" t="str">
        <x:v>Moist, Dry</x:v>
      </x:c>
      <x:c r="I1401" s="84" t="str">
        <x:v>sabal minor</x:v>
      </x:c>
    </x:row>
    <x:row r="1402">
      <x:c r="A1402" s="83" t="str">
        <x:v>Wildflower Center pasted list</x:v>
      </x:c>
      <x:c r="B1402" s="84" t="n">
        <x:v>614</x:v>
      </x:c>
      <x:c r="C1402" s="87" t="str">
        <x:v>Sagittaria graminea</x:v>
      </x:c>
      <x:c r="D1402" s="84" t="str">
        <x:v>Grassy Arrowhead, Grass-leaf Arrowhead</x:v>
      </x:c>
      <x:c r="E1402" s="84" t="str">
        <x:v>Perennial</x:v>
      </x:c>
      <x:c r="F1402" s="84" t="str">
        <x:v>Herb</x:v>
      </x:c>
      <x:c r="G1402" s="84" t="str"/>
      <x:c r="H1402" s="84" t="str"/>
      <x:c r="I1402" s="84" t="str">
        <x:v>sagittaria graminea</x:v>
      </x:c>
    </x:row>
    <x:row r="1403">
      <x:c r="A1403" s="83" t="str">
        <x:v>Wildflower Center pasted list</x:v>
      </x:c>
      <x:c r="B1403" s="84" t="n">
        <x:v>615</x:v>
      </x:c>
      <x:c r="C1403" s="87" t="str">
        <x:v>Sagittaria graminea var. graminea</x:v>
      </x:c>
      <x:c r="D1403" s="84" t="str">
        <x:v>Grassy Arrowhead</x:v>
      </x:c>
      <x:c r="E1403" s="84" t="str">
        <x:v>Perennial</x:v>
      </x:c>
      <x:c r="F1403" s="84" t="str">
        <x:v>Herb</x:v>
      </x:c>
      <x:c r="G1403" s="84" t="str"/>
      <x:c r="H1403" s="84" t="str"/>
      <x:c r="I1403" s="84" t="str">
        <x:v>sagittaria graminea var. graminea</x:v>
      </x:c>
    </x:row>
    <x:row r="1404">
      <x:c r="A1404" s="83" t="str">
        <x:v>Wildflower Center pasted list</x:v>
      </x:c>
      <x:c r="B1404" s="84" t="n">
        <x:v>616</x:v>
      </x:c>
      <x:c r="C1404" s="87" t="str">
        <x:v>Sagittaria lancifolia</x:v>
      </x:c>
      <x:c r="D1404" s="84" t="str">
        <x:v>Lanceleaf Arrowhead, Duck-potato, Bulltongue Arrowhead, Bull-tongue Arrowhead</x:v>
      </x:c>
      <x:c r="E1404" s="84" t="str">
        <x:v>Perennial</x:v>
      </x:c>
      <x:c r="F1404" s="84" t="str">
        <x:v>Herb</x:v>
      </x:c>
      <x:c r="G1404" s="84" t="str">
        <x:v>Sun</x:v>
      </x:c>
      <x:c r="H1404" s="84" t="str">
        <x:v>Wet</x:v>
      </x:c>
      <x:c r="I1404" s="84" t="str">
        <x:v>sagittaria lancifolia</x:v>
      </x:c>
    </x:row>
    <x:row r="1405">
      <x:c r="A1405" s="83" t="str">
        <x:v>Wildflower Center pasted list</x:v>
      </x:c>
      <x:c r="B1405" s="84" t="n">
        <x:v>617</x:v>
      </x:c>
      <x:c r="C1405" s="87" t="str">
        <x:v>Sagittaria platyphylla</x:v>
      </x:c>
      <x:c r="D1405" s="84" t="str">
        <x:v>Delta Arrowhead</x:v>
      </x:c>
      <x:c r="E1405" s="84" t="str">
        <x:v>Perennial</x:v>
      </x:c>
      <x:c r="F1405" s="84" t="str">
        <x:v>Herb</x:v>
      </x:c>
      <x:c r="G1405" s="84" t="str">
        <x:v>Part-shade</x:v>
      </x:c>
      <x:c r="H1405" s="84" t="str">
        <x:v>Wet</x:v>
      </x:c>
      <x:c r="I1405" s="84" t="str">
        <x:v>sagittaria platyphylla</x:v>
      </x:c>
    </x:row>
    <x:row r="1406">
      <x:c r="A1406" s="83" t="str">
        <x:v>Wildflower Center pasted list</x:v>
      </x:c>
      <x:c r="B1406" s="84" t="n">
        <x:v>618</x:v>
      </x:c>
      <x:c r="C1406" s="87" t="str">
        <x:v>Salix nigra</x:v>
      </x:c>
      <x:c r="D1406" s="84" t="str">
        <x:v>Black Willow, Gulf Black Willow, Swamp Willow, Sauz</x:v>
      </x:c>
      <x:c r="E1406" s="84" t="str">
        <x:v>Perennial</x:v>
      </x:c>
      <x:c r="F1406" s="84" t="str">
        <x:v>Tree</x:v>
      </x:c>
      <x:c r="G1406" s="84" t="str">
        <x:v>Sun, Shade, Part-shade</x:v>
      </x:c>
      <x:c r="H1406" s="84" t="str">
        <x:v>Wet, Moist</x:v>
      </x:c>
      <x:c r="I1406" s="84" t="str">
        <x:v>salix nigra</x:v>
      </x:c>
    </x:row>
    <x:row r="1407">
      <x:c r="A1407" s="83" t="str">
        <x:v>Wildflower Center pasted list</x:v>
      </x:c>
      <x:c r="B1407" s="84" t="n">
        <x:v>619</x:v>
      </x:c>
      <x:c r="C1407" s="87" t="str">
        <x:v>Salvia azurea</x:v>
      </x:c>
      <x:c r="D1407" s="84" t="str">
        <x:v>Pitcher Sage, Big Blue Sage, Azure Sage, Giant Blue Sage, Blue Sage</x:v>
      </x:c>
      <x:c r="E1407" s="84" t="str">
        <x:v>Perennial</x:v>
      </x:c>
      <x:c r="F1407" s="84" t="str">
        <x:v>Herb</x:v>
      </x:c>
      <x:c r="G1407" s="84" t="str">
        <x:v>Part-shade</x:v>
      </x:c>
      <x:c r="H1407" s="84" t="str">
        <x:v>Dry</x:v>
      </x:c>
      <x:c r="I1407" s="84" t="str">
        <x:v>salvia azurea</x:v>
      </x:c>
    </x:row>
    <x:row r="1408">
      <x:c r="A1408" s="83" t="str">
        <x:v>Wildflower Center pasted list</x:v>
      </x:c>
      <x:c r="B1408" s="84" t="n">
        <x:v>620</x:v>
      </x:c>
      <x:c r="C1408" s="87" t="str">
        <x:v>Salvia ballotiflora</x:v>
      </x:c>
      <x:c r="D1408" s="84" t="str">
        <x:v>Shrubby Blue Sage, Blue Shrub Sage, Mejorana</x:v>
      </x:c>
      <x:c r="E1408" s="84" t="str">
        <x:v>Perennial</x:v>
      </x:c>
      <x:c r="F1408" s="84" t="str">
        <x:v>Shrub</x:v>
      </x:c>
      <x:c r="G1408" s="84" t="str">
        <x:v>Sun, Part-shade</x:v>
      </x:c>
      <x:c r="H1408" s="84" t="str">
        <x:v>Dry</x:v>
      </x:c>
      <x:c r="I1408" s="84" t="str">
        <x:v>salvia ballotiflora</x:v>
      </x:c>
    </x:row>
    <x:row r="1409">
      <x:c r="A1409" s="83" t="str">
        <x:v>Wildflower Center pasted list</x:v>
      </x:c>
      <x:c r="B1409" s="84" t="n">
        <x:v>621</x:v>
      </x:c>
      <x:c r="C1409" s="87" t="str">
        <x:v>Salvia coccinea</x:v>
      </x:c>
      <x:c r="D1409" s="84" t="str">
        <x:v>Scarlet Sage, Tropical Sage, Blood Sage, Red Sage, Indian Fire</x:v>
      </x:c>
      <x:c r="E1409" s="84" t="str">
        <x:v>Annual, Perennial</x:v>
      </x:c>
      <x:c r="F1409" s="84" t="str">
        <x:v>Herb</x:v>
      </x:c>
      <x:c r="G1409" s="84" t="str">
        <x:v>Sun, Shade, Part-shade</x:v>
      </x:c>
      <x:c r="H1409" s="84" t="str">
        <x:v>Moist, Dry</x:v>
      </x:c>
      <x:c r="I1409" s="84" t="str">
        <x:v>salvia coccinea</x:v>
      </x:c>
    </x:row>
    <x:row r="1410">
      <x:c r="A1410" s="83" t="str">
        <x:v>Wildflower Center pasted list</x:v>
      </x:c>
      <x:c r="B1410" s="84" t="n">
        <x:v>622</x:v>
      </x:c>
      <x:c r="C1410" s="87" t="str">
        <x:v>Salvia engelmannii</x:v>
      </x:c>
      <x:c r="D1410" s="84" t="str">
        <x:v>Engelmann's Sage, Engelmann's Salvia</x:v>
      </x:c>
      <x:c r="E1410" s="84" t="str">
        <x:v>Perennial</x:v>
      </x:c>
      <x:c r="F1410" s="84" t="str">
        <x:v>Herb</x:v>
      </x:c>
      <x:c r="G1410" s="84" t="str">
        <x:v>Sun, Part-shade</x:v>
      </x:c>
      <x:c r="H1410" s="84" t="str">
        <x:v>Moist, Dry</x:v>
      </x:c>
      <x:c r="I1410" s="84" t="str">
        <x:v>salvia engelmannii</x:v>
      </x:c>
    </x:row>
    <x:row r="1411">
      <x:c r="A1411" s="83" t="str">
        <x:v>Wildflower Center pasted list</x:v>
      </x:c>
      <x:c r="B1411" s="84" t="n">
        <x:v>623</x:v>
      </x:c>
      <x:c r="C1411" s="87" t="str">
        <x:v>Salvia farinacea</x:v>
      </x:c>
      <x:c r="D1411" s="84" t="str">
        <x:v>Mealy Blue Sage, Mealy Sage, Mealycup Sage</x:v>
      </x:c>
      <x:c r="E1411" s="84" t="str">
        <x:v>Perennial</x:v>
      </x:c>
      <x:c r="F1411" s="84" t="str">
        <x:v>Herb</x:v>
      </x:c>
      <x:c r="G1411" s="84" t="str">
        <x:v>Sun</x:v>
      </x:c>
      <x:c r="H1411" s="84" t="str">
        <x:v>Dry</x:v>
      </x:c>
      <x:c r="I1411" s="84" t="str">
        <x:v>salvia farinacea</x:v>
      </x:c>
    </x:row>
    <x:row r="1412">
      <x:c r="A1412" s="83" t="str">
        <x:v>Wildflower Center pasted list</x:v>
      </x:c>
      <x:c r="B1412" s="84" t="n">
        <x:v>624</x:v>
      </x:c>
      <x:c r="C1412" s="87" t="str">
        <x:v>Salvia lyrata</x:v>
      </x:c>
      <x:c r="D1412" s="84" t="str">
        <x:v>Lyreleaf Sage, Cancer Weed</x:v>
      </x:c>
      <x:c r="E1412" s="84" t="str">
        <x:v>Perennial</x:v>
      </x:c>
      <x:c r="F1412" s="84" t="str">
        <x:v>Herb</x:v>
      </x:c>
      <x:c r="G1412" s="84" t="str">
        <x:v>Sun, Shade, Part-shade</x:v>
      </x:c>
      <x:c r="H1412" s="84" t="str">
        <x:v>Moist, Dry</x:v>
      </x:c>
      <x:c r="I1412" s="84" t="str">
        <x:v>salvia lyrata</x:v>
      </x:c>
    </x:row>
    <x:row r="1413">
      <x:c r="A1413" s="83" t="str">
        <x:v>Wildflower Center pasted list</x:v>
      </x:c>
      <x:c r="B1413" s="84" t="n">
        <x:v>625</x:v>
      </x:c>
      <x:c r="C1413" s="87" t="str">
        <x:v>Salvia roemeriana</x:v>
      </x:c>
      <x:c r="D1413" s="84" t="str">
        <x:v>Cedar Sage</x:v>
      </x:c>
      <x:c r="E1413" s="84" t="str">
        <x:v>Perennial</x:v>
      </x:c>
      <x:c r="F1413" s="84" t="str">
        <x:v>Herb</x:v>
      </x:c>
      <x:c r="G1413" s="84" t="str">
        <x:v>Part-shade</x:v>
      </x:c>
      <x:c r="H1413" s="84" t="str">
        <x:v>Dry</x:v>
      </x:c>
      <x:c r="I1413" s="84" t="str">
        <x:v>salvia roemeriana</x:v>
      </x:c>
    </x:row>
    <x:row r="1414">
      <x:c r="A1414" s="83" t="str">
        <x:v>Wildflower Center pasted list</x:v>
      </x:c>
      <x:c r="B1414" s="84" t="n">
        <x:v>626</x:v>
      </x:c>
      <x:c r="C1414" s="87" t="str">
        <x:v>Salvia texana</x:v>
      </x:c>
      <x:c r="D1414" s="84" t="str">
        <x:v>Texas Sage, Blue Sage</x:v>
      </x:c>
      <x:c r="E1414" s="84" t="str">
        <x:v>Perennial</x:v>
      </x:c>
      <x:c r="F1414" s="84" t="str">
        <x:v>Herb</x:v>
      </x:c>
      <x:c r="G1414" s="84" t="str">
        <x:v>Sun, Part-shade</x:v>
      </x:c>
      <x:c r="H1414" s="84" t="str">
        <x:v>Dry</x:v>
      </x:c>
      <x:c r="I1414" s="84" t="str">
        <x:v>salvia texana</x:v>
      </x:c>
    </x:row>
    <x:row r="1415">
      <x:c r="A1415" s="83" t="str">
        <x:v>Wildflower Center pasted list</x:v>
      </x:c>
      <x:c r="B1415" s="84" t="n">
        <x:v>627</x:v>
      </x:c>
      <x:c r="C1415" s="87" t="str">
        <x:v>Sambucus nigra ssp. canadensis</x:v>
      </x:c>
      <x:c r="D1415" s="84" t="str">
        <x:v>Common Elderberry, Black Elder, Mexican Elderberry, Common Elder, Elderberry, Tapiro, Sauco</x:v>
      </x:c>
      <x:c r="E1415" s="84" t="str">
        <x:v>Perennial</x:v>
      </x:c>
      <x:c r="F1415" s="84" t="str">
        <x:v>Shrub</x:v>
      </x:c>
      <x:c r="G1415" s="84" t="str">
        <x:v>Part-shade</x:v>
      </x:c>
      <x:c r="H1415" s="84" t="str">
        <x:v>Wet</x:v>
      </x:c>
      <x:c r="I1415" s="84" t="str">
        <x:v>sambucus nigra ssp. canadensis</x:v>
      </x:c>
    </x:row>
    <x:row r="1416">
      <x:c r="A1416" s="83" t="str">
        <x:v>Wildflower Center pasted list</x:v>
      </x:c>
      <x:c r="B1416" s="84" t="n">
        <x:v>628</x:v>
      </x:c>
      <x:c r="C1416" s="87" t="str">
        <x:v>Samolus ebracteatus</x:v>
      </x:c>
      <x:c r="D1416" s="84" t="str">
        <x:v>Limewater Brookweed</x:v>
      </x:c>
      <x:c r="E1416" s="84" t="str">
        <x:v>Perennial</x:v>
      </x:c>
      <x:c r="F1416" s="84" t="str">
        <x:v>Herb</x:v>
      </x:c>
      <x:c r="G1416" s="84" t="str"/>
      <x:c r="H1416" s="84" t="str"/>
      <x:c r="I1416" s="84" t="str">
        <x:v>samolus ebracteatus</x:v>
      </x:c>
    </x:row>
    <x:row r="1417">
      <x:c r="A1417" s="83" t="str">
        <x:v>Wildflower Center pasted list</x:v>
      </x:c>
      <x:c r="B1417" s="84" t="n">
        <x:v>629</x:v>
      </x:c>
      <x:c r="C1417" s="87" t="str">
        <x:v>Samolus valerandi ssp. parviflorus</x:v>
      </x:c>
      <x:c r="D1417" s="84" t="str">
        <x:v>Seaside Brookweed, Water Pimpernel, Thin-leaf Brookweed</x:v>
      </x:c>
      <x:c r="E1417" s="84" t="str">
        <x:v>Perennial</x:v>
      </x:c>
      <x:c r="F1417" s="84" t="str">
        <x:v>Herb</x:v>
      </x:c>
      <x:c r="G1417" s="84" t="str">
        <x:v>Part-shade</x:v>
      </x:c>
      <x:c r="H1417" s="84" t="str"/>
      <x:c r="I1417" s="84" t="str">
        <x:v>samolus valerandi ssp. parviflorus</x:v>
      </x:c>
    </x:row>
    <x:row r="1418">
      <x:c r="A1418" s="83" t="str">
        <x:v>Wildflower Center pasted list</x:v>
      </x:c>
      <x:c r="B1418" s="84" t="n">
        <x:v>630</x:v>
      </x:c>
      <x:c r="C1418" s="87" t="str">
        <x:v>Sanicula canadensis</x:v>
      </x:c>
      <x:c r="D1418" s="84" t="str">
        <x:v>Canadian Blacksnakeroot, Black Snakeroot</x:v>
      </x:c>
      <x:c r="E1418" s="84" t="str">
        <x:v>Biennial</x:v>
      </x:c>
      <x:c r="F1418" s="84" t="str">
        <x:v>Herb</x:v>
      </x:c>
      <x:c r="G1418" s="84" t="str"/>
      <x:c r="H1418" s="84" t="str"/>
      <x:c r="I1418" s="84" t="str">
        <x:v>sanicula canadensis</x:v>
      </x:c>
    </x:row>
    <x:row r="1419">
      <x:c r="A1419" s="83" t="str">
        <x:v>Wildflower Center pasted list</x:v>
      </x:c>
      <x:c r="B1419" s="84" t="n">
        <x:v>631</x:v>
      </x:c>
      <x:c r="C1419" s="87" t="str">
        <x:v>Sapindus saponaria</x:v>
      </x:c>
      <x:c r="D1419" s="84" t="str">
        <x:v>Wingleaf Soapberry, Soapberry, Wild China Tree</x:v>
      </x:c>
      <x:c r="E1419" s="84" t="str">
        <x:v>Perennial</x:v>
      </x:c>
      <x:c r="F1419" s="84" t="str">
        <x:v>Tree</x:v>
      </x:c>
      <x:c r="G1419" s="84" t="str"/>
      <x:c r="H1419" s="84" t="str"/>
      <x:c r="I1419" s="84" t="str">
        <x:v>sapindus saponaria</x:v>
      </x:c>
    </x:row>
    <x:row r="1420">
      <x:c r="A1420" s="83" t="str">
        <x:v>Wildflower Center pasted list</x:v>
      </x:c>
      <x:c r="B1420" s="84" t="n">
        <x:v>632</x:v>
      </x:c>
      <x:c r="C1420" s="87" t="str">
        <x:v>Schedonnardus paniculatus</x:v>
      </x:c>
      <x:c r="D1420" s="84" t="str">
        <x:v>Tumblegrass, Tumble Grass</x:v>
      </x:c>
      <x:c r="E1420" s="84" t="str">
        <x:v>Perennial</x:v>
      </x:c>
      <x:c r="F1420" s="84" t="str">
        <x:v>Grass/Grass-like</x:v>
      </x:c>
      <x:c r="G1420" s="84" t="str"/>
      <x:c r="H1420" s="84" t="str"/>
      <x:c r="I1420" s="84" t="str">
        <x:v>schedonnardus paniculatus</x:v>
      </x:c>
    </x:row>
    <x:row r="1421">
      <x:c r="A1421" s="83" t="str">
        <x:v>Wildflower Center pasted list</x:v>
      </x:c>
      <x:c r="B1421" s="84" t="n">
        <x:v>633</x:v>
      </x:c>
      <x:c r="C1421" s="87" t="str">
        <x:v>Schizachyrium scoparium</x:v>
      </x:c>
      <x:c r="D1421" s="84" t="str">
        <x:v>Little Bluestem, Popotillo Azul</x:v>
      </x:c>
      <x:c r="E1421" s="84" t="str">
        <x:v>Perennial</x:v>
      </x:c>
      <x:c r="F1421" s="84" t="str">
        <x:v>Grass/Grass-like</x:v>
      </x:c>
      <x:c r="G1421" s="84" t="str">
        <x:v>Sun, Part-shade</x:v>
      </x:c>
      <x:c r="H1421" s="84" t="str">
        <x:v>Dry</x:v>
      </x:c>
      <x:c r="I1421" s="84" t="str">
        <x:v>schizachyrium scoparium</x:v>
      </x:c>
    </x:row>
    <x:row r="1422">
      <x:c r="A1422" s="83" t="str">
        <x:v>Wildflower Center pasted list</x:v>
      </x:c>
      <x:c r="B1422" s="84" t="n">
        <x:v>634</x:v>
      </x:c>
      <x:c r="C1422" s="87" t="str">
        <x:v>Schoenocaulon drummondii</x:v>
      </x:c>
      <x:c r="D1422" s="84" t="str">
        <x:v>Green Feathershank, Green Lily</x:v>
      </x:c>
      <x:c r="E1422" s="84" t="str">
        <x:v>Perennial</x:v>
      </x:c>
      <x:c r="F1422" s="84" t="str">
        <x:v>Herb</x:v>
      </x:c>
      <x:c r="G1422" s="84" t="str">
        <x:v>Sun</x:v>
      </x:c>
      <x:c r="H1422" s="84" t="str">
        <x:v>Dry</x:v>
      </x:c>
      <x:c r="I1422" s="84" t="str">
        <x:v>schoenocaulon drummondii</x:v>
      </x:c>
    </x:row>
    <x:row r="1423">
      <x:c r="A1423" s="83" t="str">
        <x:v>Wildflower Center pasted list</x:v>
      </x:c>
      <x:c r="B1423" s="84" t="n">
        <x:v>635</x:v>
      </x:c>
      <x:c r="C1423" s="87" t="str">
        <x:v>Schoenocaulon texanum</x:v>
      </x:c>
      <x:c r="D1423" s="84" t="str">
        <x:v>Texas Feathershank, Green Lily, Texas Sabadilla</x:v>
      </x:c>
      <x:c r="E1423" s="84" t="str">
        <x:v>Perennial</x:v>
      </x:c>
      <x:c r="F1423" s="84" t="str">
        <x:v>Herb</x:v>
      </x:c>
      <x:c r="G1423" s="84" t="str">
        <x:v>Sun, Part-shade</x:v>
      </x:c>
      <x:c r="H1423" s="84" t="str">
        <x:v>Dry</x:v>
      </x:c>
      <x:c r="I1423" s="84" t="str">
        <x:v>schoenocaulon texanum</x:v>
      </x:c>
    </x:row>
    <x:row r="1424">
      <x:c r="A1424" s="83" t="str">
        <x:v>Wildflower Center pasted list</x:v>
      </x:c>
      <x:c r="B1424" s="84" t="n">
        <x:v>636</x:v>
      </x:c>
      <x:c r="C1424" s="87" t="str">
        <x:v>Schoenoplectus californicus</x:v>
      </x:c>
      <x:c r="D1424" s="84" t="str">
        <x:v>California Bulrush, California Club-rush, Giant Bulrush</x:v>
      </x:c>
      <x:c r="E1424" s="84" t="str">
        <x:v>Perennial</x:v>
      </x:c>
      <x:c r="F1424" s="84" t="str">
        <x:v>Herb</x:v>
      </x:c>
      <x:c r="G1424" s="84" t="str">
        <x:v>Sun</x:v>
      </x:c>
      <x:c r="H1424" s="84" t="str"/>
      <x:c r="I1424" s="84" t="str">
        <x:v>schoenoplectus californicus</x:v>
      </x:c>
    </x:row>
    <x:row r="1425">
      <x:c r="A1425" s="83" t="str">
        <x:v>Wildflower Center pasted list</x:v>
      </x:c>
      <x:c r="B1425" s="84" t="n">
        <x:v>637</x:v>
      </x:c>
      <x:c r="C1425" s="87" t="str">
        <x:v>Schoenoplectus tabernaemontani</x:v>
      </x:c>
      <x:c r="D1425" s="84" t="str">
        <x:v>Softstem Bulrush, Soft-stem Club-rush, Great Bulrush</x:v>
      </x:c>
      <x:c r="E1425" s="84" t="str">
        <x:v>Perennial</x:v>
      </x:c>
      <x:c r="F1425" s="84" t="str">
        <x:v>Grass/Grass-like</x:v>
      </x:c>
      <x:c r="G1425" s="84" t="str">
        <x:v>Sun</x:v>
      </x:c>
      <x:c r="H1425" s="84" t="str">
        <x:v>Wet</x:v>
      </x:c>
      <x:c r="I1425" s="84" t="str">
        <x:v>schoenoplectus tabernaemontani</x:v>
      </x:c>
    </x:row>
    <x:row r="1426">
      <x:c r="A1426" s="83" t="str">
        <x:v>Wildflower Center pasted list</x:v>
      </x:c>
      <x:c r="B1426" s="84" t="n">
        <x:v>638</x:v>
      </x:c>
      <x:c r="C1426" s="87" t="str">
        <x:v>Scutellaria drummondii</x:v>
      </x:c>
      <x:c r="D1426" s="84" t="str">
        <x:v>Drummond's Skullcap</x:v>
      </x:c>
      <x:c r="E1426" s="84" t="str">
        <x:v>Annual</x:v>
      </x:c>
      <x:c r="F1426" s="84" t="str">
        <x:v>Herb</x:v>
      </x:c>
      <x:c r="G1426" s="84" t="str">
        <x:v>Sun</x:v>
      </x:c>
      <x:c r="H1426" s="84" t="str">
        <x:v>Dry</x:v>
      </x:c>
      <x:c r="I1426" s="84" t="str">
        <x:v>scutellaria drummondii</x:v>
      </x:c>
    </x:row>
    <x:row r="1427">
      <x:c r="A1427" s="83" t="str">
        <x:v>Wildflower Center pasted list</x:v>
      </x:c>
      <x:c r="B1427" s="84" t="n">
        <x:v>639</x:v>
      </x:c>
      <x:c r="C1427" s="87" t="str">
        <x:v>Scutellaria wrightii</x:v>
      </x:c>
      <x:c r="D1427" s="84" t="str">
        <x:v>Wright's Skullcap, Bushy Skullcap, Shrubby Skullcap</x:v>
      </x:c>
      <x:c r="E1427" s="84" t="str">
        <x:v>Perennial</x:v>
      </x:c>
      <x:c r="F1427" s="84" t="str">
        <x:v>Shrub</x:v>
      </x:c>
      <x:c r="G1427" s="84" t="str">
        <x:v>Sun, Part-shade</x:v>
      </x:c>
      <x:c r="H1427" s="84" t="str">
        <x:v>Moist, Dry</x:v>
      </x:c>
      <x:c r="I1427" s="84" t="str">
        <x:v>scutellaria wrightii</x:v>
      </x:c>
    </x:row>
    <x:row r="1428">
      <x:c r="A1428" s="83" t="str">
        <x:v>Wildflower Center pasted list</x:v>
      </x:c>
      <x:c r="B1428" s="84" t="n">
        <x:v>640</x:v>
      </x:c>
      <x:c r="C1428" s="87" t="str">
        <x:v>Sedum nuttallianum</x:v>
      </x:c>
      <x:c r="D1428" s="84" t="str">
        <x:v>Yellow Stonecrop</x:v>
      </x:c>
      <x:c r="E1428" s="84" t="str">
        <x:v>Annual</x:v>
      </x:c>
      <x:c r="F1428" s="84" t="str">
        <x:v>Herb</x:v>
      </x:c>
      <x:c r="G1428" s="84" t="str">
        <x:v>Sun</x:v>
      </x:c>
      <x:c r="H1428" s="84" t="str">
        <x:v>Dry</x:v>
      </x:c>
      <x:c r="I1428" s="84" t="str">
        <x:v>sedum nuttallianum</x:v>
      </x:c>
    </x:row>
    <x:row r="1429">
      <x:c r="A1429" s="83" t="str">
        <x:v>Wildflower Center pasted list</x:v>
      </x:c>
      <x:c r="B1429" s="84" t="n">
        <x:v>641</x:v>
      </x:c>
      <x:c r="C1429" s="87" t="str">
        <x:v>Selaginella apoda</x:v>
      </x:c>
      <x:c r="D1429" s="84" t="str">
        <x:v>Meadow Spikemoss</x:v>
      </x:c>
      <x:c r="E1429" s="84" t="str">
        <x:v>Perennial</x:v>
      </x:c>
      <x:c r="F1429" s="84" t="str">
        <x:v>Herb</x:v>
      </x:c>
      <x:c r="G1429" s="84" t="str"/>
      <x:c r="H1429" s="84" t="str"/>
      <x:c r="I1429" s="84" t="str">
        <x:v>selaginella apoda</x:v>
      </x:c>
    </x:row>
    <x:row r="1430">
      <x:c r="A1430" s="83" t="str">
        <x:v>Wildflower Center pasted list</x:v>
      </x:c>
      <x:c r="B1430" s="84" t="n">
        <x:v>642</x:v>
      </x:c>
      <x:c r="C1430" s="87" t="str">
        <x:v>Selaginella arenicola</x:v>
      </x:c>
      <x:c r="D1430" s="84" t="str">
        <x:v>Sand Spikemoss, Sand Spike-moss</x:v>
      </x:c>
      <x:c r="E1430" s="84" t="str">
        <x:v>Perennial</x:v>
      </x:c>
      <x:c r="F1430" s="84" t="str">
        <x:v>Herb</x:v>
      </x:c>
      <x:c r="G1430" s="84" t="str"/>
      <x:c r="H1430" s="84" t="str"/>
      <x:c r="I1430" s="84" t="str">
        <x:v>selaginella arenicola</x:v>
      </x:c>
    </x:row>
    <x:row r="1431">
      <x:c r="A1431" s="83" t="str">
        <x:v>Wildflower Center pasted list</x:v>
      </x:c>
      <x:c r="B1431" s="84" t="n">
        <x:v>643</x:v>
      </x:c>
      <x:c r="C1431" s="87" t="str">
        <x:v>Senecio ampullaceus</x:v>
      </x:c>
      <x:c r="D1431" s="84" t="str">
        <x:v>Texas Ragwort, Texas Groundsel, Texas Butterweed</x:v>
      </x:c>
      <x:c r="E1431" s="84" t="str">
        <x:v>Annual</x:v>
      </x:c>
      <x:c r="F1431" s="84" t="str">
        <x:v>Herb</x:v>
      </x:c>
      <x:c r="G1431" s="84" t="str"/>
      <x:c r="H1431" s="84" t="str"/>
      <x:c r="I1431" s="84" t="str">
        <x:v>senecio ampullaceus</x:v>
      </x:c>
    </x:row>
    <x:row r="1432">
      <x:c r="A1432" s="83" t="str">
        <x:v>Wildflower Center pasted list</x:v>
      </x:c>
      <x:c r="B1432" s="84" t="n">
        <x:v>644</x:v>
      </x:c>
      <x:c r="C1432" s="87" t="str">
        <x:v>Senegalia roemeriana</x:v>
      </x:c>
      <x:c r="D1432" s="84" t="str">
        <x:v>Roemer Acacia, Roemer's Acacia, Roundflower Catclaw, Round-flowered Catclaw, Catclaw Acacia, Catclaw</x:v>
      </x:c>
      <x:c r="E1432" s="84" t="str">
        <x:v>Perennial</x:v>
      </x:c>
      <x:c r="F1432" s="84" t="str">
        <x:v>Shrub, Tree</x:v>
      </x:c>
      <x:c r="G1432" s="84" t="str">
        <x:v>Sun</x:v>
      </x:c>
      <x:c r="H1432" s="84" t="str">
        <x:v>Dry</x:v>
      </x:c>
      <x:c r="I1432" s="84" t="str">
        <x:v>senegalia roemeriana</x:v>
      </x:c>
    </x:row>
    <x:row r="1433">
      <x:c r="A1433" s="83" t="str">
        <x:v>Wildflower Center pasted list</x:v>
      </x:c>
      <x:c r="B1433" s="84" t="n">
        <x:v>645</x:v>
      </x:c>
      <x:c r="C1433" s="87" t="str">
        <x:v>Senna lindheimeriana</x:v>
      </x:c>
      <x:c r="D1433" s="84" t="str">
        <x:v>Lindheimer's Senna, Velvet Leaf Senna, Velvetleaf Senna, Velvet-leaf Wild Sensitive-plant, Puppy-dog Ears</x:v>
      </x:c>
      <x:c r="E1433" s="84" t="str">
        <x:v>Perennial</x:v>
      </x:c>
      <x:c r="F1433" s="84" t="str">
        <x:v>Shrub</x:v>
      </x:c>
      <x:c r="G1433" s="84" t="str">
        <x:v>Sun, Part-shade</x:v>
      </x:c>
      <x:c r="H1433" s="84" t="str">
        <x:v>Dry</x:v>
      </x:c>
      <x:c r="I1433" s="84" t="str">
        <x:v>senna lindheimeriana</x:v>
      </x:c>
    </x:row>
    <x:row r="1434">
      <x:c r="A1434" s="83" t="str">
        <x:v>Wildflower Center pasted list</x:v>
      </x:c>
      <x:c r="B1434" s="84" t="n">
        <x:v>646</x:v>
      </x:c>
      <x:c r="C1434" s="87" t="str">
        <x:v>Senna roemeriana</x:v>
      </x:c>
      <x:c r="D1434" s="84" t="str">
        <x:v>Twoleaf Senna, Two Leaved Senna</x:v>
      </x:c>
      <x:c r="E1434" s="84" t="str">
        <x:v>Perennial</x:v>
      </x:c>
      <x:c r="F1434" s="84" t="str">
        <x:v>Shrub</x:v>
      </x:c>
      <x:c r="G1434" s="84" t="str">
        <x:v>Part-shade</x:v>
      </x:c>
      <x:c r="H1434" s="84" t="str">
        <x:v>Dry</x:v>
      </x:c>
      <x:c r="I1434" s="84" t="str">
        <x:v>senna roemeriana</x:v>
      </x:c>
    </x:row>
    <x:row r="1435">
      <x:c r="A1435" s="83" t="str">
        <x:v>Wildflower Center pasted list</x:v>
      </x:c>
      <x:c r="B1435" s="84" t="n">
        <x:v>647</x:v>
      </x:c>
      <x:c r="C1435" s="87" t="str">
        <x:v>Sesbania drummondii</x:v>
      </x:c>
      <x:c r="D1435" s="84" t="str">
        <x:v>Rattlebush, Rattlebox, Poisonbean</x:v>
      </x:c>
      <x:c r="E1435" s="84" t="str">
        <x:v>Perennial</x:v>
      </x:c>
      <x:c r="F1435" s="84" t="str">
        <x:v>Shrub</x:v>
      </x:c>
      <x:c r="G1435" s="84" t="str"/>
      <x:c r="H1435" s="84" t="str"/>
      <x:c r="I1435" s="84" t="str">
        <x:v>sesbania drummondii</x:v>
      </x:c>
    </x:row>
    <x:row r="1436">
      <x:c r="A1436" s="83" t="str">
        <x:v>Wildflower Center pasted list</x:v>
      </x:c>
      <x:c r="B1436" s="84" t="n">
        <x:v>648</x:v>
      </x:c>
      <x:c r="C1436" s="87" t="str">
        <x:v>Sesbania herbacea</x:v>
      </x:c>
      <x:c r="D1436" s="84" t="str">
        <x:v>Coffeeweed, Bigpod Sesbania</x:v>
      </x:c>
      <x:c r="E1436" s="84" t="str">
        <x:v>Annual</x:v>
      </x:c>
      <x:c r="F1436" s="84" t="str">
        <x:v>Subshrub</x:v>
      </x:c>
      <x:c r="G1436" s="84" t="str"/>
      <x:c r="H1436" s="84" t="str"/>
      <x:c r="I1436" s="84" t="str">
        <x:v>sesbania herbacea</x:v>
      </x:c>
    </x:row>
    <x:row r="1437">
      <x:c r="A1437" s="83" t="str">
        <x:v>Wildflower Center pasted list</x:v>
      </x:c>
      <x:c r="B1437" s="84" t="n">
        <x:v>649</x:v>
      </x:c>
      <x:c r="C1437" s="87" t="str">
        <x:v>Setaria parviflora</x:v>
      </x:c>
      <x:c r="D1437" s="84" t="str">
        <x:v>Marsh Bristlegrass, Knotroot Bristlegrass</x:v>
      </x:c>
      <x:c r="E1437" s="84" t="str">
        <x:v>Perennial</x:v>
      </x:c>
      <x:c r="F1437" s="84" t="str">
        <x:v>Grass/Grass-like</x:v>
      </x:c>
      <x:c r="G1437" s="84" t="str">
        <x:v>Part-shade</x:v>
      </x:c>
      <x:c r="H1437" s="84" t="str">
        <x:v>Moist</x:v>
      </x:c>
      <x:c r="I1437" s="84" t="str">
        <x:v>setaria parviflora</x:v>
      </x:c>
    </x:row>
    <x:row r="1438">
      <x:c r="A1438" s="83" t="str">
        <x:v>Wildflower Center pasted list</x:v>
      </x:c>
      <x:c r="B1438" s="84" t="n">
        <x:v>650</x:v>
      </x:c>
      <x:c r="C1438" s="87" t="str">
        <x:v>Setaria reverchonii</x:v>
      </x:c>
      <x:c r="D1438" s="84" t="str">
        <x:v>Reverchon's Bristlegrass</x:v>
      </x:c>
      <x:c r="E1438" s="84" t="str">
        <x:v>Perennial</x:v>
      </x:c>
      <x:c r="F1438" s="84" t="str">
        <x:v>Grass/Grass-like</x:v>
      </x:c>
      <x:c r="G1438" s="84" t="str"/>
      <x:c r="H1438" s="84" t="str"/>
      <x:c r="I1438" s="84" t="str">
        <x:v>setaria reverchonii</x:v>
      </x:c>
    </x:row>
    <x:row r="1439">
      <x:c r="A1439" s="83" t="str">
        <x:v>Wildflower Center pasted list</x:v>
      </x:c>
      <x:c r="B1439" s="84" t="n">
        <x:v>651</x:v>
      </x:c>
      <x:c r="C1439" s="87" t="str">
        <x:v>Setaria scheelei</x:v>
      </x:c>
      <x:c r="D1439" s="84" t="str">
        <x:v>Southwestern Bristlegrass, Scheele's Bristlegrass, Scheele's Foxtail Grass, Foxtail Grass</x:v>
      </x:c>
      <x:c r="E1439" s="84" t="str">
        <x:v>Perennial</x:v>
      </x:c>
      <x:c r="F1439" s="84" t="str">
        <x:v>Grass/Grass-like</x:v>
      </x:c>
      <x:c r="G1439" s="84" t="str">
        <x:v>Shade, Part-shade</x:v>
      </x:c>
      <x:c r="H1439" s="84" t="str">
        <x:v>Moist, Dry</x:v>
      </x:c>
      <x:c r="I1439" s="84" t="str">
        <x:v>setaria scheelei</x:v>
      </x:c>
    </x:row>
    <x:row r="1440">
      <x:c r="A1440" s="83" t="str">
        <x:v>Wildflower Center pasted list</x:v>
      </x:c>
      <x:c r="B1440" s="84" t="n">
        <x:v>652</x:v>
      </x:c>
      <x:c r="C1440" s="87" t="str">
        <x:v>Seymeria texana</x:v>
      </x:c>
      <x:c r="D1440" s="84" t="str">
        <x:v>Texas Blacksenna</x:v>
      </x:c>
      <x:c r="E1440" s="84" t="str">
        <x:v>Annual</x:v>
      </x:c>
      <x:c r="F1440" s="84" t="str">
        <x:v>Herb</x:v>
      </x:c>
      <x:c r="G1440" s="84" t="str"/>
      <x:c r="H1440" s="84" t="str"/>
      <x:c r="I1440" s="84" t="str">
        <x:v>seymeria texana</x:v>
      </x:c>
    </x:row>
    <x:row r="1441">
      <x:c r="A1441" s="83" t="str">
        <x:v>Wildflower Center pasted list</x:v>
      </x:c>
      <x:c r="B1441" s="84" t="n">
        <x:v>653</x:v>
      </x:c>
      <x:c r="C1441" s="87" t="str">
        <x:v>Sibara virginica</x:v>
      </x:c>
      <x:c r="D1441" s="84" t="str">
        <x:v>Virginia Winged Rockcress</x:v>
      </x:c>
      <x:c r="E1441" s="84" t="str">
        <x:v>Annual</x:v>
      </x:c>
      <x:c r="F1441" s="84" t="str">
        <x:v>Herb</x:v>
      </x:c>
      <x:c r="G1441" s="84" t="str"/>
      <x:c r="H1441" s="84" t="str"/>
      <x:c r="I1441" s="84" t="str">
        <x:v>sibara virginica</x:v>
      </x:c>
    </x:row>
    <x:row r="1442">
      <x:c r="A1442" s="83" t="str">
        <x:v>Wildflower Center pasted list</x:v>
      </x:c>
      <x:c r="B1442" s="84" t="n">
        <x:v>654</x:v>
      </x:c>
      <x:c r="C1442" s="87" t="str">
        <x:v>Sida spinosa</x:v>
      </x:c>
      <x:c r="D1442" s="84" t="str">
        <x:v>Prickly Fanpetals</x:v>
      </x:c>
      <x:c r="E1442" s="84" t="str">
        <x:v>Annual</x:v>
      </x:c>
      <x:c r="F1442" s="84" t="str">
        <x:v>Subshrub</x:v>
      </x:c>
      <x:c r="G1442" s="84" t="str"/>
      <x:c r="H1442" s="84" t="str"/>
      <x:c r="I1442" s="84" t="str">
        <x:v>sida spinosa</x:v>
      </x:c>
    </x:row>
    <x:row r="1443">
      <x:c r="A1443" s="83" t="str">
        <x:v>Wildflower Center pasted list</x:v>
      </x:c>
      <x:c r="B1443" s="84" t="n">
        <x:v>655</x:v>
      </x:c>
      <x:c r="C1443" s="87" t="str">
        <x:v>Sideroxylon lanuginosum</x:v>
      </x:c>
      <x:c r="D1443" s="84" t="str">
        <x:v>Gum Bumelia, Gum Bully, Woollybucket Bumelia, Woolly Bumelia, Gum Woollybucket, Woolly Buckthorn, Chittamwood, Shittamwood, Gum Elastic, Coma, Black Haw</x:v>
      </x:c>
      <x:c r="E1443" s="84" t="str">
        <x:v>Perennial</x:v>
      </x:c>
      <x:c r="F1443" s="84" t="str">
        <x:v>Shrub, Tree</x:v>
      </x:c>
      <x:c r="G1443" s="84" t="str">
        <x:v>Sun, Part-shade</x:v>
      </x:c>
      <x:c r="H1443" s="84" t="str">
        <x:v>Dry</x:v>
      </x:c>
      <x:c r="I1443" s="84" t="str">
        <x:v>sideroxylon lanuginosum</x:v>
      </x:c>
    </x:row>
    <x:row r="1444">
      <x:c r="A1444" s="83" t="str">
        <x:v>Wildflower Center pasted list</x:v>
      </x:c>
      <x:c r="B1444" s="84" t="n">
        <x:v>656</x:v>
      </x:c>
      <x:c r="C1444" s="87" t="str">
        <x:v>Silene antirrhina</x:v>
      </x:c>
      <x:c r="D1444" s="84" t="str">
        <x:v>Sleepy Silene, Sleepy Catchfly, Sticky Catchfly</x:v>
      </x:c>
      <x:c r="E1444" s="84" t="str">
        <x:v>Annual</x:v>
      </x:c>
      <x:c r="F1444" s="84" t="str">
        <x:v>Herb</x:v>
      </x:c>
      <x:c r="G1444" s="84" t="str"/>
      <x:c r="H1444" s="84" t="str"/>
      <x:c r="I1444" s="84" t="str">
        <x:v>silene antirrhina</x:v>
      </x:c>
    </x:row>
    <x:row r="1445">
      <x:c r="A1445" s="83" t="str">
        <x:v>Wildflower Center pasted list</x:v>
      </x:c>
      <x:c r="B1445" s="84" t="n">
        <x:v>657</x:v>
      </x:c>
      <x:c r="C1445" s="87" t="str">
        <x:v>Silphium integrifolium</x:v>
      </x:c>
      <x:c r="D1445" s="84" t="str">
        <x:v>Wholeleaf Rosinweed, Entire-leaf Rosinweed</x:v>
      </x:c>
      <x:c r="E1445" s="84" t="str">
        <x:v>Perennial</x:v>
      </x:c>
      <x:c r="F1445" s="84" t="str">
        <x:v>Herb</x:v>
      </x:c>
      <x:c r="G1445" s="84" t="str">
        <x:v>Sun</x:v>
      </x:c>
      <x:c r="H1445" s="84" t="str"/>
      <x:c r="I1445" s="84" t="str">
        <x:v>silphium integrifolium</x:v>
      </x:c>
    </x:row>
    <x:row r="1446">
      <x:c r="A1446" s="83" t="str">
        <x:v>Wildflower Center pasted list</x:v>
      </x:c>
      <x:c r="B1446" s="84" t="n">
        <x:v>658</x:v>
      </x:c>
      <x:c r="C1446" s="87" t="str">
        <x:v>Silphium laciniatum</x:v>
      </x:c>
      <x:c r="D1446" s="84" t="str">
        <x:v>Compassplant, Compass Plant</x:v>
      </x:c>
      <x:c r="E1446" s="84" t="str">
        <x:v>Perennial</x:v>
      </x:c>
      <x:c r="F1446" s="84" t="str">
        <x:v>Herb</x:v>
      </x:c>
      <x:c r="G1446" s="84" t="str">
        <x:v>Sun</x:v>
      </x:c>
      <x:c r="H1446" s="84" t="str">
        <x:v>Dry</x:v>
      </x:c>
      <x:c r="I1446" s="84" t="str">
        <x:v>silphium laciniatum</x:v>
      </x:c>
    </x:row>
    <x:row r="1447">
      <x:c r="A1447" s="83" t="str">
        <x:v>Wildflower Center pasted list</x:v>
      </x:c>
      <x:c r="B1447" s="84" t="n">
        <x:v>659</x:v>
      </x:c>
      <x:c r="C1447" s="87" t="str">
        <x:v>Silphium radula</x:v>
      </x:c>
      <x:c r="D1447" s="84" t="str">
        <x:v>Roughstem Rosinweed</x:v>
      </x:c>
      <x:c r="E1447" s="84" t="str">
        <x:v>Perennial</x:v>
      </x:c>
      <x:c r="F1447" s="84" t="str">
        <x:v>Herb</x:v>
      </x:c>
      <x:c r="G1447" s="84" t="str">
        <x:v>Sun</x:v>
      </x:c>
      <x:c r="H1447" s="84" t="str"/>
      <x:c r="I1447" s="84" t="str">
        <x:v>silphium radula</x:v>
      </x:c>
    </x:row>
    <x:row r="1448">
      <x:c r="A1448" s="83" t="str">
        <x:v>Wildflower Center pasted list</x:v>
      </x:c>
      <x:c r="B1448" s="84" t="n">
        <x:v>660</x:v>
      </x:c>
      <x:c r="C1448" s="87" t="str">
        <x:v>Simsia calva</x:v>
      </x:c>
      <x:c r="D1448" s="84" t="str">
        <x:v>Awnless Bush Sunflower, Bush Sunflower</x:v>
      </x:c>
      <x:c r="E1448" s="84" t="str">
        <x:v>Perennial</x:v>
      </x:c>
      <x:c r="F1448" s="84" t="str">
        <x:v>Herb</x:v>
      </x:c>
      <x:c r="G1448" s="84" t="str">
        <x:v>Sun</x:v>
      </x:c>
      <x:c r="H1448" s="84" t="str">
        <x:v>Dry</x:v>
      </x:c>
      <x:c r="I1448" s="84" t="str">
        <x:v>simsia calva</x:v>
      </x:c>
    </x:row>
    <x:row r="1449">
      <x:c r="A1449" s="83" t="str">
        <x:v>Wildflower Center pasted list</x:v>
      </x:c>
      <x:c r="B1449" s="84" t="n">
        <x:v>661</x:v>
      </x:c>
      <x:c r="C1449" s="87" t="str">
        <x:v>Sisyrinchium biforme</x:v>
      </x:c>
      <x:c r="D1449" s="84" t="str">
        <x:v>Wiry Blue-eyed Grass</x:v>
      </x:c>
      <x:c r="E1449" s="84" t="str">
        <x:v>Perennial</x:v>
      </x:c>
      <x:c r="F1449" s="84" t="str">
        <x:v>Herb</x:v>
      </x:c>
      <x:c r="G1449" s="84" t="str"/>
      <x:c r="H1449" s="84" t="str"/>
      <x:c r="I1449" s="84" t="str">
        <x:v>sisyrinchium biforme</x:v>
      </x:c>
    </x:row>
    <x:row r="1450">
      <x:c r="A1450" s="83" t="str">
        <x:v>Wildflower Center pasted list</x:v>
      </x:c>
      <x:c r="B1450" s="84" t="n">
        <x:v>662</x:v>
      </x:c>
      <x:c r="C1450" s="87" t="str">
        <x:v>Sisyrinchium chilense</x:v>
      </x:c>
      <x:c r="D1450" s="84" t="str">
        <x:v>Swordleaf Blue-eyed Grass, Sword-leaf Blue-eyed Grass</x:v>
      </x:c>
      <x:c r="E1450" s="84" t="str">
        <x:v>Perennial</x:v>
      </x:c>
      <x:c r="F1450" s="84" t="str">
        <x:v>Herb</x:v>
      </x:c>
      <x:c r="G1450" s="84" t="str">
        <x:v>Sun, Part-shade</x:v>
      </x:c>
      <x:c r="H1450" s="84" t="str">
        <x:v>Moist, Dry</x:v>
      </x:c>
      <x:c r="I1450" s="84" t="str">
        <x:v>sisyrinchium chilense</x:v>
      </x:c>
    </x:row>
    <x:row r="1451">
      <x:c r="A1451" s="83" t="str">
        <x:v>Wildflower Center pasted list</x:v>
      </x:c>
      <x:c r="B1451" s="84" t="n">
        <x:v>663</x:v>
      </x:c>
      <x:c r="C1451" s="87" t="str">
        <x:v>Sisyrinchium langloisii</x:v>
      </x:c>
      <x:c r="D1451" s="84" t="str">
        <x:v>Roadside Blue-eyed Grass, Dotted Blue-eyed Grass, Southern Blue-eyed Grass</x:v>
      </x:c>
      <x:c r="E1451" s="84" t="str">
        <x:v>Perennial</x:v>
      </x:c>
      <x:c r="F1451" s="84" t="str">
        <x:v>Herb</x:v>
      </x:c>
      <x:c r="G1451" s="84" t="str">
        <x:v>Part-shade</x:v>
      </x:c>
      <x:c r="H1451" s="84" t="str">
        <x:v>Dry</x:v>
      </x:c>
      <x:c r="I1451" s="84" t="str">
        <x:v>sisyrinchium langloisii</x:v>
      </x:c>
    </x:row>
    <x:row r="1452">
      <x:c r="A1452" s="83" t="str">
        <x:v>Wildflower Center pasted list</x:v>
      </x:c>
      <x:c r="B1452" s="84" t="n">
        <x:v>664</x:v>
      </x:c>
      <x:c r="C1452" s="87" t="str">
        <x:v>Smilax bona-nox</x:v>
      </x:c>
      <x:c r="D1452" s="84" t="str">
        <x:v>Sawbriar, Saw Greenbriar, Catbriar, Barbed Wire Vine, Bullbriar, Stretchberry Vine</x:v>
      </x:c>
      <x:c r="E1452" s="84" t="str">
        <x:v>Perennial</x:v>
      </x:c>
      <x:c r="F1452" s="84" t="str">
        <x:v>Vine</x:v>
      </x:c>
      <x:c r="G1452" s="84" t="str">
        <x:v>Shade</x:v>
      </x:c>
      <x:c r="H1452" s="84" t="str">
        <x:v>Moist, Dry</x:v>
      </x:c>
      <x:c r="I1452" s="84" t="str">
        <x:v>smilax bona-nox</x:v>
      </x:c>
    </x:row>
    <x:row r="1453">
      <x:c r="A1453" s="83" t="str">
        <x:v>Wildflower Center pasted list</x:v>
      </x:c>
      <x:c r="B1453" s="84" t="n">
        <x:v>665</x:v>
      </x:c>
      <x:c r="C1453" s="87" t="str">
        <x:v>Smilax tamnoides</x:v>
      </x:c>
      <x:c r="D1453" s="84" t="str">
        <x:v>Bristly Greenbriar</x:v>
      </x:c>
      <x:c r="E1453" s="84" t="str">
        <x:v>Perennial</x:v>
      </x:c>
      <x:c r="F1453" s="84" t="str">
        <x:v>Shrub, Vine</x:v>
      </x:c>
      <x:c r="G1453" s="84" t="str"/>
      <x:c r="H1453" s="84" t="str"/>
      <x:c r="I1453" s="84" t="str">
        <x:v>smilax tamnoides</x:v>
      </x:c>
    </x:row>
    <x:row r="1454">
      <x:c r="A1454" s="83" t="str">
        <x:v>Wildflower Center pasted list</x:v>
      </x:c>
      <x:c r="B1454" s="84" t="n">
        <x:v>666</x:v>
      </x:c>
      <x:c r="C1454" s="87" t="str">
        <x:v>Solanum americanum</x:v>
      </x:c>
      <x:c r="D1454" s="84" t="str">
        <x:v>American Black Nightshade</x:v>
      </x:c>
      <x:c r="E1454" s="84" t="str">
        <x:v>Annual</x:v>
      </x:c>
      <x:c r="F1454" s="84" t="str">
        <x:v>Subshrub</x:v>
      </x:c>
      <x:c r="G1454" s="84" t="str"/>
      <x:c r="H1454" s="84" t="str"/>
      <x:c r="I1454" s="84" t="str">
        <x:v>solanum americanum</x:v>
      </x:c>
    </x:row>
    <x:row r="1455">
      <x:c r="A1455" s="83" t="str">
        <x:v>Wildflower Center pasted list</x:v>
      </x:c>
      <x:c r="B1455" s="84" t="n">
        <x:v>667</x:v>
      </x:c>
      <x:c r="C1455" s="87" t="str">
        <x:v>Solanum dimidiatum</x:v>
      </x:c>
      <x:c r="D1455" s="84" t="str">
        <x:v>Western Horsenettle, Western Horse-nettle</x:v>
      </x:c>
      <x:c r="E1455" s="84" t="str">
        <x:v>Perennial</x:v>
      </x:c>
      <x:c r="F1455" s="84" t="str">
        <x:v>Herb</x:v>
      </x:c>
      <x:c r="G1455" s="84" t="str"/>
      <x:c r="H1455" s="84" t="str"/>
      <x:c r="I1455" s="84" t="str">
        <x:v>solanum dimidiatum</x:v>
      </x:c>
    </x:row>
    <x:row r="1456">
      <x:c r="A1456" s="83" t="str">
        <x:v>Wildflower Center pasted list</x:v>
      </x:c>
      <x:c r="B1456" s="84" t="n">
        <x:v>668</x:v>
      </x:c>
      <x:c r="C1456" s="87" t="str">
        <x:v>Solanum elaeagnifolium</x:v>
      </x:c>
      <x:c r="D1456" s="84" t="str">
        <x:v>Silverleaf Nightshade, Silver-leaf Nightshade, White Horse Nettle, Trompillo, Tomato Weed, Bull Nettle</x:v>
      </x:c>
      <x:c r="E1456" s="84" t="str">
        <x:v>Perennial</x:v>
      </x:c>
      <x:c r="F1456" s="84" t="str">
        <x:v>Herb</x:v>
      </x:c>
      <x:c r="G1456" s="84" t="str">
        <x:v>Sun</x:v>
      </x:c>
      <x:c r="H1456" s="84" t="str">
        <x:v>Dry</x:v>
      </x:c>
      <x:c r="I1456" s="84" t="str">
        <x:v>solanum elaeagnifolium</x:v>
      </x:c>
    </x:row>
    <x:row r="1457">
      <x:c r="A1457" s="83" t="str">
        <x:v>Wildflower Center pasted list</x:v>
      </x:c>
      <x:c r="B1457" s="84" t="n">
        <x:v>669</x:v>
      </x:c>
      <x:c r="C1457" s="87" t="str">
        <x:v>Solanum ptycanthum</x:v>
      </x:c>
      <x:c r="D1457" s="84" t="str">
        <x:v>Eastern Black Nightshade, West Indian Nightshade, Common Nightshade, Black Nightshade</x:v>
      </x:c>
      <x:c r="E1457" s="84" t="str">
        <x:v>Annual</x:v>
      </x:c>
      <x:c r="F1457" s="84" t="str">
        <x:v>Herb</x:v>
      </x:c>
      <x:c r="G1457" s="84" t="str"/>
      <x:c r="H1457" s="84" t="str"/>
      <x:c r="I1457" s="84" t="str">
        <x:v>solanum ptycanthum</x:v>
      </x:c>
    </x:row>
    <x:row r="1458">
      <x:c r="A1458" s="83" t="str">
        <x:v>Wildflower Center pasted list</x:v>
      </x:c>
      <x:c r="B1458" s="84" t="n">
        <x:v>670</x:v>
      </x:c>
      <x:c r="C1458" s="87" t="str">
        <x:v>Solanum rostratum</x:v>
      </x:c>
      <x:c r="D1458" s="84" t="str">
        <x:v>Buffalo Bur, Buffalo Bur Nightshade, Buffalobur Nightshade</x:v>
      </x:c>
      <x:c r="E1458" s="84" t="str">
        <x:v>Annual</x:v>
      </x:c>
      <x:c r="F1458" s="84" t="str">
        <x:v>Herb</x:v>
      </x:c>
      <x:c r="G1458" s="84" t="str">
        <x:v>Sun</x:v>
      </x:c>
      <x:c r="H1458" s="84" t="str"/>
      <x:c r="I1458" s="84" t="str">
        <x:v>solanum rostratum</x:v>
      </x:c>
    </x:row>
    <x:row r="1459">
      <x:c r="A1459" s="83" t="str">
        <x:v>Wildflower Center pasted list</x:v>
      </x:c>
      <x:c r="B1459" s="84" t="n">
        <x:v>671</x:v>
      </x:c>
      <x:c r="C1459" s="87" t="str">
        <x:v>Solanum triquetrum</x:v>
      </x:c>
      <x:c r="D1459" s="84" t="str">
        <x:v>Texas Nightshade, Hierba Mora</x:v>
      </x:c>
      <x:c r="E1459" s="84" t="str">
        <x:v>Perennial</x:v>
      </x:c>
      <x:c r="F1459" s="84" t="str">
        <x:v>Herb, Vine</x:v>
      </x:c>
      <x:c r="G1459" s="84" t="str"/>
      <x:c r="H1459" s="84" t="str"/>
      <x:c r="I1459" s="84" t="str">
        <x:v>solanum triquetrum</x:v>
      </x:c>
    </x:row>
    <x:row r="1460">
      <x:c r="A1460" s="83" t="str">
        <x:v>Wildflower Center pasted list</x:v>
      </x:c>
      <x:c r="B1460" s="84" t="n">
        <x:v>672</x:v>
      </x:c>
      <x:c r="C1460" s="87" t="str">
        <x:v>Solidago altissima</x:v>
      </x:c>
      <x:c r="D1460" s="84" t="str">
        <x:v>Tall Goldenrod, Late Goldenrod, Canadian Goldenrod, Canada Goldenrod</x:v>
      </x:c>
      <x:c r="E1460" s="84" t="str">
        <x:v>Perennial</x:v>
      </x:c>
      <x:c r="F1460" s="84" t="str">
        <x:v>Herb</x:v>
      </x:c>
      <x:c r="G1460" s="84" t="str">
        <x:v>Sun, Part-shade</x:v>
      </x:c>
      <x:c r="H1460" s="84" t="str">
        <x:v>Moist</x:v>
      </x:c>
      <x:c r="I1460" s="84" t="str">
        <x:v>solidago altissima</x:v>
      </x:c>
    </x:row>
    <x:row r="1461">
      <x:c r="A1461" s="83" t="str">
        <x:v>Wildflower Center pasted list</x:v>
      </x:c>
      <x:c r="B1461" s="84" t="n">
        <x:v>673</x:v>
      </x:c>
      <x:c r="C1461" s="87" t="str">
        <x:v>Solidago gigantea</x:v>
      </x:c>
      <x:c r="D1461" s="84" t="str">
        <x:v>Giant Goldenrod, Smooth Goldenrod, Tall Goldenrod, Late Goldenrod, Early Goldenrod</x:v>
      </x:c>
      <x:c r="E1461" s="84" t="str">
        <x:v>Perennial</x:v>
      </x:c>
      <x:c r="F1461" s="84" t="str">
        <x:v>Herb</x:v>
      </x:c>
      <x:c r="G1461" s="84" t="str">
        <x:v>Part-shade</x:v>
      </x:c>
      <x:c r="H1461" s="84" t="str"/>
      <x:c r="I1461" s="84" t="str">
        <x:v>solidago gigantea</x:v>
      </x:c>
    </x:row>
    <x:row r="1462">
      <x:c r="A1462" s="83" t="str">
        <x:v>Wildflower Center pasted list</x:v>
      </x:c>
      <x:c r="B1462" s="84" t="n">
        <x:v>674</x:v>
      </x:c>
      <x:c r="C1462" s="87" t="str">
        <x:v>Solidago juliae</x:v>
      </x:c>
      <x:c r="D1462" s="84" t="str">
        <x:v>Julia's Goldenrod</x:v>
      </x:c>
      <x:c r="E1462" s="84" t="str">
        <x:v>Perennial</x:v>
      </x:c>
      <x:c r="F1462" s="84" t="str">
        <x:v>Herb</x:v>
      </x:c>
      <x:c r="G1462" s="84" t="str"/>
      <x:c r="H1462" s="84" t="str"/>
      <x:c r="I1462" s="84" t="str">
        <x:v>solidago juliae</x:v>
      </x:c>
    </x:row>
    <x:row r="1463">
      <x:c r="A1463" s="83" t="str">
        <x:v>Wildflower Center pasted list</x:v>
      </x:c>
      <x:c r="B1463" s="84" t="n">
        <x:v>675</x:v>
      </x:c>
      <x:c r="C1463" s="87" t="str">
        <x:v>Solidago nemoralis</x:v>
      </x:c>
      <x:c r="D1463" s="84" t="str">
        <x:v>Prairie Goldenrod, Gray Goldenrod, Oldfield Goldenrod, Grayleaf Goldenrod, Gray-leaved Goldenrod, Dyersweed Goldenrod, Dwarf Goldenrod, Field Goldenrod</x:v>
      </x:c>
      <x:c r="E1463" s="84" t="str">
        <x:v>Perennial</x:v>
      </x:c>
      <x:c r="F1463" s="84" t="str">
        <x:v>Herb</x:v>
      </x:c>
      <x:c r="G1463" s="84" t="str">
        <x:v>Sun, Shade, Part-shade</x:v>
      </x:c>
      <x:c r="H1463" s="84" t="str">
        <x:v>Dry</x:v>
      </x:c>
      <x:c r="I1463" s="84" t="str">
        <x:v>solidago nemoralis</x:v>
      </x:c>
    </x:row>
    <x:row r="1464">
      <x:c r="A1464" s="83" t="str">
        <x:v>Wildflower Center pasted list</x:v>
      </x:c>
      <x:c r="B1464" s="84" t="n">
        <x:v>676</x:v>
      </x:c>
      <x:c r="C1464" s="87" t="str">
        <x:v>Solidago radula</x:v>
      </x:c>
      <x:c r="D1464" s="84" t="str">
        <x:v>Western Rough Goldenrod</x:v>
      </x:c>
      <x:c r="E1464" s="84" t="str">
        <x:v>Perennial</x:v>
      </x:c>
      <x:c r="F1464" s="84" t="str">
        <x:v>Herb</x:v>
      </x:c>
      <x:c r="G1464" s="84" t="str"/>
      <x:c r="H1464" s="84" t="str"/>
      <x:c r="I1464" s="84" t="str">
        <x:v>solidago radula</x:v>
      </x:c>
    </x:row>
    <x:row r="1465">
      <x:c r="A1465" s="83" t="str">
        <x:v>Wildflower Center pasted list</x:v>
      </x:c>
      <x:c r="B1465" s="84" t="n">
        <x:v>677</x:v>
      </x:c>
      <x:c r="C1465" s="87" t="str">
        <x:v>Sorghastrum elliottii</x:v>
      </x:c>
      <x:c r="D1465" s="84" t="str">
        <x:v>Slender Indiangrass</x:v>
      </x:c>
      <x:c r="E1465" s="84" t="str">
        <x:v>Perennial</x:v>
      </x:c>
      <x:c r="F1465" s="84" t="str">
        <x:v>Grass/Grass-like</x:v>
      </x:c>
      <x:c r="G1465" s="84" t="str"/>
      <x:c r="H1465" s="84" t="str"/>
      <x:c r="I1465" s="84" t="str">
        <x:v>sorghastrum elliottii</x:v>
      </x:c>
    </x:row>
    <x:row r="1466">
      <x:c r="A1466" s="83" t="str">
        <x:v>Wildflower Center pasted list</x:v>
      </x:c>
      <x:c r="B1466" s="84" t="n">
        <x:v>678</x:v>
      </x:c>
      <x:c r="C1466" s="87" t="str">
        <x:v>Sorghastrum nutans</x:v>
      </x:c>
      <x:c r="D1466" s="84" t="str">
        <x:v>Indiangrass, Yellow Indiangrass, Indian Grass</x:v>
      </x:c>
      <x:c r="E1466" s="84" t="str">
        <x:v>Perennial</x:v>
      </x:c>
      <x:c r="F1466" s="84" t="str">
        <x:v>Grass/Grass-like</x:v>
      </x:c>
      <x:c r="G1466" s="84" t="str">
        <x:v>Sun, Shade, Part-shade</x:v>
      </x:c>
      <x:c r="H1466" s="84" t="str">
        <x:v>Moist, Dry</x:v>
      </x:c>
      <x:c r="I1466" s="84" t="str">
        <x:v>sorghastrum nutans</x:v>
      </x:c>
    </x:row>
    <x:row r="1467">
      <x:c r="A1467" s="83" t="str">
        <x:v>Wildflower Center pasted list</x:v>
      </x:c>
      <x:c r="B1467" s="84" t="n">
        <x:v>679</x:v>
      </x:c>
      <x:c r="C1467" s="87" t="str">
        <x:v>Sphaeralcea lindheimeri</x:v>
      </x:c>
      <x:c r="D1467" s="84" t="str">
        <x:v>Woolly Globemallow</x:v>
      </x:c>
      <x:c r="E1467" s="84" t="str">
        <x:v>Perennial</x:v>
      </x:c>
      <x:c r="F1467" s="84" t="str">
        <x:v>Subshrub</x:v>
      </x:c>
      <x:c r="G1467" s="84" t="str">
        <x:v>Sun, Part-shade</x:v>
      </x:c>
      <x:c r="H1467" s="84" t="str">
        <x:v>Moist, Dry</x:v>
      </x:c>
      <x:c r="I1467" s="84" t="str">
        <x:v>sphaeralcea lindheimeri</x:v>
      </x:c>
    </x:row>
    <x:row r="1468">
      <x:c r="A1468" s="83" t="str">
        <x:v>Wildflower Center pasted list</x:v>
      </x:c>
      <x:c r="B1468" s="84" t="n">
        <x:v>680</x:v>
      </x:c>
      <x:c r="C1468" s="87" t="str">
        <x:v>Spigelia hedyotidea</x:v>
      </x:c>
      <x:c r="D1468" s="84" t="str">
        <x:v>Prairie Pinkroot, Prairie Pink Root</x:v>
      </x:c>
      <x:c r="E1468" s="84" t="str">
        <x:v>Perennial</x:v>
      </x:c>
      <x:c r="F1468" s="84" t="str">
        <x:v>Herb</x:v>
      </x:c>
      <x:c r="G1468" s="84" t="str"/>
      <x:c r="H1468" s="84" t="str"/>
      <x:c r="I1468" s="84" t="str">
        <x:v>spigelia hedyotidea</x:v>
      </x:c>
    </x:row>
    <x:row r="1469">
      <x:c r="A1469" s="83" t="str">
        <x:v>Wildflower Center pasted list</x:v>
      </x:c>
      <x:c r="B1469" s="84" t="n">
        <x:v>681</x:v>
      </x:c>
      <x:c r="C1469" s="87" t="str">
        <x:v>Spiranthes cernua</x:v>
      </x:c>
      <x:c r="D1469" s="84" t="str">
        <x:v>Nodding Ladies'-tresses, Ladies'-tresses, Nodding Lady's Tresses</x:v>
      </x:c>
      <x:c r="E1469" s="84" t="str">
        <x:v>Perennial</x:v>
      </x:c>
      <x:c r="F1469" s="84" t="str">
        <x:v>Herb</x:v>
      </x:c>
      <x:c r="G1469" s="84" t="str">
        <x:v>Sun</x:v>
      </x:c>
      <x:c r="H1469" s="84" t="str">
        <x:v>Moist</x:v>
      </x:c>
      <x:c r="I1469" s="84" t="str">
        <x:v>spiranthes cernua</x:v>
      </x:c>
    </x:row>
    <x:row r="1470">
      <x:c r="A1470" s="83" t="str">
        <x:v>Wildflower Center pasted list</x:v>
      </x:c>
      <x:c r="B1470" s="84" t="n">
        <x:v>682</x:v>
      </x:c>
      <x:c r="C1470" s="87" t="str">
        <x:v>Spirodela polyrrhiza</x:v>
      </x:c>
      <x:c r="D1470" s="84" t="str">
        <x:v>Common Duckmeat, Giant Duckweed</x:v>
      </x:c>
      <x:c r="E1470" s="84" t="str">
        <x:v>Perennial</x:v>
      </x:c>
      <x:c r="F1470" s="84" t="str">
        <x:v>Herb</x:v>
      </x:c>
      <x:c r="G1470" s="84" t="str"/>
      <x:c r="H1470" s="84" t="str"/>
      <x:c r="I1470" s="84" t="str">
        <x:v>spirodela polyrrhiza</x:v>
      </x:c>
    </x:row>
    <x:row r="1471">
      <x:c r="A1471" s="83" t="str">
        <x:v>Wildflower Center pasted list</x:v>
      </x:c>
      <x:c r="B1471" s="84" t="n">
        <x:v>683</x:v>
      </x:c>
      <x:c r="C1471" s="87" t="str">
        <x:v>Sporobolus clandestinus</x:v>
      </x:c>
      <x:c r="D1471" s="84" t="str">
        <x:v>Hidden Dropseed, Rough Dropseed</x:v>
      </x:c>
      <x:c r="E1471" s="84" t="str">
        <x:v>Perennial</x:v>
      </x:c>
      <x:c r="F1471" s="84" t="str">
        <x:v>Grass/Grass-like</x:v>
      </x:c>
      <x:c r="G1471" s="84" t="str"/>
      <x:c r="H1471" s="84" t="str"/>
      <x:c r="I1471" s="84" t="str">
        <x:v>sporobolus clandestinus</x:v>
      </x:c>
    </x:row>
    <x:row r="1472">
      <x:c r="A1472" s="83" t="str">
        <x:v>Wildflower Center pasted list</x:v>
      </x:c>
      <x:c r="B1472" s="84" t="n">
        <x:v>684</x:v>
      </x:c>
      <x:c r="C1472" s="87" t="str">
        <x:v>Sporobolus compositus</x:v>
      </x:c>
      <x:c r="D1472" s="84" t="str">
        <x:v>Tall Dropseed, Composite Dropseed, Rough Dropseed</x:v>
      </x:c>
      <x:c r="E1472" s="84" t="str">
        <x:v>Perennial</x:v>
      </x:c>
      <x:c r="F1472" s="84" t="str">
        <x:v>Grass/Grass-like</x:v>
      </x:c>
      <x:c r="G1472" s="84" t="str"/>
      <x:c r="H1472" s="84" t="str"/>
      <x:c r="I1472" s="84" t="str">
        <x:v>sporobolus compositus</x:v>
      </x:c>
    </x:row>
    <x:row r="1473">
      <x:c r="A1473" s="83" t="str">
        <x:v>Wildflower Center pasted list</x:v>
      </x:c>
      <x:c r="B1473" s="84" t="n">
        <x:v>685</x:v>
      </x:c>
      <x:c r="C1473" s="87" t="str">
        <x:v>Sporobolus vaginiflorus</x:v>
      </x:c>
      <x:c r="D1473" s="84" t="str">
        <x:v>Poverty Dropseed</x:v>
      </x:c>
      <x:c r="E1473" s="84" t="str">
        <x:v>Annual</x:v>
      </x:c>
      <x:c r="F1473" s="84" t="str">
        <x:v>Grass/Grass-like</x:v>
      </x:c>
      <x:c r="G1473" s="84" t="str"/>
      <x:c r="H1473" s="84" t="str"/>
      <x:c r="I1473" s="84" t="str">
        <x:v>sporobolus vaginiflorus</x:v>
      </x:c>
    </x:row>
    <x:row r="1474">
      <x:c r="A1474" s="83" t="str">
        <x:v>Wildflower Center pasted list</x:v>
      </x:c>
      <x:c r="B1474" s="84" t="n">
        <x:v>686</x:v>
      </x:c>
      <x:c r="C1474" s="87" t="str">
        <x:v>Stachys crenata</x:v>
      </x:c>
      <x:c r="D1474" s="84" t="str">
        <x:v>Mousesear, Shade Betony, Mouse's Ear</x:v>
      </x:c>
      <x:c r="E1474" s="84" t="str">
        <x:v>Annual</x:v>
      </x:c>
      <x:c r="F1474" s="84" t="str">
        <x:v>Herb</x:v>
      </x:c>
      <x:c r="G1474" s="84" t="str"/>
      <x:c r="H1474" s="84" t="str"/>
      <x:c r="I1474" s="84" t="str">
        <x:v>stachys crenata</x:v>
      </x:c>
    </x:row>
    <x:row r="1475">
      <x:c r="A1475" s="83" t="str">
        <x:v>Wildflower Center pasted list</x:v>
      </x:c>
      <x:c r="B1475" s="84" t="n">
        <x:v>687</x:v>
      </x:c>
      <x:c r="C1475" s="87" t="str">
        <x:v>Stellaria prostrata</x:v>
      </x:c>
      <x:c r="D1475" s="84" t="str">
        <x:v>Prostrate Starwort, Prostrate Chickweed</x:v>
      </x:c>
      <x:c r="E1475" s="84" t="str">
        <x:v>Annual</x:v>
      </x:c>
      <x:c r="F1475" s="84" t="str">
        <x:v>Herb</x:v>
      </x:c>
      <x:c r="G1475" s="84" t="str"/>
      <x:c r="H1475" s="84" t="str"/>
      <x:c r="I1475" s="84" t="str">
        <x:v>stellaria prostrata</x:v>
      </x:c>
    </x:row>
    <x:row r="1476">
      <x:c r="A1476" s="83" t="str">
        <x:v>Wildflower Center pasted list</x:v>
      </x:c>
      <x:c r="B1476" s="84" t="n">
        <x:v>688</x:v>
      </x:c>
      <x:c r="C1476" s="87" t="str">
        <x:v>Stenosiphon linifolius</x:v>
      </x:c>
      <x:c r="D1476" s="84" t="str">
        <x:v>False Gaura</x:v>
      </x:c>
      <x:c r="E1476" s="84" t="str">
        <x:v>Perennial</x:v>
      </x:c>
      <x:c r="F1476" s="84" t="str">
        <x:v>Herb</x:v>
      </x:c>
      <x:c r="G1476" s="84" t="str">
        <x:v>Sun</x:v>
      </x:c>
      <x:c r="H1476" s="84" t="str">
        <x:v>Dry</x:v>
      </x:c>
      <x:c r="I1476" s="84" t="str">
        <x:v>stenosiphon linifolius</x:v>
      </x:c>
    </x:row>
    <x:row r="1477">
      <x:c r="A1477" s="83" t="str">
        <x:v>Wildflower Center pasted list</x:v>
      </x:c>
      <x:c r="B1477" s="84" t="n">
        <x:v>689</x:v>
      </x:c>
      <x:c r="C1477" s="87" t="str">
        <x:v>Stillingia texana</x:v>
      </x:c>
      <x:c r="D1477" s="84" t="str">
        <x:v>Texas Queen's Delight, Queen's Delight, Texas Toothleaf</x:v>
      </x:c>
      <x:c r="E1477" s="84" t="str">
        <x:v>Perennial</x:v>
      </x:c>
      <x:c r="F1477" s="84" t="str">
        <x:v>Herb</x:v>
      </x:c>
      <x:c r="G1477" s="84" t="str">
        <x:v>Part-shade</x:v>
      </x:c>
      <x:c r="H1477" s="84" t="str"/>
      <x:c r="I1477" s="84" t="str">
        <x:v>stillingia texana</x:v>
      </x:c>
    </x:row>
    <x:row r="1478">
      <x:c r="A1478" s="83" t="str">
        <x:v>Wildflower Center pasted list</x:v>
      </x:c>
      <x:c r="B1478" s="84" t="n">
        <x:v>690</x:v>
      </x:c>
      <x:c r="C1478" s="87" t="str">
        <x:v>Styphnolobium affine</x:v>
      </x:c>
      <x:c r="D1478" s="84" t="str">
        <x:v>Eve's Necklace, Eve's Necklacepod, Texas Sophora, Pink Sophora, Necklace Tree</x:v>
      </x:c>
      <x:c r="E1478" s="84" t="str">
        <x:v>Perennial</x:v>
      </x:c>
      <x:c r="F1478" s="84" t="str">
        <x:v>Tree</x:v>
      </x:c>
      <x:c r="G1478" s="84" t="str">
        <x:v>Part-shade</x:v>
      </x:c>
      <x:c r="H1478" s="84" t="str">
        <x:v>Dry</x:v>
      </x:c>
      <x:c r="I1478" s="84" t="str">
        <x:v>styphnolobium affine</x:v>
      </x:c>
    </x:row>
    <x:row r="1479">
      <x:c r="A1479" s="83" t="str">
        <x:v>Wildflower Center pasted list</x:v>
      </x:c>
      <x:c r="B1479" s="84" t="n">
        <x:v>691</x:v>
      </x:c>
      <x:c r="C1479" s="87" t="str">
        <x:v>Styrax platanifolius</x:v>
      </x:c>
      <x:c r="D1479" s="84" t="str">
        <x:v>Sycamore-leaf Snowbell</x:v>
      </x:c>
      <x:c r="E1479" s="84" t="str">
        <x:v>Perennial</x:v>
      </x:c>
      <x:c r="F1479" s="84" t="str">
        <x:v>Shrub</x:v>
      </x:c>
      <x:c r="G1479" s="84" t="str">
        <x:v>Part-shade</x:v>
      </x:c>
      <x:c r="H1479" s="84" t="str">
        <x:v>Moist</x:v>
      </x:c>
      <x:c r="I1479" s="84" t="str">
        <x:v>styrax platanifolius</x:v>
      </x:c>
    </x:row>
    <x:row r="1480">
      <x:c r="A1480" s="83" t="str">
        <x:v>Wildflower Center pasted list</x:v>
      </x:c>
      <x:c r="B1480" s="84" t="n">
        <x:v>692</x:v>
      </x:c>
      <x:c r="C1480" s="87" t="str">
        <x:v>Symphoricarpos orbiculatus</x:v>
      </x:c>
      <x:c r="D1480" s="84" t="str">
        <x:v>Coralberry, Indian Currant, Buckbrush</x:v>
      </x:c>
      <x:c r="E1480" s="84" t="str">
        <x:v>Perennial</x:v>
      </x:c>
      <x:c r="F1480" s="84" t="str">
        <x:v>Shrub</x:v>
      </x:c>
      <x:c r="G1480" s="84" t="str">
        <x:v>Shade, Part-shade</x:v>
      </x:c>
      <x:c r="H1480" s="84" t="str">
        <x:v>Moist, Dry</x:v>
      </x:c>
      <x:c r="I1480" s="84" t="str">
        <x:v>symphoricarpos orbiculatus</x:v>
      </x:c>
    </x:row>
    <x:row r="1481">
      <x:c r="A1481" s="83" t="str">
        <x:v>Wildflower Center pasted list</x:v>
      </x:c>
      <x:c r="B1481" s="84" t="n">
        <x:v>693</x:v>
      </x:c>
      <x:c r="C1481" s="87" t="str">
        <x:v>Symphyotrichum drummondii var. texanum</x:v>
      </x:c>
      <x:c r="D1481" s="84" t="str">
        <x:v>Drummond's Aster, Texas Aster</x:v>
      </x:c>
      <x:c r="E1481" s="84" t="str">
        <x:v>Perennial</x:v>
      </x:c>
      <x:c r="F1481" s="84" t="str">
        <x:v>Herb</x:v>
      </x:c>
      <x:c r="G1481" s="84" t="str">
        <x:v>Part-shade</x:v>
      </x:c>
      <x:c r="H1481" s="84" t="str">
        <x:v>Dry</x:v>
      </x:c>
      <x:c r="I1481" s="84" t="str">
        <x:v>symphyotrichum drummondii var. texanum</x:v>
      </x:c>
    </x:row>
    <x:row r="1482">
      <x:c r="A1482" s="83" t="str">
        <x:v>Wildflower Center pasted list</x:v>
      </x:c>
      <x:c r="B1482" s="84" t="n">
        <x:v>694</x:v>
      </x:c>
      <x:c r="C1482" s="87" t="str">
        <x:v>Symphyotrichum ericoides var. ericoides</x:v>
      </x:c>
      <x:c r="D1482" s="84" t="str">
        <x:v>White Heath Aster, Heath Aster, White Aster, White Prairie Aster</x:v>
      </x:c>
      <x:c r="E1482" s="84" t="str">
        <x:v>Perennial</x:v>
      </x:c>
      <x:c r="F1482" s="84" t="str">
        <x:v>Herb</x:v>
      </x:c>
      <x:c r="G1482" s="84" t="str">
        <x:v>Sun</x:v>
      </x:c>
      <x:c r="H1482" s="84" t="str">
        <x:v>Dry</x:v>
      </x:c>
      <x:c r="I1482" s="84" t="str">
        <x:v>symphyotrichum ericoides var. ericoides</x:v>
      </x:c>
    </x:row>
    <x:row r="1483">
      <x:c r="A1483" s="83" t="str">
        <x:v>Wildflower Center pasted list</x:v>
      </x:c>
      <x:c r="B1483" s="84" t="n">
        <x:v>695</x:v>
      </x:c>
      <x:c r="C1483" s="87" t="str">
        <x:v>Symphyotrichum lanceolatum ssp. lanceolatum</x:v>
      </x:c>
      <x:c r="D1483" s="84" t="str">
        <x:v>White Panicle Aster, Panicled Aster</x:v>
      </x:c>
      <x:c r="E1483" s="84" t="str">
        <x:v>Perennial</x:v>
      </x:c>
      <x:c r="F1483" s="84" t="str">
        <x:v>Herb</x:v>
      </x:c>
      <x:c r="G1483" s="84" t="str"/>
      <x:c r="H1483" s="84" t="str"/>
      <x:c r="I1483" s="84" t="str">
        <x:v>symphyotrichum lanceolatum ssp. lanceolatum</x:v>
      </x:c>
    </x:row>
    <x:row r="1484">
      <x:c r="A1484" s="83" t="str">
        <x:v>Wildflower Center pasted list</x:v>
      </x:c>
      <x:c r="B1484" s="84" t="n">
        <x:v>696</x:v>
      </x:c>
      <x:c r="C1484" s="87" t="str">
        <x:v>Symphyotrichum oblongifolium</x:v>
      </x:c>
      <x:c r="D1484" s="84" t="str">
        <x:v>Aromatic Aster, Aromatic American Aster, Fall Aster, Wild Blue Aster, Shale Aster</x:v>
      </x:c>
      <x:c r="E1484" s="84" t="str">
        <x:v>Perennial</x:v>
      </x:c>
      <x:c r="F1484" s="84" t="str">
        <x:v>Herb</x:v>
      </x:c>
      <x:c r="G1484" s="84" t="str">
        <x:v>Sun, Part-shade</x:v>
      </x:c>
      <x:c r="H1484" s="84" t="str">
        <x:v>Moist, Dry</x:v>
      </x:c>
      <x:c r="I1484" s="84" t="str">
        <x:v>symphyotrichum oblongifolium</x:v>
      </x:c>
    </x:row>
    <x:row r="1485">
      <x:c r="A1485" s="83" t="str">
        <x:v>Wildflower Center pasted list</x:v>
      </x:c>
      <x:c r="B1485" s="84" t="n">
        <x:v>697</x:v>
      </x:c>
      <x:c r="C1485" s="87" t="str">
        <x:v>Symphyotrichum patens</x:v>
      </x:c>
      <x:c r="D1485" s="84" t="str">
        <x:v>Late Purple Aster</x:v>
      </x:c>
      <x:c r="E1485" s="84" t="str">
        <x:v>Perennial</x:v>
      </x:c>
      <x:c r="F1485" s="84" t="str">
        <x:v>Herb</x:v>
      </x:c>
      <x:c r="G1485" s="84" t="str"/>
      <x:c r="H1485" s="84" t="str"/>
      <x:c r="I1485" s="84" t="str">
        <x:v>symphyotrichum patens</x:v>
      </x:c>
    </x:row>
    <x:row r="1486">
      <x:c r="A1486" s="83" t="str">
        <x:v>Wildflower Center pasted list</x:v>
      </x:c>
      <x:c r="B1486" s="84" t="n">
        <x:v>698</x:v>
      </x:c>
      <x:c r="C1486" s="87" t="str">
        <x:v>Symphyotrichum sericeum</x:v>
      </x:c>
      <x:c r="D1486" s="84" t="str">
        <x:v>Western Silver Aster, Western Silver American-aster, Silky Aster</x:v>
      </x:c>
      <x:c r="E1486" s="84" t="str">
        <x:v>Perennial</x:v>
      </x:c>
      <x:c r="F1486" s="84" t="str">
        <x:v>Herb</x:v>
      </x:c>
      <x:c r="G1486" s="84" t="str">
        <x:v>Sun, Part-shade</x:v>
      </x:c>
      <x:c r="H1486" s="84" t="str">
        <x:v>Dry</x:v>
      </x:c>
      <x:c r="I1486" s="84" t="str">
        <x:v>symphyotrichum sericeum</x:v>
      </x:c>
    </x:row>
    <x:row r="1487">
      <x:c r="A1487" s="83" t="str">
        <x:v>Wildflower Center pasted list</x:v>
      </x:c>
      <x:c r="B1487" s="84" t="n">
        <x:v>699</x:v>
      </x:c>
      <x:c r="C1487" s="87" t="str">
        <x:v>Symphyotrichum subulatum</x:v>
      </x:c>
      <x:c r="D1487" s="84" t="str">
        <x:v>Eastern Annual Saltmarsh Aster, Baby's Breath Aster, Annual Aster, Blackland Aster, Hierba Del Marrano</x:v>
      </x:c>
      <x:c r="E1487" s="84" t="str">
        <x:v>Annual, Biennial</x:v>
      </x:c>
      <x:c r="F1487" s="84" t="str">
        <x:v>Herb</x:v>
      </x:c>
      <x:c r="G1487" s="84" t="str">
        <x:v>Shade, Part-shade</x:v>
      </x:c>
      <x:c r="H1487" s="84" t="str">
        <x:v>Moist</x:v>
      </x:c>
      <x:c r="I1487" s="84" t="str">
        <x:v>symphyotrichum subulatum</x:v>
      </x:c>
    </x:row>
    <x:row r="1488">
      <x:c r="A1488" s="83" t="str">
        <x:v>Wildflower Center pasted list</x:v>
      </x:c>
      <x:c r="B1488" s="84" t="n">
        <x:v>700</x:v>
      </x:c>
      <x:c r="C1488" s="87" t="str">
        <x:v>Taxodium distichum</x:v>
      </x:c>
      <x:c r="D1488" s="84" t="str">
        <x:v>Bald Cypress, Baldcypress, Common Bald Cypress, Southern Bald Cypress, Deciduous Cypress, Southern Cypress, Swamp Cypress, Red Cypress, White Cypress, Yellow Cypress, Gulf Cypress, Tidewater Red Cypress</x:v>
      </x:c>
      <x:c r="E1488" s="84" t="str">
        <x:v>Perennial</x:v>
      </x:c>
      <x:c r="F1488" s="84" t="str">
        <x:v>Tree</x:v>
      </x:c>
      <x:c r="G1488" s="84" t="str">
        <x:v>Sun, Part-shade</x:v>
      </x:c>
      <x:c r="H1488" s="84" t="str">
        <x:v>Moist</x:v>
      </x:c>
      <x:c r="I1488" s="84" t="str">
        <x:v>taxodium distichum</x:v>
      </x:c>
    </x:row>
    <x:row r="1489">
      <x:c r="A1489" s="83" t="str">
        <x:v>Wildflower Center pasted list</x:v>
      </x:c>
      <x:c r="B1489" s="84" t="n">
        <x:v>701</x:v>
      </x:c>
      <x:c r="C1489" s="87" t="str">
        <x:v>Tecoma stans</x:v>
      </x:c>
      <x:c r="D1489" s="84" t="str">
        <x:v>Yellow Bells, Yellowbells, Esperanza, Yellow Trumpetbush, Yellow Trumpetflower, Trumpetbush, Trumpetflower, Yellow Elder, Hardy Yellow Trumpet, Yellow Trumpet Bush</x:v>
      </x:c>
      <x:c r="E1489" s="84" t="str">
        <x:v>Perennial</x:v>
      </x:c>
      <x:c r="F1489" s="84" t="str">
        <x:v>Shrub</x:v>
      </x:c>
      <x:c r="G1489" s="84" t="str">
        <x:v>Sun, Part-shade</x:v>
      </x:c>
      <x:c r="H1489" s="84" t="str">
        <x:v>Dry</x:v>
      </x:c>
      <x:c r="I1489" s="84" t="str">
        <x:v>tecoma stans</x:v>
      </x:c>
    </x:row>
    <x:row r="1490">
      <x:c r="A1490" s="83" t="str">
        <x:v>Wildflower Center pasted list</x:v>
      </x:c>
      <x:c r="B1490" s="84" t="n">
        <x:v>702</x:v>
      </x:c>
      <x:c r="C1490" s="87" t="str">
        <x:v>Tephrosia lindheimeri</x:v>
      </x:c>
      <x:c r="D1490" s="84" t="str">
        <x:v>Lindheimer's Hoarypea, Hoary Pea, Lindheimer Tephrosia</x:v>
      </x:c>
      <x:c r="E1490" s="84" t="str">
        <x:v>Perennial</x:v>
      </x:c>
      <x:c r="F1490" s="84" t="str">
        <x:v>Subshrub</x:v>
      </x:c>
      <x:c r="G1490" s="84" t="str">
        <x:v>Part-shade</x:v>
      </x:c>
      <x:c r="H1490" s="84" t="str">
        <x:v>Dry</x:v>
      </x:c>
      <x:c r="I1490" s="84" t="str">
        <x:v>tephrosia lindheimeri</x:v>
      </x:c>
    </x:row>
    <x:row r="1491">
      <x:c r="A1491" s="83" t="str">
        <x:v>Wildflower Center pasted list</x:v>
      </x:c>
      <x:c r="B1491" s="84" t="n">
        <x:v>703</x:v>
      </x:c>
      <x:c r="C1491" s="87" t="str">
        <x:v>Tephrosia potosina</x:v>
      </x:c>
      <x:c r="D1491" s="84" t="str">
        <x:v>Edwards Plateau Hoarypea</x:v>
      </x:c>
      <x:c r="E1491" s="84" t="str">
        <x:v>Perennial</x:v>
      </x:c>
      <x:c r="F1491" s="84" t="str">
        <x:v>Herb, Subshrub</x:v>
      </x:c>
      <x:c r="G1491" s="84" t="str"/>
      <x:c r="H1491" s="84" t="str"/>
      <x:c r="I1491" s="84" t="str">
        <x:v>tephrosia potosina</x:v>
      </x:c>
    </x:row>
    <x:row r="1492">
      <x:c r="A1492" s="83" t="str">
        <x:v>Wildflower Center pasted list</x:v>
      </x:c>
      <x:c r="B1492" s="84" t="n">
        <x:v>704</x:v>
      </x:c>
      <x:c r="C1492" s="87" t="str">
        <x:v>Tetragonotheca texana</x:v>
      </x:c>
      <x:c r="D1492" s="84" t="str">
        <x:v>Squarebud Daisy, Nerve-ray, Square-bud Daisy</x:v>
      </x:c>
      <x:c r="E1492" s="84" t="str">
        <x:v>Perennial</x:v>
      </x:c>
      <x:c r="F1492" s="84" t="str">
        <x:v>Herb</x:v>
      </x:c>
      <x:c r="G1492" s="84" t="str">
        <x:v>Sun</x:v>
      </x:c>
      <x:c r="H1492" s="84" t="str">
        <x:v>Dry</x:v>
      </x:c>
      <x:c r="I1492" s="84" t="str">
        <x:v>tetragonotheca texana</x:v>
      </x:c>
    </x:row>
    <x:row r="1493">
      <x:c r="A1493" s="83" t="str">
        <x:v>Wildflower Center pasted list</x:v>
      </x:c>
      <x:c r="B1493" s="84" t="n">
        <x:v>705</x:v>
      </x:c>
      <x:c r="C1493" s="87" t="str">
        <x:v>Tetraneuris acaulis</x:v>
      </x:c>
      <x:c r="D1493" s="84" t="str">
        <x:v>Stemless Four-nerve Daisy, Stemless Hymenoxys, Bitterweed</x:v>
      </x:c>
      <x:c r="E1493" s="84" t="str">
        <x:v>Perennial</x:v>
      </x:c>
      <x:c r="F1493" s="84" t="str">
        <x:v>Herb</x:v>
      </x:c>
      <x:c r="G1493" s="84" t="str"/>
      <x:c r="H1493" s="84" t="str"/>
      <x:c r="I1493" s="84" t="str">
        <x:v>tetraneuris acaulis</x:v>
      </x:c>
    </x:row>
    <x:row r="1494">
      <x:c r="A1494" s="83" t="str">
        <x:v>Wildflower Center pasted list</x:v>
      </x:c>
      <x:c r="B1494" s="84" t="n">
        <x:v>706</x:v>
      </x:c>
      <x:c r="C1494" s="87" t="str">
        <x:v>Tetraneuris linearifolia</x:v>
      </x:c>
      <x:c r="D1494" s="84" t="str">
        <x:v>Fineleaf Fournerved Daisy, Slender-leaf Hymenoxys, Bitterweed</x:v>
      </x:c>
      <x:c r="E1494" s="84" t="str">
        <x:v>Annual</x:v>
      </x:c>
      <x:c r="F1494" s="84" t="str">
        <x:v>Herb</x:v>
      </x:c>
      <x:c r="G1494" s="84" t="str"/>
      <x:c r="H1494" s="84" t="str"/>
      <x:c r="I1494" s="84" t="str">
        <x:v>tetraneuris linearifolia</x:v>
      </x:c>
    </x:row>
    <x:row r="1495">
      <x:c r="A1495" s="83" t="str">
        <x:v>Wildflower Center pasted list</x:v>
      </x:c>
      <x:c r="B1495" s="84" t="n">
        <x:v>707</x:v>
      </x:c>
      <x:c r="C1495" s="87" t="str">
        <x:v>Tetraneuris scaposa var. scaposa</x:v>
      </x:c>
      <x:c r="D1495" s="84" t="str">
        <x:v>Four-nerve Daisy, Hymenoxys, Stemmy Four-nerve Daisy, Bitterweed</x:v>
      </x:c>
      <x:c r="E1495" s="84" t="str">
        <x:v>Perennial</x:v>
      </x:c>
      <x:c r="F1495" s="84" t="str">
        <x:v>Herb</x:v>
      </x:c>
      <x:c r="G1495" s="84" t="str">
        <x:v>Sun</x:v>
      </x:c>
      <x:c r="H1495" s="84" t="str">
        <x:v>Dry</x:v>
      </x:c>
      <x:c r="I1495" s="84" t="str">
        <x:v>tetraneuris scaposa var. scaposa</x:v>
      </x:c>
    </x:row>
    <x:row r="1496">
      <x:c r="A1496" s="83" t="str">
        <x:v>Wildflower Center pasted list</x:v>
      </x:c>
      <x:c r="B1496" s="84" t="n">
        <x:v>708</x:v>
      </x:c>
      <x:c r="C1496" s="87" t="str">
        <x:v>Teucrium canadense</x:v>
      </x:c>
      <x:c r="D1496" s="84" t="str">
        <x:v>American Germander, Canada Germander, Canadian Germander, Germander, Hairy Germander, Wood Sage</x:v>
      </x:c>
      <x:c r="E1496" s="84" t="str">
        <x:v>Perennial</x:v>
      </x:c>
      <x:c r="F1496" s="84" t="str">
        <x:v>Herb</x:v>
      </x:c>
      <x:c r="G1496" s="84" t="str">
        <x:v>Part-shade</x:v>
      </x:c>
      <x:c r="H1496" s="84" t="str">
        <x:v>Moist</x:v>
      </x:c>
      <x:c r="I1496" s="84" t="str">
        <x:v>teucrium canadense</x:v>
      </x:c>
    </x:row>
    <x:row r="1497">
      <x:c r="A1497" s="83" t="str">
        <x:v>Wildflower Center pasted list</x:v>
      </x:c>
      <x:c r="B1497" s="84" t="n">
        <x:v>709</x:v>
      </x:c>
      <x:c r="C1497" s="87" t="str">
        <x:v>Thamnosma texana</x:v>
      </x:c>
      <x:c r="D1497" s="84" t="str">
        <x:v>Texas Desert-rue, Dutchman's Breeches, Rue Of The Mountains, Ruda Del Monte</x:v>
      </x:c>
      <x:c r="E1497" s="84" t="str">
        <x:v>Perennial</x:v>
      </x:c>
      <x:c r="F1497" s="84" t="str">
        <x:v>Herb</x:v>
      </x:c>
      <x:c r="G1497" s="84" t="str">
        <x:v>Sun</x:v>
      </x:c>
      <x:c r="H1497" s="84" t="str">
        <x:v>Dry</x:v>
      </x:c>
      <x:c r="I1497" s="84" t="str">
        <x:v>thamnosma texana</x:v>
      </x:c>
    </x:row>
    <x:row r="1498">
      <x:c r="A1498" s="83" t="str">
        <x:v>Wildflower Center pasted list</x:v>
      </x:c>
      <x:c r="B1498" s="84" t="n">
        <x:v>710</x:v>
      </x:c>
      <x:c r="C1498" s="87" t="str">
        <x:v>Thelesperma ambiguum</x:v>
      </x:c>
      <x:c r="D1498" s="84" t="str">
        <x:v>Colorado Greenthread</x:v>
      </x:c>
      <x:c r="E1498" s="84" t="str">
        <x:v>Perennial</x:v>
      </x:c>
      <x:c r="F1498" s="84" t="str">
        <x:v>Herb</x:v>
      </x:c>
      <x:c r="G1498" s="84" t="str"/>
      <x:c r="H1498" s="84" t="str"/>
      <x:c r="I1498" s="84" t="str">
        <x:v>thelesperma ambiguum</x:v>
      </x:c>
    </x:row>
    <x:row r="1499">
      <x:c r="A1499" s="83" t="str">
        <x:v>Wildflower Center pasted list</x:v>
      </x:c>
      <x:c r="B1499" s="84" t="n">
        <x:v>711</x:v>
      </x:c>
      <x:c r="C1499" s="87" t="str">
        <x:v>Thelesperma filifolium var. filifolium</x:v>
      </x:c>
      <x:c r="D1499" s="84" t="str">
        <x:v>Stiff Greenthread, Showy Navajo Tea, Greenthread</x:v>
      </x:c>
      <x:c r="E1499" s="84" t="str">
        <x:v>Annual, Perennial</x:v>
      </x:c>
      <x:c r="F1499" s="84" t="str">
        <x:v>Herb</x:v>
      </x:c>
      <x:c r="G1499" s="84" t="str">
        <x:v>Sun</x:v>
      </x:c>
      <x:c r="H1499" s="84" t="str">
        <x:v>Dry</x:v>
      </x:c>
      <x:c r="I1499" s="84" t="str">
        <x:v>thelesperma filifolium var. filifolium</x:v>
      </x:c>
    </x:row>
    <x:row r="1500">
      <x:c r="A1500" s="83" t="str">
        <x:v>Wildflower Center pasted list</x:v>
      </x:c>
      <x:c r="B1500" s="84" t="n">
        <x:v>712</x:v>
      </x:c>
      <x:c r="C1500" s="87" t="str">
        <x:v>Thelesperma simplicifolium</x:v>
      </x:c>
      <x:c r="D1500" s="84" t="str">
        <x:v>Slender Greenthread, Navajo Tea, Cota</x:v>
      </x:c>
      <x:c r="E1500" s="84" t="str">
        <x:v>Perennial</x:v>
      </x:c>
      <x:c r="F1500" s="84" t="str">
        <x:v>Herb</x:v>
      </x:c>
      <x:c r="G1500" s="84" t="str">
        <x:v>Sun</x:v>
      </x:c>
      <x:c r="H1500" s="84" t="str">
        <x:v>Dry</x:v>
      </x:c>
      <x:c r="I1500" s="84" t="str">
        <x:v>thelesperma simplicifolium</x:v>
      </x:c>
    </x:row>
    <x:row r="1501">
      <x:c r="A1501" s="83" t="str">
        <x:v>Wildflower Center pasted list</x:v>
      </x:c>
      <x:c r="B1501" s="84" t="n">
        <x:v>713</x:v>
      </x:c>
      <x:c r="C1501" s="87" t="str">
        <x:v>Thelocactus bicolor</x:v>
      </x:c>
      <x:c r="D1501" s="84" t="str">
        <x:v>Glory Of Texas</x:v>
      </x:c>
      <x:c r="E1501" s="84" t="str">
        <x:v>Perennial</x:v>
      </x:c>
      <x:c r="F1501" s="84" t="str">
        <x:v>Cactus/Succulent</x:v>
      </x:c>
      <x:c r="G1501" s="84" t="str"/>
      <x:c r="H1501" s="84" t="str"/>
      <x:c r="I1501" s="84" t="str">
        <x:v>thelocactus bicolor</x:v>
      </x:c>
    </x:row>
    <x:row r="1502">
      <x:c r="A1502" s="83" t="str">
        <x:v>Wildflower Center pasted list</x:v>
      </x:c>
      <x:c r="B1502" s="84" t="n">
        <x:v>714</x:v>
      </x:c>
      <x:c r="C1502" s="87" t="str">
        <x:v>Thelypteris kunthii</x:v>
      </x:c>
      <x:c r="D1502" s="84" t="str">
        <x:v>Wood Fern, River Fern, Southern Shield Fern, Kunth's Maiden Fern, Normal Shield Fern</x:v>
      </x:c>
      <x:c r="E1502" s="84" t="str">
        <x:v>Perennial</x:v>
      </x:c>
      <x:c r="F1502" s="84" t="str">
        <x:v>Fern</x:v>
      </x:c>
      <x:c r="G1502" s="84" t="str">
        <x:v>Shade, Part-shade</x:v>
      </x:c>
      <x:c r="H1502" s="84" t="str">
        <x:v>Moist</x:v>
      </x:c>
      <x:c r="I1502" s="84" t="str">
        <x:v>thelypteris kunthii</x:v>
      </x:c>
    </x:row>
    <x:row r="1503">
      <x:c r="A1503" s="83" t="str">
        <x:v>Wildflower Center pasted list</x:v>
      </x:c>
      <x:c r="B1503" s="84" t="n">
        <x:v>715</x:v>
      </x:c>
      <x:c r="C1503" s="87" t="str">
        <x:v>Thymophylla pentachaeta</x:v>
      </x:c>
      <x:c r="D1503" s="84" t="str">
        <x:v>Parralena, Fiveneedle Pricklyleaf, Five-needle Fetid Marigold</x:v>
      </x:c>
      <x:c r="E1503" s="84" t="str">
        <x:v>Perennial</x:v>
      </x:c>
      <x:c r="F1503" s="84" t="str">
        <x:v>Herb, Subshrub</x:v>
      </x:c>
      <x:c r="G1503" s="84" t="str"/>
      <x:c r="H1503" s="84" t="str"/>
      <x:c r="I1503" s="84" t="str">
        <x:v>thymophylla pentachaeta</x:v>
      </x:c>
    </x:row>
    <x:row r="1504">
      <x:c r="A1504" s="83" t="str">
        <x:v>Wildflower Center pasted list</x:v>
      </x:c>
      <x:c r="B1504" s="84" t="n">
        <x:v>716</x:v>
      </x:c>
      <x:c r="C1504" s="87" t="str">
        <x:v>Tidestromia lanuginosa</x:v>
      </x:c>
      <x:c r="D1504" s="84" t="str">
        <x:v>Woolly Tidestromia</x:v>
      </x:c>
      <x:c r="E1504" s="84" t="str">
        <x:v>Annual</x:v>
      </x:c>
      <x:c r="F1504" s="84" t="str">
        <x:v>Herb</x:v>
      </x:c>
      <x:c r="G1504" s="84" t="str"/>
      <x:c r="H1504" s="84" t="str"/>
      <x:c r="I1504" s="84" t="str">
        <x:v>tidestromia lanuginosa</x:v>
      </x:c>
    </x:row>
    <x:row r="1505">
      <x:c r="A1505" s="83" t="str">
        <x:v>Wildflower Center pasted list</x:v>
      </x:c>
      <x:c r="B1505" s="84" t="n">
        <x:v>717</x:v>
      </x:c>
      <x:c r="C1505" s="87" t="str">
        <x:v>Tilia americana var. caroliniana</x:v>
      </x:c>
      <x:c r="D1505" s="84" t="str">
        <x:v>Carolina Basswood, Florida Basswood, Small-leaved Basswood, Downy Basswood, Carolina Linden, Florida Linden, Small-leaved Linden, Downy Linden</x:v>
      </x:c>
      <x:c r="E1505" s="84" t="str">
        <x:v>Perennial</x:v>
      </x:c>
      <x:c r="F1505" s="84" t="str">
        <x:v>Tree</x:v>
      </x:c>
      <x:c r="G1505" s="84" t="str"/>
      <x:c r="H1505" s="84" t="str"/>
      <x:c r="I1505" s="84" t="str">
        <x:v>tilia americana var. caroliniana</x:v>
      </x:c>
    </x:row>
    <x:row r="1506">
      <x:c r="A1506" s="83" t="str">
        <x:v>Wildflower Center pasted list</x:v>
      </x:c>
      <x:c r="B1506" s="84" t="n">
        <x:v>718</x:v>
      </x:c>
      <x:c r="C1506" s="87" t="str">
        <x:v>Tillandsia recurvata</x:v>
      </x:c>
      <x:c r="D1506" s="84" t="str">
        <x:v>Small Ball Moss, Ball Moss</x:v>
      </x:c>
      <x:c r="E1506" s="84" t="str">
        <x:v>Perennial</x:v>
      </x:c>
      <x:c r="F1506" s="84" t="str">
        <x:v>Herb</x:v>
      </x:c>
      <x:c r="G1506" s="84" t="str"/>
      <x:c r="H1506" s="84" t="str"/>
      <x:c r="I1506" s="84" t="str">
        <x:v>tillandsia recurvata</x:v>
      </x:c>
    </x:row>
    <x:row r="1507">
      <x:c r="A1507" s="83" t="str">
        <x:v>Wildflower Center pasted list</x:v>
      </x:c>
      <x:c r="B1507" s="84" t="n">
        <x:v>719</x:v>
      </x:c>
      <x:c r="C1507" s="87" t="str">
        <x:v>Tillandsia usneoides</x:v>
      </x:c>
      <x:c r="D1507" s="84" t="str">
        <x:v>Spanish Moss</x:v>
      </x:c>
      <x:c r="E1507" s="84" t="str">
        <x:v>Perennial</x:v>
      </x:c>
      <x:c r="F1507" s="84" t="str">
        <x:v>Herb</x:v>
      </x:c>
      <x:c r="G1507" s="84" t="str">
        <x:v>Shade</x:v>
      </x:c>
      <x:c r="H1507" s="84" t="str"/>
      <x:c r="I1507" s="84" t="str">
        <x:v>tillandsia usneoides</x:v>
      </x:c>
    </x:row>
    <x:row r="1508">
      <x:c r="A1508" s="83" t="str">
        <x:v>Wildflower Center pasted list</x:v>
      </x:c>
      <x:c r="B1508" s="84" t="n">
        <x:v>720</x:v>
      </x:c>
      <x:c r="C1508" s="87" t="str">
        <x:v>Tinantia anomala</x:v>
      </x:c>
      <x:c r="D1508" s="84" t="str">
        <x:v>False Dayflower, Widows Tears, Widow's Tears</x:v>
      </x:c>
      <x:c r="E1508" s="84" t="str">
        <x:v>Annual</x:v>
      </x:c>
      <x:c r="F1508" s="84" t="str">
        <x:v>Herb</x:v>
      </x:c>
      <x:c r="G1508" s="84" t="str">
        <x:v>Part-shade</x:v>
      </x:c>
      <x:c r="H1508" s="84" t="str">
        <x:v>Moist</x:v>
      </x:c>
      <x:c r="I1508" s="84" t="str">
        <x:v>tinantia anomala</x:v>
      </x:c>
    </x:row>
    <x:row r="1509">
      <x:c r="A1509" s="83" t="str">
        <x:v>Wildflower Center pasted list</x:v>
      </x:c>
      <x:c r="B1509" s="84" t="n">
        <x:v>721</x:v>
      </x:c>
      <x:c r="C1509" s="87" t="str">
        <x:v>Tiquilia canescens</x:v>
      </x:c>
      <x:c r="D1509" s="84" t="str">
        <x:v>Woody Crinklemat, Shrubby Coldenia, Shrubby Tiquilia</x:v>
      </x:c>
      <x:c r="E1509" s="84" t="str">
        <x:v>Perennial</x:v>
      </x:c>
      <x:c r="F1509" s="84" t="str">
        <x:v>Subshrub</x:v>
      </x:c>
      <x:c r="G1509" s="84" t="str"/>
      <x:c r="H1509" s="84" t="str"/>
      <x:c r="I1509" s="84" t="str">
        <x:v>tiquilia canescens</x:v>
      </x:c>
    </x:row>
    <x:row r="1510">
      <x:c r="A1510" s="83" t="str">
        <x:v>Wildflower Center pasted list</x:v>
      </x:c>
      <x:c r="B1510" s="84" t="n">
        <x:v>722</x:v>
      </x:c>
      <x:c r="C1510" s="87" t="str">
        <x:v>Toxicodendron radicans</x:v>
      </x:c>
      <x:c r="D1510" s="84" t="str">
        <x:v>Eastern Poison Ivy, Poison Ivy</x:v>
      </x:c>
      <x:c r="E1510" s="84" t="str">
        <x:v>Perennial</x:v>
      </x:c>
      <x:c r="F1510" s="84" t="str">
        <x:v>Shrub, Vine</x:v>
      </x:c>
      <x:c r="G1510" s="84" t="str">
        <x:v>Shade, Part-shade</x:v>
      </x:c>
      <x:c r="H1510" s="84" t="str">
        <x:v>Moist</x:v>
      </x:c>
      <x:c r="I1510" s="84" t="str">
        <x:v>toxicodendron radicans</x:v>
      </x:c>
    </x:row>
    <x:row r="1511">
      <x:c r="A1511" s="83" t="str">
        <x:v>Wildflower Center pasted list</x:v>
      </x:c>
      <x:c r="B1511" s="84" t="n">
        <x:v>723</x:v>
      </x:c>
      <x:c r="C1511" s="87" t="str">
        <x:v>Tradescantia edwardsiana</x:v>
      </x:c>
      <x:c r="D1511" s="84" t="str">
        <x:v>Plateau Spiderwort, Edwards' Spiderwort</x:v>
      </x:c>
      <x:c r="E1511" s="84" t="str">
        <x:v>Perennial</x:v>
      </x:c>
      <x:c r="F1511" s="84" t="str">
        <x:v>Herb</x:v>
      </x:c>
      <x:c r="G1511" s="84" t="str">
        <x:v>Part-shade</x:v>
      </x:c>
      <x:c r="H1511" s="84" t="str"/>
      <x:c r="I1511" s="84" t="str">
        <x:v>tradescantia edwardsiana</x:v>
      </x:c>
    </x:row>
    <x:row r="1512">
      <x:c r="A1512" s="83" t="str">
        <x:v>Wildflower Center pasted list</x:v>
      </x:c>
      <x:c r="B1512" s="84" t="n">
        <x:v>724</x:v>
      </x:c>
      <x:c r="C1512" s="87" t="str">
        <x:v>Tradescantia gigantea</x:v>
      </x:c>
      <x:c r="D1512" s="84" t="str">
        <x:v>Giant Spiderwort</x:v>
      </x:c>
      <x:c r="E1512" s="84" t="str">
        <x:v>Perennial</x:v>
      </x:c>
      <x:c r="F1512" s="84" t="str">
        <x:v>Herb</x:v>
      </x:c>
      <x:c r="G1512" s="84" t="str">
        <x:v>Sun, Part-shade</x:v>
      </x:c>
      <x:c r="H1512" s="84" t="str">
        <x:v>Moist</x:v>
      </x:c>
      <x:c r="I1512" s="84" t="str">
        <x:v>tradescantia gigantea</x:v>
      </x:c>
    </x:row>
    <x:row r="1513">
      <x:c r="A1513" s="83" t="str">
        <x:v>Wildflower Center pasted list</x:v>
      </x:c>
      <x:c r="B1513" s="84" t="n">
        <x:v>725</x:v>
      </x:c>
      <x:c r="C1513" s="87" t="str">
        <x:v>Tradescantia hirsutiflora</x:v>
      </x:c>
      <x:c r="D1513" s="84" t="str">
        <x:v>Hairyflower Spiderwort</x:v>
      </x:c>
      <x:c r="E1513" s="84" t="str">
        <x:v>Perennial</x:v>
      </x:c>
      <x:c r="F1513" s="84" t="str">
        <x:v>Herb</x:v>
      </x:c>
      <x:c r="G1513" s="84" t="str">
        <x:v>Part-shade</x:v>
      </x:c>
      <x:c r="H1513" s="84" t="str">
        <x:v>Moist</x:v>
      </x:c>
      <x:c r="I1513" s="84" t="str">
        <x:v>tradescantia hirsutiflora</x:v>
      </x:c>
    </x:row>
    <x:row r="1514">
      <x:c r="A1514" s="83" t="str">
        <x:v>Wildflower Center pasted list</x:v>
      </x:c>
      <x:c r="B1514" s="84" t="n">
        <x:v>726</x:v>
      </x:c>
      <x:c r="C1514" s="87" t="str">
        <x:v>Tradescantia humilis</x:v>
      </x:c>
      <x:c r="D1514" s="84" t="str">
        <x:v>Texas Spiderwort</x:v>
      </x:c>
      <x:c r="E1514" s="84" t="str">
        <x:v>Perennial</x:v>
      </x:c>
      <x:c r="F1514" s="84" t="str">
        <x:v>Herb</x:v>
      </x:c>
      <x:c r="G1514" s="84" t="str"/>
      <x:c r="H1514" s="84" t="str"/>
      <x:c r="I1514" s="84" t="str">
        <x:v>tradescantia humilis</x:v>
      </x:c>
    </x:row>
    <x:row r="1515">
      <x:c r="A1515" s="83" t="str">
        <x:v>Wildflower Center pasted list</x:v>
      </x:c>
      <x:c r="B1515" s="84" t="n">
        <x:v>727</x:v>
      </x:c>
      <x:c r="C1515" s="87" t="str">
        <x:v>Tradescantia occidentalis</x:v>
      </x:c>
      <x:c r="D1515" s="84" t="str">
        <x:v>Prairie Spiderwort, Western Spiderwort, Spiderwort</x:v>
      </x:c>
      <x:c r="E1515" s="84" t="str">
        <x:v>Perennial</x:v>
      </x:c>
      <x:c r="F1515" s="84" t="str">
        <x:v>Herb</x:v>
      </x:c>
      <x:c r="G1515" s="84" t="str">
        <x:v>Sun, Part-shade</x:v>
      </x:c>
      <x:c r="H1515" s="84" t="str">
        <x:v>Dry</x:v>
      </x:c>
      <x:c r="I1515" s="84" t="str">
        <x:v>tradescantia occidentalis</x:v>
      </x:c>
    </x:row>
    <x:row r="1516">
      <x:c r="A1516" s="83" t="str">
        <x:v>Wildflower Center pasted list</x:v>
      </x:c>
      <x:c r="B1516" s="84" t="n">
        <x:v>728</x:v>
      </x:c>
      <x:c r="C1516" s="87" t="str">
        <x:v>Tradescantia pedicellata</x:v>
      </x:c>
      <x:c r="D1516" s="84" t="str">
        <x:v>Edwards Plateau Spiderwort, Granite Spiderwort</x:v>
      </x:c>
      <x:c r="E1516" s="84" t="str">
        <x:v>Perennial</x:v>
      </x:c>
      <x:c r="F1516" s="84" t="str">
        <x:v>Herb</x:v>
      </x:c>
      <x:c r="G1516" s="84" t="str"/>
      <x:c r="H1516" s="84" t="str"/>
      <x:c r="I1516" s="84" t="str">
        <x:v>tradescantia pedicellata</x:v>
      </x:c>
    </x:row>
    <x:row r="1517">
      <x:c r="A1517" s="83" t="str">
        <x:v>Wildflower Center pasted list</x:v>
      </x:c>
      <x:c r="B1517" s="84" t="n">
        <x:v>729</x:v>
      </x:c>
      <x:c r="C1517" s="87" t="str">
        <x:v>Tragia betonicifolia</x:v>
      </x:c>
      <x:c r="D1517" s="84" t="str">
        <x:v>Betonyleaf Noseburn</x:v>
      </x:c>
      <x:c r="E1517" s="84" t="str">
        <x:v>Perennial</x:v>
      </x:c>
      <x:c r="F1517" s="84" t="str">
        <x:v>Herb</x:v>
      </x:c>
      <x:c r="G1517" s="84" t="str"/>
      <x:c r="H1517" s="84" t="str"/>
      <x:c r="I1517" s="84" t="str">
        <x:v>tragia betonicifolia</x:v>
      </x:c>
    </x:row>
    <x:row r="1518">
      <x:c r="A1518" s="83" t="str">
        <x:v>Wildflower Center pasted list</x:v>
      </x:c>
      <x:c r="B1518" s="84" t="n">
        <x:v>730</x:v>
      </x:c>
      <x:c r="C1518" s="87" t="str">
        <x:v>Tragia brevispica</x:v>
      </x:c>
      <x:c r="D1518" s="84" t="str">
        <x:v>Shortspike Noseburn</x:v>
      </x:c>
      <x:c r="E1518" s="84" t="str">
        <x:v>Perennial</x:v>
      </x:c>
      <x:c r="F1518" s="84" t="str">
        <x:v>Herb, Vine</x:v>
      </x:c>
      <x:c r="G1518" s="84" t="str"/>
      <x:c r="H1518" s="84" t="str"/>
      <x:c r="I1518" s="84" t="str">
        <x:v>tragia brevispica</x:v>
      </x:c>
    </x:row>
    <x:row r="1519">
      <x:c r="A1519" s="83" t="str">
        <x:v>Wildflower Center pasted list</x:v>
      </x:c>
      <x:c r="B1519" s="84" t="n">
        <x:v>731</x:v>
      </x:c>
      <x:c r="C1519" s="87" t="str">
        <x:v>Tragia nigricans</x:v>
      </x:c>
      <x:c r="D1519" s="84" t="str">
        <x:v>Dark Noseburn</x:v>
      </x:c>
      <x:c r="E1519" s="84" t="str">
        <x:v>Perennial</x:v>
      </x:c>
      <x:c r="F1519" s="84" t="str">
        <x:v>Herb</x:v>
      </x:c>
      <x:c r="G1519" s="84" t="str"/>
      <x:c r="H1519" s="84" t="str"/>
      <x:c r="I1519" s="84" t="str">
        <x:v>tragia nigricans</x:v>
      </x:c>
    </x:row>
    <x:row r="1520">
      <x:c r="A1520" s="83" t="str">
        <x:v>Wildflower Center pasted list</x:v>
      </x:c>
      <x:c r="B1520" s="84" t="n">
        <x:v>732</x:v>
      </x:c>
      <x:c r="C1520" s="87" t="str">
        <x:v>Tragia ramosa</x:v>
      </x:c>
      <x:c r="D1520" s="84" t="str">
        <x:v>Branched Noseburn</x:v>
      </x:c>
      <x:c r="E1520" s="84" t="str">
        <x:v>Perennial</x:v>
      </x:c>
      <x:c r="F1520" s="84" t="str">
        <x:v>Herb</x:v>
      </x:c>
      <x:c r="G1520" s="84" t="str"/>
      <x:c r="H1520" s="84" t="str"/>
      <x:c r="I1520" s="84" t="str">
        <x:v>tragia ramosa</x:v>
      </x:c>
    </x:row>
    <x:row r="1521">
      <x:c r="A1521" s="83" t="str">
        <x:v>Wildflower Center pasted list</x:v>
      </x:c>
      <x:c r="B1521" s="84" t="n">
        <x:v>733</x:v>
      </x:c>
      <x:c r="C1521" s="87" t="str">
        <x:v>Tridens albescens</x:v>
      </x:c>
      <x:c r="D1521" s="84" t="str">
        <x:v>White Tridens, White Top</x:v>
      </x:c>
      <x:c r="E1521" s="84" t="str">
        <x:v>Perennial</x:v>
      </x:c>
      <x:c r="F1521" s="84" t="str">
        <x:v>Grass/Grass-like</x:v>
      </x:c>
      <x:c r="G1521" s="84" t="str">
        <x:v>Part-shade</x:v>
      </x:c>
      <x:c r="H1521" s="84" t="str">
        <x:v>Moist</x:v>
      </x:c>
      <x:c r="I1521" s="84" t="str">
        <x:v>tridens albescens</x:v>
      </x:c>
    </x:row>
    <x:row r="1522">
      <x:c r="A1522" s="83" t="str">
        <x:v>Wildflower Center pasted list</x:v>
      </x:c>
      <x:c r="B1522" s="84" t="n">
        <x:v>734</x:v>
      </x:c>
      <x:c r="C1522" s="87" t="str">
        <x:v>Tridens buckleyanus</x:v>
      </x:c>
      <x:c r="D1522" s="84" t="str">
        <x:v>Buckley's Fluffgrass, Buckley's Tridens</x:v>
      </x:c>
      <x:c r="E1522" s="84" t="str">
        <x:v>Perennial</x:v>
      </x:c>
      <x:c r="F1522" s="84" t="str">
        <x:v>Grass/Grass-like</x:v>
      </x:c>
      <x:c r="G1522" s="84" t="str"/>
      <x:c r="H1522" s="84" t="str"/>
      <x:c r="I1522" s="84" t="str">
        <x:v>tridens buckleyanus</x:v>
      </x:c>
    </x:row>
    <x:row r="1523">
      <x:c r="A1523" s="83" t="str">
        <x:v>Wildflower Center pasted list</x:v>
      </x:c>
      <x:c r="B1523" s="84" t="n">
        <x:v>735</x:v>
      </x:c>
      <x:c r="C1523" s="87" t="str">
        <x:v>Tridens eragrostoides</x:v>
      </x:c>
      <x:c r="D1523" s="84" t="str">
        <x:v>Lovegrass Tridens</x:v>
      </x:c>
      <x:c r="E1523" s="84" t="str">
        <x:v>Perennial</x:v>
      </x:c>
      <x:c r="F1523" s="84" t="str">
        <x:v>Grass/Grass-like</x:v>
      </x:c>
      <x:c r="G1523" s="84" t="str"/>
      <x:c r="H1523" s="84" t="str"/>
      <x:c r="I1523" s="84" t="str">
        <x:v>tridens eragrostoides</x:v>
      </x:c>
    </x:row>
    <x:row r="1524">
      <x:c r="A1524" s="83" t="str">
        <x:v>Wildflower Center pasted list</x:v>
      </x:c>
      <x:c r="B1524" s="84" t="n">
        <x:v>736</x:v>
      </x:c>
      <x:c r="C1524" s="87" t="str">
        <x:v>Tridens flavus</x:v>
      </x:c>
      <x:c r="D1524" s="84" t="str">
        <x:v>Purpletop Tridens, Redtop Tridens, Tall Redtop Tridens, Purpletop, Redtop, Tall Redtop</x:v>
      </x:c>
      <x:c r="E1524" s="84" t="str">
        <x:v>Perennial</x:v>
      </x:c>
      <x:c r="F1524" s="84" t="str">
        <x:v>Grass/Grass-like</x:v>
      </x:c>
      <x:c r="G1524" s="84" t="str">
        <x:v>Part-shade</x:v>
      </x:c>
      <x:c r="H1524" s="84" t="str">
        <x:v>Dry</x:v>
      </x:c>
      <x:c r="I1524" s="84" t="str">
        <x:v>tridens flavus</x:v>
      </x:c>
    </x:row>
    <x:row r="1525">
      <x:c r="A1525" s="83" t="str">
        <x:v>Wildflower Center pasted list</x:v>
      </x:c>
      <x:c r="B1525" s="84" t="n">
        <x:v>737</x:v>
      </x:c>
      <x:c r="C1525" s="87" t="str">
        <x:v>Tridens muticus</x:v>
      </x:c>
      <x:c r="D1525" s="84" t="str">
        <x:v>Slim Tridens</x:v>
      </x:c>
      <x:c r="E1525" s="84" t="str">
        <x:v>Perennial</x:v>
      </x:c>
      <x:c r="F1525" s="84" t="str">
        <x:v>Grass/Grass-like</x:v>
      </x:c>
      <x:c r="G1525" s="84" t="str"/>
      <x:c r="H1525" s="84" t="str"/>
      <x:c r="I1525" s="84" t="str">
        <x:v>tridens muticus</x:v>
      </x:c>
    </x:row>
    <x:row r="1526">
      <x:c r="A1526" s="83" t="str">
        <x:v>Wildflower Center pasted list</x:v>
      </x:c>
      <x:c r="B1526" s="84" t="n">
        <x:v>738</x:v>
      </x:c>
      <x:c r="C1526" s="87" t="str">
        <x:v>Tridens texanus</x:v>
      </x:c>
      <x:c r="D1526" s="84" t="str">
        <x:v>Texas Fluffgrass, Texas Tridens</x:v>
      </x:c>
      <x:c r="E1526" s="84" t="str">
        <x:v>Perennial</x:v>
      </x:c>
      <x:c r="F1526" s="84" t="str">
        <x:v>Grass/Grass-like</x:v>
      </x:c>
      <x:c r="G1526" s="84" t="str"/>
      <x:c r="H1526" s="84" t="str"/>
      <x:c r="I1526" s="84" t="str">
        <x:v>tridens texanus</x:v>
      </x:c>
    </x:row>
    <x:row r="1527">
      <x:c r="A1527" s="83" t="str">
        <x:v>Wildflower Center pasted list</x:v>
      </x:c>
      <x:c r="B1527" s="84" t="n">
        <x:v>739</x:v>
      </x:c>
      <x:c r="C1527" s="87" t="str">
        <x:v>Triodanis biflora</x:v>
      </x:c>
      <x:c r="D1527" s="84" t="str">
        <x:v>Small Venus' Looking-glass</x:v>
      </x:c>
      <x:c r="E1527" s="84" t="str">
        <x:v>Annual</x:v>
      </x:c>
      <x:c r="F1527" s="84" t="str">
        <x:v>Herb</x:v>
      </x:c>
      <x:c r="G1527" s="84" t="str"/>
      <x:c r="H1527" s="84" t="str"/>
      <x:c r="I1527" s="84" t="str">
        <x:v>triodanis biflora</x:v>
      </x:c>
    </x:row>
    <x:row r="1528">
      <x:c r="A1528" s="83" t="str">
        <x:v>Wildflower Center pasted list</x:v>
      </x:c>
      <x:c r="B1528" s="84" t="n">
        <x:v>740</x:v>
      </x:c>
      <x:c r="C1528" s="87" t="str">
        <x:v>Triodanis coloradoensis</x:v>
      </x:c>
      <x:c r="D1528" s="84" t="str">
        <x:v>Colorado Venus' Looking-glass, Western Venus' Looking Glass</x:v>
      </x:c>
      <x:c r="E1528" s="84" t="str">
        <x:v>Annual</x:v>
      </x:c>
      <x:c r="F1528" s="84" t="str">
        <x:v>Herb</x:v>
      </x:c>
      <x:c r="G1528" s="84" t="str"/>
      <x:c r="H1528" s="84" t="str"/>
      <x:c r="I1528" s="84" t="str">
        <x:v>triodanis coloradoensis</x:v>
      </x:c>
    </x:row>
    <x:row r="1529">
      <x:c r="A1529" s="83" t="str">
        <x:v>Wildflower Center pasted list</x:v>
      </x:c>
      <x:c r="B1529" s="84" t="n">
        <x:v>741</x:v>
      </x:c>
      <x:c r="C1529" s="87" t="str">
        <x:v>Triodanis leptocarpa</x:v>
      </x:c>
      <x:c r="D1529" s="84" t="str">
        <x:v>Slimpod Venus' Looking-glass</x:v>
      </x:c>
      <x:c r="E1529" s="84" t="str">
        <x:v>Annual</x:v>
      </x:c>
      <x:c r="F1529" s="84" t="str">
        <x:v>Herb</x:v>
      </x:c>
      <x:c r="G1529" s="84" t="str"/>
      <x:c r="H1529" s="84" t="str"/>
      <x:c r="I1529" s="84" t="str">
        <x:v>triodanis leptocarpa</x:v>
      </x:c>
    </x:row>
    <x:row r="1530">
      <x:c r="A1530" s="83" t="str">
        <x:v>Wildflower Center pasted list</x:v>
      </x:c>
      <x:c r="B1530" s="84" t="n">
        <x:v>742</x:v>
      </x:c>
      <x:c r="C1530" s="87" t="str">
        <x:v>Triodanis perfoliata</x:v>
      </x:c>
      <x:c r="D1530" s="84" t="str">
        <x:v>Clasping Venus's Looking-glass</x:v>
      </x:c>
      <x:c r="E1530" s="84" t="str">
        <x:v>Annual</x:v>
      </x:c>
      <x:c r="F1530" s="84" t="str">
        <x:v>Herb</x:v>
      </x:c>
      <x:c r="G1530" s="84" t="str">
        <x:v>Shade</x:v>
      </x:c>
      <x:c r="H1530" s="84" t="str">
        <x:v>Dry</x:v>
      </x:c>
      <x:c r="I1530" s="84" t="str">
        <x:v>triodanis perfoliata</x:v>
      </x:c>
    </x:row>
    <x:row r="1531">
      <x:c r="A1531" s="83" t="str">
        <x:v>Wildflower Center pasted list</x:v>
      </x:c>
      <x:c r="B1531" s="84" t="n">
        <x:v>743</x:v>
      </x:c>
      <x:c r="C1531" s="87" t="str">
        <x:v>Tripsacum dactyloides</x:v>
      </x:c>
      <x:c r="D1531" s="84" t="str">
        <x:v>Eastern Gamagrass, Fakahatchee Grass</x:v>
      </x:c>
      <x:c r="E1531" s="84" t="str">
        <x:v>Perennial</x:v>
      </x:c>
      <x:c r="F1531" s="84" t="str">
        <x:v>Grass/Grass-like</x:v>
      </x:c>
      <x:c r="G1531" s="84" t="str">
        <x:v>Part-shade</x:v>
      </x:c>
      <x:c r="H1531" s="84" t="str">
        <x:v>Moist</x:v>
      </x:c>
      <x:c r="I1531" s="84" t="str">
        <x:v>tripsacum dactyloides</x:v>
      </x:c>
    </x:row>
    <x:row r="1532">
      <x:c r="A1532" s="83" t="str">
        <x:v>Wildflower Center pasted list</x:v>
      </x:c>
      <x:c r="B1532" s="84" t="n">
        <x:v>744</x:v>
      </x:c>
      <x:c r="C1532" s="87" t="str">
        <x:v>Typha domingensis</x:v>
      </x:c>
      <x:c r="D1532" s="84" t="str">
        <x:v>Southern Cattail</x:v>
      </x:c>
      <x:c r="E1532" s="84" t="str">
        <x:v>Perennial</x:v>
      </x:c>
      <x:c r="F1532" s="84" t="str">
        <x:v>Herb</x:v>
      </x:c>
      <x:c r="G1532" s="84" t="str"/>
      <x:c r="H1532" s="84" t="str"/>
      <x:c r="I1532" s="84" t="str">
        <x:v>typha domingensis</x:v>
      </x:c>
    </x:row>
    <x:row r="1533">
      <x:c r="A1533" s="83" t="str">
        <x:v>Wildflower Center pasted list</x:v>
      </x:c>
      <x:c r="B1533" s="84" t="n">
        <x:v>745</x:v>
      </x:c>
      <x:c r="C1533" s="87" t="str">
        <x:v>Typha latifolia</x:v>
      </x:c>
      <x:c r="D1533" s="84" t="str">
        <x:v>Broadleaf Cattail, Common Cattail</x:v>
      </x:c>
      <x:c r="E1533" s="84" t="str">
        <x:v>Perennial</x:v>
      </x:c>
      <x:c r="F1533" s="84" t="str">
        <x:v>Grass/Grass-like</x:v>
      </x:c>
      <x:c r="G1533" s="84" t="str">
        <x:v>Sun, Part-shade</x:v>
      </x:c>
      <x:c r="H1533" s="84" t="str">
        <x:v>Wet</x:v>
      </x:c>
      <x:c r="I1533" s="84" t="str">
        <x:v>typha latifolia</x:v>
      </x:c>
    </x:row>
    <x:row r="1534">
      <x:c r="A1534" s="83" t="str">
        <x:v>Wildflower Center pasted list</x:v>
      </x:c>
      <x:c r="B1534" s="84" t="n">
        <x:v>746</x:v>
      </x:c>
      <x:c r="C1534" s="87" t="str">
        <x:v>Ulmus americana</x:v>
      </x:c>
      <x:c r="D1534" s="84" t="str">
        <x:v>American Elm, White Elm, Soft Elm, Water Elm, Common Elm</x:v>
      </x:c>
      <x:c r="E1534" s="84" t="str">
        <x:v>Perennial</x:v>
      </x:c>
      <x:c r="F1534" s="84" t="str">
        <x:v>Tree</x:v>
      </x:c>
      <x:c r="G1534" s="84" t="str">
        <x:v>Sun, Part-shade</x:v>
      </x:c>
      <x:c r="H1534" s="84" t="str">
        <x:v>Moist</x:v>
      </x:c>
      <x:c r="I1534" s="84" t="str">
        <x:v>ulmus americana</x:v>
      </x:c>
    </x:row>
    <x:row r="1535">
      <x:c r="A1535" s="83" t="str">
        <x:v>Wildflower Center pasted list</x:v>
      </x:c>
      <x:c r="B1535" s="84" t="n">
        <x:v>747</x:v>
      </x:c>
      <x:c r="C1535" s="87" t="str">
        <x:v>Ulmus crassifolia</x:v>
      </x:c>
      <x:c r="D1535" s="84" t="str">
        <x:v>Cedar Elm, Fall Elm, Basket Elm, Scrub Elm, Lime Elm, Texas Elm, Southern Rock Elm, Olmo</x:v>
      </x:c>
      <x:c r="E1535" s="84" t="str">
        <x:v>Perennial</x:v>
      </x:c>
      <x:c r="F1535" s="84" t="str">
        <x:v>Tree</x:v>
      </x:c>
      <x:c r="G1535" s="84" t="str">
        <x:v>Part-shade</x:v>
      </x:c>
      <x:c r="H1535" s="84" t="str">
        <x:v>Moist</x:v>
      </x:c>
      <x:c r="I1535" s="84" t="str">
        <x:v>ulmus crassifolia</x:v>
      </x:c>
    </x:row>
    <x:row r="1536">
      <x:c r="A1536" s="83" t="str">
        <x:v>Wildflower Center pasted list</x:v>
      </x:c>
      <x:c r="B1536" s="84" t="n">
        <x:v>748</x:v>
      </x:c>
      <x:c r="C1536" s="87" t="str">
        <x:v>Ulmus rubra</x:v>
      </x:c>
      <x:c r="D1536" s="84" t="str">
        <x:v>Slippery Elm, Red Elm, Gray Elm, Soft Elm</x:v>
      </x:c>
      <x:c r="E1536" s="84" t="str">
        <x:v>Perennial</x:v>
      </x:c>
      <x:c r="F1536" s="84" t="str">
        <x:v>Tree</x:v>
      </x:c>
      <x:c r="G1536" s="84" t="str">
        <x:v>Sun, Part-shade</x:v>
      </x:c>
      <x:c r="H1536" s="84" t="str">
        <x:v>Moist</x:v>
      </x:c>
      <x:c r="I1536" s="84" t="str">
        <x:v>ulmus rubra</x:v>
      </x:c>
    </x:row>
    <x:row r="1537">
      <x:c r="A1537" s="83" t="str">
        <x:v>Wildflower Center pasted list</x:v>
      </x:c>
      <x:c r="B1537" s="84" t="n">
        <x:v>749</x:v>
      </x:c>
      <x:c r="C1537" s="87" t="str">
        <x:v>Ungnadia speciosa</x:v>
      </x:c>
      <x:c r="D1537" s="84" t="str">
        <x:v>Mexican Buckeye, Monilla</x:v>
      </x:c>
      <x:c r="E1537" s="84" t="str">
        <x:v>Perennial</x:v>
      </x:c>
      <x:c r="F1537" s="84" t="str">
        <x:v>Tree</x:v>
      </x:c>
      <x:c r="G1537" s="84" t="str">
        <x:v>Sun, Part-shade</x:v>
      </x:c>
      <x:c r="H1537" s="84" t="str">
        <x:v>Dry</x:v>
      </x:c>
      <x:c r="I1537" s="84" t="str">
        <x:v>ungnadia speciosa</x:v>
      </x:c>
    </x:row>
    <x:row r="1538">
      <x:c r="A1538" s="83" t="str">
        <x:v>Wildflower Center pasted list</x:v>
      </x:c>
      <x:c r="B1538" s="84" t="n">
        <x:v>750</x:v>
      </x:c>
      <x:c r="C1538" s="87" t="str">
        <x:v>Urochloa texana</x:v>
      </x:c>
      <x:c r="D1538" s="84" t="str">
        <x:v>Texas Signalgrass</x:v>
      </x:c>
      <x:c r="E1538" s="84" t="str">
        <x:v>Annual</x:v>
      </x:c>
      <x:c r="F1538" s="84" t="str">
        <x:v>Grass/Grass-like</x:v>
      </x:c>
      <x:c r="G1538" s="84" t="str"/>
      <x:c r="H1538" s="84" t="str"/>
      <x:c r="I1538" s="84" t="str">
        <x:v>urochloa texana</x:v>
      </x:c>
    </x:row>
    <x:row r="1539">
      <x:c r="A1539" s="83" t="str">
        <x:v>Wildflower Center pasted list</x:v>
      </x:c>
      <x:c r="B1539" s="84" t="n">
        <x:v>751</x:v>
      </x:c>
      <x:c r="C1539" s="87" t="str">
        <x:v>Utricularia gibba</x:v>
      </x:c>
      <x:c r="D1539" s="84" t="str">
        <x:v>Humped Bladderwort, Bladderwort, Conespur Bladderpod</x:v>
      </x:c>
      <x:c r="E1539" s="84" t="str">
        <x:v>Perennial</x:v>
      </x:c>
      <x:c r="F1539" s="84" t="str">
        <x:v>Herb</x:v>
      </x:c>
      <x:c r="G1539" s="84" t="str">
        <x:v>Sun</x:v>
      </x:c>
      <x:c r="H1539" s="84" t="str">
        <x:v>Wet</x:v>
      </x:c>
      <x:c r="I1539" s="84" t="str">
        <x:v>utricularia gibba</x:v>
      </x:c>
    </x:row>
    <x:row r="1540">
      <x:c r="A1540" s="83" t="str">
        <x:v>Wildflower Center pasted list</x:v>
      </x:c>
      <x:c r="B1540" s="84" t="n">
        <x:v>752</x:v>
      </x:c>
      <x:c r="C1540" s="87" t="str">
        <x:v>Vachellia farnesiana</x:v>
      </x:c>
      <x:c r="D1540" s="84" t="str">
        <x:v>Huisache, Texas Huisache, Sweet Acacia, Perfume Acacia, Mealy Acacia, Mealy Wattle, Cassie</x:v>
      </x:c>
      <x:c r="E1540" s="84" t="str">
        <x:v>Perennial</x:v>
      </x:c>
      <x:c r="F1540" s="84" t="str">
        <x:v>Tree</x:v>
      </x:c>
      <x:c r="G1540" s="84" t="str">
        <x:v>Sun</x:v>
      </x:c>
      <x:c r="H1540" s="84" t="str">
        <x:v>Dry</x:v>
      </x:c>
      <x:c r="I1540" s="84" t="str">
        <x:v>vachellia farnesiana</x:v>
      </x:c>
    </x:row>
    <x:row r="1541">
      <x:c r="A1541" s="83" t="str">
        <x:v>Wildflower Center pasted list</x:v>
      </x:c>
      <x:c r="B1541" s="84" t="n">
        <x:v>753</x:v>
      </x:c>
      <x:c r="C1541" s="87" t="str">
        <x:v>Valerianella amarella</x:v>
      </x:c>
      <x:c r="D1541" s="84" t="str">
        <x:v>Hairy Cornsalad</x:v>
      </x:c>
      <x:c r="E1541" s="84" t="str">
        <x:v>Annual</x:v>
      </x:c>
      <x:c r="F1541" s="84" t="str">
        <x:v>Herb</x:v>
      </x:c>
      <x:c r="G1541" s="84" t="str"/>
      <x:c r="H1541" s="84" t="str"/>
      <x:c r="I1541" s="84" t="str">
        <x:v>valerianella amarella</x:v>
      </x:c>
    </x:row>
    <x:row r="1542">
      <x:c r="A1542" s="83" t="str">
        <x:v>Wildflower Center pasted list</x:v>
      </x:c>
      <x:c r="B1542" s="84" t="n">
        <x:v>754</x:v>
      </x:c>
      <x:c r="C1542" s="87" t="str">
        <x:v>Vallisneria americana</x:v>
      </x:c>
      <x:c r="D1542" s="84" t="str">
        <x:v>American Eelgrass, Water Celery, Eelgrass, Tapegrass</x:v>
      </x:c>
      <x:c r="E1542" s="84" t="str">
        <x:v>Perennial</x:v>
      </x:c>
      <x:c r="F1542" s="84" t="str">
        <x:v>Herb</x:v>
      </x:c>
      <x:c r="G1542" s="84" t="str">
        <x:v>Sun, Part-shade</x:v>
      </x:c>
      <x:c r="H1542" s="84" t="str">
        <x:v>Wet</x:v>
      </x:c>
      <x:c r="I1542" s="84" t="str">
        <x:v>vallisneria americana</x:v>
      </x:c>
    </x:row>
    <x:row r="1543">
      <x:c r="A1543" s="83" t="str">
        <x:v>Wildflower Center pasted list</x:v>
      </x:c>
      <x:c r="B1543" s="84" t="n">
        <x:v>755</x:v>
      </x:c>
      <x:c r="C1543" s="87" t="str">
        <x:v>Verbena canescens</x:v>
      </x:c>
      <x:c r="D1543" s="84" t="str">
        <x:v>Gray Vervain</x:v>
      </x:c>
      <x:c r="E1543" s="84" t="str">
        <x:v>Perennial</x:v>
      </x:c>
      <x:c r="F1543" s="84" t="str">
        <x:v>Herb</x:v>
      </x:c>
      <x:c r="G1543" s="84" t="str">
        <x:v>Sun</x:v>
      </x:c>
      <x:c r="H1543" s="84" t="str">
        <x:v>Moist, Dry</x:v>
      </x:c>
      <x:c r="I1543" s="84" t="str">
        <x:v>verbena canescens</x:v>
      </x:c>
    </x:row>
    <x:row r="1544">
      <x:c r="A1544" s="83" t="str">
        <x:v>Wildflower Center pasted list</x:v>
      </x:c>
      <x:c r="B1544" s="84" t="n">
        <x:v>756</x:v>
      </x:c>
      <x:c r="C1544" s="87" t="str">
        <x:v>Verbena halei</x:v>
      </x:c>
      <x:c r="D1544" s="84" t="str">
        <x:v>Texas Vervain, Slender Verbena, Texas Verbena, Slender Vervain</x:v>
      </x:c>
      <x:c r="E1544" s="84" t="str">
        <x:v>Perennial</x:v>
      </x:c>
      <x:c r="F1544" s="84" t="str">
        <x:v>Shrub</x:v>
      </x:c>
      <x:c r="G1544" s="84" t="str">
        <x:v>Sun</x:v>
      </x:c>
      <x:c r="H1544" s="84" t="str">
        <x:v>Dry</x:v>
      </x:c>
      <x:c r="I1544" s="84" t="str">
        <x:v>verbena halei</x:v>
      </x:c>
    </x:row>
    <x:row r="1545">
      <x:c r="A1545" s="83" t="str">
        <x:v>Wildflower Center pasted list</x:v>
      </x:c>
      <x:c r="B1545" s="84" t="n">
        <x:v>757</x:v>
      </x:c>
      <x:c r="C1545" s="87" t="str">
        <x:v>Verbena scabra</x:v>
      </x:c>
      <x:c r="D1545" s="84" t="str">
        <x:v>Sandpaper Vervain</x:v>
      </x:c>
      <x:c r="E1545" s="84" t="str">
        <x:v>Annual</x:v>
      </x:c>
      <x:c r="F1545" s="84" t="str">
        <x:v>Herb, Subshrub</x:v>
      </x:c>
      <x:c r="G1545" s="84" t="str"/>
      <x:c r="H1545" s="84" t="str"/>
      <x:c r="I1545" s="84" t="str">
        <x:v>verbena scabra</x:v>
      </x:c>
    </x:row>
    <x:row r="1546">
      <x:c r="A1546" s="83" t="str">
        <x:v>Wildflower Center pasted list</x:v>
      </x:c>
      <x:c r="B1546" s="84" t="n">
        <x:v>758</x:v>
      </x:c>
      <x:c r="C1546" s="87" t="str">
        <x:v>Verbesina encelioides</x:v>
      </x:c>
      <x:c r="D1546" s="84" t="str">
        <x:v>Cowpen Daisy, Golden Crownbeard, Butter Daisy</x:v>
      </x:c>
      <x:c r="E1546" s="84" t="str">
        <x:v>Annual</x:v>
      </x:c>
      <x:c r="F1546" s="84" t="str">
        <x:v>Herb</x:v>
      </x:c>
      <x:c r="G1546" s="84" t="str">
        <x:v>Sun</x:v>
      </x:c>
      <x:c r="H1546" s="84" t="str">
        <x:v>Dry</x:v>
      </x:c>
      <x:c r="I1546" s="84" t="str">
        <x:v>verbesina encelioides</x:v>
      </x:c>
    </x:row>
    <x:row r="1547">
      <x:c r="A1547" s="83" t="str">
        <x:v>Wildflower Center pasted list</x:v>
      </x:c>
      <x:c r="B1547" s="84" t="n">
        <x:v>759</x:v>
      </x:c>
      <x:c r="C1547" s="87" t="str">
        <x:v>Verbesina lindheimeri</x:v>
      </x:c>
      <x:c r="D1547" s="84" t="str">
        <x:v>Lindheimer's Crownbeard</x:v>
      </x:c>
      <x:c r="E1547" s="84" t="str">
        <x:v>Perennial</x:v>
      </x:c>
      <x:c r="F1547" s="84" t="str">
        <x:v>Herb</x:v>
      </x:c>
      <x:c r="G1547" s="84" t="str"/>
      <x:c r="H1547" s="84" t="str"/>
      <x:c r="I1547" s="84" t="str">
        <x:v>verbesina lindheimeri</x:v>
      </x:c>
    </x:row>
    <x:row r="1548">
      <x:c r="A1548" s="83" t="str">
        <x:v>Wildflower Center pasted list</x:v>
      </x:c>
      <x:c r="B1548" s="84" t="n">
        <x:v>760</x:v>
      </x:c>
      <x:c r="C1548" s="87" t="str">
        <x:v>Verbesina virginica</x:v>
      </x:c>
      <x:c r="D1548" s="84" t="str">
        <x:v>Frostweed, White Crownbeard, Iceplant, Iceweed, Virginia Crownbeard, Indian Tobacco, Richweed, Squawweed</x:v>
      </x:c>
      <x:c r="E1548" s="84" t="str">
        <x:v>Biennial, Perennial</x:v>
      </x:c>
      <x:c r="F1548" s="84" t="str">
        <x:v>Herb</x:v>
      </x:c>
      <x:c r="G1548" s="84" t="str">
        <x:v>Shade, Part-shade</x:v>
      </x:c>
      <x:c r="H1548" s="84" t="str">
        <x:v>Moist, Dry</x:v>
      </x:c>
      <x:c r="I1548" s="84" t="str">
        <x:v>verbesina virginica</x:v>
      </x:c>
    </x:row>
    <x:row r="1549">
      <x:c r="A1549" s="83" t="str">
        <x:v>Wildflower Center pasted list</x:v>
      </x:c>
      <x:c r="B1549" s="84" t="n">
        <x:v>761</x:v>
      </x:c>
      <x:c r="C1549" s="87" t="str">
        <x:v>Vernonia baldwinii</x:v>
      </x:c>
      <x:c r="D1549" s="84" t="str">
        <x:v>Western Ironweed, Baldwin's Ironweed, Ironweed</x:v>
      </x:c>
      <x:c r="E1549" s="84" t="str">
        <x:v>Perennial</x:v>
      </x:c>
      <x:c r="F1549" s="84" t="str">
        <x:v>Herb</x:v>
      </x:c>
      <x:c r="G1549" s="84" t="str">
        <x:v>Sun</x:v>
      </x:c>
      <x:c r="H1549" s="84" t="str">
        <x:v>Moist</x:v>
      </x:c>
      <x:c r="I1549" s="84" t="str">
        <x:v>vernonia baldwinii</x:v>
      </x:c>
    </x:row>
    <x:row r="1550">
      <x:c r="A1550" s="83" t="str">
        <x:v>Wildflower Center pasted list</x:v>
      </x:c>
      <x:c r="B1550" s="84" t="n">
        <x:v>762</x:v>
      </x:c>
      <x:c r="C1550" s="87" t="str">
        <x:v>Vernonia lindheimeri</x:v>
      </x:c>
      <x:c r="D1550" s="84" t="str">
        <x:v>Woolly Ironweed</x:v>
      </x:c>
      <x:c r="E1550" s="84" t="str">
        <x:v>Perennial</x:v>
      </x:c>
      <x:c r="F1550" s="84" t="str">
        <x:v>Herb</x:v>
      </x:c>
      <x:c r="G1550" s="84" t="str">
        <x:v>Sun</x:v>
      </x:c>
      <x:c r="H1550" s="84" t="str">
        <x:v>Dry</x:v>
      </x:c>
      <x:c r="I1550" s="84" t="str">
        <x:v>vernonia lindheimeri</x:v>
      </x:c>
    </x:row>
    <x:row r="1551">
      <x:c r="A1551" s="83" t="str">
        <x:v>Wildflower Center pasted list</x:v>
      </x:c>
      <x:c r="B1551" s="84" t="n">
        <x:v>763</x:v>
      </x:c>
      <x:c r="C1551" s="87" t="str">
        <x:v>Veronica anagallis-aquatica</x:v>
      </x:c>
      <x:c r="D1551" s="84" t="str">
        <x:v>Water Speedwell</x:v>
      </x:c>
      <x:c r="E1551" s="84" t="str">
        <x:v>Biennial</x:v>
      </x:c>
      <x:c r="F1551" s="84" t="str">
        <x:v>Herb</x:v>
      </x:c>
      <x:c r="G1551" s="84" t="str"/>
      <x:c r="H1551" s="84" t="str"/>
      <x:c r="I1551" s="84" t="str">
        <x:v>veronica anagallis-aquatica</x:v>
      </x:c>
    </x:row>
    <x:row r="1552">
      <x:c r="A1552" s="83" t="str">
        <x:v>Wildflower Center pasted list</x:v>
      </x:c>
      <x:c r="B1552" s="84" t="n">
        <x:v>764</x:v>
      </x:c>
      <x:c r="C1552" s="87" t="str">
        <x:v>Viburnum rufidulum</x:v>
      </x:c>
      <x:c r="D1552" s="84" t="str">
        <x:v>Rusty Blackhaw Viburnum, Rusty Blackhaw, Southern Blackhaw, Blackhaw, Bluehaw, Downy Viburnum, Southern Nannyberry, Rusty Nannyberry, Nannyberry</x:v>
      </x:c>
      <x:c r="E1552" s="84" t="str">
        <x:v>Perennial</x:v>
      </x:c>
      <x:c r="F1552" s="84" t="str">
        <x:v>Tree</x:v>
      </x:c>
      <x:c r="G1552" s="84" t="str">
        <x:v>Part-shade</x:v>
      </x:c>
      <x:c r="H1552" s="84" t="str">
        <x:v>Dry</x:v>
      </x:c>
      <x:c r="I1552" s="84" t="str">
        <x:v>viburnum rufidulum</x:v>
      </x:c>
    </x:row>
    <x:row r="1553">
      <x:c r="A1553" s="83" t="str">
        <x:v>Wildflower Center pasted list</x:v>
      </x:c>
      <x:c r="B1553" s="84" t="n">
        <x:v>765</x:v>
      </x:c>
      <x:c r="C1553" s="87" t="str">
        <x:v>Vicia ludoviciana ssp. leavenworthii</x:v>
      </x:c>
      <x:c r="D1553" s="84" t="str">
        <x:v>Leavenworth's Vetch</x:v>
      </x:c>
      <x:c r="E1553" s="84" t="str">
        <x:v>Annual</x:v>
      </x:c>
      <x:c r="F1553" s="84" t="str">
        <x:v>Vine</x:v>
      </x:c>
      <x:c r="G1553" s="84" t="str"/>
      <x:c r="H1553" s="84" t="str"/>
      <x:c r="I1553" s="84" t="str">
        <x:v>vicia ludoviciana ssp. leavenworthii</x:v>
      </x:c>
    </x:row>
    <x:row r="1554">
      <x:c r="A1554" s="83" t="str">
        <x:v>Wildflower Center pasted list</x:v>
      </x:c>
      <x:c r="B1554" s="84" t="n">
        <x:v>766</x:v>
      </x:c>
      <x:c r="C1554" s="87" t="str">
        <x:v>Vicia ludoviciana ssp. ludoviciana</x:v>
      </x:c>
      <x:c r="D1554" s="84" t="str">
        <x:v>Deer Pea Vetch, Louisiana Vetch</x:v>
      </x:c>
      <x:c r="E1554" s="84" t="str">
        <x:v>Annual</x:v>
      </x:c>
      <x:c r="F1554" s="84" t="str">
        <x:v>Vine</x:v>
      </x:c>
      <x:c r="G1554" s="84" t="str"/>
      <x:c r="H1554" s="84" t="str"/>
      <x:c r="I1554" s="84" t="str">
        <x:v>vicia ludoviciana ssp. ludoviciana</x:v>
      </x:c>
    </x:row>
    <x:row r="1555">
      <x:c r="A1555" s="83" t="str">
        <x:v>Wildflower Center pasted list</x:v>
      </x:c>
      <x:c r="B1555" s="84" t="n">
        <x:v>767</x:v>
      </x:c>
      <x:c r="C1555" s="87" t="str">
        <x:v>Viguiera dentata</x:v>
      </x:c>
      <x:c r="D1555" s="84" t="str">
        <x:v>Plateau Goldeneye, Sunflower Goldeneye, Toothleaf Goldeneye, Chimalacate, Golden-eye</x:v>
      </x:c>
      <x:c r="E1555" s="84" t="str">
        <x:v>Perennial</x:v>
      </x:c>
      <x:c r="F1555" s="84" t="str">
        <x:v>Herb</x:v>
      </x:c>
      <x:c r="G1555" s="84" t="str">
        <x:v>Part-shade</x:v>
      </x:c>
      <x:c r="H1555" s="84" t="str">
        <x:v>Dry</x:v>
      </x:c>
      <x:c r="I1555" s="84" t="str">
        <x:v>viguiera dentata</x:v>
      </x:c>
    </x:row>
    <x:row r="1556">
      <x:c r="A1556" s="83" t="str">
        <x:v>Wildflower Center pasted list</x:v>
      </x:c>
      <x:c r="B1556" s="84" t="n">
        <x:v>768</x:v>
      </x:c>
      <x:c r="C1556" s="87" t="str">
        <x:v>Viola affinis</x:v>
      </x:c>
      <x:c r="D1556" s="84" t="str">
        <x:v>Sand Violet, Pale Early Violet, Thinleaf Violet, Small Blue Violet</x:v>
      </x:c>
      <x:c r="E1556" s="84" t="str">
        <x:v>Perennial</x:v>
      </x:c>
      <x:c r="F1556" s="84" t="str">
        <x:v>Herb</x:v>
      </x:c>
      <x:c r="G1556" s="84" t="str">
        <x:v>Part-shade</x:v>
      </x:c>
      <x:c r="H1556" s="84" t="str">
        <x:v>Moist</x:v>
      </x:c>
      <x:c r="I1556" s="84" t="str">
        <x:v>viola affinis</x:v>
      </x:c>
    </x:row>
    <x:row r="1557">
      <x:c r="A1557" s="83" t="str">
        <x:v>Wildflower Center pasted list</x:v>
      </x:c>
      <x:c r="B1557" s="84" t="n">
        <x:v>769</x:v>
      </x:c>
      <x:c r="C1557" s="87" t="str">
        <x:v>Viola missouriensis</x:v>
      </x:c>
      <x:c r="D1557" s="84" t="str">
        <x:v>Missouri Violet</x:v>
      </x:c>
      <x:c r="E1557" s="84" t="str">
        <x:v>Annual, Perennial</x:v>
      </x:c>
      <x:c r="F1557" s="84" t="str">
        <x:v>Herb</x:v>
      </x:c>
      <x:c r="G1557" s="84" t="str">
        <x:v>Shade, Part-shade</x:v>
      </x:c>
      <x:c r="H1557" s="84" t="str">
        <x:v>Moist</x:v>
      </x:c>
      <x:c r="I1557" s="84" t="str">
        <x:v>viola missouriensis</x:v>
      </x:c>
    </x:row>
    <x:row r="1558">
      <x:c r="A1558" s="83" t="str">
        <x:v>Wildflower Center pasted list</x:v>
      </x:c>
      <x:c r="B1558" s="84" t="n">
        <x:v>770</x:v>
      </x:c>
      <x:c r="C1558" s="87" t="str">
        <x:v>Vitis cinerea var. helleri</x:v>
      </x:c>
      <x:c r="D1558" s="84" t="str">
        <x:v>Winter Grape, Heller's Grape, Gray-leaf Grape, Smooth-leaf Grape, Sweet Grape, Spanish Grape</x:v>
      </x:c>
      <x:c r="E1558" s="84" t="str">
        <x:v>Perennial</x:v>
      </x:c>
      <x:c r="F1558" s="84" t="str">
        <x:v>Vine</x:v>
      </x:c>
      <x:c r="G1558" s="84" t="str">
        <x:v>Part-shade</x:v>
      </x:c>
      <x:c r="H1558" s="84" t="str">
        <x:v>Moist</x:v>
      </x:c>
      <x:c r="I1558" s="84" t="str">
        <x:v>vitis cinerea var. helleri</x:v>
      </x:c>
    </x:row>
    <x:row r="1559">
      <x:c r="A1559" s="83" t="str">
        <x:v>Wildflower Center pasted list</x:v>
      </x:c>
      <x:c r="B1559" s="84" t="n">
        <x:v>771</x:v>
      </x:c>
      <x:c r="C1559" s="87" t="str">
        <x:v>Vitis mustangensis</x:v>
      </x:c>
      <x:c r="D1559" s="84" t="str">
        <x:v>Mustang Grape</x:v>
      </x:c>
      <x:c r="E1559" s="84" t="str">
        <x:v>Perennial</x:v>
      </x:c>
      <x:c r="F1559" s="84" t="str">
        <x:v>Vine</x:v>
      </x:c>
      <x:c r="G1559" s="84" t="str">
        <x:v>Part-shade</x:v>
      </x:c>
      <x:c r="H1559" s="84" t="str">
        <x:v>Dry</x:v>
      </x:c>
      <x:c r="I1559" s="84" t="str">
        <x:v>vitis mustangensis</x:v>
      </x:c>
    </x:row>
    <x:row r="1560">
      <x:c r="A1560" s="83" t="str">
        <x:v>Wildflower Center pasted list</x:v>
      </x:c>
      <x:c r="B1560" s="84" t="n">
        <x:v>772</x:v>
      </x:c>
      <x:c r="C1560" s="87" t="str">
        <x:v>Vulpia octoflora</x:v>
      </x:c>
      <x:c r="D1560" s="84" t="str">
        <x:v>Sixweeks Fescue, Common Sixweeks Grass</x:v>
      </x:c>
      <x:c r="E1560" s="84" t="str">
        <x:v>Annual</x:v>
      </x:c>
      <x:c r="F1560" s="84" t="str">
        <x:v>Grass/Grass-like</x:v>
      </x:c>
      <x:c r="G1560" s="84" t="str"/>
      <x:c r="H1560" s="84" t="str"/>
      <x:c r="I1560" s="84" t="str">
        <x:v>vulpia octoflora</x:v>
      </x:c>
    </x:row>
    <x:row r="1561">
      <x:c r="A1561" s="83" t="str">
        <x:v>Wildflower Center pasted list</x:v>
      </x:c>
      <x:c r="B1561" s="84" t="n">
        <x:v>773</x:v>
      </x:c>
      <x:c r="C1561" s="87" t="str">
        <x:v>Warnockia scutellarioides</x:v>
      </x:c>
      <x:c r="D1561" s="84" t="str">
        <x:v>Prairie Brazosmint, Prairie Brazoria</x:v>
      </x:c>
      <x:c r="E1561" s="84" t="str">
        <x:v>Annual</x:v>
      </x:c>
      <x:c r="F1561" s="84" t="str">
        <x:v>Herb</x:v>
      </x:c>
      <x:c r="G1561" s="84" t="str">
        <x:v>Part-shade</x:v>
      </x:c>
      <x:c r="H1561" s="84" t="str">
        <x:v>Moist</x:v>
      </x:c>
      <x:c r="I1561" s="84" t="str">
        <x:v>warnockia scutellarioides</x:v>
      </x:c>
    </x:row>
    <x:row r="1562">
      <x:c r="A1562" s="83" t="str">
        <x:v>Wildflower Center pasted list</x:v>
      </x:c>
      <x:c r="B1562" s="84" t="n">
        <x:v>774</x:v>
      </x:c>
      <x:c r="C1562" s="87" t="str">
        <x:v>Wedelia acapulcensis var. hispida</x:v>
      </x:c>
      <x:c r="D1562" s="84" t="str">
        <x:v>Zexmenia, Orange Zexmenia, Hairy Wedelia, Wedelia, Texas Creeping-oxeye</x:v>
      </x:c>
      <x:c r="E1562" s="84" t="str">
        <x:v>Perennial</x:v>
      </x:c>
      <x:c r="F1562" s="84" t="str">
        <x:v>Herb</x:v>
      </x:c>
      <x:c r="G1562" s="84" t="str">
        <x:v>Sun, Part-shade</x:v>
      </x:c>
      <x:c r="H1562" s="84" t="str">
        <x:v>Moist, Dry</x:v>
      </x:c>
      <x:c r="I1562" s="84" t="str">
        <x:v>wedelia acapulcensis var. hispida</x:v>
      </x:c>
    </x:row>
    <x:row r="1563">
      <x:c r="A1563" s="83" t="str">
        <x:v>Wildflower Center pasted list</x:v>
      </x:c>
      <x:c r="B1563" s="84" t="n">
        <x:v>775</x:v>
      </x:c>
      <x:c r="C1563" s="87" t="str">
        <x:v>Wolffia columbiana</x:v>
      </x:c>
      <x:c r="D1563" s="84" t="str">
        <x:v>Columbian Watermeal</x:v>
      </x:c>
      <x:c r="E1563" s="84" t="str">
        <x:v>Perennial</x:v>
      </x:c>
      <x:c r="F1563" s="84" t="str">
        <x:v>Herb</x:v>
      </x:c>
      <x:c r="G1563" s="84" t="str"/>
      <x:c r="H1563" s="84" t="str"/>
      <x:c r="I1563" s="84" t="str">
        <x:v>wolffia columbiana</x:v>
      </x:c>
    </x:row>
    <x:row r="1564">
      <x:c r="A1564" s="83" t="str">
        <x:v>Wildflower Center pasted list</x:v>
      </x:c>
      <x:c r="B1564" s="84" t="n">
        <x:v>776</x:v>
      </x:c>
      <x:c r="C1564" s="87" t="str">
        <x:v>Xanthium strumarium</x:v>
      </x:c>
      <x:c r="D1564" s="84" t="str">
        <x:v>Rough Cocklebur</x:v>
      </x:c>
      <x:c r="E1564" s="84" t="str">
        <x:v>Annual</x:v>
      </x:c>
      <x:c r="F1564" s="84" t="str">
        <x:v>Herb</x:v>
      </x:c>
      <x:c r="G1564" s="84" t="str"/>
      <x:c r="H1564" s="84" t="str"/>
      <x:c r="I1564" s="84" t="str">
        <x:v>xanthium strumarium</x:v>
      </x:c>
    </x:row>
    <x:row r="1565">
      <x:c r="A1565" s="83" t="str">
        <x:v>Wildflower Center pasted list</x:v>
      </x:c>
      <x:c r="B1565" s="84" t="n">
        <x:v>777</x:v>
      </x:c>
      <x:c r="C1565" s="87" t="str">
        <x:v>Yucca arkansana</x:v>
      </x:c>
      <x:c r="D1565" s="84" t="str">
        <x:v>Arkansas Yucca, Softleaf Yucca</x:v>
      </x:c>
      <x:c r="E1565" s="84" t="str">
        <x:v>Perennial</x:v>
      </x:c>
      <x:c r="F1565" s="84" t="str">
        <x:v>Cactus/Succulent</x:v>
      </x:c>
      <x:c r="G1565" s="84" t="str">
        <x:v>Part-shade</x:v>
      </x:c>
      <x:c r="H1565" s="84" t="str">
        <x:v>Dry</x:v>
      </x:c>
      <x:c r="I1565" s="84" t="str">
        <x:v>yucca arkansana</x:v>
      </x:c>
    </x:row>
    <x:row r="1566">
      <x:c r="A1566" s="83" t="str">
        <x:v>Wildflower Center pasted list</x:v>
      </x:c>
      <x:c r="B1566" s="84" t="n">
        <x:v>778</x:v>
      </x:c>
      <x:c r="C1566" s="87" t="str">
        <x:v>Yucca constricta</x:v>
      </x:c>
      <x:c r="D1566" s="84" t="str">
        <x:v>Buckley Yucca, Buckley's Yucca</x:v>
      </x:c>
      <x:c r="E1566" s="84" t="str">
        <x:v>Perennial</x:v>
      </x:c>
      <x:c r="F1566" s="84" t="str">
        <x:v>Shrub</x:v>
      </x:c>
      <x:c r="G1566" s="84" t="str">
        <x:v>Sun</x:v>
      </x:c>
      <x:c r="H1566" s="84" t="str">
        <x:v>Dry</x:v>
      </x:c>
      <x:c r="I1566" s="84" t="str">
        <x:v>yucca constricta</x:v>
      </x:c>
    </x:row>
    <x:row r="1567">
      <x:c r="A1567" s="83" t="str">
        <x:v>Wildflower Center pasted list</x:v>
      </x:c>
      <x:c r="B1567" s="84" t="n">
        <x:v>779</x:v>
      </x:c>
      <x:c r="C1567" s="87" t="str">
        <x:v>Yucca pallida</x:v>
      </x:c>
      <x:c r="D1567" s="84" t="str">
        <x:v>Pale-leaf Yucca</x:v>
      </x:c>
      <x:c r="E1567" s="84" t="str">
        <x:v>Perennial</x:v>
      </x:c>
      <x:c r="F1567" s="84" t="str">
        <x:v>Cactus/Succulent</x:v>
      </x:c>
      <x:c r="G1567" s="84" t="str">
        <x:v>Sun, Part-shade</x:v>
      </x:c>
      <x:c r="H1567" s="84" t="str">
        <x:v>Dry</x:v>
      </x:c>
      <x:c r="I1567" s="84" t="str">
        <x:v>yucca pallida</x:v>
      </x:c>
    </x:row>
    <x:row r="1568">
      <x:c r="A1568" s="83" t="str">
        <x:v>Wildflower Center pasted list</x:v>
      </x:c>
      <x:c r="B1568" s="84" t="n">
        <x:v>780</x:v>
      </x:c>
      <x:c r="C1568" s="87" t="str">
        <x:v>Yucca rupicola</x:v>
      </x:c>
      <x:c r="D1568" s="84" t="str">
        <x:v>Twistleaf Yucca, Twisted-leaf Yucca, Texas Yucca, Spanish Dagger</x:v>
      </x:c>
      <x:c r="E1568" s="84" t="str">
        <x:v>Perennial</x:v>
      </x:c>
      <x:c r="F1568" s="84" t="str">
        <x:v>Cactus/Succulent</x:v>
      </x:c>
      <x:c r="G1568" s="84" t="str">
        <x:v>Sun, Part-shade</x:v>
      </x:c>
      <x:c r="H1568" s="84" t="str">
        <x:v>Dry</x:v>
      </x:c>
      <x:c r="I1568" s="84" t="str">
        <x:v>yucca rupicola</x:v>
      </x:c>
    </x:row>
    <x:row r="1569">
      <x:c r="A1569" s="83" t="str">
        <x:v>Wildflower Center pasted list</x:v>
      </x:c>
      <x:c r="B1569" s="84" t="n">
        <x:v>781</x:v>
      </x:c>
      <x:c r="C1569" s="87" t="str">
        <x:v>Yucca torreyi</x:v>
      </x:c>
      <x:c r="D1569" s="84" t="str">
        <x:v>Torrey Yucca, Torrey's Yucca, Spanish Bayonet, Spanish Dagger, Old Shag, Palma</x:v>
      </x:c>
      <x:c r="E1569" s="84" t="str">
        <x:v>Perennial</x:v>
      </x:c>
      <x:c r="F1569" s="84" t="str">
        <x:v>Shrub</x:v>
      </x:c>
      <x:c r="G1569" s="84" t="str">
        <x:v>Sun</x:v>
      </x:c>
      <x:c r="H1569" s="84" t="str">
        <x:v>Dry</x:v>
      </x:c>
      <x:c r="I1569" s="84" t="str">
        <x:v>yucca torreyi</x:v>
      </x:c>
    </x:row>
    <x:row r="1570">
      <x:c r="A1570" s="83" t="str">
        <x:v>Wildflower Center pasted list</x:v>
      </x:c>
      <x:c r="B1570" s="84" t="n">
        <x:v>782</x:v>
      </x:c>
      <x:c r="C1570" s="87" t="str">
        <x:v>Yucca treculeana</x:v>
      </x:c>
      <x:c r="D1570" s="84" t="str">
        <x:v>Spanish Dagger, Spanish Bayonet, Don Quixote's Lance, Palma Pita, Palma De Datil, Palmito</x:v>
      </x:c>
      <x:c r="E1570" s="84" t="str">
        <x:v>Perennial</x:v>
      </x:c>
      <x:c r="F1570" s="84" t="str">
        <x:v>Cactus/Succulent</x:v>
      </x:c>
      <x:c r="G1570" s="84" t="str">
        <x:v>Part-shade</x:v>
      </x:c>
      <x:c r="H1570" s="84" t="str">
        <x:v>Dry</x:v>
      </x:c>
      <x:c r="I1570" s="84" t="str">
        <x:v>yucca treculeana</x:v>
      </x:c>
    </x:row>
    <x:row r="1571">
      <x:c r="A1571" s="83" t="str">
        <x:v>Wildflower Center pasted list</x:v>
      </x:c>
      <x:c r="B1571" s="84" t="n">
        <x:v>783</x:v>
      </x:c>
      <x:c r="C1571" s="87" t="str">
        <x:v>Zannichellia palustris</x:v>
      </x:c>
      <x:c r="D1571" s="84" t="str">
        <x:v>Horned Pondweed, Horned Poolmat, Horned-pondweed</x:v>
      </x:c>
      <x:c r="E1571" s="84" t="str">
        <x:v>Perennial</x:v>
      </x:c>
      <x:c r="F1571" s="84" t="str">
        <x:v>Herb</x:v>
      </x:c>
      <x:c r="G1571" s="84" t="str"/>
      <x:c r="H1571" s="84" t="str"/>
      <x:c r="I1571" s="84" t="str">
        <x:v>zannichellia palustris</x:v>
      </x:c>
    </x:row>
    <x:row r="1572">
      <x:c r="A1572" s="83" t="str">
        <x:v>Wildflower Center pasted list</x:v>
      </x:c>
      <x:c r="B1572" s="84" t="n">
        <x:v>784</x:v>
      </x:c>
      <x:c r="C1572" s="87" t="str">
        <x:v>Zanthoxylum hirsutum</x:v>
      </x:c>
      <x:c r="D1572" s="84" t="str">
        <x:v>Texas Hercules' Club, Texas Prickly Ash, Limetone Prickly Ash, Toothache Tree, Tickle-tongue, Tingle-tongue</x:v>
      </x:c>
      <x:c r="E1572" s="84" t="str">
        <x:v>Perennial</x:v>
      </x:c>
      <x:c r="F1572" s="84" t="str">
        <x:v>Tree</x:v>
      </x:c>
      <x:c r="G1572" s="84" t="str">
        <x:v>Part-shade</x:v>
      </x:c>
      <x:c r="H1572" s="84" t="str">
        <x:v>Dry</x:v>
      </x:c>
      <x:c r="I1572" s="84" t="str">
        <x:v>zanthoxylum hirsutum</x:v>
      </x:c>
    </x:row>
    <x:row r="1573">
      <x:c r="A1573" s="83" t="str">
        <x:v>Wildflower Center pasted list</x:v>
      </x:c>
      <x:c r="B1573" s="84" t="n">
        <x:v>785</x:v>
      </x:c>
      <x:c r="C1573" s="87" t="str">
        <x:v>Zigadenus nuttallii</x:v>
      </x:c>
      <x:c r="D1573" s="84" t="str">
        <x:v>Nuttall's Death Camas, Death Camas, Poison-onion</x:v>
      </x:c>
      <x:c r="E1573" s="84" t="str">
        <x:v>Perennial</x:v>
      </x:c>
      <x:c r="F1573" s="84" t="str">
        <x:v>Herb</x:v>
      </x:c>
      <x:c r="G1573" s="84" t="str">
        <x:v>Part-shade</x:v>
      </x:c>
      <x:c r="H1573" s="84" t="str"/>
      <x:c r="I1573" s="84" t="str">
        <x:v>zigadenus nuttallii</x:v>
      </x:c>
    </x:row>
    <x:row r="1574">
      <x:c r="A1574" s="83" t="str">
        <x:v>Wildflower Center pasted list</x:v>
      </x:c>
      <x:c r="B1574" s="84" t="n">
        <x:v>786</x:v>
      </x:c>
      <x:c r="C1574" s="87" t="str">
        <x:v>Zizania texana</x:v>
      </x:c>
      <x:c r="D1574" s="84" t="str">
        <x:v>Texas Wildrice, Texas Wild Rice</x:v>
      </x:c>
      <x:c r="E1574" s="84" t="str">
        <x:v>Perennial</x:v>
      </x:c>
      <x:c r="F1574" s="84" t="str">
        <x:v>Grass/Grass-like</x:v>
      </x:c>
      <x:c r="G1574" s="84" t="str">
        <x:v>Sun</x:v>
      </x:c>
      <x:c r="H1574" s="84" t="str">
        <x:v>Wet</x:v>
      </x:c>
      <x:c r="I1574" s="84" t="str">
        <x:v>zizania texana</x:v>
      </x:c>
    </x:row>
    <x:row r="1575">
      <x:c r="A1575" s="83" t="str">
        <x:v>Wildflower Center pasted list</x:v>
      </x:c>
      <x:c r="B1575" s="84" t="n">
        <x:v>787</x:v>
      </x:c>
      <x:c r="C1575" s="87" t="str">
        <x:v>Zizaniopsis miliacea</x:v>
      </x:c>
      <x:c r="D1575" s="84" t="str">
        <x:v>Giant Cutgrass</x:v>
      </x:c>
      <x:c r="E1575" s="84" t="str">
        <x:v>Perennial</x:v>
      </x:c>
      <x:c r="F1575" s="84" t="str">
        <x:v>Grass/Grass-like</x:v>
      </x:c>
      <x:c r="G1575" s="84" t="str"/>
      <x:c r="H1575" s="84" t="str"/>
      <x:c r="I1575" s="84" t="str">
        <x:v>zizaniopsis miliacea</x:v>
      </x:c>
    </x:row>
    <x:row r="1576">
      <x:c r="A1576" s="83" t="str">
        <x:v>Wildflower Center pasted list</x:v>
      </x:c>
      <x:c r="B1576" s="84" t="n">
        <x:v>788</x:v>
      </x:c>
      <x:c r="C1576" s="87" t="str">
        <x:v>Ziziphus obtusifolia</x:v>
      </x:c>
      <x:c r="D1576" s="84" t="str">
        <x:v>Lotebush, Lote-bush Condalia, Graythorn</x:v>
      </x:c>
      <x:c r="E1576" s="84" t="str">
        <x:v>Perennial</x:v>
      </x:c>
      <x:c r="F1576" s="84" t="str">
        <x:v>Tree</x:v>
      </x:c>
      <x:c r="G1576" s="84" t="str">
        <x:v>Part-shade</x:v>
      </x:c>
      <x:c r="H1576" s="84" t="str">
        <x:v>Dry</x:v>
      </x:c>
      <x:c r="I1576" s="84" t="str">
        <x:v>ziziphus obtusifolia</x:v>
      </x:c>
    </x:row>
    <x:row r="1577">
      <x:c r="A1577" s="83" t="str">
        <x:v>Wildflower Center pasted list</x:v>
      </x:c>
      <x:c r="B1577" s="84" t="n">
        <x:v>789</x:v>
      </x:c>
      <x:c r="C1577" s="87" t="str">
        <x:v>Zornia bracteata</x:v>
      </x:c>
      <x:c r="D1577" s="84" t="str">
        <x:v>Viperina</x:v>
      </x:c>
      <x:c r="E1577" s="84" t="str">
        <x:v>Annual</x:v>
      </x:c>
      <x:c r="F1577" s="84" t="str">
        <x:v>Herb</x:v>
      </x:c>
      <x:c r="G1577" s="84" t="str"/>
      <x:c r="H1577" s="84" t="str"/>
      <x:c r="I1577" s="84" t="str">
        <x:v>zornia bracteata</x:v>
      </x:c>
    </x:row>
    <x:row r="1578">
      <x:c r="A1578" s="83" t="str">
        <x:v>Existing master workbook</x:v>
      </x:c>
      <x:c r="B1578" s="84" t="n">
        <x:v>2</x:v>
      </x:c>
      <x:c r="C1578" s="87" t="str">
        <x:v>Adiantum pedatum</x:v>
      </x:c>
      <x:c r="D1578" s="84" t="str">
        <x:v>Maidenhair Fern</x:v>
      </x:c>
      <x:c r="E1578" s="84" t="str">
        <x:v>Perennial</x:v>
      </x:c>
      <x:c r="F1578" s="84" t="str">
        <x:v>Fern</x:v>
      </x:c>
      <x:c r="G1578" s="84" t="str">
        <x:v>Shade, Part Shade</x:v>
      </x:c>
      <x:c r="H1578" s="84" t="str">
        <x:v>Medium</x:v>
      </x:c>
      <x:c r="I1578" s="84" t="str">
        <x:v>adiantum pedatum</x:v>
      </x:c>
    </x:row>
    <x:row r="1579">
      <x:c r="A1579" s="83" t="str">
        <x:v>Existing master workbook</x:v>
      </x:c>
      <x:c r="B1579" s="84" t="n">
        <x:v>3</x:v>
      </x:c>
      <x:c r="C1579" s="87" t="str">
        <x:v>Equisetum hyemale</x:v>
      </x:c>
      <x:c r="D1579" s="84" t="str">
        <x:v>Scouring-rush Horsetail, Horsetail, Scouring Rush, Canuela</x:v>
      </x:c>
      <x:c r="E1579" s="84" t="str">
        <x:v>Perennial</x:v>
      </x:c>
      <x:c r="F1579" s="84" t="str">
        <x:v>Fern</x:v>
      </x:c>
      <x:c r="G1579" s="84" t="str">
        <x:v>Sun, Part Shade, Shade</x:v>
      </x:c>
      <x:c r="H1579" s="84" t="str">
        <x:v>Medium–High</x:v>
      </x:c>
      <x:c r="I1579" s="84" t="str">
        <x:v>equisetum hyemale</x:v>
      </x:c>
    </x:row>
    <x:row r="1580">
      <x:c r="A1580" s="83" t="str">
        <x:v>Existing master workbook</x:v>
      </x:c>
      <x:c r="B1580" s="84" t="n">
        <x:v>4</x:v>
      </x:c>
      <x:c r="C1580" s="87" t="str">
        <x:v>Marsilea macropoda</x:v>
      </x:c>
      <x:c r="D1580" s="84" t="str">
        <x:v>Bigfoot Water-clover, Water-clover, Clover-fern, Largefoot Pepperwort</x:v>
      </x:c>
      <x:c r="E1580" s="84" t="str">
        <x:v>Perennial</x:v>
      </x:c>
      <x:c r="F1580" s="84" t="str">
        <x:v>Fern</x:v>
      </x:c>
      <x:c r="G1580" s="84" t="str">
        <x:v>Sun, Part Shade</x:v>
      </x:c>
      <x:c r="H1580" s="84" t="str">
        <x:v>Medium</x:v>
      </x:c>
      <x:c r="I1580" s="84" t="str">
        <x:v>marsilea macropoda</x:v>
      </x:c>
    </x:row>
    <x:row r="1581">
      <x:c r="A1581" s="83" t="str">
        <x:v>Existing master workbook</x:v>
      </x:c>
      <x:c r="B1581" s="84" t="n">
        <x:v>5</x:v>
      </x:c>
      <x:c r="C1581" s="87" t="str">
        <x:v>Andropogon gerardii</x:v>
      </x:c>
      <x:c r="D1581" s="84" t="str">
        <x:v>Big Bluestem, Tall Bluestem, Turkeyfoot</x:v>
      </x:c>
      <x:c r="E1581" s="84" t="str">
        <x:v>Perennial</x:v>
      </x:c>
      <x:c r="F1581" s="84" t="str">
        <x:v>Grass</x:v>
      </x:c>
      <x:c r="G1581" s="84" t="str">
        <x:v>Sun</x:v>
      </x:c>
      <x:c r="H1581" s="84" t="str">
        <x:v>Low</x:v>
      </x:c>
      <x:c r="I1581" s="84" t="str">
        <x:v>andropogon gerardii</x:v>
      </x:c>
    </x:row>
    <x:row r="1582">
      <x:c r="A1582" s="83" t="str">
        <x:v>Existing master workbook</x:v>
      </x:c>
      <x:c r="B1582" s="84" t="n">
        <x:v>6</x:v>
      </x:c>
      <x:c r="C1582" s="87" t="str">
        <x:v>Andropogon glomeratus</x:v>
      </x:c>
      <x:c r="D1582" s="84" t="str">
        <x:v>Bushy Bluestem, Brushy Bluestem</x:v>
      </x:c>
      <x:c r="E1582" s="84" t="str">
        <x:v>Perennial</x:v>
      </x:c>
      <x:c r="F1582" s="84" t="str">
        <x:v>Grass</x:v>
      </x:c>
      <x:c r="G1582" s="84" t="str">
        <x:v>Sun</x:v>
      </x:c>
      <x:c r="H1582" s="84" t="str">
        <x:v>Medium</x:v>
      </x:c>
      <x:c r="I1582" s="84" t="str">
        <x:v>andropogon glomeratus</x:v>
      </x:c>
    </x:row>
    <x:row r="1583">
      <x:c r="A1583" s="83" t="str">
        <x:v>Existing master workbook</x:v>
      </x:c>
      <x:c r="B1583" s="84" t="n">
        <x:v>7</x:v>
      </x:c>
      <x:c r="C1583" s="87" t="str">
        <x:v>Andropogon virginicus</x:v>
      </x:c>
      <x:c r="D1583" s="84" t="str">
        <x:v>Broomsedge Bluestem</x:v>
      </x:c>
      <x:c r="E1583" s="84" t="str">
        <x:v>Perennial</x:v>
      </x:c>
      <x:c r="F1583" s="84" t="str">
        <x:v>Grass</x:v>
      </x:c>
      <x:c r="G1583" s="84" t="str">
        <x:v>Sun</x:v>
      </x:c>
      <x:c r="H1583" s="84" t="str">
        <x:v>Low</x:v>
      </x:c>
      <x:c r="I1583" s="84" t="str">
        <x:v>andropogon virginicus</x:v>
      </x:c>
    </x:row>
    <x:row r="1584">
      <x:c r="A1584" s="83" t="str">
        <x:v>Existing master workbook</x:v>
      </x:c>
      <x:c r="B1584" s="84" t="n">
        <x:v>8</x:v>
      </x:c>
      <x:c r="C1584" s="87" t="str">
        <x:v>Aristida purpurea</x:v>
      </x:c>
      <x:c r="D1584" s="84" t="str">
        <x:v>Purple Threeawn, Purple 3-awn, Purple Three-awn, Red Threeawn</x:v>
      </x:c>
      <x:c r="E1584" s="84" t="str">
        <x:v>Annual</x:v>
      </x:c>
      <x:c r="F1584" s="84" t="str">
        <x:v>Grass</x:v>
      </x:c>
      <x:c r="G1584" s="84" t="str">
        <x:v>Sun</x:v>
      </x:c>
      <x:c r="H1584" s="84" t="str">
        <x:v>Low</x:v>
      </x:c>
      <x:c r="I1584" s="84" t="str">
        <x:v>aristida purpurea</x:v>
      </x:c>
    </x:row>
    <x:row r="1585">
      <x:c r="A1585" s="83" t="str">
        <x:v>Existing master workbook</x:v>
      </x:c>
      <x:c r="B1585" s="84" t="n">
        <x:v>9</x:v>
      </x:c>
      <x:c r="C1585" s="87" t="str">
        <x:v>Bothriochloa laguroides</x:v>
      </x:c>
      <x:c r="D1585" s="84" t="str">
        <x:v>Silver Bluestem, Silver Beardgrass</x:v>
      </x:c>
      <x:c r="E1585" s="84" t="str">
        <x:v>Perennial</x:v>
      </x:c>
      <x:c r="F1585" s="84" t="str">
        <x:v>Grass</x:v>
      </x:c>
      <x:c r="G1585" s="84" t="str">
        <x:v>Sun</x:v>
      </x:c>
      <x:c r="H1585" s="84" t="str">
        <x:v>Low</x:v>
      </x:c>
      <x:c r="I1585" s="84" t="str">
        <x:v>bothriochloa laguroides</x:v>
      </x:c>
    </x:row>
    <x:row r="1586">
      <x:c r="A1586" s="83" t="str">
        <x:v>Existing master workbook</x:v>
      </x:c>
      <x:c r="B1586" s="84" t="n">
        <x:v>10</x:v>
      </x:c>
      <x:c r="C1586" s="87" t="str">
        <x:v>Bouteloua curtipendula</x:v>
      </x:c>
      <x:c r="D1586" s="84" t="str">
        <x:v>Sideoats Grama, Banderilla, Banderita, Navajita</x:v>
      </x:c>
      <x:c r="E1586" s="84" t="str">
        <x:v>Perennial</x:v>
      </x:c>
      <x:c r="F1586" s="84" t="str">
        <x:v>Grass</x:v>
      </x:c>
      <x:c r="G1586" s="84" t="str">
        <x:v>Sun</x:v>
      </x:c>
      <x:c r="H1586" s="84" t="str">
        <x:v>Low</x:v>
      </x:c>
      <x:c r="I1586" s="84" t="str">
        <x:v>bouteloua curtipendula</x:v>
      </x:c>
    </x:row>
    <x:row r="1587">
      <x:c r="A1587" s="83" t="str">
        <x:v>Existing master workbook</x:v>
      </x:c>
      <x:c r="B1587" s="84" t="n">
        <x:v>11</x:v>
      </x:c>
      <x:c r="C1587" s="87" t="str">
        <x:v>Bouteloua dactyloides</x:v>
      </x:c>
      <x:c r="D1587" s="84" t="str">
        <x:v>Buffalograss, Buffalo Grass</x:v>
      </x:c>
      <x:c r="E1587" s="84" t="str">
        <x:v>Perennial</x:v>
      </x:c>
      <x:c r="F1587" s="84" t="str">
        <x:v>Grass</x:v>
      </x:c>
      <x:c r="G1587" s="84" t="str">
        <x:v>Sun</x:v>
      </x:c>
      <x:c r="H1587" s="84" t="str">
        <x:v>Low</x:v>
      </x:c>
      <x:c r="I1587" s="84" t="str">
        <x:v>bouteloua dactyloides</x:v>
      </x:c>
    </x:row>
    <x:row r="1588">
      <x:c r="A1588" s="83" t="str">
        <x:v>Existing master workbook</x:v>
      </x:c>
      <x:c r="B1588" s="84" t="n">
        <x:v>12</x:v>
      </x:c>
      <x:c r="C1588" s="87" t="str">
        <x:v>Bouteloua gracilis</x:v>
      </x:c>
      <x:c r="D1588" s="84" t="str">
        <x:v>Blue Grama</x:v>
      </x:c>
      <x:c r="E1588" s="84" t="str">
        <x:v>Perennial</x:v>
      </x:c>
      <x:c r="F1588" s="84" t="str">
        <x:v>Grass</x:v>
      </x:c>
      <x:c r="G1588" s="84" t="str">
        <x:v>Sun</x:v>
      </x:c>
      <x:c r="H1588" s="84" t="str">
        <x:v>Low</x:v>
      </x:c>
      <x:c r="I1588" s="84" t="str">
        <x:v>bouteloua gracilis</x:v>
      </x:c>
    </x:row>
    <x:row r="1589">
      <x:c r="A1589" s="83" t="str">
        <x:v>Existing master workbook</x:v>
      </x:c>
      <x:c r="B1589" s="84" t="n">
        <x:v>13</x:v>
      </x:c>
      <x:c r="C1589" s="87" t="str">
        <x:v>Bouteloua rigidiseta</x:v>
      </x:c>
      <x:c r="D1589" s="84" t="str">
        <x:v>Texas Grama</x:v>
      </x:c>
      <x:c r="E1589" s="84" t="str">
        <x:v>Perennial</x:v>
      </x:c>
      <x:c r="F1589" s="84" t="str">
        <x:v>Grass</x:v>
      </x:c>
      <x:c r="G1589" s="84" t="str">
        <x:v>Sun</x:v>
      </x:c>
      <x:c r="H1589" s="84" t="str">
        <x:v>Low</x:v>
      </x:c>
      <x:c r="I1589" s="84" t="str">
        <x:v>bouteloua rigidiseta</x:v>
      </x:c>
    </x:row>
    <x:row r="1590">
      <x:c r="A1590" s="83" t="str">
        <x:v>Existing master workbook</x:v>
      </x:c>
      <x:c r="B1590" s="84" t="n">
        <x:v>14</x:v>
      </x:c>
      <x:c r="C1590" s="87" t="str">
        <x:v>Chasmanthium latifolium</x:v>
      </x:c>
      <x:c r="D1590" s="84" t="str">
        <x:v>Inland Sea Oats, Indian Wood Oats, Wild Oats, River Oats, Flathead Oats, Upland Oats, Upland Sea Oats</x:v>
      </x:c>
      <x:c r="E1590" s="84" t="str">
        <x:v>Perennial</x:v>
      </x:c>
      <x:c r="F1590" s="84" t="str">
        <x:v>Grass</x:v>
      </x:c>
      <x:c r="G1590" s="84" t="str">
        <x:v>Part Shade, Shade</x:v>
      </x:c>
      <x:c r="H1590" s="84" t="str">
        <x:v>Medium</x:v>
      </x:c>
      <x:c r="I1590" s="84" t="str">
        <x:v>chasmanthium latifolium</x:v>
      </x:c>
    </x:row>
    <x:row r="1591">
      <x:c r="A1591" s="83" t="str">
        <x:v>Existing master workbook</x:v>
      </x:c>
      <x:c r="B1591" s="84" t="n">
        <x:v>15</x:v>
      </x:c>
      <x:c r="C1591" s="87" t="str">
        <x:v>Elymus canadensis</x:v>
      </x:c>
      <x:c r="D1591" s="84" t="str">
        <x:v>Canada Wildrye</x:v>
      </x:c>
      <x:c r="E1591" s="84" t="str">
        <x:v>Perennial</x:v>
      </x:c>
      <x:c r="F1591" s="84" t="str">
        <x:v>Grass</x:v>
      </x:c>
      <x:c r="G1591" s="84" t="str">
        <x:v>Sun, Part Shade</x:v>
      </x:c>
      <x:c r="H1591" s="84" t="str">
        <x:v>Medium</x:v>
      </x:c>
      <x:c r="I1591" s="84" t="str">
        <x:v>elymus canadensis</x:v>
      </x:c>
    </x:row>
    <x:row r="1592">
      <x:c r="A1592" s="83" t="str">
        <x:v>Existing master workbook</x:v>
      </x:c>
      <x:c r="B1592" s="84" t="n">
        <x:v>16</x:v>
      </x:c>
      <x:c r="C1592" s="87" t="str">
        <x:v>Eragrostis hirsuta</x:v>
      </x:c>
      <x:c r="D1592" s="84" t="str">
        <x:v>Big Top Love Grass</x:v>
      </x:c>
      <x:c r="E1592" s="84" t="str">
        <x:v>Perennial</x:v>
      </x:c>
      <x:c r="F1592" s="84" t="str">
        <x:v>Grass</x:v>
      </x:c>
      <x:c r="G1592" s="84" t="str">
        <x:v>Full Sun</x:v>
      </x:c>
      <x:c r="H1592" s="84" t="str">
        <x:v>Dry to Moist</x:v>
      </x:c>
      <x:c r="I1592" s="84" t="str">
        <x:v>eragrostis hirsuta</x:v>
      </x:c>
    </x:row>
    <x:row r="1593">
      <x:c r="A1593" s="83" t="str">
        <x:v>Existing master workbook</x:v>
      </x:c>
      <x:c r="B1593" s="84" t="n">
        <x:v>17</x:v>
      </x:c>
      <x:c r="C1593" s="87" t="str">
        <x:v>Eragrostis spectabilis</x:v>
      </x:c>
      <x:c r="D1593" s="84" t="str">
        <x:v>Purple Lovegrass, Purple Love Grass, Purple Plains Lovegrass, Tumblegrass, Petticoat Climber</x:v>
      </x:c>
      <x:c r="E1593" s="84" t="str">
        <x:v>Perennial</x:v>
      </x:c>
      <x:c r="F1593" s="84" t="str">
        <x:v>Grass</x:v>
      </x:c>
      <x:c r="G1593" s="84" t="str">
        <x:v>Sun</x:v>
      </x:c>
      <x:c r="H1593" s="84" t="str">
        <x:v>Low–Medium</x:v>
      </x:c>
      <x:c r="I1593" s="84" t="str">
        <x:v>eragrostis spectabilis</x:v>
      </x:c>
    </x:row>
    <x:row r="1594">
      <x:c r="A1594" s="83" t="str">
        <x:v>Existing master workbook</x:v>
      </x:c>
      <x:c r="B1594" s="84" t="n">
        <x:v>18</x:v>
      </x:c>
      <x:c r="C1594" s="87" t="str">
        <x:v>Eragrostis trichodes</x:v>
      </x:c>
      <x:c r="D1594" s="84" t="str">
        <x:v>Sand Love Grass, Sand lovegrass</x:v>
      </x:c>
      <x:c r="E1594" s="84" t="str">
        <x:v>Perennial</x:v>
      </x:c>
      <x:c r="F1594" s="84" t="str">
        <x:v>Grass</x:v>
      </x:c>
      <x:c r="G1594" s="84" t="str">
        <x:v>Sun</x:v>
      </x:c>
      <x:c r="H1594" s="84" t="str">
        <x:v>Low</x:v>
      </x:c>
      <x:c r="I1594" s="84" t="str">
        <x:v>eragrostis trichodes</x:v>
      </x:c>
    </x:row>
    <x:row r="1595">
      <x:c r="A1595" s="83" t="str">
        <x:v>Existing master workbook</x:v>
      </x:c>
      <x:c r="B1595" s="84" t="n">
        <x:v>19</x:v>
      </x:c>
      <x:c r="C1595" s="87" t="str">
        <x:v>Eriochloa sericea</x:v>
      </x:c>
      <x:c r="D1595" s="84" t="str">
        <x:v>Texas Cupgrass</x:v>
      </x:c>
      <x:c r="E1595" s="84" t="str">
        <x:v>Perennial</x:v>
      </x:c>
      <x:c r="F1595" s="84" t="str">
        <x:v>Grass</x:v>
      </x:c>
      <x:c r="G1595" s="84" t="str">
        <x:v>Sun</x:v>
      </x:c>
      <x:c r="H1595" s="84" t="str">
        <x:v>Medium</x:v>
      </x:c>
      <x:c r="I1595" s="84" t="str">
        <x:v>eriochloa sericea</x:v>
      </x:c>
    </x:row>
    <x:row r="1596">
      <x:c r="A1596" s="83" t="str">
        <x:v>Existing master workbook</x:v>
      </x:c>
      <x:c r="B1596" s="84" t="n">
        <x:v>20</x:v>
      </x:c>
      <x:c r="C1596" s="87" t="str">
        <x:v>Leersia oryzoides</x:v>
      </x:c>
      <x:c r="D1596" s="84" t="str">
        <x:v>Rice Cutgrass, Rice Cut Grass</x:v>
      </x:c>
      <x:c r="E1596" s="84" t="str">
        <x:v>Perennial</x:v>
      </x:c>
      <x:c r="F1596" s="84" t="str">
        <x:v>Grass</x:v>
      </x:c>
      <x:c r="G1596" s="84" t="str">
        <x:v>Sun, Part Shade</x:v>
      </x:c>
      <x:c r="H1596" s="84" t="str">
        <x:v>High</x:v>
      </x:c>
      <x:c r="I1596" s="84" t="str">
        <x:v>leersia oryzoides</x:v>
      </x:c>
    </x:row>
    <x:row r="1597">
      <x:c r="A1597" s="83" t="str">
        <x:v>Existing master workbook</x:v>
      </x:c>
      <x:c r="B1597" s="84" t="n">
        <x:v>21</x:v>
      </x:c>
      <x:c r="C1597" s="87" t="str">
        <x:v>Muhlenbergia lindheimeri</x:v>
      </x:c>
      <x:c r="D1597" s="84" t="str">
        <x:v>Lindheimer's Muhly, Lindheimer Muhly, Big Muhly, Blue Muhly</x:v>
      </x:c>
      <x:c r="E1597" s="84" t="str">
        <x:v>Perennial Habit: Grass/Grass-like Root Type: Fibrous Leaf Retention: Semi-evergreen Leaf Arrangement: Alternate Leaf Complexity: Simple Leaf Shape: Linear Leaf Venation: Parallel Breeding System: Flowers Unisexual , Monoecious Inflorescence: Panicle Fruit Type: Caryopsis Size Notes: Normally 2-5 ft high Leaf: Light grey-green to light blue-green Autumn Foliage: yes Flower: Panicles 15-45 cm long Fruit: Greyish to whitish</x:v>
      </x:c>
      <x:c r="F1597" s="84" t="str">
        <x:v>Grass</x:v>
      </x:c>
      <x:c r="G1597" s="84" t="str">
        <x:v>Sun</x:v>
      </x:c>
      <x:c r="H1597" s="84" t="str">
        <x:v>Low</x:v>
      </x:c>
      <x:c r="I1597" s="84" t="str">
        <x:v>muhlenbergia lindheimeri</x:v>
      </x:c>
    </x:row>
    <x:row r="1598">
      <x:c r="A1598" s="83" t="str">
        <x:v>Existing master workbook</x:v>
      </x:c>
      <x:c r="B1598" s="84" t="n">
        <x:v>22</x:v>
      </x:c>
      <x:c r="C1598" s="87" t="str">
        <x:v>Muhlenbergia reverchonii</x:v>
      </x:c>
      <x:c r="D1598" s="84" t="str">
        <x:v>Seep Muhly</x:v>
      </x:c>
      <x:c r="E1598" s="84" t="str">
        <x:v>Perennial</x:v>
      </x:c>
      <x:c r="F1598" s="84" t="str">
        <x:v>Grass</x:v>
      </x:c>
      <x:c r="G1598" s="84" t="str">
        <x:v>Sun, Part Shade</x:v>
      </x:c>
      <x:c r="H1598" s="84" t="str">
        <x:v>Medium</x:v>
      </x:c>
      <x:c r="I1598" s="84" t="str">
        <x:v>muhlenbergia reverchonii</x:v>
      </x:c>
    </x:row>
    <x:row r="1599">
      <x:c r="A1599" s="83" t="str">
        <x:v>Existing master workbook</x:v>
      </x:c>
      <x:c r="B1599" s="84" t="n">
        <x:v>23</x:v>
      </x:c>
      <x:c r="C1599" s="87" t="str">
        <x:v>Muhlenbergia schreberi</x:v>
      </x:c>
      <x:c r="D1599" s="84" t="str">
        <x:v>Nimblewill</x:v>
      </x:c>
      <x:c r="E1599" s="84" t="str">
        <x:v>Perennial</x:v>
      </x:c>
      <x:c r="F1599" s="84" t="str">
        <x:v>Grass</x:v>
      </x:c>
      <x:c r="G1599" s="84" t="str">
        <x:v>Shade, Part Shade</x:v>
      </x:c>
      <x:c r="H1599" s="84" t="str">
        <x:v>Medium</x:v>
      </x:c>
      <x:c r="I1599" s="84" t="str">
        <x:v>muhlenbergia schreberi</x:v>
      </x:c>
    </x:row>
    <x:row r="1600">
      <x:c r="A1600" s="83" t="str">
        <x:v>Existing master workbook</x:v>
      </x:c>
      <x:c r="B1600" s="84" t="n">
        <x:v>24</x:v>
      </x:c>
      <x:c r="C1600" s="87" t="str">
        <x:v>Muhlenbergia utilis</x:v>
      </x:c>
      <x:c r="D1600" s="84" t="str">
        <x:v>Aparejo Grass, Aparejo Muhly</x:v>
      </x:c>
      <x:c r="E1600" s="84" t="str">
        <x:v>Perennial</x:v>
      </x:c>
      <x:c r="F1600" s="84" t="str">
        <x:v>Grass</x:v>
      </x:c>
      <x:c r="G1600" s="84" t="str">
        <x:v>Sun, Part Shade</x:v>
      </x:c>
      <x:c r="H1600" s="84" t="str">
        <x:v>Medium</x:v>
      </x:c>
      <x:c r="I1600" s="84" t="str">
        <x:v>muhlenbergia utilis</x:v>
      </x:c>
    </x:row>
    <x:row r="1601">
      <x:c r="A1601" s="83" t="str">
        <x:v>Existing master workbook</x:v>
      </x:c>
      <x:c r="B1601" s="84" t="n">
        <x:v>25</x:v>
      </x:c>
      <x:c r="C1601" s="87" t="str">
        <x:v>Panicum virgatum</x:v>
      </x:c>
      <x:c r="D1601" s="84" t="str">
        <x:v>Switchgrass, Wand Panic Grass</x:v>
      </x:c>
      <x:c r="E1601" s="84" t="str">
        <x:v>Perennial</x:v>
      </x:c>
      <x:c r="F1601" s="84" t="str">
        <x:v>Grass</x:v>
      </x:c>
      <x:c r="G1601" s="84" t="str">
        <x:v>Sun</x:v>
      </x:c>
      <x:c r="H1601" s="84" t="str">
        <x:v>Medium</x:v>
      </x:c>
      <x:c r="I1601" s="84" t="str">
        <x:v>panicum virgatum</x:v>
      </x:c>
    </x:row>
    <x:row r="1602">
      <x:c r="A1602" s="83" t="str">
        <x:v>Existing master workbook</x:v>
      </x:c>
      <x:c r="B1602" s="84" t="n">
        <x:v>26</x:v>
      </x:c>
      <x:c r="C1602" s="87" t="str">
        <x:v>Poa arachnifera</x:v>
      </x:c>
      <x:c r="D1602" s="84" t="str">
        <x:v>Texas Bluegrass, Texas Blue Grass</x:v>
      </x:c>
      <x:c r="E1602" s="84" t="str">
        <x:v>Perennial</x:v>
      </x:c>
      <x:c r="F1602" s="84" t="str">
        <x:v>Grass</x:v>
      </x:c>
      <x:c r="G1602" s="84" t="str">
        <x:v>Sun</x:v>
      </x:c>
      <x:c r="H1602" s="84" t="str">
        <x:v>Low–Medium</x:v>
      </x:c>
      <x:c r="I1602" s="84" t="str">
        <x:v>poa arachnifera</x:v>
      </x:c>
    </x:row>
    <x:row r="1603">
      <x:c r="A1603" s="83" t="str">
        <x:v>Existing master workbook</x:v>
      </x:c>
      <x:c r="B1603" s="84" t="n">
        <x:v>27</x:v>
      </x:c>
      <x:c r="C1603" s="87" t="str">
        <x:v>Schizachyrium scoparium</x:v>
      </x:c>
      <x:c r="D1603" s="84" t="str">
        <x:v>Little Bluestem, Popotillo Azul</x:v>
      </x:c>
      <x:c r="E1603" s="84" t="str">
        <x:v>Perennial</x:v>
      </x:c>
      <x:c r="F1603" s="84" t="str">
        <x:v>Grass</x:v>
      </x:c>
      <x:c r="G1603" s="84" t="str">
        <x:v>Sun</x:v>
      </x:c>
      <x:c r="H1603" s="84" t="str">
        <x:v>Low</x:v>
      </x:c>
      <x:c r="I1603" s="84" t="str">
        <x:v>schizachyrium scoparium</x:v>
      </x:c>
    </x:row>
    <x:row r="1604">
      <x:c r="A1604" s="83" t="str">
        <x:v>Existing master workbook</x:v>
      </x:c>
      <x:c r="B1604" s="84" t="n">
        <x:v>28</x:v>
      </x:c>
      <x:c r="C1604" s="87" t="str">
        <x:v>Setaria scheelei</x:v>
      </x:c>
      <x:c r="D1604" s="84" t="str">
        <x:v>Southwestern Bristlegrass, Scheele's Bristlegrass, Scheele's Foxtail Grass, Foxtail Grass</x:v>
      </x:c>
      <x:c r="E1604" s="84" t="str">
        <x:v>Perennial</x:v>
      </x:c>
      <x:c r="F1604" s="84" t="str">
        <x:v>Grass</x:v>
      </x:c>
      <x:c r="G1604" s="84" t="str">
        <x:v>Sun</x:v>
      </x:c>
      <x:c r="H1604" s="84" t="str">
        <x:v>Low</x:v>
      </x:c>
      <x:c r="I1604" s="84" t="str">
        <x:v>setaria scheelei</x:v>
      </x:c>
    </x:row>
    <x:row r="1605">
      <x:c r="A1605" s="83" t="str">
        <x:v>Existing master workbook</x:v>
      </x:c>
      <x:c r="B1605" s="84" t="n">
        <x:v>29</x:v>
      </x:c>
      <x:c r="C1605" s="87" t="str">
        <x:v>Sorghastrum nutans</x:v>
      </x:c>
      <x:c r="D1605" s="84" t="str">
        <x:v>Indiangrass, Yellow Indiangrass, Indian Grass</x:v>
      </x:c>
      <x:c r="E1605" s="84" t="str">
        <x:v>Perennial</x:v>
      </x:c>
      <x:c r="F1605" s="84" t="str">
        <x:v>Grass</x:v>
      </x:c>
      <x:c r="G1605" s="84" t="str">
        <x:v>Sun</x:v>
      </x:c>
      <x:c r="H1605" s="84" t="str">
        <x:v>Low</x:v>
      </x:c>
      <x:c r="I1605" s="84" t="str">
        <x:v>sorghastrum nutans</x:v>
      </x:c>
    </x:row>
    <x:row r="1606">
      <x:c r="A1606" s="83" t="str">
        <x:v>Existing master workbook</x:v>
      </x:c>
      <x:c r="B1606" s="84" t="n">
        <x:v>30</x:v>
      </x:c>
      <x:c r="C1606" s="87" t="str">
        <x:v>Tridens albescens</x:v>
      </x:c>
      <x:c r="D1606" s="84" t="str">
        <x:v>White Tridens, White Top</x:v>
      </x:c>
      <x:c r="E1606" s="84" t="str">
        <x:v>Perennial</x:v>
      </x:c>
      <x:c r="F1606" s="84" t="str">
        <x:v>Grass</x:v>
      </x:c>
      <x:c r="G1606" s="84" t="str">
        <x:v>Sun</x:v>
      </x:c>
      <x:c r="H1606" s="84" t="str">
        <x:v>Low</x:v>
      </x:c>
      <x:c r="I1606" s="84" t="str">
        <x:v>tridens albescens</x:v>
      </x:c>
    </x:row>
    <x:row r="1607">
      <x:c r="A1607" s="83" t="str">
        <x:v>Existing master workbook</x:v>
      </x:c>
      <x:c r="B1607" s="84" t="n">
        <x:v>31</x:v>
      </x:c>
      <x:c r="C1607" s="87" t="str">
        <x:v>Tridens flavus</x:v>
      </x:c>
      <x:c r="D1607" s="84" t="str">
        <x:v>Purpletop Tridens</x:v>
      </x:c>
      <x:c r="E1607" s="84" t="str">
        <x:v>Perennial</x:v>
      </x:c>
      <x:c r="F1607" s="84" t="str">
        <x:v>Grass</x:v>
      </x:c>
      <x:c r="G1607" s="84" t="str">
        <x:v>Full Sun</x:v>
      </x:c>
      <x:c r="H1607" s="84" t="str">
        <x:v>Moist</x:v>
      </x:c>
      <x:c r="I1607" s="84" t="str">
        <x:v>tridens flavus</x:v>
      </x:c>
    </x:row>
    <x:row r="1608">
      <x:c r="A1608" s="83" t="str">
        <x:v>Existing master workbook</x:v>
      </x:c>
      <x:c r="B1608" s="84" t="n">
        <x:v>32</x:v>
      </x:c>
      <x:c r="C1608" s="87" t="str">
        <x:v>Tripsacum dactyloides</x:v>
      </x:c>
      <x:c r="D1608" s="84" t="str">
        <x:v>Eastern Gamagrass, Fakahatchee Grass</x:v>
      </x:c>
      <x:c r="E1608" s="84" t="str">
        <x:v>Perennial</x:v>
      </x:c>
      <x:c r="F1608" s="84" t="str">
        <x:v>Grass</x:v>
      </x:c>
      <x:c r="G1608" s="84" t="str">
        <x:v>Sun, Part Shade</x:v>
      </x:c>
      <x:c r="H1608" s="84" t="str">
        <x:v>Medium</x:v>
      </x:c>
      <x:c r="I1608" s="84" t="str">
        <x:v>tripsacum dactyloides</x:v>
      </x:c>
    </x:row>
    <x:row r="1609">
      <x:c r="A1609" s="83" t="str">
        <x:v>Existing master workbook</x:v>
      </x:c>
      <x:c r="B1609" s="84" t="n">
        <x:v>33</x:v>
      </x:c>
      <x:c r="C1609" s="87" t="str">
        <x:v>Achillea millefolium</x:v>
      </x:c>
      <x:c r="D1609" s="84" t="str">
        <x:v>Common Yarrow, Western Yarrow, Yarrow, Milfoil</x:v>
      </x:c>
      <x:c r="E1609" s="84" t="str">
        <x:v>Perennial</x:v>
      </x:c>
      <x:c r="F1609" s="84" t="str">
        <x:v>Herb</x:v>
      </x:c>
      <x:c r="G1609" s="84" t="str">
        <x:v>Sun, Part Shade</x:v>
      </x:c>
      <x:c r="H1609" s="84" t="str">
        <x:v>Medium</x:v>
      </x:c>
      <x:c r="I1609" s="84" t="str">
        <x:v>achillea millefolium</x:v>
      </x:c>
    </x:row>
    <x:row r="1610">
      <x:c r="A1610" s="83" t="str">
        <x:v>Existing master workbook</x:v>
      </x:c>
      <x:c r="B1610" s="84" t="n">
        <x:v>34</x:v>
      </x:c>
      <x:c r="C1610" s="87" t="str">
        <x:v>Acmella oppositifolia var. repens</x:v>
      </x:c>
      <x:c r="D1610" s="84" t="str">
        <x:v>Spotflower</x:v>
      </x:c>
      <x:c r="E1610" s="84" t="str">
        <x:v>Perennial</x:v>
      </x:c>
      <x:c r="F1610" s="84" t="str">
        <x:v>Herb</x:v>
      </x:c>
      <x:c r="G1610" s="84" t="str">
        <x:v>Sun, Part Shade</x:v>
      </x:c>
      <x:c r="H1610" s="84" t="str">
        <x:v>Medium</x:v>
      </x:c>
      <x:c r="I1610" s="84" t="str">
        <x:v>acmella oppositifolia var. repens</x:v>
      </x:c>
    </x:row>
    <x:row r="1611">
      <x:c r="A1611" s="83" t="str">
        <x:v>Existing master workbook</x:v>
      </x:c>
      <x:c r="B1611" s="84" t="n">
        <x:v>35</x:v>
      </x:c>
      <x:c r="C1611" s="87" t="str">
        <x:v>Acourtia runcinata</x:v>
      </x:c>
      <x:c r="D1611" s="84" t="str">
        <x:v>Featherleaf Desertpeony, Peonia</x:v>
      </x:c>
      <x:c r="E1611" s="84" t="str">
        <x:v>Perennial</x:v>
      </x:c>
      <x:c r="F1611" s="84" t="str">
        <x:v>Herb</x:v>
      </x:c>
      <x:c r="G1611" s="84" t="str">
        <x:v>Sun</x:v>
      </x:c>
      <x:c r="H1611" s="84" t="str">
        <x:v>Low</x:v>
      </x:c>
      <x:c r="I1611" s="84" t="str">
        <x:v>acourtia runcinata</x:v>
      </x:c>
    </x:row>
    <x:row r="1612">
      <x:c r="A1612" s="83" t="str">
        <x:v>Existing master workbook</x:v>
      </x:c>
      <x:c r="B1612" s="84" t="n">
        <x:v>36</x:v>
      </x:c>
      <x:c r="C1612" s="87" t="str">
        <x:v>Acourtia wrightii</x:v>
      </x:c>
      <x:c r="D1612" s="84" t="str">
        <x:v>Brownfoot, Pink Perezia</x:v>
      </x:c>
      <x:c r="E1612" s="84" t="str">
        <x:v>Perennial</x:v>
      </x:c>
      <x:c r="F1612" s="84" t="str">
        <x:v>Herb</x:v>
      </x:c>
      <x:c r="G1612" s="84" t="str">
        <x:v>Sun</x:v>
      </x:c>
      <x:c r="H1612" s="84" t="str">
        <x:v>Low</x:v>
      </x:c>
      <x:c r="I1612" s="84" t="str">
        <x:v>acourtia wrightii</x:v>
      </x:c>
    </x:row>
    <x:row r="1613">
      <x:c r="A1613" s="83" t="str">
        <x:v>Existing master workbook</x:v>
      </x:c>
      <x:c r="B1613" s="84" t="n">
        <x:v>37</x:v>
      </x:c>
      <x:c r="C1613" s="87" t="str">
        <x:v>Amsonia ciliata</x:v>
      </x:c>
      <x:c r="D1613" s="84" t="str">
        <x:v>Blue Amsonia, Fringed bluestar</x:v>
      </x:c>
      <x:c r="E1613" s="84" t="str">
        <x:v>Perennial</x:v>
      </x:c>
      <x:c r="F1613" s="84" t="str">
        <x:v>Herb</x:v>
      </x:c>
      <x:c r="G1613" s="84" t="str">
        <x:v>Sun</x:v>
      </x:c>
      <x:c r="H1613" s="84" t="str">
        <x:v>Medium</x:v>
      </x:c>
      <x:c r="I1613" s="84" t="str">
        <x:v>amsonia ciliata</x:v>
      </x:c>
    </x:row>
    <x:row r="1614">
      <x:c r="A1614" s="83" t="str">
        <x:v>Existing master workbook</x:v>
      </x:c>
      <x:c r="B1614" s="84" t="n">
        <x:v>38</x:v>
      </x:c>
      <x:c r="C1614" s="87" t="str">
        <x:v>Aquilegia canadensis</x:v>
      </x:c>
      <x:c r="D1614" s="84" t="str">
        <x:v>Eastern Red Columbine, Wild Red Columbine</x:v>
      </x:c>
      <x:c r="E1614" s="84" t="str">
        <x:v>Perennial</x:v>
      </x:c>
      <x:c r="F1614" s="84" t="str">
        <x:v>Herb</x:v>
      </x:c>
      <x:c r="G1614" s="84" t="str">
        <x:v>Part Shade</x:v>
      </x:c>
      <x:c r="H1614" s="84" t="str">
        <x:v>Medium</x:v>
      </x:c>
      <x:c r="I1614" s="84" t="str">
        <x:v>aquilegia canadensis</x:v>
      </x:c>
    </x:row>
    <x:row r="1615">
      <x:c r="A1615" s="83" t="str">
        <x:v>Existing master workbook</x:v>
      </x:c>
      <x:c r="B1615" s="84" t="n">
        <x:v>39</x:v>
      </x:c>
      <x:c r="C1615" s="87" t="str">
        <x:v>Argemone polyanthemos</x:v>
      </x:c>
      <x:c r="D1615" s="84" t="str">
        <x:v>White Prickly Poppy</x:v>
      </x:c>
      <x:c r="E1615" s="84" t="str">
        <x:v>Annual</x:v>
      </x:c>
      <x:c r="F1615" s="84" t="str">
        <x:v>Herb</x:v>
      </x:c>
      <x:c r="G1615" s="84" t="str">
        <x:v>Full Sun</x:v>
      </x:c>
      <x:c r="H1615" s="84" t="str">
        <x:v>Dry</x:v>
      </x:c>
      <x:c r="I1615" s="84" t="str">
        <x:v>argemone polyanthemos</x:v>
      </x:c>
    </x:row>
    <x:row r="1616">
      <x:c r="A1616" s="83" t="str">
        <x:v>Existing master workbook</x:v>
      </x:c>
      <x:c r="B1616" s="84" t="n">
        <x:v>40</x:v>
      </x:c>
      <x:c r="C1616" s="87" t="str">
        <x:v>Argemone sanguinea</x:v>
      </x:c>
      <x:c r="D1616" s="84" t="str">
        <x:v>Red Pricklypoppy, Rose Prickly Poppy, Red Prickly Poppy</x:v>
      </x:c>
      <x:c r="E1616" s="84" t="str">
        <x:v>Annual</x:v>
      </x:c>
      <x:c r="F1616" s="84" t="str">
        <x:v>Herb</x:v>
      </x:c>
      <x:c r="G1616" s="84" t="str">
        <x:v>Sun</x:v>
      </x:c>
      <x:c r="H1616" s="84" t="str">
        <x:v>Low</x:v>
      </x:c>
      <x:c r="I1616" s="84" t="str">
        <x:v>argemone sanguinea</x:v>
      </x:c>
    </x:row>
    <x:row r="1617">
      <x:c r="A1617" s="83" t="str">
        <x:v>Existing master workbook</x:v>
      </x:c>
      <x:c r="B1617" s="84" t="n">
        <x:v>41</x:v>
      </x:c>
      <x:c r="C1617" s="87" t="str">
        <x:v>Aristolochia erecta</x:v>
      </x:c>
      <x:c r="D1617" s="84" t="str">
        <x:v>Swanflower</x:v>
      </x:c>
      <x:c r="E1617" s="84" t="str">
        <x:v>Perennial</x:v>
      </x:c>
      <x:c r="F1617" s="84" t="str">
        <x:v>Herb</x:v>
      </x:c>
      <x:c r="G1617" s="84" t="str">
        <x:v>Sun, Part Shade</x:v>
      </x:c>
      <x:c r="H1617" s="84" t="str">
        <x:v>Low</x:v>
      </x:c>
      <x:c r="I1617" s="84" t="str">
        <x:v>aristolochia erecta</x:v>
      </x:c>
    </x:row>
    <x:row r="1618">
      <x:c r="A1618" s="83" t="str">
        <x:v>Existing master workbook</x:v>
      </x:c>
      <x:c r="B1618" s="84" t="n">
        <x:v>42</x:v>
      </x:c>
      <x:c r="C1618" s="87" t="str">
        <x:v>Asclepias asperula</x:v>
      </x:c>
      <x:c r="D1618" s="84" t="str">
        <x:v>Antelope-horns, Spider Milkweed, Green-flowered Milkweed, Spider Antelope-horns, Antelope Horns</x:v>
      </x:c>
      <x:c r="E1618" s="84" t="str">
        <x:v>Perennial</x:v>
      </x:c>
      <x:c r="F1618" s="84" t="str">
        <x:v>Herb</x:v>
      </x:c>
      <x:c r="G1618" s="84" t="str">
        <x:v>Sun</x:v>
      </x:c>
      <x:c r="H1618" s="84" t="str">
        <x:v>Low</x:v>
      </x:c>
      <x:c r="I1618" s="84" t="str">
        <x:v>asclepias asperula</x:v>
      </x:c>
    </x:row>
    <x:row r="1619">
      <x:c r="A1619" s="83" t="str">
        <x:v>Existing master workbook</x:v>
      </x:c>
      <x:c r="B1619" s="84" t="n">
        <x:v>43</x:v>
      </x:c>
      <x:c r="C1619" s="87" t="str">
        <x:v>Asclepias incarnata</x:v>
      </x:c>
      <x:c r="D1619" s="84" t="str">
        <x:v>Swamp Milkweed, Pink Milkweed</x:v>
      </x:c>
      <x:c r="E1619" s="84" t="str">
        <x:v>Perennial</x:v>
      </x:c>
      <x:c r="F1619" s="84" t="str">
        <x:v>Herb</x:v>
      </x:c>
      <x:c r="G1619" s="84" t="str">
        <x:v>Sun</x:v>
      </x:c>
      <x:c r="H1619" s="84" t="str">
        <x:v>Medium</x:v>
      </x:c>
      <x:c r="I1619" s="84" t="str">
        <x:v>asclepias incarnata</x:v>
      </x:c>
    </x:row>
    <x:row r="1620">
      <x:c r="A1620" s="83" t="str">
        <x:v>Existing master workbook</x:v>
      </x:c>
      <x:c r="B1620" s="84" t="n">
        <x:v>44</x:v>
      </x:c>
      <x:c r="C1620" s="87" t="str">
        <x:v>Asclepias oenotheroides</x:v>
      </x:c>
      <x:c r="D1620" s="84" t="str">
        <x:v>Zizotes Milkweed, Hierba De Zizotes, Side-cluster Milkweed, Longhorn Milkweed, Primrose Milkweed, Lindheimer's Milkweed</x:v>
      </x:c>
      <x:c r="E1620" s="84" t="str">
        <x:v>Perennial</x:v>
      </x:c>
      <x:c r="F1620" s="84" t="str">
        <x:v>Herb</x:v>
      </x:c>
      <x:c r="G1620" s="84" t="str">
        <x:v>Sun</x:v>
      </x:c>
      <x:c r="H1620" s="84" t="str">
        <x:v>Low</x:v>
      </x:c>
      <x:c r="I1620" s="84" t="str">
        <x:v>asclepias oenotheroides</x:v>
      </x:c>
    </x:row>
    <x:row r="1621">
      <x:c r="A1621" s="83" t="str">
        <x:v>Existing master workbook</x:v>
      </x:c>
      <x:c r="B1621" s="84" t="n">
        <x:v>45</x:v>
      </x:c>
      <x:c r="C1621" s="87" t="str">
        <x:v>Asclepias texana</x:v>
      </x:c>
      <x:c r="D1621" s="84" t="str">
        <x:v>Texas Milkweed</x:v>
      </x:c>
      <x:c r="E1621" s="84" t="str">
        <x:v>Perennial</x:v>
      </x:c>
      <x:c r="F1621" s="84" t="str">
        <x:v>Herb</x:v>
      </x:c>
      <x:c r="G1621" s="84" t="str">
        <x:v>Sun</x:v>
      </x:c>
      <x:c r="H1621" s="84" t="str">
        <x:v>Low</x:v>
      </x:c>
      <x:c r="I1621" s="84" t="str">
        <x:v>asclepias texana</x:v>
      </x:c>
    </x:row>
    <x:row r="1622">
      <x:c r="A1622" s="83" t="str">
        <x:v>Existing master workbook</x:v>
      </x:c>
      <x:c r="B1622" s="84" t="n">
        <x:v>46</x:v>
      </x:c>
      <x:c r="C1622" s="87" t="str">
        <x:v>Asclepias tuberosa</x:v>
      </x:c>
      <x:c r="D1622" s="84" t="str">
        <x:v>Butterflyweed, Butterfly Weed, Butterfly Milkweed, Orange Milkweed, Pleurisy Root, Chigger Flower, Chiggerweed</x:v>
      </x:c>
      <x:c r="E1622" s="84" t="str">
        <x:v>Perennial</x:v>
      </x:c>
      <x:c r="F1622" s="84" t="str">
        <x:v>Herb</x:v>
      </x:c>
      <x:c r="G1622" s="84" t="str">
        <x:v>Sun</x:v>
      </x:c>
      <x:c r="H1622" s="84" t="str">
        <x:v>Low</x:v>
      </x:c>
      <x:c r="I1622" s="84" t="str">
        <x:v>asclepias tuberosa</x:v>
      </x:c>
    </x:row>
    <x:row r="1623">
      <x:c r="A1623" s="83" t="str">
        <x:v>Existing master workbook</x:v>
      </x:c>
      <x:c r="B1623" s="84" t="n">
        <x:v>47</x:v>
      </x:c>
      <x:c r="C1623" s="87" t="str">
        <x:v>Asclepias viridis</x:v>
      </x:c>
      <x:c r="D1623" s="84" t="str">
        <x:v>Green Milkweed, Spider Milkweed</x:v>
      </x:c>
      <x:c r="E1623" s="84" t="str">
        <x:v>Perennial</x:v>
      </x:c>
      <x:c r="F1623" s="84" t="str">
        <x:v>Herb</x:v>
      </x:c>
      <x:c r="G1623" s="84" t="str">
        <x:v>Sun</x:v>
      </x:c>
      <x:c r="H1623" s="84" t="str">
        <x:v>Low</x:v>
      </x:c>
      <x:c r="I1623" s="84" t="str">
        <x:v>asclepias viridis</x:v>
      </x:c>
    </x:row>
    <x:row r="1624">
      <x:c r="A1624" s="83" t="str">
        <x:v>Existing master workbook</x:v>
      </x:c>
      <x:c r="B1624" s="84" t="n">
        <x:v>48</x:v>
      </x:c>
      <x:c r="C1624" s="87" t="str">
        <x:v>Baptisia bracteata</x:v>
      </x:c>
      <x:c r="D1624" s="84" t="str">
        <x:v>Wild Indigo</x:v>
      </x:c>
      <x:c r="E1624" s="84" t="str">
        <x:v>Perennial</x:v>
      </x:c>
      <x:c r="F1624" s="84" t="str">
        <x:v>Herb</x:v>
      </x:c>
      <x:c r="G1624" s="84" t="str">
        <x:v>Full Sun, Part Shade</x:v>
      </x:c>
      <x:c r="H1624" s="84" t="str">
        <x:v>Medium</x:v>
      </x:c>
      <x:c r="I1624" s="84" t="str">
        <x:v>baptisia bracteata</x:v>
      </x:c>
    </x:row>
    <x:row r="1625">
      <x:c r="A1625" s="83" t="str">
        <x:v>Existing master workbook</x:v>
      </x:c>
      <x:c r="B1625" s="84" t="n">
        <x:v>49</x:v>
      </x:c>
      <x:c r="C1625" s="87" t="str">
        <x:v>Berlandiera lyrata</x:v>
      </x:c>
      <x:c r="D1625" s="84" t="str">
        <x:v>Chocolate Daisy, Chocolate Flower, Lyreleaf Greeneyes, Green-eyed Lyre Leaf</x:v>
      </x:c>
      <x:c r="E1625" s="84" t="str">
        <x:v>Perennial</x:v>
      </x:c>
      <x:c r="F1625" s="84" t="str">
        <x:v>Herb</x:v>
      </x:c>
      <x:c r="G1625" s="84" t="str">
        <x:v>Sun</x:v>
      </x:c>
      <x:c r="H1625" s="84" t="str">
        <x:v>Low</x:v>
      </x:c>
      <x:c r="I1625" s="84" t="str">
        <x:v>berlandiera lyrata</x:v>
      </x:c>
    </x:row>
    <x:row r="1626">
      <x:c r="A1626" s="83" t="str">
        <x:v>Existing master workbook</x:v>
      </x:c>
      <x:c r="B1626" s="84" t="n">
        <x:v>50</x:v>
      </x:c>
      <x:c r="C1626" s="87" t="str">
        <x:v>Brickellia eupatorioides</x:v>
      </x:c>
      <x:c r="D1626" s="84" t="str">
        <x:v>False Boneset</x:v>
      </x:c>
      <x:c r="E1626" s="84" t="str">
        <x:v>Perennial</x:v>
      </x:c>
      <x:c r="F1626" s="84" t="str">
        <x:v>Herb</x:v>
      </x:c>
      <x:c r="G1626" s="84" t="str">
        <x:v>Sun</x:v>
      </x:c>
      <x:c r="H1626" s="84" t="str">
        <x:v>Medium</x:v>
      </x:c>
      <x:c r="I1626" s="84" t="str">
        <x:v>brickellia eupatorioides</x:v>
      </x:c>
    </x:row>
    <x:row r="1627">
      <x:c r="A1627" s="83" t="str">
        <x:v>Existing master workbook</x:v>
      </x:c>
      <x:c r="B1627" s="84" t="n">
        <x:v>51</x:v>
      </x:c>
      <x:c r="C1627" s="87" t="str">
        <x:v>Callirhoe involucrata</x:v>
      </x:c>
      <x:c r="D1627" s="84" t="str">
        <x:v>Winecup, Purple Poppy Mallow</x:v>
      </x:c>
      <x:c r="E1627" s="84" t="str">
        <x:v>Perennial</x:v>
      </x:c>
      <x:c r="F1627" s="84" t="str">
        <x:v>Herb</x:v>
      </x:c>
      <x:c r="G1627" s="84" t="str">
        <x:v>Sun</x:v>
      </x:c>
      <x:c r="H1627" s="84" t="str">
        <x:v>Low</x:v>
      </x:c>
      <x:c r="I1627" s="84" t="str">
        <x:v>callirhoe involucrata</x:v>
      </x:c>
    </x:row>
    <x:row r="1628">
      <x:c r="A1628" s="83" t="str">
        <x:v>Existing master workbook</x:v>
      </x:c>
      <x:c r="B1628" s="84" t="n">
        <x:v>52</x:v>
      </x:c>
      <x:c r="C1628" s="87" t="str">
        <x:v>Calylophus berlandieri</x:v>
      </x:c>
      <x:c r="D1628" s="84" t="str">
        <x:v>Berlandier's Sundrops , Square-bud Primrose, Sundrops</x:v>
      </x:c>
      <x:c r="E1628" s="84" t="str">
        <x:v>Perennial</x:v>
      </x:c>
      <x:c r="F1628" s="84" t="str">
        <x:v>Herb</x:v>
      </x:c>
      <x:c r="G1628" s="84" t="str">
        <x:v>Sun</x:v>
      </x:c>
      <x:c r="H1628" s="84" t="str">
        <x:v>Low</x:v>
      </x:c>
      <x:c r="I1628" s="84" t="str">
        <x:v>calylophus berlandieri</x:v>
      </x:c>
    </x:row>
    <x:row r="1629">
      <x:c r="A1629" s="83" t="str">
        <x:v>Existing master workbook</x:v>
      </x:c>
      <x:c r="B1629" s="84" t="n">
        <x:v>53</x:v>
      </x:c>
      <x:c r="C1629" s="87" t="str">
        <x:v>Calyptocarpus vialis</x:v>
      </x:c>
      <x:c r="D1629" s="84" t="str">
        <x:v>Horseherb</x:v>
      </x:c>
      <x:c r="E1629" s="84" t="str">
        <x:v>Perennial Habit: Herb Leaf Retention: Semi-evergreen Leaf Arrangement: Opposite Leaf Complexity: Simple Leaf Shape: Deltoid Leaf Pubescence: Strigose Leaf Margin: Serrate Inflorescence: Axillary Size Notes: 6-12 inches high Leaf: medium green Fruit: Fruit is a cypsela (pl. cypselae). Though technically incorrect, the fruit is often referred to as an achene.</x:v>
      </x:c>
      <x:c r="F1629" s="84" t="str">
        <x:v>Herb</x:v>
      </x:c>
      <x:c r="G1629" s="84" t="str">
        <x:v>Part Shade</x:v>
      </x:c>
      <x:c r="H1629" s="84" t="str">
        <x:v>Medium</x:v>
      </x:c>
      <x:c r="I1629" s="84" t="str">
        <x:v>calyptocarpus vialis</x:v>
      </x:c>
    </x:row>
    <x:row r="1630">
      <x:c r="A1630" s="83" t="str">
        <x:v>Existing master workbook</x:v>
      </x:c>
      <x:c r="B1630" s="84" t="n">
        <x:v>54</x:v>
      </x:c>
      <x:c r="C1630" s="87" t="str">
        <x:v>Capsicum annuum</x:v>
      </x:c>
      <x:c r="D1630" s="84" t="str">
        <x:v>Chile Tepin, Chile Pequin, Chiltepin, Chile Petin, Bird Pepper, Turkey Pepper , Cayenne Pepper</x:v>
      </x:c>
      <x:c r="E1630" s="84" t="str">
        <x:v>Annual , Perennial</x:v>
      </x:c>
      <x:c r="F1630" s="84" t="str">
        <x:v>Herb</x:v>
      </x:c>
      <x:c r="G1630" s="84" t="str">
        <x:v>Sun</x:v>
      </x:c>
      <x:c r="H1630" s="84" t="str">
        <x:v>Medium</x:v>
      </x:c>
      <x:c r="I1630" s="84" t="str">
        <x:v>capsicum annuum</x:v>
      </x:c>
    </x:row>
    <x:row r="1631">
      <x:c r="A1631" s="83" t="str">
        <x:v>Existing master workbook</x:v>
      </x:c>
      <x:c r="B1631" s="84" t="n">
        <x:v>55</x:v>
      </x:c>
      <x:c r="C1631" s="87" t="str">
        <x:v>Carex blanda</x:v>
      </x:c>
      <x:c r="D1631" s="84" t="str">
        <x:v>Eastern Woodland Sedge, Creek Sedge, Common Wood Sedge</x:v>
      </x:c>
      <x:c r="E1631" s="84" t="str">
        <x:v>Perennial</x:v>
      </x:c>
      <x:c r="F1631" s="84" t="str">
        <x:v>Herb</x:v>
      </x:c>
      <x:c r="G1631" s="84" t="str">
        <x:v>Part Shade</x:v>
      </x:c>
      <x:c r="H1631" s="84" t="str">
        <x:v>Medium</x:v>
      </x:c>
      <x:c r="I1631" s="84" t="str">
        <x:v>carex blanda</x:v>
      </x:c>
    </x:row>
    <x:row r="1632">
      <x:c r="A1632" s="83" t="str">
        <x:v>Existing master workbook</x:v>
      </x:c>
      <x:c r="B1632" s="84" t="n">
        <x:v>56</x:v>
      </x:c>
      <x:c r="C1632" s="87" t="str">
        <x:v>Carex cherokeensis</x:v>
      </x:c>
      <x:c r="D1632" s="84" t="str">
        <x:v>Cherokee Sedge</x:v>
      </x:c>
      <x:c r="E1632" s="84" t="str">
        <x:v>Perennial</x:v>
      </x:c>
      <x:c r="F1632" s="84" t="str">
        <x:v>Herb</x:v>
      </x:c>
      <x:c r="G1632" s="84" t="str">
        <x:v>Part Shade</x:v>
      </x:c>
      <x:c r="H1632" s="84" t="str">
        <x:v>Medium</x:v>
      </x:c>
      <x:c r="I1632" s="84" t="str">
        <x:v>carex cherokeensis</x:v>
      </x:c>
    </x:row>
    <x:row r="1633">
      <x:c r="A1633" s="83" t="str">
        <x:v>Existing master workbook</x:v>
      </x:c>
      <x:c r="B1633" s="84" t="n">
        <x:v>57</x:v>
      </x:c>
      <x:c r="C1633" s="87" t="str">
        <x:v>Carex emoryi</x:v>
      </x:c>
      <x:c r="D1633" s="84" t="str">
        <x:v>Emory's Sedge, Emory Sedge</x:v>
      </x:c>
      <x:c r="E1633" s="84" t="str">
        <x:v>Perennial</x:v>
      </x:c>
      <x:c r="F1633" s="84" t="str">
        <x:v>Herb</x:v>
      </x:c>
      <x:c r="G1633" s="84" t="str">
        <x:v>Sun</x:v>
      </x:c>
      <x:c r="H1633" s="84" t="str">
        <x:v>Medium</x:v>
      </x:c>
      <x:c r="I1633" s="84" t="str">
        <x:v>carex emoryi</x:v>
      </x:c>
    </x:row>
    <x:row r="1634">
      <x:c r="A1634" s="83" t="str">
        <x:v>Existing master workbook</x:v>
      </x:c>
      <x:c r="B1634" s="84" t="n">
        <x:v>58</x:v>
      </x:c>
      <x:c r="C1634" s="87" t="str">
        <x:v>Carex perdentata</x:v>
      </x:c>
      <x:c r="D1634" s="84" t="str">
        <x:v>Sand Sedge, Meadow Sedge</x:v>
      </x:c>
      <x:c r="E1634" s="84" t="str">
        <x:v>Perennial</x:v>
      </x:c>
      <x:c r="F1634" s="84" t="str">
        <x:v>Herb</x:v>
      </x:c>
      <x:c r="G1634" s="84" t="str">
        <x:v>Sun</x:v>
      </x:c>
      <x:c r="H1634" s="84" t="str">
        <x:v>Low</x:v>
      </x:c>
      <x:c r="I1634" s="84" t="str">
        <x:v>carex perdentata</x:v>
      </x:c>
    </x:row>
    <x:row r="1635">
      <x:c r="A1635" s="83" t="str">
        <x:v>Existing master workbook</x:v>
      </x:c>
      <x:c r="B1635" s="84" t="n">
        <x:v>59</x:v>
      </x:c>
      <x:c r="C1635" s="87" t="str">
        <x:v>Carex texensis</x:v>
      </x:c>
      <x:c r="D1635" s="84" t="str">
        <x:v>Texas Sedge</x:v>
      </x:c>
      <x:c r="E1635" s="84" t="str">
        <x:v>Perennial</x:v>
      </x:c>
      <x:c r="F1635" s="84" t="str">
        <x:v>Herb</x:v>
      </x:c>
      <x:c r="G1635" s="84" t="str">
        <x:v>Sun</x:v>
      </x:c>
      <x:c r="H1635" s="84" t="str">
        <x:v>Low</x:v>
      </x:c>
      <x:c r="I1635" s="84" t="str">
        <x:v>carex texensis</x:v>
      </x:c>
    </x:row>
    <x:row r="1636">
      <x:c r="A1636" s="83" t="str">
        <x:v>Existing master workbook</x:v>
      </x:c>
      <x:c r="B1636" s="84" t="n">
        <x:v>60</x:v>
      </x:c>
      <x:c r="C1636" s="87" t="str">
        <x:v>Chaetopappa ericoides</x:v>
      </x:c>
      <x:c r="D1636" s="84" t="str">
        <x:v>Rose Heath</x:v>
      </x:c>
      <x:c r="E1636" s="84" t="str">
        <x:v>Perennial</x:v>
      </x:c>
      <x:c r="F1636" s="84" t="str">
        <x:v>Herb</x:v>
      </x:c>
      <x:c r="G1636" s="84" t="str">
        <x:v>Full Sun</x:v>
      </x:c>
      <x:c r="H1636" s="84" t="str">
        <x:v>Dry</x:v>
      </x:c>
      <x:c r="I1636" s="84" t="str">
        <x:v>chaetopappa ericoides</x:v>
      </x:c>
    </x:row>
    <x:row r="1637">
      <x:c r="A1637" s="83" t="str">
        <x:v>Existing master workbook</x:v>
      </x:c>
      <x:c r="B1637" s="84" t="n">
        <x:v>61</x:v>
      </x:c>
      <x:c r="C1637" s="87" t="str">
        <x:v>Chamaecrista fasciculata</x:v>
      </x:c>
      <x:c r="D1637" s="84" t="str">
        <x:v>Partridge Pea, Sleepingplant, Sensitive Plant</x:v>
      </x:c>
      <x:c r="E1637" s="84" t="str">
        <x:v>Annual</x:v>
      </x:c>
      <x:c r="F1637" s="84" t="str">
        <x:v>Herb</x:v>
      </x:c>
      <x:c r="G1637" s="84" t="str">
        <x:v>Sun</x:v>
      </x:c>
      <x:c r="H1637" s="84" t="str">
        <x:v>Low</x:v>
      </x:c>
      <x:c r="I1637" s="84" t="str">
        <x:v>chamaecrista fasciculata</x:v>
      </x:c>
    </x:row>
    <x:row r="1638">
      <x:c r="A1638" s="83" t="str">
        <x:v>Existing master workbook</x:v>
      </x:c>
      <x:c r="B1638" s="84" t="n">
        <x:v>62</x:v>
      </x:c>
      <x:c r="C1638" s="87" t="str">
        <x:v>Commelina erecta</x:v>
      </x:c>
      <x:c r="D1638" s="84" t="str">
        <x:v>Dayflower, Widow's Tears, White-mouth Dayflower, Whitemouth Dayflower</x:v>
      </x:c>
      <x:c r="E1638" s="84" t="str">
        <x:v>Perennial</x:v>
      </x:c>
      <x:c r="F1638" s="84" t="str">
        <x:v>Herb</x:v>
      </x:c>
      <x:c r="G1638" s="84" t="str">
        <x:v>Sun, Part Shade</x:v>
      </x:c>
      <x:c r="H1638" s="84" t="str">
        <x:v>Medium</x:v>
      </x:c>
      <x:c r="I1638" s="84" t="str">
        <x:v>commelina erecta</x:v>
      </x:c>
    </x:row>
    <x:row r="1639">
      <x:c r="A1639" s="83" t="str">
        <x:v>Existing master workbook</x:v>
      </x:c>
      <x:c r="B1639" s="84" t="n">
        <x:v>63</x:v>
      </x:c>
      <x:c r="C1639" s="87" t="str">
        <x:v>Conoclinium coelestinum</x:v>
      </x:c>
      <x:c r="D1639" s="84" t="str">
        <x:v>Blue Mistflower, Wild Ageratum, Blue Boneset</x:v>
      </x:c>
      <x:c r="E1639" s="84" t="str">
        <x:v>Perennial</x:v>
      </x:c>
      <x:c r="F1639" s="84" t="str">
        <x:v>Herb</x:v>
      </x:c>
      <x:c r="G1639" s="84" t="str">
        <x:v>Sun, Part Shade</x:v>
      </x:c>
      <x:c r="H1639" s="84" t="str">
        <x:v>Medium</x:v>
      </x:c>
      <x:c r="I1639" s="84" t="str">
        <x:v>conoclinium coelestinum</x:v>
      </x:c>
    </x:row>
    <x:row r="1640">
      <x:c r="A1640" s="83" t="str">
        <x:v>Existing master workbook</x:v>
      </x:c>
      <x:c r="B1640" s="84" t="n">
        <x:v>64</x:v>
      </x:c>
      <x:c r="C1640" s="87" t="str">
        <x:v>Conoclinium coelestinum</x:v>
      </x:c>
      <x:c r="D1640" s="84" t="str">
        <x:v>Gregg's Mistflower , Palmleaf Thoroughwort, Palm-leaf Mistflower, Palm-leaf Thoroughwort, Purple Palmleaf Mistflower, Purple Palmleaf Eupatorium</x:v>
      </x:c>
      <x:c r="E1640" s="84" t="str">
        <x:v>Perennial</x:v>
      </x:c>
      <x:c r="F1640" s="84" t="str">
        <x:v>Herb</x:v>
      </x:c>
      <x:c r="G1640" s="84" t="str">
        <x:v>Sun, Part Shade</x:v>
      </x:c>
      <x:c r="H1640" s="84" t="str">
        <x:v>Low–Medium</x:v>
      </x:c>
      <x:c r="I1640" s="84" t="str">
        <x:v>conoclinium coelestinum</x:v>
      </x:c>
    </x:row>
    <x:row r="1641">
      <x:c r="A1641" s="83" t="str">
        <x:v>Existing master workbook</x:v>
      </x:c>
      <x:c r="B1641" s="84" t="n">
        <x:v>65</x:v>
      </x:c>
      <x:c r="C1641" s="87" t="str">
        <x:v>Coreopsis basalis</x:v>
      </x:c>
      <x:c r="D1641" s="84" t="str">
        <x:v>Goldenmane Tickseed, Golden-wave</x:v>
      </x:c>
      <x:c r="E1641" s="84" t="str">
        <x:v>Annual</x:v>
      </x:c>
      <x:c r="F1641" s="84" t="str">
        <x:v>Herb</x:v>
      </x:c>
      <x:c r="G1641" s="84" t="str">
        <x:v>Sun</x:v>
      </x:c>
      <x:c r="H1641" s="84" t="str">
        <x:v>Dry–Medium</x:v>
      </x:c>
      <x:c r="I1641" s="84" t="str">
        <x:v>coreopsis basalis</x:v>
      </x:c>
    </x:row>
    <x:row r="1642">
      <x:c r="A1642" s="83" t="str">
        <x:v>Existing master workbook</x:v>
      </x:c>
      <x:c r="B1642" s="84" t="n">
        <x:v>66</x:v>
      </x:c>
      <x:c r="C1642" s="87" t="str">
        <x:v>Coreopsis lanceolata</x:v>
      </x:c>
      <x:c r="D1642" s="84" t="str">
        <x:v>Lanceleaf Coreopsis, Lance-leaved Coreopsis, Lanceleaf Tickseed, Sand Coreopsis</x:v>
      </x:c>
      <x:c r="E1642" s="84" t="str">
        <x:v>Perennial</x:v>
      </x:c>
      <x:c r="F1642" s="84" t="str">
        <x:v>Herb</x:v>
      </x:c>
      <x:c r="G1642" s="84" t="str">
        <x:v>Sun</x:v>
      </x:c>
      <x:c r="H1642" s="84" t="str">
        <x:v>Medium</x:v>
      </x:c>
      <x:c r="I1642" s="84" t="str">
        <x:v>coreopsis lanceolata</x:v>
      </x:c>
    </x:row>
    <x:row r="1643">
      <x:c r="A1643" s="83" t="str">
        <x:v>Existing master workbook</x:v>
      </x:c>
      <x:c r="B1643" s="84" t="n">
        <x:v>67</x:v>
      </x:c>
      <x:c r="C1643" s="87" t="str">
        <x:v>Croton texensis</x:v>
      </x:c>
      <x:c r="D1643" s="84" t="str">
        <x:v>Texas Croton, Doveweed, Texas Goatweed</x:v>
      </x:c>
      <x:c r="E1643" s="84" t="str">
        <x:v>Annual</x:v>
      </x:c>
      <x:c r="F1643" s="84" t="str">
        <x:v>Herb</x:v>
      </x:c>
      <x:c r="G1643" s="84" t="str">
        <x:v>Sun</x:v>
      </x:c>
      <x:c r="H1643" s="84" t="str">
        <x:v>Dry–Medium</x:v>
      </x:c>
      <x:c r="I1643" s="84" t="str">
        <x:v>croton texensis</x:v>
      </x:c>
    </x:row>
    <x:row r="1644">
      <x:c r="A1644" s="83" t="str">
        <x:v>Existing master workbook</x:v>
      </x:c>
      <x:c r="B1644" s="84" t="n">
        <x:v>68</x:v>
      </x:c>
      <x:c r="C1644" s="87" t="str">
        <x:v>Dalea aurea</x:v>
      </x:c>
      <x:c r="D1644" s="84" t="str">
        <x:v>Golden Dalea, Golden Prairie Clover</x:v>
      </x:c>
      <x:c r="E1644" s="84" t="str">
        <x:v>Perennial</x:v>
      </x:c>
      <x:c r="F1644" s="84" t="str">
        <x:v>Herb</x:v>
      </x:c>
      <x:c r="G1644" s="84" t="str">
        <x:v>Sun</x:v>
      </x:c>
      <x:c r="H1644" s="84" t="str">
        <x:v>Dry–Medium</x:v>
      </x:c>
      <x:c r="I1644" s="84" t="str">
        <x:v>dalea aurea</x:v>
      </x:c>
    </x:row>
    <x:row r="1645">
      <x:c r="A1645" s="83" t="str">
        <x:v>Existing master workbook</x:v>
      </x:c>
      <x:c r="B1645" s="84" t="n">
        <x:v>69</x:v>
      </x:c>
      <x:c r="C1645" s="87" t="str">
        <x:v>Dalea purpurea</x:v>
      </x:c>
      <x:c r="D1645" s="84" t="str">
        <x:v>Purple Prairie Clover</x:v>
      </x:c>
      <x:c r="E1645" s="84" t="str">
        <x:v>Perennial</x:v>
      </x:c>
      <x:c r="F1645" s="84" t="str">
        <x:v>Herb</x:v>
      </x:c>
      <x:c r="G1645" s="84" t="str">
        <x:v>Sun</x:v>
      </x:c>
      <x:c r="H1645" s="84" t="str">
        <x:v>Low</x:v>
      </x:c>
      <x:c r="I1645" s="84" t="str">
        <x:v>dalea purpurea</x:v>
      </x:c>
    </x:row>
    <x:row r="1646">
      <x:c r="A1646" s="83" t="str">
        <x:v>Existing master workbook</x:v>
      </x:c>
      <x:c r="B1646" s="84" t="n">
        <x:v>70</x:v>
      </x:c>
      <x:c r="C1646" s="87" t="str">
        <x:v>Datura wrightii</x:v>
      </x:c>
      <x:c r="D1646" s="84" t="str">
        <x:v>Jimsonweed, Sacred Thorn-apple, Thorn-apple, Angel Trumpet, Sacred Datura, Western Jimson Weed</x:v>
      </x:c>
      <x:c r="E1646" s="84" t="str">
        <x:v>Perennial</x:v>
      </x:c>
      <x:c r="F1646" s="84" t="str">
        <x:v>Herb</x:v>
      </x:c>
      <x:c r="G1646" s="84" t="str">
        <x:v>Sun, Part Shade</x:v>
      </x:c>
      <x:c r="H1646" s="84" t="str">
        <x:v>Low–Medium</x:v>
      </x:c>
      <x:c r="I1646" s="84" t="str">
        <x:v>datura wrightii</x:v>
      </x:c>
    </x:row>
    <x:row r="1647">
      <x:c r="A1647" s="83" t="str">
        <x:v>Existing master workbook</x:v>
      </x:c>
      <x:c r="B1647" s="84" t="n">
        <x:v>71</x:v>
      </x:c>
      <x:c r="C1647" s="87" t="str">
        <x:v>Delphinium carolinianum</x:v>
      </x:c>
      <x:c r="D1647" s="84" t="str">
        <x:v>Larkspur, Carolina larkspur</x:v>
      </x:c>
      <x:c r="E1647" s="84" t="str">
        <x:v>Perennial</x:v>
      </x:c>
      <x:c r="F1647" s="84" t="str">
        <x:v>Herb</x:v>
      </x:c>
      <x:c r="G1647" s="84" t="str">
        <x:v>Sun</x:v>
      </x:c>
      <x:c r="H1647" s="84" t="str">
        <x:v>Low</x:v>
      </x:c>
      <x:c r="I1647" s="84" t="str">
        <x:v>delphinium carolinianum</x:v>
      </x:c>
    </x:row>
    <x:row r="1648">
      <x:c r="A1648" s="83" t="str">
        <x:v>Existing master workbook</x:v>
      </x:c>
      <x:c r="B1648" s="84" t="n">
        <x:v>72</x:v>
      </x:c>
      <x:c r="C1648" s="87" t="str">
        <x:v>Desmanthus illinoensis</x:v>
      </x:c>
      <x:c r="D1648" s="84" t="str">
        <x:v>Illinois Bundleflower, Bundleflower, Prairie Bundle Flower, Prickleweed, Illinois Desmanthus, Prairie Mimosa</x:v>
      </x:c>
      <x:c r="E1648" s="84" t="str">
        <x:v>Perennial</x:v>
      </x:c>
      <x:c r="F1648" s="84" t="str">
        <x:v>Herb</x:v>
      </x:c>
      <x:c r="G1648" s="84" t="str">
        <x:v>Sun</x:v>
      </x:c>
      <x:c r="H1648" s="84" t="str">
        <x:v>Medium</x:v>
      </x:c>
      <x:c r="I1648" s="84" t="str">
        <x:v>desmanthus illinoensis</x:v>
      </x:c>
    </x:row>
    <x:row r="1649">
      <x:c r="A1649" s="83" t="str">
        <x:v>Existing master workbook</x:v>
      </x:c>
      <x:c r="B1649" s="84" t="n">
        <x:v>73</x:v>
      </x:c>
      <x:c r="C1649" s="87" t="str">
        <x:v>Dichondra carolinensis</x:v>
      </x:c>
      <x:c r="D1649" s="84" t="str">
        <x:v>Carolina Ponyfoot, Ponyfoot</x:v>
      </x:c>
      <x:c r="E1649" s="84" t="str">
        <x:v>Perennial</x:v>
      </x:c>
      <x:c r="F1649" s="84" t="str">
        <x:v>Herb</x:v>
      </x:c>
      <x:c r="G1649" s="84" t="str">
        <x:v>Part Shade</x:v>
      </x:c>
      <x:c r="H1649" s="84" t="str">
        <x:v>Medium</x:v>
      </x:c>
      <x:c r="I1649" s="84" t="str">
        <x:v>dichondra carolinensis</x:v>
      </x:c>
    </x:row>
    <x:row r="1650">
      <x:c r="A1650" s="83" t="str">
        <x:v>Existing master workbook</x:v>
      </x:c>
      <x:c r="B1650" s="84" t="n">
        <x:v>74</x:v>
      </x:c>
      <x:c r="C1650" s="87" t="str">
        <x:v>Dracopis amplexicaulis</x:v>
      </x:c>
      <x:c r="D1650" s="84" t="str">
        <x:v>Clasping Coneflower, Clasping-leaf Coneflower</x:v>
      </x:c>
      <x:c r="E1650" s="84" t="str">
        <x:v>Annual</x:v>
      </x:c>
      <x:c r="F1650" s="84" t="str">
        <x:v>Herb</x:v>
      </x:c>
      <x:c r="G1650" s="84" t="str">
        <x:v>Sun</x:v>
      </x:c>
      <x:c r="H1650" s="84" t="str">
        <x:v>Medium</x:v>
      </x:c>
      <x:c r="I1650" s="84" t="str">
        <x:v>dracopis amplexicaulis</x:v>
      </x:c>
    </x:row>
    <x:row r="1651">
      <x:c r="A1651" s="83" t="str">
        <x:v>Existing master workbook</x:v>
      </x:c>
      <x:c r="B1651" s="84" t="n">
        <x:v>75</x:v>
      </x:c>
      <x:c r="C1651" s="87" t="str">
        <x:v>Dyschoriste linearis</x:v>
      </x:c>
      <x:c r="D1651" s="84" t="str">
        <x:v>Snake Herb, Polkadots, Narrowleaf Dyschoriste</x:v>
      </x:c>
      <x:c r="E1651" s="84" t="str">
        <x:v>Perennial</x:v>
      </x:c>
      <x:c r="F1651" s="84" t="str">
        <x:v>Herb</x:v>
      </x:c>
      <x:c r="G1651" s="84" t="str">
        <x:v>Sun</x:v>
      </x:c>
      <x:c r="H1651" s="84" t="str">
        <x:v>Low–Medium</x:v>
      </x:c>
      <x:c r="I1651" s="84" t="str">
        <x:v>dyschoriste linearis</x:v>
      </x:c>
    </x:row>
    <x:row r="1652">
      <x:c r="A1652" s="83" t="str">
        <x:v>Existing master workbook</x:v>
      </x:c>
      <x:c r="B1652" s="84" t="n">
        <x:v>76</x:v>
      </x:c>
      <x:c r="C1652" s="87" t="str">
        <x:v>Echinacea angustifolia</x:v>
      </x:c>
      <x:c r="D1652" s="84" t="str">
        <x:v>Black Samson, Black Samson Echinacea, Narrow-leaf Coneflower</x:v>
      </x:c>
      <x:c r="E1652" s="84" t="str">
        <x:v>Perennial</x:v>
      </x:c>
      <x:c r="F1652" s="84" t="str">
        <x:v>Herb</x:v>
      </x:c>
      <x:c r="G1652" s="84" t="str">
        <x:v>Sun</x:v>
      </x:c>
      <x:c r="H1652" s="84" t="str">
        <x:v>Medium</x:v>
      </x:c>
      <x:c r="I1652" s="84" t="str">
        <x:v>echinacea angustifolia</x:v>
      </x:c>
    </x:row>
    <x:row r="1653">
      <x:c r="A1653" s="83" t="str">
        <x:v>Existing master workbook</x:v>
      </x:c>
      <x:c r="B1653" s="84" t="n">
        <x:v>77</x:v>
      </x:c>
      <x:c r="C1653" s="87" t="str">
        <x:v>Engelmannia peristenia</x:v>
      </x:c>
      <x:c r="D1653" s="84" t="str">
        <x:v>Engelmann's Daisy, Engelmann Daisy, Cutleaf Daisy</x:v>
      </x:c>
      <x:c r="E1653" s="84" t="str">
        <x:v>Perennial</x:v>
      </x:c>
      <x:c r="F1653" s="84" t="str">
        <x:v>Herb</x:v>
      </x:c>
      <x:c r="G1653" s="84" t="str">
        <x:v>Sun</x:v>
      </x:c>
      <x:c r="H1653" s="84" t="str">
        <x:v>Low</x:v>
      </x:c>
      <x:c r="I1653" s="84" t="str">
        <x:v>engelmannia peristenia</x:v>
      </x:c>
    </x:row>
    <x:row r="1654">
      <x:c r="A1654" s="83" t="str">
        <x:v>Existing master workbook</x:v>
      </x:c>
      <x:c r="B1654" s="84" t="n">
        <x:v>78</x:v>
      </x:c>
      <x:c r="C1654" s="87" t="str">
        <x:v>Erigeron philadelphicus</x:v>
      </x:c>
      <x:c r="D1654" s="84" t="str">
        <x:v>Philadelphia Fleabane</x:v>
      </x:c>
      <x:c r="E1654" s="84" t="str">
        <x:v>Biennial</x:v>
      </x:c>
      <x:c r="F1654" s="84" t="str">
        <x:v>Herb</x:v>
      </x:c>
      <x:c r="G1654" s="84" t="str">
        <x:v>Full Sun to Part Shade</x:v>
      </x:c>
      <x:c r="H1654" s="84" t="str">
        <x:v>Moist</x:v>
      </x:c>
      <x:c r="I1654" s="84" t="str">
        <x:v>erigeron philadelphicus</x:v>
      </x:c>
    </x:row>
    <x:row r="1655">
      <x:c r="A1655" s="83" t="str">
        <x:v>Existing master workbook</x:v>
      </x:c>
      <x:c r="B1655" s="84" t="n">
        <x:v>79</x:v>
      </x:c>
      <x:c r="C1655" s="87" t="str">
        <x:v>Eriogonum longifolium</x:v>
      </x:c>
      <x:c r="D1655" s="84" t="str">
        <x:v>Longleaf Buckwheat, Longleaf Wild Buckwheat</x:v>
      </x:c>
      <x:c r="E1655" s="84" t="str">
        <x:v>Perennial</x:v>
      </x:c>
      <x:c r="F1655" s="84" t="str">
        <x:v>Herb</x:v>
      </x:c>
      <x:c r="G1655" s="84" t="str">
        <x:v>Sun</x:v>
      </x:c>
      <x:c r="H1655" s="84" t="str">
        <x:v>Low</x:v>
      </x:c>
      <x:c r="I1655" s="84" t="str">
        <x:v>eriogonum longifolium</x:v>
      </x:c>
    </x:row>
    <x:row r="1656">
      <x:c r="A1656" s="83" t="str">
        <x:v>Existing master workbook</x:v>
      </x:c>
      <x:c r="B1656" s="84" t="n">
        <x:v>80</x:v>
      </x:c>
      <x:c r="C1656" s="87" t="str">
        <x:v>Eryngium leavenworthii</x:v>
      </x:c>
      <x:c r="D1656" s="84" t="str">
        <x:v>Leavenworth's Eryngo, Eryngo, False Purple Thistle</x:v>
      </x:c>
      <x:c r="E1656" s="84" t="str">
        <x:v>Annual</x:v>
      </x:c>
      <x:c r="F1656" s="84" t="str">
        <x:v>Herb</x:v>
      </x:c>
      <x:c r="G1656" s="84" t="str">
        <x:v>Sun</x:v>
      </x:c>
      <x:c r="H1656" s="84" t="str">
        <x:v>Low</x:v>
      </x:c>
      <x:c r="I1656" s="84" t="str">
        <x:v>eryngium leavenworthii</x:v>
      </x:c>
    </x:row>
    <x:row r="1657">
      <x:c r="A1657" s="83" t="str">
        <x:v>Existing master workbook</x:v>
      </x:c>
      <x:c r="B1657" s="84" t="n">
        <x:v>81</x:v>
      </x:c>
      <x:c r="C1657" s="87" t="str">
        <x:v>Eryngium yuccifolium</x:v>
      </x:c>
      <x:c r="D1657" s="84" t="str">
        <x:v>Rattlesnake Master, Button Eryngo, Button Snakeroot, Beargrass, Bear's Grass</x:v>
      </x:c>
      <x:c r="E1657" s="84" t="str">
        <x:v>Perennial</x:v>
      </x:c>
      <x:c r="F1657" s="84" t="str">
        <x:v>Herb</x:v>
      </x:c>
      <x:c r="G1657" s="84" t="str">
        <x:v>Sun, Part Shade</x:v>
      </x:c>
      <x:c r="H1657" s="84" t="str">
        <x:v>Medium</x:v>
      </x:c>
      <x:c r="I1657" s="84" t="str">
        <x:v>eryngium yuccifolium</x:v>
      </x:c>
    </x:row>
    <x:row r="1658">
      <x:c r="A1658" s="83" t="str">
        <x:v>Existing master workbook</x:v>
      </x:c>
      <x:c r="B1658" s="84" t="n">
        <x:v>82</x:v>
      </x:c>
      <x:c r="C1658" s="87" t="str">
        <x:v>Eustoma exaltatum</x:v>
      </x:c>
      <x:c r="D1658" s="84" t="str">
        <x:v>Catchfly Prairie Gentian, Bluebell Gentian, Western Blue Gentian, Blue Marsh Lily, Small Bluebell, Catchfly Gentian, Seaside Gentian</x:v>
      </x:c>
      <x:c r="E1658" s="84" t="str">
        <x:v>Annual</x:v>
      </x:c>
      <x:c r="F1658" s="84" t="str">
        <x:v>Herb</x:v>
      </x:c>
      <x:c r="G1658" s="84" t="str">
        <x:v>Sun, Part Shade</x:v>
      </x:c>
      <x:c r="H1658" s="84" t="str">
        <x:v>Medium</x:v>
      </x:c>
      <x:c r="I1658" s="84" t="str">
        <x:v>eustoma exaltatum</x:v>
      </x:c>
    </x:row>
    <x:row r="1659">
      <x:c r="A1659" s="83" t="str">
        <x:v>Existing master workbook</x:v>
      </x:c>
      <x:c r="B1659" s="84" t="n">
        <x:v>83</x:v>
      </x:c>
      <x:c r="C1659" s="87" t="str">
        <x:v>Fleischmannia incarnata</x:v>
      </x:c>
      <x:c r="D1659" s="84" t="str">
        <x:v>Pink Thoroughwort</x:v>
      </x:c>
      <x:c r="E1659" s="84" t="str">
        <x:v>Perennial</x:v>
      </x:c>
      <x:c r="F1659" s="84" t="str">
        <x:v>Herb</x:v>
      </x:c>
      <x:c r="G1659" s="84" t="str">
        <x:v>Sun, Part Shade</x:v>
      </x:c>
      <x:c r="H1659" s="84" t="str">
        <x:v>Medium</x:v>
      </x:c>
      <x:c r="I1659" s="84" t="str">
        <x:v>fleischmannia incarnata</x:v>
      </x:c>
    </x:row>
    <x:row r="1660">
      <x:c r="A1660" s="83" t="str">
        <x:v>Existing master workbook</x:v>
      </x:c>
      <x:c r="B1660" s="84" t="n">
        <x:v>84</x:v>
      </x:c>
      <x:c r="C1660" s="87" t="str">
        <x:v>Gaillardia aestivalis</x:v>
      </x:c>
      <x:c r="D1660" s="84" t="str">
        <x:v>Lanceleaf blanketflower</x:v>
      </x:c>
      <x:c r="E1660" s="84" t="str">
        <x:v>Perennial</x:v>
      </x:c>
      <x:c r="F1660" s="84" t="str">
        <x:v>Herb</x:v>
      </x:c>
      <x:c r="G1660" s="84" t="str">
        <x:v>Sun</x:v>
      </x:c>
      <x:c r="H1660" s="84" t="str">
        <x:v>Low</x:v>
      </x:c>
      <x:c r="I1660" s="84" t="str">
        <x:v>gaillardia aestivalis</x:v>
      </x:c>
    </x:row>
    <x:row r="1661">
      <x:c r="A1661" s="83" t="str">
        <x:v>Existing master workbook</x:v>
      </x:c>
      <x:c r="B1661" s="84" t="n">
        <x:v>85</x:v>
      </x:c>
      <x:c r="C1661" s="87" t="str">
        <x:v>Gaillardia amblyodon</x:v>
      </x:c>
      <x:c r="D1661" s="84" t="str">
        <x:v>Maroon Blanket Flower</x:v>
      </x:c>
      <x:c r="E1661" s="84" t="str">
        <x:v>Annual</x:v>
      </x:c>
      <x:c r="F1661" s="84" t="str">
        <x:v>Herb</x:v>
      </x:c>
      <x:c r="G1661" s="84" t="str">
        <x:v>Full Sun</x:v>
      </x:c>
      <x:c r="H1661" s="84" t="str">
        <x:v>Dry to Moist</x:v>
      </x:c>
      <x:c r="I1661" s="84" t="str">
        <x:v>gaillardia amblyodon</x:v>
      </x:c>
    </x:row>
    <x:row r="1662">
      <x:c r="A1662" s="83" t="str">
        <x:v>Existing master workbook</x:v>
      </x:c>
      <x:c r="B1662" s="84" t="n">
        <x:v>86</x:v>
      </x:c>
      <x:c r="C1662" s="87" t="str">
        <x:v>Gaillardia pulchella</x:v>
      </x:c>
      <x:c r="D1662" s="84" t="str">
        <x:v>Indian Blanket, Firewheel, Girasol Rojo</x:v>
      </x:c>
      <x:c r="E1662" s="84" t="str">
        <x:v>Annual</x:v>
      </x:c>
      <x:c r="F1662" s="84" t="str">
        <x:v>Herb</x:v>
      </x:c>
      <x:c r="G1662" s="84" t="str">
        <x:v>Sun</x:v>
      </x:c>
      <x:c r="H1662" s="84" t="str">
        <x:v>Low–Medium</x:v>
      </x:c>
      <x:c r="I1662" s="84" t="str">
        <x:v>gaillardia pulchella</x:v>
      </x:c>
    </x:row>
    <x:row r="1663">
      <x:c r="A1663" s="83" t="str">
        <x:v>Existing master workbook</x:v>
      </x:c>
      <x:c r="B1663" s="84" t="n">
        <x:v>87</x:v>
      </x:c>
      <x:c r="C1663" s="87" t="str">
        <x:v>Gaillardia suavis</x:v>
      </x:c>
      <x:c r="D1663" s="84" t="str">
        <x:v>Pincushion Daisy, Fragrant Gaillardia, Rayless Gaillardia, Perfumeballs</x:v>
      </x:c>
      <x:c r="E1663" s="84" t="str">
        <x:v>Perennial</x:v>
      </x:c>
      <x:c r="F1663" s="84" t="str">
        <x:v>Herb</x:v>
      </x:c>
      <x:c r="G1663" s="84" t="str">
        <x:v>Sun</x:v>
      </x:c>
      <x:c r="H1663" s="84" t="str">
        <x:v>Low</x:v>
      </x:c>
      <x:c r="I1663" s="84" t="str">
        <x:v>gaillardia suavis</x:v>
      </x:c>
    </x:row>
    <x:row r="1664">
      <x:c r="A1664" s="83" t="str">
        <x:v>Existing master workbook</x:v>
      </x:c>
      <x:c r="B1664" s="84" t="n">
        <x:v>88</x:v>
      </x:c>
      <x:c r="C1664" s="87" t="str">
        <x:v>Geum canadense</x:v>
      </x:c>
      <x:c r="D1664" s="84" t="str">
        <x:v>White Avens</x:v>
      </x:c>
      <x:c r="E1664" s="84" t="str">
        <x:v>Perennial Habit: Herb Leaf Retention: Semi-evergreen Fruit Type: Achene , Aggregate , Caryopsis Size Notes: Usually 4 to 18 inches, but can reach 4 feet. Leaf: Green Flower: Flowers 1/2 inch. Fruit: Aggregated achenes.</x:v>
      </x:c>
      <x:c r="F1664" s="84" t="str">
        <x:v>Herb</x:v>
      </x:c>
      <x:c r="G1664" s="84" t="str">
        <x:v>Shade, Part Shade</x:v>
      </x:c>
      <x:c r="H1664" s="84" t="str">
        <x:v>Medium</x:v>
      </x:c>
      <x:c r="I1664" s="84" t="str">
        <x:v>geum canadense</x:v>
      </x:c>
    </x:row>
    <x:row r="1665">
      <x:c r="A1665" s="83" t="str">
        <x:v>Existing master workbook</x:v>
      </x:c>
      <x:c r="B1665" s="84" t="n">
        <x:v>89</x:v>
      </x:c>
      <x:c r="C1665" s="87" t="str">
        <x:v>Glandularia bipinnatifida</x:v>
      </x:c>
      <x:c r="D1665" s="84" t="str">
        <x:v>Prairie Verbena, Purple Prairie Verbena, Dakota Vervain, Dakota Mock Vervain, Moradilla, Alfombrilla</x:v>
      </x:c>
      <x:c r="E1665" s="84" t="str">
        <x:v>Perennial</x:v>
      </x:c>
      <x:c r="F1665" s="84" t="str">
        <x:v>Herb</x:v>
      </x:c>
      <x:c r="G1665" s="84" t="str">
        <x:v>Sun</x:v>
      </x:c>
      <x:c r="H1665" s="84" t="str">
        <x:v>Low–Medium</x:v>
      </x:c>
      <x:c r="I1665" s="84" t="str">
        <x:v>glandularia bipinnatifida</x:v>
      </x:c>
    </x:row>
    <x:row r="1666">
      <x:c r="A1666" s="83" t="str">
        <x:v>Existing master workbook</x:v>
      </x:c>
      <x:c r="B1666" s="84" t="n">
        <x:v>90</x:v>
      </x:c>
      <x:c r="C1666" s="87" t="str">
        <x:v>Grindelia lanceolata</x:v>
      </x:c>
      <x:c r="D1666" s="84" t="str">
        <x:v>Narrowleaf Gumweed</x:v>
      </x:c>
      <x:c r="E1666" s="84" t="str">
        <x:v>Perennial , Biennial</x:v>
      </x:c>
      <x:c r="F1666" s="84" t="str">
        <x:v>Herb</x:v>
      </x:c>
      <x:c r="G1666" s="84" t="str">
        <x:v>Full Sun</x:v>
      </x:c>
      <x:c r="H1666" s="84" t="str">
        <x:v>Dry to Moist</x:v>
      </x:c>
      <x:c r="I1666" s="84" t="str">
        <x:v>grindelia lanceolata</x:v>
      </x:c>
    </x:row>
    <x:row r="1667">
      <x:c r="A1667" s="83" t="str">
        <x:v>Existing master workbook</x:v>
      </x:c>
      <x:c r="B1667" s="84" t="n">
        <x:v>91</x:v>
      </x:c>
      <x:c r="C1667" s="87" t="str">
        <x:v>Grindelia squarrosa</x:v>
      </x:c>
      <x:c r="D1667" s="84" t="str">
        <x:v>Curlycup Gumweed</x:v>
      </x:c>
      <x:c r="E1667" s="84" t="str">
        <x:v>Annual , Perennial , Biennial</x:v>
      </x:c>
      <x:c r="F1667" s="84" t="str">
        <x:v>Herb</x:v>
      </x:c>
      <x:c r="G1667" s="84" t="str">
        <x:v>Sun</x:v>
      </x:c>
      <x:c r="H1667" s="84" t="str">
        <x:v>Low–Medium</x:v>
      </x:c>
      <x:c r="I1667" s="84" t="str">
        <x:v>grindelia squarrosa</x:v>
      </x:c>
    </x:row>
    <x:row r="1668">
      <x:c r="A1668" s="83" t="str">
        <x:v>Existing master workbook</x:v>
      </x:c>
      <x:c r="B1668" s="84" t="n">
        <x:v>92</x:v>
      </x:c>
      <x:c r="C1668" s="87" t="str">
        <x:v>Hedeoma acinoides</x:v>
      </x:c>
      <x:c r="D1668" s="84" t="str">
        <x:v>Pannyroyal (annual), Slender False Pennyroyal</x:v>
      </x:c>
      <x:c r="E1668" s="84" t="str">
        <x:v>Annual</x:v>
      </x:c>
      <x:c r="F1668" s="84" t="str">
        <x:v>Herb</x:v>
      </x:c>
      <x:c r="G1668" s="84" t="str">
        <x:v>Sun</x:v>
      </x:c>
      <x:c r="H1668" s="84" t="str">
        <x:v>Low</x:v>
      </x:c>
      <x:c r="I1668" s="84" t="str">
        <x:v>hedeoma acinoides</x:v>
      </x:c>
    </x:row>
    <x:row r="1669">
      <x:c r="A1669" s="83" t="str">
        <x:v>Existing master workbook</x:v>
      </x:c>
      <x:c r="B1669" s="84" t="n">
        <x:v>93</x:v>
      </x:c>
      <x:c r="C1669" s="87" t="str">
        <x:v>Hedeoma reverchonii</x:v>
      </x:c>
      <x:c r="D1669" s="84" t="str">
        <x:v>Reverchon's False Pennyroyal</x:v>
      </x:c>
      <x:c r="E1669" s="84" t="str">
        <x:v>Perennial</x:v>
      </x:c>
      <x:c r="F1669" s="84" t="str">
        <x:v>Herb</x:v>
      </x:c>
      <x:c r="G1669" s="84" t="str">
        <x:v>Sun</x:v>
      </x:c>
      <x:c r="H1669" s="84" t="str">
        <x:v>Low</x:v>
      </x:c>
      <x:c r="I1669" s="84" t="str">
        <x:v>hedeoma reverchonii</x:v>
      </x:c>
    </x:row>
    <x:row r="1670">
      <x:c r="A1670" s="83" t="str">
        <x:v>Existing master workbook</x:v>
      </x:c>
      <x:c r="B1670" s="84" t="n">
        <x:v>94</x:v>
      </x:c>
      <x:c r="C1670" s="87" t="str">
        <x:v>Helenium amarum</x:v>
      </x:c>
      <x:c r="D1670" s="84" t="str">
        <x:v>Southern Wild Hyacinth</x:v>
      </x:c>
      <x:c r="E1670" s="84" t="str">
        <x:v>Annual</x:v>
      </x:c>
      <x:c r="F1670" s="84" t="str">
        <x:v>Herb</x:v>
      </x:c>
      <x:c r="G1670" s="84" t="str">
        <x:v>Sun</x:v>
      </x:c>
      <x:c r="H1670" s="84" t="str">
        <x:v>Low</x:v>
      </x:c>
      <x:c r="I1670" s="84" t="str">
        <x:v>helenium amarum</x:v>
      </x:c>
    </x:row>
    <x:row r="1671">
      <x:c r="A1671" s="83" t="str">
        <x:v>Existing master workbook</x:v>
      </x:c>
      <x:c r="B1671" s="84" t="n">
        <x:v>95</x:v>
      </x:c>
      <x:c r="C1671" s="87" t="str">
        <x:v>Helenium autumnale</x:v>
      </x:c>
      <x:c r="D1671" s="84" t="str">
        <x:v>Common Sneezeweed, Fall Sneezeweed, Autumn Sneezeweed</x:v>
      </x:c>
      <x:c r="E1671" s="84" t="str">
        <x:v>Perennial</x:v>
      </x:c>
      <x:c r="F1671" s="84" t="str">
        <x:v>Herb</x:v>
      </x:c>
      <x:c r="G1671" s="84" t="str">
        <x:v>Sun, Part Shade</x:v>
      </x:c>
      <x:c r="H1671" s="84" t="str">
        <x:v>Medium</x:v>
      </x:c>
      <x:c r="I1671" s="84" t="str">
        <x:v>helenium autumnale</x:v>
      </x:c>
    </x:row>
    <x:row r="1672">
      <x:c r="A1672" s="83" t="str">
        <x:v>Existing master workbook</x:v>
      </x:c>
      <x:c r="B1672" s="84" t="n">
        <x:v>96</x:v>
      </x:c>
      <x:c r="C1672" s="87" t="str">
        <x:v>Helianthus maximiliani</x:v>
      </x:c>
      <x:c r="D1672" s="84" t="str">
        <x:v>Maximilian Sunflower, Max Sunflower</x:v>
      </x:c>
      <x:c r="E1672" s="84" t="str">
        <x:v>Perennial</x:v>
      </x:c>
      <x:c r="F1672" s="84" t="str">
        <x:v>Herb</x:v>
      </x:c>
      <x:c r="G1672" s="84" t="str">
        <x:v>Sun</x:v>
      </x:c>
      <x:c r="H1672" s="84" t="str">
        <x:v>Low–Medium</x:v>
      </x:c>
      <x:c r="I1672" s="84" t="str">
        <x:v>helianthus maximiliani</x:v>
      </x:c>
    </x:row>
    <x:row r="1673">
      <x:c r="A1673" s="83" t="str">
        <x:v>Existing master workbook</x:v>
      </x:c>
      <x:c r="B1673" s="84" t="n">
        <x:v>97</x:v>
      </x:c>
      <x:c r="C1673" s="87" t="str">
        <x:v>Hibiscus laevis</x:v>
      </x:c>
      <x:c r="D1673" s="84" t="str">
        <x:v>Halberdleaf Rosemallow, Halberdleaf Hibiscus, Scarlet Rose Mallow, Halberd-leaved Hibiscus, Halberd-leaved Rose-mallow</x:v>
      </x:c>
      <x:c r="E1673" s="84" t="str">
        <x:v>Perennial</x:v>
      </x:c>
      <x:c r="F1673" s="84" t="str">
        <x:v>Herb</x:v>
      </x:c>
      <x:c r="G1673" s="84" t="str">
        <x:v>Sun</x:v>
      </x:c>
      <x:c r="H1673" s="84" t="str">
        <x:v>Medium–High</x:v>
      </x:c>
      <x:c r="I1673" s="84" t="str">
        <x:v>hibiscus laevis</x:v>
      </x:c>
    </x:row>
    <x:row r="1674">
      <x:c r="A1674" s="83" t="str">
        <x:v>Existing master workbook</x:v>
      </x:c>
      <x:c r="B1674" s="84" t="n">
        <x:v>98</x:v>
      </x:c>
      <x:c r="C1674" s="87" t="str">
        <x:v>Hibiscus moscheutos</x:v>
      </x:c>
      <x:c r="D1674" s="84" t="str">
        <x:v>Crimson-eyed Rose-mallow, Marshmallow Hibiscus</x:v>
      </x:c>
      <x:c r="E1674" s="84" t="str">
        <x:v>Perennial</x:v>
      </x:c>
      <x:c r="F1674" s="84" t="str">
        <x:v>Herb</x:v>
      </x:c>
      <x:c r="G1674" s="84" t="str">
        <x:v>Sun</x:v>
      </x:c>
      <x:c r="H1674" s="84" t="str">
        <x:v>Medium–High</x:v>
      </x:c>
      <x:c r="I1674" s="84" t="str">
        <x:v>hibiscus moscheutos</x:v>
      </x:c>
    </x:row>
    <x:row r="1675">
      <x:c r="A1675" s="83" t="str">
        <x:v>Existing master workbook</x:v>
      </x:c>
      <x:c r="B1675" s="84" t="n">
        <x:v>99</x:v>
      </x:c>
      <x:c r="C1675" s="87" t="str">
        <x:v>Hydrocotyle umbellata</x:v>
      </x:c>
      <x:c r="D1675" s="84" t="str">
        <x:v>Manyflower Marsh-pennywort, Many-flowered Marsh-pennywort, Marsh Pennywort, Water Pennywort, Money Plant</x:v>
      </x:c>
      <x:c r="E1675" s="84" t="str">
        <x:v>Perennial</x:v>
      </x:c>
      <x:c r="F1675" s="84" t="str">
        <x:v>Herb</x:v>
      </x:c>
      <x:c r="G1675" s="84" t="str">
        <x:v>Sun, Part Shade</x:v>
      </x:c>
      <x:c r="H1675" s="84" t="str">
        <x:v>High</x:v>
      </x:c>
      <x:c r="I1675" s="84" t="str">
        <x:v>hydrocotyle umbellata</x:v>
      </x:c>
    </x:row>
    <x:row r="1676">
      <x:c r="A1676" s="83" t="str">
        <x:v>Existing master workbook</x:v>
      </x:c>
      <x:c r="B1676" s="84" t="n">
        <x:v>100</x:v>
      </x:c>
      <x:c r="C1676" s="87" t="str">
        <x:v>Ipomopsis rubra</x:v>
      </x:c>
      <x:c r="D1676" s="84" t="str">
        <x:v>Standing Cypress, Texas Plume, Red Texas Star, Red Gilia</x:v>
      </x:c>
      <x:c r="E1676" s="84" t="str">
        <x:v>Biennial</x:v>
      </x:c>
      <x:c r="F1676" s="84" t="str">
        <x:v>Herb</x:v>
      </x:c>
      <x:c r="G1676" s="84" t="str">
        <x:v>Sun</x:v>
      </x:c>
      <x:c r="H1676" s="84" t="str">
        <x:v>Low</x:v>
      </x:c>
      <x:c r="I1676" s="84" t="str">
        <x:v>ipomopsis rubra</x:v>
      </x:c>
    </x:row>
    <x:row r="1677">
      <x:c r="A1677" s="83" t="str">
        <x:v>Existing master workbook</x:v>
      </x:c>
      <x:c r="B1677" s="84" t="n">
        <x:v>101</x:v>
      </x:c>
      <x:c r="C1677" s="87" t="str">
        <x:v>Justicia americana</x:v>
      </x:c>
      <x:c r="D1677" s="84" t="str">
        <x:v>American Water-willow, Water-willow</x:v>
      </x:c>
      <x:c r="E1677" s="84" t="str">
        <x:v>Perennial</x:v>
      </x:c>
      <x:c r="F1677" s="84" t="str">
        <x:v>Herb</x:v>
      </x:c>
      <x:c r="G1677" s="84" t="str">
        <x:v>Sun, Part Shade</x:v>
      </x:c>
      <x:c r="H1677" s="84" t="str">
        <x:v>Medium</x:v>
      </x:c>
      <x:c r="I1677" s="84" t="str">
        <x:v>justicia americana</x:v>
      </x:c>
    </x:row>
    <x:row r="1678">
      <x:c r="A1678" s="83" t="str">
        <x:v>Existing master workbook</x:v>
      </x:c>
      <x:c r="B1678" s="84" t="n">
        <x:v>102</x:v>
      </x:c>
      <x:c r="C1678" s="87" t="str">
        <x:v>Liatris punctata var. mucronata</x:v>
      </x:c>
      <x:c r="D1678" s="84" t="str">
        <x:v>Gayfeather</x:v>
      </x:c>
      <x:c r="E1678" s="84" t="str">
        <x:v>Perennial</x:v>
      </x:c>
      <x:c r="F1678" s="84" t="str">
        <x:v>Herb</x:v>
      </x:c>
      <x:c r="G1678" s="84" t="str">
        <x:v>Sun</x:v>
      </x:c>
      <x:c r="H1678" s="84" t="str">
        <x:v>Low</x:v>
      </x:c>
      <x:c r="I1678" s="84" t="str">
        <x:v>liatris punctata var. mucronata</x:v>
      </x:c>
    </x:row>
    <x:row r="1679">
      <x:c r="A1679" s="83" t="str">
        <x:v>Existing master workbook</x:v>
      </x:c>
      <x:c r="B1679" s="84" t="n">
        <x:v>103</x:v>
      </x:c>
      <x:c r="C1679" s="87" t="str">
        <x:v>Lindheimera texana</x:v>
      </x:c>
      <x:c r="D1679" s="84" t="str">
        <x:v>Texas Yellowstar, Texas Star, Texas Yellow-star, Lindheimer Daisy</x:v>
      </x:c>
      <x:c r="E1679" s="84" t="str">
        <x:v>Annual</x:v>
      </x:c>
      <x:c r="F1679" s="84" t="str">
        <x:v>Herb</x:v>
      </x:c>
      <x:c r="G1679" s="84" t="str">
        <x:v>Sun</x:v>
      </x:c>
      <x:c r="H1679" s="84" t="str">
        <x:v>Low–Medium</x:v>
      </x:c>
      <x:c r="I1679" s="84" t="str">
        <x:v>lindheimera texana</x:v>
      </x:c>
    </x:row>
    <x:row r="1680">
      <x:c r="A1680" s="83" t="str">
        <x:v>Existing master workbook</x:v>
      </x:c>
      <x:c r="B1680" s="84" t="n">
        <x:v>104</x:v>
      </x:c>
      <x:c r="C1680" s="87" t="str">
        <x:v>Lobelia cardinalis</x:v>
      </x:c>
      <x:c r="D1680" s="84" t="str">
        <x:v>Cardinal Flower</x:v>
      </x:c>
      <x:c r="E1680" s="84" t="str">
        <x:v>Perennial</x:v>
      </x:c>
      <x:c r="F1680" s="84" t="str">
        <x:v>Herb</x:v>
      </x:c>
      <x:c r="G1680" s="84" t="str">
        <x:v>Part Shade</x:v>
      </x:c>
      <x:c r="H1680" s="84" t="str">
        <x:v>Medium–High</x:v>
      </x:c>
      <x:c r="I1680" s="84" t="str">
        <x:v>lobelia cardinalis</x:v>
      </x:c>
    </x:row>
    <x:row r="1681">
      <x:c r="A1681" s="83" t="str">
        <x:v>Existing master workbook</x:v>
      </x:c>
      <x:c r="B1681" s="84" t="n">
        <x:v>105</x:v>
      </x:c>
      <x:c r="C1681" s="87" t="str">
        <x:v>Ludwigia octovalvis</x:v>
      </x:c>
      <x:c r="D1681" s="84" t="str">
        <x:v>Mexican Primrose-willow, Narrow-leaf Water Primrose, Seedbox, Mexican Primrose Willow</x:v>
      </x:c>
      <x:c r="E1681" s="84" t="str">
        <x:v>Perennial</x:v>
      </x:c>
      <x:c r="F1681" s="84" t="str">
        <x:v>Herb</x:v>
      </x:c>
      <x:c r="G1681" s="84" t="str">
        <x:v>Sun, Part Shade</x:v>
      </x:c>
      <x:c r="H1681" s="84" t="str">
        <x:v>Medium–High</x:v>
      </x:c>
      <x:c r="I1681" s="84" t="str">
        <x:v>ludwigia octovalvis</x:v>
      </x:c>
    </x:row>
    <x:row r="1682">
      <x:c r="A1682" s="83" t="str">
        <x:v>Existing master workbook</x:v>
      </x:c>
      <x:c r="B1682" s="84" t="n">
        <x:v>106</x:v>
      </x:c>
      <x:c r="C1682" s="87" t="str">
        <x:v>Lupinus texensis</x:v>
      </x:c>
      <x:c r="D1682" s="84" t="str">
        <x:v>Texas Bluebonnet, Bluebonnet, Texas Lupine, Buffalo Clover, Wolf Flower</x:v>
      </x:c>
      <x:c r="E1682" s="84" t="str">
        <x:v>Annual</x:v>
      </x:c>
      <x:c r="F1682" s="84" t="str">
        <x:v>Herb</x:v>
      </x:c>
      <x:c r="G1682" s="84" t="str">
        <x:v>Sun</x:v>
      </x:c>
      <x:c r="H1682" s="84" t="str">
        <x:v>Low</x:v>
      </x:c>
      <x:c r="I1682" s="84" t="str">
        <x:v>lupinus texensis</x:v>
      </x:c>
    </x:row>
    <x:row r="1683">
      <x:c r="A1683" s="83" t="str">
        <x:v>Existing master workbook</x:v>
      </x:c>
      <x:c r="B1683" s="84" t="n">
        <x:v>107</x:v>
      </x:c>
      <x:c r="C1683" s="87" t="str">
        <x:v>Marshallia caespitosa</x:v>
      </x:c>
      <x:c r="D1683" s="84" t="str">
        <x:v>Barbara's-buttons, Puffballs, White Barbara's-buttons, Barbara's Buttons</x:v>
      </x:c>
      <x:c r="E1683" s="84" t="str">
        <x:v>Perennial</x:v>
      </x:c>
      <x:c r="F1683" s="84" t="str">
        <x:v>Herb</x:v>
      </x:c>
      <x:c r="G1683" s="84" t="str">
        <x:v>Sun</x:v>
      </x:c>
      <x:c r="H1683" s="84" t="str">
        <x:v>Medium</x:v>
      </x:c>
      <x:c r="I1683" s="84" t="str">
        <x:v>marshallia caespitosa</x:v>
      </x:c>
    </x:row>
    <x:row r="1684">
      <x:c r="A1684" s="83" t="str">
        <x:v>Existing master workbook</x:v>
      </x:c>
      <x:c r="B1684" s="84" t="n">
        <x:v>108</x:v>
      </x:c>
      <x:c r="C1684" s="87" t="str">
        <x:v>Melampodium leucanthum</x:v>
      </x:c>
      <x:c r="D1684" s="84" t="str">
        <x:v>Blackfoot Daisy, Rock Daisy, Plains Blackfoot, Arnica</x:v>
      </x:c>
      <x:c r="E1684" s="84" t="str">
        <x:v>Perennial</x:v>
      </x:c>
      <x:c r="F1684" s="84" t="str">
        <x:v>Herb</x:v>
      </x:c>
      <x:c r="G1684" s="84" t="str">
        <x:v>Sun</x:v>
      </x:c>
      <x:c r="H1684" s="84" t="str">
        <x:v>Low</x:v>
      </x:c>
      <x:c r="I1684" s="84" t="str">
        <x:v>melampodium leucanthum</x:v>
      </x:c>
    </x:row>
    <x:row r="1685">
      <x:c r="A1685" s="83" t="str">
        <x:v>Existing master workbook</x:v>
      </x:c>
      <x:c r="B1685" s="84" t="n">
        <x:v>109</x:v>
      </x:c>
      <x:c r="C1685" s="87" t="str">
        <x:v>Menodora longiflora</x:v>
      </x:c>
      <x:c r="D1685" s="84" t="str">
        <x:v>Showy Menodora, Longflower menodora</x:v>
      </x:c>
      <x:c r="E1685" s="84" t="str">
        <x:v>Perennial</x:v>
      </x:c>
      <x:c r="F1685" s="84" t="str">
        <x:v>Herb</x:v>
      </x:c>
      <x:c r="G1685" s="84" t="str">
        <x:v>Sun, Part Shade</x:v>
      </x:c>
      <x:c r="H1685" s="84" t="str">
        <x:v>Low</x:v>
      </x:c>
      <x:c r="I1685" s="84" t="str">
        <x:v>menodora longiflora</x:v>
      </x:c>
    </x:row>
    <x:row r="1686">
      <x:c r="A1686" s="83" t="str">
        <x:v>Existing master workbook</x:v>
      </x:c>
      <x:c r="B1686" s="84" t="n">
        <x:v>110</x:v>
      </x:c>
      <x:c r="C1686" s="87" t="str">
        <x:v>Monarda citriodora</x:v>
      </x:c>
      <x:c r="D1686" s="84" t="str">
        <x:v>Lemon Beebalm, Purple Horsemint, Lemon Mint, Plains Horsemint, Lemon Horsemint, Horsemint, Purple Lemon Mint</x:v>
      </x:c>
      <x:c r="E1686" s="84" t="str">
        <x:v>Annual</x:v>
      </x:c>
      <x:c r="F1686" s="84" t="str">
        <x:v>Herb</x:v>
      </x:c>
      <x:c r="G1686" s="84" t="str">
        <x:v>Sun</x:v>
      </x:c>
      <x:c r="H1686" s="84" t="str">
        <x:v>Low</x:v>
      </x:c>
      <x:c r="I1686" s="84" t="str">
        <x:v>monarda citriodora</x:v>
      </x:c>
    </x:row>
    <x:row r="1687">
      <x:c r="A1687" s="83" t="str">
        <x:v>Existing master workbook</x:v>
      </x:c>
      <x:c r="B1687" s="84" t="n">
        <x:v>111</x:v>
      </x:c>
      <x:c r="C1687" s="87" t="str">
        <x:v>Monarda fistulosa</x:v>
      </x:c>
      <x:c r="D1687" s="84" t="str">
        <x:v>Wild Bergamot</x:v>
      </x:c>
      <x:c r="E1687" s="84" t="str">
        <x:v>Perennial</x:v>
      </x:c>
      <x:c r="F1687" s="84" t="str">
        <x:v>Herb</x:v>
      </x:c>
      <x:c r="G1687" s="84" t="str">
        <x:v>Sun, Part Shade</x:v>
      </x:c>
      <x:c r="H1687" s="84" t="str">
        <x:v>Medium</x:v>
      </x:c>
      <x:c r="I1687" s="84" t="str">
        <x:v>monarda fistulosa</x:v>
      </x:c>
    </x:row>
    <x:row r="1688">
      <x:c r="A1688" s="83" t="str">
        <x:v>Existing master workbook</x:v>
      </x:c>
      <x:c r="B1688" s="84" t="n">
        <x:v>112</x:v>
      </x:c>
      <x:c r="C1688" s="87" t="str">
        <x:v>Monarda punctata</x:v>
      </x:c>
      <x:c r="D1688" s="84" t="str">
        <x:v>Spotted Beebalm</x:v>
      </x:c>
      <x:c r="E1688" s="84" t="str">
        <x:v>Perennial</x:v>
      </x:c>
      <x:c r="F1688" s="84" t="str">
        <x:v>Herb</x:v>
      </x:c>
      <x:c r="G1688" s="84" t="str">
        <x:v>Full Sun to Part Shade</x:v>
      </x:c>
      <x:c r="H1688" s="84" t="str">
        <x:v>Dry to Moist</x:v>
      </x:c>
      <x:c r="I1688" s="84" t="str">
        <x:v>monarda punctata</x:v>
      </x:c>
    </x:row>
    <x:row r="1689">
      <x:c r="A1689" s="83" t="str">
        <x:v>Existing master workbook</x:v>
      </x:c>
      <x:c r="B1689" s="84" t="n">
        <x:v>113</x:v>
      </x:c>
      <x:c r="C1689" s="87" t="str">
        <x:v>Nemophila phacelioides</x:v>
      </x:c>
      <x:c r="D1689" s="84" t="str">
        <x:v>Texas Baby Blue Eyes, Large-flower Baby-blue-eyes, Baby Blue-eyes, Flannel Breeches</x:v>
      </x:c>
      <x:c r="E1689" s="84" t="str">
        <x:v>Annual</x:v>
      </x:c>
      <x:c r="F1689" s="84" t="str">
        <x:v>Herb</x:v>
      </x:c>
      <x:c r="G1689" s="84" t="str">
        <x:v>Part Shade</x:v>
      </x:c>
      <x:c r="H1689" s="84" t="str">
        <x:v>Medium</x:v>
      </x:c>
      <x:c r="I1689" s="84" t="str">
        <x:v>nemophila phacelioides</x:v>
      </x:c>
    </x:row>
    <x:row r="1690">
      <x:c r="A1690" s="83" t="str">
        <x:v>Existing master workbook</x:v>
      </x:c>
      <x:c r="B1690" s="84" t="n">
        <x:v>114</x:v>
      </x:c>
      <x:c r="C1690" s="87" t="str">
        <x:v>Neptunia lutea</x:v>
      </x:c>
      <x:c r="D1690" s="84" t="str">
        <x:v>Yellow Sensitive Briar, Yellow Puff</x:v>
      </x:c>
      <x:c r="E1690" s="84" t="str">
        <x:v>Perennial</x:v>
      </x:c>
      <x:c r="F1690" s="84" t="str">
        <x:v>Herb</x:v>
      </x:c>
      <x:c r="G1690" s="84" t="str">
        <x:v>Sun</x:v>
      </x:c>
      <x:c r="H1690" s="84" t="str">
        <x:v>Low</x:v>
      </x:c>
      <x:c r="I1690" s="84" t="str">
        <x:v>neptunia lutea</x:v>
      </x:c>
    </x:row>
    <x:row r="1691">
      <x:c r="A1691" s="83" t="str">
        <x:v>Existing master workbook</x:v>
      </x:c>
      <x:c r="B1691" s="84" t="n">
        <x:v>115</x:v>
      </x:c>
      <x:c r="C1691" s="87" t="str">
        <x:v>Oenothera jamesii</x:v>
      </x:c>
      <x:c r="D1691" s="84" t="str">
        <x:v>Trumpet Evening-primrose, Trumpet Evening Primrose, River Primrose</x:v>
      </x:c>
      <x:c r="E1691" s="84" t="str">
        <x:v>Biennial</x:v>
      </x:c>
      <x:c r="F1691" s="84" t="str">
        <x:v>Herb</x:v>
      </x:c>
      <x:c r="G1691" s="84" t="str">
        <x:v>Sun, Part Shade</x:v>
      </x:c>
      <x:c r="H1691" s="84" t="str">
        <x:v>Medium</x:v>
      </x:c>
      <x:c r="I1691" s="84" t="str">
        <x:v>oenothera jamesii</x:v>
      </x:c>
    </x:row>
    <x:row r="1692">
      <x:c r="A1692" s="83" t="str">
        <x:v>Existing master workbook</x:v>
      </x:c>
      <x:c r="B1692" s="84" t="n">
        <x:v>116</x:v>
      </x:c>
      <x:c r="C1692" s="87" t="str">
        <x:v>Oenothera lindheimeri</x:v>
      </x:c>
      <x:c r="D1692" s="84" t="str">
        <x:v>Pink Gaura</x:v>
      </x:c>
      <x:c r="E1692" s="84" t="str">
        <x:v>Perennial Habit: Herb Fruit Type: Capsule , Caryopsis Size Notes: Up to about 5 feet tall.</x:v>
      </x:c>
      <x:c r="F1692" s="84" t="str">
        <x:v>Herb</x:v>
      </x:c>
      <x:c r="G1692" s="84" t="str">
        <x:v>Sun</x:v>
      </x:c>
      <x:c r="H1692" s="84" t="str">
        <x:v>Low</x:v>
      </x:c>
      <x:c r="I1692" s="84" t="str">
        <x:v>oenothera lindheimeri</x:v>
      </x:c>
    </x:row>
    <x:row r="1693">
      <x:c r="A1693" s="83" t="str">
        <x:v>Existing master workbook</x:v>
      </x:c>
      <x:c r="B1693" s="84" t="n">
        <x:v>117</x:v>
      </x:c>
      <x:c r="C1693" s="87" t="str">
        <x:v>Oenothera macrocarpa</x:v>
      </x:c>
      <x:c r="D1693" s="84" t="str">
        <x:v>Missouri Primrose, Fluttermills</x:v>
      </x:c>
      <x:c r="E1693" s="84" t="str">
        <x:v>Perennial</x:v>
      </x:c>
      <x:c r="F1693" s="84" t="str">
        <x:v>Herb</x:v>
      </x:c>
      <x:c r="G1693" s="84" t="str">
        <x:v>Sun</x:v>
      </x:c>
      <x:c r="H1693" s="84" t="str">
        <x:v>Low</x:v>
      </x:c>
      <x:c r="I1693" s="84" t="str">
        <x:v>oenothera macrocarpa</x:v>
      </x:c>
    </x:row>
    <x:row r="1694">
      <x:c r="A1694" s="83" t="str">
        <x:v>Existing master workbook</x:v>
      </x:c>
      <x:c r="B1694" s="84" t="n">
        <x:v>118</x:v>
      </x:c>
      <x:c r="C1694" s="87" t="str">
        <x:v>Oenothera speciosa</x:v>
      </x:c>
      <x:c r="D1694" s="84" t="str">
        <x:v>Pink Evening Primrose, Showy Evening Primrose, Mexican Evening Primrose, Showy Primrose, Pink Ladies, Buttercups, Pink Buttercups</x:v>
      </x:c>
      <x:c r="E1694" s="84" t="str">
        <x:v>Perennial</x:v>
      </x:c>
      <x:c r="F1694" s="84" t="str">
        <x:v>Herb</x:v>
      </x:c>
      <x:c r="G1694" s="84" t="str">
        <x:v>Sun, Part Shade</x:v>
      </x:c>
      <x:c r="H1694" s="84" t="str">
        <x:v>Low–Medium</x:v>
      </x:c>
      <x:c r="I1694" s="84" t="str">
        <x:v>oenothera speciosa</x:v>
      </x:c>
    </x:row>
    <x:row r="1695">
      <x:c r="A1695" s="83" t="str">
        <x:v>Existing master workbook</x:v>
      </x:c>
      <x:c r="B1695" s="84" t="n">
        <x:v>119</x:v>
      </x:c>
      <x:c r="C1695" s="87" t="str">
        <x:v>Onosmodium bejariense var. bejariense</x:v>
      </x:c>
      <x:c r="D1695" s="84" t="str">
        <x:v>Marbleseed</x:v>
      </x:c>
      <x:c r="E1695" s="84" t="str">
        <x:v>Perennial</x:v>
      </x:c>
      <x:c r="F1695" s="84" t="str">
        <x:v>Herb</x:v>
      </x:c>
      <x:c r="G1695" s="84" t="str">
        <x:v>Sun, Part Shade</x:v>
      </x:c>
      <x:c r="H1695" s="84" t="str">
        <x:v>Low–Medium</x:v>
      </x:c>
      <x:c r="I1695" s="84" t="str">
        <x:v>onosmodium bejariense var. bejariense</x:v>
      </x:c>
    </x:row>
    <x:row r="1696">
      <x:c r="A1696" s="83" t="str">
        <x:v>Existing master workbook</x:v>
      </x:c>
      <x:c r="B1696" s="84" t="n">
        <x:v>120</x:v>
      </x:c>
      <x:c r="C1696" s="87" t="str">
        <x:v>Packera obovata</x:v>
      </x:c>
      <x:c r="D1696" s="84" t="str">
        <x:v>Golden Groundsel, Roundleaf Groundsel, Roundleaf Ragwort</x:v>
      </x:c>
      <x:c r="E1696" s="84" t="str">
        <x:v>Perennial</x:v>
      </x:c>
      <x:c r="F1696" s="84" t="str">
        <x:v>Herb</x:v>
      </x:c>
      <x:c r="G1696" s="84" t="str">
        <x:v>Part Shade</x:v>
      </x:c>
      <x:c r="H1696" s="84" t="str">
        <x:v>Medium</x:v>
      </x:c>
      <x:c r="I1696" s="84" t="str">
        <x:v>packera obovata</x:v>
      </x:c>
    </x:row>
    <x:row r="1697">
      <x:c r="A1697" s="83" t="str">
        <x:v>Existing master workbook</x:v>
      </x:c>
      <x:c r="B1697" s="84" t="n">
        <x:v>121</x:v>
      </x:c>
      <x:c r="C1697" s="87" t="str">
        <x:v>Penstemon cobaea</x:v>
      </x:c>
      <x:c r="D1697" s="84" t="str">
        <x:v>Prairie Penstemon, Prairie Beardtongue, Foxglove Penstemon, Foxglove Beardtongue, False Foxglove, Large-flowered Penstemon, Large-flowered Beardtongue, Cobaea Penstemon, Cobaea Beardtongue, Wild Foxglove</x:v>
      </x:c>
      <x:c r="E1697" s="84" t="str">
        <x:v>Perennial</x:v>
      </x:c>
      <x:c r="F1697" s="84" t="str">
        <x:v>Herb</x:v>
      </x:c>
      <x:c r="G1697" s="84" t="str">
        <x:v>Sun</x:v>
      </x:c>
      <x:c r="H1697" s="84" t="str">
        <x:v>Low–Medium</x:v>
      </x:c>
      <x:c r="I1697" s="84" t="str">
        <x:v>penstemon cobaea</x:v>
      </x:c>
    </x:row>
    <x:row r="1698">
      <x:c r="A1698" s="83" t="str">
        <x:v>Existing master workbook</x:v>
      </x:c>
      <x:c r="B1698" s="84" t="n">
        <x:v>122</x:v>
      </x:c>
      <x:c r="C1698" s="87" t="str">
        <x:v>Penstemon triflorus</x:v>
      </x:c>
      <x:c r="D1698" s="84" t="str">
        <x:v>Hill Country Penstemon, Hill Country Beardtongue, Scarlet Penstemon, Scarlet Beardtongue, Heller's Penstemon, Heller's Beardtongue</x:v>
      </x:c>
      <x:c r="E1698" s="84" t="str">
        <x:v>Perennial</x:v>
      </x:c>
      <x:c r="F1698" s="84" t="str">
        <x:v>Herb</x:v>
      </x:c>
      <x:c r="G1698" s="84" t="str">
        <x:v>Sun</x:v>
      </x:c>
      <x:c r="H1698" s="84" t="str">
        <x:v>Low</x:v>
      </x:c>
      <x:c r="I1698" s="84" t="str">
        <x:v>penstemon triflorus</x:v>
      </x:c>
    </x:row>
    <x:row r="1699">
      <x:c r="A1699" s="83" t="str">
        <x:v>Existing master workbook</x:v>
      </x:c>
      <x:c r="B1699" s="84" t="n">
        <x:v>123</x:v>
      </x:c>
      <x:c r="C1699" s="87" t="str">
        <x:v>Phacelia congesta</x:v>
      </x:c>
      <x:c r="D1699" s="84" t="str">
        <x:v>Caterpillars, Blue Curls, Fiddleneck</x:v>
      </x:c>
      <x:c r="E1699" s="84" t="str">
        <x:v>Annual , Biennial</x:v>
      </x:c>
      <x:c r="F1699" s="84" t="str">
        <x:v>Herb</x:v>
      </x:c>
      <x:c r="G1699" s="84" t="str">
        <x:v>Part Shade</x:v>
      </x:c>
      <x:c r="H1699" s="84" t="str">
        <x:v>Medium</x:v>
      </x:c>
      <x:c r="I1699" s="84" t="str">
        <x:v>phacelia congesta</x:v>
      </x:c>
    </x:row>
    <x:row r="1700">
      <x:c r="A1700" s="83" t="str">
        <x:v>Existing master workbook</x:v>
      </x:c>
      <x:c r="B1700" s="84" t="n">
        <x:v>124</x:v>
      </x:c>
      <x:c r="C1700" s="87" t="str">
        <x:v>Phlox drummondii</x:v>
      </x:c>
      <x:c r="D1700" s="84" t="str">
        <x:v>Annual Phlox, Drummond Phlox, Pride-of-Texas, Texas Pride</x:v>
      </x:c>
      <x:c r="E1700" s="84" t="str">
        <x:v>Annual</x:v>
      </x:c>
      <x:c r="F1700" s="84" t="str">
        <x:v>Herb</x:v>
      </x:c>
      <x:c r="G1700" s="84" t="str">
        <x:v>Sun</x:v>
      </x:c>
      <x:c r="H1700" s="84" t="str">
        <x:v>Medium</x:v>
      </x:c>
      <x:c r="I1700" s="84" t="str">
        <x:v>phlox drummondii</x:v>
      </x:c>
    </x:row>
    <x:row r="1701">
      <x:c r="A1701" s="83" t="str">
        <x:v>Existing master workbook</x:v>
      </x:c>
      <x:c r="B1701" s="84" t="n">
        <x:v>125</x:v>
      </x:c>
      <x:c r="C1701" s="87" t="str">
        <x:v>Phlox pilosa</x:v>
      </x:c>
      <x:c r="D1701" s="84" t="str">
        <x:v>Downy Phlox, Prairie Phlox, Fragrant Phlox</x:v>
      </x:c>
      <x:c r="E1701" s="84" t="str">
        <x:v>Perennial</x:v>
      </x:c>
      <x:c r="F1701" s="84" t="str">
        <x:v>Herb</x:v>
      </x:c>
      <x:c r="G1701" s="84" t="str">
        <x:v>Sun, Part Shade</x:v>
      </x:c>
      <x:c r="H1701" s="84" t="str">
        <x:v>Medium</x:v>
      </x:c>
      <x:c r="I1701" s="84" t="str">
        <x:v>phlox pilosa</x:v>
      </x:c>
    </x:row>
    <x:row r="1702">
      <x:c r="A1702" s="83" t="str">
        <x:v>Existing master workbook</x:v>
      </x:c>
      <x:c r="B1702" s="84" t="n">
        <x:v>126</x:v>
      </x:c>
      <x:c r="C1702" s="87" t="str">
        <x:v>Phyla nodiflora</x:v>
      </x:c>
      <x:c r="D1702" s="84" t="str">
        <x:v>Texas Frogfruit, Turkey Tangle Fogfruit, Frogfruit</x:v>
      </x:c>
      <x:c r="E1702" s="84" t="str">
        <x:v>Perennial Habit: Herb Leaf Retention: Semi-evergreen Fruit Type: Caryopsis , Schizocarp Size Notes: Up to about 6 inches tall. Leaf: Green, with reddish or purplish tinge in cold winters. Fruit: Separates into 2 nutlets.</x:v>
      </x:c>
      <x:c r="F1702" s="84" t="str">
        <x:v>Herb</x:v>
      </x:c>
      <x:c r="G1702" s="84" t="str">
        <x:v>Sun, Part Shade</x:v>
      </x:c>
      <x:c r="H1702" s="84" t="str">
        <x:v>Low–Medium</x:v>
      </x:c>
      <x:c r="I1702" s="84" t="str">
        <x:v>phyla nodiflora</x:v>
      </x:c>
    </x:row>
    <x:row r="1703">
      <x:c r="A1703" s="83" t="str">
        <x:v>Existing master workbook</x:v>
      </x:c>
      <x:c r="B1703" s="84" t="n">
        <x:v>127</x:v>
      </x:c>
      <x:c r="C1703" s="87" t="str">
        <x:v>Physostegia angustifolia</x:v>
      </x:c>
      <x:c r="D1703" s="84" t="str">
        <x:v>Spring Obedient / Flase Dragon Head</x:v>
      </x:c>
      <x:c r="E1703" s="84" t="str">
        <x:v>Perennial</x:v>
      </x:c>
      <x:c r="F1703" s="84" t="str">
        <x:v>Herb</x:v>
      </x:c>
      <x:c r="G1703" s="84" t="str">
        <x:v>Full Sun to Part Shade</x:v>
      </x:c>
      <x:c r="H1703" s="84" t="str">
        <x:v>Moist</x:v>
      </x:c>
      <x:c r="I1703" s="84" t="str">
        <x:v>physostegia angustifolia</x:v>
      </x:c>
    </x:row>
    <x:row r="1704">
      <x:c r="A1704" s="83" t="str">
        <x:v>Existing master workbook</x:v>
      </x:c>
      <x:c r="B1704" s="84" t="n">
        <x:v>128</x:v>
      </x:c>
      <x:c r="C1704" s="87" t="str">
        <x:v>Physostegia correllii</x:v>
      </x:c>
      <x:c r="D1704" s="84" t="str">
        <x:v>Correll's False Dragonhead</x:v>
      </x:c>
      <x:c r="E1704" s="84" t="str">
        <x:v>Perennial</x:v>
      </x:c>
      <x:c r="F1704" s="84" t="str">
        <x:v>Herb</x:v>
      </x:c>
      <x:c r="G1704" s="84" t="str">
        <x:v>Sun, Part Shade</x:v>
      </x:c>
      <x:c r="H1704" s="84" t="str">
        <x:v>Wet</x:v>
      </x:c>
      <x:c r="I1704" s="84" t="str">
        <x:v>physostegia correllii</x:v>
      </x:c>
    </x:row>
    <x:row r="1705">
      <x:c r="A1705" s="83" t="str">
        <x:v>Existing master workbook</x:v>
      </x:c>
      <x:c r="B1705" s="84" t="n">
        <x:v>129</x:v>
      </x:c>
      <x:c r="C1705" s="87" t="str">
        <x:v>Physostegia virginiana</x:v>
      </x:c>
      <x:c r="D1705" s="84" t="str">
        <x:v>Fall Obedient Plant, False Dragonhead, Virginia Lions-heart</x:v>
      </x:c>
      <x:c r="E1705" s="84" t="str">
        <x:v>Perennial</x:v>
      </x:c>
      <x:c r="F1705" s="84" t="str">
        <x:v>Herb</x:v>
      </x:c>
      <x:c r="G1705" s="84" t="str">
        <x:v>Sun, Part Shade</x:v>
      </x:c>
      <x:c r="H1705" s="84" t="str">
        <x:v>Medium–Wet</x:v>
      </x:c>
      <x:c r="I1705" s="84" t="str">
        <x:v>physostegia virginiana</x:v>
      </x:c>
    </x:row>
    <x:row r="1706">
      <x:c r="A1706" s="83" t="str">
        <x:v>Existing master workbook</x:v>
      </x:c>
      <x:c r="B1706" s="84" t="n">
        <x:v>130</x:v>
      </x:c>
      <x:c r="C1706" s="87" t="str">
        <x:v>Pluchea odorata</x:v>
      </x:c>
      <x:c r="D1706" s="84" t="str">
        <x:v>Sweetscent, Saltmarsh Fleabane</x:v>
      </x:c>
      <x:c r="E1706" s="84" t="str">
        <x:v>Annual</x:v>
      </x:c>
      <x:c r="F1706" s="84" t="str">
        <x:v>Herb</x:v>
      </x:c>
      <x:c r="G1706" s="84" t="str">
        <x:v>Sun, Part Shade</x:v>
      </x:c>
      <x:c r="H1706" s="84" t="str">
        <x:v>Medium–Wet</x:v>
      </x:c>
      <x:c r="I1706" s="84" t="str">
        <x:v>pluchea odorata</x:v>
      </x:c>
    </x:row>
    <x:row r="1707">
      <x:c r="A1707" s="83" t="str">
        <x:v>Existing master workbook</x:v>
      </x:c>
      <x:c r="B1707" s="84" t="n">
        <x:v>131</x:v>
      </x:c>
      <x:c r="C1707" s="87" t="str">
        <x:v>Pontederia cordata</x:v>
      </x:c>
      <x:c r="D1707" s="84" t="str">
        <x:v>Pickerelweed, Pickerel Rush</x:v>
      </x:c>
      <x:c r="E1707" s="84" t="str">
        <x:v>Perennial</x:v>
      </x:c>
      <x:c r="F1707" s="84" t="str">
        <x:v>Herb</x:v>
      </x:c>
      <x:c r="G1707" s="84" t="str">
        <x:v>Sun, Part Shade</x:v>
      </x:c>
      <x:c r="H1707" s="84" t="str">
        <x:v>Wet</x:v>
      </x:c>
      <x:c r="I1707" s="84" t="str">
        <x:v>pontederia cordata</x:v>
      </x:c>
    </x:row>
    <x:row r="1708">
      <x:c r="A1708" s="83" t="str">
        <x:v>Existing master workbook</x:v>
      </x:c>
      <x:c r="B1708" s="84" t="n">
        <x:v>132</x:v>
      </x:c>
      <x:c r="C1708" s="87" t="str">
        <x:v>Ranunculus macranthus</x:v>
      </x:c>
      <x:c r="D1708" s="84" t="str">
        <x:v>Large Buttercup</x:v>
      </x:c>
      <x:c r="E1708" s="84" t="str">
        <x:v>Perennial</x:v>
      </x:c>
      <x:c r="F1708" s="84" t="str">
        <x:v>Herb</x:v>
      </x:c>
      <x:c r="G1708" s="84" t="str">
        <x:v>Sun, Part Shade</x:v>
      </x:c>
      <x:c r="H1708" s="84" t="str">
        <x:v>Medium</x:v>
      </x:c>
      <x:c r="I1708" s="84" t="str">
        <x:v>ranunculus macranthus</x:v>
      </x:c>
    </x:row>
    <x:row r="1709">
      <x:c r="A1709" s="83" t="str">
        <x:v>Existing master workbook</x:v>
      </x:c>
      <x:c r="B1709" s="84" t="n">
        <x:v>133</x:v>
      </x:c>
      <x:c r="C1709" s="87" t="str">
        <x:v>Ratibida columnifera</x:v>
      </x:c>
      <x:c r="D1709" s="84" t="str">
        <x:v>Mexican Hat, Red-spike Mexican Hat, Upright Prairie Coneflower, Prairie Coneflower, Long-headed Coneflower, Thimbleflower</x:v>
      </x:c>
      <x:c r="E1709" s="84" t="str">
        <x:v>Perennial</x:v>
      </x:c>
      <x:c r="F1709" s="84" t="str">
        <x:v>Herb</x:v>
      </x:c>
      <x:c r="G1709" s="84" t="str">
        <x:v>Sun</x:v>
      </x:c>
      <x:c r="H1709" s="84" t="str">
        <x:v>Low</x:v>
      </x:c>
      <x:c r="I1709" s="84" t="str">
        <x:v>ratibida columnifera</x:v>
      </x:c>
    </x:row>
    <x:row r="1710">
      <x:c r="A1710" s="83" t="str">
        <x:v>Existing master workbook</x:v>
      </x:c>
      <x:c r="B1710" s="84" t="n">
        <x:v>134</x:v>
      </x:c>
      <x:c r="C1710" s="87" t="str">
        <x:v>Rhynchospora colorata</x:v>
      </x:c>
      <x:c r="D1710" s="84" t="str">
        <x:v>Whitetop Sedge, White-topped Sedge, Starrush Whitetop, Star Sedge, Star Rush</x:v>
      </x:c>
      <x:c r="E1710" s="84" t="str">
        <x:v>Perennial</x:v>
      </x:c>
      <x:c r="F1710" s="84" t="str">
        <x:v>Herb</x:v>
      </x:c>
      <x:c r="G1710" s="84" t="str">
        <x:v>Sun</x:v>
      </x:c>
      <x:c r="H1710" s="84" t="str">
        <x:v>Medium–High</x:v>
      </x:c>
      <x:c r="I1710" s="84" t="str">
        <x:v>rhynchospora colorata</x:v>
      </x:c>
    </x:row>
    <x:row r="1711">
      <x:c r="A1711" s="83" t="str">
        <x:v>Existing master workbook</x:v>
      </x:c>
      <x:c r="B1711" s="84" t="n">
        <x:v>135</x:v>
      </x:c>
      <x:c r="C1711" s="87" t="str">
        <x:v>Rudbeckia hirta</x:v>
      </x:c>
      <x:c r="D1711" s="84" t="str">
        <x:v>Black-eyed Susan, Common Black-eyed Susan, Brown-eyed Susan, Blackeyed Susan</x:v>
      </x:c>
      <x:c r="E1711" s="84" t="str">
        <x:v>Annual , Perennial , Biennial</x:v>
      </x:c>
      <x:c r="F1711" s="84" t="str">
        <x:v>Herb</x:v>
      </x:c>
      <x:c r="G1711" s="84" t="str">
        <x:v>Sun</x:v>
      </x:c>
      <x:c r="H1711" s="84" t="str">
        <x:v>Medium</x:v>
      </x:c>
      <x:c r="I1711" s="84" t="str">
        <x:v>rudbeckia hirta</x:v>
      </x:c>
    </x:row>
    <x:row r="1712">
      <x:c r="A1712" s="83" t="str">
        <x:v>Existing master workbook</x:v>
      </x:c>
      <x:c r="B1712" s="84" t="n">
        <x:v>136</x:v>
      </x:c>
      <x:c r="C1712" s="87" t="str">
        <x:v>Ruellia humilis</x:v>
      </x:c>
      <x:c r="D1712" s="84" t="str">
        <x:v>Prairie Petunia</x:v>
      </x:c>
      <x:c r="E1712" s="84" t="str">
        <x:v>Perennial</x:v>
      </x:c>
      <x:c r="F1712" s="84" t="str">
        <x:v>Herb</x:v>
      </x:c>
      <x:c r="G1712" s="84" t="str">
        <x:v>Full Sun to Part Shade</x:v>
      </x:c>
      <x:c r="H1712" s="84" t="str">
        <x:v>Dry to Moist</x:v>
      </x:c>
      <x:c r="I1712" s="84" t="str">
        <x:v>ruellia humilis</x:v>
      </x:c>
    </x:row>
    <x:row r="1713">
      <x:c r="A1713" s="83" t="str">
        <x:v>Existing master workbook</x:v>
      </x:c>
      <x:c r="B1713" s="84" t="n">
        <x:v>137</x:v>
      </x:c>
      <x:c r="C1713" s="87" t="str">
        <x:v>Ruellia nudiflora</x:v>
      </x:c>
      <x:c r="D1713" s="84" t="str">
        <x:v>Violet Ruellia, Common Wild Petunia, Violet Wild Petunia, Wild Petunia, Hierba De La Calentura</x:v>
      </x:c>
      <x:c r="E1713" s="84" t="str">
        <x:v>Perennial</x:v>
      </x:c>
      <x:c r="F1713" s="84" t="str">
        <x:v>Herb</x:v>
      </x:c>
      <x:c r="G1713" s="84" t="str">
        <x:v>Sun, Part Shade</x:v>
      </x:c>
      <x:c r="H1713" s="84" t="str">
        <x:v>Low</x:v>
      </x:c>
      <x:c r="I1713" s="84" t="str">
        <x:v>ruellia nudiflora</x:v>
      </x:c>
    </x:row>
    <x:row r="1714">
      <x:c r="A1714" s="83" t="str">
        <x:v>Existing master workbook</x:v>
      </x:c>
      <x:c r="B1714" s="84" t="n">
        <x:v>138</x:v>
      </x:c>
      <x:c r="C1714" s="87" t="str">
        <x:v>Sagittaria lancifolia</x:v>
      </x:c>
      <x:c r="D1714" s="84" t="str">
        <x:v>Lanceleaf Arrowhead</x:v>
      </x:c>
      <x:c r="E1714" s="84" t="str">
        <x:v>Perennial</x:v>
      </x:c>
      <x:c r="F1714" s="84" t="str">
        <x:v>Herb</x:v>
      </x:c>
      <x:c r="G1714" s="84" t="str">
        <x:v>Sun</x:v>
      </x:c>
      <x:c r="H1714" s="84" t="str">
        <x:v>Wet</x:v>
      </x:c>
      <x:c r="I1714" s="84" t="str">
        <x:v>sagittaria lancifolia</x:v>
      </x:c>
    </x:row>
    <x:row r="1715">
      <x:c r="A1715" s="83" t="str">
        <x:v>Existing master workbook</x:v>
      </x:c>
      <x:c r="B1715" s="84" t="n">
        <x:v>139</x:v>
      </x:c>
      <x:c r="C1715" s="87" t="str">
        <x:v>Sagittaria platyphylla</x:v>
      </x:c>
      <x:c r="D1715" s="84" t="str">
        <x:v>Delta Arrowhead</x:v>
      </x:c>
      <x:c r="E1715" s="84" t="str">
        <x:v>Perennial</x:v>
      </x:c>
      <x:c r="F1715" s="84" t="str">
        <x:v>Herb</x:v>
      </x:c>
      <x:c r="G1715" s="84" t="str">
        <x:v>Sun</x:v>
      </x:c>
      <x:c r="H1715" s="84" t="str">
        <x:v>Wet</x:v>
      </x:c>
      <x:c r="I1715" s="84" t="str">
        <x:v>sagittaria platyphylla</x:v>
      </x:c>
    </x:row>
    <x:row r="1716">
      <x:c r="A1716" s="83" t="str">
        <x:v>Existing master workbook</x:v>
      </x:c>
      <x:c r="B1716" s="84" t="n">
        <x:v>140</x:v>
      </x:c>
      <x:c r="C1716" s="87" t="str">
        <x:v>Salvia azurea</x:v>
      </x:c>
      <x:c r="D1716" s="84" t="str">
        <x:v>Pitcher Sage, Blue Sage</x:v>
      </x:c>
      <x:c r="E1716" s="84" t="str">
        <x:v>Perennial</x:v>
      </x:c>
      <x:c r="F1716" s="84" t="str">
        <x:v>Herb</x:v>
      </x:c>
      <x:c r="G1716" s="84" t="str">
        <x:v>Sun</x:v>
      </x:c>
      <x:c r="H1716" s="84" t="str">
        <x:v>Low</x:v>
      </x:c>
      <x:c r="I1716" s="84" t="str">
        <x:v>salvia azurea</x:v>
      </x:c>
    </x:row>
    <x:row r="1717">
      <x:c r="A1717" s="83" t="str">
        <x:v>Existing master workbook</x:v>
      </x:c>
      <x:c r="B1717" s="84" t="n">
        <x:v>141</x:v>
      </x:c>
      <x:c r="C1717" s="87" t="str">
        <x:v>Salvia coccinea</x:v>
      </x:c>
      <x:c r="D1717" s="84" t="str">
        <x:v>Scarlet Sage, Tropical Sage, Blood Sage, Red Sage, Indian Fire</x:v>
      </x:c>
      <x:c r="E1717" s="84" t="str">
        <x:v>Annual , Perennial</x:v>
      </x:c>
      <x:c r="F1717" s="84" t="str">
        <x:v>Herb</x:v>
      </x:c>
      <x:c r="G1717" s="84" t="str">
        <x:v>Sun, Part Shade</x:v>
      </x:c>
      <x:c r="H1717" s="84" t="str">
        <x:v>Medium</x:v>
      </x:c>
      <x:c r="I1717" s="84" t="str">
        <x:v>salvia coccinea</x:v>
      </x:c>
    </x:row>
    <x:row r="1718">
      <x:c r="A1718" s="83" t="str">
        <x:v>Existing master workbook</x:v>
      </x:c>
      <x:c r="B1718" s="84" t="n">
        <x:v>142</x:v>
      </x:c>
      <x:c r="C1718" s="87" t="str">
        <x:v>Salvia engelmannii</x:v>
      </x:c>
      <x:c r="D1718" s="84" t="str">
        <x:v>Engelmann's Sage, Engelmann's Salvia</x:v>
      </x:c>
      <x:c r="E1718" s="84" t="str">
        <x:v>Perennial</x:v>
      </x:c>
      <x:c r="F1718" s="84" t="str">
        <x:v>Herb</x:v>
      </x:c>
      <x:c r="G1718" s="84" t="str">
        <x:v>Sun, Part Shade</x:v>
      </x:c>
      <x:c r="H1718" s="84" t="str">
        <x:v>Low</x:v>
      </x:c>
      <x:c r="I1718" s="84" t="str">
        <x:v>salvia engelmannii</x:v>
      </x:c>
    </x:row>
    <x:row r="1719">
      <x:c r="A1719" s="83" t="str">
        <x:v>Existing master workbook</x:v>
      </x:c>
      <x:c r="B1719" s="84" t="n">
        <x:v>143</x:v>
      </x:c>
      <x:c r="C1719" s="87" t="str">
        <x:v>Salvia farinacea</x:v>
      </x:c>
      <x:c r="D1719" s="84" t="str">
        <x:v>Mealy Blue Sage, Mealy Sage, Mealycup Sage</x:v>
      </x:c>
      <x:c r="E1719" s="84" t="str">
        <x:v>Perennial</x:v>
      </x:c>
      <x:c r="F1719" s="84" t="str">
        <x:v>Herb</x:v>
      </x:c>
      <x:c r="G1719" s="84" t="str">
        <x:v>Sun</x:v>
      </x:c>
      <x:c r="H1719" s="84" t="str">
        <x:v>Low</x:v>
      </x:c>
      <x:c r="I1719" s="84" t="str">
        <x:v>salvia farinacea</x:v>
      </x:c>
    </x:row>
    <x:row r="1720">
      <x:c r="A1720" s="83" t="str">
        <x:v>Existing master workbook</x:v>
      </x:c>
      <x:c r="B1720" s="84" t="n">
        <x:v>144</x:v>
      </x:c>
      <x:c r="C1720" s="87" t="str">
        <x:v>Salvia lyrata</x:v>
      </x:c>
      <x:c r="D1720" s="84" t="str">
        <x:v>Lyreleaf Sage, Cancer Weed</x:v>
      </x:c>
      <x:c r="E1720" s="84" t="str">
        <x:v>Perennial</x:v>
      </x:c>
      <x:c r="F1720" s="84" t="str">
        <x:v>Herb</x:v>
      </x:c>
      <x:c r="G1720" s="84" t="str">
        <x:v>Part Shade</x:v>
      </x:c>
      <x:c r="H1720" s="84" t="str">
        <x:v>Medium</x:v>
      </x:c>
      <x:c r="I1720" s="84" t="str">
        <x:v>salvia lyrata</x:v>
      </x:c>
    </x:row>
    <x:row r="1721">
      <x:c r="A1721" s="83" t="str">
        <x:v>Existing master workbook</x:v>
      </x:c>
      <x:c r="B1721" s="84" t="n">
        <x:v>145</x:v>
      </x:c>
      <x:c r="C1721" s="87" t="str">
        <x:v>Salvia pentstemonoides</x:v>
      </x:c>
      <x:c r="D1721" s="84" t="str">
        <x:v>Big Red Sage</x:v>
      </x:c>
      <x:c r="E1721" s="84" t="str">
        <x:v>Perennial</x:v>
      </x:c>
      <x:c r="F1721" s="84" t="str">
        <x:v>Herb</x:v>
      </x:c>
      <x:c r="G1721" s="84" t="str">
        <x:v>Sun, Part Shade</x:v>
      </x:c>
      <x:c r="H1721" s="84" t="str">
        <x:v>Medium</x:v>
      </x:c>
      <x:c r="I1721" s="84" t="str">
        <x:v>salvia pentstemonoides</x:v>
      </x:c>
    </x:row>
    <x:row r="1722">
      <x:c r="A1722" s="83" t="str">
        <x:v>Existing master workbook</x:v>
      </x:c>
      <x:c r="B1722" s="84" t="n">
        <x:v>146</x:v>
      </x:c>
      <x:c r="C1722" s="87" t="str">
        <x:v>Salvia roemeriana</x:v>
      </x:c>
      <x:c r="D1722" s="84" t="str">
        <x:v>Cedar Sage</x:v>
      </x:c>
      <x:c r="E1722" s="84" t="str">
        <x:v>Perennial</x:v>
      </x:c>
      <x:c r="F1722" s="84" t="str">
        <x:v>Herb</x:v>
      </x:c>
      <x:c r="G1722" s="84" t="str">
        <x:v>Shade, Part Shade</x:v>
      </x:c>
      <x:c r="H1722" s="84" t="str">
        <x:v>Medium</x:v>
      </x:c>
      <x:c r="I1722" s="84" t="str">
        <x:v>salvia roemeriana</x:v>
      </x:c>
    </x:row>
    <x:row r="1723">
      <x:c r="A1723" s="83" t="str">
        <x:v>Existing master workbook</x:v>
      </x:c>
      <x:c r="B1723" s="84" t="n">
        <x:v>147</x:v>
      </x:c>
      <x:c r="C1723" s="87" t="str">
        <x:v>Salvia texana</x:v>
      </x:c>
      <x:c r="D1723" s="84" t="str">
        <x:v>Texas Sage, Blue Sage</x:v>
      </x:c>
      <x:c r="E1723" s="84" t="str">
        <x:v>Perennial</x:v>
      </x:c>
      <x:c r="F1723" s="84" t="str">
        <x:v>Herb</x:v>
      </x:c>
      <x:c r="G1723" s="84" t="str">
        <x:v>Sun, Part Shade</x:v>
      </x:c>
      <x:c r="H1723" s="84" t="str">
        <x:v>Low</x:v>
      </x:c>
      <x:c r="I1723" s="84" t="str">
        <x:v>salvia texana</x:v>
      </x:c>
    </x:row>
    <x:row r="1724">
      <x:c r="A1724" s="83" t="str">
        <x:v>Existing master workbook</x:v>
      </x:c>
      <x:c r="B1724" s="84" t="n">
        <x:v>148</x:v>
      </x:c>
      <x:c r="C1724" s="87" t="str">
        <x:v>Saururus cernuus</x:v>
      </x:c>
      <x:c r="D1724" s="84" t="str">
        <x:v>Lizard's Tail, Lizard Tail, Breastweed, Water Dragon</x:v>
      </x:c>
      <x:c r="E1724" s="84" t="str">
        <x:v>Perennial</x:v>
      </x:c>
      <x:c r="F1724" s="84" t="str">
        <x:v>Herb</x:v>
      </x:c>
      <x:c r="G1724" s="84" t="str">
        <x:v>Shade, Part Shade</x:v>
      </x:c>
      <x:c r="H1724" s="84" t="str">
        <x:v>Medium</x:v>
      </x:c>
      <x:c r="I1724" s="84" t="str">
        <x:v>saururus cernuus</x:v>
      </x:c>
    </x:row>
    <x:row r="1725">
      <x:c r="A1725" s="83" t="str">
        <x:v>Existing master workbook</x:v>
      </x:c>
      <x:c r="B1725" s="84" t="n">
        <x:v>149</x:v>
      </x:c>
      <x:c r="C1725" s="87" t="str">
        <x:v>Scutellaria ovata</x:v>
      </x:c>
      <x:c r="D1725" s="84" t="str">
        <x:v>Heartleaf Skullcap, Heart-leaf Skullcap</x:v>
      </x:c>
      <x:c r="E1725" s="84" t="str">
        <x:v>Perennial</x:v>
      </x:c>
      <x:c r="F1725" s="84" t="str">
        <x:v>Herb</x:v>
      </x:c>
      <x:c r="G1725" s="84" t="str">
        <x:v>Shade, Part Shade</x:v>
      </x:c>
      <x:c r="H1725" s="84" t="str">
        <x:v>Medium</x:v>
      </x:c>
      <x:c r="I1725" s="84" t="str">
        <x:v>scutellaria ovata</x:v>
      </x:c>
    </x:row>
    <x:row r="1726">
      <x:c r="A1726" s="83" t="str">
        <x:v>Existing master workbook</x:v>
      </x:c>
      <x:c r="B1726" s="84" t="n">
        <x:v>150</x:v>
      </x:c>
      <x:c r="C1726" s="87" t="str">
        <x:v>Scutellaria wrightii</x:v>
      </x:c>
      <x:c r="D1726" s="84" t="str">
        <x:v>Wright's Skullcap, Bushy Skullcap, Shrubby Skullcap</x:v>
      </x:c>
      <x:c r="E1726" s="84" t="str">
        <x:v>Perennial</x:v>
      </x:c>
      <x:c r="F1726" s="84" t="str">
        <x:v>Herb</x:v>
      </x:c>
      <x:c r="G1726" s="84" t="str">
        <x:v>Sun</x:v>
      </x:c>
      <x:c r="H1726" s="84" t="str">
        <x:v>Low</x:v>
      </x:c>
      <x:c r="I1726" s="84" t="str">
        <x:v>scutellaria wrightii</x:v>
      </x:c>
    </x:row>
    <x:row r="1727">
      <x:c r="A1727" s="83" t="str">
        <x:v>Existing master workbook</x:v>
      </x:c>
      <x:c r="B1727" s="84" t="n">
        <x:v>151</x:v>
      </x:c>
      <x:c r="C1727" s="87" t="str">
        <x:v>Senna roemeriana</x:v>
      </x:c>
      <x:c r="D1727" s="84" t="str">
        <x:v>Twoleaf Senna, Two Leaved Senna</x:v>
      </x:c>
      <x:c r="E1727" s="84" t="str">
        <x:v>Perennial</x:v>
      </x:c>
      <x:c r="F1727" s="84" t="str">
        <x:v>Herb</x:v>
      </x:c>
      <x:c r="G1727" s="84" t="str">
        <x:v>Sun</x:v>
      </x:c>
      <x:c r="H1727" s="84" t="str">
        <x:v>Low</x:v>
      </x:c>
      <x:c r="I1727" s="84" t="str">
        <x:v>senna roemeriana</x:v>
      </x:c>
    </x:row>
    <x:row r="1728">
      <x:c r="A1728" s="83" t="str">
        <x:v>Existing master workbook</x:v>
      </x:c>
      <x:c r="B1728" s="84" t="n">
        <x:v>152</x:v>
      </x:c>
      <x:c r="C1728" s="87" t="str">
        <x:v>Silphium albiflorum</x:v>
      </x:c>
      <x:c r="D1728" s="84" t="str">
        <x:v>White Rosinweed, White-flowered Rosinweed, Compass Plant</x:v>
      </x:c>
      <x:c r="E1728" s="84" t="str">
        <x:v>Perennial</x:v>
      </x:c>
      <x:c r="F1728" s="84" t="str">
        <x:v>Herb</x:v>
      </x:c>
      <x:c r="G1728" s="84" t="str">
        <x:v>Sun</x:v>
      </x:c>
      <x:c r="H1728" s="84" t="str">
        <x:v>Low</x:v>
      </x:c>
      <x:c r="I1728" s="84" t="str">
        <x:v>silphium albiflorum</x:v>
      </x:c>
    </x:row>
    <x:row r="1729">
      <x:c r="A1729" s="83" t="str">
        <x:v>Existing master workbook</x:v>
      </x:c>
      <x:c r="B1729" s="84" t="n">
        <x:v>153</x:v>
      </x:c>
      <x:c r="C1729" s="87" t="str">
        <x:v>Sisyrinchium angustifolium</x:v>
      </x:c>
      <x:c r="D1729" s="84" t="str">
        <x:v>Narrowleaf Blue-eyed Grass, Narrow-leaf Blue-eyed-grass, Bermuda Blue-eyed Grass, Blue-eyed Grass</x:v>
      </x:c>
      <x:c r="E1729" s="84" t="str">
        <x:v>Perennial</x:v>
      </x:c>
      <x:c r="F1729" s="84" t="str">
        <x:v>Herb</x:v>
      </x:c>
      <x:c r="G1729" s="84" t="str">
        <x:v>Sun, Part Shade</x:v>
      </x:c>
      <x:c r="H1729" s="84" t="str">
        <x:v>Medium</x:v>
      </x:c>
      <x:c r="I1729" s="84" t="str">
        <x:v>sisyrinchium angustifolium</x:v>
      </x:c>
    </x:row>
    <x:row r="1730">
      <x:c r="A1730" s="83" t="str">
        <x:v>Existing master workbook</x:v>
      </x:c>
      <x:c r="B1730" s="84" t="n">
        <x:v>154</x:v>
      </x:c>
      <x:c r="C1730" s="87" t="str">
        <x:v>Solanum triquetrum</x:v>
      </x:c>
      <x:c r="D1730" s="84" t="str">
        <x:v>Texas Nightshade, Hierba Mora</x:v>
      </x:c>
      <x:c r="E1730" s="84" t="str">
        <x:v>Perennial</x:v>
      </x:c>
      <x:c r="F1730" s="84" t="str">
        <x:v>Herb</x:v>
      </x:c>
      <x:c r="G1730" s="84" t="str">
        <x:v>Sun, Part Shade</x:v>
      </x:c>
      <x:c r="H1730" s="84" t="str">
        <x:v>Medium</x:v>
      </x:c>
      <x:c r="I1730" s="84" t="str">
        <x:v>solanum triquetrum</x:v>
      </x:c>
    </x:row>
    <x:row r="1731">
      <x:c r="A1731" s="83" t="str">
        <x:v>Existing master workbook</x:v>
      </x:c>
      <x:c r="B1731" s="84" t="n">
        <x:v>155</x:v>
      </x:c>
      <x:c r="C1731" s="87" t="str">
        <x:v>Solidago altissima</x:v>
      </x:c>
      <x:c r="D1731" s="84" t="str">
        <x:v>Tall Goldenrod, Late Goldenrod, Canadian Goldenrod, Canada Goldenrod</x:v>
      </x:c>
      <x:c r="E1731" s="84" t="str">
        <x:v>Perennial</x:v>
      </x:c>
      <x:c r="F1731" s="84" t="str">
        <x:v>Herb</x:v>
      </x:c>
      <x:c r="G1731" s="84" t="str">
        <x:v>Sun</x:v>
      </x:c>
      <x:c r="H1731" s="84" t="str">
        <x:v>Medium</x:v>
      </x:c>
      <x:c r="I1731" s="84" t="str">
        <x:v>solidago altissima</x:v>
      </x:c>
    </x:row>
    <x:row r="1732">
      <x:c r="A1732" s="83" t="str">
        <x:v>Existing master workbook</x:v>
      </x:c>
      <x:c r="B1732" s="84" t="n">
        <x:v>156</x:v>
      </x:c>
      <x:c r="C1732" s="87" t="str">
        <x:v>Solidago nemoralis</x:v>
      </x:c>
      <x:c r="D1732" s="84" t="str">
        <x:v>Gray Goldenrod, Prairie Goldenrod, Oldfield Goldenrod, Grayleaf Goldenrod, Gray-leaved Goldenrod, Dyersweed Goldenrod, Dwarf Goldenrod, Field Goldenrod</x:v>
      </x:c>
      <x:c r="E1732" s="84" t="str">
        <x:v>Perennial</x:v>
      </x:c>
      <x:c r="F1732" s="84" t="str">
        <x:v>Herb</x:v>
      </x:c>
      <x:c r="G1732" s="84" t="str">
        <x:v>Sun</x:v>
      </x:c>
      <x:c r="H1732" s="84" t="str">
        <x:v>Low</x:v>
      </x:c>
      <x:c r="I1732" s="84" t="str">
        <x:v>solidago nemoralis</x:v>
      </x:c>
    </x:row>
    <x:row r="1733">
      <x:c r="A1733" s="83" t="str">
        <x:v>Existing master workbook</x:v>
      </x:c>
      <x:c r="B1733" s="84" t="n">
        <x:v>157</x:v>
      </x:c>
      <x:c r="C1733" s="87" t="str">
        <x:v>Symphyotrichum ericoides</x:v>
      </x:c>
      <x:c r="D1733" s="84" t="str">
        <x:v>White Heath Aster, Heath Aster</x:v>
      </x:c>
      <x:c r="E1733" s="84" t="str">
        <x:v>Perennial</x:v>
      </x:c>
      <x:c r="F1733" s="84" t="str">
        <x:v>Herb</x:v>
      </x:c>
      <x:c r="G1733" s="84" t="str">
        <x:v>Sun</x:v>
      </x:c>
      <x:c r="H1733" s="84" t="str">
        <x:v>Low</x:v>
      </x:c>
      <x:c r="I1733" s="84" t="str">
        <x:v>symphyotrichum ericoides</x:v>
      </x:c>
    </x:row>
    <x:row r="1734">
      <x:c r="A1734" s="83" t="str">
        <x:v>Existing master workbook</x:v>
      </x:c>
      <x:c r="B1734" s="84" t="n">
        <x:v>158</x:v>
      </x:c>
      <x:c r="C1734" s="87" t="str">
        <x:v>Symphyotrichum oblongifolium</x:v>
      </x:c>
      <x:c r="D1734" s="84" t="str">
        <x:v>Aromatic Aster, Aromatic American Aster, Fall Aster, Wild Blue Aster, Shale Aster</x:v>
      </x:c>
      <x:c r="E1734" s="84" t="str">
        <x:v>Perennial</x:v>
      </x:c>
      <x:c r="F1734" s="84" t="str">
        <x:v>Herb</x:v>
      </x:c>
      <x:c r="G1734" s="84" t="str">
        <x:v>Sun</x:v>
      </x:c>
      <x:c r="H1734" s="84" t="str">
        <x:v>Low</x:v>
      </x:c>
      <x:c r="I1734" s="84" t="str">
        <x:v>symphyotrichum oblongifolium</x:v>
      </x:c>
    </x:row>
    <x:row r="1735">
      <x:c r="A1735" s="83" t="str">
        <x:v>Existing master workbook</x:v>
      </x:c>
      <x:c r="B1735" s="84" t="n">
        <x:v>159</x:v>
      </x:c>
      <x:c r="C1735" s="87" t="str">
        <x:v>Symphyotrichum praealtum</x:v>
      </x:c>
      <x:c r="D1735" s="84" t="str">
        <x:v>Willowleaf Aster</x:v>
      </x:c>
      <x:c r="E1735" s="84" t="str">
        <x:v>Perennial</x:v>
      </x:c>
      <x:c r="F1735" s="84" t="str">
        <x:v>Herb</x:v>
      </x:c>
      <x:c r="G1735" s="84" t="str">
        <x:v>Sun</x:v>
      </x:c>
      <x:c r="H1735" s="84" t="str">
        <x:v>Medium</x:v>
      </x:c>
      <x:c r="I1735" s="84" t="str">
        <x:v>symphyotrichum praealtum</x:v>
      </x:c>
    </x:row>
    <x:row r="1736">
      <x:c r="A1736" s="83" t="str">
        <x:v>Existing master workbook</x:v>
      </x:c>
      <x:c r="B1736" s="84" t="n">
        <x:v>160</x:v>
      </x:c>
      <x:c r="C1736" s="87" t="str">
        <x:v>Tetraneuris scaposa</x:v>
      </x:c>
      <x:c r="D1736" s="84" t="str">
        <x:v>Four-nerve Daisy, Hymenoxys, Stemmy Four-nerve Daisy, Yellow Daisy, Bitterweed</x:v>
      </x:c>
      <x:c r="E1736" s="84" t="str">
        <x:v>Perennial</x:v>
      </x:c>
      <x:c r="F1736" s="84" t="str">
        <x:v>Herb</x:v>
      </x:c>
      <x:c r="G1736" s="84" t="str">
        <x:v>Sun</x:v>
      </x:c>
      <x:c r="H1736" s="84" t="str">
        <x:v>Low</x:v>
      </x:c>
      <x:c r="I1736" s="84" t="str">
        <x:v>tetraneuris scaposa</x:v>
      </x:c>
    </x:row>
    <x:row r="1737">
      <x:c r="A1737" s="83" t="str">
        <x:v>Existing master workbook</x:v>
      </x:c>
      <x:c r="B1737" s="84" t="n">
        <x:v>161</x:v>
      </x:c>
      <x:c r="C1737" s="87" t="str">
        <x:v>Teucrium canadense</x:v>
      </x:c>
      <x:c r="D1737" s="84" t="str">
        <x:v>American Germander, Canada Germander, Canadian Germander, Germander, Hairy Germander, Wood Sage</x:v>
      </x:c>
      <x:c r="E1737" s="84" t="str">
        <x:v>Perennial</x:v>
      </x:c>
      <x:c r="F1737" s="84" t="str">
        <x:v>Herb</x:v>
      </x:c>
      <x:c r="G1737" s="84" t="str">
        <x:v>Sun, Part Shade</x:v>
      </x:c>
      <x:c r="H1737" s="84" t="str">
        <x:v>Medium</x:v>
      </x:c>
      <x:c r="I1737" s="84" t="str">
        <x:v>teucrium canadense</x:v>
      </x:c>
    </x:row>
    <x:row r="1738">
      <x:c r="A1738" s="83" t="str">
        <x:v>Existing master workbook</x:v>
      </x:c>
      <x:c r="B1738" s="84" t="n">
        <x:v>162</x:v>
      </x:c>
      <x:c r="C1738" s="87" t="str">
        <x:v>Teucrium cubense</x:v>
      </x:c>
      <x:c r="D1738" s="84" t="str">
        <x:v>Small Coastal Germander</x:v>
      </x:c>
      <x:c r="E1738" s="84" t="str">
        <x:v>Perennial</x:v>
      </x:c>
      <x:c r="F1738" s="84" t="str">
        <x:v>Herb</x:v>
      </x:c>
      <x:c r="G1738" s="84" t="str">
        <x:v>Full Sun</x:v>
      </x:c>
      <x:c r="H1738" s="84" t="str">
        <x:v>Dry to Moist</x:v>
      </x:c>
      <x:c r="I1738" s="84" t="str">
        <x:v>teucrium cubense</x:v>
      </x:c>
    </x:row>
    <x:row r="1739">
      <x:c r="A1739" s="83" t="str">
        <x:v>Existing master workbook</x:v>
      </x:c>
      <x:c r="B1739" s="84" t="n">
        <x:v>163</x:v>
      </x:c>
      <x:c r="C1739" s="87" t="str">
        <x:v>Thelesperma simplicifolium</x:v>
      </x:c>
      <x:c r="D1739" s="84" t="str">
        <x:v>Navajo Tea, Slender greenthread</x:v>
      </x:c>
      <x:c r="E1739" s="84" t="str">
        <x:v>Perennial</x:v>
      </x:c>
      <x:c r="F1739" s="84" t="str">
        <x:v>Herb</x:v>
      </x:c>
      <x:c r="G1739" s="84" t="str">
        <x:v>Sun</x:v>
      </x:c>
      <x:c r="H1739" s="84" t="str">
        <x:v>Low</x:v>
      </x:c>
      <x:c r="I1739" s="84" t="str">
        <x:v>thelesperma simplicifolium</x:v>
      </x:c>
    </x:row>
    <x:row r="1740">
      <x:c r="A1740" s="83" t="str">
        <x:v>Existing master workbook</x:v>
      </x:c>
      <x:c r="B1740" s="84" t="n">
        <x:v>164</x:v>
      </x:c>
      <x:c r="C1740" s="87" t="str">
        <x:v>Tinantia anomala</x:v>
      </x:c>
      <x:c r="D1740" s="84" t="str">
        <x:v>False Dayflower</x:v>
      </x:c>
      <x:c r="E1740" s="84" t="str">
        <x:v>Annual</x:v>
      </x:c>
      <x:c r="F1740" s="84" t="str">
        <x:v>Herb</x:v>
      </x:c>
      <x:c r="G1740" s="84" t="str">
        <x:v>Part Shade</x:v>
      </x:c>
      <x:c r="H1740" s="84" t="str">
        <x:v>Moist</x:v>
      </x:c>
      <x:c r="I1740" s="84" t="str">
        <x:v>tinantia anomala</x:v>
      </x:c>
    </x:row>
    <x:row r="1741">
      <x:c r="A1741" s="83" t="str">
        <x:v>Existing master workbook</x:v>
      </x:c>
      <x:c r="B1741" s="84" t="n">
        <x:v>165</x:v>
      </x:c>
      <x:c r="C1741" s="87" t="str">
        <x:v>Tradescantia gigantea</x:v>
      </x:c>
      <x:c r="D1741" s="84" t="str">
        <x:v>Spiderwort, Giant spiderwort</x:v>
      </x:c>
      <x:c r="E1741" s="84" t="str">
        <x:v>Perennial</x:v>
      </x:c>
      <x:c r="F1741" s="84" t="str">
        <x:v>Herb</x:v>
      </x:c>
      <x:c r="G1741" s="84" t="str">
        <x:v>Part Shade</x:v>
      </x:c>
      <x:c r="H1741" s="84" t="str">
        <x:v>Medium</x:v>
      </x:c>
      <x:c r="I1741" s="84" t="str">
        <x:v>tradescantia gigantea</x:v>
      </x:c>
    </x:row>
    <x:row r="1742">
      <x:c r="A1742" s="83" t="str">
        <x:v>Existing master workbook</x:v>
      </x:c>
      <x:c r="B1742" s="84" t="n">
        <x:v>166</x:v>
      </x:c>
      <x:c r="C1742" s="87" t="str">
        <x:v>Tradescantia humilis</x:v>
      </x:c>
      <x:c r="D1742" s="84" t="str">
        <x:v>Texas Spiderwort</x:v>
      </x:c>
      <x:c r="E1742" s="84" t="str">
        <x:v>Perennial</x:v>
      </x:c>
      <x:c r="F1742" s="84" t="str">
        <x:v>Herb</x:v>
      </x:c>
      <x:c r="G1742" s="84" t="str">
        <x:v>Sun, Part Shade</x:v>
      </x:c>
      <x:c r="H1742" s="84" t="str">
        <x:v>Low</x:v>
      </x:c>
      <x:c r="I1742" s="84" t="str">
        <x:v>tradescantia humilis</x:v>
      </x:c>
    </x:row>
    <x:row r="1743">
      <x:c r="A1743" s="83" t="str">
        <x:v>Existing master workbook</x:v>
      </x:c>
      <x:c r="B1743" s="84" t="n">
        <x:v>167</x:v>
      </x:c>
      <x:c r="C1743" s="87" t="str">
        <x:v>Tradescantia occidentalis</x:v>
      </x:c>
      <x:c r="D1743" s="84" t="str">
        <x:v>Prairie Spiderwort, Western Spiderwort, Spiderwort</x:v>
      </x:c>
      <x:c r="E1743" s="84" t="str">
        <x:v>Perennial</x:v>
      </x:c>
      <x:c r="F1743" s="84" t="str">
        <x:v>Herb</x:v>
      </x:c>
      <x:c r="G1743" s="84" t="str">
        <x:v>Sun, Part Shade</x:v>
      </x:c>
      <x:c r="H1743" s="84" t="str">
        <x:v>Low</x:v>
      </x:c>
      <x:c r="I1743" s="84" t="str">
        <x:v>tradescantia occidentalis</x:v>
      </x:c>
    </x:row>
    <x:row r="1744">
      <x:c r="A1744" s="83" t="str">
        <x:v>Existing master workbook</x:v>
      </x:c>
      <x:c r="B1744" s="84" t="n">
        <x:v>168</x:v>
      </x:c>
      <x:c r="C1744" s="87" t="str">
        <x:v>Verbena xutha</x:v>
      </x:c>
      <x:c r="D1744" s="84" t="str">
        <x:v>Gulf Vervain</x:v>
      </x:c>
      <x:c r="E1744" s="84" t="str">
        <x:v>Perennial</x:v>
      </x:c>
      <x:c r="F1744" s="84" t="str">
        <x:v>Herb</x:v>
      </x:c>
      <x:c r="G1744" s="84" t="str">
        <x:v>Full Sun to Part Shade</x:v>
      </x:c>
      <x:c r="H1744" s="84" t="str">
        <x:v>Low</x:v>
      </x:c>
      <x:c r="I1744" s="84" t="str">
        <x:v>verbena xutha</x:v>
      </x:c>
    </x:row>
    <x:row r="1745">
      <x:c r="A1745" s="83" t="str">
        <x:v>Existing master workbook</x:v>
      </x:c>
      <x:c r="B1745" s="84" t="n">
        <x:v>169</x:v>
      </x:c>
      <x:c r="C1745" s="87" t="str">
        <x:v>Verbesina encelioides</x:v>
      </x:c>
      <x:c r="D1745" s="84" t="str">
        <x:v>Cowpen Daisy, Golden Crownbeard, Butter Daisy</x:v>
      </x:c>
      <x:c r="E1745" s="84" t="str">
        <x:v>Annual</x:v>
      </x:c>
      <x:c r="F1745" s="84" t="str">
        <x:v>Herb</x:v>
      </x:c>
      <x:c r="G1745" s="84" t="str">
        <x:v>Sun</x:v>
      </x:c>
      <x:c r="H1745" s="84" t="str">
        <x:v>Low</x:v>
      </x:c>
      <x:c r="I1745" s="84" t="str">
        <x:v>verbesina encelioides</x:v>
      </x:c>
    </x:row>
    <x:row r="1746">
      <x:c r="A1746" s="83" t="str">
        <x:v>Existing master workbook</x:v>
      </x:c>
      <x:c r="B1746" s="84" t="n">
        <x:v>170</x:v>
      </x:c>
      <x:c r="C1746" s="87" t="str">
        <x:v>Verbesina virginica</x:v>
      </x:c>
      <x:c r="D1746" s="84" t="str">
        <x:v>Frostweed, White Crownbeard, Iceplant, Iceweed, Virginia Crownbeard, Indian Tobacco, Richweed, Squawweed</x:v>
      </x:c>
      <x:c r="E1746" s="84" t="str">
        <x:v>Perennial , Biennial</x:v>
      </x:c>
      <x:c r="F1746" s="84" t="str">
        <x:v>Herb</x:v>
      </x:c>
      <x:c r="G1746" s="84" t="str">
        <x:v>Part Shade</x:v>
      </x:c>
      <x:c r="H1746" s="84" t="str">
        <x:v>Medium</x:v>
      </x:c>
      <x:c r="I1746" s="84" t="str">
        <x:v>verbesina virginica</x:v>
      </x:c>
    </x:row>
    <x:row r="1747">
      <x:c r="A1747" s="83" t="str">
        <x:v>Existing master workbook</x:v>
      </x:c>
      <x:c r="B1747" s="84" t="n">
        <x:v>171</x:v>
      </x:c>
      <x:c r="C1747" s="87" t="str">
        <x:v>Vernonia baldwinii</x:v>
      </x:c>
      <x:c r="D1747" s="84" t="str">
        <x:v>Western Ironweed, Baldwin's Ironweed, Ironweed</x:v>
      </x:c>
      <x:c r="E1747" s="84" t="str">
        <x:v>Perennial</x:v>
      </x:c>
      <x:c r="F1747" s="84" t="str">
        <x:v>Herb</x:v>
      </x:c>
      <x:c r="G1747" s="84" t="str">
        <x:v>Sun</x:v>
      </x:c>
      <x:c r="H1747" s="84" t="str">
        <x:v>Medium</x:v>
      </x:c>
      <x:c r="I1747" s="84" t="str">
        <x:v>vernonia baldwinii</x:v>
      </x:c>
    </x:row>
    <x:row r="1748">
      <x:c r="A1748" s="83" t="str">
        <x:v>Existing master workbook</x:v>
      </x:c>
      <x:c r="B1748" s="84" t="n">
        <x:v>172</x:v>
      </x:c>
      <x:c r="C1748" s="87" t="str">
        <x:v>Vernonia ×guadalupensis</x:v>
      </x:c>
      <x:c r="D1748" s="84" t="str">
        <x:v>Guadalupe Ironweed</x:v>
      </x:c>
      <x:c r="E1748" s="84" t="str">
        <x:v>Perennial</x:v>
      </x:c>
      <x:c r="F1748" s="84" t="str">
        <x:v>Herb</x:v>
      </x:c>
      <x:c r="G1748" s="84" t="str">
        <x:v>Sun</x:v>
      </x:c>
      <x:c r="H1748" s="84" t="str">
        <x:v>Medium</x:v>
      </x:c>
      <x:c r="I1748" s="84" t="str">
        <x:v>vernonia xguadalupensis</x:v>
      </x:c>
    </x:row>
    <x:row r="1749">
      <x:c r="A1749" s="83" t="str">
        <x:v>Existing master workbook</x:v>
      </x:c>
      <x:c r="B1749" s="84" t="n">
        <x:v>173</x:v>
      </x:c>
      <x:c r="C1749" s="87" t="str">
        <x:v>Vernonia lindheimeri</x:v>
      </x:c>
      <x:c r="D1749" s="84" t="str">
        <x:v>Woolly Ironweed</x:v>
      </x:c>
      <x:c r="E1749" s="84" t="str">
        <x:v>Perennial</x:v>
      </x:c>
      <x:c r="F1749" s="84" t="str">
        <x:v>Herb</x:v>
      </x:c>
      <x:c r="G1749" s="84" t="str">
        <x:v>Sun</x:v>
      </x:c>
      <x:c r="H1749" s="84" t="str">
        <x:v>Low</x:v>
      </x:c>
      <x:c r="I1749" s="84" t="str">
        <x:v>vernonia lindheimeri</x:v>
      </x:c>
    </x:row>
    <x:row r="1750">
      <x:c r="A1750" s="83" t="str">
        <x:v>Existing master workbook</x:v>
      </x:c>
      <x:c r="B1750" s="84" t="n">
        <x:v>174</x:v>
      </x:c>
      <x:c r="C1750" s="87" t="str">
        <x:v>Viola missouriensis</x:v>
      </x:c>
      <x:c r="D1750" s="84" t="str">
        <x:v>Missouri Violet</x:v>
      </x:c>
      <x:c r="E1750" s="84" t="str">
        <x:v>Annual , Perennial</x:v>
      </x:c>
      <x:c r="F1750" s="84" t="str">
        <x:v>Herb</x:v>
      </x:c>
      <x:c r="G1750" s="84" t="str">
        <x:v>Shade, Part Shade</x:v>
      </x:c>
      <x:c r="H1750" s="84" t="str">
        <x:v>Medium</x:v>
      </x:c>
      <x:c r="I1750" s="84" t="str">
        <x:v>viola missouriensis</x:v>
      </x:c>
    </x:row>
    <x:row r="1751">
      <x:c r="A1751" s="83" t="str">
        <x:v>Existing master workbook</x:v>
      </x:c>
      <x:c r="B1751" s="84" t="n">
        <x:v>175</x:v>
      </x:c>
      <x:c r="C1751" s="87" t="str">
        <x:v>Rivina humilis</x:v>
      </x:c>
      <x:c r="D1751" s="84" t="str">
        <x:v>Pigeonberry, Rouge Plant, Baby-peppers, Bloodberry</x:v>
      </x:c>
      <x:c r="E1751" s="84" t="str">
        <x:v>Perennial</x:v>
      </x:c>
      <x:c r="F1751" s="84" t="str">
        <x:v>Herb, Subshrub</x:v>
      </x:c>
      <x:c r="G1751" s="84" t="str">
        <x:v>Shade, Part Shade</x:v>
      </x:c>
      <x:c r="H1751" s="84" t="str">
        <x:v>Medium</x:v>
      </x:c>
      <x:c r="I1751" s="84" t="str">
        <x:v>rivina humilis</x:v>
      </x:c>
    </x:row>
    <x:row r="1752">
      <x:c r="A1752" s="83" t="str">
        <x:v>Existing master workbook</x:v>
      </x:c>
      <x:c r="B1752" s="84" t="n">
        <x:v>176</x:v>
      </x:c>
      <x:c r="C1752" s="87" t="str">
        <x:v>Ageratina havanensis</x:v>
      </x:c>
      <x:c r="D1752" s="84" t="str">
        <x:v>Shrubby Boneset, White Mistflower, White Shrub Mistflower, Havana Snakeroot</x:v>
      </x:c>
      <x:c r="E1752" s="84" t="str">
        <x:v>Perennial</x:v>
      </x:c>
      <x:c r="F1752" s="84" t="str">
        <x:v>Shrub</x:v>
      </x:c>
      <x:c r="G1752" s="84" t="str">
        <x:v>Sun, Part Shade</x:v>
      </x:c>
      <x:c r="H1752" s="84" t="str">
        <x:v>Low</x:v>
      </x:c>
      <x:c r="I1752" s="84" t="str">
        <x:v>ageratina havanensis</x:v>
      </x:c>
    </x:row>
    <x:row r="1753">
      <x:c r="A1753" s="83" t="str">
        <x:v>Existing master workbook</x:v>
      </x:c>
      <x:c r="B1753" s="84" t="n">
        <x:v>177</x:v>
      </x:c>
      <x:c r="C1753" s="87" t="str">
        <x:v>Aloysia gratissima</x:v>
      </x:c>
      <x:c r="D1753" s="84" t="str">
        <x:v>Whitebrush, Bee-brush, White-brush, Common Bee-brush, Beebrush, Privet Lippia</x:v>
      </x:c>
      <x:c r="E1753" s="84" t="str">
        <x:v>Perennial</x:v>
      </x:c>
      <x:c r="F1753" s="84" t="str">
        <x:v>Shrub</x:v>
      </x:c>
      <x:c r="G1753" s="84" t="str">
        <x:v>Sun</x:v>
      </x:c>
      <x:c r="H1753" s="84" t="str">
        <x:v>Low</x:v>
      </x:c>
      <x:c r="I1753" s="84" t="str">
        <x:v>aloysia gratissima</x:v>
      </x:c>
    </x:row>
    <x:row r="1754">
      <x:c r="A1754" s="83" t="str">
        <x:v>Existing master workbook</x:v>
      </x:c>
      <x:c r="B1754" s="84" t="n">
        <x:v>178</x:v>
      </x:c>
      <x:c r="C1754" s="87" t="str">
        <x:v>Amorpha canescens</x:v>
      </x:c>
      <x:c r="D1754" s="84" t="str">
        <x:v>Leadplant</x:v>
      </x:c>
      <x:c r="E1754" s="84" t="str">
        <x:v>Perennial</x:v>
      </x:c>
      <x:c r="F1754" s="84" t="str">
        <x:v>Shrub</x:v>
      </x:c>
      <x:c r="G1754" s="84" t="str">
        <x:v>Sun, Part Shade</x:v>
      </x:c>
      <x:c r="H1754" s="84" t="str">
        <x:v>Low</x:v>
      </x:c>
      <x:c r="I1754" s="84" t="str">
        <x:v>amorpha canescens</x:v>
      </x:c>
    </x:row>
    <x:row r="1755">
      <x:c r="A1755" s="83" t="str">
        <x:v>Existing master workbook</x:v>
      </x:c>
      <x:c r="B1755" s="84" t="n">
        <x:v>179</x:v>
      </x:c>
      <x:c r="C1755" s="87" t="str">
        <x:v>Amorpha fruticosa</x:v>
      </x:c>
      <x:c r="D1755" s="84" t="str">
        <x:v>Indigo Bush, False Indigo Bush, False Indigo, Desert False Indigo</x:v>
      </x:c>
      <x:c r="E1755" s="84" t="str">
        <x:v>Perennial</x:v>
      </x:c>
      <x:c r="F1755" s="84" t="str">
        <x:v>Shrub</x:v>
      </x:c>
      <x:c r="G1755" s="84" t="str">
        <x:v>Sun, Part Shade</x:v>
      </x:c>
      <x:c r="H1755" s="84" t="str">
        <x:v>Medium</x:v>
      </x:c>
      <x:c r="I1755" s="84" t="str">
        <x:v>amorpha fruticosa</x:v>
      </x:c>
    </x:row>
    <x:row r="1756">
      <x:c r="A1756" s="83" t="str">
        <x:v>Existing master workbook</x:v>
      </x:c>
      <x:c r="B1756" s="84" t="n">
        <x:v>180</x:v>
      </x:c>
      <x:c r="C1756" s="87" t="str">
        <x:v>Amorpha roemeriana</x:v>
      </x:c>
      <x:c r="D1756" s="84" t="str">
        <x:v>Texas Indigo Bush, Roemer's false indigo</x:v>
      </x:c>
      <x:c r="E1756" s="84" t="str">
        <x:v>Perennial</x:v>
      </x:c>
      <x:c r="F1756" s="84" t="str">
        <x:v>Shrub</x:v>
      </x:c>
      <x:c r="G1756" s="84" t="str">
        <x:v>Sun</x:v>
      </x:c>
      <x:c r="H1756" s="84" t="str">
        <x:v>Low</x:v>
      </x:c>
      <x:c r="I1756" s="84" t="str">
        <x:v>amorpha roemeriana</x:v>
      </x:c>
    </x:row>
    <x:row r="1757">
      <x:c r="A1757" s="83" t="str">
        <x:v>Existing master workbook</x:v>
      </x:c>
      <x:c r="B1757" s="84" t="n">
        <x:v>181</x:v>
      </x:c>
      <x:c r="C1757" s="87" t="str">
        <x:v>Anisacanthus quadrifidus var. wrightii</x:v>
      </x:c>
      <x:c r="D1757" s="84" t="str">
        <x:v>Flame Acanthus</x:v>
      </x:c>
      <x:c r="E1757" s="84" t="str">
        <x:v>Perennial</x:v>
      </x:c>
      <x:c r="F1757" s="84" t="str">
        <x:v>Shrub</x:v>
      </x:c>
      <x:c r="G1757" s="84" t="str">
        <x:v>Sun</x:v>
      </x:c>
      <x:c r="H1757" s="84" t="str">
        <x:v>Low</x:v>
      </x:c>
      <x:c r="I1757" s="84" t="str">
        <x:v>anisacanthus quadrifidus var. wrightii</x:v>
      </x:c>
    </x:row>
    <x:row r="1758">
      <x:c r="A1758" s="83" t="str">
        <x:v>Existing master workbook</x:v>
      </x:c>
      <x:c r="B1758" s="84" t="n">
        <x:v>182</x:v>
      </x:c>
      <x:c r="C1758" s="87" t="str">
        <x:v>Bernardia myricifolia</x:v>
      </x:c>
      <x:c r="D1758" s="84" t="str">
        <x:v>Mouse Ears</x:v>
      </x:c>
      <x:c r="E1758" s="84" t="str">
        <x:v>Perennial</x:v>
      </x:c>
      <x:c r="F1758" s="84" t="str">
        <x:v>Shrub</x:v>
      </x:c>
      <x:c r="G1758" s="84" t="str">
        <x:v>Full Sun, Part Shade</x:v>
      </x:c>
      <x:c r="H1758" s="84" t="str">
        <x:v>Low</x:v>
      </x:c>
      <x:c r="I1758" s="84" t="str">
        <x:v>bernardia myricifolia</x:v>
      </x:c>
    </x:row>
    <x:row r="1759">
      <x:c r="A1759" s="83" t="str">
        <x:v>Existing master workbook</x:v>
      </x:c>
      <x:c r="B1759" s="84" t="n">
        <x:v>183</x:v>
      </x:c>
      <x:c r="C1759" s="87" t="str">
        <x:v>Callicarpa americana</x:v>
      </x:c>
      <x:c r="D1759" s="84" t="str">
        <x:v>American Beautyberry , French Mulberry</x:v>
      </x:c>
      <x:c r="E1759" s="84" t="str">
        <x:v>Perennial</x:v>
      </x:c>
      <x:c r="F1759" s="84" t="str">
        <x:v>Shrub</x:v>
      </x:c>
      <x:c r="G1759" s="84" t="str">
        <x:v>Part Shade</x:v>
      </x:c>
      <x:c r="H1759" s="84" t="str">
        <x:v>Medium</x:v>
      </x:c>
      <x:c r="I1759" s="84" t="str">
        <x:v>callicarpa americana</x:v>
      </x:c>
    </x:row>
    <x:row r="1760">
      <x:c r="A1760" s="83" t="str">
        <x:v>Existing master workbook</x:v>
      </x:c>
      <x:c r="B1760" s="84" t="n">
        <x:v>184</x:v>
      </x:c>
      <x:c r="C1760" s="87" t="str">
        <x:v>Celtis ehrenbergiana</x:v>
      </x:c>
      <x:c r="D1760" s="84" t="str">
        <x:v>Desert (Spiny) Hackberry</x:v>
      </x:c>
      <x:c r="E1760" s="84" t="str">
        <x:v>Perennial</x:v>
      </x:c>
      <x:c r="F1760" s="84" t="str">
        <x:v>Shrub</x:v>
      </x:c>
      <x:c r="G1760" s="84" t="str">
        <x:v>Sun, Part Shade</x:v>
      </x:c>
      <x:c r="H1760" s="84" t="str">
        <x:v>Low</x:v>
      </x:c>
      <x:c r="I1760" s="84" t="str">
        <x:v>celtis ehrenbergiana</x:v>
      </x:c>
    </x:row>
    <x:row r="1761">
      <x:c r="A1761" s="83" t="str">
        <x:v>Existing master workbook</x:v>
      </x:c>
      <x:c r="B1761" s="84" t="n">
        <x:v>185</x:v>
      </x:c>
      <x:c r="C1761" s="87" t="str">
        <x:v>Cephalanthus occidentalis</x:v>
      </x:c>
      <x:c r="D1761" s="84" t="str">
        <x:v>Common Buttonbush, Buttonbush, Button Willow, Honey Bells, Honeybells, Honey Balls, Honeyballs, Button-bush</x:v>
      </x:c>
      <x:c r="E1761" s="84" t="str">
        <x:v>Perennial</x:v>
      </x:c>
      <x:c r="F1761" s="84" t="str">
        <x:v>Shrub</x:v>
      </x:c>
      <x:c r="G1761" s="84" t="str">
        <x:v>Sun, Part Shade</x:v>
      </x:c>
      <x:c r="H1761" s="84" t="str">
        <x:v>Wet</x:v>
      </x:c>
      <x:c r="I1761" s="84" t="str">
        <x:v>cephalanthus occidentalis</x:v>
      </x:c>
    </x:row>
    <x:row r="1762">
      <x:c r="A1762" s="83" t="str">
        <x:v>Existing master workbook</x:v>
      </x:c>
      <x:c r="B1762" s="84" t="n">
        <x:v>186</x:v>
      </x:c>
      <x:c r="C1762" s="87" t="str">
        <x:v>Chloracantha spinosa</x:v>
      </x:c>
      <x:c r="D1762" s="84" t="str">
        <x:v>Spiny Chloracantha, Mexican Devil-weed</x:v>
      </x:c>
      <x:c r="E1762" s="84" t="str">
        <x:v>Perennial</x:v>
      </x:c>
      <x:c r="F1762" s="84" t="str">
        <x:v>Shrub</x:v>
      </x:c>
      <x:c r="G1762" s="84" t="str">
        <x:v>Sun, Part Shade</x:v>
      </x:c>
      <x:c r="H1762" s="84" t="str">
        <x:v>Medium</x:v>
      </x:c>
      <x:c r="I1762" s="84" t="str">
        <x:v>chloracantha spinosa</x:v>
      </x:c>
    </x:row>
    <x:row r="1763">
      <x:c r="A1763" s="83" t="str">
        <x:v>Existing master workbook</x:v>
      </x:c>
      <x:c r="B1763" s="84" t="n">
        <x:v>187</x:v>
      </x:c>
      <x:c r="C1763" s="87" t="str">
        <x:v>Colubrina texensis</x:v>
      </x:c>
      <x:c r="D1763" s="84" t="str">
        <x:v>Texas Hogplum</x:v>
      </x:c>
      <x:c r="E1763" s="84" t="str">
        <x:v>Perennial</x:v>
      </x:c>
      <x:c r="F1763" s="84" t="str">
        <x:v>Shrub</x:v>
      </x:c>
      <x:c r="G1763" s="84" t="str">
        <x:v>Part Shade</x:v>
      </x:c>
      <x:c r="H1763" s="84" t="str">
        <x:v>Low</x:v>
      </x:c>
      <x:c r="I1763" s="84" t="str">
        <x:v>colubrina texensis</x:v>
      </x:c>
    </x:row>
    <x:row r="1764">
      <x:c r="A1764" s="83" t="str">
        <x:v>Existing master workbook</x:v>
      </x:c>
      <x:c r="B1764" s="84" t="n">
        <x:v>188</x:v>
      </x:c>
      <x:c r="C1764" s="87" t="str">
        <x:v>Condalia hookeri</x:v>
      </x:c>
      <x:c r="D1764" s="84" t="str">
        <x:v>Brasil</x:v>
      </x:c>
      <x:c r="E1764" s="84" t="str">
        <x:v>Perennial</x:v>
      </x:c>
      <x:c r="F1764" s="84" t="str">
        <x:v>Shrub</x:v>
      </x:c>
      <x:c r="G1764" s="84" t="str">
        <x:v>Part Shade</x:v>
      </x:c>
      <x:c r="H1764" s="84" t="str">
        <x:v>Low</x:v>
      </x:c>
      <x:c r="I1764" s="84" t="str">
        <x:v>condalia hookeri</x:v>
      </x:c>
    </x:row>
    <x:row r="1765">
      <x:c r="A1765" s="83" t="str">
        <x:v>Existing master workbook</x:v>
      </x:c>
      <x:c r="B1765" s="84" t="n">
        <x:v>189</x:v>
      </x:c>
      <x:c r="C1765" s="87" t="str">
        <x:v>Erythrina herbacea</x:v>
      </x:c>
      <x:c r="D1765" s="84" t="str">
        <x:v>Coral Bean</x:v>
      </x:c>
      <x:c r="E1765" s="84" t="str">
        <x:v>Perennial</x:v>
      </x:c>
      <x:c r="F1765" s="84" t="str">
        <x:v>Shrub</x:v>
      </x:c>
      <x:c r="G1765" s="84" t="str">
        <x:v>Sun, Part Shade</x:v>
      </x:c>
      <x:c r="H1765" s="84" t="str">
        <x:v>Low–Medium</x:v>
      </x:c>
      <x:c r="I1765" s="84" t="str">
        <x:v>erythrina herbacea</x:v>
      </x:c>
    </x:row>
    <x:row r="1766">
      <x:c r="A1766" s="83" t="str">
        <x:v>Existing master workbook</x:v>
      </x:c>
      <x:c r="B1766" s="84" t="n">
        <x:v>190</x:v>
      </x:c>
      <x:c r="C1766" s="87" t="str">
        <x:v>Eysenhardtia texana</x:v>
      </x:c>
      <x:c r="D1766" s="84" t="str">
        <x:v>Texas Kidneywood, Kidneywood, Bee Brush, Vara Dulce, Palo Dulce</x:v>
      </x:c>
      <x:c r="E1766" s="84" t="str">
        <x:v>Perennial</x:v>
      </x:c>
      <x:c r="F1766" s="84" t="str">
        <x:v>Shrub</x:v>
      </x:c>
      <x:c r="G1766" s="84" t="str">
        <x:v>Sun, Part Shade</x:v>
      </x:c>
      <x:c r="H1766" s="84" t="str">
        <x:v>Low</x:v>
      </x:c>
      <x:c r="I1766" s="84" t="str">
        <x:v>eysenhardtia texana</x:v>
      </x:c>
    </x:row>
    <x:row r="1767">
      <x:c r="A1767" s="83" t="str">
        <x:v>Existing master workbook</x:v>
      </x:c>
      <x:c r="B1767" s="84" t="n">
        <x:v>191</x:v>
      </x:c>
      <x:c r="C1767" s="87" t="str">
        <x:v>Forestiera pubescens</x:v>
      </x:c>
      <x:c r="D1767" s="84" t="str">
        <x:v>Elbowbush, Stretchberry, Spring Herald, Desert Olive, Tanglewood, Devil's Elbow, Spring Goldenglow, New Mexico Privet, Texas Forsythia</x:v>
      </x:c>
      <x:c r="E1767" s="84" t="str">
        <x:v>Perennial</x:v>
      </x:c>
      <x:c r="F1767" s="84" t="str">
        <x:v>Shrub</x:v>
      </x:c>
      <x:c r="G1767" s="84" t="str">
        <x:v>Sun, Part Shade</x:v>
      </x:c>
      <x:c r="H1767" s="84" t="str">
        <x:v>Low–Medium</x:v>
      </x:c>
      <x:c r="I1767" s="84" t="str">
        <x:v>forestiera pubescens</x:v>
      </x:c>
    </x:row>
    <x:row r="1768">
      <x:c r="A1768" s="83" t="str">
        <x:v>Existing master workbook</x:v>
      </x:c>
      <x:c r="B1768" s="84" t="n">
        <x:v>192</x:v>
      </x:c>
      <x:c r="C1768" s="87" t="str">
        <x:v>Frangula caroliniana</x:v>
      </x:c>
      <x:c r="D1768" s="84" t="str">
        <x:v>Carolina Buckthorn, Carolina False Buckthorn, Yellow Buckthorn, Indian Cherry, Yellowwood</x:v>
      </x:c>
      <x:c r="E1768" s="84" t="str">
        <x:v>Perennial</x:v>
      </x:c>
      <x:c r="F1768" s="84" t="str">
        <x:v>Shrub</x:v>
      </x:c>
      <x:c r="G1768" s="84" t="str">
        <x:v>Sun, Part Shade</x:v>
      </x:c>
      <x:c r="H1768" s="84" t="str">
        <x:v>Medium</x:v>
      </x:c>
      <x:c r="I1768" s="84" t="str">
        <x:v>frangula caroliniana</x:v>
      </x:c>
    </x:row>
    <x:row r="1769">
      <x:c r="A1769" s="83" t="str">
        <x:v>Existing master workbook</x:v>
      </x:c>
      <x:c r="B1769" s="84" t="n">
        <x:v>193</x:v>
      </x:c>
      <x:c r="C1769" s="87" t="str">
        <x:v>Garrya ovata ssp. lindheimeri</x:v>
      </x:c>
      <x:c r="D1769" s="84" t="str">
        <x:v>Mexican Silktassel, Lindheimer's Silktassel</x:v>
      </x:c>
      <x:c r="E1769" s="84" t="str">
        <x:v>Perennial</x:v>
      </x:c>
      <x:c r="F1769" s="84" t="str">
        <x:v>Shrub</x:v>
      </x:c>
      <x:c r="G1769" s="84" t="str">
        <x:v>Sun, Part Shade</x:v>
      </x:c>
      <x:c r="H1769" s="84" t="str">
        <x:v>Low–Medium</x:v>
      </x:c>
      <x:c r="I1769" s="84" t="str">
        <x:v>garrya ovata ssp. lindheimeri</x:v>
      </x:c>
    </x:row>
    <x:row r="1770">
      <x:c r="A1770" s="83" t="str">
        <x:v>Existing master workbook</x:v>
      </x:c>
      <x:c r="B1770" s="84" t="n">
        <x:v>194</x:v>
      </x:c>
      <x:c r="C1770" s="87" t="str">
        <x:v>Lantana urticoides</x:v>
      </x:c>
      <x:c r="D1770" s="84" t="str">
        <x:v>Texas Lantana, Calico Bush</x:v>
      </x:c>
      <x:c r="E1770" s="84" t="str">
        <x:v>Perennial</x:v>
      </x:c>
      <x:c r="F1770" s="84" t="str">
        <x:v>Shrub</x:v>
      </x:c>
      <x:c r="G1770" s="84" t="str">
        <x:v>Sun</x:v>
      </x:c>
      <x:c r="H1770" s="84" t="str">
        <x:v>Low</x:v>
      </x:c>
      <x:c r="I1770" s="84" t="str">
        <x:v>lantana urticoides</x:v>
      </x:c>
    </x:row>
    <x:row r="1771">
      <x:c r="A1771" s="83" t="str">
        <x:v>Existing master workbook</x:v>
      </x:c>
      <x:c r="B1771" s="84" t="n">
        <x:v>195</x:v>
      </x:c>
      <x:c r="C1771" s="87" t="str">
        <x:v>Leucophyllum frutescens</x:v>
      </x:c>
      <x:c r="D1771" s="84" t="str">
        <x:v>Cenizo, Purple Sage, Texas Ranger, Texas Barometer Bush, Texas Silverleaf, Texas Sage, Silverleaf</x:v>
      </x:c>
      <x:c r="E1771" s="84" t="str">
        <x:v>Perennial</x:v>
      </x:c>
      <x:c r="F1771" s="84" t="str">
        <x:v>Shrub</x:v>
      </x:c>
      <x:c r="G1771" s="84" t="str">
        <x:v>Sun</x:v>
      </x:c>
      <x:c r="H1771" s="84" t="str">
        <x:v>Low</x:v>
      </x:c>
      <x:c r="I1771" s="84" t="str">
        <x:v>leucophyllum frutescens</x:v>
      </x:c>
    </x:row>
    <x:row r="1772">
      <x:c r="A1772" s="83" t="str">
        <x:v>Existing master workbook</x:v>
      </x:c>
      <x:c r="B1772" s="84" t="n">
        <x:v>196</x:v>
      </x:c>
      <x:c r="C1772" s="87" t="str">
        <x:v>Lindera benzoin</x:v>
      </x:c>
      <x:c r="D1772" s="84" t="str">
        <x:v>Northern Spicebush, Spicebush, Wild Allspice</x:v>
      </x:c>
      <x:c r="E1772" s="84" t="str">
        <x:v>Perennial</x:v>
      </x:c>
      <x:c r="F1772" s="84" t="str">
        <x:v>Shrub</x:v>
      </x:c>
      <x:c r="G1772" s="84" t="str">
        <x:v>Shade, Part Shade</x:v>
      </x:c>
      <x:c r="H1772" s="84" t="str">
        <x:v>Medium</x:v>
      </x:c>
      <x:c r="I1772" s="84" t="str">
        <x:v>lindera benzoin</x:v>
      </x:c>
    </x:row>
    <x:row r="1773">
      <x:c r="A1773" s="83" t="str">
        <x:v>Existing master workbook</x:v>
      </x:c>
      <x:c r="B1773" s="84" t="n">
        <x:v>197</x:v>
      </x:c>
      <x:c r="C1773" s="87" t="str">
        <x:v>Mahonia swaseyi</x:v>
      </x:c>
      <x:c r="D1773" s="84" t="str">
        <x:v>Texas Barberry, Texas Oregon-grape</x:v>
      </x:c>
      <x:c r="E1773" s="84" t="str">
        <x:v>Perennial</x:v>
      </x:c>
      <x:c r="F1773" s="84" t="str">
        <x:v>Shrub</x:v>
      </x:c>
      <x:c r="G1773" s="84" t="str">
        <x:v>Sun</x:v>
      </x:c>
      <x:c r="H1773" s="84" t="str">
        <x:v>Low</x:v>
      </x:c>
      <x:c r="I1773" s="84" t="str">
        <x:v>mahonia swaseyi</x:v>
      </x:c>
    </x:row>
    <x:row r="1774">
      <x:c r="A1774" s="83" t="str">
        <x:v>Existing master workbook</x:v>
      </x:c>
      <x:c r="B1774" s="84" t="n">
        <x:v>198</x:v>
      </x:c>
      <x:c r="C1774" s="87" t="str">
        <x:v>Mahonia trifoliolata</x:v>
      </x:c>
      <x:c r="D1774" s="84" t="str">
        <x:v>Agarita, Agarito, Algerita, Laredo Mahonia, Laredo Oregon-grape, Trifoliate Barberry, Wild Currant</x:v>
      </x:c>
      <x:c r="E1774" s="84" t="str">
        <x:v>Perennial</x:v>
      </x:c>
      <x:c r="F1774" s="84" t="str">
        <x:v>Shrub</x:v>
      </x:c>
      <x:c r="G1774" s="84" t="str">
        <x:v>Sun</x:v>
      </x:c>
      <x:c r="H1774" s="84" t="str">
        <x:v>Low</x:v>
      </x:c>
      <x:c r="I1774" s="84" t="str">
        <x:v>mahonia trifoliolata</x:v>
      </x:c>
    </x:row>
    <x:row r="1775">
      <x:c r="A1775" s="83" t="str">
        <x:v>Existing master workbook</x:v>
      </x:c>
      <x:c r="B1775" s="84" t="n">
        <x:v>199</x:v>
      </x:c>
      <x:c r="C1775" s="87" t="str">
        <x:v>Malvaviscus arboreus var. drummondii</x:v>
      </x:c>
      <x:c r="D1775" s="84" t="str">
        <x:v>Turks Cap</x:v>
      </x:c>
      <x:c r="E1775" s="84" t="str">
        <x:v>Perennial</x:v>
      </x:c>
      <x:c r="F1775" s="84" t="str">
        <x:v>Shrub</x:v>
      </x:c>
      <x:c r="G1775" s="84" t="str">
        <x:v>Shade, Part Shade</x:v>
      </x:c>
      <x:c r="H1775" s="84" t="str">
        <x:v>Low–Medium</x:v>
      </x:c>
      <x:c r="I1775" s="84" t="str">
        <x:v>malvaviscus arboreus var. drummondii</x:v>
      </x:c>
    </x:row>
    <x:row r="1776">
      <x:c r="A1776" s="83" t="str">
        <x:v>Existing master workbook</x:v>
      </x:c>
      <x:c r="B1776" s="84" t="n">
        <x:v>200</x:v>
      </x:c>
      <x:c r="C1776" s="87" t="str">
        <x:v>Mimosa borealis</x:v>
      </x:c>
      <x:c r="D1776" s="84" t="str">
        <x:v>Fragrant Mimosa, Pink Mimosa</x:v>
      </x:c>
      <x:c r="E1776" s="84" t="str">
        <x:v>Perennial</x:v>
      </x:c>
      <x:c r="F1776" s="84" t="str">
        <x:v>Shrub</x:v>
      </x:c>
      <x:c r="G1776" s="84" t="str">
        <x:v>Sun, Part Shade</x:v>
      </x:c>
      <x:c r="H1776" s="84" t="str">
        <x:v>Low</x:v>
      </x:c>
      <x:c r="I1776" s="84" t="str">
        <x:v>mimosa borealis</x:v>
      </x:c>
    </x:row>
    <x:row r="1777">
      <x:c r="A1777" s="83" t="str">
        <x:v>Existing master workbook</x:v>
      </x:c>
      <x:c r="B1777" s="84" t="n">
        <x:v>201</x:v>
      </x:c>
      <x:c r="C1777" s="87" t="str">
        <x:v>Mimosa texana</x:v>
      </x:c>
      <x:c r="D1777" s="84" t="str">
        <x:v>Texas Mimosa</x:v>
      </x:c>
      <x:c r="E1777" s="84" t="str">
        <x:v>Perennial</x:v>
      </x:c>
      <x:c r="F1777" s="84" t="str">
        <x:v>Shrub</x:v>
      </x:c>
      <x:c r="G1777" s="84" t="str">
        <x:v>Part Shade</x:v>
      </x:c>
      <x:c r="H1777" s="84" t="str">
        <x:v>Low</x:v>
      </x:c>
      <x:c r="I1777" s="84" t="str">
        <x:v>mimosa texana</x:v>
      </x:c>
    </x:row>
    <x:row r="1778">
      <x:c r="A1778" s="83" t="str">
        <x:v>Existing master workbook</x:v>
      </x:c>
      <x:c r="B1778" s="84" t="n">
        <x:v>202</x:v>
      </x:c>
      <x:c r="C1778" s="87" t="str">
        <x:v>Pavonia lasiopetala</x:v>
      </x:c>
      <x:c r="D1778" s="84" t="str">
        <x:v>Rock Rose, Rose Pavonia, Rose Mallow, Pavonia</x:v>
      </x:c>
      <x:c r="E1778" s="84" t="str">
        <x:v>Perennial</x:v>
      </x:c>
      <x:c r="F1778" s="84" t="str">
        <x:v>Shrub</x:v>
      </x:c>
      <x:c r="G1778" s="84" t="str">
        <x:v>Sun, Part Shade</x:v>
      </x:c>
      <x:c r="H1778" s="84" t="str">
        <x:v>Low</x:v>
      </x:c>
      <x:c r="I1778" s="84" t="str">
        <x:v>pavonia lasiopetala</x:v>
      </x:c>
    </x:row>
    <x:row r="1779">
      <x:c r="A1779" s="83" t="str">
        <x:v>Existing master workbook</x:v>
      </x:c>
      <x:c r="B1779" s="84" t="n">
        <x:v>203</x:v>
      </x:c>
      <x:c r="C1779" s="87" t="str">
        <x:v>Philadelphus texensis</x:v>
      </x:c>
      <x:c r="D1779" s="84" t="str">
        <x:v>Texas Mock Orange</x:v>
      </x:c>
      <x:c r="E1779" s="84" t="str">
        <x:v>Perennial</x:v>
      </x:c>
      <x:c r="F1779" s="84" t="str">
        <x:v>Shrub</x:v>
      </x:c>
      <x:c r="G1779" s="84" t="str">
        <x:v>Sun, Part Shade</x:v>
      </x:c>
      <x:c r="H1779" s="84" t="str">
        <x:v>Medium</x:v>
      </x:c>
      <x:c r="I1779" s="84" t="str">
        <x:v>philadelphus texensis</x:v>
      </x:c>
    </x:row>
    <x:row r="1780">
      <x:c r="A1780" s="83" t="str">
        <x:v>Existing master workbook</x:v>
      </x:c>
      <x:c r="B1780" s="84" t="n">
        <x:v>204</x:v>
      </x:c>
      <x:c r="C1780" s="87" t="str">
        <x:v>Rhus aromatica</x:v>
      </x:c>
      <x:c r="D1780" s="84" t="str">
        <x:v>Fragrant Sumac, Aromatic Sumac, Lemon Sumac, Polecat Bush</x:v>
      </x:c>
      <x:c r="E1780" s="84" t="str">
        <x:v>Perennial</x:v>
      </x:c>
      <x:c r="F1780" s="84" t="str">
        <x:v>Shrub</x:v>
      </x:c>
      <x:c r="G1780" s="84" t="str">
        <x:v>Sun, Part Shade</x:v>
      </x:c>
      <x:c r="H1780" s="84" t="str">
        <x:v>Low</x:v>
      </x:c>
      <x:c r="I1780" s="84" t="str">
        <x:v>rhus aromatica</x:v>
      </x:c>
    </x:row>
    <x:row r="1781">
      <x:c r="A1781" s="83" t="str">
        <x:v>Existing master workbook</x:v>
      </x:c>
      <x:c r="B1781" s="84" t="n">
        <x:v>205</x:v>
      </x:c>
      <x:c r="C1781" s="87" t="str">
        <x:v>Rhus microphylla</x:v>
      </x:c>
      <x:c r="D1781" s="84" t="str">
        <x:v>Littleleaf Sumac</x:v>
      </x:c>
      <x:c r="E1781" s="84" t="str">
        <x:v>Perennial</x:v>
      </x:c>
      <x:c r="F1781" s="84" t="str">
        <x:v>Shrub</x:v>
      </x:c>
      <x:c r="G1781" s="84" t="str">
        <x:v>Sun</x:v>
      </x:c>
      <x:c r="H1781" s="84" t="str">
        <x:v>Low</x:v>
      </x:c>
      <x:c r="I1781" s="84" t="str">
        <x:v>rhus microphylla</x:v>
      </x:c>
    </x:row>
    <x:row r="1782">
      <x:c r="A1782" s="83" t="str">
        <x:v>Existing master workbook</x:v>
      </x:c>
      <x:c r="B1782" s="84" t="n">
        <x:v>206</x:v>
      </x:c>
      <x:c r="C1782" s="87" t="str">
        <x:v>Rhus virens</x:v>
      </x:c>
      <x:c r="D1782" s="84" t="str">
        <x:v>Evergreen Sumac, Tobacco Sumac, Lambrisco, Lentrisco</x:v>
      </x:c>
      <x:c r="E1782" s="84" t="str">
        <x:v>Perennial</x:v>
      </x:c>
      <x:c r="F1782" s="84" t="str">
        <x:v>Shrub</x:v>
      </x:c>
      <x:c r="G1782" s="84" t="str">
        <x:v>Sun, Part Shade</x:v>
      </x:c>
      <x:c r="H1782" s="84" t="str">
        <x:v>Low</x:v>
      </x:c>
      <x:c r="I1782" s="84" t="str">
        <x:v>rhus virens</x:v>
      </x:c>
    </x:row>
    <x:row r="1783">
      <x:c r="A1783" s="83" t="str">
        <x:v>Existing master workbook</x:v>
      </x:c>
      <x:c r="B1783" s="84" t="n">
        <x:v>207</x:v>
      </x:c>
      <x:c r="C1783" s="87" t="str">
        <x:v>Sambucus nigra ssp. canadensis</x:v>
      </x:c>
      <x:c r="D1783" s="84" t="str">
        <x:v>Common Elderberry</x:v>
      </x:c>
      <x:c r="E1783" s="84" t="str">
        <x:v>Perennial</x:v>
      </x:c>
      <x:c r="F1783" s="84" t="str">
        <x:v>Shrub</x:v>
      </x:c>
      <x:c r="G1783" s="84" t="str">
        <x:v>Sun, Part Shade</x:v>
      </x:c>
      <x:c r="H1783" s="84" t="str">
        <x:v>Medium</x:v>
      </x:c>
      <x:c r="I1783" s="84" t="str">
        <x:v>sambucus nigra ssp. canadensis</x:v>
      </x:c>
    </x:row>
    <x:row r="1784">
      <x:c r="A1784" s="83" t="str">
        <x:v>Existing master workbook</x:v>
      </x:c>
      <x:c r="B1784" s="84" t="n">
        <x:v>208</x:v>
      </x:c>
      <x:c r="C1784" s="87" t="str">
        <x:v>Symphoricarpos orbiculatus</x:v>
      </x:c>
      <x:c r="D1784" s="84" t="str">
        <x:v>Coralberry, Indian Currant, Buckbrush</x:v>
      </x:c>
      <x:c r="E1784" s="84" t="str">
        <x:v>Perennial</x:v>
      </x:c>
      <x:c r="F1784" s="84" t="str">
        <x:v>Shrub</x:v>
      </x:c>
      <x:c r="G1784" s="84" t="str">
        <x:v>Shade, Part Shade</x:v>
      </x:c>
      <x:c r="H1784" s="84" t="str">
        <x:v>Medium</x:v>
      </x:c>
      <x:c r="I1784" s="84" t="str">
        <x:v>symphoricarpos orbiculatus</x:v>
      </x:c>
    </x:row>
    <x:row r="1785">
      <x:c r="A1785" s="83" t="str">
        <x:v>Existing master workbook</x:v>
      </x:c>
      <x:c r="B1785" s="84" t="n">
        <x:v>209</x:v>
      </x:c>
      <x:c r="C1785" s="87" t="str">
        <x:v>Tecoma stans</x:v>
      </x:c>
      <x:c r="D1785" s="84" t="str">
        <x:v>Yellow Bells</x:v>
      </x:c>
      <x:c r="E1785" s="84" t="str">
        <x:v>Perennial</x:v>
      </x:c>
      <x:c r="F1785" s="84" t="str">
        <x:v>Shrub</x:v>
      </x:c>
      <x:c r="G1785" s="84" t="str">
        <x:v>Sun</x:v>
      </x:c>
      <x:c r="H1785" s="84" t="str">
        <x:v>Low</x:v>
      </x:c>
      <x:c r="I1785" s="84" t="str">
        <x:v>tecoma stans</x:v>
      </x:c>
    </x:row>
    <x:row r="1786">
      <x:c r="A1786" s="83" t="str">
        <x:v>Existing master workbook</x:v>
      </x:c>
      <x:c r="B1786" s="84" t="n">
        <x:v>210</x:v>
      </x:c>
      <x:c r="C1786" s="87" t="str">
        <x:v>Viguiera dentata</x:v>
      </x:c>
      <x:c r="D1786" s="84" t="str">
        <x:v>Toothleaf goldeneye</x:v>
      </x:c>
      <x:c r="E1786" s="84" t="str">
        <x:v>Perennial</x:v>
      </x:c>
      <x:c r="F1786" s="84" t="str">
        <x:v>Shrub</x:v>
      </x:c>
      <x:c r="G1786" s="84" t="str">
        <x:v>Sun</x:v>
      </x:c>
      <x:c r="H1786" s="84" t="str">
        <x:v>Low</x:v>
      </x:c>
      <x:c r="I1786" s="84" t="str">
        <x:v>viguiera dentata</x:v>
      </x:c>
    </x:row>
    <x:row r="1787">
      <x:c r="A1787" s="83" t="str">
        <x:v>Existing master workbook</x:v>
      </x:c>
      <x:c r="B1787" s="84" t="n">
        <x:v>211</x:v>
      </x:c>
      <x:c r="C1787" s="87" t="str">
        <x:v>Senna lindheimeriana</x:v>
      </x:c>
      <x:c r="D1787" s="84" t="str">
        <x:v>Lindheimer's Senna, Velvet Leaf Senna, Velvetleaf Senna, Velvet-leaf Wild Sensitive-plant, Puppy-dog Ears</x:v>
      </x:c>
      <x:c r="E1787" s="84" t="str">
        <x:v>Perennial</x:v>
      </x:c>
      <x:c r="F1787" s="84" t="str">
        <x:v>Shrub</x:v>
      </x:c>
      <x:c r="G1787" s="84" t="str">
        <x:v>Sun, Part Shade</x:v>
      </x:c>
      <x:c r="H1787" s="84" t="str">
        <x:v>Low</x:v>
      </x:c>
      <x:c r="I1787" s="84" t="str">
        <x:v>senna lindheimeriana</x:v>
      </x:c>
    </x:row>
    <x:row r="1788">
      <x:c r="A1788" s="83" t="str">
        <x:v>Existing master workbook</x:v>
      </x:c>
      <x:c r="B1788" s="84" t="n">
        <x:v>212</x:v>
      </x:c>
      <x:c r="C1788" s="87" t="str">
        <x:v>Cornus drummondii</x:v>
      </x:c>
      <x:c r="D1788" s="84" t="str">
        <x:v>Roughleaf Dogwood, Drummond's Dogwood, Rough-leaf Dogwood</x:v>
      </x:c>
      <x:c r="E1788" s="84" t="str">
        <x:v>Perennial</x:v>
      </x:c>
      <x:c r="F1788" s="84" t="str">
        <x:v>Shrub, Tree</x:v>
      </x:c>
      <x:c r="G1788" s="84" t="str">
        <x:v>Sun, Part Shade</x:v>
      </x:c>
      <x:c r="H1788" s="84" t="str">
        <x:v>Medium</x:v>
      </x:c>
      <x:c r="I1788" s="84" t="str">
        <x:v>cornus drummondii</x:v>
      </x:c>
    </x:row>
    <x:row r="1789">
      <x:c r="A1789" s="83" t="str">
        <x:v>Existing master workbook</x:v>
      </x:c>
      <x:c r="B1789" s="84" t="n">
        <x:v>213</x:v>
      </x:c>
      <x:c r="C1789" s="87" t="str">
        <x:v>Dermatophyllum secundiflorum</x:v>
      </x:c>
      <x:c r="D1789" s="84" t="str">
        <x:v>Texas Mountain Laurel</x:v>
      </x:c>
      <x:c r="E1789" s="84" t="str">
        <x:v>Perennial</x:v>
      </x:c>
      <x:c r="F1789" s="84" t="str">
        <x:v>Shrub, Tree</x:v>
      </x:c>
      <x:c r="G1789" s="84" t="str">
        <x:v>Sun, Part Shade</x:v>
      </x:c>
      <x:c r="H1789" s="84" t="str">
        <x:v>Low (Dry)</x:v>
      </x:c>
      <x:c r="I1789" s="84" t="str">
        <x:v>dermatophyllum secundiflorum</x:v>
      </x:c>
    </x:row>
    <x:row r="1790">
      <x:c r="A1790" s="83" t="str">
        <x:v>Existing master workbook</x:v>
      </x:c>
      <x:c r="B1790" s="84" t="n">
        <x:v>214</x:v>
      </x:c>
      <x:c r="C1790" s="87" t="str">
        <x:v>Ilex decidua</x:v>
      </x:c>
      <x:c r="D1790" s="84" t="str">
        <x:v>Possumhaw, Possumhaw Holly, Deciduous Holly, Meadow Holly, Prairie Holly, Swamp Holly, Welk Holly, Deciduous Yaupon, Bearberry, Winterberry</x:v>
      </x:c>
      <x:c r="E1790" s="84" t="str">
        <x:v>Perennial</x:v>
      </x:c>
      <x:c r="F1790" s="84" t="str">
        <x:v>Shrub, Tree</x:v>
      </x:c>
      <x:c r="G1790" s="84" t="str">
        <x:v>Sun, Part Shade</x:v>
      </x:c>
      <x:c r="H1790" s="84" t="str">
        <x:v>Medium</x:v>
      </x:c>
      <x:c r="I1790" s="84" t="str">
        <x:v>ilex decidua</x:v>
      </x:c>
    </x:row>
    <x:row r="1791">
      <x:c r="A1791" s="83" t="str">
        <x:v>Existing master workbook</x:v>
      </x:c>
      <x:c r="B1791" s="84" t="n">
        <x:v>215</x:v>
      </x:c>
      <x:c r="C1791" s="87" t="str">
        <x:v>Ilex vomitoria</x:v>
      </x:c>
      <x:c r="D1791" s="84" t="str">
        <x:v>Yaupon, Yaupon Holly, Cassina</x:v>
      </x:c>
      <x:c r="E1791" s="84" t="str">
        <x:v>Perennial</x:v>
      </x:c>
      <x:c r="F1791" s="84" t="str">
        <x:v>Shrub, Tree</x:v>
      </x:c>
      <x:c r="G1791" s="84" t="str">
        <x:v>Sun, Part Shade</x:v>
      </x:c>
      <x:c r="H1791" s="84" t="str">
        <x:v>Low–Medium</x:v>
      </x:c>
      <x:c r="I1791" s="84" t="str">
        <x:v>ilex vomitoria</x:v>
      </x:c>
    </x:row>
    <x:row r="1792">
      <x:c r="A1792" s="83" t="str">
        <x:v>Existing master workbook</x:v>
      </x:c>
      <x:c r="B1792" s="84" t="n">
        <x:v>216</x:v>
      </x:c>
      <x:c r="C1792" s="87" t="str">
        <x:v>Leucaena retusa</x:v>
      </x:c>
      <x:c r="D1792" s="84" t="str">
        <x:v>Goldenball Leadtree, Littleleaf Leadtree, Little Leucaena, Lemonball, Wahoo Tree</x:v>
      </x:c>
      <x:c r="E1792" s="84" t="str">
        <x:v>Perennial</x:v>
      </x:c>
      <x:c r="F1792" s="84" t="str">
        <x:v>Shrub, Tree</x:v>
      </x:c>
      <x:c r="G1792" s="84" t="str">
        <x:v>Sun</x:v>
      </x:c>
      <x:c r="H1792" s="84" t="str">
        <x:v>Low</x:v>
      </x:c>
      <x:c r="I1792" s="84" t="str">
        <x:v>leucaena retusa</x:v>
      </x:c>
    </x:row>
    <x:row r="1793">
      <x:c r="A1793" s="83" t="str">
        <x:v>Existing master workbook</x:v>
      </x:c>
      <x:c r="B1793" s="84" t="n">
        <x:v>217</x:v>
      </x:c>
      <x:c r="C1793" s="87" t="str">
        <x:v>Prunus angustifolia</x:v>
      </x:c>
      <x:c r="D1793" s="84" t="str">
        <x:v>Chickasaw Plum, Sandhill Plum</x:v>
      </x:c>
      <x:c r="E1793" s="84" t="str">
        <x:v>Perennial</x:v>
      </x:c>
      <x:c r="F1793" s="84" t="str">
        <x:v>Shrub, Tree</x:v>
      </x:c>
      <x:c r="G1793" s="84" t="str">
        <x:v>Sun</x:v>
      </x:c>
      <x:c r="H1793" s="84" t="str">
        <x:v>Medium</x:v>
      </x:c>
      <x:c r="I1793" s="84" t="str">
        <x:v>prunus angustifolia</x:v>
      </x:c>
    </x:row>
    <x:row r="1794">
      <x:c r="A1794" s="83" t="str">
        <x:v>Existing master workbook</x:v>
      </x:c>
      <x:c r="B1794" s="84" t="n">
        <x:v>218</x:v>
      </x:c>
      <x:c r="C1794" s="87" t="str">
        <x:v>Rhus lanceolata</x:v>
      </x:c>
      <x:c r="D1794" s="84" t="str">
        <x:v>Prairie Flameleaf Sumac, Flameleaf Sumac, Prairie Sumac, Lance-leaf Sumac, Lance-leaved Sumac, Texas Sumac, Tree Sumac, Limestone Sumac, Prairie Shining Sumac</x:v>
      </x:c>
      <x:c r="E1794" s="84" t="str">
        <x:v>Perennial</x:v>
      </x:c>
      <x:c r="F1794" s="84" t="str">
        <x:v>Shrub, Tree</x:v>
      </x:c>
      <x:c r="G1794" s="84" t="str">
        <x:v>Sun</x:v>
      </x:c>
      <x:c r="H1794" s="84" t="str">
        <x:v>Low</x:v>
      </x:c>
      <x:c r="I1794" s="84" t="str">
        <x:v>rhus lanceolata</x:v>
      </x:c>
    </x:row>
    <x:row r="1795">
      <x:c r="A1795" s="83" t="str">
        <x:v>Existing master workbook</x:v>
      </x:c>
      <x:c r="B1795" s="84" t="n">
        <x:v>219</x:v>
      </x:c>
      <x:c r="C1795" s="87" t="str">
        <x:v>Sambucus nigra</x:v>
      </x:c>
      <x:c r="D1795" s="84" t="str">
        <x:v>Black Elderberry</x:v>
      </x:c>
      <x:c r="E1795" s="84" t="str">
        <x:v>Perennial</x:v>
      </x:c>
      <x:c r="F1795" s="84" t="str">
        <x:v>Shrub, Tree</x:v>
      </x:c>
      <x:c r="G1795" s="84" t="str">
        <x:v>Sun, Part Shade</x:v>
      </x:c>
      <x:c r="H1795" s="84" t="str">
        <x:v>Medium</x:v>
      </x:c>
      <x:c r="I1795" s="84" t="str">
        <x:v>sambucus nigra</x:v>
      </x:c>
    </x:row>
    <x:row r="1796">
      <x:c r="A1796" s="83" t="str">
        <x:v>Existing master workbook</x:v>
      </x:c>
      <x:c r="B1796" s="84" t="n">
        <x:v>220</x:v>
      </x:c>
      <x:c r="C1796" s="87" t="str">
        <x:v>Senegalia greggii</x:v>
      </x:c>
      <x:c r="D1796" s="84" t="str">
        <x:v>Gregg Acacia, Gregg's Acacia, Gregg Catclaw Acacia, Gregg's Catclaw Acacia, Gregg Catclaw, Gregg's Catclaw, Texas Catclaw Acacia, Texas Catclaw, Long-flowered Catclaw Acacia, Longflower Catclaw Acacia, Long-flowered Catclaw, Longflower Catclaw, Catclaw Acacia, Catclaw, Devil's Claw, Uña De Gato</x:v>
      </x:c>
      <x:c r="E1796" s="84" t="str">
        <x:v>Perennial</x:v>
      </x:c>
      <x:c r="F1796" s="84" t="str">
        <x:v>Shrub, Tree</x:v>
      </x:c>
      <x:c r="G1796" s="84" t="str">
        <x:v>Sun</x:v>
      </x:c>
      <x:c r="H1796" s="84" t="str">
        <x:v>Low</x:v>
      </x:c>
      <x:c r="I1796" s="84" t="str">
        <x:v>senegalia greggii</x:v>
      </x:c>
    </x:row>
    <x:row r="1797">
      <x:c r="A1797" s="83" t="str">
        <x:v>Existing master workbook</x:v>
      </x:c>
      <x:c r="B1797" s="84" t="n">
        <x:v>221</x:v>
      </x:c>
      <x:c r="C1797" s="87" t="str">
        <x:v>Senegalia wrightii</x:v>
      </x:c>
      <x:c r="D1797" s="84" t="str">
        <x:v>Wright Acacia, Wright's Acacia, Catclaw Acacia, Catclaw</x:v>
      </x:c>
      <x:c r="E1797" s="84" t="str">
        <x:v>Perennial</x:v>
      </x:c>
      <x:c r="F1797" s="84" t="str">
        <x:v>Shrub, Tree</x:v>
      </x:c>
      <x:c r="G1797" s="84" t="str">
        <x:v>Sun</x:v>
      </x:c>
      <x:c r="H1797" s="84" t="str">
        <x:v>Low</x:v>
      </x:c>
      <x:c r="I1797" s="84" t="str">
        <x:v>senegalia wrightii</x:v>
      </x:c>
    </x:row>
    <x:row r="1798">
      <x:c r="A1798" s="83" t="str">
        <x:v>Existing master workbook</x:v>
      </x:c>
      <x:c r="B1798" s="84" t="n">
        <x:v>222</x:v>
      </x:c>
      <x:c r="C1798" s="87" t="str">
        <x:v>Vachellia farnesiana</x:v>
      </x:c>
      <x:c r="D1798" s="84" t="str">
        <x:v>Huisache, Texas Huisache, Sweet Acacia, Perfume Acacia, Mealy Acacia, Mealy Wattle, Cassie</x:v>
      </x:c>
      <x:c r="E1798" s="84" t="str">
        <x:v>Perennial</x:v>
      </x:c>
      <x:c r="F1798" s="84" t="str">
        <x:v>Shrub, Tree</x:v>
      </x:c>
      <x:c r="G1798" s="84" t="str">
        <x:v>Sun</x:v>
      </x:c>
      <x:c r="H1798" s="84" t="str">
        <x:v>Low</x:v>
      </x:c>
      <x:c r="I1798" s="84" t="str">
        <x:v>vachellia farnesiana</x:v>
      </x:c>
    </x:row>
    <x:row r="1799">
      <x:c r="A1799" s="83" t="str">
        <x:v>Existing master workbook</x:v>
      </x:c>
      <x:c r="B1799" s="84" t="n">
        <x:v>223</x:v>
      </x:c>
      <x:c r="C1799" s="87" t="str">
        <x:v>Viburnum rufidulum</x:v>
      </x:c>
      <x:c r="D1799" s="84" t="str">
        <x:v>Rusty Blackhaw Viburnum, Rusty Blackhaw, Southern Blackhaw, Blackhaw, Bluehaw, Downy Viburnum, Southern Nannyberry, Rusty Nannyberry, Nannyberry</x:v>
      </x:c>
      <x:c r="E1799" s="84" t="str">
        <x:v>Perennial</x:v>
      </x:c>
      <x:c r="F1799" s="84" t="str">
        <x:v>Shrub, Tree</x:v>
      </x:c>
      <x:c r="G1799" s="84" t="str">
        <x:v>Sun</x:v>
      </x:c>
      <x:c r="H1799" s="84" t="str">
        <x:v>Medium</x:v>
      </x:c>
      <x:c r="I1799" s="84" t="str">
        <x:v>viburnum rufidulum</x:v>
      </x:c>
    </x:row>
    <x:row r="1800">
      <x:c r="A1800" s="83" t="str">
        <x:v>Existing master workbook</x:v>
      </x:c>
      <x:c r="B1800" s="84" t="n">
        <x:v>224</x:v>
      </x:c>
      <x:c r="C1800" s="87" t="str">
        <x:v>Abutilon fruticosum</x:v>
      </x:c>
      <x:c r="D1800" s="84" t="str">
        <x:v>Indian Mallow, Texas Indian Mallow</x:v>
      </x:c>
      <x:c r="E1800" s="84" t="str">
        <x:v>Perennial</x:v>
      </x:c>
      <x:c r="F1800" s="84" t="str">
        <x:v>Subshrub</x:v>
      </x:c>
      <x:c r="G1800" s="84" t="str">
        <x:v>Sun</x:v>
      </x:c>
      <x:c r="H1800" s="84" t="str">
        <x:v>Low</x:v>
      </x:c>
      <x:c r="I1800" s="84" t="str">
        <x:v>abutilon fruticosum</x:v>
      </x:c>
    </x:row>
    <x:row r="1801">
      <x:c r="A1801" s="83" t="str">
        <x:v>Existing master workbook</x:v>
      </x:c>
      <x:c r="B1801" s="84" t="n">
        <x:v>225</x:v>
      </x:c>
      <x:c r="C1801" s="87" t="str">
        <x:v>Chrysactinia mexicana</x:v>
      </x:c>
      <x:c r="D1801" s="84" t="str">
        <x:v>Damianita</x:v>
      </x:c>
      <x:c r="E1801" s="84" t="str">
        <x:v>Perennial</x:v>
      </x:c>
      <x:c r="F1801" s="84" t="str">
        <x:v>Subshrub</x:v>
      </x:c>
      <x:c r="G1801" s="84" t="str">
        <x:v>Sun</x:v>
      </x:c>
      <x:c r="H1801" s="84" t="str">
        <x:v>Low</x:v>
      </x:c>
      <x:c r="I1801" s="84" t="str">
        <x:v>chrysactinia mexicana</x:v>
      </x:c>
    </x:row>
    <x:row r="1802">
      <x:c r="A1802" s="83" t="str">
        <x:v>Existing master workbook</x:v>
      </x:c>
      <x:c r="B1802" s="84" t="n">
        <x:v>226</x:v>
      </x:c>
      <x:c r="C1802" s="87" t="str">
        <x:v>Dalea frutescens</x:v>
      </x:c>
      <x:c r="D1802" s="84" t="str">
        <x:v>Black Dalea, Black Prairie Clover</x:v>
      </x:c>
      <x:c r="E1802" s="84" t="str">
        <x:v>Perennial</x:v>
      </x:c>
      <x:c r="F1802" s="84" t="str">
        <x:v>Subshrub</x:v>
      </x:c>
      <x:c r="G1802" s="84" t="str">
        <x:v>Sun</x:v>
      </x:c>
      <x:c r="H1802" s="84" t="str">
        <x:v>Low (Dry)</x:v>
      </x:c>
      <x:c r="I1802" s="84" t="str">
        <x:v>dalea frutescens</x:v>
      </x:c>
    </x:row>
    <x:row r="1803">
      <x:c r="A1803" s="83" t="str">
        <x:v>Existing master workbook</x:v>
      </x:c>
      <x:c r="B1803" s="84" t="n">
        <x:v>227</x:v>
      </x:c>
      <x:c r="C1803" s="87" t="str">
        <x:v>Penstemon baccharifolius</x:v>
      </x:c>
      <x:c r="D1803" s="84" t="str">
        <x:v>Rock Penstemon, Rock Beardtongue, Cut-leaf Penstemon, Cut-leaf Beardtongue, Baccharis-leaf Penstemon, Baccharis-leaf Beardtongue</x:v>
      </x:c>
      <x:c r="E1803" s="84" t="str">
        <x:v>Perennial</x:v>
      </x:c>
      <x:c r="F1803" s="84" t="str">
        <x:v>Subshrub</x:v>
      </x:c>
      <x:c r="G1803" s="84" t="str">
        <x:v>Sun</x:v>
      </x:c>
      <x:c r="H1803" s="84" t="str">
        <x:v>Low</x:v>
      </x:c>
      <x:c r="I1803" s="84" t="str">
        <x:v>penstemon baccharifolius</x:v>
      </x:c>
    </x:row>
    <x:row r="1804">
      <x:c r="A1804" s="83" t="str">
        <x:v>Existing master workbook</x:v>
      </x:c>
      <x:c r="B1804" s="84" t="n">
        <x:v>228</x:v>
      </x:c>
      <x:c r="C1804" s="87" t="str">
        <x:v>Perityle lindheimeri</x:v>
      </x:c>
      <x:c r="D1804" s="84" t="str">
        <x:v>Rocky Daisy, Lindheimer's rock daisy</x:v>
      </x:c>
      <x:c r="E1804" s="84" t="str">
        <x:v>Perennial</x:v>
      </x:c>
      <x:c r="F1804" s="84" t="str">
        <x:v>Subshrub</x:v>
      </x:c>
      <x:c r="G1804" s="84" t="str">
        <x:v>Sun, Part Shade</x:v>
      </x:c>
      <x:c r="H1804" s="84" t="str">
        <x:v>Low, Dry-Moist</x:v>
      </x:c>
      <x:c r="I1804" s="84" t="str">
        <x:v>perityle lindheimeri</x:v>
      </x:c>
    </x:row>
    <x:row r="1805">
      <x:c r="A1805" s="83" t="str">
        <x:v>Existing master workbook</x:v>
      </x:c>
      <x:c r="B1805" s="84" t="n">
        <x:v>229</x:v>
      </x:c>
      <x:c r="C1805" s="87" t="str">
        <x:v>Salvia ballotiflora</x:v>
      </x:c>
      <x:c r="D1805" s="84" t="str">
        <x:v>Shrubby Blue Sage</x:v>
      </x:c>
      <x:c r="E1805" s="84" t="str">
        <x:v>Perennial</x:v>
      </x:c>
      <x:c r="F1805" s="84" t="str">
        <x:v>Subshrub</x:v>
      </x:c>
      <x:c r="G1805" s="84" t="str">
        <x:v>Full Sun</x:v>
      </x:c>
      <x:c r="H1805" s="84" t="str">
        <x:v>Dry to Moist</x:v>
      </x:c>
      <x:c r="I1805" s="84" t="str">
        <x:v>salvia ballotiflora</x:v>
      </x:c>
    </x:row>
    <x:row r="1806">
      <x:c r="A1806" s="83" t="str">
        <x:v>Existing master workbook</x:v>
      </x:c>
      <x:c r="B1806" s="84" t="n">
        <x:v>230</x:v>
      </x:c>
      <x:c r="C1806" s="87" t="str">
        <x:v>Salvia greggii</x:v>
      </x:c>
      <x:c r="D1806" s="84" t="str">
        <x:v>Autumn Sage, Cherry Sage, Gregg Salvia</x:v>
      </x:c>
      <x:c r="E1806" s="84" t="str">
        <x:v>Perennial</x:v>
      </x:c>
      <x:c r="F1806" s="84" t="str">
        <x:v>Subshrub</x:v>
      </x:c>
      <x:c r="G1806" s="84" t="str">
        <x:v>Sun</x:v>
      </x:c>
      <x:c r="H1806" s="84" t="str">
        <x:v>Low</x:v>
      </x:c>
      <x:c r="I1806" s="84" t="str">
        <x:v>salvia greggii</x:v>
      </x:c>
    </x:row>
    <x:row r="1807">
      <x:c r="A1807" s="83" t="str">
        <x:v>Existing master workbook</x:v>
      </x:c>
      <x:c r="B1807" s="84" t="n">
        <x:v>231</x:v>
      </x:c>
      <x:c r="C1807" s="87" t="str">
        <x:v>Wedelia acapulcensis</x:v>
      </x:c>
      <x:c r="D1807" s="84" t="str">
        <x:v>Orange Zexmenia</x:v>
      </x:c>
      <x:c r="E1807" s="84" t="str">
        <x:v>Perennial</x:v>
      </x:c>
      <x:c r="F1807" s="84" t="str">
        <x:v>Subshrub</x:v>
      </x:c>
      <x:c r="G1807" s="84" t="str">
        <x:v>Sun</x:v>
      </x:c>
      <x:c r="H1807" s="84" t="str">
        <x:v>Low</x:v>
      </x:c>
      <x:c r="I1807" s="84" t="str">
        <x:v>wedelia acapulcensis</x:v>
      </x:c>
    </x:row>
    <x:row r="1808">
      <x:c r="A1808" s="83" t="str">
        <x:v>Existing master workbook</x:v>
      </x:c>
      <x:c r="B1808" s="84" t="n">
        <x:v>232</x:v>
      </x:c>
      <x:c r="C1808" s="87" t="str">
        <x:v>Wedelia acapulcensis var. hispida</x:v>
      </x:c>
      <x:c r="D1808" s="84" t="str">
        <x:v>Zexmenia</x:v>
      </x:c>
      <x:c r="E1808" s="84" t="str">
        <x:v>Perennial</x:v>
      </x:c>
      <x:c r="F1808" s="84" t="str">
        <x:v>Subshrub</x:v>
      </x:c>
      <x:c r="G1808" s="84" t="str">
        <x:v>Sun</x:v>
      </x:c>
      <x:c r="H1808" s="84" t="str">
        <x:v>Low</x:v>
      </x:c>
      <x:c r="I1808" s="84" t="str">
        <x:v>wedelia acapulcensis var. hispida</x:v>
      </x:c>
    </x:row>
    <x:row r="1809">
      <x:c r="A1809" s="83" t="str">
        <x:v>Existing master workbook</x:v>
      </x:c>
      <x:c r="B1809" s="84" t="n">
        <x:v>233</x:v>
      </x:c>
      <x:c r="C1809" s="87" t="str">
        <x:v>Agave americana</x:v>
      </x:c>
      <x:c r="D1809" s="84" t="str">
        <x:v>Blue Agave (Century Plant)</x:v>
      </x:c>
      <x:c r="E1809" s="84" t="str">
        <x:v>Perennial</x:v>
      </x:c>
      <x:c r="F1809" s="84" t="str">
        <x:v>Succulent</x:v>
      </x:c>
      <x:c r="G1809" s="84" t="str">
        <x:v>Sun</x:v>
      </x:c>
      <x:c r="H1809" s="84" t="str">
        <x:v>Low</x:v>
      </x:c>
      <x:c r="I1809" s="84" t="str">
        <x:v>agave americana</x:v>
      </x:c>
    </x:row>
    <x:row r="1810">
      <x:c r="A1810" s="83" t="str">
        <x:v>Existing master workbook</x:v>
      </x:c>
      <x:c r="B1810" s="84" t="n">
        <x:v>234</x:v>
      </x:c>
      <x:c r="C1810" s="87" t="str">
        <x:v>Dasylirion texanum</x:v>
      </x:c>
      <x:c r="D1810" s="84" t="str">
        <x:v>Texas Sotol, Sotol</x:v>
      </x:c>
      <x:c r="E1810" s="84" t="str">
        <x:v>Perennial</x:v>
      </x:c>
      <x:c r="F1810" s="84" t="str">
        <x:v>Succulent</x:v>
      </x:c>
      <x:c r="G1810" s="84" t="str">
        <x:v>Sun</x:v>
      </x:c>
      <x:c r="H1810" s="84" t="str">
        <x:v>Low (Dry)</x:v>
      </x:c>
      <x:c r="I1810" s="84" t="str">
        <x:v>dasylirion texanum</x:v>
      </x:c>
    </x:row>
    <x:row r="1811">
      <x:c r="A1811" s="83" t="str">
        <x:v>Existing master workbook</x:v>
      </x:c>
      <x:c r="B1811" s="84" t="n">
        <x:v>235</x:v>
      </x:c>
      <x:c r="C1811" s="87" t="str">
        <x:v>Hesperaloe parviflora</x:v>
      </x:c>
      <x:c r="D1811" s="84" t="str">
        <x:v>Red Yucca, Coral Yucca, Red-flowered False Yucca, Redflower False Yucca, Yellow Yucca, Hummingbird Yucca, Samandoque</x:v>
      </x:c>
      <x:c r="E1811" s="84" t="str">
        <x:v>Perennial</x:v>
      </x:c>
      <x:c r="F1811" s="84" t="str">
        <x:v>Succulent</x:v>
      </x:c>
      <x:c r="G1811" s="84" t="str">
        <x:v>Sun</x:v>
      </x:c>
      <x:c r="H1811" s="84" t="str">
        <x:v>Low</x:v>
      </x:c>
      <x:c r="I1811" s="84" t="str">
        <x:v>hesperaloe parviflora</x:v>
      </x:c>
    </x:row>
    <x:row r="1812">
      <x:c r="A1812" s="83" t="str">
        <x:v>Existing master workbook</x:v>
      </x:c>
      <x:c r="B1812" s="84" t="n">
        <x:v>236</x:v>
      </x:c>
      <x:c r="C1812" s="87" t="str">
        <x:v>Manfreda maculosa</x:v>
      </x:c>
      <x:c r="D1812" s="84" t="str">
        <x:v>False Aloe, Spice Lily, Spice-lily</x:v>
      </x:c>
      <x:c r="E1812" s="84" t="str">
        <x:v>Perennial</x:v>
      </x:c>
      <x:c r="F1812" s="84" t="str">
        <x:v>Succulent</x:v>
      </x:c>
      <x:c r="G1812" s="84" t="str">
        <x:v>Sun</x:v>
      </x:c>
      <x:c r="H1812" s="84" t="str">
        <x:v>Low-Medium</x:v>
      </x:c>
      <x:c r="I1812" s="84" t="str">
        <x:v>manfreda maculosa</x:v>
      </x:c>
    </x:row>
    <x:row r="1813">
      <x:c r="A1813" s="83" t="str">
        <x:v>Existing master workbook</x:v>
      </x:c>
      <x:c r="B1813" s="84" t="n">
        <x:v>237</x:v>
      </x:c>
      <x:c r="C1813" s="87" t="str">
        <x:v>Nolina lindheimeriana</x:v>
      </x:c>
      <x:c r="D1813" s="84" t="str">
        <x:v>Devil's Shoestring, Devil's-shoestring, Ribbon Grass</x:v>
      </x:c>
      <x:c r="E1813" s="84" t="str">
        <x:v>Perennial</x:v>
      </x:c>
      <x:c r="F1813" s="84" t="str">
        <x:v>Succulent</x:v>
      </x:c>
      <x:c r="G1813" s="84" t="str">
        <x:v>Sun</x:v>
      </x:c>
      <x:c r="H1813" s="84" t="str">
        <x:v>Low</x:v>
      </x:c>
      <x:c r="I1813" s="84" t="str">
        <x:v>nolina lindheimeriana</x:v>
      </x:c>
    </x:row>
    <x:row r="1814">
      <x:c r="A1814" s="83" t="str">
        <x:v>Existing master workbook</x:v>
      </x:c>
      <x:c r="B1814" s="84" t="n">
        <x:v>238</x:v>
      </x:c>
      <x:c r="C1814" s="87" t="str">
        <x:v>Nolina texana</x:v>
      </x:c>
      <x:c r="D1814" s="84" t="str">
        <x:v>Texas Sacahuista, Texas Beargrass, Basket Grass, Sacahuista, Bunchgrass, Texas Bear-grass</x:v>
      </x:c>
      <x:c r="E1814" s="84" t="str">
        <x:v>Perennial</x:v>
      </x:c>
      <x:c r="F1814" s="84" t="str">
        <x:v>Succulent</x:v>
      </x:c>
      <x:c r="G1814" s="84" t="str">
        <x:v>Sun</x:v>
      </x:c>
      <x:c r="H1814" s="84" t="str">
        <x:v>Low</x:v>
      </x:c>
      <x:c r="I1814" s="84" t="str">
        <x:v>nolina texana</x:v>
      </x:c>
    </x:row>
    <x:row r="1815">
      <x:c r="A1815" s="83" t="str">
        <x:v>Existing master workbook</x:v>
      </x:c>
      <x:c r="B1815" s="84" t="n">
        <x:v>239</x:v>
      </x:c>
      <x:c r="C1815" s="87" t="str">
        <x:v>Opuntia engelmannii</x:v>
      </x:c>
      <x:c r="D1815" s="84" t="str">
        <x:v>Prickly Pear 'Englemann's'</x:v>
      </x:c>
      <x:c r="E1815" s="84" t="str">
        <x:v>Perennial</x:v>
      </x:c>
      <x:c r="F1815" s="84" t="str">
        <x:v>Succulent</x:v>
      </x:c>
      <x:c r="G1815" s="84" t="str">
        <x:v>Sun</x:v>
      </x:c>
      <x:c r="H1815" s="84" t="str">
        <x:v>Low</x:v>
      </x:c>
      <x:c r="I1815" s="84" t="str">
        <x:v>opuntia engelmannii</x:v>
      </x:c>
    </x:row>
    <x:row r="1816">
      <x:c r="A1816" s="83" t="str">
        <x:v>Existing master workbook</x:v>
      </x:c>
      <x:c r="B1816" s="84" t="n">
        <x:v>240</x:v>
      </x:c>
      <x:c r="C1816" s="87" t="str">
        <x:v>Yucca constricta</x:v>
      </x:c>
      <x:c r="D1816" s="84" t="str">
        <x:v>Buckley Yucca, Buckley's Yucca</x:v>
      </x:c>
      <x:c r="E1816" s="84" t="str">
        <x:v>Perennial</x:v>
      </x:c>
      <x:c r="F1816" s="84" t="str">
        <x:v>Succulent</x:v>
      </x:c>
      <x:c r="G1816" s="84" t="str">
        <x:v>Sun</x:v>
      </x:c>
      <x:c r="H1816" s="84" t="str">
        <x:v>Low</x:v>
      </x:c>
      <x:c r="I1816" s="84" t="str">
        <x:v>yucca constricta</x:v>
      </x:c>
    </x:row>
    <x:row r="1817">
      <x:c r="A1817" s="83" t="str">
        <x:v>Existing master workbook</x:v>
      </x:c>
      <x:c r="B1817" s="84" t="n">
        <x:v>241</x:v>
      </x:c>
      <x:c r="C1817" s="87" t="str">
        <x:v>Yucca rupicola</x:v>
      </x:c>
      <x:c r="D1817" s="84" t="str">
        <x:v>Twistleaf Yucca, Twisted-leaf Yucca, Texas Yucca, Spanish Dagger</x:v>
      </x:c>
      <x:c r="E1817" s="84" t="str">
        <x:v>Perennial</x:v>
      </x:c>
      <x:c r="F1817" s="84" t="str">
        <x:v>Succulent</x:v>
      </x:c>
      <x:c r="G1817" s="84" t="str">
        <x:v>Sun</x:v>
      </x:c>
      <x:c r="H1817" s="84" t="str">
        <x:v>Low</x:v>
      </x:c>
      <x:c r="I1817" s="84" t="str">
        <x:v>yucca rupicola</x:v>
      </x:c>
    </x:row>
    <x:row r="1818">
      <x:c r="A1818" s="83" t="str">
        <x:v>Existing master workbook</x:v>
      </x:c>
      <x:c r="B1818" s="84" t="n">
        <x:v>242</x:v>
      </x:c>
      <x:c r="C1818" s="87" t="str">
        <x:v>Yucca treculeana</x:v>
      </x:c>
      <x:c r="D1818" s="84" t="str">
        <x:v>Spanish Dagger, Spanish Bayonet, Don Quixote's Lance, Palma Pita, Palma De Datil, Palmito</x:v>
      </x:c>
      <x:c r="E1818" s="84" t="str">
        <x:v>Perennial</x:v>
      </x:c>
      <x:c r="F1818" s="84" t="str">
        <x:v>Succulent, Tree</x:v>
      </x:c>
      <x:c r="G1818" s="84" t="str">
        <x:v>Sun</x:v>
      </x:c>
      <x:c r="H1818" s="84" t="str">
        <x:v>Low</x:v>
      </x:c>
      <x:c r="I1818" s="84" t="str">
        <x:v>yucca treculeana</x:v>
      </x:c>
    </x:row>
    <x:row r="1819">
      <x:c r="A1819" s="83" t="str">
        <x:v>Existing master workbook</x:v>
      </x:c>
      <x:c r="B1819" s="84" t="n">
        <x:v>243</x:v>
      </x:c>
      <x:c r="C1819" s="87" t="str">
        <x:v>Acer grandidentatum</x:v>
      </x:c>
      <x:c r="D1819" s="84" t="str">
        <x:v>Bigtooth Maple, Big-toothed Maple, Uvalde Bigtooth Maple, Southwestern Bigtooth Maple, Canyon Maple, Sabinal Maple, Western Sugar Maple</x:v>
      </x:c>
      <x:c r="E1819" s="84" t="str">
        <x:v>Perennial</x:v>
      </x:c>
      <x:c r="F1819" s="84" t="str">
        <x:v>Tree</x:v>
      </x:c>
      <x:c r="G1819" s="84" t="str">
        <x:v>Sun, Part Shade</x:v>
      </x:c>
      <x:c r="H1819" s="84" t="str">
        <x:v>Medium</x:v>
      </x:c>
      <x:c r="I1819" s="84" t="str">
        <x:v>acer grandidentatum</x:v>
      </x:c>
    </x:row>
    <x:row r="1820">
      <x:c r="A1820" s="83" t="str">
        <x:v>Existing master workbook</x:v>
      </x:c>
      <x:c r="B1820" s="84" t="n">
        <x:v>244</x:v>
      </x:c>
      <x:c r="C1820" s="87" t="str">
        <x:v>Acer negundo</x:v>
      </x:c>
      <x:c r="D1820" s="84" t="str">
        <x:v>Box Elder</x:v>
      </x:c>
      <x:c r="E1820" s="84" t="str">
        <x:v>Perennial</x:v>
      </x:c>
      <x:c r="F1820" s="84" t="str">
        <x:v>Tree</x:v>
      </x:c>
      <x:c r="G1820" s="84" t="str">
        <x:v>Sun, Part Shade</x:v>
      </x:c>
      <x:c r="H1820" s="84" t="str">
        <x:v>Medium</x:v>
      </x:c>
      <x:c r="I1820" s="84" t="str">
        <x:v>acer negundo</x:v>
      </x:c>
    </x:row>
    <x:row r="1821">
      <x:c r="A1821" s="83" t="str">
        <x:v>Existing master workbook</x:v>
      </x:c>
      <x:c r="B1821" s="84" t="n">
        <x:v>245</x:v>
      </x:c>
      <x:c r="C1821" s="87" t="str">
        <x:v>Aesculus glabra</x:v>
      </x:c>
      <x:c r="D1821" s="84" t="str">
        <x:v>Ohio Buckeye, Texas Buckeye, Fetid Buckeye, Horse Chestnut</x:v>
      </x:c>
      <x:c r="E1821" s="84" t="str">
        <x:v>Perennial</x:v>
      </x:c>
      <x:c r="F1821" s="84" t="str">
        <x:v>Tree</x:v>
      </x:c>
      <x:c r="G1821" s="84" t="str">
        <x:v>Shade, Part Shade</x:v>
      </x:c>
      <x:c r="H1821" s="84" t="str">
        <x:v>Medium</x:v>
      </x:c>
      <x:c r="I1821" s="84" t="str">
        <x:v>aesculus glabra</x:v>
      </x:c>
    </x:row>
    <x:row r="1822">
      <x:c r="A1822" s="83" t="str">
        <x:v>Existing master workbook</x:v>
      </x:c>
      <x:c r="B1822" s="84" t="n">
        <x:v>246</x:v>
      </x:c>
      <x:c r="C1822" s="87" t="str">
        <x:v>Aesculus pavia</x:v>
      </x:c>
      <x:c r="D1822" s="84" t="str">
        <x:v>Red Buckeye, Scarlet Buckeye , Firecracker Plant</x:v>
      </x:c>
      <x:c r="E1822" s="84" t="str">
        <x:v>Perennial Habit: Shrub , Tree Root Type: Tap Leaf Retention: Deciduous Leaf Arrangement: Opposite Leaf Complexity: Palmate Leaf Shape: Elliptic Leaf Venation: Pinnate Leaf Pubescence: Glabrous , Tomentose Leaf Margin: Crenate , Serrate Leaf Apex: Acuminate Breeding System: Flowers Unisexual , Monoecious Inflorescence: Thyrse Fruit Type: Capsule , Caryopsis Size Notes: 10-40 feet, Texas specimens usually on the short end of that range, with those in central Texas commonly no more than 15 feet. Leaf: Opposite , palmately compound , with 5, rarely 7, leaflets; leaflets elliptic to ovate , pointed at the tip, tapering to the base, toothed , green and smooth on the upper surface, paler and finely hairy on the lower surface, up to 6 inches long, up to 3 inches wide. Flower: Numerous, red, in large, loosely-flowered clusters nearly 1 foot long. Fruit: Capsules spherical, up to 2 inches across, light brown, not prickly, containing 1 or 2 light reddish brown seeds.</x:v>
      </x:c>
      <x:c r="F1822" s="84" t="str">
        <x:v>Tree</x:v>
      </x:c>
      <x:c r="G1822" s="84" t="str">
        <x:v>Part Shade</x:v>
      </x:c>
      <x:c r="H1822" s="84" t="str">
        <x:v>Medium</x:v>
      </x:c>
      <x:c r="I1822" s="84" t="str">
        <x:v>aesculus pavia</x:v>
      </x:c>
    </x:row>
    <x:row r="1823">
      <x:c r="A1823" s="83" t="str">
        <x:v>Existing master workbook</x:v>
      </x:c>
      <x:c r="B1823" s="84" t="n">
        <x:v>247</x:v>
      </x:c>
      <x:c r="C1823" s="87" t="str">
        <x:v>Arbutus xalapensis</x:v>
      </x:c>
      <x:c r="D1823" s="84" t="str">
        <x:v>Texas Madrone</x:v>
      </x:c>
      <x:c r="E1823" s="84" t="str">
        <x:v>Perennial</x:v>
      </x:c>
      <x:c r="F1823" s="84" t="str">
        <x:v>Tree</x:v>
      </x:c>
      <x:c r="G1823" s="84" t="str">
        <x:v>Sun</x:v>
      </x:c>
      <x:c r="H1823" s="84" t="str">
        <x:v>Low</x:v>
      </x:c>
      <x:c r="I1823" s="84" t="str">
        <x:v>arbutus xalapensis</x:v>
      </x:c>
    </x:row>
    <x:row r="1824">
      <x:c r="A1824" s="83" t="str">
        <x:v>Existing master workbook</x:v>
      </x:c>
      <x:c r="B1824" s="84" t="n">
        <x:v>248</x:v>
      </x:c>
      <x:c r="C1824" s="87" t="str">
        <x:v>Carya illinoinensis</x:v>
      </x:c>
      <x:c r="D1824" s="84" t="str">
        <x:v>Pecan</x:v>
      </x:c>
      <x:c r="E1824" s="84" t="str">
        <x:v>Perennial</x:v>
      </x:c>
      <x:c r="F1824" s="84" t="str">
        <x:v>Tree</x:v>
      </x:c>
      <x:c r="G1824" s="84" t="str">
        <x:v>Sun, Part Shade</x:v>
      </x:c>
      <x:c r="H1824" s="84" t="str">
        <x:v>Medium</x:v>
      </x:c>
      <x:c r="I1824" s="84" t="str">
        <x:v>carya illinoinensis</x:v>
      </x:c>
    </x:row>
    <x:row r="1825">
      <x:c r="A1825" s="83" t="str">
        <x:v>Existing master workbook</x:v>
      </x:c>
      <x:c r="B1825" s="84" t="n">
        <x:v>249</x:v>
      </x:c>
      <x:c r="C1825" s="87" t="str">
        <x:v>Cercis canadensis var. mexicana</x:v>
      </x:c>
      <x:c r="D1825" s="84" t="str">
        <x:v>Mexican Redbud</x:v>
      </x:c>
      <x:c r="E1825" s="84" t="str">
        <x:v>Perennial</x:v>
      </x:c>
      <x:c r="F1825" s="84" t="str">
        <x:v>Tree</x:v>
      </x:c>
      <x:c r="G1825" s="84" t="str">
        <x:v>Sun, Part Shade</x:v>
      </x:c>
      <x:c r="H1825" s="84" t="str">
        <x:v>Moist</x:v>
      </x:c>
      <x:c r="I1825" s="84" t="str">
        <x:v>cercis canadensis var. mexicana</x:v>
      </x:c>
    </x:row>
    <x:row r="1826">
      <x:c r="A1826" s="83" t="str">
        <x:v>Existing master workbook</x:v>
      </x:c>
      <x:c r="B1826" s="84" t="n">
        <x:v>250</x:v>
      </x:c>
      <x:c r="C1826" s="87" t="str">
        <x:v>Cercis canadensis var. texensis</x:v>
      </x:c>
      <x:c r="D1826" s="84" t="str">
        <x:v>Texas Redbud</x:v>
      </x:c>
      <x:c r="E1826" s="84" t="str">
        <x:v>Perennial</x:v>
      </x:c>
      <x:c r="F1826" s="84" t="str">
        <x:v>Tree</x:v>
      </x:c>
      <x:c r="G1826" s="84" t="str">
        <x:v>Sun, Part Shade</x:v>
      </x:c>
      <x:c r="H1826" s="84" t="str">
        <x:v>Medium</x:v>
      </x:c>
      <x:c r="I1826" s="84" t="str">
        <x:v>cercis canadensis var. texensis</x:v>
      </x:c>
    </x:row>
    <x:row r="1827">
      <x:c r="A1827" s="83" t="str">
        <x:v>Existing master workbook</x:v>
      </x:c>
      <x:c r="B1827" s="84" t="n">
        <x:v>251</x:v>
      </x:c>
      <x:c r="C1827" s="87" t="str">
        <x:v>Chilopsis linearis</x:v>
      </x:c>
      <x:c r="D1827" s="84" t="str">
        <x:v>Desert Willow, Flowering Willow, Willow-leaved Catalpa, Willowleaf Catalpa, Bow Willow, Flor De Mimbre, Mimbre</x:v>
      </x:c>
      <x:c r="E1827" s="84" t="str">
        <x:v>Perennial</x:v>
      </x:c>
      <x:c r="F1827" s="84" t="str">
        <x:v>Tree</x:v>
      </x:c>
      <x:c r="G1827" s="84" t="str">
        <x:v>Sun</x:v>
      </x:c>
      <x:c r="H1827" s="84" t="str">
        <x:v>Low</x:v>
      </x:c>
      <x:c r="I1827" s="84" t="str">
        <x:v>chilopsis linearis</x:v>
      </x:c>
    </x:row>
    <x:row r="1828">
      <x:c r="A1828" s="83" t="str">
        <x:v>Existing master workbook</x:v>
      </x:c>
      <x:c r="B1828" s="84" t="n">
        <x:v>252</x:v>
      </x:c>
      <x:c r="C1828" s="87" t="str">
        <x:v>Cotinus obovatus</x:v>
      </x:c>
      <x:c r="D1828" s="84" t="str">
        <x:v>American Smoke Tree, Texas Smoke Tree, Wild Smoke Tree, Smoke Tree, Smokebush, Chittamwood</x:v>
      </x:c>
      <x:c r="E1828" s="84" t="str">
        <x:v>Perennial</x:v>
      </x:c>
      <x:c r="F1828" s="84" t="str">
        <x:v>Tree</x:v>
      </x:c>
      <x:c r="G1828" s="84" t="str">
        <x:v>Sun</x:v>
      </x:c>
      <x:c r="H1828" s="84" t="str">
        <x:v>Medium</x:v>
      </x:c>
      <x:c r="I1828" s="84" t="str">
        <x:v>cotinus obovatus</x:v>
      </x:c>
    </x:row>
    <x:row r="1829">
      <x:c r="A1829" s="83" t="str">
        <x:v>Existing master workbook</x:v>
      </x:c>
      <x:c r="B1829" s="84" t="n">
        <x:v>253</x:v>
      </x:c>
      <x:c r="C1829" s="87" t="str">
        <x:v>Diospyros texana</x:v>
      </x:c>
      <x:c r="D1829" s="84" t="str">
        <x:v>Texas Persimmon, Mexican Persimmon, Black Persimmon, Chapote, Chapote Prieto</x:v>
      </x:c>
      <x:c r="E1829" s="84" t="str">
        <x:v>Perennial</x:v>
      </x:c>
      <x:c r="F1829" s="84" t="str">
        <x:v>Tree</x:v>
      </x:c>
      <x:c r="G1829" s="84" t="str">
        <x:v>Sun, Part Shade</x:v>
      </x:c>
      <x:c r="H1829" s="84" t="str">
        <x:v>Low (Dry)</x:v>
      </x:c>
      <x:c r="I1829" s="84" t="str">
        <x:v>diospyros texana</x:v>
      </x:c>
    </x:row>
    <x:row r="1830">
      <x:c r="A1830" s="83" t="str">
        <x:v>Existing master workbook</x:v>
      </x:c>
      <x:c r="B1830" s="84" t="n">
        <x:v>254</x:v>
      </x:c>
      <x:c r="C1830" s="87" t="str">
        <x:v>Diospyros virginiana</x:v>
      </x:c>
      <x:c r="D1830" s="84" t="str">
        <x:v>Common Persimmon, Eastern Persimmon, Possumwood, Date Plum, Winter Plum, Jove's Fruit</x:v>
      </x:c>
      <x:c r="E1830" s="84" t="str">
        <x:v>Perennial</x:v>
      </x:c>
      <x:c r="F1830" s="84" t="str">
        <x:v>Tree</x:v>
      </x:c>
      <x:c r="G1830" s="84" t="str">
        <x:v>Sun, Part Shade</x:v>
      </x:c>
      <x:c r="H1830" s="84" t="str">
        <x:v>Medium</x:v>
      </x:c>
      <x:c r="I1830" s="84" t="str">
        <x:v>diospyros virginiana</x:v>
      </x:c>
    </x:row>
    <x:row r="1831">
      <x:c r="A1831" s="83" t="str">
        <x:v>Existing master workbook</x:v>
      </x:c>
      <x:c r="B1831" s="84" t="n">
        <x:v>255</x:v>
      </x:c>
      <x:c r="C1831" s="87" t="str">
        <x:v>Ehretia anacua</x:v>
      </x:c>
      <x:c r="D1831" s="84" t="str">
        <x:v>Anacua, Sugarberry Anacua, Anaqua, Anacahuita, Knockaway, Knackaway, Sandpaper Tree, Manzanita, Manzanillo, Tlalahuacate</x:v>
      </x:c>
      <x:c r="E1831" s="84" t="str">
        <x:v>Perennial</x:v>
      </x:c>
      <x:c r="F1831" s="84" t="str">
        <x:v>Tree</x:v>
      </x:c>
      <x:c r="G1831" s="84" t="str">
        <x:v>Sun</x:v>
      </x:c>
      <x:c r="H1831" s="84" t="str">
        <x:v>Medium</x:v>
      </x:c>
      <x:c r="I1831" s="84" t="str">
        <x:v>ehretia anacua</x:v>
      </x:c>
    </x:row>
    <x:row r="1832">
      <x:c r="A1832" s="83" t="str">
        <x:v>Existing master workbook</x:v>
      </x:c>
      <x:c r="B1832" s="84" t="n">
        <x:v>256</x:v>
      </x:c>
      <x:c r="C1832" s="87" t="str">
        <x:v>Fraxinus albicans</x:v>
      </x:c>
      <x:c r="D1832" s="84" t="str">
        <x:v>Texas Ash, Mountain Ash</x:v>
      </x:c>
      <x:c r="E1832" s="84" t="str">
        <x:v>Perennial</x:v>
      </x:c>
      <x:c r="F1832" s="84" t="str">
        <x:v>Tree</x:v>
      </x:c>
      <x:c r="G1832" s="84" t="str">
        <x:v>Sun</x:v>
      </x:c>
      <x:c r="H1832" s="84" t="str">
        <x:v>Low–Medium</x:v>
      </x:c>
      <x:c r="I1832" s="84" t="str">
        <x:v>fraxinus albicans</x:v>
      </x:c>
    </x:row>
    <x:row r="1833">
      <x:c r="A1833" s="83" t="str">
        <x:v>Existing master workbook</x:v>
      </x:c>
      <x:c r="B1833" s="84" t="n">
        <x:v>257</x:v>
      </x:c>
      <x:c r="C1833" s="87" t="str">
        <x:v>Fraxinus pennsylvanica</x:v>
      </x:c>
      <x:c r="D1833" s="84" t="str">
        <x:v>Green Ash Tree / Water Ash</x:v>
      </x:c>
      <x:c r="E1833" s="84" t="str">
        <x:v>Perennial</x:v>
      </x:c>
      <x:c r="F1833" s="84" t="str">
        <x:v>Tree</x:v>
      </x:c>
      <x:c r="G1833" s="84" t="str">
        <x:v>Full Sun</x:v>
      </x:c>
      <x:c r="H1833" s="84" t="str">
        <x:v>Moist</x:v>
      </x:c>
      <x:c r="I1833" s="84" t="str">
        <x:v>fraxinus pennsylvanica</x:v>
      </x:c>
    </x:row>
    <x:row r="1834">
      <x:c r="A1834" s="83" t="str">
        <x:v>Existing master workbook</x:v>
      </x:c>
      <x:c r="B1834" s="84" t="n">
        <x:v>258</x:v>
      </x:c>
      <x:c r="C1834" s="87" t="str">
        <x:v>Gleditsia triacanthos</x:v>
      </x:c>
      <x:c r="D1834" s="84" t="str">
        <x:v>Honey Locust, Common Honey Locust, Thorny Common Honey Locust, Honey Shucks Locust, Sweet Locust, Thorny Locust, Honey Shucks, Sweet Bean Tree</x:v>
      </x:c>
      <x:c r="E1834" s="84" t="str">
        <x:v>Perennial</x:v>
      </x:c>
      <x:c r="F1834" s="84" t="str">
        <x:v>Tree</x:v>
      </x:c>
      <x:c r="G1834" s="84" t="str">
        <x:v>Sun</x:v>
      </x:c>
      <x:c r="H1834" s="84" t="str">
        <x:v>Medium</x:v>
      </x:c>
      <x:c r="I1834" s="84" t="str">
        <x:v>gleditsia triacanthos</x:v>
      </x:c>
    </x:row>
    <x:row r="1835">
      <x:c r="A1835" s="83" t="str">
        <x:v>Existing master workbook</x:v>
      </x:c>
      <x:c r="B1835" s="84" t="n">
        <x:v>259</x:v>
      </x:c>
      <x:c r="C1835" s="87" t="str">
        <x:v>Juglans microcarpa</x:v>
      </x:c>
      <x:c r="D1835" s="84" t="str">
        <x:v>Littleleaf Walnut, Little walnut</x:v>
      </x:c>
      <x:c r="E1835" s="84" t="str">
        <x:v>Perennial</x:v>
      </x:c>
      <x:c r="F1835" s="84" t="str">
        <x:v>Tree</x:v>
      </x:c>
      <x:c r="G1835" s="84" t="str">
        <x:v>Sun</x:v>
      </x:c>
      <x:c r="H1835" s="84" t="str">
        <x:v>Low</x:v>
      </x:c>
      <x:c r="I1835" s="84" t="str">
        <x:v>juglans microcarpa</x:v>
      </x:c>
    </x:row>
    <x:row r="1836">
      <x:c r="A1836" s="83" t="str">
        <x:v>Existing master workbook</x:v>
      </x:c>
      <x:c r="B1836" s="84" t="n">
        <x:v>260</x:v>
      </x:c>
      <x:c r="C1836" s="87" t="str">
        <x:v>Juglans nigra</x:v>
      </x:c>
      <x:c r="D1836" s="84" t="str">
        <x:v>Black Walnut</x:v>
      </x:c>
      <x:c r="E1836" s="84" t="str">
        <x:v>Perennial</x:v>
      </x:c>
      <x:c r="F1836" s="84" t="str">
        <x:v>Tree</x:v>
      </x:c>
      <x:c r="G1836" s="84" t="str">
        <x:v>Sun</x:v>
      </x:c>
      <x:c r="H1836" s="84" t="str">
        <x:v>Medium</x:v>
      </x:c>
      <x:c r="I1836" s="84" t="str">
        <x:v>juglans nigra</x:v>
      </x:c>
    </x:row>
    <x:row r="1837">
      <x:c r="A1837" s="83" t="str">
        <x:v>Existing master workbook</x:v>
      </x:c>
      <x:c r="B1837" s="84" t="n">
        <x:v>261</x:v>
      </x:c>
      <x:c r="C1837" s="87" t="str">
        <x:v>Juniperus ashei</x:v>
      </x:c>
      <x:c r="D1837" s="84" t="str">
        <x:v>Ashe Juniper</x:v>
      </x:c>
      <x:c r="E1837" s="84" t="str">
        <x:v>Perennial</x:v>
      </x:c>
      <x:c r="F1837" s="84" t="str">
        <x:v>Tree</x:v>
      </x:c>
      <x:c r="G1837" s="84" t="str">
        <x:v>Sun, Part Shade</x:v>
      </x:c>
      <x:c r="H1837" s="84" t="str">
        <x:v>Low</x:v>
      </x:c>
      <x:c r="I1837" s="84" t="str">
        <x:v>juniperus ashei</x:v>
      </x:c>
    </x:row>
    <x:row r="1838">
      <x:c r="A1838" s="83" t="str">
        <x:v>Existing master workbook</x:v>
      </x:c>
      <x:c r="B1838" s="84" t="n">
        <x:v>262</x:v>
      </x:c>
      <x:c r="C1838" s="87" t="str">
        <x:v>Juniperus virginiana</x:v>
      </x:c>
      <x:c r="D1838" s="84" t="str">
        <x:v>Eastern Red Cedar, Eastern Redcedar, Virginia Juniper, Red Juniper, Pencil Cedar, Carolina Cedar, Red Savin</x:v>
      </x:c>
      <x:c r="E1838" s="84" t="str">
        <x:v>Perennial</x:v>
      </x:c>
      <x:c r="F1838" s="84" t="str">
        <x:v>Tree</x:v>
      </x:c>
      <x:c r="G1838" s="84" t="str">
        <x:v>Sun, Part Shade</x:v>
      </x:c>
      <x:c r="H1838" s="84" t="str">
        <x:v>Low–Medium</x:v>
      </x:c>
      <x:c r="I1838" s="84" t="str">
        <x:v>juniperus virginiana</x:v>
      </x:c>
    </x:row>
    <x:row r="1839">
      <x:c r="A1839" s="83" t="str">
        <x:v>Existing master workbook</x:v>
      </x:c>
      <x:c r="B1839" s="84" t="n">
        <x:v>263</x:v>
      </x:c>
      <x:c r="C1839" s="87" t="str">
        <x:v>Maclura pomifera</x:v>
      </x:c>
      <x:c r="D1839" s="84" t="str">
        <x:v>Osage Orange, Bois d' Arc, Bodark, Horse Apple, Hedge Apple, Bowwood, Yellowwood, Naranjo Chino, Monkey Brains</x:v>
      </x:c>
      <x:c r="E1839" s="84" t="str">
        <x:v>Perennial</x:v>
      </x:c>
      <x:c r="F1839" s="84" t="str">
        <x:v>Tree</x:v>
      </x:c>
      <x:c r="G1839" s="84" t="str">
        <x:v>Sun, Part Shade</x:v>
      </x:c>
      <x:c r="H1839" s="84" t="str">
        <x:v>Low–Medium</x:v>
      </x:c>
      <x:c r="I1839" s="84" t="str">
        <x:v>maclura pomifera</x:v>
      </x:c>
    </x:row>
    <x:row r="1840">
      <x:c r="A1840" s="83" t="str">
        <x:v>Existing master workbook</x:v>
      </x:c>
      <x:c r="B1840" s="84" t="n">
        <x:v>264</x:v>
      </x:c>
      <x:c r="C1840" s="87" t="str">
        <x:v>Malus ioensis var. texana</x:v>
      </x:c>
      <x:c r="D1840" s="84" t="str">
        <x:v>Blanco Crabapple</x:v>
      </x:c>
      <x:c r="E1840" s="84" t="str">
        <x:v>Perennial</x:v>
      </x:c>
      <x:c r="F1840" s="84" t="str">
        <x:v>Tree</x:v>
      </x:c>
      <x:c r="G1840" s="84" t="str">
        <x:v>Sun</x:v>
      </x:c>
      <x:c r="H1840" s="84" t="str">
        <x:v>Medium</x:v>
      </x:c>
      <x:c r="I1840" s="84" t="str">
        <x:v>malus ioensis var. texana</x:v>
      </x:c>
    </x:row>
    <x:row r="1841">
      <x:c r="A1841" s="83" t="str">
        <x:v>Existing master workbook</x:v>
      </x:c>
      <x:c r="B1841" s="84" t="n">
        <x:v>265</x:v>
      </x:c>
      <x:c r="C1841" s="87" t="str">
        <x:v>Morus microphylla</x:v>
      </x:c>
      <x:c r="D1841" s="84" t="str">
        <x:v>Texas Mulberry, Littleleaf Mulberry, Mountain Mulberry, Mexican Mulberry, Dwarf Mulberry</x:v>
      </x:c>
      <x:c r="E1841" s="84" t="str">
        <x:v>Perennial</x:v>
      </x:c>
      <x:c r="F1841" s="84" t="str">
        <x:v>Tree</x:v>
      </x:c>
      <x:c r="G1841" s="84" t="str">
        <x:v>Sun, Part Shade</x:v>
      </x:c>
      <x:c r="H1841" s="84" t="str">
        <x:v>Low–Medium</x:v>
      </x:c>
      <x:c r="I1841" s="84" t="str">
        <x:v>morus microphylla</x:v>
      </x:c>
    </x:row>
    <x:row r="1842">
      <x:c r="A1842" s="83" t="str">
        <x:v>Existing master workbook</x:v>
      </x:c>
      <x:c r="B1842" s="84" t="n">
        <x:v>266</x:v>
      </x:c>
      <x:c r="C1842" s="87" t="str">
        <x:v>Morus rubra</x:v>
      </x:c>
      <x:c r="D1842" s="84" t="str">
        <x:v>Red Mulberry, Moral</x:v>
      </x:c>
      <x:c r="E1842" s="84" t="str">
        <x:v>Perennial</x:v>
      </x:c>
      <x:c r="F1842" s="84" t="str">
        <x:v>Tree</x:v>
      </x:c>
      <x:c r="G1842" s="84" t="str">
        <x:v>Sun, Part Shade</x:v>
      </x:c>
      <x:c r="H1842" s="84" t="str">
        <x:v>Medium</x:v>
      </x:c>
      <x:c r="I1842" s="84" t="str">
        <x:v>morus rubra</x:v>
      </x:c>
    </x:row>
    <x:row r="1843">
      <x:c r="A1843" s="83" t="str">
        <x:v>Existing master workbook</x:v>
      </x:c>
      <x:c r="B1843" s="84" t="n">
        <x:v>267</x:v>
      </x:c>
      <x:c r="C1843" s="87" t="str">
        <x:v>Parkinsonia aculeata</x:v>
      </x:c>
      <x:c r="D1843" s="84" t="str">
        <x:v>Retama</x:v>
      </x:c>
      <x:c r="E1843" s="84" t="str">
        <x:v>Perennial</x:v>
      </x:c>
      <x:c r="F1843" s="84" t="str">
        <x:v>Tree</x:v>
      </x:c>
      <x:c r="G1843" s="84" t="str">
        <x:v>Sun</x:v>
      </x:c>
      <x:c r="H1843" s="84" t="str">
        <x:v>Low</x:v>
      </x:c>
      <x:c r="I1843" s="84" t="str">
        <x:v>parkinsonia aculeata</x:v>
      </x:c>
    </x:row>
    <x:row r="1844">
      <x:c r="A1844" s="83" t="str">
        <x:v>Existing master workbook</x:v>
      </x:c>
      <x:c r="B1844" s="84" t="n">
        <x:v>268</x:v>
      </x:c>
      <x:c r="C1844" s="87" t="str">
        <x:v>Platanus occidentalis</x:v>
      </x:c>
      <x:c r="D1844" s="84" t="str">
        <x:v>American Sycamore, Eastern Sycamore, American Plane Tree, Plane Tree, Buttonwood, Buttonball Tree</x:v>
      </x:c>
      <x:c r="E1844" s="84" t="str">
        <x:v>Perennial</x:v>
      </x:c>
      <x:c r="F1844" s="84" t="str">
        <x:v>Tree</x:v>
      </x:c>
      <x:c r="G1844" s="84" t="str">
        <x:v>Sun</x:v>
      </x:c>
      <x:c r="H1844" s="84" t="str">
        <x:v>Medium–Wet</x:v>
      </x:c>
      <x:c r="I1844" s="84" t="str">
        <x:v>platanus occidentalis</x:v>
      </x:c>
    </x:row>
    <x:row r="1845">
      <x:c r="A1845" s="83" t="str">
        <x:v>Existing master workbook</x:v>
      </x:c>
      <x:c r="B1845" s="84" t="n">
        <x:v>269</x:v>
      </x:c>
      <x:c r="C1845" s="87" t="str">
        <x:v>Populus deltoides</x:v>
      </x:c>
      <x:c r="D1845" s="84" t="str">
        <x:v>Eastern Cottonwood, Carolina Poplar, Necklace Poplar, Alamo</x:v>
      </x:c>
      <x:c r="E1845" s="84" t="str">
        <x:v>Perennial</x:v>
      </x:c>
      <x:c r="F1845" s="84" t="str">
        <x:v>Tree</x:v>
      </x:c>
      <x:c r="G1845" s="84" t="str">
        <x:v>Sun</x:v>
      </x:c>
      <x:c r="H1845" s="84" t="str">
        <x:v>Medium–Wet</x:v>
      </x:c>
      <x:c r="I1845" s="84" t="str">
        <x:v>populus deltoides</x:v>
      </x:c>
    </x:row>
    <x:row r="1846">
      <x:c r="A1846" s="83" t="str">
        <x:v>Existing master workbook</x:v>
      </x:c>
      <x:c r="B1846" s="84" t="n">
        <x:v>270</x:v>
      </x:c>
      <x:c r="C1846" s="87" t="str">
        <x:v>Prunus caroliniana</x:v>
      </x:c>
      <x:c r="D1846" s="84" t="str">
        <x:v>Carolina Cherry-laurel, Cherry-laurel, Laurel Cherry, Carolina Laurel Cherry</x:v>
      </x:c>
      <x:c r="E1846" s="84" t="str">
        <x:v>Perennial</x:v>
      </x:c>
      <x:c r="F1846" s="84" t="str">
        <x:v>Tree</x:v>
      </x:c>
      <x:c r="G1846" s="84" t="str">
        <x:v>Sun, Part Shade</x:v>
      </x:c>
      <x:c r="H1846" s="84" t="str">
        <x:v>Medium</x:v>
      </x:c>
      <x:c r="I1846" s="84" t="str">
        <x:v>prunus caroliniana</x:v>
      </x:c>
    </x:row>
    <x:row r="1847">
      <x:c r="A1847" s="83" t="str">
        <x:v>Existing master workbook</x:v>
      </x:c>
      <x:c r="B1847" s="84" t="n">
        <x:v>271</x:v>
      </x:c>
      <x:c r="C1847" s="87" t="str">
        <x:v>Prunus mexicana</x:v>
      </x:c>
      <x:c r="D1847" s="84" t="str">
        <x:v>Mexican Plum, Bigtree Plum, Inch Plum</x:v>
      </x:c>
      <x:c r="E1847" s="84" t="str">
        <x:v>Perennial</x:v>
      </x:c>
      <x:c r="F1847" s="84" t="str">
        <x:v>Tree</x:v>
      </x:c>
      <x:c r="G1847" s="84" t="str">
        <x:v>Sun</x:v>
      </x:c>
      <x:c r="H1847" s="84" t="str">
        <x:v>Medium</x:v>
      </x:c>
      <x:c r="I1847" s="84" t="str">
        <x:v>prunus mexicana</x:v>
      </x:c>
    </x:row>
    <x:row r="1848">
      <x:c r="A1848" s="83" t="str">
        <x:v>Existing master workbook</x:v>
      </x:c>
      <x:c r="B1848" s="84" t="n">
        <x:v>272</x:v>
      </x:c>
      <x:c r="C1848" s="87" t="str">
        <x:v>Prunus serotina</x:v>
      </x:c>
      <x:c r="D1848" s="84" t="str">
        <x:v>Black Cherry, Wild Black Cherry, Rum Cherry</x:v>
      </x:c>
      <x:c r="E1848" s="84" t="str">
        <x:v>Perennial</x:v>
      </x:c>
      <x:c r="F1848" s="84" t="str">
        <x:v>Tree</x:v>
      </x:c>
      <x:c r="G1848" s="84" t="str">
        <x:v>Sun, Part Shade</x:v>
      </x:c>
      <x:c r="H1848" s="84" t="str">
        <x:v>Medium</x:v>
      </x:c>
      <x:c r="I1848" s="84" t="str">
        <x:v>prunus serotina</x:v>
      </x:c>
    </x:row>
    <x:row r="1849">
      <x:c r="A1849" s="83" t="str">
        <x:v>Existing master workbook</x:v>
      </x:c>
      <x:c r="B1849" s="84" t="n">
        <x:v>273</x:v>
      </x:c>
      <x:c r="C1849" s="87" t="str">
        <x:v>Prunus serotina var. eximia</x:v>
      </x:c>
      <x:c r="D1849" s="84" t="str">
        <x:v>Escarpment Cherry</x:v>
      </x:c>
      <x:c r="E1849" s="84" t="str">
        <x:v>Perennial</x:v>
      </x:c>
      <x:c r="F1849" s="84" t="str">
        <x:v>Tree</x:v>
      </x:c>
      <x:c r="G1849" s="84" t="str">
        <x:v>Sun</x:v>
      </x:c>
      <x:c r="H1849" s="84" t="str">
        <x:v>Medium</x:v>
      </x:c>
      <x:c r="I1849" s="84" t="str">
        <x:v>prunus serotina var. eximia</x:v>
      </x:c>
    </x:row>
    <x:row r="1850">
      <x:c r="A1850" s="83" t="str">
        <x:v>Existing master workbook</x:v>
      </x:c>
      <x:c r="B1850" s="84" t="n">
        <x:v>274</x:v>
      </x:c>
      <x:c r="C1850" s="87" t="str">
        <x:v>Ptelea trifoliata</x:v>
      </x:c>
      <x:c r="D1850" s="84" t="str">
        <x:v>Wafer Ash, Common Hoptree, Hop Tree</x:v>
      </x:c>
      <x:c r="E1850" s="84" t="str">
        <x:v>Perennial</x:v>
      </x:c>
      <x:c r="F1850" s="84" t="str">
        <x:v>Tree</x:v>
      </x:c>
      <x:c r="G1850" s="84" t="str">
        <x:v>Sun, Part Shade</x:v>
      </x:c>
      <x:c r="H1850" s="84" t="str">
        <x:v>Medium</x:v>
      </x:c>
      <x:c r="I1850" s="84" t="str">
        <x:v>ptelea trifoliata</x:v>
      </x:c>
    </x:row>
    <x:row r="1851">
      <x:c r="A1851" s="83" t="str">
        <x:v>Existing master workbook</x:v>
      </x:c>
      <x:c r="B1851" s="84" t="n">
        <x:v>275</x:v>
      </x:c>
      <x:c r="C1851" s="87" t="str">
        <x:v>Quercus buckleyi</x:v>
      </x:c>
      <x:c r="D1851" s="84" t="str">
        <x:v>Texas Red Oak, Buckley Oak, Texas Oak, Spanish Oak, Spotted Oak, Rock Oak</x:v>
      </x:c>
      <x:c r="E1851" s="84" t="str">
        <x:v>Perennial</x:v>
      </x:c>
      <x:c r="F1851" s="84" t="str">
        <x:v>Tree</x:v>
      </x:c>
      <x:c r="G1851" s="84" t="str">
        <x:v>Sun</x:v>
      </x:c>
      <x:c r="H1851" s="84" t="str">
        <x:v>Low</x:v>
      </x:c>
      <x:c r="I1851" s="84" t="str">
        <x:v>quercus buckleyi</x:v>
      </x:c>
    </x:row>
    <x:row r="1852">
      <x:c r="A1852" s="83" t="str">
        <x:v>Existing master workbook</x:v>
      </x:c>
      <x:c r="B1852" s="84" t="n">
        <x:v>276</x:v>
      </x:c>
      <x:c r="C1852" s="87" t="str">
        <x:v>Quercus fusiformis</x:v>
      </x:c>
      <x:c r="D1852" s="84" t="str">
        <x:v>Escarpment Live Oak, Plateau Live Oak, Hill Country Live Oak, Texas Live Oak, Scrub Live Oak, Plateau Oak, Encino Molino, Tesmoli</x:v>
      </x:c>
      <x:c r="E1852" s="84" t="str">
        <x:v>Perennial</x:v>
      </x:c>
      <x:c r="F1852" s="84" t="str">
        <x:v>Tree</x:v>
      </x:c>
      <x:c r="G1852" s="84" t="str">
        <x:v>Sun</x:v>
      </x:c>
      <x:c r="H1852" s="84" t="str">
        <x:v>Low</x:v>
      </x:c>
      <x:c r="I1852" s="84" t="str">
        <x:v>quercus fusiformis</x:v>
      </x:c>
    </x:row>
    <x:row r="1853">
      <x:c r="A1853" s="83" t="str">
        <x:v>Existing master workbook</x:v>
      </x:c>
      <x:c r="B1853" s="84" t="n">
        <x:v>277</x:v>
      </x:c>
      <x:c r="C1853" s="87" t="str">
        <x:v>Quercus laceyi</x:v>
      </x:c>
      <x:c r="D1853" s="84" t="str">
        <x:v>Lacey Oak, Texas Blue Oak, Canyon Oak, Smoky Oak, Rock Oak</x:v>
      </x:c>
      <x:c r="E1853" s="84" t="str">
        <x:v>Perennial</x:v>
      </x:c>
      <x:c r="F1853" s="84" t="str">
        <x:v>Tree</x:v>
      </x:c>
      <x:c r="G1853" s="84" t="str">
        <x:v>Sun</x:v>
      </x:c>
      <x:c r="H1853" s="84" t="str">
        <x:v>Low</x:v>
      </x:c>
      <x:c r="I1853" s="84" t="str">
        <x:v>quercus laceyi</x:v>
      </x:c>
    </x:row>
    <x:row r="1854">
      <x:c r="A1854" s="83" t="str">
        <x:v>Existing master workbook</x:v>
      </x:c>
      <x:c r="B1854" s="84" t="n">
        <x:v>278</x:v>
      </x:c>
      <x:c r="C1854" s="87" t="str">
        <x:v>Quercus macrocarpa</x:v>
      </x:c>
      <x:c r="D1854" s="84" t="str">
        <x:v>Bur Oak, Burr Oak, Savanna Oak, Overcup Oak, Prairie Oak, Mossy-cup Oak, Mossy-overcup Oak, Blue Oak</x:v>
      </x:c>
      <x:c r="E1854" s="84" t="str">
        <x:v>Perennial</x:v>
      </x:c>
      <x:c r="F1854" s="84" t="str">
        <x:v>Tree</x:v>
      </x:c>
      <x:c r="G1854" s="84" t="str">
        <x:v>Sun</x:v>
      </x:c>
      <x:c r="H1854" s="84" t="str">
        <x:v>Medium</x:v>
      </x:c>
      <x:c r="I1854" s="84" t="str">
        <x:v>quercus macrocarpa</x:v>
      </x:c>
    </x:row>
    <x:row r="1855">
      <x:c r="A1855" s="83" t="str">
        <x:v>Existing master workbook</x:v>
      </x:c>
      <x:c r="B1855" s="84" t="n">
        <x:v>279</x:v>
      </x:c>
      <x:c r="C1855" s="87" t="str">
        <x:v>Quercus marilandica</x:v>
      </x:c>
      <x:c r="D1855" s="84" t="str">
        <x:v>Blackjack Oak, Barren Oak, Black Oak, Jack Oak</x:v>
      </x:c>
      <x:c r="E1855" s="84" t="str">
        <x:v>Perennial</x:v>
      </x:c>
      <x:c r="F1855" s="84" t="str">
        <x:v>Tree</x:v>
      </x:c>
      <x:c r="G1855" s="84" t="str">
        <x:v>Sun</x:v>
      </x:c>
      <x:c r="H1855" s="84" t="str">
        <x:v>Low</x:v>
      </x:c>
      <x:c r="I1855" s="84" t="str">
        <x:v>quercus marilandica</x:v>
      </x:c>
    </x:row>
    <x:row r="1856">
      <x:c r="A1856" s="83" t="str">
        <x:v>Existing master workbook</x:v>
      </x:c>
      <x:c r="B1856" s="84" t="n">
        <x:v>280</x:v>
      </x:c>
      <x:c r="C1856" s="87" t="str">
        <x:v>Quercus muehlenbergii</x:v>
      </x:c>
      <x:c r="D1856" s="84" t="str">
        <x:v>Chinquapin Oak</x:v>
      </x:c>
      <x:c r="E1856" s="84" t="str">
        <x:v>Perennial</x:v>
      </x:c>
      <x:c r="F1856" s="84" t="str">
        <x:v>Tree</x:v>
      </x:c>
      <x:c r="G1856" s="84" t="str">
        <x:v>Sun</x:v>
      </x:c>
      <x:c r="H1856" s="84" t="str">
        <x:v>Medium</x:v>
      </x:c>
      <x:c r="I1856" s="84" t="str">
        <x:v>quercus muehlenbergii</x:v>
      </x:c>
    </x:row>
    <x:row r="1857">
      <x:c r="A1857" s="83" t="str">
        <x:v>Existing master workbook</x:v>
      </x:c>
      <x:c r="B1857" s="84" t="n">
        <x:v>281</x:v>
      </x:c>
      <x:c r="C1857" s="87" t="str">
        <x:v>Quercus virginiana</x:v>
      </x:c>
      <x:c r="D1857" s="84" t="str">
        <x:v>Coastal Live Oak, Southern Live Oak, Virginia Live Oak, Live Oak, Encino</x:v>
      </x:c>
      <x:c r="E1857" s="84" t="str">
        <x:v>Perennial</x:v>
      </x:c>
      <x:c r="F1857" s="84" t="str">
        <x:v>Tree</x:v>
      </x:c>
      <x:c r="G1857" s="84" t="str">
        <x:v>Sun, Part Shade</x:v>
      </x:c>
      <x:c r="H1857" s="84" t="str">
        <x:v>Low–Medium</x:v>
      </x:c>
      <x:c r="I1857" s="84" t="str">
        <x:v>quercus virginiana</x:v>
      </x:c>
    </x:row>
    <x:row r="1858">
      <x:c r="A1858" s="83" t="str">
        <x:v>Existing master workbook</x:v>
      </x:c>
      <x:c r="B1858" s="84" t="n">
        <x:v>282</x:v>
      </x:c>
      <x:c r="C1858" s="87" t="str">
        <x:v>Sabal mexicana</x:v>
      </x:c>
      <x:c r="D1858" s="84" t="str">
        <x:v>Texas Palmetto</x:v>
      </x:c>
      <x:c r="E1858" s="84" t="str">
        <x:v>Perennial</x:v>
      </x:c>
      <x:c r="F1858" s="84" t="str">
        <x:v>Tree</x:v>
      </x:c>
      <x:c r="G1858" s="84" t="str">
        <x:v>Sun</x:v>
      </x:c>
      <x:c r="H1858" s="84" t="str">
        <x:v>Medium</x:v>
      </x:c>
      <x:c r="I1858" s="84" t="str">
        <x:v>sabal mexicana</x:v>
      </x:c>
    </x:row>
    <x:row r="1859">
      <x:c r="A1859" s="83" t="str">
        <x:v>Existing master workbook</x:v>
      </x:c>
      <x:c r="B1859" s="84" t="n">
        <x:v>283</x:v>
      </x:c>
      <x:c r="C1859" s="87" t="str">
        <x:v>Sabal minor</x:v>
      </x:c>
      <x:c r="D1859" s="84" t="str">
        <x:v>Dwarf Palmetto, Bush Palmetto, Palmetto</x:v>
      </x:c>
      <x:c r="E1859" s="84" t="str">
        <x:v>Perennial</x:v>
      </x:c>
      <x:c r="F1859" s="84" t="str">
        <x:v>Tree</x:v>
      </x:c>
      <x:c r="G1859" s="84" t="str">
        <x:v>Sun, Part Shade</x:v>
      </x:c>
      <x:c r="H1859" s="84" t="str">
        <x:v>Medium</x:v>
      </x:c>
      <x:c r="I1859" s="84" t="str">
        <x:v>sabal minor</x:v>
      </x:c>
    </x:row>
    <x:row r="1860">
      <x:c r="A1860" s="83" t="str">
        <x:v>Existing master workbook</x:v>
      </x:c>
      <x:c r="B1860" s="84" t="n">
        <x:v>284</x:v>
      </x:c>
      <x:c r="C1860" s="87" t="str">
        <x:v>Salix nigra</x:v>
      </x:c>
      <x:c r="D1860" s="84" t="str">
        <x:v>Black Willow, Gulf Black Willow, Swamp Willow, Sauz</x:v>
      </x:c>
      <x:c r="E1860" s="84" t="str">
        <x:v>Perennial</x:v>
      </x:c>
      <x:c r="F1860" s="84" t="str">
        <x:v>Tree</x:v>
      </x:c>
      <x:c r="G1860" s="84" t="str">
        <x:v>Sun</x:v>
      </x:c>
      <x:c r="H1860" s="84" t="str">
        <x:v>Medium–High</x:v>
      </x:c>
      <x:c r="I1860" s="84" t="str">
        <x:v>salix nigra</x:v>
      </x:c>
    </x:row>
    <x:row r="1861">
      <x:c r="A1861" s="83" t="str">
        <x:v>Existing master workbook</x:v>
      </x:c>
      <x:c r="B1861" s="84" t="n">
        <x:v>285</x:v>
      </x:c>
      <x:c r="C1861" s="87" t="str">
        <x:v>Sapindus saponaria var. drummondii</x:v>
      </x:c>
      <x:c r="D1861" s="84" t="str">
        <x:v>Wingleaf Soapberry, Soapberry, Wild China Tree</x:v>
      </x:c>
      <x:c r="E1861" s="84" t="str">
        <x:v>Perennial</x:v>
      </x:c>
      <x:c r="F1861" s="84" t="str">
        <x:v>Tree</x:v>
      </x:c>
      <x:c r="G1861" s="84" t="str">
        <x:v>Sun</x:v>
      </x:c>
      <x:c r="H1861" s="84" t="str">
        <x:v>Low</x:v>
      </x:c>
      <x:c r="I1861" s="84" t="str">
        <x:v>sapindus saponaria var. drummondii</x:v>
      </x:c>
    </x:row>
    <x:row r="1862">
      <x:c r="A1862" s="83" t="str">
        <x:v>Existing master workbook</x:v>
      </x:c>
      <x:c r="B1862" s="84" t="n">
        <x:v>286</x:v>
      </x:c>
      <x:c r="C1862" s="87" t="str">
        <x:v>Sideroxylon lanuginosum</x:v>
      </x:c>
      <x:c r="D1862" s="84" t="str">
        <x:v>Gum Bumelia, Gum Bully, Woollybucket Bumelia, Woolly Bumelia, Gum Woollybucket, Woolly Buckthorn, Chittamwood, Shittamwood, Gum Elastic, Coma, Black Haw</x:v>
      </x:c>
      <x:c r="E1862" s="84" t="str">
        <x:v>Perennial</x:v>
      </x:c>
      <x:c r="F1862" s="84" t="str">
        <x:v>Tree</x:v>
      </x:c>
      <x:c r="G1862" s="84" t="str">
        <x:v>Sun</x:v>
      </x:c>
      <x:c r="H1862" s="84" t="str">
        <x:v>Low</x:v>
      </x:c>
      <x:c r="I1862" s="84" t="str">
        <x:v>sideroxylon lanuginosum</x:v>
      </x:c>
    </x:row>
    <x:row r="1863">
      <x:c r="A1863" s="83" t="str">
        <x:v>Existing master workbook</x:v>
      </x:c>
      <x:c r="B1863" s="84" t="n">
        <x:v>287</x:v>
      </x:c>
      <x:c r="C1863" s="87" t="str">
        <x:v>Styphnolobium affine</x:v>
      </x:c>
      <x:c r="D1863" s="84" t="str">
        <x:v>Eve's Necklace, Eve's Necklacepod, Texas Sophora, Pink Sophora, Necklace Tree</x:v>
      </x:c>
      <x:c r="E1863" s="84" t="str">
        <x:v>Perennial</x:v>
      </x:c>
      <x:c r="F1863" s="84" t="str">
        <x:v>Tree</x:v>
      </x:c>
      <x:c r="G1863" s="84" t="str">
        <x:v>Sun, Part Shade</x:v>
      </x:c>
      <x:c r="H1863" s="84" t="str">
        <x:v>Low</x:v>
      </x:c>
      <x:c r="I1863" s="84" t="str">
        <x:v>styphnolobium affine</x:v>
      </x:c>
    </x:row>
    <x:row r="1864">
      <x:c r="A1864" s="83" t="str">
        <x:v>Existing master workbook</x:v>
      </x:c>
      <x:c r="B1864" s="84" t="n">
        <x:v>288</x:v>
      </x:c>
      <x:c r="C1864" s="87" t="str">
        <x:v>Taxodium distichum</x:v>
      </x:c>
      <x:c r="D1864" s="84" t="str">
        <x:v>Bald Cypress, Baldcypress, Common Bald Cypress, Southern Bald Cypress, Deciduous Cypress, Southern Cypress, Swamp Cypress, Red Cypress, White Cypress, Yellow Cypress, Gulf Cypress, Tidewater Red Cypress</x:v>
      </x:c>
      <x:c r="E1864" s="84" t="str">
        <x:v>Perennial</x:v>
      </x:c>
      <x:c r="F1864" s="84" t="str">
        <x:v>Tree</x:v>
      </x:c>
      <x:c r="G1864" s="84" t="str">
        <x:v>Sun, Part Shade</x:v>
      </x:c>
      <x:c r="H1864" s="84" t="str">
        <x:v>Medium</x:v>
      </x:c>
      <x:c r="I1864" s="84" t="str">
        <x:v>taxodium distichum</x:v>
      </x:c>
    </x:row>
    <x:row r="1865">
      <x:c r="A1865" s="83" t="str">
        <x:v>Existing master workbook</x:v>
      </x:c>
      <x:c r="B1865" s="84" t="n">
        <x:v>289</x:v>
      </x:c>
      <x:c r="C1865" s="87" t="str">
        <x:v>Tilia americana</x:v>
      </x:c>
      <x:c r="D1865" s="84" t="str">
        <x:v>American Basswood, American Linden, Lime Tree, Bee Tree</x:v>
      </x:c>
      <x:c r="E1865" s="84" t="str">
        <x:v>Perennial</x:v>
      </x:c>
      <x:c r="F1865" s="84" t="str">
        <x:v>Tree</x:v>
      </x:c>
      <x:c r="G1865" s="84" t="str">
        <x:v>Part Shade</x:v>
      </x:c>
      <x:c r="H1865" s="84" t="str">
        <x:v>Medium</x:v>
      </x:c>
      <x:c r="I1865" s="84" t="str">
        <x:v>tilia americana</x:v>
      </x:c>
    </x:row>
    <x:row r="1866">
      <x:c r="A1866" s="83" t="str">
        <x:v>Existing master workbook</x:v>
      </x:c>
      <x:c r="B1866" s="84" t="n">
        <x:v>290</x:v>
      </x:c>
      <x:c r="C1866" s="87" t="str">
        <x:v>Ulmus americana</x:v>
      </x:c>
      <x:c r="D1866" s="84" t="str">
        <x:v>American Elm, White Elm, Soft Elm, Water Elm, Common Elm</x:v>
      </x:c>
      <x:c r="E1866" s="84" t="str">
        <x:v>Perennial</x:v>
      </x:c>
      <x:c r="F1866" s="84" t="str">
        <x:v>Tree</x:v>
      </x:c>
      <x:c r="G1866" s="84" t="str">
        <x:v>Sun, Part Shade</x:v>
      </x:c>
      <x:c r="H1866" s="84" t="str">
        <x:v>Medium</x:v>
      </x:c>
      <x:c r="I1866" s="84" t="str">
        <x:v>ulmus americana</x:v>
      </x:c>
    </x:row>
    <x:row r="1867">
      <x:c r="A1867" s="83" t="str">
        <x:v>Existing master workbook</x:v>
      </x:c>
      <x:c r="B1867" s="84" t="n">
        <x:v>291</x:v>
      </x:c>
      <x:c r="C1867" s="87" t="str">
        <x:v>Ulmus crassifolia</x:v>
      </x:c>
      <x:c r="D1867" s="84" t="str">
        <x:v>Cedar Elm, Fall Elm, Basket Elm, Scrub Elm, Lime Elm, Texas Elm, Southern Rock Elm, Olmo</x:v>
      </x:c>
      <x:c r="E1867" s="84" t="str">
        <x:v>Perennial</x:v>
      </x:c>
      <x:c r="F1867" s="84" t="str">
        <x:v>Tree</x:v>
      </x:c>
      <x:c r="G1867" s="84" t="str">
        <x:v>Sun</x:v>
      </x:c>
      <x:c r="H1867" s="84" t="str">
        <x:v>Low</x:v>
      </x:c>
      <x:c r="I1867" s="84" t="str">
        <x:v>ulmus crassifolia</x:v>
      </x:c>
    </x:row>
    <x:row r="1868">
      <x:c r="A1868" s="83" t="str">
        <x:v>Existing master workbook</x:v>
      </x:c>
      <x:c r="B1868" s="84" t="n">
        <x:v>292</x:v>
      </x:c>
      <x:c r="C1868" s="87" t="str">
        <x:v>Ungnadia speciosa</x:v>
      </x:c>
      <x:c r="D1868" s="84" t="str">
        <x:v>Mexican Buckeye, Monilla</x:v>
      </x:c>
      <x:c r="E1868" s="84" t="str">
        <x:v>Perennial</x:v>
      </x:c>
      <x:c r="F1868" s="84" t="str">
        <x:v>Tree</x:v>
      </x:c>
      <x:c r="G1868" s="84" t="str">
        <x:v>Sun</x:v>
      </x:c>
      <x:c r="H1868" s="84" t="str">
        <x:v>Low</x:v>
      </x:c>
      <x:c r="I1868" s="84" t="str">
        <x:v>ungnadia speciosa</x:v>
      </x:c>
    </x:row>
    <x:row r="1869">
      <x:c r="A1869" s="83" t="str">
        <x:v>Existing master workbook</x:v>
      </x:c>
      <x:c r="B1869" s="84" t="n">
        <x:v>293</x:v>
      </x:c>
      <x:c r="C1869" s="87" t="str">
        <x:v>Acleisanthes obtusa</x:v>
      </x:c>
      <x:c r="D1869" s="84" t="str">
        <x:v>Berlandier's Trumpet</x:v>
      </x:c>
      <x:c r="E1869" s="84" t="str">
        <x:v>Perennial</x:v>
      </x:c>
      <x:c r="F1869" s="84" t="str">
        <x:v>Vine</x:v>
      </x:c>
      <x:c r="G1869" s="84" t="str">
        <x:v>Sun, Part Shade</x:v>
      </x:c>
      <x:c r="H1869" s="84" t="str">
        <x:v>Low</x:v>
      </x:c>
      <x:c r="I1869" s="84" t="str">
        <x:v>acleisanthes obtusa</x:v>
      </x:c>
    </x:row>
    <x:row r="1870">
      <x:c r="A1870" s="83" t="str">
        <x:v>Existing master workbook</x:v>
      </x:c>
      <x:c r="B1870" s="84" t="n">
        <x:v>294</x:v>
      </x:c>
      <x:c r="C1870" s="87" t="str">
        <x:v>Campsis radicans</x:v>
      </x:c>
      <x:c r="D1870" s="84" t="str">
        <x:v>Trumpet Creeper, Trumpet Vine, Common Trumpet Creeper, Cow Vine, Foxglove Vine, Hellvine, Devil's Shoestring</x:v>
      </x:c>
      <x:c r="E1870" s="84" t="str">
        <x:v>Perennial</x:v>
      </x:c>
      <x:c r="F1870" s="84" t="str">
        <x:v>Vine</x:v>
      </x:c>
      <x:c r="G1870" s="84" t="str">
        <x:v>Sun</x:v>
      </x:c>
      <x:c r="H1870" s="84" t="str">
        <x:v>Medium</x:v>
      </x:c>
      <x:c r="I1870" s="84" t="str">
        <x:v>campsis radicans</x:v>
      </x:c>
    </x:row>
    <x:row r="1871">
      <x:c r="A1871" s="83" t="str">
        <x:v>Existing master workbook</x:v>
      </x:c>
      <x:c r="B1871" s="84" t="n">
        <x:v>295</x:v>
      </x:c>
      <x:c r="C1871" s="87" t="str">
        <x:v>Clematis drummondii</x:v>
      </x:c>
      <x:c r="D1871" s="84" t="str">
        <x:v>Old Man's Beard</x:v>
      </x:c>
      <x:c r="E1871" s="84" t="str">
        <x:v>Perennial</x:v>
      </x:c>
      <x:c r="F1871" s="84" t="str">
        <x:v>Vine</x:v>
      </x:c>
      <x:c r="G1871" s="84" t="str">
        <x:v>Full Sun to Part Shade</x:v>
      </x:c>
      <x:c r="H1871" s="84" t="str">
        <x:v>Dry to Moist</x:v>
      </x:c>
      <x:c r="I1871" s="84" t="str">
        <x:v>clematis drummondii</x:v>
      </x:c>
    </x:row>
    <x:row r="1872">
      <x:c r="A1872" s="83" t="str">
        <x:v>Existing master workbook</x:v>
      </x:c>
      <x:c r="B1872" s="84" t="n">
        <x:v>296</x:v>
      </x:c>
      <x:c r="C1872" s="87" t="str">
        <x:v>Clematis pitcheri</x:v>
      </x:c>
      <x:c r="D1872" s="84" t="str">
        <x:v>Purple Leatherflower, Purple Clematis, Leatherflower, Bluebill, Bellflower Clematis, Pitcher's Clematis</x:v>
      </x:c>
      <x:c r="E1872" s="84" t="str">
        <x:v>Perennial</x:v>
      </x:c>
      <x:c r="F1872" s="84" t="str">
        <x:v>Vine</x:v>
      </x:c>
      <x:c r="G1872" s="84" t="str">
        <x:v>Sun, Part Shade</x:v>
      </x:c>
      <x:c r="H1872" s="84" t="str">
        <x:v>Medium</x:v>
      </x:c>
      <x:c r="I1872" s="84" t="str">
        <x:v>clematis pitcheri</x:v>
      </x:c>
    </x:row>
    <x:row r="1873">
      <x:c r="A1873" s="83" t="str">
        <x:v>Existing master workbook</x:v>
      </x:c>
      <x:c r="B1873" s="84" t="n">
        <x:v>297</x:v>
      </x:c>
      <x:c r="C1873" s="87" t="str">
        <x:v>Clematis texensis</x:v>
      </x:c>
      <x:c r="D1873" s="84" t="str">
        <x:v>Scarlet Clematis, Scarlet Leatherflower, Texas Clematis</x:v>
      </x:c>
      <x:c r="E1873" s="84" t="str">
        <x:v>Perennial</x:v>
      </x:c>
      <x:c r="F1873" s="84" t="str">
        <x:v>Vine</x:v>
      </x:c>
      <x:c r="G1873" s="84" t="str">
        <x:v>Sun, Part Shade</x:v>
      </x:c>
      <x:c r="H1873" s="84" t="str">
        <x:v>Medium</x:v>
      </x:c>
      <x:c r="I1873" s="84" t="str">
        <x:v>clematis texensis</x:v>
      </x:c>
    </x:row>
    <x:row r="1874">
      <x:c r="A1874" s="83" t="str">
        <x:v>Existing master workbook</x:v>
      </x:c>
      <x:c r="B1874" s="84" t="n">
        <x:v>298</x:v>
      </x:c>
      <x:c r="C1874" s="87" t="str">
        <x:v>Cocculus carolinus</x:v>
      </x:c>
      <x:c r="D1874" s="84" t="str">
        <x:v>Carolina Snailseed</x:v>
      </x:c>
      <x:c r="E1874" s="84" t="str">
        <x:v>Perennial</x:v>
      </x:c>
      <x:c r="F1874" s="84" t="str">
        <x:v>Vine</x:v>
      </x:c>
      <x:c r="G1874" s="84" t="str">
        <x:v>Part Shade</x:v>
      </x:c>
      <x:c r="H1874" s="84" t="str">
        <x:v>Moist</x:v>
      </x:c>
      <x:c r="I1874" s="84" t="str">
        <x:v>cocculus carolinus</x:v>
      </x:c>
    </x:row>
    <x:row r="1875">
      <x:c r="A1875" s="83" t="str">
        <x:v>Existing master workbook</x:v>
      </x:c>
      <x:c r="B1875" s="84" t="n">
        <x:v>299</x:v>
      </x:c>
      <x:c r="C1875" s="87" t="str">
        <x:v>Cynanchum barbigerum</x:v>
      </x:c>
      <x:c r="D1875" s="84" t="str">
        <x:v>Cynanchum, Bearded Swallow-wort, Thicket Threadvine</x:v>
      </x:c>
      <x:c r="E1875" s="84" t="str">
        <x:v>Perennial</x:v>
      </x:c>
      <x:c r="F1875" s="84" t="str">
        <x:v>Vine</x:v>
      </x:c>
      <x:c r="G1875" s="84" t="str">
        <x:v>Sun</x:v>
      </x:c>
      <x:c r="H1875" s="84" t="str">
        <x:v>Low</x:v>
      </x:c>
      <x:c r="I1875" s="84" t="str">
        <x:v>cynanchum barbigerum</x:v>
      </x:c>
    </x:row>
    <x:row r="1876">
      <x:c r="A1876" s="83" t="str">
        <x:v>Existing master workbook</x:v>
      </x:c>
      <x:c r="B1876" s="84" t="n">
        <x:v>300</x:v>
      </x:c>
      <x:c r="C1876" s="87" t="str">
        <x:v>Funastrum cynanchoides</x:v>
      </x:c>
      <x:c r="D1876" s="84" t="str">
        <x:v>Fringed Twinevine, Climbing Milkweed Vine, Twine-vine</x:v>
      </x:c>
      <x:c r="E1876" s="84" t="str">
        <x:v>Perennial</x:v>
      </x:c>
      <x:c r="F1876" s="84" t="str">
        <x:v>Vine</x:v>
      </x:c>
      <x:c r="G1876" s="84" t="str">
        <x:v>Sun, Part Shade</x:v>
      </x:c>
      <x:c r="H1876" s="84" t="str">
        <x:v>Low</x:v>
      </x:c>
      <x:c r="I1876" s="84" t="str">
        <x:v>funastrum cynanchoides</x:v>
      </x:c>
    </x:row>
    <x:row r="1877">
      <x:c r="A1877" s="83" t="str">
        <x:v>Existing master workbook</x:v>
      </x:c>
      <x:c r="B1877" s="84" t="n">
        <x:v>301</x:v>
      </x:c>
      <x:c r="C1877" s="87" t="str">
        <x:v>Lonicera albiflora</x:v>
      </x:c>
      <x:c r="D1877" s="84" t="str">
        <x:v>Western White Honeysuckle, White Shrub Honeysuckle, White Bush Honeysuckle, White Limestone Honeysuckle, Texas Honeysuckle, White Honeysuckle</x:v>
      </x:c>
      <x:c r="E1877" s="84" t="str">
        <x:v>Perennial</x:v>
      </x:c>
      <x:c r="F1877" s="84" t="str">
        <x:v>Vine</x:v>
      </x:c>
      <x:c r="G1877" s="84" t="str">
        <x:v>Sun, Part Shade</x:v>
      </x:c>
      <x:c r="H1877" s="84" t="str">
        <x:v>Low–Medium</x:v>
      </x:c>
      <x:c r="I1877" s="84" t="str">
        <x:v>lonicera albiflora</x:v>
      </x:c>
    </x:row>
    <x:row r="1878">
      <x:c r="A1878" s="83" t="str">
        <x:v>Existing master workbook</x:v>
      </x:c>
      <x:c r="B1878" s="84" t="n">
        <x:v>302</x:v>
      </x:c>
      <x:c r="C1878" s="87" t="str">
        <x:v>Lonicera sempervirens</x:v>
      </x:c>
      <x:c r="D1878" s="84" t="str">
        <x:v>Coral Honeysuckle, Trumpet Honeysuckle, Woodbine</x:v>
      </x:c>
      <x:c r="E1878" s="84" t="str">
        <x:v>Perennial</x:v>
      </x:c>
      <x:c r="F1878" s="84" t="str">
        <x:v>Vine</x:v>
      </x:c>
      <x:c r="G1878" s="84" t="str">
        <x:v>Sun, Part Shade</x:v>
      </x:c>
      <x:c r="H1878" s="84" t="str">
        <x:v>Low–Medium</x:v>
      </x:c>
      <x:c r="I1878" s="84" t="str">
        <x:v>lonicera sempervirens</x:v>
      </x:c>
    </x:row>
    <x:row r="1879">
      <x:c r="A1879" s="83" t="str">
        <x:v>Existing master workbook</x:v>
      </x:c>
      <x:c r="B1879" s="84" t="n">
        <x:v>303</x:v>
      </x:c>
      <x:c r="C1879" s="87" t="str">
        <x:v>Matelea biflora</x:v>
      </x:c>
      <x:c r="D1879" s="84" t="str">
        <x:v>Star Milkvine, Purple Milkweed Vine</x:v>
      </x:c>
      <x:c r="E1879" s="84" t="str">
        <x:v>Perennial</x:v>
      </x:c>
      <x:c r="F1879" s="84" t="str">
        <x:v>Vine</x:v>
      </x:c>
      <x:c r="G1879" s="84" t="str">
        <x:v>Sun, Part Shade</x:v>
      </x:c>
      <x:c r="H1879" s="84" t="str">
        <x:v>Low–Medium</x:v>
      </x:c>
      <x:c r="I1879" s="84" t="str">
        <x:v>matelea biflora</x:v>
      </x:c>
    </x:row>
    <x:row r="1880">
      <x:c r="A1880" s="83" t="str">
        <x:v>Existing master workbook</x:v>
      </x:c>
      <x:c r="B1880" s="84" t="n">
        <x:v>304</x:v>
      </x:c>
      <x:c r="C1880" s="87" t="str">
        <x:v>Matelea reticulata</x:v>
      </x:c>
      <x:c r="D1880" s="84" t="str">
        <x:v>Pearl Milkweed Vine, Netted Milkvine, Green Milkweed Vine, Net Vein Milkvine</x:v>
      </x:c>
      <x:c r="E1880" s="84" t="str">
        <x:v>Perennial</x:v>
      </x:c>
      <x:c r="F1880" s="84" t="str">
        <x:v>Vine</x:v>
      </x:c>
      <x:c r="G1880" s="84" t="str">
        <x:v>Sun, Part Shade</x:v>
      </x:c>
      <x:c r="H1880" s="84" t="str">
        <x:v>Low</x:v>
      </x:c>
      <x:c r="I1880" s="84" t="str">
        <x:v>matelea reticulata</x:v>
      </x:c>
    </x:row>
    <x:row r="1881">
      <x:c r="A1881" s="83" t="str">
        <x:v>Existing master workbook</x:v>
      </x:c>
      <x:c r="B1881" s="84" t="n">
        <x:v>305</x:v>
      </x:c>
      <x:c r="C1881" s="87" t="str">
        <x:v>Maurandella antirrhiniflora</x:v>
      </x:c>
      <x:c r="D1881" s="84" t="str">
        <x:v>Snapdragon Vine , Roving Sailor, Climbing Snapdragon, Little Snapdragon Vine</x:v>
      </x:c>
      <x:c r="E1881" s="84" t="str">
        <x:v>Perennial</x:v>
      </x:c>
      <x:c r="F1881" s="84" t="str">
        <x:v>Vine</x:v>
      </x:c>
      <x:c r="G1881" s="84" t="str">
        <x:v>Sun, Part Shade</x:v>
      </x:c>
      <x:c r="H1881" s="84" t="str">
        <x:v>Low–Medium</x:v>
      </x:c>
      <x:c r="I1881" s="84" t="str">
        <x:v>maurandella antirrhiniflora</x:v>
      </x:c>
    </x:row>
    <x:row r="1882">
      <x:c r="A1882" s="83" t="str">
        <x:v>Existing master workbook</x:v>
      </x:c>
      <x:c r="B1882" s="84" t="n">
        <x:v>306</x:v>
      </x:c>
      <x:c r="C1882" s="87" t="str">
        <x:v>Merremia dissecta</x:v>
      </x:c>
      <x:c r="D1882" s="84" t="str">
        <x:v>Alamo Vine, Noyau Vine, Correhuela De Las Doce</x:v>
      </x:c>
      <x:c r="E1882" s="84" t="str">
        <x:v>Perennial</x:v>
      </x:c>
      <x:c r="F1882" s="84" t="str">
        <x:v>Vine</x:v>
      </x:c>
      <x:c r="G1882" s="84" t="str">
        <x:v>Sun, Part Shade</x:v>
      </x:c>
      <x:c r="H1882" s="84" t="str">
        <x:v>Low–Medium</x:v>
      </x:c>
      <x:c r="I1882" s="84" t="str">
        <x:v>merremia dissecta</x:v>
      </x:c>
    </x:row>
    <x:row r="1883">
      <x:c r="A1883" s="83" t="str">
        <x:v>Existing master workbook</x:v>
      </x:c>
      <x:c r="B1883" s="84" t="n">
        <x:v>307</x:v>
      </x:c>
      <x:c r="C1883" s="87" t="str">
        <x:v>Parthenocissus quinquefolia</x:v>
      </x:c>
      <x:c r="D1883" s="84" t="str">
        <x:v>Virginia Creeper</x:v>
      </x:c>
      <x:c r="E1883" s="84" t="str">
        <x:v>Perennial Habit: Vine Leaf Retention: Deciduous Leaf Complexity: Palmate Leaf Margin: Dentate Fruit Type: Berry , Caryopsis Size Notes: Stems climbing or scrambling, up to about 40 feet long. Leaf: Green Autumn Foliage: yes Fruit: Black, Blue</x:v>
      </x:c>
      <x:c r="F1883" s="84" t="str">
        <x:v>Vine</x:v>
      </x:c>
      <x:c r="G1883" s="84" t="str">
        <x:v>Sun, Part Shade</x:v>
      </x:c>
      <x:c r="H1883" s="84" t="str">
        <x:v>Medium</x:v>
      </x:c>
      <x:c r="I1883" s="84" t="str">
        <x:v>parthenocissus quinquefolia</x:v>
      </x:c>
    </x:row>
    <x:row r="1884">
      <x:c r="A1884" s="83" t="str">
        <x:v>Existing master workbook</x:v>
      </x:c>
      <x:c r="B1884" s="84" t="n">
        <x:v>308</x:v>
      </x:c>
      <x:c r="C1884" s="87" t="str">
        <x:v>Passiflora affinis</x:v>
      </x:c>
      <x:c r="D1884" s="84" t="str">
        <x:v>Yellow Passionflower, Bracted Passionflower</x:v>
      </x:c>
      <x:c r="E1884" s="84" t="str">
        <x:v>Perennial</x:v>
      </x:c>
      <x:c r="F1884" s="84" t="str">
        <x:v>Vine</x:v>
      </x:c>
      <x:c r="G1884" s="84" t="str">
        <x:v>Sun, Part Shade</x:v>
      </x:c>
      <x:c r="H1884" s="84" t="str">
        <x:v>Low, Dry-Moist</x:v>
      </x:c>
      <x:c r="I1884" s="84" t="str">
        <x:v>passiflora affinis</x:v>
      </x:c>
    </x:row>
    <x:row r="1885">
      <x:c r="A1885" s="83" t="str">
        <x:v>Existing master workbook</x:v>
      </x:c>
      <x:c r="B1885" s="84" t="n">
        <x:v>309</x:v>
      </x:c>
      <x:c r="C1885" s="87" t="str">
        <x:v>Passiflora foetida</x:v>
      </x:c>
      <x:c r="D1885" s="84" t="str">
        <x:v>Corona De Cristo, Fetid Passionflower</x:v>
      </x:c>
      <x:c r="E1885" s="84" t="str">
        <x:v>Perennial</x:v>
      </x:c>
      <x:c r="F1885" s="84" t="str">
        <x:v>Vine</x:v>
      </x:c>
      <x:c r="G1885" s="84" t="str">
        <x:v>Sun, Part Shade</x:v>
      </x:c>
      <x:c r="H1885" s="84" t="str">
        <x:v>Low–Medium</x:v>
      </x:c>
      <x:c r="I1885" s="84" t="str">
        <x:v>passiflora foetida</x:v>
      </x:c>
    </x:row>
    <x:row r="1886">
      <x:c r="A1886" s="83" t="str">
        <x:v>Existing master workbook</x:v>
      </x:c>
      <x:c r="B1886" s="84" t="n">
        <x:v>310</x:v>
      </x:c>
      <x:c r="C1886" s="87" t="str">
        <x:v>Passiflora tenuiloba</x:v>
      </x:c>
      <x:c r="D1886" s="84" t="str">
        <x:v>Slenderlobe Passionflower, Birdwing Passionflower</x:v>
      </x:c>
      <x:c r="E1886" s="84" t="str">
        <x:v>Perennial</x:v>
      </x:c>
      <x:c r="F1886" s="84" t="str">
        <x:v>Vine</x:v>
      </x:c>
      <x:c r="G1886" s="84" t="str">
        <x:v>Part Shade</x:v>
      </x:c>
      <x:c r="H1886" s="84" t="str">
        <x:v>Low, Dry</x:v>
      </x:c>
      <x:c r="I1886" s="84" t="str">
        <x:v>passiflora tenuiloba</x:v>
      </x:c>
    </x:row>
    <x:row r="1887">
      <x:c r="A1887" s="83" t="str">
        <x:v>Existing master workbook</x:v>
      </x:c>
      <x:c r="B1887" s="84" t="n">
        <x:v>311</x:v>
      </x:c>
      <x:c r="C1887" s="87" t="str">
        <x:v>Vitis mustangensis</x:v>
      </x:c>
      <x:c r="D1887" s="84" t="str">
        <x:v>Mustang Grape</x:v>
      </x:c>
      <x:c r="E1887" s="84" t="str">
        <x:v>Perennial</x:v>
      </x:c>
      <x:c r="F1887" s="84" t="str">
        <x:v>Vine</x:v>
      </x:c>
      <x:c r="G1887" s="84" t="str">
        <x:v>Sun</x:v>
      </x:c>
      <x:c r="H1887" s="84" t="str">
        <x:v>Low</x:v>
      </x:c>
      <x:c r="I1887" s="84" t="str">
        <x:v>vitis mustangensis</x:v>
      </x:c>
    </x:row>
    <x:row r="1888">
      <x:c r="A1888" s="83" t="str">
        <x:v>Existing master workbook</x:v>
      </x:c>
      <x:c r="B1888" s="84" t="n">
        <x:v>312</x:v>
      </x:c>
      <x:c r="C1888" s="87" t="str">
        <x:v>Colubrina texensis</x:v>
      </x:c>
      <x:c r="D1888" s="84" t="str">
        <x:v>Texas Hog Plum</x:v>
      </x:c>
      <x:c r="E1888" s="84" t="str">
        <x:v>Perennial</x:v>
      </x:c>
      <x:c r="F1888" s="84" t="str"/>
      <x:c r="G1888" s="84" t="str"/>
      <x:c r="H1888" s="84" t="str"/>
      <x:c r="I1888" s="84" t="str">
        <x:v>colubrina texensis</x:v>
      </x:c>
    </x:row>
    <x:row r="1889">
      <x:c r="A1889" s="83" t="str">
        <x:v>Existing master workbook</x:v>
      </x:c>
      <x:c r="B1889" s="84" t="n">
        <x:v>313</x:v>
      </x:c>
      <x:c r="C1889" s="87" t="str">
        <x:v>Juncus texanus</x:v>
      </x:c>
      <x:c r="D1889" s="84" t="str">
        <x:v>Texas Rush</x:v>
      </x:c>
      <x:c r="E1889" s="84" t="str">
        <x:v>Perennial</x:v>
      </x:c>
      <x:c r="F1889" s="84" t="str"/>
      <x:c r="G1889" s="84" t="str"/>
      <x:c r="H1889" s="84" t="str"/>
      <x:c r="I1889" s="84" t="str">
        <x:v>juncus texanus</x:v>
      </x:c>
    </x:row>
    <x:row r="1890">
      <x:c r="A1890" s="83" t="str">
        <x:v>Existing master workbook</x:v>
      </x:c>
      <x:c r="B1890" s="84" t="n">
        <x:v>314</x:v>
      </x:c>
      <x:c r="C1890" s="87" t="str">
        <x:v>Leptochloa dubia</x:v>
      </x:c>
      <x:c r="D1890" s="84" t="str">
        <x:v>Green Sprangletop</x:v>
      </x:c>
      <x:c r="E1890" s="84" t="str">
        <x:v>Perennial</x:v>
      </x:c>
      <x:c r="F1890" s="84" t="str"/>
      <x:c r="G1890" s="84" t="str"/>
      <x:c r="H1890" s="84" t="str"/>
      <x:c r="I1890" s="84" t="str">
        <x:v>leptochloa dubia</x:v>
      </x:c>
    </x:row>
    <x:row r="1891">
      <x:c r="A1891" s="83" t="str">
        <x:v>Existing master workbook</x:v>
      </x:c>
      <x:c r="B1891" s="84" t="n">
        <x:v>315</x:v>
      </x:c>
      <x:c r="C1891" s="87" t="str">
        <x:v>Muhlenbergia dubia</x:v>
      </x:c>
      <x:c r="D1891" s="84" t="str">
        <x:v>Pine Muhly</x:v>
      </x:c>
      <x:c r="E1891" s="84" t="str">
        <x:v>Perennial</x:v>
      </x:c>
      <x:c r="F1891" s="84" t="str"/>
      <x:c r="G1891" s="84" t="str"/>
      <x:c r="H1891" s="84" t="str"/>
      <x:c r="I1891" s="84" t="str">
        <x:v>muhlenbergia dubia</x:v>
      </x:c>
    </x:row>
    <x:row r="1892">
      <x:c r="A1892" s="83" t="str">
        <x:v>Existing master workbook</x:v>
      </x:c>
      <x:c r="B1892" s="84" t="n">
        <x:v>316</x:v>
      </x:c>
      <x:c r="C1892" s="87" t="str">
        <x:v>Simsia calva</x:v>
      </x:c>
      <x:c r="D1892" s="84" t="str">
        <x:v>Awnless Bushsunflower</x:v>
      </x:c>
      <x:c r="E1892" s="84" t="str">
        <x:v>Perennial</x:v>
      </x:c>
      <x:c r="F1892" s="84" t="str"/>
      <x:c r="G1892" s="84" t="str"/>
      <x:c r="H1892" s="84" t="str"/>
      <x:c r="I1892" s="84" t="str">
        <x:v>simsia calva</x:v>
      </x:c>
    </x:row>
    <x:row r="1893">
      <x:c r="A1893" s="85" t="str">
        <x:v>Existing master workbook</x:v>
      </x:c>
      <x:c r="B1893" s="86" t="n">
        <x:v>317</x:v>
      </x:c>
      <x:c r="C1893" s="88" t="str">
        <x:v>Plectocephalus americanus</x:v>
      </x:c>
      <x:c r="D1893" s="86" t="str">
        <x:v>American Basket-flower</x:v>
      </x:c>
      <x:c r="E1893" s="86" t="str">
        <x:v>Annual</x:v>
      </x:c>
      <x:c r="F1893" s="86" t="str"/>
      <x:c r="G1893" s="86" t="str"/>
      <x:c r="H1893" s="86" t="str"/>
      <x:c r="I1893" s="86" t="str">
        <x:v>plectocephalus americanus</x:v>
      </x:c>
    </x:row>
  </x:sheetData>
  <x:pageMargins left="0.7" right="0.7" top="0.75" bottom="0.75" header="0.3" footer="0.3"/>
  <x:tableParts count="1">
    <x:tablePart xmlns:r="http://schemas.openxmlformats.org/officeDocument/2006/relationships" r:id="Rd6b8726ac6f44da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27" hidden="0" customWidth="1"/>
    <x:col min="3" max="3" width="34" hidden="0" customWidth="1"/>
    <x:col min="4" max="4" width="21" hidden="0" customWidth="1"/>
    <x:col min="5" max="5" width="29" hidden="0" customWidth="1"/>
    <x:col min="6" max="6" width="21" hidden="0" customWidth="1"/>
    <x:col min="7" max="7" width="21" hidden="0" customWidth="1"/>
    <x:col min="8" max="8" width="31" hidden="0" customWidth="1"/>
  </x:cols>
  <x:sheetData>
    <x:row r="1" ht="32" customHeight="1">
      <x:c r="A1" s="99" t="str">
        <x:v>Euphorbiaceae — Hays County Family Pilot</x:v>
      </x:c>
      <x:c r="B1" s="99"/>
      <x:c r="C1" s="99"/>
      <x:c r="D1" s="99"/>
      <x:c r="E1" s="99"/>
      <x:c r="F1" s="99"/>
      <x:c r="G1" s="99"/>
      <x:c r="H1" s="99"/>
    </x:row>
    <x:row r="2" ht="34" customHeight="1">
      <x:c r="A2" s="103" t="str">
        <x:v>28 current records • 8 genera • plain language first, botanical terms second • characters are weighted evidence, not rigid rules</x:v>
      </x:c>
      <x:c r="B2" s="103"/>
      <x:c r="C2" s="103"/>
      <x:c r="D2" s="103"/>
      <x:c r="E2" s="103"/>
      <x:c r="F2" s="103"/>
      <x:c r="G2" s="103"/>
      <x:c r="H2" s="103"/>
    </x:row>
    <x:row r="4" ht="25" customHeight="1">
      <x:c r="A4" s="105" t="str">
        <x:v>The family fingerprint: start with the fruit and flower plan</x:v>
      </x:c>
      <x:c r="B4" s="105"/>
      <x:c r="C4" s="105"/>
      <x:c r="D4" s="105"/>
      <x:c r="E4" s="105"/>
      <x:c r="F4" s="105"/>
      <x:c r="G4" s="105"/>
      <x:c r="H4" s="105"/>
    </x:row>
    <x:row r="6">
      <x:c r="A6" s="107" t="str">
        <x:v>Weight</x:v>
      </x:c>
      <x:c r="B6" s="107" t="str">
        <x:v>What you see</x:v>
      </x:c>
      <x:c r="C6" s="107" t="str">
        <x:v>Botanical translation</x:v>
      </x:c>
      <x:c r="D6" s="107" t="str">
        <x:v>Best part</x:v>
      </x:c>
      <x:c r="E6" s="107" t="str">
        <x:v>How to use it</x:v>
      </x:c>
    </x:row>
    <x:row r="7">
      <x:c r="A7" s="107" t="str">
        <x:v>1 — Strong</x:v>
      </x:c>
      <x:c r="B7" s="107" t="str">
        <x:v>Separate male and female flowers</x:v>
      </x:c>
      <x:c r="C7" s="107" t="str">
        <x:v>Unisexual flowers: each tiny flower is staminate (male) or pistillate (female).</x:v>
      </x:c>
      <x:c r="D7" s="107" t="str">
        <x:v>Flowers/cyathia</x:v>
      </x:c>
      <x:c r="E7" s="107" t="str">
        <x:v>Common across the family, but not unique by itself.</x:v>
      </x:c>
    </x:row>
    <x:row r="8">
      <x:c r="A8" s="107" t="str">
        <x:v>2 — Strong</x:v>
      </x:c>
      <x:c r="B8" s="107" t="str">
        <x:v>Three-part fruit</x:v>
      </x:c>
      <x:c r="C8" s="107" t="str">
        <x:v>Usually a 3-carpellate ovary and a three-lobed capsule.</x:v>
      </x:c>
      <x:c r="D8" s="107" t="str">
        <x:v>Developing or mature fruit</x:v>
      </x:c>
      <x:c r="E8" s="107" t="str">
        <x:v>One of the fastest confirmations when fruit is present.</x:v>
      </x:c>
    </x:row>
    <x:row r="9">
      <x:c r="A9" s="107" t="str">
        <x:v>3 — Strong</x:v>
      </x:c>
      <x:c r="B9" s="107" t="str">
        <x:v>Central post after splitting</x:v>
      </x:c>
      <x:c r="C9" s="107" t="str">
        <x:v>The valves may fall away and leave a persistent columella (central column).</x:v>
      </x:c>
      <x:c r="D9" s="107" t="str">
        <x:v>Mature/open fruit</x:v>
      </x:c>
      <x:c r="E9" s="107" t="str">
        <x:v>Look on the plant and directly below it.</x:v>
      </x:c>
    </x:row>
    <x:row r="10">
      <x:c r="A10" s="107" t="str">
        <x:v>4 — Supporting</x:v>
      </x:c>
      <x:c r="B10" s="107" t="str">
        <x:v>One seed per chamber</x:v>
      </x:c>
      <x:c r="C10" s="107" t="str">
        <x:v>Usually one ovule per locule (one seed in each chamber).</x:v>
      </x:c>
      <x:c r="D10" s="107" t="str">
        <x:v>Mature fruit/seed</x:v>
      </x:c>
      <x:c r="E10" s="107" t="str">
        <x:v>A hand lens helps; failed seeds can reduce the count.</x:v>
      </x:c>
    </x:row>
    <x:row r="11">
      <x:c r="A11" s="107" t="str">
        <x:v>5 — Supporting</x:v>
      </x:c>
      <x:c r="B11" s="107" t="str">
        <x:v>Sap and leaf clues vary</x:v>
      </x:c>
      <x:c r="C11" s="107" t="str">
        <x:v>Latex, leaf arrangement, stipules, and glands help within genera but are not universal family rules.</x:v>
      </x:c>
      <x:c r="D11" s="107" t="str">
        <x:v>Vegetative parts</x:v>
      </x:c>
      <x:c r="E11" s="107" t="str">
        <x:v>Never break an unknown plant merely to test sap.</x:v>
      </x:c>
    </x:row>
    <x:row r="13" ht="25" customHeight="1">
      <x:c r="A13" s="105" t="str">
        <x:v>Field workflow: what to inspect before choosing a genus</x:v>
      </x:c>
      <x:c r="B13" s="105"/>
      <x:c r="C13" s="105"/>
      <x:c r="D13" s="105"/>
      <x:c r="E13" s="105"/>
      <x:c r="F13" s="105"/>
      <x:c r="G13" s="105"/>
      <x:c r="H13" s="105"/>
    </x:row>
    <x:row r="15">
      <x:c r="A15" s="107" t="str">
        <x:v>Step</x:v>
      </x:c>
      <x:c r="B15" s="107" t="str">
        <x:v>Plain-language question</x:v>
      </x:c>
      <x:c r="C15" s="107" t="str">
        <x:v>Technical target</x:v>
      </x:c>
      <x:c r="D15" s="107" t="str">
        <x:v>Acalypha</x:v>
      </x:c>
      <x:c r="E15" s="107" t="str">
        <x:v>Croton</x:v>
      </x:c>
      <x:c r="F15" s="107" t="str">
        <x:v>Euphorbia</x:v>
      </x:c>
      <x:c r="G15" s="107" t="str">
        <x:v>Stinging branch</x:v>
      </x:c>
      <x:c r="H15" s="107" t="str">
        <x:v>What to photograph</x:v>
      </x:c>
    </x:row>
    <x:row r="16">
      <x:c r="A16" s="107" t="n">
        <x:v>1</x:v>
      </x:c>
      <x:c r="B16" s="107" t="str">
        <x:v>Does it sting without being touched?</x:v>
      </x:c>
      <x:c r="C16" s="107" t="str">
        <x:v>Urticating trichomes</x:v>
      </x:c>
      <x:c r="D16" s="107" t="str"/>
      <x:c r="E16" s="107" t="str"/>
      <x:c r="F16" s="107" t="str"/>
      <x:c r="G16" s="107" t="str">
        <x:v>Cnidoscolus or Tragia</x:v>
      </x:c>
      <x:c r="H16" s="107" t="str">
        <x:v>Whole habit and hair close-up from a safe distance</x:v>
      </x:c>
    </x:row>
    <x:row r="17">
      <x:c r="A17" s="107" t="n">
        <x:v>2</x:v>
      </x:c>
      <x:c r="B17" s="107" t="str">
        <x:v>Are the hairs star-shaped, two-armed, or simple?</x:v>
      </x:c>
      <x:c r="C17" s="107" t="str">
        <x:v>Indumentum architecture</x:v>
      </x:c>
      <x:c r="D17" s="107" t="str">
        <x:v>Simple</x:v>
      </x:c>
      <x:c r="E17" s="107" t="str">
        <x:v>Stellate / lepidote</x:v>
      </x:c>
      <x:c r="F17" s="107" t="str">
        <x:v>Variable</x:v>
      </x:c>
      <x:c r="G17" s="107" t="str">
        <x:v>Stinging hairs</x:v>
      </x:c>
      <x:c r="H17" s="107" t="str">
        <x:v>Both leaf surfaces at fixed magnification</x:v>
      </x:c>
    </x:row>
    <x:row r="18">
      <x:c r="A18" s="107" t="n">
        <x:v>3</x:v>
      </x:c>
      <x:c r="B18" s="107" t="str">
        <x:v>Is there a tiny flower-cup with glands?</x:v>
      </x:c>
      <x:c r="C18" s="107" t="str">
        <x:v>Cyathium</x:v>
      </x:c>
      <x:c r="D18" s="107" t="str">
        <x:v>No</x:v>
      </x:c>
      <x:c r="E18" s="107" t="str">
        <x:v>No</x:v>
      </x:c>
      <x:c r="F18" s="107" t="str">
        <x:v>Yes</x:v>
      </x:c>
      <x:c r="G18" s="107" t="str">
        <x:v>No</x:v>
      </x:c>
      <x:c r="H18" s="107" t="str">
        <x:v>Cup from above and side, including glands</x:v>
      </x:c>
    </x:row>
    <x:row r="19">
      <x:c r="A19" s="107" t="n">
        <x:v>4</x:v>
      </x:c>
      <x:c r="B19" s="107" t="str">
        <x:v>Is there an enlarged bract around each female flower?</x:v>
      </x:c>
      <x:c r="C19" s="107" t="str">
        <x:v>Accrescent pistillate bract</x:v>
      </x:c>
      <x:c r="D19" s="107" t="str">
        <x:v>Often diagnostic</x:v>
      </x:c>
      <x:c r="E19" s="107" t="str">
        <x:v>No</x:v>
      </x:c>
      <x:c r="F19" s="107" t="str">
        <x:v>Different bract system</x:v>
      </x:c>
      <x:c r="G19" s="107" t="str">
        <x:v>No</x:v>
      </x:c>
      <x:c r="H19" s="107" t="str">
        <x:v>Female flower/fruit and its subtending bract</x:v>
      </x:c>
    </x:row>
    <x:row r="20">
      <x:c r="A20" s="107" t="n">
        <x:v>5</x:v>
      </x:c>
      <x:c r="B20" s="107" t="str">
        <x:v>Where are male and female flowers placed?</x:v>
      </x:c>
      <x:c r="C20" s="107" t="str">
        <x:v>Inflorescence architecture</x:v>
      </x:c>
      <x:c r="D20" s="107" t="str">
        <x:v>Often female low</x:v>
      </x:c>
      <x:c r="E20" s="107" t="str">
        <x:v>Varies</x:v>
      </x:c>
      <x:c r="F20" s="107" t="str">
        <x:v>Central female flower in cyathium</x:v>
      </x:c>
      <x:c r="G20" s="107" t="str">
        <x:v>Tragia: female low, male above</x:v>
      </x:c>
      <x:c r="H20" s="107" t="str">
        <x:v>Entire inflorescence from base to tip</x:v>
      </x:c>
    </x:row>
    <x:row r="22">
      <x:c r="A22" s="109" t="str">
        <x:v>Safety and interpretation</x:v>
      </x:c>
      <x:c r="B22" s="109"/>
      <x:c r="C22" s="109"/>
      <x:c r="D22" s="109"/>
      <x:c r="E22" s="109"/>
      <x:c r="F22" s="109"/>
      <x:c r="G22" s="109"/>
      <x:c r="H22" s="109"/>
    </x:row>
    <x:row r="23" ht="30" customHeight="1">
      <x:c r="A23" s="112" t="str">
        <x:v>Rule</x:v>
      </x:c>
      <x:c r="B23" s="113" t="str">
        <x:v>Do not touch stinging plants. Photograph Cnidoscolus and Tragia from a safe distance.</x:v>
      </x:c>
      <x:c r="C23" s="113"/>
      <x:c r="D23" s="113"/>
      <x:c r="E23" s="113"/>
      <x:c r="F23" s="113"/>
      <x:c r="G23" s="113"/>
      <x:c r="H23" s="113"/>
    </x:row>
    <x:row r="24" ht="30" customHeight="1">
      <x:c r="A24" s="112" t="str">
        <x:v>Rule</x:v>
      </x:c>
      <x:c r="B24" s="113" t="str">
        <x:v>Do not break stems to test latex. Existing damage may be observed, but sap absence never rules out Euphorbiaceae.</x:v>
      </x:c>
      <x:c r="C24" s="113"/>
      <x:c r="D24" s="113"/>
      <x:c r="E24" s="113"/>
      <x:c r="F24" s="113"/>
      <x:c r="G24" s="113"/>
      <x:c r="H24" s="113"/>
    </x:row>
    <x:row r="25" ht="30" customHeight="1">
      <x:c r="A25" s="112" t="str">
        <x:v>Method</x:v>
      </x:c>
      <x:c r="B25" s="113" t="str">
        <x:v>Use at least two strong characters, or one strong plus two supporting characters, before calling a family or genus.</x:v>
      </x:c>
      <x:c r="C25" s="113"/>
      <x:c r="D25" s="113"/>
      <x:c r="E25" s="113"/>
      <x:c r="F25" s="113"/>
      <x:c r="G25" s="113"/>
      <x:c r="H25" s="113"/>
    </x:row>
    <x:row r="26" ht="30" customHeight="1">
      <x:c r="A26" s="112" t="str">
        <x:v>Method</x:v>
      </x:c>
      <x:c r="B26" s="113" t="str">
        <x:v>A blank or 'pending' species row means the family/genus path is useful now, but the species comparison still needs authoritative treatment.</x:v>
      </x:c>
      <x:c r="C26" s="113"/>
      <x:c r="D26" s="113"/>
      <x:c r="E26" s="113"/>
      <x:c r="F26" s="113"/>
      <x:c r="G26" s="113"/>
      <x:c r="H26" s="113"/>
    </x:row>
  </x:sheetData>
  <x:mergeCells>
    <x:mergeCell ref="A1:H1"/>
    <x:mergeCell ref="A2:H2"/>
    <x:mergeCell ref="A4:H4"/>
    <x:mergeCell ref="A13:H13"/>
    <x:mergeCell ref="A22:H22"/>
    <x:mergeCell ref="B23:H23"/>
    <x:mergeCell ref="B24:H24"/>
    <x:mergeCell ref="B25:H25"/>
    <x:mergeCell ref="B26:H26"/>
  </x:mergeCells>
  <x:pageMargins left="0.7" right="0.7" top="0.75" bottom="0.75" header="0.3" footer="0.3"/>
  <x:tableParts count="2">
    <x:tablePart xmlns:r="http://schemas.openxmlformats.org/officeDocument/2006/relationships" r:id="R7e8ce4cedda34237"/>
    <x:tablePart xmlns:r="http://schemas.openxmlformats.org/officeDocument/2006/relationships" r:id="Rf2a8a0d9502a414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38" hidden="0" customWidth="1"/>
    <x:col min="4" max="4" width="46" hidden="0" customWidth="1"/>
    <x:col min="5" max="5" width="42" hidden="0" customWidth="1"/>
    <x:col min="6" max="6" width="38" hidden="0" customWidth="1"/>
    <x:col min="7" max="7" width="32" hidden="0" customWidth="1"/>
    <x:col min="8" max="8" width="48" hidden="0" customWidth="1"/>
    <x:col min="9" max="9" width="29" hidden="0" customWidth="1"/>
    <x:col min="10" max="10" width="46" hidden="0" customWidth="1"/>
  </x:cols>
  <x:sheetData>
    <x:row r="1" ht="34" customHeight="1">
      <x:c r="A1" s="106" t="str">
        <x:v>Genus</x:v>
      </x:c>
      <x:c r="B1" s="106" t="str">
        <x:v>Plant Records</x:v>
      </x:c>
      <x:c r="C1" s="106" t="str">
        <x:v>Plain-Language Recognition</x:v>
      </x:c>
      <x:c r="D1" s="106" t="str">
        <x:v>Botanical Character Suite</x:v>
      </x:c>
      <x:c r="E1" s="106" t="str">
        <x:v>Best Parts to Inspect / Photograph</x:v>
      </x:c>
      <x:c r="F1" s="106" t="str">
        <x:v>Common Trap</x:v>
      </x:c>
      <x:c r="G1" s="106" t="str">
        <x:v>Primary Lookalikes</x:v>
      </x:c>
      <x:c r="H1" s="106" t="str">
        <x:v>Current Accepted Names</x:v>
      </x:c>
      <x:c r="I1" s="106" t="str">
        <x:v>Evidence Status</x:v>
      </x:c>
      <x:c r="J1" s="106" t="str">
        <x:v>Source URLs</x:v>
      </x:c>
    </x:row>
    <x:row r="2">
      <x:c r="A2" s="114" t="str">
        <x:v>Acalypha</x:v>
      </x:c>
      <x:c r="B2" s="114" t="n">
        <x:v>3</x:v>
      </x:c>
      <x:c r="C2" s="107" t="str">
        <x:v>Copperleafs: look for slender flower spikes and a leaflike cup or bract around each female flower/fruit.</x:v>
      </x:c>
      <x:c r="D2" s="107" t="str">
        <x:v>Usually alternate simple leaves; spikelike inflorescences; pistillate flowers often below staminate flowers; petals absent; accrescent pistillate bracts; latex absent.</x:v>
      </x:c>
      <x:c r="E2" s="107" t="str">
        <x:v>Whole plant, both leaf surfaces, entire spike, pistillate bract face and edge, mature fruit.</x:v>
      </x:c>
      <x:c r="F2" s="107" t="str">
        <x:v>The enlarged pistillate bract is more dependable than leaf shape alone; Acalypha persimilis still needs a species-level treatment.</x:v>
      </x:c>
      <x:c r="G2" s="107" t="str">
        <x:v>Other Acalypha; superficially with nettles or small Croton.</x:v>
      </x:c>
      <x:c r="H2" s="107" t="str">
        <x:v>Acalypha persimilis, Acalypha phleoides, Acalypha radians</x:v>
      </x:c>
      <x:c r="I2" s="107" t="str">
        <x:v>Strong genus profile; two of three species keyed</x:v>
      </x:c>
      <x:c r="J2" s="107" t="str">
        <x:v>https://floranorthamerica.org/Acalypha</x:v>
      </x:c>
    </x:row>
    <x:row r="3">
      <x:c r="A3" s="114" t="str">
        <x:v>Argythamnia</x:v>
      </x:c>
      <x:c r="B3" s="114" t="n">
        <x:v>3</x:v>
      </x:c>
      <x:c r="C3" s="107" t="str">
        <x:v>Silverbushes: usually gray-silvery because the hairs lie flat and split into two arms; tiny pale petals are often visible.</x:v>
      </x:c>
      <x:c r="D3" s="107" t="str">
        <x:v>Malpighiaceous hairs (two-armed hairs attached near the middle); axillary racemes with pistillate flowers proximal and staminate flowers distal; petals usually present; latex absent.</x:v>
      </x:c>
      <x:c r="E3" s="107" t="str">
        <x:v>Leaf hair close-up, petiole attachment, full raceme, staminate flower, pistillate ovary/fruit.</x:v>
      </x:c>
      <x:c r="F3" s="107" t="str">
        <x:v>Several decisive traits—stamen count, petal shape, and ovary hairs—need a hand lens or close macro photograph.</x:v>
      </x:c>
      <x:c r="G3" s="107" t="str">
        <x:v>Other Argythamnia; gray Croton and Bernardia.</x:v>
      </x:c>
      <x:c r="H3" s="107" t="str">
        <x:v>Argythamnia aphoroides, Argythamnia humilis, Argythamnia simulans</x:v>
      </x:c>
      <x:c r="I3" s="107" t="str">
        <x:v>Strong genus and species-key profile</x:v>
      </x:c>
      <x:c r="J3" s="107" t="str">
        <x:v>https://floranorthamerica.org/Argythamnia</x:v>
      </x:c>
    </x:row>
    <x:row r="4">
      <x:c r="A4" s="114" t="str">
        <x:v>Bernardia</x:v>
      </x:c>
      <x:c r="B4" s="114" t="n">
        <x:v>1</x:v>
      </x:c>
      <x:c r="C4" s="107" t="str">
        <x:v>Mouse-ears: a woody, leafy spurge relative with inconspicuous separate male and female flowers; treat this as a provisional genus profile.</x:v>
      </x:c>
      <x:c r="D4" s="107" t="str">
        <x:v>Alternate simple leaves and unisexual flowers; species-level recognition for this project still requires a regional flora treatment.</x:v>
      </x:c>
      <x:c r="E4" s="107" t="str">
        <x:v>Whole habit, twig, leaf base and margin, both flower sexes, capsule, hairs.</x:v>
      </x:c>
      <x:c r="F4" s="107" t="str">
        <x:v>Do not identify from the small rounded leaves alone; compare inflorescence structure and fruit.</x:v>
      </x:c>
      <x:c r="G4" s="107" t="str">
        <x:v>Argythamnia, Croton, and other small woody Euphorbiaceae.</x:v>
      </x:c>
      <x:c r="H4" s="107" t="str">
        <x:v>Bernardia myricifolia</x:v>
      </x:c>
      <x:c r="I4" s="107" t="str">
        <x:v>Provisional; regional treatment needed</x:v>
      </x:c>
      <x:c r="J4" s="107" t="str">
        <x:v>https://powo.science.kew.org/taxon/urn%3Alsid%3Aipni.org%3Anames%3A30375178-2/general-information</x:v>
      </x:c>
    </x:row>
    <x:row r="5">
      <x:c r="A5" s="114" t="str">
        <x:v>Cnidoscolus</x:v>
      </x:c>
      <x:c r="B5" s="114" t="n">
        <x:v>1</x:v>
      </x:c>
      <x:c r="C5" s="107" t="str">
        <x:v>Bullnettle: a robust upright plant with obvious white flowers and powerful stinging hairs.</x:v>
      </x:c>
      <x:c r="D5" s="107" t="str">
        <x:v>Herb with urticating trichomes (stinging hairs); conspicuous flowers; three-part capsule.</x:v>
      </x:c>
      <x:c r="E5" s="107" t="str">
        <x:v>Photograph from a safe distance: whole plant, leaf outline, flower face/side, fruit, stinging hairs.</x:v>
      </x:c>
      <x:c r="F5" s="107" t="str">
        <x:v>Do not touch. It shares stinging hairs with Tragia, but Tragia is usually slender and climbing or ascending with much smaller flowers.</x:v>
      </x:c>
      <x:c r="G5" s="107" t="str">
        <x:v>Tragia and true nettles (Urticaceae).</x:v>
      </x:c>
      <x:c r="H5" s="107" t="str">
        <x:v>Cnidoscolus texanus</x:v>
      </x:c>
      <x:c r="I5" s="107" t="str">
        <x:v>Strong field profile</x:v>
      </x:c>
      <x:c r="J5" s="107" t="str">
        <x:v>https://fsus.ncbg.unc.edu/main.php?pg=show-taxon-detail.php&amp;taxonid=1020</x:v>
      </x:c>
    </x:row>
    <x:row r="6">
      <x:c r="A6" s="114" t="str">
        <x:v>Croton</x:v>
      </x:c>
      <x:c r="B6" s="114" t="n">
        <x:v>5</x:v>
      </x:c>
      <x:c r="C6" s="107" t="str">
        <x:v>Crotons: inspect for star-shaped or tiny shieldlike hairs that can make the plant gray, rusty, or scurfy.</x:v>
      </x:c>
      <x:c r="D6" s="107" t="str">
        <x:v>Stellate or lepidote indumentum; usually alternate simple leaves; unisexual flowers in racemose or spikelike inflorescences; colorless to reddish, not milky-white, latex.</x:v>
      </x:c>
      <x:c r="E6" s="107" t="str">
        <x:v>Whole habit, both leaf surfaces under magnification, inflorescence, pistillate sepals, capsule, seeds.</x:v>
      </x:c>
      <x:c r="F6" s="107" t="str">
        <x:v>Overall grayness is not enough—the type, color, and placement of individual stellate hairs are often decisive.</x:v>
      </x:c>
      <x:c r="G6" s="107" t="str">
        <x:v>Other Croton; Argythamnia and other gray-hairy spurges.</x:v>
      </x:c>
      <x:c r="H6" s="107" t="str">
        <x:v>Croton capitatus, Croton fruticulosus, Croton lindheimerianus, Croton monanthogynus, Croton texensis</x:v>
      </x:c>
      <x:c r="I6" s="107" t="str">
        <x:v>Strong genus and five-species key profile</x:v>
      </x:c>
      <x:c r="J6" s="107" t="str">
        <x:v>https://floranorthamerica.org/Croton</x:v>
      </x:c>
    </x:row>
    <x:row r="7">
      <x:c r="A7" s="114" t="str">
        <x:v>Euphorbia</x:v>
      </x:c>
      <x:c r="B7" s="114" t="n">
        <x:v>10</x:v>
      </x:c>
      <x:c r="C7" s="107" t="str">
        <x:v>Spurges: the apparent flower is often a tiny cup called a cyathium, with glands around its rim and one female flower in the center.</x:v>
      </x:c>
      <x:c r="D7" s="107" t="str">
        <x:v>Cyathium present; highly reduced staminate flowers surround a central pistillate flower; involucral glands and sometimes petal-like appendages; milky latex common; capsule typically three-lobed.</x:v>
      </x:c>
      <x:c r="E7" s="107" t="str">
        <x:v>Whole habit, leaf pairs and stipules, cyathium from above and side, gland appendages, ovary/capsule hairs, mature seed.</x:v>
      </x:c>
      <x:c r="F7" s="107" t="str">
        <x:v>Leaf shape and red blotches vary. Do not use latex as a test; inspect the cyathium, stipules, fruit hairs, and seeds together.</x:v>
      </x:c>
      <x:c r="G7" s="107" t="str">
        <x:v>Other Euphorbia, especially sandmats formerly called Chamaesyce; upright Poinsettia-section spurges.</x:v>
      </x:c>
      <x:c r="H7" s="107" t="str">
        <x:v>Euphorbia angusta, Euphorbia fendleri, Euphorbia nutans, Euphorbia prostrata, Euphorbia serpens, Euphorbia villifera, Euphorbia cyathophora, Euphorbia dentata, Euphorbia marginata, Euphorbia roemeriana</x:v>
      </x:c>
      <x:c r="I7" s="107" t="str">
        <x:v>Strong genus profile; 9 of 10 records have first-pass species evidence</x:v>
      </x:c>
      <x:c r="J7" s="107" t="str">
        <x:v>https://powo.science.kew.org/taxon/urn%3Alsid%3Aipni.org%3Anames%3A327729-2/general-information
https://floranorthamerica.org/Euphorbia_sect._Poinsettia</x:v>
      </x:c>
    </x:row>
    <x:row r="8">
      <x:c r="A8" s="114" t="str">
        <x:v>Stillingia</x:v>
      </x:c>
      <x:c r="B8" s="114" t="n">
        <x:v>1</x:v>
      </x:c>
      <x:c r="C8" s="107" t="str">
        <x:v>Queen's-delight: an upright, usually smooth-looking plant with a terminal flower spike—female flowers low, male flowers above.</x:v>
      </x:c>
      <x:c r="D8" s="107" t="str">
        <x:v>Terminal spikelike inflorescence with pistillate flowers proximal and staminate flowers distal; milky latex and bract glands are supporting characters pending regional review.</x:v>
      </x:c>
      <x:c r="E8" s="107" t="str">
        <x:v>Whole plant, terminal spike from base to tip, bracts and glands, leaf margin, capsule.</x:v>
      </x:c>
      <x:c r="F8" s="107" t="str">
        <x:v>The spike arrangement is stronger than general leaf shape; do not test for latex.</x:v>
      </x:c>
      <x:c r="G8" s="107" t="str">
        <x:v>Acalypha and other Euphorbiaceae with male-above/female-below spikes.</x:v>
      </x:c>
      <x:c r="H8" s="107" t="str">
        <x:v>Stillingia texana</x:v>
      </x:c>
      <x:c r="I8" s="107" t="str">
        <x:v>Moderate; regional species treatment needed</x:v>
      </x:c>
      <x:c r="J8" s="107" t="str">
        <x:v>https://floranorthamerica.org/Stillingia</x:v>
      </x:c>
    </x:row>
    <x:row r="9">
      <x:c r="A9" s="114" t="str">
        <x:v>Tragia</x:v>
      </x:c>
      <x:c r="B9" s="114" t="n">
        <x:v>4</x:v>
      </x:c>
      <x:c r="C9" s="107" t="str">
        <x:v>Noseburns: slender plants armed with stinging hairs; flower clusters usually stand opposite a leaf, with female flowers low and males above.</x:v>
      </x:c>
      <x:c r="D9" s="107" t="str">
        <x:v>Urticating trichomes; latex absent; racemelike inflorescence opposite a leaf; pistillate flowers proximal and staminate flowers distal; three-lobed capsule often stinging-hairy.</x:v>
      </x:c>
      <x:c r="E9" s="107" t="str">
        <x:v>Do not touch. Photograph habit, stem hairs, leaf base/teeth, inflorescence position and length, flower zones, fruit and styles.</x:v>
      </x:c>
      <x:c r="F9" s="107" t="str">
        <x:v>Habit is useful but variable. Confirm with the opposite-leaf inflorescence and reproductive structures.</x:v>
      </x:c>
      <x:c r="G9" s="107" t="str">
        <x:v>Other Tragia, Cnidoscolus, and true nettles.</x:v>
      </x:c>
      <x:c r="H9" s="107" t="str">
        <x:v>Tragia betonicifolia, Tragia brevispica, Tragia nigricans, Tragia ramosa</x:v>
      </x:c>
      <x:c r="I9" s="107" t="str">
        <x:v>Strong genus profile; two species have local-source evidence</x:v>
      </x:c>
      <x:c r="J9" s="107" t="str">
        <x:v>https://floranorthamerica.org/Tragia
https://w3.biosci.utexas.edu/prc/K12/pages/Tragia%20brevispica.html
https://portal.torcherbaria.org/portal/taxa/index.php?clid=23996&amp;taxauthid=1&amp;taxon=3512</x:v>
      </x:c>
    </x:row>
  </x:sheetData>
  <x:conditionalFormatting sqref="I2:I9">
    <x:cfRule type="containsText" dxfId="5" priority="1" operator="containsText" text="pending"/>
    <x:cfRule type="containsText" dxfId="6" priority="2" operator="containsText" text="Provisional"/>
  </x:conditionalFormatting>
  <x:pageMargins left="0.7" right="0.7" top="0.75" bottom="0.75" header="0.3" footer="0.3"/>
  <x:tableParts count="1">
    <x:tablePart xmlns:r="http://schemas.openxmlformats.org/officeDocument/2006/relationships" r:id="Rd4bb47181ea5450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10" hidden="0" customWidth="1"/>
    <x:col min="3" max="3" width="24" hidden="0" customWidth="1"/>
    <x:col min="4" max="4" width="17" hidden="0" customWidth="1"/>
    <x:col min="5" max="5" width="38" hidden="0" customWidth="1"/>
    <x:col min="6" max="6" width="42" hidden="0" customWidth="1"/>
    <x:col min="7" max="7" width="16" hidden="0" customWidth="1"/>
    <x:col min="8" max="8" width="12" hidden="0" customWidth="1"/>
    <x:col min="9" max="9" width="14" hidden="0" customWidth="1"/>
    <x:col min="10" max="10" width="24" hidden="0" customWidth="1"/>
    <x:col min="11" max="11" width="36" hidden="0" customWidth="1"/>
    <x:col min="12" max="12" width="42" hidden="0" customWidth="1"/>
    <x:col min="13" max="13" width="25" hidden="0" customWidth="1"/>
    <x:col min="14" max="14" width="48" hidden="0" customWidth="1"/>
    <x:col min="15" max="15" width="32" hidden="0" customWidth="1"/>
    <x:col min="16" max="16" width="15" hidden="0" customWidth="1"/>
  </x:cols>
  <x:sheetData>
    <x:row r="1" ht="34" customHeight="1">
      <x:c r="A1" s="106" t="str">
        <x:v>Evidence ID</x:v>
      </x:c>
      <x:c r="B1" s="106" t="str">
        <x:v>Level</x:v>
      </x:c>
      <x:c r="C1" s="106" t="str">
        <x:v>Taxon / Group</x:v>
      </x:c>
      <x:c r="D1" s="106" t="str">
        <x:v>Organ</x:v>
      </x:c>
      <x:c r="E1" s="106" t="str">
        <x:v>Plain-Language Character</x:v>
      </x:c>
      <x:c r="F1" s="106" t="str">
        <x:v>Botanical State</x:v>
      </x:c>
      <x:c r="G1" s="106" t="str">
        <x:v>Evidence Strength</x:v>
      </x:c>
      <x:c r="H1" s="106" t="str">
        <x:v>Reliability</x:v>
      </x:c>
      <x:c r="I1" s="106" t="str">
        <x:v>Field Visibility</x:v>
      </x:c>
      <x:c r="J1" s="106" t="str">
        <x:v>Season / Required Part</x:v>
      </x:c>
      <x:c r="K1" s="106" t="str">
        <x:v>Exceptions / Variation</x:v>
      </x:c>
      <x:c r="L1" s="106" t="str">
        <x:v>Lookalike Separation</x:v>
      </x:c>
      <x:c r="M1" s="106" t="str">
        <x:v>Source</x:v>
      </x:c>
      <x:c r="N1" s="106" t="str">
        <x:v>Source URL</x:v>
      </x:c>
      <x:c r="O1" s="106" t="str">
        <x:v>Source Note</x:v>
      </x:c>
      <x:c r="P1" s="106" t="str">
        <x:v>Human Review</x:v>
      </x:c>
    </x:row>
    <x:row r="2">
      <x:c r="A2" s="114" t="str">
        <x:v>EUPH-E001</x:v>
      </x:c>
      <x:c r="B2" s="114" t="str">
        <x:v>Family</x:v>
      </x:c>
      <x:c r="C2" s="114" t="str">
        <x:v>Euphorbiaceae</x:v>
      </x:c>
      <x:c r="D2" s="114" t="str">
        <x:v>Flower</x:v>
      </x:c>
      <x:c r="E2" s="107" t="str">
        <x:v>Male and female flowers are separate, even when they occur together on one plant.</x:v>
      </x:c>
      <x:c r="F2" s="107" t="str">
        <x:v>Flowers unisexual (staminate or pistillate).</x:v>
      </x:c>
      <x:c r="G2" s="114" t="str">
        <x:v>Strong</x:v>
      </x:c>
      <x:c r="H2" s="114" t="str">
        <x:v>High</x:v>
      </x:c>
      <x:c r="I2" s="114" t="str">
        <x:v>Medium</x:v>
      </x:c>
      <x:c r="J2" s="107" t="str">
        <x:v>Flowers or cyathia</x:v>
      </x:c>
      <x:c r="K2" s="107" t="str">
        <x:v>Flowers may be tiny and tightly clustered.</x:v>
      </x:c>
      <x:c r="L2" s="107" t="str">
        <x:v>Separates the family from many common lookalikes with obviously bisexual flowers, but it is not unique by itself.</x:v>
      </x:c>
      <x:c r="M2" s="107" t="str">
        <x:v>APweb; Kew POWO</x:v>
      </x:c>
      <x:c r="N2" s="107" t="str">
        <x:v>https://www.mobot.org/MOBOT/research/APweb/orders/malpighialesweb.htm
https://powo.science.kew.org/taxon/urn%3Alsid%3Aipni.org%3Anames%3A30375178-2/general-information</x:v>
      </x:c>
      <x:c r="O2" s="107" t="str">
        <x:v>Core family evidence; use as part of a suite.</x:v>
      </x:c>
      <x:c r="P2" s="107" t="str">
        <x:v>Not Needed</x:v>
      </x:c>
    </x:row>
    <x:row r="3">
      <x:c r="A3" s="114" t="str">
        <x:v>EUPH-E002</x:v>
      </x:c>
      <x:c r="B3" s="114" t="str">
        <x:v>Family</x:v>
      </x:c>
      <x:c r="C3" s="114" t="str">
        <x:v>Euphorbiaceae</x:v>
      </x:c>
      <x:c r="D3" s="114" t="str">
        <x:v>Fruit</x:v>
      </x:c>
      <x:c r="E3" s="107" t="str">
        <x:v>A mature fruit often looks three-part or three-lobed and splits around a central post.</x:v>
      </x:c>
      <x:c r="F3" s="107" t="str">
        <x:v>Gynoecium usually 3-carpellate; schizocarpic capsule often leaves a persistent columella.</x:v>
      </x:c>
      <x:c r="G3" s="114" t="str">
        <x:v>Strong</x:v>
      </x:c>
      <x:c r="H3" s="114" t="str">
        <x:v>High</x:v>
      </x:c>
      <x:c r="I3" s="114" t="str">
        <x:v>High</x:v>
      </x:c>
      <x:c r="J3" s="107" t="str">
        <x:v>Mature or developing fruit</x:v>
      </x:c>
      <x:c r="K3" s="107" t="str">
        <x:v>Some genera or damaged fruits obscure the three-part plan.</x:v>
      </x:c>
      <x:c r="L3" s="107" t="str">
        <x:v>This is one of the best family-level confirmations when flowers are inconspicuous.</x:v>
      </x:c>
      <x:c r="M3" s="107" t="str">
        <x:v>APweb</x:v>
      </x:c>
      <x:c r="N3" s="107" t="str">
        <x:v>https://www.mobot.org/MOBOT/research/APweb/orders/malpighialesweb.htm</x:v>
      </x:c>
      <x:c r="O3" s="107" t="str">
        <x:v>Core structural evidence.</x:v>
      </x:c>
      <x:c r="P3" s="107" t="str">
        <x:v>Not Needed</x:v>
      </x:c>
    </x:row>
    <x:row r="4">
      <x:c r="A4" s="114" t="str">
        <x:v>EUPH-E003</x:v>
      </x:c>
      <x:c r="B4" s="114" t="str">
        <x:v>Family</x:v>
      </x:c>
      <x:c r="C4" s="114" t="str">
        <x:v>Euphorbiaceae</x:v>
      </x:c>
      <x:c r="D4" s="114" t="str">
        <x:v>Ovary / seed</x:v>
      </x:c>
      <x:c r="E4" s="107" t="str">
        <x:v>Each of the usual three chambers generally develops one seed.</x:v>
      </x:c>
      <x:c r="F4" s="107" t="str">
        <x:v>One ovule per carpel/locule; seed sometimes carunculate.</x:v>
      </x:c>
      <x:c r="G4" s="114" t="str">
        <x:v>Strong</x:v>
      </x:c>
      <x:c r="H4" s="114" t="str">
        <x:v>High</x:v>
      </x:c>
      <x:c r="I4" s="114" t="str">
        <x:v>Low</x:v>
      </x:c>
      <x:c r="J4" s="107" t="str">
        <x:v>Dissected fruit or mature seed</x:v>
      </x:c>
      <x:c r="K4" s="107" t="str">
        <x:v>Requires close examination; failed ovules can reduce seed number.</x:v>
      </x:c>
      <x:c r="L4" s="107" t="str">
        <x:v>Useful confirmation when a mature capsule is available.</x:v>
      </x:c>
      <x:c r="M4" s="107" t="str">
        <x:v>APweb; Kew POWO</x:v>
      </x:c>
      <x:c r="N4" s="107" t="str">
        <x:v>https://www.mobot.org/MOBOT/research/APweb/orders/malpighialesweb.htm
https://powo.science.kew.org/taxon/urn%3Alsid%3Aipni.org%3Anames%3A30375178-2/general-information</x:v>
      </x:c>
      <x:c r="O4" s="107" t="str">
        <x:v>Usually not a first glance character.</x:v>
      </x:c>
      <x:c r="P4" s="107" t="str">
        <x:v>Not Needed</x:v>
      </x:c>
    </x:row>
    <x:row r="5">
      <x:c r="A5" s="114" t="str">
        <x:v>EUPH-E004</x:v>
      </x:c>
      <x:c r="B5" s="114" t="str">
        <x:v>Family</x:v>
      </x:c>
      <x:c r="C5" s="114" t="str">
        <x:v>Euphorbiaceae</x:v>
      </x:c>
      <x:c r="D5" s="114" t="str">
        <x:v>Sap</x:v>
      </x:c>
      <x:c r="E5" s="107" t="str">
        <x:v>Some members have milky sap, but others do not.</x:v>
      </x:c>
      <x:c r="F5" s="107" t="str">
        <x:v>Laticifers and latex variable.</x:v>
      </x:c>
      <x:c r="G5" s="114" t="str">
        <x:v>Supporting</x:v>
      </x:c>
      <x:c r="H5" s="114" t="str">
        <x:v>High</x:v>
      </x:c>
      <x:c r="I5" s="114" t="str">
        <x:v>Low</x:v>
      </x:c>
      <x:c r="J5" s="107" t="str">
        <x:v>Damaged tissue</x:v>
      </x:c>
      <x:c r="K5" s="107" t="str">
        <x:v>Never break a plant merely to test sap; some latex is irritating.</x:v>
      </x:c>
      <x:c r="L5" s="107" t="str">
        <x:v>Milky latex supports Euphorbia or Stillingia, but absence does not rule out the family.</x:v>
      </x:c>
      <x:c r="M5" s="107" t="str">
        <x:v>APweb; Kew POWO</x:v>
      </x:c>
      <x:c r="N5" s="107" t="str">
        <x:v>https://www.mobot.org/MOBOT/research/APweb/orders/malpighialesweb.htm
https://powo.science.kew.org/taxon/urn%3Alsid%3Aipni.org%3Anames%3A30375178-2/general-information</x:v>
      </x:c>
      <x:c r="O5" s="107" t="str">
        <x:v>Safety-sensitive; observation only.</x:v>
      </x:c>
      <x:c r="P5" s="107" t="str">
        <x:v>Not Needed</x:v>
      </x:c>
    </x:row>
    <x:row r="6">
      <x:c r="A6" s="114" t="str">
        <x:v>EUPH-E005</x:v>
      </x:c>
      <x:c r="B6" s="114" t="str">
        <x:v>Family</x:v>
      </x:c>
      <x:c r="C6" s="114" t="str">
        <x:v>Euphorbiaceae</x:v>
      </x:c>
      <x:c r="D6" s="114" t="str">
        <x:v>Leaf</x:v>
      </x:c>
      <x:c r="E6" s="107" t="str">
        <x:v>Leaves are often simple and alternate, often with small stipules at the leaf base.</x:v>
      </x:c>
      <x:c r="F6" s="107" t="str">
        <x:v>Leaves usually alternate and simple; stipules often present; basal or petiolar glands may occur.</x:v>
      </x:c>
      <x:c r="G6" s="114" t="str">
        <x:v>Supporting</x:v>
      </x:c>
      <x:c r="H6" s="114" t="str">
        <x:v>Moderate</x:v>
      </x:c>
      <x:c r="I6" s="114" t="str">
        <x:v>High</x:v>
      </x:c>
      <x:c r="J6" s="107" t="str">
        <x:v>Vegetative plant</x:v>
      </x:c>
      <x:c r="K6" s="107" t="str">
        <x:v>Euphorbia sandmats usually have opposite leaves; family leaf form is highly variable.</x:v>
      </x:c>
      <x:c r="L6" s="107" t="str">
        <x:v>Useful for selecting what to inspect, not for confirming the family by itself.</x:v>
      </x:c>
      <x:c r="M6" s="107" t="str">
        <x:v>Kew POWO</x:v>
      </x:c>
      <x:c r="N6" s="107" t="str">
        <x:v>https://powo.science.kew.org/taxon/urn%3Alsid%3Aipni.org%3Anames%3A30375178-2/general-information</x:v>
      </x:c>
      <x:c r="O6" s="107" t="str">
        <x:v>Broad family tendency with important exceptions.</x:v>
      </x:c>
      <x:c r="P6" s="107" t="str">
        <x:v>Not Needed</x:v>
      </x:c>
    </x:row>
    <x:row r="7">
      <x:c r="A7" s="114" t="str">
        <x:v>EUPH-E006</x:v>
      </x:c>
      <x:c r="B7" s="114" t="str">
        <x:v>Genus</x:v>
      </x:c>
      <x:c r="C7" s="114" t="str">
        <x:v>Acalypha</x:v>
      </x:c>
      <x:c r="D7" s="114" t="str">
        <x:v>Inflorescence / bract</x:v>
      </x:c>
      <x:c r="E7" s="107" t="str">
        <x:v>Female flowers or fruits sit in enlarged leaflike bracts on a spike.</x:v>
      </x:c>
      <x:c r="F7" s="107" t="str">
        <x:v>Spikelike inflorescence; accrescent pistillate bracts; petals absent.</x:v>
      </x:c>
      <x:c r="G7" s="114" t="str">
        <x:v>Strong</x:v>
      </x:c>
      <x:c r="H7" s="114" t="str">
        <x:v>High</x:v>
      </x:c>
      <x:c r="I7" s="114" t="str">
        <x:v>High</x:v>
      </x:c>
      <x:c r="J7" s="107" t="str">
        <x:v>Flowering or fruiting plant</x:v>
      </x:c>
      <x:c r="K7" s="107" t="str">
        <x:v>Bract form varies among species.</x:v>
      </x:c>
      <x:c r="L7" s="107" t="str">
        <x:v>Separates Acalypha from most Croton and Euphorbia in this project.</x:v>
      </x:c>
      <x:c r="M7" s="107" t="str">
        <x:v>Flora of North America</x:v>
      </x:c>
      <x:c r="N7" s="107" t="str">
        <x:v>https://floranorthamerica.org/Acalypha</x:v>
      </x:c>
      <x:c r="O7" s="107" t="str">
        <x:v>Primary genus character suite.</x:v>
      </x:c>
      <x:c r="P7" s="107" t="str">
        <x:v>Not Needed</x:v>
      </x:c>
    </x:row>
    <x:row r="8">
      <x:c r="A8" s="114" t="str">
        <x:v>EUPH-E007</x:v>
      </x:c>
      <x:c r="B8" s="114" t="str">
        <x:v>Genus</x:v>
      </x:c>
      <x:c r="C8" s="114" t="str">
        <x:v>Argythamnia</x:v>
      </x:c>
      <x:c r="D8" s="114" t="str">
        <x:v>Hair</x:v>
      </x:c>
      <x:c r="E8" s="107" t="str">
        <x:v>Many hairs are flat two-armed structures, like a tiny bar attached near its middle.</x:v>
      </x:c>
      <x:c r="F8" s="107" t="str">
        <x:v>Indumentum often malpighiaceous.</x:v>
      </x:c>
      <x:c r="G8" s="114" t="str">
        <x:v>Strong</x:v>
      </x:c>
      <x:c r="H8" s="114" t="str">
        <x:v>High</x:v>
      </x:c>
      <x:c r="I8" s="114" t="str">
        <x:v>Medium</x:v>
      </x:c>
      <x:c r="J8" s="107" t="str">
        <x:v>Hand lens or macro</x:v>
      </x:c>
      <x:c r="K8" s="107" t="str">
        <x:v>Hair density varies.</x:v>
      </x:c>
      <x:c r="L8" s="107" t="str">
        <x:v>Separates the silverbush hair type from Croton's star-shaped hairs.</x:v>
      </x:c>
      <x:c r="M8" s="107" t="str">
        <x:v>Flora of North America</x:v>
      </x:c>
      <x:c r="N8" s="107" t="str">
        <x:v>https://floranorthamerica.org/Argythamnia</x:v>
      </x:c>
      <x:c r="O8" s="107" t="str">
        <x:v>Pair with petals and raceme structure.</x:v>
      </x:c>
      <x:c r="P8" s="107" t="str">
        <x:v>Not Needed</x:v>
      </x:c>
    </x:row>
    <x:row r="9">
      <x:c r="A9" s="114" t="str">
        <x:v>EUPH-E008</x:v>
      </x:c>
      <x:c r="B9" s="114" t="str">
        <x:v>Genus</x:v>
      </x:c>
      <x:c r="C9" s="114" t="str">
        <x:v>Argythamnia</x:v>
      </x:c>
      <x:c r="D9" s="114" t="str">
        <x:v>Flower</x:v>
      </x:c>
      <x:c r="E9" s="107" t="str">
        <x:v>Tiny pale petals are usually present—unusual among several other local family members.</x:v>
      </x:c>
      <x:c r="F9" s="107" t="str">
        <x:v>Petals usually present; pistillate flowers proximal and staminate flowers distal in axillary racemes.</x:v>
      </x:c>
      <x:c r="G9" s="114" t="str">
        <x:v>Strong</x:v>
      </x:c>
      <x:c r="H9" s="114" t="str">
        <x:v>High</x:v>
      </x:c>
      <x:c r="I9" s="114" t="str">
        <x:v>Medium</x:v>
      </x:c>
      <x:c r="J9" s="107" t="str">
        <x:v>Flowering plant</x:v>
      </x:c>
      <x:c r="K9" s="107" t="str">
        <x:v>Petals are small and require close inspection.</x:v>
      </x:c>
      <x:c r="L9" s="107" t="str">
        <x:v>Helps separate Argythamnia from petal-less Acalypha.</x:v>
      </x:c>
      <x:c r="M9" s="107" t="str">
        <x:v>Flora of North America</x:v>
      </x:c>
      <x:c r="N9" s="107" t="str">
        <x:v>https://floranorthamerica.org/Argythamnia</x:v>
      </x:c>
      <x:c r="O9" s="107" t="str">
        <x:v>Strong paired genus clue.</x:v>
      </x:c>
      <x:c r="P9" s="107" t="str">
        <x:v>Not Needed</x:v>
      </x:c>
    </x:row>
    <x:row r="10">
      <x:c r="A10" s="114" t="str">
        <x:v>EUPH-E009</x:v>
      </x:c>
      <x:c r="B10" s="114" t="str">
        <x:v>Genus</x:v>
      </x:c>
      <x:c r="C10" s="114" t="str">
        <x:v>Croton</x:v>
      </x:c>
      <x:c r="D10" s="114" t="str">
        <x:v>Hair</x:v>
      </x:c>
      <x:c r="E10" s="107" t="str">
        <x:v>Look for star-shaped or scale-like hairs.</x:v>
      </x:c>
      <x:c r="F10" s="107" t="str">
        <x:v>Indumentum stellate or lepidote.</x:v>
      </x:c>
      <x:c r="G10" s="114" t="str">
        <x:v>Strong</x:v>
      </x:c>
      <x:c r="H10" s="114" t="str">
        <x:v>High</x:v>
      </x:c>
      <x:c r="I10" s="114" t="str">
        <x:v>Medium</x:v>
      </x:c>
      <x:c r="J10" s="107" t="str">
        <x:v>Hand lens or macro</x:v>
      </x:c>
      <x:c r="K10" s="107" t="str">
        <x:v>Dense hairs may merge visually into gray or rusty scurf.</x:v>
      </x:c>
      <x:c r="L10" s="107" t="str">
        <x:v>Separates Croton from Argythamnia's two-armed hairs.</x:v>
      </x:c>
      <x:c r="M10" s="107" t="str">
        <x:v>Flora of North America</x:v>
      </x:c>
      <x:c r="N10" s="107" t="str">
        <x:v>https://floranorthamerica.org/Croton</x:v>
      </x:c>
      <x:c r="O10" s="107" t="str">
        <x:v>Best early genus character.</x:v>
      </x:c>
      <x:c r="P10" s="107" t="str">
        <x:v>Not Needed</x:v>
      </x:c>
    </x:row>
    <x:row r="11">
      <x:c r="A11" s="114" t="str">
        <x:v>EUPH-E010</x:v>
      </x:c>
      <x:c r="B11" s="114" t="str">
        <x:v>Genus</x:v>
      </x:c>
      <x:c r="C11" s="114" t="str">
        <x:v>Euphorbia</x:v>
      </x:c>
      <x:c r="D11" s="114" t="str">
        <x:v>Inflorescence</x:v>
      </x:c>
      <x:c r="E11" s="107" t="str">
        <x:v>The 'flower' is a tiny cup with rim glands; one female flower is surrounded by reduced male flowers.</x:v>
      </x:c>
      <x:c r="F11" s="107" t="str">
        <x:v>Cyathium with involucral glands; central pistillate flower and reduced staminate flowers.</x:v>
      </x:c>
      <x:c r="G11" s="114" t="str">
        <x:v>Strong</x:v>
      </x:c>
      <x:c r="H11" s="114" t="str">
        <x:v>High</x:v>
      </x:c>
      <x:c r="I11" s="114" t="str">
        <x:v>Medium</x:v>
      </x:c>
      <x:c r="J11" s="107" t="str">
        <x:v>Flowering plant; hand lens</x:v>
      </x:c>
      <x:c r="K11" s="107" t="str">
        <x:v>Cyathia vary greatly in size, appendages, and arrangement.</x:v>
      </x:c>
      <x:c r="L11" s="107" t="str">
        <x:v>The cyathium is the best structural route into Euphorbia.</x:v>
      </x:c>
      <x:c r="M11" s="107" t="str">
        <x:v>Flora of North America; Kew POWO</x:v>
      </x:c>
      <x:c r="N11" s="107" t="str">
        <x:v>https://floranorthamerica.org/Euphorbia_sect._Poinsettia
https://powo.science.kew.org/taxon/urn%3Alsid%3Aipni.org%3Anames%3A327729-2/general-information</x:v>
      </x:c>
      <x:c r="O11" s="107" t="str">
        <x:v>Use without deliberately testing latex.</x:v>
      </x:c>
      <x:c r="P11" s="107" t="str">
        <x:v>Not Needed</x:v>
      </x:c>
    </x:row>
    <x:row r="12">
      <x:c r="A12" s="114" t="str">
        <x:v>EUPH-E011</x:v>
      </x:c>
      <x:c r="B12" s="114" t="str">
        <x:v>Genus</x:v>
      </x:c>
      <x:c r="C12" s="114" t="str">
        <x:v>Cnidoscolus</x:v>
      </x:c>
      <x:c r="D12" s="114" t="str">
        <x:v>Hair / habit</x:v>
      </x:c>
      <x:c r="E12" s="107" t="str">
        <x:v>Robust upright plant with obvious flowers and strong stinging hairs.</x:v>
      </x:c>
      <x:c r="F12" s="107" t="str">
        <x:v>Urticating trichomes on a robust herb.</x:v>
      </x:c>
      <x:c r="G12" s="114" t="str">
        <x:v>Strong</x:v>
      </x:c>
      <x:c r="H12" s="114" t="str">
        <x:v>High</x:v>
      </x:c>
      <x:c r="I12" s="114" t="str">
        <x:v>High</x:v>
      </x:c>
      <x:c r="J12" s="107" t="str">
        <x:v>Whole plant</x:v>
      </x:c>
      <x:c r="K12" s="107" t="str">
        <x:v>Avoid contact.</x:v>
      </x:c>
      <x:c r="L12" s="107" t="str">
        <x:v>Separates the Hays bullnettle from slender, often climbing Tragia.</x:v>
      </x:c>
      <x:c r="M12" s="107" t="str">
        <x:v>Flora of the Southeastern United States</x:v>
      </x:c>
      <x:c r="N12" s="107" t="str">
        <x:v>https://fsus.ncbg.unc.edu/main.php?pg=show-taxon-detail.php&amp;taxonid=1020</x:v>
      </x:c>
      <x:c r="O12" s="107" t="str">
        <x:v>Safety-critical genus clue.</x:v>
      </x:c>
      <x:c r="P12" s="107" t="str">
        <x:v>Not Needed</x:v>
      </x:c>
    </x:row>
    <x:row r="13">
      <x:c r="A13" s="114" t="str">
        <x:v>EUPH-E012</x:v>
      </x:c>
      <x:c r="B13" s="114" t="str">
        <x:v>Genus</x:v>
      </x:c>
      <x:c r="C13" s="114" t="str">
        <x:v>Tragia</x:v>
      </x:c>
      <x:c r="D13" s="114" t="str">
        <x:v>Inflorescence / hair</x:v>
      </x:c>
      <x:c r="E13" s="107" t="str">
        <x:v>A slender stinging plant whose flower cluster is usually opposite a leaf, with female flowers below male flowers.</x:v>
      </x:c>
      <x:c r="F13" s="107" t="str">
        <x:v>Urticating trichomes; racemelike inflorescence opposite a leaf; pistillate proximal, staminate distal; latex absent.</x:v>
      </x:c>
      <x:c r="G13" s="114" t="str">
        <x:v>Strong</x:v>
      </x:c>
      <x:c r="H13" s="114" t="str">
        <x:v>High</x:v>
      </x:c>
      <x:c r="I13" s="114" t="str">
        <x:v>High</x:v>
      </x:c>
      <x:c r="J13" s="107" t="str">
        <x:v>Whole flowering plant</x:v>
      </x:c>
      <x:c r="K13" s="107" t="str">
        <x:v>Do not touch; some stems twine while others ascend.</x:v>
      </x:c>
      <x:c r="L13" s="107" t="str">
        <x:v>Separates Tragia from Cnidoscolus and true nettles when reproductive structures are present.</x:v>
      </x:c>
      <x:c r="M13" s="107" t="str">
        <x:v>University of Texas; Flora of North America</x:v>
      </x:c>
      <x:c r="N13" s="107" t="str">
        <x:v>https://w3.biosci.utexas.edu/prc/K12/pages/Tragia%20brevispica.html
https://floranorthamerica.org/Tragia</x:v>
      </x:c>
      <x:c r="O13" s="107" t="str">
        <x:v>Strong genus character suite.</x:v>
      </x:c>
      <x:c r="P13" s="107" t="str">
        <x:v>Not Needed</x:v>
      </x:c>
    </x:row>
    <x:row r="14">
      <x:c r="A14" s="114" t="str">
        <x:v>EUPH-E013</x:v>
      </x:c>
      <x:c r="B14" s="114" t="str">
        <x:v>Species</x:v>
      </x:c>
      <x:c r="C14" s="114" t="str">
        <x:v>Euphorbia serpens</x:v>
      </x:c>
      <x:c r="D14" s="114" t="str">
        <x:v>Habit</x:v>
      </x:c>
      <x:c r="E14" s="107" t="str">
        <x:v>Creeping mat whose stems frequently root where nodes touch the soil.</x:v>
      </x:c>
      <x:c r="F14" s="107" t="str">
        <x:v>Strictly prostrate; stems frequently rooting at nodes; glabrous.</x:v>
      </x:c>
      <x:c r="G14" s="114" t="str">
        <x:v>Strong</x:v>
      </x:c>
      <x:c r="H14" s="114" t="str">
        <x:v>High</x:v>
      </x:c>
      <x:c r="I14" s="114" t="str">
        <x:v>High</x:v>
      </x:c>
      <x:c r="J14" s="107" t="str">
        <x:v>Whole plant base</x:v>
      </x:c>
      <x:c r="K14" s="107" t="str">
        <x:v>Other mat-formers can creep but do not necessarily root as consistently.</x:v>
      </x:c>
      <x:c r="L14" s="107" t="str">
        <x:v>First-pass separation from E. prostrata and other prostrate spurges.</x:v>
      </x:c>
      <x:c r="M14" s="107" t="str">
        <x:v>Flora of North America</x:v>
      </x:c>
      <x:c r="N14" s="107" t="str">
        <x:v>https://floranorthamerica.org/Euphorbia_serpens</x:v>
      </x:c>
      <x:c r="O14" s="107" t="str">
        <x:v>Confirm with stipules, fruit, and seeds.</x:v>
      </x:c>
      <x:c r="P14" s="107" t="str">
        <x:v>Not Needed</x:v>
      </x:c>
    </x:row>
    <x:row r="15">
      <x:c r="A15" s="114" t="str">
        <x:v>EUPH-E014</x:v>
      </x:c>
      <x:c r="B15" s="114" t="str">
        <x:v>Species</x:v>
      </x:c>
      <x:c r="C15" s="114" t="str">
        <x:v>Euphorbia villifera</x:v>
      </x:c>
      <x:c r="D15" s="114" t="str">
        <x:v>Hair / habit</x:v>
      </x:c>
      <x:c r="E15" s="107" t="str">
        <x:v>Usually upright or ascending and conspicuously soft-hairy.</x:v>
      </x:c>
      <x:c r="F15" s="107" t="str">
        <x:v>Stems and leaves usually villous; ovary and capsule glabrous.</x:v>
      </x:c>
      <x:c r="G15" s="114" t="str">
        <x:v>Strong</x:v>
      </x:c>
      <x:c r="H15" s="114" t="str">
        <x:v>High</x:v>
      </x:c>
      <x:c r="I15" s="114" t="str">
        <x:v>High</x:v>
      </x:c>
      <x:c r="J15" s="107" t="str">
        <x:v>Whole plant and fruit</x:v>
      </x:c>
      <x:c r="K15" s="107" t="str">
        <x:v>Rare individuals may be less hairy.</x:v>
      </x:c>
      <x:c r="L15" s="107" t="str">
        <x:v>Separates it from glabrous sandmats; fruit hair state provides a second check.</x:v>
      </x:c>
      <x:c r="M15" s="107" t="str">
        <x:v>Flora of North America</x:v>
      </x:c>
      <x:c r="N15" s="107" t="str">
        <x:v>https://floranorthamerica.org/Euphorbia_villifera</x:v>
      </x:c>
      <x:c r="O15" s="107" t="str">
        <x:v>Use a character combination.</x:v>
      </x:c>
      <x:c r="P15" s="107" t="str">
        <x:v>Not Needed</x:v>
      </x:c>
    </x:row>
    <x:row r="16">
      <x:c r="A16" s="114" t="str">
        <x:v>EUPH-E015</x:v>
      </x:c>
      <x:c r="B16" s="114" t="str">
        <x:v>Species</x:v>
      </x:c>
      <x:c r="C16" s="114" t="str">
        <x:v>Croton monanthogynus</x:v>
      </x:c>
      <x:c r="D16" s="114" t="str">
        <x:v>Hair / fruit</x:v>
      </x:c>
      <x:c r="E16" s="107" t="str">
        <x:v>The underside of the leaf often looks brown-dotted because some star hairs have dark centers.</x:v>
      </x:c>
      <x:c r="F16" s="107" t="str">
        <x:v>Abaxial stellate hairs with dark brown centers; ovary 2-locular with one fertile locule.</x:v>
      </x:c>
      <x:c r="G16" s="114" t="str">
        <x:v>Strong</x:v>
      </x:c>
      <x:c r="H16" s="114" t="str">
        <x:v>High</x:v>
      </x:c>
      <x:c r="I16" s="114" t="str">
        <x:v>Medium</x:v>
      </x:c>
      <x:c r="J16" s="107" t="str">
        <x:v>Hand lens and mature fruit</x:v>
      </x:c>
      <x:c r="K16" s="107" t="str">
        <x:v>Hair centers can be missed without magnification.</x:v>
      </x:c>
      <x:c r="L16" s="107" t="str">
        <x:v>Strong separation from other current Hays Croton records.</x:v>
      </x:c>
      <x:c r="M16" s="107" t="str">
        <x:v>Flora of North America</x:v>
      </x:c>
      <x:c r="N16" s="107" t="str">
        <x:v>https://floranorthamerica.org/Croton</x:v>
      </x:c>
      <x:c r="O16" s="107" t="str">
        <x:v>Photograph at fixed magnification.</x:v>
      </x:c>
      <x:c r="P16" s="107" t="str">
        <x:v>Not Needed</x:v>
      </x:c>
    </x:row>
    <x:row r="17">
      <x:c r="A17" s="114" t="str">
        <x:v>EUPH-E016</x:v>
      </x:c>
      <x:c r="B17" s="114" t="str">
        <x:v>Species</x:v>
      </x:c>
      <x:c r="C17" s="114" t="str">
        <x:v>Euphorbia marginata</x:v>
      </x:c>
      <x:c r="D17" s="114" t="str">
        <x:v>Bract / leaf</x:v>
      </x:c>
      <x:c r="E17" s="107" t="str">
        <x:v>Upper leaves and flower bracts have conspicuous white margins.</x:v>
      </x:c>
      <x:c r="F17" s="107" t="str">
        <x:v>Distal leaves and dichasial bracts white-margined; ovary/capsule pilose.</x:v>
      </x:c>
      <x:c r="G17" s="114" t="str">
        <x:v>Strong</x:v>
      </x:c>
      <x:c r="H17" s="114" t="str">
        <x:v>High</x:v>
      </x:c>
      <x:c r="I17" s="114" t="str">
        <x:v>High</x:v>
      </x:c>
      <x:c r="J17" s="107" t="str">
        <x:v>Flowering plant</x:v>
      </x:c>
      <x:c r="K17" s="107" t="str">
        <x:v>Vegetative plants may not yet show white bracts.</x:v>
      </x:c>
      <x:c r="L17" s="107" t="str">
        <x:v>Separates flowering E. marginata from the other upright Euphorbia in this list.</x:v>
      </x:c>
      <x:c r="M17" s="107" t="str">
        <x:v>Flora of North America</x:v>
      </x:c>
      <x:c r="N17" s="107" t="str">
        <x:v>https://floranorthamerica.org/Euphorbia_marginata</x:v>
      </x:c>
      <x:c r="O17" s="107" t="str">
        <x:v>Very strong seasonal clue.</x:v>
      </x:c>
      <x:c r="P17" s="107" t="str">
        <x:v>Not Needed</x:v>
      </x:c>
    </x:row>
    <x:row r="18">
      <x:c r="A18" s="114" t="str">
        <x:v>EUPH-E017</x:v>
      </x:c>
      <x:c r="B18" s="114" t="str">
        <x:v>Species</x:v>
      </x:c>
      <x:c r="C18" s="114" t="str">
        <x:v>Argythamnia aphoroides vs A. simulans</x:v>
      </x:c>
      <x:c r="D18" s="114" t="str">
        <x:v>Flower / ovary</x:v>
      </x:c>
      <x:c r="E18" s="107" t="str">
        <x:v>Count male stamens and compare ovary hair texture.</x:v>
      </x:c>
      <x:c r="F18" s="107" t="str">
        <x:v>A. aphoroides: 10 stamens and woolly ovary; A. simulans: 7–8 stamens and strigose/hispidulous ovary.</x:v>
      </x:c>
      <x:c r="G18" s="114" t="str">
        <x:v>Strong</x:v>
      </x:c>
      <x:c r="H18" s="114" t="str">
        <x:v>High</x:v>
      </x:c>
      <x:c r="I18" s="114" t="str">
        <x:v>Low</x:v>
      </x:c>
      <x:c r="J18" s="107" t="str">
        <x:v>Open flower and hand lens</x:v>
      </x:c>
      <x:c r="K18" s="107" t="str">
        <x:v>Requires good reproductive material.</x:v>
      </x:c>
      <x:c r="L18" s="107" t="str">
        <x:v>Direct separation of the most similar sessile-leaved Argythamnia pair.</x:v>
      </x:c>
      <x:c r="M18" s="107" t="str">
        <x:v>Flora of North America</x:v>
      </x:c>
      <x:c r="N18" s="107" t="str">
        <x:v>https://floranorthamerica.org/Argythamnia</x:v>
      </x:c>
      <x:c r="O18" s="107" t="str">
        <x:v>High-value hand-lens comparison.</x:v>
      </x:c>
      <x:c r="P18" s="107" t="str">
        <x:v>Not Needed</x:v>
      </x:c>
    </x:row>
    <x:row r="19">
      <x:c r="A19" s="114" t="str">
        <x:v>EUPH-E018</x:v>
      </x:c>
      <x:c r="B19" s="114" t="str">
        <x:v>Species</x:v>
      </x:c>
      <x:c r="C19" s="114" t="str">
        <x:v>Acalypha radians vs A. phleoides</x:v>
      </x:c>
      <x:c r="D19" s="114" t="str">
        <x:v>Habit / leaf</x:v>
      </x:c>
      <x:c r="E19" s="107" t="str">
        <x:v>Compare plant posture, leaf size, and petiole length.</x:v>
      </x:c>
      <x:c r="F19" s="107" t="str">
        <x:v>A. radians low with small deeply crenate leaves and long relative petioles; A. phleoides erect with larger leaves and short petioles.</x:v>
      </x:c>
      <x:c r="G19" s="114" t="str">
        <x:v>Strong</x:v>
      </x:c>
      <x:c r="H19" s="114" t="str">
        <x:v>High</x:v>
      </x:c>
      <x:c r="I19" s="114" t="str">
        <x:v>High</x:v>
      </x:c>
      <x:c r="J19" s="107" t="str">
        <x:v>Whole plant</x:v>
      </x:c>
      <x:c r="K19" s="107" t="str">
        <x:v>A. persimilis is not yet included in the direct key.</x:v>
      </x:c>
      <x:c r="L19" s="107" t="str">
        <x:v>Strong first-pass separation of two current records.</x:v>
      </x:c>
      <x:c r="M19" s="107" t="str">
        <x:v>Flora of North America</x:v>
      </x:c>
      <x:c r="N19" s="107" t="str">
        <x:v>https://floranorthamerica.org/Acalypha</x:v>
      </x:c>
      <x:c r="O19" s="107" t="str">
        <x:v>Add A. persimilis before treating as a complete Hays key.</x:v>
      </x:c>
      <x:c r="P19" s="107" t="str">
        <x:v>Not Needed</x:v>
      </x:c>
    </x:row>
    <x:row r="20" ht="62" customHeight="1">
      <x:c r="A20" s="107" t="str">
        <x:v>EUPH-E019</x:v>
      </x:c>
      <x:c r="B20" s="107" t="str">
        <x:v>Species</x:v>
      </x:c>
      <x:c r="C20" s="107" t="str">
        <x:v>Euphorbia serpens</x:v>
      </x:c>
      <x:c r="D20" s="107" t="str">
        <x:v>Stem / root</x:v>
      </x:c>
      <x:c r="E20" s="107" t="str">
        <x:v>Stems repeatedly grow roots where nodes touch the soil.</x:v>
      </x:c>
      <x:c r="F20" s="107" t="str">
        <x:v>Adventitious roots frequently produced at nodes.</x:v>
      </x:c>
      <x:c r="G20" s="107" t="str">
        <x:v>Strong</x:v>
      </x:c>
      <x:c r="H20" s="107" t="str">
        <x:v>High</x:v>
      </x:c>
      <x:c r="I20" s="107" t="str">
        <x:v>High</x:v>
      </x:c>
      <x:c r="J20" s="107" t="str">
        <x:v>Whole plant attached to soil</x:v>
      </x:c>
      <x:c r="K20" s="107" t="str">
        <x:v>A branch merely touching soil is not enough; look for actual roots.</x:v>
      </x:c>
      <x:c r="L20" s="107" t="str">
        <x:v>Best first split from E. prostrata and E. fendleri.</x:v>
      </x:c>
      <x:c r="M20" s="107" t="str">
        <x:v>FNA; University of Texas</x:v>
      </x:c>
      <x:c r="N20" s="107" t="str">
        <x:v>https://floranorthamerica.org/Euphorbia_serpens
https://w3.biosci.utexas.edu/prc/K12/pages/Euphorbia%20serpens.html</x:v>
      </x:c>
      <x:c r="O20" s="107" t="str">
        <x:v>Combine with glabrous surface and entire leaves.</x:v>
      </x:c>
      <x:c r="P20" s="107" t="str">
        <x:v>Ready for Review</x:v>
      </x:c>
    </x:row>
    <x:row r="21" ht="62" customHeight="1">
      <x:c r="A21" s="107" t="str">
        <x:v>EUPH-E020</x:v>
      </x:c>
      <x:c r="B21" s="107" t="str">
        <x:v>Species pair</x:v>
      </x:c>
      <x:c r="C21" s="107" t="str">
        <x:v>E. prostrata vs E. serpens</x:v>
      </x:c>
      <x:c r="D21" s="107" t="str">
        <x:v>Fruit</x:v>
      </x:c>
      <x:c r="E21" s="107" t="str">
        <x:v>Prostrata has hairs concentrated along the three capsule angles; serpens has a hairless capsule.</x:v>
      </x:c>
      <x:c r="F21" s="107" t="str">
        <x:v>Capsule pilose on angles in E. prostrata; glabrous in E. serpens.</x:v>
      </x:c>
      <x:c r="G21" s="107" t="str">
        <x:v>Strong</x:v>
      </x:c>
      <x:c r="H21" s="107" t="str">
        <x:v>High</x:v>
      </x:c>
      <x:c r="I21" s="107" t="str">
        <x:v>Medium</x:v>
      </x:c>
      <x:c r="J21" s="107" t="str">
        <x:v>Developing or mature capsule</x:v>
      </x:c>
      <x:c r="K21" s="107" t="str">
        <x:v>Fruit must be in focus; old fruit may lose hairs.</x:v>
      </x:c>
      <x:c r="L21" s="107" t="str">
        <x:v>Directly separates the hardest pair in the current C04 set.</x:v>
      </x:c>
      <x:c r="M21" s="107" t="str">
        <x:v>FNA; University of Texas</x:v>
      </x:c>
      <x:c r="N21" s="107" t="str">
        <x:v>https://w3.biosci.utexas.edu/prc/K12/pages/Euphorbia%20prostrata.html
https://w3.biosci.utexas.edu/prc/K12/pages/Euphorbia%20serpens.html</x:v>
      </x:c>
      <x:c r="O21" s="107" t="str">
        <x:v>High-value macro character.</x:v>
      </x:c>
      <x:c r="P21" s="107" t="str">
        <x:v>Ready for Review</x:v>
      </x:c>
    </x:row>
    <x:row r="22" ht="62" customHeight="1">
      <x:c r="A22" s="107" t="str">
        <x:v>EUPH-E021</x:v>
      </x:c>
      <x:c r="B22" s="107" t="str">
        <x:v>Species pair</x:v>
      </x:c>
      <x:c r="C22" s="107" t="str">
        <x:v>E. prostrata vs E. serpens</x:v>
      </x:c>
      <x:c r="D22" s="107" t="str">
        <x:v>Seed</x:v>
      </x:c>
      <x:c r="E22" s="107" t="str">
        <x:v>Prostrata seeds show strong cross-ridges; serpens seeds are smooth or only finely netted.</x:v>
      </x:c>
      <x:c r="F22" s="107" t="str">
        <x:v>Seed testa transversely ridged versus smooth/subreticulate.</x:v>
      </x:c>
      <x:c r="G22" s="107" t="str">
        <x:v>Strong</x:v>
      </x:c>
      <x:c r="H22" s="107" t="str">
        <x:v>High</x:v>
      </x:c>
      <x:c r="I22" s="107" t="str">
        <x:v>Low</x:v>
      </x:c>
      <x:c r="J22" s="107" t="str">
        <x:v>Mature seed and macro lens</x:v>
      </x:c>
      <x:c r="K22" s="107" t="str">
        <x:v>Seed size is about 1 mm; magnification is required.</x:v>
      </x:c>
      <x:c r="L22" s="107" t="str">
        <x:v>Confirms the pair when vegetative traits are ambiguous.</x:v>
      </x:c>
      <x:c r="M22" s="107" t="str">
        <x:v>FNA; University of Texas; supporting morphology study</x:v>
      </x:c>
      <x:c r="N22" s="107" t="str">
        <x:v>https://w3.biosci.utexas.edu/prc/K12/pages/Euphorbia%20prostrata.html
https://w3.biosci.utexas.edu/prc/K12/pages/Euphorbia%20serpens.html
https://doi.org/10.35513/Botlit.2023.1.3</x:v>
      </x:c>
      <x:c r="O22" s="107" t="str">
        <x:v>Study is supporting, not a Central Texas flora.</x:v>
      </x:c>
      <x:c r="P22" s="107" t="str">
        <x:v>Ready for Review</x:v>
      </x:c>
    </x:row>
    <x:row r="23" ht="62" customHeight="1">
      <x:c r="A23" s="107" t="str">
        <x:v>EUPH-E022</x:v>
      </x:c>
      <x:c r="B23" s="107" t="str">
        <x:v>Species</x:v>
      </x:c>
      <x:c r="C23" s="107" t="str">
        <x:v>Euphorbia fendleri</x:v>
      </x:c>
      <x:c r="D23" s="107" t="str">
        <x:v>Root / crown</x:v>
      </x:c>
      <x:c r="E23" s="107" t="str">
        <x:v>A low hairless plant rises from a woody perennial crown.</x:v>
      </x:c>
      <x:c r="F23" s="107" t="str">
        <x:v>Perennial with woody thickened taproot/rootstock; vegetative parts glabrous.</x:v>
      </x:c>
      <x:c r="G23" s="107" t="str">
        <x:v>Strong</x:v>
      </x:c>
      <x:c r="H23" s="107" t="str">
        <x:v>High</x:v>
      </x:c>
      <x:c r="I23" s="107" t="str">
        <x:v>Medium</x:v>
      </x:c>
      <x:c r="J23" s="107" t="str">
        <x:v>Visible plant base</x:v>
      </x:c>
      <x:c r="K23" s="107" t="str">
        <x:v>Do not uproot a plant just to inspect the crown.</x:v>
      </x:c>
      <x:c r="L23" s="107" t="str">
        <x:v>Separates it from annual E. prostrata and E. serpens.</x:v>
      </x:c>
      <x:c r="M23" s="107" t="str">
        <x:v>Flora of North America</x:v>
      </x:c>
      <x:c r="N23" s="107" t="str">
        <x:v>https://floranorthamerica.org/Euphorbia_fendleri</x:v>
      </x:c>
      <x:c r="O23" s="107" t="str">
        <x:v>Use basal stems or already-disturbed material.</x:v>
      </x:c>
      <x:c r="P23" s="107" t="str">
        <x:v>Ready for Review</x:v>
      </x:c>
    </x:row>
    <x:row r="24" ht="62" customHeight="1">
      <x:c r="A24" s="107" t="str">
        <x:v>EUPH-E023</x:v>
      </x:c>
      <x:c r="B24" s="107" t="str">
        <x:v>Species</x:v>
      </x:c>
      <x:c r="C24" s="107" t="str">
        <x:v>Euphorbia angusta</x:v>
      </x:c>
      <x:c r="D24" s="107" t="str">
        <x:v>Leaf / fruit</x:v>
      </x:c>
      <x:c r="E24" s="107" t="str">
        <x:v>The upper leaves are extremely narrow and the capsule has short pressed hairs.</x:v>
      </x:c>
      <x:c r="F24" s="107" t="str">
        <x:v>Distal blades &gt;6× as long as wide; capsule strigose.</x:v>
      </x:c>
      <x:c r="G24" s="107" t="str">
        <x:v>Strong</x:v>
      </x:c>
      <x:c r="H24" s="107" t="str">
        <x:v>High</x:v>
      </x:c>
      <x:c r="I24" s="107" t="str">
        <x:v>High</x:v>
      </x:c>
      <x:c r="J24" s="107" t="str">
        <x:v>Upper stem plus fruit</x:v>
      </x:c>
      <x:c r="K24" s="107" t="str">
        <x:v>Leaf width varies lower on the plant.</x:v>
      </x:c>
      <x:c r="L24" s="107" t="str">
        <x:v>Separates it from E. villifera and the truly mat-forming species.</x:v>
      </x:c>
      <x:c r="M24" s="107" t="str">
        <x:v>Flora of North America</x:v>
      </x:c>
      <x:c r="N24" s="107" t="str">
        <x:v>https://floranorthamerica.org/Euphorbia_angusta</x:v>
      </x:c>
      <x:c r="O24" s="107" t="str">
        <x:v>A two-organ confirmation.</x:v>
      </x:c>
      <x:c r="P24" s="107" t="str">
        <x:v>Ready for Review</x:v>
      </x:c>
    </x:row>
    <x:row r="25" ht="62" customHeight="1">
      <x:c r="A25" s="107" t="str">
        <x:v>EUPH-E024</x:v>
      </x:c>
      <x:c r="B25" s="107" t="str">
        <x:v>Species</x:v>
      </x:c>
      <x:c r="C25" s="107" t="str">
        <x:v>Euphorbia nutans</x:v>
      </x:c>
      <x:c r="D25" s="107" t="str">
        <x:v>Habit / leaf / fruit</x:v>
      </x:c>
      <x:c r="E25" s="107" t="str">
        <x:v>It is the tall annual with larger finely toothed leaves and a hairless capsule.</x:v>
      </x:c>
      <x:c r="F25" s="107" t="str">
        <x:v>Ascending 20–80 cm; leaves 8–40 mm and serrulate; capsule glabrous.</x:v>
      </x:c>
      <x:c r="G25" s="107" t="str">
        <x:v>Strong</x:v>
      </x:c>
      <x:c r="H25" s="107" t="str">
        <x:v>High</x:v>
      </x:c>
      <x:c r="I25" s="107" t="str">
        <x:v>High</x:v>
      </x:c>
      <x:c r="J25" s="107" t="str">
        <x:v>Whole plant with fruit</x:v>
      </x:c>
      <x:c r="K25" s="107" t="str">
        <x:v>Height responds to environment; red blotches are variable.</x:v>
      </x:c>
      <x:c r="L25" s="107" t="str">
        <x:v>Separates it from all five shorter C04 records.</x:v>
      </x:c>
      <x:c r="M25" s="107" t="str">
        <x:v>Flora of North America</x:v>
      </x:c>
      <x:c r="N25" s="107" t="str">
        <x:v>https://floranorthamerica.org/Euphorbia_nutans</x:v>
      </x:c>
      <x:c r="O25" s="107" t="str">
        <x:v>Use size as part of a suite.</x:v>
      </x:c>
      <x:c r="P25" s="107" t="str">
        <x:v>Ready for Review</x:v>
      </x:c>
    </x:row>
    <x:row r="26" ht="62" customHeight="1">
      <x:c r="A26" s="107" t="str">
        <x:v>EUPH-E025</x:v>
      </x:c>
      <x:c r="B26" s="107" t="str">
        <x:v>Species</x:v>
      </x:c>
      <x:c r="C26" s="107" t="str">
        <x:v>Euphorbia villifera</x:v>
      </x:c>
      <x:c r="D26" s="107" t="str">
        <x:v>Hair / fruit</x:v>
      </x:c>
      <x:c r="E26" s="107" t="str">
        <x:v>Stems and leaves are usually long-soft-hairy, but the capsule is hairless.</x:v>
      </x:c>
      <x:c r="F26" s="107" t="str">
        <x:v>Vegetative parts usually villous; ovary and capsule glabrous.</x:v>
      </x:c>
      <x:c r="G26" s="107" t="str">
        <x:v>Strong</x:v>
      </x:c>
      <x:c r="H26" s="107" t="str">
        <x:v>High</x:v>
      </x:c>
      <x:c r="I26" s="107" t="str">
        <x:v>High</x:v>
      </x:c>
      <x:c r="J26" s="107" t="str">
        <x:v>Vegetative surface and fruit</x:v>
      </x:c>
      <x:c r="K26" s="107" t="str">
        <x:v>Rare individuals may be nearly glabrous.</x:v>
      </x:c>
      <x:c r="L26" s="107" t="str">
        <x:v>Separates it from hairy-fruited E. angusta and E. prostrata.</x:v>
      </x:c>
      <x:c r="M26" s="107" t="str">
        <x:v>Flora of North America</x:v>
      </x:c>
      <x:c r="N26" s="107" t="str">
        <x:v>https://floranorthamerica.org/Euphorbia_villifera</x:v>
      </x:c>
      <x:c r="O26" s="107" t="str">
        <x:v>Fruit is essential on reduced-hair specimens.</x:v>
      </x:c>
      <x:c r="P26" s="107" t="str">
        <x:v>Ready for Review</x:v>
      </x:c>
    </x:row>
    <x:row r="27" ht="62" customHeight="1">
      <x:c r="A27" s="107" t="str">
        <x:v>EUPH-E026</x:v>
      </x:c>
      <x:c r="B27" s="107" t="str">
        <x:v>Species pair</x:v>
      </x:c>
      <x:c r="C27" s="107" t="str">
        <x:v>E. prostrata vs E. serpens</x:v>
      </x:c>
      <x:c r="D27" s="107" t="str">
        <x:v>Stipule</x:v>
      </x:c>
      <x:c r="E27" s="107" t="str">
        <x:v>Serpens has conspicuous fused triangular scales; prostrata has partly free, fringed stipules.</x:v>
      </x:c>
      <x:c r="F27" s="107" t="str">
        <x:v>Stipule pairs fused and membranous versus upper pair free/lower pair fused.</x:v>
      </x:c>
      <x:c r="G27" s="107" t="str">
        <x:v>Strong</x:v>
      </x:c>
      <x:c r="H27" s="107" t="str">
        <x:v>High</x:v>
      </x:c>
      <x:c r="I27" s="107" t="str">
        <x:v>Low</x:v>
      </x:c>
      <x:c r="J27" s="107" t="str">
        <x:v>Intact node and 10× lens</x:v>
      </x:c>
      <x:c r="K27" s="107" t="str">
        <x:v>Stipules tear easily and can be hidden by soil.</x:v>
      </x:c>
      <x:c r="L27" s="107" t="str">
        <x:v>A non-fruit confirmation for the difficult pair.</x:v>
      </x:c>
      <x:c r="M27" s="107" t="str">
        <x:v>University of Texas</x:v>
      </x:c>
      <x:c r="N27" s="107" t="str">
        <x:v>https://w3.biosci.utexas.edu/prc/K12/pages/Euphorbia%20prostrata.html
https://w3.biosci.utexas.edu/prc/K12/pages/Euphorbia%20serpens.html</x:v>
      </x:c>
      <x:c r="O27" s="107" t="str">
        <x:v>Photograph a clean intact node.</x:v>
      </x:c>
      <x:c r="P27" s="107" t="str">
        <x:v>Ready for Review</x:v>
      </x:c>
    </x:row>
    <x:row r="28" ht="62" customHeight="1">
      <x:c r="A28" s="107" t="str">
        <x:v>EUPH-E027</x:v>
      </x:c>
      <x:c r="B28" s="107" t="str">
        <x:v>Species group</x:v>
      </x:c>
      <x:c r="C28" s="107" t="str">
        <x:v>C04 sandmats</x:v>
      </x:c>
      <x:c r="D28" s="107" t="str">
        <x:v>Color</x:v>
      </x:c>
      <x:c r="E28" s="107" t="str">
        <x:v>Red or green plant color is only a weak clue.</x:v>
      </x:c>
      <x:c r="F28" s="107" t="str">
        <x:v>Anthocyanin coloration variable within species.</x:v>
      </x:c>
      <x:c r="G28" s="107" t="str">
        <x:v>Weak</x:v>
      </x:c>
      <x:c r="H28" s="107" t="str">
        <x:v>High</x:v>
      </x:c>
      <x:c r="I28" s="107" t="str">
        <x:v>High</x:v>
      </x:c>
      <x:c r="J28" s="107" t="str">
        <x:v>Any season</x:v>
      </x:c>
      <x:c r="K28" s="107" t="str">
        <x:v>E. prostrata can occur in red and green forms; E. nutans blotches vary.</x:v>
      </x:c>
      <x:c r="L28" s="107" t="str">
        <x:v>Prevents false separation based on color.</x:v>
      </x:c>
      <x:c r="M28" s="107" t="str">
        <x:v>FNA; supporting morphology study</x:v>
      </x:c>
      <x:c r="N28" s="107" t="str">
        <x:v>https://floranorthamerica.org/Euphorbia_nutans
https://doi.org/10.35513/Botlit.2023.1.3</x:v>
      </x:c>
      <x:c r="O28" s="107" t="str">
        <x:v>Do not score color as a decisive AI feature.</x:v>
      </x:c>
      <x:c r="P28" s="107" t="str">
        <x:v>Ready for Review</x:v>
      </x:c>
    </x:row>
    <x:row r="29" ht="62" customHeight="1">
      <x:c r="A29" s="107" t="str">
        <x:v>EUPH-E028</x:v>
      </x:c>
      <x:c r="B29" s="107" t="str">
        <x:v>Species group</x:v>
      </x:c>
      <x:c r="C29" s="107" t="str">
        <x:v>C04 sandmats</x:v>
      </x:c>
      <x:c r="D29" s="107" t="str">
        <x:v>Cyathium gland appendage</x:v>
      </x:c>
      <x:c r="E29" s="107" t="str">
        <x:v>The little white/pink petal-like rims help, but their size and presence can vary.</x:v>
      </x:c>
      <x:c r="F29" s="107" t="str">
        <x:v>Involucral gland appendages variable within and among species.</x:v>
      </x:c>
      <x:c r="G29" s="107" t="str">
        <x:v>Supporting</x:v>
      </x:c>
      <x:c r="H29" s="107" t="str">
        <x:v>High</x:v>
      </x:c>
      <x:c r="I29" s="107" t="str">
        <x:v>Low</x:v>
      </x:c>
      <x:c r="J29" s="107" t="str">
        <x:v>Fresh cyathium and macro lens</x:v>
      </x:c>
      <x:c r="K29" s="107" t="str">
        <x:v>FNA specifically warns that appendages in E. fendleri are variable; descriptions of E. serpens differ in apparent size.</x:v>
      </x:c>
      <x:c r="L29" s="107" t="str">
        <x:v>Use after habit, hairs, stipules, capsule, and seed.</x:v>
      </x:c>
      <x:c r="M29" s="107" t="str">
        <x:v>Flora of North America; University of Texas</x:v>
      </x:c>
      <x:c r="N29" s="107" t="str">
        <x:v>https://floranorthamerica.org/Euphorbia_fendleri
https://floranorthamerica.org/Euphorbia_serpens
https://w3.biosci.utexas.edu/prc/K12/pages/Euphorbia%20serpens.html</x:v>
      </x:c>
      <x:c r="O29" s="107" t="str">
        <x:v>Do not make this the first branch in the key.</x:v>
      </x:c>
      <x:c r="P29" s="107" t="str">
        <x:v>Ready for Review</x:v>
      </x:c>
    </x:row>
    <x:row r="30" ht="66" customHeight="1">
      <x:c r="A30" s="107" t="str">
        <x:v>EUPH-E029</x:v>
      </x:c>
      <x:c r="B30" s="107" t="str">
        <x:v>Genus</x:v>
      </x:c>
      <x:c r="C30" s="107" t="str">
        <x:v>Tragia</x:v>
      </x:c>
      <x:c r="D30" s="107" t="str">
        <x:v>Hair / sap / inflorescence</x:v>
      </x:c>
      <x:c r="E30" s="107" t="str">
        <x:v>A noseburn has painful stinging hairs, no milky latex, and a slim flower cluster with female flowers low and male flowers above.</x:v>
      </x:c>
      <x:c r="F30" s="107" t="str">
        <x:v>Urticating trichomes; latex absent; bisexual raceme with pistillate flowers proximal and staminate flowers distal.</x:v>
      </x:c>
      <x:c r="G30" s="107" t="str">
        <x:v>Strong</x:v>
      </x:c>
      <x:c r="H30" s="107" t="str">
        <x:v>High</x:v>
      </x:c>
      <x:c r="I30" s="107" t="str">
        <x:v>High</x:v>
      </x:c>
      <x:c r="J30" s="107" t="str">
        <x:v>Whole plant and flowering raceme</x:v>
      </x:c>
      <x:c r="K30" s="107" t="str">
        <x:v>Stinging hairs can be inconspicuous except on the ovary or capsule.</x:v>
      </x:c>
      <x:c r="L30" s="107" t="str">
        <x:v>Separates Tragia from non-stinging Hays Euphorbiaceae and provides a safe genus route.</x:v>
      </x:c>
      <x:c r="M30" s="107" t="str">
        <x:v>Flora of North America</x:v>
      </x:c>
      <x:c r="N30" s="107" t="str">
        <x:v>http://www.efloras.org/florataxon.aspx?flora_id=1&amp;taxon_id=133273</x:v>
      </x:c>
      <x:c r="O30" s="107" t="str">
        <x:v>Never touch or deliberately test the sting.</x:v>
      </x:c>
      <x:c r="P30" s="107" t="str">
        <x:v>Ready for Review</x:v>
      </x:c>
    </x:row>
    <x:row r="31" ht="66" customHeight="1">
      <x:c r="A31" s="107" t="str">
        <x:v>EUPH-E030</x:v>
      </x:c>
      <x:c r="B31" s="107" t="str">
        <x:v>Species</x:v>
      </x:c>
      <x:c r="C31" s="107" t="str">
        <x:v>Tragia betonicifolia</x:v>
      </x:c>
      <x:c r="D31" s="107" t="str">
        <x:v>Inflorescence</x:v>
      </x:c>
      <x:c r="E31" s="107" t="str">
        <x:v>Many male flowers—usually 15–80—are crowded toward the top of the raceme.</x:v>
      </x:c>
      <x:c r="F31" s="107" t="str">
        <x:v>Staminate flowers 15–80 per raceme, distally clustered.</x:v>
      </x:c>
      <x:c r="G31" s="107" t="str">
        <x:v>Strong</x:v>
      </x:c>
      <x:c r="H31" s="107" t="str">
        <x:v>High</x:v>
      </x:c>
      <x:c r="I31" s="107" t="str">
        <x:v>High</x:v>
      </x:c>
      <x:c r="J31" s="107" t="str">
        <x:v>Flowering raceme from base to tip</x:v>
      </x:c>
      <x:c r="K31" s="107" t="str">
        <x:v>Young racemes may not have all flowers expanded.</x:v>
      </x:c>
      <x:c r="L31" s="107" t="str">
        <x:v>Directly separates it from the other three C06 species, which have 2–20.</x:v>
      </x:c>
      <x:c r="M31" s="107" t="str">
        <x:v>Flora of North America; regional Texas key</x:v>
      </x:c>
      <x:c r="N31" s="107" t="str">
        <x:v>http://www.efloras.org/florataxon.aspx?flora_id=1&amp;taxon_id=242417367
https://fwbg.org/wp-content/uploads/2025/04/FNCT_0210-0617-Acanth-Euph.pdf</x:v>
      </x:c>
      <x:c r="O31" s="107" t="str">
        <x:v>Count buds and flower scars as well as open flowers when visible.</x:v>
      </x:c>
      <x:c r="P31" s="107" t="str">
        <x:v>Ready for Review</x:v>
      </x:c>
    </x:row>
    <x:row r="32" ht="66" customHeight="1">
      <x:c r="A32" s="107" t="str">
        <x:v>EUPH-E031</x:v>
      </x:c>
      <x:c r="B32" s="107" t="str">
        <x:v>Species</x:v>
      </x:c>
      <x:c r="C32" s="107" t="str">
        <x:v>Tragia brevispica</x:v>
      </x:c>
      <x:c r="D32" s="107" t="str">
        <x:v>Fruit</x:v>
      </x:c>
      <x:c r="E32" s="107" t="str">
        <x:v>The fruit often develops only one of its three sections.</x:v>
      </x:c>
      <x:c r="F32" s="107" t="str">
        <x:v>Capsule 6.5–7 mm wide, often with only one carpel maturing.</x:v>
      </x:c>
      <x:c r="G32" s="107" t="str">
        <x:v>Strong</x:v>
      </x:c>
      <x:c r="H32" s="107" t="str">
        <x:v>High</x:v>
      </x:c>
      <x:c r="I32" s="107" t="str">
        <x:v>Medium</x:v>
      </x:c>
      <x:c r="J32" s="107" t="str">
        <x:v>Developing to mature capsule</x:v>
      </x:c>
      <x:c r="K32" s="107" t="str">
        <x:v>Not every fruit is one-carpelled; inspect more than one when possible.</x:v>
      </x:c>
      <x:c r="L32" s="107" t="str">
        <x:v>FNA calls this condition unique in Tragia in the flora area.</x:v>
      </x:c>
      <x:c r="M32" s="107" t="str">
        <x:v>Flora of North America</x:v>
      </x:c>
      <x:c r="N32" s="107" t="str">
        <x:v>http://www.efloras.org/florataxon.aspx?flora_id=1&amp;taxon_id=250101934</x:v>
      </x:c>
      <x:c r="O32" s="107" t="str">
        <x:v>Best confirmation for variable or non-twining plants.</x:v>
      </x:c>
      <x:c r="P32" s="107" t="str">
        <x:v>Ready for Review</x:v>
      </x:c>
    </x:row>
    <x:row r="33" ht="66" customHeight="1">
      <x:c r="A33" s="107" t="str">
        <x:v>EUPH-E032</x:v>
      </x:c>
      <x:c r="B33" s="107" t="str">
        <x:v>Species pair</x:v>
      </x:c>
      <x:c r="C33" s="107" t="str">
        <x:v>T. brevispica vs T. ramosa</x:v>
      </x:c>
      <x:c r="D33" s="107" t="str">
        <x:v>Leaf / stigma / fruit</x:v>
      </x:c>
      <x:c r="E33" s="107" t="str">
        <x:v>Ramosa usually has narrow upper leaves, a smooth stigma, and three fruit sections; brevispica is usually broader, has a slightly bumpy stigma, and often matures one section.</x:v>
      </x:c>
      <x:c r="F33" s="107" t="str">
        <x:v>Leaf blades much longer than wide plus smooth stigma and three mature carpels versus variable broad blades, subpapillate stigma, and often one mature carpel.</x:v>
      </x:c>
      <x:c r="G33" s="107" t="str">
        <x:v>Strong</x:v>
      </x:c>
      <x:c r="H33" s="107" t="str">
        <x:v>High</x:v>
      </x:c>
      <x:c r="I33" s="107" t="str">
        <x:v>Medium</x:v>
      </x:c>
      <x:c r="J33" s="107" t="str">
        <x:v>Upper leaf, stigma macro, and mature capsule</x:v>
      </x:c>
      <x:c r="K33" s="107" t="str">
        <x:v>Leaf shapes overlap substantially and ramosa is environmentally plastic.</x:v>
      </x:c>
      <x:c r="L33" s="107" t="str">
        <x:v>Resolves the pair FNA specifically identifies as frequently confused.</x:v>
      </x:c>
      <x:c r="M33" s="107" t="str">
        <x:v>Flora of North America</x:v>
      </x:c>
      <x:c r="N33" s="107" t="str">
        <x:v>http://www.efloras.org/florataxon.aspx?flora_id=1&amp;taxon_id=250101934
http://www.efloras.org/florataxon.aspx?flora_id=1&amp;taxon_id=242417369</x:v>
      </x:c>
      <x:c r="O33" s="107" t="str">
        <x:v>Do not decide this pair from foliage alone.</x:v>
      </x:c>
      <x:c r="P33" s="107" t="str">
        <x:v>Ready for Review</x:v>
      </x:c>
    </x:row>
    <x:row r="34" ht="66" customHeight="1">
      <x:c r="A34" s="107" t="str">
        <x:v>EUPH-E033</x:v>
      </x:c>
      <x:c r="B34" s="107" t="str">
        <x:v>Species</x:v>
      </x:c>
      <x:c r="C34" s="107" t="str">
        <x:v>Tragia nigricans</x:v>
      </x:c>
      <x:c r="D34" s="107" t="str">
        <x:v>Stem / leaf</x:v>
      </x:c>
      <x:c r="E34" s="107" t="str">
        <x:v>An erect dark stem carries large oblong or reverse-lance leaves with coarse teeth and a very short leaf stalk.</x:v>
      </x:c>
      <x:c r="F34" s="107" t="str">
        <x:v>Stems purple-green to reddish black; petiole 1–5 mm; blade oblong to oblanceolate, 3–7 cm, coarsely serrate.</x:v>
      </x:c>
      <x:c r="G34" s="107" t="str">
        <x:v>Strong as a combination</x:v>
      </x:c>
      <x:c r="H34" s="107" t="str">
        <x:v>High</x:v>
      </x:c>
      <x:c r="I34" s="107" t="str">
        <x:v>High</x:v>
      </x:c>
      <x:c r="J34" s="107" t="str">
        <x:v>Whole plant plus scaled leaf</x:v>
      </x:c>
      <x:c r="K34" s="107" t="str">
        <x:v>Color varies with light, camera settings, stress, and age.</x:v>
      </x:c>
      <x:c r="L34" s="107" t="str">
        <x:v>The combined habit, petiole, leaf shape, and teeth separate it from the other C06 records.</x:v>
      </x:c>
      <x:c r="M34" s="107" t="str">
        <x:v>Flora of North America</x:v>
      </x:c>
      <x:c r="N34" s="107" t="str">
        <x:v>http://www.efloras.org/florataxon.aspx?flora_id=1&amp;taxon_id=250102000</x:v>
      </x:c>
      <x:c r="O34" s="107" t="str">
        <x:v>Never score dark color by itself.</x:v>
      </x:c>
      <x:c r="P34" s="107" t="str">
        <x:v>Ready for Review</x:v>
      </x:c>
    </x:row>
    <x:row r="35" ht="66" customHeight="1">
      <x:c r="A35" s="107" t="str">
        <x:v>EUPH-E034</x:v>
      </x:c>
      <x:c r="B35" s="107" t="str">
        <x:v>Species</x:v>
      </x:c>
      <x:c r="C35" s="107" t="str">
        <x:v>Tragia nigricans</x:v>
      </x:c>
      <x:c r="D35" s="107" t="str">
        <x:v>Male flower</x:v>
      </x:c>
      <x:c r="E35" s="107" t="str">
        <x:v>Its 4–5 stamen stalks are joined together for half their length.</x:v>
      </x:c>
      <x:c r="F35" s="107" t="str">
        <x:v>Stamens 4–5; filaments connate 1/2 length.</x:v>
      </x:c>
      <x:c r="G35" s="107" t="str">
        <x:v>Strong</x:v>
      </x:c>
      <x:c r="H35" s="107" t="str">
        <x:v>High</x:v>
      </x:c>
      <x:c r="I35" s="107" t="str">
        <x:v>Low</x:v>
      </x:c>
      <x:c r="J35" s="107" t="str">
        <x:v>Fresh staminate flower and macro lens</x:v>
      </x:c>
      <x:c r="K35" s="107" t="str">
        <x:v>The flowers are tiny and a side view may be required.</x:v>
      </x:c>
      <x:c r="L35" s="107" t="str">
        <x:v>FNA identifies this as part of the unique North American character combination.</x:v>
      </x:c>
      <x:c r="M35" s="107" t="str">
        <x:v>Flora of North America</x:v>
      </x:c>
      <x:c r="N35" s="107" t="str">
        <x:v>http://www.efloras.org/florataxon.aspx?flora_id=1&amp;taxon_id=250102000
http://www.efloras.org/florataxon.aspx?flora_id=1&amp;taxon_id=133273</x:v>
      </x:c>
      <x:c r="O35" s="107" t="str">
        <x:v>A high-value confirmation for an AI macro-image class.</x:v>
      </x:c>
      <x:c r="P35" s="107" t="str">
        <x:v>Ready for Review</x:v>
      </x:c>
    </x:row>
    <x:row r="36" ht="66" customHeight="1">
      <x:c r="A36" s="107" t="str">
        <x:v>EUPH-E035</x:v>
      </x:c>
      <x:c r="B36" s="107" t="str">
        <x:v>Species</x:v>
      </x:c>
      <x:c r="C36" s="107" t="str">
        <x:v>Tragia ramosa</x:v>
      </x:c>
      <x:c r="D36" s="107" t="str">
        <x:v>Leaf / female flower</x:v>
      </x:c>
      <x:c r="E36" s="107" t="str">
        <x:v>The upper leaves are usually narrow, while the stigma is smooth to gently wavy and the styles stick well beyond the sepals.</x:v>
      </x:c>
      <x:c r="F36" s="107" t="str">
        <x:v>Narrow apical blades; stigmas smooth to undulate; styles connate 1/3–1/2 and long-exserted.</x:v>
      </x:c>
      <x:c r="G36" s="107" t="str">
        <x:v>Strong</x:v>
      </x:c>
      <x:c r="H36" s="107" t="str">
        <x:v>High</x:v>
      </x:c>
      <x:c r="I36" s="107" t="str">
        <x:v>Medium</x:v>
      </x:c>
      <x:c r="J36" s="107" t="str">
        <x:v>Upper stem plus pistillate flower</x:v>
      </x:c>
      <x:c r="K36" s="107" t="str">
        <x:v>Leaf width is environmentally plastic.</x:v>
      </x:c>
      <x:c r="L36" s="107" t="str">
        <x:v>Separates ramosa from broad-leaved brevispica and papillate-stigma betonicifolia.</x:v>
      </x:c>
      <x:c r="M36" s="107" t="str">
        <x:v>Flora of North America; University of Texas</x:v>
      </x:c>
      <x:c r="N36" s="107" t="str">
        <x:v>http://www.efloras.org/florataxon.aspx?flora_id=1&amp;taxon_id=242417369
https://w3.biosci.utexas.edu/prc/K12/pages/Tragia%20ramosa.html</x:v>
      </x:c>
      <x:c r="O36" s="107" t="str">
        <x:v>Use leaf and flower together.</x:v>
      </x:c>
      <x:c r="P36" s="107" t="str">
        <x:v>Ready for Review</x:v>
      </x:c>
    </x:row>
    <x:row r="37" ht="66" customHeight="1">
      <x:c r="A37" s="107" t="str">
        <x:v>EUPH-E036</x:v>
      </x:c>
      <x:c r="B37" s="107" t="str">
        <x:v>Species group</x:v>
      </x:c>
      <x:c r="C37" s="107" t="str">
        <x:v>C06 Tragia</x:v>
      </x:c>
      <x:c r="D37" s="107" t="str">
        <x:v>Stem posture</x:v>
      </x:c>
      <x:c r="E37" s="107" t="str">
        <x:v>A truly coiling flexible stem strongly supports brevispica; a branched self-supporting stem supports ramosa or nigricans.</x:v>
      </x:c>
      <x:c r="F37" s="107" t="str">
        <x:v>Stem apex usually flexuous in T. brevispica, never flexuous in T. betonicifolia and T. nigricans, rarely flexuous in T. ramosa.</x:v>
      </x:c>
      <x:c r="G37" s="107" t="str">
        <x:v>Supporting to strong</x:v>
      </x:c>
      <x:c r="H37" s="107" t="str">
        <x:v>High</x:v>
      </x:c>
      <x:c r="I37" s="107" t="str">
        <x:v>High</x:v>
      </x:c>
      <x:c r="J37" s="107" t="str">
        <x:v>Whole plant attached to its support</x:v>
      </x:c>
      <x:c r="K37" s="107" t="str">
        <x:v>Brevispica can be erect and ramosa can trail or weakly twine.</x:v>
      </x:c>
      <x:c r="L37" s="107" t="str">
        <x:v>Fast first branch, but not a final species decision.</x:v>
      </x:c>
      <x:c r="M37" s="107" t="str">
        <x:v>Flora of North America; University of Texas</x:v>
      </x:c>
      <x:c r="N37" s="107" t="str">
        <x:v>http://www.efloras.org/florataxon.aspx?flora_id=1&amp;taxon_id=242417367
http://www.efloras.org/florataxon.aspx?flora_id=1&amp;taxon_id=250101934
http://www.efloras.org/florataxon.aspx?flora_id=1&amp;taxon_id=250102000
http://www.efloras.org/florataxon.aspx?flora_id=1&amp;taxon_id=242417369</x:v>
      </x:c>
      <x:c r="O37" s="107" t="str">
        <x:v>Photograph the stem/support relationship without handling.</x:v>
      </x:c>
      <x:c r="P37" s="107" t="str">
        <x:v>Ready for Review</x:v>
      </x:c>
    </x:row>
    <x:row r="38" ht="66" customHeight="1">
      <x:c r="A38" s="107" t="str">
        <x:v>EUPH-E037</x:v>
      </x:c>
      <x:c r="B38" s="107" t="str">
        <x:v>Species group</x:v>
      </x:c>
      <x:c r="C38" s="107" t="str">
        <x:v>C06 Tragia</x:v>
      </x:c>
      <x:c r="D38" s="107" t="str">
        <x:v>Color</x:v>
      </x:c>
      <x:c r="E38" s="107" t="str">
        <x:v>Dark color is meaningful for nigricans only when the stem, leaf shape, petiole, coarse teeth, and flowers agree.</x:v>
      </x:c>
      <x:c r="F38" s="107" t="str">
        <x:v>Stem pigmentation is diagnostic only as part of the FNA character suite for T. nigricans.</x:v>
      </x:c>
      <x:c r="G38" s="107" t="str">
        <x:v>Supporting</x:v>
      </x:c>
      <x:c r="H38" s="107" t="str">
        <x:v>Moderate</x:v>
      </x:c>
      <x:c r="I38" s="107" t="str">
        <x:v>High</x:v>
      </x:c>
      <x:c r="J38" s="107" t="str">
        <x:v>Whole stem in neutral light</x:v>
      </x:c>
      <x:c r="K38" s="107" t="str">
        <x:v>Exposure, white balance, stress, age, and drying can alter apparent color.</x:v>
      </x:c>
      <x:c r="L38" s="107" t="str">
        <x:v>Prevents overfitting a human or image model to a single color feature.</x:v>
      </x:c>
      <x:c r="M38" s="107" t="str">
        <x:v>Flora of North America</x:v>
      </x:c>
      <x:c r="N38" s="107" t="str">
        <x:v>http://www.efloras.org/florataxon.aspx?flora_id=1&amp;taxon_id=250102000</x:v>
      </x:c>
      <x:c r="O38" s="107" t="str">
        <x:v>Never use color as the first and only decision.</x:v>
      </x:c>
      <x:c r="P38" s="107" t="str">
        <x:v>Ready for Review</x:v>
      </x:c>
    </x:row>
    <x:row r="39" ht="66" customHeight="1">
      <x:c r="A39" s="107" t="str">
        <x:v>EUPH-E038</x:v>
      </x:c>
      <x:c r="B39" s="107" t="str">
        <x:v>Species group</x:v>
      </x:c>
      <x:c r="C39" s="107" t="str">
        <x:v>C06 Tragia</x:v>
      </x:c>
      <x:c r="D39" s="107" t="str">
        <x:v>Reproductive confirmation</x:v>
      </x:c>
      <x:c r="E39" s="107" t="str">
        <x:v>If only leaves are present, keep the species name tentative and return for flowers or fruit.</x:v>
      </x:c>
      <x:c r="F39" s="107" t="str">
        <x:v>Key separations depend on staminate-flower count, stigma surface, filament fusion, style exsertion, or mature carpels.</x:v>
      </x:c>
      <x:c r="G39" s="107" t="str">
        <x:v>Strong workflow rule</x:v>
      </x:c>
      <x:c r="H39" s="107" t="str">
        <x:v>High</x:v>
      </x:c>
      <x:c r="I39" s="107" t="str">
        <x:v>High</x:v>
      </x:c>
      <x:c r="J39" s="107" t="str">
        <x:v>Flowering or fruiting plant</x:v>
      </x:c>
      <x:c r="K39" s="107" t="str">
        <x:v>A vegetative individual may still be recognizable, but confidence should be capped.</x:v>
      </x:c>
      <x:c r="L39" s="107" t="str">
        <x:v>Keeps a probabilistic field guide from pretending overlapping leaves are absolute.</x:v>
      </x:c>
      <x:c r="M39" s="107" t="str">
        <x:v>Flora of North America; regional Texas key</x:v>
      </x:c>
      <x:c r="N39" s="107" t="str">
        <x:v>http://www.efloras.org/florataxon.aspx?flora_id=1&amp;taxon_id=133273
https://fwbg.org/wp-content/uploads/2025/04/FNCT_0210-0617-Acanth-Euph.pdf</x:v>
      </x:c>
      <x:c r="O39" s="107" t="str">
        <x:v>Record a candidate and the missing confirmation character.</x:v>
      </x:c>
      <x:c r="P39" s="107" t="str">
        <x:v>Ready for Review</x:v>
      </x:c>
    </x:row>
  </x:sheetData>
  <x:pageMargins left="0.7" right="0.7" top="0.75" bottom="0.75" header="0.3" footer="0.3"/>
  <x:tableParts count="1">
    <x:tablePart xmlns:r="http://schemas.openxmlformats.org/officeDocument/2006/relationships" r:id="R200abfce2ba043d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13" hidden="0" customWidth="1"/>
    <x:col min="4" max="4" width="28" hidden="0" customWidth="1"/>
    <x:col min="5" max="5" width="28" hidden="0" customWidth="1"/>
    <x:col min="6" max="6" width="34" hidden="0" customWidth="1"/>
    <x:col min="7" max="7" width="41" hidden="0" customWidth="1"/>
    <x:col min="8" max="8" width="31" hidden="0" customWidth="1"/>
    <x:col min="9" max="9" width="48" hidden="0" customWidth="1"/>
    <x:col min="10" max="10" width="42" hidden="0" customWidth="1"/>
    <x:col min="11" max="11" width="28" hidden="0" customWidth="1"/>
    <x:col min="12" max="12" width="34" hidden="0" customWidth="1"/>
    <x:col min="13" max="13" width="24" hidden="0" customWidth="1"/>
    <x:col min="14" max="14" width="38" hidden="0" customWidth="1"/>
    <x:col min="15" max="15" width="48" hidden="0" customWidth="1"/>
  </x:cols>
  <x:sheetData>
    <x:row r="1" ht="34" customHeight="1">
      <x:c r="A1" s="106" t="str">
        <x:v>Group ID</x:v>
      </x:c>
      <x:c r="B1" s="106" t="str">
        <x:v>Comparison Group</x:v>
      </x:c>
      <x:c r="C1" s="106" t="str">
        <x:v>Record ID</x:v>
      </x:c>
      <x:c r="D1" s="106" t="str">
        <x:v>Submitted Scientific Name</x:v>
      </x:c>
      <x:c r="E1" s="106" t="str">
        <x:v>Accepted Scientific Name</x:v>
      </x:c>
      <x:c r="F1" s="106" t="str">
        <x:v>Common Name(s)</x:v>
      </x:c>
      <x:c r="G1" s="106" t="str">
        <x:v>First-Pass ID Clue</x:v>
      </x:c>
      <x:c r="H1" s="106" t="str">
        <x:v>Compare Against</x:v>
      </x:c>
      <x:c r="I1" s="106" t="str">
        <x:v>Strong Separation Evidence</x:v>
      </x:c>
      <x:c r="J1" s="106" t="str">
        <x:v>Best Parts to Inspect / Photograph</x:v>
      </x:c>
      <x:c r="K1" s="106" t="str">
        <x:v>Magnification</x:v>
      </x:c>
      <x:c r="L1" s="106" t="str">
        <x:v>Season / Habitat</x:v>
      </x:c>
      <x:c r="M1" s="106" t="str">
        <x:v>Current Confidence</x:v>
      </x:c>
      <x:c r="N1" s="106" t="str">
        <x:v>Next Research Gap</x:v>
      </x:c>
      <x:c r="O1" s="106" t="str">
        <x:v>Evidence URLs</x:v>
      </x:c>
    </x:row>
    <x:row r="2">
      <x:c r="A2" s="114" t="str">
        <x:v>EUPH-C01</x:v>
      </x:c>
      <x:c r="B2" s="107" t="str">
        <x:v>Acalypha copperleafs</x:v>
      </x:c>
      <x:c r="C2" s="114" t="str">
        <x:v>HAYS-0004</x:v>
      </x:c>
      <x:c r="D2" s="107" t="str">
        <x:v>Acalypha persimilis</x:v>
      </x:c>
      <x:c r="E2" s="107" t="str">
        <x:v>Acalypha persimilis</x:v>
      </x:c>
      <x:c r="F2" s="107" t="str">
        <x:v>Hornbeam Copperleaf</x:v>
      </x:c>
      <x:c r="G2" s="107" t="str">
        <x:v>Begin with the Acalypha spike and enlarged female bracts; species-level separation is not yet complete.</x:v>
      </x:c>
      <x:c r="H2" s="107" t="str">
        <x:v>A. phleoides; A. radians</x:v>
      </x:c>
      <x:c r="I2" s="107" t="str">
        <x:v>Do not separate from the other Hays Acalypha by leaf outline alone. Compare bract architecture, spike position, habit, and mature fruit.</x:v>
      </x:c>
      <x:c r="J2" s="107" t="str">
        <x:v>Whole plant, both leaf surfaces, entire spike, pistillate bract face and edge, mature fruit.</x:v>
      </x:c>
      <x:c r="K2" s="107" t="str">
        <x:v>Hand lens recommended for hairs, bracts, glands, styles, stamens, and seeds.</x:v>
      </x:c>
      <x:c r="L2" s="107"/>
      <x:c r="M2" s="107" t="str">
        <x:v>Genus strong / species pending</x:v>
      </x:c>
      <x:c r="N2" s="107" t="str">
        <x:v>Locate an authoritative regional treatment for A. persimilis.</x:v>
      </x:c>
      <x:c r="O2" s="107" t="str">
        <x:v>https://floranorthamerica.org/Acalypha</x:v>
      </x:c>
    </x:row>
    <x:row r="3">
      <x:c r="A3" s="114" t="str">
        <x:v>EUPH-C01</x:v>
      </x:c>
      <x:c r="B3" s="107" t="str">
        <x:v>Acalypha copperleafs</x:v>
      </x:c>
      <x:c r="C3" s="114" t="str">
        <x:v>HAYS-0005</x:v>
      </x:c>
      <x:c r="D3" s="107" t="str">
        <x:v>Acalypha phleoides</x:v>
      </x:c>
      <x:c r="E3" s="107" t="str">
        <x:v>Acalypha phleoides</x:v>
      </x:c>
      <x:c r="F3" s="107" t="str">
        <x:v>Shrubby Copperleaf, Three-seeded Mercury</x:v>
      </x:c>
      <x:c r="G3" s="107" t="str">
        <x:v>Usually erect, with larger leaves and terminal bisexual spikes; petioles are short.</x:v>
      </x:c>
      <x:c r="H3" s="107" t="str">
        <x:v>A. radians; A. persimilis</x:v>
      </x:c>
      <x:c r="I3" s="107" t="str">
        <x:v>Against A. radians: erect rather than prostrate/ascending; leaves about 2–6 cm; terminal bisexual inflorescences; petioles about 0.2–1 cm.</x:v>
      </x:c>
      <x:c r="J3" s="107" t="str">
        <x:v>Habit, petiole-to-blade ratio, terminal spike, pistillate bracts.</x:v>
      </x:c>
      <x:c r="K3" s="107" t="str">
        <x:v>Hand lens recommended for hairs, bracts, glands, styles, stamens, and seeds.</x:v>
      </x:c>
      <x:c r="L3" s="107"/>
      <x:c r="M3" s="107" t="str">
        <x:v>High first-pass</x:v>
      </x:c>
      <x:c r="N3" s="107" t="str">
        <x:v>Add A. persimilis to a three-way regional key.</x:v>
      </x:c>
      <x:c r="O3" s="107" t="str">
        <x:v>https://floranorthamerica.org/Acalypha</x:v>
      </x:c>
    </x:row>
    <x:row r="4">
      <x:c r="A4" s="114" t="str">
        <x:v>EUPH-C01</x:v>
      </x:c>
      <x:c r="B4" s="107" t="str">
        <x:v>Acalypha copperleafs</x:v>
      </x:c>
      <x:c r="C4" s="114" t="str">
        <x:v>HAYS-0006</x:v>
      </x:c>
      <x:c r="D4" s="107" t="str">
        <x:v>Acalypha radians</x:v>
      </x:c>
      <x:c r="E4" s="107" t="str">
        <x:v>Acalypha radians</x:v>
      </x:c>
      <x:c r="F4" s="107" t="str">
        <x:v>Cardinal's Feather, Cardinal Feather</x:v>
      </x:c>
      <x:c r="G4" s="107" t="str">
        <x:v>Low/prostrate to ascending copperleaf with small, deeply scalloped leaves on proportionally long petioles.</x:v>
      </x:c>
      <x:c r="H4" s="107" t="str">
        <x:v>A. phleoides; A. persimilis</x:v>
      </x:c>
      <x:c r="I4" s="107" t="str">
        <x:v>Against A. phleoides: leaves about 0.3–2.5 cm, petioles longer than two-thirds of blade, deeply crenate margins, and deeply lobed pistillate bracts.</x:v>
      </x:c>
      <x:c r="J4" s="107" t="str">
        <x:v>Whole habit, petiole beside blade, leaf margin, pistillate bract lobes.</x:v>
      </x:c>
      <x:c r="K4" s="107" t="str">
        <x:v>Hand lens recommended for hairs, bracts, glands, styles, stamens, and seeds.</x:v>
      </x:c>
      <x:c r="L4" s="107"/>
      <x:c r="M4" s="107" t="str">
        <x:v>High first-pass</x:v>
      </x:c>
      <x:c r="N4" s="107" t="str">
        <x:v>Add calibrated macro photographs of the bract.</x:v>
      </x:c>
      <x:c r="O4" s="107" t="str">
        <x:v>https://floranorthamerica.org/Acalypha</x:v>
      </x:c>
    </x:row>
    <x:row r="5">
      <x:c r="A5" s="114" t="str">
        <x:v>EUPH-C02</x:v>
      </x:c>
      <x:c r="B5" s="107" t="str">
        <x:v>Argythamnia silverbushes</x:v>
      </x:c>
      <x:c r="C5" s="114" t="str">
        <x:v>HAYS-0069</x:v>
      </x:c>
      <x:c r="D5" s="107" t="str">
        <x:v>Argythamnia aphoroides</x:v>
      </x:c>
      <x:c r="E5" s="107" t="str">
        <x:v>Argythamnia aphoroides</x:v>
      </x:c>
      <x:c r="F5" s="107" t="str">
        <x:v>Hill Country Silverbush</x:v>
      </x:c>
      <x:c r="G5" s="107" t="str">
        <x:v>Nearly sessile leaves; confirm with a 10-stamen male flower and a woolly ovary.</x:v>
      </x:c>
      <x:c r="H5" s="107" t="str">
        <x:v>A. simulans; A. humilis</x:v>
      </x:c>
      <x:c r="I5" s="107" t="str">
        <x:v>Against A. simulans: usually no petiole, 10 stamens, wedge-shaped staminate petals, and a tomentose/lanulose (woolly) ovary.</x:v>
      </x:c>
      <x:c r="J5" s="107" t="str">
        <x:v>Leaf base, opened male flower, petal outline, ovary hairs.</x:v>
      </x:c>
      <x:c r="K5" s="107" t="str">
        <x:v>Hand lens recommended for hairs, bracts, glands, styles, stamens, and seeds.</x:v>
      </x:c>
      <x:c r="L5" s="107"/>
      <x:c r="M5" s="107" t="str">
        <x:v>High with hand lens</x:v>
      </x:c>
      <x:c r="N5" s="107" t="str">
        <x:v>Build a stamen-count photo standard.</x:v>
      </x:c>
      <x:c r="O5" s="107" t="str">
        <x:v>https://floranorthamerica.org/Argythamnia</x:v>
      </x:c>
    </x:row>
    <x:row r="6">
      <x:c r="A6" s="114" t="str">
        <x:v>EUPH-C02</x:v>
      </x:c>
      <x:c r="B6" s="107" t="str">
        <x:v>Argythamnia silverbushes</x:v>
      </x:c>
      <x:c r="C6" s="114" t="str">
        <x:v>HAYS-0070</x:v>
      </x:c>
      <x:c r="D6" s="107" t="str">
        <x:v>Argythamnia humilis</x:v>
      </x:c>
      <x:c r="E6" s="107" t="str">
        <x:v>Argythamnia humilis</x:v>
      </x:c>
      <x:c r="F6" s="107" t="str">
        <x:v>Low Silverbush</x:v>
      </x:c>
      <x:c r="G6" s="107" t="str">
        <x:v>The only one of the three with clearly petioled leaves; male and female flowers occur on separate plants.</x:v>
      </x:c>
      <x:c r="H6" s="107" t="str">
        <x:v>A. aphoroides; A. simulans</x:v>
      </x:c>
      <x:c r="I6" s="107" t="str">
        <x:v>Against A. aphoroides and A. simulans: petioles about 1–18 mm and a dioecious sex system; confirm flower details.</x:v>
      </x:c>
      <x:c r="J6" s="107" t="str">
        <x:v>Petiole length, whole inflorescence, flower sex across more than one plant.</x:v>
      </x:c>
      <x:c r="K6" s="107" t="str">
        <x:v>Hand lens recommended for hairs, bracts, glands, styles, stamens, and seeds.</x:v>
      </x:c>
      <x:c r="L6" s="107"/>
      <x:c r="M6" s="107" t="str">
        <x:v>High first-pass</x:v>
      </x:c>
      <x:c r="N6" s="107" t="str">
        <x:v>Document male and female plants in the field.</x:v>
      </x:c>
      <x:c r="O6" s="107" t="str">
        <x:v>https://floranorthamerica.org/Argythamnia</x:v>
      </x:c>
    </x:row>
    <x:row r="7">
      <x:c r="A7" s="114" t="str">
        <x:v>EUPH-C02</x:v>
      </x:c>
      <x:c r="B7" s="107" t="str">
        <x:v>Argythamnia silverbushes</x:v>
      </x:c>
      <x:c r="C7" s="114" t="str">
        <x:v>HAYS-0071</x:v>
      </x:c>
      <x:c r="D7" s="107" t="str">
        <x:v>Argythamnia simulans</x:v>
      </x:c>
      <x:c r="E7" s="107" t="str">
        <x:v>Argythamnia simulans</x:v>
      </x:c>
      <x:c r="F7" s="107" t="str">
        <x:v>Plateau Silverbush, Tall Wild-mercury</x:v>
      </x:c>
      <x:c r="G7" s="107" t="str">
        <x:v>Nearly sessile leaves; confirm with 7–8 stamens, elliptic male petals, and stiff appressed ovary hairs.</x:v>
      </x:c>
      <x:c r="H7" s="107" t="str">
        <x:v>A. aphoroides; A. humilis</x:v>
      </x:c>
      <x:c r="I7" s="107" t="str">
        <x:v>Against A. aphoroides: usually no petiole, 7–8 rather than 10 stamens, elliptic petals, and strigose/hispidulous rather than woolly ovary hairs.</x:v>
      </x:c>
      <x:c r="J7" s="107" t="str">
        <x:v>Leaf base, opened male flower, petal outline, ovary hairs.</x:v>
      </x:c>
      <x:c r="K7" s="107" t="str">
        <x:v>Hand lens recommended for hairs, bracts, glands, styles, stamens, and seeds.</x:v>
      </x:c>
      <x:c r="L7" s="107"/>
      <x:c r="M7" s="107" t="str">
        <x:v>High with hand lens</x:v>
      </x:c>
      <x:c r="N7" s="107" t="str">
        <x:v>Build a side-by-side ovary-hair macro comparison.</x:v>
      </x:c>
      <x:c r="O7" s="107" t="str">
        <x:v>https://floranorthamerica.org/Argythamnia</x:v>
      </x:c>
    </x:row>
    <x:row r="8">
      <x:c r="A8" s="114" t="str">
        <x:v>EUPH-C07</x:v>
      </x:c>
      <x:c r="B8" s="107" t="str">
        <x:v>Singleton genus recognition</x:v>
      </x:c>
      <x:c r="C8" s="114" t="str">
        <x:v>HAYS-0100</x:v>
      </x:c>
      <x:c r="D8" s="107" t="str">
        <x:v>Bernardia myricifolia</x:v>
      </x:c>
      <x:c r="E8" s="107" t="str">
        <x:v>Bernardia myricifolia</x:v>
      </x:c>
      <x:c r="F8" s="107" t="str">
        <x:v>Mouse Ears</x:v>
      </x:c>
      <x:c r="G8" s="107" t="str">
        <x:v>Treat as a provisional Bernardia identification based on woody habit plus reproductive structures, not leaf shape alone.</x:v>
      </x:c>
      <x:c r="H8" s="107" t="str">
        <x:v>Argythamnia; Croton; Acalypha</x:v>
      </x:c>
      <x:c r="I8" s="107" t="str">
        <x:v>No species pair exists in the current list; confirm genus using flowers, fruit, stipules, and hair pattern.</x:v>
      </x:c>
      <x:c r="J8" s="107" t="str">
        <x:v>Whole habit, twig, leaf base and margin, both flower sexes, capsule, hairs.</x:v>
      </x:c>
      <x:c r="K8" s="107" t="str">
        <x:v>Hand lens recommended for hairs, bracts, glands, styles, stamens, and seeds.</x:v>
      </x:c>
      <x:c r="L8" s="107"/>
      <x:c r="M8" s="107" t="str">
        <x:v>Provisional</x:v>
      </x:c>
      <x:c r="N8" s="107" t="str">
        <x:v>Add an authoritative Southwest or Texas flora treatment.</x:v>
      </x:c>
      <x:c r="O8" s="107" t="str">
        <x:v>https://powo.science.kew.org/taxon/urn%3Alsid%3Aipni.org%3Anames%3A30375178-2/general-information</x:v>
      </x:c>
    </x:row>
    <x:row r="9">
      <x:c r="A9" s="114" t="str">
        <x:v>EUPH-C04</x:v>
      </x:c>
      <x:c r="B9" s="107" t="str">
        <x:v>Euphorbia sandmats / former Chamaesyce</x:v>
      </x:c>
      <x:c r="C9" s="114" t="str">
        <x:v>HAYS-0176</x:v>
      </x:c>
      <x:c r="D9" s="107" t="str">
        <x:v>Chamaesyce angusta</x:v>
      </x:c>
      <x:c r="E9" s="107" t="str">
        <x:v>Euphorbia angusta</x:v>
      </x:c>
      <x:c r="F9" s="107" t="str">
        <x:v>Blackfoot Sandmat, Narrow-leaf Spurge</x:v>
      </x:c>
      <x:c r="G9" s="107" t="str">
        <x:v>Upright plant with very narrow upper leaves—not actually mat-forming.</x:v>
      </x:c>
      <x:c r="H9" s="107" t="str">
        <x:v>Euphorbia fendleri; Euphorbia nutans; Euphorbia prostrata; Euphorbia serpens; Euphorbia villifera</x:v>
      </x:c>
      <x:c r="I9" s="107" t="str">
        <x:v>Confirm the combination of distal leaves more than six times as long as wide plus short pressed hairs on the capsule.</x:v>
      </x:c>
      <x:c r="J9" s="107" t="str">
        <x:v>Whole upright habit; upper leaf beside a ruler; stem hairs; cyathium; capsule hairs.</x:v>
      </x:c>
      <x:c r="K9" s="107" t="str">
        <x:v>10× hand lens for hairs, stipules, capsule, and seed; whole-plant photographs remain essential.</x:v>
      </x:c>
      <x:c r="L9" s="107" t="str">
        <x:v>Rocky limestone; flowering and fruiting early spring–fall.</x:v>
      </x:c>
      <x:c r="M9" s="107" t="str">
        <x:v>High first-pass with fruit</x:v>
      </x:c>
      <x:c r="N9" s="107" t="str">
        <x:v>Human review with Hays County photographs and voucher-backed local specimens.</x:v>
      </x:c>
      <x:c r="O9" s="107" t="str">
        <x:v>https://floranorthamerica.org/Euphorbia_angusta
https://www.efloras.org/florataxon.aspx?flora_id=1&amp;taxon_id=250101551</x:v>
      </x:c>
    </x:row>
    <x:row r="10">
      <x:c r="A10" s="114" t="str">
        <x:v>EUPH-C04</x:v>
      </x:c>
      <x:c r="B10" s="107" t="str">
        <x:v>Euphorbia sandmats / former Chamaesyce</x:v>
      </x:c>
      <x:c r="C10" s="114" t="str">
        <x:v>HAYS-0177</x:v>
      </x:c>
      <x:c r="D10" s="107" t="str">
        <x:v>Chamaesyce fendleri</x:v>
      </x:c>
      <x:c r="E10" s="107" t="str">
        <x:v>Euphorbia fendleri</x:v>
      </x:c>
      <x:c r="F10" s="107" t="str">
        <x:v>Fendler's Sandmat, Fendler's Spurge, Fendler's Carpetweed, Fendler's Euphorb</x:v>
      </x:c>
      <x:c r="G10" s="107" t="str">
        <x:v>Low, hairless perennial with a woody crown and tiny round-to-ovate entire leaves.</x:v>
      </x:c>
      <x:c r="H10" s="107" t="str">
        <x:v>Euphorbia angusta; Euphorbia nutans; Euphorbia prostrata; Euphorbia serpens; Euphorbia villifera</x:v>
      </x:c>
      <x:c r="I10" s="107" t="str">
        <x:v>Confirm a woody perennial base, separate bristlelike stipules, a glabrous capsule, and relatively large pale seeds.</x:v>
      </x:c>
      <x:c r="J10" s="107" t="str">
        <x:v>Crown without uprooting; whole low habit; one node/stipules; glabrous capsule; seed with scale.</x:v>
      </x:c>
      <x:c r="K10" s="107" t="str">
        <x:v>10× hand lens for hairs, stipules, capsule, and seed; whole-plant photographs remain essential.</x:v>
      </x:c>
      <x:c r="L10" s="107" t="str">
        <x:v>Dry limestone crevices, grasslands, slopes, gravel and sand; spring–fall.</x:v>
      </x:c>
      <x:c r="M10" s="107" t="str">
        <x:v>High first-pass with crown and fruit</x:v>
      </x:c>
      <x:c r="N10" s="107" t="str">
        <x:v>Human review with Hays County photographs and voucher-backed local specimens.</x:v>
      </x:c>
      <x:c r="O10" s="107" t="str">
        <x:v>https://floranorthamerica.org/Euphorbia_fendleri
https://www.efloras.org/florataxon.aspx?flora_id=1&amp;taxon_id=250101570</x:v>
      </x:c>
    </x:row>
    <x:row r="11">
      <x:c r="A11" s="114" t="str">
        <x:v>EUPH-C04</x:v>
      </x:c>
      <x:c r="B11" s="107" t="str">
        <x:v>Euphorbia sandmats / former Chamaesyce</x:v>
      </x:c>
      <x:c r="C11" s="114" t="str">
        <x:v>HAYS-0178</x:v>
      </x:c>
      <x:c r="D11" s="107" t="str">
        <x:v>Chamaesyce nutans</x:v>
      </x:c>
      <x:c r="E11" s="107" t="str">
        <x:v>Euphorbia nutans</x:v>
      </x:c>
      <x:c r="F11" s="107" t="str">
        <x:v>Nodding Spurge, Eyebane</x:v>
      </x:c>
      <x:c r="G11" s="107" t="str">
        <x:v>The tall member of this group: ascending stems and larger oblong, finely toothed leaves.</x:v>
      </x:c>
      <x:c r="H11" s="107" t="str">
        <x:v>Euphorbia angusta; Euphorbia fendleri; Euphorbia prostrata; Euphorbia serpens; Euphorbia villifera</x:v>
      </x:c>
      <x:c r="I11" s="107" t="str">
        <x:v>Confirm an annual taproot, hairs concentrated at nodes/distally, strongly asymmetric serrulate leaves, and a glabrous capsule.</x:v>
      </x:c>
      <x:c r="J11" s="107" t="str">
        <x:v>Whole height; stem nodes; upper/lower leaf face and base; capsule; seed with scale.</x:v>
      </x:c>
      <x:c r="K11" s="107" t="str">
        <x:v>10× hand lens for hairs, stipules, capsule, and seed; whole-plant photographs remain essential.</x:v>
      </x:c>
      <x:c r="L11" s="107" t="str">
        <x:v>Banks, prairie openings, pastures, roadsides, gardens, and disturbed sites; spring–early fall.</x:v>
      </x:c>
      <x:c r="M11" s="107" t="str">
        <x:v>High first-pass</x:v>
      </x:c>
      <x:c r="N11" s="107" t="str">
        <x:v>Human review with Hays County photographs and voucher-backed local specimens.</x:v>
      </x:c>
      <x:c r="O11" s="107" t="str">
        <x:v>https://floranorthamerica.org/Euphorbia_nutans
https://www.efloras.org/florataxon.aspx?flora_id=1&amp;taxon_id=242427660</x:v>
      </x:c>
    </x:row>
    <x:row r="12">
      <x:c r="A12" s="114" t="str">
        <x:v>EUPH-C04</x:v>
      </x:c>
      <x:c r="B12" s="107" t="str">
        <x:v>Euphorbia sandmats / former Chamaesyce</x:v>
      </x:c>
      <x:c r="C12" s="114" t="str">
        <x:v>HAYS-0179</x:v>
      </x:c>
      <x:c r="D12" s="107" t="str">
        <x:v>Chamaesyce prostrata</x:v>
      </x:c>
      <x:c r="E12" s="107" t="str">
        <x:v>Euphorbia prostrata</x:v>
      </x:c>
      <x:c r="F12" s="107" t="str">
        <x:v>Prostrate Spurge, Prostrate Sandmat, Ground Spurge</x:v>
      </x:c>
      <x:c r="G12" s="107" t="str">
        <x:v>Flat hairy annual mat that does not root at the nodes and has tiny toothed leaves.</x:v>
      </x:c>
      <x:c r="H12" s="107" t="str">
        <x:v>Euphorbia angusta; Euphorbia fendleri; Euphorbia nutans; Euphorbia serpens; Euphorbia villifera</x:v>
      </x:c>
      <x:c r="I12" s="107" t="str">
        <x:v>Confirm hairs along the three capsule angles plus transversely ridged seeds. These break the tie with E. serpens.</x:v>
      </x:c>
      <x:c r="J12" s="107" t="str">
        <x:v>Mat from above; several non-rooting nodes; leaf teeth; stipules; capsule angles; seed with scale.</x:v>
      </x:c>
      <x:c r="K12" s="107" t="str">
        <x:v>10× hand lens for hairs, stipules, capsule, and seed; whole-plant photographs remain essential.</x:v>
      </x:c>
      <x:c r="L12" s="107" t="str">
        <x:v>Disturbed ground, often sandy; flowering commonly spring–fall.</x:v>
      </x:c>
      <x:c r="M12" s="107" t="str">
        <x:v>High with capsule and seed</x:v>
      </x:c>
      <x:c r="N12" s="107" t="str">
        <x:v>Human review with Hays County photographs and voucher-backed local specimens.</x:v>
      </x:c>
      <x:c r="O12" s="107" t="str">
        <x:v>https://floranorthamerica.org/Euphorbia_prostrata
https://www.efloras.org/florataxon.aspx?flora_id=1&amp;taxon_id=242321502
https://w3.biosci.utexas.edu/prc/K12/pages/Euphorbia%20prostrata.html</x:v>
      </x:c>
    </x:row>
    <x:row r="13">
      <x:c r="A13" s="114" t="str">
        <x:v>EUPH-C04</x:v>
      </x:c>
      <x:c r="B13" s="107" t="str">
        <x:v>Euphorbia sandmats / former Chamaesyce</x:v>
      </x:c>
      <x:c r="C13" s="114" t="str">
        <x:v>HAYS-0180</x:v>
      </x:c>
      <x:c r="D13" s="107" t="str">
        <x:v>Chamaesyce serpens</x:v>
      </x:c>
      <x:c r="E13" s="107" t="str">
        <x:v>Euphorbia serpens</x:v>
      </x:c>
      <x:c r="F13" s="107" t="str">
        <x:v>Matted Sandmat, Prostrate Spurge, Creeping Spurge</x:v>
      </x:c>
      <x:c r="G13" s="107" t="str">
        <x:v>Hairless creeping mat that repeatedly roots where its nodes touch the soil.</x:v>
      </x:c>
      <x:c r="H13" s="107" t="str">
        <x:v>Euphorbia angusta; Euphorbia fendleri; Euphorbia nutans; Euphorbia prostrata; Euphorbia villifera</x:v>
      </x:c>
      <x:c r="I13" s="107" t="str">
        <x:v>Confirm entire hairless leaves, fused triangular stipule scales, a glabrous capsule, and smooth/faintly netted seeds.</x:v>
      </x:c>
      <x:c r="J13" s="107" t="str">
        <x:v>Rooting node; fused stipule scale; entire leaf edge; glabrous capsule; smooth seed with scale.</x:v>
      </x:c>
      <x:c r="K13" s="107" t="str">
        <x:v>10× hand lens for hairs, stipules, capsule, and seed; whole-plant photographs remain essential.</x:v>
      </x:c>
      <x:c r="L13" s="107" t="str">
        <x:v>Well-drained or sandy soils, prairies, woodlands, and disturbed areas; summer or longer in warm sites.</x:v>
      </x:c>
      <x:c r="M13" s="107" t="str">
        <x:v>High with node roots and fruit</x:v>
      </x:c>
      <x:c r="N13" s="107" t="str">
        <x:v>Human review with Hays County photographs and voucher-backed local specimens.</x:v>
      </x:c>
      <x:c r="O13" s="107" t="str">
        <x:v>https://floranorthamerica.org/Euphorbia_serpens
https://www.efloras.org/florataxon.aspx?flora_id=1&amp;taxon_id=242321518
https://w3.biosci.utexas.edu/prc/K12/pages/Euphorbia%20serpens.html</x:v>
      </x:c>
    </x:row>
    <x:row r="14">
      <x:c r="A14" s="114" t="str">
        <x:v>EUPH-C04</x:v>
      </x:c>
      <x:c r="B14" s="107" t="str">
        <x:v>Euphorbia sandmats / former Chamaesyce</x:v>
      </x:c>
      <x:c r="C14" s="114" t="str">
        <x:v>HAYS-0181</x:v>
      </x:c>
      <x:c r="D14" s="107" t="str">
        <x:v>Chamaesyce villifera</x:v>
      </x:c>
      <x:c r="E14" s="107" t="str">
        <x:v>Euphorbia villifera</x:v>
      </x:c>
      <x:c r="F14" s="107" t="str">
        <x:v>Hairy Sandmat</x:v>
      </x:c>
      <x:c r="G14" s="107" t="str">
        <x:v>Usually upright/ascending with obvious long soft hairs and small ovate leaves.</x:v>
      </x:c>
      <x:c r="H14" s="107" t="str">
        <x:v>Euphorbia angusta; Euphorbia fendleri; Euphorbia nutans; Euphorbia prostrata; Euphorbia serpens</x:v>
      </x:c>
      <x:c r="I14" s="107" t="str">
        <x:v>Confirm villous vegetative parts but a glabrous capsule; compare the ovate leaves against E. angusta's very narrow upper leaves.</x:v>
      </x:c>
      <x:c r="J14" s="107" t="str">
        <x:v>Whole posture; long soft hairs on stem/leaf; leaf shape; glabrous capsule; cyathium.</x:v>
      </x:c>
      <x:c r="K14" s="107" t="str">
        <x:v>10× hand lens for hairs, stipules, capsule, and seed; whole-plant photographs remain essential.</x:v>
      </x:c>
      <x:c r="L14" s="107" t="str">
        <x:v>Riparian, juniper, and pine-oak woodlands, mostly on limestone; early spring–early winter.</x:v>
      </x:c>
      <x:c r="M14" s="107" t="str">
        <x:v>High first-pass with fruit</x:v>
      </x:c>
      <x:c r="N14" s="107" t="str">
        <x:v>Human review with Hays County photographs and voucher-backed local specimens.</x:v>
      </x:c>
      <x:c r="O14" s="107" t="str">
        <x:v>https://floranorthamerica.org/Euphorbia_villifera
https://www.efloras.org/florataxon.aspx?flora_id=1&amp;taxon_id=242321553</x:v>
      </x:c>
    </x:row>
    <x:row r="15">
      <x:c r="A15" s="114" t="str">
        <x:v>EUPH-C07</x:v>
      </x:c>
      <x:c r="B15" s="107" t="str">
        <x:v>Singleton genus recognition</x:v>
      </x:c>
      <x:c r="C15" s="114" t="str">
        <x:v>HAYS-0201</x:v>
      </x:c>
      <x:c r="D15" s="107" t="str">
        <x:v>Cnidoscolus texanus</x:v>
      </x:c>
      <x:c r="E15" s="107" t="str">
        <x:v>Cnidoscolus texanus</x:v>
      </x:c>
      <x:c r="F15" s="107" t="str">
        <x:v>Texas Bullnettle, Bull Nettle, Tread-softly, Spurge Nettle</x:v>
      </x:c>
      <x:c r="G15" s="107" t="str">
        <x:v>Robust upright bullnettle with obvious white flowers and dense stinging hairs.</x:v>
      </x:c>
      <x:c r="H15" s="107" t="str">
        <x:v>Tragia species; true nettles</x:v>
      </x:c>
      <x:c r="I15" s="107" t="str">
        <x:v>The combination of robust habit, conspicuous flowers, and urticating hairs separates it from the much more delicate Tragia in this list.</x:v>
      </x:c>
      <x:c r="J15" s="107" t="str">
        <x:v>Photograph from a safe distance: whole plant, leaf outline, flower face/side, fruit, stinging hairs.</x:v>
      </x:c>
      <x:c r="K15" s="107" t="str">
        <x:v>Hand lens recommended for hairs, bracts, glands, styles, stamens, and seeds.</x:v>
      </x:c>
      <x:c r="L15" s="107"/>
      <x:c r="M15" s="107" t="str">
        <x:v>High genus / singleton species</x:v>
      </x:c>
      <x:c r="N15" s="107" t="str">
        <x:v>Add safe-distance field photo protocol.</x:v>
      </x:c>
      <x:c r="O15" s="107" t="str">
        <x:v>https://fsus.ncbg.unc.edu/main.php?pg=show-taxon-detail.php&amp;taxonid=1020</x:v>
      </x:c>
    </x:row>
    <x:row r="16">
      <x:c r="A16" s="114" t="str">
        <x:v>EUPH-C03</x:v>
      </x:c>
      <x:c r="B16" s="107" t="str">
        <x:v>Croton goatweeds</x:v>
      </x:c>
      <x:c r="C16" s="114" t="str">
        <x:v>HAYS-0224</x:v>
      </x:c>
      <x:c r="D16" s="107" t="str">
        <x:v>Croton capitatus</x:v>
      </x:c>
      <x:c r="E16" s="107" t="str">
        <x:v>Croton capitatus</x:v>
      </x:c>
      <x:c r="F16" s="107" t="str">
        <x:v>Hogwort, Texas Goatweed</x:v>
      </x:c>
      <x:c r="G16" s="107" t="str">
        <x:v>An herbaceous goatweed with relatively large leaves and pistillate sepals that become long and reflexed.</x:v>
      </x:c>
      <x:c r="H16" s="107" t="str">
        <x:v>C. lindheimerianus; C. texensis</x:v>
      </x:c>
      <x:c r="I16" s="107" t="str">
        <x:v>Leaves about 3–8(–15) × 1–4 cm; pistillate sepals about 7–10(–15) mm in fruit with tips recurved.</x:v>
      </x:c>
      <x:c r="J16" s="107" t="str">
        <x:v>Leaf dimensions, pistillate sepals before and during fruit, stellate hairs.</x:v>
      </x:c>
      <x:c r="K16" s="107" t="str">
        <x:v>Hand lens recommended for hairs, bracts, glands, styles, stamens, and seeds.</x:v>
      </x:c>
      <x:c r="L16" s="107"/>
      <x:c r="M16" s="107" t="str">
        <x:v>High with fruit</x:v>
      </x:c>
      <x:c r="N16" s="107" t="str">
        <x:v>Add sepal posture comparison photographs.</x:v>
      </x:c>
      <x:c r="O16" s="107" t="str">
        <x:v>https://floranorthamerica.org/Croton</x:v>
      </x:c>
    </x:row>
    <x:row r="17">
      <x:c r="A17" s="114" t="str">
        <x:v>EUPH-C03</x:v>
      </x:c>
      <x:c r="B17" s="107" t="str">
        <x:v>Croton goatweeds</x:v>
      </x:c>
      <x:c r="C17" s="114" t="str">
        <x:v>HAYS-0225</x:v>
      </x:c>
      <x:c r="D17" s="107" t="str">
        <x:v>Croton fruticulosus</x:v>
      </x:c>
      <x:c r="E17" s="107" t="str">
        <x:v>Croton fruticulosus</x:v>
      </x:c>
      <x:c r="F17" s="107" t="str">
        <x:v>Bush Croton, Encinilla, Hierba Loca</x:v>
      </x:c>
      <x:c r="G17" s="107" t="str">
        <x:v>The shrubby Croton in this set, with serrulate, often slightly wavy leaves.</x:v>
      </x:c>
      <x:c r="H17" s="107" t="str">
        <x:v>Herbaceous Croton species</x:v>
      </x:c>
      <x:c r="I17" s="107" t="str">
        <x:v>Shrub; leaves 2–8 cm, upper surface finely hairy, margins serrulate/often slightly undulate; seeds about 4–5 mm.</x:v>
      </x:c>
      <x:c r="J17" s="107" t="str">
        <x:v>Woody habit, petiole ratio, upper leaf surface, margin, flower pedicels, seed.</x:v>
      </x:c>
      <x:c r="K17" s="107" t="str">
        <x:v>Hand lens recommended for hairs, bracts, glands, styles, stamens, and seeds.</x:v>
      </x:c>
      <x:c r="L17" s="107"/>
      <x:c r="M17" s="107" t="str">
        <x:v>High first-pass</x:v>
      </x:c>
      <x:c r="N17" s="107" t="str">
        <x:v>Add a seed-scale photograph.</x:v>
      </x:c>
      <x:c r="O17" s="107" t="str">
        <x:v>https://floranorthamerica.org/Croton</x:v>
      </x:c>
    </x:row>
    <x:row r="18">
      <x:c r="A18" s="114" t="str">
        <x:v>EUPH-C03</x:v>
      </x:c>
      <x:c r="B18" s="107" t="str">
        <x:v>Croton goatweeds</x:v>
      </x:c>
      <x:c r="C18" s="114" t="str">
        <x:v>HAYS-0226</x:v>
      </x:c>
      <x:c r="D18" s="107" t="str">
        <x:v>Croton lindheimerianus</x:v>
      </x:c>
      <x:c r="E18" s="107" t="str">
        <x:v>Croton lindheimerianus</x:v>
      </x:c>
      <x:c r="F18" s="107" t="str">
        <x:v>Threeseed Croton</x:v>
      </x:c>
      <x:c r="G18" s="107" t="str">
        <x:v>An herbaceous Croton whose female sepals are small and approximately equal.</x:v>
      </x:c>
      <x:c r="H18" s="107" t="str">
        <x:v>C. capitatus; C. texensis</x:v>
      </x:c>
      <x:c r="I18" s="107" t="str">
        <x:v>Pistillate sepals approximately equal and about 3 mm; styles 2-fid; herb rather than shrub.</x:v>
      </x:c>
      <x:c r="J18" s="107" t="str">
        <x:v>Pistillate flower/fruit with sepals spread, style branches, habit.</x:v>
      </x:c>
      <x:c r="K18" s="107" t="str">
        <x:v>Hand lens recommended for hairs, bracts, glands, styles, stamens, and seeds.</x:v>
      </x:c>
      <x:c r="L18" s="107"/>
      <x:c r="M18" s="107" t="str">
        <x:v>High with flowers</x:v>
      </x:c>
      <x:c r="N18" s="107" t="str">
        <x:v>Add a direct sepal comparison with C. capitatus.</x:v>
      </x:c>
      <x:c r="O18" s="107" t="str">
        <x:v>https://floranorthamerica.org/Croton</x:v>
      </x:c>
    </x:row>
    <x:row r="19">
      <x:c r="A19" s="114" t="str">
        <x:v>EUPH-C03</x:v>
      </x:c>
      <x:c r="B19" s="107" t="str">
        <x:v>Croton goatweeds</x:v>
      </x:c>
      <x:c r="C19" s="114" t="str">
        <x:v>HAYS-0227</x:v>
      </x:c>
      <x:c r="D19" s="107" t="str">
        <x:v>Croton monanthogynus</x:v>
      </x:c>
      <x:c r="E19" s="107" t="str">
        <x:v>Croton monanthogynus</x:v>
      </x:c>
      <x:c r="F19" s="107" t="str">
        <x:v>Prairie Tea, One-seed Croton, Doveweed, Dove Weed, Prairie Goatweed</x:v>
      </x:c>
      <x:c r="G19" s="107" t="str">
        <x:v>Leaf undersides often look brown-dotted because some star hairs have dark centers.</x:v>
      </x:c>
      <x:c r="H19" s="107" t="str">
        <x:v>C. texensis and other small annual Croton</x:v>
      </x:c>
      <x:c r="I19" s="107" t="str">
        <x:v>Dark-brown-centered stellate hairs beneath the leaf; reproductive unit functionally one-seeded, with two styles and a two-locular ovary but only one fertile locule.</x:v>
      </x:c>
      <x:c r="J19" s="107" t="str">
        <x:v>Macro of abaxial stellate hairs, fruit/ovary, styles, seed count.</x:v>
      </x:c>
      <x:c r="K19" s="107" t="str">
        <x:v>Hand lens recommended for hairs, bracts, glands, styles, stamens, and seeds.</x:v>
      </x:c>
      <x:c r="L19" s="107"/>
      <x:c r="M19" s="107" t="str">
        <x:v>High with lens and fruit</x:v>
      </x:c>
      <x:c r="N19" s="107" t="str">
        <x:v>Photograph the brown-centered hairs at fixed magnification.</x:v>
      </x:c>
      <x:c r="O19" s="107" t="str">
        <x:v>https://floranorthamerica.org/Croton</x:v>
      </x:c>
    </x:row>
    <x:row r="20">
      <x:c r="A20" s="114" t="str">
        <x:v>EUPH-C03</x:v>
      </x:c>
      <x:c r="B20" s="107" t="str">
        <x:v>Croton goatweeds</x:v>
      </x:c>
      <x:c r="C20" s="114" t="str">
        <x:v>HAYS-0228</x:v>
      </x:c>
      <x:c r="D20" s="107" t="str">
        <x:v>Croton texensis</x:v>
      </x:c>
      <x:c r="E20" s="107" t="str">
        <x:v>Croton texensis</x:v>
      </x:c>
      <x:c r="F20" s="107" t="str">
        <x:v>Texas Croton, Doveweed, Texas Goatweed</x:v>
      </x:c>
      <x:c r="G20" s="107" t="str">
        <x:v>An annual, often grayish from dense appressed star hairs; male and female flowers occur on separate plants.</x:v>
      </x:c>
      <x:c r="H20" s="107" t="str">
        <x:v>C. capitatus; C. monanthogynus</x:v>
      </x:c>
      <x:c r="I20" s="107" t="str">
        <x:v>Annual and dioecious; underside densely covered with appressed stellate hairs; capsule about 5–8 mm.</x:v>
      </x:c>
      <x:c r="J20" s="107" t="str">
        <x:v>Whole plants of both sexes, underside hairs, flower sex, capsule size.</x:v>
      </x:c>
      <x:c r="K20" s="107" t="str">
        <x:v>Hand lens recommended for hairs, bracts, glands, styles, stamens, and seeds.</x:v>
      </x:c>
      <x:c r="L20" s="107"/>
      <x:c r="M20" s="107" t="str">
        <x:v>High first-pass</x:v>
      </x:c>
      <x:c r="N20" s="107" t="str">
        <x:v>Document male and female individuals side by side.</x:v>
      </x:c>
      <x:c r="O20" s="107" t="str">
        <x:v>https://floranorthamerica.org/Croton</x:v>
      </x:c>
    </x:row>
    <x:row r="21">
      <x:c r="A21" s="114" t="str">
        <x:v>EUPH-C05</x:v>
      </x:c>
      <x:c r="B21" s="107" t="str">
        <x:v>Upright Euphorbia</x:v>
      </x:c>
      <x:c r="C21" s="114" t="str">
        <x:v>HAYS-0314</x:v>
      </x:c>
      <x:c r="D21" s="107" t="str">
        <x:v>Euphorbia cyathophora</x:v>
      </x:c>
      <x:c r="E21" s="107" t="str">
        <x:v>Euphorbia cyathophora</x:v>
      </x:c>
      <x:c r="F21" s="107" t="str">
        <x:v>Wild Poinsettia, Poinsettia, Fire On The Mountain</x:v>
      </x:c>
      <x:c r="G21" s="107" t="str">
        <x:v>Tall annual 'wild poinsettia' with alternate leaves and upper bracts often colored white, pink, or red at the base.</x:v>
      </x:c>
      <x:c r="H21" s="107" t="str">
        <x:v>E. dentata; E. marginata</x:v>
      </x:c>
      <x:c r="I21" s="107" t="str">
        <x:v>Leaves usually alternate; distal bracts often colored at base; one involucral gland; green glabrous capsule; leaf shape can vary on one plant.</x:v>
      </x:c>
      <x:c r="J21" s="107" t="str">
        <x:v>Whole top, leaf arrangement, bract color pattern, gland count, capsule hairs.</x:v>
      </x:c>
      <x:c r="K21" s="107" t="str">
        <x:v>Hand lens recommended for hairs, bracts, glands, styles, stamens, and seeds.</x:v>
      </x:c>
      <x:c r="L21" s="107" t="str">
        <x:v>Bottomlands, banks and disturbed ground; late spring–fall.</x:v>
      </x:c>
      <x:c r="M21" s="107" t="str">
        <x:v>High first-pass</x:v>
      </x:c>
      <x:c r="N21" s="107" t="str">
        <x:v>Do not over-weight variable leaf outline.</x:v>
      </x:c>
      <x:c r="O21" s="107" t="str">
        <x:v>https://floranorthamerica.org/Euphorbia_cyathophora</x:v>
      </x:c>
    </x:row>
    <x:row r="22">
      <x:c r="A22" s="114" t="str">
        <x:v>EUPH-C05</x:v>
      </x:c>
      <x:c r="B22" s="107" t="str">
        <x:v>Upright Euphorbia</x:v>
      </x:c>
      <x:c r="C22" s="114" t="str">
        <x:v>HAYS-0315</x:v>
      </x:c>
      <x:c r="D22" s="107" t="str">
        <x:v>Euphorbia dentata</x:v>
      </x:c>
      <x:c r="E22" s="107" t="str">
        <x:v>Euphorbia dentata</x:v>
      </x:c>
      <x:c r="F22" s="107" t="str">
        <x:v>Toothed Spurge, Toothed-leaf Poinsettia</x:v>
      </x:c>
      <x:c r="G22" s="107" t="str">
        <x:v>Upright annual with usually opposite, coarsely toothed leaves and weak filamentlike hairs beneath.</x:v>
      </x:c>
      <x:c r="H22" s="107" t="str">
        <x:v>E. cyathophora; E. davidii where present</x:v>
      </x:c>
      <x:c r="I22" s="107" t="str">
        <x:v>Leaves usually opposite with coarsely crenate-dentate or doubly crenate margins; capsule glabrous; 1–2 glands; weak filiform hairs beneath.</x:v>
      </x:c>
      <x:c r="J22" s="107" t="str">
        <x:v>Leaf arrangement and teeth, underside hairs, gland number/form, capsule surface, seed.</x:v>
      </x:c>
      <x:c r="K22" s="107" t="str">
        <x:v>Hand lens recommended for hairs, bracts, glands, styles, stamens, and seeds.</x:v>
      </x:c>
      <x:c r="L22" s="107" t="str">
        <x:v>Prairies, glades, banks and disturbed ground; spring–fall.</x:v>
      </x:c>
      <x:c r="M22" s="107" t="str">
        <x:v>High first-pass</x:v>
      </x:c>
      <x:c r="N22" s="107" t="str">
        <x:v>Use seed/capsule details when E. davidii is a realistic regional lookalike.</x:v>
      </x:c>
      <x:c r="O22" s="107" t="str">
        <x:v>https://floranorthamerica.org/Euphorbia_dentata</x:v>
      </x:c>
    </x:row>
    <x:row r="23">
      <x:c r="A23" s="114" t="str">
        <x:v>EUPH-C05</x:v>
      </x:c>
      <x:c r="B23" s="107" t="str">
        <x:v>Upright Euphorbia</x:v>
      </x:c>
      <x:c r="C23" s="114" t="str">
        <x:v>HAYS-0316</x:v>
      </x:c>
      <x:c r="D23" s="107" t="str">
        <x:v>Euphorbia marginata</x:v>
      </x:c>
      <x:c r="E23" s="107" t="str">
        <x:v>Euphorbia marginata</x:v>
      </x:c>
      <x:c r="F23" s="107" t="str">
        <x:v>Snow On The Mountain, Snow-on-the-mountain</x:v>
      </x:c>
      <x:c r="G23" s="107" t="str">
        <x:v>Snow-on-the-mountain: conspicuous white margins on the upper leaves and floral bracts.</x:v>
      </x:c>
      <x:c r="H23" s="107" t="str">
        <x:v>E. cyathophora and cultivated/escaped white-bracted Euphorbia</x:v>
      </x:c>
      <x:c r="I23" s="107" t="str">
        <x:v>Alternate broad leaves; distal leaves often white-margined; white-margined dichasial bracts; 4–5 glands with large white appendages; ovary/capsule hairy.</x:v>
      </x:c>
      <x:c r="J23" s="107" t="str">
        <x:v>Whole flowering top, upper leaf/bract margins, cyathium glands, capsule hairs.</x:v>
      </x:c>
      <x:c r="K23" s="107" t="str">
        <x:v>Hand lens recommended for hairs, bracts, glands, styles, stamens, and seeds.</x:v>
      </x:c>
      <x:c r="L23" s="107" t="str">
        <x:v>Grasslands and disturbed areas; summer–fall.</x:v>
      </x:c>
      <x:c r="M23" s="107" t="str">
        <x:v>High first-pass</x:v>
      </x:c>
      <x:c r="N23" s="107" t="str">
        <x:v>Note that vegetative plants lack the easiest white-bract clue.</x:v>
      </x:c>
      <x:c r="O23" s="107" t="str">
        <x:v>https://floranorthamerica.org/Euphorbia_marginata</x:v>
      </x:c>
    </x:row>
    <x:row r="24">
      <x:c r="A24" s="114" t="str">
        <x:v>EUPH-C05</x:v>
      </x:c>
      <x:c r="B24" s="107" t="str">
        <x:v>Upright Euphorbia</x:v>
      </x:c>
      <x:c r="C24" s="114" t="str">
        <x:v>HAYS-0317</x:v>
      </x:c>
      <x:c r="D24" s="107" t="str">
        <x:v>Euphorbia roemeriana</x:v>
      </x:c>
      <x:c r="E24" s="107" t="str">
        <x:v>Euphorbia roemeriana</x:v>
      </x:c>
      <x:c r="F24" s="107" t="str">
        <x:v>Roemer's Spurge</x:v>
      </x:c>
      <x:c r="G24" s="107" t="str">
        <x:v>Use the Euphorbia cyathium and three-lobed fruit to reach genus; the species profile remains incomplete.</x:v>
      </x:c>
      <x:c r="H24" s="107" t="str">
        <x:v>Other upright narrow-leaved Euphorbia</x:v>
      </x:c>
      <x:c r="I24" s="107" t="str">
        <x:v>Do not identify by overall narrow-leaved habit alone. Confirm section-level cyathium, leaf arrangement, glands, fruit hairs, and seed.</x:v>
      </x:c>
      <x:c r="J24" s="107" t="str">
        <x:v>Whole habit, leaf pairs and stipules, cyathium from above and side, gland appendages, ovary/capsule hairs, mature seed.</x:v>
      </x:c>
      <x:c r="K24" s="107" t="str">
        <x:v>Hand lens recommended for hairs, bracts, glands, styles, stamens, and seeds.</x:v>
      </x:c>
      <x:c r="L24" s="107"/>
      <x:c r="M24" s="107" t="str">
        <x:v>Genus strong / species pending</x:v>
      </x:c>
      <x:c r="N24" s="107" t="str">
        <x:v>Complete an authoritative species treatment for E. roemeriana.</x:v>
      </x:c>
      <x:c r="O24" s="107" t="str">
        <x:v>https://floranorthamerica.org/Euphorbia_roemeriana</x:v>
      </x:c>
    </x:row>
    <x:row r="25">
      <x:c r="A25" s="114" t="str">
        <x:v>EUPH-C07</x:v>
      </x:c>
      <x:c r="B25" s="107" t="str">
        <x:v>Singleton genus recognition</x:v>
      </x:c>
      <x:c r="C25" s="114" t="str">
        <x:v>HAYS-0771</x:v>
      </x:c>
      <x:c r="D25" s="107" t="str">
        <x:v>Stillingia texana</x:v>
      </x:c>
      <x:c r="E25" s="107" t="str">
        <x:v>Stillingia texana</x:v>
      </x:c>
      <x:c r="F25" s="107" t="str">
        <x:v>Texas Queen's Delight, Queen's Delight, Texas Toothleaf</x:v>
      </x:c>
      <x:c r="G25" s="107" t="str">
        <x:v>Upright queen's-delight with a terminal spike: female flowers/fruit low, male flowers above.</x:v>
      </x:c>
      <x:c r="H25" s="107" t="str">
        <x:v>Acalypha; other Stillingia if later added</x:v>
      </x:c>
      <x:c r="I25" s="107" t="str">
        <x:v>Use terminal inflorescence architecture plus capsule and bracts; leaf outline alone is not sufficient.</x:v>
      </x:c>
      <x:c r="J25" s="107" t="str">
        <x:v>Whole plant, terminal spike from base to tip, bracts and glands, leaf margin, capsule.</x:v>
      </x:c>
      <x:c r="K25" s="107" t="str">
        <x:v>Hand lens recommended for hairs, bracts, glands, styles, stamens, and seeds.</x:v>
      </x:c>
      <x:c r="L25" s="107"/>
      <x:c r="M25" s="107" t="str">
        <x:v>Moderate / singleton species</x:v>
      </x:c>
      <x:c r="N25" s="107" t="str">
        <x:v>Add a regional Texas species treatment and verify bract-gland details.</x:v>
      </x:c>
      <x:c r="O25" s="107" t="str">
        <x:v>https://floranorthamerica.org/Stillingia</x:v>
      </x:c>
    </x:row>
    <x:row r="26" ht="108" customHeight="1">
      <x:c r="A26" s="114" t="str">
        <x:v>EUPH-C06</x:v>
      </x:c>
      <x:c r="B26" s="107" t="str">
        <x:v>Tragia noseburns</x:v>
      </x:c>
      <x:c r="C26" s="114" t="str">
        <x:v>HAYS-0816</x:v>
      </x:c>
      <x:c r="D26" s="107" t="str">
        <x:v>Tragia betonicifolia</x:v>
      </x:c>
      <x:c r="E26" s="107" t="str">
        <x:v>Tragia betonicifolia</x:v>
      </x:c>
      <x:c r="F26" s="107" t="str">
        <x:v>Betonyleaf Noseburn</x:v>
      </x:c>
      <x:c r="G26" s="107" t="str">
        <x:v>The crowded-raceme noseburn: usually 15–80 male flowers packed toward the top.</x:v>
      </x:c>
      <x:c r="H26" s="107" t="str">
        <x:v>Tragia brevispica; Tragia nigricans; Tragia ramosa</x:v>
      </x:c>
      <x:c r="I26" s="107" t="str">
        <x:v>Confirm a non-coiling stem tip, papillate stigmas, long narrow female sepals, and a short male-pedicel base below its bract.</x:v>
      </x:c>
      <x:c r="J26" s="107" t="str">
        <x:v>Whole habit from a safe distance; stem tip; leaf base and petiole with scale; full raceme showing male-flower count; female flower/stigma; capsule.</x:v>
      </x:c>
      <x:c r="K26" s="107" t="str">
        <x:v>Do not touch. Use 10× for flower count and fruit; use 20× or a phone macro for stigma texture and filament fusion.</x:v>
      </x:c>
      <x:c r="L26" s="107" t="str">
        <x:v>Dry sandy soil, disturbed fields, prairies, and open woods; flowers late spring–summer and fruits summer–fall.</x:v>
      </x:c>
      <x:c r="M26" s="107" t="str">
        <x:v>High with flowering raceme</x:v>
      </x:c>
      <x:c r="N26" s="107" t="str">
        <x:v>Human-review with Hays County photographs and voucher-backed local specimens; document local variation.</x:v>
      </x:c>
      <x:c r="O26" s="107" t="str">
        <x:v>http://www.efloras.org/florataxon.aspx?flora_id=1&amp;taxon_id=242417367
https://fwbg.org/wp-content/uploads/2025/04/FNCT_0210-0617-Acanth-Euph.pdf</x:v>
      </x:c>
    </x:row>
    <x:row r="27" ht="108" customHeight="1">
      <x:c r="A27" s="114" t="str">
        <x:v>EUPH-C06</x:v>
      </x:c>
      <x:c r="B27" s="107" t="str">
        <x:v>Tragia noseburns</x:v>
      </x:c>
      <x:c r="C27" s="114" t="str">
        <x:v>HAYS-0817</x:v>
      </x:c>
      <x:c r="D27" s="107" t="str">
        <x:v>Tragia brevispica</x:v>
      </x:c>
      <x:c r="E27" s="107" t="str">
        <x:v>Tragia brevispica</x:v>
      </x:c>
      <x:c r="F27" s="107" t="str">
        <x:v>Shortspike Noseburn</x:v>
      </x:c>
      <x:c r="G27" s="107" t="str">
        <x:v>The coiling noseburn: a flexible perennial stem winding around nearby plants, usually with broad heart-based leaves.</x:v>
      </x:c>
      <x:c r="H27" s="107" t="str">
        <x:v>Tragia betonicifolia; Tragia nigricans; Tragia ramosa</x:v>
      </x:c>
      <x:c r="I27" s="107" t="str">
        <x:v>Confirm only 2–8 male flowers and, best of all, a fruit in which only one carpel has matured.</x:v>
      </x:c>
      <x:c r="J27" s="107" t="str">
        <x:v>Whole plant showing what the stem coils around; stem tip; broad leaf and base with scale; entire raceme; stigma macro; capsule showing mature carpels.</x:v>
      </x:c>
      <x:c r="K27" s="107" t="str">
        <x:v>Do not touch. Use 10× for flower count and fruit; use 20× or a phone macro for stigma texture and filament fusion.</x:v>
      </x:c>
      <x:c r="L27" s="107" t="str">
        <x:v>Open forests, scrublands, roadsides, and open fields, often loam or clay; flowers spring–fall and fruits late summer–fall.</x:v>
      </x:c>
      <x:c r="M27" s="107" t="str">
        <x:v>High with fruit; moderate from foliage</x:v>
      </x:c>
      <x:c r="N27" s="107" t="str">
        <x:v>Human-review with Hays County photographs and voucher-backed local specimens; document local variation.</x:v>
      </x:c>
      <x:c r="O27" s="107" t="str">
        <x:v>http://www.efloras.org/florataxon.aspx?flora_id=1&amp;taxon_id=250101934
https://w3.biosci.utexas.edu/prc/K12/pages/Tragia%20brevispica.html
https://fwbg.org/wp-content/uploads/2025/04/FNCT_0210-0617-Acanth-Euph.pdf</x:v>
      </x:c>
    </x:row>
    <x:row r="28" ht="108" customHeight="1">
      <x:c r="A28" s="114" t="str">
        <x:v>EUPH-C06</x:v>
      </x:c>
      <x:c r="B28" s="107" t="str">
        <x:v>Tragia noseburns</x:v>
      </x:c>
      <x:c r="C28" s="114" t="str">
        <x:v>HAYS-0818</x:v>
      </x:c>
      <x:c r="D28" s="107" t="str">
        <x:v>Tragia nigricans</x:v>
      </x:c>
      <x:c r="E28" s="107" t="str">
        <x:v>Tragia nigricans</x:v>
      </x:c>
      <x:c r="F28" s="107" t="str">
        <x:v>Dark Noseburn</x:v>
      </x:c>
      <x:c r="G28" s="107" t="str">
        <x:v>The dark-stem, short-petiole noseburn: erect with large oblong or oblanceolate, coarsely toothed leaves.</x:v>
      </x:c>
      <x:c r="H28" s="107" t="str">
        <x:v>Tragia betonicifolia; Tragia brevispica; Tragia ramosa</x:v>
      </x:c>
      <x:c r="I28" s="107" t="str">
        <x:v>Confirm only 2–5 male flowers and 4–5 stamens whose filaments are fused together for half their length.</x:v>
      </x:c>
      <x:c r="J28" s="107" t="str">
        <x:v>Whole erect habit; stem color in neutral light; leaf, petiole, base, and coarse teeth with scale; entire raceme; male flower showing fused filaments; capsule.</x:v>
      </x:c>
      <x:c r="K28" s="107" t="str">
        <x:v>Do not touch. Use 10× for flower count and fruit; use 20× or a phone macro for stigma texture and filament fusion.</x:v>
      </x:c>
      <x:c r="L28" s="107" t="str">
        <x:v>Open oak woodlands of the eastern Edwards Plateau; flowers spring–summer and fruits midsummer–fall.</x:v>
      </x:c>
      <x:c r="M28" s="107" t="str">
        <x:v>High with flowering macro</x:v>
      </x:c>
      <x:c r="N28" s="107" t="str">
        <x:v>Human-review with Hays County photographs and voucher-backed local specimens; document local variation.</x:v>
      </x:c>
      <x:c r="O28" s="107" t="str">
        <x:v>http://www.efloras.org/florataxon.aspx?flora_id=1&amp;taxon_id=250102000
http://www.efloras.org/florataxon.aspx?flora_id=1&amp;taxon_id=133273</x:v>
      </x:c>
    </x:row>
    <x:row r="29" ht="108" customHeight="1">
      <x:c r="A29" s="114" t="str">
        <x:v>EUPH-C06</x:v>
      </x:c>
      <x:c r="B29" s="107" t="str">
        <x:v>Tragia noseburns</x:v>
      </x:c>
      <x:c r="C29" s="114" t="str">
        <x:v>HAYS-0819</x:v>
      </x:c>
      <x:c r="D29" s="107" t="str">
        <x:v>Tragia ramosa</x:v>
      </x:c>
      <x:c r="E29" s="107" t="str">
        <x:v>Tragia ramosa</x:v>
      </x:c>
      <x:c r="F29" s="107" t="str">
        <x:v>Branched Noseburn</x:v>
      </x:c>
      <x:c r="G29" s="107" t="str">
        <x:v>The narrow-leaved branched noseburn: usually many upright or trailing branches with narrow upper leaves.</x:v>
      </x:c>
      <x:c r="H29" s="107" t="str">
        <x:v>Tragia betonicifolia; Tragia brevispica; Tragia nigricans</x:v>
      </x:c>
      <x:c r="I29" s="107" t="str">
        <x:v>Confirm smooth-to-undulate stigmas, long-exserted styles, 3–6 stamens, and a three-carpelled capsule.</x:v>
      </x:c>
      <x:c r="J29" s="107" t="str">
        <x:v>Whole branching habit; upper and lower leaf with scale; stem tip; entire raceme; style and stigma macro; three-lobed capsule.</x:v>
      </x:c>
      <x:c r="K29" s="107" t="str">
        <x:v>Do not touch. Use 10× for flower count and fruit; use 20× or a phone macro for stigma texture and filament fusion.</x:v>
      </x:c>
      <x:c r="L29" s="107" t="str">
        <x:v>Oak or pine-juniper woodland, scrub, rocky slopes, and disturbed ground; flowers and fruits spring–fall.</x:v>
      </x:c>
      <x:c r="M29" s="107" t="str">
        <x:v>Moderate-high; high with flowers and fruit</x:v>
      </x:c>
      <x:c r="N29" s="107" t="str">
        <x:v>Human-review with Hays County photographs and voucher-backed local specimens; document local variation.</x:v>
      </x:c>
      <x:c r="O29" s="107" t="str">
        <x:v>http://www.efloras.org/florataxon.aspx?flora_id=1&amp;taxon_id=242417369
https://w3.biosci.utexas.edu/prc/K12/pages/Tragia%20ramosa.html
https://fwbg.org/wp-content/uploads/2025/04/FNCT_0210-0617-Acanth-Euph.pdf</x:v>
      </x:c>
    </x:row>
  </x:sheetData>
  <x:conditionalFormatting sqref="M2:M29">
    <x:cfRule type="containsText" dxfId="7" priority="1" operator="containsText" text="pending"/>
    <x:cfRule type="containsText" dxfId="8" priority="2" operator="containsText" text="Provisional"/>
  </x:conditionalFormatting>
  <x:pageMargins left="0.7" right="0.7" top="0.75" bottom="0.75" header="0.3" footer="0.3"/>
  <x:tableParts count="1">
    <x:tablePart xmlns:r="http://schemas.openxmlformats.org/officeDocument/2006/relationships" r:id="R6b4bace25887468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3" hidden="0" customWidth="1"/>
    <x:col min="2" max="2" width="19" hidden="0" customWidth="1"/>
    <x:col min="3" max="3" width="34" hidden="0" customWidth="1"/>
    <x:col min="4" max="4" width="27" hidden="0" customWidth="1"/>
    <x:col min="5" max="5" width="18" hidden="0" customWidth="1"/>
    <x:col min="6" max="6" width="20" hidden="0" customWidth="1"/>
    <x:col min="7" max="7" width="31" hidden="0" customWidth="1"/>
    <x:col min="8" max="8" width="30" hidden="0" customWidth="1"/>
  </x:cols>
  <x:sheetData>
    <x:row r="1" ht="32" customHeight="1">
      <x:c r="A1" s="122" t="str">
        <x:v>EUPH-C04 — Hays County Sandmat Comparison Adventure</x:v>
      </x:c>
      <x:c r="B1" s="122"/>
      <x:c r="C1" s="122"/>
      <x:c r="D1" s="122"/>
      <x:c r="E1" s="122"/>
      <x:c r="F1" s="122"/>
      <x:c r="G1" s="122"/>
      <x:c r="H1" s="122"/>
    </x:row>
    <x:row r="2" ht="34" customHeight="1">
      <x:c r="A2" s="125" t="str">
        <x:v>Six accepted Euphorbia species formerly listed as Chamaesyce • start with posture, node roots, hairs, and leaf edge • confirm with stipules, fruit, and seed</x:v>
      </x:c>
      <x:c r="B2" s="125"/>
      <x:c r="C2" s="125"/>
      <x:c r="D2" s="125"/>
      <x:c r="E2" s="125"/>
      <x:c r="F2" s="125"/>
      <x:c r="G2" s="125"/>
      <x:c r="H2" s="125"/>
    </x:row>
    <x:row r="4">
      <x:c r="A4" s="127" t="str">
        <x:v>Fastest likely path — use this to choose a candidate, then confirm it</x:v>
      </x:c>
      <x:c r="B4" s="127"/>
      <x:c r="C4" s="127"/>
      <x:c r="D4" s="127"/>
      <x:c r="E4" s="127"/>
      <x:c r="F4" s="127"/>
      <x:c r="G4" s="127"/>
      <x:c r="H4" s="127"/>
    </x:row>
    <x:row r="6" ht="62" customHeight="1">
      <x:c r="A6" s="107" t="str">
        <x:v>What you notice first</x:v>
      </x:c>
      <x:c r="B6" s="107" t="str">
        <x:v>Likely candidate</x:v>
      </x:c>
      <x:c r="C6" s="107" t="str">
        <x:v>Required confirmation</x:v>
      </x:c>
      <x:c r="D6" s="107" t="str">
        <x:v>Best tie-breaker</x:v>
      </x:c>
      <x:c r="E6" s="107" t="str">
        <x:v>Confidence</x:v>
      </x:c>
      <x:c r="F6" s="107" t="str">
        <x:v>Magnification</x:v>
      </x:c>
      <x:c r="G6" s="107" t="str">
        <x:v>Trap</x:v>
      </x:c>
      <x:c r="H6" s="107" t="str">
        <x:v>Best photo</x:v>
      </x:c>
    </x:row>
    <x:row r="7" ht="62" customHeight="1">
      <x:c r="A7" s="107" t="str">
        <x:v>Actually roots at several stem nodes</x:v>
      </x:c>
      <x:c r="B7" s="107" t="str">
        <x:v>E. serpens</x:v>
      </x:c>
      <x:c r="C7" s="107" t="str">
        <x:v>Hairless; entire leaves; fused triangular stipules; glabrous capsule; smooth seed</x:v>
      </x:c>
      <x:c r="D7" s="107" t="str">
        <x:v>Rooting node + stipule + capsule</x:v>
      </x:c>
      <x:c r="E7" s="107" t="str">
        <x:v>Very high</x:v>
      </x:c>
      <x:c r="F7" s="107" t="str">
        <x:v>10× for stipule/seed</x:v>
      </x:c>
      <x:c r="G7" s="107" t="str">
        <x:v>Do not call a branch touching soil a root.</x:v>
      </x:c>
      <x:c r="H7" s="107" t="str">
        <x:v>Mat from above and a rooted node</x:v>
      </x:c>
    </x:row>
    <x:row r="8" ht="62" customHeight="1">
      <x:c r="A8" s="107" t="str">
        <x:v>Flat hairy mat; does not root at nodes</x:v>
      </x:c>
      <x:c r="B8" s="107" t="str">
        <x:v>E. prostrata</x:v>
      </x:c>
      <x:c r="C8" s="107" t="str">
        <x:v>Toothed leaves; capsule hairs on angles; strongly ridged seed</x:v>
      </x:c>
      <x:c r="D8" s="107" t="str">
        <x:v>Capsule angles + seed</x:v>
      </x:c>
      <x:c r="E8" s="107" t="str">
        <x:v>Very high with fruit</x:v>
      </x:c>
      <x:c r="F8" s="107" t="str">
        <x:v>10× strongly recommended</x:v>
      </x:c>
      <x:c r="G8" s="107" t="str">
        <x:v>Red versus green color is meaningless.</x:v>
      </x:c>
      <x:c r="H8" s="107" t="str">
        <x:v>Leaf edge, capsule, seed</x:v>
      </x:c>
    </x:row>
    <x:row r="9" ht="62" customHeight="1">
      <x:c r="A9" s="107" t="str">
        <x:v>Low hairless perennial from a woody crown</x:v>
      </x:c>
      <x:c r="B9" s="107" t="str">
        <x:v>E. fendleri</x:v>
      </x:c>
      <x:c r="C9" s="107" t="str">
        <x:v>Entire rounded leaves; separate narrow stipules; large pale seeds</x:v>
      </x:c>
      <x:c r="D9" s="107" t="str">
        <x:v>Crown context + stipule + seed</x:v>
      </x:c>
      <x:c r="E9" s="107" t="str">
        <x:v>High</x:v>
      </x:c>
      <x:c r="F9" s="107" t="str">
        <x:v>10× for stipule</x:v>
      </x:c>
      <x:c r="G9" s="107" t="str">
        <x:v>Gland appendages are variable.</x:v>
      </x:c>
      <x:c r="H9" s="107" t="str">
        <x:v>Base/crown without uprooting</x:v>
      </x:c>
    </x:row>
    <x:row r="10" ht="62" customHeight="1">
      <x:c r="A10" s="107" t="str">
        <x:v>Tall ascending annual, often 20–80 cm</x:v>
      </x:c>
      <x:c r="B10" s="107" t="str">
        <x:v>E. nutans</x:v>
      </x:c>
      <x:c r="C10" s="107" t="str">
        <x:v>Larger oblong serrulate leaves; hairs near nodes; glabrous capsule</x:v>
      </x:c>
      <x:c r="D10" s="107" t="str">
        <x:v>Whole height + leaf base + capsule</x:v>
      </x:c>
      <x:c r="E10" s="107" t="str">
        <x:v>High</x:v>
      </x:c>
      <x:c r="F10" s="107" t="str">
        <x:v>Lens helpful</x:v>
      </x:c>
      <x:c r="G10" s="107" t="str">
        <x:v>A red blotch is optional.</x:v>
      </x:c>
      <x:c r="H10" s="107" t="str">
        <x:v>Whole plant and one stem node</x:v>
      </x:c>
    </x:row>
    <x:row r="11" ht="62" customHeight="1">
      <x:c r="A11" s="107" t="str">
        <x:v>Upright with upper leaves extremely narrow</x:v>
      </x:c>
      <x:c r="B11" s="107" t="str">
        <x:v>E. angusta</x:v>
      </x:c>
      <x:c r="C11" s="107" t="str">
        <x:v>Short pressed hairs; capsule hairy; upper leaves &gt;6× longer than wide</x:v>
      </x:c>
      <x:c r="D11" s="107" t="str">
        <x:v>Upper leaf ratio + capsule hair</x:v>
      </x:c>
      <x:c r="E11" s="107" t="str">
        <x:v>High</x:v>
      </x:c>
      <x:c r="F11" s="107" t="str">
        <x:v>Lens for fruit hairs</x:v>
      </x:c>
      <x:c r="G11" s="107" t="str">
        <x:v>Lower leaves may be broader.</x:v>
      </x:c>
      <x:c r="H11" s="107" t="str">
        <x:v>Upper stem beside ruler</x:v>
      </x:c>
    </x:row>
    <x:row r="12" ht="62" customHeight="1">
      <x:c r="A12" s="107" t="str">
        <x:v>Usually upright with long soft hairs and ovate leaves</x:v>
      </x:c>
      <x:c r="B12" s="107" t="str">
        <x:v>E. villifera</x:v>
      </x:c>
      <x:c r="C12" s="107" t="str">
        <x:v>Villous stems/leaves but glabrous capsule</x:v>
      </x:c>
      <x:c r="D12" s="107" t="str">
        <x:v>Hair type + fruit hair state</x:v>
      </x:c>
      <x:c r="E12" s="107" t="str">
        <x:v>High with fruit</x:v>
      </x:c>
      <x:c r="F12" s="107" t="str">
        <x:v>Lens helpful</x:v>
      </x:c>
      <x:c r="G12" s="107" t="str">
        <x:v>Rare plants can be less hairy.</x:v>
      </x:c>
      <x:c r="H12" s="107" t="str">
        <x:v>Stem hair and capsule together</x:v>
      </x:c>
    </x:row>
    <x:row r="14">
      <x:c r="A14" s="127" t="str">
        <x:v>Tiny botany dictionary — the everyday description comes first</x:v>
      </x:c>
      <x:c r="B14" s="127"/>
      <x:c r="C14" s="127"/>
      <x:c r="D14" s="127"/>
      <x:c r="E14" s="127"/>
      <x:c r="F14" s="127"/>
      <x:c r="G14" s="127"/>
      <x:c r="H14" s="127"/>
    </x:row>
    <x:row r="16" ht="48" customHeight="1">
      <x:c r="A16" s="129" t="str">
        <x:v>No hairs</x:v>
      </x:c>
      <x:c r="B16" s="130" t="str">
        <x:v>Glabrous</x:v>
      </x:c>
      <x:c r="C16" s="128" t="str">
        <x:v>A smooth-looking surface under a hand lens.</x:v>
      </x:c>
      <x:c r="D16" s="129" t="str">
        <x:v>Short pressed hairs</x:v>
      </x:c>
      <x:c r="E16" s="130" t="str">
        <x:v>Strigose</x:v>
      </x:c>
      <x:c r="F16" s="128" t="str">
        <x:v>Straight, stiff hairs lying close to the surface.</x:v>
      </x:c>
      <x:c r="G16" s="129" t="str">
        <x:v>Long soft hairs</x:v>
      </x:c>
      <x:c r="H16" s="130" t="str">
        <x:v>Villous</x:v>
      </x:c>
    </x:row>
    <x:row r="17" ht="48" customHeight="1">
      <x:c r="A17" s="129" t="str">
        <x:v>Generally hairy</x:v>
      </x:c>
      <x:c r="B17" s="130" t="str">
        <x:v>Pubescent</x:v>
      </x:c>
      <x:c r="C17" s="128" t="str">
        <x:v>A broad word meaning hairs are present.</x:v>
      </x:c>
      <x:c r="D17" s="129" t="str">
        <x:v>Fine teeth</x:v>
      </x:c>
      <x:c r="E17" s="130" t="str">
        <x:v>Serrulate</x:v>
      </x:c>
      <x:c r="F17" s="128" t="str">
        <x:v>A leaf edge with very small sawlike teeth.</x:v>
      </x:c>
      <x:c r="G17" s="129" t="str">
        <x:v>No leaf teeth</x:v>
      </x:c>
      <x:c r="H17" s="130" t="str">
        <x:v>Entire</x:v>
      </x:c>
    </x:row>
    <x:row r="18" ht="48" customHeight="1">
      <x:c r="A18" s="129" t="str">
        <x:v>Leaf-base flaps/scales</x:v>
      </x:c>
      <x:c r="B18" s="130" t="str">
        <x:v>Stipules</x:v>
      </x:c>
      <x:c r="C18" s="128" t="str">
        <x:v>Small structures at the point where a leaf pair meets the stem.</x:v>
      </x:c>
      <x:c r="D18" s="129" t="str">
        <x:v>Tiny flower-cup</x:v>
      </x:c>
      <x:c r="E18" s="130" t="str">
        <x:v>Cyathium</x:v>
      </x:c>
      <x:c r="F18" s="128" t="str">
        <x:v>A cup holding one female flower and several reduced male flowers.</x:v>
      </x:c>
      <x:c r="G18" s="129" t="str">
        <x:v>Three-part seed pod</x:v>
      </x:c>
      <x:c r="H18" s="130" t="str">
        <x:v>Capsule</x:v>
      </x:c>
    </x:row>
    <x:row r="19" ht="48" customHeight="1">
      <x:c r="A19" s="129" t="str">
        <x:v>Roots made by a stem</x:v>
      </x:c>
      <x:c r="B19" s="130" t="str">
        <x:v>Adventitious roots</x:v>
      </x:c>
      <x:c r="C19" s="128" t="str">
        <x:v>Roots appearing at a node instead of from the main root.</x:v>
      </x:c>
      <x:c r="D19" s="129" t="str">
        <x:v>Hairs on the plant</x:v>
      </x:c>
      <x:c r="E19" s="130" t="str">
        <x:v>Indumentum</x:v>
      </x:c>
      <x:c r="F19" s="128" t="str">
        <x:v>The complete hair covering and its pattern.</x:v>
      </x:c>
      <x:c r="G19" s="129" t="str">
        <x:v>Bluish waxy look</x:v>
      </x:c>
      <x:c r="H19" s="130" t="str">
        <x:v>Glaucous</x:v>
      </x:c>
    </x:row>
    <x:row r="21">
      <x:c r="A21" s="132" t="str">
        <x:v>Standard photo set — useful now and ready for a future Central Texas image model</x:v>
      </x:c>
      <x:c r="B21" s="132"/>
      <x:c r="C21" s="132"/>
      <x:c r="D21" s="132"/>
      <x:c r="E21" s="132"/>
      <x:c r="F21" s="132"/>
      <x:c r="G21" s="132"/>
      <x:c r="H21" s="132"/>
    </x:row>
    <x:row r="23" ht="52" customHeight="1">
      <x:c r="A23" s="107" t="str">
        <x:v>Shot</x:v>
      </x:c>
      <x:c r="B23" s="107" t="str">
        <x:v>What to capture</x:v>
      </x:c>
      <x:c r="C23" s="107" t="str">
        <x:v>Why it matters</x:v>
      </x:c>
      <x:c r="D23" s="107" t="str">
        <x:v>Scale</x:v>
      </x:c>
      <x:c r="E23" s="107" t="str">
        <x:v>Angle</x:v>
      </x:c>
      <x:c r="F23" s="107" t="str">
        <x:v>Minimum focus</x:v>
      </x:c>
      <x:c r="G23" s="107" t="str">
        <x:v>Safety / ethics</x:v>
      </x:c>
      <x:c r="H23" s="107" t="str">
        <x:v>File label example</x:v>
      </x:c>
    </x:row>
    <x:row r="24" ht="52" customHeight="1">
      <x:c r="A24" s="107" t="n">
        <x:v>1</x:v>
      </x:c>
      <x:c r="B24" s="107" t="str">
        <x:v>Whole plant in place</x:v>
      </x:c>
      <x:c r="C24" s="107" t="str">
        <x:v>Posture, height, branching, mat shape</x:v>
      </x:c>
      <x:c r="D24" s="107" t="str">
        <x:v>Ruler or known object</x:v>
      </x:c>
      <x:c r="E24" s="107" t="str">
        <x:v>Straight above + side</x:v>
      </x:c>
      <x:c r="F24" s="107" t="str">
        <x:v>Entire plant</x:v>
      </x:c>
      <x:c r="G24" s="107" t="str">
        <x:v>Do not trample neighboring plants</x:v>
      </x:c>
      <x:c r="H24" s="107" t="str">
        <x:v>species_date_site_whole</x:v>
      </x:c>
    </x:row>
    <x:row r="25" ht="52" customHeight="1">
      <x:c r="A25" s="107" t="n">
        <x:v>2</x:v>
      </x:c>
      <x:c r="B25" s="107" t="str">
        <x:v>One intact stem node</x:v>
      </x:c>
      <x:c r="C25" s="107" t="str">
        <x:v>Roots, stipules, leaf pair, node hairs</x:v>
      </x:c>
      <x:c r="D25" s="107" t="str">
        <x:v>Millimeter ruler</x:v>
      </x:c>
      <x:c r="E25" s="107" t="str">
        <x:v>Side and above</x:v>
      </x:c>
      <x:c r="F25" s="107" t="str">
        <x:v>Node and both leaf bases</x:v>
      </x:c>
      <x:c r="G25" s="107" t="str">
        <x:v>Do not pull the stem free</x:v>
      </x:c>
      <x:c r="H25" s="107" t="str">
        <x:v>species_date_node</x:v>
      </x:c>
    </x:row>
    <x:row r="26" ht="52" customHeight="1">
      <x:c r="A26" s="107" t="n">
        <x:v>3</x:v>
      </x:c>
      <x:c r="B26" s="107" t="str">
        <x:v>Both leaf surfaces and edge</x:v>
      </x:c>
      <x:c r="C26" s="107" t="str">
        <x:v>Hair, teeth, base asymmetry, size</x:v>
      </x:c>
      <x:c r="D26" s="107" t="str">
        <x:v>Millimeter ruler</x:v>
      </x:c>
      <x:c r="E26" s="107" t="str">
        <x:v>Flat to camera</x:v>
      </x:c>
      <x:c r="F26" s="107" t="str">
        <x:v>Edge and base</x:v>
      </x:c>
      <x:c r="G26" s="107" t="str">
        <x:v>Use an attached leaf when possible</x:v>
      </x:c>
      <x:c r="H26" s="107" t="str">
        <x:v>species_date_leaf</x:v>
      </x:c>
    </x:row>
    <x:row r="27" ht="52" customHeight="1">
      <x:c r="A27" s="107" t="n">
        <x:v>4</x:v>
      </x:c>
      <x:c r="B27" s="107" t="str">
        <x:v>Cyathium above and side</x:v>
      </x:c>
      <x:c r="C27" s="107" t="str">
        <x:v>Glands, appendages, ovary, arrangement</x:v>
      </x:c>
      <x:c r="D27" s="107" t="str">
        <x:v>Macro scale</x:v>
      </x:c>
      <x:c r="E27" s="107" t="str">
        <x:v>Two views</x:v>
      </x:c>
      <x:c r="F27" s="107" t="str">
        <x:v>Cup rim and central ovary</x:v>
      </x:c>
      <x:c r="G27" s="107" t="str">
        <x:v>Avoid sap contact</x:v>
      </x:c>
      <x:c r="H27" s="107" t="str">
        <x:v>species_date_cyathium</x:v>
      </x:c>
    </x:row>
    <x:row r="28" ht="52" customHeight="1">
      <x:c r="A28" s="107" t="n">
        <x:v>5</x:v>
      </x:c>
      <x:c r="B28" s="107" t="str">
        <x:v>Developing and mature capsule</x:v>
      </x:c>
      <x:c r="C28" s="107" t="str">
        <x:v>Hair placement and fruit dimensions</x:v>
      </x:c>
      <x:c r="D28" s="107" t="str">
        <x:v>Millimeter ruler</x:v>
      </x:c>
      <x:c r="E28" s="107" t="str">
        <x:v>Three-quarter view</x:v>
      </x:c>
      <x:c r="F28" s="107" t="str">
        <x:v>All three angles</x:v>
      </x:c>
      <x:c r="G28" s="107" t="str">
        <x:v>Use naturally available fruit</x:v>
      </x:c>
      <x:c r="H28" s="107" t="str">
        <x:v>species_date_capsule</x:v>
      </x:c>
    </x:row>
    <x:row r="29" ht="52" customHeight="1">
      <x:c r="A29" s="107" t="n">
        <x:v>6</x:v>
      </x:c>
      <x:c r="B29" s="107" t="str">
        <x:v>Mature seed, if naturally shed</x:v>
      </x:c>
      <x:c r="C29" s="107" t="str">
        <x:v>Ridges, texture, size, color</x:v>
      </x:c>
      <x:c r="D29" s="107" t="str">
        <x:v>Millimeter grid</x:v>
      </x:c>
      <x:c r="E29" s="107" t="str">
        <x:v>Top + side</x:v>
      </x:c>
      <x:c r="F29" s="107" t="str">
        <x:v>Seed coat</x:v>
      </x:c>
      <x:c r="G29" s="107" t="str">
        <x:v>Do not collect without permission</x:v>
      </x:c>
      <x:c r="H29" s="107" t="str">
        <x:v>species_date_seed</x:v>
      </x:c>
    </x:row>
    <x:row r="31" ht="32" customHeight="1">
      <x:c r="A31" s="135" t="str">
        <x:v>Field rule: use at least three independent structures for E. prostrata versus E. serpens—node roots, hairs/leaf edge, and capsule or seed.</x:v>
      </x:c>
      <x:c r="B31" s="135"/>
      <x:c r="C31" s="135"/>
      <x:c r="D31" s="135"/>
      <x:c r="E31" s="135"/>
      <x:c r="F31" s="135"/>
      <x:c r="G31" s="135"/>
      <x:c r="H31" s="135"/>
    </x:row>
  </x:sheetData>
  <x:mergeCells>
    <x:mergeCell ref="A1:H1"/>
    <x:mergeCell ref="A2:H2"/>
    <x:mergeCell ref="A4:H4"/>
    <x:mergeCell ref="A14:H14"/>
    <x:mergeCell ref="A21:H21"/>
    <x:mergeCell ref="A31:H31"/>
  </x:mergeCells>
  <x:pageMargins left="0.7" right="0.7" top="0.75" bottom="0.75" header="0.3" footer="0.3"/>
  <x:tableParts count="2">
    <x:tablePart xmlns:r="http://schemas.openxmlformats.org/officeDocument/2006/relationships" r:id="R8ae4374238884acc"/>
    <x:tablePart xmlns:r="http://schemas.openxmlformats.org/officeDocument/2006/relationships" r:id="R79d75ca72220408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3" hidden="0" customWidth="1"/>
    <x:col min="2" max="2" width="25" hidden="0" customWidth="1"/>
    <x:col min="3" max="3" width="25" hidden="0" customWidth="1"/>
    <x:col min="4" max="4" width="34" hidden="0" customWidth="1"/>
    <x:col min="5" max="5" width="14" hidden="0" customWidth="1"/>
    <x:col min="6" max="6" width="28" hidden="0" customWidth="1"/>
    <x:col min="7" max="7" width="30" hidden="0" customWidth="1"/>
    <x:col min="8" max="8" width="25" hidden="0" customWidth="1"/>
    <x:col min="9" max="9" width="38" hidden="0" customWidth="1"/>
    <x:col min="10" max="10" width="31" hidden="0" customWidth="1"/>
    <x:col min="11" max="11" width="27" hidden="0" customWidth="1"/>
    <x:col min="12" max="12" width="30" hidden="0" customWidth="1"/>
    <x:col min="13" max="13" width="24" hidden="0" customWidth="1"/>
    <x:col min="14" max="14" width="31" hidden="0" customWidth="1"/>
    <x:col min="15" max="15" width="37" hidden="0" customWidth="1"/>
    <x:col min="16" max="16" width="28" hidden="0" customWidth="1"/>
    <x:col min="17" max="17" width="42" hidden="0" customWidth="1"/>
    <x:col min="18" max="18" width="31" hidden="0" customWidth="1"/>
    <x:col min="19" max="19" width="21" hidden="0" customWidth="1"/>
    <x:col min="20" max="20" width="20" hidden="0" customWidth="1"/>
    <x:col min="21" max="21" width="34" hidden="0" customWidth="1"/>
    <x:col min="22" max="22" width="39" hidden="0" customWidth="1"/>
    <x:col min="23" max="23" width="45" hidden="0" customWidth="1"/>
    <x:col min="24" max="24" width="41" hidden="0" customWidth="1"/>
    <x:col min="25" max="25" width="37" hidden="0" customWidth="1"/>
    <x:col min="26" max="26" width="26" hidden="0" customWidth="1"/>
    <x:col min="27" max="27" width="40" hidden="0" customWidth="1"/>
    <x:col min="28" max="28" width="47" hidden="0" customWidth="1"/>
    <x:col min="29" max="29" width="38" hidden="0" customWidth="1"/>
  </x:cols>
  <x:sheetData>
    <x:row r="1" ht="36" customHeight="1">
      <x:c r="A1" s="107" t="str">
        <x:v>Record ID</x:v>
      </x:c>
      <x:c r="B1" s="107" t="str">
        <x:v>Submitted Scientific Name</x:v>
      </x:c>
      <x:c r="C1" s="107" t="str">
        <x:v>Accepted Scientific Name</x:v>
      </x:c>
      <x:c r="D1" s="107" t="str">
        <x:v>Common Name(s)</x:v>
      </x:c>
      <x:c r="E1" s="107" t="str">
        <x:v>Life History</x:v>
      </x:c>
      <x:c r="F1" s="107" t="str">
        <x:v>Root / Crown</x:v>
      </x:c>
      <x:c r="G1" s="107" t="str">
        <x:v>Habit and Size</x:v>
      </x:c>
      <x:c r="H1" s="107" t="str">
        <x:v>Roots at Nodes</x:v>
      </x:c>
      <x:c r="I1" s="107" t="str">
        <x:v>Stem Hair — Plain + Botanical</x:v>
      </x:c>
      <x:c r="J1" s="107" t="str">
        <x:v>Leaf Shape</x:v>
      </x:c>
      <x:c r="K1" s="107" t="str">
        <x:v>Leaf Size</x:v>
      </x:c>
      <x:c r="L1" s="107" t="str">
        <x:v>Leaf Base</x:v>
      </x:c>
      <x:c r="M1" s="107" t="str">
        <x:v>Leaf Margin</x:v>
      </x:c>
      <x:c r="N1" s="107" t="str">
        <x:v>Leaf Hair</x:v>
      </x:c>
      <x:c r="O1" s="107" t="str">
        <x:v>Stipules</x:v>
      </x:c>
      <x:c r="P1" s="107" t="str">
        <x:v>Cyathium Position</x:v>
      </x:c>
      <x:c r="Q1" s="107" t="str">
        <x:v>Glands / Appendages</x:v>
      </x:c>
      <x:c r="R1" s="107" t="str">
        <x:v>Ovary / Capsule Hair</x:v>
      </x:c>
      <x:c r="S1" s="107" t="str">
        <x:v>Capsule Size</x:v>
      </x:c>
      <x:c r="T1" s="107" t="str">
        <x:v>Seed Size</x:v>
      </x:c>
      <x:c r="U1" s="107" t="str">
        <x:v>Seed Surface</x:v>
      </x:c>
      <x:c r="V1" s="107" t="str">
        <x:v>Strongest Field Signal</x:v>
      </x:c>
      <x:c r="W1" s="107" t="str">
        <x:v>Required Confirmation</x:v>
      </x:c>
      <x:c r="X1" s="107" t="str">
        <x:v>Weak / Variable Clues</x:v>
      </x:c>
      <x:c r="Y1" s="107" t="str">
        <x:v>Habitat / Season</x:v>
      </x:c>
      <x:c r="Z1" s="107" t="str">
        <x:v>Evidence Strength</x:v>
      </x:c>
      <x:c r="AA1" s="107" t="str">
        <x:v>Standard Photo Set</x:v>
      </x:c>
      <x:c r="AB1" s="107" t="str">
        <x:v>Source URLs</x:v>
      </x:c>
      <x:c r="AC1" s="107" t="str">
        <x:v>Source Note</x:v>
      </x:c>
    </x:row>
    <x:row r="2" ht="108" customHeight="1">
      <x:c r="A2" s="107" t="str">
        <x:v>HAYS-0176</x:v>
      </x:c>
      <x:c r="B2" s="107" t="str">
        <x:v>Chamaesyce angusta</x:v>
      </x:c>
      <x:c r="C2" s="107" t="str">
        <x:v>Euphorbia angusta</x:v>
      </x:c>
      <x:c r="D2" s="107" t="str">
        <x:v>Blackfoot Sandmat, Narrow-leaf Spurge</x:v>
      </x:c>
      <x:c r="E2" s="107" t="str">
        <x:v>Perennial</x:v>
      </x:c>
      <x:c r="F2" s="107" t="str">
        <x:v>Moderately to strongly thickened rootstock</x:v>
      </x:c>
      <x:c r="G2" s="107" t="str">
        <x:v>Erect; about 12–43 cm</x:v>
      </x:c>
      <x:c r="H2" s="107" t="str">
        <x:v>No / not characteristic</x:v>
      </x:c>
      <x:c r="I2" s="107" t="str">
        <x:v>Uniformly strigose — short, stiff hairs pressed along the stem</x:v>
      </x:c>
      <x:c r="J2" s="107" t="str">
        <x:v>Proximal leaves ovate; distal leaves linear to very narrowly elliptic</x:v>
      </x:c>
      <x:c r="K2" s="107" t="str">
        <x:v>7–41 × 2–5 mm; distal leaves &gt;6× longer than wide</x:v>
      </x:c>
      <x:c r="L2" s="107" t="str">
        <x:v>Asymmetric; cuneate to rounded</x:v>
      </x:c>
      <x:c r="M2" s="107" t="str">
        <x:v>Entire; often rolls inward when dried</x:v>
      </x:c>
      <x:c r="N2" s="107" t="str">
        <x:v>Usually short-strigose; upper surface occasionally nearly hairless</x:v>
      </x:c>
      <x:c r="O2" s="107" t="str">
        <x:v>Separate; linear-subulate or reduced to small reddish-brown nodes/papillae</x:v>
      </x:c>
      <x:c r="P2" s="107" t="str">
        <x:v>Solitary at distal nodes</x:v>
      </x:c>
      <x:c r="Q2" s="107" t="str">
        <x:v>4 green to yellow-green glands; white fan-shaped appendages, relatively showy, shallowly toothed</x:v>
      </x:c>
      <x:c r="R2" s="107" t="str">
        <x:v>Ovary and capsule strigose</x:v>
      </x:c>
      <x:c r="S2" s="107" t="str">
        <x:v>2–2.6 × 2.5–3 mm</x:v>
      </x:c>
      <x:c r="T2" s="107" t="str">
        <x:v>1.7–2.2 × 1.1–1.2 mm</x:v>
      </x:c>
      <x:c r="U2" s="107" t="str">
        <x:v>Low transverse ridges or wrinkles; white</x:v>
      </x:c>
      <x:c r="V2" s="107" t="str">
        <x:v>Upright plant with very narrow upper leaves—not actually mat-forming.</x:v>
      </x:c>
      <x:c r="W2" s="107" t="str">
        <x:v>Confirm the combination of distal leaves more than six times as long as wide plus short pressed hairs on the capsule.</x:v>
      </x:c>
      <x:c r="X2" s="107" t="str">
        <x:v>Showy white gland appendages support the ID, but should not replace leaf proportions and fruit hairs.</x:v>
      </x:c>
      <x:c r="Y2" s="107" t="str">
        <x:v>Rocky limestone; flowering and fruiting early spring–fall.</x:v>
      </x:c>
      <x:c r="Z2" s="107" t="str">
        <x:v>High first-pass with fruit</x:v>
      </x:c>
      <x:c r="AA2" s="107" t="str">
        <x:v>Whole upright habit; upper leaf beside a ruler; stem hairs; cyathium; capsule hairs.</x:v>
      </x:c>
      <x:c r="AB2" s="107" t="str">
        <x:v>https://floranorthamerica.org/Euphorbia_angusta
https://www.efloras.org/florataxon.aspx?flora_id=1&amp;taxon_id=250101551</x:v>
      </x:c>
      <x:c r="AC2" s="107" t="str">
        <x:v>Flora of North America species treatment and mirror.</x:v>
      </x:c>
    </x:row>
    <x:row r="3" ht="108" customHeight="1">
      <x:c r="A3" s="107" t="str">
        <x:v>HAYS-0177</x:v>
      </x:c>
      <x:c r="B3" s="107" t="str">
        <x:v>Chamaesyce fendleri</x:v>
      </x:c>
      <x:c r="C3" s="107" t="str">
        <x:v>Euphorbia fendleri</x:v>
      </x:c>
      <x:c r="D3" s="107" t="str">
        <x:v>Fendler's Sandmat, Fendler's Spurge, Fendler's Carpetweed, Fendler's Euphorb</x:v>
      </x:c>
      <x:c r="E3" s="107" t="str">
        <x:v>Perennial</x:v>
      </x:c>
      <x:c r="F3" s="107" t="str">
        <x:v>Woody, thickened taproot/crown</x:v>
      </x:c>
      <x:c r="G3" s="107" t="str">
        <x:v>Usually prostrate, decumbent, or ascending; rarely erect; about 5–12 cm</x:v>
      </x:c>
      <x:c r="H3" s="107" t="str">
        <x:v>No / not characteristic; stems arise from a woody crown</x:v>
      </x:c>
      <x:c r="I3" s="107" t="str">
        <x:v>Glabrous — no hairs</x:v>
      </x:c>
      <x:c r="J3" s="107" t="str">
        <x:v>Usually round to ovate; rarely nearly lanceolate</x:v>
      </x:c>
      <x:c r="K3" s="107" t="str">
        <x:v>3–8 × 2.5–7 mm</x:v>
      </x:c>
      <x:c r="L3" s="107" t="str">
        <x:v>Slightly asymmetric; slightly heart-shaped to rounded/obtuse</x:v>
      </x:c>
      <x:c r="M3" s="107" t="str">
        <x:v>Entire</x:v>
      </x:c>
      <x:c r="N3" s="107" t="str">
        <x:v>Glabrous</x:v>
      </x:c>
      <x:c r="O3" s="107" t="str">
        <x:v>Separate, narrowly linear, 0.5–1 mm</x:v>
      </x:c>
      <x:c r="P3" s="107" t="str">
        <x:v>Solitary at distal nodes</x:v>
      </x:c>
      <x:c r="Q3" s="107" t="str">
        <x:v>4 yellow-green to reddish glands; appendages absent or white/pink and highly variable</x:v>
      </x:c>
      <x:c r="R3" s="107" t="str">
        <x:v>Ovary and capsule glabrous</x:v>
      </x:c>
      <x:c r="S3" s="107" t="str">
        <x:v>2–2.4 × 2.2–2.5 mm</x:v>
      </x:c>
      <x:c r="T3" s="107" t="str">
        <x:v>1.7–2 × 1–1.2 mm</x:v>
      </x:c>
      <x:c r="U3" s="107" t="str">
        <x:v>Smooth to slightly wrinkled; white; strongly 4-angled</x:v>
      </x:c>
      <x:c r="V3" s="107" t="str">
        <x:v>Low, hairless perennial with a woody crown and tiny round-to-ovate entire leaves.</x:v>
      </x:c>
      <x:c r="W3" s="107" t="str">
        <x:v>Confirm a woody perennial base, separate bristlelike stipules, a glabrous capsule, and relatively large pale seeds.</x:v>
      </x:c>
      <x:c r="X3" s="107" t="str">
        <x:v>Gland appendages may be present or absent and are explicitly reported as taxonomically unreliable.</x:v>
      </x:c>
      <x:c r="Y3" s="107" t="str">
        <x:v>Dry limestone crevices, grasslands, slopes, gravel and sand; spring–fall.</x:v>
      </x:c>
      <x:c r="Z3" s="107" t="str">
        <x:v>High first-pass with crown and fruit</x:v>
      </x:c>
      <x:c r="AA3" s="107" t="str">
        <x:v>Crown without uprooting; whole low habit; one node/stipules; glabrous capsule; seed with scale.</x:v>
      </x:c>
      <x:c r="AB3" s="107" t="str">
        <x:v>https://floranorthamerica.org/Euphorbia_fendleri
https://www.efloras.org/florataxon.aspx?flora_id=1&amp;taxon_id=250101570</x:v>
      </x:c>
      <x:c r="AC3" s="107" t="str">
        <x:v>Flora of North America species treatment; appendage variability retained.</x:v>
      </x:c>
    </x:row>
    <x:row r="4" ht="108" customHeight="1">
      <x:c r="A4" s="107" t="str">
        <x:v>HAYS-0178</x:v>
      </x:c>
      <x:c r="B4" s="107" t="str">
        <x:v>Chamaesyce nutans</x:v>
      </x:c>
      <x:c r="C4" s="107" t="str">
        <x:v>Euphorbia nutans</x:v>
      </x:c>
      <x:c r="D4" s="107" t="str">
        <x:v>Nodding Spurge, Eyebane</x:v>
      </x:c>
      <x:c r="E4" s="107" t="str">
        <x:v>Annual</x:v>
      </x:c>
      <x:c r="F4" s="107" t="str">
        <x:v>Taproot</x:v>
      </x:c>
      <x:c r="G4" s="107" t="str">
        <x:v>Usually ascending; sometimes erect; often arches near tips; about 20–80 cm</x:v>
      </x:c>
      <x:c r="H4" s="107" t="str">
        <x:v>No / not characteristic</x:v>
      </x:c>
      <x:c r="I4" s="107" t="str">
        <x:v>Sparse to moderate long or incurved hairs, often concentrated at nodes and near tips; sometimes in two stem bands</x:v>
      </x:c>
      <x:c r="J4" s="107" t="str">
        <x:v>Oblong to oblong-lanceolate</x:v>
      </x:c>
      <x:c r="K4" s="107" t="str">
        <x:v>8–40 × 3–12 mm</x:v>
      </x:c>
      <x:c r="L4" s="107" t="str">
        <x:v>Strongly asymmetric; one side rounded/angled and the other truncate to ear-like/heart-shaped</x:v>
      </x:c>
      <x:c r="M4" s="107" t="str">
        <x:v>Finely serrulate</x:v>
      </x:c>
      <x:c r="N4" s="107" t="str">
        <x:v>Usually sparsely to moderately hairy, especially near the base; sometimes glabrous</x:v>
      </x:c>
      <x:c r="O4" s="107" t="str">
        <x:v>Small scales, 1–1.5 mm; irregularly toothed, fringed, or divided</x:v>
      </x:c>
      <x:c r="P4" s="107" t="str">
        <x:v>Solitary at distal nodes or in small clusters at branch tips</x:v>
      </x:c>
      <x:c r="Q4" s="107" t="str">
        <x:v>4 usually green, sometimes reddish-purple glands; white or pinkish entire appendages</x:v>
      </x:c>
      <x:c r="R4" s="107" t="str">
        <x:v>Ovary and capsule glabrous</x:v>
      </x:c>
      <x:c r="S4" s="107" t="str">
        <x:v>1.6–2.3 × 1.5–2.4 mm</x:v>
      </x:c>
      <x:c r="T4" s="107" t="str">
        <x:v>1–1.6 × 0.5–0.8 mm</x:v>
      </x:c>
      <x:c r="U4" s="107" t="str">
        <x:v>Dark brown; finely wrinkled or with faint, shallow cross-ridges</x:v>
      </x:c>
      <x:c r="V4" s="107" t="str">
        <x:v>The tall member of this group: ascending stems and larger oblong, finely toothed leaves.</x:v>
      </x:c>
      <x:c r="W4" s="107" t="str">
        <x:v>Confirm an annual taproot, hairs concentrated at nodes/distally, strongly asymmetric serrulate leaves, and a glabrous capsule.</x:v>
      </x:c>
      <x:c r="X4" s="107" t="str">
        <x:v>A red leaf blotch is common but variable; absence does not rule it out.</x:v>
      </x:c>
      <x:c r="Y4" s="107" t="str">
        <x:v>Banks, prairie openings, pastures, roadsides, gardens, and disturbed sites; spring–early fall.</x:v>
      </x:c>
      <x:c r="Z4" s="107" t="str">
        <x:v>High first-pass</x:v>
      </x:c>
      <x:c r="AA4" s="107" t="str">
        <x:v>Whole height; stem nodes; upper/lower leaf face and base; capsule; seed with scale.</x:v>
      </x:c>
      <x:c r="AB4" s="107" t="str">
        <x:v>https://floranorthamerica.org/Euphorbia_nutans
https://www.efloras.org/florataxon.aspx?flora_id=1&amp;taxon_id=242427660</x:v>
      </x:c>
      <x:c r="AC4" s="107" t="str">
        <x:v>Flora of North America species treatment and mirror.</x:v>
      </x:c>
    </x:row>
    <x:row r="5" ht="108" customHeight="1">
      <x:c r="A5" s="107" t="str">
        <x:v>HAYS-0179</x:v>
      </x:c>
      <x:c r="B5" s="107" t="str">
        <x:v>Chamaesyce prostrata</x:v>
      </x:c>
      <x:c r="C5" s="107" t="str">
        <x:v>Euphorbia prostrata</x:v>
      </x:c>
      <x:c r="D5" s="107" t="str">
        <x:v>Prostrate Spurge, Prostrate Sandmat, Ground Spurge</x:v>
      </x:c>
      <x:c r="E5" s="107" t="str">
        <x:v>Annual</x:v>
      </x:c>
      <x:c r="F5" s="107" t="str">
        <x:v>Taproot; many stems from the base</x:v>
      </x:c>
      <x:c r="G5" s="107" t="str">
        <x:v>Flat mat; prostrate and usually under 2 cm tall; stems about 10–30 cm long</x:v>
      </x:c>
      <x:c r="H5" s="107" t="str">
        <x:v>Does not root at nodes</x:v>
      </x:c>
      <x:c r="I5" s="107" t="str">
        <x:v>Pubescent — covered with short, often crinkled hairs; lower stem may be less hairy</x:v>
      </x:c>
      <x:c r="J5" s="107" t="str">
        <x:v>Broadly ovate/heart-shaped to oblong or rounded; opposite</x:v>
      </x:c>
      <x:c r="K5" s="107" t="str">
        <x:v>About 4–9 × 2.5–6.5 mm in the local UT treatment</x:v>
      </x:c>
      <x:c r="L5" s="107" t="str">
        <x:v>Oblique/asymmetric</x:v>
      </x:c>
      <x:c r="M5" s="107" t="str">
        <x:v>Short-serrate, especially toward the tip</x:v>
      </x:c>
      <x:c r="N5" s="107" t="str">
        <x:v>Pubescent; lower face often more clearly hairy</x:v>
      </x:c>
      <x:c r="O5" s="107" t="str">
        <x:v>Four per node; upper pair free, lower pair fused across the node; white-pink and fringed</x:v>
      </x:c>
      <x:c r="P5" s="107" t="str">
        <x:v>Axillary, in leafy cymelike groups</x:v>
      </x:c>
      <x:c r="Q5" s="107" t="str">
        <x:v>4 reddish glands; white-pink appendages smaller than the gland, entire or weakly scalloped</x:v>
      </x:c>
      <x:c r="R5" s="107" t="str">
        <x:v>Ovary/capsule hairy, with hairs concentrated along the three angles and near the base</x:v>
      </x:c>
      <x:c r="S5" s="107" t="str">
        <x:v>About 1.5 mm long</x:v>
      </x:c>
      <x:c r="T5" s="107" t="str">
        <x:v>About 1–1.2 mm</x:v>
      </x:c>
      <x:c r="U5" s="107" t="str">
        <x:v>Several distinct transverse wrinkles/ridges; sharply 4-angled</x:v>
      </x:c>
      <x:c r="V5" s="107" t="str">
        <x:v>Flat hairy annual mat that does not root at the nodes and has tiny toothed leaves.</x:v>
      </x:c>
      <x:c r="W5" s="107" t="str">
        <x:v>Confirm hairs along the three capsule angles plus transversely ridged seeds. These break the tie with E. serpens.</x:v>
      </x:c>
      <x:c r="X5" s="107" t="str">
        <x:v>Plants may be green or red; color is not a species character. Prostrate habit alone is not enough.</x:v>
      </x:c>
      <x:c r="Y5" s="107" t="str">
        <x:v>Disturbed ground, often sandy; flowering commonly spring–fall.</x:v>
      </x:c>
      <x:c r="Z5" s="107" t="str">
        <x:v>High with capsule and seed</x:v>
      </x:c>
      <x:c r="AA5" s="107" t="str">
        <x:v>Mat from above; several non-rooting nodes; leaf teeth; stipules; capsule angles; seed with scale.</x:v>
      </x:c>
      <x:c r="AB5" s="107" t="str">
        <x:v>https://floranorthamerica.org/Euphorbia_prostrata
https://www.efloras.org/florataxon.aspx?flora_id=1&amp;taxon_id=242321502
https://w3.biosci.utexas.edu/prc/K12/pages/Euphorbia%20prostrata.html</x:v>
      </x:c>
      <x:c r="AC5" s="107" t="str">
        <x:v>FNA plus a detailed University of Texas Williamson County treatment, directly relevant to nearby Central Texas.</x:v>
      </x:c>
    </x:row>
    <x:row r="6" ht="108" customHeight="1">
      <x:c r="A6" s="107" t="str">
        <x:v>HAYS-0180</x:v>
      </x:c>
      <x:c r="B6" s="107" t="str">
        <x:v>Chamaesyce serpens</x:v>
      </x:c>
      <x:c r="C6" s="107" t="str">
        <x:v>Euphorbia serpens</x:v>
      </x:c>
      <x:c r="D6" s="107" t="str">
        <x:v>Matted Sandmat, Prostrate Spurge, Creeping Spurge</x:v>
      </x:c>
      <x:c r="E6" s="107" t="str">
        <x:v>Annual</x:v>
      </x:c>
      <x:c r="F6" s="107" t="str">
        <x:v>Slender taproot plus adventitious roots from stem nodes</x:v>
      </x:c>
      <x:c r="G6" s="107" t="str">
        <x:v>Flat creeping mat; prostrate; stems often 15–50 cm long and under 3 cm tall</x:v>
      </x:c>
      <x:c r="H6" s="107" t="str">
        <x:v>Yes—frequently roots at nodes; often 1–2 roots per node</x:v>
      </x:c>
      <x:c r="I6" s="107" t="str">
        <x:v>Entirely glabrous and often slightly bluish/glaucous</x:v>
      </x:c>
      <x:c r="J6" s="107" t="str">
        <x:v>Broadly ovate/heart-shaped to oblong or round; opposite</x:v>
      </x:c>
      <x:c r="K6" s="107" t="str">
        <x:v>Usually about 2–7(–9) × 2–6 mm</x:v>
      </x:c>
      <x:c r="L6" s="107" t="str">
        <x:v>Asymmetric; rounded to slightly heart-shaped</x:v>
      </x:c>
      <x:c r="M6" s="107" t="str">
        <x:v>Entire</x:v>
      </x:c>
      <x:c r="N6" s="107" t="str">
        <x:v>Glabrous</x:v>
      </x:c>
      <x:c r="O6" s="107" t="str">
        <x:v>Pairs fused into a conspicuous white-pink membranous triangular scale, about 0.5–1 mm</x:v>
      </x:c>
      <x:c r="P6" s="107" t="str">
        <x:v>Usually solitary at distal nodes/within leafy arrays</x:v>
      </x:c>
      <x:c r="Q6" s="107" t="str">
        <x:v>4 glands with white-pink appendages; gland color and apparent appendage size vary between treatments</x:v>
      </x:c>
      <x:c r="R6" s="107" t="str">
        <x:v>Ovary and capsule glabrous</x:v>
      </x:c>
      <x:c r="S6" s="107" t="str">
        <x:v>About 1.3–1.7 × 1.3–1.9 mm across treatments</x:v>
      </x:c>
      <x:c r="T6" s="107" t="str">
        <x:v>About 0.7–1.2 × 0.4–0.8 mm across treatments</x:v>
      </x:c>
      <x:c r="U6" s="107" t="str">
        <x:v>Smooth to very finely netted; lacks the strong transverse ridges of E. prostrata</x:v>
      </x:c>
      <x:c r="V6" s="107" t="str">
        <x:v>Hairless creeping mat that repeatedly roots where its nodes touch the soil.</x:v>
      </x:c>
      <x:c r="W6" s="107" t="str">
        <x:v>Confirm entire hairless leaves, fused triangular stipule scales, a glabrous capsule, and smooth/faintly netted seeds.</x:v>
      </x:c>
      <x:c r="X6" s="107" t="str">
        <x:v>Do not depend on gland color or appendage size alone; detailed treatments differ in how conspicuous they appear.</x:v>
      </x:c>
      <x:c r="Y6" s="107" t="str">
        <x:v>Well-drained or sandy soils, prairies, woodlands, and disturbed areas; summer or longer in warm sites.</x:v>
      </x:c>
      <x:c r="Z6" s="107" t="str">
        <x:v>High with node roots and fruit</x:v>
      </x:c>
      <x:c r="AA6" s="107" t="str">
        <x:v>Rooting node; fused stipule scale; entire leaf edge; glabrous capsule; smooth seed with scale.</x:v>
      </x:c>
      <x:c r="AB6" s="107" t="str">
        <x:v>https://floranorthamerica.org/Euphorbia_serpens
https://www.efloras.org/florataxon.aspx?flora_id=1&amp;taxon_id=242321518
https://w3.biosci.utexas.edu/prc/K12/pages/Euphorbia%20serpens.html</x:v>
      </x:c>
      <x:c r="AC6" s="107" t="str">
        <x:v>FNA plus a detailed University of Texas Williamson County treatment; source differences in glands are explicitly flagged.</x:v>
      </x:c>
    </x:row>
    <x:row r="7" ht="108" customHeight="1">
      <x:c r="A7" s="107" t="str">
        <x:v>HAYS-0181</x:v>
      </x:c>
      <x:c r="B7" s="107" t="str">
        <x:v>Chamaesyce villifera</x:v>
      </x:c>
      <x:c r="C7" s="107" t="str">
        <x:v>Euphorbia villifera</x:v>
      </x:c>
      <x:c r="D7" s="107" t="str">
        <x:v>Hairy Sandmat</x:v>
      </x:c>
      <x:c r="E7" s="107" t="str">
        <x:v>Annual or perennial</x:v>
      </x:c>
      <x:c r="F7" s="107" t="str">
        <x:v>Slender taproot or thickened woody rootstock</x:v>
      </x:c>
      <x:c r="G7" s="107" t="str">
        <x:v>Usually erect to ascending; rarely prostrate/decumbent; about 10–30 cm</x:v>
      </x:c>
      <x:c r="H7" s="107" t="str">
        <x:v>No / not characteristic</x:v>
      </x:c>
      <x:c r="I7" s="107" t="str">
        <x:v>Papillate and usually villous — long, soft hairs; rarely glabrous</x:v>
      </x:c>
      <x:c r="J7" s="107" t="str">
        <x:v>Ovate</x:v>
      </x:c>
      <x:c r="K7" s="107" t="str">
        <x:v>3–12 × 2–10 mm</x:v>
      </x:c>
      <x:c r="L7" s="107" t="str">
        <x:v>Asymmetric; rounded to slightly heart-shaped</x:v>
      </x:c>
      <x:c r="M7" s="107" t="str">
        <x:v>Entire or finely serrulate</x:v>
      </x:c>
      <x:c r="N7" s="107" t="str">
        <x:v>Usually villous; rarely glabrous</x:v>
      </x:c>
      <x:c r="O7" s="107" t="str">
        <x:v>Separate, threadlike, usually undivided, 0.3–0.7 mm</x:v>
      </x:c>
      <x:c r="P7" s="107" t="str">
        <x:v>Solitary at distal nodes</x:v>
      </x:c>
      <x:c r="Q7" s="107" t="str">
        <x:v>4 pink glands; white-pink appendages, several shapes, with entire margins</x:v>
      </x:c>
      <x:c r="R7" s="107" t="str">
        <x:v>Ovary and capsule glabrous</x:v>
      </x:c>
      <x:c r="S7" s="107" t="str">
        <x:v>1.5–2 × 2.1–3.1 mm; lobes may end in an elongated empty tip</x:v>
      </x:c>
      <x:c r="T7" s="107" t="str">
        <x:v>1–1.4 × 0.6–0.8 mm</x:v>
      </x:c>
      <x:c r="U7" s="107" t="str">
        <x:v>Smooth, faintly wrinkled, or with inconspicuous transverse ridges</x:v>
      </x:c>
      <x:c r="V7" s="107" t="str">
        <x:v>Usually upright/ascending with obvious long soft hairs and small ovate leaves.</x:v>
      </x:c>
      <x:c r="W7" s="107" t="str">
        <x:v>Confirm villous vegetative parts but a glabrous capsule; compare the ovate leaves against E. angusta's very narrow upper leaves.</x:v>
      </x:c>
      <x:c r="X7" s="107" t="str">
        <x:v>Hairiness can rarely be reduced, so a nearly glabrous specimen needs reproductive confirmation.</x:v>
      </x:c>
      <x:c r="Y7" s="107" t="str">
        <x:v>Riparian, juniper, and pine-oak woodlands, mostly on limestone; early spring–early winter.</x:v>
      </x:c>
      <x:c r="Z7" s="107" t="str">
        <x:v>High first-pass with fruit</x:v>
      </x:c>
      <x:c r="AA7" s="107" t="str">
        <x:v>Whole posture; long soft hairs on stem/leaf; leaf shape; glabrous capsule; cyathium.</x:v>
      </x:c>
      <x:c r="AB7" s="107" t="str">
        <x:v>https://floranorthamerica.org/Euphorbia_villifera
https://www.efloras.org/florataxon.aspx?flora_id=1&amp;taxon_id=242321553</x:v>
      </x:c>
      <x:c r="AC7" s="107" t="str">
        <x:v>Flora of North America species treatment and mirror.</x:v>
      </x:c>
    </x:row>
  </x:sheetData>
  <x:pageMargins left="0.7" right="0.7" top="0.75" bottom="0.75" header="0.3" footer="0.3"/>
  <x:tableParts count="1">
    <x:tablePart xmlns:r="http://schemas.openxmlformats.org/officeDocument/2006/relationships" r:id="R847aca5ca5064aa7"/>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24" hidden="0" customWidth="1"/>
    <x:col min="4" max="4" width="34" hidden="0" customWidth="1"/>
    <x:col min="5" max="5" width="47" hidden="0" customWidth="1"/>
    <x:col min="6" max="6" width="38" hidden="0" customWidth="1"/>
    <x:col min="7" max="7" width="38" hidden="0" customWidth="1"/>
    <x:col min="8" max="8" width="34" hidden="0" customWidth="1"/>
    <x:col min="9" max="9" width="25" hidden="0" customWidth="1"/>
    <x:col min="10" max="10" width="21" hidden="0" customWidth="1"/>
    <x:col min="11" max="11" width="40" hidden="0" customWidth="1"/>
    <x:col min="12" max="12" width="50" hidden="0" customWidth="1"/>
  </x:cols>
  <x:sheetData>
    <x:row r="1" ht="36" customHeight="1">
      <x:c r="A1" s="107" t="str">
        <x:v>Pair ID</x:v>
      </x:c>
      <x:c r="B1" s="107" t="str">
        <x:v>Species A</x:v>
      </x:c>
      <x:c r="C1" s="107" t="str">
        <x:v>Species B</x:v>
      </x:c>
      <x:c r="D1" s="107" t="str">
        <x:v>Why They Can Be Confused</x:v>
      </x:c>
      <x:c r="E1" s="107" t="str">
        <x:v>First Split — Plain Language</x:v>
      </x:c>
      <x:c r="F1" s="107" t="str">
        <x:v>Confirm Species A</x:v>
      </x:c>
      <x:c r="G1" s="107" t="str">
        <x:v>Confirm Species B</x:v>
      </x:c>
      <x:c r="H1" s="107" t="str">
        <x:v>Best Part to Compare</x:v>
      </x:c>
      <x:c r="I1" s="107" t="str">
        <x:v>Magnification</x:v>
      </x:c>
      <x:c r="J1" s="107" t="str">
        <x:v>Evidence Strength</x:v>
      </x:c>
      <x:c r="K1" s="107" t="str">
        <x:v>Exception / Warning</x:v>
      </x:c>
      <x:c r="L1" s="107" t="str">
        <x:v>Source URLs</x:v>
      </x:c>
    </x:row>
    <x:row r="2" ht="82" customHeight="1">
      <x:c r="A2" s="107" t="str">
        <x:v>EUPH-C04-P01</x:v>
      </x:c>
      <x:c r="B2" s="107" t="str">
        <x:v>Euphorbia angusta</x:v>
      </x:c>
      <x:c r="C2" s="107" t="str">
        <x:v>Euphorbia fendleri</x:v>
      </x:c>
      <x:c r="D2" s="107" t="str">
        <x:v>Both can be perennial and occur on dry limestone.</x:v>
      </x:c>
      <x:c r="E2" s="107" t="str">
        <x:v>A is upright with very narrow upper leaves and pressed hairs; B is low, hairless, and round-leaved from a woody crown.</x:v>
      </x:c>
      <x:c r="F2" s="107" t="str">
        <x:v>Capsule strigose; distal leaves &gt;6× longer than wide.</x:v>
      </x:c>
      <x:c r="G2" s="107" t="str">
        <x:v>Capsule glabrous; entire round/ovate leaves; large pale seeds.</x:v>
      </x:c>
      <x:c r="H2" s="107" t="str">
        <x:v>Whole posture, upper leaf proportions, capsule hairs.</x:v>
      </x:c>
      <x:c r="I2" s="107" t="str">
        <x:v>Hand lens for capsule hairs</x:v>
      </x:c>
      <x:c r="J2" s="107" t="str">
        <x:v>High</x:v>
      </x:c>
      <x:c r="K2" s="107" t="str">
        <x:v>B can rarely be erect; posture must be paired with leaf proportions and hair state.</x:v>
      </x:c>
      <x:c r="L2" s="107" t="str">
        <x:v>https://floranorthamerica.org/Euphorbia_angusta
https://www.efloras.org/florataxon.aspx?flora_id=1&amp;taxon_id=250101551
https://floranorthamerica.org/Euphorbia_fendleri
https://www.efloras.org/florataxon.aspx?flora_id=1&amp;taxon_id=250101570</x:v>
      </x:c>
    </x:row>
    <x:row r="3" ht="82" customHeight="1">
      <x:c r="A3" s="107" t="str">
        <x:v>EUPH-C04-P02</x:v>
      </x:c>
      <x:c r="B3" s="107" t="str">
        <x:v>Euphorbia angusta</x:v>
      </x:c>
      <x:c r="C3" s="107" t="str">
        <x:v>Euphorbia nutans</x:v>
      </x:c>
      <x:c r="D3" s="107" t="str">
        <x:v>Both can stand well above the ground and carry opposite leaves.</x:v>
      </x:c>
      <x:c r="E3" s="107" t="str">
        <x:v>A is a perennial with narrow entire upper leaves and uniform pressed hairs; B is a taller annual with broader serrulate leaves and node-focused hairs.</x:v>
      </x:c>
      <x:c r="F3" s="107" t="str">
        <x:v>Hairy capsule and thick rootstock.</x:v>
      </x:c>
      <x:c r="G3" s="107" t="str">
        <x:v>Glabrous capsule and strongly asymmetric, finely toothed leaf base.</x:v>
      </x:c>
      <x:c r="H3" s="107" t="str">
        <x:v>Root/crown context, leaf margin, stem hair pattern, capsule.</x:v>
      </x:c>
      <x:c r="I3" s="107" t="str">
        <x:v>Hand lens</x:v>
      </x:c>
      <x:c r="J3" s="107" t="str">
        <x:v>High</x:v>
      </x:c>
      <x:c r="K3" s="107" t="str">
        <x:v>Do not use red leaf spotting alone for B.</x:v>
      </x:c>
      <x:c r="L3" s="107" t="str">
        <x:v>https://floranorthamerica.org/Euphorbia_angusta
https://www.efloras.org/florataxon.aspx?flora_id=1&amp;taxon_id=250101551
https://floranorthamerica.org/Euphorbia_nutans
https://www.efloras.org/florataxon.aspx?flora_id=1&amp;taxon_id=242427660</x:v>
      </x:c>
    </x:row>
    <x:row r="4" ht="82" customHeight="1">
      <x:c r="A4" s="107" t="str">
        <x:v>EUPH-C04-P03</x:v>
      </x:c>
      <x:c r="B4" s="107" t="str">
        <x:v>Euphorbia angusta</x:v>
      </x:c>
      <x:c r="C4" s="107" t="str">
        <x:v>Euphorbia prostrata</x:v>
      </x:c>
      <x:c r="D4" s="107" t="str">
        <x:v>Both may be hairy and can grow on open dry ground.</x:v>
      </x:c>
      <x:c r="E4" s="107" t="str">
        <x:v>A is erect with narrow upper leaves; B is a flat annual mat with tiny broad serrate leaves.</x:v>
      </x:c>
      <x:c r="F4" s="107" t="str">
        <x:v>Capsule hairy across the surface; large seed.</x:v>
      </x:c>
      <x:c r="G4" s="107" t="str">
        <x:v>Capsule hairs concentrated on angles; sharply transversely ridged seed.</x:v>
      </x:c>
      <x:c r="H4" s="107" t="str">
        <x:v>Whole habit, upper leaves, capsule, seed.</x:v>
      </x:c>
      <x:c r="I4" s="107" t="str">
        <x:v>Hand lens; seed macro</x:v>
      </x:c>
      <x:c r="J4" s="107" t="str">
        <x:v>High</x:v>
      </x:c>
      <x:c r="K4" s="107" t="str">
        <x:v>Habit makes this pair easy only when the whole plant is visible.</x:v>
      </x:c>
      <x:c r="L4" s="107" t="str">
        <x:v>https://floranorthamerica.org/Euphorbia_angusta
https://www.efloras.org/florataxon.aspx?flora_id=1&amp;taxon_id=250101551
https://floranorthamerica.org/Euphorbia_prostrata
https://www.efloras.org/florataxon.aspx?flora_id=1&amp;taxon_id=242321502
https://w3.biosci.utexas.edu/prc/K12/pages/Euphorbia%20prostrata.html</x:v>
      </x:c>
    </x:row>
    <x:row r="5" ht="82" customHeight="1">
      <x:c r="A5" s="107" t="str">
        <x:v>EUPH-C04-P04</x:v>
      </x:c>
      <x:c r="B5" s="107" t="str">
        <x:v>Euphorbia angusta</x:v>
      </x:c>
      <x:c r="C5" s="107" t="str">
        <x:v>Euphorbia serpens</x:v>
      </x:c>
      <x:c r="D5" s="107" t="str">
        <x:v>Both are in the same section and have opposite leaves/cyathia.</x:v>
      </x:c>
      <x:c r="E5" s="107" t="str">
        <x:v>A is erect, narrow-leaved, and hairy; B is a glabrous creeping mat that roots at nodes.</x:v>
      </x:c>
      <x:c r="F5" s="107" t="str">
        <x:v>Strigose capsule.</x:v>
      </x:c>
      <x:c r="G5" s="107" t="str">
        <x:v>Fused stipule scales, entire leaves, glabrous capsule, smooth seed.</x:v>
      </x:c>
      <x:c r="H5" s="107" t="str">
        <x:v>Whole habit, rooting node, leaf shape, fruit hair.</x:v>
      </x:c>
      <x:c r="I5" s="107" t="str">
        <x:v>Hand lens</x:v>
      </x:c>
      <x:c r="J5" s="107" t="str">
        <x:v>Very high</x:v>
      </x:c>
      <x:c r="K5" s="107" t="str">
        <x:v>None of the single traits should replace checking the cyathium.</x:v>
      </x:c>
      <x:c r="L5" s="107" t="str">
        <x:v>https://floranorthamerica.org/Euphorbia_angusta
https://www.efloras.org/florataxon.aspx?flora_id=1&amp;taxon_id=250101551
https://floranorthamerica.org/Euphorbia_serpens
https://www.efloras.org/florataxon.aspx?flora_id=1&amp;taxon_id=242321518
https://w3.biosci.utexas.edu/prc/K12/pages/Euphorbia%20serpens.html</x:v>
      </x:c>
    </x:row>
    <x:row r="6" ht="82" customHeight="1">
      <x:c r="A6" s="107" t="str">
        <x:v>EUPH-C04-P05</x:v>
      </x:c>
      <x:c r="B6" s="107" t="str">
        <x:v>Euphorbia angusta</x:v>
      </x:c>
      <x:c r="C6" s="107" t="str">
        <x:v>Euphorbia villifera</x:v>
      </x:c>
      <x:c r="D6" s="107" t="str">
        <x:v>Both are usually upright/ascending, hairy, and associated with limestone.</x:v>
      </x:c>
      <x:c r="E6" s="107" t="str">
        <x:v>A has very narrow upper leaves and short pressed hairs; B has small ovate leaves and usually long soft hairs.</x:v>
      </x:c>
      <x:c r="F6" s="107" t="str">
        <x:v>Capsule strigose.</x:v>
      </x:c>
      <x:c r="G6" s="107" t="str">
        <x:v>Capsule glabrous despite hairy stems/leaves.</x:v>
      </x:c>
      <x:c r="H6" s="107" t="str">
        <x:v>Upper leaf proportions, hair posture, capsule.</x:v>
      </x:c>
      <x:c r="I6" s="107" t="str">
        <x:v>Hand lens</x:v>
      </x:c>
      <x:c r="J6" s="107" t="str">
        <x:v>Very high with fruit</x:v>
      </x:c>
      <x:c r="K6" s="107" t="str">
        <x:v>B is rarely nearly glabrous; then fruit and leaf shape become essential.</x:v>
      </x:c>
      <x:c r="L6" s="107" t="str">
        <x:v>https://floranorthamerica.org/Euphorbia_angusta
https://www.efloras.org/florataxon.aspx?flora_id=1&amp;taxon_id=250101551
https://floranorthamerica.org/Euphorbia_villifera
https://www.efloras.org/florataxon.aspx?flora_id=1&amp;taxon_id=242321553</x:v>
      </x:c>
    </x:row>
    <x:row r="7" ht="82" customHeight="1">
      <x:c r="A7" s="107" t="str">
        <x:v>EUPH-C04-P06</x:v>
      </x:c>
      <x:c r="B7" s="107" t="str">
        <x:v>Euphorbia fendleri</x:v>
      </x:c>
      <x:c r="C7" s="107" t="str">
        <x:v>Euphorbia nutans</x:v>
      </x:c>
      <x:c r="D7" s="107" t="str">
        <x:v>Both can ascend rather than lie completely flat.</x:v>
      </x:c>
      <x:c r="E7" s="107" t="str">
        <x:v>A is a short glabrous perennial from a woody crown; B is a 20–80 cm annual with larger serrulate leaves and node hairs.</x:v>
      </x:c>
      <x:c r="F7" s="107" t="str">
        <x:v>Separate narrow stipules and large white seeds.</x:v>
      </x:c>
      <x:c r="G7" s="107" t="str">
        <x:v>Small fringed stipule scales and dark wrinkled seeds.</x:v>
      </x:c>
      <x:c r="H7" s="107" t="str">
        <x:v>Crown, height, leaf margin, stipules, seed.</x:v>
      </x:c>
      <x:c r="I7" s="107" t="str">
        <x:v>Hand lens; seed macro</x:v>
      </x:c>
      <x:c r="J7" s="107" t="str">
        <x:v>High</x:v>
      </x:c>
      <x:c r="K7" s="107" t="str">
        <x:v>Height alone varies with growing conditions.</x:v>
      </x:c>
      <x:c r="L7" s="107" t="str">
        <x:v>https://floranorthamerica.org/Euphorbia_fendleri
https://www.efloras.org/florataxon.aspx?flora_id=1&amp;taxon_id=250101570
https://floranorthamerica.org/Euphorbia_nutans
https://www.efloras.org/florataxon.aspx?flora_id=1&amp;taxon_id=242427660</x:v>
      </x:c>
    </x:row>
    <x:row r="8" ht="82" customHeight="1">
      <x:c r="A8" s="107" t="str">
        <x:v>EUPH-C04-P07</x:v>
      </x:c>
      <x:c r="B8" s="107" t="str">
        <x:v>Euphorbia fendleri</x:v>
      </x:c>
      <x:c r="C8" s="107" t="str">
        <x:v>Euphorbia prostrata</x:v>
      </x:c>
      <x:c r="D8" s="107" t="str">
        <x:v>Both can be low and have small rounded leaves.</x:v>
      </x:c>
      <x:c r="E8" s="107" t="str">
        <x:v>A is a hairless woody-based perennial with entire leaves; B is a hairy annual mat with serrate leaves.</x:v>
      </x:c>
      <x:c r="F8" s="107" t="str">
        <x:v>Glabrous capsule and large smooth pale seeds.</x:v>
      </x:c>
      <x:c r="G8" s="107" t="str">
        <x:v>Capsule hairs on angles and small transversely ridged seeds.</x:v>
      </x:c>
      <x:c r="H8" s="107" t="str">
        <x:v>Crown, leaf margin/hairs, capsule, seed.</x:v>
      </x:c>
      <x:c r="I8" s="107" t="str">
        <x:v>Hand lens; seed macro</x:v>
      </x:c>
      <x:c r="J8" s="107" t="str">
        <x:v>Very high</x:v>
      </x:c>
      <x:c r="K8" s="107" t="str">
        <x:v>Do not dig for a crown; use visible basal stems or already-disturbed material.</x:v>
      </x:c>
      <x:c r="L8" s="107" t="str">
        <x:v>https://floranorthamerica.org/Euphorbia_fendleri
https://www.efloras.org/florataxon.aspx?flora_id=1&amp;taxon_id=250101570
https://floranorthamerica.org/Euphorbia_prostrata
https://www.efloras.org/florataxon.aspx?flora_id=1&amp;taxon_id=242321502
https://w3.biosci.utexas.edu/prc/K12/pages/Euphorbia%20prostrata.html</x:v>
      </x:c>
    </x:row>
    <x:row r="9" ht="82" customHeight="1">
      <x:c r="A9" s="107" t="str">
        <x:v>EUPH-C04-P08</x:v>
      </x:c>
      <x:c r="B9" s="107" t="str">
        <x:v>Euphorbia fendleri</x:v>
      </x:c>
      <x:c r="C9" s="107" t="str">
        <x:v>Euphorbia serpens</x:v>
      </x:c>
      <x:c r="D9" s="107" t="str">
        <x:v>Both can make low glabrous mats with tiny rounded entire leaves.</x:v>
      </x:c>
      <x:c r="E9" s="107" t="str">
        <x:v>A is a perennial from a woody crown and does not normally root at nodes; B is an annual that repeatedly roots at nodes.</x:v>
      </x:c>
      <x:c r="F9" s="107" t="str">
        <x:v>Separate linear stipules; larger glabrous capsule and 1.7–2 mm pale seed.</x:v>
      </x:c>
      <x:c r="G9" s="107" t="str">
        <x:v>Fused triangular stipule scale; smaller capsule and smooth/fine-netted seed.</x:v>
      </x:c>
      <x:c r="H9" s="107" t="str">
        <x:v>Crown/basal stems, rooting nodes, stipules, seed scale.</x:v>
      </x:c>
      <x:c r="I9" s="107" t="str">
        <x:v>Hand lens; ruler</x:v>
      </x:c>
      <x:c r="J9" s="107" t="str">
        <x:v>Very high with node and stipule</x:v>
      </x:c>
      <x:c r="K9" s="107" t="str">
        <x:v>A low branch touching soil is not the same as producing adventitious roots.</x:v>
      </x:c>
      <x:c r="L9" s="107" t="str">
        <x:v>https://floranorthamerica.org/Euphorbia_fendleri
https://www.efloras.org/florataxon.aspx?flora_id=1&amp;taxon_id=250101570
https://floranorthamerica.org/Euphorbia_serpens
https://www.efloras.org/florataxon.aspx?flora_id=1&amp;taxon_id=242321518
https://w3.biosci.utexas.edu/prc/K12/pages/Euphorbia%20serpens.html</x:v>
      </x:c>
    </x:row>
    <x:row r="10" ht="82" customHeight="1">
      <x:c r="A10" s="107" t="str">
        <x:v>EUPH-C04-P09</x:v>
      </x:c>
      <x:c r="B10" s="107" t="str">
        <x:v>Euphorbia fendleri</x:v>
      </x:c>
      <x:c r="C10" s="107" t="str">
        <x:v>Euphorbia villifera</x:v>
      </x:c>
      <x:c r="D10" s="107" t="str">
        <x:v>Both may be perennial and can be ascending on limestone.</x:v>
      </x:c>
      <x:c r="E10" s="107" t="str">
        <x:v>A is usually low and glabrous with round/ovate entire leaves; B is usually taller and villous with ovate leaves.</x:v>
      </x:c>
      <x:c r="F10" s="107" t="str">
        <x:v>Woody crown; large pale seed.</x:v>
      </x:c>
      <x:c r="G10" s="107" t="str">
        <x:v>Papillate stem and long soft hairs; capsule lobes can have an empty terminal extension.</x:v>
      </x:c>
      <x:c r="H10" s="107" t="str">
        <x:v>Habit, crown context, hairs, capsule profile, seed.</x:v>
      </x:c>
      <x:c r="I10" s="107" t="str">
        <x:v>Hand lens</x:v>
      </x:c>
      <x:c r="J10" s="107" t="str">
        <x:v>High</x:v>
      </x:c>
      <x:c r="K10" s="107" t="str">
        <x:v>B can rarely be glabrous; reproductive details then matter more.</x:v>
      </x:c>
      <x:c r="L10" s="107" t="str">
        <x:v>https://floranorthamerica.org/Euphorbia_fendleri
https://www.efloras.org/florataxon.aspx?flora_id=1&amp;taxon_id=250101570
https://floranorthamerica.org/Euphorbia_villifera
https://www.efloras.org/florataxon.aspx?flora_id=1&amp;taxon_id=242321553</x:v>
      </x:c>
    </x:row>
    <x:row r="11" ht="82" customHeight="1">
      <x:c r="A11" s="107" t="str">
        <x:v>EUPH-C04-P10</x:v>
      </x:c>
      <x:c r="B11" s="107" t="str">
        <x:v>Euphorbia nutans</x:v>
      </x:c>
      <x:c r="C11" s="107" t="str">
        <x:v>Euphorbia prostrata</x:v>
      </x:c>
      <x:c r="D11" s="107" t="str">
        <x:v>Both are annual, may be reddish, and have serrulate leaves.</x:v>
      </x:c>
      <x:c r="E11" s="107" t="str">
        <x:v>A is tall/ascending with 8–40 mm oblong leaves; B is a flat mat with 4–9 mm broad leaves.</x:v>
      </x:c>
      <x:c r="F11" s="107" t="str">
        <x:v>Capsule glabrous.</x:v>
      </x:c>
      <x:c r="G11" s="107" t="str">
        <x:v>Capsule hairy on angles and seed sharply cross-ridged.</x:v>
      </x:c>
      <x:c r="H11" s="107" t="str">
        <x:v>Whole plant, leaf size/shape, capsule hairs, seed.</x:v>
      </x:c>
      <x:c r="I11" s="107" t="str">
        <x:v>Hand lens; seed macro</x:v>
      </x:c>
      <x:c r="J11" s="107" t="str">
        <x:v>Very high</x:v>
      </x:c>
      <x:c r="K11" s="107" t="str">
        <x:v>Color is uninformative.</x:v>
      </x:c>
      <x:c r="L11" s="107" t="str">
        <x:v>https://floranorthamerica.org/Euphorbia_nutans
https://www.efloras.org/florataxon.aspx?flora_id=1&amp;taxon_id=242427660
https://floranorthamerica.org/Euphorbia_prostrata
https://www.efloras.org/florataxon.aspx?flora_id=1&amp;taxon_id=242321502
https://w3.biosci.utexas.edu/prc/K12/pages/Euphorbia%20prostrata.html</x:v>
      </x:c>
    </x:row>
    <x:row r="12" ht="82" customHeight="1">
      <x:c r="A12" s="107" t="str">
        <x:v>EUPH-C04-P11</x:v>
      </x:c>
      <x:c r="B12" s="107" t="str">
        <x:v>Euphorbia nutans</x:v>
      </x:c>
      <x:c r="C12" s="107" t="str">
        <x:v>Euphorbia serpens</x:v>
      </x:c>
      <x:c r="D12" s="107" t="str">
        <x:v>Both are annual and can occur in disturbed ground.</x:v>
      </x:c>
      <x:c r="E12" s="107" t="str">
        <x:v>A ascends 20–80 cm and has toothed, often blotched leaves; B is a hairless rooting mat with entire rounded leaves.</x:v>
      </x:c>
      <x:c r="F12" s="107" t="str">
        <x:v>Hairs concentrated at nodes/distally; no node roots.</x:v>
      </x:c>
      <x:c r="G12" s="107" t="str">
        <x:v>Fused stipules, adventitious node roots, smooth seed.</x:v>
      </x:c>
      <x:c r="H12" s="107" t="str">
        <x:v>Whole habit, node, leaf margin, stipules, seed.</x:v>
      </x:c>
      <x:c r="I12" s="107" t="str">
        <x:v>Hand lens</x:v>
      </x:c>
      <x:c r="J12" s="107" t="str">
        <x:v>Very high</x:v>
      </x:c>
      <x:c r="K12" s="107" t="str">
        <x:v>Do not treat a red blotch as required for A.</x:v>
      </x:c>
      <x:c r="L12" s="107" t="str">
        <x:v>https://floranorthamerica.org/Euphorbia_nutans
https://www.efloras.org/florataxon.aspx?flora_id=1&amp;taxon_id=242427660
https://floranorthamerica.org/Euphorbia_serpens
https://www.efloras.org/florataxon.aspx?flora_id=1&amp;taxon_id=242321518
https://w3.biosci.utexas.edu/prc/K12/pages/Euphorbia%20serpens.html</x:v>
      </x:c>
    </x:row>
    <x:row r="13" ht="82" customHeight="1">
      <x:c r="A13" s="107" t="str">
        <x:v>EUPH-C04-P12</x:v>
      </x:c>
      <x:c r="B13" s="107" t="str">
        <x:v>Euphorbia nutans</x:v>
      </x:c>
      <x:c r="C13" s="107" t="str">
        <x:v>Euphorbia villifera</x:v>
      </x:c>
      <x:c r="D13" s="107" t="str">
        <x:v>Both can be ascending and hairy with glabrous capsules.</x:v>
      </x:c>
      <x:c r="E13" s="107" t="str">
        <x:v>A is usually taller with oblong serrulate leaves and hairs concentrated at nodes; B has smaller ovate leaves and usually long soft hairs throughout.</x:v>
      </x:c>
      <x:c r="F13" s="107" t="str">
        <x:v>Annual taproot and strongly asymmetric leaf base.</x:v>
      </x:c>
      <x:c r="G13" s="107" t="str">
        <x:v>Papillate/villous stem and woodland-limestone context.</x:v>
      </x:c>
      <x:c r="H13" s="107" t="str">
        <x:v>Whole height, hair distribution, leaf base/shape, root context.</x:v>
      </x:c>
      <x:c r="I13" s="107" t="str">
        <x:v>Hand lens</x:v>
      </x:c>
      <x:c r="J13" s="107" t="str">
        <x:v>Moderate to high</x:v>
      </x:c>
      <x:c r="K13" s="107" t="str">
        <x:v>Hair density varies in both; use leaf size/shape and life-history evidence together.</x:v>
      </x:c>
      <x:c r="L13" s="107" t="str">
        <x:v>https://floranorthamerica.org/Euphorbia_nutans
https://www.efloras.org/florataxon.aspx?flora_id=1&amp;taxon_id=242427660
https://floranorthamerica.org/Euphorbia_villifera
https://www.efloras.org/florataxon.aspx?flora_id=1&amp;taxon_id=242321553</x:v>
      </x:c>
    </x:row>
    <x:row r="14" ht="82" customHeight="1">
      <x:c r="A14" s="107" t="str">
        <x:v>EUPH-C04-P13</x:v>
      </x:c>
      <x:c r="B14" s="107" t="str">
        <x:v>Euphorbia prostrata</x:v>
      </x:c>
      <x:c r="C14" s="107" t="str">
        <x:v>Euphorbia serpens</x:v>
      </x:c>
      <x:c r="D14" s="107" t="str">
        <x:v>Both are tiny annual ground mats with opposite leaves and minute cyathia.</x:v>
      </x:c>
      <x:c r="E14" s="107" t="str">
        <x:v>A is hairy, does not root at nodes, and has serrate leaves; B is entirely hairless, roots at nodes, and has entire leaves.</x:v>
      </x:c>
      <x:c r="F14" s="107" t="str">
        <x:v>Capsule hairs concentrated on three angles; seed has strong transverse ridges; stipules partly free.</x:v>
      </x:c>
      <x:c r="G14" s="107" t="str">
        <x:v>Capsule glabrous; seed smooth/fine-netted; stipule pairs fused into triangular scales.</x:v>
      </x:c>
      <x:c r="H14" s="107" t="str">
        <x:v>Rooting node, leaf edge, stipules, capsule angles, seed.</x:v>
      </x:c>
      <x:c r="I14" s="107" t="str">
        <x:v>10× hand lens; seed macro strongly recommended</x:v>
      </x:c>
      <x:c r="J14" s="107" t="str">
        <x:v>Very high with fruit/seed</x:v>
      </x:c>
      <x:c r="K14" s="107" t="str">
        <x:v>Color and overall mat shape vary. Use at least three independent structures.</x:v>
      </x:c>
      <x:c r="L14" s="107" t="str">
        <x:v>https://floranorthamerica.org/Euphorbia_prostrata
https://www.efloras.org/florataxon.aspx?flora_id=1&amp;taxon_id=242321502
https://w3.biosci.utexas.edu/prc/K12/pages/Euphorbia%20prostrata.html
https://floranorthamerica.org/Euphorbia_serpens
https://www.efloras.org/florataxon.aspx?flora_id=1&amp;taxon_id=242321518
https://w3.biosci.utexas.edu/prc/K12/pages/Euphorbia%20serpens.html</x:v>
      </x:c>
    </x:row>
    <x:row r="15" ht="82" customHeight="1">
      <x:c r="A15" s="107" t="str">
        <x:v>EUPH-C04-P14</x:v>
      </x:c>
      <x:c r="B15" s="107" t="str">
        <x:v>Euphorbia prostrata</x:v>
      </x:c>
      <x:c r="C15" s="107" t="str">
        <x:v>Euphorbia villifera</x:v>
      </x:c>
      <x:c r="D15" s="107" t="str">
        <x:v>Both can have small hairy leaves and reddish stems.</x:v>
      </x:c>
      <x:c r="E15" s="107" t="str">
        <x:v>A is a flat annual mat with short crinkled hairs; B is usually upright/ascending with long soft hairs.</x:v>
      </x:c>
      <x:c r="F15" s="107" t="str">
        <x:v>Capsule hairy on angles; sharply ridged seed.</x:v>
      </x:c>
      <x:c r="G15" s="107" t="str">
        <x:v>Capsule glabrous; seed smooth to faintly wrinkled.</x:v>
      </x:c>
      <x:c r="H15" s="107" t="str">
        <x:v>Whole posture, hair type, capsule, seed.</x:v>
      </x:c>
      <x:c r="I15" s="107" t="str">
        <x:v>Hand lens; seed macro</x:v>
      </x:c>
      <x:c r="J15" s="107" t="str">
        <x:v>Very high with fruit</x:v>
      </x:c>
      <x:c r="K15" s="107" t="str">
        <x:v>A damaged upright fragment can hide the whole-plant habit.</x:v>
      </x:c>
      <x:c r="L15" s="107" t="str">
        <x:v>https://floranorthamerica.org/Euphorbia_prostrata
https://www.efloras.org/florataxon.aspx?flora_id=1&amp;taxon_id=242321502
https://w3.biosci.utexas.edu/prc/K12/pages/Euphorbia%20prostrata.html
https://floranorthamerica.org/Euphorbia_villifera
https://www.efloras.org/florataxon.aspx?flora_id=1&amp;taxon_id=242321553</x:v>
      </x:c>
    </x:row>
    <x:row r="16" ht="82" customHeight="1">
      <x:c r="A16" s="107" t="str">
        <x:v>EUPH-C04-P15</x:v>
      </x:c>
      <x:c r="B16" s="107" t="str">
        <x:v>Euphorbia serpens</x:v>
      </x:c>
      <x:c r="C16" s="107" t="str">
        <x:v>Euphorbia villifera</x:v>
      </x:c>
      <x:c r="D16" s="107" t="str">
        <x:v>Both can have tiny rounded leaves and glabrous capsules.</x:v>
      </x:c>
      <x:c r="E16" s="107" t="str">
        <x:v>A is a glabrous mat rooting at nodes with fused stipules; B is usually upright/ascending and villous with separate threadlike stipules.</x:v>
      </x:c>
      <x:c r="F16" s="107" t="str">
        <x:v>Entire leaf margin and smooth seed.</x:v>
      </x:c>
      <x:c r="G16" s="107" t="str">
        <x:v>Ovate leaf, papillate/villous stem, non-rooting nodes.</x:v>
      </x:c>
      <x:c r="H16" s="107" t="str">
        <x:v>Whole habit, node roots, stipules, stem hair, seed.</x:v>
      </x:c>
      <x:c r="I16" s="107" t="str">
        <x:v>Hand lens</x:v>
      </x:c>
      <x:c r="J16" s="107" t="str">
        <x:v>High</x:v>
      </x:c>
      <x:c r="K16" s="107" t="str">
        <x:v>Rare glabrous B plants require habit, stipules, and rooting evidence.</x:v>
      </x:c>
      <x:c r="L16" s="107" t="str">
        <x:v>https://floranorthamerica.org/Euphorbia_serpens
https://www.efloras.org/florataxon.aspx?flora_id=1&amp;taxon_id=242321518
https://w3.biosci.utexas.edu/prc/K12/pages/Euphorbia%20serpens.html
https://floranorthamerica.org/Euphorbia_villifera
https://www.efloras.org/florataxon.aspx?flora_id=1&amp;taxon_id=242321553</x:v>
      </x:c>
    </x:row>
  </x:sheetData>
  <x:conditionalFormatting sqref="J2:J16">
    <x:cfRule type="containsText" dxfId="9" priority="1" operator="containsText" text="Very high"/>
    <x:cfRule type="containsText" dxfId="10" priority="2" operator="containsText" text="Moderate"/>
  </x:conditionalFormatting>
  <x:pageMargins left="0.7" right="0.7" top="0.75" bottom="0.75" header="0.3" footer="0.3"/>
  <x:tableParts count="1">
    <x:tablePart xmlns:r="http://schemas.openxmlformats.org/officeDocument/2006/relationships" r:id="R078d5dd248e54456"/>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35" hidden="0" customWidth="1"/>
    <x:col min="4" max="4" width="30" hidden="0" customWidth="1"/>
    <x:col min="5" max="5" width="21" hidden="0" customWidth="1"/>
    <x:col min="6" max="6" width="25" hidden="0" customWidth="1"/>
    <x:col min="7" max="7" width="34" hidden="0" customWidth="1"/>
    <x:col min="8" max="8" width="31" hidden="0" customWidth="1"/>
  </x:cols>
  <x:sheetData>
    <x:row r="1" ht="32" customHeight="1">
      <x:c r="A1" s="137" t="str">
        <x:v>EUPH-C06 — Hays County Tragia Comparison Adventure</x:v>
      </x:c>
      <x:c r="B1" s="137"/>
      <x:c r="C1" s="137"/>
      <x:c r="D1" s="137"/>
      <x:c r="E1" s="137"/>
      <x:c r="F1" s="137"/>
      <x:c r="G1" s="137"/>
      <x:c r="H1" s="137"/>
    </x:row>
    <x:row r="2" ht="34" customHeight="1">
      <x:c r="A2" s="140" t="str">
        <x:v>Four noseburns • plain-language first • use stem posture, male-flower count, leaf base, stigma texture, and mature fruit as weighted evidence</x:v>
      </x:c>
      <x:c r="B2" s="140"/>
      <x:c r="C2" s="140"/>
      <x:c r="D2" s="140"/>
      <x:c r="E2" s="140"/>
      <x:c r="F2" s="140"/>
      <x:c r="G2" s="140"/>
      <x:c r="H2" s="140"/>
    </x:row>
    <x:row r="4" ht="34" customHeight="1">
      <x:c r="A4" s="143" t="str">
        <x:v>SAFETY: do not touch. Tragia has painful stinging hairs. Photograph in place; never test the sting or break tissue to test sap.</x:v>
      </x:c>
      <x:c r="B4" s="143"/>
      <x:c r="C4" s="143"/>
      <x:c r="D4" s="143"/>
      <x:c r="E4" s="143"/>
      <x:c r="F4" s="143"/>
      <x:c r="G4" s="143"/>
      <x:c r="H4" s="143"/>
    </x:row>
    <x:row r="6">
      <x:c r="A6" s="145" t="str">
        <x:v>Fastest likely path — choose a candidate, then require the confirmation column</x:v>
      </x:c>
      <x:c r="B6" s="145"/>
      <x:c r="C6" s="145"/>
      <x:c r="D6" s="145"/>
      <x:c r="E6" s="145"/>
      <x:c r="F6" s="145"/>
      <x:c r="G6" s="145"/>
      <x:c r="H6" s="145"/>
    </x:row>
    <x:row r="8" ht="68" customHeight="1">
      <x:c r="A8" s="107" t="str">
        <x:v>What you notice first</x:v>
      </x:c>
      <x:c r="B8" s="107" t="str">
        <x:v>Likely candidate</x:v>
      </x:c>
      <x:c r="C8" s="107" t="str">
        <x:v>Required field suite</x:v>
      </x:c>
      <x:c r="D8" s="107" t="str">
        <x:v>Best tie-breaker</x:v>
      </x:c>
      <x:c r="E8" s="107" t="str">
        <x:v>Confidence</x:v>
      </x:c>
      <x:c r="F8" s="107" t="str">
        <x:v>Magnification</x:v>
      </x:c>
      <x:c r="G8" s="107" t="str">
        <x:v>Trap</x:v>
      </x:c>
      <x:c r="H8" s="107" t="str">
        <x:v>Best photo</x:v>
      </x:c>
    </x:row>
    <x:row r="9" ht="68" customHeight="1">
      <x:c r="A9" s="107" t="str">
        <x:v>15–80 male flowers crowded near raceme tip</x:v>
      </x:c>
      <x:c r="B9" s="107" t="str">
        <x:v>T. betonicifolia</x:v>
      </x:c>
      <x:c r="C9" s="107" t="str">
        <x:v>Broad triangular leaf; 10–40 mm petiole; non-coiling stem tip</x:v>
      </x:c>
      <x:c r="D9" s="107" t="str">
        <x:v>Papillate stigma + long narrow female sepals</x:v>
      </x:c>
      <x:c r="E9" s="107" t="str">
        <x:v>High with flowers</x:v>
      </x:c>
      <x:c r="F9" s="107" t="str">
        <x:v>10×; macro for stigma</x:v>
      </x:c>
      <x:c r="G9" s="107" t="str">
        <x:v>Broad leaves overlap brevispica</x:v>
      </x:c>
      <x:c r="H9" s="107" t="str">
        <x:v>Full raceme from base to tip</x:v>
      </x:c>
    </x:row>
    <x:row r="10" ht="68" customHeight="1">
      <x:c r="A10" s="107" t="str">
        <x:v>Stem truly coils around another plant</x:v>
      </x:c>
      <x:c r="B10" s="107" t="str">
        <x:v>T. brevispica</x:v>
      </x:c>
      <x:c r="C10" s="107" t="str">
        <x:v>Usually broad, heart-based leaf; only 2–8 male flowers</x:v>
      </x:c>
      <x:c r="D10" s="107" t="str">
        <x:v>Fruit often matures only one carpel</x:v>
      </x:c>
      <x:c r="E10" s="107" t="str">
        <x:v>High with fruit</x:v>
      </x:c>
      <x:c r="F10" s="107" t="str">
        <x:v>10×</x:v>
      </x:c>
      <x:c r="G10" s="107" t="str">
        <x:v>Some stems are erect; leaves are variable</x:v>
      </x:c>
      <x:c r="H10" s="107" t="str">
        <x:v>Stem/support relationship + capsule</x:v>
      </x:c>
    </x:row>
    <x:row r="11" ht="68" customHeight="1">
      <x:c r="A11" s="107" t="str">
        <x:v>Erect dark stem; large coarse-toothed leaf on tiny stalk</x:v>
      </x:c>
      <x:c r="B11" s="107" t="str">
        <x:v>T. nigricans</x:v>
      </x:c>
      <x:c r="C11" s="107" t="str">
        <x:v>1–5 mm petiole; wedge-to-rounded leaf base; 2–5 male flowers</x:v>
      </x:c>
      <x:c r="D11" s="107" t="str">
        <x:v>4–5 stamen filaments fused halfway</x:v>
      </x:c>
      <x:c r="E11" s="107" t="str">
        <x:v>High with flower macro</x:v>
      </x:c>
      <x:c r="F11" s="107" t="str">
        <x:v>20× or macro</x:v>
      </x:c>
      <x:c r="G11" s="107" t="str">
        <x:v>Color alone is never enough</x:v>
      </x:c>
      <x:c r="H11" s="107" t="str">
        <x:v>Scaled leaf + male flower</x:v>
      </x:c>
    </x:row>
    <x:row r="12" ht="68" customHeight="1">
      <x:c r="A12" s="107" t="str">
        <x:v>Many branches; narrow upper leaves</x:v>
      </x:c>
      <x:c r="B12" s="107" t="str">
        <x:v>T. ramosa</x:v>
      </x:c>
      <x:c r="C12" s="107" t="str">
        <x:v>Stem tip rarely coils; 2–20 male flowers; usually three fruit sections</x:v>
      </x:c>
      <x:c r="D12" s="107" t="str">
        <x:v>Smooth-to-wavy stigma + long-exserted styles</x:v>
      </x:c>
      <x:c r="E12" s="107" t="str">
        <x:v>Moderate-high</x:v>
      </x:c>
      <x:c r="F12" s="107" t="str">
        <x:v>20× or macro</x:v>
      </x:c>
      <x:c r="G12" s="107" t="str">
        <x:v>Leaf width changes with environment</x:v>
      </x:c>
      <x:c r="H12" s="107" t="str">
        <x:v>Upper stem + female flower + capsule</x:v>
      </x:c>
    </x:row>
    <x:row r="14">
      <x:c r="A14" s="145" t="str">
        <x:v>Tiny botany dictionary — start with the everyday phrase, then learn the technical word</x:v>
      </x:c>
      <x:c r="B14" s="145"/>
      <x:c r="C14" s="145"/>
      <x:c r="D14" s="145"/>
      <x:c r="E14" s="145"/>
      <x:c r="F14" s="145"/>
      <x:c r="G14" s="145"/>
      <x:c r="H14" s="145"/>
    </x:row>
    <x:row r="16" ht="54" customHeight="1">
      <x:c r="A16" s="147" t="str">
        <x:v>Everyday phrase</x:v>
      </x:c>
      <x:c r="B16" s="147" t="str">
        <x:v>Botanical term</x:v>
      </x:c>
      <x:c r="C16" s="147" t="str">
        <x:v>What it means</x:v>
      </x:c>
      <x:c r="D16" s="147" t="str">
        <x:v>Why it matters</x:v>
      </x:c>
      <x:c r="E16" s="147" t="str">
        <x:v>Everyday phrase</x:v>
      </x:c>
      <x:c r="F16" s="147" t="str">
        <x:v>Botanical term</x:v>
      </x:c>
      <x:c r="G16" s="147" t="str">
        <x:v>What it means</x:v>
      </x:c>
      <x:c r="H16" s="147" t="str">
        <x:v>Why it matters</x:v>
      </x:c>
    </x:row>
    <x:row r="17" ht="54" customHeight="1">
      <x:c r="A17" s="128" t="str">
        <x:v>Stem winds around support</x:v>
      </x:c>
      <x:c r="B17" s="130" t="str">
        <x:v>Twining</x:v>
      </x:c>
      <x:c r="C17" s="128" t="str">
        <x:v>The stem coils around another plant instead of using tendrils.</x:v>
      </x:c>
      <x:c r="D17" s="128" t="str">
        <x:v>Strong support for brevispica.</x:v>
      </x:c>
      <x:c r="E17" s="128" t="str">
        <x:v>Whip-like or bending tip</x:v>
      </x:c>
      <x:c r="F17" s="130" t="str">
        <x:v>Flexuous</x:v>
      </x:c>
      <x:c r="G17" s="128" t="str">
        <x:v>A stem tip that bends back and forth rather than staying straight.</x:v>
      </x:c>
      <x:c r="H17" s="128" t="str">
        <x:v>Usually present in brevispica; absent or rare in the others.</x:v>
      </x:c>
    </x:row>
    <x:row r="18" ht="54" customHeight="1">
      <x:c r="A18" s="128" t="str">
        <x:v>Heart-notched leaf base</x:v>
      </x:c>
      <x:c r="B18" s="130" t="str">
        <x:v>Cordate</x:v>
      </x:c>
      <x:c r="C18" s="128" t="str">
        <x:v>The leaf base has two rounded lobes and a central notch.</x:v>
      </x:c>
      <x:c r="D18" s="128" t="str">
        <x:v>Common in broad-leaved betonicifolia or brevispica.</x:v>
      </x:c>
      <x:c r="E18" s="128" t="str">
        <x:v>Straight-across leaf base</x:v>
      </x:c>
      <x:c r="F18" s="130" t="str">
        <x:v>Truncate</x:v>
      </x:c>
      <x:c r="G18" s="128" t="str">
        <x:v>The base looks cut straight across.</x:v>
      </x:c>
      <x:c r="H18" s="128" t="str">
        <x:v>Common in ramosa and possible in the broad-leaved pair.</x:v>
      </x:c>
    </x:row>
    <x:row r="19" ht="54" customHeight="1">
      <x:c r="A19" s="128" t="str">
        <x:v>Female flower</x:v>
      </x:c>
      <x:c r="B19" s="130" t="str">
        <x:v>Pistillate</x:v>
      </x:c>
      <x:c r="C19" s="128" t="str">
        <x:v>A flower with the ovary, styles, and stigmas that can form fruit.</x:v>
      </x:c>
      <x:c r="D19" s="128" t="str">
        <x:v>It sits low on the Tragia raceme.</x:v>
      </x:c>
      <x:c r="E19" s="128" t="str">
        <x:v>Male flower</x:v>
      </x:c>
      <x:c r="F19" s="130" t="str">
        <x:v>Staminate</x:v>
      </x:c>
      <x:c r="G19" s="128" t="str">
        <x:v>A flower producing pollen on stamens.</x:v>
      </x:c>
      <x:c r="H19" s="128" t="str">
        <x:v>Count these above the female flower.</x:v>
      </x:c>
    </x:row>
    <x:row r="20" ht="54" customHeight="1">
      <x:c r="A20" s="128" t="str">
        <x:v>Bumpy stigma</x:v>
      </x:c>
      <x:c r="B20" s="130" t="str">
        <x:v>Papillate</x:v>
      </x:c>
      <x:c r="C20" s="128" t="str">
        <x:v>The pollen-receiving surface has tiny nipple-like bumps.</x:v>
      </x:c>
      <x:c r="D20" s="128" t="str">
        <x:v>Supports betonicifolia; needs a macro view.</x:v>
      </x:c>
      <x:c r="E20" s="128" t="str">
        <x:v>Fruit section</x:v>
      </x:c>
      <x:c r="F20" s="130" t="str">
        <x:v>Carpel</x:v>
      </x:c>
      <x:c r="G20" s="128" t="str">
        <x:v>One of the three ovary sections that normally holds a seed.</x:v>
      </x:c>
      <x:c r="H20" s="128" t="str">
        <x:v>Only one often matures in brevispica.</x:v>
      </x:c>
    </x:row>
    <x:row r="22">
      <x:c r="A22" s="149" t="str">
        <x:v>Safe standard photo set — useful for field review now and a future Central Texas image model</x:v>
      </x:c>
      <x:c r="B22" s="149"/>
      <x:c r="C22" s="149"/>
      <x:c r="D22" s="149"/>
      <x:c r="E22" s="149"/>
      <x:c r="F22" s="149"/>
      <x:c r="G22" s="149"/>
      <x:c r="H22" s="149"/>
    </x:row>
    <x:row r="24" ht="58" customHeight="1">
      <x:c r="A24" s="107" t="str">
        <x:v>Shot</x:v>
      </x:c>
      <x:c r="B24" s="107" t="str">
        <x:v>What to capture</x:v>
      </x:c>
      <x:c r="C24" s="107" t="str">
        <x:v>Why it matters</x:v>
      </x:c>
      <x:c r="D24" s="107" t="str">
        <x:v>Scale</x:v>
      </x:c>
      <x:c r="E24" s="107" t="str">
        <x:v>Angle</x:v>
      </x:c>
      <x:c r="F24" s="107" t="str">
        <x:v>Minimum focus</x:v>
      </x:c>
      <x:c r="G24" s="107" t="str">
        <x:v>Safety / ethics</x:v>
      </x:c>
      <x:c r="H24" s="107" t="str">
        <x:v>File label example</x:v>
      </x:c>
    </x:row>
    <x:row r="25" ht="58" customHeight="1">
      <x:c r="A25" s="107" t="n">
        <x:v>1</x:v>
      </x:c>
      <x:c r="B25" s="107" t="str">
        <x:v>Whole plant in place</x:v>
      </x:c>
      <x:c r="C25" s="107" t="str">
        <x:v>Height, branching, posture, and habitat</x:v>
      </x:c>
      <x:c r="D25" s="107" t="str">
        <x:v>Ruler placed nearby if safe</x:v>
      </x:c>
      <x:c r="E25" s="107" t="str">
        <x:v>Straight-on + side</x:v>
      </x:c>
      <x:c r="F25" s="107" t="str">
        <x:v>Entire plant and base</x:v>
      </x:c>
      <x:c r="G25" s="107" t="str">
        <x:v>Stay outside the stinging canopy</x:v>
      </x:c>
      <x:c r="H25" s="107" t="str">
        <x:v>species_date_site_whole</x:v>
      </x:c>
    </x:row>
    <x:row r="26" ht="58" customHeight="1">
      <x:c r="A26" s="107" t="n">
        <x:v>2</x:v>
      </x:c>
      <x:c r="B26" s="107" t="str">
        <x:v>Stem and its support</x:v>
      </x:c>
      <x:c r="C26" s="107" t="str">
        <x:v>True coiling versus leaning, trailing, or self-supporting</x:v>
      </x:c>
      <x:c r="D26" s="107" t="str">
        <x:v>Known stem length</x:v>
      </x:c>
      <x:c r="E26" s="107" t="str">
        <x:v>Side view</x:v>
      </x:c>
      <x:c r="F26" s="107" t="str">
        <x:v>Two or more internodes</x:v>
      </x:c>
      <x:c r="G26" s="107" t="str">
        <x:v>Do not unwrap or reposition the stem</x:v>
      </x:c>
      <x:c r="H26" s="107" t="str">
        <x:v>species_date_stem_posture</x:v>
      </x:c>
    </x:row>
    <x:row r="27" ht="58" customHeight="1">
      <x:c r="A27" s="107" t="n">
        <x:v>3</x:v>
      </x:c>
      <x:c r="B27" s="107" t="str">
        <x:v>Attached leaf, base, petiole, and teeth</x:v>
      </x:c>
      <x:c r="C27" s="107" t="str">
        <x:v>Shape, size, leaf-base type, stalk length, and tooth form</x:v>
      </x:c>
      <x:c r="D27" s="107" t="str">
        <x:v>Millimeter ruler beside leaf</x:v>
      </x:c>
      <x:c r="E27" s="107" t="str">
        <x:v>Flat to camera</x:v>
      </x:c>
      <x:c r="F27" s="107" t="str">
        <x:v>Base, full edge, and tip</x:v>
      </x:c>
      <x:c r="G27" s="107" t="str">
        <x:v>Use zoom; do not flatten by hand</x:v>
      </x:c>
      <x:c r="H27" s="107" t="str">
        <x:v>species_date_leaf_scale</x:v>
      </x:c>
    </x:row>
    <x:row r="28" ht="58" customHeight="1">
      <x:c r="A28" s="107" t="n">
        <x:v>4</x:v>
      </x:c>
      <x:c r="B28" s="107" t="str">
        <x:v>Entire raceme from lowest female flower to tip</x:v>
      </x:c>
      <x:c r="C28" s="107" t="str">
        <x:v>Male-flower count, clustering, and flower zones</x:v>
      </x:c>
      <x:c r="D28" s="107" t="str">
        <x:v>Millimeter ruler nearby</x:v>
      </x:c>
      <x:c r="E28" s="107" t="str">
        <x:v>Parallel to raceme</x:v>
      </x:c>
      <x:c r="F28" s="107" t="str">
        <x:v>All buds and flower scars</x:v>
      </x:c>
      <x:c r="G28" s="107" t="str">
        <x:v>Avoid brushing neighboring hairs</x:v>
      </x:c>
      <x:c r="H28" s="107" t="str">
        <x:v>species_date_raceme</x:v>
      </x:c>
    </x:row>
    <x:row r="29" ht="58" customHeight="1">
      <x:c r="A29" s="107" t="n">
        <x:v>5</x:v>
      </x:c>
      <x:c r="B29" s="107" t="str">
        <x:v>One male flower</x:v>
      </x:c>
      <x:c r="C29" s="107" t="str">
        <x:v>Stamen number and filament fusion</x:v>
      </x:c>
      <x:c r="D29" s="107" t="str">
        <x:v>Macro scale</x:v>
      </x:c>
      <x:c r="E29" s="107" t="str">
        <x:v>Front + side</x:v>
      </x:c>
      <x:c r="F29" s="107" t="str">
        <x:v>Filaments and anthers</x:v>
      </x:c>
      <x:c r="G29" s="107" t="str">
        <x:v>Photograph in place</x:v>
      </x:c>
      <x:c r="H29" s="107" t="str">
        <x:v>species_date_male_flower</x:v>
      </x:c>
    </x:row>
    <x:row r="30" ht="58" customHeight="1">
      <x:c r="A30" s="107" t="n">
        <x:v>6</x:v>
      </x:c>
      <x:c r="B30" s="107" t="str">
        <x:v>Female flower, styles, and stigma</x:v>
      </x:c>
      <x:c r="C30" s="107" t="str">
        <x:v>Stigma texture, style fusion, and exsertion</x:v>
      </x:c>
      <x:c r="D30" s="107" t="str">
        <x:v>Macro scale</x:v>
      </x:c>
      <x:c r="E30" s="107" t="str">
        <x:v>Top + side</x:v>
      </x:c>
      <x:c r="F30" s="107" t="str">
        <x:v>Stigma surface and sepal tips</x:v>
      </x:c>
      <x:c r="G30" s="107" t="str">
        <x:v>Photograph in place</x:v>
      </x:c>
      <x:c r="H30" s="107" t="str">
        <x:v>species_date_female_style</x:v>
      </x:c>
    </x:row>
    <x:row r="31" ht="58" customHeight="1">
      <x:c r="A31" s="107" t="n">
        <x:v>7</x:v>
      </x:c>
      <x:c r="B31" s="107" t="str">
        <x:v>Developing and mature capsule</x:v>
      </x:c>
      <x:c r="C31" s="107" t="str">
        <x:v>One versus three mature carpels and capsule size</x:v>
      </x:c>
      <x:c r="D31" s="107" t="str">
        <x:v>Millimeter ruler nearby</x:v>
      </x:c>
      <x:c r="E31" s="107" t="str">
        <x:v>Three-quarter view</x:v>
      </x:c>
      <x:c r="F31" s="107" t="str">
        <x:v>All capsule lobes</x:v>
      </x:c>
      <x:c r="G31" s="107" t="str">
        <x:v>Use naturally visible fruit; do not collect without permission</x:v>
      </x:c>
      <x:c r="H31" s="107" t="str">
        <x:v>species_date_capsule</x:v>
      </x:c>
    </x:row>
    <x:row r="33" ht="34" customHeight="1">
      <x:c r="A33" s="152" t="str">
        <x:v>Field rule: foliage alone gives a candidate, not a final Tragia species. Record what is missing and return for a raceme, stigma, stamens, or mature capsule.</x:v>
      </x:c>
      <x:c r="B33" s="152"/>
      <x:c r="C33" s="152"/>
      <x:c r="D33" s="152"/>
      <x:c r="E33" s="152"/>
      <x:c r="F33" s="152"/>
      <x:c r="G33" s="152"/>
      <x:c r="H33" s="152"/>
    </x:row>
  </x:sheetData>
  <x:mergeCells>
    <x:mergeCell ref="A1:H1"/>
    <x:mergeCell ref="A2:H2"/>
    <x:mergeCell ref="A4:H4"/>
    <x:mergeCell ref="A6:H6"/>
    <x:mergeCell ref="A14:H14"/>
    <x:mergeCell ref="A22:H22"/>
    <x:mergeCell ref="A33:H33"/>
  </x:mergeCells>
  <x:pageMargins left="0.7" right="0.7" top="0.75" bottom="0.75" header="0.3" footer="0.3"/>
  <x:tableParts count="2">
    <x:tablePart xmlns:r="http://schemas.openxmlformats.org/officeDocument/2006/relationships" r:id="R67f501040657423f"/>
    <x:tablePart xmlns:r="http://schemas.openxmlformats.org/officeDocument/2006/relationships" r:id="Rdb69cbe2295341b6"/>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 hidden="0" customWidth="1"/>
    <x:col min="2" max="2" width="25" hidden="0" customWidth="1"/>
    <x:col min="3" max="3" width="25" hidden="0" customWidth="1"/>
    <x:col min="4" max="4" width="24" hidden="0" customWidth="1"/>
    <x:col min="5" max="5" width="20" hidden="0" customWidth="1"/>
    <x:col min="6" max="6" width="39" hidden="0" customWidth="1"/>
    <x:col min="7" max="7" width="34" hidden="0" customWidth="1"/>
    <x:col min="8" max="8" width="36" hidden="0" customWidth="1"/>
    <x:col min="9" max="9" width="35" hidden="0" customWidth="1"/>
    <x:col min="10" max="10" width="18" hidden="0" customWidth="1"/>
    <x:col min="11" max="11" width="34" hidden="0" customWidth="1"/>
    <x:col min="12" max="12" width="21" hidden="0" customWidth="1"/>
    <x:col min="13" max="13" width="35" hidden="0" customWidth="1"/>
    <x:col min="14" max="14" width="29" hidden="0" customWidth="1"/>
    <x:col min="15" max="15" width="38" hidden="0" customWidth="1"/>
    <x:col min="16" max="16" width="46" hidden="0" customWidth="1"/>
    <x:col min="17" max="17" width="23" hidden="0" customWidth="1"/>
    <x:col min="18" max="18" width="28" hidden="0" customWidth="1"/>
    <x:col min="19" max="19" width="38" hidden="0" customWidth="1"/>
    <x:col min="20" max="20" width="35" hidden="0" customWidth="1"/>
    <x:col min="21" max="21" width="48" hidden="0" customWidth="1"/>
    <x:col min="22" max="22" width="42" hidden="0" customWidth="1"/>
    <x:col min="23" max="23" width="29" hidden="0" customWidth="1"/>
    <x:col min="24" max="24" width="42" hidden="0" customWidth="1"/>
    <x:col min="25" max="25" width="49" hidden="0" customWidth="1"/>
    <x:col min="26" max="26" width="44" hidden="0" customWidth="1"/>
    <x:col min="27" max="27" width="42" hidden="0" customWidth="1"/>
    <x:col min="28" max="28" width="31" hidden="0" customWidth="1"/>
    <x:col min="29" max="29" width="46" hidden="0" customWidth="1"/>
    <x:col min="30" max="30" width="50" hidden="0" customWidth="1"/>
    <x:col min="31" max="31" width="44" hidden="0" customWidth="1"/>
  </x:cols>
  <x:sheetData>
    <x:row r="1" ht="36" customHeight="1">
      <x:c r="A1" s="107" t="str">
        <x:v>Record ID</x:v>
      </x:c>
      <x:c r="B1" s="107" t="str">
        <x:v>Submitted Scientific Name</x:v>
      </x:c>
      <x:c r="C1" s="107" t="str">
        <x:v>Accepted Scientific Name</x:v>
      </x:c>
      <x:c r="D1" s="107" t="str">
        <x:v>Common Name(s)</x:v>
      </x:c>
      <x:c r="E1" s="107" t="str">
        <x:v>Life History</x:v>
      </x:c>
      <x:c r="F1" s="107" t="str">
        <x:v>Habit and Size</x:v>
      </x:c>
      <x:c r="G1" s="107" t="str">
        <x:v>Stem Color / Apex</x:v>
      </x:c>
      <x:c r="H1" s="107" t="str">
        <x:v>Twining Tendency</x:v>
      </x:c>
      <x:c r="I1" s="107" t="str">
        <x:v>Hairs / Sap</x:v>
      </x:c>
      <x:c r="J1" s="107" t="str">
        <x:v>Petiole Length</x:v>
      </x:c>
      <x:c r="K1" s="107" t="str">
        <x:v>Leaf Shape</x:v>
      </x:c>
      <x:c r="L1" s="107" t="str">
        <x:v>Leaf Size</x:v>
      </x:c>
      <x:c r="M1" s="107" t="str">
        <x:v>Leaf Base</x:v>
      </x:c>
      <x:c r="N1" s="107" t="str">
        <x:v>Leaf Margin</x:v>
      </x:c>
      <x:c r="O1" s="107" t="str">
        <x:v>Leaf Proportion / Field Signal</x:v>
      </x:c>
      <x:c r="P1" s="107" t="str">
        <x:v>Inflorescence Position / Sex Zones</x:v>
      </x:c>
      <x:c r="Q1" s="107" t="str">
        <x:v>Inflorescence Glands</x:v>
      </x:c>
      <x:c r="R1" s="107" t="str">
        <x:v>Staminate Flowers per Raceme</x:v>
      </x:c>
      <x:c r="S1" s="107" t="str">
        <x:v>Staminate Pedicel / Persistent Base</x:v>
      </x:c>
      <x:c r="T1" s="107" t="str">
        <x:v>Stamens / Filament Fusion</x:v>
      </x:c>
      <x:c r="U1" s="107" t="str">
        <x:v>Pistillate Flower / Styles / Stigmas</x:v>
      </x:c>
      <x:c r="V1" s="107" t="str">
        <x:v>Capsule / Mature Carpels</x:v>
      </x:c>
      <x:c r="W1" s="107" t="str">
        <x:v>Seed</x:v>
      </x:c>
      <x:c r="X1" s="107" t="str">
        <x:v>Strongest Field Signal</x:v>
      </x:c>
      <x:c r="Y1" s="107" t="str">
        <x:v>Required Confirmation</x:v>
      </x:c>
      <x:c r="Z1" s="107" t="str">
        <x:v>Weak / Variable Clues</x:v>
      </x:c>
      <x:c r="AA1" s="107" t="str">
        <x:v>Habitat / Season</x:v>
      </x:c>
      <x:c r="AB1" s="107" t="str">
        <x:v>Evidence Strength</x:v>
      </x:c>
      <x:c r="AC1" s="107" t="str">
        <x:v>Standard Photo Set</x:v>
      </x:c>
      <x:c r="AD1" s="107" t="str">
        <x:v>Source URLs</x:v>
      </x:c>
      <x:c r="AE1" s="107" t="str">
        <x:v>Source Note</x:v>
      </x:c>
    </x:row>
    <x:row r="2" ht="118" customHeight="1">
      <x:c r="A2" s="107" t="str">
        <x:v>HAYS-0816</x:v>
      </x:c>
      <x:c r="B2" s="107" t="str">
        <x:v>Tragia betonicifolia</x:v>
      </x:c>
      <x:c r="C2" s="107" t="str">
        <x:v>Tragia betonicifolia</x:v>
      </x:c>
      <x:c r="D2" s="107" t="str">
        <x:v>Betonyleaf Noseburn</x:v>
      </x:c>
      <x:c r="E2" s="107" t="str">
        <x:v>Perennial herb or subshrub</x:v>
      </x:c>
      <x:c r="F2" s="107" t="str">
        <x:v>Erect, decumbent, or trailing; 20–50 cm; often several branches from the crown</x:v>
      </x:c>
      <x:c r="G2" s="107" t="str">
        <x:v>Green to whitish green; stem tip never flexuous (not whip-like or coiling)</x:v>
      </x:c>
      <x:c r="H2" s="107" t="str">
        <x:v>Not normally a true twiner; may trail through nearby vegetation</x:v>
      </x:c>
      <x:c r="I2" s="107" t="str">
        <x:v>Stinging hairs (urticating trichomes); latex absent at genus level</x:v>
      </x:c>
      <x:c r="J2" s="107" t="str">
        <x:v>10–40 mm</x:v>
      </x:c>
      <x:c r="K2" s="107" t="str">
        <x:v>Triangular-lanceolate to triangular-ovate</x:v>
      </x:c>
      <x:c r="L2" s="107" t="str">
        <x:v>15–60 × 10–35 mm</x:v>
      </x:c>
      <x:c r="M2" s="107" t="str">
        <x:v>Cordate to truncate — heart-notched to nearly straight across</x:v>
      </x:c>
      <x:c r="N2" s="107" t="str">
        <x:v>Serrate — saw-toothed</x:v>
      </x:c>
      <x:c r="O2" s="107" t="str">
        <x:v>Broad triangular leaf with a relatively long stalk; overlaps T. brevispica</x:v>
      </x:c>
      <x:c r="P2" s="107" t="str">
        <x:v>Terminal, usually appearing opposite a leaf; female flowers low and male flowers above</x:v>
      </x:c>
      <x:c r="Q2" s="107" t="str">
        <x:v>Absent</x:v>
      </x:c>
      <x:c r="R2" s="107" t="str">
        <x:v>15–80 per raceme, crowded toward the tip</x:v>
      </x:c>
      <x:c r="S2" s="107" t="str">
        <x:v>0.7–1 mm; persistent base 0.3–0.6 mm and shorter than its bract</x:v>
      </x:c>
      <x:c r="T2" s="107" t="str">
        <x:v>Usually 3, occasionally 4; filaments 0.4–1 mm</x:v>
      </x:c>
      <x:c r="U2" s="107" t="str">
        <x:v>Pistillate sepals lanceolate, 1.8–5 mm; styles fused for about basal 1/3; stigmas papillate</x:v>
      </x:c>
      <x:c r="V2" s="107" t="str">
        <x:v>Capsule 7–9 mm wide; normally three carpels mature</x:v>
      </x:c>
      <x:c r="W2" s="107" t="str">
        <x:v>Dark brown with lighter streaks; 3–4 mm</x:v>
      </x:c>
      <x:c r="X2" s="107" t="str">
        <x:v>The crowded-raceme noseburn: usually 15–80 male flowers packed toward the top.</x:v>
      </x:c>
      <x:c r="Y2" s="107" t="str">
        <x:v>Confirm a non-coiling stem tip, papillate stigmas, long narrow female sepals, and a short male-pedicel base below its bract.</x:v>
      </x:c>
      <x:c r="Z2" s="107" t="str">
        <x:v>Broad triangular leaves support the ID but overlap T. brevispica; sandy habitat is only supporting evidence.</x:v>
      </x:c>
      <x:c r="AA2" s="107" t="str">
        <x:v>Dry sandy soil, disturbed fields, prairies, and open woods; flowers late spring–summer and fruits summer–fall.</x:v>
      </x:c>
      <x:c r="AB2" s="107" t="str">
        <x:v>High with flowering raceme</x:v>
      </x:c>
      <x:c r="AC2" s="107" t="str">
        <x:v>Whole habit from a safe distance; stem tip; leaf base and petiole with scale; full raceme showing male-flower count; female flower/stigma; capsule.</x:v>
      </x:c>
      <x:c r="AD2" s="107" t="str">
        <x:v>http://www.efloras.org/florataxon.aspx?flora_id=1&amp;taxon_id=242417367
https://fwbg.org/wp-content/uploads/2025/04/FNCT_0210-0617-Acanth-Euph.pdf</x:v>
      </x:c>
      <x:c r="AE2" s="107" t="str">
        <x:v>Flora of North America species treatment plus the regional North Central Texas key.</x:v>
      </x:c>
    </x:row>
    <x:row r="3" ht="118" customHeight="1">
      <x:c r="A3" s="107" t="str">
        <x:v>HAYS-0817</x:v>
      </x:c>
      <x:c r="B3" s="107" t="str">
        <x:v>Tragia brevispica</x:v>
      </x:c>
      <x:c r="C3" s="107" t="str">
        <x:v>Tragia brevispica</x:v>
      </x:c>
      <x:c r="D3" s="107" t="str">
        <x:v>Shortspike Noseburn</x:v>
      </x:c>
      <x:c r="E3" s="107" t="str">
        <x:v>Perennial herb or vine</x:v>
      </x:c>
      <x:c r="F3" s="107" t="str">
        <x:v>Decumbent, erect, or commonly twining; 20–120 cm; slender tough stems can coil around other herbs</x:v>
      </x:c>
      <x:c r="G3" s="107" t="str">
        <x:v>Light green; stem tip usually flexuous (bending or coiling)</x:v>
      </x:c>
      <x:c r="H3" s="107" t="str">
        <x:v>The strongest true twiner in this four-species set, but some stems may be erect</x:v>
      </x:c>
      <x:c r="I3" s="107" t="str">
        <x:v>Stinging hairs plus shorter hairs; latex absent</x:v>
      </x:c>
      <x:c r="J3" s="107" t="str">
        <x:v>6–38 mm</x:v>
      </x:c>
      <x:c r="K3" s="107" t="str">
        <x:v>Triangular to cordate; locally often triangular to arrow-shaped</x:v>
      </x:c>
      <x:c r="L3" s="107" t="str">
        <x:v>19–60 × 15–35 mm</x:v>
      </x:c>
      <x:c r="M3" s="107" t="str">
        <x:v>Truncate to cordate — straight across to heart-notched</x:v>
      </x:c>
      <x:c r="N3" s="107" t="str">
        <x:v>Serrate to crenate — sharp to rounded teeth</x:v>
      </x:c>
      <x:c r="O3" s="107" t="str">
        <x:v>Usually broad relative to length, but FNA warns that leaves are highly variable</x:v>
      </x:c>
      <x:c r="P3" s="107" t="str">
        <x:v>Terminal, often appearing opposite a leaf; one or two female flowers low, male flowers above</x:v>
      </x:c>
      <x:c r="Q3" s="107" t="str">
        <x:v>Absent</x:v>
      </x:c>
      <x:c r="R3" s="107" t="str">
        <x:v>2–8, rarely 10, per raceme</x:v>
      </x:c>
      <x:c r="S3" s="107" t="str">
        <x:v>0.7–2 mm; persistent base 0.4–1.5 mm</x:v>
      </x:c>
      <x:c r="T3" s="107" t="str">
        <x:v>3–4, rarely 5; filaments 0.3–0.6 mm</x:v>
      </x:c>
      <x:c r="U3" s="107" t="str">
        <x:v>Pistillate sepals ovate, 1.3–3.5 mm; styles fused for basal 1/3; stigmas subpapillate to undulate</x:v>
      </x:c>
      <x:c r="V3" s="107" t="str">
        <x:v>Capsule 6.5–7 mm wide; often only one of the three carpels matures—a unique clue in the FNA Tragia treatment</x:v>
      </x:c>
      <x:c r="W3" s="107" t="str">
        <x:v>Dark brown; 2.5–3.8 mm; caruncle absent</x:v>
      </x:c>
      <x:c r="X3" s="107" t="str">
        <x:v>The coiling noseburn: a flexible perennial stem winding around nearby plants, usually with broad heart-based leaves.</x:v>
      </x:c>
      <x:c r="Y3" s="107" t="str">
        <x:v>Confirm only 2–8 male flowers and, best of all, a fruit in which only one carpel has matured.</x:v>
      </x:c>
      <x:c r="Z3" s="107" t="str">
        <x:v>It is not always actively twining, and its leaf shape can strongly resemble T. ramosa.</x:v>
      </x:c>
      <x:c r="AA3" s="107" t="str">
        <x:v>Open forests, scrublands, roadsides, and open fields, often loam or clay; flowers spring–fall and fruits late summer–fall.</x:v>
      </x:c>
      <x:c r="AB3" s="107" t="str">
        <x:v>High with fruit; moderate from foliage</x:v>
      </x:c>
      <x:c r="AC3" s="107" t="str">
        <x:v>Whole plant showing what the stem coils around; stem tip; broad leaf and base with scale; entire raceme; stigma macro; capsule showing mature carpels.</x:v>
      </x:c>
      <x:c r="AD3" s="107" t="str">
        <x:v>http://www.efloras.org/florataxon.aspx?flora_id=1&amp;taxon_id=250101934
https://w3.biosci.utexas.edu/prc/K12/pages/Tragia%20brevispica.html
https://fwbg.org/wp-content/uploads/2025/04/FNCT_0210-0617-Acanth-Euph.pdf</x:v>
      </x:c>
      <x:c r="AE3" s="107" t="str">
        <x:v>Flora of North America plus a detailed University of Texas Williamson County treatment and the regional key.</x:v>
      </x:c>
    </x:row>
    <x:row r="4" ht="118" customHeight="1">
      <x:c r="A4" s="107" t="str">
        <x:v>HAYS-0818</x:v>
      </x:c>
      <x:c r="B4" s="107" t="str">
        <x:v>Tragia nigricans</x:v>
      </x:c>
      <x:c r="C4" s="107" t="str">
        <x:v>Tragia nigricans</x:v>
      </x:c>
      <x:c r="D4" s="107" t="str">
        <x:v>Dark Noseburn</x:v>
      </x:c>
      <x:c r="E4" s="107" t="str">
        <x:v>Perennial herb</x:v>
      </x:c>
      <x:c r="F4" s="107" t="str">
        <x:v>Erect and self-supporting; 15–55 cm</x:v>
      </x:c>
      <x:c r="G4" s="107" t="str">
        <x:v>Purple-green to reddish black; stem tip never flexuous</x:v>
      </x:c>
      <x:c r="H4" s="107" t="str">
        <x:v>Not a twiner</x:v>
      </x:c>
      <x:c r="I4" s="107" t="str">
        <x:v>Stinging hairs; latex absent at genus level</x:v>
      </x:c>
      <x:c r="J4" s="107" t="str">
        <x:v>1–5 mm — the shortest petiole in this four-species set</x:v>
      </x:c>
      <x:c r="K4" s="107" t="str">
        <x:v>Oblong to oblanceolate — widest near or above the middle</x:v>
      </x:c>
      <x:c r="L4" s="107" t="str">
        <x:v>30–70 × 10–28 mm</x:v>
      </x:c>
      <x:c r="M4" s="107" t="str">
        <x:v>Acute to obtuse — wedge-shaped to rounded, not heart-notched</x:v>
      </x:c>
      <x:c r="N4" s="107" t="str">
        <x:v>Coarsely serrate; tooth tips often bend slightly backward</x:v>
      </x:c>
      <x:c r="O4" s="107" t="str">
        <x:v>Large coarse-toothed leaf on a very short stalk; not triangular or heart-based</x:v>
      </x:c>
      <x:c r="P4" s="107" t="str">
        <x:v>Terminal, appearing opposite a leaf; female flower low and a few male flowers above</x:v>
      </x:c>
      <x:c r="Q4" s="107" t="str">
        <x:v>Absent</x:v>
      </x:c>
      <x:c r="R4" s="107" t="str">
        <x:v>2–5 per raceme</x:v>
      </x:c>
      <x:c r="S4" s="107" t="str">
        <x:v>1.3–1.6 mm; persistent base only 0.2–0.4 mm</x:v>
      </x:c>
      <x:c r="T4" s="107" t="str">
        <x:v>4–5; filaments 0.7–1.3 mm and fused together for half their length</x:v>
      </x:c>
      <x:c r="U4" s="107" t="str">
        <x:v>Pistillate sepals rhombic-lanceolate, 1–4 mm; styles fused for basal 1/4; stigmas undulate</x:v>
      </x:c>
      <x:c r="V4" s="107" t="str">
        <x:v>Capsule 6–7 mm wide; normally three carpels mature</x:v>
      </x:c>
      <x:c r="W4" s="107" t="str">
        <x:v>Dark brown; 2.5–3.2 mm</x:v>
      </x:c>
      <x:c r="X4" s="107" t="str">
        <x:v>The dark-stem, short-petiole noseburn: erect with large oblong or oblanceolate, coarsely toothed leaves.</x:v>
      </x:c>
      <x:c r="Y4" s="107" t="str">
        <x:v>Confirm only 2–5 male flowers and 4–5 stamens whose filaments are fused together for half their length.</x:v>
      </x:c>
      <x:c r="Z4" s="107" t="str">
        <x:v>Dark color is useful only as part of the full combination; do not identify a plant from color alone.</x:v>
      </x:c>
      <x:c r="AA4" s="107" t="str">
        <x:v>Open oak woodlands of the eastern Edwards Plateau; flowers spring–summer and fruits midsummer–fall.</x:v>
      </x:c>
      <x:c r="AB4" s="107" t="str">
        <x:v>High with flowering macro</x:v>
      </x:c>
      <x:c r="AC4" s="107" t="str">
        <x:v>Whole erect habit; stem color in neutral light; leaf, petiole, base, and coarse teeth with scale; entire raceme; male flower showing fused filaments; capsule.</x:v>
      </x:c>
      <x:c r="AD4" s="107" t="str">
        <x:v>http://www.efloras.org/florataxon.aspx?flora_id=1&amp;taxon_id=250102000
http://www.efloras.org/florataxon.aspx?flora_id=1&amp;taxon_id=133273</x:v>
      </x:c>
      <x:c r="AE4" s="107" t="str">
        <x:v>Flora of North America species treatment and genus key; FNA places it in the eastern Edwards Plateau.</x:v>
      </x:c>
    </x:row>
    <x:row r="5" ht="118" customHeight="1">
      <x:c r="A5" s="107" t="str">
        <x:v>HAYS-0819</x:v>
      </x:c>
      <x:c r="B5" s="107" t="str">
        <x:v>Tragia ramosa</x:v>
      </x:c>
      <x:c r="C5" s="107" t="str">
        <x:v>Tragia ramosa</x:v>
      </x:c>
      <x:c r="D5" s="107" t="str">
        <x:v>Branched Noseburn</x:v>
      </x:c>
      <x:c r="E5" s="107" t="str">
        <x:v>Perennial subshrub</x:v>
      </x:c>
      <x:c r="F5" s="107" t="str">
        <x:v>Erect, decumbent, or trailing; 12–50 cm; commonly many-stemmed and branched from the base</x:v>
      </x:c>
      <x:c r="G5" s="107" t="str">
        <x:v>Dark green to light green; stem tip rarely flexuous</x:v>
      </x:c>
      <x:c r="H5" s="107" t="str">
        <x:v>Usually self-supporting or trailing; occasional plants may lean or weakly twine</x:v>
      </x:c>
      <x:c r="I5" s="107" t="str">
        <x:v>Stinging hairs plus short and minute glandular hairs in the local UT treatment; latex absent</x:v>
      </x:c>
      <x:c r="J5" s="107" t="str">
        <x:v>2–20 mm</x:v>
      </x:c>
      <x:c r="K5" s="107" t="str">
        <x:v>Linear-lanceolate to narrowly ovate; local UT plants often narrowly triangular</x:v>
      </x:c>
      <x:c r="L5" s="107" t="str">
        <x:v>10–40 × 5–20 mm</x:v>
      </x:c>
      <x:c r="M5" s="107" t="str">
        <x:v>Truncate to weakly cordate</x:v>
      </x:c>
      <x:c r="N5" s="107" t="str">
        <x:v>Serrate — sharply toothed</x:v>
      </x:c>
      <x:c r="O5" s="107" t="str">
        <x:v>Upper leaves are usually conspicuously narrow and much longer than wide</x:v>
      </x:c>
      <x:c r="P5" s="107" t="str">
        <x:v>Terminal, often appearing opposite a leaf; female flower low and male flowers above</x:v>
      </x:c>
      <x:c r="Q5" s="107" t="str">
        <x:v>A few, sessile — attached without a stalk</x:v>
      </x:c>
      <x:c r="R5" s="107" t="str">
        <x:v>2–20 per raceme</x:v>
      </x:c>
      <x:c r="S5" s="107" t="str">
        <x:v>0.7–2 mm; persistent base 0.4–1.5 mm</x:v>
      </x:c>
      <x:c r="T5" s="107" t="str">
        <x:v>3–6, rarely 10; filaments 0.3–1 mm</x:v>
      </x:c>
      <x:c r="U5" s="107" t="str">
        <x:v>Pistillate sepals lanceolate, 0.8–2.5 mm; styles fused for basal 1/3–1/2 and long-exserted; stigmas smooth to undulate</x:v>
      </x:c>
      <x:c r="V5" s="107" t="str">
        <x:v>Capsule 6–8 mm wide; normally three carpels mature</x:v>
      </x:c>
      <x:c r="W5" s="107" t="str">
        <x:v>Dark brown to black; 2.5–3.5 mm; caruncle absent</x:v>
      </x:c>
      <x:c r="X5" s="107" t="str">
        <x:v>The narrow-leaved branched noseburn: usually many upright or trailing branches with narrow upper leaves.</x:v>
      </x:c>
      <x:c r="Y5" s="107" t="str">
        <x:v>Confirm smooth-to-undulate stigmas, long-exserted styles, 3–6 stamens, and a three-carpelled capsule.</x:v>
      </x:c>
      <x:c r="Z5" s="107" t="str">
        <x:v>FNA calls the species environmentally plastic; some plants have broader leaves, so leaf width alone is not decisive.</x:v>
      </x:c>
      <x:c r="AA5" s="107" t="str">
        <x:v>Oak or pine-juniper woodland, scrub, rocky slopes, and disturbed ground; flowers and fruits spring–fall.</x:v>
      </x:c>
      <x:c r="AB5" s="107" t="str">
        <x:v>Moderate-high; high with flowers and fruit</x:v>
      </x:c>
      <x:c r="AC5" s="107" t="str">
        <x:v>Whole branching habit; upper and lower leaf with scale; stem tip; entire raceme; style and stigma macro; three-lobed capsule.</x:v>
      </x:c>
      <x:c r="AD5" s="107" t="str">
        <x:v>http://www.efloras.org/florataxon.aspx?flora_id=1&amp;taxon_id=242417369
https://w3.biosci.utexas.edu/prc/K12/pages/Tragia%20ramosa.html
https://fwbg.org/wp-content/uploads/2025/04/FNCT_0210-0617-Acanth-Euph.pdf</x:v>
      </x:c>
      <x:c r="AE5" s="107" t="str">
        <x:v>Flora of North America plus a detailed University of Texas Williamson County treatment and the regional key.</x:v>
      </x:c>
    </x:row>
  </x:sheetData>
  <x:pageMargins left="0.7" right="0.7" top="0.75" bottom="0.75" header="0.3" footer="0.3"/>
  <x:tableParts count="1">
    <x:tablePart xmlns:r="http://schemas.openxmlformats.org/officeDocument/2006/relationships" r:id="R6298b8ac23cb4bea"/>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24" hidden="0" customWidth="1"/>
    <x:col min="4" max="4" width="37" hidden="0" customWidth="1"/>
    <x:col min="5" max="5" width="52" hidden="0" customWidth="1"/>
    <x:col min="6" max="6" width="43" hidden="0" customWidth="1"/>
    <x:col min="7" max="7" width="43" hidden="0" customWidth="1"/>
    <x:col min="8" max="8" width="39" hidden="0" customWidth="1"/>
    <x:col min="9" max="9" width="29" hidden="0" customWidth="1"/>
    <x:col min="10" max="10" width="27" hidden="0" customWidth="1"/>
    <x:col min="11" max="11" width="45" hidden="0" customWidth="1"/>
    <x:col min="12" max="12" width="52" hidden="0" customWidth="1"/>
  </x:cols>
  <x:sheetData>
    <x:row r="1" ht="36" customHeight="1">
      <x:c r="A1" s="107" t="str">
        <x:v>Pair ID</x:v>
      </x:c>
      <x:c r="B1" s="107" t="str">
        <x:v>Species A</x:v>
      </x:c>
      <x:c r="C1" s="107" t="str">
        <x:v>Species B</x:v>
      </x:c>
      <x:c r="D1" s="107" t="str">
        <x:v>Why They Can Be Confused</x:v>
      </x:c>
      <x:c r="E1" s="107" t="str">
        <x:v>First Split — Plain Language</x:v>
      </x:c>
      <x:c r="F1" s="107" t="str">
        <x:v>Confirm Species A</x:v>
      </x:c>
      <x:c r="G1" s="107" t="str">
        <x:v>Confirm Species B</x:v>
      </x:c>
      <x:c r="H1" s="107" t="str">
        <x:v>Best Part to Compare</x:v>
      </x:c>
      <x:c r="I1" s="107" t="str">
        <x:v>Magnification</x:v>
      </x:c>
      <x:c r="J1" s="107" t="str">
        <x:v>Evidence Strength</x:v>
      </x:c>
      <x:c r="K1" s="107" t="str">
        <x:v>Exception / Warning</x:v>
      </x:c>
      <x:c r="L1" s="107" t="str">
        <x:v>Source URLs</x:v>
      </x:c>
    </x:row>
    <x:row r="2" ht="92" customHeight="1">
      <x:c r="A2" s="107" t="str">
        <x:v>EUPH-C06-P01</x:v>
      </x:c>
      <x:c r="B2" s="107" t="str">
        <x:v>Tragia betonicifolia</x:v>
      </x:c>
      <x:c r="C2" s="107" t="str">
        <x:v>Tragia brevispica</x:v>
      </x:c>
      <x:c r="D2" s="107" t="str">
        <x:v>Both can have broad triangular, serrate leaves with a truncate or heart-notched base.</x:v>
      </x:c>
      <x:c r="E2" s="107" t="str">
        <x:v>Count the male flowers and inspect the stem tip: betonicifolia has 15–80 crowded above and a non-coiling tip; brevispica usually has only 2–8 and often coils.</x:v>
      </x:c>
      <x:c r="F2" s="107" t="str">
        <x:v>Papillate stigma; long narrow pistillate sepals 1.8–5 mm; normally three carpels mature.</x:v>
      </x:c>
      <x:c r="G2" s="107" t="str">
        <x:v>Subpapillate-to-undulate stigma; short raceme; often only one carpel matures.</x:v>
      </x:c>
      <x:c r="H2" s="107" t="str">
        <x:v>Whole stem posture + entire raceme + mature capsule</x:v>
      </x:c>
      <x:c r="I2" s="107" t="str">
        <x:v>10× for flower count; 20× or macro for stigma</x:v>
      </x:c>
      <x:c r="J2" s="107" t="str">
        <x:v>Very high with flowers and fruit</x:v>
      </x:c>
      <x:c r="K2" s="107" t="str">
        <x:v>Brevispica can be erect, so do not use twining alone; foliage-only plants remain tentative.</x:v>
      </x:c>
      <x:c r="L2" s="107" t="str">
        <x:v>http://www.efloras.org/florataxon.aspx?flora_id=1&amp;taxon_id=242417367
https://fwbg.org/wp-content/uploads/2025/04/FNCT_0210-0617-Acanth-Euph.pdf
http://www.efloras.org/florataxon.aspx?flora_id=1&amp;taxon_id=250101934
https://w3.biosci.utexas.edu/prc/K12/pages/Tragia%20brevispica.html
https://fwbg.org/wp-content/uploads/2025/04/FNCT_0210-0617-Acanth-Euph.pdf</x:v>
      </x:c>
    </x:row>
    <x:row r="3" ht="92" customHeight="1">
      <x:c r="A3" s="107" t="str">
        <x:v>EUPH-C06-P02</x:v>
      </x:c>
      <x:c r="B3" s="107" t="str">
        <x:v>Tragia betonicifolia</x:v>
      </x:c>
      <x:c r="C3" s="107" t="str">
        <x:v>Tragia nigricans</x:v>
      </x:c>
      <x:c r="D3" s="107" t="str">
        <x:v>Both are erect perennial noseburns and can have large, sharply toothed leaves.</x:v>
      </x:c>
      <x:c r="E3" s="107" t="str">
        <x:v>Betonicifolia has triangular leaves on 10–40 mm petioles and 15–80 male flowers; nigricans has oblong/oblanceolate leaves on 1–5 mm petioles and only 2–5.</x:v>
      </x:c>
      <x:c r="F3" s="107" t="str">
        <x:v>Green/whitish stem; heart-notched to truncate leaf base; papillate stigma.</x:v>
      </x:c>
      <x:c r="G3" s="107" t="str">
        <x:v>Dark erect stem; wedge-to-rounded leaf base; 4–5 stamens with filaments fused halfway.</x:v>
      </x:c>
      <x:c r="H3" s="107" t="str">
        <x:v>Leaf base and petiole beside ruler + whole raceme + male flower</x:v>
      </x:c>
      <x:c r="I3" s="107" t="str">
        <x:v>10×; 20× or macro for filament fusion</x:v>
      </x:c>
      <x:c r="J3" s="107" t="str">
        <x:v>Very high with flowering material</x:v>
      </x:c>
      <x:c r="K3" s="107" t="str">
        <x:v>Stem color must be evaluated in neutral light and only as part of the full character combination.</x:v>
      </x:c>
      <x:c r="L3" s="107" t="str">
        <x:v>http://www.efloras.org/florataxon.aspx?flora_id=1&amp;taxon_id=242417367
https://fwbg.org/wp-content/uploads/2025/04/FNCT_0210-0617-Acanth-Euph.pdf
http://www.efloras.org/florataxon.aspx?flora_id=1&amp;taxon_id=250102000
http://www.efloras.org/florataxon.aspx?flora_id=1&amp;taxon_id=133273</x:v>
      </x:c>
    </x:row>
    <x:row r="4" ht="92" customHeight="1">
      <x:c r="A4" s="107" t="str">
        <x:v>EUPH-C06-P03</x:v>
      </x:c>
      <x:c r="B4" s="107" t="str">
        <x:v>Tragia betonicifolia</x:v>
      </x:c>
      <x:c r="C4" s="107" t="str">
        <x:v>Tragia ramosa</x:v>
      </x:c>
      <x:c r="D4" s="107" t="str">
        <x:v>Both may be green, branched, erect to trailing plants with toothed leaves.</x:v>
      </x:c>
      <x:c r="E4" s="107" t="str">
        <x:v>Betonicifolia has broad triangular leaves and 15–80 male flowers crowded distally; ramosa usually has narrow upper leaves and only 2–20.</x:v>
      </x:c>
      <x:c r="F4" s="107" t="str">
        <x:v>Inflorescence glands absent; stigma papillate; pistillate sepals 1.8–5 mm.</x:v>
      </x:c>
      <x:c r="G4" s="107" t="str">
        <x:v>A few sessile glands; stigma smooth to undulate; styles long-exserted; normally three carpels.</x:v>
      </x:c>
      <x:c r="H4" s="107" t="str">
        <x:v>Upper leaves + raceme from base to tip + stigma</x:v>
      </x:c>
      <x:c r="I4" s="107" t="str">
        <x:v>10× for raceme; 20× or macro for stigma</x:v>
      </x:c>
      <x:c r="J4" s="107" t="str">
        <x:v>High with flowering material</x:v>
      </x:c>
      <x:c r="K4" s="107" t="str">
        <x:v>Ramosa is environmentally plastic and can grow broader leaves; the stigma and flower count carry more weight.</x:v>
      </x:c>
      <x:c r="L4" s="107" t="str">
        <x:v>http://www.efloras.org/florataxon.aspx?flora_id=1&amp;taxon_id=242417367
https://fwbg.org/wp-content/uploads/2025/04/FNCT_0210-0617-Acanth-Euph.pdf
http://www.efloras.org/florataxon.aspx?flora_id=1&amp;taxon_id=242417369
https://w3.biosci.utexas.edu/prc/K12/pages/Tragia%20ramosa.html
https://fwbg.org/wp-content/uploads/2025/04/FNCT_0210-0617-Acanth-Euph.pdf</x:v>
      </x:c>
    </x:row>
    <x:row r="5" ht="92" customHeight="1">
      <x:c r="A5" s="107" t="str">
        <x:v>EUPH-C06-P04</x:v>
      </x:c>
      <x:c r="B5" s="107" t="str">
        <x:v>Tragia brevispica</x:v>
      </x:c>
      <x:c r="C5" s="107" t="str">
        <x:v>Tragia nigricans</x:v>
      </x:c>
      <x:c r="D5" s="107" t="str">
        <x:v>Both usually have only a few male flowers per raceme.</x:v>
      </x:c>
      <x:c r="E5" s="107" t="str">
        <x:v>Brevispica is often a light-green twiner with broad heart-based leaves; nigricans is erect, dark-stemmed, and has oblong leaves on 1–5 mm petioles.</x:v>
      </x:c>
      <x:c r="F5" s="107" t="str">
        <x:v>Stem apex usually flexible; 3–4 stamens; fruit often matures only one carpel.</x:v>
      </x:c>
      <x:c r="G5" s="107" t="str">
        <x:v>Stem apex not flexible; 4–5 stamens with filaments fused for half their length; three-carpelled fruit.</x:v>
      </x:c>
      <x:c r="H5" s="107" t="str">
        <x:v>Whole habit + petiole and leaf base + male flower + capsule</x:v>
      </x:c>
      <x:c r="I5" s="107" t="str">
        <x:v>10×; 20× or macro for stamens</x:v>
      </x:c>
      <x:c r="J5" s="107" t="str">
        <x:v>Very high with reproductive parts</x:v>
      </x:c>
      <x:c r="K5" s="107" t="str">
        <x:v>A non-twining brevispica can mislead; use the fruit or stamens before finalizing.</x:v>
      </x:c>
      <x:c r="L5" s="107" t="str">
        <x:v>http://www.efloras.org/florataxon.aspx?flora_id=1&amp;taxon_id=250101934
https://w3.biosci.utexas.edu/prc/K12/pages/Tragia%20brevispica.html
https://fwbg.org/wp-content/uploads/2025/04/FNCT_0210-0617-Acanth-Euph.pdf
http://www.efloras.org/florataxon.aspx?flora_id=1&amp;taxon_id=250102000
http://www.efloras.org/florataxon.aspx?flora_id=1&amp;taxon_id=133273</x:v>
      </x:c>
    </x:row>
    <x:row r="6" ht="92" customHeight="1">
      <x:c r="A6" s="107" t="str">
        <x:v>EUPH-C06-P05</x:v>
      </x:c>
      <x:c r="B6" s="107" t="str">
        <x:v>Tragia brevispica</x:v>
      </x:c>
      <x:c r="C6" s="107" t="str">
        <x:v>Tragia ramosa</x:v>
      </x:c>
      <x:c r="D6" s="107" t="str">
        <x:v>FNA explicitly warns that variable brevispica leaves frequently resemble ramosa.</x:v>
      </x:c>
      <x:c r="E6" s="107" t="str">
        <x:v>Ramosa usually has upper leaves much longer than wide and smooth stigmas; brevispica is usually broader-leaved with subpapillate-to-undulate stigmas.</x:v>
      </x:c>
      <x:c r="F6" s="107" t="str">
        <x:v>Usually flexuous or twining; 2–8 male flowers; often one carpel matures.</x:v>
      </x:c>
      <x:c r="G6" s="107" t="str">
        <x:v>Tip rarely flexuous; 2–20 male flowers; long-exserted styles; normally all three carpels mature.</x:v>
      </x:c>
      <x:c r="H6" s="107" t="str">
        <x:v>Upper leaf ratio + stigma macro + mature capsule</x:v>
      </x:c>
      <x:c r="I6" s="107" t="str">
        <x:v>10× for fruit; 20× or macro for stigma</x:v>
      </x:c>
      <x:c r="J6" s="107" t="str">
        <x:v>High with flower and fruit; moderate from foliage</x:v>
      </x:c>
      <x:c r="K6" s="107" t="str">
        <x:v>Do not force a foliage-only identification; both posture and leaf width overlap.</x:v>
      </x:c>
      <x:c r="L6" s="107" t="str">
        <x:v>http://www.efloras.org/florataxon.aspx?flora_id=1&amp;taxon_id=250101934
https://w3.biosci.utexas.edu/prc/K12/pages/Tragia%20brevispica.html
https://fwbg.org/wp-content/uploads/2025/04/FNCT_0210-0617-Acanth-Euph.pdf
http://www.efloras.org/florataxon.aspx?flora_id=1&amp;taxon_id=242417369
https://w3.biosci.utexas.edu/prc/K12/pages/Tragia%20ramosa.html
https://fwbg.org/wp-content/uploads/2025/04/FNCT_0210-0617-Acanth-Euph.pdf</x:v>
      </x:c>
    </x:row>
    <x:row r="7" ht="92" customHeight="1">
      <x:c r="A7" s="107" t="str">
        <x:v>EUPH-C06-P06</x:v>
      </x:c>
      <x:c r="B7" s="107" t="str">
        <x:v>Tragia nigricans</x:v>
      </x:c>
      <x:c r="C7" s="107" t="str">
        <x:v>Tragia ramosa</x:v>
      </x:c>
      <x:c r="D7" s="107" t="str">
        <x:v>Both can be low, upright, branched noseburns with few male flowers.</x:v>
      </x:c>
      <x:c r="E7" s="107" t="str">
        <x:v>Nigricans has a 1–5 mm petiole, wedge-to-rounded leaf base, coarse teeth, and dark stem; ramosa has a longer possible petiole, truncate/weak-heart base, and narrow upper leaves.</x:v>
      </x:c>
      <x:c r="F7" s="107" t="str">
        <x:v>4–5 stamens with filaments fused halfway; only 2–5 male flowers.</x:v>
      </x:c>
      <x:c r="G7" s="107" t="str">
        <x:v>3–6(–10) stamens; smooth-to-undulate stigma; long-exserted styles; a few sessile inflorescence glands.</x:v>
      </x:c>
      <x:c r="H7" s="107" t="str">
        <x:v>Petiole and leaf base + upper leaf + male flower + stigma</x:v>
      </x:c>
      <x:c r="I7" s="107" t="str">
        <x:v>10×; 20× or macro for filament fusion and stigma</x:v>
      </x:c>
      <x:c r="J7" s="107" t="str">
        <x:v>High with flowering material</x:v>
      </x:c>
      <x:c r="K7" s="107" t="str">
        <x:v>Color alone is not enough, and ramosa leaf width can broaden with environment.</x:v>
      </x:c>
      <x:c r="L7" s="107" t="str">
        <x:v>http://www.efloras.org/florataxon.aspx?flora_id=1&amp;taxon_id=250102000
http://www.efloras.org/florataxon.aspx?flora_id=1&amp;taxon_id=133273
http://www.efloras.org/florataxon.aspx?flora_id=1&amp;taxon_id=242417369
https://w3.biosci.utexas.edu/prc/K12/pages/Tragia%20ramosa.html
https://fwbg.org/wp-content/uploads/2025/04/FNCT_0210-0617-Acanth-Euph.pdf</x:v>
      </x:c>
    </x:row>
  </x:sheetData>
  <x:conditionalFormatting sqref="J2:J7">
    <x:cfRule type="containsText" dxfId="11" priority="1" operator="containsText" text="Very high"/>
    <x:cfRule type="containsText" dxfId="12" priority="2" operator="containsText" text="Moderate"/>
  </x:conditionalFormatting>
  <x:pageMargins left="0.7" right="0.7" top="0.75" bottom="0.75" header="0.3" footer="0.3"/>
  <x:tableParts count="1">
    <x:tablePart xmlns:r="http://schemas.openxmlformats.org/officeDocument/2006/relationships" r:id="Rd9fdf114391c4dbf"/>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0" hidden="0" customWidth="1"/>
    <x:col min="2" max="2" width="12" hidden="0" customWidth="1"/>
    <x:col min="3" max="3" width="13" hidden="0" customWidth="1"/>
    <x:col min="4" max="4" width="13" hidden="0" customWidth="1"/>
    <x:col min="5" max="5" width="13" hidden="0" customWidth="1"/>
    <x:col min="6" max="6" width="13" hidden="0" customWidth="1"/>
    <x:col min="7" max="7" width="13" hidden="0" customWidth="1"/>
    <x:col min="8" max="8" width="16" hidden="0" customWidth="1"/>
    <x:col min="9" max="9" width="14" hidden="0" customWidth="1"/>
    <x:col min="10" max="10" width="27" hidden="0" customWidth="1"/>
    <x:col min="11" max="11" width="40" hidden="0" customWidth="1"/>
    <x:col min="12" max="12" width="45" hidden="0" customWidth="1"/>
  </x:cols>
  <x:sheetData>
    <x:row r="1" ht="30" customHeight="1">
      <x:c r="A1" s="160" t="str">
        <x:v>Hays County Family Identification Evidence — Coverage Dashboard</x:v>
      </x:c>
      <x:c r="B1" s="160"/>
      <x:c r="C1" s="160"/>
      <x:c r="D1" s="160"/>
      <x:c r="E1" s="160"/>
      <x:c r="F1" s="160"/>
      <x:c r="G1" s="160"/>
      <x:c r="H1" s="160"/>
      <x:c r="I1" s="160"/>
      <x:c r="J1" s="160"/>
      <x:c r="K1" s="160"/>
      <x:c r="L1" s="160"/>
    </x:row>
    <x:row r="2" ht="30" customHeight="1">
      <x:c r="A2" s="164" t="str">
        <x:v>Imported 2026-07-29 from Hays_Family_Character_Evidence_WORKING_MASTER(1).csv. Broad family evidence is a source-backed draft; the dedicated Euphorbiaceae sheets remain the detailed pilot.</x:v>
      </x:c>
      <x:c r="B2" s="164"/>
      <x:c r="C2" s="164"/>
      <x:c r="D2" s="164"/>
      <x:c r="E2" s="164"/>
      <x:c r="F2" s="164"/>
      <x:c r="G2" s="164"/>
      <x:c r="H2" s="164"/>
      <x:c r="I2" s="164"/>
      <x:c r="J2" s="164"/>
      <x:c r="K2" s="164"/>
      <x:c r="L2" s="164"/>
    </x:row>
    <x:row r="4" ht="25" customHeight="1">
      <x:c r="A4" s="173" t="str">
        <x:v>Imported characters</x:v>
      </x:c>
      <x:c r="B4" s="174"/>
      <x:c r="C4" s="173" t="str">
        <x:v>Automated families</x:v>
      </x:c>
      <x:c r="D4" s="174"/>
      <x:c r="E4" s="173" t="str">
        <x:v>Hays families with evidence</x:v>
      </x:c>
      <x:c r="F4" s="174"/>
      <x:c r="G4" s="173" t="str">
        <x:v>Human-review flags</x:v>
      </x:c>
      <x:c r="H4" s="174"/>
      <x:c r="I4" s="173" t="str">
        <x:v>Citation URLs complete</x:v>
      </x:c>
      <x:c r="J4" s="174"/>
      <x:c r="K4" s="173" t="str">
        <x:v>Reference-expansion families</x:v>
      </x:c>
      <x:c r="L4" s="174"/>
    </x:row>
    <x:row r="5" ht="24" customHeight="1">
      <x:c r="A5" s="185" t="n">
        <x:v>742</x:v>
      </x:c>
      <x:c r="B5" s="186"/>
      <x:c r="C5" s="185" t="n">
        <x:v>63</x:v>
      </x:c>
      <x:c r="D5" s="186"/>
      <x:c r="E5" s="185" t="str">
        <x:v>61 of 117</x:v>
      </x:c>
      <x:c r="F5" s="186"/>
      <x:c r="G5" s="185" t="n">
        <x:v>63</x:v>
      </x:c>
      <x:c r="H5" s="186"/>
      <x:c r="I5" s="185" t="str">
        <x:v>100%</x:v>
      </x:c>
      <x:c r="J5" s="186"/>
      <x:c r="K5" s="185" t="n">
        <x:v>3</x:v>
      </x:c>
      <x:c r="L5" s="186"/>
    </x:row>
    <x:row r="6" ht="24" customHeight="1">
      <x:c r="A6" s="187"/>
      <x:c r="B6" s="188"/>
      <x:c r="C6" s="187"/>
      <x:c r="D6" s="188"/>
      <x:c r="E6" s="187"/>
      <x:c r="F6" s="188"/>
      <x:c r="G6" s="187"/>
      <x:c r="H6" s="188"/>
      <x:c r="I6" s="187"/>
      <x:c r="J6" s="188"/>
      <x:c r="K6" s="187"/>
      <x:c r="L6" s="188"/>
    </x:row>
    <x:row r="8">
      <x:c r="A8" s="190" t="str">
        <x:v>How to read this</x:v>
      </x:c>
      <x:c r="B8" s="190"/>
      <x:c r="C8" s="190"/>
      <x:c r="D8" s="190"/>
      <x:c r="E8" s="190"/>
      <x:c r="F8" s="190"/>
      <x:c r="G8" s="190"/>
      <x:c r="H8" s="190"/>
      <x:c r="I8" s="190"/>
      <x:c r="J8" s="190"/>
      <x:c r="K8" s="190"/>
      <x:c r="L8" s="190"/>
    </x:row>
    <x:row r="9" ht="28" customHeight="1">
      <x:c r="A9" s="204" t="str">
        <x:v>“Ready for Review” means the sources, plain-language explanation, exceptions, field visibility, local relevance, and citations are present; it does not mean every family claim has been botanist-reviewed. Field / Lens counts are characters visible with the naked eye or a hand lens. The guide is intentionally inclusive of native, naturalized, invasive, escaped, persistent cultivated, and common nursery plants. Reference-expansion families are retained even when no plant in that family is yet in the current master inventory.</x:v>
      </x:c>
      <x:c r="B9" s="205"/>
      <x:c r="C9" s="205"/>
      <x:c r="D9" s="205"/>
      <x:c r="E9" s="205"/>
      <x:c r="F9" s="205"/>
      <x:c r="G9" s="205"/>
      <x:c r="H9" s="205"/>
      <x:c r="I9" s="205"/>
      <x:c r="J9" s="205"/>
      <x:c r="K9" s="205"/>
      <x:c r="L9" s="206"/>
    </x:row>
    <x:row r="10" ht="28" customHeight="1">
      <x:c r="A10" s="207"/>
      <x:c r="B10" s="208"/>
      <x:c r="C10" s="208"/>
      <x:c r="D10" s="208"/>
      <x:c r="E10" s="208"/>
      <x:c r="F10" s="208"/>
      <x:c r="G10" s="208"/>
      <x:c r="H10" s="208"/>
      <x:c r="I10" s="208"/>
      <x:c r="J10" s="208"/>
      <x:c r="K10" s="208"/>
      <x:c r="L10" s="209"/>
    </x:row>
    <x:row r="12">
      <x:c r="A12" s="212" t="str">
        <x:v>Family</x:v>
      </x:c>
      <x:c r="B12" s="212" t="str">
        <x:v>Current Inventory Plant Names</x:v>
      </x:c>
      <x:c r="C12" s="212" t="str">
        <x:v>Automated Records</x:v>
      </x:c>
      <x:c r="D12" s="212" t="str">
        <x:v>Core / Strong</x:v>
      </x:c>
      <x:c r="E12" s="212" t="str">
        <x:v>Weight 4–5</x:v>
      </x:c>
      <x:c r="F12" s="212" t="str">
        <x:v>Field / Lens</x:v>
      </x:c>
      <x:c r="G12" s="212" t="str">
        <x:v>Human Review</x:v>
      </x:c>
      <x:c r="H12" s="212" t="str">
        <x:v>Highest Uncertainty</x:v>
      </x:c>
      <x:c r="I12" s="212" t="str">
        <x:v>Citation URLs</x:v>
      </x:c>
      <x:c r="J12" s="212" t="str">
        <x:v>Evidence Status</x:v>
      </x:c>
      <x:c r="K12" s="212" t="str">
        <x:v>Best Next Action</x:v>
      </x:c>
      <x:c r="L12" s="212" t="str">
        <x:v>Notes</x:v>
      </x:c>
    </x:row>
    <x:row r="13" ht="36" customHeight="1">
      <x:c r="A13" s="215" t="str">
        <x:v>Asteraceae</x:v>
      </x:c>
      <x:c r="B13" s="215" t="n">
        <x:v>147</x:v>
      </x:c>
      <x:c r="C13" s="215" t="n">
        <x:v>10</x:v>
      </x:c>
      <x:c r="D13" s="215" t="n">
        <x:v>10</x:v>
      </x:c>
      <x:c r="E13" s="215" t="n">
        <x:v>10</x:v>
      </x:c>
      <x:c r="F13" s="215" t="n">
        <x:v>7</x:v>
      </x:c>
      <x:c r="G13" s="215" t="n">
        <x:v>1</x:v>
      </x:c>
      <x:c r="H13" s="215" t="str">
        <x:v>Moderate</x:v>
      </x:c>
      <x:c r="I13" s="215" t="str">
        <x:v>Complete</x:v>
      </x:c>
      <x:c r="J13" s="215" t="str">
        <x:v>Source-backed draft</x:v>
      </x:c>
      <x:c r="K13" s="215" t="str">
        <x:v>Resolve flagged claims; then build local genus comparisons.</x:v>
      </x:c>
      <x:c r="L13" s="215" t="str">
        <x:v>Broad family evidence; species-level confirmation still required.</x:v>
      </x:c>
    </x:row>
    <x:row r="14" ht="36" customHeight="1">
      <x:c r="A14" s="215" t="str">
        <x:v>Poaceae</x:v>
      </x:c>
      <x:c r="B14" s="215" t="n">
        <x:v>79</x:v>
      </x:c>
      <x:c r="C14" s="215" t="n">
        <x:v>11</x:v>
      </x:c>
      <x:c r="D14" s="215" t="n">
        <x:v>11</x:v>
      </x:c>
      <x:c r="E14" s="215" t="n">
        <x:v>11</x:v>
      </x:c>
      <x:c r="F14" s="215" t="n">
        <x:v>9</x:v>
      </x:c>
      <x:c r="G14" s="215" t="n">
        <x:v>1</x:v>
      </x:c>
      <x:c r="H14" s="215" t="str">
        <x:v>Moderate</x:v>
      </x:c>
      <x:c r="I14" s="215" t="str">
        <x:v>Complete</x:v>
      </x:c>
      <x:c r="J14" s="215" t="str">
        <x:v>Source-backed draft</x:v>
      </x:c>
      <x:c r="K14" s="215" t="str">
        <x:v>Resolve flagged claims; then build local genus comparisons.</x:v>
      </x:c>
      <x:c r="L14" s="215" t="str">
        <x:v>Broad family evidence; species-level confirmation still required.</x:v>
      </x:c>
    </x:row>
    <x:row r="15" ht="36" customHeight="1">
      <x:c r="A15" s="215" t="str">
        <x:v>Fabaceae</x:v>
      </x:c>
      <x:c r="B15" s="215" t="n">
        <x:v>72</x:v>
      </x:c>
      <x:c r="C15" s="215" t="n">
        <x:v>11</x:v>
      </x:c>
      <x:c r="D15" s="215" t="n">
        <x:v>9</x:v>
      </x:c>
      <x:c r="E15" s="215" t="n">
        <x:v>9</x:v>
      </x:c>
      <x:c r="F15" s="215" t="n">
        <x:v>10</x:v>
      </x:c>
      <x:c r="G15" s="215" t="n">
        <x:v>1</x:v>
      </x:c>
      <x:c r="H15" s="215" t="str">
        <x:v>Moderate</x:v>
      </x:c>
      <x:c r="I15" s="215" t="str">
        <x:v>Complete</x:v>
      </x:c>
      <x:c r="J15" s="215" t="str">
        <x:v>Source-backed draft</x:v>
      </x:c>
      <x:c r="K15" s="215" t="str">
        <x:v>Resolve flagged claims; then build local genus comparisons.</x:v>
      </x:c>
      <x:c r="L15" s="215" t="str">
        <x:v>Broad family evidence; species-level confirmation still required.</x:v>
      </x:c>
    </x:row>
    <x:row r="16" ht="36" customHeight="1">
      <x:c r="A16" s="215" t="str">
        <x:v>[Taxonomy unresolved]</x:v>
      </x:c>
      <x:c r="B16" s="215" t="n">
        <x:v>33</x:v>
      </x:c>
      <x:c r="C16" s="215" t="n">
        <x:v>0</x:v>
      </x:c>
      <x:c r="D16" s="215" t="n">
        <x:v>0</x:v>
      </x:c>
      <x:c r="E16" s="215" t="n">
        <x:v>0</x:v>
      </x:c>
      <x:c r="F16" s="215" t="n">
        <x:v>0</x:v>
      </x:c>
      <x:c r="G16" s="215" t="n">
        <x:v>0</x:v>
      </x:c>
      <x:c r="H16" s="215" t="str">
        <x:v>—</x:v>
      </x:c>
      <x:c r="I16" s="215" t="str">
        <x:v>—</x:v>
      </x:c>
      <x:c r="J16" s="215" t="str">
        <x:v>Taxonomy queue</x:v>
      </x:c>
      <x:c r="K16" s="215" t="str">
        <x:v>Resolve scientific names before assigning family evidence.</x:v>
      </x:c>
      <x:c r="L16" s="215" t="str">
        <x:v>Not counted among the 117 resolved family categories.</x:v>
      </x:c>
    </x:row>
    <x:row r="17" ht="36" customHeight="1">
      <x:c r="A17" s="215" t="str">
        <x:v>Euphorbiaceae</x:v>
      </x:c>
      <x:c r="B17" s="215" t="n">
        <x:v>28</x:v>
      </x:c>
      <x:c r="C17" s="215" t="n">
        <x:v>0</x:v>
      </x:c>
      <x:c r="D17" s="215" t="n">
        <x:v>0</x:v>
      </x:c>
      <x:c r="E17" s="215" t="n">
        <x:v>0</x:v>
      </x:c>
      <x:c r="F17" s="215" t="n">
        <x:v>0</x:v>
      </x:c>
      <x:c r="G17" s="215" t="n">
        <x:v>0</x:v>
      </x:c>
      <x:c r="H17" s="215" t="str">
        <x:v>—</x:v>
      </x:c>
      <x:c r="I17" s="215" t="str">
        <x:v>Dedicated sheets</x:v>
      </x:c>
      <x:c r="J17" s="215" t="str">
        <x:v>Detailed pilot built</x:v>
      </x:c>
      <x:c r="K17" s="215" t="str">
        <x:v>Continue the remaining genus and confusion-set guides.</x:v>
      </x:c>
      <x:c r="L17" s="215" t="str">
        <x:v>38 detailed character-evidence rows plus C04 and C06 field guides.</x:v>
      </x:c>
    </x:row>
    <x:row r="18" ht="36" customHeight="1">
      <x:c r="A18" s="215" t="str">
        <x:v>Lamiaceae</x:v>
      </x:c>
      <x:c r="B18" s="215" t="n">
        <x:v>27</x:v>
      </x:c>
      <x:c r="C18" s="215" t="n">
        <x:v>12</x:v>
      </x:c>
      <x:c r="D18" s="215" t="n">
        <x:v>10</x:v>
      </x:c>
      <x:c r="E18" s="215" t="n">
        <x:v>10</x:v>
      </x:c>
      <x:c r="F18" s="215" t="n">
        <x:v>9</x:v>
      </x:c>
      <x:c r="G18" s="215" t="n">
        <x:v>0</x:v>
      </x:c>
      <x:c r="H18" s="215" t="str">
        <x:v>Low</x:v>
      </x:c>
      <x:c r="I18" s="215" t="str">
        <x:v>Complete</x:v>
      </x:c>
      <x:c r="J18" s="215" t="str">
        <x:v>Source-backed draft</x:v>
      </x:c>
      <x:c r="K18" s="215" t="str">
        <x:v>Human-review profile; then build local genus comparisons.</x:v>
      </x:c>
      <x:c r="L18" s="215" t="str">
        <x:v>Broad family evidence; species-level confirmation still required.</x:v>
      </x:c>
    </x:row>
    <x:row r="19" ht="36" customHeight="1">
      <x:c r="A19" s="215" t="str">
        <x:v>Cyperaceae</x:v>
      </x:c>
      <x:c r="B19" s="215" t="n">
        <x:v>24</x:v>
      </x:c>
      <x:c r="C19" s="215" t="n">
        <x:v>11</x:v>
      </x:c>
      <x:c r="D19" s="215" t="n">
        <x:v>10</x:v>
      </x:c>
      <x:c r="E19" s="215" t="n">
        <x:v>10</x:v>
      </x:c>
      <x:c r="F19" s="215" t="n">
        <x:v>9</x:v>
      </x:c>
      <x:c r="G19" s="215" t="n">
        <x:v>1</x:v>
      </x:c>
      <x:c r="H19" s="215" t="str">
        <x:v>Moderate</x:v>
      </x:c>
      <x:c r="I19" s="215" t="str">
        <x:v>Complete</x:v>
      </x:c>
      <x:c r="J19" s="215" t="str">
        <x:v>Source-backed draft</x:v>
      </x:c>
      <x:c r="K19" s="215" t="str">
        <x:v>Resolve flagged claims; then build local genus comparisons.</x:v>
      </x:c>
      <x:c r="L19" s="215" t="str">
        <x:v>Broad family evidence; species-level confirmation still required.</x:v>
      </x:c>
    </x:row>
    <x:row r="20" ht="36" customHeight="1">
      <x:c r="A20" s="215" t="str">
        <x:v>Onagraceae</x:v>
      </x:c>
      <x:c r="B20" s="215" t="n">
        <x:v>19</x:v>
      </x:c>
      <x:c r="C20" s="215" t="n">
        <x:v>10</x:v>
      </x:c>
      <x:c r="D20" s="215" t="n">
        <x:v>5</x:v>
      </x:c>
      <x:c r="E20" s="215" t="n">
        <x:v>7</x:v>
      </x:c>
      <x:c r="F20" s="215" t="n">
        <x:v>9</x:v>
      </x:c>
      <x:c r="G20" s="215" t="n">
        <x:v>0</x:v>
      </x:c>
      <x:c r="H20" s="215" t="str">
        <x:v>Low</x:v>
      </x:c>
      <x:c r="I20" s="215" t="str">
        <x:v>Complete</x:v>
      </x:c>
      <x:c r="J20" s="215" t="str">
        <x:v>Source-backed draft</x:v>
      </x:c>
      <x:c r="K20" s="215" t="str">
        <x:v>Human-review profile; then build local genus comparisons.</x:v>
      </x:c>
      <x:c r="L20" s="215" t="str">
        <x:v>Broad family evidence; species-level confirmation still required.</x:v>
      </x:c>
    </x:row>
    <x:row r="21" ht="36" customHeight="1">
      <x:c r="A21" s="215" t="str">
        <x:v>Malvaceae</x:v>
      </x:c>
      <x:c r="B21" s="215" t="n">
        <x:v>18</x:v>
      </x:c>
      <x:c r="C21" s="215" t="n">
        <x:v>12</x:v>
      </x:c>
      <x:c r="D21" s="215" t="n">
        <x:v>5</x:v>
      </x:c>
      <x:c r="E21" s="215" t="n">
        <x:v>7</x:v>
      </x:c>
      <x:c r="F21" s="215" t="n">
        <x:v>9</x:v>
      </x:c>
      <x:c r="G21" s="215" t="n">
        <x:v>1</x:v>
      </x:c>
      <x:c r="H21" s="215" t="str">
        <x:v>Moderate</x:v>
      </x:c>
      <x:c r="I21" s="215" t="str">
        <x:v>Complete</x:v>
      </x:c>
      <x:c r="J21" s="215" t="str">
        <x:v>Source-backed draft</x:v>
      </x:c>
      <x:c r="K21" s="215" t="str">
        <x:v>Resolve flagged claims; then build local genus comparisons.</x:v>
      </x:c>
      <x:c r="L21" s="215" t="str">
        <x:v>Broad family evidence; species-level confirmation still required.</x:v>
      </x:c>
    </x:row>
    <x:row r="22" ht="36" customHeight="1">
      <x:c r="A22" s="215" t="str">
        <x:v>Apocynaceae</x:v>
      </x:c>
      <x:c r="B22" s="215" t="n">
        <x:v>16</x:v>
      </x:c>
      <x:c r="C22" s="215" t="n">
        <x:v>12</x:v>
      </x:c>
      <x:c r="D22" s="215" t="n">
        <x:v>6</x:v>
      </x:c>
      <x:c r="E22" s="215" t="n">
        <x:v>8</x:v>
      </x:c>
      <x:c r="F22" s="215" t="n">
        <x:v>10</x:v>
      </x:c>
      <x:c r="G22" s="215" t="n">
        <x:v>0</x:v>
      </x:c>
      <x:c r="H22" s="215" t="str">
        <x:v>Moderate</x:v>
      </x:c>
      <x:c r="I22" s="215" t="str">
        <x:v>Complete</x:v>
      </x:c>
      <x:c r="J22" s="215" t="str">
        <x:v>Source-backed draft</x:v>
      </x:c>
      <x:c r="K22" s="215" t="str">
        <x:v>Human-review profile; then build local genus comparisons.</x:v>
      </x:c>
      <x:c r="L22" s="215" t="str">
        <x:v>Broad family evidence; species-level confirmation still required.</x:v>
      </x:c>
    </x:row>
    <x:row r="23" ht="36" customHeight="1">
      <x:c r="A23" s="215" t="str">
        <x:v>Boraginaceae</x:v>
      </x:c>
      <x:c r="B23" s="215" t="n">
        <x:v>14</x:v>
      </x:c>
      <x:c r="C23" s="215" t="n">
        <x:v>16</x:v>
      </x:c>
      <x:c r="D23" s="215" t="n">
        <x:v>6</x:v>
      </x:c>
      <x:c r="E23" s="215" t="n">
        <x:v>11</x:v>
      </x:c>
      <x:c r="F23" s="215" t="n">
        <x:v>11</x:v>
      </x:c>
      <x:c r="G23" s="215" t="n">
        <x:v>3</x:v>
      </x:c>
      <x:c r="H23" s="215" t="str">
        <x:v>High</x:v>
      </x:c>
      <x:c r="I23" s="215" t="str">
        <x:v>Complete</x:v>
      </x:c>
      <x:c r="J23" s="215" t="str">
        <x:v>Source-backed draft</x:v>
      </x:c>
      <x:c r="K23" s="215" t="str">
        <x:v>Resolve flagged claims; then build local genus comparisons.</x:v>
      </x:c>
      <x:c r="L23" s="215" t="str">
        <x:v>Broad family evidence; species-level confirmation still required.</x:v>
      </x:c>
    </x:row>
    <x:row r="24" ht="36" customHeight="1">
      <x:c r="A24" s="215" t="str">
        <x:v>Asparagaceae</x:v>
      </x:c>
      <x:c r="B24" s="215" t="n">
        <x:v>13</x:v>
      </x:c>
      <x:c r="C24" s="215" t="n">
        <x:v>15</x:v>
      </x:c>
      <x:c r="D24" s="215" t="n">
        <x:v>1</x:v>
      </x:c>
      <x:c r="E24" s="215" t="n">
        <x:v>9</x:v>
      </x:c>
      <x:c r="F24" s="215" t="n">
        <x:v>13</x:v>
      </x:c>
      <x:c r="G24" s="215" t="n">
        <x:v>3</x:v>
      </x:c>
      <x:c r="H24" s="215" t="str">
        <x:v>Moderate</x:v>
      </x:c>
      <x:c r="I24" s="215" t="str">
        <x:v>Complete</x:v>
      </x:c>
      <x:c r="J24" s="215" t="str">
        <x:v>Source-backed draft</x:v>
      </x:c>
      <x:c r="K24" s="215" t="str">
        <x:v>Resolve flagged claims; then build local genus comparisons.</x:v>
      </x:c>
      <x:c r="L24" s="215" t="str">
        <x:v>Broad family evidence; species-level confirmation still required.</x:v>
      </x:c>
    </x:row>
    <x:row r="25" ht="36" customHeight="1">
      <x:c r="A25" s="215" t="str">
        <x:v>Solanaceae</x:v>
      </x:c>
      <x:c r="B25" s="215" t="n">
        <x:v>13</x:v>
      </x:c>
      <x:c r="C25" s="215" t="n">
        <x:v>12</x:v>
      </x:c>
      <x:c r="D25" s="215" t="n">
        <x:v>6</x:v>
      </x:c>
      <x:c r="E25" s="215" t="n">
        <x:v>9</x:v>
      </x:c>
      <x:c r="F25" s="215" t="n">
        <x:v>10</x:v>
      </x:c>
      <x:c r="G25" s="215" t="n">
        <x:v>0</x:v>
      </x:c>
      <x:c r="H25" s="215" t="str">
        <x:v>Low</x:v>
      </x:c>
      <x:c r="I25" s="215" t="str">
        <x:v>Complete</x:v>
      </x:c>
      <x:c r="J25" s="215" t="str">
        <x:v>Source-backed draft</x:v>
      </x:c>
      <x:c r="K25" s="215" t="str">
        <x:v>Human-review profile; then build local genus comparisons.</x:v>
      </x:c>
      <x:c r="L25" s="215" t="str">
        <x:v>Broad family evidence; species-level confirmation still required.</x:v>
      </x:c>
    </x:row>
    <x:row r="26" ht="36" customHeight="1">
      <x:c r="A26" s="215" t="str">
        <x:v>Brassicaceae</x:v>
      </x:c>
      <x:c r="B26" s="215" t="n">
        <x:v>12</x:v>
      </x:c>
      <x:c r="C26" s="215" t="n">
        <x:v>13</x:v>
      </x:c>
      <x:c r="D26" s="215" t="n">
        <x:v>7</x:v>
      </x:c>
      <x:c r="E26" s="215" t="n">
        <x:v>8</x:v>
      </x:c>
      <x:c r="F26" s="215" t="n">
        <x:v>11</x:v>
      </x:c>
      <x:c r="G26" s="215" t="n">
        <x:v>0</x:v>
      </x:c>
      <x:c r="H26" s="215" t="str">
        <x:v>Low</x:v>
      </x:c>
      <x:c r="I26" s="215" t="str">
        <x:v>Complete</x:v>
      </x:c>
      <x:c r="J26" s="215" t="str">
        <x:v>Source-backed draft</x:v>
      </x:c>
      <x:c r="K26" s="215" t="str">
        <x:v>Human-review profile; then build local genus comparisons.</x:v>
      </x:c>
      <x:c r="L26" s="215" t="str">
        <x:v>Broad family evidence; species-level confirmation still required.</x:v>
      </x:c>
    </x:row>
    <x:row r="27" ht="36" customHeight="1">
      <x:c r="A27" s="215" t="str">
        <x:v>Ranunculaceae</x:v>
      </x:c>
      <x:c r="B27" s="215" t="n">
        <x:v>12</x:v>
      </x:c>
      <x:c r="C27" s="215" t="n">
        <x:v>14</x:v>
      </x:c>
      <x:c r="D27" s="215" t="n">
        <x:v>4</x:v>
      </x:c>
      <x:c r="E27" s="215" t="n">
        <x:v>9</x:v>
      </x:c>
      <x:c r="F27" s="215" t="n">
        <x:v>13</x:v>
      </x:c>
      <x:c r="G27" s="215" t="n">
        <x:v>2</x:v>
      </x:c>
      <x:c r="H27" s="215" t="str">
        <x:v>High</x:v>
      </x:c>
      <x:c r="I27" s="215" t="str">
        <x:v>Complete</x:v>
      </x:c>
      <x:c r="J27" s="215" t="str">
        <x:v>Source-backed draft</x:v>
      </x:c>
      <x:c r="K27" s="215" t="str">
        <x:v>Resolve flagged claims; then build local genus comparisons.</x:v>
      </x:c>
      <x:c r="L27" s="215" t="str">
        <x:v>Broad family evidence; species-level confirmation still required.</x:v>
      </x:c>
    </x:row>
    <x:row r="28" ht="36" customHeight="1">
      <x:c r="A28" s="215" t="str">
        <x:v>Apiaceae</x:v>
      </x:c>
      <x:c r="B28" s="215" t="n">
        <x:v>11</x:v>
      </x:c>
      <x:c r="C28" s="215" t="n">
        <x:v>13</x:v>
      </x:c>
      <x:c r="D28" s="215" t="n">
        <x:v>7</x:v>
      </x:c>
      <x:c r="E28" s="215" t="n">
        <x:v>8</x:v>
      </x:c>
      <x:c r="F28" s="215" t="n">
        <x:v>11</x:v>
      </x:c>
      <x:c r="G28" s="215" t="n">
        <x:v>3</x:v>
      </x:c>
      <x:c r="H28" s="215" t="str">
        <x:v>Moderate</x:v>
      </x:c>
      <x:c r="I28" s="215" t="str">
        <x:v>Complete</x:v>
      </x:c>
      <x:c r="J28" s="215" t="str">
        <x:v>Source-backed draft</x:v>
      </x:c>
      <x:c r="K28" s="215" t="str">
        <x:v>Resolve flagged claims; then build local genus comparisons.</x:v>
      </x:c>
      <x:c r="L28" s="215" t="str">
        <x:v>Broad family evidence; species-level confirmation still required.</x:v>
      </x:c>
    </x:row>
    <x:row r="29" ht="36" customHeight="1">
      <x:c r="A29" s="215" t="str">
        <x:v>Convolvulaceae</x:v>
      </x:c>
      <x:c r="B29" s="215" t="n">
        <x:v>11</x:v>
      </x:c>
      <x:c r="C29" s="215" t="n">
        <x:v>14</x:v>
      </x:c>
      <x:c r="D29" s="215" t="n">
        <x:v>5</x:v>
      </x:c>
      <x:c r="E29" s="215" t="n">
        <x:v>9</x:v>
      </x:c>
      <x:c r="F29" s="215" t="n">
        <x:v>12</x:v>
      </x:c>
      <x:c r="G29" s="215" t="n">
        <x:v>1</x:v>
      </x:c>
      <x:c r="H29" s="215" t="str">
        <x:v>Moderate</x:v>
      </x:c>
      <x:c r="I29" s="215" t="str">
        <x:v>Complete</x:v>
      </x:c>
      <x:c r="J29" s="215" t="str">
        <x:v>Source-backed draft</x:v>
      </x:c>
      <x:c r="K29" s="215" t="str">
        <x:v>Resolve flagged claims; then build local genus comparisons.</x:v>
      </x:c>
      <x:c r="L29" s="215" t="str">
        <x:v>Broad family evidence; species-level confirmation still required.</x:v>
      </x:c>
    </x:row>
    <x:row r="30" ht="36" customHeight="1">
      <x:c r="A30" s="215" t="str">
        <x:v>Plantaginaceae</x:v>
      </x:c>
      <x:c r="B30" s="215" t="n">
        <x:v>11</x:v>
      </x:c>
      <x:c r="C30" s="215" t="n">
        <x:v>14</x:v>
      </x:c>
      <x:c r="D30" s="215" t="n">
        <x:v>2</x:v>
      </x:c>
      <x:c r="E30" s="215" t="n">
        <x:v>6</x:v>
      </x:c>
      <x:c r="F30" s="215" t="n">
        <x:v>13</x:v>
      </x:c>
      <x:c r="G30" s="215" t="n">
        <x:v>2</x:v>
      </x:c>
      <x:c r="H30" s="215" t="str">
        <x:v>Moderate</x:v>
      </x:c>
      <x:c r="I30" s="215" t="str">
        <x:v>Complete</x:v>
      </x:c>
      <x:c r="J30" s="215" t="str">
        <x:v>Source-backed draft</x:v>
      </x:c>
      <x:c r="K30" s="215" t="str">
        <x:v>Resolve flagged claims; then build local genus comparisons.</x:v>
      </x:c>
      <x:c r="L30" s="215" t="str">
        <x:v>Broad family evidence; species-level confirmation still required.</x:v>
      </x:c>
    </x:row>
    <x:row r="31" ht="36" customHeight="1">
      <x:c r="A31" s="215" t="str">
        <x:v>Acanthaceae</x:v>
      </x:c>
      <x:c r="B31" s="215" t="n">
        <x:v>10</x:v>
      </x:c>
      <x:c r="C31" s="215" t="n">
        <x:v>14</x:v>
      </x:c>
      <x:c r="D31" s="215" t="n">
        <x:v>8</x:v>
      </x:c>
      <x:c r="E31" s="215" t="n">
        <x:v>9</x:v>
      </x:c>
      <x:c r="F31" s="215" t="n">
        <x:v>11</x:v>
      </x:c>
      <x:c r="G31" s="215" t="n">
        <x:v>7</x:v>
      </x:c>
      <x:c r="H31" s="215" t="str">
        <x:v>Moderate</x:v>
      </x:c>
      <x:c r="I31" s="215" t="str">
        <x:v>Complete</x:v>
      </x:c>
      <x:c r="J31" s="215" t="str">
        <x:v>Source-backed draft</x:v>
      </x:c>
      <x:c r="K31" s="215" t="str">
        <x:v>Resolve flagged claims; then build local genus comparisons.</x:v>
      </x:c>
      <x:c r="L31" s="215" t="str">
        <x:v>Broad family evidence; species-level confirmation still required.</x:v>
      </x:c>
    </x:row>
    <x:row r="32" ht="36" customHeight="1">
      <x:c r="A32" s="215" t="str">
        <x:v>Amaranthaceae</x:v>
      </x:c>
      <x:c r="B32" s="215" t="n">
        <x:v>10</x:v>
      </x:c>
      <x:c r="C32" s="215" t="n">
        <x:v>15</x:v>
      </x:c>
      <x:c r="D32" s="215" t="n">
        <x:v>6</x:v>
      </x:c>
      <x:c r="E32" s="215" t="n">
        <x:v>8</x:v>
      </x:c>
      <x:c r="F32" s="215" t="n">
        <x:v>11</x:v>
      </x:c>
      <x:c r="G32" s="215" t="n">
        <x:v>5</x:v>
      </x:c>
      <x:c r="H32" s="215" t="str">
        <x:v>Moderate</x:v>
      </x:c>
      <x:c r="I32" s="215" t="str">
        <x:v>Complete</x:v>
      </x:c>
      <x:c r="J32" s="215" t="str">
        <x:v>Source-backed draft</x:v>
      </x:c>
      <x:c r="K32" s="215" t="str">
        <x:v>Resolve flagged claims; then build local genus comparisons.</x:v>
      </x:c>
      <x:c r="L32" s="215" t="str">
        <x:v>Broad family evidence; species-level confirmation still required.</x:v>
      </x:c>
    </x:row>
    <x:row r="33" ht="36" customHeight="1">
      <x:c r="A33" s="215" t="str">
        <x:v>Cactaceae</x:v>
      </x:c>
      <x:c r="B33" s="215" t="n">
        <x:v>10</x:v>
      </x:c>
      <x:c r="C33" s="215" t="n">
        <x:v>14</x:v>
      </x:c>
      <x:c r="D33" s="215" t="n">
        <x:v>7</x:v>
      </x:c>
      <x:c r="E33" s="215" t="n">
        <x:v>10</x:v>
      </x:c>
      <x:c r="F33" s="215" t="n">
        <x:v>11</x:v>
      </x:c>
      <x:c r="G33" s="215" t="n">
        <x:v>0</x:v>
      </x:c>
      <x:c r="H33" s="215" t="str">
        <x:v>Low</x:v>
      </x:c>
      <x:c r="I33" s="215" t="str">
        <x:v>Complete</x:v>
      </x:c>
      <x:c r="J33" s="215" t="str">
        <x:v>Source-backed draft</x:v>
      </x:c>
      <x:c r="K33" s="215" t="str">
        <x:v>Human-review profile; then build local genus comparisons.</x:v>
      </x:c>
      <x:c r="L33" s="215" t="str">
        <x:v>Broad family evidence; species-level confirmation still required.</x:v>
      </x:c>
    </x:row>
    <x:row r="34" ht="36" customHeight="1">
      <x:c r="A34" s="215" t="str">
        <x:v>Commelinaceae</x:v>
      </x:c>
      <x:c r="B34" s="215" t="n">
        <x:v>10</x:v>
      </x:c>
      <x:c r="C34" s="215" t="n">
        <x:v>14</x:v>
      </x:c>
      <x:c r="D34" s="215" t="n">
        <x:v>10</x:v>
      </x:c>
      <x:c r="E34" s="215" t="n">
        <x:v>8</x:v>
      </x:c>
      <x:c r="F34" s="215" t="n">
        <x:v>11</x:v>
      </x:c>
      <x:c r="G34" s="215" t="n">
        <x:v>1</x:v>
      </x:c>
      <x:c r="H34" s="215" t="str">
        <x:v>Moderate</x:v>
      </x:c>
      <x:c r="I34" s="215" t="str">
        <x:v>Complete</x:v>
      </x:c>
      <x:c r="J34" s="215" t="str">
        <x:v>Source-backed draft</x:v>
      </x:c>
      <x:c r="K34" s="215" t="str">
        <x:v>Resolve flagged claims; then build local genus comparisons.</x:v>
      </x:c>
      <x:c r="L34" s="215" t="str">
        <x:v>Broad family evidence; species-level confirmation still required.</x:v>
      </x:c>
    </x:row>
    <x:row r="35" ht="36" customHeight="1">
      <x:c r="A35" s="215" t="str">
        <x:v>Fagaceae</x:v>
      </x:c>
      <x:c r="B35" s="215" t="n">
        <x:v>10</x:v>
      </x:c>
      <x:c r="C35" s="215" t="n">
        <x:v>13</x:v>
      </x:c>
      <x:c r="D35" s="215" t="n">
        <x:v>6</x:v>
      </x:c>
      <x:c r="E35" s="215" t="n">
        <x:v>6</x:v>
      </x:c>
      <x:c r="F35" s="215" t="n">
        <x:v>11</x:v>
      </x:c>
      <x:c r="G35" s="215" t="n">
        <x:v>3</x:v>
      </x:c>
      <x:c r="H35" s="215" t="str">
        <x:v>High</x:v>
      </x:c>
      <x:c r="I35" s="215" t="str">
        <x:v>Complete</x:v>
      </x:c>
      <x:c r="J35" s="215" t="str">
        <x:v>Source-backed draft</x:v>
      </x:c>
      <x:c r="K35" s="215" t="str">
        <x:v>Resolve flagged claims; then build local genus comparisons.</x:v>
      </x:c>
      <x:c r="L35" s="215" t="str">
        <x:v>Broad family evidence; species-level confirmation still required.</x:v>
      </x:c>
    </x:row>
    <x:row r="36" ht="36" customHeight="1">
      <x:c r="A36" s="215" t="str">
        <x:v>Rosaceae</x:v>
      </x:c>
      <x:c r="B36" s="215" t="n">
        <x:v>9</x:v>
      </x:c>
      <x:c r="C36" s="215" t="n">
        <x:v>14</x:v>
      </x:c>
      <x:c r="D36" s="215" t="n">
        <x:v>3</x:v>
      </x:c>
      <x:c r="E36" s="215" t="n">
        <x:v>6</x:v>
      </x:c>
      <x:c r="F36" s="215" t="n">
        <x:v>10</x:v>
      </x:c>
      <x:c r="G36" s="215" t="n">
        <x:v>1</x:v>
      </x:c>
      <x:c r="H36" s="215" t="str">
        <x:v>Moderate</x:v>
      </x:c>
      <x:c r="I36" s="215" t="str">
        <x:v>Complete</x:v>
      </x:c>
      <x:c r="J36" s="215" t="str">
        <x:v>Source-backed draft</x:v>
      </x:c>
      <x:c r="K36" s="215" t="str">
        <x:v>Resolve flagged claims; then build local genus comparisons.</x:v>
      </x:c>
      <x:c r="L36" s="215" t="str">
        <x:v>Broad family evidence; species-level confirmation still required.</x:v>
      </x:c>
    </x:row>
    <x:row r="37" ht="36" customHeight="1">
      <x:c r="A37" s="215" t="str">
        <x:v>Verbenaceae</x:v>
      </x:c>
      <x:c r="B37" s="215" t="n">
        <x:v>9</x:v>
      </x:c>
      <x:c r="C37" s="215" t="n">
        <x:v>16</x:v>
      </x:c>
      <x:c r="D37" s="215" t="n">
        <x:v>6</x:v>
      </x:c>
      <x:c r="E37" s="215" t="n">
        <x:v>9</x:v>
      </x:c>
      <x:c r="F37" s="215" t="n">
        <x:v>11</x:v>
      </x:c>
      <x:c r="G37" s="215" t="n">
        <x:v>5</x:v>
      </x:c>
      <x:c r="H37" s="215" t="str">
        <x:v>Moderate</x:v>
      </x:c>
      <x:c r="I37" s="215" t="str">
        <x:v>Complete</x:v>
      </x:c>
      <x:c r="J37" s="215" t="str">
        <x:v>Source-backed draft</x:v>
      </x:c>
      <x:c r="K37" s="215" t="str">
        <x:v>Resolve flagged claims; then build local genus comparisons.</x:v>
      </x:c>
      <x:c r="L37" s="215" t="str">
        <x:v>Broad family evidence; species-level confirmation still required.</x:v>
      </x:c>
    </x:row>
    <x:row r="38" ht="36" customHeight="1">
      <x:c r="A38" s="215" t="str">
        <x:v>Pteridaceae</x:v>
      </x:c>
      <x:c r="B38" s="215" t="n">
        <x:v>8</x:v>
      </x:c>
      <x:c r="C38" s="215" t="n">
        <x:v>0</x:v>
      </x:c>
      <x:c r="D38" s="215" t="n">
        <x:v>0</x:v>
      </x:c>
      <x:c r="E38" s="215" t="n">
        <x:v>0</x:v>
      </x:c>
      <x:c r="F38" s="215" t="n">
        <x:v>0</x:v>
      </x:c>
      <x:c r="G38" s="215" t="n">
        <x:v>0</x:v>
      </x:c>
      <x:c r="H38" s="215" t="str">
        <x:v>—</x:v>
      </x:c>
      <x:c r="I38" s="215" t="str">
        <x:v>—</x:v>
      </x:c>
      <x:c r="J38" s="215" t="str">
        <x:v>No imported family evidence</x:v>
      </x:c>
      <x:c r="K38" s="215" t="str">
        <x:v>Run the family-evidence automation, then human-review.</x:v>
      </x:c>
      <x:c r="L38" s="215" t="str"/>
    </x:row>
    <x:row r="39" ht="36" customHeight="1">
      <x:c r="A39" s="215" t="str">
        <x:v>Sapindaceae</x:v>
      </x:c>
      <x:c r="B39" s="215" t="n">
        <x:v>8</x:v>
      </x:c>
      <x:c r="C39" s="215" t="n">
        <x:v>11</x:v>
      </x:c>
      <x:c r="D39" s="215" t="n">
        <x:v>8</x:v>
      </x:c>
      <x:c r="E39" s="215" t="n">
        <x:v>8</x:v>
      </x:c>
      <x:c r="F39" s="215" t="n">
        <x:v>9</x:v>
      </x:c>
      <x:c r="G39" s="215" t="n">
        <x:v>1</x:v>
      </x:c>
      <x:c r="H39" s="215" t="str">
        <x:v>Moderate</x:v>
      </x:c>
      <x:c r="I39" s="215" t="str">
        <x:v>Complete</x:v>
      </x:c>
      <x:c r="J39" s="215" t="str">
        <x:v>Source-backed draft</x:v>
      </x:c>
      <x:c r="K39" s="215" t="str">
        <x:v>Resolve flagged claims; then build local genus comparisons.</x:v>
      </x:c>
      <x:c r="L39" s="215" t="str">
        <x:v>Broad family evidence; species-level confirmation still required.</x:v>
      </x:c>
    </x:row>
    <x:row r="40" ht="36" customHeight="1">
      <x:c r="A40" s="215" t="str">
        <x:v>Anacardiaceae</x:v>
      </x:c>
      <x:c r="B40" s="215" t="n">
        <x:v>7</x:v>
      </x:c>
      <x:c r="C40" s="215" t="n">
        <x:v>11</x:v>
      </x:c>
      <x:c r="D40" s="215" t="n">
        <x:v>6</x:v>
      </x:c>
      <x:c r="E40" s="215" t="n">
        <x:v>7</x:v>
      </x:c>
      <x:c r="F40" s="215" t="n">
        <x:v>5</x:v>
      </x:c>
      <x:c r="G40" s="215" t="n">
        <x:v>1</x:v>
      </x:c>
      <x:c r="H40" s="215" t="str">
        <x:v>Moderate</x:v>
      </x:c>
      <x:c r="I40" s="215" t="str">
        <x:v>Complete</x:v>
      </x:c>
      <x:c r="J40" s="215" t="str">
        <x:v>Source-backed draft</x:v>
      </x:c>
      <x:c r="K40" s="215" t="str">
        <x:v>Resolve flagged claims; then build local genus comparisons.</x:v>
      </x:c>
      <x:c r="L40" s="215" t="str">
        <x:v>Broad family evidence; species-level confirmation still required.</x:v>
      </x:c>
    </x:row>
    <x:row r="41" ht="36" customHeight="1">
      <x:c r="A41" s="215" t="str">
        <x:v>Nyctaginaceae</x:v>
      </x:c>
      <x:c r="B41" s="215" t="n">
        <x:v>7</x:v>
      </x:c>
      <x:c r="C41" s="215" t="n">
        <x:v>11</x:v>
      </x:c>
      <x:c r="D41" s="215" t="n">
        <x:v>7</x:v>
      </x:c>
      <x:c r="E41" s="215" t="n">
        <x:v>7</x:v>
      </x:c>
      <x:c r="F41" s="215" t="n">
        <x:v>10</x:v>
      </x:c>
      <x:c r="G41" s="215" t="n">
        <x:v>0</x:v>
      </x:c>
      <x:c r="H41" s="215" t="str">
        <x:v>Low</x:v>
      </x:c>
      <x:c r="I41" s="215" t="str">
        <x:v>Complete</x:v>
      </x:c>
      <x:c r="J41" s="215" t="str">
        <x:v>Source-backed draft</x:v>
      </x:c>
      <x:c r="K41" s="215" t="str">
        <x:v>Human-review profile; then build local genus comparisons.</x:v>
      </x:c>
      <x:c r="L41" s="215" t="str">
        <x:v>Broad family evidence; species-level confirmation still required.</x:v>
      </x:c>
    </x:row>
    <x:row r="42" ht="36" customHeight="1">
      <x:c r="A42" s="215" t="str">
        <x:v>Polemoniaceae</x:v>
      </x:c>
      <x:c r="B42" s="215" t="n">
        <x:v>7</x:v>
      </x:c>
      <x:c r="C42" s="215" t="n">
        <x:v>0</x:v>
      </x:c>
      <x:c r="D42" s="215" t="n">
        <x:v>0</x:v>
      </x:c>
      <x:c r="E42" s="215" t="n">
        <x:v>0</x:v>
      </x:c>
      <x:c r="F42" s="215" t="n">
        <x:v>0</x:v>
      </x:c>
      <x:c r="G42" s="215" t="n">
        <x:v>0</x:v>
      </x:c>
      <x:c r="H42" s="215" t="str">
        <x:v>—</x:v>
      </x:c>
      <x:c r="I42" s="215" t="str">
        <x:v>—</x:v>
      </x:c>
      <x:c r="J42" s="215" t="str">
        <x:v>No imported family evidence</x:v>
      </x:c>
      <x:c r="K42" s="215" t="str">
        <x:v>Run the family-evidence automation, then human-review.</x:v>
      </x:c>
      <x:c r="L42" s="215" t="str"/>
    </x:row>
    <x:row r="43" ht="36" customHeight="1">
      <x:c r="A43" s="215" t="str">
        <x:v>Vitaceae</x:v>
      </x:c>
      <x:c r="B43" s="215" t="n">
        <x:v>7</x:v>
      </x:c>
      <x:c r="C43" s="215" t="n">
        <x:v>11</x:v>
      </x:c>
      <x:c r="D43" s="215" t="n">
        <x:v>9</x:v>
      </x:c>
      <x:c r="E43" s="215" t="n">
        <x:v>6</x:v>
      </x:c>
      <x:c r="F43" s="215" t="n">
        <x:v>10</x:v>
      </x:c>
      <x:c r="G43" s="215" t="n">
        <x:v>0</x:v>
      </x:c>
      <x:c r="H43" s="215" t="str">
        <x:v>Low</x:v>
      </x:c>
      <x:c r="I43" s="215" t="str">
        <x:v>Complete</x:v>
      </x:c>
      <x:c r="J43" s="215" t="str">
        <x:v>Source-backed draft</x:v>
      </x:c>
      <x:c r="K43" s="215" t="str">
        <x:v>Human-review profile; then build local genus comparisons.</x:v>
      </x:c>
      <x:c r="L43" s="215" t="str">
        <x:v>Broad family evidence; species-level confirmation still required.</x:v>
      </x:c>
    </x:row>
    <x:row r="44" ht="36" customHeight="1">
      <x:c r="A44" s="215" t="str">
        <x:v>Orobanchaceae</x:v>
      </x:c>
      <x:c r="B44" s="215" t="n">
        <x:v>6</x:v>
      </x:c>
      <x:c r="C44" s="215" t="n">
        <x:v>0</x:v>
      </x:c>
      <x:c r="D44" s="215" t="n">
        <x:v>0</x:v>
      </x:c>
      <x:c r="E44" s="215" t="n">
        <x:v>0</x:v>
      </x:c>
      <x:c r="F44" s="215" t="n">
        <x:v>0</x:v>
      </x:c>
      <x:c r="G44" s="215" t="n">
        <x:v>0</x:v>
      </x:c>
      <x:c r="H44" s="215" t="str">
        <x:v>—</x:v>
      </x:c>
      <x:c r="I44" s="215" t="str">
        <x:v>—</x:v>
      </x:c>
      <x:c r="J44" s="215" t="str">
        <x:v>No imported family evidence</x:v>
      </x:c>
      <x:c r="K44" s="215" t="str">
        <x:v>Run the family-evidence automation, then human-review.</x:v>
      </x:c>
      <x:c r="L44" s="215" t="str"/>
    </x:row>
    <x:row r="45" ht="36" customHeight="1">
      <x:c r="A45" s="215" t="str">
        <x:v>Papaveraceae</x:v>
      </x:c>
      <x:c r="B45" s="215" t="n">
        <x:v>6</x:v>
      </x:c>
      <x:c r="C45" s="215" t="n">
        <x:v>0</x:v>
      </x:c>
      <x:c r="D45" s="215" t="n">
        <x:v>0</x:v>
      </x:c>
      <x:c r="E45" s="215" t="n">
        <x:v>0</x:v>
      </x:c>
      <x:c r="F45" s="215" t="n">
        <x:v>0</x:v>
      </x:c>
      <x:c r="G45" s="215" t="n">
        <x:v>0</x:v>
      </x:c>
      <x:c r="H45" s="215" t="str">
        <x:v>—</x:v>
      </x:c>
      <x:c r="I45" s="215" t="str">
        <x:v>—</x:v>
      </x:c>
      <x:c r="J45" s="215" t="str">
        <x:v>No imported family evidence</x:v>
      </x:c>
      <x:c r="K45" s="215" t="str">
        <x:v>Run the family-evidence automation, then human-review.</x:v>
      </x:c>
      <x:c r="L45" s="215" t="str"/>
    </x:row>
    <x:row r="46" ht="36" customHeight="1">
      <x:c r="A46" s="215" t="str">
        <x:v>Campanulaceae</x:v>
      </x:c>
      <x:c r="B46" s="215" t="n">
        <x:v>5</x:v>
      </x:c>
      <x:c r="C46" s="215" t="n">
        <x:v>0</x:v>
      </x:c>
      <x:c r="D46" s="215" t="n">
        <x:v>0</x:v>
      </x:c>
      <x:c r="E46" s="215" t="n">
        <x:v>0</x:v>
      </x:c>
      <x:c r="F46" s="215" t="n">
        <x:v>0</x:v>
      </x:c>
      <x:c r="G46" s="215" t="n">
        <x:v>0</x:v>
      </x:c>
      <x:c r="H46" s="215" t="str">
        <x:v>—</x:v>
      </x:c>
      <x:c r="I46" s="215" t="str">
        <x:v>—</x:v>
      </x:c>
      <x:c r="J46" s="215" t="str">
        <x:v>No imported family evidence</x:v>
      </x:c>
      <x:c r="K46" s="215" t="str">
        <x:v>Run the family-evidence automation, then human-review.</x:v>
      </x:c>
      <x:c r="L46" s="215" t="str"/>
    </x:row>
    <x:row r="47" ht="36" customHeight="1">
      <x:c r="A47" s="215" t="str">
        <x:v>Caryophyllaceae</x:v>
      </x:c>
      <x:c r="B47" s="215" t="n">
        <x:v>5</x:v>
      </x:c>
      <x:c r="C47" s="215" t="n">
        <x:v>11</x:v>
      </x:c>
      <x:c r="D47" s="215" t="n">
        <x:v>6</x:v>
      </x:c>
      <x:c r="E47" s="215" t="n">
        <x:v>6</x:v>
      </x:c>
      <x:c r="F47" s="215" t="n">
        <x:v>10</x:v>
      </x:c>
      <x:c r="G47" s="215" t="n">
        <x:v>0</x:v>
      </x:c>
      <x:c r="H47" s="215" t="str">
        <x:v>Moderate</x:v>
      </x:c>
      <x:c r="I47" s="215" t="str">
        <x:v>Complete</x:v>
      </x:c>
      <x:c r="J47" s="215" t="str">
        <x:v>Source-backed draft</x:v>
      </x:c>
      <x:c r="K47" s="215" t="str">
        <x:v>Human-review profile; then build local genus comparisons.</x:v>
      </x:c>
      <x:c r="L47" s="215" t="str">
        <x:v>Broad family evidence; species-level confirmation still required.</x:v>
      </x:c>
    </x:row>
    <x:row r="48" ht="36" customHeight="1">
      <x:c r="A48" s="215" t="str">
        <x:v>Gentianaceae</x:v>
      </x:c>
      <x:c r="B48" s="215" t="n">
        <x:v>5</x:v>
      </x:c>
      <x:c r="C48" s="215" t="n">
        <x:v>11</x:v>
      </x:c>
      <x:c r="D48" s="215" t="n">
        <x:v>6</x:v>
      </x:c>
      <x:c r="E48" s="215" t="n">
        <x:v>7</x:v>
      </x:c>
      <x:c r="F48" s="215" t="n">
        <x:v>9</x:v>
      </x:c>
      <x:c r="G48" s="215" t="n">
        <x:v>0</x:v>
      </x:c>
      <x:c r="H48" s="215" t="str">
        <x:v>Moderate</x:v>
      </x:c>
      <x:c r="I48" s="215" t="str">
        <x:v>Complete</x:v>
      </x:c>
      <x:c r="J48" s="215" t="str">
        <x:v>Source-backed draft</x:v>
      </x:c>
      <x:c r="K48" s="215" t="str">
        <x:v>Human-review profile; then build local genus comparisons.</x:v>
      </x:c>
      <x:c r="L48" s="215" t="str">
        <x:v>Broad family evidence; species-level confirmation still required.</x:v>
      </x:c>
    </x:row>
    <x:row r="49" ht="36" customHeight="1">
      <x:c r="A49" s="215" t="str">
        <x:v>Iridaceae</x:v>
      </x:c>
      <x:c r="B49" s="215" t="n">
        <x:v>5</x:v>
      </x:c>
      <x:c r="C49" s="215" t="n">
        <x:v>11</x:v>
      </x:c>
      <x:c r="D49" s="215" t="n">
        <x:v>8</x:v>
      </x:c>
      <x:c r="E49" s="215" t="n">
        <x:v>9</x:v>
      </x:c>
      <x:c r="F49" s="215" t="n">
        <x:v>10</x:v>
      </x:c>
      <x:c r="G49" s="215" t="n">
        <x:v>0</x:v>
      </x:c>
      <x:c r="H49" s="215" t="str">
        <x:v>Low</x:v>
      </x:c>
      <x:c r="I49" s="215" t="str">
        <x:v>Complete</x:v>
      </x:c>
      <x:c r="J49" s="215" t="str">
        <x:v>Source-backed draft</x:v>
      </x:c>
      <x:c r="K49" s="215" t="str">
        <x:v>Human-review profile; then build local genus comparisons.</x:v>
      </x:c>
      <x:c r="L49" s="215" t="str">
        <x:v>Broad family evidence; species-level confirmation still required.</x:v>
      </x:c>
    </x:row>
    <x:row r="50" ht="36" customHeight="1">
      <x:c r="A50" s="215" t="str">
        <x:v>Lythraceae</x:v>
      </x:c>
      <x:c r="B50" s="215" t="n">
        <x:v>5</x:v>
      </x:c>
      <x:c r="C50" s="215" t="n">
        <x:v>0</x:v>
      </x:c>
      <x:c r="D50" s="215" t="n">
        <x:v>0</x:v>
      </x:c>
      <x:c r="E50" s="215" t="n">
        <x:v>0</x:v>
      </x:c>
      <x:c r="F50" s="215" t="n">
        <x:v>0</x:v>
      </x:c>
      <x:c r="G50" s="215" t="n">
        <x:v>0</x:v>
      </x:c>
      <x:c r="H50" s="215" t="str">
        <x:v>—</x:v>
      </x:c>
      <x:c r="I50" s="215" t="str">
        <x:v>—</x:v>
      </x:c>
      <x:c r="J50" s="215" t="str">
        <x:v>No imported family evidence</x:v>
      </x:c>
      <x:c r="K50" s="215" t="str">
        <x:v>Run the family-evidence automation, then human-review.</x:v>
      </x:c>
      <x:c r="L50" s="215" t="str"/>
    </x:row>
    <x:row r="51" ht="36" customHeight="1">
      <x:c r="A51" s="215" t="str">
        <x:v>Oleaceae</x:v>
      </x:c>
      <x:c r="B51" s="215" t="n">
        <x:v>5</x:v>
      </x:c>
      <x:c r="C51" s="215" t="n">
        <x:v>11</x:v>
      </x:c>
      <x:c r="D51" s="215" t="n">
        <x:v>5</x:v>
      </x:c>
      <x:c r="E51" s="215" t="n">
        <x:v>6</x:v>
      </x:c>
      <x:c r="F51" s="215" t="n">
        <x:v>10</x:v>
      </x:c>
      <x:c r="G51" s="215" t="n">
        <x:v>0</x:v>
      </x:c>
      <x:c r="H51" s="215" t="str">
        <x:v>Low</x:v>
      </x:c>
      <x:c r="I51" s="215" t="str">
        <x:v>Complete</x:v>
      </x:c>
      <x:c r="J51" s="215" t="str">
        <x:v>Source-backed draft</x:v>
      </x:c>
      <x:c r="K51" s="215" t="str">
        <x:v>Human-review profile; then build local genus comparisons.</x:v>
      </x:c>
      <x:c r="L51" s="215" t="str">
        <x:v>Broad family evidence; species-level confirmation still required.</x:v>
      </x:c>
    </x:row>
    <x:row r="52" ht="36" customHeight="1">
      <x:c r="A52" s="215" t="str">
        <x:v>Orchidaceae</x:v>
      </x:c>
      <x:c r="B52" s="215" t="n">
        <x:v>5</x:v>
      </x:c>
      <x:c r="C52" s="215" t="n">
        <x:v>11</x:v>
      </x:c>
      <x:c r="D52" s="215" t="n">
        <x:v>7</x:v>
      </x:c>
      <x:c r="E52" s="215" t="n">
        <x:v>8</x:v>
      </x:c>
      <x:c r="F52" s="215" t="n">
        <x:v>10</x:v>
      </x:c>
      <x:c r="G52" s="215" t="n">
        <x:v>1</x:v>
      </x:c>
      <x:c r="H52" s="215" t="str">
        <x:v>Moderate</x:v>
      </x:c>
      <x:c r="I52" s="215" t="str">
        <x:v>Complete</x:v>
      </x:c>
      <x:c r="J52" s="215" t="str">
        <x:v>Source-backed draft</x:v>
      </x:c>
      <x:c r="K52" s="215" t="str">
        <x:v>Resolve flagged claims; then build local genus comparisons.</x:v>
      </x:c>
      <x:c r="L52" s="215" t="str">
        <x:v>Broad family evidence; species-level confirmation still required.</x:v>
      </x:c>
    </x:row>
    <x:row r="53" ht="36" customHeight="1">
      <x:c r="A53" s="215" t="str">
        <x:v>Rhamnaceae</x:v>
      </x:c>
      <x:c r="B53" s="215" t="n">
        <x:v>5</x:v>
      </x:c>
      <x:c r="C53" s="215" t="n">
        <x:v>11</x:v>
      </x:c>
      <x:c r="D53" s="215" t="n">
        <x:v>6</x:v>
      </x:c>
      <x:c r="E53" s="215" t="n">
        <x:v>4</x:v>
      </x:c>
      <x:c r="F53" s="215" t="n">
        <x:v>10</x:v>
      </x:c>
      <x:c r="G53" s="215" t="n">
        <x:v>1</x:v>
      </x:c>
      <x:c r="H53" s="215" t="str">
        <x:v>Moderate</x:v>
      </x:c>
      <x:c r="I53" s="215" t="str">
        <x:v>Complete</x:v>
      </x:c>
      <x:c r="J53" s="215" t="str">
        <x:v>Source-backed draft</x:v>
      </x:c>
      <x:c r="K53" s="215" t="str">
        <x:v>Resolve flagged claims; then build local genus comparisons.</x:v>
      </x:c>
      <x:c r="L53" s="215" t="str">
        <x:v>Broad family evidence; species-level confirmation still required.</x:v>
      </x:c>
    </x:row>
    <x:row r="54" ht="36" customHeight="1">
      <x:c r="A54" s="215" t="str">
        <x:v>Alismataceae</x:v>
      </x:c>
      <x:c r="B54" s="215" t="n">
        <x:v>4</x:v>
      </x:c>
      <x:c r="C54" s="215" t="n">
        <x:v>0</x:v>
      </x:c>
      <x:c r="D54" s="215" t="n">
        <x:v>0</x:v>
      </x:c>
      <x:c r="E54" s="215" t="n">
        <x:v>0</x:v>
      </x:c>
      <x:c r="F54" s="215" t="n">
        <x:v>0</x:v>
      </x:c>
      <x:c r="G54" s="215" t="n">
        <x:v>0</x:v>
      </x:c>
      <x:c r="H54" s="215" t="str">
        <x:v>—</x:v>
      </x:c>
      <x:c r="I54" s="215" t="str">
        <x:v>—</x:v>
      </x:c>
      <x:c r="J54" s="215" t="str">
        <x:v>No imported family evidence</x:v>
      </x:c>
      <x:c r="K54" s="215" t="str">
        <x:v>Run the family-evidence automation, then human-review.</x:v>
      </x:c>
      <x:c r="L54" s="215" t="str"/>
    </x:row>
    <x:row r="55" ht="36" customHeight="1">
      <x:c r="A55" s="215" t="str">
        <x:v>Amaryllidaceae</x:v>
      </x:c>
      <x:c r="B55" s="215" t="n">
        <x:v>4</x:v>
      </x:c>
      <x:c r="C55" s="215" t="n">
        <x:v>0</x:v>
      </x:c>
      <x:c r="D55" s="215" t="n">
        <x:v>0</x:v>
      </x:c>
      <x:c r="E55" s="215" t="n">
        <x:v>0</x:v>
      </x:c>
      <x:c r="F55" s="215" t="n">
        <x:v>0</x:v>
      </x:c>
      <x:c r="G55" s="215" t="n">
        <x:v>0</x:v>
      </x:c>
      <x:c r="H55" s="215" t="str">
        <x:v>—</x:v>
      </x:c>
      <x:c r="I55" s="215" t="str">
        <x:v>—</x:v>
      </x:c>
      <x:c r="J55" s="215" t="str">
        <x:v>No imported family evidence</x:v>
      </x:c>
      <x:c r="K55" s="215" t="str">
        <x:v>Run the family-evidence automation, then human-review.</x:v>
      </x:c>
      <x:c r="L55" s="215" t="str"/>
    </x:row>
    <x:row r="56" ht="36" customHeight="1">
      <x:c r="A56" s="215" t="str">
        <x:v>Araceae</x:v>
      </x:c>
      <x:c r="B56" s="215" t="n">
        <x:v>4</x:v>
      </x:c>
      <x:c r="C56" s="215" t="n">
        <x:v>11</x:v>
      </x:c>
      <x:c r="D56" s="215" t="n">
        <x:v>8</x:v>
      </x:c>
      <x:c r="E56" s="215" t="n">
        <x:v>6</x:v>
      </x:c>
      <x:c r="F56" s="215" t="n">
        <x:v>9</x:v>
      </x:c>
      <x:c r="G56" s="215" t="n">
        <x:v>1</x:v>
      </x:c>
      <x:c r="H56" s="215" t="str">
        <x:v>Moderate</x:v>
      </x:c>
      <x:c r="I56" s="215" t="str">
        <x:v>Complete</x:v>
      </x:c>
      <x:c r="J56" s="215" t="str">
        <x:v>Source-backed draft</x:v>
      </x:c>
      <x:c r="K56" s="215" t="str">
        <x:v>Resolve flagged claims; then build local genus comparisons.</x:v>
      </x:c>
      <x:c r="L56" s="215" t="str">
        <x:v>Broad family evidence; species-level confirmation still required.</x:v>
      </x:c>
    </x:row>
    <x:row r="57" ht="36" customHeight="1">
      <x:c r="A57" s="215" t="str">
        <x:v>Bignoniaceae</x:v>
      </x:c>
      <x:c r="B57" s="215" t="n">
        <x:v>4</x:v>
      </x:c>
      <x:c r="C57" s="215" t="n">
        <x:v>11</x:v>
      </x:c>
      <x:c r="D57" s="215" t="n">
        <x:v>8</x:v>
      </x:c>
      <x:c r="E57" s="215" t="n">
        <x:v>8</x:v>
      </x:c>
      <x:c r="F57" s="215" t="n">
        <x:v>10</x:v>
      </x:c>
      <x:c r="G57" s="215" t="n">
        <x:v>0</x:v>
      </x:c>
      <x:c r="H57" s="215" t="str">
        <x:v>Low</x:v>
      </x:c>
      <x:c r="I57" s="215" t="str">
        <x:v>Complete</x:v>
      </x:c>
      <x:c r="J57" s="215" t="str">
        <x:v>Source-backed draft</x:v>
      </x:c>
      <x:c r="K57" s="215" t="str">
        <x:v>Human-review profile; then build local genus comparisons.</x:v>
      </x:c>
      <x:c r="L57" s="215" t="str">
        <x:v>Broad family evidence; species-level confirmation still required.</x:v>
      </x:c>
    </x:row>
    <x:row r="58" ht="36" customHeight="1">
      <x:c r="A58" s="215" t="str">
        <x:v>Caprifoliaceae</x:v>
      </x:c>
      <x:c r="B58" s="215" t="n">
        <x:v>4</x:v>
      </x:c>
      <x:c r="C58" s="215" t="n">
        <x:v>11</x:v>
      </x:c>
      <x:c r="D58" s="215" t="n">
        <x:v>8</x:v>
      </x:c>
      <x:c r="E58" s="215" t="n">
        <x:v>8</x:v>
      </x:c>
      <x:c r="F58" s="215" t="n">
        <x:v>10</x:v>
      </x:c>
      <x:c r="G58" s="215" t="n">
        <x:v>1</x:v>
      </x:c>
      <x:c r="H58" s="215" t="str">
        <x:v>Moderate</x:v>
      </x:c>
      <x:c r="I58" s="215" t="str">
        <x:v>Complete</x:v>
      </x:c>
      <x:c r="J58" s="215" t="str">
        <x:v>Source-backed draft</x:v>
      </x:c>
      <x:c r="K58" s="215" t="str">
        <x:v>Resolve flagged claims; then build local genus comparisons.</x:v>
      </x:c>
      <x:c r="L58" s="215" t="str">
        <x:v>Broad family evidence; species-level confirmation still required.</x:v>
      </x:c>
    </x:row>
    <x:row r="59" ht="36" customHeight="1">
      <x:c r="A59" s="215" t="str">
        <x:v>Juglandaceae</x:v>
      </x:c>
      <x:c r="B59" s="215" t="n">
        <x:v>4</x:v>
      </x:c>
      <x:c r="C59" s="215" t="n">
        <x:v>11</x:v>
      </x:c>
      <x:c r="D59" s="215" t="n">
        <x:v>6</x:v>
      </x:c>
      <x:c r="E59" s="215" t="n">
        <x:v>6</x:v>
      </x:c>
      <x:c r="F59" s="215" t="n">
        <x:v>10</x:v>
      </x:c>
      <x:c r="G59" s="215" t="n">
        <x:v>0</x:v>
      </x:c>
      <x:c r="H59" s="215" t="str">
        <x:v>Low</x:v>
      </x:c>
      <x:c r="I59" s="215" t="str">
        <x:v>Complete</x:v>
      </x:c>
      <x:c r="J59" s="215" t="str">
        <x:v>Source-backed draft</x:v>
      </x:c>
      <x:c r="K59" s="215" t="str">
        <x:v>Human-review profile; then build local genus comparisons.</x:v>
      </x:c>
      <x:c r="L59" s="215" t="str">
        <x:v>Broad family evidence; species-level confirmation still required.</x:v>
      </x:c>
    </x:row>
    <x:row r="60" ht="36" customHeight="1">
      <x:c r="A60" s="215" t="str">
        <x:v>Juncaceae</x:v>
      </x:c>
      <x:c r="B60" s="215" t="n">
        <x:v>4</x:v>
      </x:c>
      <x:c r="C60" s="215" t="n">
        <x:v>11</x:v>
      </x:c>
      <x:c r="D60" s="215" t="n">
        <x:v>8</x:v>
      </x:c>
      <x:c r="E60" s="215" t="n">
        <x:v>8</x:v>
      </x:c>
      <x:c r="F60" s="215" t="n">
        <x:v>8</x:v>
      </x:c>
      <x:c r="G60" s="215" t="n">
        <x:v>0</x:v>
      </x:c>
      <x:c r="H60" s="215" t="str">
        <x:v>Low</x:v>
      </x:c>
      <x:c r="I60" s="215" t="str">
        <x:v>Complete</x:v>
      </x:c>
      <x:c r="J60" s="215" t="str">
        <x:v>Source-backed draft</x:v>
      </x:c>
      <x:c r="K60" s="215" t="str">
        <x:v>Human-review profile; then build local genus comparisons.</x:v>
      </x:c>
      <x:c r="L60" s="215" t="str">
        <x:v>Broad family evidence; species-level confirmation still required.</x:v>
      </x:c>
    </x:row>
    <x:row r="61" ht="36" customHeight="1">
      <x:c r="A61" s="215" t="str">
        <x:v>Linaceae</x:v>
      </x:c>
      <x:c r="B61" s="215" t="n">
        <x:v>4</x:v>
      </x:c>
      <x:c r="C61" s="215" t="n">
        <x:v>0</x:v>
      </x:c>
      <x:c r="D61" s="215" t="n">
        <x:v>0</x:v>
      </x:c>
      <x:c r="E61" s="215" t="n">
        <x:v>0</x:v>
      </x:c>
      <x:c r="F61" s="215" t="n">
        <x:v>0</x:v>
      </x:c>
      <x:c r="G61" s="215" t="n">
        <x:v>0</x:v>
      </x:c>
      <x:c r="H61" s="215" t="str">
        <x:v>—</x:v>
      </x:c>
      <x:c r="I61" s="215" t="str">
        <x:v>—</x:v>
      </x:c>
      <x:c r="J61" s="215" t="str">
        <x:v>No imported family evidence</x:v>
      </x:c>
      <x:c r="K61" s="215" t="str">
        <x:v>Run the family-evidence automation, then human-review.</x:v>
      </x:c>
      <x:c r="L61" s="215" t="str"/>
    </x:row>
    <x:row r="62" ht="36" customHeight="1">
      <x:c r="A62" s="215" t="str">
        <x:v>Oxalidaceae</x:v>
      </x:c>
      <x:c r="B62" s="215" t="n">
        <x:v>4</x:v>
      </x:c>
      <x:c r="C62" s="215" t="n">
        <x:v>11</x:v>
      </x:c>
      <x:c r="D62" s="215" t="n">
        <x:v>6</x:v>
      </x:c>
      <x:c r="E62" s="215" t="n">
        <x:v>7</x:v>
      </x:c>
      <x:c r="F62" s="215" t="n">
        <x:v>9</x:v>
      </x:c>
      <x:c r="G62" s="215" t="n">
        <x:v>1</x:v>
      </x:c>
      <x:c r="H62" s="215" t="str">
        <x:v>Moderate</x:v>
      </x:c>
      <x:c r="I62" s="215" t="str">
        <x:v>Complete</x:v>
      </x:c>
      <x:c r="J62" s="215" t="str">
        <x:v>Source-backed draft</x:v>
      </x:c>
      <x:c r="K62" s="215" t="str">
        <x:v>Resolve flagged claims; then build local genus comparisons.</x:v>
      </x:c>
      <x:c r="L62" s="215" t="str">
        <x:v>Broad family evidence; species-level confirmation still required.</x:v>
      </x:c>
    </x:row>
    <x:row r="63" ht="36" customHeight="1">
      <x:c r="A63" s="215" t="str">
        <x:v>Passifloraceae</x:v>
      </x:c>
      <x:c r="B63" s="215" t="n">
        <x:v>4</x:v>
      </x:c>
      <x:c r="C63" s="215" t="n">
        <x:v>11</x:v>
      </x:c>
      <x:c r="D63" s="215" t="n">
        <x:v>9</x:v>
      </x:c>
      <x:c r="E63" s="215" t="n">
        <x:v>9</x:v>
      </x:c>
      <x:c r="F63" s="215" t="n">
        <x:v>10</x:v>
      </x:c>
      <x:c r="G63" s="215" t="n">
        <x:v>0</x:v>
      </x:c>
      <x:c r="H63" s="215" t="str">
        <x:v>Low</x:v>
      </x:c>
      <x:c r="I63" s="215" t="str">
        <x:v>Complete</x:v>
      </x:c>
      <x:c r="J63" s="215" t="str">
        <x:v>Source-backed draft</x:v>
      </x:c>
      <x:c r="K63" s="215" t="str">
        <x:v>Human-review profile; then build local genus comparisons.</x:v>
      </x:c>
      <x:c r="L63" s="215" t="str">
        <x:v>Broad family evidence; species-level confirmation still required.</x:v>
      </x:c>
    </x:row>
    <x:row r="64" ht="36" customHeight="1">
      <x:c r="A64" s="215" t="str">
        <x:v>Potamogetonaceae</x:v>
      </x:c>
      <x:c r="B64" s="215" t="n">
        <x:v>4</x:v>
      </x:c>
      <x:c r="C64" s="215" t="n">
        <x:v>0</x:v>
      </x:c>
      <x:c r="D64" s="215" t="n">
        <x:v>0</x:v>
      </x:c>
      <x:c r="E64" s="215" t="n">
        <x:v>0</x:v>
      </x:c>
      <x:c r="F64" s="215" t="n">
        <x:v>0</x:v>
      </x:c>
      <x:c r="G64" s="215" t="n">
        <x:v>0</x:v>
      </x:c>
      <x:c r="H64" s="215" t="str">
        <x:v>—</x:v>
      </x:c>
      <x:c r="I64" s="215" t="str">
        <x:v>—</x:v>
      </x:c>
      <x:c r="J64" s="215" t="str">
        <x:v>No imported family evidence</x:v>
      </x:c>
      <x:c r="K64" s="215" t="str">
        <x:v>Run the family-evidence automation, then human-review.</x:v>
      </x:c>
      <x:c r="L64" s="215" t="str"/>
    </x:row>
    <x:row r="65" ht="36" customHeight="1">
      <x:c r="A65" s="215" t="str">
        <x:v>Rubiaceae</x:v>
      </x:c>
      <x:c r="B65" s="215" t="n">
        <x:v>4</x:v>
      </x:c>
      <x:c r="C65" s="215" t="n">
        <x:v>11</x:v>
      </x:c>
      <x:c r="D65" s="215" t="n">
        <x:v>9</x:v>
      </x:c>
      <x:c r="E65" s="215" t="n">
        <x:v>9</x:v>
      </x:c>
      <x:c r="F65" s="215" t="n">
        <x:v>10</x:v>
      </x:c>
      <x:c r="G65" s="215" t="n">
        <x:v>2</x:v>
      </x:c>
      <x:c r="H65" s="215" t="str">
        <x:v>Moderate</x:v>
      </x:c>
      <x:c r="I65" s="215" t="str">
        <x:v>Complete</x:v>
      </x:c>
      <x:c r="J65" s="215" t="str">
        <x:v>Source-backed draft</x:v>
      </x:c>
      <x:c r="K65" s="215" t="str">
        <x:v>Resolve flagged claims; then build local genus comparisons.</x:v>
      </x:c>
      <x:c r="L65" s="215" t="str">
        <x:v>Broad family evidence; species-level confirmation still required.</x:v>
      </x:c>
    </x:row>
    <x:row r="66" ht="36" customHeight="1">
      <x:c r="A66" s="215" t="str">
        <x:v>Cannabaceae</x:v>
      </x:c>
      <x:c r="B66" s="215" t="n">
        <x:v>3</x:v>
      </x:c>
      <x:c r="C66" s="215" t="n">
        <x:v>11</x:v>
      </x:c>
      <x:c r="D66" s="215" t="n">
        <x:v>6</x:v>
      </x:c>
      <x:c r="E66" s="215" t="n">
        <x:v>4</x:v>
      </x:c>
      <x:c r="F66" s="215" t="n">
        <x:v>8</x:v>
      </x:c>
      <x:c r="G66" s="215" t="n">
        <x:v>1</x:v>
      </x:c>
      <x:c r="H66" s="215" t="str">
        <x:v>Moderate</x:v>
      </x:c>
      <x:c r="I66" s="215" t="str">
        <x:v>Complete</x:v>
      </x:c>
      <x:c r="J66" s="215" t="str">
        <x:v>Source-backed draft</x:v>
      </x:c>
      <x:c r="K66" s="215" t="str">
        <x:v>Resolve flagged claims; then build local genus comparisons.</x:v>
      </x:c>
      <x:c r="L66" s="215" t="str">
        <x:v>Broad family evidence; species-level confirmation still required.</x:v>
      </x:c>
    </x:row>
    <x:row r="67" ht="36" customHeight="1">
      <x:c r="A67" s="215" t="str">
        <x:v>Cucurbitaceae</x:v>
      </x:c>
      <x:c r="B67" s="215" t="n">
        <x:v>3</x:v>
      </x:c>
      <x:c r="C67" s="215" t="n">
        <x:v>11</x:v>
      </x:c>
      <x:c r="D67" s="215" t="n">
        <x:v>8</x:v>
      </x:c>
      <x:c r="E67" s="215" t="n">
        <x:v>9</x:v>
      </x:c>
      <x:c r="F67" s="215" t="n">
        <x:v>11</x:v>
      </x:c>
      <x:c r="G67" s="215" t="n">
        <x:v>0</x:v>
      </x:c>
      <x:c r="H67" s="215" t="str">
        <x:v>Low</x:v>
      </x:c>
      <x:c r="I67" s="215" t="str">
        <x:v>Complete</x:v>
      </x:c>
      <x:c r="J67" s="215" t="str">
        <x:v>Source-backed draft</x:v>
      </x:c>
      <x:c r="K67" s="215" t="str">
        <x:v>Human-review profile; then build local genus comparisons.</x:v>
      </x:c>
      <x:c r="L67" s="215" t="str">
        <x:v>Broad family evidence; species-level confirmation still required.</x:v>
      </x:c>
    </x:row>
    <x:row r="68" ht="36" customHeight="1">
      <x:c r="A68" s="215" t="str">
        <x:v>Cupressaceae</x:v>
      </x:c>
      <x:c r="B68" s="215" t="n">
        <x:v>3</x:v>
      </x:c>
      <x:c r="C68" s="215" t="n">
        <x:v>11</x:v>
      </x:c>
      <x:c r="D68" s="215" t="n">
        <x:v>8</x:v>
      </x:c>
      <x:c r="E68" s="215" t="n">
        <x:v>5</x:v>
      </x:c>
      <x:c r="F68" s="215" t="n">
        <x:v>10</x:v>
      </x:c>
      <x:c r="G68" s="215" t="n">
        <x:v>0</x:v>
      </x:c>
      <x:c r="H68" s="215" t="str">
        <x:v>Low</x:v>
      </x:c>
      <x:c r="I68" s="215" t="str">
        <x:v>Complete</x:v>
      </x:c>
      <x:c r="J68" s="215" t="str">
        <x:v>Source-backed draft</x:v>
      </x:c>
      <x:c r="K68" s="215" t="str">
        <x:v>Human-review profile; then build local genus comparisons.</x:v>
      </x:c>
      <x:c r="L68" s="215" t="str">
        <x:v>Broad family evidence; species-level confirmation still required.</x:v>
      </x:c>
    </x:row>
    <x:row r="69" ht="36" customHeight="1">
      <x:c r="A69" s="215" t="str">
        <x:v>Geraniaceae</x:v>
      </x:c>
      <x:c r="B69" s="215" t="n">
        <x:v>3</x:v>
      </x:c>
      <x:c r="C69" s="215" t="n">
        <x:v>11</x:v>
      </x:c>
      <x:c r="D69" s="215" t="n">
        <x:v>7</x:v>
      </x:c>
      <x:c r="E69" s="215" t="n">
        <x:v>7</x:v>
      </x:c>
      <x:c r="F69" s="215" t="n">
        <x:v>10</x:v>
      </x:c>
      <x:c r="G69" s="215" t="n">
        <x:v>0</x:v>
      </x:c>
      <x:c r="H69" s="215" t="str">
        <x:v>Low</x:v>
      </x:c>
      <x:c r="I69" s="215" t="str">
        <x:v>Complete</x:v>
      </x:c>
      <x:c r="J69" s="215" t="str">
        <x:v>Source-backed draft</x:v>
      </x:c>
      <x:c r="K69" s="215" t="str">
        <x:v>Human-review profile; then build local genus comparisons.</x:v>
      </x:c>
      <x:c r="L69" s="215" t="str">
        <x:v>Broad family evidence; species-level confirmation still required.</x:v>
      </x:c>
    </x:row>
    <x:row r="70" ht="36" customHeight="1">
      <x:c r="A70" s="215" t="str">
        <x:v>Moraceae</x:v>
      </x:c>
      <x:c r="B70" s="215" t="n">
        <x:v>3</x:v>
      </x:c>
      <x:c r="C70" s="215" t="n">
        <x:v>11</x:v>
      </x:c>
      <x:c r="D70" s="215" t="n">
        <x:v>6</x:v>
      </x:c>
      <x:c r="E70" s="215" t="n">
        <x:v>5</x:v>
      </x:c>
      <x:c r="F70" s="215" t="n">
        <x:v>8</x:v>
      </x:c>
      <x:c r="G70" s="215" t="n">
        <x:v>1</x:v>
      </x:c>
      <x:c r="H70" s="215" t="str">
        <x:v>Moderate</x:v>
      </x:c>
      <x:c r="I70" s="215" t="str">
        <x:v>Complete</x:v>
      </x:c>
      <x:c r="J70" s="215" t="str">
        <x:v>Source-backed draft</x:v>
      </x:c>
      <x:c r="K70" s="215" t="str">
        <x:v>Resolve flagged claims; then build local genus comparisons.</x:v>
      </x:c>
      <x:c r="L70" s="215" t="str">
        <x:v>Broad family evidence; species-level confirmation still required.</x:v>
      </x:c>
    </x:row>
    <x:row r="71" ht="36" customHeight="1">
      <x:c r="A71" s="215" t="str">
        <x:v>Polygonaceae</x:v>
      </x:c>
      <x:c r="B71" s="215" t="n">
        <x:v>3</x:v>
      </x:c>
      <x:c r="C71" s="215" t="n">
        <x:v>11</x:v>
      </x:c>
      <x:c r="D71" s="215" t="n">
        <x:v>9</x:v>
      </x:c>
      <x:c r="E71" s="215" t="n">
        <x:v>9</x:v>
      </x:c>
      <x:c r="F71" s="215" t="n">
        <x:v>9</x:v>
      </x:c>
      <x:c r="G71" s="215" t="n">
        <x:v>2</x:v>
      </x:c>
      <x:c r="H71" s="215" t="str">
        <x:v>Moderate</x:v>
      </x:c>
      <x:c r="I71" s="215" t="str">
        <x:v>Complete</x:v>
      </x:c>
      <x:c r="J71" s="215" t="str">
        <x:v>Source-backed draft</x:v>
      </x:c>
      <x:c r="K71" s="215" t="str">
        <x:v>Resolve flagged claims; then build local genus comparisons.</x:v>
      </x:c>
      <x:c r="L71" s="215" t="str">
        <x:v>Broad family evidence; species-level confirmation still required.</x:v>
      </x:c>
    </x:row>
    <x:row r="72" ht="36" customHeight="1">
      <x:c r="A72" s="215" t="str">
        <x:v>Rutaceae</x:v>
      </x:c>
      <x:c r="B72" s="215" t="n">
        <x:v>3</x:v>
      </x:c>
      <x:c r="C72" s="215" t="n">
        <x:v>11</x:v>
      </x:c>
      <x:c r="D72" s="215" t="n">
        <x:v>7</x:v>
      </x:c>
      <x:c r="E72" s="215" t="n">
        <x:v>7</x:v>
      </x:c>
      <x:c r="F72" s="215" t="n">
        <x:v>8</x:v>
      </x:c>
      <x:c r="G72" s="215" t="n">
        <x:v>0</x:v>
      </x:c>
      <x:c r="H72" s="215" t="str">
        <x:v>Low</x:v>
      </x:c>
      <x:c r="I72" s="215" t="str">
        <x:v>Complete</x:v>
      </x:c>
      <x:c r="J72" s="215" t="str">
        <x:v>Source-backed draft</x:v>
      </x:c>
      <x:c r="K72" s="215" t="str">
        <x:v>Human-review profile; then build local genus comparisons.</x:v>
      </x:c>
      <x:c r="L72" s="215" t="str">
        <x:v>Broad family evidence; species-level confirmation still required.</x:v>
      </x:c>
    </x:row>
    <x:row r="73" ht="36" customHeight="1">
      <x:c r="A73" s="215" t="str">
        <x:v>Salicaceae</x:v>
      </x:c>
      <x:c r="B73" s="215" t="n">
        <x:v>3</x:v>
      </x:c>
      <x:c r="C73" s="215" t="n">
        <x:v>12</x:v>
      </x:c>
      <x:c r="D73" s="215" t="n">
        <x:v>7</x:v>
      </x:c>
      <x:c r="E73" s="215" t="n">
        <x:v>9</x:v>
      </x:c>
      <x:c r="F73" s="215" t="n">
        <x:v>10</x:v>
      </x:c>
      <x:c r="G73" s="215" t="n">
        <x:v>2</x:v>
      </x:c>
      <x:c r="H73" s="215" t="str">
        <x:v>Moderate</x:v>
      </x:c>
      <x:c r="I73" s="215" t="str">
        <x:v>Complete</x:v>
      </x:c>
      <x:c r="J73" s="215" t="str">
        <x:v>Source-backed draft</x:v>
      </x:c>
      <x:c r="K73" s="215" t="str">
        <x:v>Resolve flagged claims; then build local genus comparisons.</x:v>
      </x:c>
      <x:c r="L73" s="215" t="str">
        <x:v>Broad family evidence; species-level confirmation still required.</x:v>
      </x:c>
    </x:row>
    <x:row r="74" ht="36" customHeight="1">
      <x:c r="A74" s="215" t="str">
        <x:v>Ulmaceae</x:v>
      </x:c>
      <x:c r="B74" s="215" t="n">
        <x:v>3</x:v>
      </x:c>
      <x:c r="C74" s="215" t="n">
        <x:v>11</x:v>
      </x:c>
      <x:c r="D74" s="215" t="n">
        <x:v>6</x:v>
      </x:c>
      <x:c r="E74" s="215" t="n">
        <x:v>4</x:v>
      </x:c>
      <x:c r="F74" s="215" t="n">
        <x:v>9</x:v>
      </x:c>
      <x:c r="G74" s="215" t="n">
        <x:v>2</x:v>
      </x:c>
      <x:c r="H74" s="215" t="str">
        <x:v>Moderate</x:v>
      </x:c>
      <x:c r="I74" s="215" t="str">
        <x:v>Complete</x:v>
      </x:c>
      <x:c r="J74" s="215" t="str">
        <x:v>Source-backed draft</x:v>
      </x:c>
      <x:c r="K74" s="215" t="str">
        <x:v>Resolve flagged claims; then build local genus comparisons.</x:v>
      </x:c>
      <x:c r="L74" s="215" t="str">
        <x:v>Broad family evidence; species-level confirmation still required.</x:v>
      </x:c>
    </x:row>
    <x:row r="75" ht="36" customHeight="1">
      <x:c r="A75" s="215" t="str">
        <x:v>Viburnaceae</x:v>
      </x:c>
      <x:c r="B75" s="215" t="n">
        <x:v>3</x:v>
      </x:c>
      <x:c r="C75" s="215" t="n">
        <x:v>11</x:v>
      </x:c>
      <x:c r="D75" s="215" t="n">
        <x:v>5</x:v>
      </x:c>
      <x:c r="E75" s="215" t="n">
        <x:v>6</x:v>
      </x:c>
      <x:c r="F75" s="215" t="n">
        <x:v>10</x:v>
      </x:c>
      <x:c r="G75" s="215" t="n">
        <x:v>1</x:v>
      </x:c>
      <x:c r="H75" s="215" t="str">
        <x:v>Moderate</x:v>
      </x:c>
      <x:c r="I75" s="215" t="str">
        <x:v>Complete</x:v>
      </x:c>
      <x:c r="J75" s="215" t="str">
        <x:v>Source-backed draft</x:v>
      </x:c>
      <x:c r="K75" s="215" t="str">
        <x:v>Resolve flagged claims; then build local genus comparisons.</x:v>
      </x:c>
      <x:c r="L75" s="215" t="str">
        <x:v>Broad family evidence; species-level confirmation still required.</x:v>
      </x:c>
    </x:row>
    <x:row r="76" ht="36" customHeight="1">
      <x:c r="A76" s="215" t="str">
        <x:v>Aquifoliaceae</x:v>
      </x:c>
      <x:c r="B76" s="215" t="n">
        <x:v>2</x:v>
      </x:c>
      <x:c r="C76" s="215" t="n">
        <x:v>0</x:v>
      </x:c>
      <x:c r="D76" s="215" t="n">
        <x:v>0</x:v>
      </x:c>
      <x:c r="E76" s="215" t="n">
        <x:v>0</x:v>
      </x:c>
      <x:c r="F76" s="215" t="n">
        <x:v>0</x:v>
      </x:c>
      <x:c r="G76" s="215" t="n">
        <x:v>0</x:v>
      </x:c>
      <x:c r="H76" s="215" t="str">
        <x:v>—</x:v>
      </x:c>
      <x:c r="I76" s="215" t="str">
        <x:v>—</x:v>
      </x:c>
      <x:c r="J76" s="215" t="str">
        <x:v>No imported family evidence</x:v>
      </x:c>
      <x:c r="K76" s="215" t="str">
        <x:v>Run the family-evidence automation, then human-review.</x:v>
      </x:c>
      <x:c r="L76" s="215" t="str"/>
    </x:row>
    <x:row r="77" ht="36" customHeight="1">
      <x:c r="A77" s="215" t="str">
        <x:v>Araliaceae</x:v>
      </x:c>
      <x:c r="B77" s="215" t="n">
        <x:v>2</x:v>
      </x:c>
      <x:c r="C77" s="215" t="n">
        <x:v>0</x:v>
      </x:c>
      <x:c r="D77" s="215" t="n">
        <x:v>0</x:v>
      </x:c>
      <x:c r="E77" s="215" t="n">
        <x:v>0</x:v>
      </x:c>
      <x:c r="F77" s="215" t="n">
        <x:v>0</x:v>
      </x:c>
      <x:c r="G77" s="215" t="n">
        <x:v>0</x:v>
      </x:c>
      <x:c r="H77" s="215" t="str">
        <x:v>—</x:v>
      </x:c>
      <x:c r="I77" s="215" t="str">
        <x:v>—</x:v>
      </x:c>
      <x:c r="J77" s="215" t="str">
        <x:v>No imported family evidence</x:v>
      </x:c>
      <x:c r="K77" s="215" t="str">
        <x:v>Run the family-evidence automation, then human-review.</x:v>
      </x:c>
      <x:c r="L77" s="215" t="str"/>
    </x:row>
    <x:row r="78" ht="36" customHeight="1">
      <x:c r="A78" s="215" t="str">
        <x:v>Arecaceae</x:v>
      </x:c>
      <x:c r="B78" s="215" t="n">
        <x:v>2</x:v>
      </x:c>
      <x:c r="C78" s="215" t="n">
        <x:v>0</x:v>
      </x:c>
      <x:c r="D78" s="215" t="n">
        <x:v>0</x:v>
      </x:c>
      <x:c r="E78" s="215" t="n">
        <x:v>0</x:v>
      </x:c>
      <x:c r="F78" s="215" t="n">
        <x:v>0</x:v>
      </x:c>
      <x:c r="G78" s="215" t="n">
        <x:v>0</x:v>
      </x:c>
      <x:c r="H78" s="215" t="str">
        <x:v>—</x:v>
      </x:c>
      <x:c r="I78" s="215" t="str">
        <x:v>—</x:v>
      </x:c>
      <x:c r="J78" s="215" t="str">
        <x:v>No imported family evidence</x:v>
      </x:c>
      <x:c r="K78" s="215" t="str">
        <x:v>Run the family-evidence automation, then human-review.</x:v>
      </x:c>
      <x:c r="L78" s="215" t="str"/>
    </x:row>
    <x:row r="79" ht="36" customHeight="1">
      <x:c r="A79" s="215" t="str">
        <x:v>Aristolochiaceae</x:v>
      </x:c>
      <x:c r="B79" s="215" t="n">
        <x:v>2</x:v>
      </x:c>
      <x:c r="C79" s="215" t="n">
        <x:v>0</x:v>
      </x:c>
      <x:c r="D79" s="215" t="n">
        <x:v>0</x:v>
      </x:c>
      <x:c r="E79" s="215" t="n">
        <x:v>0</x:v>
      </x:c>
      <x:c r="F79" s="215" t="n">
        <x:v>0</x:v>
      </x:c>
      <x:c r="G79" s="215" t="n">
        <x:v>0</x:v>
      </x:c>
      <x:c r="H79" s="215" t="str">
        <x:v>—</x:v>
      </x:c>
      <x:c r="I79" s="215" t="str">
        <x:v>—</x:v>
      </x:c>
      <x:c r="J79" s="215" t="str">
        <x:v>No imported family evidence</x:v>
      </x:c>
      <x:c r="K79" s="215" t="str">
        <x:v>Run the family-evidence automation, then human-review.</x:v>
      </x:c>
      <x:c r="L79" s="215" t="str"/>
    </x:row>
    <x:row r="80" ht="36" customHeight="1">
      <x:c r="A80" s="215" t="str">
        <x:v>Aspleniaceae</x:v>
      </x:c>
      <x:c r="B80" s="215" t="n">
        <x:v>2</x:v>
      </x:c>
      <x:c r="C80" s="215" t="n">
        <x:v>0</x:v>
      </x:c>
      <x:c r="D80" s="215" t="n">
        <x:v>0</x:v>
      </x:c>
      <x:c r="E80" s="215" t="n">
        <x:v>0</x:v>
      </x:c>
      <x:c r="F80" s="215" t="n">
        <x:v>0</x:v>
      </x:c>
      <x:c r="G80" s="215" t="n">
        <x:v>0</x:v>
      </x:c>
      <x:c r="H80" s="215" t="str">
        <x:v>—</x:v>
      </x:c>
      <x:c r="I80" s="215" t="str">
        <x:v>—</x:v>
      </x:c>
      <x:c r="J80" s="215" t="str">
        <x:v>No imported family evidence</x:v>
      </x:c>
      <x:c r="K80" s="215" t="str">
        <x:v>Run the family-evidence automation, then human-review.</x:v>
      </x:c>
      <x:c r="L80" s="215" t="str"/>
    </x:row>
    <x:row r="81" ht="36" customHeight="1">
      <x:c r="A81" s="215" t="str">
        <x:v>Berberidaceae</x:v>
      </x:c>
      <x:c r="B81" s="215" t="n">
        <x:v>2</x:v>
      </x:c>
      <x:c r="C81" s="215" t="n">
        <x:v>0</x:v>
      </x:c>
      <x:c r="D81" s="215" t="n">
        <x:v>0</x:v>
      </x:c>
      <x:c r="E81" s="215" t="n">
        <x:v>0</x:v>
      </x:c>
      <x:c r="F81" s="215" t="n">
        <x:v>0</x:v>
      </x:c>
      <x:c r="G81" s="215" t="n">
        <x:v>0</x:v>
      </x:c>
      <x:c r="H81" s="215" t="str">
        <x:v>—</x:v>
      </x:c>
      <x:c r="I81" s="215" t="str">
        <x:v>—</x:v>
      </x:c>
      <x:c r="J81" s="215" t="str">
        <x:v>No imported family evidence</x:v>
      </x:c>
      <x:c r="K81" s="215" t="str">
        <x:v>Run the family-evidence automation, then human-review.</x:v>
      </x:c>
      <x:c r="L81" s="215" t="str"/>
    </x:row>
    <x:row r="82" ht="36" customHeight="1">
      <x:c r="A82" s="215" t="str">
        <x:v>Bromeliaceae</x:v>
      </x:c>
      <x:c r="B82" s="215" t="n">
        <x:v>2</x:v>
      </x:c>
      <x:c r="C82" s="215" t="n">
        <x:v>0</x:v>
      </x:c>
      <x:c r="D82" s="215" t="n">
        <x:v>0</x:v>
      </x:c>
      <x:c r="E82" s="215" t="n">
        <x:v>0</x:v>
      </x:c>
      <x:c r="F82" s="215" t="n">
        <x:v>0</x:v>
      </x:c>
      <x:c r="G82" s="215" t="n">
        <x:v>0</x:v>
      </x:c>
      <x:c r="H82" s="215" t="str">
        <x:v>—</x:v>
      </x:c>
      <x:c r="I82" s="215" t="str">
        <x:v>—</x:v>
      </x:c>
      <x:c r="J82" s="215" t="str">
        <x:v>No imported family evidence</x:v>
      </x:c>
      <x:c r="K82" s="215" t="str">
        <x:v>Run the family-evidence automation, then human-review.</x:v>
      </x:c>
      <x:c r="L82" s="215" t="str"/>
    </x:row>
    <x:row r="83" ht="36" customHeight="1">
      <x:c r="A83" s="215" t="str">
        <x:v>Ebenaceae</x:v>
      </x:c>
      <x:c r="B83" s="215" t="n">
        <x:v>2</x:v>
      </x:c>
      <x:c r="C83" s="215" t="n">
        <x:v>0</x:v>
      </x:c>
      <x:c r="D83" s="215" t="n">
        <x:v>0</x:v>
      </x:c>
      <x:c r="E83" s="215" t="n">
        <x:v>0</x:v>
      </x:c>
      <x:c r="F83" s="215" t="n">
        <x:v>0</x:v>
      </x:c>
      <x:c r="G83" s="215" t="n">
        <x:v>0</x:v>
      </x:c>
      <x:c r="H83" s="215" t="str">
        <x:v>—</x:v>
      </x:c>
      <x:c r="I83" s="215" t="str">
        <x:v>—</x:v>
      </x:c>
      <x:c r="J83" s="215" t="str">
        <x:v>No imported family evidence</x:v>
      </x:c>
      <x:c r="K83" s="215" t="str">
        <x:v>Run the family-evidence automation, then human-review.</x:v>
      </x:c>
      <x:c r="L83" s="215" t="str"/>
    </x:row>
    <x:row r="84" ht="36" customHeight="1">
      <x:c r="A84" s="215" t="str">
        <x:v>Hydrangeaceae</x:v>
      </x:c>
      <x:c r="B84" s="215" t="n">
        <x:v>2</x:v>
      </x:c>
      <x:c r="C84" s="215" t="n">
        <x:v>11</x:v>
      </x:c>
      <x:c r="D84" s="215" t="n">
        <x:v>4</x:v>
      </x:c>
      <x:c r="E84" s="215" t="n">
        <x:v>5</x:v>
      </x:c>
      <x:c r="F84" s="215" t="n">
        <x:v>11</x:v>
      </x:c>
      <x:c r="G84" s="215" t="n">
        <x:v>0</x:v>
      </x:c>
      <x:c r="H84" s="215" t="str">
        <x:v>Moderate</x:v>
      </x:c>
      <x:c r="I84" s="215" t="str">
        <x:v>Complete</x:v>
      </x:c>
      <x:c r="J84" s="215" t="str">
        <x:v>Source-backed draft</x:v>
      </x:c>
      <x:c r="K84" s="215" t="str">
        <x:v>Human-review profile; then build local genus comparisons.</x:v>
      </x:c>
      <x:c r="L84" s="215" t="str">
        <x:v>Broad family evidence; species-level confirmation still required.</x:v>
      </x:c>
    </x:row>
    <x:row r="85" ht="36" customHeight="1">
      <x:c r="A85" s="215" t="str">
        <x:v>Loganiaceae</x:v>
      </x:c>
      <x:c r="B85" s="215" t="n">
        <x:v>2</x:v>
      </x:c>
      <x:c r="C85" s="215" t="n">
        <x:v>0</x:v>
      </x:c>
      <x:c r="D85" s="215" t="n">
        <x:v>0</x:v>
      </x:c>
      <x:c r="E85" s="215" t="n">
        <x:v>0</x:v>
      </x:c>
      <x:c r="F85" s="215" t="n">
        <x:v>0</x:v>
      </x:c>
      <x:c r="G85" s="215" t="n">
        <x:v>0</x:v>
      </x:c>
      <x:c r="H85" s="215" t="str">
        <x:v>—</x:v>
      </x:c>
      <x:c r="I85" s="215" t="str">
        <x:v>—</x:v>
      </x:c>
      <x:c r="J85" s="215" t="str">
        <x:v>No imported family evidence</x:v>
      </x:c>
      <x:c r="K85" s="215" t="str">
        <x:v>Run the family-evidence automation, then human-review.</x:v>
      </x:c>
      <x:c r="L85" s="215" t="str"/>
    </x:row>
    <x:row r="86" ht="36" customHeight="1">
      <x:c r="A86" s="215" t="str">
        <x:v>Marsileaceae</x:v>
      </x:c>
      <x:c r="B86" s="215" t="n">
        <x:v>2</x:v>
      </x:c>
      <x:c r="C86" s="215" t="n">
        <x:v>0</x:v>
      </x:c>
      <x:c r="D86" s="215" t="n">
        <x:v>0</x:v>
      </x:c>
      <x:c r="E86" s="215" t="n">
        <x:v>0</x:v>
      </x:c>
      <x:c r="F86" s="215" t="n">
        <x:v>0</x:v>
      </x:c>
      <x:c r="G86" s="215" t="n">
        <x:v>0</x:v>
      </x:c>
      <x:c r="H86" s="215" t="str">
        <x:v>—</x:v>
      </x:c>
      <x:c r="I86" s="215" t="str">
        <x:v>—</x:v>
      </x:c>
      <x:c r="J86" s="215" t="str">
        <x:v>No imported family evidence</x:v>
      </x:c>
      <x:c r="K86" s="215" t="str">
        <x:v>Run the family-evidence automation, then human-review.</x:v>
      </x:c>
      <x:c r="L86" s="215" t="str"/>
    </x:row>
    <x:row r="87" ht="36" customHeight="1">
      <x:c r="A87" s="215" t="str">
        <x:v>Melanthiaceae</x:v>
      </x:c>
      <x:c r="B87" s="215" t="n">
        <x:v>2</x:v>
      </x:c>
      <x:c r="C87" s="215" t="n">
        <x:v>0</x:v>
      </x:c>
      <x:c r="D87" s="215" t="n">
        <x:v>0</x:v>
      </x:c>
      <x:c r="E87" s="215" t="n">
        <x:v>0</x:v>
      </x:c>
      <x:c r="F87" s="215" t="n">
        <x:v>0</x:v>
      </x:c>
      <x:c r="G87" s="215" t="n">
        <x:v>0</x:v>
      </x:c>
      <x:c r="H87" s="215" t="str">
        <x:v>—</x:v>
      </x:c>
      <x:c r="I87" s="215" t="str">
        <x:v>—</x:v>
      </x:c>
      <x:c r="J87" s="215" t="str">
        <x:v>No imported family evidence</x:v>
      </x:c>
      <x:c r="K87" s="215" t="str">
        <x:v>Run the family-evidence automation, then human-review.</x:v>
      </x:c>
      <x:c r="L87" s="215" t="str"/>
    </x:row>
    <x:row r="88" ht="36" customHeight="1">
      <x:c r="A88" s="215" t="str">
        <x:v>Nymphaeaceae</x:v>
      </x:c>
      <x:c r="B88" s="215" t="n">
        <x:v>2</x:v>
      </x:c>
      <x:c r="C88" s="215" t="n">
        <x:v>0</x:v>
      </x:c>
      <x:c r="D88" s="215" t="n">
        <x:v>0</x:v>
      </x:c>
      <x:c r="E88" s="215" t="n">
        <x:v>0</x:v>
      </x:c>
      <x:c r="F88" s="215" t="n">
        <x:v>0</x:v>
      </x:c>
      <x:c r="G88" s="215" t="n">
        <x:v>0</x:v>
      </x:c>
      <x:c r="H88" s="215" t="str">
        <x:v>—</x:v>
      </x:c>
      <x:c r="I88" s="215" t="str">
        <x:v>—</x:v>
      </x:c>
      <x:c r="J88" s="215" t="str">
        <x:v>No imported family evidence</x:v>
      </x:c>
      <x:c r="K88" s="215" t="str">
        <x:v>Run the family-evidence automation, then human-review.</x:v>
      </x:c>
      <x:c r="L88" s="215" t="str"/>
    </x:row>
    <x:row r="89" ht="36" customHeight="1">
      <x:c r="A89" s="215" t="str">
        <x:v>Pontederiaceae</x:v>
      </x:c>
      <x:c r="B89" s="215" t="n">
        <x:v>2</x:v>
      </x:c>
      <x:c r="C89" s="215" t="n">
        <x:v>0</x:v>
      </x:c>
      <x:c r="D89" s="215" t="n">
        <x:v>0</x:v>
      </x:c>
      <x:c r="E89" s="215" t="n">
        <x:v>0</x:v>
      </x:c>
      <x:c r="F89" s="215" t="n">
        <x:v>0</x:v>
      </x:c>
      <x:c r="G89" s="215" t="n">
        <x:v>0</x:v>
      </x:c>
      <x:c r="H89" s="215" t="str">
        <x:v>—</x:v>
      </x:c>
      <x:c r="I89" s="215" t="str">
        <x:v>—</x:v>
      </x:c>
      <x:c r="J89" s="215" t="str">
        <x:v>No imported family evidence</x:v>
      </x:c>
      <x:c r="K89" s="215" t="str">
        <x:v>Run the family-evidence automation, then human-review.</x:v>
      </x:c>
      <x:c r="L89" s="215" t="str"/>
    </x:row>
    <x:row r="90" ht="36" customHeight="1">
      <x:c r="A90" s="215" t="str">
        <x:v>Portulacaceae</x:v>
      </x:c>
      <x:c r="B90" s="215" t="n">
        <x:v>2</x:v>
      </x:c>
      <x:c r="C90" s="215" t="n">
        <x:v>11</x:v>
      </x:c>
      <x:c r="D90" s="215" t="n">
        <x:v>7</x:v>
      </x:c>
      <x:c r="E90" s="215" t="n">
        <x:v>6</x:v>
      </x:c>
      <x:c r="F90" s="215" t="n">
        <x:v>9</x:v>
      </x:c>
      <x:c r="G90" s="215" t="n">
        <x:v>0</x:v>
      </x:c>
      <x:c r="H90" s="215" t="str">
        <x:v>Moderate</x:v>
      </x:c>
      <x:c r="I90" s="215" t="str">
        <x:v>Complete</x:v>
      </x:c>
      <x:c r="J90" s="215" t="str">
        <x:v>Source-backed draft</x:v>
      </x:c>
      <x:c r="K90" s="215" t="str">
        <x:v>Human-review profile; then build local genus comparisons.</x:v>
      </x:c>
      <x:c r="L90" s="215" t="str">
        <x:v>Broad family evidence; species-level confirmation still required.</x:v>
      </x:c>
    </x:row>
    <x:row r="91" ht="36" customHeight="1">
      <x:c r="A91" s="215" t="str">
        <x:v>Primulaceae</x:v>
      </x:c>
      <x:c r="B91" s="215" t="n">
        <x:v>2</x:v>
      </x:c>
      <x:c r="C91" s="215" t="n">
        <x:v>11</x:v>
      </x:c>
      <x:c r="D91" s="215" t="n">
        <x:v>5</x:v>
      </x:c>
      <x:c r="E91" s="215" t="n">
        <x:v>6</x:v>
      </x:c>
      <x:c r="F91" s="215" t="n">
        <x:v>6</x:v>
      </x:c>
      <x:c r="G91" s="215" t="n">
        <x:v>1</x:v>
      </x:c>
      <x:c r="H91" s="215" t="str">
        <x:v>Moderate</x:v>
      </x:c>
      <x:c r="I91" s="215" t="str">
        <x:v>Complete</x:v>
      </x:c>
      <x:c r="J91" s="215" t="str">
        <x:v>Source-backed draft</x:v>
      </x:c>
      <x:c r="K91" s="215" t="str">
        <x:v>Resolve flagged claims; then build local genus comparisons.</x:v>
      </x:c>
      <x:c r="L91" s="215" t="str">
        <x:v>Broad family evidence; species-level confirmation still required.</x:v>
      </x:c>
    </x:row>
    <x:row r="92" ht="36" customHeight="1">
      <x:c r="A92" s="215" t="str">
        <x:v>Scrophulariaceae</x:v>
      </x:c>
      <x:c r="B92" s="215" t="n">
        <x:v>2</x:v>
      </x:c>
      <x:c r="C92" s="215" t="n">
        <x:v>0</x:v>
      </x:c>
      <x:c r="D92" s="215" t="n">
        <x:v>0</x:v>
      </x:c>
      <x:c r="E92" s="215" t="n">
        <x:v>0</x:v>
      </x:c>
      <x:c r="F92" s="215" t="n">
        <x:v>0</x:v>
      </x:c>
      <x:c r="G92" s="215" t="n">
        <x:v>0</x:v>
      </x:c>
      <x:c r="H92" s="215" t="str">
        <x:v>—</x:v>
      </x:c>
      <x:c r="I92" s="215" t="str">
        <x:v>—</x:v>
      </x:c>
      <x:c r="J92" s="215" t="str">
        <x:v>No imported family evidence</x:v>
      </x:c>
      <x:c r="K92" s="215" t="str">
        <x:v>Run the family-evidence automation, then human-review.</x:v>
      </x:c>
      <x:c r="L92" s="215" t="str"/>
    </x:row>
    <x:row r="93" ht="36" customHeight="1">
      <x:c r="A93" s="215" t="str">
        <x:v>Selaginellaceae</x:v>
      </x:c>
      <x:c r="B93" s="215" t="n">
        <x:v>2</x:v>
      </x:c>
      <x:c r="C93" s="215" t="n">
        <x:v>0</x:v>
      </x:c>
      <x:c r="D93" s="215" t="n">
        <x:v>0</x:v>
      </x:c>
      <x:c r="E93" s="215" t="n">
        <x:v>0</x:v>
      </x:c>
      <x:c r="F93" s="215" t="n">
        <x:v>0</x:v>
      </x:c>
      <x:c r="G93" s="215" t="n">
        <x:v>0</x:v>
      </x:c>
      <x:c r="H93" s="215" t="str">
        <x:v>—</x:v>
      </x:c>
      <x:c r="I93" s="215" t="str">
        <x:v>—</x:v>
      </x:c>
      <x:c r="J93" s="215" t="str">
        <x:v>No imported family evidence</x:v>
      </x:c>
      <x:c r="K93" s="215" t="str">
        <x:v>Run the family-evidence automation, then human-review.</x:v>
      </x:c>
      <x:c r="L93" s="215" t="str"/>
    </x:row>
    <x:row r="94" ht="36" customHeight="1">
      <x:c r="A94" s="215" t="str">
        <x:v>Smilacaceae</x:v>
      </x:c>
      <x:c r="B94" s="215" t="n">
        <x:v>2</x:v>
      </x:c>
      <x:c r="C94" s="215" t="n">
        <x:v>0</x:v>
      </x:c>
      <x:c r="D94" s="215" t="n">
        <x:v>0</x:v>
      </x:c>
      <x:c r="E94" s="215" t="n">
        <x:v>0</x:v>
      </x:c>
      <x:c r="F94" s="215" t="n">
        <x:v>0</x:v>
      </x:c>
      <x:c r="G94" s="215" t="n">
        <x:v>0</x:v>
      </x:c>
      <x:c r="H94" s="215" t="str">
        <x:v>—</x:v>
      </x:c>
      <x:c r="I94" s="215" t="str">
        <x:v>—</x:v>
      </x:c>
      <x:c r="J94" s="215" t="str">
        <x:v>No imported family evidence</x:v>
      </x:c>
      <x:c r="K94" s="215" t="str">
        <x:v>Run the family-evidence automation, then human-review.</x:v>
      </x:c>
      <x:c r="L94" s="215" t="str"/>
    </x:row>
    <x:row r="95" ht="36" customHeight="1">
      <x:c r="A95" s="215" t="str">
        <x:v>Typhaceae</x:v>
      </x:c>
      <x:c r="B95" s="215" t="n">
        <x:v>2</x:v>
      </x:c>
      <x:c r="C95" s="215" t="n">
        <x:v>0</x:v>
      </x:c>
      <x:c r="D95" s="215" t="n">
        <x:v>0</x:v>
      </x:c>
      <x:c r="E95" s="215" t="n">
        <x:v>0</x:v>
      </x:c>
      <x:c r="F95" s="215" t="n">
        <x:v>0</x:v>
      </x:c>
      <x:c r="G95" s="215" t="n">
        <x:v>0</x:v>
      </x:c>
      <x:c r="H95" s="215" t="str">
        <x:v>—</x:v>
      </x:c>
      <x:c r="I95" s="215" t="str">
        <x:v>—</x:v>
      </x:c>
      <x:c r="J95" s="215" t="str">
        <x:v>No imported family evidence</x:v>
      </x:c>
      <x:c r="K95" s="215" t="str">
        <x:v>Run the family-evidence automation, then human-review.</x:v>
      </x:c>
      <x:c r="L95" s="215" t="str"/>
    </x:row>
    <x:row r="96" ht="36" customHeight="1">
      <x:c r="A96" s="215" t="str">
        <x:v>Urticaceae</x:v>
      </x:c>
      <x:c r="B96" s="215" t="n">
        <x:v>2</x:v>
      </x:c>
      <x:c r="C96" s="215" t="n">
        <x:v>11</x:v>
      </x:c>
      <x:c r="D96" s="215" t="n">
        <x:v>7</x:v>
      </x:c>
      <x:c r="E96" s="215" t="n">
        <x:v>6</x:v>
      </x:c>
      <x:c r="F96" s="215" t="n">
        <x:v>9</x:v>
      </x:c>
      <x:c r="G96" s="215" t="n">
        <x:v>0</x:v>
      </x:c>
      <x:c r="H96" s="215" t="str">
        <x:v>Low</x:v>
      </x:c>
      <x:c r="I96" s="215" t="str">
        <x:v>Complete</x:v>
      </x:c>
      <x:c r="J96" s="215" t="str">
        <x:v>Source-backed draft</x:v>
      </x:c>
      <x:c r="K96" s="215" t="str">
        <x:v>Human-review profile; then build local genus comparisons.</x:v>
      </x:c>
      <x:c r="L96" s="215" t="str">
        <x:v>Broad family evidence; species-level confirmation still required.</x:v>
      </x:c>
    </x:row>
    <x:row r="97" ht="36" customHeight="1">
      <x:c r="A97" s="215" t="str">
        <x:v>Violaceae</x:v>
      </x:c>
      <x:c r="B97" s="215" t="n">
        <x:v>2</x:v>
      </x:c>
      <x:c r="C97" s="215" t="n">
        <x:v>11</x:v>
      </x:c>
      <x:c r="D97" s="215" t="n">
        <x:v>7</x:v>
      </x:c>
      <x:c r="E97" s="215" t="n">
        <x:v>7</x:v>
      </x:c>
      <x:c r="F97" s="215" t="n">
        <x:v>10</x:v>
      </x:c>
      <x:c r="G97" s="215" t="n">
        <x:v>0</x:v>
      </x:c>
      <x:c r="H97" s="215" t="str">
        <x:v>Low</x:v>
      </x:c>
      <x:c r="I97" s="215" t="str">
        <x:v>Complete</x:v>
      </x:c>
      <x:c r="J97" s="215" t="str">
        <x:v>Source-backed draft</x:v>
      </x:c>
      <x:c r="K97" s="215" t="str">
        <x:v>Human-review profile; then build local genus comparisons.</x:v>
      </x:c>
      <x:c r="L97" s="215" t="str">
        <x:v>Broad family evidence; species-level confirmation still required.</x:v>
      </x:c>
    </x:row>
    <x:row r="98" ht="36" customHeight="1">
      <x:c r="A98" s="215" t="str">
        <x:v>Apodanthaceae</x:v>
      </x:c>
      <x:c r="B98" s="215" t="n">
        <x:v>1</x:v>
      </x:c>
      <x:c r="C98" s="215" t="n">
        <x:v>0</x:v>
      </x:c>
      <x:c r="D98" s="215" t="n">
        <x:v>0</x:v>
      </x:c>
      <x:c r="E98" s="215" t="n">
        <x:v>0</x:v>
      </x:c>
      <x:c r="F98" s="215" t="n">
        <x:v>0</x:v>
      </x:c>
      <x:c r="G98" s="215" t="n">
        <x:v>0</x:v>
      </x:c>
      <x:c r="H98" s="215" t="str">
        <x:v>—</x:v>
      </x:c>
      <x:c r="I98" s="215" t="str">
        <x:v>—</x:v>
      </x:c>
      <x:c r="J98" s="215" t="str">
        <x:v>No imported family evidence</x:v>
      </x:c>
      <x:c r="K98" s="215" t="str">
        <x:v>Run the family-evidence automation, then human-review.</x:v>
      </x:c>
      <x:c r="L98" s="215" t="str"/>
    </x:row>
    <x:row r="99" ht="36" customHeight="1">
      <x:c r="A99" s="215" t="str">
        <x:v>Cabombaceae</x:v>
      </x:c>
      <x:c r="B99" s="215" t="n">
        <x:v>1</x:v>
      </x:c>
      <x:c r="C99" s="215" t="n">
        <x:v>0</x:v>
      </x:c>
      <x:c r="D99" s="215" t="n">
        <x:v>0</x:v>
      </x:c>
      <x:c r="E99" s="215" t="n">
        <x:v>0</x:v>
      </x:c>
      <x:c r="F99" s="215" t="n">
        <x:v>0</x:v>
      </x:c>
      <x:c r="G99" s="215" t="n">
        <x:v>0</x:v>
      </x:c>
      <x:c r="H99" s="215" t="str">
        <x:v>—</x:v>
      </x:c>
      <x:c r="I99" s="215" t="str">
        <x:v>—</x:v>
      </x:c>
      <x:c r="J99" s="215" t="str">
        <x:v>No imported family evidence</x:v>
      </x:c>
      <x:c r="K99" s="215" t="str">
        <x:v>Run the family-evidence automation, then human-review.</x:v>
      </x:c>
      <x:c r="L99" s="215" t="str"/>
    </x:row>
    <x:row r="100" ht="36" customHeight="1">
      <x:c r="A100" s="215" t="str">
        <x:v>Ceratophyllaceae</x:v>
      </x:c>
      <x:c r="B100" s="215" t="n">
        <x:v>1</x:v>
      </x:c>
      <x:c r="C100" s="215" t="n">
        <x:v>0</x:v>
      </x:c>
      <x:c r="D100" s="215" t="n">
        <x:v>0</x:v>
      </x:c>
      <x:c r="E100" s="215" t="n">
        <x:v>0</x:v>
      </x:c>
      <x:c r="F100" s="215" t="n">
        <x:v>0</x:v>
      </x:c>
      <x:c r="G100" s="215" t="n">
        <x:v>0</x:v>
      </x:c>
      <x:c r="H100" s="215" t="str">
        <x:v>—</x:v>
      </x:c>
      <x:c r="I100" s="215" t="str">
        <x:v>—</x:v>
      </x:c>
      <x:c r="J100" s="215" t="str">
        <x:v>No imported family evidence</x:v>
      </x:c>
      <x:c r="K100" s="215" t="str">
        <x:v>Run the family-evidence automation, then human-review.</x:v>
      </x:c>
      <x:c r="L100" s="215" t="str"/>
    </x:row>
    <x:row r="101" ht="36" customHeight="1">
      <x:c r="A101" s="215" t="str">
        <x:v>Cleomaceae</x:v>
      </x:c>
      <x:c r="B101" s="215" t="n">
        <x:v>1</x:v>
      </x:c>
      <x:c r="C101" s="215" t="n">
        <x:v>0</x:v>
      </x:c>
      <x:c r="D101" s="215" t="n">
        <x:v>0</x:v>
      </x:c>
      <x:c r="E101" s="215" t="n">
        <x:v>0</x:v>
      </x:c>
      <x:c r="F101" s="215" t="n">
        <x:v>0</x:v>
      </x:c>
      <x:c r="G101" s="215" t="n">
        <x:v>0</x:v>
      </x:c>
      <x:c r="H101" s="215" t="str">
        <x:v>—</x:v>
      </x:c>
      <x:c r="I101" s="215" t="str">
        <x:v>—</x:v>
      </x:c>
      <x:c r="J101" s="215" t="str">
        <x:v>No imported family evidence</x:v>
      </x:c>
      <x:c r="K101" s="215" t="str">
        <x:v>Run the family-evidence automation, then human-review.</x:v>
      </x:c>
      <x:c r="L101" s="215" t="str"/>
    </x:row>
    <x:row r="102" ht="36" customHeight="1">
      <x:c r="A102" s="215" t="str">
        <x:v>Cornaceae</x:v>
      </x:c>
      <x:c r="B102" s="215" t="n">
        <x:v>1</x:v>
      </x:c>
      <x:c r="C102" s="215" t="n">
        <x:v>11</x:v>
      </x:c>
      <x:c r="D102" s="215" t="n">
        <x:v>6</x:v>
      </x:c>
      <x:c r="E102" s="215" t="n">
        <x:v>6</x:v>
      </x:c>
      <x:c r="F102" s="215" t="n">
        <x:v>10</x:v>
      </x:c>
      <x:c r="G102" s="215" t="n">
        <x:v>0</x:v>
      </x:c>
      <x:c r="H102" s="215" t="str">
        <x:v>Moderate</x:v>
      </x:c>
      <x:c r="I102" s="215" t="str">
        <x:v>Complete</x:v>
      </x:c>
      <x:c r="J102" s="215" t="str">
        <x:v>Source-backed draft</x:v>
      </x:c>
      <x:c r="K102" s="215" t="str">
        <x:v>Human-review profile; then build local genus comparisons.</x:v>
      </x:c>
      <x:c r="L102" s="215" t="str">
        <x:v>Broad family evidence; species-level confirmation still required.</x:v>
      </x:c>
    </x:row>
    <x:row r="103" ht="36" customHeight="1">
      <x:c r="A103" s="215" t="str">
        <x:v>Crassulaceae</x:v>
      </x:c>
      <x:c r="B103" s="215" t="n">
        <x:v>1</x:v>
      </x:c>
      <x:c r="C103" s="215" t="n">
        <x:v>11</x:v>
      </x:c>
      <x:c r="D103" s="215" t="n">
        <x:v>8</x:v>
      </x:c>
      <x:c r="E103" s="215" t="n">
        <x:v>8</x:v>
      </x:c>
      <x:c r="F103" s="215" t="n">
        <x:v>8</x:v>
      </x:c>
      <x:c r="G103" s="215" t="n">
        <x:v>0</x:v>
      </x:c>
      <x:c r="H103" s="215" t="str">
        <x:v>Moderate</x:v>
      </x:c>
      <x:c r="I103" s="215" t="str">
        <x:v>Complete</x:v>
      </x:c>
      <x:c r="J103" s="215" t="str">
        <x:v>Source-backed draft</x:v>
      </x:c>
      <x:c r="K103" s="215" t="str">
        <x:v>Human-review profile; then build local genus comparisons.</x:v>
      </x:c>
      <x:c r="L103" s="215" t="str">
        <x:v>Broad family evidence; species-level confirmation still required.</x:v>
      </x:c>
    </x:row>
    <x:row r="104" ht="36" customHeight="1">
      <x:c r="A104" s="215" t="str">
        <x:v>Ephedraceae</x:v>
      </x:c>
      <x:c r="B104" s="215" t="n">
        <x:v>1</x:v>
      </x:c>
      <x:c r="C104" s="215" t="n">
        <x:v>0</x:v>
      </x:c>
      <x:c r="D104" s="215" t="n">
        <x:v>0</x:v>
      </x:c>
      <x:c r="E104" s="215" t="n">
        <x:v>0</x:v>
      </x:c>
      <x:c r="F104" s="215" t="n">
        <x:v>0</x:v>
      </x:c>
      <x:c r="G104" s="215" t="n">
        <x:v>0</x:v>
      </x:c>
      <x:c r="H104" s="215" t="str">
        <x:v>—</x:v>
      </x:c>
      <x:c r="I104" s="215" t="str">
        <x:v>—</x:v>
      </x:c>
      <x:c r="J104" s="215" t="str">
        <x:v>No imported family evidence</x:v>
      </x:c>
      <x:c r="K104" s="215" t="str">
        <x:v>Run the family-evidence automation, then human-review.</x:v>
      </x:c>
      <x:c r="L104" s="215" t="str"/>
    </x:row>
    <x:row r="105" ht="36" customHeight="1">
      <x:c r="A105" s="215" t="str">
        <x:v>Equisetaceae</x:v>
      </x:c>
      <x:c r="B105" s="215" t="n">
        <x:v>1</x:v>
      </x:c>
      <x:c r="C105" s="215" t="n">
        <x:v>0</x:v>
      </x:c>
      <x:c r="D105" s="215" t="n">
        <x:v>0</x:v>
      </x:c>
      <x:c r="E105" s="215" t="n">
        <x:v>0</x:v>
      </x:c>
      <x:c r="F105" s="215" t="n">
        <x:v>0</x:v>
      </x:c>
      <x:c r="G105" s="215" t="n">
        <x:v>0</x:v>
      </x:c>
      <x:c r="H105" s="215" t="str">
        <x:v>—</x:v>
      </x:c>
      <x:c r="I105" s="215" t="str">
        <x:v>—</x:v>
      </x:c>
      <x:c r="J105" s="215" t="str">
        <x:v>No imported family evidence</x:v>
      </x:c>
      <x:c r="K105" s="215" t="str">
        <x:v>Run the family-evidence automation, then human-review.</x:v>
      </x:c>
      <x:c r="L105" s="215" t="str"/>
    </x:row>
    <x:row r="106" ht="36" customHeight="1">
      <x:c r="A106" s="215" t="str">
        <x:v>Ericaceae</x:v>
      </x:c>
      <x:c r="B106" s="215" t="n">
        <x:v>1</x:v>
      </x:c>
      <x:c r="C106" s="215" t="n">
        <x:v>12</x:v>
      </x:c>
      <x:c r="D106" s="215" t="n">
        <x:v>6</x:v>
      </x:c>
      <x:c r="E106" s="215" t="n">
        <x:v>5</x:v>
      </x:c>
      <x:c r="F106" s="215" t="n">
        <x:v>8</x:v>
      </x:c>
      <x:c r="G106" s="215" t="n">
        <x:v>1</x:v>
      </x:c>
      <x:c r="H106" s="215" t="str">
        <x:v>Moderate</x:v>
      </x:c>
      <x:c r="I106" s="215" t="str">
        <x:v>Complete</x:v>
      </x:c>
      <x:c r="J106" s="215" t="str">
        <x:v>Source-backed draft</x:v>
      </x:c>
      <x:c r="K106" s="215" t="str">
        <x:v>Resolve flagged claims; then build local genus comparisons.</x:v>
      </x:c>
      <x:c r="L106" s="215" t="str">
        <x:v>Broad family evidence; species-level confirmation still required.</x:v>
      </x:c>
    </x:row>
    <x:row r="107" ht="36" customHeight="1">
      <x:c r="A107" s="215" t="str">
        <x:v>Garryaceae</x:v>
      </x:c>
      <x:c r="B107" s="215" t="n">
        <x:v>1</x:v>
      </x:c>
      <x:c r="C107" s="215" t="n">
        <x:v>0</x:v>
      </x:c>
      <x:c r="D107" s="215" t="n">
        <x:v>0</x:v>
      </x:c>
      <x:c r="E107" s="215" t="n">
        <x:v>0</x:v>
      </x:c>
      <x:c r="F107" s="215" t="n">
        <x:v>0</x:v>
      </x:c>
      <x:c r="G107" s="215" t="n">
        <x:v>0</x:v>
      </x:c>
      <x:c r="H107" s="215" t="str">
        <x:v>—</x:v>
      </x:c>
      <x:c r="I107" s="215" t="str">
        <x:v>—</x:v>
      </x:c>
      <x:c r="J107" s="215" t="str">
        <x:v>No imported family evidence</x:v>
      </x:c>
      <x:c r="K107" s="215" t="str">
        <x:v>Run the family-evidence automation, then human-review.</x:v>
      </x:c>
      <x:c r="L107" s="215" t="str"/>
    </x:row>
    <x:row r="108" ht="36" customHeight="1">
      <x:c r="A108" s="215" t="str">
        <x:v>Haloragaceae</x:v>
      </x:c>
      <x:c r="B108" s="215" t="n">
        <x:v>1</x:v>
      </x:c>
      <x:c r="C108" s="215" t="n">
        <x:v>0</x:v>
      </x:c>
      <x:c r="D108" s="215" t="n">
        <x:v>0</x:v>
      </x:c>
      <x:c r="E108" s="215" t="n">
        <x:v>0</x:v>
      </x:c>
      <x:c r="F108" s="215" t="n">
        <x:v>0</x:v>
      </x:c>
      <x:c r="G108" s="215" t="n">
        <x:v>0</x:v>
      </x:c>
      <x:c r="H108" s="215" t="str">
        <x:v>—</x:v>
      </x:c>
      <x:c r="I108" s="215" t="str">
        <x:v>—</x:v>
      </x:c>
      <x:c r="J108" s="215" t="str">
        <x:v>No imported family evidence</x:v>
      </x:c>
      <x:c r="K108" s="215" t="str">
        <x:v>Run the family-evidence automation, then human-review.</x:v>
      </x:c>
      <x:c r="L108" s="215" t="str"/>
    </x:row>
    <x:row r="109" ht="36" customHeight="1">
      <x:c r="A109" s="215" t="str">
        <x:v>Hydrocharitaceae</x:v>
      </x:c>
      <x:c r="B109" s="215" t="n">
        <x:v>1</x:v>
      </x:c>
      <x:c r="C109" s="215" t="n">
        <x:v>0</x:v>
      </x:c>
      <x:c r="D109" s="215" t="n">
        <x:v>0</x:v>
      </x:c>
      <x:c r="E109" s="215" t="n">
        <x:v>0</x:v>
      </x:c>
      <x:c r="F109" s="215" t="n">
        <x:v>0</x:v>
      </x:c>
      <x:c r="G109" s="215" t="n">
        <x:v>0</x:v>
      </x:c>
      <x:c r="H109" s="215" t="str">
        <x:v>—</x:v>
      </x:c>
      <x:c r="I109" s="215" t="str">
        <x:v>—</x:v>
      </x:c>
      <x:c r="J109" s="215" t="str">
        <x:v>No imported family evidence</x:v>
      </x:c>
      <x:c r="K109" s="215" t="str">
        <x:v>Run the family-evidence automation, then human-review.</x:v>
      </x:c>
      <x:c r="L109" s="215" t="str"/>
    </x:row>
    <x:row r="110" ht="36" customHeight="1">
      <x:c r="A110" s="215" t="str">
        <x:v>Hypericaceae</x:v>
      </x:c>
      <x:c r="B110" s="215" t="n">
        <x:v>1</x:v>
      </x:c>
      <x:c r="C110" s="215" t="n">
        <x:v>0</x:v>
      </x:c>
      <x:c r="D110" s="215" t="n">
        <x:v>0</x:v>
      </x:c>
      <x:c r="E110" s="215" t="n">
        <x:v>0</x:v>
      </x:c>
      <x:c r="F110" s="215" t="n">
        <x:v>0</x:v>
      </x:c>
      <x:c r="G110" s="215" t="n">
        <x:v>0</x:v>
      </x:c>
      <x:c r="H110" s="215" t="str">
        <x:v>—</x:v>
      </x:c>
      <x:c r="I110" s="215" t="str">
        <x:v>—</x:v>
      </x:c>
      <x:c r="J110" s="215" t="str">
        <x:v>No imported family evidence</x:v>
      </x:c>
      <x:c r="K110" s="215" t="str">
        <x:v>Run the family-evidence automation, then human-review.</x:v>
      </x:c>
      <x:c r="L110" s="215" t="str"/>
    </x:row>
    <x:row r="111" ht="36" customHeight="1">
      <x:c r="A111" s="215" t="str">
        <x:v>Krameriaceae</x:v>
      </x:c>
      <x:c r="B111" s="215" t="n">
        <x:v>1</x:v>
      </x:c>
      <x:c r="C111" s="215" t="n">
        <x:v>0</x:v>
      </x:c>
      <x:c r="D111" s="215" t="n">
        <x:v>0</x:v>
      </x:c>
      <x:c r="E111" s="215" t="n">
        <x:v>0</x:v>
      </x:c>
      <x:c r="F111" s="215" t="n">
        <x:v>0</x:v>
      </x:c>
      <x:c r="G111" s="215" t="n">
        <x:v>0</x:v>
      </x:c>
      <x:c r="H111" s="215" t="str">
        <x:v>—</x:v>
      </x:c>
      <x:c r="I111" s="215" t="str">
        <x:v>—</x:v>
      </x:c>
      <x:c r="J111" s="215" t="str">
        <x:v>No imported family evidence</x:v>
      </x:c>
      <x:c r="K111" s="215" t="str">
        <x:v>Run the family-evidence automation, then human-review.</x:v>
      </x:c>
      <x:c r="L111" s="215" t="str"/>
    </x:row>
    <x:row r="112" ht="36" customHeight="1">
      <x:c r="A112" s="215" t="str">
        <x:v>Lauraceae</x:v>
      </x:c>
      <x:c r="B112" s="215" t="n">
        <x:v>1</x:v>
      </x:c>
      <x:c r="C112" s="215" t="n">
        <x:v>0</x:v>
      </x:c>
      <x:c r="D112" s="215" t="n">
        <x:v>0</x:v>
      </x:c>
      <x:c r="E112" s="215" t="n">
        <x:v>0</x:v>
      </x:c>
      <x:c r="F112" s="215" t="n">
        <x:v>0</x:v>
      </x:c>
      <x:c r="G112" s="215" t="n">
        <x:v>0</x:v>
      </x:c>
      <x:c r="H112" s="215" t="str">
        <x:v>—</x:v>
      </x:c>
      <x:c r="I112" s="215" t="str">
        <x:v>—</x:v>
      </x:c>
      <x:c r="J112" s="215" t="str">
        <x:v>No imported family evidence</x:v>
      </x:c>
      <x:c r="K112" s="215" t="str">
        <x:v>Run the family-evidence automation, then human-review.</x:v>
      </x:c>
      <x:c r="L112" s="215" t="str"/>
    </x:row>
    <x:row r="113" ht="36" customHeight="1">
      <x:c r="A113" s="215" t="str">
        <x:v>Lentibulariaceae</x:v>
      </x:c>
      <x:c r="B113" s="215" t="n">
        <x:v>1</x:v>
      </x:c>
      <x:c r="C113" s="215" t="n">
        <x:v>0</x:v>
      </x:c>
      <x:c r="D113" s="215" t="n">
        <x:v>0</x:v>
      </x:c>
      <x:c r="E113" s="215" t="n">
        <x:v>0</x:v>
      </x:c>
      <x:c r="F113" s="215" t="n">
        <x:v>0</x:v>
      </x:c>
      <x:c r="G113" s="215" t="n">
        <x:v>0</x:v>
      </x:c>
      <x:c r="H113" s="215" t="str">
        <x:v>—</x:v>
      </x:c>
      <x:c r="I113" s="215" t="str">
        <x:v>—</x:v>
      </x:c>
      <x:c r="J113" s="215" t="str">
        <x:v>No imported family evidence</x:v>
      </x:c>
      <x:c r="K113" s="215" t="str">
        <x:v>Run the family-evidence automation, then human-review.</x:v>
      </x:c>
      <x:c r="L113" s="215" t="str"/>
    </x:row>
    <x:row r="114" ht="36" customHeight="1">
      <x:c r="A114" s="215" t="str">
        <x:v>Loasaceae</x:v>
      </x:c>
      <x:c r="B114" s="215" t="n">
        <x:v>1</x:v>
      </x:c>
      <x:c r="C114" s="215" t="n">
        <x:v>11</x:v>
      </x:c>
      <x:c r="D114" s="215" t="n">
        <x:v>8</x:v>
      </x:c>
      <x:c r="E114" s="215" t="n">
        <x:v>8</x:v>
      </x:c>
      <x:c r="F114" s="215" t="n">
        <x:v>8</x:v>
      </x:c>
      <x:c r="G114" s="215" t="n">
        <x:v>1</x:v>
      </x:c>
      <x:c r="H114" s="215" t="str">
        <x:v>Moderate</x:v>
      </x:c>
      <x:c r="I114" s="215" t="str">
        <x:v>Complete</x:v>
      </x:c>
      <x:c r="J114" s="215" t="str">
        <x:v>Source-backed draft</x:v>
      </x:c>
      <x:c r="K114" s="215" t="str">
        <x:v>Resolve flagged claims; then build local genus comparisons.</x:v>
      </x:c>
      <x:c r="L114" s="215" t="str">
        <x:v>Broad family evidence; species-level confirmation still required.</x:v>
      </x:c>
    </x:row>
    <x:row r="115" ht="36" customHeight="1">
      <x:c r="A115" s="215" t="str">
        <x:v>Malpighiaceae</x:v>
      </x:c>
      <x:c r="B115" s="215" t="n">
        <x:v>1</x:v>
      </x:c>
      <x:c r="C115" s="215" t="n">
        <x:v>0</x:v>
      </x:c>
      <x:c r="D115" s="215" t="n">
        <x:v>0</x:v>
      </x:c>
      <x:c r="E115" s="215" t="n">
        <x:v>0</x:v>
      </x:c>
      <x:c r="F115" s="215" t="n">
        <x:v>0</x:v>
      </x:c>
      <x:c r="G115" s="215" t="n">
        <x:v>0</x:v>
      </x:c>
      <x:c r="H115" s="215" t="str">
        <x:v>—</x:v>
      </x:c>
      <x:c r="I115" s="215" t="str">
        <x:v>—</x:v>
      </x:c>
      <x:c r="J115" s="215" t="str">
        <x:v>No imported family evidence</x:v>
      </x:c>
      <x:c r="K115" s="215" t="str">
        <x:v>Run the family-evidence automation, then human-review.</x:v>
      </x:c>
      <x:c r="L115" s="215" t="str"/>
    </x:row>
    <x:row r="116" ht="36" customHeight="1">
      <x:c r="A116" s="215" t="str">
        <x:v>Martyniaceae</x:v>
      </x:c>
      <x:c r="B116" s="215" t="n">
        <x:v>1</x:v>
      </x:c>
      <x:c r="C116" s="215" t="n">
        <x:v>0</x:v>
      </x:c>
      <x:c r="D116" s="215" t="n">
        <x:v>0</x:v>
      </x:c>
      <x:c r="E116" s="215" t="n">
        <x:v>0</x:v>
      </x:c>
      <x:c r="F116" s="215" t="n">
        <x:v>0</x:v>
      </x:c>
      <x:c r="G116" s="215" t="n">
        <x:v>0</x:v>
      </x:c>
      <x:c r="H116" s="215" t="str">
        <x:v>—</x:v>
      </x:c>
      <x:c r="I116" s="215" t="str">
        <x:v>—</x:v>
      </x:c>
      <x:c r="J116" s="215" t="str">
        <x:v>No imported family evidence</x:v>
      </x:c>
      <x:c r="K116" s="215" t="str">
        <x:v>Run the family-evidence automation, then human-review.</x:v>
      </x:c>
      <x:c r="L116" s="215" t="str"/>
    </x:row>
    <x:row r="117" ht="36" customHeight="1">
      <x:c r="A117" s="215" t="str">
        <x:v>Menispermaceae</x:v>
      </x:c>
      <x:c r="B117" s="215" t="n">
        <x:v>1</x:v>
      </x:c>
      <x:c r="C117" s="215" t="n">
        <x:v>0</x:v>
      </x:c>
      <x:c r="D117" s="215" t="n">
        <x:v>0</x:v>
      </x:c>
      <x:c r="E117" s="215" t="n">
        <x:v>0</x:v>
      </x:c>
      <x:c r="F117" s="215" t="n">
        <x:v>0</x:v>
      </x:c>
      <x:c r="G117" s="215" t="n">
        <x:v>0</x:v>
      </x:c>
      <x:c r="H117" s="215" t="str">
        <x:v>—</x:v>
      </x:c>
      <x:c r="I117" s="215" t="str">
        <x:v>—</x:v>
      </x:c>
      <x:c r="J117" s="215" t="str">
        <x:v>No imported family evidence</x:v>
      </x:c>
      <x:c r="K117" s="215" t="str">
        <x:v>Run the family-evidence automation, then human-review.</x:v>
      </x:c>
      <x:c r="L117" s="215" t="str"/>
    </x:row>
    <x:row r="118" ht="36" customHeight="1">
      <x:c r="A118" s="215" t="str">
        <x:v>Petiveriaceae</x:v>
      </x:c>
      <x:c r="B118" s="215" t="n">
        <x:v>1</x:v>
      </x:c>
      <x:c r="C118" s="215" t="n">
        <x:v>0</x:v>
      </x:c>
      <x:c r="D118" s="215" t="n">
        <x:v>0</x:v>
      </x:c>
      <x:c r="E118" s="215" t="n">
        <x:v>0</x:v>
      </x:c>
      <x:c r="F118" s="215" t="n">
        <x:v>0</x:v>
      </x:c>
      <x:c r="G118" s="215" t="n">
        <x:v>0</x:v>
      </x:c>
      <x:c r="H118" s="215" t="str">
        <x:v>—</x:v>
      </x:c>
      <x:c r="I118" s="215" t="str">
        <x:v>—</x:v>
      </x:c>
      <x:c r="J118" s="215" t="str">
        <x:v>No imported family evidence</x:v>
      </x:c>
      <x:c r="K118" s="215" t="str">
        <x:v>Run the family-evidence automation, then human-review.</x:v>
      </x:c>
      <x:c r="L118" s="215" t="str"/>
    </x:row>
    <x:row r="119" ht="36" customHeight="1">
      <x:c r="A119" s="215" t="str">
        <x:v>Phyllanthaceae</x:v>
      </x:c>
      <x:c r="B119" s="215" t="n">
        <x:v>1</x:v>
      </x:c>
      <x:c r="C119" s="215" t="n">
        <x:v>0</x:v>
      </x:c>
      <x:c r="D119" s="215" t="n">
        <x:v>0</x:v>
      </x:c>
      <x:c r="E119" s="215" t="n">
        <x:v>0</x:v>
      </x:c>
      <x:c r="F119" s="215" t="n">
        <x:v>0</x:v>
      </x:c>
      <x:c r="G119" s="215" t="n">
        <x:v>0</x:v>
      </x:c>
      <x:c r="H119" s="215" t="str">
        <x:v>—</x:v>
      </x:c>
      <x:c r="I119" s="215" t="str">
        <x:v>—</x:v>
      </x:c>
      <x:c r="J119" s="215" t="str">
        <x:v>No imported family evidence</x:v>
      </x:c>
      <x:c r="K119" s="215" t="str">
        <x:v>Run the family-evidence automation, then human-review.</x:v>
      </x:c>
      <x:c r="L119" s="215" t="str"/>
    </x:row>
    <x:row r="120" ht="36" customHeight="1">
      <x:c r="A120" s="215" t="str">
        <x:v>Phytolaccaceae</x:v>
      </x:c>
      <x:c r="B120" s="215" t="n">
        <x:v>1</x:v>
      </x:c>
      <x:c r="C120" s="215" t="n">
        <x:v>0</x:v>
      </x:c>
      <x:c r="D120" s="215" t="n">
        <x:v>0</x:v>
      </x:c>
      <x:c r="E120" s="215" t="n">
        <x:v>0</x:v>
      </x:c>
      <x:c r="F120" s="215" t="n">
        <x:v>0</x:v>
      </x:c>
      <x:c r="G120" s="215" t="n">
        <x:v>0</x:v>
      </x:c>
      <x:c r="H120" s="215" t="str">
        <x:v>—</x:v>
      </x:c>
      <x:c r="I120" s="215" t="str">
        <x:v>—</x:v>
      </x:c>
      <x:c r="J120" s="215" t="str">
        <x:v>No imported family evidence</x:v>
      </x:c>
      <x:c r="K120" s="215" t="str">
        <x:v>Run the family-evidence automation, then human-review.</x:v>
      </x:c>
      <x:c r="L120" s="215" t="str"/>
    </x:row>
    <x:row r="121" ht="36" customHeight="1">
      <x:c r="A121" s="215" t="str">
        <x:v>Platanaceae</x:v>
      </x:c>
      <x:c r="B121" s="215" t="n">
        <x:v>1</x:v>
      </x:c>
      <x:c r="C121" s="215" t="n">
        <x:v>0</x:v>
      </x:c>
      <x:c r="D121" s="215" t="n">
        <x:v>0</x:v>
      </x:c>
      <x:c r="E121" s="215" t="n">
        <x:v>0</x:v>
      </x:c>
      <x:c r="F121" s="215" t="n">
        <x:v>0</x:v>
      </x:c>
      <x:c r="G121" s="215" t="n">
        <x:v>0</x:v>
      </x:c>
      <x:c r="H121" s="215" t="str">
        <x:v>—</x:v>
      </x:c>
      <x:c r="I121" s="215" t="str">
        <x:v>—</x:v>
      </x:c>
      <x:c r="J121" s="215" t="str">
        <x:v>No imported family evidence</x:v>
      </x:c>
      <x:c r="K121" s="215" t="str">
        <x:v>Run the family-evidence automation, then human-review.</x:v>
      </x:c>
      <x:c r="L121" s="215" t="str"/>
    </x:row>
    <x:row r="122" ht="36" customHeight="1">
      <x:c r="A122" s="215" t="str">
        <x:v>Polygalaceae</x:v>
      </x:c>
      <x:c r="B122" s="215" t="n">
        <x:v>1</x:v>
      </x:c>
      <x:c r="C122" s="215" t="n">
        <x:v>0</x:v>
      </x:c>
      <x:c r="D122" s="215" t="n">
        <x:v>0</x:v>
      </x:c>
      <x:c r="E122" s="215" t="n">
        <x:v>0</x:v>
      </x:c>
      <x:c r="F122" s="215" t="n">
        <x:v>0</x:v>
      </x:c>
      <x:c r="G122" s="215" t="n">
        <x:v>0</x:v>
      </x:c>
      <x:c r="H122" s="215" t="str">
        <x:v>—</x:v>
      </x:c>
      <x:c r="I122" s="215" t="str">
        <x:v>—</x:v>
      </x:c>
      <x:c r="J122" s="215" t="str">
        <x:v>No imported family evidence</x:v>
      </x:c>
      <x:c r="K122" s="215" t="str">
        <x:v>Run the family-evidence automation, then human-review.</x:v>
      </x:c>
      <x:c r="L122" s="215" t="str"/>
    </x:row>
    <x:row r="123" ht="36" customHeight="1">
      <x:c r="A123" s="215" t="str">
        <x:v>Salviniaceae</x:v>
      </x:c>
      <x:c r="B123" s="215" t="n">
        <x:v>1</x:v>
      </x:c>
      <x:c r="C123" s="215" t="n">
        <x:v>0</x:v>
      </x:c>
      <x:c r="D123" s="215" t="n">
        <x:v>0</x:v>
      </x:c>
      <x:c r="E123" s="215" t="n">
        <x:v>0</x:v>
      </x:c>
      <x:c r="F123" s="215" t="n">
        <x:v>0</x:v>
      </x:c>
      <x:c r="G123" s="215" t="n">
        <x:v>0</x:v>
      </x:c>
      <x:c r="H123" s="215" t="str">
        <x:v>—</x:v>
      </x:c>
      <x:c r="I123" s="215" t="str">
        <x:v>—</x:v>
      </x:c>
      <x:c r="J123" s="215" t="str">
        <x:v>No imported family evidence</x:v>
      </x:c>
      <x:c r="K123" s="215" t="str">
        <x:v>Run the family-evidence automation, then human-review.</x:v>
      </x:c>
      <x:c r="L123" s="215" t="str"/>
    </x:row>
    <x:row r="124" ht="36" customHeight="1">
      <x:c r="A124" s="215" t="str">
        <x:v>Santalaceae</x:v>
      </x:c>
      <x:c r="B124" s="215" t="n">
        <x:v>1</x:v>
      </x:c>
      <x:c r="C124" s="215" t="n">
        <x:v>0</x:v>
      </x:c>
      <x:c r="D124" s="215" t="n">
        <x:v>0</x:v>
      </x:c>
      <x:c r="E124" s="215" t="n">
        <x:v>0</x:v>
      </x:c>
      <x:c r="F124" s="215" t="n">
        <x:v>0</x:v>
      </x:c>
      <x:c r="G124" s="215" t="n">
        <x:v>0</x:v>
      </x:c>
      <x:c r="H124" s="215" t="str">
        <x:v>—</x:v>
      </x:c>
      <x:c r="I124" s="215" t="str">
        <x:v>—</x:v>
      </x:c>
      <x:c r="J124" s="215" t="str">
        <x:v>No imported family evidence</x:v>
      </x:c>
      <x:c r="K124" s="215" t="str">
        <x:v>Run the family-evidence automation, then human-review.</x:v>
      </x:c>
      <x:c r="L124" s="215" t="str"/>
    </x:row>
    <x:row r="125" ht="36" customHeight="1">
      <x:c r="A125" s="215" t="str">
        <x:v>Sapotaceae</x:v>
      </x:c>
      <x:c r="B125" s="215" t="n">
        <x:v>1</x:v>
      </x:c>
      <x:c r="C125" s="215" t="n">
        <x:v>0</x:v>
      </x:c>
      <x:c r="D125" s="215" t="n">
        <x:v>0</x:v>
      </x:c>
      <x:c r="E125" s="215" t="n">
        <x:v>0</x:v>
      </x:c>
      <x:c r="F125" s="215" t="n">
        <x:v>0</x:v>
      </x:c>
      <x:c r="G125" s="215" t="n">
        <x:v>0</x:v>
      </x:c>
      <x:c r="H125" s="215" t="str">
        <x:v>—</x:v>
      </x:c>
      <x:c r="I125" s="215" t="str">
        <x:v>—</x:v>
      </x:c>
      <x:c r="J125" s="215" t="str">
        <x:v>No imported family evidence</x:v>
      </x:c>
      <x:c r="K125" s="215" t="str">
        <x:v>Run the family-evidence automation, then human-review.</x:v>
      </x:c>
      <x:c r="L125" s="215" t="str"/>
    </x:row>
    <x:row r="126" ht="36" customHeight="1">
      <x:c r="A126" s="215" t="str">
        <x:v>Saururaceae</x:v>
      </x:c>
      <x:c r="B126" s="215" t="n">
        <x:v>1</x:v>
      </x:c>
      <x:c r="C126" s="215" t="n">
        <x:v>0</x:v>
      </x:c>
      <x:c r="D126" s="215" t="n">
        <x:v>0</x:v>
      </x:c>
      <x:c r="E126" s="215" t="n">
        <x:v>0</x:v>
      </x:c>
      <x:c r="F126" s="215" t="n">
        <x:v>0</x:v>
      </x:c>
      <x:c r="G126" s="215" t="n">
        <x:v>0</x:v>
      </x:c>
      <x:c r="H126" s="215" t="str">
        <x:v>—</x:v>
      </x:c>
      <x:c r="I126" s="215" t="str">
        <x:v>—</x:v>
      </x:c>
      <x:c r="J126" s="215" t="str">
        <x:v>No imported family evidence</x:v>
      </x:c>
      <x:c r="K126" s="215" t="str">
        <x:v>Run the family-evidence automation, then human-review.</x:v>
      </x:c>
      <x:c r="L126" s="215" t="str"/>
    </x:row>
    <x:row r="127" ht="36" customHeight="1">
      <x:c r="A127" s="215" t="str">
        <x:v>Schizaeaceae</x:v>
      </x:c>
      <x:c r="B127" s="215" t="n">
        <x:v>1</x:v>
      </x:c>
      <x:c r="C127" s="215" t="n">
        <x:v>0</x:v>
      </x:c>
      <x:c r="D127" s="215" t="n">
        <x:v>0</x:v>
      </x:c>
      <x:c r="E127" s="215" t="n">
        <x:v>0</x:v>
      </x:c>
      <x:c r="F127" s="215" t="n">
        <x:v>0</x:v>
      </x:c>
      <x:c r="G127" s="215" t="n">
        <x:v>0</x:v>
      </x:c>
      <x:c r="H127" s="215" t="str">
        <x:v>—</x:v>
      </x:c>
      <x:c r="I127" s="215" t="str">
        <x:v>—</x:v>
      </x:c>
      <x:c r="J127" s="215" t="str">
        <x:v>No imported family evidence</x:v>
      </x:c>
      <x:c r="K127" s="215" t="str">
        <x:v>Run the family-evidence automation, then human-review.</x:v>
      </x:c>
      <x:c r="L127" s="215" t="str"/>
    </x:row>
    <x:row r="128" ht="36" customHeight="1">
      <x:c r="A128" s="215" t="str">
        <x:v>Styracaceae</x:v>
      </x:c>
      <x:c r="B128" s="215" t="n">
        <x:v>1</x:v>
      </x:c>
      <x:c r="C128" s="215" t="n">
        <x:v>0</x:v>
      </x:c>
      <x:c r="D128" s="215" t="n">
        <x:v>0</x:v>
      </x:c>
      <x:c r="E128" s="215" t="n">
        <x:v>0</x:v>
      </x:c>
      <x:c r="F128" s="215" t="n">
        <x:v>0</x:v>
      </x:c>
      <x:c r="G128" s="215" t="n">
        <x:v>0</x:v>
      </x:c>
      <x:c r="H128" s="215" t="str">
        <x:v>—</x:v>
      </x:c>
      <x:c r="I128" s="215" t="str">
        <x:v>—</x:v>
      </x:c>
      <x:c r="J128" s="215" t="str">
        <x:v>No imported family evidence</x:v>
      </x:c>
      <x:c r="K128" s="215" t="str">
        <x:v>Run the family-evidence automation, then human-review.</x:v>
      </x:c>
      <x:c r="L128" s="215" t="str"/>
    </x:row>
    <x:row r="129" ht="36" customHeight="1">
      <x:c r="A129" s="215" t="str">
        <x:v>Talinaceae</x:v>
      </x:c>
      <x:c r="B129" s="215" t="n">
        <x:v>1</x:v>
      </x:c>
      <x:c r="C129" s="215" t="n">
        <x:v>0</x:v>
      </x:c>
      <x:c r="D129" s="215" t="n">
        <x:v>0</x:v>
      </x:c>
      <x:c r="E129" s="215" t="n">
        <x:v>0</x:v>
      </x:c>
      <x:c r="F129" s="215" t="n">
        <x:v>0</x:v>
      </x:c>
      <x:c r="G129" s="215" t="n">
        <x:v>0</x:v>
      </x:c>
      <x:c r="H129" s="215" t="str">
        <x:v>—</x:v>
      </x:c>
      <x:c r="I129" s="215" t="str">
        <x:v>—</x:v>
      </x:c>
      <x:c r="J129" s="215" t="str">
        <x:v>No imported family evidence</x:v>
      </x:c>
      <x:c r="K129" s="215" t="str">
        <x:v>Run the family-evidence automation, then human-review.</x:v>
      </x:c>
      <x:c r="L129" s="215" t="str"/>
    </x:row>
    <x:row r="130" ht="36" customHeight="1">
      <x:c r="A130" s="215" t="str">
        <x:v>Zygophyllaceae</x:v>
      </x:c>
      <x:c r="B130" s="215" t="n">
        <x:v>1</x:v>
      </x:c>
      <x:c r="C130" s="215" t="n">
        <x:v>0</x:v>
      </x:c>
      <x:c r="D130" s="215" t="n">
        <x:v>0</x:v>
      </x:c>
      <x:c r="E130" s="215" t="n">
        <x:v>0</x:v>
      </x:c>
      <x:c r="F130" s="215" t="n">
        <x:v>0</x:v>
      </x:c>
      <x:c r="G130" s="215" t="n">
        <x:v>0</x:v>
      </x:c>
      <x:c r="H130" s="215" t="str">
        <x:v>—</x:v>
      </x:c>
      <x:c r="I130" s="215" t="str">
        <x:v>—</x:v>
      </x:c>
      <x:c r="J130" s="215" t="str">
        <x:v>No imported family evidence</x:v>
      </x:c>
      <x:c r="K130" s="215" t="str">
        <x:v>Run the family-evidence automation, then human-review.</x:v>
      </x:c>
      <x:c r="L130" s="215" t="str"/>
    </x:row>
    <x:row r="131" ht="36" customHeight="1">
      <x:c r="A131" s="215" t="str">
        <x:v>Betulaceae</x:v>
      </x:c>
      <x:c r="B131" s="215" t="n">
        <x:v>0</x:v>
      </x:c>
      <x:c r="C131" s="215" t="n">
        <x:v>11</x:v>
      </x:c>
      <x:c r="D131" s="215" t="n">
        <x:v>6</x:v>
      </x:c>
      <x:c r="E131" s="215" t="n">
        <x:v>7</x:v>
      </x:c>
      <x:c r="F131" s="215" t="n">
        <x:v>10</x:v>
      </x:c>
      <x:c r="G131" s="215" t="n">
        <x:v>0</x:v>
      </x:c>
      <x:c r="H131" s="215" t="str">
        <x:v>Low</x:v>
      </x:c>
      <x:c r="I131" s="215" t="str">
        <x:v>Complete</x:v>
      </x:c>
      <x:c r="J131" s="215" t="str">
        <x:v>Reference expansion; no taxa in inventory</x:v>
      </x:c>
      <x:c r="K131" s="215" t="str">
        <x:v>Add taxa when observed or when building naturalized/nursery lookalike sets.</x:v>
      </x:c>
      <x:c r="L131" s="215" t="str">
        <x:v>Evidence retained for broad identification use; not counted as current inventory coverage.</x:v>
      </x:c>
    </x:row>
    <x:row r="132" ht="36" customHeight="1">
      <x:c r="A132" s="215" t="str">
        <x:v>Celastraceae</x:v>
      </x:c>
      <x:c r="B132" s="215" t="n">
        <x:v>0</x:v>
      </x:c>
      <x:c r="C132" s="215" t="n">
        <x:v>11</x:v>
      </x:c>
      <x:c r="D132" s="215" t="n">
        <x:v>6</x:v>
      </x:c>
      <x:c r="E132" s="215" t="n">
        <x:v>5</x:v>
      </x:c>
      <x:c r="F132" s="215" t="n">
        <x:v>10</x:v>
      </x:c>
      <x:c r="G132" s="215" t="n">
        <x:v>0</x:v>
      </x:c>
      <x:c r="H132" s="215" t="str">
        <x:v>Moderate</x:v>
      </x:c>
      <x:c r="I132" s="215" t="str">
        <x:v>Complete</x:v>
      </x:c>
      <x:c r="J132" s="215" t="str">
        <x:v>Reference expansion; no taxa in inventory</x:v>
      </x:c>
      <x:c r="K132" s="215" t="str">
        <x:v>Add taxa when observed or when building naturalized/nursery lookalike sets.</x:v>
      </x:c>
      <x:c r="L132" s="215" t="str">
        <x:v>Evidence retained for broad identification use; not counted as current inventory coverage.</x:v>
      </x:c>
    </x:row>
    <x:row r="133" ht="36" customHeight="1">
      <x:c r="A133" s="215" t="str">
        <x:v>Plumbaginaceae</x:v>
      </x:c>
      <x:c r="B133" s="215" t="n">
        <x:v>0</x:v>
      </x:c>
      <x:c r="C133" s="215" t="n">
        <x:v>11</x:v>
      </x:c>
      <x:c r="D133" s="215" t="n">
        <x:v>6</x:v>
      </x:c>
      <x:c r="E133" s="215" t="n">
        <x:v>7</x:v>
      </x:c>
      <x:c r="F133" s="215" t="n">
        <x:v>9</x:v>
      </x:c>
      <x:c r="G133" s="215" t="n">
        <x:v>1</x:v>
      </x:c>
      <x:c r="H133" s="215" t="str">
        <x:v>Moderate</x:v>
      </x:c>
      <x:c r="I133" s="215" t="str">
        <x:v>Complete</x:v>
      </x:c>
      <x:c r="J133" s="215" t="str">
        <x:v>Reference expansion; no taxa in inventory</x:v>
      </x:c>
      <x:c r="K133" s="215" t="str">
        <x:v>Add taxa when observed or when building naturalized/nursery lookalike sets.</x:v>
      </x:c>
      <x:c r="L133" s="215" t="str">
        <x:v>Evidence retained for broad identification use; not counted as current inventory coverage.</x:v>
      </x:c>
    </x:row>
  </x:sheetData>
  <x:mergeCells>
    <x:mergeCell ref="A1:L1"/>
    <x:mergeCell ref="A2:L2"/>
    <x:mergeCell ref="A4:B4"/>
    <x:mergeCell ref="A5:B6"/>
    <x:mergeCell ref="C4:D4"/>
    <x:mergeCell ref="C5:D6"/>
    <x:mergeCell ref="E4:F4"/>
    <x:mergeCell ref="E5:F6"/>
    <x:mergeCell ref="G4:H4"/>
    <x:mergeCell ref="G5:H6"/>
    <x:mergeCell ref="I4:J4"/>
    <x:mergeCell ref="I5:J6"/>
    <x:mergeCell ref="K4:L4"/>
    <x:mergeCell ref="K5:L6"/>
    <x:mergeCell ref="A8:L8"/>
    <x:mergeCell ref="A9:L10"/>
  </x:mergeCells>
  <x:conditionalFormatting sqref="J13:J133">
    <x:cfRule type="containsText" dxfId="13" priority="1" operator="containsText" text="Source-backed draft"/>
    <x:cfRule type="containsText" dxfId="14" priority="2" operator="containsText" text="No imported"/>
    <x:cfRule type="containsText" dxfId="15" priority="3" operator="containsText" text="Reference expansion"/>
    <x:cfRule type="containsText" dxfId="16" priority="4" operator="containsText" text="Detailed pilot"/>
  </x:conditionalFormatting>
  <x:pageMargins left="0.7" right="0.7" top="0.75" bottom="0.75" header="0.3" footer="0.3"/>
  <x:tableParts count="1">
    <x:tablePart xmlns:r="http://schemas.openxmlformats.org/officeDocument/2006/relationships" r:id="R7ed77072265246d0"/>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18" hidden="0" customWidth="1"/>
    <x:col min="5" max="5" width="44" hidden="0" customWidth="1"/>
    <x:col min="6" max="6" width="18" hidden="0" customWidth="1"/>
    <x:col min="7" max="7" width="11" hidden="0" customWidth="1"/>
    <x:col min="8" max="8" width="28" hidden="0" customWidth="1"/>
    <x:col min="9" max="9" width="28" hidden="0" customWidth="1"/>
    <x:col min="10" max="10" width="25" hidden="0" customWidth="1"/>
    <x:col min="11" max="11" width="48" hidden="0" customWidth="1"/>
    <x:col min="12" max="12" width="48" hidden="0" customWidth="1"/>
    <x:col min="13" max="13" width="54" hidden="0" customWidth="1"/>
    <x:col min="14" max="14" width="42" hidden="0" customWidth="1"/>
    <x:col min="15" max="15" width="14" hidden="0" customWidth="1"/>
    <x:col min="16" max="16" width="14" hidden="0" customWidth="1"/>
    <x:col min="17" max="17" width="38" hidden="0" customWidth="1"/>
    <x:col min="18" max="18" width="28" hidden="0" customWidth="1"/>
    <x:col min="19" max="19" width="28" hidden="0" customWidth="1"/>
    <x:col min="20" max="20" width="32" hidden="0" customWidth="1"/>
    <x:col min="21" max="21" width="38" hidden="0" customWidth="1"/>
    <x:col min="22" max="22" width="32" hidden="0" customWidth="1"/>
    <x:col min="23" max="23" width="48" hidden="0" customWidth="1"/>
    <x:col min="24" max="24" width="32" hidden="0" customWidth="1"/>
    <x:col min="25" max="25" width="18" hidden="0" customWidth="1"/>
    <x:col min="26" max="26" width="26" hidden="0" customWidth="1"/>
  </x:cols>
  <x:sheetData>
    <x:row r="1" ht="38" customHeight="1">
      <x:c r="A1" s="212" t="str">
        <x:v>Family</x:v>
      </x:c>
      <x:c r="B1" s="212" t="str">
        <x:v>Character Code</x:v>
      </x:c>
      <x:c r="C1" s="212" t="str">
        <x:v>Scope</x:v>
      </x:c>
      <x:c r="D1" s="212" t="str">
        <x:v>Organ System</x:v>
      </x:c>
      <x:c r="E1" s="212" t="str">
        <x:v>Character State</x:v>
      </x:c>
      <x:c r="F1" s="212" t="str">
        <x:v>Evidence Strength</x:v>
      </x:c>
      <x:c r="G1" s="212" t="str">
        <x:v>Suggested Weight</x:v>
      </x:c>
      <x:c r="H1" s="212" t="str">
        <x:v>Reliability</x:v>
      </x:c>
      <x:c r="I1" s="212" t="str">
        <x:v>Field Visibility</x:v>
      </x:c>
      <x:c r="J1" s="212" t="str">
        <x:v>Best Season / Material</x:v>
      </x:c>
      <x:c r="K1" s="212" t="str">
        <x:v>Plain-language Meaning</x:v>
      </x:c>
      <x:c r="L1" s="212" t="str">
        <x:v>Exceptions / Limits</x:v>
      </x:c>
      <x:c r="M1" s="212" t="str">
        <x:v>What It Separates / How to Use</x:v>
      </x:c>
      <x:c r="N1" s="212" t="str">
        <x:v>Local Hays Relevance</x:v>
      </x:c>
      <x:c r="O1" s="212" t="str">
        <x:v>Uncertainty</x:v>
      </x:c>
      <x:c r="P1" s="212" t="str">
        <x:v>Human Review?</x:v>
      </x:c>
      <x:c r="Q1" s="212" t="str">
        <x:v>Review Reason</x:v>
      </x:c>
      <x:c r="R1" s="212" t="str">
        <x:v>Related Lookalike IDs</x:v>
      </x:c>
      <x:c r="S1" s="212" t="str">
        <x:v>Source IDs</x:v>
      </x:c>
      <x:c r="T1" s="212" t="str">
        <x:v>APweb Direct URL</x:v>
      </x:c>
      <x:c r="U1" s="212" t="str">
        <x:v>Practical Flora Direct URL(s)</x:v>
      </x:c>
      <x:c r="V1" s="212" t="str">
        <x:v>POWO/WCVP Direct URL</x:v>
      </x:c>
      <x:c r="W1" s="212" t="str">
        <x:v>All Direct Citation URLs</x:v>
      </x:c>
      <x:c r="X1" s="212" t="str">
        <x:v>Universal Claim Permitted?</x:v>
      </x:c>
      <x:c r="Y1" s="212" t="str">
        <x:v>Unknown Allowed?</x:v>
      </x:c>
      <x:c r="Z1" s="212" t="str">
        <x:v>Review Status</x:v>
      </x:c>
    </x:row>
    <x:row r="2" ht="42" customHeight="1">
      <x:c r="A2" s="215" t="str">
        <x:v>Onagraceae</x:v>
      </x:c>
      <x:c r="B2" s="215" t="str">
        <x:v>ONA-OVARY</x:v>
      </x:c>
      <x:c r="C2" s="215" t="str">
        <x:v>Family-wide</x:v>
      </x:c>
      <x:c r="D2" s="215" t="str">
        <x:v>Gynoecium</x:v>
      </x:c>
      <x:c r="E2" s="215" t="str">
        <x:v>Ovary inferior or largely inferior</x:v>
      </x:c>
      <x:c r="F2" s="215" t="str">
        <x:v>Core</x:v>
      </x:c>
      <x:c r="G2" s="215" t="str">
        <x:v>5</x:v>
      </x:c>
      <x:c r="H2" s="215" t="str">
        <x:v>High</x:v>
      </x:c>
      <x:c r="I2" s="215" t="str">
        <x:v>Hand lens or side view</x:v>
      </x:c>
      <x:c r="J2" s="215" t="str">
        <x:v>Flowering</x:v>
      </x:c>
      <x:c r="K2" s="215" t="str">
        <x:v>The sepals, petals, and stamens arise above the ovary rather than beneath it.</x:v>
      </x:c>
      <x:c r="L2" s="215" t="str">
        <x:v>The boundary can be hard to see when the floral tube is long or the flower is very small; ovary position alone also occurs in unrelated families.</x:v>
      </x:c>
      <x:c r="M2" s="215" t="str">
        <x:v>Confirm with floral merosity and pollen or fruit characters; useful against most superficially similar 4-petaled flowers with superior ovaries.</x:v>
      </x:c>
      <x:c r="N2" s="215" t="str">
        <x:v>Strong in both local genera, Ludwigia and Oenothera.</x:v>
      </x:c>
      <x:c r="O2" s="215" t="str">
        <x:v>Low</x:v>
      </x:c>
      <x:c r="P2" s="215" t="str">
        <x:v>No</x:v>
      </x:c>
      <x:c r="Q2" s="215" t="str"/>
      <x:c r="R2" s="215" t="str">
        <x:v>ONA-LK01; ONA-LK02</x:v>
      </x:c>
      <x:c r="S2" s="215" t="str">
        <x:v>APWEB-ONAGR; FNA-ONAGR; POWO-ONAGR</x:v>
      </x:c>
      <x:c r="T2" s="215" t="str">
        <x:v>https://www.mobot.org/MOBOT/research/APweb/orders/myrtalesweb2.htm</x:v>
      </x:c>
      <x:c r="U2" s="215" t="str">
        <x:v>https://floranorthamerica.org/Onagraceae</x:v>
      </x:c>
      <x:c r="V2" s="215" t="str">
        <x:v>https://powo.science.kew.org/taxon/urn:lsid:ipni.org:names:30000053-2</x:v>
      </x:c>
      <x:c r="W2" s="215" t="str">
        <x:v>https://www.mobot.org/MOBOT/research/APweb/orders/myrtalesweb2.htm
https://floranorthamerica.org/Onagraceae
https://powo.science.kew.org/taxon/urn:lsid:ipni.org:names:30000053-2</x:v>
      </x:c>
      <x:c r="X2" s="215" t="str">
        <x:v>No — retain qualifiers and exceptions</x:v>
      </x:c>
      <x:c r="Y2" s="215" t="str">
        <x:v>Yes</x:v>
      </x:c>
      <x:c r="Z2" s="215" t="str">
        <x:v>Source-backed draft</x:v>
      </x:c>
    </x:row>
    <x:row r="3" ht="42" customHeight="1">
      <x:c r="A3" s="215" t="str">
        <x:v>Onagraceae</x:v>
      </x:c>
      <x:c r="B3" s="215" t="str">
        <x:v>ONA-MEROSITY</x:v>
      </x:c>
      <x:c r="C3" s="215" t="str">
        <x:v>Family-wide</x:v>
      </x:c>
      <x:c r="D3" s="215" t="str">
        <x:v>Flower</x:v>
      </x:c>
      <x:c r="E3" s="215" t="str">
        <x:v>Flowers usually 4-merous</x:v>
      </x:c>
      <x:c r="F3" s="215" t="str">
        <x:v>Strong</x:v>
      </x:c>
      <x:c r="G3" s="215" t="str">
        <x:v>4</x:v>
      </x:c>
      <x:c r="H3" s="215" t="str">
        <x:v>High</x:v>
      </x:c>
      <x:c r="I3" s="215" t="str">
        <x:v>Naked eye</x:v>
      </x:c>
      <x:c r="J3" s="215" t="str">
        <x:v>Flowering</x:v>
      </x:c>
      <x:c r="K3" s="215" t="str">
        <x:v>Most family members have four sepals and four petals.</x:v>
      </x:c>
      <x:c r="L3" s="215" t="str">
        <x:v>FNA records 2-, 5-, and 7-merous exceptions; Ludwigia may be 4-5-merous and petals may be absent in some nonlocal lineages.</x:v>
      </x:c>
      <x:c r="M3" s="215" t="str">
        <x:v>Use as part of a suite, never as a stand-alone rule.</x:v>
      </x:c>
      <x:c r="N3" s="215" t="str">
        <x:v>Most local material will be 4-merous, but Ludwigia variation must remain allowed.</x:v>
      </x:c>
      <x:c r="O3" s="215" t="str">
        <x:v>Low</x:v>
      </x:c>
      <x:c r="P3" s="215" t="str">
        <x:v>No</x:v>
      </x:c>
      <x:c r="Q3" s="215" t="str"/>
      <x:c r="R3" s="215" t="str">
        <x:v>ONA-LK01</x:v>
      </x:c>
      <x:c r="S3" s="215" t="str">
        <x:v>APWEB-ONAGR; FNA-ONAGR; POWO-ONAGR</x:v>
      </x:c>
      <x:c r="T3" s="215" t="str">
        <x:v>https://www.mobot.org/MOBOT/research/APweb/orders/myrtalesweb2.htm</x:v>
      </x:c>
      <x:c r="U3" s="215" t="str">
        <x:v>https://floranorthamerica.org/Onagraceae</x:v>
      </x:c>
      <x:c r="V3" s="215" t="str">
        <x:v>https://powo.science.kew.org/taxon/urn:lsid:ipni.org:names:30000053-2</x:v>
      </x:c>
      <x:c r="W3" s="215" t="str">
        <x:v>https://www.mobot.org/MOBOT/research/APweb/orders/myrtalesweb2.htm
https://floranorthamerica.org/Onagraceae
https://powo.science.kew.org/taxon/urn:lsid:ipni.org:names:30000053-2</x:v>
      </x:c>
      <x:c r="X3" s="215" t="str">
        <x:v>No — retain qualifiers and exceptions</x:v>
      </x:c>
      <x:c r="Y3" s="215" t="str">
        <x:v>Yes</x:v>
      </x:c>
      <x:c r="Z3" s="215" t="str">
        <x:v>Source-backed draft</x:v>
      </x:c>
    </x:row>
    <x:row r="4" ht="42" customHeight="1">
      <x:c r="A4" s="215" t="str">
        <x:v>Onagraceae</x:v>
      </x:c>
      <x:c r="B4" s="215" t="str">
        <x:v>ONA-FLORALTUBE</x:v>
      </x:c>
      <x:c r="C4" s="215" t="str">
        <x:v>Family-wide, variable</x:v>
      </x:c>
      <x:c r="D4" s="215" t="str">
        <x:v>Flower</x:v>
      </x:c>
      <x:c r="E4" s="215" t="str">
        <x:v>Floral tube or hypanthium commonly present</x:v>
      </x:c>
      <x:c r="F4" s="215" t="str">
        <x:v>Supporting</x:v>
      </x:c>
      <x:c r="G4" s="215" t="str">
        <x:v>3</x:v>
      </x:c>
      <x:c r="H4" s="215" t="str">
        <x:v>Variable</x:v>
      </x:c>
      <x:c r="I4" s="215" t="str">
        <x:v>Naked eye or hand lens</x:v>
      </x:c>
      <x:c r="J4" s="215" t="str">
        <x:v>Flowering</x:v>
      </x:c>
      <x:c r="K4" s="215" t="str">
        <x:v>A tube of floral tissue may extend above the ovary and hold the perianth and stamens.</x:v>
      </x:c>
      <x:c r="L4" s="215" t="str">
        <x:v>FNA explicitly states that the tube is present or absent in Ludwigia and some other lineages; it is usually present in Onagroideae.</x:v>
      </x:c>
      <x:c r="M4" s="215" t="str">
        <x:v>Useful with an inferior ovary, but absence does not reject the family.</x:v>
      </x:c>
      <x:c r="N4" s="215" t="str">
        <x:v>Highly useful for Oenothera; unreliable as a requirement for local Ludwigia.</x:v>
      </x:c>
      <x:c r="O4" s="215" t="str">
        <x:v>Low</x:v>
      </x:c>
      <x:c r="P4" s="215" t="str">
        <x:v>No</x:v>
      </x:c>
      <x:c r="Q4" s="215" t="str"/>
      <x:c r="R4" s="215" t="str">
        <x:v>ONA-LK01</x:v>
      </x:c>
      <x:c r="S4" s="215" t="str">
        <x:v>APWEB-ONAGR; FNA-ONAGR; POWO-ONAGR</x:v>
      </x:c>
      <x:c r="T4" s="215" t="str">
        <x:v>https://www.mobot.org/MOBOT/research/APweb/orders/myrtalesweb2.htm</x:v>
      </x:c>
      <x:c r="U4" s="215" t="str">
        <x:v>https://floranorthamerica.org/Onagraceae</x:v>
      </x:c>
      <x:c r="V4" s="215" t="str">
        <x:v>https://powo.science.kew.org/taxon/urn:lsid:ipni.org:names:30000053-2</x:v>
      </x:c>
      <x:c r="W4" s="215" t="str">
        <x:v>https://www.mobot.org/MOBOT/research/APweb/orders/myrtalesweb2.htm
https://floranorthamerica.org/Onagraceae
https://powo.science.kew.org/taxon/urn:lsid:ipni.org:names:30000053-2</x:v>
      </x:c>
      <x:c r="X4" s="215" t="str">
        <x:v>No — retain qualifiers and exceptions</x:v>
      </x:c>
      <x:c r="Y4" s="215" t="str">
        <x:v>Yes</x:v>
      </x:c>
      <x:c r="Z4" s="215" t="str">
        <x:v>Source-backed draft</x:v>
      </x:c>
    </x:row>
    <x:row r="5" ht="42" customHeight="1">
      <x:c r="A5" s="215" t="str">
        <x:v>Onagraceae</x:v>
      </x:c>
      <x:c r="B5" s="215" t="str">
        <x:v>ONA-STAMENS</x:v>
      </x:c>
      <x:c r="C5" s="215" t="str">
        <x:v>Family-wide, variable</x:v>
      </x:c>
      <x:c r="D5" s="215" t="str">
        <x:v>Androecium</x:v>
      </x:c>
      <x:c r="E5" s="215" t="str">
        <x:v>Stamens often twice as many as sepals, commonly 8 with 4-merous flowers</x:v>
      </x:c>
      <x:c r="F5" s="215" t="str">
        <x:v>Strong</x:v>
      </x:c>
      <x:c r="G5" s="215" t="str">
        <x:v>4</x:v>
      </x:c>
      <x:c r="H5" s="215" t="str">
        <x:v>Moderate</x:v>
      </x:c>
      <x:c r="I5" s="215" t="str">
        <x:v>Hand lens</x:v>
      </x:c>
      <x:c r="J5" s="215" t="str">
        <x:v>Flowering</x:v>
      </x:c>
      <x:c r="K5" s="215" t="str">
        <x:v>Many flowers show two stamen series, often four longer and four shorter.</x:v>
      </x:c>
      <x:c r="L5" s="215" t="str">
        <x:v>Some taxa have stamens equal to the sepal number; Ludwigia may vary and reduced-flower lineages depart strongly.</x:v>
      </x:c>
      <x:c r="M5" s="215" t="str">
        <x:v>Count only on an intact flower and pair with inferior ovary and perianth count.</x:v>
      </x:c>
      <x:c r="N5" s="215" t="str">
        <x:v>Often useful in Oenothera and many Ludwigia specimens.</x:v>
      </x:c>
      <x:c r="O5" s="215" t="str">
        <x:v>Low</x:v>
      </x:c>
      <x:c r="P5" s="215" t="str">
        <x:v>No</x:v>
      </x:c>
      <x:c r="Q5" s="215" t="str"/>
      <x:c r="R5" s="215" t="str">
        <x:v>ONA-LK01</x:v>
      </x:c>
      <x:c r="S5" s="215" t="str">
        <x:v>FNA-ONAGR; APWEB-ONAGR; POWO-ONAGR</x:v>
      </x:c>
      <x:c r="T5" s="215" t="str">
        <x:v>https://www.mobot.org/MOBOT/research/APweb/orders/myrtalesweb2.htm</x:v>
      </x:c>
      <x:c r="U5" s="215" t="str">
        <x:v>https://floranorthamerica.org/Onagraceae</x:v>
      </x:c>
      <x:c r="V5" s="215" t="str">
        <x:v>https://powo.science.kew.org/taxon/urn:lsid:ipni.org:names:30000053-2</x:v>
      </x:c>
      <x:c r="W5" s="215" t="str">
        <x:v>https://floranorthamerica.org/Onagraceae
https://www.mobot.org/MOBOT/research/APweb/orders/myrtalesweb2.htm
https://powo.science.kew.org/taxon/urn:lsid:ipni.org:names:30000053-2</x:v>
      </x:c>
      <x:c r="X5" s="215" t="str">
        <x:v>No — retain qualifiers and exceptions</x:v>
      </x:c>
      <x:c r="Y5" s="215" t="str">
        <x:v>Yes</x:v>
      </x:c>
      <x:c r="Z5" s="215" t="str">
        <x:v>Source-backed draft</x:v>
      </x:c>
    </x:row>
    <x:row r="6" ht="42" customHeight="1">
      <x:c r="A6" s="215" t="str">
        <x:v>Onagraceae</x:v>
      </x:c>
      <x:c r="B6" s="215" t="str">
        <x:v>ONA-VISCIN</x:v>
      </x:c>
      <x:c r="C6" s="215" t="str">
        <x:v>Family-wide</x:v>
      </x:c>
      <x:c r="D6" s="215" t="str">
        <x:v>Pollen</x:v>
      </x:c>
      <x:c r="E6" s="215" t="str">
        <x:v>Pollen grains connected by viscin threads</x:v>
      </x:c>
      <x:c r="F6" s="215" t="str">
        <x:v>Core</x:v>
      </x:c>
      <x:c r="G6" s="215" t="str">
        <x:v>5</x:v>
      </x:c>
      <x:c r="H6" s="215" t="str">
        <x:v>High when examined</x:v>
      </x:c>
      <x:c r="I6" s="215" t="str">
        <x:v>Hand lens to microscope</x:v>
      </x:c>
      <x:c r="J6" s="215" t="str">
        <x:v>Fresh flowering material</x:v>
      </x:c>
      <x:c r="K6" s="215" t="str">
        <x:v>Sticky threads connect pollen grains and are among the strongest family characters.</x:v>
      </x:c>
      <x:c r="L6" s="215" t="str">
        <x:v>Usually not visible without magnification and may be missed on weathered flowers; not practical as the first field character.</x:v>
      </x:c>
      <x:c r="M6" s="215" t="str">
        <x:v>Use as a confirmation when flower structure remains ambiguous.</x:v>
      </x:c>
      <x:c r="N6" s="215" t="str">
        <x:v>Potentially diagnostic across the two local genera, but requires close examination.</x:v>
      </x:c>
      <x:c r="O6" s="215" t="str">
        <x:v>Low</x:v>
      </x:c>
      <x:c r="P6" s="215" t="str">
        <x:v>No</x:v>
      </x:c>
      <x:c r="Q6" s="215" t="str"/>
      <x:c r="R6" s="215" t="str">
        <x:v>ONA-LK01; ONA-LK02</x:v>
      </x:c>
      <x:c r="S6" s="215" t="str">
        <x:v>APWEB-ONAGR; FNA-ONAGR; POWO-ONAGR</x:v>
      </x:c>
      <x:c r="T6" s="215" t="str">
        <x:v>https://www.mobot.org/MOBOT/research/APweb/orders/myrtalesweb2.htm</x:v>
      </x:c>
      <x:c r="U6" s="215" t="str">
        <x:v>https://floranorthamerica.org/Onagraceae</x:v>
      </x:c>
      <x:c r="V6" s="215" t="str">
        <x:v>https://powo.science.kew.org/taxon/urn:lsid:ipni.org:names:30000053-2</x:v>
      </x:c>
      <x:c r="W6" s="215" t="str">
        <x:v>https://www.mobot.org/MOBOT/research/APweb/orders/myrtalesweb2.htm
https://floranorthamerica.org/Onagraceae
https://powo.science.kew.org/taxon/urn:lsid:ipni.org:names:30000053-2</x:v>
      </x:c>
      <x:c r="X6" s="215" t="str">
        <x:v>No — retain qualifiers and exceptions</x:v>
      </x:c>
      <x:c r="Y6" s="215" t="str">
        <x:v>Yes</x:v>
      </x:c>
      <x:c r="Z6" s="215" t="str">
        <x:v>Source-backed draft</x:v>
      </x:c>
    </x:row>
    <x:row r="7" ht="42" customHeight="1">
      <x:c r="A7" s="215" t="str">
        <x:v>Onagraceae</x:v>
      </x:c>
      <x:c r="B7" s="215" t="str">
        <x:v>ONA-FRUIT</x:v>
      </x:c>
      <x:c r="C7" s="215" t="str">
        <x:v>Family-wide, variable</x:v>
      </x:c>
      <x:c r="D7" s="215" t="str">
        <x:v>Fruit</x:v>
      </x:c>
      <x:c r="E7" s="215" t="str">
        <x:v>Usually a loculicidal capsule; some lineages indehiscent</x:v>
      </x:c>
      <x:c r="F7" s="215" t="str">
        <x:v>Strong</x:v>
      </x:c>
      <x:c r="G7" s="215" t="str">
        <x:v>4</x:v>
      </x:c>
      <x:c r="H7" s="215" t="str">
        <x:v>High</x:v>
      </x:c>
      <x:c r="I7" s="215" t="str">
        <x:v>Naked eye or hand lens</x:v>
      </x:c>
      <x:c r="J7" s="215" t="str">
        <x:v>Mature fruit</x:v>
      </x:c>
      <x:c r="K7" s="215" t="str">
        <x:v>Most local plants produce a multi-locular capsule opening lengthwise.</x:v>
      </x:c>
      <x:c r="L7" s="215" t="str">
        <x:v>The family also includes berries and nutlike indehiscent fruits; immature capsules may not reveal dehiscence.</x:v>
      </x:c>
      <x:c r="M7" s="215" t="str">
        <x:v>Mature fruit strongly confirms family placement and supports genus separation.</x:v>
      </x:c>
      <x:c r="N7" s="215" t="str">
        <x:v>Capsules are expected in the local Ludwigia and Oenothera routes.</x:v>
      </x:c>
      <x:c r="O7" s="215" t="str">
        <x:v>Low</x:v>
      </x:c>
      <x:c r="P7" s="215" t="str">
        <x:v>No</x:v>
      </x:c>
      <x:c r="Q7" s="215" t="str"/>
      <x:c r="R7" s="215" t="str">
        <x:v>ONA-LK01</x:v>
      </x:c>
      <x:c r="S7" s="215" t="str">
        <x:v>FNA-ONAGR; APWEB-ONAGR; POWO-ONAGR</x:v>
      </x:c>
      <x:c r="T7" s="215" t="str">
        <x:v>https://www.mobot.org/MOBOT/research/APweb/orders/myrtalesweb2.htm</x:v>
      </x:c>
      <x:c r="U7" s="215" t="str">
        <x:v>https://floranorthamerica.org/Onagraceae</x:v>
      </x:c>
      <x:c r="V7" s="215" t="str">
        <x:v>https://powo.science.kew.org/taxon/urn:lsid:ipni.org:names:30000053-2</x:v>
      </x:c>
      <x:c r="W7" s="215" t="str">
        <x:v>https://floranorthamerica.org/Onagraceae
https://www.mobot.org/MOBOT/research/APweb/orders/myrtalesweb2.htm
https://powo.science.kew.org/taxon/urn:lsid:ipni.org:names:30000053-2</x:v>
      </x:c>
      <x:c r="X7" s="215" t="str">
        <x:v>No — retain qualifiers and exceptions</x:v>
      </x:c>
      <x:c r="Y7" s="215" t="str">
        <x:v>Yes</x:v>
      </x:c>
      <x:c r="Z7" s="215" t="str">
        <x:v>Source-backed draft</x:v>
      </x:c>
    </x:row>
    <x:row r="8" ht="42" customHeight="1">
      <x:c r="A8" s="215" t="str">
        <x:v>Onagraceae</x:v>
      </x:c>
      <x:c r="B8" s="215" t="str">
        <x:v>ONA-LEAFVAR</x:v>
      </x:c>
      <x:c r="C8" s="215" t="str">
        <x:v>Family-wide</x:v>
      </x:c>
      <x:c r="D8" s="215" t="str">
        <x:v>Leaf</x:v>
      </x:c>
      <x:c r="E8" s="215" t="str">
        <x:v>Leaves simple, but arrangement and margins variable</x:v>
      </x:c>
      <x:c r="F8" s="215" t="str">
        <x:v>Caution</x:v>
      </x:c>
      <x:c r="G8" s="215" t="str">
        <x:v>0</x:v>
      </x:c>
      <x:c r="H8" s="215" t="str">
        <x:v>High</x:v>
      </x:c>
      <x:c r="I8" s="215" t="str">
        <x:v>Naked eye</x:v>
      </x:c>
      <x:c r="J8" s="215" t="str">
        <x:v>Vegetative</x:v>
      </x:c>
      <x:c r="K8" s="215" t="str">
        <x:v>Leaves may be alternate, opposite, or occasionally whorled and can be entire, toothed, or lobed.</x:v>
      </x:c>
      <x:c r="L8" s="215" t="str">
        <x:v>No leaf arrangement or shape is universal enough to identify the family.</x:v>
      </x:c>
      <x:c r="M8" s="215" t="str">
        <x:v>Prevents overconfidence from vegetation alone.</x:v>
      </x:c>
      <x:c r="N8" s="215" t="str">
        <x:v>Important because local Ludwigia often appears opposite-leaved while Oenothera is commonly alternate or rosetted.</x:v>
      </x:c>
      <x:c r="O8" s="215" t="str">
        <x:v>Low</x:v>
      </x:c>
      <x:c r="P8" s="215" t="str">
        <x:v>No</x:v>
      </x:c>
      <x:c r="Q8" s="215" t="str"/>
      <x:c r="R8" s="215" t="str">
        <x:v>ONA-LK02</x:v>
      </x:c>
      <x:c r="S8" s="215" t="str">
        <x:v>FNA-ONAGR; APWEB-ONAGR; POWO-ONAGR</x:v>
      </x:c>
      <x:c r="T8" s="215" t="str">
        <x:v>https://www.mobot.org/MOBOT/research/APweb/orders/myrtalesweb2.htm</x:v>
      </x:c>
      <x:c r="U8" s="215" t="str">
        <x:v>https://floranorthamerica.org/Onagraceae</x:v>
      </x:c>
      <x:c r="V8" s="215" t="str">
        <x:v>https://powo.science.kew.org/taxon/urn:lsid:ipni.org:names:30000053-2</x:v>
      </x:c>
      <x:c r="W8" s="215" t="str">
        <x:v>https://floranorthamerica.org/Onagraceae
https://www.mobot.org/MOBOT/research/APweb/orders/myrtalesweb2.htm
https://powo.science.kew.org/taxon/urn:lsid:ipni.org:names:30000053-2</x:v>
      </x:c>
      <x:c r="X8" s="215" t="str">
        <x:v>No — retain qualifiers and exceptions</x:v>
      </x:c>
      <x:c r="Y8" s="215" t="str">
        <x:v>Yes</x:v>
      </x:c>
      <x:c r="Z8" s="215" t="str">
        <x:v>Source-backed draft</x:v>
      </x:c>
    </x:row>
    <x:row r="9" ht="42" customHeight="1">
      <x:c r="A9" s="215" t="str">
        <x:v>Onagraceae</x:v>
      </x:c>
      <x:c r="B9" s="215" t="str">
        <x:v>ONA-LUDWIGIA</x:v>
      </x:c>
      <x:c r="C9" s="215" t="str">
        <x:v>Local subgroup: Ludwigia</x:v>
      </x:c>
      <x:c r="D9" s="215" t="str">
        <x:v>Flower</x:v>
      </x:c>
      <x:c r="E9" s="215" t="str">
        <x:v>Floral tube absent; sepals often persist after flowering</x:v>
      </x:c>
      <x:c r="F9" s="215" t="str">
        <x:v>Subgroup</x:v>
      </x:c>
      <x:c r="G9" s="215" t="str">
        <x:v>5</x:v>
      </x:c>
      <x:c r="H9" s="215" t="str">
        <x:v>High within local Ludwigia</x:v>
      </x:c>
      <x:c r="I9" s="215" t="str">
        <x:v>Naked eye</x:v>
      </x:c>
      <x:c r="J9" s="215" t="str">
        <x:v>Flowering through fruiting</x:v>
      </x:c>
      <x:c r="K9" s="215" t="str">
        <x:v>Ludwigia follows a distinct family route with the flower seated on the ovary and the sepals often remaining on young fruit.</x:v>
      </x:c>
      <x:c r="L9" s="215" t="str">
        <x:v>Not a family-wide trait and not every specimen retains clean sepals; merosity may be 4 or 5.</x:v>
      </x:c>
      <x:c r="M9" s="215" t="str">
        <x:v>Separates local Ludwigia from the usual long-tubed Oenothera route.</x:v>
      </x:c>
      <x:c r="N9" s="215" t="str">
        <x:v>Five local Ludwigia taxa make this a high-priority training split.</x:v>
      </x:c>
      <x:c r="O9" s="215" t="str">
        <x:v>Low</x:v>
      </x:c>
      <x:c r="P9" s="215" t="str">
        <x:v>No</x:v>
      </x:c>
      <x:c r="Q9" s="215" t="str"/>
      <x:c r="R9" s="215" t="str">
        <x:v>ONA-LK01</x:v>
      </x:c>
      <x:c r="S9" s="215" t="str">
        <x:v>FNA-ONAGR; APWEB-ONAGR; POWO-ONAGR</x:v>
      </x:c>
      <x:c r="T9" s="215" t="str">
        <x:v>https://www.mobot.org/MOBOT/research/APweb/orders/myrtalesweb2.htm</x:v>
      </x:c>
      <x:c r="U9" s="215" t="str">
        <x:v>https://floranorthamerica.org/Onagraceae</x:v>
      </x:c>
      <x:c r="V9" s="215" t="str">
        <x:v>https://powo.science.kew.org/taxon/urn:lsid:ipni.org:names:30000053-2</x:v>
      </x:c>
      <x:c r="W9" s="215" t="str">
        <x:v>https://floranorthamerica.org/Onagraceae
https://www.mobot.org/MOBOT/research/APweb/orders/myrtalesweb2.htm
https://powo.science.kew.org/taxon/urn:lsid:ipni.org:names:30000053-2</x:v>
      </x:c>
      <x:c r="X9" s="215" t="str">
        <x:v>No — retain qualifiers and exceptions</x:v>
      </x:c>
      <x:c r="Y9" s="215" t="str">
        <x:v>Yes</x:v>
      </x:c>
      <x:c r="Z9" s="215" t="str">
        <x:v>Source-backed draft</x:v>
      </x:c>
    </x:row>
    <x:row r="10" ht="42" customHeight="1">
      <x:c r="A10" s="215" t="str">
        <x:v>Onagraceae</x:v>
      </x:c>
      <x:c r="B10" s="215" t="str">
        <x:v>ONA-OENOTHERA</x:v>
      </x:c>
      <x:c r="C10" s="215" t="str">
        <x:v>Local subgroup: Oenothera</x:v>
      </x:c>
      <x:c r="D10" s="215" t="str">
        <x:v>Flower</x:v>
      </x:c>
      <x:c r="E10" s="215" t="str">
        <x:v>Usually 4-merous flower with a distinct floral tube and deciduous perianth</x:v>
      </x:c>
      <x:c r="F10" s="215" t="str">
        <x:v>Subgroup</x:v>
      </x:c>
      <x:c r="G10" s="215" t="str">
        <x:v>5</x:v>
      </x:c>
      <x:c r="H10" s="215" t="str">
        <x:v>High within local Oenothera</x:v>
      </x:c>
      <x:c r="I10" s="215" t="str">
        <x:v>Naked eye</x:v>
      </x:c>
      <x:c r="J10" s="215" t="str">
        <x:v>Fresh flowering</x:v>
      </x:c>
      <x:c r="K10" s="215" t="str">
        <x:v>The perianth and stamens stand above a recognizable tube, and the showy parts generally fall after flowering.</x:v>
      </x:c>
      <x:c r="L10" s="215" t="str">
        <x:v>Tube length and flower size vary; some Oenothera flowers are not yellow or evening-opening.</x:v>
      </x:c>
      <x:c r="M10" s="215" t="str">
        <x:v>Directs a Hays specimen toward Oenothera after family placement.</x:v>
      </x:c>
      <x:c r="N10" s="215" t="str">
        <x:v>Oenothera is the largest local family route, with 14 accepted-family rows in the working master.</x:v>
      </x:c>
      <x:c r="O10" s="215" t="str">
        <x:v>Low</x:v>
      </x:c>
      <x:c r="P10" s="215" t="str">
        <x:v>No</x:v>
      </x:c>
      <x:c r="Q10" s="215" t="str"/>
      <x:c r="R10" s="215" t="str">
        <x:v>ONA-LK01</x:v>
      </x:c>
      <x:c r="S10" s="215" t="str">
        <x:v>FNA-ONAGR; APWEB-ONAGR; POWO-ONAGR</x:v>
      </x:c>
      <x:c r="T10" s="215" t="str">
        <x:v>https://www.mobot.org/MOBOT/research/APweb/orders/myrtalesweb2.htm</x:v>
      </x:c>
      <x:c r="U10" s="215" t="str">
        <x:v>https://floranorthamerica.org/Onagraceae</x:v>
      </x:c>
      <x:c r="V10" s="215" t="str">
        <x:v>https://powo.science.kew.org/taxon/urn:lsid:ipni.org:names:30000053-2</x:v>
      </x:c>
      <x:c r="W10" s="215" t="str">
        <x:v>https://floranorthamerica.org/Onagraceae
https://www.mobot.org/MOBOT/research/APweb/orders/myrtalesweb2.htm
https://powo.science.kew.org/taxon/urn:lsid:ipni.org:names:30000053-2</x:v>
      </x:c>
      <x:c r="X10" s="215" t="str">
        <x:v>No — retain qualifiers and exceptions</x:v>
      </x:c>
      <x:c r="Y10" s="215" t="str">
        <x:v>Yes</x:v>
      </x:c>
      <x:c r="Z10" s="215" t="str">
        <x:v>Source-backed draft</x:v>
      </x:c>
    </x:row>
    <x:row r="11" ht="42" customHeight="1">
      <x:c r="A11" s="215" t="str">
        <x:v>Onagraceae</x:v>
      </x:c>
      <x:c r="B11" s="215" t="str">
        <x:v>ONA-EVENING</x:v>
      </x:c>
      <x:c r="C11" s="215" t="str">
        <x:v>Shortcut warning</x:v>
      </x:c>
      <x:c r="D11" s="215" t="str">
        <x:v>Phenology and flower</x:v>
      </x:c>
      <x:c r="E11" s="215" t="str">
        <x:v>Evening opening or yellow petals are not family requirements</x:v>
      </x:c>
      <x:c r="F11" s="215" t="str">
        <x:v>Caution</x:v>
      </x:c>
      <x:c r="G11" s="215" t="str">
        <x:v>0</x:v>
      </x:c>
      <x:c r="H11" s="215" t="str">
        <x:v>High as a warning</x:v>
      </x:c>
      <x:c r="I11" s="215" t="str">
        <x:v>Naked eye</x:v>
      </x:c>
      <x:c r="J11" s="215" t="str">
        <x:v>Flowering</x:v>
      </x:c>
      <x:c r="K11" s="215" t="str">
        <x:v>The common name “evening primrose” can create a false rule: family members may flower at different times and in several colors.</x:v>
      </x:c>
      <x:c r="L11" s="215" t="str">
        <x:v>Many Oenothera are vespertine, but others are diurnal; Ludwigia commonly has yellow diurnal flowers.</x:v>
      </x:c>
      <x:c r="M11" s="215" t="str">
        <x:v>Do not accept or reject Onagraceae from color or opening time.</x:v>
      </x:c>
      <x:c r="N11" s="215" t="str">
        <x:v>Directly prevents misidentification of local Ludwigia and day-flowering Oenothera.</x:v>
      </x:c>
      <x:c r="O11" s="215" t="str">
        <x:v>Low</x:v>
      </x:c>
      <x:c r="P11" s="215" t="str">
        <x:v>No</x:v>
      </x:c>
      <x:c r="Q11" s="215" t="str"/>
      <x:c r="R11" s="215" t="str">
        <x:v>ONA-LK01</x:v>
      </x:c>
      <x:c r="S11" s="215" t="str">
        <x:v>FNA-ONAGR; POWO-ONAGR</x:v>
      </x:c>
      <x:c r="T11" s="215" t="str">
        <x:v>https://www.mobot.org/MOBOT/research/APweb/orders/myrtalesweb2.htm</x:v>
      </x:c>
      <x:c r="U11" s="215" t="str">
        <x:v>https://floranorthamerica.org/Onagraceae</x:v>
      </x:c>
      <x:c r="V11" s="215" t="str">
        <x:v>https://powo.science.kew.org/taxon/urn:lsid:ipni.org:names:30000053-2</x:v>
      </x:c>
      <x:c r="W11" s="215" t="str">
        <x:v>https://floranorthamerica.org/Onagraceae
https://powo.science.kew.org/taxon/urn:lsid:ipni.org:names:30000053-2
https://www.mobot.org/MOBOT/research/APweb/orders/myrtalesweb2.htm</x:v>
      </x:c>
      <x:c r="X11" s="215" t="str">
        <x:v>No — retain qualifiers and exceptions</x:v>
      </x:c>
      <x:c r="Y11" s="215" t="str">
        <x:v>Yes</x:v>
      </x:c>
      <x:c r="Z11" s="215" t="str">
        <x:v>Source-backed draft</x:v>
      </x:c>
    </x:row>
    <x:row r="12" ht="42" customHeight="1">
      <x:c r="A12" s="215" t="str">
        <x:v>Malvaceae</x:v>
      </x:c>
      <x:c r="B12" s="215" t="str">
        <x:v>MAL-HAIRS</x:v>
      </x:c>
      <x:c r="C12" s="215" t="str">
        <x:v>Family-wide, common</x:v>
      </x:c>
      <x:c r="D12" s="215" t="str">
        <x:v>Indumentum</x:v>
      </x:c>
      <x:c r="E12" s="215" t="str">
        <x:v>Stellate, branched, or lepidote hairs common</x:v>
      </x:c>
      <x:c r="F12" s="215" t="str">
        <x:v>Strong</x:v>
      </x:c>
      <x:c r="G12" s="215" t="str">
        <x:v>4</x:v>
      </x:c>
      <x:c r="H12" s="215" t="str">
        <x:v>Moderate</x:v>
      </x:c>
      <x:c r="I12" s="215" t="str">
        <x:v>Naked eye or hand lens</x:v>
      </x:c>
      <x:c r="J12" s="215" t="str">
        <x:v>Vegetative</x:v>
      </x:c>
      <x:c r="K12" s="215" t="str">
        <x:v>Many mallows carry star-shaped or scale-like hairs, often giving leaves or stems a pale or felted look.</x:v>
      </x:c>
      <x:c r="L12" s="215" t="str">
        <x:v>Some taxa are sparsely hairy or glabrous, and stellate hairs occur in unrelated families.</x:v>
      </x:c>
      <x:c r="M12" s="215" t="str">
        <x:v>A strong clue when combined with stipulate, palmately veined leaves and malvaceous flowers or fruit.</x:v>
      </x:c>
      <x:c r="N12" s="215" t="str">
        <x:v>Common and practical across many local herb and shrub genera, but not safe as a universal rule.</x:v>
      </x:c>
      <x:c r="O12" s="215" t="str">
        <x:v>Low</x:v>
      </x:c>
      <x:c r="P12" s="215" t="str">
        <x:v>No</x:v>
      </x:c>
      <x:c r="Q12" s="215" t="str"/>
      <x:c r="R12" s="215" t="str">
        <x:v>MAL-LK01; MAL-LK02</x:v>
      </x:c>
      <x:c r="S12" s="215" t="str">
        <x:v>APWEB-MALV; FNA-MALV; POWO-MALV</x:v>
      </x:c>
      <x:c r="T12" s="215" t="str">
        <x:v>https://www.mobot.org/mobot/research/APWeb/orders/malvalesweb.htm</x:v>
      </x:c>
      <x:c r="U12" s="215" t="str">
        <x:v>https://floranorthamerica.org/Malvaceae</x:v>
      </x:c>
      <x:c r="V12" s="215" t="str">
        <x:v>https://powo.science.kew.org/taxon/urn:lsid:ipni.org:names:30000208-2</x:v>
      </x:c>
      <x:c r="W12" s="215" t="str">
        <x:v>https://www.mobot.org/mobot/research/APWeb/orders/malvalesweb.htm
https://floranorthamerica.org/Malvaceae
https://powo.science.kew.org/taxon/urn:lsid:ipni.org:names:30000208-2</x:v>
      </x:c>
      <x:c r="X12" s="215" t="str">
        <x:v>No — retain qualifiers and exceptions</x:v>
      </x:c>
      <x:c r="Y12" s="215" t="str">
        <x:v>Yes</x:v>
      </x:c>
      <x:c r="Z12" s="215" t="str">
        <x:v>Source-backed draft</x:v>
      </x:c>
    </x:row>
    <x:row r="13" ht="42" customHeight="1">
      <x:c r="A13" s="215" t="str">
        <x:v>Malvaceae</x:v>
      </x:c>
      <x:c r="B13" s="215" t="str">
        <x:v>MAL-LEAF</x:v>
      </x:c>
      <x:c r="C13" s="215" t="str">
        <x:v>Family-wide, common</x:v>
      </x:c>
      <x:c r="D13" s="215" t="str">
        <x:v>Leaf</x:v>
      </x:c>
      <x:c r="E13" s="215" t="str">
        <x:v>Leaves usually alternate and stipulate</x:v>
      </x:c>
      <x:c r="F13" s="215" t="str">
        <x:v>Strong</x:v>
      </x:c>
      <x:c r="G13" s="215" t="str">
        <x:v>4</x:v>
      </x:c>
      <x:c r="H13" s="215" t="str">
        <x:v>High</x:v>
      </x:c>
      <x:c r="I13" s="215" t="str">
        <x:v>Naked eye</x:v>
      </x:c>
      <x:c r="J13" s="215" t="str">
        <x:v>Vegetative</x:v>
      </x:c>
      <x:c r="K13" s="215" t="str">
        <x:v>Most members have one leaf per node and a pair of stipules at the leaf base.</x:v>
      </x:c>
      <x:c r="L13" s="215" t="str">
        <x:v>FNA notes variation in leaf insertion and stipule development; stipules can be early-deciduous or hard to see.</x:v>
      </x:c>
      <x:c r="M13" s="215" t="str">
        <x:v>Use with hair type and venation; alternate leaves alone are weak evidence.</x:v>
      </x:c>
      <x:c r="N13" s="215" t="str">
        <x:v>Useful for most local Malvoideae and Tilia, with careful inspection for lost stipules.</x:v>
      </x:c>
      <x:c r="O13" s="215" t="str">
        <x:v>Low</x:v>
      </x:c>
      <x:c r="P13" s="215" t="str">
        <x:v>No</x:v>
      </x:c>
      <x:c r="Q13" s="215" t="str"/>
      <x:c r="R13" s="215" t="str">
        <x:v>MAL-LK01; MAL-LK02</x:v>
      </x:c>
      <x:c r="S13" s="215" t="str">
        <x:v>APWEB-MALV; FNA-MALV; POWO-MALV</x:v>
      </x:c>
      <x:c r="T13" s="215" t="str">
        <x:v>https://www.mobot.org/mobot/research/APWeb/orders/malvalesweb.htm</x:v>
      </x:c>
      <x:c r="U13" s="215" t="str">
        <x:v>https://floranorthamerica.org/Malvaceae</x:v>
      </x:c>
      <x:c r="V13" s="215" t="str">
        <x:v>https://powo.science.kew.org/taxon/urn:lsid:ipni.org:names:30000208-2</x:v>
      </x:c>
      <x:c r="W13" s="215" t="str">
        <x:v>https://www.mobot.org/mobot/research/APWeb/orders/malvalesweb.htm
https://floranorthamerica.org/Malvaceae
https://powo.science.kew.org/taxon/urn:lsid:ipni.org:names:30000208-2</x:v>
      </x:c>
      <x:c r="X13" s="215" t="str">
        <x:v>No — retain qualifiers and exceptions</x:v>
      </x:c>
      <x:c r="Y13" s="215" t="str">
        <x:v>Yes</x:v>
      </x:c>
      <x:c r="Z13" s="215" t="str">
        <x:v>Source-backed draft</x:v>
      </x:c>
    </x:row>
    <x:row r="14" ht="42" customHeight="1">
      <x:c r="A14" s="215" t="str">
        <x:v>Malvaceae</x:v>
      </x:c>
      <x:c r="B14" s="215" t="str">
        <x:v>MAL-VENATION</x:v>
      </x:c>
      <x:c r="C14" s="215" t="str">
        <x:v>Family-wide, common</x:v>
      </x:c>
      <x:c r="D14" s="215" t="str">
        <x:v>Leaf</x:v>
      </x:c>
      <x:c r="E14" s="215" t="str">
        <x:v>Venation often palmate and blades often lobed or toothed</x:v>
      </x:c>
      <x:c r="F14" s="215" t="str">
        <x:v>Supporting</x:v>
      </x:c>
      <x:c r="G14" s="215" t="str">
        <x:v>3</x:v>
      </x:c>
      <x:c r="H14" s="215" t="str">
        <x:v>Moderate</x:v>
      </x:c>
      <x:c r="I14" s="215" t="str">
        <x:v>Naked eye</x:v>
      </x:c>
      <x:c r="J14" s="215" t="str">
        <x:v>Vegetative</x:v>
      </x:c>
      <x:c r="K14" s="215" t="str">
        <x:v>Several major veins commonly spread from near the petiole attachment.</x:v>
      </x:c>
      <x:c r="L14" s="215" t="str">
        <x:v>Unlobed and non-palmately veined leaves occur, especially across the broad modern family; many unrelated plants also have palmate venation.</x:v>
      </x:c>
      <x:c r="M14" s="215" t="str">
        <x:v>Supports a Malvaceae hypothesis but never proves it.</x:v>
      </x:c>
      <x:c r="N14" s="215" t="str">
        <x:v>Very useful in Callirhoe, Sida relatives, Sphaeralcea, Pavonia, and several other local routes.</x:v>
      </x:c>
      <x:c r="O14" s="215" t="str">
        <x:v>Low</x:v>
      </x:c>
      <x:c r="P14" s="215" t="str">
        <x:v>No</x:v>
      </x:c>
      <x:c r="Q14" s="215" t="str"/>
      <x:c r="R14" s="215" t="str">
        <x:v>MAL-LK02</x:v>
      </x:c>
      <x:c r="S14" s="215" t="str">
        <x:v>APWEB-MALV; FNA-MALV; POWO-MALV</x:v>
      </x:c>
      <x:c r="T14" s="215" t="str">
        <x:v>https://www.mobot.org/mobot/research/APWeb/orders/malvalesweb.htm</x:v>
      </x:c>
      <x:c r="U14" s="215" t="str">
        <x:v>https://floranorthamerica.org/Malvaceae</x:v>
      </x:c>
      <x:c r="V14" s="215" t="str">
        <x:v>https://powo.science.kew.org/taxon/urn:lsid:ipni.org:names:30000208-2</x:v>
      </x:c>
      <x:c r="W14" s="215" t="str">
        <x:v>https://www.mobot.org/mobot/research/APWeb/orders/malvalesweb.htm
https://floranorthamerica.org/Malvaceae
https://powo.science.kew.org/taxon/urn:lsid:ipni.org:names:30000208-2</x:v>
      </x:c>
      <x:c r="X14" s="215" t="str">
        <x:v>No — retain qualifiers and exceptions</x:v>
      </x:c>
      <x:c r="Y14" s="215" t="str">
        <x:v>Yes</x:v>
      </x:c>
      <x:c r="Z14" s="215" t="str">
        <x:v>Source-backed draft</x:v>
      </x:c>
    </x:row>
    <x:row r="15" ht="42" customHeight="1">
      <x:c r="A15" s="215" t="str">
        <x:v>Malvaceae</x:v>
      </x:c>
      <x:c r="B15" s="215" t="str">
        <x:v>MAL-BARKMUC</x:v>
      </x:c>
      <x:c r="C15" s="215" t="str">
        <x:v>Family-wide, common</x:v>
      </x:c>
      <x:c r="D15" s="215" t="str">
        <x:v>Stem and tissue</x:v>
      </x:c>
      <x:c r="E15" s="215" t="str">
        <x:v>Fibrous bark and mucilage common</x:v>
      </x:c>
      <x:c r="F15" s="215" t="str">
        <x:v>Supporting</x:v>
      </x:c>
      <x:c r="G15" s="215" t="str">
        <x:v>2</x:v>
      </x:c>
      <x:c r="H15" s="215" t="str">
        <x:v>Variable</x:v>
      </x:c>
      <x:c r="I15" s="215" t="str">
        <x:v>Touch or damaged material</x:v>
      </x:c>
      <x:c r="J15" s="215" t="str">
        <x:v>Vegetative</x:v>
      </x:c>
      <x:c r="K15" s="215" t="str">
        <x:v>Stems or bark may be stringy, and tissues may feel mucilaginous when already broken or wet.</x:v>
      </x:c>
      <x:c r="L15" s="215" t="str">
        <x:v>Neither condition occurs in every taxon, and deliberate damage is not required for identification.</x:v>
      </x:c>
      <x:c r="M15" s="215" t="str">
        <x:v>Use only as supporting evidence after observing ordinary visible characters.</x:v>
      </x:c>
      <x:c r="N15" s="215" t="str">
        <x:v>Potentially helpful in robust local herbs and Tilia, but unsuitable as a required or destructive test.</x:v>
      </x:c>
      <x:c r="O15" s="215" t="str">
        <x:v>Moderate</x:v>
      </x:c>
      <x:c r="P15" s="215" t="str">
        <x:v>No</x:v>
      </x:c>
      <x:c r="Q15" s="215" t="str"/>
      <x:c r="R15" s="215" t="str">
        <x:v>MAL-LK01</x:v>
      </x:c>
      <x:c r="S15" s="215" t="str">
        <x:v>APWEB-MALV; FNA-MALV; POWO-MALV</x:v>
      </x:c>
      <x:c r="T15" s="215" t="str">
        <x:v>https://www.mobot.org/mobot/research/APWeb/orders/malvalesweb.htm</x:v>
      </x:c>
      <x:c r="U15" s="215" t="str">
        <x:v>https://floranorthamerica.org/Malvaceae</x:v>
      </x:c>
      <x:c r="V15" s="215" t="str">
        <x:v>https://powo.science.kew.org/taxon/urn:lsid:ipni.org:names:30000208-2</x:v>
      </x:c>
      <x:c r="W15" s="215" t="str">
        <x:v>https://www.mobot.org/mobot/research/APWeb/orders/malvalesweb.htm
https://floranorthamerica.org/Malvaceae
https://powo.science.kew.org/taxon/urn:lsid:ipni.org:names:30000208-2</x:v>
      </x:c>
      <x:c r="X15" s="215" t="str">
        <x:v>No — retain qualifiers and exceptions</x:v>
      </x:c>
      <x:c r="Y15" s="215" t="str">
        <x:v>Yes</x:v>
      </x:c>
      <x:c r="Z15" s="215" t="str">
        <x:v>Source-backed draft</x:v>
      </x:c>
    </x:row>
    <x:row r="16" ht="42" customHeight="1">
      <x:c r="A16" s="215" t="str">
        <x:v>Malvaceae</x:v>
      </x:c>
      <x:c r="B16" s="215" t="str">
        <x:v>MAL-CALYX</x:v>
      </x:c>
      <x:c r="C16" s="215" t="str">
        <x:v>Family-wide, common</x:v>
      </x:c>
      <x:c r="D16" s="215" t="str">
        <x:v>Flower</x:v>
      </x:c>
      <x:c r="E16" s="215" t="str">
        <x:v>Calyx usually 5-parted and often basally connate</x:v>
      </x:c>
      <x:c r="F16" s="215" t="str">
        <x:v>Strong</x:v>
      </x:c>
      <x:c r="G16" s="215" t="str">
        <x:v>4</x:v>
      </x:c>
      <x:c r="H16" s="215" t="str">
        <x:v>Moderate</x:v>
      </x:c>
      <x:c r="I16" s="215" t="str">
        <x:v>Naked eye or hand lens</x:v>
      </x:c>
      <x:c r="J16" s="215" t="str">
        <x:v>Flowering</x:v>
      </x:c>
      <x:c r="K16" s="215" t="str">
        <x:v>Most flowers have about five sepals forming a cup or lobed calyx.</x:v>
      </x:c>
      <x:c r="L16" s="215" t="str">
        <x:v>FNA records 4-8 sepals and broad variation among subfamilies; petals may also be absent in some lineages.</x:v>
      </x:c>
      <x:c r="M16" s="215" t="str">
        <x:v>Combine calyx structure with stamen organization and indumentum.</x:v>
      </x:c>
      <x:c r="N16" s="215" t="str">
        <x:v>Applicable to most local taxa, but the broad-family exceptions must remain allowed.</x:v>
      </x:c>
      <x:c r="O16" s="215" t="str">
        <x:v>Low</x:v>
      </x:c>
      <x:c r="P16" s="215" t="str">
        <x:v>No</x:v>
      </x:c>
      <x:c r="Q16" s="215" t="str"/>
      <x:c r="R16" s="215" t="str">
        <x:v>MAL-LK01; MAL-LK02</x:v>
      </x:c>
      <x:c r="S16" s="215" t="str">
        <x:v>APWEB-MALV; FNA-MALV; POWO-MALV</x:v>
      </x:c>
      <x:c r="T16" s="215" t="str">
        <x:v>https://www.mobot.org/mobot/research/APWeb/orders/malvalesweb.htm</x:v>
      </x:c>
      <x:c r="U16" s="215" t="str">
        <x:v>https://floranorthamerica.org/Malvaceae</x:v>
      </x:c>
      <x:c r="V16" s="215" t="str">
        <x:v>https://powo.science.kew.org/taxon/urn:lsid:ipni.org:names:30000208-2</x:v>
      </x:c>
      <x:c r="W16" s="215" t="str">
        <x:v>https://www.mobot.org/mobot/research/APWeb/orders/malvalesweb.htm
https://floranorthamerica.org/Malvaceae
https://powo.science.kew.org/taxon/urn:lsid:ipni.org:names:30000208-2</x:v>
      </x:c>
      <x:c r="X16" s="215" t="str">
        <x:v>No — retain qualifiers and exceptions</x:v>
      </x:c>
      <x:c r="Y16" s="215" t="str">
        <x:v>Yes</x:v>
      </x:c>
      <x:c r="Z16" s="215" t="str">
        <x:v>Source-backed draft</x:v>
      </x:c>
    </x:row>
    <x:row r="17" ht="42" customHeight="1">
      <x:c r="A17" s="215" t="str">
        <x:v>Malvaceae</x:v>
      </x:c>
      <x:c r="B17" s="215" t="str">
        <x:v>MAL-STAMENS</x:v>
      </x:c>
      <x:c r="C17" s="215" t="str">
        <x:v>Family-wide, variable</x:v>
      </x:c>
      <x:c r="D17" s="215" t="str">
        <x:v>Androecium</x:v>
      </x:c>
      <x:c r="E17" s="215" t="str">
        <x:v>Stamens 5 to many, often connate or arranged in antipetalous groups</x:v>
      </x:c>
      <x:c r="F17" s="215" t="str">
        <x:v>Core</x:v>
      </x:c>
      <x:c r="G17" s="215" t="str">
        <x:v>5</x:v>
      </x:c>
      <x:c r="H17" s="215" t="str">
        <x:v>Moderate</x:v>
      </x:c>
      <x:c r="I17" s="215" t="str">
        <x:v>Naked eye or hand lens</x:v>
      </x:c>
      <x:c r="J17" s="215" t="str">
        <x:v>Flowering</x:v>
      </x:c>
      <x:c r="K17" s="215" t="str">
        <x:v>Stamens are frequently numerous and joined into groups or a tube, producing a distinctive flower center.</x:v>
      </x:c>
      <x:c r="L17" s="215" t="str">
        <x:v>Some broad-family members have only a few stamens or an androgynophore; the classic column is not family-wide.</x:v>
      </x:c>
      <x:c r="M17" s="215" t="str">
        <x:v>A strong floral confirmation when interpreted at the correct subfamily level.</x:v>
      </x:c>
      <x:c r="N17" s="215" t="str">
        <x:v>Most local herbaceous mallows show the classic pattern; Tilia and Melochia require the broader interpretation.</x:v>
      </x:c>
      <x:c r="O17" s="215" t="str">
        <x:v>Low</x:v>
      </x:c>
      <x:c r="P17" s="215" t="str">
        <x:v>No</x:v>
      </x:c>
      <x:c r="Q17" s="215" t="str"/>
      <x:c r="R17" s="215" t="str">
        <x:v>MAL-LK01; MAL-LK02</x:v>
      </x:c>
      <x:c r="S17" s="215" t="str">
        <x:v>APWEB-MALV; FNA-MALV; POWO-MALV</x:v>
      </x:c>
      <x:c r="T17" s="215" t="str">
        <x:v>https://www.mobot.org/mobot/research/APWeb/orders/malvalesweb.htm</x:v>
      </x:c>
      <x:c r="U17" s="215" t="str">
        <x:v>https://floranorthamerica.org/Malvaceae</x:v>
      </x:c>
      <x:c r="V17" s="215" t="str">
        <x:v>https://powo.science.kew.org/taxon/urn:lsid:ipni.org:names:30000208-2</x:v>
      </x:c>
      <x:c r="W17" s="215" t="str">
        <x:v>https://www.mobot.org/mobot/research/APWeb/orders/malvalesweb.htm
https://floranorthamerica.org/Malvaceae
https://powo.science.kew.org/taxon/urn:lsid:ipni.org:names:30000208-2</x:v>
      </x:c>
      <x:c r="X17" s="215" t="str">
        <x:v>No — retain qualifiers and exceptions</x:v>
      </x:c>
      <x:c r="Y17" s="215" t="str">
        <x:v>Yes</x:v>
      </x:c>
      <x:c r="Z17" s="215" t="str">
        <x:v>Source-backed draft</x:v>
      </x:c>
    </x:row>
    <x:row r="18" ht="42" customHeight="1">
      <x:c r="A18" s="215" t="str">
        <x:v>Malvaceae</x:v>
      </x:c>
      <x:c r="B18" s="215" t="str">
        <x:v>MAL-COLUMN</x:v>
      </x:c>
      <x:c r="C18" s="215" t="str">
        <x:v>Subgroup: Malvoideae</x:v>
      </x:c>
      <x:c r="D18" s="215" t="str">
        <x:v>Androecium</x:v>
      </x:c>
      <x:c r="E18" s="215" t="str">
        <x:v>Staminal column surrounding the style</x:v>
      </x:c>
      <x:c r="F18" s="215" t="str">
        <x:v>Subgroup</x:v>
      </x:c>
      <x:c r="G18" s="215" t="str">
        <x:v>5</x:v>
      </x:c>
      <x:c r="H18" s="215" t="str">
        <x:v>High within Malvoideae</x:v>
      </x:c>
      <x:c r="I18" s="215" t="str">
        <x:v>Naked eye or hand lens</x:v>
      </x:c>
      <x:c r="J18" s="215" t="str">
        <x:v>Flowering</x:v>
      </x:c>
      <x:c r="K18" s="215" t="str">
        <x:v>Filaments are fused into a tube or column with anthers borne along or near it.</x:v>
      </x:c>
      <x:c r="L18" s="215" t="str">
        <x:v>This is characteristic of the classic mallow subgroup, not all modern Malvaceae.</x:v>
      </x:c>
      <x:c r="M18" s="215" t="str">
        <x:v>Quickly confirms most local Abutilon, Callirhoe, Sida allies, Pavonia, Malvaviscus, and Sphaeralcea.</x:v>
      </x:c>
      <x:c r="N18" s="215" t="str">
        <x:v>The dominant local route, but should not be used to exclude Tilia or Melochia from Malvaceae.</x:v>
      </x:c>
      <x:c r="O18" s="215" t="str">
        <x:v>Low</x:v>
      </x:c>
      <x:c r="P18" s="215" t="str">
        <x:v>No</x:v>
      </x:c>
      <x:c r="Q18" s="215" t="str"/>
      <x:c r="R18" s="215" t="str">
        <x:v>MAL-LK01</x:v>
      </x:c>
      <x:c r="S18" s="215" t="str">
        <x:v>APWEB-MALV; FNA-MALV; POWO-MALV</x:v>
      </x:c>
      <x:c r="T18" s="215" t="str">
        <x:v>https://www.mobot.org/mobot/research/APWeb/orders/malvalesweb.htm</x:v>
      </x:c>
      <x:c r="U18" s="215" t="str">
        <x:v>https://floranorthamerica.org/Malvaceae</x:v>
      </x:c>
      <x:c r="V18" s="215" t="str">
        <x:v>https://powo.science.kew.org/taxon/urn:lsid:ipni.org:names:30000208-2</x:v>
      </x:c>
      <x:c r="W18" s="215" t="str">
        <x:v>https://www.mobot.org/mobot/research/APWeb/orders/malvalesweb.htm
https://floranorthamerica.org/Malvaceae
https://powo.science.kew.org/taxon/urn:lsid:ipni.org:names:30000208-2</x:v>
      </x:c>
      <x:c r="X18" s="215" t="str">
        <x:v>No — retain qualifiers and exceptions</x:v>
      </x:c>
      <x:c r="Y18" s="215" t="str">
        <x:v>Yes</x:v>
      </x:c>
      <x:c r="Z18" s="215" t="str">
        <x:v>Source-backed draft</x:v>
      </x:c>
    </x:row>
    <x:row r="19" ht="42" customHeight="1">
      <x:c r="A19" s="215" t="str">
        <x:v>Malvaceae</x:v>
      </x:c>
      <x:c r="B19" s="215" t="str">
        <x:v>MAL-ANTHER</x:v>
      </x:c>
      <x:c r="C19" s="215" t="str">
        <x:v>Subgroup: Malvoideae</x:v>
      </x:c>
      <x:c r="D19" s="215" t="str">
        <x:v>Anther</x:v>
      </x:c>
      <x:c r="E19" s="215" t="str">
        <x:v>Anthers commonly one-theca in Malvoideae</x:v>
      </x:c>
      <x:c r="F19" s="215" t="str">
        <x:v>Subgroup</x:v>
      </x:c>
      <x:c r="G19" s="215" t="str">
        <x:v>4</x:v>
      </x:c>
      <x:c r="H19" s="215" t="str">
        <x:v>High with magnification</x:v>
      </x:c>
      <x:c r="I19" s="215" t="str">
        <x:v>Hand lens</x:v>
      </x:c>
      <x:c r="J19" s="215" t="str">
        <x:v>Flowering</x:v>
      </x:c>
      <x:c r="K19" s="215" t="str">
        <x:v>Each small anther commonly appears single-celled rather than two-lobed.</x:v>
      </x:c>
      <x:c r="L19" s="215" t="str">
        <x:v>FNA uses this mainly to separate Malvoideae from other subfamilies; it is not a broad-family character.</x:v>
      </x:c>
      <x:c r="M19" s="215" t="str">
        <x:v>Useful after finding a staminal column and for separating local mallow-like subgroups.</x:v>
      </x:c>
      <x:c r="N19" s="215" t="str">
        <x:v>Relevant to most local herbaceous genera; requires a hand lens and intact anthers.</x:v>
      </x:c>
      <x:c r="O19" s="215" t="str">
        <x:v>Low</x:v>
      </x:c>
      <x:c r="P19" s="215" t="str">
        <x:v>No</x:v>
      </x:c>
      <x:c r="Q19" s="215" t="str"/>
      <x:c r="R19" s="215" t="str">
        <x:v>MAL-LK01</x:v>
      </x:c>
      <x:c r="S19" s="215" t="str">
        <x:v>FNA-MALV; APWEB-MALV; POWO-MALV</x:v>
      </x:c>
      <x:c r="T19" s="215" t="str">
        <x:v>https://www.mobot.org/mobot/research/APWeb/orders/malvalesweb.htm</x:v>
      </x:c>
      <x:c r="U19" s="215" t="str">
        <x:v>https://floranorthamerica.org/Malvaceae</x:v>
      </x:c>
      <x:c r="V19" s="215" t="str">
        <x:v>https://powo.science.kew.org/taxon/urn:lsid:ipni.org:names:30000208-2</x:v>
      </x:c>
      <x:c r="W19" s="215" t="str">
        <x:v>https://floranorthamerica.org/Malvaceae
https://www.mobot.org/mobot/research/APWeb/orders/malvalesweb.htm
https://powo.science.kew.org/taxon/urn:lsid:ipni.org:names:30000208-2</x:v>
      </x:c>
      <x:c r="X19" s="215" t="str">
        <x:v>No — retain qualifiers and exceptions</x:v>
      </x:c>
      <x:c r="Y19" s="215" t="str">
        <x:v>Yes</x:v>
      </x:c>
      <x:c r="Z19" s="215" t="str">
        <x:v>Source-backed draft</x:v>
      </x:c>
    </x:row>
    <x:row r="20" ht="42" customHeight="1">
      <x:c r="A20" s="215" t="str">
        <x:v>Malvaceae</x:v>
      </x:c>
      <x:c r="B20" s="215" t="str">
        <x:v>MAL-EPICALYX</x:v>
      </x:c>
      <x:c r="C20" s="215" t="str">
        <x:v>Family-wide, variable</x:v>
      </x:c>
      <x:c r="D20" s="215" t="str">
        <x:v>Flower</x:v>
      </x:c>
      <x:c r="E20" s="215" t="str">
        <x:v>Epicalyx or involucel sometimes present</x:v>
      </x:c>
      <x:c r="F20" s="215" t="str">
        <x:v>Supporting</x:v>
      </x:c>
      <x:c r="G20" s="215" t="str">
        <x:v>2</x:v>
      </x:c>
      <x:c r="H20" s="215" t="str">
        <x:v>Variable</x:v>
      </x:c>
      <x:c r="I20" s="215" t="str">
        <x:v>Naked eye</x:v>
      </x:c>
      <x:c r="J20" s="215" t="str">
        <x:v>Flowering</x:v>
      </x:c>
      <x:c r="K20" s="215" t="str">
        <x:v>A second whorl of bract-like parts may sit immediately below the calyx.</x:v>
      </x:c>
      <x:c r="L20" s="215" t="str">
        <x:v>It is absent in many taxa, variable in number, and sometimes deciduous.</x:v>
      </x:c>
      <x:c r="M20" s="215" t="str">
        <x:v>Presence supports some Malvoideae or Hibisceae routes; absence is not evidence against the family.</x:v>
      </x:c>
      <x:c r="N20" s="215" t="str">
        <x:v>Useful in Callirhoe, Pavonia, Malvaviscus, and related local taxa where present.</x:v>
      </x:c>
      <x:c r="O20" s="215" t="str">
        <x:v>Low</x:v>
      </x:c>
      <x:c r="P20" s="215" t="str">
        <x:v>No</x:v>
      </x:c>
      <x:c r="Q20" s="215" t="str"/>
      <x:c r="R20" s="215" t="str">
        <x:v>MAL-LK02</x:v>
      </x:c>
      <x:c r="S20" s="215" t="str">
        <x:v>FNA-MALV; APWEB-MALV; POWO-MALV</x:v>
      </x:c>
      <x:c r="T20" s="215" t="str">
        <x:v>https://www.mobot.org/mobot/research/APWeb/orders/malvalesweb.htm</x:v>
      </x:c>
      <x:c r="U20" s="215" t="str">
        <x:v>https://floranorthamerica.org/Malvaceae</x:v>
      </x:c>
      <x:c r="V20" s="215" t="str">
        <x:v>https://powo.science.kew.org/taxon/urn:lsid:ipni.org:names:30000208-2</x:v>
      </x:c>
      <x:c r="W20" s="215" t="str">
        <x:v>https://floranorthamerica.org/Malvaceae
https://www.mobot.org/mobot/research/APWeb/orders/malvalesweb.htm
https://powo.science.kew.org/taxon/urn:lsid:ipni.org:names:30000208-2</x:v>
      </x:c>
      <x:c r="X20" s="215" t="str">
        <x:v>No — retain qualifiers and exceptions</x:v>
      </x:c>
      <x:c r="Y20" s="215" t="str">
        <x:v>Yes</x:v>
      </x:c>
      <x:c r="Z20" s="215" t="str">
        <x:v>Source-backed draft</x:v>
      </x:c>
    </x:row>
    <x:row r="21" ht="42" customHeight="1">
      <x:c r="A21" s="215" t="str">
        <x:v>Malvaceae</x:v>
      </x:c>
      <x:c r="B21" s="215" t="str">
        <x:v>MAL-OVARY</x:v>
      </x:c>
      <x:c r="C21" s="215" t="str">
        <x:v>Family-wide, variable</x:v>
      </x:c>
      <x:c r="D21" s="215" t="str">
        <x:v>Gynoecium</x:v>
      </x:c>
      <x:c r="E21" s="215" t="str">
        <x:v>Ovary usually superior and composed of several carpels</x:v>
      </x:c>
      <x:c r="F21" s="215" t="str">
        <x:v>Strong</x:v>
      </x:c>
      <x:c r="G21" s="215" t="str">
        <x:v>4</x:v>
      </x:c>
      <x:c r="H21" s="215" t="str">
        <x:v>Moderate</x:v>
      </x:c>
      <x:c r="I21" s="215" t="str">
        <x:v>Hand lens or dissection</x:v>
      </x:c>
      <x:c r="J21" s="215" t="str">
        <x:v>Flowering</x:v>
      </x:c>
      <x:c r="K21" s="215" t="str">
        <x:v>The ovary lies above the attachment of the perianth and commonly has several chambers or carpel units.</x:v>
      </x:c>
      <x:c r="L21" s="215" t="str">
        <x:v>Carpel number and degree of fusion vary widely; some lineages are apocarpous.</x:v>
      </x:c>
      <x:c r="M21" s="215" t="str">
        <x:v>Use with stamen structure and later fruit architecture.</x:v>
      </x:c>
      <x:c r="N21" s="215" t="str">
        <x:v>Strong across most local genera, but mature fruit is often easier than floral dissection.</x:v>
      </x:c>
      <x:c r="O21" s="215" t="str">
        <x:v>Low</x:v>
      </x:c>
      <x:c r="P21" s="215" t="str">
        <x:v>No</x:v>
      </x:c>
      <x:c r="Q21" s="215" t="str"/>
      <x:c r="R21" s="215" t="str">
        <x:v>MAL-LK01</x:v>
      </x:c>
      <x:c r="S21" s="215" t="str">
        <x:v>FNA-MALV; APWEB-MALV; POWO-MALV</x:v>
      </x:c>
      <x:c r="T21" s="215" t="str">
        <x:v>https://www.mobot.org/mobot/research/APWeb/orders/malvalesweb.htm</x:v>
      </x:c>
      <x:c r="U21" s="215" t="str">
        <x:v>https://floranorthamerica.org/Malvaceae</x:v>
      </x:c>
      <x:c r="V21" s="215" t="str">
        <x:v>https://powo.science.kew.org/taxon/urn:lsid:ipni.org:names:30000208-2</x:v>
      </x:c>
      <x:c r="W21" s="215" t="str">
        <x:v>https://floranorthamerica.org/Malvaceae
https://www.mobot.org/mobot/research/APWeb/orders/malvalesweb.htm
https://powo.science.kew.org/taxon/urn:lsid:ipni.org:names:30000208-2</x:v>
      </x:c>
      <x:c r="X21" s="215" t="str">
        <x:v>No — retain qualifiers and exceptions</x:v>
      </x:c>
      <x:c r="Y21" s="215" t="str">
        <x:v>Yes</x:v>
      </x:c>
      <x:c r="Z21" s="215" t="str">
        <x:v>Source-backed draft</x:v>
      </x:c>
    </x:row>
    <x:row r="22" ht="42" customHeight="1">
      <x:c r="A22" s="215" t="str">
        <x:v>Malvaceae</x:v>
      </x:c>
      <x:c r="B22" s="215" t="str">
        <x:v>MAL-FRUIT</x:v>
      </x:c>
      <x:c r="C22" s="215" t="str">
        <x:v>Family-wide, highly variable</x:v>
      </x:c>
      <x:c r="D22" s="215" t="str">
        <x:v>Fruit</x:v>
      </x:c>
      <x:c r="E22" s="215" t="str">
        <x:v>Capsule, schizocarp, follicle, berry, or nut</x:v>
      </x:c>
      <x:c r="F22" s="215" t="str">
        <x:v>Caution</x:v>
      </x:c>
      <x:c r="G22" s="215" t="str">
        <x:v>1</x:v>
      </x:c>
      <x:c r="H22" s="215" t="str">
        <x:v>High as a warning</x:v>
      </x:c>
      <x:c r="I22" s="215" t="str">
        <x:v>Naked eye</x:v>
      </x:c>
      <x:c r="J22" s="215" t="str">
        <x:v>Mature fruit</x:v>
      </x:c>
      <x:c r="K22" s="215" t="str">
        <x:v>Modern Malvaceae do not share one universal fruit type.</x:v>
      </x:c>
      <x:c r="L22" s="215" t="str">
        <x:v>Classic mallows often form wheel-like schizocarps, but local Tilia has a nutlike fruit and other lineages produce capsules or different forms.</x:v>
      </x:c>
      <x:c r="M22" s="215" t="str">
        <x:v>Use fruit to identify subgroups and genera, not as one family-wide state.</x:v>
      </x:c>
      <x:c r="N22" s="215" t="str">
        <x:v>Critical for local separation of Malvoideae, Melochia, and Tilia.</x:v>
      </x:c>
      <x:c r="O22" s="215" t="str">
        <x:v>Low</x:v>
      </x:c>
      <x:c r="P22" s="215" t="str">
        <x:v>No</x:v>
      </x:c>
      <x:c r="Q22" s="215" t="str"/>
      <x:c r="R22" s="215" t="str">
        <x:v>MAL-LK01; MAL-LK02</x:v>
      </x:c>
      <x:c r="S22" s="215" t="str">
        <x:v>FNA-MALV; APWEB-MALV; POWO-MALV</x:v>
      </x:c>
      <x:c r="T22" s="215" t="str">
        <x:v>https://www.mobot.org/mobot/research/APWeb/orders/malvalesweb.htm</x:v>
      </x:c>
      <x:c r="U22" s="215" t="str">
        <x:v>https://floranorthamerica.org/Malvaceae</x:v>
      </x:c>
      <x:c r="V22" s="215" t="str">
        <x:v>https://powo.science.kew.org/taxon/urn:lsid:ipni.org:names:30000208-2</x:v>
      </x:c>
      <x:c r="W22" s="215" t="str">
        <x:v>https://floranorthamerica.org/Malvaceae
https://www.mobot.org/mobot/research/APWeb/orders/malvalesweb.htm
https://powo.science.kew.org/taxon/urn:lsid:ipni.org:names:30000208-2</x:v>
      </x:c>
      <x:c r="X22" s="215" t="str">
        <x:v>No — retain qualifiers and exceptions</x:v>
      </x:c>
      <x:c r="Y22" s="215" t="str">
        <x:v>Yes</x:v>
      </x:c>
      <x:c r="Z22" s="215" t="str">
        <x:v>Source-backed draft</x:v>
      </x:c>
    </x:row>
    <x:row r="23" ht="42" customHeight="1">
      <x:c r="A23" s="215" t="str">
        <x:v>Malvaceae</x:v>
      </x:c>
      <x:c r="B23" s="215" t="str">
        <x:v>MAL-BROAD</x:v>
      </x:c>
      <x:c r="C23" s="215" t="str">
        <x:v>Circumscription warning</x:v>
      </x:c>
      <x:c r="D23" s="215" t="str">
        <x:v>Taxonomy and recognition</x:v>
      </x:c>
      <x:c r="E23" s="215" t="str">
        <x:v>Modern Malvaceae includes former Bombacaceae, Sterculiaceae, and Tiliaceae</x:v>
      </x:c>
      <x:c r="F23" s="215" t="str">
        <x:v>Caution</x:v>
      </x:c>
      <x:c r="G23" s="215" t="str">
        <x:v>0</x:v>
      </x:c>
      <x:c r="H23" s="215" t="str">
        <x:v>High as a warning</x:v>
      </x:c>
      <x:c r="I23" s="215" t="str">
        <x:v>Reference check</x:v>
      </x:c>
      <x:c r="J23" s="215" t="str">
        <x:v>Any</x:v>
      </x:c>
      <x:c r="K23" s="215" t="str">
        <x:v>The accepted family is broader than the traditional “mallow” look.</x:v>
      </x:c>
      <x:c r="L23" s="215" t="str">
        <x:v>Characters that fit Malvoideae well may fail in Tilioideae, Byttnerioideae, and other subfamilies.</x:v>
      </x:c>
      <x:c r="M23" s="215" t="str">
        <x:v>Prevents treating a staminal column, epicalyx, or mallow schizocarp as universal.</x:v>
      </x:c>
      <x:c r="N23" s="215" t="str">
        <x:v>Essential because local Tilia and Melochia broaden the visual range beyond the dominant mallow-like genera.</x:v>
      </x:c>
      <x:c r="O23" s="215" t="str">
        <x:v>Low</x:v>
      </x:c>
      <x:c r="P23" s="215" t="str">
        <x:v>Yes</x:v>
      </x:c>
      <x:c r="Q23" s="215" t="str">
        <x:v>Human reviewer should approve the subfamily routing before these rows are used in an automated key.</x:v>
      </x:c>
      <x:c r="R23" s="215" t="str">
        <x:v>MAL-LK01</x:v>
      </x:c>
      <x:c r="S23" s="215" t="str">
        <x:v>APWEB-MALV; FNA-MALV; POWO-MALV</x:v>
      </x:c>
      <x:c r="T23" s="215" t="str">
        <x:v>https://www.mobot.org/mobot/research/APWeb/orders/malvalesweb.htm</x:v>
      </x:c>
      <x:c r="U23" s="215" t="str">
        <x:v>https://floranorthamerica.org/Malvaceae</x:v>
      </x:c>
      <x:c r="V23" s="215" t="str">
        <x:v>https://powo.science.kew.org/taxon/urn:lsid:ipni.org:names:30000208-2</x:v>
      </x:c>
      <x:c r="W23" s="215" t="str">
        <x:v>https://www.mobot.org/mobot/research/APWeb/orders/malvalesweb.htm
https://floranorthamerica.org/Malvaceae
https://powo.science.kew.org/taxon/urn:lsid:ipni.org:names:30000208-2</x:v>
      </x:c>
      <x:c r="X23" s="215" t="str">
        <x:v>No — retain qualifiers and exceptions</x:v>
      </x:c>
      <x:c r="Y23" s="215" t="str">
        <x:v>Yes</x:v>
      </x:c>
      <x:c r="Z23" s="215" t="str">
        <x:v>Human review required</x:v>
      </x:c>
    </x:row>
    <x:row r="24" ht="42" customHeight="1">
      <x:c r="A24" s="215" t="str">
        <x:v>Apocynaceae</x:v>
      </x:c>
      <x:c r="B24" s="215" t="str">
        <x:v>APO-LATEX</x:v>
      </x:c>
      <x:c r="C24" s="215" t="str">
        <x:v>Family-wide, common</x:v>
      </x:c>
      <x:c r="D24" s="215" t="str">
        <x:v>Exudate</x:v>
      </x:c>
      <x:c r="E24" s="215" t="str">
        <x:v>White latex or milky sap common</x:v>
      </x:c>
      <x:c r="F24" s="215" t="str">
        <x:v>Strong</x:v>
      </x:c>
      <x:c r="G24" s="215" t="str">
        <x:v>4</x:v>
      </x:c>
      <x:c r="H24" s="215" t="str">
        <x:v>Variable</x:v>
      </x:c>
      <x:c r="I24" s="215" t="str">
        <x:v>Naked eye on existing damage</x:v>
      </x:c>
      <x:c r="J24" s="215" t="str">
        <x:v>Vegetative</x:v>
      </x:c>
      <x:c r="K24" s="215" t="str">
        <x:v>Many members release white latex from broken tissue.</x:v>
      </x:c>
      <x:c r="L24" s="215" t="str">
        <x:v>Latex may be scant or absent, and milky sap occurs in unrelated families; do not cut a plant solely to test it.</x:v>
      </x:c>
      <x:c r="M24" s="215" t="str">
        <x:v>Useful only with opposite leaves, sympetalous flowers, and gynoecium or fruit characters.</x:v>
      </x:c>
      <x:c r="N24" s="215" t="str">
        <x:v>Especially conspicuous in local milkweed relatives; less dependable in Amsonia.</x:v>
      </x:c>
      <x:c r="O24" s="215" t="str">
        <x:v>Low</x:v>
      </x:c>
      <x:c r="P24" s="215" t="str">
        <x:v>No</x:v>
      </x:c>
      <x:c r="Q24" s="215" t="str"/>
      <x:c r="R24" s="215" t="str">
        <x:v>APO-LK01; APO-LK02</x:v>
      </x:c>
      <x:c r="S24" s="215" t="str">
        <x:v>APWEB-APOC; FNA-ASCLEPIAS; FNA-AMSONIA; POWO-APOC</x:v>
      </x:c>
      <x:c r="T24" s="215" t="str">
        <x:v>https://www.mobot.org/MOBOT/research/APweb/orders/gentianalesweb.htm</x:v>
      </x:c>
      <x:c r="U24" s="215" t="str">
        <x:v>https://floranorthamerica.org/Asclepias
https://floranorthamerica.org/Amsonia</x:v>
      </x:c>
      <x:c r="V24" s="215" t="str">
        <x:v>https://powo.science.kew.org/taxon/urn:lsid:ipni.org:names:30000008-2</x:v>
      </x:c>
      <x:c r="W24" s="215" t="str">
        <x:v>https://www.mobot.org/MOBOT/research/APweb/orders/gentianalesweb.htm
https://floranorthamerica.org/Asclepias
https://floranorthamerica.org/Amsonia
https://powo.science.kew.org/taxon/urn:lsid:ipni.org:names:30000008-2</x:v>
      </x:c>
      <x:c r="X24" s="215" t="str">
        <x:v>No — retain qualifiers and exceptions</x:v>
      </x:c>
      <x:c r="Y24" s="215" t="str">
        <x:v>Yes</x:v>
      </x:c>
      <x:c r="Z24" s="215" t="str">
        <x:v>Source-backed draft</x:v>
      </x:c>
    </x:row>
    <x:row r="25" ht="42" customHeight="1">
      <x:c r="A25" s="215" t="str">
        <x:v>Apocynaceae</x:v>
      </x:c>
      <x:c r="B25" s="215" t="str">
        <x:v>APO-LEAVES</x:v>
      </x:c>
      <x:c r="C25" s="215" t="str">
        <x:v>Family-wide, common</x:v>
      </x:c>
      <x:c r="D25" s="215" t="str">
        <x:v>Leaf</x:v>
      </x:c>
      <x:c r="E25" s="215" t="str">
        <x:v>Leaves commonly opposite or whorled and usually simple</x:v>
      </x:c>
      <x:c r="F25" s="215" t="str">
        <x:v>Supporting</x:v>
      </x:c>
      <x:c r="G25" s="215" t="str">
        <x:v>3</x:v>
      </x:c>
      <x:c r="H25" s="215" t="str">
        <x:v>Moderate</x:v>
      </x:c>
      <x:c r="I25" s="215" t="str">
        <x:v>Naked eye</x:v>
      </x:c>
      <x:c r="J25" s="215" t="str">
        <x:v>Vegetative</x:v>
      </x:c>
      <x:c r="K25" s="215" t="str">
        <x:v>Paired or whorled simple leaves are frequent in the family.</x:v>
      </x:c>
      <x:c r="L25" s="215" t="str">
        <x:v>Spiral leaves occur in some lineages, and opposite leaves are common in unrelated families.</x:v>
      </x:c>
      <x:c r="M25" s="215" t="str">
        <x:v>Use as an entry clue, then seek colleters, flower structure, or paired fruit.</x:v>
      </x:c>
      <x:c r="N25" s="215" t="str">
        <x:v>Strong across most local Amsonia, Asclepias, Matelea, Funastrum, and Gonolobus routes.</x:v>
      </x:c>
      <x:c r="O25" s="215" t="str">
        <x:v>Low</x:v>
      </x:c>
      <x:c r="P25" s="215" t="str">
        <x:v>No</x:v>
      </x:c>
      <x:c r="Q25" s="215" t="str"/>
      <x:c r="R25" s="215" t="str">
        <x:v>APO-LK01; APO-LK02</x:v>
      </x:c>
      <x:c r="S25" s="215" t="str">
        <x:v>APWEB-APOC; FNA-ASCLEPIAS; FNA-AMSONIA; POWO-APOC</x:v>
      </x:c>
      <x:c r="T25" s="215" t="str">
        <x:v>https://www.mobot.org/MOBOT/research/APweb/orders/gentianalesweb.htm</x:v>
      </x:c>
      <x:c r="U25" s="215" t="str">
        <x:v>https://floranorthamerica.org/Asclepias
https://floranorthamerica.org/Amsonia</x:v>
      </x:c>
      <x:c r="V25" s="215" t="str">
        <x:v>https://powo.science.kew.org/taxon/urn:lsid:ipni.org:names:30000008-2</x:v>
      </x:c>
      <x:c r="W25" s="215" t="str">
        <x:v>https://www.mobot.org/MOBOT/research/APweb/orders/gentianalesweb.htm
https://floranorthamerica.org/Asclepias
https://floranorthamerica.org/Amsonia
https://powo.science.kew.org/taxon/urn:lsid:ipni.org:names:30000008-2</x:v>
      </x:c>
      <x:c r="X25" s="215" t="str">
        <x:v>No — retain qualifiers and exceptions</x:v>
      </x:c>
      <x:c r="Y25" s="215" t="str">
        <x:v>Yes</x:v>
      </x:c>
      <x:c r="Z25" s="215" t="str">
        <x:v>Source-backed draft</x:v>
      </x:c>
    </x:row>
    <x:row r="26" ht="42" customHeight="1">
      <x:c r="A26" s="215" t="str">
        <x:v>Apocynaceae</x:v>
      </x:c>
      <x:c r="B26" s="215" t="str">
        <x:v>APO-COLLETERS</x:v>
      </x:c>
      <x:c r="C26" s="215" t="str">
        <x:v>Family-wide, variable</x:v>
      </x:c>
      <x:c r="D26" s="215" t="str">
        <x:v>Leaf base and calyx</x:v>
      </x:c>
      <x:c r="E26" s="215" t="str">
        <x:v>Colleters often present at leaf bases or inside the calyx</x:v>
      </x:c>
      <x:c r="F26" s="215" t="str">
        <x:v>Supporting</x:v>
      </x:c>
      <x:c r="G26" s="215" t="str">
        <x:v>3</x:v>
      </x:c>
      <x:c r="H26" s="215" t="str">
        <x:v>Variable</x:v>
      </x:c>
      <x:c r="I26" s="215" t="str">
        <x:v>Hand lens</x:v>
      </x:c>
      <x:c r="J26" s="215" t="str">
        <x:v>Vegetative or flowering</x:v>
      </x:c>
      <x:c r="K26" s="215" t="str">
        <x:v>Small glandular structures may occur between petiole bases or on the inner calyx.</x:v>
      </x:c>
      <x:c r="L26" s="215" t="str">
        <x:v>Their form and position vary, and they may be minute or absent in particular taxa.</x:v>
      </x:c>
      <x:c r="M26" s="215" t="str">
        <x:v>Helpful against opposite-leaved lookalikes when visible, but never required.</x:v>
      </x:c>
      <x:c r="N26" s="215" t="str">
        <x:v>Potentially useful in local vines and milkweeds; needs deliberate hand-lens training.</x:v>
      </x:c>
      <x:c r="O26" s="215" t="str">
        <x:v>Moderate</x:v>
      </x:c>
      <x:c r="P26" s="215" t="str">
        <x:v>No</x:v>
      </x:c>
      <x:c r="Q26" s="215" t="str"/>
      <x:c r="R26" s="215" t="str">
        <x:v>APO-LK01</x:v>
      </x:c>
      <x:c r="S26" s="215" t="str">
        <x:v>APWEB-APOC; POWO-APOC</x:v>
      </x:c>
      <x:c r="T26" s="215" t="str">
        <x:v>https://www.mobot.org/MOBOT/research/APweb/orders/gentianalesweb.htm</x:v>
      </x:c>
      <x:c r="U26" s="215" t="str">
        <x:v>https://floranorthamerica.org/Amsonia
https://floranorthamerica.org/Asclepias</x:v>
      </x:c>
      <x:c r="V26" s="215" t="str">
        <x:v>https://powo.science.kew.org/taxon/urn:lsid:ipni.org:names:30000008-2</x:v>
      </x:c>
      <x:c r="W26" s="215" t="str">
        <x:v>https://www.mobot.org/MOBOT/research/APweb/orders/gentianalesweb.htm
https://powo.science.kew.org/taxon/urn:lsid:ipni.org:names:30000008-2
https://floranorthamerica.org/Amsonia
https://floranorthamerica.org/Asclepias</x:v>
      </x:c>
      <x:c r="X26" s="215" t="str">
        <x:v>No — retain qualifiers and exceptions</x:v>
      </x:c>
      <x:c r="Y26" s="215" t="str">
        <x:v>Yes</x:v>
      </x:c>
      <x:c r="Z26" s="215" t="str">
        <x:v>Source-backed draft</x:v>
      </x:c>
    </x:row>
    <x:row r="27" ht="42" customHeight="1">
      <x:c r="A27" s="215" t="str">
        <x:v>Apocynaceae</x:v>
      </x:c>
      <x:c r="B27" s="215" t="str">
        <x:v>APO-COROLLA</x:v>
      </x:c>
      <x:c r="C27" s="215" t="str">
        <x:v>Family-wide, common</x:v>
      </x:c>
      <x:c r="D27" s="215" t="str">
        <x:v>Flower</x:v>
      </x:c>
      <x:c r="E27" s="215" t="str">
        <x:v>Corolla usually 5-lobed and sympetalous</x:v>
      </x:c>
      <x:c r="F27" s="215" t="str">
        <x:v>Strong</x:v>
      </x:c>
      <x:c r="G27" s="215" t="str">
        <x:v>4</x:v>
      </x:c>
      <x:c r="H27" s="215" t="str">
        <x:v>High</x:v>
      </x:c>
      <x:c r="I27" s="215" t="str">
        <x:v>Naked eye</x:v>
      </x:c>
      <x:c r="J27" s="215" t="str">
        <x:v>Flowering</x:v>
      </x:c>
      <x:c r="K27" s="215" t="str">
        <x:v>Five petals are fused into a tube, bell, salver, or wheel-shaped corolla.</x:v>
      </x:c>
      <x:c r="L27" s="215" t="str">
        <x:v>Flower size and symmetry vary; specialized milkweed flowers obscure the basic corolla beneath a corona and gynostegium.</x:v>
      </x:c>
      <x:c r="M27" s="215" t="str">
        <x:v>A strong family clue when combined with the anther-style complex and two-carpel gynoecium.</x:v>
      </x:c>
      <x:c r="N27" s="215" t="str">
        <x:v>Clear in local Amsonia; structurally present but visually specialized in milkweed relatives.</x:v>
      </x:c>
      <x:c r="O27" s="215" t="str">
        <x:v>Low</x:v>
      </x:c>
      <x:c r="P27" s="215" t="str">
        <x:v>No</x:v>
      </x:c>
      <x:c r="Q27" s="215" t="str"/>
      <x:c r="R27" s="215" t="str">
        <x:v>APO-LK01; APO-LK02</x:v>
      </x:c>
      <x:c r="S27" s="215" t="str">
        <x:v>APWEB-APOC; FNA-AMSONIA; FNA-ASCLEPIAS; POWO-APOC</x:v>
      </x:c>
      <x:c r="T27" s="215" t="str">
        <x:v>https://www.mobot.org/MOBOT/research/APweb/orders/gentianalesweb.htm</x:v>
      </x:c>
      <x:c r="U27" s="215" t="str">
        <x:v>https://floranorthamerica.org/Amsonia
https://floranorthamerica.org/Asclepias</x:v>
      </x:c>
      <x:c r="V27" s="215" t="str">
        <x:v>https://powo.science.kew.org/taxon/urn:lsid:ipni.org:names:30000008-2</x:v>
      </x:c>
      <x:c r="W27" s="215" t="str">
        <x:v>https://www.mobot.org/MOBOT/research/APweb/orders/gentianalesweb.htm
https://floranorthamerica.org/Amsonia
https://floranorthamerica.org/Asclepias
https://powo.science.kew.org/taxon/urn:lsid:ipni.org:names:30000008-2</x:v>
      </x:c>
      <x:c r="X27" s="215" t="str">
        <x:v>No — retain qualifiers and exceptions</x:v>
      </x:c>
      <x:c r="Y27" s="215" t="str">
        <x:v>Yes</x:v>
      </x:c>
      <x:c r="Z27" s="215" t="str">
        <x:v>Source-backed draft</x:v>
      </x:c>
    </x:row>
    <x:row r="28" ht="42" customHeight="1">
      <x:c r="A28" s="215" t="str">
        <x:v>Apocynaceae</x:v>
      </x:c>
      <x:c r="B28" s="215" t="str">
        <x:v>APO-STYLEHEAD</x:v>
      </x:c>
      <x:c r="C28" s="215" t="str">
        <x:v>Family-wide</x:v>
      </x:c>
      <x:c r="D28" s="215" t="str">
        <x:v>Androecium and gynoecium</x:v>
      </x:c>
      <x:c r="E28" s="215" t="str">
        <x:v>Anthers closely associated with a swollen style head</x:v>
      </x:c>
      <x:c r="F28" s="215" t="str">
        <x:v>Core</x:v>
      </x:c>
      <x:c r="G28" s="215" t="str">
        <x:v>5</x:v>
      </x:c>
      <x:c r="H28" s="215" t="str">
        <x:v>High when examined</x:v>
      </x:c>
      <x:c r="I28" s="215" t="str">
        <x:v>Hand lens or dissection</x:v>
      </x:c>
      <x:c r="J28" s="215" t="str">
        <x:v>Flowering</x:v>
      </x:c>
      <x:c r="K28" s="215" t="str">
        <x:v>The anthers converge on or adhere to a specialized style-head region that handles pollen.</x:v>
      </x:c>
      <x:c r="L28" s="215" t="str">
        <x:v>The union ranges from loose contact to the highly fused milkweed gynostegium and may be hidden inside the corolla.</x:v>
      </x:c>
      <x:c r="M28" s="215" t="str">
        <x:v>One of the strongest structural confirmations of Apocynaceae.</x:v>
      </x:c>
      <x:c r="N28" s="215" t="str">
        <x:v>Useful across both local Amsonia-type and asclepiad-type routes, but magnification is often needed.</x:v>
      </x:c>
      <x:c r="O28" s="215" t="str">
        <x:v>Low</x:v>
      </x:c>
      <x:c r="P28" s="215" t="str">
        <x:v>No</x:v>
      </x:c>
      <x:c r="Q28" s="215" t="str"/>
      <x:c r="R28" s="215" t="str">
        <x:v>APO-LK01; APO-LK02</x:v>
      </x:c>
      <x:c r="S28" s="215" t="str">
        <x:v>APWEB-APOC; FNA-ASCLEPIAS; FNA-AMSONIA; POWO-APOC</x:v>
      </x:c>
      <x:c r="T28" s="215" t="str">
        <x:v>https://www.mobot.org/MOBOT/research/APweb/orders/gentianalesweb.htm</x:v>
      </x:c>
      <x:c r="U28" s="215" t="str">
        <x:v>https://floranorthamerica.org/Asclepias
https://floranorthamerica.org/Amsonia</x:v>
      </x:c>
      <x:c r="V28" s="215" t="str">
        <x:v>https://powo.science.kew.org/taxon/urn:lsid:ipni.org:names:30000008-2</x:v>
      </x:c>
      <x:c r="W28" s="215" t="str">
        <x:v>https://www.mobot.org/MOBOT/research/APweb/orders/gentianalesweb.htm
https://floranorthamerica.org/Asclepias
https://floranorthamerica.org/Amsonia
https://powo.science.kew.org/taxon/urn:lsid:ipni.org:names:30000008-2</x:v>
      </x:c>
      <x:c r="X28" s="215" t="str">
        <x:v>No — retain qualifiers and exceptions</x:v>
      </x:c>
      <x:c r="Y28" s="215" t="str">
        <x:v>Yes</x:v>
      </x:c>
      <x:c r="Z28" s="215" t="str">
        <x:v>Source-backed draft</x:v>
      </x:c>
    </x:row>
    <x:row r="29" ht="42" customHeight="1">
      <x:c r="A29" s="215" t="str">
        <x:v>Apocynaceae</x:v>
      </x:c>
      <x:c r="B29" s="215" t="str">
        <x:v>APO-CARPELS</x:v>
      </x:c>
      <x:c r="C29" s="215" t="str">
        <x:v>Family-wide, common</x:v>
      </x:c>
      <x:c r="D29" s="215" t="str">
        <x:v>Gynoecium</x:v>
      </x:c>
      <x:c r="E29" s="215" t="str">
        <x:v>Two carpels often separate below but joined by the style head</x:v>
      </x:c>
      <x:c r="F29" s="215" t="str">
        <x:v>Core</x:v>
      </x:c>
      <x:c r="G29" s="215" t="str">
        <x:v>5</x:v>
      </x:c>
      <x:c r="H29" s="215" t="str">
        <x:v>High with dissection or fruit</x:v>
      </x:c>
      <x:c r="I29" s="215" t="str">
        <x:v>Hand lens or dissection</x:v>
      </x:c>
      <x:c r="J29" s="215" t="str">
        <x:v>Flowering or early fruit</x:v>
      </x:c>
      <x:c r="K29" s="215" t="str">
        <x:v>The ovary commonly looks like two separate lobes or ovaries that share an upper reproductive structure.</x:v>
      </x:c>
      <x:c r="L29" s="215" t="str">
        <x:v>Some lineages have greater carpel fusion or only one carpel matures.</x:v>
      </x:c>
      <x:c r="M29" s="215" t="str">
        <x:v>Explains why one flower often produces a paired set of fruits.</x:v>
      </x:c>
      <x:c r="N29" s="215" t="str">
        <x:v>Strong in local Amsonia and milkweed relatives; one follicle may abort.</x:v>
      </x:c>
      <x:c r="O29" s="215" t="str">
        <x:v>Low</x:v>
      </x:c>
      <x:c r="P29" s="215" t="str">
        <x:v>No</x:v>
      </x:c>
      <x:c r="Q29" s="215" t="str"/>
      <x:c r="R29" s="215" t="str">
        <x:v>APO-LK01</x:v>
      </x:c>
      <x:c r="S29" s="215" t="str">
        <x:v>APWEB-APOC; FNA-ASCLEPIAS; FNA-AMSONIA; POWO-APOC</x:v>
      </x:c>
      <x:c r="T29" s="215" t="str">
        <x:v>https://www.mobot.org/MOBOT/research/APweb/orders/gentianalesweb.htm</x:v>
      </x:c>
      <x:c r="U29" s="215" t="str">
        <x:v>https://floranorthamerica.org/Asclepias
https://floranorthamerica.org/Amsonia</x:v>
      </x:c>
      <x:c r="V29" s="215" t="str">
        <x:v>https://powo.science.kew.org/taxon/urn:lsid:ipni.org:names:30000008-2</x:v>
      </x:c>
      <x:c r="W29" s="215" t="str">
        <x:v>https://www.mobot.org/MOBOT/research/APweb/orders/gentianalesweb.htm
https://floranorthamerica.org/Asclepias
https://floranorthamerica.org/Amsonia
https://powo.science.kew.org/taxon/urn:lsid:ipni.org:names:30000008-2</x:v>
      </x:c>
      <x:c r="X29" s="215" t="str">
        <x:v>No — retain qualifiers and exceptions</x:v>
      </x:c>
      <x:c r="Y29" s="215" t="str">
        <x:v>Yes</x:v>
      </x:c>
      <x:c r="Z29" s="215" t="str">
        <x:v>Source-backed draft</x:v>
      </x:c>
    </x:row>
    <x:row r="30" ht="42" customHeight="1">
      <x:c r="A30" s="215" t="str">
        <x:v>Apocynaceae</x:v>
      </x:c>
      <x:c r="B30" s="215" t="str">
        <x:v>APO-FOLLICLES</x:v>
      </x:c>
      <x:c r="C30" s="215" t="str">
        <x:v>Family-wide, common</x:v>
      </x:c>
      <x:c r="D30" s="215" t="str">
        <x:v>Fruit</x:v>
      </x:c>
      <x:c r="E30" s="215" t="str">
        <x:v>One or two follicles, often paired</x:v>
      </x:c>
      <x:c r="F30" s="215" t="str">
        <x:v>Strong</x:v>
      </x:c>
      <x:c r="G30" s="215" t="str">
        <x:v>4</x:v>
      </x:c>
      <x:c r="H30" s="215" t="str">
        <x:v>High</x:v>
      </x:c>
      <x:c r="I30" s="215" t="str">
        <x:v>Naked eye</x:v>
      </x:c>
      <x:c r="J30" s="215" t="str">
        <x:v>Mature fruit</x:v>
      </x:c>
      <x:c r="K30" s="215" t="str">
        <x:v>Each carpel commonly matures as a dry pod opening along one side.</x:v>
      </x:c>
      <x:c r="L30" s="215" t="str">
        <x:v>Only one of the two follicles may develop; some family lineages have berries or drupes.</x:v>
      </x:c>
      <x:c r="M30" s="215" t="str">
        <x:v>Paired or single follicles with the family flower suite are highly informative.</x:v>
      </x:c>
      <x:c r="N30" s="215" t="str">
        <x:v>A major confirmation for local Amsonia, Asclepias, Matelea, Funastrum, and Gonolobus.</x:v>
      </x:c>
      <x:c r="O30" s="215" t="str">
        <x:v>Low</x:v>
      </x:c>
      <x:c r="P30" s="215" t="str">
        <x:v>No</x:v>
      </x:c>
      <x:c r="Q30" s="215" t="str"/>
      <x:c r="R30" s="215" t="str">
        <x:v>APO-LK01</x:v>
      </x:c>
      <x:c r="S30" s="215" t="str">
        <x:v>APWEB-APOC; FNA-ASCLEPIAS; FNA-AMSONIA; POWO-APOC</x:v>
      </x:c>
      <x:c r="T30" s="215" t="str">
        <x:v>https://www.mobot.org/MOBOT/research/APweb/orders/gentianalesweb.htm</x:v>
      </x:c>
      <x:c r="U30" s="215" t="str">
        <x:v>https://floranorthamerica.org/Asclepias
https://floranorthamerica.org/Amsonia</x:v>
      </x:c>
      <x:c r="V30" s="215" t="str">
        <x:v>https://powo.science.kew.org/taxon/urn:lsid:ipni.org:names:30000008-2</x:v>
      </x:c>
      <x:c r="W30" s="215" t="str">
        <x:v>https://www.mobot.org/MOBOT/research/APweb/orders/gentianalesweb.htm
https://floranorthamerica.org/Asclepias
https://floranorthamerica.org/Amsonia
https://powo.science.kew.org/taxon/urn:lsid:ipni.org:names:30000008-2</x:v>
      </x:c>
      <x:c r="X30" s="215" t="str">
        <x:v>No — retain qualifiers and exceptions</x:v>
      </x:c>
      <x:c r="Y30" s="215" t="str">
        <x:v>Yes</x:v>
      </x:c>
      <x:c r="Z30" s="215" t="str">
        <x:v>Source-backed draft</x:v>
      </x:c>
    </x:row>
    <x:row r="31" ht="42" customHeight="1">
      <x:c r="A31" s="215" t="str">
        <x:v>Apocynaceae</x:v>
      </x:c>
      <x:c r="B31" s="215" t="str">
        <x:v>APO-COMA</x:v>
      </x:c>
      <x:c r="C31" s="215" t="str">
        <x:v>Family-wide, common in local routes</x:v>
      </x:c>
      <x:c r="D31" s="215" t="str">
        <x:v>Seed</x:v>
      </x:c>
      <x:c r="E31" s="215" t="str">
        <x:v>Seeds often bear a terminal coma of silky hairs</x:v>
      </x:c>
      <x:c r="F31" s="215" t="str">
        <x:v>Strong</x:v>
      </x:c>
      <x:c r="G31" s="215" t="str">
        <x:v>4</x:v>
      </x:c>
      <x:c r="H31" s="215" t="str">
        <x:v>High</x:v>
      </x:c>
      <x:c r="I31" s="215" t="str">
        <x:v>Naked eye</x:v>
      </x:c>
      <x:c r="J31" s="215" t="str">
        <x:v>Mature dehiscing fruit</x:v>
      </x:c>
      <x:c r="K31" s="215" t="str">
        <x:v>Flattened seeds frequently carry a tuft of long hairs for wind dispersal.</x:v>
      </x:c>
      <x:c r="L31" s="215" t="str">
        <x:v>Comose seeds are not universal across the entire family, and hairs may detach after release.</x:v>
      </x:c>
      <x:c r="M31" s="215" t="str">
        <x:v>A strong fruiting confirmation for many temperate apocynoids and milkweeds.</x:v>
      </x:c>
      <x:c r="N31" s="215" t="str">
        <x:v>Expected in the principal local genera; best observed before all seeds disperse.</x:v>
      </x:c>
      <x:c r="O31" s="215" t="str">
        <x:v>Low</x:v>
      </x:c>
      <x:c r="P31" s="215" t="str">
        <x:v>No</x:v>
      </x:c>
      <x:c r="Q31" s="215" t="str"/>
      <x:c r="R31" s="215" t="str">
        <x:v>APO-LK01</x:v>
      </x:c>
      <x:c r="S31" s="215" t="str">
        <x:v>APWEB-APOC; FNA-ASCLEPIAS; FNA-AMSONIA; POWO-APOC</x:v>
      </x:c>
      <x:c r="T31" s="215" t="str">
        <x:v>https://www.mobot.org/MOBOT/research/APweb/orders/gentianalesweb.htm</x:v>
      </x:c>
      <x:c r="U31" s="215" t="str">
        <x:v>https://floranorthamerica.org/Asclepias
https://floranorthamerica.org/Amsonia</x:v>
      </x:c>
      <x:c r="V31" s="215" t="str">
        <x:v>https://powo.science.kew.org/taxon/urn:lsid:ipni.org:names:30000008-2</x:v>
      </x:c>
      <x:c r="W31" s="215" t="str">
        <x:v>https://www.mobot.org/MOBOT/research/APweb/orders/gentianalesweb.htm
https://floranorthamerica.org/Asclepias
https://floranorthamerica.org/Amsonia
https://powo.science.kew.org/taxon/urn:lsid:ipni.org:names:30000008-2</x:v>
      </x:c>
      <x:c r="X31" s="215" t="str">
        <x:v>No — retain qualifiers and exceptions</x:v>
      </x:c>
      <x:c r="Y31" s="215" t="str">
        <x:v>Yes</x:v>
      </x:c>
      <x:c r="Z31" s="215" t="str">
        <x:v>Source-backed draft</x:v>
      </x:c>
    </x:row>
    <x:row r="32" ht="42" customHeight="1">
      <x:c r="A32" s="215" t="str">
        <x:v>Apocynaceae</x:v>
      </x:c>
      <x:c r="B32" s="215" t="str">
        <x:v>APO-INFLO</x:v>
      </x:c>
      <x:c r="C32" s="215" t="str">
        <x:v>Family-wide, common</x:v>
      </x:c>
      <x:c r="D32" s="215" t="str">
        <x:v>Inflorescence</x:v>
      </x:c>
      <x:c r="E32" s="215" t="str">
        <x:v>Inflorescences often terminal, interpetiolar, or extra-axillary</x:v>
      </x:c>
      <x:c r="F32" s="215" t="str">
        <x:v>Supporting</x:v>
      </x:c>
      <x:c r="G32" s="215" t="str">
        <x:v>2</x:v>
      </x:c>
      <x:c r="H32" s="215" t="str">
        <x:v>Variable</x:v>
      </x:c>
      <x:c r="I32" s="215" t="str">
        <x:v>Naked eye</x:v>
      </x:c>
      <x:c r="J32" s="215" t="str">
        <x:v>Flowering</x:v>
      </x:c>
      <x:c r="K32" s="215" t="str">
        <x:v>Flower clusters may appear between opposite petioles or displaced from a leaf axil.</x:v>
      </x:c>
      <x:c r="L32" s="215" t="str">
        <x:v>Position varies substantially and solitary flowers occur; sympodial growth can make placement hard to read.</x:v>
      </x:c>
      <x:c r="M32" s="215" t="str">
        <x:v>Use as a supporting architecture clue only.</x:v>
      </x:c>
      <x:c r="N32" s="215" t="str">
        <x:v>Helpful when comparing local twining genera and milkweed umbels, but not universal.</x:v>
      </x:c>
      <x:c r="O32" s="215" t="str">
        <x:v>Moderate</x:v>
      </x:c>
      <x:c r="P32" s="215" t="str">
        <x:v>No</x:v>
      </x:c>
      <x:c r="Q32" s="215" t="str"/>
      <x:c r="R32" s="215" t="str">
        <x:v>APO-LK01; APO-LK02</x:v>
      </x:c>
      <x:c r="S32" s="215" t="str">
        <x:v>APWEB-APOC; FNA-ASCLEPIAS; FNA-AMSONIA; POWO-APOC</x:v>
      </x:c>
      <x:c r="T32" s="215" t="str">
        <x:v>https://www.mobot.org/MOBOT/research/APweb/orders/gentianalesweb.htm</x:v>
      </x:c>
      <x:c r="U32" s="215" t="str">
        <x:v>https://floranorthamerica.org/Asclepias
https://floranorthamerica.org/Amsonia</x:v>
      </x:c>
      <x:c r="V32" s="215" t="str">
        <x:v>https://powo.science.kew.org/taxon/urn:lsid:ipni.org:names:30000008-2</x:v>
      </x:c>
      <x:c r="W32" s="215" t="str">
        <x:v>https://www.mobot.org/MOBOT/research/APweb/orders/gentianalesweb.htm
https://floranorthamerica.org/Asclepias
https://floranorthamerica.org/Amsonia
https://powo.science.kew.org/taxon/urn:lsid:ipni.org:names:30000008-2</x:v>
      </x:c>
      <x:c r="X32" s="215" t="str">
        <x:v>No — retain qualifiers and exceptions</x:v>
      </x:c>
      <x:c r="Y32" s="215" t="str">
        <x:v>Yes</x:v>
      </x:c>
      <x:c r="Z32" s="215" t="str">
        <x:v>Source-backed draft</x:v>
      </x:c>
    </x:row>
    <x:row r="33" ht="42" customHeight="1">
      <x:c r="A33" s="215" t="str">
        <x:v>Apocynaceae</x:v>
      </x:c>
      <x:c r="B33" s="215" t="str">
        <x:v>APO-POLLINIA</x:v>
      </x:c>
      <x:c r="C33" s="215" t="str">
        <x:v>Subgroup: Asclepiadoideae</x:v>
      </x:c>
      <x:c r="D33" s="215" t="str">
        <x:v>Pollen and flower</x:v>
      </x:c>
      <x:c r="E33" s="215" t="str">
        <x:v>Pollinia linked to a translator; gynostegium and corona specialized</x:v>
      </x:c>
      <x:c r="F33" s="215" t="str">
        <x:v>Subgroup</x:v>
      </x:c>
      <x:c r="G33" s="215" t="str">
        <x:v>5</x:v>
      </x:c>
      <x:c r="H33" s="215" t="str">
        <x:v>High within subgroup</x:v>
      </x:c>
      <x:c r="I33" s="215" t="str">
        <x:v>Hand lens</x:v>
      </x:c>
      <x:c r="J33" s="215" t="str">
        <x:v>Flowering</x:v>
      </x:c>
      <x:c r="K33" s="215" t="str">
        <x:v>Pollen is packaged into masses connected to a central clip-like structure, and anthers are fused with the style head.</x:v>
      </x:c>
      <x:c r="L33" s="215" t="str">
        <x:v>This is a milkweed-lineage character, not family-wide; flower size may require magnification.</x:v>
      </x:c>
      <x:c r="M33" s="215" t="str">
        <x:v>Directs a specimen to Asclepias, Matelea, Funastrum, Gonolobus, Metastelma, or related local routes.</x:v>
      </x:c>
      <x:c r="N33" s="215" t="str">
        <x:v>Most local Apocynaceae taxa belong to this specialized branch.</x:v>
      </x:c>
      <x:c r="O33" s="215" t="str">
        <x:v>Low</x:v>
      </x:c>
      <x:c r="P33" s="215" t="str">
        <x:v>No</x:v>
      </x:c>
      <x:c r="Q33" s="215" t="str"/>
      <x:c r="R33" s="215" t="str">
        <x:v>APO-LK01</x:v>
      </x:c>
      <x:c r="S33" s="215" t="str">
        <x:v>APWEB-APOC; FNA-ASCLEPIAS; POWO-APOC</x:v>
      </x:c>
      <x:c r="T33" s="215" t="str">
        <x:v>https://www.mobot.org/MOBOT/research/APweb/orders/gentianalesweb.htm</x:v>
      </x:c>
      <x:c r="U33" s="215" t="str">
        <x:v>https://floranorthamerica.org/Asclepias</x:v>
      </x:c>
      <x:c r="V33" s="215" t="str">
        <x:v>https://powo.science.kew.org/taxon/urn:lsid:ipni.org:names:30000008-2</x:v>
      </x:c>
      <x:c r="W33" s="215" t="str">
        <x:v>https://www.mobot.org/MOBOT/research/APweb/orders/gentianalesweb.htm
https://floranorthamerica.org/Asclepias
https://powo.science.kew.org/taxon/urn:lsid:ipni.org:names:30000008-2</x:v>
      </x:c>
      <x:c r="X33" s="215" t="str">
        <x:v>No — retain qualifiers and exceptions</x:v>
      </x:c>
      <x:c r="Y33" s="215" t="str">
        <x:v>Yes</x:v>
      </x:c>
      <x:c r="Z33" s="215" t="str">
        <x:v>Source-backed draft</x:v>
      </x:c>
    </x:row>
    <x:row r="34" ht="42" customHeight="1">
      <x:c r="A34" s="215" t="str">
        <x:v>Apocynaceae</x:v>
      </x:c>
      <x:c r="B34" s="215" t="str">
        <x:v>APO-AMSONIA</x:v>
      </x:c>
      <x:c r="C34" s="215" t="str">
        <x:v>Local subgroup: Amsonia</x:v>
      </x:c>
      <x:c r="D34" s="215" t="str">
        <x:v>Flower and fruit</x:v>
      </x:c>
      <x:c r="E34" s="215" t="str">
        <x:v>Salverform blue or pale flowers; two slender follicles; no milkweed pollinia</x:v>
      </x:c>
      <x:c r="F34" s="215" t="str">
        <x:v>Subgroup</x:v>
      </x:c>
      <x:c r="G34" s="215" t="str">
        <x:v>5</x:v>
      </x:c>
      <x:c r="H34" s="215" t="str">
        <x:v>High within local Amsonia</x:v>
      </x:c>
      <x:c r="I34" s="215" t="str">
        <x:v>Naked eye and hand lens</x:v>
      </x:c>
      <x:c r="J34" s="215" t="str">
        <x:v>Flowering through fruiting</x:v>
      </x:c>
      <x:c r="K34" s="215" t="str">
        <x:v>Amsonia shows the less specialized apocynoid route: a conventional 5-lobed tube and later paired narrow follicles.</x:v>
      </x:c>
      <x:c r="L34" s="215" t="str">
        <x:v>Color is not universal and flowers still require examination of the anther-style association.</x:v>
      </x:c>
      <x:c r="M34" s="215" t="str">
        <x:v>Separates local Amsonia from milkweed-like genera after family placement.</x:v>
      </x:c>
      <x:c r="N34" s="215" t="str">
        <x:v>Three local Amsonia rows make this a necessary second route.</x:v>
      </x:c>
      <x:c r="O34" s="215" t="str">
        <x:v>Low</x:v>
      </x:c>
      <x:c r="P34" s="215" t="str">
        <x:v>No</x:v>
      </x:c>
      <x:c r="Q34" s="215" t="str"/>
      <x:c r="R34" s="215" t="str">
        <x:v>APO-LK02</x:v>
      </x:c>
      <x:c r="S34" s="215" t="str">
        <x:v>FNA-AMSONIA; APWEB-APOC; POWO-APOC</x:v>
      </x:c>
      <x:c r="T34" s="215" t="str">
        <x:v>https://www.mobot.org/MOBOT/research/APweb/orders/gentianalesweb.htm</x:v>
      </x:c>
      <x:c r="U34" s="215" t="str">
        <x:v>https://floranorthamerica.org/Amsonia</x:v>
      </x:c>
      <x:c r="V34" s="215" t="str">
        <x:v>https://powo.science.kew.org/taxon/urn:lsid:ipni.org:names:30000008-2</x:v>
      </x:c>
      <x:c r="W34" s="215" t="str">
        <x:v>https://floranorthamerica.org/Amsonia
https://www.mobot.org/MOBOT/research/APweb/orders/gentianalesweb.htm
https://powo.science.kew.org/taxon/urn:lsid:ipni.org:names:30000008-2</x:v>
      </x:c>
      <x:c r="X34" s="215" t="str">
        <x:v>No — retain qualifiers and exceptions</x:v>
      </x:c>
      <x:c r="Y34" s="215" t="str">
        <x:v>Yes</x:v>
      </x:c>
      <x:c r="Z34" s="215" t="str">
        <x:v>Source-backed draft</x:v>
      </x:c>
    </x:row>
    <x:row r="35" ht="42" customHeight="1">
      <x:c r="A35" s="215" t="str">
        <x:v>Apocynaceae</x:v>
      </x:c>
      <x:c r="B35" s="215" t="str">
        <x:v>APO-MILKWEEDSHORT</x:v>
      </x:c>
      <x:c r="C35" s="215" t="str">
        <x:v>Shortcut warning</x:v>
      </x:c>
      <x:c r="D35" s="215" t="str">
        <x:v>Recognition</x:v>
      </x:c>
      <x:c r="E35" s="215" t="str">
        <x:v>Milky sap or a milkweed-looking flower is not a family-wide definition</x:v>
      </x:c>
      <x:c r="F35" s="215" t="str">
        <x:v>Caution</x:v>
      </x:c>
      <x:c r="G35" s="215" t="str">
        <x:v>0</x:v>
      </x:c>
      <x:c r="H35" s="215" t="str">
        <x:v>High as a warning</x:v>
      </x:c>
      <x:c r="I35" s="215" t="str">
        <x:v>Naked eye</x:v>
      </x:c>
      <x:c r="J35" s="215" t="str">
        <x:v>Any</x:v>
      </x:c>
      <x:c r="K35" s="215" t="str">
        <x:v>Apocynaceae includes ordinary tubular-flowered herbs as well as highly specialized milkweeds and vines.</x:v>
      </x:c>
      <x:c r="L35" s="215" t="str">
        <x:v>Latex occurs outside the family, and Amsonia lacks the obvious milkweed floral construction.</x:v>
      </x:c>
      <x:c r="M35" s="215" t="str">
        <x:v>Require either the anther-style complex, paired-carpel fruit pattern, or subgroup-specific floral evidence.</x:v>
      </x:c>
      <x:c r="N35" s="215" t="str">
        <x:v>Prevents local Amsonia from being missed and unrelated latex-bearing plants from being included.</x:v>
      </x:c>
      <x:c r="O35" s="215" t="str">
        <x:v>Low</x:v>
      </x:c>
      <x:c r="P35" s="215" t="str">
        <x:v>No</x:v>
      </x:c>
      <x:c r="Q35" s="215" t="str"/>
      <x:c r="R35" s="215" t="str">
        <x:v>APO-LK01; APO-LK02</x:v>
      </x:c>
      <x:c r="S35" s="215" t="str">
        <x:v>APWEB-APOC; FNA-ASCLEPIAS; FNA-AMSONIA; POWO-APOC</x:v>
      </x:c>
      <x:c r="T35" s="215" t="str">
        <x:v>https://www.mobot.org/MOBOT/research/APweb/orders/gentianalesweb.htm</x:v>
      </x:c>
      <x:c r="U35" s="215" t="str">
        <x:v>https://floranorthamerica.org/Asclepias
https://floranorthamerica.org/Amsonia</x:v>
      </x:c>
      <x:c r="V35" s="215" t="str">
        <x:v>https://powo.science.kew.org/taxon/urn:lsid:ipni.org:names:30000008-2</x:v>
      </x:c>
      <x:c r="W35" s="215" t="str">
        <x:v>https://www.mobot.org/MOBOT/research/APweb/orders/gentianalesweb.htm
https://floranorthamerica.org/Asclepias
https://floranorthamerica.org/Amsonia
https://powo.science.kew.org/taxon/urn:lsid:ipni.org:names:30000008-2</x:v>
      </x:c>
      <x:c r="X35" s="215" t="str">
        <x:v>No — retain qualifiers and exceptions</x:v>
      </x:c>
      <x:c r="Y35" s="215" t="str">
        <x:v>Yes</x:v>
      </x:c>
      <x:c r="Z35" s="215" t="str">
        <x:v>Source-backed draft</x:v>
      </x:c>
    </x:row>
    <x:row r="36" ht="42" customHeight="1">
      <x:c r="A36" s="215" t="str">
        <x:v>Boraginaceae</x:v>
      </x:c>
      <x:c r="B36" s="215" t="str">
        <x:v>BOR-CIRC</x:v>
      </x:c>
      <x:c r="C36" s="215" t="str">
        <x:v>Taxonomic circumscription</x:v>
      </x:c>
      <x:c r="D36" s="215" t="str">
        <x:v>Taxonomy</x:v>
      </x:c>
      <x:c r="E36" s="215" t="str">
        <x:v>POWO/WCVP accepts a broad Boraginaceae, while current APweb recognizes several families within Boraginales</x:v>
      </x:c>
      <x:c r="F36" s="215" t="str">
        <x:v>Caution</x:v>
      </x:c>
      <x:c r="G36" s="215" t="str">
        <x:v>0</x:v>
      </x:c>
      <x:c r="H36" s="215" t="str">
        <x:v>High as a documented conflict</x:v>
      </x:c>
      <x:c r="I36" s="215" t="str">
        <x:v>Reference check</x:v>
      </x:c>
      <x:c r="J36" s="215" t="str">
        <x:v>Any</x:v>
      </x:c>
      <x:c r="K36" s="215" t="str">
        <x:v>The same Hays genera can be treated as one broad family by POWO and as Boraginaceae, Hydrophyllaceae, Ehretiaceae, Heliotropiaceae, or Coldeniaceae by APweb.</x:v>
      </x:c>
      <x:c r="L36" s="215" t="str">
        <x:v>This is not a morphology error; it is a deliberate difference in family rank and circumscription.</x:v>
      </x:c>
      <x:c r="M36" s="215" t="str">
        <x:v>Store the broad POWO family for the name backbone, but route characters by APweb lineage so they are not falsely universalized.</x:v>
      </x:c>
      <x:c r="N36" s="215" t="str">
        <x:v>Critical because the local list includes Lithospermum, Cryptantha, Lappula, Myosotis, Phacelia, Nemophila, Ehretia, Euploca, and Tiquilia.</x:v>
      </x:c>
      <x:c r="O36" s="215" t="str">
        <x:v>High</x:v>
      </x:c>
      <x:c r="P36" s="215" t="str">
        <x:v>Yes</x:v>
      </x:c>
      <x:c r="Q36" s="215" t="str">
        <x:v>Calvin should approve whether the future interface displays one broad family with lineage routes or separate APweb families.</x:v>
      </x:c>
      <x:c r="R36" s="215" t="str">
        <x:v>BOR-LK01; BOR-LK02</x:v>
      </x:c>
      <x:c r="S36" s="215" t="str">
        <x:v>POWO-BORAG; POWO-BORAG-GI; APWEB-BORAG</x:v>
      </x:c>
      <x:c r="T36" s="215" t="str">
        <x:v>https://www.mobot.org/MOBOT/Research/APweb/orders/boraginalesweb.htm</x:v>
      </x:c>
      <x:c r="U36" s="215" t="str">
        <x:v>https://fwbg.org/wp-content/uploads/2025/04/FNCT_0210-0617-Acanth-Euph.pdf
https://ucjeps.berkeley.edu/eflora/eflora_display.php?tid=37455</x:v>
      </x:c>
      <x:c r="V36" s="215" t="str">
        <x:v>https://powo.science.kew.org/taxon/urn:lsid:ipni.org:names:30000135-2
https://powo.science.kew.org/taxon/urn:lsid:ipni.org:names:30000135-2/general-information</x:v>
      </x:c>
      <x:c r="W36" s="215" t="str">
        <x:v>https://powo.science.kew.org/taxon/urn:lsid:ipni.org:names:30000135-2
https://powo.science.kew.org/taxon/urn:lsid:ipni.org:names:30000135-2/general-information
https://www.mobot.org/MOBOT/Research/APweb/orders/boraginalesweb.htm
https://fwbg.org/wp-content/uploads/2025/04/FNCT_0210-0617-Acanth-Euph.pdf
https://ucjeps.berkeley.edu/eflora/eflora_display.php?tid=37455</x:v>
      </x:c>
      <x:c r="X36" s="215" t="str">
        <x:v>No — retain qualifiers and exceptions</x:v>
      </x:c>
      <x:c r="Y36" s="215" t="str">
        <x:v>Yes</x:v>
      </x:c>
      <x:c r="Z36" s="215" t="str">
        <x:v>Human review required</x:v>
      </x:c>
    </x:row>
    <x:row r="37" ht="42" customHeight="1">
      <x:c r="A37" s="215" t="str">
        <x:v>Boraginaceae</x:v>
      </x:c>
      <x:c r="B37" s="215" t="str">
        <x:v>BOR-LEAF</x:v>
      </x:c>
      <x:c r="C37" s="215" t="str">
        <x:v>Broad POWO family, common</x:v>
      </x:c>
      <x:c r="D37" s="215" t="str">
        <x:v>Leaf</x:v>
      </x:c>
      <x:c r="E37" s="215" t="str">
        <x:v>Leaves usually simple, exstipulate, and often alternate</x:v>
      </x:c>
      <x:c r="F37" s="215" t="str">
        <x:v>Supporting</x:v>
      </x:c>
      <x:c r="G37" s="215" t="str">
        <x:v>2</x:v>
      </x:c>
      <x:c r="H37" s="215" t="str">
        <x:v>Variable</x:v>
      </x:c>
      <x:c r="I37" s="215" t="str">
        <x:v>Naked eye</x:v>
      </x:c>
      <x:c r="J37" s="215" t="str">
        <x:v>Vegetative</x:v>
      </x:c>
      <x:c r="K37" s="215" t="str">
        <x:v>Many broad-family members have simple leaves without stipules, commonly one per node.</x:v>
      </x:c>
      <x:c r="L37" s="215" t="str">
        <x:v>Opposite leaves occur in some lineages, and this state is widespread outside Boraginales.</x:v>
      </x:c>
      <x:c r="M37" s="215" t="str">
        <x:v>Use only as an entry clue before lineage-specific flower and fruit characters.</x:v>
      </x:c>
      <x:c r="N37" s="215" t="str">
        <x:v>Common in most local genera, but too weak to unite the broad family alone.</x:v>
      </x:c>
      <x:c r="O37" s="215" t="str">
        <x:v>Moderate</x:v>
      </x:c>
      <x:c r="P37" s="215" t="str">
        <x:v>No</x:v>
      </x:c>
      <x:c r="Q37" s="215" t="str"/>
      <x:c r="R37" s="215" t="str">
        <x:v>BOR-LK01; BOR-LK02</x:v>
      </x:c>
      <x:c r="S37" s="215" t="str">
        <x:v>POWO-BORAG-GI; APWEB-BORAG; POWO-BORAG</x:v>
      </x:c>
      <x:c r="T37" s="215" t="str">
        <x:v>https://www.mobot.org/MOBOT/Research/APweb/orders/boraginalesweb.htm</x:v>
      </x:c>
      <x:c r="U37" s="215" t="str">
        <x:v>https://fwbg.org/wp-content/uploads/2025/04/FNCT_0210-0617-Acanth-Euph.pdf
https://ucjeps.berkeley.edu/eflora/eflora_display.php?tid=37455</x:v>
      </x:c>
      <x:c r="V37" s="215" t="str">
        <x:v>https://powo.science.kew.org/taxon/urn:lsid:ipni.org:names:30000135-2/general-information
https://powo.science.kew.org/taxon/urn:lsid:ipni.org:names:30000135-2</x:v>
      </x:c>
      <x:c r="W37" s="215" t="str">
        <x:v>https://powo.science.kew.org/taxon/urn:lsid:ipni.org:names:30000135-2/general-information
https://www.mobot.org/MOBOT/Research/APweb/orders/boraginalesweb.htm
https://powo.science.kew.org/taxon/urn:lsid:ipni.org:names:30000135-2
https://fwbg.org/wp-content/uploads/2025/04/FNCT_0210-0617-Acanth-Euph.pdf
https://ucjeps.berkeley.edu/eflora/eflora_display.php?tid=37455</x:v>
      </x:c>
      <x:c r="X37" s="215" t="str">
        <x:v>No — retain qualifiers and exceptions</x:v>
      </x:c>
      <x:c r="Y37" s="215" t="str">
        <x:v>Yes</x:v>
      </x:c>
      <x:c r="Z37" s="215" t="str">
        <x:v>Source-backed draft</x:v>
      </x:c>
    </x:row>
    <x:row r="38" ht="42" customHeight="1">
      <x:c r="A38" s="215" t="str">
        <x:v>Boraginaceae</x:v>
      </x:c>
      <x:c r="B38" s="215" t="str">
        <x:v>BOR-HAIRS</x:v>
      </x:c>
      <x:c r="C38" s="215" t="str">
        <x:v>Boraginaceae sensu stricto, common</x:v>
      </x:c>
      <x:c r="D38" s="215" t="str">
        <x:v>Indumentum</x:v>
      </x:c>
      <x:c r="E38" s="215" t="str">
        <x:v>Stiff or rough hairs, often with pale enlarged bases</x:v>
      </x:c>
      <x:c r="F38" s="215" t="str">
        <x:v>Strong</x:v>
      </x:c>
      <x:c r="G38" s="215" t="str">
        <x:v>4</x:v>
      </x:c>
      <x:c r="H38" s="215" t="str">
        <x:v>Moderate</x:v>
      </x:c>
      <x:c r="I38" s="215" t="str">
        <x:v>Naked eye or hand lens</x:v>
      </x:c>
      <x:c r="J38" s="215" t="str">
        <x:v>Vegetative</x:v>
      </x:c>
      <x:c r="K38" s="215" t="str">
        <x:v>Many true borage-family herbs feel bristly, and individual hairs may rise from conspicuous whitish bases.</x:v>
      </x:c>
      <x:c r="L38" s="215" t="str">
        <x:v>Hair density varies, some taxa are soft-hairy or nearly glabrous, and rough hairs occur in unrelated families.</x:v>
      </x:c>
      <x:c r="M38" s="215" t="str">
        <x:v>Strongly supports the Boraginaceae s.str. route when combined with coiled cymes and a gynobasic style.</x:v>
      </x:c>
      <x:c r="N38" s="215" t="str">
        <x:v>Useful for local Lithospermum, Cryptantha, Lappula, and often Myosotis.</x:v>
      </x:c>
      <x:c r="O38" s="215" t="str">
        <x:v>Low</x:v>
      </x:c>
      <x:c r="P38" s="215" t="str">
        <x:v>No</x:v>
      </x:c>
      <x:c r="Q38" s="215" t="str"/>
      <x:c r="R38" s="215" t="str">
        <x:v>BOR-LK01</x:v>
      </x:c>
      <x:c r="S38" s="215" t="str">
        <x:v>APWEB-BORAG; NCTX-LITHOSPERMUM; NCTX-CRYPTANTHA; NCTX-LAPPULA; POWO-BORAG</x:v>
      </x:c>
      <x:c r="T38" s="215" t="str">
        <x:v>https://www.mobot.org/MOBOT/Research/APweb/orders/boraginalesweb.htm</x:v>
      </x:c>
      <x:c r="U38" s="215" t="str">
        <x:v>https://fwbg.org/wp-content/uploads/2025/04/FNCT_0210-0617-Acanth-Euph.pdf</x:v>
      </x:c>
      <x:c r="V38" s="215" t="str">
        <x:v>https://powo.science.kew.org/taxon/urn:lsid:ipni.org:names:30000135-2</x:v>
      </x:c>
      <x:c r="W38" s="215" t="str">
        <x:v>https://www.mobot.org/MOBOT/Research/APweb/orders/boraginalesweb.htm
https://fwbg.org/wp-content/uploads/2025/04/FNCT_0210-0617-Acanth-Euph.pdf
https://powo.science.kew.org/taxon/urn:lsid:ipni.org:names:30000135-2</x:v>
      </x:c>
      <x:c r="X38" s="215" t="str">
        <x:v>No — retain qualifiers and exceptions</x:v>
      </x:c>
      <x:c r="Y38" s="215" t="str">
        <x:v>Yes</x:v>
      </x:c>
      <x:c r="Z38" s="215" t="str">
        <x:v>Source-backed draft</x:v>
      </x:c>
    </x:row>
    <x:row r="39" ht="42" customHeight="1">
      <x:c r="A39" s="215" t="str">
        <x:v>Boraginaceae</x:v>
      </x:c>
      <x:c r="B39" s="215" t="str">
        <x:v>BOR-CYME</x:v>
      </x:c>
      <x:c r="C39" s="215" t="str">
        <x:v>Boraginaceae s.str. and several related lineages</x:v>
      </x:c>
      <x:c r="D39" s="215" t="str">
        <x:v>Inflorescence</x:v>
      </x:c>
      <x:c r="E39" s="215" t="str">
        <x:v>Coiled or scorpioid cymes common</x:v>
      </x:c>
      <x:c r="F39" s="215" t="str">
        <x:v>Strong</x:v>
      </x:c>
      <x:c r="G39" s="215" t="str">
        <x:v>4</x:v>
      </x:c>
      <x:c r="H39" s="215" t="str">
        <x:v>Moderate</x:v>
      </x:c>
      <x:c r="I39" s="215" t="str">
        <x:v>Naked eye</x:v>
      </x:c>
      <x:c r="J39" s="215" t="str">
        <x:v>Flowering</x:v>
      </x:c>
      <x:c r="K39" s="215" t="str">
        <x:v>The flowering axis often begins tightly coiled and unrolls as flowers open.</x:v>
      </x:c>
      <x:c r="L39" s="215" t="str">
        <x:v>Cymes may be weakly coiled, shortened, leafy, or not obvious; coiled cymes occur outside the group.</x:v>
      </x:c>
      <x:c r="M39" s="215" t="str">
        <x:v>Use with rough hairs, 5-lobed fused corolla, and gynoecium or fruit structure.</x:v>
      </x:c>
      <x:c r="N39" s="215" t="str">
        <x:v>A high-value field clue in local Lithospermum, Cryptantha, Lappula, Myosotis, and Phacelia, but not all broad-family genera.</x:v>
      </x:c>
      <x:c r="O39" s="215" t="str">
        <x:v>Low</x:v>
      </x:c>
      <x:c r="P39" s="215" t="str">
        <x:v>No</x:v>
      </x:c>
      <x:c r="Q39" s="215" t="str"/>
      <x:c r="R39" s="215" t="str">
        <x:v>BOR-LK01; BOR-LK02</x:v>
      </x:c>
      <x:c r="S39" s="215" t="str">
        <x:v>APWEB-BORAG; JEPSON-PHACELIA; NCTX-LITHOSPERMUM; POWO-BORAG</x:v>
      </x:c>
      <x:c r="T39" s="215" t="str">
        <x:v>https://www.mobot.org/MOBOT/Research/APweb/orders/boraginalesweb.htm</x:v>
      </x:c>
      <x:c r="U39" s="215" t="str">
        <x:v>https://ucjeps.berkeley.edu/eflora/eflora_display.php?tid=37455
https://fwbg.org/wp-content/uploads/2025/04/FNCT_0210-0617-Acanth-Euph.pdf</x:v>
      </x:c>
      <x:c r="V39" s="215" t="str">
        <x:v>https://powo.science.kew.org/taxon/urn:lsid:ipni.org:names:30000135-2</x:v>
      </x:c>
      <x:c r="W39" s="215" t="str">
        <x:v>https://www.mobot.org/MOBOT/Research/APweb/orders/boraginalesweb.htm
https://ucjeps.berkeley.edu/eflora/eflora_display.php?tid=37455
https://fwbg.org/wp-content/uploads/2025/04/FNCT_0210-0617-Acanth-Euph.pdf
https://powo.science.kew.org/taxon/urn:lsid:ipni.org:names:30000135-2</x:v>
      </x:c>
      <x:c r="X39" s="215" t="str">
        <x:v>No — retain qualifiers and exceptions</x:v>
      </x:c>
      <x:c r="Y39" s="215" t="str">
        <x:v>Yes</x:v>
      </x:c>
      <x:c r="Z39" s="215" t="str">
        <x:v>Source-backed draft</x:v>
      </x:c>
    </x:row>
    <x:row r="40" ht="42" customHeight="1">
      <x:c r="A40" s="215" t="str">
        <x:v>Boraginaceae</x:v>
      </x:c>
      <x:c r="B40" s="215" t="str">
        <x:v>BOR-COROLLA</x:v>
      </x:c>
      <x:c r="C40" s="215" t="str">
        <x:v>Broad POWO family, common</x:v>
      </x:c>
      <x:c r="D40" s="215" t="str">
        <x:v>Flower</x:v>
      </x:c>
      <x:c r="E40" s="215" t="str">
        <x:v>Corolla usually 5-lobed and sympetalous; stamens commonly 5 and epipetalous</x:v>
      </x:c>
      <x:c r="F40" s="215" t="str">
        <x:v>Strong</x:v>
      </x:c>
      <x:c r="G40" s="215" t="str">
        <x:v>4</x:v>
      </x:c>
      <x:c r="H40" s="215" t="str">
        <x:v>Moderate</x:v>
      </x:c>
      <x:c r="I40" s="215" t="str">
        <x:v>Naked eye or hand lens</x:v>
      </x:c>
      <x:c r="J40" s="215" t="str">
        <x:v>Flowering</x:v>
      </x:c>
      <x:c r="K40" s="215" t="str">
        <x:v>Five petals are fused at least basally, and five stamens commonly attach to the corolla tube.</x:v>
      </x:c>
      <x:c r="L40" s="215" t="str">
        <x:v>Corolla form and symmetry vary; tiny flowers can obscure fusion and some lineages depart from the common pattern.</x:v>
      </x:c>
      <x:c r="M40" s="215" t="str">
        <x:v>Supports Boraginales placement but requires the style, ovary, fruit, or placentation route for family-level interpretation.</x:v>
      </x:c>
      <x:c r="N40" s="215" t="str">
        <x:v>Useful across nearly all local broad-family genera.</x:v>
      </x:c>
      <x:c r="O40" s="215" t="str">
        <x:v>Low</x:v>
      </x:c>
      <x:c r="P40" s="215" t="str">
        <x:v>No</x:v>
      </x:c>
      <x:c r="Q40" s="215" t="str"/>
      <x:c r="R40" s="215" t="str">
        <x:v>BOR-LK01; BOR-LK02</x:v>
      </x:c>
      <x:c r="S40" s="215" t="str">
        <x:v>APWEB-BORAG; POWO-BORAG-GI; POWO-BORAG</x:v>
      </x:c>
      <x:c r="T40" s="215" t="str">
        <x:v>https://www.mobot.org/MOBOT/Research/APweb/orders/boraginalesweb.htm</x:v>
      </x:c>
      <x:c r="U40" s="215" t="str">
        <x:v>https://fwbg.org/wp-content/uploads/2025/04/FNCT_0210-0617-Acanth-Euph.pdf
https://ucjeps.berkeley.edu/eflora/eflora_display.php?tid=37455</x:v>
      </x:c>
      <x:c r="V40" s="215" t="str">
        <x:v>https://powo.science.kew.org/taxon/urn:lsid:ipni.org:names:30000135-2/general-information
https://powo.science.kew.org/taxon/urn:lsid:ipni.org:names:30000135-2</x:v>
      </x:c>
      <x:c r="W40" s="215" t="str">
        <x:v>https://www.mobot.org/MOBOT/Research/APweb/orders/boraginalesweb.htm
https://powo.science.kew.org/taxon/urn:lsid:ipni.org:names:30000135-2/general-information
https://powo.science.kew.org/taxon/urn:lsid:ipni.org:names:30000135-2
https://fwbg.org/wp-content/uploads/2025/04/FNCT_0210-0617-Acanth-Euph.pdf
https://ucjeps.berkeley.edu/eflora/eflora_display.php?tid=37455</x:v>
      </x:c>
      <x:c r="X40" s="215" t="str">
        <x:v>No — retain qualifiers and exceptions</x:v>
      </x:c>
      <x:c r="Y40" s="215" t="str">
        <x:v>Yes</x:v>
      </x:c>
      <x:c r="Z40" s="215" t="str">
        <x:v>Source-backed draft</x:v>
      </x:c>
    </x:row>
    <x:row r="41" ht="42" customHeight="1">
      <x:c r="A41" s="215" t="str">
        <x:v>Boraginaceae</x:v>
      </x:c>
      <x:c r="B41" s="215" t="str">
        <x:v>BOR-OVARY</x:v>
      </x:c>
      <x:c r="C41" s="215" t="str">
        <x:v>Broad POWO family</x:v>
      </x:c>
      <x:c r="D41" s="215" t="str">
        <x:v>Gynoecium</x:v>
      </x:c>
      <x:c r="E41" s="215" t="str">
        <x:v>Ovary superior and usually 2-carpellate</x:v>
      </x:c>
      <x:c r="F41" s="215" t="str">
        <x:v>Strong</x:v>
      </x:c>
      <x:c r="G41" s="215" t="str">
        <x:v>4</x:v>
      </x:c>
      <x:c r="H41" s="215" t="str">
        <x:v>Moderate</x:v>
      </x:c>
      <x:c r="I41" s="215" t="str">
        <x:v>Hand lens or dissection</x:v>
      </x:c>
      <x:c r="J41" s="215" t="str">
        <x:v>Flowering</x:v>
      </x:c>
      <x:c r="K41" s="215" t="str">
        <x:v>The ovary lies above the flower-part attachment and is built from two carpels.</x:v>
      </x:c>
      <x:c r="L41" s="215" t="str">
        <x:v>Number of apparent lobes, chambers, and ovules differs sharply among APweb lineages.</x:v>
      </x:c>
      <x:c r="M41" s="215" t="str">
        <x:v>This is the shared starting point; the next step is terminal versus gynobasic style and fruit type.</x:v>
      </x:c>
      <x:c r="N41" s="215" t="str">
        <x:v>Applies to all selected local routes, but is not enough to distinguish them.</x:v>
      </x:c>
      <x:c r="O41" s="215" t="str">
        <x:v>Low</x:v>
      </x:c>
      <x:c r="P41" s="215" t="str">
        <x:v>No</x:v>
      </x:c>
      <x:c r="Q41" s="215" t="str"/>
      <x:c r="R41" s="215" t="str">
        <x:v>BOR-LK01; BOR-LK02</x:v>
      </x:c>
      <x:c r="S41" s="215" t="str">
        <x:v>APWEB-BORAG; POWO-BORAG-GI; POWO-BORAG</x:v>
      </x:c>
      <x:c r="T41" s="215" t="str">
        <x:v>https://www.mobot.org/MOBOT/Research/APweb/orders/boraginalesweb.htm</x:v>
      </x:c>
      <x:c r="U41" s="215" t="str">
        <x:v>https://fwbg.org/wp-content/uploads/2025/04/FNCT_0210-0617-Acanth-Euph.pdf
https://ucjeps.berkeley.edu/eflora/eflora_display.php?tid=37455</x:v>
      </x:c>
      <x:c r="V41" s="215" t="str">
        <x:v>https://powo.science.kew.org/taxon/urn:lsid:ipni.org:names:30000135-2/general-information
https://powo.science.kew.org/taxon/urn:lsid:ipni.org:names:30000135-2</x:v>
      </x:c>
      <x:c r="W41" s="215" t="str">
        <x:v>https://www.mobot.org/MOBOT/Research/APweb/orders/boraginalesweb.htm
https://powo.science.kew.org/taxon/urn:lsid:ipni.org:names:30000135-2/general-information
https://powo.science.kew.org/taxon/urn:lsid:ipni.org:names:30000135-2
https://fwbg.org/wp-content/uploads/2025/04/FNCT_0210-0617-Acanth-Euph.pdf
https://ucjeps.berkeley.edu/eflora/eflora_display.php?tid=37455</x:v>
      </x:c>
      <x:c r="X41" s="215" t="str">
        <x:v>No — retain qualifiers and exceptions</x:v>
      </x:c>
      <x:c r="Y41" s="215" t="str">
        <x:v>Yes</x:v>
      </x:c>
      <x:c r="Z41" s="215" t="str">
        <x:v>Source-backed draft</x:v>
      </x:c>
    </x:row>
    <x:row r="42" ht="42" customHeight="1">
      <x:c r="A42" s="215" t="str">
        <x:v>Boraginaceae</x:v>
      </x:c>
      <x:c r="B42" s="215" t="str">
        <x:v>BOR-GYNOBASIC</x:v>
      </x:c>
      <x:c r="C42" s="215" t="str">
        <x:v>APweb Boraginaceae sensu stricto</x:v>
      </x:c>
      <x:c r="D42" s="215" t="str">
        <x:v>Gynoecium</x:v>
      </x:c>
      <x:c r="E42" s="215" t="str">
        <x:v>Style gynobasic, arising between four ovary lobes</x:v>
      </x:c>
      <x:c r="F42" s="215" t="str">
        <x:v>Core</x:v>
      </x:c>
      <x:c r="G42" s="215" t="str">
        <x:v>5</x:v>
      </x:c>
      <x:c r="H42" s="215" t="str">
        <x:v>High within s.str.</x:v>
      </x:c>
      <x:c r="I42" s="215" t="str">
        <x:v>Hand lens or dissection</x:v>
      </x:c>
      <x:c r="J42" s="215" t="str">
        <x:v>Flowering</x:v>
      </x:c>
      <x:c r="K42" s="215" t="str">
        <x:v>The style emerges from the central depression between four developing lobes rather than from the ovary tip.</x:v>
      </x:c>
      <x:c r="L42" s="215" t="str">
        <x:v>The feature can be hidden by the corolla and is not shared by Hydrophyllaceae or Ehretiaceae routes; some details vary within s.str.</x:v>
      </x:c>
      <x:c r="M42" s="215" t="str">
        <x:v>The best structural separation of true Boraginaceae s.str. from terminal-styled broad-family lineages.</x:v>
      </x:c>
      <x:c r="N42" s="215" t="str">
        <x:v>Critical for local Lithospermum, Cryptantha, Lappula, and Myosotis.</x:v>
      </x:c>
      <x:c r="O42" s="215" t="str">
        <x:v>Low</x:v>
      </x:c>
      <x:c r="P42" s="215" t="str">
        <x:v>No</x:v>
      </x:c>
      <x:c r="Q42" s="215" t="str"/>
      <x:c r="R42" s="215" t="str">
        <x:v>BOR-LK01; BOR-LK02</x:v>
      </x:c>
      <x:c r="S42" s="215" t="str">
        <x:v>APWEB-BORAG; NCTX-LITHOSPERMUM; NCTX-CRYPTANTHA; POWO-BORAG</x:v>
      </x:c>
      <x:c r="T42" s="215" t="str">
        <x:v>https://www.mobot.org/MOBOT/Research/APweb/orders/boraginalesweb.htm</x:v>
      </x:c>
      <x:c r="U42" s="215" t="str">
        <x:v>https://fwbg.org/wp-content/uploads/2025/04/FNCT_0210-0617-Acanth-Euph.pdf</x:v>
      </x:c>
      <x:c r="V42" s="215" t="str">
        <x:v>https://powo.science.kew.org/taxon/urn:lsid:ipni.org:names:30000135-2</x:v>
      </x:c>
      <x:c r="W42" s="215" t="str">
        <x:v>https://www.mobot.org/MOBOT/Research/APweb/orders/boraginalesweb.htm
https://fwbg.org/wp-content/uploads/2025/04/FNCT_0210-0617-Acanth-Euph.pdf
https://powo.science.kew.org/taxon/urn:lsid:ipni.org:names:30000135-2</x:v>
      </x:c>
      <x:c r="X42" s="215" t="str">
        <x:v>No — retain qualifiers and exceptions</x:v>
      </x:c>
      <x:c r="Y42" s="215" t="str">
        <x:v>Yes</x:v>
      </x:c>
      <x:c r="Z42" s="215" t="str">
        <x:v>Source-backed draft</x:v>
      </x:c>
    </x:row>
    <x:row r="43" ht="42" customHeight="1">
      <x:c r="A43" s="215" t="str">
        <x:v>Boraginaceae</x:v>
      </x:c>
      <x:c r="B43" s="215" t="str">
        <x:v>BOR-NUTLETS</x:v>
      </x:c>
      <x:c r="C43" s="215" t="str">
        <x:v>APweb Boraginaceae sensu stricto</x:v>
      </x:c>
      <x:c r="D43" s="215" t="str">
        <x:v>Fruit</x:v>
      </x:c>
      <x:c r="E43" s="215" t="str">
        <x:v>Fruit usually separates into four one-seeded nutlets</x:v>
      </x:c>
      <x:c r="F43" s="215" t="str">
        <x:v>Core</x:v>
      </x:c>
      <x:c r="G43" s="215" t="str">
        <x:v>5</x:v>
      </x:c>
      <x:c r="H43" s="215" t="str">
        <x:v>High</x:v>
      </x:c>
      <x:c r="I43" s="215" t="str">
        <x:v>Naked eye or hand lens</x:v>
      </x:c>
      <x:c r="J43" s="215" t="str">
        <x:v>Mature fruit</x:v>
      </x:c>
      <x:c r="K43" s="215" t="str">
        <x:v>The four ovary lobes mature as separate dry units around a central axis.</x:v>
      </x:c>
      <x:c r="L43" s="215" t="str">
        <x:v>One or more nutlets may abort, and nutlet shape or ornament varies; four nutlets also occur in Lamiaceae.</x:v>
      </x:c>
      <x:c r="M43" s="215" t="str">
        <x:v>Use with alternate rough leaves, rounded stems, and a gynobasic style to separate from mints.</x:v>
      </x:c>
      <x:c r="N43" s="215" t="str">
        <x:v>Strong in local Lithospermum, Cryptantha, Lappula, and Myosotis.</x:v>
      </x:c>
      <x:c r="O43" s="215" t="str">
        <x:v>Low</x:v>
      </x:c>
      <x:c r="P43" s="215" t="str">
        <x:v>No</x:v>
      </x:c>
      <x:c r="Q43" s="215" t="str"/>
      <x:c r="R43" s="215" t="str">
        <x:v>BOR-LK01</x:v>
      </x:c>
      <x:c r="S43" s="215" t="str">
        <x:v>APWEB-BORAG; NCTX-CRYPTANTHA; NCTX-LAPPULA; POWO-BORAG</x:v>
      </x:c>
      <x:c r="T43" s="215" t="str">
        <x:v>https://www.mobot.org/MOBOT/Research/APweb/orders/boraginalesweb.htm</x:v>
      </x:c>
      <x:c r="U43" s="215" t="str">
        <x:v>https://fwbg.org/wp-content/uploads/2025/04/FNCT_0210-0617-Acanth-Euph.pdf</x:v>
      </x:c>
      <x:c r="V43" s="215" t="str">
        <x:v>https://powo.science.kew.org/taxon/urn:lsid:ipni.org:names:30000135-2</x:v>
      </x:c>
      <x:c r="W43" s="215" t="str">
        <x:v>https://www.mobot.org/MOBOT/Research/APweb/orders/boraginalesweb.htm
https://fwbg.org/wp-content/uploads/2025/04/FNCT_0210-0617-Acanth-Euph.pdf
https://powo.science.kew.org/taxon/urn:lsid:ipni.org:names:30000135-2</x:v>
      </x:c>
      <x:c r="X43" s="215" t="str">
        <x:v>No — retain qualifiers and exceptions</x:v>
      </x:c>
      <x:c r="Y43" s="215" t="str">
        <x:v>Yes</x:v>
      </x:c>
      <x:c r="Z43" s="215" t="str">
        <x:v>Source-backed draft</x:v>
      </x:c>
    </x:row>
    <x:row r="44" ht="42" customHeight="1">
      <x:c r="A44" s="215" t="str">
        <x:v>Boraginaceae</x:v>
      </x:c>
      <x:c r="B44" s="215" t="str">
        <x:v>BOR-HYDROSTYLE</x:v>
      </x:c>
      <x:c r="C44" s="215" t="str">
        <x:v>APweb Hydrophyllaceae route</x:v>
      </x:c>
      <x:c r="D44" s="215" t="str">
        <x:v>Gynoecium</x:v>
      </x:c>
      <x:c r="E44" s="215" t="str">
        <x:v>Style terminal rather than gynobasic</x:v>
      </x:c>
      <x:c r="F44" s="215" t="str">
        <x:v>Subgroup</x:v>
      </x:c>
      <x:c r="G44" s="215" t="str">
        <x:v>5</x:v>
      </x:c>
      <x:c r="H44" s="215" t="str">
        <x:v>High within route</x:v>
      </x:c>
      <x:c r="I44" s="215" t="str">
        <x:v>Hand lens</x:v>
      </x:c>
      <x:c r="J44" s="215" t="str">
        <x:v>Flowering</x:v>
      </x:c>
      <x:c r="K44" s="215" t="str">
        <x:v>The style arises from the ovary apex, unlike the central gynobasic style of Boraginaceae s.str.</x:v>
      </x:c>
      <x:c r="L44" s="215" t="str">
        <x:v>Some flowers are tiny and the point of insertion may be hidden.</x:v>
      </x:c>
      <x:c r="M44" s="215" t="str">
        <x:v>A first decisive split for Phacelia and Nemophila from the four-nutlet borage route.</x:v>
      </x:c>
      <x:c r="N44" s="215" t="str">
        <x:v>Directly relevant to five local rows across Phacelia and Nemophila.</x:v>
      </x:c>
      <x:c r="O44" s="215" t="str">
        <x:v>Low</x:v>
      </x:c>
      <x:c r="P44" s="215" t="str">
        <x:v>No</x:v>
      </x:c>
      <x:c r="Q44" s="215" t="str"/>
      <x:c r="R44" s="215" t="str">
        <x:v>BOR-LK01; BOR-LK02</x:v>
      </x:c>
      <x:c r="S44" s="215" t="str">
        <x:v>APWEB-BORAG; JEPSON-PHACELIA; JEPSON-NEMOPHILA; POWO-BORAG</x:v>
      </x:c>
      <x:c r="T44" s="215" t="str">
        <x:v>https://www.mobot.org/MOBOT/Research/APweb/orders/boraginalesweb.htm</x:v>
      </x:c>
      <x:c r="U44" s="215" t="str">
        <x:v>https://ucjeps.berkeley.edu/eflora/eflora_display.php?tid=37455
https://ucjeps.berkeley.edu/eflora/eflora_display.php?tid=34542</x:v>
      </x:c>
      <x:c r="V44" s="215" t="str">
        <x:v>https://powo.science.kew.org/taxon/urn:lsid:ipni.org:names:30000135-2</x:v>
      </x:c>
      <x:c r="W44" s="215" t="str">
        <x:v>https://www.mobot.org/MOBOT/Research/APweb/orders/boraginalesweb.htm
https://ucjeps.berkeley.edu/eflora/eflora_display.php?tid=37455
https://ucjeps.berkeley.edu/eflora/eflora_display.php?tid=34542
https://powo.science.kew.org/taxon/urn:lsid:ipni.org:names:30000135-2</x:v>
      </x:c>
      <x:c r="X44" s="215" t="str">
        <x:v>No — retain qualifiers and exceptions</x:v>
      </x:c>
      <x:c r="Y44" s="215" t="str">
        <x:v>Yes</x:v>
      </x:c>
      <x:c r="Z44" s="215" t="str">
        <x:v>Source-backed draft</x:v>
      </x:c>
    </x:row>
    <x:row r="45" ht="42" customHeight="1">
      <x:c r="A45" s="215" t="str">
        <x:v>Boraginaceae</x:v>
      </x:c>
      <x:c r="B45" s="215" t="str">
        <x:v>BOR-HYDROPLAC</x:v>
      </x:c>
      <x:c r="C45" s="215" t="str">
        <x:v>APweb Hydrophyllaceae route</x:v>
      </x:c>
      <x:c r="D45" s="215" t="str">
        <x:v>Gynoecium</x:v>
      </x:c>
      <x:c r="E45" s="215" t="str">
        <x:v>Usually parietal placentation with more than four ovules</x:v>
      </x:c>
      <x:c r="F45" s="215" t="str">
        <x:v>Subgroup</x:v>
      </x:c>
      <x:c r="G45" s="215" t="str">
        <x:v>4</x:v>
      </x:c>
      <x:c r="H45" s="215" t="str">
        <x:v>Moderate</x:v>
      </x:c>
      <x:c r="I45" s="215" t="str">
        <x:v>Dissection</x:v>
      </x:c>
      <x:c r="J45" s="215" t="str">
        <x:v>Flowering or young fruit</x:v>
      </x:c>
      <x:c r="K45" s="215" t="str">
        <x:v>Ovules attach to the inner ovary wall rather than to a central axis, and there are commonly several.</x:v>
      </x:c>
      <x:c r="L45" s="215" t="str">
        <x:v>Ovule number and placentation vary within the lineage, and the character usually requires dissection.</x:v>
      </x:c>
      <x:c r="M45" s="215" t="str">
        <x:v>Confirms the Phacelia-Nemophila route when style position or fruit is ambiguous.</x:v>
      </x:c>
      <x:c r="N45" s="215" t="str">
        <x:v>Most useful for technical confirmation, not a first field observation.</x:v>
      </x:c>
      <x:c r="O45" s="215" t="str">
        <x:v>Moderate</x:v>
      </x:c>
      <x:c r="P45" s="215" t="str">
        <x:v>No</x:v>
      </x:c>
      <x:c r="Q45" s="215" t="str"/>
      <x:c r="R45" s="215" t="str">
        <x:v>BOR-LK02</x:v>
      </x:c>
      <x:c r="S45" s="215" t="str">
        <x:v>APWEB-BORAG; JEPSON-PHACELIA; JEPSON-NEMOPHILA; POWO-BORAG</x:v>
      </x:c>
      <x:c r="T45" s="215" t="str">
        <x:v>https://www.mobot.org/MOBOT/Research/APweb/orders/boraginalesweb.htm</x:v>
      </x:c>
      <x:c r="U45" s="215" t="str">
        <x:v>https://ucjeps.berkeley.edu/eflora/eflora_display.php?tid=37455
https://ucjeps.berkeley.edu/eflora/eflora_display.php?tid=34542</x:v>
      </x:c>
      <x:c r="V45" s="215" t="str">
        <x:v>https://powo.science.kew.org/taxon/urn:lsid:ipni.org:names:30000135-2</x:v>
      </x:c>
      <x:c r="W45" s="215" t="str">
        <x:v>https://www.mobot.org/MOBOT/Research/APweb/orders/boraginalesweb.htm
https://ucjeps.berkeley.edu/eflora/eflora_display.php?tid=37455
https://ucjeps.berkeley.edu/eflora/eflora_display.php?tid=34542
https://powo.science.kew.org/taxon/urn:lsid:ipni.org:names:30000135-2</x:v>
      </x:c>
      <x:c r="X45" s="215" t="str">
        <x:v>No — retain qualifiers and exceptions</x:v>
      </x:c>
      <x:c r="Y45" s="215" t="str">
        <x:v>Yes</x:v>
      </x:c>
      <x:c r="Z45" s="215" t="str">
        <x:v>Source-backed draft</x:v>
      </x:c>
    </x:row>
    <x:row r="46" ht="42" customHeight="1">
      <x:c r="A46" s="215" t="str">
        <x:v>Boraginaceae</x:v>
      </x:c>
      <x:c r="B46" s="215" t="str">
        <x:v>BOR-HYDROCAP</x:v>
      </x:c>
      <x:c r="C46" s="215" t="str">
        <x:v>APweb Hydrophyllaceae route</x:v>
      </x:c>
      <x:c r="D46" s="215" t="str">
        <x:v>Fruit</x:v>
      </x:c>
      <x:c r="E46" s="215" t="str">
        <x:v>Capsule rather than four separate nutlets</x:v>
      </x:c>
      <x:c r="F46" s="215" t="str">
        <x:v>Subgroup</x:v>
      </x:c>
      <x:c r="G46" s="215" t="str">
        <x:v>5</x:v>
      </x:c>
      <x:c r="H46" s="215" t="str">
        <x:v>High</x:v>
      </x:c>
      <x:c r="I46" s="215" t="str">
        <x:v>Naked eye or hand lens</x:v>
      </x:c>
      <x:c r="J46" s="215" t="str">
        <x:v>Mature fruit</x:v>
      </x:c>
      <x:c r="K46" s="215" t="str">
        <x:v>The fruit opens as a capsule containing several seeds.</x:v>
      </x:c>
      <x:c r="L46" s="215" t="str">
        <x:v>Very young capsules can resemble an undivided ovary; seed number varies.</x:v>
      </x:c>
      <x:c r="M46" s="215" t="str">
        <x:v>Separates local Phacelia and Nemophila from Lithospermum-Cryptantha-Lappula-Myosotis routes.</x:v>
      </x:c>
      <x:c r="N46" s="215" t="str">
        <x:v>High-value mature-fruit character for the local hydrophylloid genera.</x:v>
      </x:c>
      <x:c r="O46" s="215" t="str">
        <x:v>Low</x:v>
      </x:c>
      <x:c r="P46" s="215" t="str">
        <x:v>No</x:v>
      </x:c>
      <x:c r="Q46" s="215" t="str"/>
      <x:c r="R46" s="215" t="str">
        <x:v>BOR-LK01; BOR-LK02</x:v>
      </x:c>
      <x:c r="S46" s="215" t="str">
        <x:v>APWEB-BORAG; JEPSON-PHACELIA; JEPSON-NEMOPHILA; POWO-BORAG</x:v>
      </x:c>
      <x:c r="T46" s="215" t="str">
        <x:v>https://www.mobot.org/MOBOT/Research/APweb/orders/boraginalesweb.htm</x:v>
      </x:c>
      <x:c r="U46" s="215" t="str">
        <x:v>https://ucjeps.berkeley.edu/eflora/eflora_display.php?tid=37455
https://ucjeps.berkeley.edu/eflora/eflora_display.php?tid=34542</x:v>
      </x:c>
      <x:c r="V46" s="215" t="str">
        <x:v>https://powo.science.kew.org/taxon/urn:lsid:ipni.org:names:30000135-2</x:v>
      </x:c>
      <x:c r="W46" s="215" t="str">
        <x:v>https://www.mobot.org/MOBOT/Research/APweb/orders/boraginalesweb.htm
https://ucjeps.berkeley.edu/eflora/eflora_display.php?tid=37455
https://ucjeps.berkeley.edu/eflora/eflora_display.php?tid=34542
https://powo.science.kew.org/taxon/urn:lsid:ipni.org:names:30000135-2</x:v>
      </x:c>
      <x:c r="X46" s="215" t="str">
        <x:v>No — retain qualifiers and exceptions</x:v>
      </x:c>
      <x:c r="Y46" s="215" t="str">
        <x:v>Yes</x:v>
      </x:c>
      <x:c r="Z46" s="215" t="str">
        <x:v>Source-backed draft</x:v>
      </x:c>
    </x:row>
    <x:row r="47" ht="42" customHeight="1">
      <x:c r="A47" s="215" t="str">
        <x:v>Boraginaceae</x:v>
      </x:c>
      <x:c r="B47" s="215" t="str">
        <x:v>BOR-EHRETIA</x:v>
      </x:c>
      <x:c r="C47" s="215" t="str">
        <x:v>APweb Ehretiaceae route</x:v>
      </x:c>
      <x:c r="D47" s="215" t="str">
        <x:v>Habit, gynoecium, fruit</x:v>
      </x:c>
      <x:c r="E47" s="215" t="str">
        <x:v>Woody plant with terminal style and fleshy drupaceous fruit</x:v>
      </x:c>
      <x:c r="F47" s="215" t="str">
        <x:v>Subgroup</x:v>
      </x:c>
      <x:c r="G47" s="215" t="str">
        <x:v>5</x:v>
      </x:c>
      <x:c r="H47" s="215" t="str">
        <x:v>High within local Ehretia</x:v>
      </x:c>
      <x:c r="I47" s="215" t="str">
        <x:v>Naked eye and hand lens</x:v>
      </x:c>
      <x:c r="J47" s="215" t="str">
        <x:v>Flowering or fruiting</x:v>
      </x:c>
      <x:c r="K47" s="215" t="str">
        <x:v>Ehretia follows a woody, terminal-styled, fleshy-fruited route rather than the rough four-nutlet herb route.</x:v>
      </x:c>
      <x:c r="L47" s="215" t="str">
        <x:v>These are lineage characters, not broad Boraginaceae requirements; a flower or fruit is still preferred.</x:v>
      </x:c>
      <x:c r="M47" s="215" t="str">
        <x:v>Separates local Ehretia from herbaceous s.str. and hydrophylloid genera.</x:v>
      </x:c>
      <x:c r="N47" s="215" t="str">
        <x:v>One local Ehretia row, but visually distinct enough to deserve its own route.</x:v>
      </x:c>
      <x:c r="O47" s="215" t="str">
        <x:v>Low</x:v>
      </x:c>
      <x:c r="P47" s="215" t="str">
        <x:v>No</x:v>
      </x:c>
      <x:c r="Q47" s="215" t="str"/>
      <x:c r="R47" s="215" t="str">
        <x:v>BOR-LK02</x:v>
      </x:c>
      <x:c r="S47" s="215" t="str">
        <x:v>APWEB-BORAG; NCTX-EHRETIA; POWO-BORAG</x:v>
      </x:c>
      <x:c r="T47" s="215" t="str">
        <x:v>https://www.mobot.org/MOBOT/Research/APweb/orders/boraginalesweb.htm</x:v>
      </x:c>
      <x:c r="U47" s="215" t="str">
        <x:v>https://fwbg.org/wp-content/uploads/2025/04/FNCT_0210-0617-Acanth-Euph.pdf</x:v>
      </x:c>
      <x:c r="V47" s="215" t="str">
        <x:v>https://powo.science.kew.org/taxon/urn:lsid:ipni.org:names:30000135-2</x:v>
      </x:c>
      <x:c r="W47" s="215" t="str">
        <x:v>https://www.mobot.org/MOBOT/Research/APweb/orders/boraginalesweb.htm
https://fwbg.org/wp-content/uploads/2025/04/FNCT_0210-0617-Acanth-Euph.pdf
https://powo.science.kew.org/taxon/urn:lsid:ipni.org:names:30000135-2</x:v>
      </x:c>
      <x:c r="X47" s="215" t="str">
        <x:v>No — retain qualifiers and exceptions</x:v>
      </x:c>
      <x:c r="Y47" s="215" t="str">
        <x:v>Yes</x:v>
      </x:c>
      <x:c r="Z47" s="215" t="str">
        <x:v>Source-backed draft</x:v>
      </x:c>
    </x:row>
    <x:row r="48" ht="42" customHeight="1">
      <x:c r="A48" s="215" t="str">
        <x:v>Boraginaceae</x:v>
      </x:c>
      <x:c r="B48" s="215" t="str">
        <x:v>BOR-HELIOTROPE</x:v>
      </x:c>
      <x:c r="C48" s="215" t="str">
        <x:v>APweb Heliotropiaceae route</x:v>
      </x:c>
      <x:c r="D48" s="215" t="str">
        <x:v>Inflorescence and fruit</x:v>
      </x:c>
      <x:c r="E48" s="215" t="str">
        <x:v>Coiled cymes with terminal style; fruit commonly splitting into nutlets or drupaceous units</x:v>
      </x:c>
      <x:c r="F48" s="215" t="str">
        <x:v>Subgroup</x:v>
      </x:c>
      <x:c r="G48" s="215" t="str">
        <x:v>4</x:v>
      </x:c>
      <x:c r="H48" s="215" t="str">
        <x:v>Moderate</x:v>
      </x:c>
      <x:c r="I48" s="215" t="str">
        <x:v>Hand lens</x:v>
      </x:c>
      <x:c r="J48" s="215" t="str">
        <x:v>Flowering through fruiting</x:v>
      </x:c>
      <x:c r="K48" s="215" t="str">
        <x:v>Heliotropoid genera can look borage-like but retain a terminal style and their own fruit construction.</x:v>
      </x:c>
      <x:c r="L48" s="215" t="str">
        <x:v>Fruit and style states vary; the local Euploca route should be checked at genus level rather than inferred from the broad family.</x:v>
      </x:c>
      <x:c r="M48" s="215" t="str">
        <x:v>Separates Euploca from gynobasic Boraginaceae s.str. despite similar coiled inflorescences.</x:v>
      </x:c>
      <x:c r="N48" s="215" t="str">
        <x:v>Two local Euploca rows make this a needed route.</x:v>
      </x:c>
      <x:c r="O48" s="215" t="str">
        <x:v>Moderate</x:v>
      </x:c>
      <x:c r="P48" s="215" t="str">
        <x:v>Yes</x:v>
      </x:c>
      <x:c r="Q48" s="215" t="str">
        <x:v>Verify the exact local Euploca fruit states against the applicable FNA or regional species treatments before genus-key deployment.</x:v>
      </x:c>
      <x:c r="R48" s="215" t="str">
        <x:v>BOR-LK02</x:v>
      </x:c>
      <x:c r="S48" s="215" t="str">
        <x:v>APWEB-BORAG; NCTX-HELIOTROPIUM; POWO-BORAG</x:v>
      </x:c>
      <x:c r="T48" s="215" t="str">
        <x:v>https://www.mobot.org/MOBOT/Research/APweb/orders/boraginalesweb.htm</x:v>
      </x:c>
      <x:c r="U48" s="215" t="str">
        <x:v>https://fwbg.org/wp-content/uploads/2025/04/FNCT_0210-0617-Acanth-Euph.pdf</x:v>
      </x:c>
      <x:c r="V48" s="215" t="str">
        <x:v>https://powo.science.kew.org/taxon/urn:lsid:ipni.org:names:30000135-2</x:v>
      </x:c>
      <x:c r="W48" s="215" t="str">
        <x:v>https://www.mobot.org/MOBOT/Research/APweb/orders/boraginalesweb.htm
https://fwbg.org/wp-content/uploads/2025/04/FNCT_0210-0617-Acanth-Euph.pdf
https://powo.science.kew.org/taxon/urn:lsid:ipni.org:names:30000135-2</x:v>
      </x:c>
      <x:c r="X48" s="215" t="str">
        <x:v>No — retain qualifiers and exceptions</x:v>
      </x:c>
      <x:c r="Y48" s="215" t="str">
        <x:v>Yes</x:v>
      </x:c>
      <x:c r="Z48" s="215" t="str">
        <x:v>Human review required</x:v>
      </x:c>
    </x:row>
    <x:row r="49" ht="42" customHeight="1">
      <x:c r="A49" s="215" t="str">
        <x:v>Boraginaceae</x:v>
      </x:c>
      <x:c r="B49" s="215" t="str">
        <x:v>BOR-TIQUILIA</x:v>
      </x:c>
      <x:c r="C49" s="215" t="str">
        <x:v>APweb Coldeniaceae route</x:v>
      </x:c>
      <x:c r="D49" s="215" t="str">
        <x:v>Habit, flower, fruit</x:v>
      </x:c>
      <x:c r="E49" s="215" t="str">
        <x:v>Tiquilia requires a separate lineage route</x:v>
      </x:c>
      <x:c r="F49" s="215" t="str">
        <x:v>Subgroup</x:v>
      </x:c>
      <x:c r="G49" s="215" t="str">
        <x:v>3</x:v>
      </x:c>
      <x:c r="H49" s="215" t="str">
        <x:v>Low until local species review</x:v>
      </x:c>
      <x:c r="I49" s="215" t="str">
        <x:v>Hand lens</x:v>
      </x:c>
      <x:c r="J49" s="215" t="str">
        <x:v>Flowering and fruiting</x:v>
      </x:c>
      <x:c r="K49" s="215" t="str">
        <x:v>Tiquilia is included in broad POWO Boraginaceae but not in APweb Boraginaceae s.str.; it should not inherit the four-nutlet borage suite without direct checking.</x:v>
      </x:c>
      <x:c r="L49" s="215" t="str">
        <x:v>Local species-level morphology has not been fully reconciled here, and family limits have changed.</x:v>
      </x:c>
      <x:c r="M49" s="215" t="str">
        <x:v>Prevents silent assignment of Tiquilia to a mismatched character set.</x:v>
      </x:c>
      <x:c r="N49" s="215" t="str">
        <x:v>One local Tiquilia row; retain as an explicit human-review branch.</x:v>
      </x:c>
      <x:c r="O49" s="215" t="str">
        <x:v>High</x:v>
      </x:c>
      <x:c r="P49" s="215" t="str">
        <x:v>Yes</x:v>
      </x:c>
      <x:c r="Q49" s="215" t="str">
        <x:v>Build the Tiquilia route from its FNA genus and species treatment before use in an automated key.</x:v>
      </x:c>
      <x:c r="R49" s="215" t="str">
        <x:v>BOR-LK01; BOR-LK02</x:v>
      </x:c>
      <x:c r="S49" s="215" t="str">
        <x:v>APWEB-BORAG; MONO-TIQUILIA; POWO-BORAG</x:v>
      </x:c>
      <x:c r="T49" s="215" t="str">
        <x:v>https://www.mobot.org/MOBOT/Research/APweb/orders/boraginalesweb.htm</x:v>
      </x:c>
      <x:c r="U49" s="215" t="str">
        <x:v>https://www.biodiversitylibrary.org/part/123219</x:v>
      </x:c>
      <x:c r="V49" s="215" t="str">
        <x:v>https://powo.science.kew.org/taxon/urn:lsid:ipni.org:names:30000135-2</x:v>
      </x:c>
      <x:c r="W49" s="215" t="str">
        <x:v>https://www.mobot.org/MOBOT/Research/APweb/orders/boraginalesweb.htm
https://www.biodiversitylibrary.org/part/123219
https://powo.science.kew.org/taxon/urn:lsid:ipni.org:names:30000135-2</x:v>
      </x:c>
      <x:c r="X49" s="215" t="str">
        <x:v>No — retain qualifiers and exceptions</x:v>
      </x:c>
      <x:c r="Y49" s="215" t="str">
        <x:v>Yes</x:v>
      </x:c>
      <x:c r="Z49" s="215" t="str">
        <x:v>Human review required</x:v>
      </x:c>
    </x:row>
    <x:row r="50" ht="42" customHeight="1">
      <x:c r="A50" s="215" t="str">
        <x:v>Boraginaceae</x:v>
      </x:c>
      <x:c r="B50" s="215" t="str">
        <x:v>BOR-SCALES</x:v>
      </x:c>
      <x:c r="C50" s="215" t="str">
        <x:v>Boraginales I, variable</x:v>
      </x:c>
      <x:c r="D50" s="215" t="str">
        <x:v>Corolla throat</x:v>
      </x:c>
      <x:c r="E50" s="215" t="str">
        <x:v>Faucal or basal scales may be present</x:v>
      </x:c>
      <x:c r="F50" s="215" t="str">
        <x:v>Supporting</x:v>
      </x:c>
      <x:c r="G50" s="215" t="str">
        <x:v>2</x:v>
      </x:c>
      <x:c r="H50" s="215" t="str">
        <x:v>Variable</x:v>
      </x:c>
      <x:c r="I50" s="215" t="str">
        <x:v>Hand lens</x:v>
      </x:c>
      <x:c r="J50" s="215" t="str">
        <x:v>Flowering</x:v>
      </x:c>
      <x:c r="K50" s="215" t="str">
        <x:v>Small scales or invaginations may partly close or structure the corolla throat.</x:v>
      </x:c>
      <x:c r="L50" s="215" t="str">
        <x:v>Presence, shape, and homology vary among lineages and genera; absence is common in some groups.</x:v>
      </x:c>
      <x:c r="M50" s="215" t="str">
        <x:v>Useful for subgroup and genus work, never a broad-family requirement.</x:v>
      </x:c>
      <x:c r="N50" s="215" t="str">
        <x:v>Potentially useful in Lithospermum and several related local genera after family routing.</x:v>
      </x:c>
      <x:c r="O50" s="215" t="str">
        <x:v>Moderate</x:v>
      </x:c>
      <x:c r="P50" s="215" t="str">
        <x:v>No</x:v>
      </x:c>
      <x:c r="Q50" s="215" t="str"/>
      <x:c r="R50" s="215" t="str">
        <x:v>BOR-LK01</x:v>
      </x:c>
      <x:c r="S50" s="215" t="str">
        <x:v>APWEB-BORAG; NCTX-LITHOSPERMUM; POWO-BORAG</x:v>
      </x:c>
      <x:c r="T50" s="215" t="str">
        <x:v>https://www.mobot.org/MOBOT/Research/APweb/orders/boraginalesweb.htm</x:v>
      </x:c>
      <x:c r="U50" s="215" t="str">
        <x:v>https://fwbg.org/wp-content/uploads/2025/04/FNCT_0210-0617-Acanth-Euph.pdf</x:v>
      </x:c>
      <x:c r="V50" s="215" t="str">
        <x:v>https://powo.science.kew.org/taxon/urn:lsid:ipni.org:names:30000135-2</x:v>
      </x:c>
      <x:c r="W50" s="215" t="str">
        <x:v>https://www.mobot.org/MOBOT/Research/APweb/orders/boraginalesweb.htm
https://fwbg.org/wp-content/uploads/2025/04/FNCT_0210-0617-Acanth-Euph.pdf
https://powo.science.kew.org/taxon/urn:lsid:ipni.org:names:30000135-2</x:v>
      </x:c>
      <x:c r="X50" s="215" t="str">
        <x:v>No — retain qualifiers and exceptions</x:v>
      </x:c>
      <x:c r="Y50" s="215" t="str">
        <x:v>Yes</x:v>
      </x:c>
      <x:c r="Z50" s="215" t="str">
        <x:v>Source-backed draft</x:v>
      </x:c>
    </x:row>
    <x:row r="51" ht="42" customHeight="1">
      <x:c r="A51" s="215" t="str">
        <x:v>Boraginaceae</x:v>
      </x:c>
      <x:c r="B51" s="215" t="str">
        <x:v>BOR-FOURNUTSHORT</x:v>
      </x:c>
      <x:c r="C51" s="215" t="str">
        <x:v>Shortcut warning</x:v>
      </x:c>
      <x:c r="D51" s="215" t="str">
        <x:v>Recognition</x:v>
      </x:c>
      <x:c r="E51" s="215" t="str">
        <x:v>Four nutlets plus rough leaves do not cover the broad POWO family</x:v>
      </x:c>
      <x:c r="F51" s="215" t="str">
        <x:v>Caution</x:v>
      </x:c>
      <x:c r="G51" s="215" t="str">
        <x:v>0</x:v>
      </x:c>
      <x:c r="H51" s="215" t="str">
        <x:v>High as a warning</x:v>
      </x:c>
      <x:c r="I51" s="215" t="str">
        <x:v>Reference check</x:v>
      </x:c>
      <x:c r="J51" s="215" t="str">
        <x:v>Any</x:v>
      </x:c>
      <x:c r="K51" s="215" t="str">
        <x:v>That classic combination identifies only the Boraginaceae s.str. route.</x:v>
      </x:c>
      <x:c r="L51" s="215" t="str">
        <x:v>Phacelia and Nemophila have capsules; Ehretia is woody and fleshy-fruited; Euploca and Tiquilia follow other APweb lineages.</x:v>
      </x:c>
      <x:c r="M51" s="215" t="str">
        <x:v>Always route broad-family candidates before applying a family character suite.</x:v>
      </x:c>
      <x:c r="N51" s="215" t="str">
        <x:v>The local genera span at least five APweb lineages, so this warning is essential.</x:v>
      </x:c>
      <x:c r="O51" s="215" t="str">
        <x:v>Low</x:v>
      </x:c>
      <x:c r="P51" s="215" t="str">
        <x:v>No</x:v>
      </x:c>
      <x:c r="Q51" s="215" t="str"/>
      <x:c r="R51" s="215" t="str">
        <x:v>BOR-LK01; BOR-LK02</x:v>
      </x:c>
      <x:c r="S51" s="215" t="str">
        <x:v>POWO-BORAG-GI; APWEB-BORAG; POWO-BORAG</x:v>
      </x:c>
      <x:c r="T51" s="215" t="str">
        <x:v>https://www.mobot.org/MOBOT/Research/APweb/orders/boraginalesweb.htm</x:v>
      </x:c>
      <x:c r="U51" s="215" t="str">
        <x:v>https://fwbg.org/wp-content/uploads/2025/04/FNCT_0210-0617-Acanth-Euph.pdf
https://ucjeps.berkeley.edu/eflora/eflora_display.php?tid=37455</x:v>
      </x:c>
      <x:c r="V51" s="215" t="str">
        <x:v>https://powo.science.kew.org/taxon/urn:lsid:ipni.org:names:30000135-2/general-information
https://powo.science.kew.org/taxon/urn:lsid:ipni.org:names:30000135-2</x:v>
      </x:c>
      <x:c r="W51" s="215" t="str">
        <x:v>https://powo.science.kew.org/taxon/urn:lsid:ipni.org:names:30000135-2/general-information
https://www.mobot.org/MOBOT/Research/APweb/orders/boraginalesweb.htm
https://powo.science.kew.org/taxon/urn:lsid:ipni.org:names:30000135-2
https://fwbg.org/wp-content/uploads/2025/04/FNCT_0210-0617-Acanth-Euph.pdf
https://ucjeps.berkeley.edu/eflora/eflora_display.php?tid=37455</x:v>
      </x:c>
      <x:c r="X51" s="215" t="str">
        <x:v>No — retain qualifiers and exceptions</x:v>
      </x:c>
      <x:c r="Y51" s="215" t="str">
        <x:v>Yes</x:v>
      </x:c>
      <x:c r="Z51" s="215" t="str">
        <x:v>Source-backed draft</x:v>
      </x:c>
    </x:row>
    <x:row r="52" ht="42" customHeight="1">
      <x:c r="A52" s="215" t="str">
        <x:v>Asparagaceae</x:v>
      </x:c>
      <x:c r="B52" s="215" t="str">
        <x:v>ASP-NOAPOM</x:v>
      </x:c>
      <x:c r="C52" s="215" t="str">
        <x:v>Broad family</x:v>
      </x:c>
      <x:c r="D52" s="215" t="str">
        <x:v>Recognition</x:v>
      </x:c>
      <x:c r="E52" s="215" t="str">
        <x:v>No obvious gross-morphological apomorphy for Asparagaceae sensu lato</x:v>
      </x:c>
      <x:c r="F52" s="215" t="str">
        <x:v>Caution</x:v>
      </x:c>
      <x:c r="G52" s="215" t="str">
        <x:v>0</x:v>
      </x:c>
      <x:c r="H52" s="215" t="str">
        <x:v>High as a documented limitation</x:v>
      </x:c>
      <x:c r="I52" s="215" t="str">
        <x:v>Reference check</x:v>
      </x:c>
      <x:c r="J52" s="215" t="str">
        <x:v>Any</x:v>
      </x:c>
      <x:c r="K52" s="215" t="str">
        <x:v>APweb explicitly notes that the broad accepted family lacks an obvious field-visible defining character.</x:v>
      </x:c>
      <x:c r="L52" s="215" t="str">
        <x:v>The family contains seven subfamilies and several former families with very different habits and organs.</x:v>
      </x:c>
      <x:c r="M52" s="215" t="str">
        <x:v>Use a subgroup-first key rather than forcing one universal visual signature.</x:v>
      </x:c>
      <x:c r="N52" s="215" t="str">
        <x:v>Essential because the local genera span agavoid, nolinioid, and bulbous geophyte forms.</x:v>
      </x:c>
      <x:c r="O52" s="215" t="str">
        <x:v>Low</x:v>
      </x:c>
      <x:c r="P52" s="215" t="str">
        <x:v>Yes</x:v>
      </x:c>
      <x:c r="Q52" s="215" t="str">
        <x:v>Approve a subgroup-first interface and block any model from scoring one rosette or flower state as universal.</x:v>
      </x:c>
      <x:c r="R52" s="215" t="str">
        <x:v>ASP-LK01; ASP-LK02</x:v>
      </x:c>
      <x:c r="S52" s="215" t="str">
        <x:v>APWEB-ASPAR; POWO-ASPAR</x:v>
      </x:c>
      <x:c r="T52" s="215" t="str">
        <x:v>https://www.mobot.org/MOBOT/research/APweb/orders/asparagalesweb.htm</x:v>
      </x:c>
      <x:c r="U52" s="215" t="str">
        <x:v>https://floranorthamerica.org/Yucca
https://floranorthamerica.org/Agave
https://floranorthamerica.org/Camassia</x:v>
      </x:c>
      <x:c r="V52" s="215" t="str">
        <x:v>https://powo.science.kew.org/taxon/urn:lsid:ipni.org:names:30275682-2</x:v>
      </x:c>
      <x:c r="W52" s="215" t="str">
        <x:v>https://www.mobot.org/MOBOT/research/APweb/orders/asparagalesweb.htm
https://powo.science.kew.org/taxon/urn:lsid:ipni.org:names:30275682-2
https://floranorthamerica.org/Yucca
https://floranorthamerica.org/Agave
https://floranorthamerica.org/Camassia</x:v>
      </x:c>
      <x:c r="X52" s="215" t="str">
        <x:v>No — retain qualifiers and exceptions</x:v>
      </x:c>
      <x:c r="Y52" s="215" t="str">
        <x:v>Yes</x:v>
      </x:c>
      <x:c r="Z52" s="215" t="str">
        <x:v>Human review required</x:v>
      </x:c>
    </x:row>
    <x:row r="53" ht="42" customHeight="1">
      <x:c r="A53" s="215" t="str">
        <x:v>Asparagaceae</x:v>
      </x:c>
      <x:c r="B53" s="215" t="str">
        <x:v>ASP-MONOCOT</x:v>
      </x:c>
      <x:c r="C53" s="215" t="str">
        <x:v>Broad family</x:v>
      </x:c>
      <x:c r="D53" s="215" t="str">
        <x:v>Vegetative and flower</x:v>
      </x:c>
      <x:c r="E53" s="215" t="str">
        <x:v>Monocot construction: parallel-veined leaves and flowers commonly in threes</x:v>
      </x:c>
      <x:c r="F53" s="215" t="str">
        <x:v>Supporting</x:v>
      </x:c>
      <x:c r="G53" s="215" t="str">
        <x:v>2</x:v>
      </x:c>
      <x:c r="H53" s="215" t="str">
        <x:v>Variable</x:v>
      </x:c>
      <x:c r="I53" s="215" t="str">
        <x:v>Naked eye</x:v>
      </x:c>
      <x:c r="J53" s="215" t="str">
        <x:v>Vegetative or flowering</x:v>
      </x:c>
      <x:c r="K53" s="215" t="str">
        <x:v>Most local members show straplike or linear leaves with parallel veins and flowers based on two whorls of three tepals.</x:v>
      </x:c>
      <x:c r="L53" s="215" t="str">
        <x:v>Parallel venation and 3-merous flowers occur widely across monocots; leaves can be reduced, broad, or succulent.</x:v>
      </x:c>
      <x:c r="M53" s="215" t="str">
        <x:v>Places a plant in a broad monocot search space but does not identify Asparagaceae.</x:v>
      </x:c>
      <x:c r="N53" s="215" t="str">
        <x:v>Useful across the selected local genera only as a starting clue.</x:v>
      </x:c>
      <x:c r="O53" s="215" t="str">
        <x:v>Low</x:v>
      </x:c>
      <x:c r="P53" s="215" t="str">
        <x:v>No</x:v>
      </x:c>
      <x:c r="Q53" s="215" t="str"/>
      <x:c r="R53" s="215" t="str">
        <x:v>ASP-LK01; ASP-LK02</x:v>
      </x:c>
      <x:c r="S53" s="215" t="str">
        <x:v>APWEB-ASPAR; POWO-ASPAR</x:v>
      </x:c>
      <x:c r="T53" s="215" t="str">
        <x:v>https://www.mobot.org/MOBOT/research/APweb/orders/asparagalesweb.htm</x:v>
      </x:c>
      <x:c r="U53" s="215" t="str">
        <x:v>https://floranorthamerica.org/Yucca
https://floranorthamerica.org/Agave
https://floranorthamerica.org/Camassia</x:v>
      </x:c>
      <x:c r="V53" s="215" t="str">
        <x:v>https://powo.science.kew.org/taxon/urn:lsid:ipni.org:names:30275682-2</x:v>
      </x:c>
      <x:c r="W53" s="215" t="str">
        <x:v>https://www.mobot.org/MOBOT/research/APweb/orders/asparagalesweb.htm
https://powo.science.kew.org/taxon/urn:lsid:ipni.org:names:30275682-2
https://floranorthamerica.org/Yucca
https://floranorthamerica.org/Agave
https://floranorthamerica.org/Camassia</x:v>
      </x:c>
      <x:c r="X53" s="215" t="str">
        <x:v>No — retain qualifiers and exceptions</x:v>
      </x:c>
      <x:c r="Y53" s="215" t="str">
        <x:v>Yes</x:v>
      </x:c>
      <x:c r="Z53" s="215" t="str">
        <x:v>Source-backed draft</x:v>
      </x:c>
    </x:row>
    <x:row r="54" ht="42" customHeight="1">
      <x:c r="A54" s="215" t="str">
        <x:v>Asparagaceae</x:v>
      </x:c>
      <x:c r="B54" s="215" t="str">
        <x:v>ASP-TEPALS</x:v>
      </x:c>
      <x:c r="C54" s="215" t="str">
        <x:v>Broad family, common</x:v>
      </x:c>
      <x:c r="D54" s="215" t="str">
        <x:v>Perianth</x:v>
      </x:c>
      <x:c r="E54" s="215" t="str">
        <x:v>Usually six tepals in two whorls</x:v>
      </x:c>
      <x:c r="F54" s="215" t="str">
        <x:v>Supporting</x:v>
      </x:c>
      <x:c r="G54" s="215" t="str">
        <x:v>3</x:v>
      </x:c>
      <x:c r="H54" s="215" t="str">
        <x:v>Moderate</x:v>
      </x:c>
      <x:c r="I54" s="215" t="str">
        <x:v>Naked eye</x:v>
      </x:c>
      <x:c r="J54" s="215" t="str">
        <x:v>Flowering</x:v>
      </x:c>
      <x:c r="K54" s="215" t="str">
        <x:v>Most local flowers have three outer and three inner petal-like parts.</x:v>
      </x:c>
      <x:c r="L54" s="215" t="str">
        <x:v>Tepals may be fused, reduced, inconspicuous, or difficult to count; the state is shared by many other monocot families.</x:v>
      </x:c>
      <x:c r="M54" s="215" t="str">
        <x:v>Combine with ovary position, stamen number, inflorescence, and subgroup architecture.</x:v>
      </x:c>
      <x:c r="N54" s="215" t="str">
        <x:v>Useful in Yucca, Agave, Hesperaloe, Camassia, Androstephium, Nolina, and Dasylirion when flowers are intact.</x:v>
      </x:c>
      <x:c r="O54" s="215" t="str">
        <x:v>Low</x:v>
      </x:c>
      <x:c r="P54" s="215" t="str">
        <x:v>No</x:v>
      </x:c>
      <x:c r="Q54" s="215" t="str"/>
      <x:c r="R54" s="215" t="str">
        <x:v>ASP-LK01; ASP-LK02</x:v>
      </x:c>
      <x:c r="S54" s="215" t="str">
        <x:v>APWEB-ASPAR; FNA-YUCCA; FNA-AGAVE; POWO-ASPAR</x:v>
      </x:c>
      <x:c r="T54" s="215" t="str">
        <x:v>https://www.mobot.org/MOBOT/research/APweb/orders/asparagalesweb.htm</x:v>
      </x:c>
      <x:c r="U54" s="215" t="str">
        <x:v>https://floranorthamerica.org/Yucca
https://floranorthamerica.org/Agave</x:v>
      </x:c>
      <x:c r="V54" s="215" t="str">
        <x:v>https://powo.science.kew.org/taxon/urn:lsid:ipni.org:names:30275682-2</x:v>
      </x:c>
      <x:c r="W54" s="215" t="str">
        <x:v>https://www.mobot.org/MOBOT/research/APweb/orders/asparagalesweb.htm
https://floranorthamerica.org/Yucca
https://floranorthamerica.org/Agave
https://powo.science.kew.org/taxon/urn:lsid:ipni.org:names:30275682-2</x:v>
      </x:c>
      <x:c r="X54" s="215" t="str">
        <x:v>No — retain qualifiers and exceptions</x:v>
      </x:c>
      <x:c r="Y54" s="215" t="str">
        <x:v>Yes</x:v>
      </x:c>
      <x:c r="Z54" s="215" t="str">
        <x:v>Source-backed draft</x:v>
      </x:c>
    </x:row>
    <x:row r="55" ht="42" customHeight="1">
      <x:c r="A55" s="215" t="str">
        <x:v>Asparagaceae</x:v>
      </x:c>
      <x:c r="B55" s="215" t="str">
        <x:v>ASP-STAMENS</x:v>
      </x:c>
      <x:c r="C55" s="215" t="str">
        <x:v>Broad family, common</x:v>
      </x:c>
      <x:c r="D55" s="215" t="str">
        <x:v>Androecium</x:v>
      </x:c>
      <x:c r="E55" s="215" t="str">
        <x:v>Usually six stamens, one opposite each tepal</x:v>
      </x:c>
      <x:c r="F55" s="215" t="str">
        <x:v>Supporting</x:v>
      </x:c>
      <x:c r="G55" s="215" t="str">
        <x:v>3</x:v>
      </x:c>
      <x:c r="H55" s="215" t="str">
        <x:v>Moderate</x:v>
      </x:c>
      <x:c r="I55" s="215" t="str">
        <x:v>Hand lens</x:v>
      </x:c>
      <x:c r="J55" s="215" t="str">
        <x:v>Flowering</x:v>
      </x:c>
      <x:c r="K55" s="215" t="str">
        <x:v>A common floral plan has six stamens arranged in two whorls.</x:v>
      </x:c>
      <x:c r="L55" s="215" t="str">
        <x:v>Stamen number and visibility vary, and six stamens occur in many other monocots.</x:v>
      </x:c>
      <x:c r="M55" s="215" t="str">
        <x:v>Use only as part of a route that also considers the ovary and plant architecture.</x:v>
      </x:c>
      <x:c r="N55" s="215" t="str">
        <x:v>Common across the selected local genera but not diagnostic alone.</x:v>
      </x:c>
      <x:c r="O55" s="215" t="str">
        <x:v>Low</x:v>
      </x:c>
      <x:c r="P55" s="215" t="str">
        <x:v>No</x:v>
      </x:c>
      <x:c r="Q55" s="215" t="str"/>
      <x:c r="R55" s="215" t="str">
        <x:v>ASP-LK01; ASP-LK02</x:v>
      </x:c>
      <x:c r="S55" s="215" t="str">
        <x:v>APWEB-ASPAR; FNA-YUCCA; FNA-CAMASSIA; POWO-ASPAR</x:v>
      </x:c>
      <x:c r="T55" s="215" t="str">
        <x:v>https://www.mobot.org/MOBOT/research/APweb/orders/asparagalesweb.htm</x:v>
      </x:c>
      <x:c r="U55" s="215" t="str">
        <x:v>https://floranorthamerica.org/Yucca
https://floranorthamerica.org/Camassia</x:v>
      </x:c>
      <x:c r="V55" s="215" t="str">
        <x:v>https://powo.science.kew.org/taxon/urn:lsid:ipni.org:names:30275682-2</x:v>
      </x:c>
      <x:c r="W55" s="215" t="str">
        <x:v>https://www.mobot.org/MOBOT/research/APweb/orders/asparagalesweb.htm
https://floranorthamerica.org/Yucca
https://floranorthamerica.org/Camassia
https://powo.science.kew.org/taxon/urn:lsid:ipni.org:names:30275682-2</x:v>
      </x:c>
      <x:c r="X55" s="215" t="str">
        <x:v>No — retain qualifiers and exceptions</x:v>
      </x:c>
      <x:c r="Y55" s="215" t="str">
        <x:v>Yes</x:v>
      </x:c>
      <x:c r="Z55" s="215" t="str">
        <x:v>Source-backed draft</x:v>
      </x:c>
    </x:row>
    <x:row r="56" ht="42" customHeight="1">
      <x:c r="A56" s="215" t="str">
        <x:v>Asparagaceae</x:v>
      </x:c>
      <x:c r="B56" s="215" t="str">
        <x:v>ASP-OVARY</x:v>
      </x:c>
      <x:c r="C56" s="215" t="str">
        <x:v>Broad family, variable</x:v>
      </x:c>
      <x:c r="D56" s="215" t="str">
        <x:v>Gynoecium</x:v>
      </x:c>
      <x:c r="E56" s="215" t="str">
        <x:v>Three-carpellate ovary, usually 3-locular; position varies among subgroups</x:v>
      </x:c>
      <x:c r="F56" s="215" t="str">
        <x:v>Strong</x:v>
      </x:c>
      <x:c r="G56" s="215" t="str">
        <x:v>4</x:v>
      </x:c>
      <x:c r="H56" s="215" t="str">
        <x:v>Moderate</x:v>
      </x:c>
      <x:c r="I56" s="215" t="str">
        <x:v>Hand lens or side view</x:v>
      </x:c>
      <x:c r="J56" s="215" t="str">
        <x:v>Flowering</x:v>
      </x:c>
      <x:c r="K56" s="215" t="str">
        <x:v>The ovary is built from three carpels and commonly has three chambers.</x:v>
      </x:c>
      <x:c r="L56" s="215" t="str">
        <x:v>Ovary position is not uniform across the broad family; unrelated monocots share the same basic construction.</x:v>
      </x:c>
      <x:c r="M56" s="215" t="str">
        <x:v>A useful confirmation only after selecting the appropriate subgroup route.</x:v>
      </x:c>
      <x:c r="N56" s="215" t="str">
        <x:v>Important for separating local asparagoids from Iridaceae or Amaryllidaceae only when interpreted with other characters.</x:v>
      </x:c>
      <x:c r="O56" s="215" t="str">
        <x:v>Moderate</x:v>
      </x:c>
      <x:c r="P56" s="215" t="str">
        <x:v>No</x:v>
      </x:c>
      <x:c r="Q56" s="215" t="str"/>
      <x:c r="R56" s="215" t="str">
        <x:v>ASP-LK01; ASP-LK02</x:v>
      </x:c>
      <x:c r="S56" s="215" t="str">
        <x:v>APWEB-ASPAR; POWO-ASPAR</x:v>
      </x:c>
      <x:c r="T56" s="215" t="str">
        <x:v>https://www.mobot.org/MOBOT/research/APweb/orders/asparagalesweb.htm</x:v>
      </x:c>
      <x:c r="U56" s="215" t="str">
        <x:v>https://floranorthamerica.org/Yucca
https://floranorthamerica.org/Agave
https://floranorthamerica.org/Camassia</x:v>
      </x:c>
      <x:c r="V56" s="215" t="str">
        <x:v>https://powo.science.kew.org/taxon/urn:lsid:ipni.org:names:30275682-2</x:v>
      </x:c>
      <x:c r="W56" s="215" t="str">
        <x:v>https://www.mobot.org/MOBOT/research/APweb/orders/asparagalesweb.htm
https://powo.science.kew.org/taxon/urn:lsid:ipni.org:names:30275682-2
https://floranorthamerica.org/Yucca
https://floranorthamerica.org/Agave
https://floranorthamerica.org/Camassia</x:v>
      </x:c>
      <x:c r="X56" s="215" t="str">
        <x:v>No — retain qualifiers and exceptions</x:v>
      </x:c>
      <x:c r="Y56" s="215" t="str">
        <x:v>Yes</x:v>
      </x:c>
      <x:c r="Z56" s="215" t="str">
        <x:v>Source-backed draft</x:v>
      </x:c>
    </x:row>
    <x:row r="57" ht="42" customHeight="1">
      <x:c r="A57" s="215" t="str">
        <x:v>Asparagaceae</x:v>
      </x:c>
      <x:c r="B57" s="215" t="str">
        <x:v>ASP-FRUIT</x:v>
      </x:c>
      <x:c r="C57" s="215" t="str">
        <x:v>Broad family, variable</x:v>
      </x:c>
      <x:c r="D57" s="215" t="str">
        <x:v>Fruit</x:v>
      </x:c>
      <x:c r="E57" s="215" t="str">
        <x:v>Fruit a capsule or berry depending on lineage</x:v>
      </x:c>
      <x:c r="F57" s="215" t="str">
        <x:v>Caution</x:v>
      </x:c>
      <x:c r="G57" s="215" t="str">
        <x:v>1</x:v>
      </x:c>
      <x:c r="H57" s="215" t="str">
        <x:v>High as a warning</x:v>
      </x:c>
      <x:c r="I57" s="215" t="str">
        <x:v>Naked eye</x:v>
      </x:c>
      <x:c r="J57" s="215" t="str">
        <x:v>Mature fruit</x:v>
      </x:c>
      <x:c r="K57" s="215" t="str">
        <x:v>The broad family has no single fruit type.</x:v>
      </x:c>
      <x:c r="L57" s="215" t="str">
        <x:v>Most selected local genera produce capsules, but broad Asparagaceae also includes berry-fruited lineages.</x:v>
      </x:c>
      <x:c r="M57" s="215" t="str">
        <x:v>Use fruit to confirm a subgroup or genus, not the entire family.</x:v>
      </x:c>
      <x:c r="N57" s="215" t="str">
        <x:v>Local routes are mostly dry-fruited, yet the broad-family key must permit berries.</x:v>
      </x:c>
      <x:c r="O57" s="215" t="str">
        <x:v>Low</x:v>
      </x:c>
      <x:c r="P57" s="215" t="str">
        <x:v>No</x:v>
      </x:c>
      <x:c r="Q57" s="215" t="str"/>
      <x:c r="R57" s="215" t="str">
        <x:v>ASP-LK01; ASP-LK02</x:v>
      </x:c>
      <x:c r="S57" s="215" t="str">
        <x:v>APWEB-ASPAR; POWO-ASPAR</x:v>
      </x:c>
      <x:c r="T57" s="215" t="str">
        <x:v>https://www.mobot.org/MOBOT/research/APweb/orders/asparagalesweb.htm</x:v>
      </x:c>
      <x:c r="U57" s="215" t="str">
        <x:v>https://floranorthamerica.org/Yucca
https://floranorthamerica.org/Agave
https://floranorthamerica.org/Camassia</x:v>
      </x:c>
      <x:c r="V57" s="215" t="str">
        <x:v>https://powo.science.kew.org/taxon/urn:lsid:ipni.org:names:30275682-2</x:v>
      </x:c>
      <x:c r="W57" s="215" t="str">
        <x:v>https://www.mobot.org/MOBOT/research/APweb/orders/asparagalesweb.htm
https://powo.science.kew.org/taxon/urn:lsid:ipni.org:names:30275682-2
https://floranorthamerica.org/Yucca
https://floranorthamerica.org/Agave
https://floranorthamerica.org/Camassia</x:v>
      </x:c>
      <x:c r="X57" s="215" t="str">
        <x:v>No — retain qualifiers and exceptions</x:v>
      </x:c>
      <x:c r="Y57" s="215" t="str">
        <x:v>Yes</x:v>
      </x:c>
      <x:c r="Z57" s="215" t="str">
        <x:v>Source-backed draft</x:v>
      </x:c>
    </x:row>
    <x:row r="58" ht="42" customHeight="1">
      <x:c r="A58" s="215" t="str">
        <x:v>Asparagaceae</x:v>
      </x:c>
      <x:c r="B58" s="215" t="str">
        <x:v>ASP-AGAVOID</x:v>
      </x:c>
      <x:c r="C58" s="215" t="str">
        <x:v>Local subgroup: Agavoideae</x:v>
      </x:c>
      <x:c r="D58" s="215" t="str">
        <x:v>Habit and leaves</x:v>
      </x:c>
      <x:c r="E58" s="215" t="str">
        <x:v>Basal rosette of fibrous, often stiff or succulent leaves; tall many-flowered stalk common</x:v>
      </x:c>
      <x:c r="F58" s="215" t="str">
        <x:v>Subgroup</x:v>
      </x:c>
      <x:c r="G58" s="215" t="str">
        <x:v>4</x:v>
      </x:c>
      <x:c r="H58" s="215" t="str">
        <x:v>Moderate</x:v>
      </x:c>
      <x:c r="I58" s="215" t="str">
        <x:v>Naked eye</x:v>
      </x:c>
      <x:c r="J58" s="215" t="str">
        <x:v>Vegetative through flowering</x:v>
      </x:c>
      <x:c r="K58" s="215" t="str">
        <x:v>Agave, Yucca, Hesperaloe, Manfreda, and some relatives commonly form conspicuous rosettes and send up a tall inflorescence.</x:v>
      </x:c>
      <x:c r="L58" s="215" t="str">
        <x:v>Rosettes and fibrous leaves occur in other monocots; not every agavoid is massive, spiny, or succulent.</x:v>
      </x:c>
      <x:c r="M58" s="215" t="str">
        <x:v>Use as a route into the agavoid group, then separate by leaf texture, inflorescence, flower, and fruit.</x:v>
      </x:c>
      <x:c r="N58" s="215" t="str">
        <x:v>Covers most local Asparagaceae taxa but not Nolina, Dasylirion, Camassia, or Androstephium in the same way.</x:v>
      </x:c>
      <x:c r="O58" s="215" t="str">
        <x:v>Low</x:v>
      </x:c>
      <x:c r="P58" s="215" t="str">
        <x:v>No</x:v>
      </x:c>
      <x:c r="Q58" s="215" t="str"/>
      <x:c r="R58" s="215" t="str">
        <x:v>ASP-LK01; ASP-LK02</x:v>
      </x:c>
      <x:c r="S58" s="215" t="str">
        <x:v>APWEB-ASPAR; FNA-AGAVE; FNA-YUCCA; FNA-HESPERALOE; POWO-ASPAR</x:v>
      </x:c>
      <x:c r="T58" s="215" t="str">
        <x:v>https://www.mobot.org/MOBOT/research/APweb/orders/asparagalesweb.htm</x:v>
      </x:c>
      <x:c r="U58" s="215" t="str">
        <x:v>https://floranorthamerica.org/Agave
https://floranorthamerica.org/Yucca
https://floranorthamerica.org/Hesperaloe</x:v>
      </x:c>
      <x:c r="V58" s="215" t="str">
        <x:v>https://powo.science.kew.org/taxon/urn:lsid:ipni.org:names:30275682-2</x:v>
      </x:c>
      <x:c r="W58" s="215" t="str">
        <x:v>https://www.mobot.org/MOBOT/research/APweb/orders/asparagalesweb.htm
https://floranorthamerica.org/Agave
https://floranorthamerica.org/Yucca
https://floranorthamerica.org/Hesperaloe
https://powo.science.kew.org/taxon/urn:lsid:ipni.org:names:30275682-2</x:v>
      </x:c>
      <x:c r="X58" s="215" t="str">
        <x:v>No — retain qualifiers and exceptions</x:v>
      </x:c>
      <x:c r="Y58" s="215" t="str">
        <x:v>Yes</x:v>
      </x:c>
      <x:c r="Z58" s="215" t="str">
        <x:v>Source-backed draft</x:v>
      </x:c>
    </x:row>
    <x:row r="59" ht="42" customHeight="1">
      <x:c r="A59" s="215" t="str">
        <x:v>Asparagaceae</x:v>
      </x:c>
      <x:c r="B59" s="215" t="str">
        <x:v>ASP-AGAVE</x:v>
      </x:c>
      <x:c r="C59" s="215" t="str">
        <x:v>Local subgroup: Agave</x:v>
      </x:c>
      <x:c r="D59" s="215" t="str">
        <x:v>Habit, leaf, flower</x:v>
      </x:c>
      <x:c r="E59" s="215" t="str">
        <x:v>Succulent rosette with thick leaves, terminal spine common, and large paniculate or spicate flowering stalk</x:v>
      </x:c>
      <x:c r="F59" s="215" t="str">
        <x:v>Subgroup</x:v>
      </x:c>
      <x:c r="G59" s="215" t="str">
        <x:v>5</x:v>
      </x:c>
      <x:c r="H59" s="215" t="str">
        <x:v>High within local Agave route</x:v>
      </x:c>
      <x:c r="I59" s="215" t="str">
        <x:v>Naked eye</x:v>
      </x:c>
      <x:c r="J59" s="215" t="str">
        <x:v>Vegetative or flowering</x:v>
      </x:c>
      <x:c r="K59" s="215" t="str">
        <x:v>Agave combines a usually stemless succulent rosette with robust flowering architecture.</x:v>
      </x:c>
      <x:c r="L59" s="215" t="str">
        <x:v>Spines vary, some leaves are less succulent, and the former genus Manfreda has historically altered the visual limits of Agave in some classifications.</x:v>
      </x:c>
      <x:c r="M59" s="215" t="str">
        <x:v>Separates Agave-like plants from non-succulent Yucca, Hesperaloe, Nolina, and bulbous genera.</x:v>
      </x:c>
      <x:c r="N59" s="215" t="str">
        <x:v>One accepted local Agave row plus a separate Manfreda working row require explicit taxonomic review.</x:v>
      </x:c>
      <x:c r="O59" s="215" t="str">
        <x:v>Moderate</x:v>
      </x:c>
      <x:c r="P59" s="215" t="str">
        <x:v>Yes</x:v>
      </x:c>
      <x:c r="Q59" s="215" t="str">
        <x:v>Confirm whether the project will retain the submitted Manfreda working name or display its current POWO accepted placement without overwriting the master.</x:v>
      </x:c>
      <x:c r="R59" s="215" t="str">
        <x:v>ASP-LK01; ASP-LK02</x:v>
      </x:c>
      <x:c r="S59" s="215" t="str">
        <x:v>FNA-AGAVE; FNA-MANFREDA; APWEB-ASPAR; POWO-ASPAR</x:v>
      </x:c>
      <x:c r="T59" s="215" t="str">
        <x:v>https://www.mobot.org/MOBOT/research/APweb/orders/asparagalesweb.htm</x:v>
      </x:c>
      <x:c r="U59" s="215" t="str">
        <x:v>https://floranorthamerica.org/Agave
https://floranorthamerica.org/Manfreda</x:v>
      </x:c>
      <x:c r="V59" s="215" t="str">
        <x:v>https://powo.science.kew.org/taxon/urn:lsid:ipni.org:names:30275682-2</x:v>
      </x:c>
      <x:c r="W59" s="215" t="str">
        <x:v>https://floranorthamerica.org/Agave
https://floranorthamerica.org/Manfreda
https://www.mobot.org/MOBOT/research/APweb/orders/asparagalesweb.htm
https://powo.science.kew.org/taxon/urn:lsid:ipni.org:names:30275682-2</x:v>
      </x:c>
      <x:c r="X59" s="215" t="str">
        <x:v>No — retain qualifiers and exceptions</x:v>
      </x:c>
      <x:c r="Y59" s="215" t="str">
        <x:v>Yes</x:v>
      </x:c>
      <x:c r="Z59" s="215" t="str">
        <x:v>Human review required</x:v>
      </x:c>
    </x:row>
    <x:row r="60" ht="42" customHeight="1">
      <x:c r="A60" s="215" t="str">
        <x:v>Asparagaceae</x:v>
      </x:c>
      <x:c r="B60" s="215" t="str">
        <x:v>ASP-YUCCA</x:v>
      </x:c>
      <x:c r="C60" s="215" t="str">
        <x:v>Local subgroup: Yucca</x:v>
      </x:c>
      <x:c r="D60" s="215" t="str">
        <x:v>Habit, leaf, flower</x:v>
      </x:c>
      <x:c r="E60" s="215" t="str">
        <x:v>Rosette or woody crown with tough fibrous leaves and large pendent or spreading whitish flowers</x:v>
      </x:c>
      <x:c r="F60" s="215" t="str">
        <x:v>Subgroup</x:v>
      </x:c>
      <x:c r="G60" s="215" t="str">
        <x:v>5</x:v>
      </x:c>
      <x:c r="H60" s="215" t="str">
        <x:v>High within local Yucca</x:v>
      </x:c>
      <x:c r="I60" s="215" t="str">
        <x:v>Naked eye</x:v>
      </x:c>
      <x:c r="J60" s="215" t="str">
        <x:v>Vegetative or flowering</x:v>
      </x:c>
      <x:c r="K60" s="215" t="str">
        <x:v>Yucca usually has firm swordlike leaves and large six-tepaled flowers borne on a branched stalk.</x:v>
      </x:c>
      <x:c r="L60" s="215" t="str">
        <x:v>Leaf filaments, trunk formation, flower orientation, and fruit type vary among species; juvenile rosettes can resemble other genera.</x:v>
      </x:c>
      <x:c r="M60" s="215" t="str">
        <x:v>Use large fleshy tepals and Yucca architecture to separate from Nolina, Dasylirion, and Hesperaloe.</x:v>
      </x:c>
      <x:c r="N60" s="215" t="str">
        <x:v>Yucca is the largest local family route, with five accepted-family rows plus one unresolved submitted name.</x:v>
      </x:c>
      <x:c r="O60" s="215" t="str">
        <x:v>Low</x:v>
      </x:c>
      <x:c r="P60" s="215" t="str">
        <x:v>No</x:v>
      </x:c>
      <x:c r="Q60" s="215" t="str"/>
      <x:c r="R60" s="215" t="str">
        <x:v>ASP-LK01; ASP-LK02</x:v>
      </x:c>
      <x:c r="S60" s="215" t="str">
        <x:v>FNA-YUCCA; APWEB-ASPAR; POWO-ASPAR</x:v>
      </x:c>
      <x:c r="T60" s="215" t="str">
        <x:v>https://www.mobot.org/MOBOT/research/APweb/orders/asparagalesweb.htm</x:v>
      </x:c>
      <x:c r="U60" s="215" t="str">
        <x:v>https://floranorthamerica.org/Yucca</x:v>
      </x:c>
      <x:c r="V60" s="215" t="str">
        <x:v>https://powo.science.kew.org/taxon/urn:lsid:ipni.org:names:30275682-2</x:v>
      </x:c>
      <x:c r="W60" s="215" t="str">
        <x:v>https://floranorthamerica.org/Yucca
https://www.mobot.org/MOBOT/research/APweb/orders/asparagalesweb.htm
https://powo.science.kew.org/taxon/urn:lsid:ipni.org:names:30275682-2</x:v>
      </x:c>
      <x:c r="X60" s="215" t="str">
        <x:v>No — retain qualifiers and exceptions</x:v>
      </x:c>
      <x:c r="Y60" s="215" t="str">
        <x:v>Yes</x:v>
      </x:c>
      <x:c r="Z60" s="215" t="str">
        <x:v>Source-backed draft</x:v>
      </x:c>
    </x:row>
    <x:row r="61" ht="42" customHeight="1">
      <x:c r="A61" s="215" t="str">
        <x:v>Asparagaceae</x:v>
      </x:c>
      <x:c r="B61" s="215" t="str">
        <x:v>ASP-NOLINA</x:v>
      </x:c>
      <x:c r="C61" s="215" t="str">
        <x:v>Local subgroup: Nolina</x:v>
      </x:c>
      <x:c r="D61" s="215" t="str">
        <x:v>Habit, leaf, flower</x:v>
      </x:c>
      <x:c r="E61" s="215" t="str">
        <x:v>Dense rosette of narrow fibrous leaves; very small unisexual or functionally unisexual flowers in a branched panicle</x:v>
      </x:c>
      <x:c r="F61" s="215" t="str">
        <x:v>Subgroup</x:v>
      </x:c>
      <x:c r="G61" s="215" t="str">
        <x:v>5</x:v>
      </x:c>
      <x:c r="H61" s="215" t="str">
        <x:v>High within local Nolina</x:v>
      </x:c>
      <x:c r="I61" s="215" t="str">
        <x:v>Naked eye and hand lens</x:v>
      </x:c>
      <x:c r="J61" s="215" t="str">
        <x:v>Flowering</x:v>
      </x:c>
      <x:c r="K61" s="215" t="str">
        <x:v>Nolina differs from the showy agavoids by tiny clustered flowers and grasslike to straplike leaves.</x:v>
      </x:c>
      <x:c r="L61" s="215" t="str">
        <x:v>Flower sexuality and trunk development vary; sterile plants may resemble Dasylirion or juvenile Yucca.</x:v>
      </x:c>
      <x:c r="M61" s="215" t="str">
        <x:v>Flower size and panicle structure separate Nolina from Yucca and Hesperaloe; leaf margins help against Dasylirion.</x:v>
      </x:c>
      <x:c r="N61" s="215" t="str">
        <x:v>Two local Nolina rows make this a practical route.</x:v>
      </x:c>
      <x:c r="O61" s="215" t="str">
        <x:v>Low</x:v>
      </x:c>
      <x:c r="P61" s="215" t="str">
        <x:v>No</x:v>
      </x:c>
      <x:c r="Q61" s="215" t="str"/>
      <x:c r="R61" s="215" t="str">
        <x:v>ASP-LK01</x:v>
      </x:c>
      <x:c r="S61" s="215" t="str">
        <x:v>FNA-NOLINA; APWEB-ASPAR; POWO-ASPAR</x:v>
      </x:c>
      <x:c r="T61" s="215" t="str">
        <x:v>https://www.mobot.org/MOBOT/research/APweb/orders/asparagalesweb.htm</x:v>
      </x:c>
      <x:c r="U61" s="215" t="str">
        <x:v>https://floranorthamerica.org/Nolina</x:v>
      </x:c>
      <x:c r="V61" s="215" t="str">
        <x:v>https://powo.science.kew.org/taxon/urn:lsid:ipni.org:names:30275682-2</x:v>
      </x:c>
      <x:c r="W61" s="215" t="str">
        <x:v>https://floranorthamerica.org/Nolina
https://www.mobot.org/MOBOT/research/APweb/orders/asparagalesweb.htm
https://powo.science.kew.org/taxon/urn:lsid:ipni.org:names:30275682-2</x:v>
      </x:c>
      <x:c r="X61" s="215" t="str">
        <x:v>No — retain qualifiers and exceptions</x:v>
      </x:c>
      <x:c r="Y61" s="215" t="str">
        <x:v>Yes</x:v>
      </x:c>
      <x:c r="Z61" s="215" t="str">
        <x:v>Source-backed draft</x:v>
      </x:c>
    </x:row>
    <x:row r="62" ht="42" customHeight="1">
      <x:c r="A62" s="215" t="str">
        <x:v>Asparagaceae</x:v>
      </x:c>
      <x:c r="B62" s="215" t="str">
        <x:v>ASP-DASYLIRION</x:v>
      </x:c>
      <x:c r="C62" s="215" t="str">
        <x:v>Local subgroup: Dasylirion</x:v>
      </x:c>
      <x:c r="D62" s="215" t="str">
        <x:v>Habit and leaf</x:v>
      </x:c>
      <x:c r="E62" s="215" t="str">
        <x:v>Rosette of many narrow leaves, margins commonly armed with backward-curving teeth</x:v>
      </x:c>
      <x:c r="F62" s="215" t="str">
        <x:v>Subgroup</x:v>
      </x:c>
      <x:c r="G62" s="215" t="str">
        <x:v>5</x:v>
      </x:c>
      <x:c r="H62" s="215" t="str">
        <x:v>High within local Dasylirion</x:v>
      </x:c>
      <x:c r="I62" s="215" t="str">
        <x:v>Naked eye</x:v>
      </x:c>
      <x:c r="J62" s="215" t="str">
        <x:v>Vegetative</x:v>
      </x:c>
      <x:c r="K62" s="215" t="str">
        <x:v>Dasylirion often forms a dense spherical rosette whose narrow leaves have conspicuous marginal teeth.</x:v>
      </x:c>
      <x:c r="L62" s="215" t="str">
        <x:v>Tooth size varies and worn leaves can lose obvious armature; rosette form overlaps Nolina.</x:v>
      </x:c>
      <x:c r="M62" s="215" t="str">
        <x:v>Marginal armature is the fastest local separation from usually smoother-edged Nolina.</x:v>
      </x:c>
      <x:c r="N62" s="215" t="str">
        <x:v>One local Dasylirion row, but the plant is visually distinctive and common in cultivation.</x:v>
      </x:c>
      <x:c r="O62" s="215" t="str">
        <x:v>Low</x:v>
      </x:c>
      <x:c r="P62" s="215" t="str">
        <x:v>No</x:v>
      </x:c>
      <x:c r="Q62" s="215" t="str"/>
      <x:c r="R62" s="215" t="str">
        <x:v>ASP-LK01</x:v>
      </x:c>
      <x:c r="S62" s="215" t="str">
        <x:v>FNA-DASYLIRION; APWEB-ASPAR; POWO-ASPAR</x:v>
      </x:c>
      <x:c r="T62" s="215" t="str">
        <x:v>https://www.mobot.org/MOBOT/research/APweb/orders/asparagalesweb.htm</x:v>
      </x:c>
      <x:c r="U62" s="215" t="str">
        <x:v>https://floranorthamerica.org/Dasylirion</x:v>
      </x:c>
      <x:c r="V62" s="215" t="str">
        <x:v>https://powo.science.kew.org/taxon/urn:lsid:ipni.org:names:30275682-2</x:v>
      </x:c>
      <x:c r="W62" s="215" t="str">
        <x:v>https://floranorthamerica.org/Dasylirion
https://www.mobot.org/MOBOT/research/APweb/orders/asparagalesweb.htm
https://powo.science.kew.org/taxon/urn:lsid:ipni.org:names:30275682-2</x:v>
      </x:c>
      <x:c r="X62" s="215" t="str">
        <x:v>No — retain qualifiers and exceptions</x:v>
      </x:c>
      <x:c r="Y62" s="215" t="str">
        <x:v>Yes</x:v>
      </x:c>
      <x:c r="Z62" s="215" t="str">
        <x:v>Source-backed draft</x:v>
      </x:c>
    </x:row>
    <x:row r="63" ht="42" customHeight="1">
      <x:c r="A63" s="215" t="str">
        <x:v>Asparagaceae</x:v>
      </x:c>
      <x:c r="B63" s="215" t="str">
        <x:v>ASP-HESPERALOE</x:v>
      </x:c>
      <x:c r="C63" s="215" t="str">
        <x:v>Local subgroup: Hesperaloe</x:v>
      </x:c>
      <x:c r="D63" s="215" t="str">
        <x:v>Habit, leaf, flower</x:v>
      </x:c>
      <x:c r="E63" s="215" t="str">
        <x:v>Non-succulent fibrous rosette; tubular to campanulate flowers on tall stalks</x:v>
      </x:c>
      <x:c r="F63" s="215" t="str">
        <x:v>Subgroup</x:v>
      </x:c>
      <x:c r="G63" s="215" t="str">
        <x:v>5</x:v>
      </x:c>
      <x:c r="H63" s="215" t="str">
        <x:v>High within local Hesperaloe</x:v>
      </x:c>
      <x:c r="I63" s="215" t="str">
        <x:v>Naked eye</x:v>
      </x:c>
      <x:c r="J63" s="215" t="str">
        <x:v>Flowering</x:v>
      </x:c>
      <x:c r="K63" s="215" t="str">
        <x:v>Hesperaloe has arching straplike leaves and showy tubular flowers rather than the large separate-tepaled Yucca look.</x:v>
      </x:c>
      <x:c r="L63" s="215" t="str">
        <x:v>Leaf fibers and flower colors vary, and sterile rosettes can resemble Yucca or Nolina.</x:v>
      </x:c>
      <x:c r="M63" s="215" t="str">
        <x:v>Tubular flower form and flexible leaves separate Hesperaloe from local Yucca and Agave routes.</x:v>
      </x:c>
      <x:c r="N63" s="215" t="str">
        <x:v>One local Hesperaloe row; high value for field and landscape identification.</x:v>
      </x:c>
      <x:c r="O63" s="215" t="str">
        <x:v>Low</x:v>
      </x:c>
      <x:c r="P63" s="215" t="str">
        <x:v>No</x:v>
      </x:c>
      <x:c r="Q63" s="215" t="str"/>
      <x:c r="R63" s="215" t="str">
        <x:v>ASP-LK01; ASP-LK02</x:v>
      </x:c>
      <x:c r="S63" s="215" t="str">
        <x:v>FNA-HESPERALOE; APWEB-ASPAR; POWO-ASPAR</x:v>
      </x:c>
      <x:c r="T63" s="215" t="str">
        <x:v>https://www.mobot.org/MOBOT/research/APweb/orders/asparagalesweb.htm</x:v>
      </x:c>
      <x:c r="U63" s="215" t="str">
        <x:v>https://floranorthamerica.org/Hesperaloe</x:v>
      </x:c>
      <x:c r="V63" s="215" t="str">
        <x:v>https://powo.science.kew.org/taxon/urn:lsid:ipni.org:names:30275682-2</x:v>
      </x:c>
      <x:c r="W63" s="215" t="str">
        <x:v>https://floranorthamerica.org/Hesperaloe
https://www.mobot.org/MOBOT/research/APweb/orders/asparagalesweb.htm
https://powo.science.kew.org/taxon/urn:lsid:ipni.org:names:30275682-2</x:v>
      </x:c>
      <x:c r="X63" s="215" t="str">
        <x:v>No — retain qualifiers and exceptions</x:v>
      </x:c>
      <x:c r="Y63" s="215" t="str">
        <x:v>Yes</x:v>
      </x:c>
      <x:c r="Z63" s="215" t="str">
        <x:v>Source-backed draft</x:v>
      </x:c>
    </x:row>
    <x:row r="64" ht="42" customHeight="1">
      <x:c r="A64" s="215" t="str">
        <x:v>Asparagaceae</x:v>
      </x:c>
      <x:c r="B64" s="215" t="str">
        <x:v>ASP-CAMASSIA</x:v>
      </x:c>
      <x:c r="C64" s="215" t="str">
        <x:v>Local subgroup: Camassia</x:v>
      </x:c>
      <x:c r="D64" s="215" t="str">
        <x:v>Geophyte and flower</x:v>
      </x:c>
      <x:c r="E64" s="215" t="str">
        <x:v>Bulbous herb with basal leaves and raceme of star-shaped flowers; ovary superior</x:v>
      </x:c>
      <x:c r="F64" s="215" t="str">
        <x:v>Subgroup</x:v>
      </x:c>
      <x:c r="G64" s="215" t="str">
        <x:v>5</x:v>
      </x:c>
      <x:c r="H64" s="215" t="str">
        <x:v>High within local Camassia</x:v>
      </x:c>
      <x:c r="I64" s="215" t="str">
        <x:v>Naked eye</x:v>
      </x:c>
      <x:c r="J64" s="215" t="str">
        <x:v>Flowering</x:v>
      </x:c>
      <x:c r="K64" s="215" t="str">
        <x:v>Camassia is a spring geophyte with a leafless flowering stalk and open six-tepaled flowers.</x:v>
      </x:c>
      <x:c r="L64" s="215" t="str">
        <x:v>Flowers and leaves are seasonal; sterile bulbs cannot be identified from aboveground traits.</x:v>
      </x:c>
      <x:c r="M64" s="215" t="str">
        <x:v>Separates the bulbous Camassia route from rosette-forming woody or fibrous-leaved genera and from inferior-ovary Iridaceae.</x:v>
      </x:c>
      <x:c r="N64" s="215" t="str">
        <x:v>One local Camassia row; only seasonally visible.</x:v>
      </x:c>
      <x:c r="O64" s="215" t="str">
        <x:v>Low</x:v>
      </x:c>
      <x:c r="P64" s="215" t="str">
        <x:v>No</x:v>
      </x:c>
      <x:c r="Q64" s="215" t="str"/>
      <x:c r="R64" s="215" t="str">
        <x:v>ASP-LK01; ASP-LK02</x:v>
      </x:c>
      <x:c r="S64" s="215" t="str">
        <x:v>FNA-CAMASSIA; APWEB-ASPAR; POWO-ASPAR</x:v>
      </x:c>
      <x:c r="T64" s="215" t="str">
        <x:v>https://www.mobot.org/MOBOT/research/APweb/orders/asparagalesweb.htm</x:v>
      </x:c>
      <x:c r="U64" s="215" t="str">
        <x:v>https://floranorthamerica.org/Camassia</x:v>
      </x:c>
      <x:c r="V64" s="215" t="str">
        <x:v>https://powo.science.kew.org/taxon/urn:lsid:ipni.org:names:30275682-2</x:v>
      </x:c>
      <x:c r="W64" s="215" t="str">
        <x:v>https://floranorthamerica.org/Camassia
https://www.mobot.org/MOBOT/research/APweb/orders/asparagalesweb.htm
https://powo.science.kew.org/taxon/urn:lsid:ipni.org:names:30275682-2</x:v>
      </x:c>
      <x:c r="X64" s="215" t="str">
        <x:v>No — retain qualifiers and exceptions</x:v>
      </x:c>
      <x:c r="Y64" s="215" t="str">
        <x:v>Yes</x:v>
      </x:c>
      <x:c r="Z64" s="215" t="str">
        <x:v>Source-backed draft</x:v>
      </x:c>
    </x:row>
    <x:row r="65" ht="42" customHeight="1">
      <x:c r="A65" s="215" t="str">
        <x:v>Asparagaceae</x:v>
      </x:c>
      <x:c r="B65" s="215" t="str">
        <x:v>ASP-ANDROSTEPHIUM</x:v>
      </x:c>
      <x:c r="C65" s="215" t="str">
        <x:v>Local subgroup: Androstephium</x:v>
      </x:c>
      <x:c r="D65" s="215" t="str">
        <x:v>Geophyte and flower</x:v>
      </x:c>
      <x:c r="E65" s="215" t="str">
        <x:v>Cormous or bulbous herb with a conspicuous staminal tube or crown</x:v>
      </x:c>
      <x:c r="F65" s="215" t="str">
        <x:v>Subgroup</x:v>
      </x:c>
      <x:c r="G65" s="215" t="str">
        <x:v>5</x:v>
      </x:c>
      <x:c r="H65" s="215" t="str">
        <x:v>High within local Androstephium</x:v>
      </x:c>
      <x:c r="I65" s="215" t="str">
        <x:v>Naked eye or hand lens</x:v>
      </x:c>
      <x:c r="J65" s="215" t="str">
        <x:v>Flowering</x:v>
      </x:c>
      <x:c r="K65" s="215" t="str">
        <x:v>The filaments are united into a distinct tube or crown inside the six-tepaled flower.</x:v>
      </x:c>
      <x:c r="L65" s="215" t="str">
        <x:v>The plant is seasonal and small; nonflowering material is not reliably separable.</x:v>
      </x:c>
      <x:c r="M65" s="215" t="str">
        <x:v>The staminal crown sharply separates Androstephium from Camassia and most other local monocots.</x:v>
      </x:c>
      <x:c r="N65" s="215" t="str">
        <x:v>One local Androstephium row; flower-dependent.</x:v>
      </x:c>
      <x:c r="O65" s="215" t="str">
        <x:v>Low</x:v>
      </x:c>
      <x:c r="P65" s="215" t="str">
        <x:v>No</x:v>
      </x:c>
      <x:c r="Q65" s="215" t="str"/>
      <x:c r="R65" s="215" t="str">
        <x:v>ASP-LK02</x:v>
      </x:c>
      <x:c r="S65" s="215" t="str">
        <x:v>FNA-ANDROSTEPHIUM; APWEB-ASPAR; POWO-ASPAR</x:v>
      </x:c>
      <x:c r="T65" s="215" t="str">
        <x:v>https://www.mobot.org/MOBOT/research/APweb/orders/asparagalesweb.htm</x:v>
      </x:c>
      <x:c r="U65" s="215" t="str">
        <x:v>https://floranorthamerica.org/Androstephium</x:v>
      </x:c>
      <x:c r="V65" s="215" t="str">
        <x:v>https://powo.science.kew.org/taxon/urn:lsid:ipni.org:names:30275682-2</x:v>
      </x:c>
      <x:c r="W65" s="215" t="str">
        <x:v>https://floranorthamerica.org/Androstephium
https://www.mobot.org/MOBOT/research/APweb/orders/asparagalesweb.htm
https://powo.science.kew.org/taxon/urn:lsid:ipni.org:names:30275682-2</x:v>
      </x:c>
      <x:c r="X65" s="215" t="str">
        <x:v>No — retain qualifiers and exceptions</x:v>
      </x:c>
      <x:c r="Y65" s="215" t="str">
        <x:v>Yes</x:v>
      </x:c>
      <x:c r="Z65" s="215" t="str">
        <x:v>Source-backed draft</x:v>
      </x:c>
    </x:row>
    <x:row r="66" ht="42" customHeight="1">
      <x:c r="A66" s="215" t="str">
        <x:v>Asparagaceae</x:v>
      </x:c>
      <x:c r="B66" s="215" t="str">
        <x:v>ASP-LEGACY</x:v>
      </x:c>
      <x:c r="C66" s="215" t="str">
        <x:v>Taxonomy and naming</x:v>
      </x:c>
      <x:c r="D66" s="215" t="str">
        <x:v>Taxonomy</x:v>
      </x:c>
      <x:c r="E66" s="215" t="str">
        <x:v>Former family names such as Agavaceae, Nolinaceae, Hyacinthaceae, and Themidaceae may appear in floras and labels</x:v>
      </x:c>
      <x:c r="F66" s="215" t="str">
        <x:v>Caution</x:v>
      </x:c>
      <x:c r="G66" s="215" t="str">
        <x:v>0</x:v>
      </x:c>
      <x:c r="H66" s="215" t="str">
        <x:v>High as a documented naming issue</x:v>
      </x:c>
      <x:c r="I66" s="215" t="str">
        <x:v>Reference check</x:v>
      </x:c>
      <x:c r="J66" s="215" t="str">
        <x:v>Any</x:v>
      </x:c>
      <x:c r="K66" s="215" t="str">
        <x:v>Broad modern Asparagaceae combines groups that older sources treated as separate families.</x:v>
      </x:c>
      <x:c r="L66" s="215" t="str">
        <x:v>Older labels can still be morphologically useful, but they do not match the selected POWO family rank.</x:v>
      </x:c>
      <x:c r="M66" s="215" t="str">
        <x:v>Preserve old family labels as synonyms or subgroup cues, not as silent replacements for accepted taxonomy.</x:v>
      </x:c>
      <x:c r="N66" s="215" t="str">
        <x:v>Highly relevant to local Agave-Yucca-Nolina-Dasylirion and bulbous genera.</x:v>
      </x:c>
      <x:c r="O66" s="215" t="str">
        <x:v>Low</x:v>
      </x:c>
      <x:c r="P66" s="215" t="str">
        <x:v>Yes</x:v>
      </x:c>
      <x:c r="Q66" s="215" t="str">
        <x:v>Human reviewer should approve synonym display and ensure search accepts legacy family names without changing stored master values.</x:v>
      </x:c>
      <x:c r="R66" s="215" t="str">
        <x:v>ASP-LK01; ASP-LK02</x:v>
      </x:c>
      <x:c r="S66" s="215" t="str">
        <x:v>POWO-ASPAR; APWEB-ASPAR</x:v>
      </x:c>
      <x:c r="T66" s="215" t="str">
        <x:v>https://www.mobot.org/MOBOT/research/APweb/orders/asparagalesweb.htm</x:v>
      </x:c>
      <x:c r="U66" s="215" t="str">
        <x:v>https://floranorthamerica.org/Yucca
https://floranorthamerica.org/Agave
https://floranorthamerica.org/Camassia</x:v>
      </x:c>
      <x:c r="V66" s="215" t="str">
        <x:v>https://powo.science.kew.org/taxon/urn:lsid:ipni.org:names:30275682-2</x:v>
      </x:c>
      <x:c r="W66" s="215" t="str">
        <x:v>https://powo.science.kew.org/taxon/urn:lsid:ipni.org:names:30275682-2
https://www.mobot.org/MOBOT/research/APweb/orders/asparagalesweb.htm
https://floranorthamerica.org/Yucca
https://floranorthamerica.org/Agave
https://floranorthamerica.org/Camassia</x:v>
      </x:c>
      <x:c r="X66" s="215" t="str">
        <x:v>No — retain qualifiers and exceptions</x:v>
      </x:c>
      <x:c r="Y66" s="215" t="str">
        <x:v>Yes</x:v>
      </x:c>
      <x:c r="Z66" s="215" t="str">
        <x:v>Human review required</x:v>
      </x:c>
    </x:row>
    <x:row r="67" ht="42" customHeight="1">
      <x:c r="A67" s="215" t="str">
        <x:v>Solanaceae</x:v>
      </x:c>
      <x:c r="B67" s="215" t="str">
        <x:v>SOL-SYMPODIAL</x:v>
      </x:c>
      <x:c r="C67" s="215" t="str">
        <x:v>Family-wide, common</x:v>
      </x:c>
      <x:c r="D67" s="215" t="str">
        <x:v>Architecture</x:v>
      </x:c>
      <x:c r="E67" s="215" t="str">
        <x:v>Sympodial branching creates displaced leaves and extra-axillary flowers</x:v>
      </x:c>
      <x:c r="F67" s="215" t="str">
        <x:v>Strong</x:v>
      </x:c>
      <x:c r="G67" s="215" t="str">
        <x:v>4</x:v>
      </x:c>
      <x:c r="H67" s="215" t="str">
        <x:v>Moderate</x:v>
      </x:c>
      <x:c r="I67" s="215" t="str">
        <x:v>Naked eye</x:v>
      </x:c>
      <x:c r="J67" s="215" t="str">
        <x:v>Vegetative or flowering</x:v>
      </x:c>
      <x:c r="K67" s="215" t="str">
        <x:v>A shoot segment ends and growth continues from a side bud, so leaves, branches, and flowers can appear oddly paired or displaced.</x:v>
      </x:c>
      <x:c r="L67" s="215" t="str">
        <x:v>The pattern is not always obvious on short, damaged, or densely branched plants and occurs outside the family.</x:v>
      </x:c>
      <x:c r="M67" s="215" t="str">
        <x:v>Useful architecture clue when paired with the flower and ovary suite.</x:v>
      </x:c>
      <x:c r="N67" s="215" t="str">
        <x:v>Especially helpful in local Solanum, Chamaesaracha, Physalis, Datura, Capsicum, and Nicotiana.</x:v>
      </x:c>
      <x:c r="O67" s="215" t="str">
        <x:v>Low</x:v>
      </x:c>
      <x:c r="P67" s="215" t="str">
        <x:v>No</x:v>
      </x:c>
      <x:c r="Q67" s="215" t="str"/>
      <x:c r="R67" s="215" t="str">
        <x:v>SOL-LK01; SOL-LK02</x:v>
      </x:c>
      <x:c r="S67" s="215" t="str">
        <x:v>APWEB-SOLAN; FNA-SOLAN; POWO-SOLAN</x:v>
      </x:c>
      <x:c r="T67" s="215" t="str">
        <x:v>https://www.mobot.org/MOBOT/research/APweb/orders/solanalesweb.htm</x:v>
      </x:c>
      <x:c r="U67" s="215" t="str">
        <x:v>https://floranorthamerica.org/Solanaceae</x:v>
      </x:c>
      <x:c r="V67" s="215" t="str">
        <x:v>https://powo.science.kew.org/taxon/urn:lsid:ipni.org:names:30000631-2</x:v>
      </x:c>
      <x:c r="W67" s="215" t="str">
        <x:v>https://www.mobot.org/MOBOT/research/APweb/orders/solanalesweb.htm
https://floranorthamerica.org/Solanaceae
https://powo.science.kew.org/taxon/urn:lsid:ipni.org:names:30000631-2</x:v>
      </x:c>
      <x:c r="X67" s="215" t="str">
        <x:v>No — retain qualifiers and exceptions</x:v>
      </x:c>
      <x:c r="Y67" s="215" t="str">
        <x:v>Yes</x:v>
      </x:c>
      <x:c r="Z67" s="215" t="str">
        <x:v>Source-backed draft</x:v>
      </x:c>
    </x:row>
    <x:row r="68" ht="42" customHeight="1">
      <x:c r="A68" s="215" t="str">
        <x:v>Solanaceae</x:v>
      </x:c>
      <x:c r="B68" s="215" t="str">
        <x:v>SOL-LEAVES</x:v>
      </x:c>
      <x:c r="C68" s="215" t="str">
        <x:v>Family-wide, common</x:v>
      </x:c>
      <x:c r="D68" s="215" t="str">
        <x:v>Leaf</x:v>
      </x:c>
      <x:c r="E68" s="215" t="str">
        <x:v>Leaves alternate or unequally paired, usually simple and without stipules</x:v>
      </x:c>
      <x:c r="F68" s="215" t="str">
        <x:v>Supporting</x:v>
      </x:c>
      <x:c r="G68" s="215" t="str">
        <x:v>3</x:v>
      </x:c>
      <x:c r="H68" s="215" t="str">
        <x:v>Moderate</x:v>
      </x:c>
      <x:c r="I68" s="215" t="str">
        <x:v>Naked eye</x:v>
      </x:c>
      <x:c r="J68" s="215" t="str">
        <x:v>Vegetative</x:v>
      </x:c>
      <x:c r="K68" s="215" t="str">
        <x:v>Leaves commonly occur singly or as unequal pairs near a branch fork and lack stipules.</x:v>
      </x:c>
      <x:c r="L68" s="215" t="str">
        <x:v>Compound, lobed, spiny, or unusual leaves occur, and the state is common in other families.</x:v>
      </x:c>
      <x:c r="M68" s="215" t="str">
        <x:v>Use as a supporting clue, not proof.</x:v>
      </x:c>
      <x:c r="N68" s="215" t="str">
        <x:v>Strongly relevant to all local genera but variable within Solanum and Datura.</x:v>
      </x:c>
      <x:c r="O68" s="215" t="str">
        <x:v>Low</x:v>
      </x:c>
      <x:c r="P68" s="215" t="str">
        <x:v>No</x:v>
      </x:c>
      <x:c r="Q68" s="215" t="str"/>
      <x:c r="R68" s="215" t="str">
        <x:v>SOL-LK01; SOL-LK02</x:v>
      </x:c>
      <x:c r="S68" s="215" t="str">
        <x:v>FNA-SOLAN; APWEB-SOLAN; POWO-SOLAN</x:v>
      </x:c>
      <x:c r="T68" s="215" t="str">
        <x:v>https://www.mobot.org/MOBOT/research/APweb/orders/solanalesweb.htm</x:v>
      </x:c>
      <x:c r="U68" s="215" t="str">
        <x:v>https://floranorthamerica.org/Solanaceae</x:v>
      </x:c>
      <x:c r="V68" s="215" t="str">
        <x:v>https://powo.science.kew.org/taxon/urn:lsid:ipni.org:names:30000631-2</x:v>
      </x:c>
      <x:c r="W68" s="215" t="str">
        <x:v>https://floranorthamerica.org/Solanaceae
https://www.mobot.org/MOBOT/research/APweb/orders/solanalesweb.htm
https://powo.science.kew.org/taxon/urn:lsid:ipni.org:names:30000631-2</x:v>
      </x:c>
      <x:c r="X68" s="215" t="str">
        <x:v>No — retain qualifiers and exceptions</x:v>
      </x:c>
      <x:c r="Y68" s="215" t="str">
        <x:v>Yes</x:v>
      </x:c>
      <x:c r="Z68" s="215" t="str">
        <x:v>Source-backed draft</x:v>
      </x:c>
    </x:row>
    <x:row r="69" ht="42" customHeight="1">
      <x:c r="A69" s="215" t="str">
        <x:v>Solanaceae</x:v>
      </x:c>
      <x:c r="B69" s="215" t="str">
        <x:v>SOL-CALYX</x:v>
      </x:c>
      <x:c r="C69" s="215" t="str">
        <x:v>Family-wide, common</x:v>
      </x:c>
      <x:c r="D69" s="215" t="str">
        <x:v>Calyx</x:v>
      </x:c>
      <x:c r="E69" s="215" t="str">
        <x:v>Usually five connate sepals; calyx persistent and often enlarging in fruit</x:v>
      </x:c>
      <x:c r="F69" s="215" t="str">
        <x:v>Strong</x:v>
      </x:c>
      <x:c r="G69" s="215" t="str">
        <x:v>4</x:v>
      </x:c>
      <x:c r="H69" s="215" t="str">
        <x:v>High</x:v>
      </x:c>
      <x:c r="I69" s="215" t="str">
        <x:v>Naked eye</x:v>
      </x:c>
      <x:c r="J69" s="215" t="str">
        <x:v>Flowering through fruiting</x:v>
      </x:c>
      <x:c r="K69" s="215" t="str">
        <x:v>The calyx forms a toothed or lobed cup that commonly remains under or around the fruit.</x:v>
      </x:c>
      <x:c r="L69" s="215" t="str">
        <x:v>Sepal number and degree of fusion vary; enlargement ranges from slight to fully inflated.</x:v>
      </x:c>
      <x:c r="M69" s="215" t="str">
        <x:v>Persistent calyx plus sympetalous corolla and berry or capsule strongly supports the family.</x:v>
      </x:c>
      <x:c r="N69" s="215" t="str">
        <x:v>Highly useful in Physalis and Chamaesaracha and still informative in Solanum, Datura, Capsicum, Nicotiana, and Bouchetia.</x:v>
      </x:c>
      <x:c r="O69" s="215" t="str">
        <x:v>Low</x:v>
      </x:c>
      <x:c r="P69" s="215" t="str">
        <x:v>No</x:v>
      </x:c>
      <x:c r="Q69" s="215" t="str"/>
      <x:c r="R69" s="215" t="str">
        <x:v>SOL-LK01; SOL-LK02</x:v>
      </x:c>
      <x:c r="S69" s="215" t="str">
        <x:v>FNA-SOLAN; APWEB-SOLAN; POWO-SOLAN</x:v>
      </x:c>
      <x:c r="T69" s="215" t="str">
        <x:v>https://www.mobot.org/MOBOT/research/APweb/orders/solanalesweb.htm</x:v>
      </x:c>
      <x:c r="U69" s="215" t="str">
        <x:v>https://floranorthamerica.org/Solanaceae</x:v>
      </x:c>
      <x:c r="V69" s="215" t="str">
        <x:v>https://powo.science.kew.org/taxon/urn:lsid:ipni.org:names:30000631-2</x:v>
      </x:c>
      <x:c r="W69" s="215" t="str">
        <x:v>https://floranorthamerica.org/Solanaceae
https://www.mobot.org/MOBOT/research/APweb/orders/solanalesweb.htm
https://powo.science.kew.org/taxon/urn:lsid:ipni.org:names:30000631-2</x:v>
      </x:c>
      <x:c r="X69" s="215" t="str">
        <x:v>No — retain qualifiers and exceptions</x:v>
      </x:c>
      <x:c r="Y69" s="215" t="str">
        <x:v>Yes</x:v>
      </x:c>
      <x:c r="Z69" s="215" t="str">
        <x:v>Source-backed draft</x:v>
      </x:c>
    </x:row>
    <x:row r="70" ht="42" customHeight="1">
      <x:c r="A70" s="215" t="str">
        <x:v>Solanaceae</x:v>
      </x:c>
      <x:c r="B70" s="215" t="str">
        <x:v>SOL-COROLLA</x:v>
      </x:c>
      <x:c r="C70" s="215" t="str">
        <x:v>Family-wide, common</x:v>
      </x:c>
      <x:c r="D70" s="215" t="str">
        <x:v>Corolla</x:v>
      </x:c>
      <x:c r="E70" s="215" t="str">
        <x:v>Usually five petals fused into rotate, bell-shaped, funnel-shaped, salverform, or tubular corolla</x:v>
      </x:c>
      <x:c r="F70" s="215" t="str">
        <x:v>Strong</x:v>
      </x:c>
      <x:c r="G70" s="215" t="str">
        <x:v>4</x:v>
      </x:c>
      <x:c r="H70" s="215" t="str">
        <x:v>High</x:v>
      </x:c>
      <x:c r="I70" s="215" t="str">
        <x:v>Naked eye</x:v>
      </x:c>
      <x:c r="J70" s="215" t="str">
        <x:v>Flowering</x:v>
      </x:c>
      <x:c r="K70" s="215" t="str">
        <x:v>The petal bases are united and the limb commonly shows five lobes or angles.</x:v>
      </x:c>
      <x:c r="L70" s="215" t="str">
        <x:v>Flower symmetry and tube length vary; very shallow fusion can look like separate petals.</x:v>
      </x:c>
      <x:c r="M70" s="215" t="str">
        <x:v>Use with five epipetalous stamens and a superior ovary.</x:v>
      </x:c>
      <x:c r="N70" s="215" t="str">
        <x:v>Clear across local genera, though forms range from star-shaped Solanum to tubular Nicotiana and large Datura.</x:v>
      </x:c>
      <x:c r="O70" s="215" t="str">
        <x:v>Low</x:v>
      </x:c>
      <x:c r="P70" s="215" t="str">
        <x:v>No</x:v>
      </x:c>
      <x:c r="Q70" s="215" t="str"/>
      <x:c r="R70" s="215" t="str">
        <x:v>SOL-LK01; SOL-LK02</x:v>
      </x:c>
      <x:c r="S70" s="215" t="str">
        <x:v>FNA-SOLAN; APWEB-SOLAN; POWO-SOLAN</x:v>
      </x:c>
      <x:c r="T70" s="215" t="str">
        <x:v>https://www.mobot.org/MOBOT/research/APweb/orders/solanalesweb.htm</x:v>
      </x:c>
      <x:c r="U70" s="215" t="str">
        <x:v>https://floranorthamerica.org/Solanaceae</x:v>
      </x:c>
      <x:c r="V70" s="215" t="str">
        <x:v>https://powo.science.kew.org/taxon/urn:lsid:ipni.org:names:30000631-2</x:v>
      </x:c>
      <x:c r="W70" s="215" t="str">
        <x:v>https://floranorthamerica.org/Solanaceae
https://www.mobot.org/MOBOT/research/APweb/orders/solanalesweb.htm
https://powo.science.kew.org/taxon/urn:lsid:ipni.org:names:30000631-2</x:v>
      </x:c>
      <x:c r="X70" s="215" t="str">
        <x:v>No — retain qualifiers and exceptions</x:v>
      </x:c>
      <x:c r="Y70" s="215" t="str">
        <x:v>Yes</x:v>
      </x:c>
      <x:c r="Z70" s="215" t="str">
        <x:v>Source-backed draft</x:v>
      </x:c>
    </x:row>
    <x:row r="71" ht="42" customHeight="1">
      <x:c r="A71" s="215" t="str">
        <x:v>Solanaceae</x:v>
      </x:c>
      <x:c r="B71" s="215" t="str">
        <x:v>SOL-STAMENS</x:v>
      </x:c>
      <x:c r="C71" s="215" t="str">
        <x:v>Family-wide, common</x:v>
      </x:c>
      <x:c r="D71" s="215" t="str">
        <x:v>Androecium</x:v>
      </x:c>
      <x:c r="E71" s="215" t="str">
        <x:v>Usually five stamens attached to the corolla</x:v>
      </x:c>
      <x:c r="F71" s="215" t="str">
        <x:v>Strong</x:v>
      </x:c>
      <x:c r="G71" s="215" t="str">
        <x:v>4</x:v>
      </x:c>
      <x:c r="H71" s="215" t="str">
        <x:v>Moderate</x:v>
      </x:c>
      <x:c r="I71" s="215" t="str">
        <x:v>Hand lens</x:v>
      </x:c>
      <x:c r="J71" s="215" t="str">
        <x:v>Flowering</x:v>
      </x:c>
      <x:c r="K71" s="215" t="str">
        <x:v>Stamens arise from the corolla tube and usually alternate with its lobes.</x:v>
      </x:c>
      <x:c r="L71" s="215" t="str">
        <x:v>Some taxa have reduced stamen numbers, unequal stamens, connivent anthers, or poricidal opening.</x:v>
      </x:c>
      <x:c r="M71" s="215" t="str">
        <x:v>Confirm with calyx, corolla, and ovary rather than counting alone.</x:v>
      </x:c>
      <x:c r="N71" s="215" t="str">
        <x:v>Useful across all local genera; anther details are especially informative within Solanum and Bouchetia.</x:v>
      </x:c>
      <x:c r="O71" s="215" t="str">
        <x:v>Low</x:v>
      </x:c>
      <x:c r="P71" s="215" t="str">
        <x:v>No</x:v>
      </x:c>
      <x:c r="Q71" s="215" t="str"/>
      <x:c r="R71" s="215" t="str">
        <x:v>SOL-LK01; SOL-LK02</x:v>
      </x:c>
      <x:c r="S71" s="215" t="str">
        <x:v>FNA-SOLAN; APWEB-SOLAN; POWO-SOLAN</x:v>
      </x:c>
      <x:c r="T71" s="215" t="str">
        <x:v>https://www.mobot.org/MOBOT/research/APweb/orders/solanalesweb.htm</x:v>
      </x:c>
      <x:c r="U71" s="215" t="str">
        <x:v>https://floranorthamerica.org/Solanaceae</x:v>
      </x:c>
      <x:c r="V71" s="215" t="str">
        <x:v>https://powo.science.kew.org/taxon/urn:lsid:ipni.org:names:30000631-2</x:v>
      </x:c>
      <x:c r="W71" s="215" t="str">
        <x:v>https://floranorthamerica.org/Solanaceae
https://www.mobot.org/MOBOT/research/APweb/orders/solanalesweb.htm
https://powo.science.kew.org/taxon/urn:lsid:ipni.org:names:30000631-2</x:v>
      </x:c>
      <x:c r="X71" s="215" t="str">
        <x:v>No — retain qualifiers and exceptions</x:v>
      </x:c>
      <x:c r="Y71" s="215" t="str">
        <x:v>Yes</x:v>
      </x:c>
      <x:c r="Z71" s="215" t="str">
        <x:v>Source-backed draft</x:v>
      </x:c>
    </x:row>
    <x:row r="72" ht="42" customHeight="1">
      <x:c r="A72" s="215" t="str">
        <x:v>Solanaceae</x:v>
      </x:c>
      <x:c r="B72" s="215" t="str">
        <x:v>SOL-OVARY</x:v>
      </x:c>
      <x:c r="C72" s="215" t="str">
        <x:v>Family-wide</x:v>
      </x:c>
      <x:c r="D72" s="215" t="str">
        <x:v>Gynoecium</x:v>
      </x:c>
      <x:c r="E72" s="215" t="str">
        <x:v>Ovary superior, usually two-carpellate and two-locular with axile placentation and several ovules</x:v>
      </x:c>
      <x:c r="F72" s="215" t="str">
        <x:v>Core</x:v>
      </x:c>
      <x:c r="G72" s="215" t="str">
        <x:v>5</x:v>
      </x:c>
      <x:c r="H72" s="215" t="str">
        <x:v>High with examination</x:v>
      </x:c>
      <x:c r="I72" s="215" t="str">
        <x:v>Hand lens or dissection</x:v>
      </x:c>
      <x:c r="J72" s="215" t="str">
        <x:v>Flowering</x:v>
      </x:c>
      <x:c r="K72" s="215" t="str">
        <x:v>Flower parts attach below the ovary, whose chambers usually contain many ovules on a central axis.</x:v>
      </x:c>
      <x:c r="L72" s="215" t="str">
        <x:v>Locule number can increase, and some taxa have few ovules; sectioning may be needed.</x:v>
      </x:c>
      <x:c r="M72" s="215" t="str">
        <x:v>A strong separation from families with inferior ovaries or one-ovule carpels.</x:v>
      </x:c>
      <x:c r="N72" s="215" t="str">
        <x:v>Applies broadly to the local genera and is especially useful when fruit is available.</x:v>
      </x:c>
      <x:c r="O72" s="215" t="str">
        <x:v>Low</x:v>
      </x:c>
      <x:c r="P72" s="215" t="str">
        <x:v>No</x:v>
      </x:c>
      <x:c r="Q72" s="215" t="str"/>
      <x:c r="R72" s="215" t="str">
        <x:v>SOL-LK01; SOL-LK02</x:v>
      </x:c>
      <x:c r="S72" s="215" t="str">
        <x:v>FNA-SOLAN; APWEB-SOLAN; POWO-SOLAN</x:v>
      </x:c>
      <x:c r="T72" s="215" t="str">
        <x:v>https://www.mobot.org/MOBOT/research/APweb/orders/solanalesweb.htm</x:v>
      </x:c>
      <x:c r="U72" s="215" t="str">
        <x:v>https://floranorthamerica.org/Solanaceae</x:v>
      </x:c>
      <x:c r="V72" s="215" t="str">
        <x:v>https://powo.science.kew.org/taxon/urn:lsid:ipni.org:names:30000631-2</x:v>
      </x:c>
      <x:c r="W72" s="215" t="str">
        <x:v>https://floranorthamerica.org/Solanaceae
https://www.mobot.org/MOBOT/research/APweb/orders/solanalesweb.htm
https://powo.science.kew.org/taxon/urn:lsid:ipni.org:names:30000631-2</x:v>
      </x:c>
      <x:c r="X72" s="215" t="str">
        <x:v>No — retain qualifiers and exceptions</x:v>
      </x:c>
      <x:c r="Y72" s="215" t="str">
        <x:v>Yes</x:v>
      </x:c>
      <x:c r="Z72" s="215" t="str">
        <x:v>Source-backed draft</x:v>
      </x:c>
    </x:row>
    <x:row r="73" ht="42" customHeight="1">
      <x:c r="A73" s="215" t="str">
        <x:v>Solanaceae</x:v>
      </x:c>
      <x:c r="B73" s="215" t="str">
        <x:v>SOL-FRUIT</x:v>
      </x:c>
      <x:c r="C73" s="215" t="str">
        <x:v>Family-wide, variable</x:v>
      </x:c>
      <x:c r="D73" s="215" t="str">
        <x:v>Fruit</x:v>
      </x:c>
      <x:c r="E73" s="215" t="str">
        <x:v>Usually a berry or capsule</x:v>
      </x:c>
      <x:c r="F73" s="215" t="str">
        <x:v>Strong</x:v>
      </x:c>
      <x:c r="G73" s="215" t="str">
        <x:v>4</x:v>
      </x:c>
      <x:c r="H73" s="215" t="str">
        <x:v>High</x:v>
      </x:c>
      <x:c r="I73" s="215" t="str">
        <x:v>Naked eye</x:v>
      </x:c>
      <x:c r="J73" s="215" t="str">
        <x:v>Mature fruit</x:v>
      </x:c>
      <x:c r="K73" s="215" t="str">
        <x:v>Most family members mature a many-seeded berry or a dry capsule.</x:v>
      </x:c>
      <x:c r="L73" s="215" t="str">
        <x:v>Some Lycium are drupaceous and other global lineages vary; berry versus capsule is a subgroup character, not a family constant.</x:v>
      </x:c>
      <x:c r="M73" s="215" t="str">
        <x:v>Use with persistent calyx and seed number.</x:v>
      </x:c>
      <x:c r="N73" s="215" t="str">
        <x:v>Local Capsicum, Physalis, Chamaesaracha, and Solanum are berry routes; Datura and Nicotiana are capsule routes.</x:v>
      </x:c>
      <x:c r="O73" s="215" t="str">
        <x:v>Low</x:v>
      </x:c>
      <x:c r="P73" s="215" t="str">
        <x:v>No</x:v>
      </x:c>
      <x:c r="Q73" s="215" t="str"/>
      <x:c r="R73" s="215" t="str">
        <x:v>SOL-LK01; SOL-LK02</x:v>
      </x:c>
      <x:c r="S73" s="215" t="str">
        <x:v>FNA-SOLAN; APWEB-SOLAN; POWO-SOLAN</x:v>
      </x:c>
      <x:c r="T73" s="215" t="str">
        <x:v>https://www.mobot.org/MOBOT/research/APweb/orders/solanalesweb.htm</x:v>
      </x:c>
      <x:c r="U73" s="215" t="str">
        <x:v>https://floranorthamerica.org/Solanaceae</x:v>
      </x:c>
      <x:c r="V73" s="215" t="str">
        <x:v>https://powo.science.kew.org/taxon/urn:lsid:ipni.org:names:30000631-2</x:v>
      </x:c>
      <x:c r="W73" s="215" t="str">
        <x:v>https://floranorthamerica.org/Solanaceae
https://www.mobot.org/MOBOT/research/APweb/orders/solanalesweb.htm
https://powo.science.kew.org/taxon/urn:lsid:ipni.org:names:30000631-2</x:v>
      </x:c>
      <x:c r="X73" s="215" t="str">
        <x:v>No — retain qualifiers and exceptions</x:v>
      </x:c>
      <x:c r="Y73" s="215" t="str">
        <x:v>Yes</x:v>
      </x:c>
      <x:c r="Z73" s="215" t="str">
        <x:v>Source-backed draft</x:v>
      </x:c>
    </x:row>
    <x:row r="74" ht="42" customHeight="1">
      <x:c r="A74" s="215" t="str">
        <x:v>Solanaceae</x:v>
      </x:c>
      <x:c r="B74" s="215" t="str">
        <x:v>SOL-SEEDS</x:v>
      </x:c>
      <x:c r="C74" s="215" t="str">
        <x:v>Family-wide, common</x:v>
      </x:c>
      <x:c r="D74" s="215" t="str">
        <x:v>Seed</x:v>
      </x:c>
      <x:c r="E74" s="215" t="str">
        <x:v>Seeds often numerous, flattened, discoid or kidney-shaped</x:v>
      </x:c>
      <x:c r="F74" s="215" t="str">
        <x:v>Supporting</x:v>
      </x:c>
      <x:c r="G74" s="215" t="str">
        <x:v>3</x:v>
      </x:c>
      <x:c r="H74" s="215" t="str">
        <x:v>Moderate</x:v>
      </x:c>
      <x:c r="I74" s="215" t="str">
        <x:v>Hand lens</x:v>
      </x:c>
      <x:c r="J74" s="215" t="str">
        <x:v>Mature fruit</x:v>
      </x:c>
      <x:c r="K74" s="215" t="str">
        <x:v>A berry or capsule commonly contains many small flattened seeds.</x:v>
      </x:c>
      <x:c r="L74" s="215" t="str">
        <x:v>Seed shape and number vary; some fruits contain sclerotic granules or differently shaped seeds.</x:v>
      </x:c>
      <x:c r="M74" s="215" t="str">
        <x:v>Supports family placement and helps distinguish fruit types after opening naturally mature material.</x:v>
      </x:c>
      <x:c r="N74" s="215" t="str">
        <x:v>Useful in all local routes, especially Physalis, Chamaesaracha, Solanum, Datura, and Nicotiana.</x:v>
      </x:c>
      <x:c r="O74" s="215" t="str">
        <x:v>Low</x:v>
      </x:c>
      <x:c r="P74" s="215" t="str">
        <x:v>No</x:v>
      </x:c>
      <x:c r="Q74" s="215" t="str"/>
      <x:c r="R74" s="215" t="str">
        <x:v>SOL-LK01</x:v>
      </x:c>
      <x:c r="S74" s="215" t="str">
        <x:v>FNA-SOLAN; POWO-SOLAN</x:v>
      </x:c>
      <x:c r="T74" s="215" t="str">
        <x:v>https://www.mobot.org/MOBOT/research/APweb/orders/solanalesweb.htm</x:v>
      </x:c>
      <x:c r="U74" s="215" t="str">
        <x:v>https://floranorthamerica.org/Solanaceae</x:v>
      </x:c>
      <x:c r="V74" s="215" t="str">
        <x:v>https://powo.science.kew.org/taxon/urn:lsid:ipni.org:names:30000631-2</x:v>
      </x:c>
      <x:c r="W74" s="215" t="str">
        <x:v>https://floranorthamerica.org/Solanaceae
https://powo.science.kew.org/taxon/urn:lsid:ipni.org:names:30000631-2
https://www.mobot.org/MOBOT/research/APweb/orders/solanalesweb.htm</x:v>
      </x:c>
      <x:c r="X74" s="215" t="str">
        <x:v>No — retain qualifiers and exceptions</x:v>
      </x:c>
      <x:c r="Y74" s="215" t="str">
        <x:v>Yes</x:v>
      </x:c>
      <x:c r="Z74" s="215" t="str">
        <x:v>Source-backed draft</x:v>
      </x:c>
    </x:row>
    <x:row r="75" ht="42" customHeight="1">
      <x:c r="A75" s="215" t="str">
        <x:v>Solanaceae</x:v>
      </x:c>
      <x:c r="B75" s="215" t="str">
        <x:v>SOL-PHYSALIS</x:v>
      </x:c>
      <x:c r="C75" s="215" t="str">
        <x:v>Local subgroup: Physalis</x:v>
      </x:c>
      <x:c r="D75" s="215" t="str">
        <x:v>Calyx and fruit</x:v>
      </x:c>
      <x:c r="E75" s="215" t="str">
        <x:v>Fruiting calyx inflated and completely enclosing a berry</x:v>
      </x:c>
      <x:c r="F75" s="215" t="str">
        <x:v>Subgroup</x:v>
      </x:c>
      <x:c r="G75" s="215" t="str">
        <x:v>5</x:v>
      </x:c>
      <x:c r="H75" s="215" t="str">
        <x:v>High within Physalis</x:v>
      </x:c>
      <x:c r="I75" s="215" t="str">
        <x:v>Naked eye</x:v>
      </x:c>
      <x:c r="J75" s="215" t="str">
        <x:v>Fruiting</x:v>
      </x:c>
      <x:c r="K75" s="215" t="str">
        <x:v>The calyx expands into a papery bladder around the berry.</x:v>
      </x:c>
      <x:c r="L75" s="215" t="str">
        <x:v>Other solanaceous genera can have enlarged or partly enclosing calyces; inflation must be interpreted with flower placement and calyx form.</x:v>
      </x:c>
      <x:c r="M75" s="215" t="str">
        <x:v>Directs a local specimen to Physalis rather than Chamaesaracha, Capsicum, or Solanum.</x:v>
      </x:c>
      <x:c r="N75" s="215" t="str">
        <x:v>One local Physalis row, but this is a familiar and highly visible route.</x:v>
      </x:c>
      <x:c r="O75" s="215" t="str">
        <x:v>Low</x:v>
      </x:c>
      <x:c r="P75" s="215" t="str">
        <x:v>No</x:v>
      </x:c>
      <x:c r="Q75" s="215" t="str"/>
      <x:c r="R75" s="215" t="str">
        <x:v>SOL-LK01</x:v>
      </x:c>
      <x:c r="S75" s="215" t="str">
        <x:v>FNA-SOLAN; FNA-PHYSALIS; POWO-SOLAN</x:v>
      </x:c>
      <x:c r="T75" s="215" t="str">
        <x:v>https://www.mobot.org/MOBOT/research/APweb/orders/solanalesweb.htm</x:v>
      </x:c>
      <x:c r="U75" s="215" t="str">
        <x:v>https://floranorthamerica.org/Solanaceae
https://floranorthamerica.org/Physalis</x:v>
      </x:c>
      <x:c r="V75" s="215" t="str">
        <x:v>https://powo.science.kew.org/taxon/urn:lsid:ipni.org:names:30000631-2</x:v>
      </x:c>
      <x:c r="W75" s="215" t="str">
        <x:v>https://floranorthamerica.org/Solanaceae
https://floranorthamerica.org/Physalis
https://powo.science.kew.org/taxon/urn:lsid:ipni.org:names:30000631-2
https://www.mobot.org/MOBOT/research/APweb/orders/solanalesweb.htm</x:v>
      </x:c>
      <x:c r="X75" s="215" t="str">
        <x:v>No — retain qualifiers and exceptions</x:v>
      </x:c>
      <x:c r="Y75" s="215" t="str">
        <x:v>Yes</x:v>
      </x:c>
      <x:c r="Z75" s="215" t="str">
        <x:v>Source-backed draft</x:v>
      </x:c>
    </x:row>
    <x:row r="76" ht="42" customHeight="1">
      <x:c r="A76" s="215" t="str">
        <x:v>Solanaceae</x:v>
      </x:c>
      <x:c r="B76" s="215" t="str">
        <x:v>SOL-SOLANUM</x:v>
      </x:c>
      <x:c r="C76" s="215" t="str">
        <x:v>Local subgroup: Solanum</x:v>
      </x:c>
      <x:c r="D76" s="215" t="str">
        <x:v>Anther</x:v>
      </x:c>
      <x:c r="E76" s="215" t="str">
        <x:v>Anthers usually converge and open by terminal pores</x:v>
      </x:c>
      <x:c r="F76" s="215" t="str">
        <x:v>Subgroup</x:v>
      </x:c>
      <x:c r="G76" s="215" t="str">
        <x:v>5</x:v>
      </x:c>
      <x:c r="H76" s="215" t="str">
        <x:v>High within local Solanum</x:v>
      </x:c>
      <x:c r="I76" s="215" t="str">
        <x:v>Naked eye or hand lens</x:v>
      </x:c>
      <x:c r="J76" s="215" t="str">
        <x:v>Flowering</x:v>
      </x:c>
      <x:c r="K76" s="215" t="str">
        <x:v>The five anthers often form a cone around the style and release pollen through pores.</x:v>
      </x:c>
      <x:c r="L76" s="215" t="str">
        <x:v>Pores may lengthen into slits with age, and not every Solanaceae genus shares this feature.</x:v>
      </x:c>
      <x:c r="M76" s="215" t="str">
        <x:v>Separates most local Solanum from Physalis, Chamaesaracha, Datura, Capsicum, and Nicotiana.</x:v>
      </x:c>
      <x:c r="N76" s="215" t="str">
        <x:v>Five accepted-family Solanum rows make this the largest local route.</x:v>
      </x:c>
      <x:c r="O76" s="215" t="str">
        <x:v>Low</x:v>
      </x:c>
      <x:c r="P76" s="215" t="str">
        <x:v>No</x:v>
      </x:c>
      <x:c r="Q76" s="215" t="str"/>
      <x:c r="R76" s="215" t="str">
        <x:v>SOL-LK02</x:v>
      </x:c>
      <x:c r="S76" s="215" t="str">
        <x:v>FNA-SOLAN; FNA-SOLANUM; POWO-SOLAN</x:v>
      </x:c>
      <x:c r="T76" s="215" t="str">
        <x:v>https://www.mobot.org/MOBOT/research/APweb/orders/solanalesweb.htm</x:v>
      </x:c>
      <x:c r="U76" s="215" t="str">
        <x:v>https://floranorthamerica.org/Solanaceae
https://floranorthamerica.org/Solanum</x:v>
      </x:c>
      <x:c r="V76" s="215" t="str">
        <x:v>https://powo.science.kew.org/taxon/urn:lsid:ipni.org:names:30000631-2</x:v>
      </x:c>
      <x:c r="W76" s="215" t="str">
        <x:v>https://floranorthamerica.org/Solanaceae
https://floranorthamerica.org/Solanum
https://powo.science.kew.org/taxon/urn:lsid:ipni.org:names:30000631-2
https://www.mobot.org/MOBOT/research/APweb/orders/solanalesweb.htm</x:v>
      </x:c>
      <x:c r="X76" s="215" t="str">
        <x:v>No — retain qualifiers and exceptions</x:v>
      </x:c>
      <x:c r="Y76" s="215" t="str">
        <x:v>Yes</x:v>
      </x:c>
      <x:c r="Z76" s="215" t="str">
        <x:v>Source-backed draft</x:v>
      </x:c>
    </x:row>
    <x:row r="77" ht="42" customHeight="1">
      <x:c r="A77" s="215" t="str">
        <x:v>Solanaceae</x:v>
      </x:c>
      <x:c r="B77" s="215" t="str">
        <x:v>SOL-DATURA</x:v>
      </x:c>
      <x:c r="C77" s="215" t="str">
        <x:v>Local subgroup: Datura</x:v>
      </x:c>
      <x:c r="D77" s="215" t="str">
        <x:v>Flower and fruit</x:v>
      </x:c>
      <x:c r="E77" s="215" t="str">
        <x:v>Large funnel-shaped flower and spiny or otherwise robust capsule</x:v>
      </x:c>
      <x:c r="F77" s="215" t="str">
        <x:v>Subgroup</x:v>
      </x:c>
      <x:c r="G77" s="215" t="str">
        <x:v>5</x:v>
      </x:c>
      <x:c r="H77" s="215" t="str">
        <x:v>High within local Datura</x:v>
      </x:c>
      <x:c r="I77" s="215" t="str">
        <x:v>Naked eye</x:v>
      </x:c>
      <x:c r="J77" s="215" t="str">
        <x:v>Flowering or fruiting</x:v>
      </x:c>
      <x:c r="K77" s="215" t="str">
        <x:v>Datura combines very large flowers with a dry capsule, often armed, rather than a berry.</x:v>
      </x:c>
      <x:c r="L77" s="215" t="str">
        <x:v>Capsule armature and calyx persistence vary, and horticultural plants can complicate appearance.</x:v>
      </x:c>
      <x:c r="M77" s="215" t="str">
        <x:v>Separates Datura from local berry-fruited nightshades and tubular Nicotiana.</x:v>
      </x:c>
      <x:c r="N77" s="215" t="str">
        <x:v>One local Datura row; easy when reproductive material is present.</x:v>
      </x:c>
      <x:c r="O77" s="215" t="str">
        <x:v>Low</x:v>
      </x:c>
      <x:c r="P77" s="215" t="str">
        <x:v>No</x:v>
      </x:c>
      <x:c r="Q77" s="215" t="str"/>
      <x:c r="R77" s="215" t="str">
        <x:v>SOL-LK01</x:v>
      </x:c>
      <x:c r="S77" s="215" t="str">
        <x:v>FNA-SOLAN; FNA-DATURA; APWEB-SOLAN; POWO-SOLAN</x:v>
      </x:c>
      <x:c r="T77" s="215" t="str">
        <x:v>https://www.mobot.org/MOBOT/research/APweb/orders/solanalesweb.htm</x:v>
      </x:c>
      <x:c r="U77" s="215" t="str">
        <x:v>https://floranorthamerica.org/Solanaceae
https://floranorthamerica.org/Datura</x:v>
      </x:c>
      <x:c r="V77" s="215" t="str">
        <x:v>https://powo.science.kew.org/taxon/urn:lsid:ipni.org:names:30000631-2</x:v>
      </x:c>
      <x:c r="W77" s="215" t="str">
        <x:v>https://floranorthamerica.org/Solanaceae
https://floranorthamerica.org/Datura
https://www.mobot.org/MOBOT/research/APweb/orders/solanalesweb.htm
https://powo.science.kew.org/taxon/urn:lsid:ipni.org:names:30000631-2</x:v>
      </x:c>
      <x:c r="X77" s="215" t="str">
        <x:v>No — retain qualifiers and exceptions</x:v>
      </x:c>
      <x:c r="Y77" s="215" t="str">
        <x:v>Yes</x:v>
      </x:c>
      <x:c r="Z77" s="215" t="str">
        <x:v>Source-backed draft</x:v>
      </x:c>
    </x:row>
    <x:row r="78" ht="42" customHeight="1">
      <x:c r="A78" s="215" t="str">
        <x:v>Solanaceae</x:v>
      </x:c>
      <x:c r="B78" s="215" t="str">
        <x:v>SOL-ODOR</x:v>
      </x:c>
      <x:c r="C78" s="215" t="str">
        <x:v>Shortcut and safety warning</x:v>
      </x:c>
      <x:c r="D78" s="215" t="str">
        <x:v>Odor and chemistry</x:v>
      </x:c>
      <x:c r="E78" s="215" t="str">
        <x:v>Fetid or tomato-like odor and toxicity are common but not diagnostic</x:v>
      </x:c>
      <x:c r="F78" s="215" t="str">
        <x:v>Caution</x:v>
      </x:c>
      <x:c r="G78" s="215" t="str">
        <x:v>0</x:v>
      </x:c>
      <x:c r="H78" s="215" t="str">
        <x:v>High as a warning</x:v>
      </x:c>
      <x:c r="I78" s="215" t="str">
        <x:v>Smell without tasting</x:v>
      </x:c>
      <x:c r="J78" s="215" t="str">
        <x:v>Vegetative</x:v>
      </x:c>
      <x:c r="K78" s="215" t="str">
        <x:v>Some foliage has a pungent nightshade odor and many vegetative parts contain toxic alkaloids.</x:v>
      </x:c>
      <x:c r="L78" s="215" t="str">
        <x:v>Odor can be weak or absent, occurs elsewhere, and toxicity cannot be safely tested in the field.</x:v>
      </x:c>
      <x:c r="M78" s="215" t="str">
        <x:v>Never taste; use odor only as supporting context after visible morphology.</x:v>
      </x:c>
      <x:c r="N78" s="215" t="str">
        <x:v>Relevant across local nightshades, especially Solanum and Datura, but not required.</x:v>
      </x:c>
      <x:c r="O78" s="215" t="str">
        <x:v>Low</x:v>
      </x:c>
      <x:c r="P78" s="215" t="str">
        <x:v>No</x:v>
      </x:c>
      <x:c r="Q78" s="215" t="str"/>
      <x:c r="R78" s="215" t="str">
        <x:v>SOL-LK01; SOL-LK02</x:v>
      </x:c>
      <x:c r="S78" s="215" t="str">
        <x:v>FNA-SOLAN; APWEB-SOLAN; POWO-SOLAN</x:v>
      </x:c>
      <x:c r="T78" s="215" t="str">
        <x:v>https://www.mobot.org/MOBOT/research/APweb/orders/solanalesweb.htm</x:v>
      </x:c>
      <x:c r="U78" s="215" t="str">
        <x:v>https://floranorthamerica.org/Solanaceae</x:v>
      </x:c>
      <x:c r="V78" s="215" t="str">
        <x:v>https://powo.science.kew.org/taxon/urn:lsid:ipni.org:names:30000631-2</x:v>
      </x:c>
      <x:c r="W78" s="215" t="str">
        <x:v>https://floranorthamerica.org/Solanaceae
https://www.mobot.org/MOBOT/research/APweb/orders/solanalesweb.htm
https://powo.science.kew.org/taxon/urn:lsid:ipni.org:names:30000631-2</x:v>
      </x:c>
      <x:c r="X78" s="215" t="str">
        <x:v>No — retain qualifiers and exceptions</x:v>
      </x:c>
      <x:c r="Y78" s="215" t="str">
        <x:v>Yes</x:v>
      </x:c>
      <x:c r="Z78" s="215" t="str">
        <x:v>Source-backed draft</x:v>
      </x:c>
    </x:row>
    <x:row r="79" ht="42" customHeight="1">
      <x:c r="A79" s="215" t="str">
        <x:v>Brassicaceae</x:v>
      </x:c>
      <x:c r="B79" s="215" t="str">
        <x:v>BRA-SEPALS</x:v>
      </x:c>
      <x:c r="C79" s="215" t="str">
        <x:v>Family-wide, common</x:v>
      </x:c>
      <x:c r="D79" s="215" t="str">
        <x:v>Calyx</x:v>
      </x:c>
      <x:c r="E79" s="215" t="str">
        <x:v>Four sepals in two decussate pairs</x:v>
      </x:c>
      <x:c r="F79" s="215" t="str">
        <x:v>Core</x:v>
      </x:c>
      <x:c r="G79" s="215" t="str">
        <x:v>5</x:v>
      </x:c>
      <x:c r="H79" s="215" t="str">
        <x:v>High</x:v>
      </x:c>
      <x:c r="I79" s="215" t="str">
        <x:v>Naked eye or hand lens</x:v>
      </x:c>
      <x:c r="J79" s="215" t="str">
        <x:v>Flowering</x:v>
      </x:c>
      <x:c r="K79" s="215" t="str">
        <x:v>Two lateral and two median sepals form the characteristic four-part calyx.</x:v>
      </x:c>
      <x:c r="L79" s="215" t="str">
        <x:v>Sepals may be saccate, unequal, connate, or soon shed, and tiny flowers can be difficult to count.</x:v>
      </x:c>
      <x:c r="M79" s="215" t="str">
        <x:v>Use with petal, stamen, and fruit characters; the paired arrangement is more informative than “four sepals” alone.</x:v>
      </x:c>
      <x:c r="N79" s="215" t="str">
        <x:v>Strong across the selected local genera, including Physaria, Lepidium, Descurainia, Paysonia, Planodes, Streptanthus, and Tomostima.</x:v>
      </x:c>
      <x:c r="O79" s="215" t="str">
        <x:v>Low</x:v>
      </x:c>
      <x:c r="P79" s="215" t="str">
        <x:v>No</x:v>
      </x:c>
      <x:c r="Q79" s="215" t="str"/>
      <x:c r="R79" s="215" t="str">
        <x:v>BRA-LK01; BRA-LK02</x:v>
      </x:c>
      <x:c r="S79" s="215" t="str">
        <x:v>APWEB-BRASS; FNA-BRASS; POWO-BRASS</x:v>
      </x:c>
      <x:c r="T79" s="215" t="str">
        <x:v>https://www.mobot.org/MOBOT/research/APweb/orders/brassicalesweb.htm</x:v>
      </x:c>
      <x:c r="U79" s="215" t="str">
        <x:v>https://floranorthamerica.org/Brassicaceae</x:v>
      </x:c>
      <x:c r="V79" s="215" t="str">
        <x:v>https://powo.science.kew.org/taxon/urn:lsid:ipni.org:names:30000087-2</x:v>
      </x:c>
      <x:c r="W79" s="215" t="str">
        <x:v>https://www.mobot.org/MOBOT/research/APweb/orders/brassicalesweb.htm
https://floranorthamerica.org/Brassicaceae
https://powo.science.kew.org/taxon/urn:lsid:ipni.org:names:30000087-2</x:v>
      </x:c>
      <x:c r="X79" s="215" t="str">
        <x:v>No — retain qualifiers and exceptions</x:v>
      </x:c>
      <x:c r="Y79" s="215" t="str">
        <x:v>Yes</x:v>
      </x:c>
      <x:c r="Z79" s="215" t="str">
        <x:v>Source-backed draft</x:v>
      </x:c>
    </x:row>
    <x:row r="80" ht="42" customHeight="1">
      <x:c r="A80" s="215" t="str">
        <x:v>Brassicaceae</x:v>
      </x:c>
      <x:c r="B80" s="215" t="str">
        <x:v>BRA-PETALS</x:v>
      </x:c>
      <x:c r="C80" s="215" t="str">
        <x:v>Family-wide, common</x:v>
      </x:c>
      <x:c r="D80" s="215" t="str">
        <x:v>Corolla</x:v>
      </x:c>
      <x:c r="E80" s="215" t="str">
        <x:v>Usually four petals alternating with sepals, often cross-shaped</x:v>
      </x:c>
      <x:c r="F80" s="215" t="str">
        <x:v>Strong</x:v>
      </x:c>
      <x:c r="G80" s="215" t="str">
        <x:v>4</x:v>
      </x:c>
      <x:c r="H80" s="215" t="str">
        <x:v>High</x:v>
      </x:c>
      <x:c r="I80" s="215" t="str">
        <x:v>Naked eye</x:v>
      </x:c>
      <x:c r="J80" s="215" t="str">
        <x:v>Flowering</x:v>
      </x:c>
      <x:c r="K80" s="215" t="str">
        <x:v>Four petals commonly form the familiar cruciform flower.</x:v>
      </x:c>
      <x:c r="L80" s="215" t="str">
        <x:v>Petals can be unequal, reduced, narrow, or absent; some flowers are weakly bilateral.</x:v>
      </x:c>
      <x:c r="M80" s="215" t="str">
        <x:v>A useful first clue, but must be confirmed with tetradynamous stamens or mustard fruit structure.</x:v>
      </x:c>
      <x:c r="N80" s="215" t="str">
        <x:v>Most local taxa show four petals, but the key must allow reduced or atypical flowers.</x:v>
      </x:c>
      <x:c r="O80" s="215" t="str">
        <x:v>Low</x:v>
      </x:c>
      <x:c r="P80" s="215" t="str">
        <x:v>No</x:v>
      </x:c>
      <x:c r="Q80" s="215" t="str"/>
      <x:c r="R80" s="215" t="str">
        <x:v>BRA-LK01; BRA-LK02</x:v>
      </x:c>
      <x:c r="S80" s="215" t="str">
        <x:v>FNA-BRASS; APWEB-BRASS; POWO-BRASS</x:v>
      </x:c>
      <x:c r="T80" s="215" t="str">
        <x:v>https://www.mobot.org/MOBOT/research/APweb/orders/brassicalesweb.htm</x:v>
      </x:c>
      <x:c r="U80" s="215" t="str">
        <x:v>https://floranorthamerica.org/Brassicaceae</x:v>
      </x:c>
      <x:c r="V80" s="215" t="str">
        <x:v>https://powo.science.kew.org/taxon/urn:lsid:ipni.org:names:30000087-2</x:v>
      </x:c>
      <x:c r="W80" s="215" t="str">
        <x:v>https://floranorthamerica.org/Brassicaceae
https://www.mobot.org/MOBOT/research/APweb/orders/brassicalesweb.htm
https://powo.science.kew.org/taxon/urn:lsid:ipni.org:names:30000087-2</x:v>
      </x:c>
      <x:c r="X80" s="215" t="str">
        <x:v>No — retain qualifiers and exceptions</x:v>
      </x:c>
      <x:c r="Y80" s="215" t="str">
        <x:v>Yes</x:v>
      </x:c>
      <x:c r="Z80" s="215" t="str">
        <x:v>Source-backed draft</x:v>
      </x:c>
    </x:row>
    <x:row r="81" ht="42" customHeight="1">
      <x:c r="A81" s="215" t="str">
        <x:v>Brassicaceae</x:v>
      </x:c>
      <x:c r="B81" s="215" t="str">
        <x:v>BRA-TETRADYN</x:v>
      </x:c>
      <x:c r="C81" s="215" t="str">
        <x:v>Family-wide, common</x:v>
      </x:c>
      <x:c r="D81" s="215" t="str">
        <x:v>Androecium</x:v>
      </x:c>
      <x:c r="E81" s="215" t="str">
        <x:v>Usually six stamens: four long inner and two short outer</x:v>
      </x:c>
      <x:c r="F81" s="215" t="str">
        <x:v>Core</x:v>
      </x:c>
      <x:c r="G81" s="215" t="str">
        <x:v>5</x:v>
      </x:c>
      <x:c r="H81" s="215" t="str">
        <x:v>High</x:v>
      </x:c>
      <x:c r="I81" s="215" t="str">
        <x:v>Naked eye or hand lens</x:v>
      </x:c>
      <x:c r="J81" s="215" t="str">
        <x:v>Flowering</x:v>
      </x:c>
      <x:c r="K81" s="215" t="str">
        <x:v>The four inner stamens exceed the two lateral stamens, producing a tetradynamous arrangement.</x:v>
      </x:c>
      <x:c r="L81" s="215" t="str">
        <x:v>FNA records 2, 4, 6, or more stamens and occasional equal lengths; damage can remove the short pair.</x:v>
      </x:c>
      <x:c r="M81" s="215" t="str">
        <x:v>One of the fastest confirmations of a typical mustard flower.</x:v>
      </x:c>
      <x:c r="N81" s="215" t="str">
        <x:v>Expected in most selected local genera, but exceptions must remain possible.</x:v>
      </x:c>
      <x:c r="O81" s="215" t="str">
        <x:v>Low</x:v>
      </x:c>
      <x:c r="P81" s="215" t="str">
        <x:v>No</x:v>
      </x:c>
      <x:c r="Q81" s="215" t="str"/>
      <x:c r="R81" s="215" t="str">
        <x:v>BRA-LK01</x:v>
      </x:c>
      <x:c r="S81" s="215" t="str">
        <x:v>APWEB-BRASS; FNA-BRASS; POWO-BRASS</x:v>
      </x:c>
      <x:c r="T81" s="215" t="str">
        <x:v>https://www.mobot.org/MOBOT/research/APweb/orders/brassicalesweb.htm</x:v>
      </x:c>
      <x:c r="U81" s="215" t="str">
        <x:v>https://floranorthamerica.org/Brassicaceae</x:v>
      </x:c>
      <x:c r="V81" s="215" t="str">
        <x:v>https://powo.science.kew.org/taxon/urn:lsid:ipni.org:names:30000087-2</x:v>
      </x:c>
      <x:c r="W81" s="215" t="str">
        <x:v>https://www.mobot.org/MOBOT/research/APweb/orders/brassicalesweb.htm
https://floranorthamerica.org/Brassicaceae
https://powo.science.kew.org/taxon/urn:lsid:ipni.org:names:30000087-2</x:v>
      </x:c>
      <x:c r="X81" s="215" t="str">
        <x:v>No — retain qualifiers and exceptions</x:v>
      </x:c>
      <x:c r="Y81" s="215" t="str">
        <x:v>Yes</x:v>
      </x:c>
      <x:c r="Z81" s="215" t="str">
        <x:v>Source-backed draft</x:v>
      </x:c>
    </x:row>
    <x:row r="82" ht="42" customHeight="1">
      <x:c r="A82" s="215" t="str">
        <x:v>Brassicaceae</x:v>
      </x:c>
      <x:c r="B82" s="215" t="str">
        <x:v>BRA-OVARY</x:v>
      </x:c>
      <x:c r="C82" s="215" t="str">
        <x:v>Family-wide</x:v>
      </x:c>
      <x:c r="D82" s="215" t="str">
        <x:v>Gynoecium</x:v>
      </x:c>
      <x:c r="E82" s="215" t="str">
        <x:v>Superior, two-carpellate ovary with parietal placentation</x:v>
      </x:c>
      <x:c r="F82" s="215" t="str">
        <x:v>Core</x:v>
      </x:c>
      <x:c r="G82" s="215" t="str">
        <x:v>5</x:v>
      </x:c>
      <x:c r="H82" s="215" t="str">
        <x:v>High with examination</x:v>
      </x:c>
      <x:c r="I82" s="215" t="str">
        <x:v>Hand lens or dissection</x:v>
      </x:c>
      <x:c r="J82" s="215" t="str">
        <x:v>Flowering</x:v>
      </x:c>
      <x:c r="K82" s="215" t="str">
        <x:v>Flower parts attach below a single ovary formed from two carpels; ovules lie along two marginal placentae.</x:v>
      </x:c>
      <x:c r="L82" s="215" t="str">
        <x:v>The apparent chambers are usually created by a false septum, not the original carpel walls; rare eseptate fruits occur.</x:v>
      </x:c>
      <x:c r="M82" s="215" t="str">
        <x:v>Explains the mustard fruit and separates it from superficially similar four-petaled flowers with different ovaries.</x:v>
      </x:c>
      <x:c r="N82" s="215" t="str">
        <x:v>Strong across the local genera.</x:v>
      </x:c>
      <x:c r="O82" s="215" t="str">
        <x:v>Low</x:v>
      </x:c>
      <x:c r="P82" s="215" t="str">
        <x:v>No</x:v>
      </x:c>
      <x:c r="Q82" s="215" t="str"/>
      <x:c r="R82" s="215" t="str">
        <x:v>BRA-LK01; BRA-LK02</x:v>
      </x:c>
      <x:c r="S82" s="215" t="str">
        <x:v>APWEB-BRASS; FNA-BRASS; POWO-BRASS</x:v>
      </x:c>
      <x:c r="T82" s="215" t="str">
        <x:v>https://www.mobot.org/MOBOT/research/APweb/orders/brassicalesweb.htm</x:v>
      </x:c>
      <x:c r="U82" s="215" t="str">
        <x:v>https://floranorthamerica.org/Brassicaceae</x:v>
      </x:c>
      <x:c r="V82" s="215" t="str">
        <x:v>https://powo.science.kew.org/taxon/urn:lsid:ipni.org:names:30000087-2</x:v>
      </x:c>
      <x:c r="W82" s="215" t="str">
        <x:v>https://www.mobot.org/MOBOT/research/APweb/orders/brassicalesweb.htm
https://floranorthamerica.org/Brassicaceae
https://powo.science.kew.org/taxon/urn:lsid:ipni.org:names:30000087-2</x:v>
      </x:c>
      <x:c r="X82" s="215" t="str">
        <x:v>No — retain qualifiers and exceptions</x:v>
      </x:c>
      <x:c r="Y82" s="215" t="str">
        <x:v>Yes</x:v>
      </x:c>
      <x:c r="Z82" s="215" t="str">
        <x:v>Source-backed draft</x:v>
      </x:c>
    </x:row>
    <x:row r="83" ht="42" customHeight="1">
      <x:c r="A83" s="215" t="str">
        <x:v>Brassicaceae</x:v>
      </x:c>
      <x:c r="B83" s="215" t="str">
        <x:v>BRA-SEPTUM</x:v>
      </x:c>
      <x:c r="C83" s="215" t="str">
        <x:v>Family-wide, common</x:v>
      </x:c>
      <x:c r="D83" s="215" t="str">
        <x:v>Fruit and gynoecium</x:v>
      </x:c>
      <x:c r="E83" s="215" t="str">
        <x:v>False septum dividing the fruit into two apparent locules</x:v>
      </x:c>
      <x:c r="F83" s="215" t="str">
        <x:v>Core</x:v>
      </x:c>
      <x:c r="G83" s="215" t="str">
        <x:v>5</x:v>
      </x:c>
      <x:c r="H83" s="215" t="str">
        <x:v>High</x:v>
      </x:c>
      <x:c r="I83" s="215" t="str">
        <x:v>Hand lens</x:v>
      </x:c>
      <x:c r="J83" s="215" t="str">
        <x:v>Developing or mature fruit</x:v>
      </x:c>
      <x:c r="K83" s="215" t="str">
        <x:v>A thin partition usually stretches between the two placentae and remains after the valves fall.</x:v>
      </x:c>
      <x:c r="L83" s="215" t="str">
        <x:v>The septum can be incomplete, perforated, reduced, or absent in some genera.</x:v>
      </x:c>
      <x:c r="M83" s="215" t="str">
        <x:v>A powerful confirmation when a mature fruit opens or is viewed against light.</x:v>
      </x:c>
      <x:c r="N83" s="215" t="str">
        <x:v>Very useful for local Physaria, Lepidium, Descurainia, Paysonia, Planodes, Streptanthus, and Tomostima.</x:v>
      </x:c>
      <x:c r="O83" s="215" t="str">
        <x:v>Low</x:v>
      </x:c>
      <x:c r="P83" s="215" t="str">
        <x:v>No</x:v>
      </x:c>
      <x:c r="Q83" s="215" t="str"/>
      <x:c r="R83" s="215" t="str">
        <x:v>BRA-LK01</x:v>
      </x:c>
      <x:c r="S83" s="215" t="str">
        <x:v>APWEB-BRASS; FNA-BRASS; POWO-BRASS</x:v>
      </x:c>
      <x:c r="T83" s="215" t="str">
        <x:v>https://www.mobot.org/MOBOT/research/APweb/orders/brassicalesweb.htm</x:v>
      </x:c>
      <x:c r="U83" s="215" t="str">
        <x:v>https://floranorthamerica.org/Brassicaceae</x:v>
      </x:c>
      <x:c r="V83" s="215" t="str">
        <x:v>https://powo.science.kew.org/taxon/urn:lsid:ipni.org:names:30000087-2</x:v>
      </x:c>
      <x:c r="W83" s="215" t="str">
        <x:v>https://www.mobot.org/MOBOT/research/APweb/orders/brassicalesweb.htm
https://floranorthamerica.org/Brassicaceae
https://powo.science.kew.org/taxon/urn:lsid:ipni.org:names:30000087-2</x:v>
      </x:c>
      <x:c r="X83" s="215" t="str">
        <x:v>No — retain qualifiers and exceptions</x:v>
      </x:c>
      <x:c r="Y83" s="215" t="str">
        <x:v>Yes</x:v>
      </x:c>
      <x:c r="Z83" s="215" t="str">
        <x:v>Source-backed draft</x:v>
      </x:c>
    </x:row>
    <x:row r="84" ht="42" customHeight="1">
      <x:c r="A84" s="215" t="str">
        <x:v>Brassicaceae</x:v>
      </x:c>
      <x:c r="B84" s="215" t="str">
        <x:v>BRA-FRUIT</x:v>
      </x:c>
      <x:c r="C84" s="215" t="str">
        <x:v>Family-wide, common</x:v>
      </x:c>
      <x:c r="D84" s="215" t="str">
        <x:v>Fruit</x:v>
      </x:c>
      <x:c r="E84" s="215" t="str">
        <x:v>Usually a two-valved silique or silicle</x:v>
      </x:c>
      <x:c r="F84" s="215" t="str">
        <x:v>Core</x:v>
      </x:c>
      <x:c r="G84" s="215" t="str">
        <x:v>5</x:v>
      </x:c>
      <x:c r="H84" s="215" t="str">
        <x:v>High</x:v>
      </x:c>
      <x:c r="I84" s="215" t="str">
        <x:v>Naked eye or hand lens</x:v>
      </x:c>
      <x:c r="J84" s="215" t="str">
        <x:v>Mature fruit</x:v>
      </x:c>
      <x:c r="K84" s="215" t="str">
        <x:v>Dry fruits commonly open by two valves and leave a central frame with the septum and seeds.</x:v>
      </x:c>
      <x:c r="L84" s="215" t="str">
        <x:v>Some fruits are indehiscent, segmented, winged, nutletlike, or otherwise modified.</x:v>
      </x:c>
      <x:c r="M84" s="215" t="str">
        <x:v>Mature fruit is often more reliable than flowers for genus-level identification.</x:v>
      </x:c>
      <x:c r="N84" s="215" t="str">
        <x:v>Essential for all selected local genera, especially species-rich Physaria and Lepidium.</x:v>
      </x:c>
      <x:c r="O84" s="215" t="str">
        <x:v>Low</x:v>
      </x:c>
      <x:c r="P84" s="215" t="str">
        <x:v>No</x:v>
      </x:c>
      <x:c r="Q84" s="215" t="str"/>
      <x:c r="R84" s="215" t="str">
        <x:v>BRA-LK01; BRA-LK02</x:v>
      </x:c>
      <x:c r="S84" s="215" t="str">
        <x:v>APWEB-BRASS; FNA-BRASS; POWO-BRASS</x:v>
      </x:c>
      <x:c r="T84" s="215" t="str">
        <x:v>https://www.mobot.org/MOBOT/research/APweb/orders/brassicalesweb.htm</x:v>
      </x:c>
      <x:c r="U84" s="215" t="str">
        <x:v>https://floranorthamerica.org/Brassicaceae</x:v>
      </x:c>
      <x:c r="V84" s="215" t="str">
        <x:v>https://powo.science.kew.org/taxon/urn:lsid:ipni.org:names:30000087-2</x:v>
      </x:c>
      <x:c r="W84" s="215" t="str">
        <x:v>https://www.mobot.org/MOBOT/research/APweb/orders/brassicalesweb.htm
https://floranorthamerica.org/Brassicaceae
https://powo.science.kew.org/taxon/urn:lsid:ipni.org:names:30000087-2</x:v>
      </x:c>
      <x:c r="X84" s="215" t="str">
        <x:v>No — retain qualifiers and exceptions</x:v>
      </x:c>
      <x:c r="Y84" s="215" t="str">
        <x:v>Yes</x:v>
      </x:c>
      <x:c r="Z84" s="215" t="str">
        <x:v>Source-backed draft</x:v>
      </x:c>
    </x:row>
    <x:row r="85" ht="42" customHeight="1">
      <x:c r="A85" s="215" t="str">
        <x:v>Brassicaceae</x:v>
      </x:c>
      <x:c r="B85" s="215" t="str">
        <x:v>BRA-REPLUM</x:v>
      </x:c>
      <x:c r="C85" s="215" t="str">
        <x:v>Family-wide, common</x:v>
      </x:c>
      <x:c r="D85" s="215" t="str">
        <x:v>Fruit</x:v>
      </x:c>
      <x:c r="E85" s="215" t="str">
        <x:v>Persistent replum remains after valves detach</x:v>
      </x:c>
      <x:c r="F85" s="215" t="str">
        <x:v>Strong</x:v>
      </x:c>
      <x:c r="G85" s="215" t="str">
        <x:v>4</x:v>
      </x:c>
      <x:c r="H85" s="215" t="str">
        <x:v>High</x:v>
      </x:c>
      <x:c r="I85" s="215" t="str">
        <x:v>Hand lens</x:v>
      </x:c>
      <x:c r="J85" s="215" t="str">
        <x:v>Mature dehiscing fruit</x:v>
      </x:c>
      <x:c r="K85" s="215" t="str">
        <x:v>The seed-bearing placental frame stays attached to the stalk after the two valves fall away.</x:v>
      </x:c>
      <x:c r="L85" s="215" t="str">
        <x:v>The replum can be narrow, obscure, perforated, or reduced in modified fruits.</x:v>
      </x:c>
      <x:c r="M85" s="215" t="str">
        <x:v>Confirms a true mustard fruit when petals are gone.</x:v>
      </x:c>
      <x:c r="N85" s="215" t="str">
        <x:v>High-value field character in mature local fruiting material.</x:v>
      </x:c>
      <x:c r="O85" s="215" t="str">
        <x:v>Low</x:v>
      </x:c>
      <x:c r="P85" s="215" t="str">
        <x:v>No</x:v>
      </x:c>
      <x:c r="Q85" s="215" t="str"/>
      <x:c r="R85" s="215" t="str">
        <x:v>BRA-LK01</x:v>
      </x:c>
      <x:c r="S85" s="215" t="str">
        <x:v>FNA-BRASS; APWEB-BRASS; POWO-BRASS</x:v>
      </x:c>
      <x:c r="T85" s="215" t="str">
        <x:v>https://www.mobot.org/MOBOT/research/APweb/orders/brassicalesweb.htm</x:v>
      </x:c>
      <x:c r="U85" s="215" t="str">
        <x:v>https://floranorthamerica.org/Brassicaceae</x:v>
      </x:c>
      <x:c r="V85" s="215" t="str">
        <x:v>https://powo.science.kew.org/taxon/urn:lsid:ipni.org:names:30000087-2</x:v>
      </x:c>
      <x:c r="W85" s="215" t="str">
        <x:v>https://floranorthamerica.org/Brassicaceae
https://www.mobot.org/MOBOT/research/APweb/orders/brassicalesweb.htm
https://powo.science.kew.org/taxon/urn:lsid:ipni.org:names:30000087-2</x:v>
      </x:c>
      <x:c r="X85" s="215" t="str">
        <x:v>No — retain qualifiers and exceptions</x:v>
      </x:c>
      <x:c r="Y85" s="215" t="str">
        <x:v>Yes</x:v>
      </x:c>
      <x:c r="Z85" s="215" t="str">
        <x:v>Source-backed draft</x:v>
      </x:c>
    </x:row>
    <x:row r="86" ht="42" customHeight="1">
      <x:c r="A86" s="215" t="str">
        <x:v>Brassicaceae</x:v>
      </x:c>
      <x:c r="B86" s="215" t="str">
        <x:v>BRA-RACEME</x:v>
      </x:c>
      <x:c r="C86" s="215" t="str">
        <x:v>Family-wide, common</x:v>
      </x:c>
      <x:c r="D86" s="215" t="str">
        <x:v>Inflorescence</x:v>
      </x:c>
      <x:c r="E86" s="215" t="str">
        <x:v>Usually a raceme without subtending bracts</x:v>
      </x:c>
      <x:c r="F86" s="215" t="str">
        <x:v>Supporting</x:v>
      </x:c>
      <x:c r="G86" s="215" t="str">
        <x:v>3</x:v>
      </x:c>
      <x:c r="H86" s="215" t="str">
        <x:v>Moderate</x:v>
      </x:c>
      <x:c r="I86" s="215" t="str">
        <x:v>Naked eye</x:v>
      </x:c>
      <x:c r="J86" s="215" t="str">
        <x:v>Flowering or fruiting</x:v>
      </x:c>
      <x:c r="K86" s="215" t="str">
        <x:v>Flowers and later fruits commonly line an elongating central axis, usually without a leaflike bract beneath each pedicel.</x:v>
      </x:c>
      <x:c r="L86" s="215" t="str">
        <x:v>Bracts occur in some taxa, flowers may be solitary, and racemes occur in many other families.</x:v>
      </x:c>
      <x:c r="M86" s="215" t="str">
        <x:v>Supports the flower-and-fruit suite but never proves the family.</x:v>
      </x:c>
      <x:c r="N86" s="215" t="str">
        <x:v>Common in the selected local genera and often easiest to read in fruit.</x:v>
      </x:c>
      <x:c r="O86" s="215" t="str">
        <x:v>Low</x:v>
      </x:c>
      <x:c r="P86" s="215" t="str">
        <x:v>No</x:v>
      </x:c>
      <x:c r="Q86" s="215" t="str"/>
      <x:c r="R86" s="215" t="str">
        <x:v>BRA-LK01; BRA-LK02</x:v>
      </x:c>
      <x:c r="S86" s="215" t="str">
        <x:v>FNA-BRASS; APWEB-BRASS; POWO-BRASS</x:v>
      </x:c>
      <x:c r="T86" s="215" t="str">
        <x:v>https://www.mobot.org/MOBOT/research/APweb/orders/brassicalesweb.htm</x:v>
      </x:c>
      <x:c r="U86" s="215" t="str">
        <x:v>https://floranorthamerica.org/Brassicaceae</x:v>
      </x:c>
      <x:c r="V86" s="215" t="str">
        <x:v>https://powo.science.kew.org/taxon/urn:lsid:ipni.org:names:30000087-2</x:v>
      </x:c>
      <x:c r="W86" s="215" t="str">
        <x:v>https://floranorthamerica.org/Brassicaceae
https://www.mobot.org/MOBOT/research/APweb/orders/brassicalesweb.htm
https://powo.science.kew.org/taxon/urn:lsid:ipni.org:names:30000087-2</x:v>
      </x:c>
      <x:c r="X86" s="215" t="str">
        <x:v>No — retain qualifiers and exceptions</x:v>
      </x:c>
      <x:c r="Y86" s="215" t="str">
        <x:v>Yes</x:v>
      </x:c>
      <x:c r="Z86" s="215" t="str">
        <x:v>Source-backed draft</x:v>
      </x:c>
    </x:row>
    <x:row r="87" ht="42" customHeight="1">
      <x:c r="A87" s="215" t="str">
        <x:v>Brassicaceae</x:v>
      </x:c>
      <x:c r="B87" s="215" t="str">
        <x:v>BRA-LEAVES</x:v>
      </x:c>
      <x:c r="C87" s="215" t="str">
        <x:v>Family-wide, common</x:v>
      </x:c>
      <x:c r="D87" s="215" t="str">
        <x:v>Leaf</x:v>
      </x:c>
      <x:c r="E87" s="215" t="str">
        <x:v>Leaves usually alternate, exstipulate, and often basal plus cauline</x:v>
      </x:c>
      <x:c r="F87" s="215" t="str">
        <x:v>Supporting</x:v>
      </x:c>
      <x:c r="G87" s="215" t="str">
        <x:v>2</x:v>
      </x:c>
      <x:c r="H87" s="215" t="str">
        <x:v>Variable</x:v>
      </x:c>
      <x:c r="I87" s="215" t="str">
        <x:v>Naked eye</x:v>
      </x:c>
      <x:c r="J87" s="215" t="str">
        <x:v>Vegetative</x:v>
      </x:c>
      <x:c r="K87" s="215" t="str">
        <x:v>Mustards commonly have a basal rosette and alternate stem leaves without stipules.</x:v>
      </x:c>
      <x:c r="L87" s="215" t="str">
        <x:v>Opposite or whorled leaves occur in exceptions, and leaf shape ranges from entire to deeply divided.</x:v>
      </x:c>
      <x:c r="M87" s="215" t="str">
        <x:v>Use only as supporting architecture before reproductive characters.</x:v>
      </x:c>
      <x:c r="N87" s="215" t="str">
        <x:v>Useful in local spring annuals and Physaria, but insufficient for family placement alone.</x:v>
      </x:c>
      <x:c r="O87" s="215" t="str">
        <x:v>Low</x:v>
      </x:c>
      <x:c r="P87" s="215" t="str">
        <x:v>No</x:v>
      </x:c>
      <x:c r="Q87" s="215" t="str"/>
      <x:c r="R87" s="215" t="str">
        <x:v>BRA-LK02</x:v>
      </x:c>
      <x:c r="S87" s="215" t="str">
        <x:v>FNA-BRASS; APWEB-BRASS; POWO-BRASS</x:v>
      </x:c>
      <x:c r="T87" s="215" t="str">
        <x:v>https://www.mobot.org/MOBOT/research/APweb/orders/brassicalesweb.htm</x:v>
      </x:c>
      <x:c r="U87" s="215" t="str">
        <x:v>https://floranorthamerica.org/Brassicaceae</x:v>
      </x:c>
      <x:c r="V87" s="215" t="str">
        <x:v>https://powo.science.kew.org/taxon/urn:lsid:ipni.org:names:30000087-2</x:v>
      </x:c>
      <x:c r="W87" s="215" t="str">
        <x:v>https://floranorthamerica.org/Brassicaceae
https://www.mobot.org/MOBOT/research/APweb/orders/brassicalesweb.htm
https://powo.science.kew.org/taxon/urn:lsid:ipni.org:names:30000087-2</x:v>
      </x:c>
      <x:c r="X87" s="215" t="str">
        <x:v>No — retain qualifiers and exceptions</x:v>
      </x:c>
      <x:c r="Y87" s="215" t="str">
        <x:v>Yes</x:v>
      </x:c>
      <x:c r="Z87" s="215" t="str">
        <x:v>Source-backed draft</x:v>
      </x:c>
    </x:row>
    <x:row r="88" ht="42" customHeight="1">
      <x:c r="A88" s="215" t="str">
        <x:v>Brassicaceae</x:v>
      </x:c>
      <x:c r="B88" s="215" t="str">
        <x:v>BRA-HAIRS</x:v>
      </x:c>
      <x:c r="C88" s="215" t="str">
        <x:v>Family-wide, variable</x:v>
      </x:c>
      <x:c r="D88" s="215" t="str">
        <x:v>Indumentum</x:v>
      </x:c>
      <x:c r="E88" s="215" t="str">
        <x:v>Unicellular simple, forked, stellate, dendritic, or peltate hairs</x:v>
      </x:c>
      <x:c r="F88" s="215" t="str">
        <x:v>Supporting</x:v>
      </x:c>
      <x:c r="G88" s="215" t="str">
        <x:v>3</x:v>
      </x:c>
      <x:c r="H88" s="215" t="str">
        <x:v>Variable</x:v>
      </x:c>
      <x:c r="I88" s="215" t="str">
        <x:v>Hand lens</x:v>
      </x:c>
      <x:c r="J88" s="215" t="str">
        <x:v>Vegetative</x:v>
      </x:c>
      <x:c r="K88" s="215" t="str">
        <x:v>Hair branching patterns are unusually useful in mustard keys.</x:v>
      </x:c>
      <x:c r="L88" s="215" t="str">
        <x:v>Plants may be glabrous, and hair types vary by genus and species; similar hairs occur elsewhere.</x:v>
      </x:c>
      <x:c r="M88" s="215" t="str">
        <x:v>Use mainly after family placement for tribe, genus, and species separation.</x:v>
      </x:c>
      <x:c r="N88" s="215" t="str">
        <x:v>Especially important in Physaria, Descurainia, and several small local annuals.</x:v>
      </x:c>
      <x:c r="O88" s="215" t="str">
        <x:v>Low</x:v>
      </x:c>
      <x:c r="P88" s="215" t="str">
        <x:v>No</x:v>
      </x:c>
      <x:c r="Q88" s="215" t="str"/>
      <x:c r="R88" s="215" t="str">
        <x:v>BRA-LK01</x:v>
      </x:c>
      <x:c r="S88" s="215" t="str">
        <x:v>FNA-BRASS; POWO-BRASS</x:v>
      </x:c>
      <x:c r="T88" s="215" t="str">
        <x:v>https://www.mobot.org/MOBOT/research/APweb/orders/brassicalesweb.htm</x:v>
      </x:c>
      <x:c r="U88" s="215" t="str">
        <x:v>https://floranorthamerica.org/Brassicaceae</x:v>
      </x:c>
      <x:c r="V88" s="215" t="str">
        <x:v>https://powo.science.kew.org/taxon/urn:lsid:ipni.org:names:30000087-2</x:v>
      </x:c>
      <x:c r="W88" s="215" t="str">
        <x:v>https://floranorthamerica.org/Brassicaceae
https://powo.science.kew.org/taxon/urn:lsid:ipni.org:names:30000087-2
https://www.mobot.org/MOBOT/research/APweb/orders/brassicalesweb.htm</x:v>
      </x:c>
      <x:c r="X88" s="215" t="str">
        <x:v>No — retain qualifiers and exceptions</x:v>
      </x:c>
      <x:c r="Y88" s="215" t="str">
        <x:v>Yes</x:v>
      </x:c>
      <x:c r="Z88" s="215" t="str">
        <x:v>Source-backed draft</x:v>
      </x:c>
    </x:row>
    <x:row r="89" ht="42" customHeight="1">
      <x:c r="A89" s="215" t="str">
        <x:v>Brassicaceae</x:v>
      </x:c>
      <x:c r="B89" s="215" t="str">
        <x:v>BRA-PUNGENT</x:v>
      </x:c>
      <x:c r="C89" s="215" t="str">
        <x:v>Family-wide, common</x:v>
      </x:c>
      <x:c r="D89" s="215" t="str">
        <x:v>Exudate and chemistry</x:v>
      </x:c>
      <x:c r="E89" s="215" t="str">
        <x:v>Pungent watery juice or mustard odor common</x:v>
      </x:c>
      <x:c r="F89" s="215" t="str">
        <x:v>Supporting</x:v>
      </x:c>
      <x:c r="G89" s="215" t="str">
        <x:v>1</x:v>
      </x:c>
      <x:c r="H89" s="215" t="str">
        <x:v>Variable</x:v>
      </x:c>
      <x:c r="I89" s="215" t="str">
        <x:v>Smell only on already damaged tissue</x:v>
      </x:c>
      <x:c r="J89" s="215" t="str">
        <x:v>Vegetative</x:v>
      </x:c>
      <x:c r="K89" s="215" t="str">
        <x:v>Glucosinolates can produce a sharp mustard-like odor.</x:v>
      </x:c>
      <x:c r="L89" s="215" t="str">
        <x:v>Odor may be weak, absent, or shared with other Brassicales; tasting is unnecessary and unsafe.</x:v>
      </x:c>
      <x:c r="M89" s="215" t="str">
        <x:v>Use only as secondary context, never as a required diagnostic test.</x:v>
      </x:c>
      <x:c r="N89" s="215" t="str">
        <x:v>May support local identifications but should not be part of an automatic required path.</x:v>
      </x:c>
      <x:c r="O89" s="215" t="str">
        <x:v>Low</x:v>
      </x:c>
      <x:c r="P89" s="215" t="str">
        <x:v>No</x:v>
      </x:c>
      <x:c r="Q89" s="215" t="str"/>
      <x:c r="R89" s="215" t="str">
        <x:v>BRA-LK01</x:v>
      </x:c>
      <x:c r="S89" s="215" t="str">
        <x:v>FNA-BRASS; APWEB-BRASS; POWO-BRASS</x:v>
      </x:c>
      <x:c r="T89" s="215" t="str">
        <x:v>https://www.mobot.org/MOBOT/research/APweb/orders/brassicalesweb.htm</x:v>
      </x:c>
      <x:c r="U89" s="215" t="str">
        <x:v>https://floranorthamerica.org/Brassicaceae</x:v>
      </x:c>
      <x:c r="V89" s="215" t="str">
        <x:v>https://powo.science.kew.org/taxon/urn:lsid:ipni.org:names:30000087-2</x:v>
      </x:c>
      <x:c r="W89" s="215" t="str">
        <x:v>https://floranorthamerica.org/Brassicaceae
https://www.mobot.org/MOBOT/research/APweb/orders/brassicalesweb.htm
https://powo.science.kew.org/taxon/urn:lsid:ipni.org:names:30000087-2</x:v>
      </x:c>
      <x:c r="X89" s="215" t="str">
        <x:v>No — retain qualifiers and exceptions</x:v>
      </x:c>
      <x:c r="Y89" s="215" t="str">
        <x:v>Yes</x:v>
      </x:c>
      <x:c r="Z89" s="215" t="str">
        <x:v>Source-backed draft</x:v>
      </x:c>
    </x:row>
    <x:row r="90" ht="42" customHeight="1">
      <x:c r="A90" s="215" t="str">
        <x:v>Brassicaceae</x:v>
      </x:c>
      <x:c r="B90" s="215" t="str">
        <x:v>BRA-FOURPETAL</x:v>
      </x:c>
      <x:c r="C90" s="215" t="str">
        <x:v>Shortcut warning</x:v>
      </x:c>
      <x:c r="D90" s="215" t="str">
        <x:v>Recognition</x:v>
      </x:c>
      <x:c r="E90" s="215" t="str">
        <x:v>Four petals alone do not identify Brassicaceae</x:v>
      </x:c>
      <x:c r="F90" s="215" t="str">
        <x:v>Caution</x:v>
      </x:c>
      <x:c r="G90" s="215" t="str">
        <x:v>0</x:v>
      </x:c>
      <x:c r="H90" s="215" t="str">
        <x:v>High as a warning</x:v>
      </x:c>
      <x:c r="I90" s="215" t="str">
        <x:v>Naked eye</x:v>
      </x:c>
      <x:c r="J90" s="215" t="str">
        <x:v>Flowering</x:v>
      </x:c>
      <x:c r="K90" s="215" t="str">
        <x:v>Many unrelated families have four-petaled flowers.</x:v>
      </x:c>
      <x:c r="L90" s="215" t="str">
        <x:v>Mustards are confirmed by the two-paired sepals, tetradynamous stamens, and two-valved fruit with replum and false septum.</x:v>
      </x:c>
      <x:c r="M90" s="215" t="str">
        <x:v>Prevents false positives from Onagraceae and other four-petaled plants.</x:v>
      </x:c>
      <x:c r="N90" s="215" t="str">
        <x:v>Important in Hays County, where several common families produce four-petaled flowers.</x:v>
      </x:c>
      <x:c r="O90" s="215" t="str">
        <x:v>Low</x:v>
      </x:c>
      <x:c r="P90" s="215" t="str">
        <x:v>No</x:v>
      </x:c>
      <x:c r="Q90" s="215" t="str"/>
      <x:c r="R90" s="215" t="str">
        <x:v>BRA-LK01; BRA-LK02</x:v>
      </x:c>
      <x:c r="S90" s="215" t="str">
        <x:v>FNA-BRASS; APWEB-BRASS; POWO-BRASS</x:v>
      </x:c>
      <x:c r="T90" s="215" t="str">
        <x:v>https://www.mobot.org/MOBOT/research/APweb/orders/brassicalesweb.htm</x:v>
      </x:c>
      <x:c r="U90" s="215" t="str">
        <x:v>https://floranorthamerica.org/Brassicaceae</x:v>
      </x:c>
      <x:c r="V90" s="215" t="str">
        <x:v>https://powo.science.kew.org/taxon/urn:lsid:ipni.org:names:30000087-2</x:v>
      </x:c>
      <x:c r="W90" s="215" t="str">
        <x:v>https://floranorthamerica.org/Brassicaceae
https://www.mobot.org/MOBOT/research/APweb/orders/brassicalesweb.htm
https://powo.science.kew.org/taxon/urn:lsid:ipni.org:names:30000087-2</x:v>
      </x:c>
      <x:c r="X90" s="215" t="str">
        <x:v>No — retain qualifiers and exceptions</x:v>
      </x:c>
      <x:c r="Y90" s="215" t="str">
        <x:v>Yes</x:v>
      </x:c>
      <x:c r="Z90" s="215" t="str">
        <x:v>Source-backed draft</x:v>
      </x:c>
    </x:row>
    <x:row r="91" ht="42" customHeight="1">
      <x:c r="A91" s="215" t="str">
        <x:v>Brassicaceae</x:v>
      </x:c>
      <x:c r="B91" s="215" t="str">
        <x:v>BRA-FRUITSHAPE</x:v>
      </x:c>
      <x:c r="C91" s="215" t="str">
        <x:v>Genus-level direction</x:v>
      </x:c>
      <x:c r="D91" s="215" t="str">
        <x:v>Fruit</x:v>
      </x:c>
      <x:c r="E91" s="215" t="str">
        <x:v>Fruit length, compression, winging, segmentation, and septum orientation are primary genus characters</x:v>
      </x:c>
      <x:c r="F91" s="215" t="str">
        <x:v>Subgroup</x:v>
      </x:c>
      <x:c r="G91" s="215" t="str">
        <x:v>4</x:v>
      </x:c>
      <x:c r="H91" s="215" t="str">
        <x:v>High with mature fruit</x:v>
      </x:c>
      <x:c r="I91" s="215" t="str">
        <x:v>Naked eye or hand lens</x:v>
      </x:c>
      <x:c r="J91" s="215" t="str">
        <x:v>Mature fruit</x:v>
      </x:c>
      <x:c r="K91" s="215" t="str">
        <x:v>Long siliques, short silicles, inflated pods, flat winged fruits, and seed arrangement direct identification to different mustard genera.</x:v>
      </x:c>
      <x:c r="L91" s="215" t="str">
        <x:v>Fruit terminology can be misapplied before maturity, and convergent shapes occur in unrelated genera.</x:v>
      </x:c>
      <x:c r="M91" s="215" t="str">
        <x:v>Require mature fruit for confident separation of Physaria, Lepidium, Paysonia, Planodes, Streptanthus, and Tomostima.</x:v>
      </x:c>
      <x:c r="N91" s="215" t="str">
        <x:v>This is the main practical next step after family recognition in the selected local flora.</x:v>
      </x:c>
      <x:c r="O91" s="215" t="str">
        <x:v>Low</x:v>
      </x:c>
      <x:c r="P91" s="215" t="str">
        <x:v>No</x:v>
      </x:c>
      <x:c r="Q91" s="215" t="str"/>
      <x:c r="R91" s="215" t="str">
        <x:v>BRA-LK01</x:v>
      </x:c>
      <x:c r="S91" s="215" t="str">
        <x:v>FNA-BRASS; POWO-BRASS</x:v>
      </x:c>
      <x:c r="T91" s="215" t="str">
        <x:v>https://www.mobot.org/MOBOT/research/APweb/orders/brassicalesweb.htm</x:v>
      </x:c>
      <x:c r="U91" s="215" t="str">
        <x:v>https://floranorthamerica.org/Brassicaceae</x:v>
      </x:c>
      <x:c r="V91" s="215" t="str">
        <x:v>https://powo.science.kew.org/taxon/urn:lsid:ipni.org:names:30000087-2</x:v>
      </x:c>
      <x:c r="W91" s="215" t="str">
        <x:v>https://floranorthamerica.org/Brassicaceae
https://powo.science.kew.org/taxon/urn:lsid:ipni.org:names:30000087-2
https://www.mobot.org/MOBOT/research/APweb/orders/brassicalesweb.htm</x:v>
      </x:c>
      <x:c r="X91" s="215" t="str">
        <x:v>No — retain qualifiers and exceptions</x:v>
      </x:c>
      <x:c r="Y91" s="215" t="str">
        <x:v>Yes</x:v>
      </x:c>
      <x:c r="Z91" s="215" t="str">
        <x:v>Source-backed draft</x:v>
      </x:c>
    </x:row>
    <x:row r="92" ht="42" customHeight="1">
      <x:c r="A92" s="215" t="str">
        <x:v>Ranunculaceae</x:v>
      </x:c>
      <x:c r="B92" s="215" t="str">
        <x:v>RAN-OUTERPERI</x:v>
      </x:c>
      <x:c r="C92" s="215" t="str">
        <x:v>Family-wide, common</x:v>
      </x:c>
      <x:c r="D92" s="215" t="str">
        <x:v>Perianth</x:v>
      </x:c>
      <x:c r="E92" s="215" t="str">
        <x:v>Outer perianth parts often petal-like and usually free</x:v>
      </x:c>
      <x:c r="F92" s="215" t="str">
        <x:v>Strong</x:v>
      </x:c>
      <x:c r="G92" s="215" t="str">
        <x:v>4</x:v>
      </x:c>
      <x:c r="H92" s="215" t="str">
        <x:v>Moderate</x:v>
      </x:c>
      <x:c r="I92" s="215" t="str">
        <x:v>Naked eye</x:v>
      </x:c>
      <x:c r="J92" s="215" t="str">
        <x:v>Fresh flowering</x:v>
      </x:c>
      <x:c r="K92" s="215" t="str">
        <x:v>The showy outer parts commonly function visually like petals even when described as sepals or tepals.</x:v>
      </x:c>
      <x:c r="L92" s="215" t="str">
        <x:v>Number, color, persistence, and interpretation vary; Delphinium and Aquilegia have specialized forms, and some flowers are inconspicuous.</x:v>
      </x:c>
      <x:c r="M92" s="215" t="str">
        <x:v>Use neutral perianth language until the genus route is known.</x:v>
      </x:c>
      <x:c r="N92" s="215" t="str">
        <x:v>Relevant across local Clematis, Ranunculus, Anemone, Delphinium, and Aquilegia.</x:v>
      </x:c>
      <x:c r="O92" s="215" t="str">
        <x:v>Moderate</x:v>
      </x:c>
      <x:c r="P92" s="215" t="str">
        <x:v>No</x:v>
      </x:c>
      <x:c r="Q92" s="215" t="str"/>
      <x:c r="R92" s="215" t="str">
        <x:v>RAN-LK01; RAN-LK02</x:v>
      </x:c>
      <x:c r="S92" s="215" t="str">
        <x:v>APWEB-RANUNC; FNA-RANUNC; POWO-RANUNC</x:v>
      </x:c>
      <x:c r="T92" s="215" t="str">
        <x:v>https://www.mobot.org/MOBOT/research/APweb/orders/ranunculalesweb.htm</x:v>
      </x:c>
      <x:c r="U92" s="215" t="str">
        <x:v>https://floranorthamerica.org/Ranunculaceae</x:v>
      </x:c>
      <x:c r="V92" s="215" t="str">
        <x:v>https://powo.science.kew.org/taxon/urn:lsid:ipni.org:names:30000277-2</x:v>
      </x:c>
      <x:c r="W92" s="215" t="str">
        <x:v>https://www.mobot.org/MOBOT/research/APweb/orders/ranunculalesweb.htm
https://floranorthamerica.org/Ranunculaceae
https://powo.science.kew.org/taxon/urn:lsid:ipni.org:names:30000277-2</x:v>
      </x:c>
      <x:c r="X92" s="215" t="str">
        <x:v>No — retain qualifiers and exceptions</x:v>
      </x:c>
      <x:c r="Y92" s="215" t="str">
        <x:v>Yes</x:v>
      </x:c>
      <x:c r="Z92" s="215" t="str">
        <x:v>Source-backed draft</x:v>
      </x:c>
    </x:row>
    <x:row r="93" ht="42" customHeight="1">
      <x:c r="A93" s="215" t="str">
        <x:v>Ranunculaceae</x:v>
      </x:c>
      <x:c r="B93" s="215" t="str">
        <x:v>RAN-PETALVAR</x:v>
      </x:c>
      <x:c r="C93" s="215" t="str">
        <x:v>Family-wide, highly variable</x:v>
      </x:c>
      <x:c r="D93" s="215" t="str">
        <x:v>Inner perianth and nectaries</x:v>
      </x:c>
      <x:c r="E93" s="215" t="str">
        <x:v>Petals may be showy, reduced to nectary-bearing organs, or absent</x:v>
      </x:c>
      <x:c r="F93" s="215" t="str">
        <x:v>Caution</x:v>
      </x:c>
      <x:c r="G93" s="215" t="str">
        <x:v>0</x:v>
      </x:c>
      <x:c r="H93" s="215" t="str">
        <x:v>High as a warning</x:v>
      </x:c>
      <x:c r="I93" s="215" t="str">
        <x:v>Naked eye or hand lens</x:v>
      </x:c>
      <x:c r="J93" s="215" t="str">
        <x:v>Fresh flowering</x:v>
      </x:c>
      <x:c r="K93" s="215" t="str">
        <x:v>The inner floral organs vary so much that “five petals” is not a family rule.</x:v>
      </x:c>
      <x:c r="L93" s="215" t="str">
        <x:v>Clematis and Anemone lack ordinary petals; Aquilegia has spurred nectar-bearing petals; Delphinium has complex petal-sepal relationships.</x:v>
      </x:c>
      <x:c r="M93" s="215" t="str">
        <x:v>Do not count petal-like parts before identifying which whorl they belong to.</x:v>
      </x:c>
      <x:c r="N93" s="215" t="str">
        <x:v>Essential for all five selected local genus routes.</x:v>
      </x:c>
      <x:c r="O93" s="215" t="str">
        <x:v>Low</x:v>
      </x:c>
      <x:c r="P93" s="215" t="str">
        <x:v>No</x:v>
      </x:c>
      <x:c r="Q93" s="215" t="str"/>
      <x:c r="R93" s="215" t="str">
        <x:v>RAN-LK01; RAN-LK02</x:v>
      </x:c>
      <x:c r="S93" s="215" t="str">
        <x:v>APWEB-RANUNC; FNA-RANUNC; FNA-CLEMATIS; FNA-AQUILEGIA; FNA-DELPHINIUM; POWO-RANUNC</x:v>
      </x:c>
      <x:c r="T93" s="215" t="str">
        <x:v>https://www.mobot.org/MOBOT/research/APweb/orders/ranunculalesweb.htm</x:v>
      </x:c>
      <x:c r="U93" s="215" t="str">
        <x:v>https://floranorthamerica.org/Ranunculaceae
https://floranorthamerica.org/Clematis
https://floranorthamerica.org/Aquilegia
https://floranorthamerica.org/Delphinium</x:v>
      </x:c>
      <x:c r="V93" s="215" t="str">
        <x:v>https://powo.science.kew.org/taxon/urn:lsid:ipni.org:names:30000277-2</x:v>
      </x:c>
      <x:c r="W93" s="215" t="str">
        <x:v>https://www.mobot.org/MOBOT/research/APweb/orders/ranunculalesweb.htm
https://floranorthamerica.org/Ranunculaceae
https://floranorthamerica.org/Clematis
https://floranorthamerica.org/Aquilegia
https://floranorthamerica.org/Delphinium
https://powo.science.kew.org/taxon/urn:lsid:ipni.org:names:30000277-2</x:v>
      </x:c>
      <x:c r="X93" s="215" t="str">
        <x:v>No — retain qualifiers and exceptions</x:v>
      </x:c>
      <x:c r="Y93" s="215" t="str">
        <x:v>Yes</x:v>
      </x:c>
      <x:c r="Z93" s="215" t="str">
        <x:v>Source-backed draft</x:v>
      </x:c>
    </x:row>
    <x:row r="94" ht="42" customHeight="1">
      <x:c r="A94" s="215" t="str">
        <x:v>Ranunculaceae</x:v>
      </x:c>
      <x:c r="B94" s="215" t="str">
        <x:v>RAN-STAMENS</x:v>
      </x:c>
      <x:c r="C94" s="215" t="str">
        <x:v>Family-wide, common</x:v>
      </x:c>
      <x:c r="D94" s="215" t="str">
        <x:v>Androecium</x:v>
      </x:c>
      <x:c r="E94" s="215" t="str">
        <x:v>Stamens usually numerous, free, and spirally arranged</x:v>
      </x:c>
      <x:c r="F94" s="215" t="str">
        <x:v>Core</x:v>
      </x:c>
      <x:c r="G94" s="215" t="str">
        <x:v>5</x:v>
      </x:c>
      <x:c r="H94" s="215" t="str">
        <x:v>High</x:v>
      </x:c>
      <x:c r="I94" s="215" t="str">
        <x:v>Naked eye or hand lens</x:v>
      </x:c>
      <x:c r="J94" s="215" t="str">
        <x:v>Flowering</x:v>
      </x:c>
      <x:c r="K94" s="215" t="str">
        <x:v>Many separate stamens form a conspicuous ring or mound around the carpels.</x:v>
      </x:c>
      <x:c r="L94" s="215" t="str">
        <x:v>Stamen number can be reduced in some lineages, and dense centers can obscure individual insertion.</x:v>
      </x:c>
      <x:c r="M94" s="215" t="str">
        <x:v>A major family clue when combined with free superior carpels.</x:v>
      </x:c>
      <x:c r="N94" s="215" t="str">
        <x:v>Strong across the selected local genera.</x:v>
      </x:c>
      <x:c r="O94" s="215" t="str">
        <x:v>Low</x:v>
      </x:c>
      <x:c r="P94" s="215" t="str">
        <x:v>No</x:v>
      </x:c>
      <x:c r="Q94" s="215" t="str"/>
      <x:c r="R94" s="215" t="str">
        <x:v>RAN-LK01; RAN-LK02</x:v>
      </x:c>
      <x:c r="S94" s="215" t="str">
        <x:v>APWEB-RANUNC; FNA-RANUNC; POWO-RANUNC</x:v>
      </x:c>
      <x:c r="T94" s="215" t="str">
        <x:v>https://www.mobot.org/MOBOT/research/APweb/orders/ranunculalesweb.htm</x:v>
      </x:c>
      <x:c r="U94" s="215" t="str">
        <x:v>https://floranorthamerica.org/Ranunculaceae</x:v>
      </x:c>
      <x:c r="V94" s="215" t="str">
        <x:v>https://powo.science.kew.org/taxon/urn:lsid:ipni.org:names:30000277-2</x:v>
      </x:c>
      <x:c r="W94" s="215" t="str">
        <x:v>https://www.mobot.org/MOBOT/research/APweb/orders/ranunculalesweb.htm
https://floranorthamerica.org/Ranunculaceae
https://powo.science.kew.org/taxon/urn:lsid:ipni.org:names:30000277-2</x:v>
      </x:c>
      <x:c r="X94" s="215" t="str">
        <x:v>No — retain qualifiers and exceptions</x:v>
      </x:c>
      <x:c r="Y94" s="215" t="str">
        <x:v>Yes</x:v>
      </x:c>
      <x:c r="Z94" s="215" t="str">
        <x:v>Source-backed draft</x:v>
      </x:c>
    </x:row>
    <x:row r="95" ht="42" customHeight="1">
      <x:c r="A95" s="215" t="str">
        <x:v>Ranunculaceae</x:v>
      </x:c>
      <x:c r="B95" s="215" t="str">
        <x:v>RAN-CARPELS</x:v>
      </x:c>
      <x:c r="C95" s="215" t="str">
        <x:v>Family-wide, common</x:v>
      </x:c>
      <x:c r="D95" s="215" t="str">
        <x:v>Gynoecium</x:v>
      </x:c>
      <x:c r="E95" s="215" t="str">
        <x:v>One to many separate superior carpels</x:v>
      </x:c>
      <x:c r="F95" s="215" t="str">
        <x:v>Core</x:v>
      </x:c>
      <x:c r="G95" s="215" t="str">
        <x:v>5</x:v>
      </x:c>
      <x:c r="H95" s="215" t="str">
        <x:v>High</x:v>
      </x:c>
      <x:c r="I95" s="215" t="str">
        <x:v>Naked eye or hand lens</x:v>
      </x:c>
      <x:c r="J95" s="215" t="str">
        <x:v>Flowering or fruiting</x:v>
      </x:c>
      <x:c r="K95" s="215" t="str">
        <x:v>The flower center usually contains multiple unfused ovaries, each capable of becoming a separate fruit unit.</x:v>
      </x:c>
      <x:c r="L95" s="215" t="str">
        <x:v>Some genera have few or one carpel, and tightly packed carpels may look fused without magnification.</x:v>
      </x:c>
      <x:c r="M95" s="215" t="str">
        <x:v>Separates most buttercup-family flowers from syncarpous lookalikes.</x:v>
      </x:c>
      <x:c r="N95" s="215" t="str">
        <x:v>Highly useful in local Ranunculus, Anemone, Clematis, Aquilegia, and Delphinium.</x:v>
      </x:c>
      <x:c r="O95" s="215" t="str">
        <x:v>Low</x:v>
      </x:c>
      <x:c r="P95" s="215" t="str">
        <x:v>No</x:v>
      </x:c>
      <x:c r="Q95" s="215" t="str"/>
      <x:c r="R95" s="215" t="str">
        <x:v>RAN-LK01; RAN-LK02</x:v>
      </x:c>
      <x:c r="S95" s="215" t="str">
        <x:v>APWEB-RANUNC; FNA-RANUNC; POWO-RANUNC</x:v>
      </x:c>
      <x:c r="T95" s="215" t="str">
        <x:v>https://www.mobot.org/MOBOT/research/APweb/orders/ranunculalesweb.htm</x:v>
      </x:c>
      <x:c r="U95" s="215" t="str">
        <x:v>https://floranorthamerica.org/Ranunculaceae</x:v>
      </x:c>
      <x:c r="V95" s="215" t="str">
        <x:v>https://powo.science.kew.org/taxon/urn:lsid:ipni.org:names:30000277-2</x:v>
      </x:c>
      <x:c r="W95" s="215" t="str">
        <x:v>https://www.mobot.org/MOBOT/research/APweb/orders/ranunculalesweb.htm
https://floranorthamerica.org/Ranunculaceae
https://powo.science.kew.org/taxon/urn:lsid:ipni.org:names:30000277-2</x:v>
      </x:c>
      <x:c r="X95" s="215" t="str">
        <x:v>No — retain qualifiers and exceptions</x:v>
      </x:c>
      <x:c r="Y95" s="215" t="str">
        <x:v>Yes</x:v>
      </x:c>
      <x:c r="Z95" s="215" t="str">
        <x:v>Source-backed draft</x:v>
      </x:c>
    </x:row>
    <x:row r="96" ht="42" customHeight="1">
      <x:c r="A96" s="215" t="str">
        <x:v>Ranunculaceae</x:v>
      </x:c>
      <x:c r="B96" s="215" t="str">
        <x:v>RAN-FRUIT</x:v>
      </x:c>
      <x:c r="C96" s="215" t="str">
        <x:v>Family-wide, common</x:v>
      </x:c>
      <x:c r="D96" s="215" t="str">
        <x:v>Fruit</x:v>
      </x:c>
      <x:c r="E96" s="215" t="str">
        <x:v>Aggregate of achenes or follicles</x:v>
      </x:c>
      <x:c r="F96" s="215" t="str">
        <x:v>Strong</x:v>
      </x:c>
      <x:c r="G96" s="215" t="str">
        <x:v>4</x:v>
      </x:c>
      <x:c r="H96" s="215" t="str">
        <x:v>High</x:v>
      </x:c>
      <x:c r="I96" s="215" t="str">
        <x:v>Naked eye or hand lens</x:v>
      </x:c>
      <x:c r="J96" s="215" t="str">
        <x:v>Mature fruit</x:v>
      </x:c>
      <x:c r="K96" s="215" t="str">
        <x:v>Each free carpel matures as its own dry fruit, creating a cluster of achenes or follicles.</x:v>
      </x:c>
      <x:c r="L96" s="215" t="str">
        <x:v>Some family lineages have berry-like fruits; fruit type differs by genus and should not be treated as one universal state.</x:v>
      </x:c>
      <x:c r="M96" s="215" t="str">
        <x:v>Use achene versus follicle to route local genera after family placement.</x:v>
      </x:c>
      <x:c r="N96" s="215" t="str">
        <x:v>Ranunculus, Anemone, and Clematis are achene routes; Aquilegia and Delphinium are follicle routes.</x:v>
      </x:c>
      <x:c r="O96" s="215" t="str">
        <x:v>Low</x:v>
      </x:c>
      <x:c r="P96" s="215" t="str">
        <x:v>No</x:v>
      </x:c>
      <x:c r="Q96" s="215" t="str"/>
      <x:c r="R96" s="215" t="str">
        <x:v>RAN-LK01; RAN-LK02</x:v>
      </x:c>
      <x:c r="S96" s="215" t="str">
        <x:v>APWEB-RANUNC; FNA-RANUNC; POWO-RANUNC</x:v>
      </x:c>
      <x:c r="T96" s="215" t="str">
        <x:v>https://www.mobot.org/MOBOT/research/APweb/orders/ranunculalesweb.htm</x:v>
      </x:c>
      <x:c r="U96" s="215" t="str">
        <x:v>https://floranorthamerica.org/Ranunculaceae</x:v>
      </x:c>
      <x:c r="V96" s="215" t="str">
        <x:v>https://powo.science.kew.org/taxon/urn:lsid:ipni.org:names:30000277-2</x:v>
      </x:c>
      <x:c r="W96" s="215" t="str">
        <x:v>https://www.mobot.org/MOBOT/research/APweb/orders/ranunculalesweb.htm
https://floranorthamerica.org/Ranunculaceae
https://powo.science.kew.org/taxon/urn:lsid:ipni.org:names:30000277-2</x:v>
      </x:c>
      <x:c r="X96" s="215" t="str">
        <x:v>No — retain qualifiers and exceptions</x:v>
      </x:c>
      <x:c r="Y96" s="215" t="str">
        <x:v>Yes</x:v>
      </x:c>
      <x:c r="Z96" s="215" t="str">
        <x:v>Source-backed draft</x:v>
      </x:c>
    </x:row>
    <x:row r="97" ht="42" customHeight="1">
      <x:c r="A97" s="215" t="str">
        <x:v>Ranunculaceae</x:v>
      </x:c>
      <x:c r="B97" s="215" t="str">
        <x:v>RAN-LEAFVAR</x:v>
      </x:c>
      <x:c r="C97" s="215" t="str">
        <x:v>Family-wide</x:v>
      </x:c>
      <x:c r="D97" s="215" t="str">
        <x:v>Leaf</x:v>
      </x:c>
      <x:c r="E97" s="215" t="str">
        <x:v>Leaves often dissected or compound, but arrangement and shape highly variable</x:v>
      </x:c>
      <x:c r="F97" s="215" t="str">
        <x:v>Caution</x:v>
      </x:c>
      <x:c r="G97" s="215" t="str">
        <x:v>1</x:v>
      </x:c>
      <x:c r="H97" s="215" t="str">
        <x:v>High as a warning</x:v>
      </x:c>
      <x:c r="I97" s="215" t="str">
        <x:v>Naked eye</x:v>
      </x:c>
      <x:c r="J97" s="215" t="str">
        <x:v>Vegetative</x:v>
      </x:c>
      <x:c r="K97" s="215" t="str">
        <x:v>Many species have divided leaves with sheathing or expanded petiole bases.</x:v>
      </x:c>
      <x:c r="L97" s="215" t="str">
        <x:v>Leaves may be simple, opposite in Clematis, basal, alternate, or highly modified; similar leaves occur in many families.</x:v>
      </x:c>
      <x:c r="M97" s="215" t="str">
        <x:v>Use vegetation only to choose a likely genus route, not to prove the family.</x:v>
      </x:c>
      <x:c r="N97" s="215" t="str">
        <x:v>Critical because local Clematis breaks the common alternate-leaf expectation.</x:v>
      </x:c>
      <x:c r="O97" s="215" t="str">
        <x:v>Low</x:v>
      </x:c>
      <x:c r="P97" s="215" t="str">
        <x:v>No</x:v>
      </x:c>
      <x:c r="Q97" s="215" t="str"/>
      <x:c r="R97" s="215" t="str">
        <x:v>RAN-LK01; RAN-LK02</x:v>
      </x:c>
      <x:c r="S97" s="215" t="str">
        <x:v>FNA-RANUNC; APWEB-RANUNC; POWO-RANUNC</x:v>
      </x:c>
      <x:c r="T97" s="215" t="str">
        <x:v>https://www.mobot.org/MOBOT/research/APweb/orders/ranunculalesweb.htm</x:v>
      </x:c>
      <x:c r="U97" s="215" t="str">
        <x:v>https://floranorthamerica.org/Ranunculaceae</x:v>
      </x:c>
      <x:c r="V97" s="215" t="str">
        <x:v>https://powo.science.kew.org/taxon/urn:lsid:ipni.org:names:30000277-2</x:v>
      </x:c>
      <x:c r="W97" s="215" t="str">
        <x:v>https://floranorthamerica.org/Ranunculaceae
https://www.mobot.org/MOBOT/research/APweb/orders/ranunculalesweb.htm
https://powo.science.kew.org/taxon/urn:lsid:ipni.org:names:30000277-2</x:v>
      </x:c>
      <x:c r="X97" s="215" t="str">
        <x:v>No — retain qualifiers and exceptions</x:v>
      </x:c>
      <x:c r="Y97" s="215" t="str">
        <x:v>Yes</x:v>
      </x:c>
      <x:c r="Z97" s="215" t="str">
        <x:v>Source-backed draft</x:v>
      </x:c>
    </x:row>
    <x:row r="98" ht="42" customHeight="1">
      <x:c r="A98" s="215" t="str">
        <x:v>Ranunculaceae</x:v>
      </x:c>
      <x:c r="B98" s="215" t="str">
        <x:v>RAN-CLEMATIS</x:v>
      </x:c>
      <x:c r="C98" s="215" t="str">
        <x:v>Local subgroup: Clematis</x:v>
      </x:c>
      <x:c r="D98" s="215" t="str">
        <x:v>Habit, leaf, fruit</x:v>
      </x:c>
      <x:c r="E98" s="215" t="str">
        <x:v>Climbing or trailing plant, opposite leaves, petal-like sepals, and achenes often with persistent feathery styles</x:v>
      </x:c>
      <x:c r="F98" s="215" t="str">
        <x:v>Subgroup</x:v>
      </x:c>
      <x:c r="G98" s="215" t="str">
        <x:v>5</x:v>
      </x:c>
      <x:c r="H98" s="215" t="str">
        <x:v>High within local Clematis</x:v>
      </x:c>
      <x:c r="I98" s="215" t="str">
        <x:v>Naked eye</x:v>
      </x:c>
      <x:c r="J98" s="215" t="str">
        <x:v>Flowering or fruiting</x:v>
      </x:c>
      <x:c r="K98" s="215" t="str">
        <x:v>Clematis combines opposite leaves with a petal-less flower whose showy sepals surround many stamens and carpels.</x:v>
      </x:c>
      <x:c r="L98" s="215" t="str">
        <x:v>Not every species climbs strongly, and the fruit tails vary in length or hairiness.</x:v>
      </x:c>
      <x:c r="M98" s="215" t="str">
        <x:v>Separates local Clematis from the usually nonclimbing, alternate- or basal-leaved family routes.</x:v>
      </x:c>
      <x:c r="N98" s="215" t="str">
        <x:v>Four local Clematis rows make this the largest selected Ranunculaceae route.</x:v>
      </x:c>
      <x:c r="O98" s="215" t="str">
        <x:v>Low</x:v>
      </x:c>
      <x:c r="P98" s="215" t="str">
        <x:v>No</x:v>
      </x:c>
      <x:c r="Q98" s="215" t="str"/>
      <x:c r="R98" s="215" t="str">
        <x:v>RAN-LK01</x:v>
      </x:c>
      <x:c r="S98" s="215" t="str">
        <x:v>FNA-CLEMATIS; FNA-RANUNC; APWEB-RANUNC; POWO-RANUNC</x:v>
      </x:c>
      <x:c r="T98" s="215" t="str">
        <x:v>https://www.mobot.org/MOBOT/research/APweb/orders/ranunculalesweb.htm</x:v>
      </x:c>
      <x:c r="U98" s="215" t="str">
        <x:v>https://floranorthamerica.org/Clematis
https://floranorthamerica.org/Ranunculaceae</x:v>
      </x:c>
      <x:c r="V98" s="215" t="str">
        <x:v>https://powo.science.kew.org/taxon/urn:lsid:ipni.org:names:30000277-2</x:v>
      </x:c>
      <x:c r="W98" s="215" t="str">
        <x:v>https://floranorthamerica.org/Clematis
https://floranorthamerica.org/Ranunculaceae
https://www.mobot.org/MOBOT/research/APweb/orders/ranunculalesweb.htm
https://powo.science.kew.org/taxon/urn:lsid:ipni.org:names:30000277-2</x:v>
      </x:c>
      <x:c r="X98" s="215" t="str">
        <x:v>No — retain qualifiers and exceptions</x:v>
      </x:c>
      <x:c r="Y98" s="215" t="str">
        <x:v>Yes</x:v>
      </x:c>
      <x:c r="Z98" s="215" t="str">
        <x:v>Source-backed draft</x:v>
      </x:c>
    </x:row>
    <x:row r="99" ht="42" customHeight="1">
      <x:c r="A99" s="215" t="str">
        <x:v>Ranunculaceae</x:v>
      </x:c>
      <x:c r="B99" s="215" t="str">
        <x:v>RAN-AQUILEGIA</x:v>
      </x:c>
      <x:c r="C99" s="215" t="str">
        <x:v>Local subgroup: Aquilegia</x:v>
      </x:c>
      <x:c r="D99" s="215" t="str">
        <x:v>Flower and fruit</x:v>
      </x:c>
      <x:c r="E99" s="215" t="str">
        <x:v>Five petal-like sepals plus five backward-spurred nectar petals; fruit of follicles</x:v>
      </x:c>
      <x:c r="F99" s="215" t="str">
        <x:v>Subgroup</x:v>
      </x:c>
      <x:c r="G99" s="215" t="str">
        <x:v>5</x:v>
      </x:c>
      <x:c r="H99" s="215" t="str">
        <x:v>High within local Aquilegia</x:v>
      </x:c>
      <x:c r="I99" s="215" t="str">
        <x:v>Naked eye</x:v>
      </x:c>
      <x:c r="J99" s="215" t="str">
        <x:v>Flowering or fruiting</x:v>
      </x:c>
      <x:c r="K99" s="215" t="str">
        <x:v>Each flower has five conspicuous spurs formed by the inner petal whorl.</x:v>
      </x:c>
      <x:c r="L99" s="215" t="str">
        <x:v>Spur length and orientation vary, and counting the two perianth whorls requires an intact flower.</x:v>
      </x:c>
      <x:c r="M99" s="215" t="str">
        <x:v>The five nectar spurs identify Aquilegia among local Ranunculaceae.</x:v>
      </x:c>
      <x:c r="N99" s="215" t="str">
        <x:v>One local Aquilegia row; reproductive material is decisive.</x:v>
      </x:c>
      <x:c r="O99" s="215" t="str">
        <x:v>Low</x:v>
      </x:c>
      <x:c r="P99" s="215" t="str">
        <x:v>No</x:v>
      </x:c>
      <x:c r="Q99" s="215" t="str"/>
      <x:c r="R99" s="215" t="str">
        <x:v>RAN-LK02</x:v>
      </x:c>
      <x:c r="S99" s="215" t="str">
        <x:v>FNA-AQUILEGIA; FNA-RANUNC; APWEB-RANUNC; POWO-RANUNC</x:v>
      </x:c>
      <x:c r="T99" s="215" t="str">
        <x:v>https://www.mobot.org/MOBOT/research/APweb/orders/ranunculalesweb.htm</x:v>
      </x:c>
      <x:c r="U99" s="215" t="str">
        <x:v>https://floranorthamerica.org/Aquilegia
https://floranorthamerica.org/Ranunculaceae</x:v>
      </x:c>
      <x:c r="V99" s="215" t="str">
        <x:v>https://powo.science.kew.org/taxon/urn:lsid:ipni.org:names:30000277-2</x:v>
      </x:c>
      <x:c r="W99" s="215" t="str">
        <x:v>https://floranorthamerica.org/Aquilegia
https://floranorthamerica.org/Ranunculaceae
https://www.mobot.org/MOBOT/research/APweb/orders/ranunculalesweb.htm
https://powo.science.kew.org/taxon/urn:lsid:ipni.org:names:30000277-2</x:v>
      </x:c>
      <x:c r="X99" s="215" t="str">
        <x:v>No — retain qualifiers and exceptions</x:v>
      </x:c>
      <x:c r="Y99" s="215" t="str">
        <x:v>Yes</x:v>
      </x:c>
      <x:c r="Z99" s="215" t="str">
        <x:v>Source-backed draft</x:v>
      </x:c>
    </x:row>
    <x:row r="100" ht="42" customHeight="1">
      <x:c r="A100" s="215" t="str">
        <x:v>Ranunculaceae</x:v>
      </x:c>
      <x:c r="B100" s="215" t="str">
        <x:v>RAN-DELPHINIUM</x:v>
      </x:c>
      <x:c r="C100" s="215" t="str">
        <x:v>Local subgroup: Delphinium</x:v>
      </x:c>
      <x:c r="D100" s="215" t="str">
        <x:v>Flower and fruit</x:v>
      </x:c>
      <x:c r="E100" s="215" t="str">
        <x:v>Bilaterally symmetric flower with one conspicuous sepal spur; fruit of follicles</x:v>
      </x:c>
      <x:c r="F100" s="215" t="str">
        <x:v>Subgroup</x:v>
      </x:c>
      <x:c r="G100" s="215" t="str">
        <x:v>5</x:v>
      </x:c>
      <x:c r="H100" s="215" t="str">
        <x:v>High within local Delphinium</x:v>
      </x:c>
      <x:c r="I100" s="215" t="str">
        <x:v>Naked eye</x:v>
      </x:c>
      <x:c r="J100" s="215" t="str">
        <x:v>Flowering or fruiting</x:v>
      </x:c>
      <x:c r="K100" s="215" t="str">
        <x:v>A single rearward spur formed by the upper sepal and a complex inner petal arrangement create the larkspur shape.</x:v>
      </x:c>
      <x:c r="L100" s="215" t="str">
        <x:v>Flower color and the number or fusion of follicles vary; damaged flowers can hide the smaller inner parts.</x:v>
      </x:c>
      <x:c r="M100" s="215" t="str">
        <x:v>Separates local Delphinium from radially symmetric buttercups and five-spurred Aquilegia.</x:v>
      </x:c>
      <x:c r="N100" s="215" t="str">
        <x:v>Two local Delphinium rows; flower-dependent but highly reliable.</x:v>
      </x:c>
      <x:c r="O100" s="215" t="str">
        <x:v>Low</x:v>
      </x:c>
      <x:c r="P100" s="215" t="str">
        <x:v>No</x:v>
      </x:c>
      <x:c r="Q100" s="215" t="str"/>
      <x:c r="R100" s="215" t="str">
        <x:v>RAN-LK02</x:v>
      </x:c>
      <x:c r="S100" s="215" t="str">
        <x:v>FNA-DELPHINIUM; FNA-RANUNC; APWEB-RANUNC; POWO-RANUNC</x:v>
      </x:c>
      <x:c r="T100" s="215" t="str">
        <x:v>https://www.mobot.org/MOBOT/research/APweb/orders/ranunculalesweb.htm</x:v>
      </x:c>
      <x:c r="U100" s="215" t="str">
        <x:v>https://floranorthamerica.org/Delphinium
https://floranorthamerica.org/Ranunculaceae</x:v>
      </x:c>
      <x:c r="V100" s="215" t="str">
        <x:v>https://powo.science.kew.org/taxon/urn:lsid:ipni.org:names:30000277-2</x:v>
      </x:c>
      <x:c r="W100" s="215" t="str">
        <x:v>https://floranorthamerica.org/Delphinium
https://floranorthamerica.org/Ranunculaceae
https://www.mobot.org/MOBOT/research/APweb/orders/ranunculalesweb.htm
https://powo.science.kew.org/taxon/urn:lsid:ipni.org:names:30000277-2</x:v>
      </x:c>
      <x:c r="X100" s="215" t="str">
        <x:v>No — retain qualifiers and exceptions</x:v>
      </x:c>
      <x:c r="Y100" s="215" t="str">
        <x:v>Yes</x:v>
      </x:c>
      <x:c r="Z100" s="215" t="str">
        <x:v>Source-backed draft</x:v>
      </x:c>
    </x:row>
    <x:row r="101" ht="42" customHeight="1">
      <x:c r="A101" s="215" t="str">
        <x:v>Ranunculaceae</x:v>
      </x:c>
      <x:c r="B101" s="215" t="str">
        <x:v>RAN-RANUNCULUS</x:v>
      </x:c>
      <x:c r="C101" s="215" t="str">
        <x:v>Local subgroup: Ranunculus</x:v>
      </x:c>
      <x:c r="D101" s="215" t="str">
        <x:v>Flower and fruit</x:v>
      </x:c>
      <x:c r="E101" s="215" t="str">
        <x:v>Usually five glossy petals with basal nectary and a head of many achenes</x:v>
      </x:c>
      <x:c r="F101" s="215" t="str">
        <x:v>Subgroup</x:v>
      </x:c>
      <x:c r="G101" s="215" t="str">
        <x:v>5</x:v>
      </x:c>
      <x:c r="H101" s="215" t="str">
        <x:v>High within local Ranunculus</x:v>
      </x:c>
      <x:c r="I101" s="215" t="str">
        <x:v>Naked eye or hand lens</x:v>
      </x:c>
      <x:c r="J101" s="215" t="str">
        <x:v>Flowering or fruiting</x:v>
      </x:c>
      <x:c r="K101" s="215" t="str">
        <x:v>Typical buttercups have separate yellow petals, many stamens, and many one-seeded achenes.</x:v>
      </x:c>
      <x:c r="L101" s="215" t="str">
        <x:v>Petal number and color vary, some species are aquatic or reduced, and glossy yellow is not universal.</x:v>
      </x:c>
      <x:c r="M101" s="215" t="str">
        <x:v>Separates local Ranunculus from petal-less Anemone and Clematis and follicle-fruited genera.</x:v>
      </x:c>
      <x:c r="N101" s="215" t="str">
        <x:v>Three local Ranunculus rows; reliable when mature flowers and fruits are available.</x:v>
      </x:c>
      <x:c r="O101" s="215" t="str">
        <x:v>Low</x:v>
      </x:c>
      <x:c r="P101" s="215" t="str">
        <x:v>No</x:v>
      </x:c>
      <x:c r="Q101" s="215" t="str"/>
      <x:c r="R101" s="215" t="str">
        <x:v>RAN-LK01</x:v>
      </x:c>
      <x:c r="S101" s="215" t="str">
        <x:v>FNA-RANUNCULUS; FNA-RANUNC; APWEB-RANUNC; POWO-RANUNC</x:v>
      </x:c>
      <x:c r="T101" s="215" t="str">
        <x:v>https://www.mobot.org/MOBOT/research/APweb/orders/ranunculalesweb.htm</x:v>
      </x:c>
      <x:c r="U101" s="215" t="str">
        <x:v>https://floranorthamerica.org/Ranunculus
https://floranorthamerica.org/Ranunculaceae</x:v>
      </x:c>
      <x:c r="V101" s="215" t="str">
        <x:v>https://powo.science.kew.org/taxon/urn:lsid:ipni.org:names:30000277-2</x:v>
      </x:c>
      <x:c r="W101" s="215" t="str">
        <x:v>https://floranorthamerica.org/Ranunculus
https://floranorthamerica.org/Ranunculaceae
https://www.mobot.org/MOBOT/research/APweb/orders/ranunculalesweb.htm
https://powo.science.kew.org/taxon/urn:lsid:ipni.org:names:30000277-2</x:v>
      </x:c>
      <x:c r="X101" s="215" t="str">
        <x:v>No — retain qualifiers and exceptions</x:v>
      </x:c>
      <x:c r="Y101" s="215" t="str">
        <x:v>Yes</x:v>
      </x:c>
      <x:c r="Z101" s="215" t="str">
        <x:v>Source-backed draft</x:v>
      </x:c>
    </x:row>
    <x:row r="102" ht="42" customHeight="1">
      <x:c r="A102" s="215" t="str">
        <x:v>Ranunculaceae</x:v>
      </x:c>
      <x:c r="B102" s="215" t="str">
        <x:v>RAN-ANEMONE</x:v>
      </x:c>
      <x:c r="C102" s="215" t="str">
        <x:v>Local subgroup: Anemone</x:v>
      </x:c>
      <x:c r="D102" s="215" t="str">
        <x:v>Flower and fruit</x:v>
      </x:c>
      <x:c r="E102" s="215" t="str">
        <x:v>Petals absent; showy sepals surround many stamens and an aggregate of achenes</x:v>
      </x:c>
      <x:c r="F102" s="215" t="str">
        <x:v>Subgroup</x:v>
      </x:c>
      <x:c r="G102" s="215" t="str">
        <x:v>5</x:v>
      </x:c>
      <x:c r="H102" s="215" t="str">
        <x:v>High within local Anemone</x:v>
      </x:c>
      <x:c r="I102" s="215" t="str">
        <x:v>Naked eye</x:v>
      </x:c>
      <x:c r="J102" s="215" t="str">
        <x:v>Flowering or fruiting</x:v>
      </x:c>
      <x:c r="K102" s="215" t="str">
        <x:v>Anemone flowers look petaled, but the showy parts belong to one perianth whorl and the center matures into many achenes.</x:v>
      </x:c>
      <x:c r="L102" s="215" t="str">
        <x:v>Involucral leaves and achene hairiness vary; submitted infraspecific names may require taxonomic review.</x:v>
      </x:c>
      <x:c r="M102" s="215" t="str">
        <x:v>Separates local Anemone from true petal-bearing Ranunculus and from opposite-leaved Clematis.</x:v>
      </x:c>
      <x:c r="N102" s="215" t="str">
        <x:v>Two accepted-family rows plus one unresolved submitted Anemone name require separate handling.</x:v>
      </x:c>
      <x:c r="O102" s="215" t="str">
        <x:v>Moderate</x:v>
      </x:c>
      <x:c r="P102" s="215" t="str">
        <x:v>Yes</x:v>
      </x:c>
      <x:c r="Q102" s="215" t="str">
        <x:v>Do not apply this profile to the unresolved Anemone edwardsiana var. edwardsiana record until the taxon name is reviewed.</x:v>
      </x:c>
      <x:c r="R102" s="215" t="str">
        <x:v>RAN-LK01</x:v>
      </x:c>
      <x:c r="S102" s="215" t="str">
        <x:v>FNA-ANEMONE; FNA-RANUNC; APWEB-RANUNC; POWO-RANUNC</x:v>
      </x:c>
      <x:c r="T102" s="215" t="str">
        <x:v>https://www.mobot.org/MOBOT/research/APweb/orders/ranunculalesweb.htm</x:v>
      </x:c>
      <x:c r="U102" s="215" t="str">
        <x:v>https://floranorthamerica.org/Anemone
https://floranorthamerica.org/Ranunculaceae</x:v>
      </x:c>
      <x:c r="V102" s="215" t="str">
        <x:v>https://powo.science.kew.org/taxon/urn:lsid:ipni.org:names:30000277-2</x:v>
      </x:c>
      <x:c r="W102" s="215" t="str">
        <x:v>https://floranorthamerica.org/Anemone
https://floranorthamerica.org/Ranunculaceae
https://www.mobot.org/MOBOT/research/APweb/orders/ranunculalesweb.htm
https://powo.science.kew.org/taxon/urn:lsid:ipni.org:names:30000277-2</x:v>
      </x:c>
      <x:c r="X102" s="215" t="str">
        <x:v>No — retain qualifiers and exceptions</x:v>
      </x:c>
      <x:c r="Y102" s="215" t="str">
        <x:v>Yes</x:v>
      </x:c>
      <x:c r="Z102" s="215" t="str">
        <x:v>Human review required</x:v>
      </x:c>
    </x:row>
    <x:row r="103" ht="42" customHeight="1">
      <x:c r="A103" s="215" t="str">
        <x:v>Ranunculaceae</x:v>
      </x:c>
      <x:c r="B103" s="215" t="str">
        <x:v>RAN-MATUREFLOWER</x:v>
      </x:c>
      <x:c r="C103" s="215" t="str">
        <x:v>Method warning</x:v>
      </x:c>
      <x:c r="D103" s="215" t="str">
        <x:v>Flower</x:v>
      </x:c>
      <x:c r="E103" s="215" t="str">
        <x:v>Use mature, fully open flowers for perianth and nectary interpretation</x:v>
      </x:c>
      <x:c r="F103" s="215" t="str">
        <x:v>Caution</x:v>
      </x:c>
      <x:c r="G103" s="215" t="str">
        <x:v>0</x:v>
      </x:c>
      <x:c r="H103" s="215" t="str">
        <x:v>High as a method rule</x:v>
      </x:c>
      <x:c r="I103" s="215" t="str">
        <x:v>Naked eye and hand lens</x:v>
      </x:c>
      <x:c r="J103" s="215" t="str">
        <x:v>Fresh fully open flowering</x:v>
      </x:c>
      <x:c r="K103" s="215" t="str">
        <x:v>Bud stages and partly open flowers can hide small nectar petals or make sepals and petals appear fused or absent.</x:v>
      </x:c>
      <x:c r="L103" s="215" t="str">
        <x:v>Weathered flowers may lose inner organs; fruits alone may require a different key route.</x:v>
      </x:c>
      <x:c r="M103" s="215" t="str">
        <x:v>Record “unknown” rather than forcing a petal count from unsuitable material.</x:v>
      </x:c>
      <x:c r="N103" s="215" t="str">
        <x:v>Especially important for Aquilegia, Delphinium, Ranunculus, and small-flowered material.</x:v>
      </x:c>
      <x:c r="O103" s="215" t="str">
        <x:v>Low</x:v>
      </x:c>
      <x:c r="P103" s="215" t="str">
        <x:v>No</x:v>
      </x:c>
      <x:c r="Q103" s="215" t="str"/>
      <x:c r="R103" s="215" t="str">
        <x:v>RAN-LK01; RAN-LK02</x:v>
      </x:c>
      <x:c r="S103" s="215" t="str">
        <x:v>FNA-RANUNC; APWEB-RANUNC; POWO-RANUNC</x:v>
      </x:c>
      <x:c r="T103" s="215" t="str">
        <x:v>https://www.mobot.org/MOBOT/research/APweb/orders/ranunculalesweb.htm</x:v>
      </x:c>
      <x:c r="U103" s="215" t="str">
        <x:v>https://floranorthamerica.org/Ranunculaceae</x:v>
      </x:c>
      <x:c r="V103" s="215" t="str">
        <x:v>https://powo.science.kew.org/taxon/urn:lsid:ipni.org:names:30000277-2</x:v>
      </x:c>
      <x:c r="W103" s="215" t="str">
        <x:v>https://floranorthamerica.org/Ranunculaceae
https://www.mobot.org/MOBOT/research/APweb/orders/ranunculalesweb.htm
https://powo.science.kew.org/taxon/urn:lsid:ipni.org:names:30000277-2</x:v>
      </x:c>
      <x:c r="X103" s="215" t="str">
        <x:v>No — retain qualifiers and exceptions</x:v>
      </x:c>
      <x:c r="Y103" s="215" t="str">
        <x:v>Yes</x:v>
      </x:c>
      <x:c r="Z103" s="215" t="str">
        <x:v>Source-backed draft</x:v>
      </x:c>
    </x:row>
    <x:row r="104" ht="42" customHeight="1">
      <x:c r="A104" s="215" t="str">
        <x:v>Ranunculaceae</x:v>
      </x:c>
      <x:c r="B104" s="215" t="str">
        <x:v>RAN-TERMS</x:v>
      </x:c>
      <x:c r="C104" s="215" t="str">
        <x:v>Terminology warning</x:v>
      </x:c>
      <x:c r="D104" s="215" t="str">
        <x:v>Data interpretation</x:v>
      </x:c>
      <x:c r="E104" s="215" t="str">
        <x:v>Sepal, petal, tepal, and nectary terminology differs among authorities</x:v>
      </x:c>
      <x:c r="F104" s="215" t="str">
        <x:v>Caution</x:v>
      </x:c>
      <x:c r="G104" s="215" t="str">
        <x:v>0</x:v>
      </x:c>
      <x:c r="H104" s="215" t="str">
        <x:v>High as a documented limitation</x:v>
      </x:c>
      <x:c r="I104" s="215" t="str">
        <x:v>Reference check</x:v>
      </x:c>
      <x:c r="J104" s="215" t="str">
        <x:v>Flowering</x:v>
      </x:c>
      <x:c r="K104" s="215" t="str">
        <x:v>Authorities may use different names for the showy outer parts and specialized inner nectar organs.</x:v>
      </x:c>
      <x:c r="L104" s="215" t="str">
        <x:v>The disagreement reflects floral evolution and descriptive convention, not necessarily conflicting observations.</x:v>
      </x:c>
      <x:c r="M104" s="215" t="str">
        <x:v>Store the observed organ position and function, and preserve the source’s terminology in notes.</x:v>
      </x:c>
      <x:c r="N104" s="215" t="str">
        <x:v>Needed to prevent false conflicts across all local genus routes.</x:v>
      </x:c>
      <x:c r="O104" s="215" t="str">
        <x:v>High</x:v>
      </x:c>
      <x:c r="P104" s="215" t="str">
        <x:v>Yes</x:v>
      </x:c>
      <x:c r="Q104" s="215" t="str">
        <x:v>Human reviewer should approve controlled vocabulary for outer perianth, inner nectar organ, spur, and petal fields.</x:v>
      </x:c>
      <x:c r="R104" s="215" t="str">
        <x:v>RAN-LK02</x:v>
      </x:c>
      <x:c r="S104" s="215" t="str">
        <x:v>APWEB-RANUNC; FNA-RANUNC; POWO-RANUNC</x:v>
      </x:c>
      <x:c r="T104" s="215" t="str">
        <x:v>https://www.mobot.org/MOBOT/research/APweb/orders/ranunculalesweb.htm</x:v>
      </x:c>
      <x:c r="U104" s="215" t="str">
        <x:v>https://floranorthamerica.org/Ranunculaceae</x:v>
      </x:c>
      <x:c r="V104" s="215" t="str">
        <x:v>https://powo.science.kew.org/taxon/urn:lsid:ipni.org:names:30000277-2</x:v>
      </x:c>
      <x:c r="W104" s="215" t="str">
        <x:v>https://www.mobot.org/MOBOT/research/APweb/orders/ranunculalesweb.htm
https://floranorthamerica.org/Ranunculaceae
https://powo.science.kew.org/taxon/urn:lsid:ipni.org:names:30000277-2</x:v>
      </x:c>
      <x:c r="X104" s="215" t="str">
        <x:v>No — retain qualifiers and exceptions</x:v>
      </x:c>
      <x:c r="Y104" s="215" t="str">
        <x:v>Yes</x:v>
      </x:c>
      <x:c r="Z104" s="215" t="str">
        <x:v>Human review required</x:v>
      </x:c>
    </x:row>
    <x:row r="105" ht="42" customHeight="1">
      <x:c r="A105" s="215" t="str">
        <x:v>Ranunculaceae</x:v>
      </x:c>
      <x:c r="B105" s="215" t="str">
        <x:v>RAN-TOXIC</x:v>
      </x:c>
      <x:c r="C105" s="215" t="str">
        <x:v>Safety warning</x:v>
      </x:c>
      <x:c r="D105" s="215" t="str">
        <x:v>Chemistry</x:v>
      </x:c>
      <x:c r="E105" s="215" t="str">
        <x:v>Many members contain irritating or toxic compounds</x:v>
      </x:c>
      <x:c r="F105" s="215" t="str">
        <x:v>Caution</x:v>
      </x:c>
      <x:c r="G105" s="215" t="str">
        <x:v>0</x:v>
      </x:c>
      <x:c r="H105" s="215" t="str">
        <x:v>High as a safety rule</x:v>
      </x:c>
      <x:c r="I105" s="215" t="str">
        <x:v>Observe only</x:v>
      </x:c>
      <x:c r="J105" s="215" t="str">
        <x:v>Any</x:v>
      </x:c>
      <x:c r="K105" s="215" t="str">
        <x:v>Buttercup-family plants should not be tasted, and sap contact should be minimized.</x:v>
      </x:c>
      <x:c r="L105" s="215" t="str">
        <x:v>Toxicity and irritancy vary by taxon and plant part and are not identification characters.</x:v>
      </x:c>
      <x:c r="M105" s="215" t="str">
        <x:v>Safety instruction only; never score it as evidence for family placement.</x:v>
      </x:c>
      <x:c r="N105" s="215" t="str">
        <x:v>Relevant to local Delphinium and other family members.</x:v>
      </x:c>
      <x:c r="O105" s="215" t="str">
        <x:v>Low</x:v>
      </x:c>
      <x:c r="P105" s="215" t="str">
        <x:v>No</x:v>
      </x:c>
      <x:c r="Q105" s="215" t="str"/>
      <x:c r="R105" s="215" t="str">
        <x:v>RAN-LK01; RAN-LK02</x:v>
      </x:c>
      <x:c r="S105" s="215" t="str">
        <x:v>APWEB-RANUNC; FNA-RANUNC; POWO-RANUNC</x:v>
      </x:c>
      <x:c r="T105" s="215" t="str">
        <x:v>https://www.mobot.org/MOBOT/research/APweb/orders/ranunculalesweb.htm</x:v>
      </x:c>
      <x:c r="U105" s="215" t="str">
        <x:v>https://floranorthamerica.org/Ranunculaceae</x:v>
      </x:c>
      <x:c r="V105" s="215" t="str">
        <x:v>https://powo.science.kew.org/taxon/urn:lsid:ipni.org:names:30000277-2</x:v>
      </x:c>
      <x:c r="W105" s="215" t="str">
        <x:v>https://www.mobot.org/MOBOT/research/APweb/orders/ranunculalesweb.htm
https://floranorthamerica.org/Ranunculaceae
https://powo.science.kew.org/taxon/urn:lsid:ipni.org:names:30000277-2</x:v>
      </x:c>
      <x:c r="X105" s="215" t="str">
        <x:v>No — retain qualifiers and exceptions</x:v>
      </x:c>
      <x:c r="Y105" s="215" t="str">
        <x:v>Yes</x:v>
      </x:c>
      <x:c r="Z105" s="215" t="str">
        <x:v>Source-backed draft</x:v>
      </x:c>
    </x:row>
    <x:row r="106" ht="42" customHeight="1">
      <x:c r="A106" s="215" t="str">
        <x:v>Apiaceae</x:v>
      </x:c>
      <x:c r="B106" s="215" t="str">
        <x:v>API-HABIT</x:v>
      </x:c>
      <x:c r="C106" s="215" t="str">
        <x:v>Family-wide tendency</x:v>
      </x:c>
      <x:c r="D106" s="215" t="str">
        <x:v>Habit</x:v>
      </x:c>
      <x:c r="E106" s="215" t="str">
        <x:v>Predominantly herbaceous</x:v>
      </x:c>
      <x:c r="F106" s="215" t="str">
        <x:v>Supporting</x:v>
      </x:c>
      <x:c r="G106" s="215" t="str">
        <x:v>2</x:v>
      </x:c>
      <x:c r="H106" s="215" t="str">
        <x:v>Variable</x:v>
      </x:c>
      <x:c r="I106" s="215" t="str">
        <x:v>Naked eye</x:v>
      </x:c>
      <x:c r="J106" s="215" t="str">
        <x:v>Any</x:v>
      </x:c>
      <x:c r="K106" s="215" t="str">
        <x:v>Most members encountered locally are annual or perennial herbs.</x:v>
      </x:c>
      <x:c r="L106" s="215" t="str">
        <x:v>Shrubs, cushion plants, creepers, and rare trees occur in the family; habit cannot confirm or reject it.</x:v>
      </x:c>
      <x:c r="M106" s="215" t="str">
        <x:v>Use only as an early clue, especially against mostly woody Araliaceae.</x:v>
      </x:c>
      <x:c r="N106" s="215" t="str">
        <x:v>All 11 current Hays rows are herbaceous.</x:v>
      </x:c>
      <x:c r="O106" s="215" t="str">
        <x:v>Low</x:v>
      </x:c>
      <x:c r="P106" s="215" t="str">
        <x:v>No</x:v>
      </x:c>
      <x:c r="Q106" s="215" t="str"/>
      <x:c r="R106" s="215" t="str">
        <x:v>API-LK01</x:v>
      </x:c>
      <x:c r="S106" s="215" t="str">
        <x:v>APWEB-API; KEW-API-GI; POWO-API</x:v>
      </x:c>
      <x:c r="T106" s="215" t="str">
        <x:v>https://www.mobot.org/MOBOT/research/apweb/orders/apialesweb.htm</x:v>
      </x:c>
      <x:c r="U106" s="215" t="str">
        <x:v>https://powo.science.kew.org/taxon/urn:lsid:ipni.org:names:30000180-2/general-information</x:v>
      </x:c>
      <x:c r="V106" s="215" t="str">
        <x:v>https://powo.science.kew.org/taxon/urn:lsid:ipni.org:names:30000180-2</x:v>
      </x:c>
      <x:c r="W106" s="215" t="str">
        <x:v>https://www.mobot.org/MOBOT/research/apweb/orders/apialesweb.htm
https://powo.science.kew.org/taxon/urn:lsid:ipni.org:names:30000180-2/general-information
https://powo.science.kew.org/taxon/urn:lsid:ipni.org:names:30000180-2</x:v>
      </x:c>
      <x:c r="X106" s="215" t="str">
        <x:v>No - retain qualifiers and exceptions</x:v>
      </x:c>
      <x:c r="Y106" s="215" t="str">
        <x:v>Yes</x:v>
      </x:c>
      <x:c r="Z106" s="215" t="str">
        <x:v>Source-backed draft</x:v>
      </x:c>
    </x:row>
    <x:row r="107" ht="42" customHeight="1">
      <x:c r="A107" s="215" t="str">
        <x:v>Apiaceae</x:v>
      </x:c>
      <x:c r="B107" s="215" t="str">
        <x:v>API-SHEATH</x:v>
      </x:c>
      <x:c r="C107" s="215" t="str">
        <x:v>Broad family tendency</x:v>
      </x:c>
      <x:c r="D107" s="215" t="str">
        <x:v>Leaf base</x:v>
      </x:c>
      <x:c r="E107" s="215" t="str">
        <x:v>Petiole base commonly widened or sheathing</x:v>
      </x:c>
      <x:c r="F107" s="215" t="str">
        <x:v>Strong</x:v>
      </x:c>
      <x:c r="G107" s="215" t="str">
        <x:v>4</x:v>
      </x:c>
      <x:c r="H107" s="215" t="str">
        <x:v>Moderate</x:v>
      </x:c>
      <x:c r="I107" s="215" t="str">
        <x:v>Naked eye</x:v>
      </x:c>
      <x:c r="J107" s="215" t="str">
        <x:v>Vegetative</x:v>
      </x:c>
      <x:c r="K107" s="215" t="str">
        <x:v>The leaf stalk often wraps partly around the stem as a sheath.</x:v>
      </x:c>
      <x:c r="L107" s="215" t="str">
        <x:v>The sheath may be weak, hidden, or absent; leaves may be sessile, especially in unusual forms.</x:v>
      </x:c>
      <x:c r="M107" s="215" t="str">
        <x:v>Combine with umbel and fruit characters; useful against many finely divided non-apiaceous herbs.</x:v>
      </x:c>
      <x:c r="N107" s="215" t="str">
        <x:v>Useful in Daucus, Chaerophyllum, Polytaenia, Daucosma, and Vesper; less obvious in some Eryngium and Centella.</x:v>
      </x:c>
      <x:c r="O107" s="215" t="str">
        <x:v>Moderate</x:v>
      </x:c>
      <x:c r="P107" s="215" t="str">
        <x:v>No</x:v>
      </x:c>
      <x:c r="Q107" s="215" t="str"/>
      <x:c r="R107" s="215" t="str">
        <x:v>API-LK01; API-LK03</x:v>
      </x:c>
      <x:c r="S107" s="215" t="str">
        <x:v>KEW-API-GI; APWEB-API; POWO-API</x:v>
      </x:c>
      <x:c r="T107" s="215" t="str">
        <x:v>https://www.mobot.org/MOBOT/research/apweb/orders/apialesweb.htm</x:v>
      </x:c>
      <x:c r="U107" s="215" t="str">
        <x:v>https://powo.science.kew.org/taxon/urn:lsid:ipni.org:names:30000180-2/general-information</x:v>
      </x:c>
      <x:c r="V107" s="215" t="str">
        <x:v>https://powo.science.kew.org/taxon/urn:lsid:ipni.org:names:30000180-2</x:v>
      </x:c>
      <x:c r="W107" s="215" t="str">
        <x:v>https://powo.science.kew.org/taxon/urn:lsid:ipni.org:names:30000180-2/general-information
https://www.mobot.org/MOBOT/research/apweb/orders/apialesweb.htm
https://powo.science.kew.org/taxon/urn:lsid:ipni.org:names:30000180-2</x:v>
      </x:c>
      <x:c r="X107" s="215" t="str">
        <x:v>No - retain qualifiers and exceptions</x:v>
      </x:c>
      <x:c r="Y107" s="215" t="str">
        <x:v>Yes</x:v>
      </x:c>
      <x:c r="Z107" s="215" t="str">
        <x:v>Source-backed draft</x:v>
      </x:c>
    </x:row>
    <x:row r="108" ht="42" customHeight="1">
      <x:c r="A108" s="215" t="str">
        <x:v>Apiaceae</x:v>
      </x:c>
      <x:c r="B108" s="215" t="str">
        <x:v>API-LEAFDIV</x:v>
      </x:c>
      <x:c r="C108" s="215" t="str">
        <x:v>Common, not family-wide</x:v>
      </x:c>
      <x:c r="D108" s="215" t="str">
        <x:v>Leaf</x:v>
      </x:c>
      <x:c r="E108" s="215" t="str">
        <x:v>Leaves often compound or deeply divided</x:v>
      </x:c>
      <x:c r="F108" s="215" t="str">
        <x:v>Caution</x:v>
      </x:c>
      <x:c r="G108" s="215" t="str">
        <x:v>0</x:v>
      </x:c>
      <x:c r="H108" s="215" t="str">
        <x:v>Variable</x:v>
      </x:c>
      <x:c r="I108" s="215" t="str">
        <x:v>Naked eye</x:v>
      </x:c>
      <x:c r="J108" s="215" t="str">
        <x:v>Vegetative</x:v>
      </x:c>
      <x:c r="K108" s="215" t="str">
        <x:v>Many members have fernlike, pinnate, ternate, or palmately divided blades.</x:v>
      </x:c>
      <x:c r="L108" s="215" t="str">
        <x:v>Centella has simple rounded leaves; Eryngium may have simple straplike or spiny blades; simple leaves occur elsewhere in the family.</x:v>
      </x:c>
      <x:c r="M108" s="215" t="str">
        <x:v>Never require divided leaves and never identify Apiaceae from this trait alone.</x:v>
      </x:c>
      <x:c r="N108" s="215" t="str">
        <x:v>Local taxa intentionally include both finely divided and simple-leaved routes.</x:v>
      </x:c>
      <x:c r="O108" s="215" t="str">
        <x:v>Low</x:v>
      </x:c>
      <x:c r="P108" s="215" t="str">
        <x:v>No</x:v>
      </x:c>
      <x:c r="Q108" s="215" t="str"/>
      <x:c r="R108" s="215" t="str">
        <x:v>API-LK01; API-LK03</x:v>
      </x:c>
      <x:c r="S108" s="215" t="str">
        <x:v>KEW-API-GI; APWEB-API; POWO-API</x:v>
      </x:c>
      <x:c r="T108" s="215" t="str">
        <x:v>https://www.mobot.org/MOBOT/research/apweb/orders/apialesweb.htm</x:v>
      </x:c>
      <x:c r="U108" s="215" t="str">
        <x:v>https://powo.science.kew.org/taxon/urn:lsid:ipni.org:names:30000180-2/general-information</x:v>
      </x:c>
      <x:c r="V108" s="215" t="str">
        <x:v>https://powo.science.kew.org/taxon/urn:lsid:ipni.org:names:30000180-2</x:v>
      </x:c>
      <x:c r="W108" s="215" t="str">
        <x:v>https://powo.science.kew.org/taxon/urn:lsid:ipni.org:names:30000180-2/general-information
https://www.mobot.org/MOBOT/research/apweb/orders/apialesweb.htm
https://powo.science.kew.org/taxon/urn:lsid:ipni.org:names:30000180-2</x:v>
      </x:c>
      <x:c r="X108" s="215" t="str">
        <x:v>No - retain qualifiers and exceptions</x:v>
      </x:c>
      <x:c r="Y108" s="215" t="str">
        <x:v>Yes</x:v>
      </x:c>
      <x:c r="Z108" s="215" t="str">
        <x:v>Source-backed draft</x:v>
      </x:c>
    </x:row>
    <x:row r="109" ht="42" customHeight="1">
      <x:c r="A109" s="215" t="str">
        <x:v>Apiaceae</x:v>
      </x:c>
      <x:c r="B109" s="215" t="str">
        <x:v>API-UMBEL</x:v>
      </x:c>
      <x:c r="C109" s="215" t="str">
        <x:v>Broad family tendency</x:v>
      </x:c>
      <x:c r="D109" s="215" t="str">
        <x:v>Inflorescence</x:v>
      </x:c>
      <x:c r="E109" s="215" t="str">
        <x:v>Flowers usually in simple or compound umbels</x:v>
      </x:c>
      <x:c r="F109" s="215" t="str">
        <x:v>Strong</x:v>
      </x:c>
      <x:c r="G109" s="215" t="str">
        <x:v>4</x:v>
      </x:c>
      <x:c r="H109" s="215" t="str">
        <x:v>High in typical forms</x:v>
      </x:c>
      <x:c r="I109" s="215" t="str">
        <x:v>Naked eye</x:v>
      </x:c>
      <x:c r="J109" s="215" t="str">
        <x:v>Flowering</x:v>
      </x:c>
      <x:c r="K109" s="215" t="str">
        <x:v>Flower stalks commonly spread from a shared point, and compound umbels repeat this pattern in smaller umbellets.</x:v>
      </x:c>
      <x:c r="L109" s="215" t="str">
        <x:v>Eryngium and some Sanicula forms can be condensed into heads; reduced cymes occur elsewhere. An umbel also occurs in unrelated families.</x:v>
      </x:c>
      <x:c r="M109" s="215" t="str">
        <x:v>Use as the first structural clue, then confirm inferior ovary and two-mericarps fruit.</x:v>
      </x:c>
      <x:c r="N109" s="215" t="str">
        <x:v>Typical in most local genera; Eryngium and Sanicula require the head-like exception route.</x:v>
      </x:c>
      <x:c r="O109" s="215" t="str">
        <x:v>Low</x:v>
      </x:c>
      <x:c r="P109" s="215" t="str">
        <x:v>No</x:v>
      </x:c>
      <x:c r="Q109" s="215" t="str"/>
      <x:c r="R109" s="215" t="str">
        <x:v>API-LK01; API-LK02; API-LK03</x:v>
      </x:c>
      <x:c r="S109" s="215" t="str">
        <x:v>APWEB-API; KEW-API-GI; POWO-API</x:v>
      </x:c>
      <x:c r="T109" s="215" t="str">
        <x:v>https://www.mobot.org/MOBOT/research/apweb/orders/apialesweb.htm</x:v>
      </x:c>
      <x:c r="U109" s="215" t="str">
        <x:v>https://powo.science.kew.org/taxon/urn:lsid:ipni.org:names:30000180-2/general-information</x:v>
      </x:c>
      <x:c r="V109" s="215" t="str">
        <x:v>https://powo.science.kew.org/taxon/urn:lsid:ipni.org:names:30000180-2</x:v>
      </x:c>
      <x:c r="W109" s="215" t="str">
        <x:v>https://www.mobot.org/MOBOT/research/apweb/orders/apialesweb.htm
https://powo.science.kew.org/taxon/urn:lsid:ipni.org:names:30000180-2/general-information
https://powo.science.kew.org/taxon/urn:lsid:ipni.org:names:30000180-2</x:v>
      </x:c>
      <x:c r="X109" s="215" t="str">
        <x:v>No - retain qualifiers and exceptions</x:v>
      </x:c>
      <x:c r="Y109" s="215" t="str">
        <x:v>Yes</x:v>
      </x:c>
      <x:c r="Z109" s="215" t="str">
        <x:v>Source-backed draft</x:v>
      </x:c>
    </x:row>
    <x:row r="110" ht="42" customHeight="1">
      <x:c r="A110" s="215" t="str">
        <x:v>Apiaceae</x:v>
      </x:c>
      <x:c r="B110" s="215" t="str">
        <x:v>API-INVOL</x:v>
      </x:c>
      <x:c r="C110" s="215" t="str">
        <x:v>Common, variable</x:v>
      </x:c>
      <x:c r="D110" s="215" t="str">
        <x:v>Inflorescence</x:v>
      </x:c>
      <x:c r="E110" s="215" t="str">
        <x:v>Involucre and/or involucel bracts often subtend umbels</x:v>
      </x:c>
      <x:c r="F110" s="215" t="str">
        <x:v>Supporting</x:v>
      </x:c>
      <x:c r="G110" s="215" t="str">
        <x:v>2</x:v>
      </x:c>
      <x:c r="H110" s="215" t="str">
        <x:v>Variable</x:v>
      </x:c>
      <x:c r="I110" s="215" t="str">
        <x:v>Naked eye or hand lens</x:v>
      </x:c>
      <x:c r="J110" s="215" t="str">
        <x:v>Flowering</x:v>
      </x:c>
      <x:c r="K110" s="215" t="str">
        <x:v>One or more bracts may sit below the whole umbel and bracteoles below each umbellet.</x:v>
      </x:c>
      <x:c r="L110" s="215" t="str">
        <x:v>Either set may be absent, reduced, or deeply divided; head-like genera organize bracts differently.</x:v>
      </x:c>
      <x:c r="M110" s="215" t="str">
        <x:v>Useful after an umbel is recognized, mainly for genus-level sorting.</x:v>
      </x:c>
      <x:c r="N110" s="215" t="str">
        <x:v>Likely useful in Daucus, Polytaenia, Daucosma, and related local material.</x:v>
      </x:c>
      <x:c r="O110" s="215" t="str">
        <x:v>Low</x:v>
      </x:c>
      <x:c r="P110" s="215" t="str">
        <x:v>No</x:v>
      </x:c>
      <x:c r="Q110" s="215" t="str"/>
      <x:c r="R110" s="215" t="str"/>
      <x:c r="S110" s="215" t="str">
        <x:v>KEW-API-GI; APWEB-API; POWO-API</x:v>
      </x:c>
      <x:c r="T110" s="215" t="str">
        <x:v>https://www.mobot.org/MOBOT/research/apweb/orders/apialesweb.htm</x:v>
      </x:c>
      <x:c r="U110" s="215" t="str">
        <x:v>https://powo.science.kew.org/taxon/urn:lsid:ipni.org:names:30000180-2/general-information</x:v>
      </x:c>
      <x:c r="V110" s="215" t="str">
        <x:v>https://powo.science.kew.org/taxon/urn:lsid:ipni.org:names:30000180-2</x:v>
      </x:c>
      <x:c r="W110" s="215" t="str">
        <x:v>https://powo.science.kew.org/taxon/urn:lsid:ipni.org:names:30000180-2/general-information
https://www.mobot.org/MOBOT/research/apweb/orders/apialesweb.htm
https://powo.science.kew.org/taxon/urn:lsid:ipni.org:names:30000180-2</x:v>
      </x:c>
      <x:c r="X110" s="215" t="str">
        <x:v>No - retain qualifiers and exceptions</x:v>
      </x:c>
      <x:c r="Y110" s="215" t="str">
        <x:v>Yes</x:v>
      </x:c>
      <x:c r="Z110" s="215" t="str">
        <x:v>Source-backed draft</x:v>
      </x:c>
    </x:row>
    <x:row r="111" ht="42" customHeight="1">
      <x:c r="A111" s="215" t="str">
        <x:v>Apiaceae</x:v>
      </x:c>
      <x:c r="B111" s="215" t="str">
        <x:v>API-FIVE</x:v>
      </x:c>
      <x:c r="C111" s="215" t="str">
        <x:v>Broad family tendency</x:v>
      </x:c>
      <x:c r="D111" s="215" t="str">
        <x:v>Flower</x:v>
      </x:c>
      <x:c r="E111" s="215" t="str">
        <x:v>Flowers usually 5-merous with 5 stamens</x:v>
      </x:c>
      <x:c r="F111" s="215" t="str">
        <x:v>Supporting</x:v>
      </x:c>
      <x:c r="G111" s="215" t="str">
        <x:v>3</x:v>
      </x:c>
      <x:c r="H111" s="215" t="str">
        <x:v>High</x:v>
      </x:c>
      <x:c r="I111" s="215" t="str">
        <x:v>Hand lens</x:v>
      </x:c>
      <x:c r="J111" s="215" t="str">
        <x:v>Flowering</x:v>
      </x:c>
      <x:c r="K111" s="215" t="str">
        <x:v>Most flowers have five petals and five stamens; the calyx is often reduced to minute teeth.</x:v>
      </x:c>
      <x:c r="L111" s="215" t="str">
        <x:v>Outer flowers can be irregular; calyx teeth may be conspicuous in Eryngium or nearly absent elsewhere; reduced flowers occur.</x:v>
      </x:c>
      <x:c r="M111" s="215" t="str">
        <x:v>Use only with ovary position, styles, and fruit.</x:v>
      </x:c>
      <x:c r="N111" s="215" t="str">
        <x:v>Applicable to all local routes, but Eryngium often makes the calyx easier to see.</x:v>
      </x:c>
      <x:c r="O111" s="215" t="str">
        <x:v>Low</x:v>
      </x:c>
      <x:c r="P111" s="215" t="str">
        <x:v>No</x:v>
      </x:c>
      <x:c r="Q111" s="215" t="str"/>
      <x:c r="R111" s="215" t="str">
        <x:v>API-LK02; API-LK03</x:v>
      </x:c>
      <x:c r="S111" s="215" t="str">
        <x:v>APWEB-API; KEW-API-GI; POWO-API</x:v>
      </x:c>
      <x:c r="T111" s="215" t="str">
        <x:v>https://www.mobot.org/MOBOT/research/apweb/orders/apialesweb.htm</x:v>
      </x:c>
      <x:c r="U111" s="215" t="str">
        <x:v>https://powo.science.kew.org/taxon/urn:lsid:ipni.org:names:30000180-2/general-information</x:v>
      </x:c>
      <x:c r="V111" s="215" t="str">
        <x:v>https://powo.science.kew.org/taxon/urn:lsid:ipni.org:names:30000180-2</x:v>
      </x:c>
      <x:c r="W111" s="215" t="str">
        <x:v>https://www.mobot.org/MOBOT/research/apweb/orders/apialesweb.htm
https://powo.science.kew.org/taxon/urn:lsid:ipni.org:names:30000180-2/general-information
https://powo.science.kew.org/taxon/urn:lsid:ipni.org:names:30000180-2</x:v>
      </x:c>
      <x:c r="X111" s="215" t="str">
        <x:v>No - retain qualifiers and exceptions</x:v>
      </x:c>
      <x:c r="Y111" s="215" t="str">
        <x:v>Yes</x:v>
      </x:c>
      <x:c r="Z111" s="215" t="str">
        <x:v>Source-backed draft</x:v>
      </x:c>
    </x:row>
    <x:row r="112" ht="42" customHeight="1">
      <x:c r="A112" s="215" t="str">
        <x:v>Apiaceae</x:v>
      </x:c>
      <x:c r="B112" s="215" t="str">
        <x:v>API-INFERIOR</x:v>
      </x:c>
      <x:c r="C112" s="215" t="str">
        <x:v>Broad family suite</x:v>
      </x:c>
      <x:c r="D112" s="215" t="str">
        <x:v>Gynoecium</x:v>
      </x:c>
      <x:c r="E112" s="215" t="str">
        <x:v>Ovary inferior and usually 2-carpellate, 2-locular</x:v>
      </x:c>
      <x:c r="F112" s="215" t="str">
        <x:v>Core</x:v>
      </x:c>
      <x:c r="G112" s="215" t="str">
        <x:v>5</x:v>
      </x:c>
      <x:c r="H112" s="215" t="str">
        <x:v>High</x:v>
      </x:c>
      <x:c r="I112" s="215" t="str">
        <x:v>Hand lens or side view</x:v>
      </x:c>
      <x:c r="J112" s="215" t="str">
        <x:v>Flowering to young fruit</x:v>
      </x:c>
      <x:c r="K112" s="215" t="str">
        <x:v>Petals and stamens arise above an ovary built from two carpels, normally with one ovule in each locule.</x:v>
      </x:c>
      <x:c r="L112" s="215" t="str">
        <x:v>Very small flowers can obscure the boundary; a few unusual lineages depart from the standard construction.</x:v>
      </x:c>
      <x:c r="M112" s="215" t="str">
        <x:v>This is a major confirmation after an umbel or head is recognized.</x:v>
      </x:c>
      <x:c r="N112" s="215" t="str">
        <x:v>Expected across the current local family snapshot.</x:v>
      </x:c>
      <x:c r="O112" s="215" t="str">
        <x:v>Low</x:v>
      </x:c>
      <x:c r="P112" s="215" t="str">
        <x:v>No</x:v>
      </x:c>
      <x:c r="Q112" s="215" t="str"/>
      <x:c r="R112" s="215" t="str">
        <x:v>API-LK01; API-LK02; API-LK03</x:v>
      </x:c>
      <x:c r="S112" s="215" t="str">
        <x:v>KEW-API-GI; APWEB-API; POWO-API</x:v>
      </x:c>
      <x:c r="T112" s="215" t="str">
        <x:v>https://www.mobot.org/MOBOT/research/apweb/orders/apialesweb.htm</x:v>
      </x:c>
      <x:c r="U112" s="215" t="str">
        <x:v>https://powo.science.kew.org/taxon/urn:lsid:ipni.org:names:30000180-2/general-information</x:v>
      </x:c>
      <x:c r="V112" s="215" t="str">
        <x:v>https://powo.science.kew.org/taxon/urn:lsid:ipni.org:names:30000180-2</x:v>
      </x:c>
      <x:c r="W112" s="215" t="str">
        <x:v>https://powo.science.kew.org/taxon/urn:lsid:ipni.org:names:30000180-2/general-information
https://www.mobot.org/MOBOT/research/apweb/orders/apialesweb.htm
https://powo.science.kew.org/taxon/urn:lsid:ipni.org:names:30000180-2</x:v>
      </x:c>
      <x:c r="X112" s="215" t="str">
        <x:v>No - retain qualifiers and exceptions</x:v>
      </x:c>
      <x:c r="Y112" s="215" t="str">
        <x:v>Yes</x:v>
      </x:c>
      <x:c r="Z112" s="215" t="str">
        <x:v>Source-backed draft</x:v>
      </x:c>
    </x:row>
    <x:row r="113" ht="42" customHeight="1">
      <x:c r="A113" s="215" t="str">
        <x:v>Apiaceae</x:v>
      </x:c>
      <x:c r="B113" s="215" t="str">
        <x:v>API-STYLO</x:v>
      </x:c>
      <x:c r="C113" s="215" t="str">
        <x:v>Broad family tendency</x:v>
      </x:c>
      <x:c r="D113" s="215" t="str">
        <x:v>Gynoecium</x:v>
      </x:c>
      <x:c r="E113" s="215" t="str">
        <x:v>Two styles commonly rise from a swollen stylopodium</x:v>
      </x:c>
      <x:c r="F113" s="215" t="str">
        <x:v>Strong</x:v>
      </x:c>
      <x:c r="G113" s="215" t="str">
        <x:v>4</x:v>
      </x:c>
      <x:c r="H113" s="215" t="str">
        <x:v>Moderate to high</x:v>
      </x:c>
      <x:c r="I113" s="215" t="str">
        <x:v>Hand lens</x:v>
      </x:c>
      <x:c r="J113" s="215" t="str">
        <x:v>Flowering to young fruit</x:v>
      </x:c>
      <x:c r="K113" s="215" t="str">
        <x:v>The two style bases often broaden into a nectar-bearing disk on top of the ovary.</x:v>
      </x:c>
      <x:c r="L113" s="215" t="str">
        <x:v>The swelling may be small, styles may be short, or the feature may be obscured in immature or dried material.</x:v>
      </x:c>
      <x:c r="M113" s="215" t="str">
        <x:v>Strongly supports Apiaceae when combined with an inferior ovary.</x:v>
      </x:c>
      <x:c r="N113" s="215" t="str">
        <x:v>Useful across local genera, including Eryngium and Sanicula, but visibility varies.</x:v>
      </x:c>
      <x:c r="O113" s="215" t="str">
        <x:v>Low</x:v>
      </x:c>
      <x:c r="P113" s="215" t="str">
        <x:v>No</x:v>
      </x:c>
      <x:c r="Q113" s="215" t="str"/>
      <x:c r="R113" s="215" t="str">
        <x:v>API-LK01</x:v>
      </x:c>
      <x:c r="S113" s="215" t="str">
        <x:v>KEW-API-GI; APWEB-API; POWO-API</x:v>
      </x:c>
      <x:c r="T113" s="215" t="str">
        <x:v>https://www.mobot.org/MOBOT/research/apweb/orders/apialesweb.htm</x:v>
      </x:c>
      <x:c r="U113" s="215" t="str">
        <x:v>https://powo.science.kew.org/taxon/urn:lsid:ipni.org:names:30000180-2/general-information</x:v>
      </x:c>
      <x:c r="V113" s="215" t="str">
        <x:v>https://powo.science.kew.org/taxon/urn:lsid:ipni.org:names:30000180-2</x:v>
      </x:c>
      <x:c r="W113" s="215" t="str">
        <x:v>https://powo.science.kew.org/taxon/urn:lsid:ipni.org:names:30000180-2/general-information
https://www.mobot.org/MOBOT/research/apweb/orders/apialesweb.htm
https://powo.science.kew.org/taxon/urn:lsid:ipni.org:names:30000180-2</x:v>
      </x:c>
      <x:c r="X113" s="215" t="str">
        <x:v>No - retain qualifiers and exceptions</x:v>
      </x:c>
      <x:c r="Y113" s="215" t="str">
        <x:v>Yes</x:v>
      </x:c>
      <x:c r="Z113" s="215" t="str">
        <x:v>Source-backed draft</x:v>
      </x:c>
    </x:row>
    <x:row r="114" ht="42" customHeight="1">
      <x:c r="A114" s="215" t="str">
        <x:v>Apiaceae</x:v>
      </x:c>
      <x:c r="B114" s="215" t="str">
        <x:v>API-SCHIZO</x:v>
      </x:c>
      <x:c r="C114" s="215" t="str">
        <x:v>Broad family suite</x:v>
      </x:c>
      <x:c r="D114" s="215" t="str">
        <x:v>Fruit</x:v>
      </x:c>
      <x:c r="E114" s="215" t="str">
        <x:v>Dry schizocarp usually separates into two one-seeded mericarps</x:v>
      </x:c>
      <x:c r="F114" s="215" t="str">
        <x:v>Core</x:v>
      </x:c>
      <x:c r="G114" s="215" t="str">
        <x:v>5</x:v>
      </x:c>
      <x:c r="H114" s="215" t="str">
        <x:v>High</x:v>
      </x:c>
      <x:c r="I114" s="215" t="str">
        <x:v>Naked eye or hand lens</x:v>
      </x:c>
      <x:c r="J114" s="215" t="str">
        <x:v>Mature fruit</x:v>
      </x:c>
      <x:c r="K114" s="215" t="str">
        <x:v>The fruit splits lengthwise into two dry halves, each normally containing one seed.</x:v>
      </x:c>
      <x:c r="L114" s="215" t="str">
        <x:v>Some fruits remain joined or are atypically fleshy; immature fruit will not show the separation.</x:v>
      </x:c>
      <x:c r="M114" s="215" t="str">
        <x:v>The most dependable family confirmation in local material.</x:v>
      </x:c>
      <x:c r="N114" s="215" t="str">
        <x:v>Critical for every local genus and especially useful when inflorescences are condensed.</x:v>
      </x:c>
      <x:c r="O114" s="215" t="str">
        <x:v>Low</x:v>
      </x:c>
      <x:c r="P114" s="215" t="str">
        <x:v>No</x:v>
      </x:c>
      <x:c r="Q114" s="215" t="str"/>
      <x:c r="R114" s="215" t="str">
        <x:v>API-LK01; API-LK02; API-LK03</x:v>
      </x:c>
      <x:c r="S114" s="215" t="str">
        <x:v>KEW-API-GI; APWEB-API; POWO-API</x:v>
      </x:c>
      <x:c r="T114" s="215" t="str">
        <x:v>https://www.mobot.org/MOBOT/research/apweb/orders/apialesweb.htm</x:v>
      </x:c>
      <x:c r="U114" s="215" t="str">
        <x:v>https://powo.science.kew.org/taxon/urn:lsid:ipni.org:names:30000180-2/general-information</x:v>
      </x:c>
      <x:c r="V114" s="215" t="str">
        <x:v>https://powo.science.kew.org/taxon/urn:lsid:ipni.org:names:30000180-2</x:v>
      </x:c>
      <x:c r="W114" s="215" t="str">
        <x:v>https://powo.science.kew.org/taxon/urn:lsid:ipni.org:names:30000180-2/general-information
https://www.mobot.org/MOBOT/research/apweb/orders/apialesweb.htm
https://powo.science.kew.org/taxon/urn:lsid:ipni.org:names:30000180-2</x:v>
      </x:c>
      <x:c r="X114" s="215" t="str">
        <x:v>No - retain qualifiers and exceptions</x:v>
      </x:c>
      <x:c r="Y114" s="215" t="str">
        <x:v>Yes</x:v>
      </x:c>
      <x:c r="Z114" s="215" t="str">
        <x:v>Source-backed draft</x:v>
      </x:c>
    </x:row>
    <x:row r="115" ht="42" customHeight="1">
      <x:c r="A115" s="215" t="str">
        <x:v>Apiaceae</x:v>
      </x:c>
      <x:c r="B115" s="215" t="str">
        <x:v>API-CARPO</x:v>
      </x:c>
      <x:c r="C115" s="215" t="str">
        <x:v>Common, not universal</x:v>
      </x:c>
      <x:c r="D115" s="215" t="str">
        <x:v>Fruit</x:v>
      </x:c>
      <x:c r="E115" s="215" t="str">
        <x:v>Mericarps often hang from a central carpophore</x:v>
      </x:c>
      <x:c r="F115" s="215" t="str">
        <x:v>Strong</x:v>
      </x:c>
      <x:c r="G115" s="215" t="str">
        <x:v>4</x:v>
      </x:c>
      <x:c r="H115" s="215" t="str">
        <x:v>Moderate</x:v>
      </x:c>
      <x:c r="I115" s="215" t="str">
        <x:v>Hand lens</x:v>
      </x:c>
      <x:c r="J115" s="215" t="str">
        <x:v>Fully mature dehiscing fruit</x:v>
      </x:c>
      <x:c r="K115" s="215" t="str">
        <x:v>A slender central stalk may remain and hold the two separating mericarps.</x:v>
      </x:c>
      <x:c r="L115" s="215" t="str">
        <x:v>The carpophore may be entire, forked, reduced, hidden, or absent in some lineages, including parts of the saniculoid route.</x:v>
      </x:c>
      <x:c r="M115" s="215" t="str">
        <x:v>Useful confirmation and a genus-level character; absence must not reject the family.</x:v>
      </x:c>
      <x:c r="N115" s="215" t="str">
        <x:v>Expected to be useful in many apioid local genera; review needed for Eryngium and Sanicula weighting.</x:v>
      </x:c>
      <x:c r="O115" s="215" t="str">
        <x:v>Moderate</x:v>
      </x:c>
      <x:c r="P115" s="215" t="str">
        <x:v>Yes</x:v>
      </x:c>
      <x:c r="Q115" s="215" t="str">
        <x:v>Carpophore expression varies among local lineages; validate genus-by-genus before weighting.</x:v>
      </x:c>
      <x:c r="R115" s="215" t="str"/>
      <x:c r="S115" s="215" t="str">
        <x:v>KEW-API-GI; APWEB-API; POWO-API</x:v>
      </x:c>
      <x:c r="T115" s="215" t="str">
        <x:v>https://www.mobot.org/MOBOT/research/apweb/orders/apialesweb.htm</x:v>
      </x:c>
      <x:c r="U115" s="215" t="str">
        <x:v>https://powo.science.kew.org/taxon/urn:lsid:ipni.org:names:30000180-2/general-information</x:v>
      </x:c>
      <x:c r="V115" s="215" t="str">
        <x:v>https://powo.science.kew.org/taxon/urn:lsid:ipni.org:names:30000180-2</x:v>
      </x:c>
      <x:c r="W115" s="215" t="str">
        <x:v>https://powo.science.kew.org/taxon/urn:lsid:ipni.org:names:30000180-2/general-information
https://www.mobot.org/MOBOT/research/apweb/orders/apialesweb.htm
https://powo.science.kew.org/taxon/urn:lsid:ipni.org:names:30000180-2</x:v>
      </x:c>
      <x:c r="X115" s="215" t="str">
        <x:v>No - retain qualifiers and exceptions</x:v>
      </x:c>
      <x:c r="Y115" s="215" t="str">
        <x:v>Yes</x:v>
      </x:c>
      <x:c r="Z115" s="215" t="str">
        <x:v>Human review required</x:v>
      </x:c>
    </x:row>
    <x:row r="116" ht="42" customHeight="1">
      <x:c r="A116" s="215" t="str">
        <x:v>Apiaceae</x:v>
      </x:c>
      <x:c r="B116" s="215" t="str">
        <x:v>API-RIBVIT</x:v>
      </x:c>
      <x:c r="C116" s="215" t="str">
        <x:v>Broad family tendency</x:v>
      </x:c>
      <x:c r="D116" s="215" t="str">
        <x:v>Fruit</x:v>
      </x:c>
      <x:c r="E116" s="215" t="str">
        <x:v>Mericarps commonly ribbed and may contain oil canals (vittae)</x:v>
      </x:c>
      <x:c r="F116" s="215" t="str">
        <x:v>Strong</x:v>
      </x:c>
      <x:c r="G116" s="215" t="str">
        <x:v>4</x:v>
      </x:c>
      <x:c r="H116" s="215" t="str">
        <x:v>Moderate</x:v>
      </x:c>
      <x:c r="I116" s="215" t="str">
        <x:v>Hand lens; section may require microscope</x:v>
      </x:c>
      <x:c r="J116" s="215" t="str">
        <x:v>Mature fruit</x:v>
      </x:c>
      <x:c r="K116" s="215" t="str">
        <x:v>Each fruit half often has five primary ribs, with oil canals between or beneath them.</x:v>
      </x:c>
      <x:c r="L116" s="215" t="str">
        <x:v>Ribs can be obscure, winged, corky, hooked, or spiny; vittae may be absent or visible only in cross-section.</x:v>
      </x:c>
      <x:c r="M116" s="215" t="str">
        <x:v>Excellent for genus and species work after family placement, but not a quick universal field mark.</x:v>
      </x:c>
      <x:c r="N116" s="215" t="str">
        <x:v>Highly relevant to Daucus, Polytaenia, Daucosma, Chaerophyllum, Vesper, and related genera.</x:v>
      </x:c>
      <x:c r="O116" s="215" t="str">
        <x:v>Moderate</x:v>
      </x:c>
      <x:c r="P116" s="215" t="str">
        <x:v>Yes</x:v>
      </x:c>
      <x:c r="Q116" s="215" t="str">
        <x:v>Fruit sections and genus-specific terminology should be reviewed before use in a mobile key.</x:v>
      </x:c>
      <x:c r="R116" s="215" t="str"/>
      <x:c r="S116" s="215" t="str">
        <x:v>KEW-API-GI; APWEB-API; POWO-API</x:v>
      </x:c>
      <x:c r="T116" s="215" t="str">
        <x:v>https://www.mobot.org/MOBOT/research/apweb/orders/apialesweb.htm</x:v>
      </x:c>
      <x:c r="U116" s="215" t="str">
        <x:v>https://powo.science.kew.org/taxon/urn:lsid:ipni.org:names:30000180-2/general-information</x:v>
      </x:c>
      <x:c r="V116" s="215" t="str">
        <x:v>https://powo.science.kew.org/taxon/urn:lsid:ipni.org:names:30000180-2</x:v>
      </x:c>
      <x:c r="W116" s="215" t="str">
        <x:v>https://powo.science.kew.org/taxon/urn:lsid:ipni.org:names:30000180-2/general-information
https://www.mobot.org/MOBOT/research/apweb/orders/apialesweb.htm
https://powo.science.kew.org/taxon/urn:lsid:ipni.org:names:30000180-2</x:v>
      </x:c>
      <x:c r="X116" s="215" t="str">
        <x:v>No - retain qualifiers and exceptions</x:v>
      </x:c>
      <x:c r="Y116" s="215" t="str">
        <x:v>Yes</x:v>
      </x:c>
      <x:c r="Z116" s="215" t="str">
        <x:v>Human review required</x:v>
      </x:c>
    </x:row>
    <x:row r="117" ht="42" customHeight="1">
      <x:c r="A117" s="215" t="str">
        <x:v>Apiaceae</x:v>
      </x:c>
      <x:c r="B117" s="215" t="str">
        <x:v>API-SANIC</x:v>
      </x:c>
      <x:c r="C117" s="215" t="str">
        <x:v>Local subgroup: Eryngium and Sanicula</x:v>
      </x:c>
      <x:c r="D117" s="215" t="str">
        <x:v>Inflorescence and fruit</x:v>
      </x:c>
      <x:c r="E117" s="215" t="str">
        <x:v>Condensed head-like clusters and specialized bristly or prickly fruit route</x:v>
      </x:c>
      <x:c r="F117" s="215" t="str">
        <x:v>Subgroup</x:v>
      </x:c>
      <x:c r="G117" s="215" t="str">
        <x:v>4</x:v>
      </x:c>
      <x:c r="H117" s="215" t="str">
        <x:v>High within route</x:v>
      </x:c>
      <x:c r="I117" s="215" t="str">
        <x:v>Naked eye plus hand lens</x:v>
      </x:c>
      <x:c r="J117" s="215" t="str">
        <x:v>Flowering and fruiting</x:v>
      </x:c>
      <x:c r="K117" s="215" t="str">
        <x:v>Some local members look unlike a classic parsley umbel because flowers are packed into heads and fruits are armed or roughened.</x:v>
      </x:c>
      <x:c r="L117" s="215" t="str">
        <x:v>These characters do not apply to all Apiaceae and must not be exported to the apioid route.</x:v>
      </x:c>
      <x:c r="M117" s="215" t="str">
        <x:v>Prevents Eryngium and Sanicula from being rejected because a compound umbel is absent.</x:v>
      </x:c>
      <x:c r="N117" s="215" t="str">
        <x:v>Directly relevant to four local rows in Eryngium and Sanicula.</x:v>
      </x:c>
      <x:c r="O117" s="215" t="str">
        <x:v>Moderate</x:v>
      </x:c>
      <x:c r="P117" s="215" t="str">
        <x:v>Yes</x:v>
      </x:c>
      <x:c r="Q117" s="215" t="str">
        <x:v>Validate separate Eryngium and Sanicula character matrices; this row is only a routing rule.</x:v>
      </x:c>
      <x:c r="R117" s="215" t="str">
        <x:v>API-LK02</x:v>
      </x:c>
      <x:c r="S117" s="215" t="str">
        <x:v>KEW-API-GI; APWEB-API; POWO-API</x:v>
      </x:c>
      <x:c r="T117" s="215" t="str">
        <x:v>https://www.mobot.org/MOBOT/research/apweb/orders/apialesweb.htm</x:v>
      </x:c>
      <x:c r="U117" s="215" t="str">
        <x:v>https://powo.science.kew.org/taxon/urn:lsid:ipni.org:names:30000180-2/general-information</x:v>
      </x:c>
      <x:c r="V117" s="215" t="str">
        <x:v>https://powo.science.kew.org/taxon/urn:lsid:ipni.org:names:30000180-2</x:v>
      </x:c>
      <x:c r="W117" s="215" t="str">
        <x:v>https://powo.science.kew.org/taxon/urn:lsid:ipni.org:names:30000180-2/general-information
https://www.mobot.org/MOBOT/research/apweb/orders/apialesweb.htm
https://powo.science.kew.org/taxon/urn:lsid:ipni.org:names:30000180-2</x:v>
      </x:c>
      <x:c r="X117" s="215" t="str">
        <x:v>No - retain qualifiers and exceptions</x:v>
      </x:c>
      <x:c r="Y117" s="215" t="str">
        <x:v>Yes</x:v>
      </x:c>
      <x:c r="Z117" s="215" t="str">
        <x:v>Human review required</x:v>
      </x:c>
    </x:row>
    <x:row r="118" ht="42" customHeight="1">
      <x:c r="A118" s="215" t="str">
        <x:v>Apiaceae</x:v>
      </x:c>
      <x:c r="B118" s="215" t="str">
        <x:v>API-SAFETY</x:v>
      </x:c>
      <x:c r="C118" s="215" t="str">
        <x:v>Observation rule</x:v>
      </x:c>
      <x:c r="D118" s="215" t="str">
        <x:v>Safety</x:v>
      </x:c>
      <x:c r="E118" s="215" t="str">
        <x:v>Do not taste an unknown umbellifer</x:v>
      </x:c>
      <x:c r="F118" s="215" t="str">
        <x:v>Caution</x:v>
      </x:c>
      <x:c r="G118" s="215" t="str">
        <x:v>0</x:v>
      </x:c>
      <x:c r="H118" s="215" t="str">
        <x:v>High</x:v>
      </x:c>
      <x:c r="I118" s="215" t="str">
        <x:v>Behavioral rule</x:v>
      </x:c>
      <x:c r="J118" s="215" t="str">
        <x:v>Any</x:v>
      </x:c>
      <x:c r="K118" s="215" t="str">
        <x:v>The family contains common foods and spices but also highly poisonous plants; taste is not an identification test.</x:v>
      </x:c>
      <x:c r="L118" s="215" t="str">
        <x:v>Risk depends on taxon and plant part, and toxic lookalikes may occur outside the family.</x:v>
      </x:c>
      <x:c r="M118" s="215" t="str">
        <x:v>Protects the user from relying on odor or flavor while keying small white-flowered herbs.</x:v>
      </x:c>
      <x:c r="N118" s="215" t="str">
        <x:v>Important for public and crew-facing field use.</x:v>
      </x:c>
      <x:c r="O118" s="215" t="str">
        <x:v>Low</x:v>
      </x:c>
      <x:c r="P118" s="215" t="str">
        <x:v>No</x:v>
      </x:c>
      <x:c r="Q118" s="215" t="str"/>
      <x:c r="R118" s="215" t="str"/>
      <x:c r="S118" s="215" t="str">
        <x:v>KEW-API-GI; POWO-API</x:v>
      </x:c>
      <x:c r="T118" s="215" t="str">
        <x:v>https://www.mobot.org/MOBOT/research/apweb/orders/apialesweb.htm</x:v>
      </x:c>
      <x:c r="U118" s="215" t="str">
        <x:v>https://powo.science.kew.org/taxon/urn:lsid:ipni.org:names:30000180-2/general-information</x:v>
      </x:c>
      <x:c r="V118" s="215" t="str">
        <x:v>https://powo.science.kew.org/taxon/urn:lsid:ipni.org:names:30000180-2</x:v>
      </x:c>
      <x:c r="W118" s="215" t="str">
        <x:v>https://powo.science.kew.org/taxon/urn:lsid:ipni.org:names:30000180-2/general-information
https://powo.science.kew.org/taxon/urn:lsid:ipni.org:names:30000180-2
https://www.mobot.org/MOBOT/research/apweb/orders/apialesweb.htm</x:v>
      </x:c>
      <x:c r="X118" s="215" t="str">
        <x:v>No - retain qualifiers and exceptions</x:v>
      </x:c>
      <x:c r="Y118" s="215" t="str">
        <x:v>Yes</x:v>
      </x:c>
      <x:c r="Z118" s="215" t="str">
        <x:v>Source-backed draft</x:v>
      </x:c>
    </x:row>
    <x:row r="119" ht="42" customHeight="1">
      <x:c r="A119" s="215" t="str">
        <x:v>Convolvulaceae</x:v>
      </x:c>
      <x:c r="B119" s="215" t="str">
        <x:v>CONV-HABIT</x:v>
      </x:c>
      <x:c r="C119" s="215" t="str">
        <x:v>Family-wide variation</x:v>
      </x:c>
      <x:c r="D119" s="215" t="str">
        <x:v>Habit</x:v>
      </x:c>
      <x:c r="E119" s="215" t="str">
        <x:v>Vines common, but trailing herbs, shrubs, and parasites also occur</x:v>
      </x:c>
      <x:c r="F119" s="215" t="str">
        <x:v>Caution</x:v>
      </x:c>
      <x:c r="G119" s="215" t="str">
        <x:v>0</x:v>
      </x:c>
      <x:c r="H119" s="215" t="str">
        <x:v>High</x:v>
      </x:c>
      <x:c r="I119" s="215" t="str">
        <x:v>Naked eye</x:v>
      </x:c>
      <x:c r="J119" s="215" t="str">
        <x:v>Any</x:v>
      </x:c>
      <x:c r="K119" s="215" t="str">
        <x:v>Many morning glories twine or trail, but the family contains several very different growth forms.</x:v>
      </x:c>
      <x:c r="L119" s="215" t="str">
        <x:v>Dichondra and Evolvulus are low and non-twining; Cuscuta is parasitic; erect or shrubby forms occur.</x:v>
      </x:c>
      <x:c r="M119" s="215" t="str">
        <x:v>Never require a climbing habit.</x:v>
      </x:c>
      <x:c r="N119" s="215" t="str">
        <x:v>All major exceptions occur in the Hays snapshot, so habit must be route-specific.</x:v>
      </x:c>
      <x:c r="O119" s="215" t="str">
        <x:v>Low</x:v>
      </x:c>
      <x:c r="P119" s="215" t="str">
        <x:v>No</x:v>
      </x:c>
      <x:c r="Q119" s="215" t="str"/>
      <x:c r="R119" s="215" t="str">
        <x:v>CONV-LK01; CONV-LK02</x:v>
      </x:c>
      <x:c r="S119" s="215" t="str">
        <x:v>APWEB-CONV; FNA-CONV; POWO-CONV</x:v>
      </x:c>
      <x:c r="T119" s="215" t="str">
        <x:v>https://www.mobot.org/mobot/research/APWeb/orders/solanalesweb.htm</x:v>
      </x:c>
      <x:c r="U119" s="215" t="str">
        <x:v>https://floranorthamerica.org/Convolvulaceae</x:v>
      </x:c>
      <x:c r="V119" s="215" t="str">
        <x:v>https://powo.science.kew.org/taxon/urn:lsid:ipni.org:names:30000547-2</x:v>
      </x:c>
      <x:c r="W119" s="215" t="str">
        <x:v>https://www.mobot.org/mobot/research/APWeb/orders/solanalesweb.htm
https://floranorthamerica.org/Convolvulaceae
https://powo.science.kew.org/taxon/urn:lsid:ipni.org:names:30000547-2</x:v>
      </x:c>
      <x:c r="X119" s="215" t="str">
        <x:v>No - retain qualifiers and exceptions</x:v>
      </x:c>
      <x:c r="Y119" s="215" t="str">
        <x:v>Yes</x:v>
      </x:c>
      <x:c r="Z119" s="215" t="str">
        <x:v>Source-backed draft</x:v>
      </x:c>
    </x:row>
    <x:row r="120" ht="42" customHeight="1">
      <x:c r="A120" s="215" t="str">
        <x:v>Convolvulaceae</x:v>
      </x:c>
      <x:c r="B120" s="215" t="str">
        <x:v>CONV-LEAF</x:v>
      </x:c>
      <x:c r="C120" s="215" t="str">
        <x:v>Broad family tendency</x:v>
      </x:c>
      <x:c r="D120" s="215" t="str">
        <x:v>Leaf</x:v>
      </x:c>
      <x:c r="E120" s="215" t="str">
        <x:v>Leaves usually alternate, simple, and without stipules</x:v>
      </x:c>
      <x:c r="F120" s="215" t="str">
        <x:v>Supporting</x:v>
      </x:c>
      <x:c r="G120" s="215" t="str">
        <x:v>2</x:v>
      </x:c>
      <x:c r="H120" s="215" t="str">
        <x:v>Moderate</x:v>
      </x:c>
      <x:c r="I120" s="215" t="str">
        <x:v>Naked eye</x:v>
      </x:c>
      <x:c r="J120" s="215" t="str">
        <x:v>Vegetative</x:v>
      </x:c>
      <x:c r="K120" s="215" t="str">
        <x:v>Typical leaves alternate along the stem and lack stipules at the petiole base.</x:v>
      </x:c>
      <x:c r="L120" s="215" t="str">
        <x:v>Leaves may be compound, deeply lobed, minute, scale-like, or absent in Cuscuta.</x:v>
      </x:c>
      <x:c r="M120" s="215" t="str">
        <x:v>Useful with flowers, not enough by itself.</x:v>
      </x:c>
      <x:c r="N120" s="215" t="str">
        <x:v>Fits Convolvulus, Ipomoea, Distimake, Dichondra, and Evolvulus; not useful for Cuscuta.</x:v>
      </x:c>
      <x:c r="O120" s="215" t="str">
        <x:v>Low</x:v>
      </x:c>
      <x:c r="P120" s="215" t="str">
        <x:v>No</x:v>
      </x:c>
      <x:c r="Q120" s="215" t="str"/>
      <x:c r="R120" s="215" t="str">
        <x:v>CONV-LK01; CONV-LK02</x:v>
      </x:c>
      <x:c r="S120" s="215" t="str">
        <x:v>FNA-CONV; APWEB-CONV; POWO-CONV</x:v>
      </x:c>
      <x:c r="T120" s="215" t="str">
        <x:v>https://www.mobot.org/mobot/research/APWeb/orders/solanalesweb.htm</x:v>
      </x:c>
      <x:c r="U120" s="215" t="str">
        <x:v>https://floranorthamerica.org/Convolvulaceae</x:v>
      </x:c>
      <x:c r="V120" s="215" t="str">
        <x:v>https://powo.science.kew.org/taxon/urn:lsid:ipni.org:names:30000547-2</x:v>
      </x:c>
      <x:c r="W120" s="215" t="str">
        <x:v>https://floranorthamerica.org/Convolvulaceae
https://www.mobot.org/mobot/research/APWeb/orders/solanalesweb.htm
https://powo.science.kew.org/taxon/urn:lsid:ipni.org:names:30000547-2</x:v>
      </x:c>
      <x:c r="X120" s="215" t="str">
        <x:v>No - retain qualifiers and exceptions</x:v>
      </x:c>
      <x:c r="Y120" s="215" t="str">
        <x:v>Yes</x:v>
      </x:c>
      <x:c r="Z120" s="215" t="str">
        <x:v>Source-backed draft</x:v>
      </x:c>
    </x:row>
    <x:row r="121" ht="42" customHeight="1">
      <x:c r="A121" s="215" t="str">
        <x:v>Convolvulaceae</x:v>
      </x:c>
      <x:c r="B121" s="215" t="str">
        <x:v>CONV-LATEX</x:v>
      </x:c>
      <x:c r="C121" s="215" t="str">
        <x:v>Common, not universal</x:v>
      </x:c>
      <x:c r="D121" s="215" t="str">
        <x:v>Exudate</x:v>
      </x:c>
      <x:c r="E121" s="215" t="str">
        <x:v>Milky sap may be present</x:v>
      </x:c>
      <x:c r="F121" s="215" t="str">
        <x:v>Caution</x:v>
      </x:c>
      <x:c r="G121" s="215" t="str">
        <x:v>0</x:v>
      </x:c>
      <x:c r="H121" s="215" t="str">
        <x:v>Variable</x:v>
      </x:c>
      <x:c r="I121" s="215" t="str">
        <x:v>Naked eye on existing damage</x:v>
      </x:c>
      <x:c r="J121" s="215" t="str">
        <x:v>Vegetative</x:v>
      </x:c>
      <x:c r="K121" s="215" t="str">
        <x:v>Some family members release milky latex from damaged tissue.</x:v>
      </x:c>
      <x:c r="L121" s="215" t="str">
        <x:v>Latex is absent or inconspicuous in many members and common in unrelated families; do not cut plants solely to test it.</x:v>
      </x:c>
      <x:c r="M121" s="215" t="str">
        <x:v>A supporting clue only, never proof.</x:v>
      </x:c>
      <x:c r="N121" s="215" t="str">
        <x:v>Potentially helpful in typical local vines but not reliable in Cuscuta, Dichondra, or Evolvulus.</x:v>
      </x:c>
      <x:c r="O121" s="215" t="str">
        <x:v>Low</x:v>
      </x:c>
      <x:c r="P121" s="215" t="str">
        <x:v>No</x:v>
      </x:c>
      <x:c r="Q121" s="215" t="str"/>
      <x:c r="R121" s="215" t="str">
        <x:v>CONV-LK02</x:v>
      </x:c>
      <x:c r="S121" s="215" t="str">
        <x:v>APWEB-CONV; FNA-CONV; POWO-CONV</x:v>
      </x:c>
      <x:c r="T121" s="215" t="str">
        <x:v>https://www.mobot.org/mobot/research/APWeb/orders/solanalesweb.htm</x:v>
      </x:c>
      <x:c r="U121" s="215" t="str">
        <x:v>https://floranorthamerica.org/Convolvulaceae</x:v>
      </x:c>
      <x:c r="V121" s="215" t="str">
        <x:v>https://powo.science.kew.org/taxon/urn:lsid:ipni.org:names:30000547-2</x:v>
      </x:c>
      <x:c r="W121" s="215" t="str">
        <x:v>https://www.mobot.org/mobot/research/APWeb/orders/solanalesweb.htm
https://floranorthamerica.org/Convolvulaceae
https://powo.science.kew.org/taxon/urn:lsid:ipni.org:names:30000547-2</x:v>
      </x:c>
      <x:c r="X121" s="215" t="str">
        <x:v>No - retain qualifiers and exceptions</x:v>
      </x:c>
      <x:c r="Y121" s="215" t="str">
        <x:v>Yes</x:v>
      </x:c>
      <x:c r="Z121" s="215" t="str">
        <x:v>Source-backed draft</x:v>
      </x:c>
    </x:row>
    <x:row r="122" ht="42" customHeight="1">
      <x:c r="A122" s="215" t="str">
        <x:v>Convolvulaceae</x:v>
      </x:c>
      <x:c r="B122" s="215" t="str">
        <x:v>CONV-CALYX</x:v>
      </x:c>
      <x:c r="C122" s="215" t="str">
        <x:v>Broad family suite</x:v>
      </x:c>
      <x:c r="D122" s="215" t="str">
        <x:v>Flower</x:v>
      </x:c>
      <x:c r="E122" s="215" t="str">
        <x:v>Five usually distinct sepals persist around the fruit</x:v>
      </x:c>
      <x:c r="F122" s="215" t="str">
        <x:v>Strong</x:v>
      </x:c>
      <x:c r="G122" s="215" t="str">
        <x:v>4</x:v>
      </x:c>
      <x:c r="H122" s="215" t="str">
        <x:v>High</x:v>
      </x:c>
      <x:c r="I122" s="215" t="str">
        <x:v>Naked eye or hand lens</x:v>
      </x:c>
      <x:c r="J122" s="215" t="str">
        <x:v>Flowering and fruiting</x:v>
      </x:c>
      <x:c r="K122" s="215" t="str">
        <x:v>The calyx commonly remains after the corolla falls; sepals may become dry, scarious, leathery, or enlarged.</x:v>
      </x:c>
      <x:c r="L122" s="215" t="str">
        <x:v>Sepals can be partly fused or unequal; minute Cuscuta flowers require magnification.</x:v>
      </x:c>
      <x:c r="M122" s="215" t="str">
        <x:v>The persistent separate calyx is a powerful clue when paired with the folded corolla.</x:v>
      </x:c>
      <x:c r="N122" s="215" t="str">
        <x:v>Useful across all local genera, including tiny Cuscuta material.</x:v>
      </x:c>
      <x:c r="O122" s="215" t="str">
        <x:v>Low</x:v>
      </x:c>
      <x:c r="P122" s="215" t="str">
        <x:v>No</x:v>
      </x:c>
      <x:c r="Q122" s="215" t="str"/>
      <x:c r="R122" s="215" t="str">
        <x:v>CONV-LK01; CONV-LK02</x:v>
      </x:c>
      <x:c r="S122" s="215" t="str">
        <x:v>APWEB-CONV; FNA-CONV; POWO-CONV</x:v>
      </x:c>
      <x:c r="T122" s="215" t="str">
        <x:v>https://www.mobot.org/mobot/research/APWeb/orders/solanalesweb.htm</x:v>
      </x:c>
      <x:c r="U122" s="215" t="str">
        <x:v>https://floranorthamerica.org/Convolvulaceae</x:v>
      </x:c>
      <x:c r="V122" s="215" t="str">
        <x:v>https://powo.science.kew.org/taxon/urn:lsid:ipni.org:names:30000547-2</x:v>
      </x:c>
      <x:c r="W122" s="215" t="str">
        <x:v>https://www.mobot.org/mobot/research/APWeb/orders/solanalesweb.htm
https://floranorthamerica.org/Convolvulaceae
https://powo.science.kew.org/taxon/urn:lsid:ipni.org:names:30000547-2</x:v>
      </x:c>
      <x:c r="X122" s="215" t="str">
        <x:v>No - retain qualifiers and exceptions</x:v>
      </x:c>
      <x:c r="Y122" s="215" t="str">
        <x:v>Yes</x:v>
      </x:c>
      <x:c r="Z122" s="215" t="str">
        <x:v>Source-backed draft</x:v>
      </x:c>
    </x:row>
    <x:row r="123" ht="42" customHeight="1">
      <x:c r="A123" s="215" t="str">
        <x:v>Convolvulaceae</x:v>
      </x:c>
      <x:c r="B123" s="215" t="str">
        <x:v>CONV-COROLLA</x:v>
      </x:c>
      <x:c r="C123" s="215" t="str">
        <x:v>Broad family suite</x:v>
      </x:c>
      <x:c r="D123" s="215" t="str">
        <x:v>Corolla</x:v>
      </x:c>
      <x:c r="E123" s="215" t="str">
        <x:v>Petals fused into a plicate or induplicate corolla with visible fold bands</x:v>
      </x:c>
      <x:c r="F123" s="215" t="str">
        <x:v>Core</x:v>
      </x:c>
      <x:c r="G123" s="215" t="str">
        <x:v>5</x:v>
      </x:c>
      <x:c r="H123" s="215" t="str">
        <x:v>High</x:v>
      </x:c>
      <x:c r="I123" s="215" t="str">
        <x:v>Naked eye; hand lens for small flowers</x:v>
      </x:c>
      <x:c r="J123" s="215" t="str">
        <x:v>Flowering or mature bud</x:v>
      </x:c>
      <x:c r="K123" s="215" t="str">
        <x:v>The corolla is folded in bud, often leaving five darker or thicker bands down the open funnel, bell, or salver.</x:v>
      </x:c>
      <x:c r="L123" s="215" t="str">
        <x:v>Corolla shape and size vary greatly; Cuscuta flowers are tiny; damaged or old flowers may lose the visible bands.</x:v>
      </x:c>
      <x:c r="M123" s="215" t="str">
        <x:v>One of the fastest reliable family clues when combined with the persistent calyx.</x:v>
      </x:c>
      <x:c r="N123" s="215" t="str">
        <x:v>Strong in Convolvulus, Ipomoea, Distimake, Evolvulus, and Cuscuta; smaller in Dichondra.</x:v>
      </x:c>
      <x:c r="O123" s="215" t="str">
        <x:v>Low</x:v>
      </x:c>
      <x:c r="P123" s="215" t="str">
        <x:v>No</x:v>
      </x:c>
      <x:c r="Q123" s="215" t="str"/>
      <x:c r="R123" s="215" t="str">
        <x:v>CONV-LK01; CONV-LK02</x:v>
      </x:c>
      <x:c r="S123" s="215" t="str">
        <x:v>APWEB-CONV; FNA-CONV; POWO-CONV</x:v>
      </x:c>
      <x:c r="T123" s="215" t="str">
        <x:v>https://www.mobot.org/mobot/research/APWeb/orders/solanalesweb.htm</x:v>
      </x:c>
      <x:c r="U123" s="215" t="str">
        <x:v>https://floranorthamerica.org/Convolvulaceae</x:v>
      </x:c>
      <x:c r="V123" s="215" t="str">
        <x:v>https://powo.science.kew.org/taxon/urn:lsid:ipni.org:names:30000547-2</x:v>
      </x:c>
      <x:c r="W123" s="215" t="str">
        <x:v>https://www.mobot.org/mobot/research/APWeb/orders/solanalesweb.htm
https://floranorthamerica.org/Convolvulaceae
https://powo.science.kew.org/taxon/urn:lsid:ipni.org:names:30000547-2</x:v>
      </x:c>
      <x:c r="X123" s="215" t="str">
        <x:v>No - retain qualifiers and exceptions</x:v>
      </x:c>
      <x:c r="Y123" s="215" t="str">
        <x:v>Yes</x:v>
      </x:c>
      <x:c r="Z123" s="215" t="str">
        <x:v>Source-backed draft</x:v>
      </x:c>
    </x:row>
    <x:row r="124" ht="42" customHeight="1">
      <x:c r="A124" s="215" t="str">
        <x:v>Convolvulaceae</x:v>
      </x:c>
      <x:c r="B124" s="215" t="str">
        <x:v>CONV-STAMEN</x:v>
      </x:c>
      <x:c r="C124" s="215" t="str">
        <x:v>Broad family suite</x:v>
      </x:c>
      <x:c r="D124" s="215" t="str">
        <x:v>Androecium</x:v>
      </x:c>
      <x:c r="E124" s="215" t="str">
        <x:v>Usually five stamens attached to the corolla tube</x:v>
      </x:c>
      <x:c r="F124" s="215" t="str">
        <x:v>Strong</x:v>
      </x:c>
      <x:c r="G124" s="215" t="str">
        <x:v>4</x:v>
      </x:c>
      <x:c r="H124" s="215" t="str">
        <x:v>High</x:v>
      </x:c>
      <x:c r="I124" s="215" t="str">
        <x:v>Hand lens</x:v>
      </x:c>
      <x:c r="J124" s="215" t="str">
        <x:v>Flowering</x:v>
      </x:c>
      <x:c r="K124" s="215" t="str">
        <x:v>The filaments arise from the inside of the fused corolla rather than directly from the receptacle.</x:v>
      </x:c>
      <x:c r="L124" s="215" t="str">
        <x:v>FNA records occasional three-stamen flowers; tiny flowers may be difficult to dissect.</x:v>
      </x:c>
      <x:c r="M124" s="215" t="str">
        <x:v>Confirms the corolla-based placement but also occurs in other sympetalous families.</x:v>
      </x:c>
      <x:c r="N124" s="215" t="str">
        <x:v>Applicable across local routes with appropriate magnification.</x:v>
      </x:c>
      <x:c r="O124" s="215" t="str">
        <x:v>Low</x:v>
      </x:c>
      <x:c r="P124" s="215" t="str">
        <x:v>No</x:v>
      </x:c>
      <x:c r="Q124" s="215" t="str"/>
      <x:c r="R124" s="215" t="str">
        <x:v>CONV-LK01; CONV-LK02</x:v>
      </x:c>
      <x:c r="S124" s="215" t="str">
        <x:v>FNA-CONV; APWEB-CONV; POWO-CONV</x:v>
      </x:c>
      <x:c r="T124" s="215" t="str">
        <x:v>https://www.mobot.org/mobot/research/APWeb/orders/solanalesweb.htm</x:v>
      </x:c>
      <x:c r="U124" s="215" t="str">
        <x:v>https://floranorthamerica.org/Convolvulaceae</x:v>
      </x:c>
      <x:c r="V124" s="215" t="str">
        <x:v>https://powo.science.kew.org/taxon/urn:lsid:ipni.org:names:30000547-2</x:v>
      </x:c>
      <x:c r="W124" s="215" t="str">
        <x:v>https://floranorthamerica.org/Convolvulaceae
https://www.mobot.org/mobot/research/APWeb/orders/solanalesweb.htm
https://powo.science.kew.org/taxon/urn:lsid:ipni.org:names:30000547-2</x:v>
      </x:c>
      <x:c r="X124" s="215" t="str">
        <x:v>No - retain qualifiers and exceptions</x:v>
      </x:c>
      <x:c r="Y124" s="215" t="str">
        <x:v>Yes</x:v>
      </x:c>
      <x:c r="Z124" s="215" t="str">
        <x:v>Source-backed draft</x:v>
      </x:c>
    </x:row>
    <x:row r="125" ht="42" customHeight="1">
      <x:c r="A125" s="215" t="str">
        <x:v>Convolvulaceae</x:v>
      </x:c>
      <x:c r="B125" s="215" t="str">
        <x:v>CONV-OVARY</x:v>
      </x:c>
      <x:c r="C125" s="215" t="str">
        <x:v>Broad family suite</x:v>
      </x:c>
      <x:c r="D125" s="215" t="str">
        <x:v>Gynoecium</x:v>
      </x:c>
      <x:c r="E125" s="215" t="str">
        <x:v>Ovary superior, usually 1-4 locular</x:v>
      </x:c>
      <x:c r="F125" s="215" t="str">
        <x:v>Strong</x:v>
      </x:c>
      <x:c r="G125" s="215" t="str">
        <x:v>4</x:v>
      </x:c>
      <x:c r="H125" s="215" t="str">
        <x:v>Moderate to high</x:v>
      </x:c>
      <x:c r="I125" s="215" t="str">
        <x:v>Hand lens or dissection</x:v>
      </x:c>
      <x:c r="J125" s="215" t="str">
        <x:v>Flowering to young fruit</x:v>
      </x:c>
      <x:c r="K125" s="215" t="str">
        <x:v>The ovary sits above the attachment of the calyx and corolla and contains a small number of locules and ovules.</x:v>
      </x:c>
      <x:c r="L125" s="215" t="str">
        <x:v>Locule number varies; internal partitions can be difficult to interpret without sectioning.</x:v>
      </x:c>
      <x:c r="M125" s="215" t="str">
        <x:v>Helps separate the family from superficially similar inferior-ovary flowers.</x:v>
      </x:c>
      <x:c r="N125" s="215" t="str">
        <x:v>Useful across local genera but not a stand-alone diagnostic trait.</x:v>
      </x:c>
      <x:c r="O125" s="215" t="str">
        <x:v>Low</x:v>
      </x:c>
      <x:c r="P125" s="215" t="str">
        <x:v>No</x:v>
      </x:c>
      <x:c r="Q125" s="215" t="str"/>
      <x:c r="R125" s="215" t="str">
        <x:v>CONV-LK01</x:v>
      </x:c>
      <x:c r="S125" s="215" t="str">
        <x:v>FNA-CONV; APWEB-CONV; POWO-CONV</x:v>
      </x:c>
      <x:c r="T125" s="215" t="str">
        <x:v>https://www.mobot.org/mobot/research/APWeb/orders/solanalesweb.htm</x:v>
      </x:c>
      <x:c r="U125" s="215" t="str">
        <x:v>https://floranorthamerica.org/Convolvulaceae</x:v>
      </x:c>
      <x:c r="V125" s="215" t="str">
        <x:v>https://powo.science.kew.org/taxon/urn:lsid:ipni.org:names:30000547-2</x:v>
      </x:c>
      <x:c r="W125" s="215" t="str">
        <x:v>https://floranorthamerica.org/Convolvulaceae
https://www.mobot.org/mobot/research/APWeb/orders/solanalesweb.htm
https://powo.science.kew.org/taxon/urn:lsid:ipni.org:names:30000547-2</x:v>
      </x:c>
      <x:c r="X125" s="215" t="str">
        <x:v>No - retain qualifiers and exceptions</x:v>
      </x:c>
      <x:c r="Y125" s="215" t="str">
        <x:v>Yes</x:v>
      </x:c>
      <x:c r="Z125" s="215" t="str">
        <x:v>Source-backed draft</x:v>
      </x:c>
    </x:row>
    <x:row r="126" ht="42" customHeight="1">
      <x:c r="A126" s="215" t="str">
        <x:v>Convolvulaceae</x:v>
      </x:c>
      <x:c r="B126" s="215" t="str">
        <x:v>CONV-STYLE</x:v>
      </x:c>
      <x:c r="C126" s="215" t="str">
        <x:v>Family-wide variable</x:v>
      </x:c>
      <x:c r="D126" s="215" t="str">
        <x:v>Gynoecium</x:v>
      </x:c>
      <x:c r="E126" s="215" t="str">
        <x:v>One or two styles with variable stigma form</x:v>
      </x:c>
      <x:c r="F126" s="215" t="str">
        <x:v>Supporting</x:v>
      </x:c>
      <x:c r="G126" s="215" t="str">
        <x:v>2</x:v>
      </x:c>
      <x:c r="H126" s="215" t="str">
        <x:v>Variable</x:v>
      </x:c>
      <x:c r="I126" s="215" t="str">
        <x:v>Hand lens</x:v>
      </x:c>
      <x:c r="J126" s="215" t="str">
        <x:v>Flowering</x:v>
      </x:c>
      <x:c r="K126" s="215" t="str">
        <x:v>Style number and stigma shape are important for routing within the family.</x:v>
      </x:c>
      <x:c r="L126" s="215" t="str">
        <x:v>The family is not uniform: Dichondra and Evolvulus differ strongly from typical one-style morning glories.</x:v>
      </x:c>
      <x:c r="M126" s="215" t="str">
        <x:v>Use to select a subgroup, not to define the whole family.</x:v>
      </x:c>
      <x:c r="N126" s="215" t="str">
        <x:v>Essential for separating Dichondra, Evolvulus, Convolvulus, and Ipomoea routes.</x:v>
      </x:c>
      <x:c r="O126" s="215" t="str">
        <x:v>Moderate</x:v>
      </x:c>
      <x:c r="P126" s="215" t="str">
        <x:v>Yes</x:v>
      </x:c>
      <x:c r="Q126" s="215" t="str">
        <x:v>Build a genus matrix before assigning positive or negative weights to style number.</x:v>
      </x:c>
      <x:c r="R126" s="215" t="str"/>
      <x:c r="S126" s="215" t="str">
        <x:v>FNA-CONV; APWEB-CONV; POWO-CONV</x:v>
      </x:c>
      <x:c r="T126" s="215" t="str">
        <x:v>https://www.mobot.org/mobot/research/APWeb/orders/solanalesweb.htm</x:v>
      </x:c>
      <x:c r="U126" s="215" t="str">
        <x:v>https://floranorthamerica.org/Convolvulaceae</x:v>
      </x:c>
      <x:c r="V126" s="215" t="str">
        <x:v>https://powo.science.kew.org/taxon/urn:lsid:ipni.org:names:30000547-2</x:v>
      </x:c>
      <x:c r="W126" s="215" t="str">
        <x:v>https://floranorthamerica.org/Convolvulaceae
https://www.mobot.org/mobot/research/APWeb/orders/solanalesweb.htm
https://powo.science.kew.org/taxon/urn:lsid:ipni.org:names:30000547-2</x:v>
      </x:c>
      <x:c r="X126" s="215" t="str">
        <x:v>No - retain qualifiers and exceptions</x:v>
      </x:c>
      <x:c r="Y126" s="215" t="str">
        <x:v>Yes</x:v>
      </x:c>
      <x:c r="Z126" s="215" t="str">
        <x:v>Human review required</x:v>
      </x:c>
    </x:row>
    <x:row r="127" ht="42" customHeight="1">
      <x:c r="A127" s="215" t="str">
        <x:v>Convolvulaceae</x:v>
      </x:c>
      <x:c r="B127" s="215" t="str">
        <x:v>CONV-FRUIT</x:v>
      </x:c>
      <x:c r="C127" s="215" t="str">
        <x:v>Broad family tendency</x:v>
      </x:c>
      <x:c r="D127" s="215" t="str">
        <x:v>Fruit and seed</x:v>
      </x:c>
      <x:c r="E127" s="215" t="str">
        <x:v>Fruit usually a few-seeded capsule with hard-coated seeds</x:v>
      </x:c>
      <x:c r="F127" s="215" t="str">
        <x:v>Strong</x:v>
      </x:c>
      <x:c r="G127" s="215" t="str">
        <x:v>4</x:v>
      </x:c>
      <x:c r="H127" s="215" t="str">
        <x:v>Moderate</x:v>
      </x:c>
      <x:c r="I127" s="215" t="str">
        <x:v>Naked eye or hand lens</x:v>
      </x:c>
      <x:c r="J127" s="215" t="str">
        <x:v>Mature fruit</x:v>
      </x:c>
      <x:c r="K127" s="215" t="str">
        <x:v>Typical fruits contain one to four, occasionally six, relatively large seeds and open by valves or irregularly.</x:v>
      </x:c>
      <x:c r="L127" s="215" t="str">
        <x:v>Dichondra fruits are indehiscent or shatter irregularly; some family fruits are berrylike or nutlike; Cuscuta fruit is small.</x:v>
      </x:c>
      <x:c r="M127" s="215" t="str">
        <x:v>Confirm after using the calyx and corolla suite.</x:v>
      </x:c>
      <x:c r="N127" s="215" t="str">
        <x:v>Relevant to typical morning glories; separate fruit routes are needed for Dichondra and Cuscuta.</x:v>
      </x:c>
      <x:c r="O127" s="215" t="str">
        <x:v>Low</x:v>
      </x:c>
      <x:c r="P127" s="215" t="str">
        <x:v>No</x:v>
      </x:c>
      <x:c r="Q127" s="215" t="str"/>
      <x:c r="R127" s="215" t="str">
        <x:v>CONV-LK01; CONV-LK02</x:v>
      </x:c>
      <x:c r="S127" s="215" t="str">
        <x:v>FNA-CONV; APWEB-CONV; POWO-CONV</x:v>
      </x:c>
      <x:c r="T127" s="215" t="str">
        <x:v>https://www.mobot.org/mobot/research/APWeb/orders/solanalesweb.htm</x:v>
      </x:c>
      <x:c r="U127" s="215" t="str">
        <x:v>https://floranorthamerica.org/Convolvulaceae</x:v>
      </x:c>
      <x:c r="V127" s="215" t="str">
        <x:v>https://powo.science.kew.org/taxon/urn:lsid:ipni.org:names:30000547-2</x:v>
      </x:c>
      <x:c r="W127" s="215" t="str">
        <x:v>https://floranorthamerica.org/Convolvulaceae
https://www.mobot.org/mobot/research/APWeb/orders/solanalesweb.htm
https://powo.science.kew.org/taxon/urn:lsid:ipni.org:names:30000547-2</x:v>
      </x:c>
      <x:c r="X127" s="215" t="str">
        <x:v>No - retain qualifiers and exceptions</x:v>
      </x:c>
      <x:c r="Y127" s="215" t="str">
        <x:v>Yes</x:v>
      </x:c>
      <x:c r="Z127" s="215" t="str">
        <x:v>Source-backed draft</x:v>
      </x:c>
    </x:row>
    <x:row r="128" ht="42" customHeight="1">
      <x:c r="A128" s="215" t="str">
        <x:v>Convolvulaceae</x:v>
      </x:c>
      <x:c r="B128" s="215" t="str">
        <x:v>CONV-CUSCUTA</x:v>
      </x:c>
      <x:c r="C128" s="215" t="str">
        <x:v>Local subgroup: Cuscuta</x:v>
      </x:c>
      <x:c r="D128" s="215" t="str">
        <x:v>Whole plant and flower</x:v>
      </x:c>
      <x:c r="E128" s="215" t="str">
        <x:v>Achlorophyllous parasitic twining threads with tiny flowers</x:v>
      </x:c>
      <x:c r="F128" s="215" t="str">
        <x:v>Subgroup</x:v>
      </x:c>
      <x:c r="G128" s="215" t="str">
        <x:v>5</x:v>
      </x:c>
      <x:c r="H128" s="215" t="str">
        <x:v>High</x:v>
      </x:c>
      <x:c r="I128" s="215" t="str">
        <x:v>Naked eye plus hand lens</x:v>
      </x:c>
      <x:c r="J128" s="215" t="str">
        <x:v>Flowering and fruiting</x:v>
      </x:c>
      <x:c r="K128" s="215" t="str">
        <x:v>Dodders are leafless or nearly leafless yellow, orange, or reddish strands attached to a host, bearing clusters of tiny convolvulaceous flowers.</x:v>
      </x:c>
      <x:c r="L128" s="215" t="str">
        <x:v>Vegetative strands alone may be confused with other filamentous material; species identification requires mature flowers and fruit.</x:v>
      </x:c>
      <x:c r="M128" s="215" t="str">
        <x:v>Routes the plant directly to Cuscuta without forcing typical leaf or large-corolla characters.</x:v>
      </x:c>
      <x:c r="N128" s="215" t="str">
        <x:v>Four local Cuscuta species make this a major Hays route.</x:v>
      </x:c>
      <x:c r="O128" s="215" t="str">
        <x:v>Low</x:v>
      </x:c>
      <x:c r="P128" s="215" t="str">
        <x:v>No</x:v>
      </x:c>
      <x:c r="Q128" s="215" t="str"/>
      <x:c r="R128" s="215" t="str"/>
      <x:c r="S128" s="215" t="str">
        <x:v>FNA-CONV; APWEB-CONV; POWO-CONV</x:v>
      </x:c>
      <x:c r="T128" s="215" t="str">
        <x:v>https://www.mobot.org/mobot/research/APWeb/orders/solanalesweb.htm</x:v>
      </x:c>
      <x:c r="U128" s="215" t="str">
        <x:v>https://floranorthamerica.org/Convolvulaceae</x:v>
      </x:c>
      <x:c r="V128" s="215" t="str">
        <x:v>https://powo.science.kew.org/taxon/urn:lsid:ipni.org:names:30000547-2</x:v>
      </x:c>
      <x:c r="W128" s="215" t="str">
        <x:v>https://floranorthamerica.org/Convolvulaceae
https://www.mobot.org/mobot/research/APWeb/orders/solanalesweb.htm
https://powo.science.kew.org/taxon/urn:lsid:ipni.org:names:30000547-2</x:v>
      </x:c>
      <x:c r="X128" s="215" t="str">
        <x:v>No - retain qualifiers and exceptions</x:v>
      </x:c>
      <x:c r="Y128" s="215" t="str">
        <x:v>Yes</x:v>
      </x:c>
      <x:c r="Z128" s="215" t="str">
        <x:v>Source-backed draft</x:v>
      </x:c>
    </x:row>
    <x:row r="129" ht="42" customHeight="1">
      <x:c r="A129" s="215" t="str">
        <x:v>Convolvulaceae</x:v>
      </x:c>
      <x:c r="B129" s="215" t="str">
        <x:v>CONV-DICH</x:v>
      </x:c>
      <x:c r="C129" s="215" t="str">
        <x:v>Local subgroup: Dichondra</x:v>
      </x:c>
      <x:c r="D129" s="215" t="str">
        <x:v>Habit, gynoecium, and fruit</x:v>
      </x:c>
      <x:c r="E129" s="215" t="str">
        <x:v>Creeping herb with two styles and a two-lobed indehiscent or irregularly shattering fruit</x:v>
      </x:c>
      <x:c r="F129" s="215" t="str">
        <x:v>Subgroup</x:v>
      </x:c>
      <x:c r="G129" s="215" t="str">
        <x:v>5</x:v>
      </x:c>
      <x:c r="H129" s="215" t="str">
        <x:v>High with flowers/fruit</x:v>
      </x:c>
      <x:c r="I129" s="215" t="str">
        <x:v>Hand lens</x:v>
      </x:c>
      <x:c r="J129" s="215" t="str">
        <x:v>Flowering and fruiting</x:v>
      </x:c>
      <x:c r="K129" s="215" t="str">
        <x:v>Dichondra forms low mats with small flowers; style insertion and the paired fruit lobes separate it from typical morning glories.</x:v>
      </x:c>
      <x:c r="L129" s="215" t="str">
        <x:v>Leaves alone can resemble unrelated kidney-shaped groundcovers; tiny reproductive parts are required.</x:v>
      </x:c>
      <x:c r="M129" s="215" t="str">
        <x:v>Prevents rejection of a non-twining, small-flowered family member.</x:v>
      </x:c>
      <x:c r="N129" s="215" t="str">
        <x:v>Directly applies to both local Dichondra rows.</x:v>
      </x:c>
      <x:c r="O129" s="215" t="str">
        <x:v>Low</x:v>
      </x:c>
      <x:c r="P129" s="215" t="str">
        <x:v>No</x:v>
      </x:c>
      <x:c r="Q129" s="215" t="str"/>
      <x:c r="R129" s="215" t="str"/>
      <x:c r="S129" s="215" t="str">
        <x:v>FNA-CONV; APWEB-CONV; POWO-CONV</x:v>
      </x:c>
      <x:c r="T129" s="215" t="str">
        <x:v>https://www.mobot.org/mobot/research/APWeb/orders/solanalesweb.htm</x:v>
      </x:c>
      <x:c r="U129" s="215" t="str">
        <x:v>https://floranorthamerica.org/Convolvulaceae</x:v>
      </x:c>
      <x:c r="V129" s="215" t="str">
        <x:v>https://powo.science.kew.org/taxon/urn:lsid:ipni.org:names:30000547-2</x:v>
      </x:c>
      <x:c r="W129" s="215" t="str">
        <x:v>https://floranorthamerica.org/Convolvulaceae
https://www.mobot.org/mobot/research/APWeb/orders/solanalesweb.htm
https://powo.science.kew.org/taxon/urn:lsid:ipni.org:names:30000547-2</x:v>
      </x:c>
      <x:c r="X129" s="215" t="str">
        <x:v>No - retain qualifiers and exceptions</x:v>
      </x:c>
      <x:c r="Y129" s="215" t="str">
        <x:v>Yes</x:v>
      </x:c>
      <x:c r="Z129" s="215" t="str">
        <x:v>Source-backed draft</x:v>
      </x:c>
    </x:row>
    <x:row r="130" ht="42" customHeight="1">
      <x:c r="A130" s="215" t="str">
        <x:v>Convolvulaceae</x:v>
      </x:c>
      <x:c r="B130" s="215" t="str">
        <x:v>CONV-EVOL</x:v>
      </x:c>
      <x:c r="C130" s="215" t="str">
        <x:v>Local subgroup: Evolvulus</x:v>
      </x:c>
      <x:c r="D130" s="215" t="str">
        <x:v>Habit and gynoecium</x:v>
      </x:c>
      <x:c r="E130" s="215" t="str">
        <x:v>Low non-twining plant with two styles and four narrow stigma lobes</x:v>
      </x:c>
      <x:c r="F130" s="215" t="str">
        <x:v>Subgroup</x:v>
      </x:c>
      <x:c r="G130" s="215" t="str">
        <x:v>5</x:v>
      </x:c>
      <x:c r="H130" s="215" t="str">
        <x:v>High with flowers</x:v>
      </x:c>
      <x:c r="I130" s="215" t="str">
        <x:v>Hand lens</x:v>
      </x:c>
      <x:c r="J130" s="215" t="str">
        <x:v>Flowering</x:v>
      </x:c>
      <x:c r="K130" s="215" t="str">
        <x:v>Evolvulus usually stays low rather than twining and has a bifid style system with narrow stigma lobes.</x:v>
      </x:c>
      <x:c r="L130" s="215" t="str">
        <x:v>Species-level separation still needs hairs, leaf shape, calyx, and flower measurements.</x:v>
      </x:c>
      <x:c r="M130" s="215" t="str">
        <x:v>Separates local Evolvulus from Ipomoea, Convolvulus, and Dichondra.</x:v>
      </x:c>
      <x:c r="N130" s="215" t="str">
        <x:v>Directly applies to two local Evolvulus species.</x:v>
      </x:c>
      <x:c r="O130" s="215" t="str">
        <x:v>Low</x:v>
      </x:c>
      <x:c r="P130" s="215" t="str">
        <x:v>No</x:v>
      </x:c>
      <x:c r="Q130" s="215" t="str"/>
      <x:c r="R130" s="215" t="str"/>
      <x:c r="S130" s="215" t="str">
        <x:v>FNA-CONV; APWEB-CONV; POWO-CONV</x:v>
      </x:c>
      <x:c r="T130" s="215" t="str">
        <x:v>https://www.mobot.org/mobot/research/APWeb/orders/solanalesweb.htm</x:v>
      </x:c>
      <x:c r="U130" s="215" t="str">
        <x:v>https://floranorthamerica.org/Convolvulaceae</x:v>
      </x:c>
      <x:c r="V130" s="215" t="str">
        <x:v>https://powo.science.kew.org/taxon/urn:lsid:ipni.org:names:30000547-2</x:v>
      </x:c>
      <x:c r="W130" s="215" t="str">
        <x:v>https://floranorthamerica.org/Convolvulaceae
https://www.mobot.org/mobot/research/APWeb/orders/solanalesweb.htm
https://powo.science.kew.org/taxon/urn:lsid:ipni.org:names:30000547-2</x:v>
      </x:c>
      <x:c r="X130" s="215" t="str">
        <x:v>No - retain qualifiers and exceptions</x:v>
      </x:c>
      <x:c r="Y130" s="215" t="str">
        <x:v>Yes</x:v>
      </x:c>
      <x:c r="Z130" s="215" t="str">
        <x:v>Source-backed draft</x:v>
      </x:c>
    </x:row>
    <x:row r="131" ht="42" customHeight="1">
      <x:c r="A131" s="215" t="str">
        <x:v>Convolvulaceae</x:v>
      </x:c>
      <x:c r="B131" s="215" t="str">
        <x:v>CONV-TYPICAL</x:v>
      </x:c>
      <x:c r="C131" s="215" t="str">
        <x:v>Local subgroup: Convolvulus, Ipomoea, Distimake</x:v>
      </x:c>
      <x:c r="D131" s="215" t="str">
        <x:v>Habit and flower</x:v>
      </x:c>
      <x:c r="E131" s="215" t="str">
        <x:v>Usually twining or trailing with a larger funnel- or bell-shaped corolla and one style</x:v>
      </x:c>
      <x:c r="F131" s="215" t="str">
        <x:v>Subgroup</x:v>
      </x:c>
      <x:c r="G131" s="215" t="str">
        <x:v>4</x:v>
      </x:c>
      <x:c r="H131" s="215" t="str">
        <x:v>Moderate to high</x:v>
      </x:c>
      <x:c r="I131" s="215" t="str">
        <x:v>Naked eye plus hand lens</x:v>
      </x:c>
      <x:c r="J131" s="215" t="str">
        <x:v>Flowering</x:v>
      </x:c>
      <x:c r="K131" s="215" t="str">
        <x:v>This route captures the familiar morning-glory form after Cuscuta, Dichondra, and Evolvulus have been excluded.</x:v>
      </x:c>
      <x:c r="L131" s="215" t="str">
        <x:v>Convolvulus can be prostrate; Distimake and Ipomoea vary in leaf and fruit; habit alone is not enough.</x:v>
      </x:c>
      <x:c r="M131" s="215" t="str">
        <x:v>Provides a practical local route, not a universal family definition.</x:v>
      </x:c>
      <x:c r="N131" s="215" t="str">
        <x:v>Applies to Convolvulus equitans, Distimake dissectus, and Ipomoea lindheimeri.</x:v>
      </x:c>
      <x:c r="O131" s="215" t="str">
        <x:v>Low</x:v>
      </x:c>
      <x:c r="P131" s="215" t="str">
        <x:v>No</x:v>
      </x:c>
      <x:c r="Q131" s="215" t="str"/>
      <x:c r="R131" s="215" t="str">
        <x:v>CONV-LK01; CONV-LK02</x:v>
      </x:c>
      <x:c r="S131" s="215" t="str">
        <x:v>FNA-CONV; APWEB-CONV; POWO-CONV</x:v>
      </x:c>
      <x:c r="T131" s="215" t="str">
        <x:v>https://www.mobot.org/mobot/research/APWeb/orders/solanalesweb.htm</x:v>
      </x:c>
      <x:c r="U131" s="215" t="str">
        <x:v>https://floranorthamerica.org/Convolvulaceae</x:v>
      </x:c>
      <x:c r="V131" s="215" t="str">
        <x:v>https://powo.science.kew.org/taxon/urn:lsid:ipni.org:names:30000547-2</x:v>
      </x:c>
      <x:c r="W131" s="215" t="str">
        <x:v>https://floranorthamerica.org/Convolvulaceae
https://www.mobot.org/mobot/research/APWeb/orders/solanalesweb.htm
https://powo.science.kew.org/taxon/urn:lsid:ipni.org:names:30000547-2</x:v>
      </x:c>
      <x:c r="X131" s="215" t="str">
        <x:v>No - retain qualifiers and exceptions</x:v>
      </x:c>
      <x:c r="Y131" s="215" t="str">
        <x:v>Yes</x:v>
      </x:c>
      <x:c r="Z131" s="215" t="str">
        <x:v>Source-backed draft</x:v>
      </x:c>
    </x:row>
    <x:row r="132" ht="42" customHeight="1">
      <x:c r="A132" s="215" t="str">
        <x:v>Convolvulaceae</x:v>
      </x:c>
      <x:c r="B132" s="215" t="str">
        <x:v>CONV-SAFETY</x:v>
      </x:c>
      <x:c r="C132" s="215" t="str">
        <x:v>Observation rule</x:v>
      </x:c>
      <x:c r="D132" s="215" t="str">
        <x:v>Safety</x:v>
      </x:c>
      <x:c r="E132" s="215" t="str">
        <x:v>Do not taste seeds, sap, or roots</x:v>
      </x:c>
      <x:c r="F132" s="215" t="str">
        <x:v>Caution</x:v>
      </x:c>
      <x:c r="G132" s="215" t="str">
        <x:v>0</x:v>
      </x:c>
      <x:c r="H132" s="215" t="str">
        <x:v>High</x:v>
      </x:c>
      <x:c r="I132" s="215" t="str">
        <x:v>Behavioral rule</x:v>
      </x:c>
      <x:c r="J132" s="215" t="str">
        <x:v>Any</x:v>
      </x:c>
      <x:c r="K132" s="215" t="str">
        <x:v>Some family members contain strong bioactive compounds, and taste is not an identification character.</x:v>
      </x:c>
      <x:c r="L132" s="215" t="str">
        <x:v>Chemical content varies widely among taxa and tissues.</x:v>
      </x:c>
      <x:c r="M132" s="215" t="str">
        <x:v>Prevents unsafe confirmation attempts.</x:v>
      </x:c>
      <x:c r="N132" s="215" t="str">
        <x:v>Suitable for public field guidance.</x:v>
      </x:c>
      <x:c r="O132" s="215" t="str">
        <x:v>Low</x:v>
      </x:c>
      <x:c r="P132" s="215" t="str">
        <x:v>No</x:v>
      </x:c>
      <x:c r="Q132" s="215" t="str"/>
      <x:c r="R132" s="215" t="str"/>
      <x:c r="S132" s="215" t="str">
        <x:v>APWEB-CONV; FNA-CONV; POWO-CONV</x:v>
      </x:c>
      <x:c r="T132" s="215" t="str">
        <x:v>https://www.mobot.org/mobot/research/APWeb/orders/solanalesweb.htm</x:v>
      </x:c>
      <x:c r="U132" s="215" t="str">
        <x:v>https://floranorthamerica.org/Convolvulaceae</x:v>
      </x:c>
      <x:c r="V132" s="215" t="str">
        <x:v>https://powo.science.kew.org/taxon/urn:lsid:ipni.org:names:30000547-2</x:v>
      </x:c>
      <x:c r="W132" s="215" t="str">
        <x:v>https://www.mobot.org/mobot/research/APWeb/orders/solanalesweb.htm
https://floranorthamerica.org/Convolvulaceae
https://powo.science.kew.org/taxon/urn:lsid:ipni.org:names:30000547-2</x:v>
      </x:c>
      <x:c r="X132" s="215" t="str">
        <x:v>No - retain qualifiers and exceptions</x:v>
      </x:c>
      <x:c r="Y132" s="215" t="str">
        <x:v>Yes</x:v>
      </x:c>
      <x:c r="Z132" s="215" t="str">
        <x:v>Source-backed draft</x:v>
      </x:c>
    </x:row>
    <x:row r="133" ht="42" customHeight="1">
      <x:c r="A133" s="215" t="str">
        <x:v>Plantaginaceae</x:v>
      </x:c>
      <x:c r="B133" s="215" t="str">
        <x:v>PLANT-HETERO</x:v>
      </x:c>
      <x:c r="C133" s="215" t="str">
        <x:v>Family-wide</x:v>
      </x:c>
      <x:c r="D133" s="215" t="str">
        <x:v>Whole plant</x:v>
      </x:c>
      <x:c r="E133" s="215" t="str">
        <x:v>No single visible character suite covers every member</x:v>
      </x:c>
      <x:c r="F133" s="215" t="str">
        <x:v>Caution</x:v>
      </x:c>
      <x:c r="G133" s="215" t="str">
        <x:v>0</x:v>
      </x:c>
      <x:c r="H133" s="215" t="str">
        <x:v>High</x:v>
      </x:c>
      <x:c r="I133" s="215" t="str">
        <x:v>Naked eye</x:v>
      </x:c>
      <x:c r="J133" s="215" t="str">
        <x:v>Any</x:v>
      </x:c>
      <x:c r="K133" s="215" t="str">
        <x:v>The modern family combines very different plantains, penstemons, speedwells, toadflaxes, and wetland herbs.</x:v>
      </x:c>
      <x:c r="L133" s="215" t="str">
        <x:v>Even flower symmetry, stamen number, ovary position, placentation, and fruit type vary across the full family.</x:v>
      </x:c>
      <x:c r="M133" s="215" t="str">
        <x:v>The key must route by subgroup and may honestly stop at order or family when material is incomplete.</x:v>
      </x:c>
      <x:c r="N133" s="215" t="str">
        <x:v>Every major local lineage looks different, making this warning essential.</x:v>
      </x:c>
      <x:c r="O133" s="215" t="str">
        <x:v>Low</x:v>
      </x:c>
      <x:c r="P133" s="215" t="str">
        <x:v>No</x:v>
      </x:c>
      <x:c r="Q133" s="215" t="str"/>
      <x:c r="R133" s="215" t="str">
        <x:v>PLANT-LK01; PLANT-LK02; PLANT-LK03</x:v>
      </x:c>
      <x:c r="S133" s="215" t="str">
        <x:v>APWEB-LAM; FNA-PLANT; POWO-PLANT</x:v>
      </x:c>
      <x:c r="T133" s="215" t="str">
        <x:v>https://mobot.org/MOBOT/research/APweb/orders/lamialesweb.htm</x:v>
      </x:c>
      <x:c r="U133" s="215" t="str">
        <x:v>https://floranorthamerica.org/Plantaginaceae</x:v>
      </x:c>
      <x:c r="V133" s="215" t="str">
        <x:v>https://powo.science.kew.org/taxon/urn:lsid:ipni.org:names:30001136-2</x:v>
      </x:c>
      <x:c r="W133" s="215" t="str">
        <x:v>https://mobot.org/MOBOT/research/APweb/orders/lamialesweb.htm
https://floranorthamerica.org/Plantaginaceae
https://powo.science.kew.org/taxon/urn:lsid:ipni.org:names:30001136-2</x:v>
      </x:c>
      <x:c r="X133" s="215" t="str">
        <x:v>No - retain qualifiers and exceptions</x:v>
      </x:c>
      <x:c r="Y133" s="215" t="str">
        <x:v>Yes</x:v>
      </x:c>
      <x:c r="Z133" s="215" t="str">
        <x:v>Source-backed draft</x:v>
      </x:c>
    </x:row>
    <x:row r="134" ht="42" customHeight="1">
      <x:c r="A134" s="215" t="str">
        <x:v>Plantaginaceae</x:v>
      </x:c>
      <x:c r="B134" s="215" t="str">
        <x:v>PLANT-LEAF</x:v>
      </x:c>
      <x:c r="C134" s="215" t="str">
        <x:v>Broad family tendency</x:v>
      </x:c>
      <x:c r="D134" s="215" t="str">
        <x:v>Leaf</x:v>
      </x:c>
      <x:c r="E134" s="215" t="str">
        <x:v>Leaves simple and without stipules</x:v>
      </x:c>
      <x:c r="F134" s="215" t="str">
        <x:v>Supporting</x:v>
      </x:c>
      <x:c r="G134" s="215" t="str">
        <x:v>2</x:v>
      </x:c>
      <x:c r="H134" s="215" t="str">
        <x:v>Moderate</x:v>
      </x:c>
      <x:c r="I134" s="215" t="str">
        <x:v>Naked eye</x:v>
      </x:c>
      <x:c r="J134" s="215" t="str">
        <x:v>Vegetative</x:v>
      </x:c>
      <x:c r="K134" s="215" t="str">
        <x:v>Most local members have simple leaves and no stipules at the node.</x:v>
      </x:c>
      <x:c r="L134" s="215" t="str">
        <x:v>Leaves may be basal, alternate, opposite, subopposite, or whorled, and shape is highly variable.</x:v>
      </x:c>
      <x:c r="M134" s="215" t="str">
        <x:v>A useful supporting clue only after a subgroup route is suspected.</x:v>
      </x:c>
      <x:c r="N134" s="215" t="str">
        <x:v>Applies broadly across the local snapshot but does little by itself.</x:v>
      </x:c>
      <x:c r="O134" s="215" t="str">
        <x:v>Low</x:v>
      </x:c>
      <x:c r="P134" s="215" t="str">
        <x:v>No</x:v>
      </x:c>
      <x:c r="Q134" s="215" t="str"/>
      <x:c r="R134" s="215" t="str">
        <x:v>PLANT-LK01; PLANT-LK02</x:v>
      </x:c>
      <x:c r="S134" s="215" t="str">
        <x:v>FNA-PLANT; APWEB-LAM; POWO-PLANT</x:v>
      </x:c>
      <x:c r="T134" s="215" t="str">
        <x:v>https://mobot.org/MOBOT/research/APweb/orders/lamialesweb.htm</x:v>
      </x:c>
      <x:c r="U134" s="215" t="str">
        <x:v>https://floranorthamerica.org/Plantaginaceae</x:v>
      </x:c>
      <x:c r="V134" s="215" t="str">
        <x:v>https://powo.science.kew.org/taxon/urn:lsid:ipni.org:names:30001136-2</x:v>
      </x:c>
      <x:c r="W134" s="215" t="str">
        <x:v>https://floranorthamerica.org/Plantaginaceae
https://mobot.org/MOBOT/research/APweb/orders/lamialesweb.htm
https://powo.science.kew.org/taxon/urn:lsid:ipni.org:names:30001136-2</x:v>
      </x:c>
      <x:c r="X134" s="215" t="str">
        <x:v>No - retain qualifiers and exceptions</x:v>
      </x:c>
      <x:c r="Y134" s="215" t="str">
        <x:v>Yes</x:v>
      </x:c>
      <x:c r="Z134" s="215" t="str">
        <x:v>Source-backed draft</x:v>
      </x:c>
    </x:row>
    <x:row r="135" ht="42" customHeight="1">
      <x:c r="A135" s="215" t="str">
        <x:v>Plantaginaceae</x:v>
      </x:c>
      <x:c r="B135" s="215" t="str">
        <x:v>PLANT-COROLLA</x:v>
      </x:c>
      <x:c r="C135" s="215" t="str">
        <x:v>Common, not universal</x:v>
      </x:c>
      <x:c r="D135" s="215" t="str">
        <x:v>Corolla</x:v>
      </x:c>
      <x:c r="E135" s="215" t="str">
        <x:v>Corolla commonly fused, 4- or 5-lobed, radial or bilateral</x:v>
      </x:c>
      <x:c r="F135" s="215" t="str">
        <x:v>Strong</x:v>
      </x:c>
      <x:c r="G135" s="215" t="str">
        <x:v>3</x:v>
      </x:c>
      <x:c r="H135" s="215" t="str">
        <x:v>Variable</x:v>
      </x:c>
      <x:c r="I135" s="215" t="str">
        <x:v>Naked eye or hand lens</x:v>
      </x:c>
      <x:c r="J135" s="215" t="str">
        <x:v>Flowering</x:v>
      </x:c>
      <x:c r="K135" s="215" t="str">
        <x:v>Many local genera have a tube or short fused base ending in four or five lobes.</x:v>
      </x:c>
      <x:c r="L135" s="215" t="str">
        <x:v>Corolla can be absent in other family lineages; symmetry and shape vary from rotate to strongly two-lipped.</x:v>
      </x:c>
      <x:c r="M135" s="215" t="str">
        <x:v>Use to enter a subgroup, not as family proof.</x:v>
      </x:c>
      <x:c r="N135" s="215" t="str">
        <x:v>Strong in Penstemon, Linaria, Maurandella, Veronica, Bacopa, Mecardonia, and Leucospora; Plantago flowers are very different.</x:v>
      </x:c>
      <x:c r="O135" s="215" t="str">
        <x:v>Low</x:v>
      </x:c>
      <x:c r="P135" s="215" t="str">
        <x:v>No</x:v>
      </x:c>
      <x:c r="Q135" s="215" t="str"/>
      <x:c r="R135" s="215" t="str">
        <x:v>PLANT-LK01; PLANT-LK02; PLANT-LK03</x:v>
      </x:c>
      <x:c r="S135" s="215" t="str">
        <x:v>FNA-PLANT; APWEB-LAM; POWO-PLANT</x:v>
      </x:c>
      <x:c r="T135" s="215" t="str">
        <x:v>https://mobot.org/MOBOT/research/APweb/orders/lamialesweb.htm</x:v>
      </x:c>
      <x:c r="U135" s="215" t="str">
        <x:v>https://floranorthamerica.org/Plantaginaceae</x:v>
      </x:c>
      <x:c r="V135" s="215" t="str">
        <x:v>https://powo.science.kew.org/taxon/urn:lsid:ipni.org:names:30001136-2</x:v>
      </x:c>
      <x:c r="W135" s="215" t="str">
        <x:v>https://floranorthamerica.org/Plantaginaceae
https://mobot.org/MOBOT/research/APweb/orders/lamialesweb.htm
https://powo.science.kew.org/taxon/urn:lsid:ipni.org:names:30001136-2</x:v>
      </x:c>
      <x:c r="X135" s="215" t="str">
        <x:v>No - retain qualifiers and exceptions</x:v>
      </x:c>
      <x:c r="Y135" s="215" t="str">
        <x:v>Yes</x:v>
      </x:c>
      <x:c r="Z135" s="215" t="str">
        <x:v>Source-backed draft</x:v>
      </x:c>
    </x:row>
    <x:row r="136" ht="42" customHeight="1">
      <x:c r="A136" s="215" t="str">
        <x:v>Plantaginaceae</x:v>
      </x:c>
      <x:c r="B136" s="215" t="str">
        <x:v>PLANT-STAMEN</x:v>
      </x:c>
      <x:c r="C136" s="215" t="str">
        <x:v>Broad family variation</x:v>
      </x:c>
      <x:c r="D136" s="215" t="str">
        <x:v>Androecium</x:v>
      </x:c>
      <x:c r="E136" s="215" t="str">
        <x:v>Usually 2-4, sometimes 5, stamens; often attached to corolla</x:v>
      </x:c>
      <x:c r="F136" s="215" t="str">
        <x:v>Supporting</x:v>
      </x:c>
      <x:c r="G136" s="215" t="str">
        <x:v>3</x:v>
      </x:c>
      <x:c r="H136" s="215" t="str">
        <x:v>Variable</x:v>
      </x:c>
      <x:c r="I136" s="215" t="str">
        <x:v>Hand lens</x:v>
      </x:c>
      <x:c r="J136" s="215" t="str">
        <x:v>Flowering</x:v>
      </x:c>
      <x:c r="K136" s="215" t="str">
        <x:v>Stamen number and arrangement are powerful subgroup characters.</x:v>
      </x:c>
      <x:c r="L136" s="215" t="str">
        <x:v>Counts vary across tribes; some flowers have a staminode; noncorollate family members depart from the typical condition.</x:v>
      </x:c>
      <x:c r="M136" s="215" t="str">
        <x:v>Count only after choosing a route.</x:v>
      </x:c>
      <x:c r="N136" s="215" t="str">
        <x:v>Separates Veronica, Penstemon, and Antirrhineae-style local material.</x:v>
      </x:c>
      <x:c r="O136" s="215" t="str">
        <x:v>Moderate</x:v>
      </x:c>
      <x:c r="P136" s="215" t="str">
        <x:v>Yes</x:v>
      </x:c>
      <x:c r="Q136" s="215" t="str">
        <x:v>Weights must be route-specific because the same count cannot diagnose the entire family.</x:v>
      </x:c>
      <x:c r="R136" s="215" t="str"/>
      <x:c r="S136" s="215" t="str">
        <x:v>FNA-PLANT; APWEB-LAM; POWO-PLANT</x:v>
      </x:c>
      <x:c r="T136" s="215" t="str">
        <x:v>https://mobot.org/MOBOT/research/APweb/orders/lamialesweb.htm</x:v>
      </x:c>
      <x:c r="U136" s="215" t="str">
        <x:v>https://floranorthamerica.org/Plantaginaceae</x:v>
      </x:c>
      <x:c r="V136" s="215" t="str">
        <x:v>https://powo.science.kew.org/taxon/urn:lsid:ipni.org:names:30001136-2</x:v>
      </x:c>
      <x:c r="W136" s="215" t="str">
        <x:v>https://floranorthamerica.org/Plantaginaceae
https://mobot.org/MOBOT/research/APweb/orders/lamialesweb.htm
https://powo.science.kew.org/taxon/urn:lsid:ipni.org:names:30001136-2</x:v>
      </x:c>
      <x:c r="X136" s="215" t="str">
        <x:v>No - retain qualifiers and exceptions</x:v>
      </x:c>
      <x:c r="Y136" s="215" t="str">
        <x:v>Yes</x:v>
      </x:c>
      <x:c r="Z136" s="215" t="str">
        <x:v>Human review required</x:v>
      </x:c>
    </x:row>
    <x:row r="137" ht="42" customHeight="1">
      <x:c r="A137" s="215" t="str">
        <x:v>Plantaginaceae</x:v>
      </x:c>
      <x:c r="B137" s="215" t="str">
        <x:v>PLANT-OVARY</x:v>
      </x:c>
      <x:c r="C137" s="215" t="str">
        <x:v>Common, not universal</x:v>
      </x:c>
      <x:c r="D137" s="215" t="str">
        <x:v>Gynoecium</x:v>
      </x:c>
      <x:c r="E137" s="215" t="str">
        <x:v>Ovary usually superior and 2-carpellate</x:v>
      </x:c>
      <x:c r="F137" s="215" t="str">
        <x:v>Strong</x:v>
      </x:c>
      <x:c r="G137" s="215" t="str">
        <x:v>3</x:v>
      </x:c>
      <x:c r="H137" s="215" t="str">
        <x:v>Moderate</x:v>
      </x:c>
      <x:c r="I137" s="215" t="str">
        <x:v>Hand lens or dissection</x:v>
      </x:c>
      <x:c r="J137" s="215" t="str">
        <x:v>Flowering to young fruit</x:v>
      </x:c>
      <x:c r="K137" s="215" t="str">
        <x:v>Most local members have a superior ovary built from two carpels.</x:v>
      </x:c>
      <x:c r="L137" s="215" t="str">
        <x:v>FNA documents inferior or highly modified exceptions in other lineages; locule number and placentation vary.</x:v>
      </x:c>
      <x:c r="M137" s="215" t="str">
        <x:v>Supports broad family placement only when the subgroup flower matches.</x:v>
      </x:c>
      <x:c r="N137" s="215" t="str">
        <x:v>Expected in all current local genera, but internal structure differs.</x:v>
      </x:c>
      <x:c r="O137" s="215" t="str">
        <x:v>Low</x:v>
      </x:c>
      <x:c r="P137" s="215" t="str">
        <x:v>No</x:v>
      </x:c>
      <x:c r="Q137" s="215" t="str"/>
      <x:c r="R137" s="215" t="str">
        <x:v>PLANT-LK01; PLANT-LK02</x:v>
      </x:c>
      <x:c r="S137" s="215" t="str">
        <x:v>FNA-PLANT; APWEB-LAM; POWO-PLANT</x:v>
      </x:c>
      <x:c r="T137" s="215" t="str">
        <x:v>https://mobot.org/MOBOT/research/APweb/orders/lamialesweb.htm</x:v>
      </x:c>
      <x:c r="U137" s="215" t="str">
        <x:v>https://floranorthamerica.org/Plantaginaceae</x:v>
      </x:c>
      <x:c r="V137" s="215" t="str">
        <x:v>https://powo.science.kew.org/taxon/urn:lsid:ipni.org:names:30001136-2</x:v>
      </x:c>
      <x:c r="W137" s="215" t="str">
        <x:v>https://floranorthamerica.org/Plantaginaceae
https://mobot.org/MOBOT/research/APweb/orders/lamialesweb.htm
https://powo.science.kew.org/taxon/urn:lsid:ipni.org:names:30001136-2</x:v>
      </x:c>
      <x:c r="X137" s="215" t="str">
        <x:v>No - retain qualifiers and exceptions</x:v>
      </x:c>
      <x:c r="Y137" s="215" t="str">
        <x:v>Yes</x:v>
      </x:c>
      <x:c r="Z137" s="215" t="str">
        <x:v>Source-backed draft</x:v>
      </x:c>
    </x:row>
    <x:row r="138" ht="42" customHeight="1">
      <x:c r="A138" s="215" t="str">
        <x:v>Plantaginaceae</x:v>
      </x:c>
      <x:c r="B138" s="215" t="str">
        <x:v>PLANT-CAPSULE</x:v>
      </x:c>
      <x:c r="C138" s="215" t="str">
        <x:v>Common, not universal</x:v>
      </x:c>
      <x:c r="D138" s="215" t="str">
        <x:v>Fruit</x:v>
      </x:c>
      <x:c r="E138" s="215" t="str">
        <x:v>Capsule common, with several possible opening modes</x:v>
      </x:c>
      <x:c r="F138" s="215" t="str">
        <x:v>Supporting</x:v>
      </x:c>
      <x:c r="G138" s="215" t="str">
        <x:v>3</x:v>
      </x:c>
      <x:c r="H138" s="215" t="str">
        <x:v>Variable</x:v>
      </x:c>
      <x:c r="I138" s="215" t="str">
        <x:v>Naked eye or hand lens</x:v>
      </x:c>
      <x:c r="J138" s="215" t="str">
        <x:v>Mature fruit</x:v>
      </x:c>
      <x:c r="K138" s="215" t="str">
        <x:v>Many local members form dry capsules that open by locules, septa, pores, or a lid.</x:v>
      </x:c>
      <x:c r="L138" s="215" t="str">
        <x:v>The broad family also includes pyxides, nutlets, schizocarps, drupes, and drupelike fruits.</x:v>
      </x:c>
      <x:c r="M138" s="215" t="str">
        <x:v>Fruit type confirms the selected subgroup but cannot define the whole family.</x:v>
      </x:c>
      <x:c r="N138" s="215" t="str">
        <x:v>All local routes are dry-fruited, but Plantago pyxides differ from most others.</x:v>
      </x:c>
      <x:c r="O138" s="215" t="str">
        <x:v>Low</x:v>
      </x:c>
      <x:c r="P138" s="215" t="str">
        <x:v>No</x:v>
      </x:c>
      <x:c r="Q138" s="215" t="str"/>
      <x:c r="R138" s="215" t="str">
        <x:v>PLANT-LK01; PLANT-LK03</x:v>
      </x:c>
      <x:c r="S138" s="215" t="str">
        <x:v>FNA-PLANT; APWEB-LAM; POWO-PLANT</x:v>
      </x:c>
      <x:c r="T138" s="215" t="str">
        <x:v>https://mobot.org/MOBOT/research/APweb/orders/lamialesweb.htm</x:v>
      </x:c>
      <x:c r="U138" s="215" t="str">
        <x:v>https://floranorthamerica.org/Plantaginaceae</x:v>
      </x:c>
      <x:c r="V138" s="215" t="str">
        <x:v>https://powo.science.kew.org/taxon/urn:lsid:ipni.org:names:30001136-2</x:v>
      </x:c>
      <x:c r="W138" s="215" t="str">
        <x:v>https://floranorthamerica.org/Plantaginaceae
https://mobot.org/MOBOT/research/APweb/orders/lamialesweb.htm
https://powo.science.kew.org/taxon/urn:lsid:ipni.org:names:30001136-2</x:v>
      </x:c>
      <x:c r="X138" s="215" t="str">
        <x:v>No - retain qualifiers and exceptions</x:v>
      </x:c>
      <x:c r="Y138" s="215" t="str">
        <x:v>Yes</x:v>
      </x:c>
      <x:c r="Z138" s="215" t="str">
        <x:v>Source-backed draft</x:v>
      </x:c>
    </x:row>
    <x:row r="139" ht="42" customHeight="1">
      <x:c r="A139" s="215" t="str">
        <x:v>Plantaginaceae</x:v>
      </x:c>
      <x:c r="B139" s="215" t="str">
        <x:v>PLANT-PLANTAGO-HAB</x:v>
      </x:c>
      <x:c r="C139" s="215" t="str">
        <x:v>Local subgroup: Plantago</x:v>
      </x:c>
      <x:c r="D139" s="215" t="str">
        <x:v>Habit and inflorescence</x:v>
      </x:c>
      <x:c r="E139" s="215" t="str">
        <x:v>Basal rosette with leafless or nearly leafless flower spikes</x:v>
      </x:c>
      <x:c r="F139" s="215" t="str">
        <x:v>Subgroup</x:v>
      </x:c>
      <x:c r="G139" s="215" t="str">
        <x:v>4</x:v>
      </x:c>
      <x:c r="H139" s="215" t="str">
        <x:v>High</x:v>
      </x:c>
      <x:c r="I139" s="215" t="str">
        <x:v>Naked eye</x:v>
      </x:c>
      <x:c r="J139" s="215" t="str">
        <x:v>Flowering</x:v>
      </x:c>
      <x:c r="K139" s="215" t="str">
        <x:v>Plantago often has all leaves at the base and sends up narrow spikes on stalks.</x:v>
      </x:c>
      <x:c r="L139" s="215" t="str">
        <x:v>Some plantains develop short stems; rosettes occur in many unrelated families.</x:v>
      </x:c>
      <x:c r="M139" s="215" t="str">
        <x:v>Routes to Plantago, then flower and fruit characters must confirm.</x:v>
      </x:c>
      <x:c r="N139" s="215" t="str">
        <x:v>Directly applies to Plantago helleri and P. rhodosperma.</x:v>
      </x:c>
      <x:c r="O139" s="215" t="str">
        <x:v>Low</x:v>
      </x:c>
      <x:c r="P139" s="215" t="str">
        <x:v>No</x:v>
      </x:c>
      <x:c r="Q139" s="215" t="str"/>
      <x:c r="R139" s="215" t="str"/>
      <x:c r="S139" s="215" t="str">
        <x:v>FNA-PLANT; POWO-PLANT</x:v>
      </x:c>
      <x:c r="T139" s="215" t="str">
        <x:v>https://mobot.org/MOBOT/research/APweb/orders/lamialesweb.htm</x:v>
      </x:c>
      <x:c r="U139" s="215" t="str">
        <x:v>https://floranorthamerica.org/Plantaginaceae</x:v>
      </x:c>
      <x:c r="V139" s="215" t="str">
        <x:v>https://powo.science.kew.org/taxon/urn:lsid:ipni.org:names:30001136-2</x:v>
      </x:c>
      <x:c r="W139" s="215" t="str">
        <x:v>https://floranorthamerica.org/Plantaginaceae
https://powo.science.kew.org/taxon/urn:lsid:ipni.org:names:30001136-2
https://mobot.org/MOBOT/research/APweb/orders/lamialesweb.htm</x:v>
      </x:c>
      <x:c r="X139" s="215" t="str">
        <x:v>No - retain qualifiers and exceptions</x:v>
      </x:c>
      <x:c r="Y139" s="215" t="str">
        <x:v>Yes</x:v>
      </x:c>
      <x:c r="Z139" s="215" t="str">
        <x:v>Source-backed draft</x:v>
      </x:c>
    </x:row>
    <x:row r="140" ht="42" customHeight="1">
      <x:c r="A140" s="215" t="str">
        <x:v>Plantaginaceae</x:v>
      </x:c>
      <x:c r="B140" s="215" t="str">
        <x:v>PLANT-PLANTAGO-FLOWER</x:v>
      </x:c>
      <x:c r="C140" s="215" t="str">
        <x:v>Local subgroup: Plantago</x:v>
      </x:c>
      <x:c r="D140" s="215" t="str">
        <x:v>Flower</x:v>
      </x:c>
      <x:c r="E140" s="215" t="str">
        <x:v>Small usually 4-merous flowers with scarious corolla and exserted stamens</x:v>
      </x:c>
      <x:c r="F140" s="215" t="str">
        <x:v>Subgroup</x:v>
      </x:c>
      <x:c r="G140" s="215" t="str">
        <x:v>4</x:v>
      </x:c>
      <x:c r="H140" s="215" t="str">
        <x:v>High</x:v>
      </x:c>
      <x:c r="I140" s="215" t="str">
        <x:v>Hand lens</x:v>
      </x:c>
      <x:c r="J140" s="215" t="str">
        <x:v>Flowering</x:v>
      </x:c>
      <x:c r="K140" s="215" t="str">
        <x:v>The tiny flowers differ sharply from showy penstemons and speedwells and often expose their stamens for wind pollination.</x:v>
      </x:c>
      <x:c r="L140" s="215" t="str">
        <x:v>Exact sepal and stamen counts vary among species; immature spikes can be misleading.</x:v>
      </x:c>
      <x:c r="M140" s="215" t="str">
        <x:v>Confirms the Plantago route.</x:v>
      </x:c>
      <x:c r="N140" s="215" t="str">
        <x:v>Useful for both local Plantago species.</x:v>
      </x:c>
      <x:c r="O140" s="215" t="str">
        <x:v>Low</x:v>
      </x:c>
      <x:c r="P140" s="215" t="str">
        <x:v>No</x:v>
      </x:c>
      <x:c r="Q140" s="215" t="str"/>
      <x:c r="R140" s="215" t="str"/>
      <x:c r="S140" s="215" t="str">
        <x:v>FNA-PLANT; POWO-PLANT</x:v>
      </x:c>
      <x:c r="T140" s="215" t="str">
        <x:v>https://mobot.org/MOBOT/research/APweb/orders/lamialesweb.htm</x:v>
      </x:c>
      <x:c r="U140" s="215" t="str">
        <x:v>https://floranorthamerica.org/Plantaginaceae</x:v>
      </x:c>
      <x:c r="V140" s="215" t="str">
        <x:v>https://powo.science.kew.org/taxon/urn:lsid:ipni.org:names:30001136-2</x:v>
      </x:c>
      <x:c r="W140" s="215" t="str">
        <x:v>https://floranorthamerica.org/Plantaginaceae
https://powo.science.kew.org/taxon/urn:lsid:ipni.org:names:30001136-2
https://mobot.org/MOBOT/research/APweb/orders/lamialesweb.htm</x:v>
      </x:c>
      <x:c r="X140" s="215" t="str">
        <x:v>No - retain qualifiers and exceptions</x:v>
      </x:c>
      <x:c r="Y140" s="215" t="str">
        <x:v>Yes</x:v>
      </x:c>
      <x:c r="Z140" s="215" t="str">
        <x:v>Source-backed draft</x:v>
      </x:c>
    </x:row>
    <x:row r="141" ht="42" customHeight="1">
      <x:c r="A141" s="215" t="str">
        <x:v>Plantaginaceae</x:v>
      </x:c>
      <x:c r="B141" s="215" t="str">
        <x:v>PLANT-PLANTAGO-FRUIT</x:v>
      </x:c>
      <x:c r="C141" s="215" t="str">
        <x:v>Local subgroup: Plantago</x:v>
      </x:c>
      <x:c r="D141" s="215" t="str">
        <x:v>Fruit and placentation</x:v>
      </x:c>
      <x:c r="E141" s="215" t="str">
        <x:v>Pyxis opening by a lid; free-central placentation common</x:v>
      </x:c>
      <x:c r="F141" s="215" t="str">
        <x:v>Subgroup</x:v>
      </x:c>
      <x:c r="G141" s="215" t="str">
        <x:v>5</x:v>
      </x:c>
      <x:c r="H141" s="215" t="str">
        <x:v>High</x:v>
      </x:c>
      <x:c r="I141" s="215" t="str">
        <x:v>Hand lens</x:v>
      </x:c>
      <x:c r="J141" s="215" t="str">
        <x:v>Mature fruit</x:v>
      </x:c>
      <x:c r="K141" s="215" t="str">
        <x:v>The capsule opens around its middle like a tiny lidded box, exposing seeds around a central column.</x:v>
      </x:c>
      <x:c r="L141" s="215" t="str">
        <x:v>Some Plantago fruits and seed counts vary; an unopened fruit can resemble an ordinary capsule.</x:v>
      </x:c>
      <x:c r="M141" s="215" t="str">
        <x:v>A highly reliable local subgroup confirmation.</x:v>
      </x:c>
      <x:c r="N141" s="215" t="str">
        <x:v>Critical for Plantago species work.</x:v>
      </x:c>
      <x:c r="O141" s="215" t="str">
        <x:v>Low</x:v>
      </x:c>
      <x:c r="P141" s="215" t="str">
        <x:v>No</x:v>
      </x:c>
      <x:c r="Q141" s="215" t="str"/>
      <x:c r="R141" s="215" t="str"/>
      <x:c r="S141" s="215" t="str">
        <x:v>FNA-PLANT; APWEB-LAM; POWO-PLANT</x:v>
      </x:c>
      <x:c r="T141" s="215" t="str">
        <x:v>https://mobot.org/MOBOT/research/APweb/orders/lamialesweb.htm</x:v>
      </x:c>
      <x:c r="U141" s="215" t="str">
        <x:v>https://floranorthamerica.org/Plantaginaceae</x:v>
      </x:c>
      <x:c r="V141" s="215" t="str">
        <x:v>https://powo.science.kew.org/taxon/urn:lsid:ipni.org:names:30001136-2</x:v>
      </x:c>
      <x:c r="W141" s="215" t="str">
        <x:v>https://floranorthamerica.org/Plantaginaceae
https://mobot.org/MOBOT/research/APweb/orders/lamialesweb.htm
https://powo.science.kew.org/taxon/urn:lsid:ipni.org:names:30001136-2</x:v>
      </x:c>
      <x:c r="X141" s="215" t="str">
        <x:v>No - retain qualifiers and exceptions</x:v>
      </x:c>
      <x:c r="Y141" s="215" t="str">
        <x:v>Yes</x:v>
      </x:c>
      <x:c r="Z141" s="215" t="str">
        <x:v>Source-backed draft</x:v>
      </x:c>
    </x:row>
    <x:row r="142" ht="42" customHeight="1">
      <x:c r="A142" s="215" t="str">
        <x:v>Plantaginaceae</x:v>
      </x:c>
      <x:c r="B142" s="215" t="str">
        <x:v>PLANT-PENSTEMON</x:v>
      </x:c>
      <x:c r="C142" s="215" t="str">
        <x:v>Local subgroup: Penstemon</x:v>
      </x:c>
      <x:c r="D142" s="215" t="str">
        <x:v>Flower</x:v>
      </x:c>
      <x:c r="E142" s="215" t="str">
        <x:v>Bilateral tubular corolla with four didynamous stamens and a conspicuous staminode</x:v>
      </x:c>
      <x:c r="F142" s="215" t="str">
        <x:v>Subgroup</x:v>
      </x:c>
      <x:c r="G142" s="215" t="str">
        <x:v>5</x:v>
      </x:c>
      <x:c r="H142" s="215" t="str">
        <x:v>High</x:v>
      </x:c>
      <x:c r="I142" s="215" t="str">
        <x:v>Naked eye plus hand lens</x:v>
      </x:c>
      <x:c r="J142" s="215" t="str">
        <x:v>Flowering</x:v>
      </x:c>
      <x:c r="K142" s="215" t="str">
        <x:v>Penstemon typically has two long and two shorter fertile stamens plus a sterile fifth filament, often hairy.</x:v>
      </x:c>
      <x:c r="L142" s="215" t="str">
        <x:v>Staminode visibility and hairiness vary; other bilateral-flowered families can have four stamens.</x:v>
      </x:c>
      <x:c r="M142" s="215" t="str">
        <x:v>The full combination strongly routes to Penstemon.</x:v>
      </x:c>
      <x:c r="N142" s="215" t="str">
        <x:v>Directly applies to three local Penstemon species.</x:v>
      </x:c>
      <x:c r="O142" s="215" t="str">
        <x:v>Low</x:v>
      </x:c>
      <x:c r="P142" s="215" t="str">
        <x:v>No</x:v>
      </x:c>
      <x:c r="Q142" s="215" t="str"/>
      <x:c r="R142" s="215" t="str">
        <x:v>PLANT-LK01; PLANT-LK02</x:v>
      </x:c>
      <x:c r="S142" s="215" t="str">
        <x:v>FNA-PLANT; APWEB-LAM; POWO-PLANT</x:v>
      </x:c>
      <x:c r="T142" s="215" t="str">
        <x:v>https://mobot.org/MOBOT/research/APweb/orders/lamialesweb.htm</x:v>
      </x:c>
      <x:c r="U142" s="215" t="str">
        <x:v>https://floranorthamerica.org/Plantaginaceae</x:v>
      </x:c>
      <x:c r="V142" s="215" t="str">
        <x:v>https://powo.science.kew.org/taxon/urn:lsid:ipni.org:names:30001136-2</x:v>
      </x:c>
      <x:c r="W142" s="215" t="str">
        <x:v>https://floranorthamerica.org/Plantaginaceae
https://mobot.org/MOBOT/research/APweb/orders/lamialesweb.htm
https://powo.science.kew.org/taxon/urn:lsid:ipni.org:names:30001136-2</x:v>
      </x:c>
      <x:c r="X142" s="215" t="str">
        <x:v>No - retain qualifiers and exceptions</x:v>
      </x:c>
      <x:c r="Y142" s="215" t="str">
        <x:v>Yes</x:v>
      </x:c>
      <x:c r="Z142" s="215" t="str">
        <x:v>Source-backed draft</x:v>
      </x:c>
    </x:row>
    <x:row r="143" ht="42" customHeight="1">
      <x:c r="A143" s="215" t="str">
        <x:v>Plantaginaceae</x:v>
      </x:c>
      <x:c r="B143" s="215" t="str">
        <x:v>PLANT-ANTIRR</x:v>
      </x:c>
      <x:c r="C143" s="215" t="str">
        <x:v>Local subgroup: Linaria and Maurandella</x:v>
      </x:c>
      <x:c r="D143" s="215" t="str">
        <x:v>Corolla</x:v>
      </x:c>
      <x:c r="E143" s="215" t="str">
        <x:v>Corolla base spurred, saccate, or gibbous</x:v>
      </x:c>
      <x:c r="F143" s="215" t="str">
        <x:v>Subgroup</x:v>
      </x:c>
      <x:c r="G143" s="215" t="str">
        <x:v>5</x:v>
      </x:c>
      <x:c r="H143" s="215" t="str">
        <x:v>High</x:v>
      </x:c>
      <x:c r="I143" s="215" t="str">
        <x:v>Naked eye</x:v>
      </x:c>
      <x:c r="J143" s="215" t="str">
        <x:v>Flowering</x:v>
      </x:c>
      <x:c r="K143" s="215" t="str">
        <x:v>A backward-pointing spur or swollen sac at the base of a bilateral flower signals the antirrhine route.</x:v>
      </x:c>
      <x:c r="L143" s="215" t="str">
        <x:v>The swelling can be small or obscure, and unrelated flowers may also be spurred.</x:v>
      </x:c>
      <x:c r="M143" s="215" t="str">
        <x:v>Use with four stamens and capsule characters.</x:v>
      </x:c>
      <x:c r="N143" s="215" t="str">
        <x:v>Directly relevant to Linaria texana and Maurandella antirrhiniflora.</x:v>
      </x:c>
      <x:c r="O143" s="215" t="str">
        <x:v>Low</x:v>
      </x:c>
      <x:c r="P143" s="215" t="str">
        <x:v>No</x:v>
      </x:c>
      <x:c r="Q143" s="215" t="str"/>
      <x:c r="R143" s="215" t="str">
        <x:v>PLANT-LK03</x:v>
      </x:c>
      <x:c r="S143" s="215" t="str">
        <x:v>FNA-PLANT; APWEB-LAM; POWO-PLANT</x:v>
      </x:c>
      <x:c r="T143" s="215" t="str">
        <x:v>https://mobot.org/MOBOT/research/APweb/orders/lamialesweb.htm</x:v>
      </x:c>
      <x:c r="U143" s="215" t="str">
        <x:v>https://floranorthamerica.org/Plantaginaceae</x:v>
      </x:c>
      <x:c r="V143" s="215" t="str">
        <x:v>https://powo.science.kew.org/taxon/urn:lsid:ipni.org:names:30001136-2</x:v>
      </x:c>
      <x:c r="W143" s="215" t="str">
        <x:v>https://floranorthamerica.org/Plantaginaceae
https://mobot.org/MOBOT/research/APweb/orders/lamialesweb.htm
https://powo.science.kew.org/taxon/urn:lsid:ipni.org:names:30001136-2</x:v>
      </x:c>
      <x:c r="X143" s="215" t="str">
        <x:v>No - retain qualifiers and exceptions</x:v>
      </x:c>
      <x:c r="Y143" s="215" t="str">
        <x:v>Yes</x:v>
      </x:c>
      <x:c r="Z143" s="215" t="str">
        <x:v>Source-backed draft</x:v>
      </x:c>
    </x:row>
    <x:row r="144" ht="42" customHeight="1">
      <x:c r="A144" s="215" t="str">
        <x:v>Plantaginaceae</x:v>
      </x:c>
      <x:c r="B144" s="215" t="str">
        <x:v>PLANT-VERONICA</x:v>
      </x:c>
      <x:c r="C144" s="215" t="str">
        <x:v>Local subgroup: Veronica</x:v>
      </x:c>
      <x:c r="D144" s="215" t="str">
        <x:v>Flower</x:v>
      </x:c>
      <x:c r="E144" s="215" t="str">
        <x:v>Rotate or short-tubed 4-lobed corolla with only two stamens</x:v>
      </x:c>
      <x:c r="F144" s="215" t="str">
        <x:v>Subgroup</x:v>
      </x:c>
      <x:c r="G144" s="215" t="str">
        <x:v>5</x:v>
      </x:c>
      <x:c r="H144" s="215" t="str">
        <x:v>High</x:v>
      </x:c>
      <x:c r="I144" s="215" t="str">
        <x:v>Naked eye or hand lens</x:v>
      </x:c>
      <x:c r="J144" s="215" t="str">
        <x:v>Flowering</x:v>
      </x:c>
      <x:c r="K144" s="215" t="str">
        <x:v>Speedwell flowers usually show two obvious stamens on a four-lobed corolla.</x:v>
      </x:c>
      <x:c r="L144" s="215" t="str">
        <x:v>The lowest corolla lobe may differ in size; tiny flowers can close or fall quickly.</x:v>
      </x:c>
      <x:c r="M144" s="215" t="str">
        <x:v>A strong local subgroup route.</x:v>
      </x:c>
      <x:c r="N144" s="215" t="str">
        <x:v>Directly applies to Veronica anagallis-aquatica.</x:v>
      </x:c>
      <x:c r="O144" s="215" t="str">
        <x:v>Low</x:v>
      </x:c>
      <x:c r="P144" s="215" t="str">
        <x:v>No</x:v>
      </x:c>
      <x:c r="Q144" s="215" t="str"/>
      <x:c r="R144" s="215" t="str">
        <x:v>PLANT-LK01</x:v>
      </x:c>
      <x:c r="S144" s="215" t="str">
        <x:v>FNA-PLANT; APWEB-LAM; POWO-PLANT</x:v>
      </x:c>
      <x:c r="T144" s="215" t="str">
        <x:v>https://mobot.org/MOBOT/research/APweb/orders/lamialesweb.htm</x:v>
      </x:c>
      <x:c r="U144" s="215" t="str">
        <x:v>https://floranorthamerica.org/Plantaginaceae</x:v>
      </x:c>
      <x:c r="V144" s="215" t="str">
        <x:v>https://powo.science.kew.org/taxon/urn:lsid:ipni.org:names:30001136-2</x:v>
      </x:c>
      <x:c r="W144" s="215" t="str">
        <x:v>https://floranorthamerica.org/Plantaginaceae
https://mobot.org/MOBOT/research/APweb/orders/lamialesweb.htm
https://powo.science.kew.org/taxon/urn:lsid:ipni.org:names:30001136-2</x:v>
      </x:c>
      <x:c r="X144" s="215" t="str">
        <x:v>No - retain qualifiers and exceptions</x:v>
      </x:c>
      <x:c r="Y144" s="215" t="str">
        <x:v>Yes</x:v>
      </x:c>
      <x:c r="Z144" s="215" t="str">
        <x:v>Source-backed draft</x:v>
      </x:c>
    </x:row>
    <x:row r="145" ht="42" customHeight="1">
      <x:c r="A145" s="215" t="str">
        <x:v>Plantaginaceae</x:v>
      </x:c>
      <x:c r="B145" s="215" t="str">
        <x:v>PLANT-GRATIO</x:v>
      </x:c>
      <x:c r="C145" s="215" t="str">
        <x:v>Local subgroup: Bacopa, Mecardonia, Leucospora</x:v>
      </x:c>
      <x:c r="D145" s="215" t="str">
        <x:v>Habit, flower, and fruit</x:v>
      </x:c>
      <x:c r="E145" s="215" t="str">
        <x:v>Small herbs, often in moist places, with 4-5-lobed corollas and capsules</x:v>
      </x:c>
      <x:c r="F145" s="215" t="str">
        <x:v>Subgroup</x:v>
      </x:c>
      <x:c r="G145" s="215" t="str">
        <x:v>3</x:v>
      </x:c>
      <x:c r="H145" s="215" t="str">
        <x:v>Moderate</x:v>
      </x:c>
      <x:c r="I145" s="215" t="str">
        <x:v>Naked eye plus hand lens</x:v>
      </x:c>
      <x:c r="J145" s="215" t="str">
        <x:v>Flowering and fruiting</x:v>
      </x:c>
      <x:c r="K145" s="215" t="str">
        <x:v>These genera form a practical local route separate from Plantago, Penstemon, antirrhines, and Veronica.</x:v>
      </x:c>
      <x:c r="L145" s="215" t="str">
        <x:v>Moist habitat is not universal and must not be used as proof; flower and capsule details differ by genus.</x:v>
      </x:c>
      <x:c r="M145" s="215" t="str">
        <x:v>A routing bundle only; genus identification needs a dedicated matrix.</x:v>
      </x:c>
      <x:c r="N145" s="215" t="str">
        <x:v>Directly applies to Bacopa, Mecardonia, and Leucospora local rows.</x:v>
      </x:c>
      <x:c r="O145" s="215" t="str">
        <x:v>Moderate</x:v>
      </x:c>
      <x:c r="P145" s="215" t="str">
        <x:v>Yes</x:v>
      </x:c>
      <x:c r="Q145" s="215" t="str">
        <x:v>This broad route needs genus-level validation before deployment.</x:v>
      </x:c>
      <x:c r="R145" s="215" t="str">
        <x:v>PLANT-LK01; PLANT-LK03</x:v>
      </x:c>
      <x:c r="S145" s="215" t="str">
        <x:v>FNA-PLANT; APWEB-LAM; POWO-PLANT</x:v>
      </x:c>
      <x:c r="T145" s="215" t="str">
        <x:v>https://mobot.org/MOBOT/research/APweb/orders/lamialesweb.htm</x:v>
      </x:c>
      <x:c r="U145" s="215" t="str">
        <x:v>https://floranorthamerica.org/Plantaginaceae</x:v>
      </x:c>
      <x:c r="V145" s="215" t="str">
        <x:v>https://powo.science.kew.org/taxon/urn:lsid:ipni.org:names:30001136-2</x:v>
      </x:c>
      <x:c r="W145" s="215" t="str">
        <x:v>https://floranorthamerica.org/Plantaginaceae
https://mobot.org/MOBOT/research/APweb/orders/lamialesweb.htm
https://powo.science.kew.org/taxon/urn:lsid:ipni.org:names:30001136-2</x:v>
      </x:c>
      <x:c r="X145" s="215" t="str">
        <x:v>No - retain qualifiers and exceptions</x:v>
      </x:c>
      <x:c r="Y145" s="215" t="str">
        <x:v>Yes</x:v>
      </x:c>
      <x:c r="Z145" s="215" t="str">
        <x:v>Human review required</x:v>
      </x:c>
    </x:row>
    <x:row r="146" ht="42" customHeight="1">
      <x:c r="A146" s="215" t="str">
        <x:v>Plantaginaceae</x:v>
      </x:c>
      <x:c r="B146" s="215" t="str">
        <x:v>PLANT-OPPOSITE</x:v>
      </x:c>
      <x:c r="C146" s="215" t="str">
        <x:v>Family-wide warning</x:v>
      </x:c>
      <x:c r="D146" s="215" t="str">
        <x:v>Leaf arrangement</x:v>
      </x:c>
      <x:c r="E146" s="215" t="str">
        <x:v>Opposite leaves are common in some routes but not family-wide</x:v>
      </x:c>
      <x:c r="F146" s="215" t="str">
        <x:v>Caution</x:v>
      </x:c>
      <x:c r="G146" s="215" t="str">
        <x:v>0</x:v>
      </x:c>
      <x:c r="H146" s="215" t="str">
        <x:v>High</x:v>
      </x:c>
      <x:c r="I146" s="215" t="str">
        <x:v>Naked eye</x:v>
      </x:c>
      <x:c r="J146" s="215" t="str">
        <x:v>Vegetative</x:v>
      </x:c>
      <x:c r="K146" s="215" t="str">
        <x:v>Several local genera have opposite leaves, which can suggest Acanthaceae, Lamiaceae, or Verbenaceae.</x:v>
      </x:c>
      <x:c r="L146" s="215" t="str">
        <x:v>Plantago is basal-rosetted; other family members can be alternate or whorled.</x:v>
      </x:c>
      <x:c r="M146" s="215" t="str">
        <x:v>Prevents false family assignments from leaf arrangement alone.</x:v>
      </x:c>
      <x:c r="N146" s="215" t="str">
        <x:v>Especially important for Bacopa, Mecardonia, Penstemon, and Veronica.</x:v>
      </x:c>
      <x:c r="O146" s="215" t="str">
        <x:v>Low</x:v>
      </x:c>
      <x:c r="P146" s="215" t="str">
        <x:v>No</x:v>
      </x:c>
      <x:c r="Q146" s="215" t="str"/>
      <x:c r="R146" s="215" t="str">
        <x:v>PLANT-LK01; PLANT-LK02; PLANT-LK03</x:v>
      </x:c>
      <x:c r="S146" s="215" t="str">
        <x:v>FNA-PLANT; APWEB-LAM; POWO-PLANT</x:v>
      </x:c>
      <x:c r="T146" s="215" t="str">
        <x:v>https://mobot.org/MOBOT/research/APweb/orders/lamialesweb.htm</x:v>
      </x:c>
      <x:c r="U146" s="215" t="str">
        <x:v>https://floranorthamerica.org/Plantaginaceae</x:v>
      </x:c>
      <x:c r="V146" s="215" t="str">
        <x:v>https://powo.science.kew.org/taxon/urn:lsid:ipni.org:names:30001136-2</x:v>
      </x:c>
      <x:c r="W146" s="215" t="str">
        <x:v>https://floranorthamerica.org/Plantaginaceae
https://mobot.org/MOBOT/research/APweb/orders/lamialesweb.htm
https://powo.science.kew.org/taxon/urn:lsid:ipni.org:names:30001136-2</x:v>
      </x:c>
      <x:c r="X146" s="215" t="str">
        <x:v>No - retain qualifiers and exceptions</x:v>
      </x:c>
      <x:c r="Y146" s="215" t="str">
        <x:v>Yes</x:v>
      </x:c>
      <x:c r="Z146" s="215" t="str">
        <x:v>Source-backed draft</x:v>
      </x:c>
    </x:row>
    <x:row r="147" ht="42" customHeight="1">
      <x:c r="A147" s="215" t="str">
        <x:v>Amaranthaceae</x:v>
      </x:c>
      <x:c r="B147" s="215" t="str">
        <x:v>AMAR-SCOPE</x:v>
      </x:c>
      <x:c r="C147" s="215" t="str">
        <x:v>Family-wide taxonomy</x:v>
      </x:c>
      <x:c r="D147" s="215" t="str">
        <x:v>Taxonomic scope</x:v>
      </x:c>
      <x:c r="E147" s="215" t="str">
        <x:v>Broad modern Amaranthaceae includes former Chenopodiaceae</x:v>
      </x:c>
      <x:c r="F147" s="215" t="str">
        <x:v>Caution</x:v>
      </x:c>
      <x:c r="G147" s="215" t="str">
        <x:v>0</x:v>
      </x:c>
      <x:c r="H147" s="215" t="str">
        <x:v>High</x:v>
      </x:c>
      <x:c r="I147" s="215" t="str">
        <x:v>Reference check</x:v>
      </x:c>
      <x:c r="J147" s="215" t="str">
        <x:v>Any</x:v>
      </x:c>
      <x:c r="K147" s="215" t="str">
        <x:v>The accepted family used here includes both familiar amaranths and chenopod-like saltbushes and goosefoots.</x:v>
      </x:c>
      <x:c r="L147" s="215" t="str">
        <x:v>The FNA family page used for practical morphology treats Amaranthaceae in a narrower traditional sense, so its characters cannot be applied to Atriplex or Blitum without qualification.</x:v>
      </x:c>
      <x:c r="M147" s="215" t="str">
        <x:v>Prevents a false universal family description and requires two practical routes.</x:v>
      </x:c>
      <x:c r="N147" s="215" t="str">
        <x:v>The local snapshot contains both Amaranthus/Froelichia/Celosia and former chenopod taxa such as Atriplex and Blitum.</x:v>
      </x:c>
      <x:c r="O147" s="215" t="str">
        <x:v>Low</x:v>
      </x:c>
      <x:c r="P147" s="215" t="str">
        <x:v>Yes</x:v>
      </x:c>
      <x:c r="Q147" s="215" t="str">
        <x:v>Human review must approve how the future key labels broad Amaranthaceae and the former Chenopodiaceae route.</x:v>
      </x:c>
      <x:c r="R147" s="215" t="str">
        <x:v>AMAR-LK03</x:v>
      </x:c>
      <x:c r="S147" s="215" t="str">
        <x:v>APWEB-CARY; FNA-AMAR; KEW-AMAR-GI; POWO-AMAR</x:v>
      </x:c>
      <x:c r="T147" s="215" t="str">
        <x:v>https://www.mobot.org/Mobot/research/APweb/orders/caryophyllalesweb.htm</x:v>
      </x:c>
      <x:c r="U147" s="215" t="str">
        <x:v>https://floranorthamerica.org/Amaranthaceae
https://powo.science.kew.org/taxon/urn:lsid:ipni.org:names:30000566-2/general-information</x:v>
      </x:c>
      <x:c r="V147" s="215" t="str">
        <x:v>https://powo.science.kew.org/taxon/urn:lsid:ipni.org:names:30000566-2</x:v>
      </x:c>
      <x:c r="W147" s="215" t="str">
        <x:v>https://www.mobot.org/Mobot/research/APweb/orders/caryophyllalesweb.htm
https://floranorthamerica.org/Amaranthaceae
https://powo.science.kew.org/taxon/urn:lsid:ipni.org:names:30000566-2/general-information
https://powo.science.kew.org/taxon/urn:lsid:ipni.org:names:30000566-2</x:v>
      </x:c>
      <x:c r="X147" s="215" t="str">
        <x:v>No - retain qualifiers and exceptions</x:v>
      </x:c>
      <x:c r="Y147" s="215" t="str">
        <x:v>Yes</x:v>
      </x:c>
      <x:c r="Z147" s="215" t="str">
        <x:v>Human review required</x:v>
      </x:c>
    </x:row>
    <x:row r="148" ht="42" customHeight="1">
      <x:c r="A148" s="215" t="str">
        <x:v>Amaranthaceae</x:v>
      </x:c>
      <x:c r="B148" s="215" t="str">
        <x:v>AMAR-LEAF</x:v>
      </x:c>
      <x:c r="C148" s="215" t="str">
        <x:v>Broad family tendency</x:v>
      </x:c>
      <x:c r="D148" s="215" t="str">
        <x:v>Leaf</x:v>
      </x:c>
      <x:c r="E148" s="215" t="str">
        <x:v>Leaves usually simple and exstipulate, alternate or opposite</x:v>
      </x:c>
      <x:c r="F148" s="215" t="str">
        <x:v>Supporting</x:v>
      </x:c>
      <x:c r="G148" s="215" t="str">
        <x:v>2</x:v>
      </x:c>
      <x:c r="H148" s="215" t="str">
        <x:v>Variable</x:v>
      </x:c>
      <x:c r="I148" s="215" t="str">
        <x:v>Naked eye</x:v>
      </x:c>
      <x:c r="J148" s="215" t="str">
        <x:v>Vegetative</x:v>
      </x:c>
      <x:c r="K148" s="215" t="str">
        <x:v>Most local members have undivided leaves without stipules at the node.</x:v>
      </x:c>
      <x:c r="L148" s="215" t="str">
        <x:v>Leaves may be reduced, scale-like, fleshy, or absent; arrangement varies and unrelated families share this condition.</x:v>
      </x:c>
      <x:c r="M148" s="215" t="str">
        <x:v>Use as a supporting clue only after flower or fruit structures are found.</x:v>
      </x:c>
      <x:c r="N148" s="215" t="str">
        <x:v>Applies broadly to local genera but cannot distinguish the family by itself.</x:v>
      </x:c>
      <x:c r="O148" s="215" t="str">
        <x:v>Low</x:v>
      </x:c>
      <x:c r="P148" s="215" t="str">
        <x:v>No</x:v>
      </x:c>
      <x:c r="Q148" s="215" t="str"/>
      <x:c r="R148" s="215" t="str">
        <x:v>AMAR-LK01; AMAR-LK02</x:v>
      </x:c>
      <x:c r="S148" s="215" t="str">
        <x:v>APWEB-CARY; FNA-AMAR; KEW-AMAR-GI; POWO-AMAR</x:v>
      </x:c>
      <x:c r="T148" s="215" t="str">
        <x:v>https://www.mobot.org/Mobot/research/APweb/orders/caryophyllalesweb.htm</x:v>
      </x:c>
      <x:c r="U148" s="215" t="str">
        <x:v>https://floranorthamerica.org/Amaranthaceae
https://powo.science.kew.org/taxon/urn:lsid:ipni.org:names:30000566-2/general-information</x:v>
      </x:c>
      <x:c r="V148" s="215" t="str">
        <x:v>https://powo.science.kew.org/taxon/urn:lsid:ipni.org:names:30000566-2</x:v>
      </x:c>
      <x:c r="W148" s="215" t="str">
        <x:v>https://www.mobot.org/Mobot/research/APweb/orders/caryophyllalesweb.htm
https://floranorthamerica.org/Amaranthaceae
https://powo.science.kew.org/taxon/urn:lsid:ipni.org:names:30000566-2/general-information
https://powo.science.kew.org/taxon/urn:lsid:ipni.org:names:30000566-2</x:v>
      </x:c>
      <x:c r="X148" s="215" t="str">
        <x:v>No - retain qualifiers and exceptions</x:v>
      </x:c>
      <x:c r="Y148" s="215" t="str">
        <x:v>Yes</x:v>
      </x:c>
      <x:c r="Z148" s="215" t="str">
        <x:v>Source-backed draft</x:v>
      </x:c>
    </x:row>
    <x:row r="149" ht="42" customHeight="1">
      <x:c r="A149" s="215" t="str">
        <x:v>Amaranthaceae</x:v>
      </x:c>
      <x:c r="B149" s="215" t="str">
        <x:v>AMAR-CLUSTER</x:v>
      </x:c>
      <x:c r="C149" s="215" t="str">
        <x:v>Broad family tendency</x:v>
      </x:c>
      <x:c r="D149" s="215" t="str">
        <x:v>Inflorescence</x:v>
      </x:c>
      <x:c r="E149" s="215" t="str">
        <x:v>Small flowers commonly crowded in spikes, heads, glomerules, or axillary clusters</x:v>
      </x:c>
      <x:c r="F149" s="215" t="str">
        <x:v>Strong</x:v>
      </x:c>
      <x:c r="G149" s="215" t="str">
        <x:v>3</x:v>
      </x:c>
      <x:c r="H149" s="215" t="str">
        <x:v>Moderate to high</x:v>
      </x:c>
      <x:c r="I149" s="215" t="str">
        <x:v>Naked eye or hand lens</x:v>
      </x:c>
      <x:c r="J149" s="215" t="str">
        <x:v>Flowering</x:v>
      </x:c>
      <x:c r="K149" s="215" t="str">
        <x:v>Many tiny flowers are packed together, often with papery bracts that make the cluster look chaffy.</x:v>
      </x:c>
      <x:c r="L149" s="215" t="str">
        <x:v>Flowers may be solitary or arranged differently; dense clusters also occur in unrelated families.</x:v>
      </x:c>
      <x:c r="M149" s="215" t="str">
        <x:v>A strong first clue when paired with persistent tepals and one-seeded fruit.</x:v>
      </x:c>
      <x:c r="N149" s="215" t="str">
        <x:v>Common in Amaranthus, Froelichia, Celosia, Tidestromia, Atriplex, and Blitum.</x:v>
      </x:c>
      <x:c r="O149" s="215" t="str">
        <x:v>Low</x:v>
      </x:c>
      <x:c r="P149" s="215" t="str">
        <x:v>No</x:v>
      </x:c>
      <x:c r="Q149" s="215" t="str"/>
      <x:c r="R149" s="215" t="str">
        <x:v>AMAR-LK01; AMAR-LK02</x:v>
      </x:c>
      <x:c r="S149" s="215" t="str">
        <x:v>APWEB-CARY; FNA-AMAR; KEW-AMAR-GI; POWO-AMAR</x:v>
      </x:c>
      <x:c r="T149" s="215" t="str">
        <x:v>https://www.mobot.org/Mobot/research/APweb/orders/caryophyllalesweb.htm</x:v>
      </x:c>
      <x:c r="U149" s="215" t="str">
        <x:v>https://floranorthamerica.org/Amaranthaceae
https://powo.science.kew.org/taxon/urn:lsid:ipni.org:names:30000566-2/general-information</x:v>
      </x:c>
      <x:c r="V149" s="215" t="str">
        <x:v>https://powo.science.kew.org/taxon/urn:lsid:ipni.org:names:30000566-2</x:v>
      </x:c>
      <x:c r="W149" s="215" t="str">
        <x:v>https://www.mobot.org/Mobot/research/APweb/orders/caryophyllalesweb.htm
https://floranorthamerica.org/Amaranthaceae
https://powo.science.kew.org/taxon/urn:lsid:ipni.org:names:30000566-2/general-information
https://powo.science.kew.org/taxon/urn:lsid:ipni.org:names:30000566-2</x:v>
      </x:c>
      <x:c r="X149" s="215" t="str">
        <x:v>No - retain qualifiers and exceptions</x:v>
      </x:c>
      <x:c r="Y149" s="215" t="str">
        <x:v>Yes</x:v>
      </x:c>
      <x:c r="Z149" s="215" t="str">
        <x:v>Source-backed draft</x:v>
      </x:c>
    </x:row>
    <x:row r="150" ht="42" customHeight="1">
      <x:c r="A150" s="215" t="str">
        <x:v>Amaranthaceae</x:v>
      </x:c>
      <x:c r="B150" s="215" t="str">
        <x:v>AMAR-BRACTS</x:v>
      </x:c>
      <x:c r="C150" s="215" t="str">
        <x:v>Broad family tendency</x:v>
      </x:c>
      <x:c r="D150" s="215" t="str">
        <x:v>Flower</x:v>
      </x:c>
      <x:c r="E150" s="215" t="str">
        <x:v>Each small flower commonly subtended by a bract and often two bracteoles</x:v>
      </x:c>
      <x:c r="F150" s="215" t="str">
        <x:v>Strong</x:v>
      </x:c>
      <x:c r="G150" s="215" t="str">
        <x:v>3</x:v>
      </x:c>
      <x:c r="H150" s="215" t="str">
        <x:v>Moderate</x:v>
      </x:c>
      <x:c r="I150" s="215" t="str">
        <x:v>Hand lens</x:v>
      </x:c>
      <x:c r="J150" s="215" t="str">
        <x:v>Flowering to fruiting</x:v>
      </x:c>
      <x:c r="K150" s="215" t="str">
        <x:v>Papery or firm bracts remain around individual flowers and fruits.</x:v>
      </x:c>
      <x:c r="L150" s="215" t="str">
        <x:v>Bracteoles may be absent in some lineages, reduced, or modified; former chenopod routes can differ strongly.</x:v>
      </x:c>
      <x:c r="M150" s="215" t="str">
        <x:v>Helps separate the flower unit within a dense cluster.</x:v>
      </x:c>
      <x:c r="N150" s="215" t="str">
        <x:v>Especially useful in Amaranthus and Froelichia; Atriplex pistillate bracts are highly modified.</x:v>
      </x:c>
      <x:c r="O150" s="215" t="str">
        <x:v>Moderate</x:v>
      </x:c>
      <x:c r="P150" s="215" t="str">
        <x:v>Yes</x:v>
      </x:c>
      <x:c r="Q150" s="215" t="str">
        <x:v>Route-specific interpretation is needed for former chenopod taxa and unisexual flowers.</x:v>
      </x:c>
      <x:c r="R150" s="215" t="str"/>
      <x:c r="S150" s="215" t="str">
        <x:v>APWEB-CARY; FNA-AMAR; KEW-AMAR-GI; POWO-AMAR</x:v>
      </x:c>
      <x:c r="T150" s="215" t="str">
        <x:v>https://www.mobot.org/Mobot/research/APweb/orders/caryophyllalesweb.htm</x:v>
      </x:c>
      <x:c r="U150" s="215" t="str">
        <x:v>https://floranorthamerica.org/Amaranthaceae
https://powo.science.kew.org/taxon/urn:lsid:ipni.org:names:30000566-2/general-information</x:v>
      </x:c>
      <x:c r="V150" s="215" t="str">
        <x:v>https://powo.science.kew.org/taxon/urn:lsid:ipni.org:names:30000566-2</x:v>
      </x:c>
      <x:c r="W150" s="215" t="str">
        <x:v>https://www.mobot.org/Mobot/research/APweb/orders/caryophyllalesweb.htm
https://floranorthamerica.org/Amaranthaceae
https://powo.science.kew.org/taxon/urn:lsid:ipni.org:names:30000566-2/general-information
https://powo.science.kew.org/taxon/urn:lsid:ipni.org:names:30000566-2</x:v>
      </x:c>
      <x:c r="X150" s="215" t="str">
        <x:v>No - retain qualifiers and exceptions</x:v>
      </x:c>
      <x:c r="Y150" s="215" t="str">
        <x:v>Yes</x:v>
      </x:c>
      <x:c r="Z150" s="215" t="str">
        <x:v>Human review required</x:v>
      </x:c>
    </x:row>
    <x:row r="151" ht="42" customHeight="1">
      <x:c r="A151" s="215" t="str">
        <x:v>Amaranthaceae</x:v>
      </x:c>
      <x:c r="B151" s="215" t="str">
        <x:v>AMAR-TEPALS</x:v>
      </x:c>
      <x:c r="C151" s="215" t="str">
        <x:v>Broad family tendency</x:v>
      </x:c>
      <x:c r="D151" s="215" t="str">
        <x:v>Perianth</x:v>
      </x:c>
      <x:c r="E151" s="215" t="str">
        <x:v>Usually 3-5 free or basally joined, dry, persistent tepals</x:v>
      </x:c>
      <x:c r="F151" s="215" t="str">
        <x:v>Strong</x:v>
      </x:c>
      <x:c r="G151" s="215" t="str">
        <x:v>4</x:v>
      </x:c>
      <x:c r="H151" s="215" t="str">
        <x:v>Moderate to high</x:v>
      </x:c>
      <x:c r="I151" s="215" t="str">
        <x:v>Hand lens</x:v>
      </x:c>
      <x:c r="J151" s="215" t="str">
        <x:v>Flowering to fruiting</x:v>
      </x:c>
      <x:c r="K151" s="215" t="str">
        <x:v>The flower usually has small sepallike segments rather than separate green sepals and colorful petals; they often stay around the fruit.</x:v>
      </x:c>
      <x:c r="L151" s="215" t="str">
        <x:v>Number and texture vary; pistillate flowers of some former chenopods may lack a normal perianth or be enclosed by bracts.</x:v>
      </x:c>
      <x:c r="M151" s="215" t="str">
        <x:v>Use with stamen position and one-seeded fruit.</x:v>
      </x:c>
      <x:c r="N151" s="215" t="str">
        <x:v>Useful in Amaranthus, Froelichia, Celosia, and Tidestromia; modified in Atriplex.</x:v>
      </x:c>
      <x:c r="O151" s="215" t="str">
        <x:v>Moderate</x:v>
      </x:c>
      <x:c r="P151" s="215" t="str">
        <x:v>No</x:v>
      </x:c>
      <x:c r="Q151" s="215" t="str"/>
      <x:c r="R151" s="215" t="str">
        <x:v>AMAR-LK01; AMAR-LK02</x:v>
      </x:c>
      <x:c r="S151" s="215" t="str">
        <x:v>APWEB-CARY; FNA-AMAR; KEW-AMAR-GI; POWO-AMAR</x:v>
      </x:c>
      <x:c r="T151" s="215" t="str">
        <x:v>https://www.mobot.org/Mobot/research/APweb/orders/caryophyllalesweb.htm</x:v>
      </x:c>
      <x:c r="U151" s="215" t="str">
        <x:v>https://floranorthamerica.org/Amaranthaceae
https://powo.science.kew.org/taxon/urn:lsid:ipni.org:names:30000566-2/general-information</x:v>
      </x:c>
      <x:c r="V151" s="215" t="str">
        <x:v>https://powo.science.kew.org/taxon/urn:lsid:ipni.org:names:30000566-2</x:v>
      </x:c>
      <x:c r="W151" s="215" t="str">
        <x:v>https://www.mobot.org/Mobot/research/APweb/orders/caryophyllalesweb.htm
https://floranorthamerica.org/Amaranthaceae
https://powo.science.kew.org/taxon/urn:lsid:ipni.org:names:30000566-2/general-information
https://powo.science.kew.org/taxon/urn:lsid:ipni.org:names:30000566-2</x:v>
      </x:c>
      <x:c r="X151" s="215" t="str">
        <x:v>No - retain qualifiers and exceptions</x:v>
      </x:c>
      <x:c r="Y151" s="215" t="str">
        <x:v>Yes</x:v>
      </x:c>
      <x:c r="Z151" s="215" t="str">
        <x:v>Source-backed draft</x:v>
      </x:c>
    </x:row>
    <x:row r="152" ht="42" customHeight="1">
      <x:c r="A152" s="215" t="str">
        <x:v>Amaranthaceae</x:v>
      </x:c>
      <x:c r="B152" s="215" t="str">
        <x:v>AMAR-STAMEN</x:v>
      </x:c>
      <x:c r="C152" s="215" t="str">
        <x:v>Common, not universal</x:v>
      </x:c>
      <x:c r="D152" s="215" t="str">
        <x:v>Androecium</x:v>
      </x:c>
      <x:c r="E152" s="215" t="str">
        <x:v>Stamens commonly equal to and opposite the tepals</x:v>
      </x:c>
      <x:c r="F152" s="215" t="str">
        <x:v>Supporting</x:v>
      </x:c>
      <x:c r="G152" s="215" t="str">
        <x:v>3</x:v>
      </x:c>
      <x:c r="H152" s="215" t="str">
        <x:v>Variable</x:v>
      </x:c>
      <x:c r="I152" s="215" t="str">
        <x:v>Hand lens</x:v>
      </x:c>
      <x:c r="J152" s="215" t="str">
        <x:v>Flowering</x:v>
      </x:c>
      <x:c r="K152" s="215" t="str">
        <x:v>When five tepals occur, five stamens commonly stand opposite them, sometimes united at the base.</x:v>
      </x:c>
      <x:c r="L152" s="215" t="str">
        <x:v>Stamen number can be fewer; flowers may be unisexual; staminodes and pseudostaminodes occur in some groups.</x:v>
      </x:c>
      <x:c r="M152" s="215" t="str">
        <x:v>A useful internal check after the flower has been isolated.</x:v>
      </x:c>
      <x:c r="N152" s="215" t="str">
        <x:v>Most useful in bisexual-flowered local routes; less direct in Atriplex and some Amaranthus flowers.</x:v>
      </x:c>
      <x:c r="O152" s="215" t="str">
        <x:v>Moderate</x:v>
      </x:c>
      <x:c r="P152" s="215" t="str">
        <x:v>Yes</x:v>
      </x:c>
      <x:c r="Q152" s="215" t="str">
        <x:v>Stamen-based weights must be lineage-specific.</x:v>
      </x:c>
      <x:c r="R152" s="215" t="str"/>
      <x:c r="S152" s="215" t="str">
        <x:v>APWEB-CARY; FNA-AMAR; KEW-AMAR-GI; POWO-AMAR</x:v>
      </x:c>
      <x:c r="T152" s="215" t="str">
        <x:v>https://www.mobot.org/Mobot/research/APweb/orders/caryophyllalesweb.htm</x:v>
      </x:c>
      <x:c r="U152" s="215" t="str">
        <x:v>https://floranorthamerica.org/Amaranthaceae
https://powo.science.kew.org/taxon/urn:lsid:ipni.org:names:30000566-2/general-information</x:v>
      </x:c>
      <x:c r="V152" s="215" t="str">
        <x:v>https://powo.science.kew.org/taxon/urn:lsid:ipni.org:names:30000566-2</x:v>
      </x:c>
      <x:c r="W152" s="215" t="str">
        <x:v>https://www.mobot.org/Mobot/research/APweb/orders/caryophyllalesweb.htm
https://floranorthamerica.org/Amaranthaceae
https://powo.science.kew.org/taxon/urn:lsid:ipni.org:names:30000566-2/general-information
https://powo.science.kew.org/taxon/urn:lsid:ipni.org:names:30000566-2</x:v>
      </x:c>
      <x:c r="X152" s="215" t="str">
        <x:v>No - retain qualifiers and exceptions</x:v>
      </x:c>
      <x:c r="Y152" s="215" t="str">
        <x:v>Yes</x:v>
      </x:c>
      <x:c r="Z152" s="215" t="str">
        <x:v>Human review required</x:v>
      </x:c>
    </x:row>
    <x:row r="153" ht="42" customHeight="1">
      <x:c r="A153" s="215" t="str">
        <x:v>Amaranthaceae</x:v>
      </x:c>
      <x:c r="B153" s="215" t="str">
        <x:v>AMAR-OVARY</x:v>
      </x:c>
      <x:c r="C153" s="215" t="str">
        <x:v>Broad family suite</x:v>
      </x:c>
      <x:c r="D153" s="215" t="str">
        <x:v>Gynoecium</x:v>
      </x:c>
      <x:c r="E153" s="215" t="str">
        <x:v>Ovary superior, usually one-locular, with one basal or free-central ovule</x:v>
      </x:c>
      <x:c r="F153" s="215" t="str">
        <x:v>Strong</x:v>
      </x:c>
      <x:c r="G153" s="215" t="str">
        <x:v>4</x:v>
      </x:c>
      <x:c r="H153" s="215" t="str">
        <x:v>Moderate</x:v>
      </x:c>
      <x:c r="I153" s="215" t="str">
        <x:v>Hand lens or dissection</x:v>
      </x:c>
      <x:c r="J153" s="215" t="str">
        <x:v>Flowering to young fruit</x:v>
      </x:c>
      <x:c r="K153" s="215" t="str">
        <x:v>The tiny ovary normally contains a single ovule and later forms a one-seeded fruit.</x:v>
      </x:c>
      <x:c r="L153" s="215" t="str">
        <x:v>Locule interpretation can be difficult in minute flowers; a few lineages have more ovules or different placentation.</x:v>
      </x:c>
      <x:c r="M153" s="215" t="str">
        <x:v>Strong confirmation when paired with persistent tepals and dense clusters.</x:v>
      </x:c>
      <x:c r="N153" s="215" t="str">
        <x:v>Expected across current local routes, although the surrounding bracts differ.</x:v>
      </x:c>
      <x:c r="O153" s="215" t="str">
        <x:v>Low</x:v>
      </x:c>
      <x:c r="P153" s="215" t="str">
        <x:v>No</x:v>
      </x:c>
      <x:c r="Q153" s="215" t="str"/>
      <x:c r="R153" s="215" t="str">
        <x:v>AMAR-LK01; AMAR-LK02</x:v>
      </x:c>
      <x:c r="S153" s="215" t="str">
        <x:v>APWEB-CARY; FNA-AMAR; KEW-AMAR-GI; POWO-AMAR</x:v>
      </x:c>
      <x:c r="T153" s="215" t="str">
        <x:v>https://www.mobot.org/Mobot/research/APweb/orders/caryophyllalesweb.htm</x:v>
      </x:c>
      <x:c r="U153" s="215" t="str">
        <x:v>https://floranorthamerica.org/Amaranthaceae
https://powo.science.kew.org/taxon/urn:lsid:ipni.org:names:30000566-2/general-information</x:v>
      </x:c>
      <x:c r="V153" s="215" t="str">
        <x:v>https://powo.science.kew.org/taxon/urn:lsid:ipni.org:names:30000566-2</x:v>
      </x:c>
      <x:c r="W153" s="215" t="str">
        <x:v>https://www.mobot.org/Mobot/research/APweb/orders/caryophyllalesweb.htm
https://floranorthamerica.org/Amaranthaceae
https://powo.science.kew.org/taxon/urn:lsid:ipni.org:names:30000566-2/general-information
https://powo.science.kew.org/taxon/urn:lsid:ipni.org:names:30000566-2</x:v>
      </x:c>
      <x:c r="X153" s="215" t="str">
        <x:v>No - retain qualifiers and exceptions</x:v>
      </x:c>
      <x:c r="Y153" s="215" t="str">
        <x:v>Yes</x:v>
      </x:c>
      <x:c r="Z153" s="215" t="str">
        <x:v>Source-backed draft</x:v>
      </x:c>
    </x:row>
    <x:row r="154" ht="42" customHeight="1">
      <x:c r="A154" s="215" t="str">
        <x:v>Amaranthaceae</x:v>
      </x:c>
      <x:c r="B154" s="215" t="str">
        <x:v>AMAR-FRUIT</x:v>
      </x:c>
      <x:c r="C154" s="215" t="str">
        <x:v>Broad family tendency</x:v>
      </x:c>
      <x:c r="D154" s="215" t="str">
        <x:v>Fruit</x:v>
      </x:c>
      <x:c r="E154" s="215" t="str">
        <x:v>Small one-seeded utricle or achene, opening irregularly, by a lid, or not at all</x:v>
      </x:c>
      <x:c r="F154" s="215" t="str">
        <x:v>Strong</x:v>
      </x:c>
      <x:c r="G154" s="215" t="str">
        <x:v>4</x:v>
      </x:c>
      <x:c r="H154" s="215" t="str">
        <x:v>Moderate to high</x:v>
      </x:c>
      <x:c r="I154" s="215" t="str">
        <x:v>Hand lens</x:v>
      </x:c>
      <x:c r="J154" s="215" t="str">
        <x:v>Mature fruit</x:v>
      </x:c>
      <x:c r="K154" s="215" t="str">
        <x:v>Each tiny flower commonly matures into a dry one-seeded fruit, often still wrapped by tepals or bracts.</x:v>
      </x:c>
      <x:c r="L154" s="215" t="str">
        <x:v>Opening mode varies greatly; fruit may be bladdery, crusty, fleshy-looking, or enclosed by accrescent bracts.</x:v>
      </x:c>
      <x:c r="M154" s="215" t="str">
        <x:v>Mature fruit is more dependable than leaf shape for broad family placement.</x:v>
      </x:c>
      <x:c r="N154" s="215" t="str">
        <x:v>Amaranthus often has circumscissile or indehiscent fruits; Atriplex fruit is enclosed by two bracts.</x:v>
      </x:c>
      <x:c r="O154" s="215" t="str">
        <x:v>Moderate</x:v>
      </x:c>
      <x:c r="P154" s="215" t="str">
        <x:v>No</x:v>
      </x:c>
      <x:c r="Q154" s="215" t="str"/>
      <x:c r="R154" s="215" t="str">
        <x:v>AMAR-LK01; AMAR-LK02</x:v>
      </x:c>
      <x:c r="S154" s="215" t="str">
        <x:v>APWEB-CARY; FNA-AMAR; KEW-AMAR-GI; POWO-AMAR</x:v>
      </x:c>
      <x:c r="T154" s="215" t="str">
        <x:v>https://www.mobot.org/Mobot/research/APweb/orders/caryophyllalesweb.htm</x:v>
      </x:c>
      <x:c r="U154" s="215" t="str">
        <x:v>https://floranorthamerica.org/Amaranthaceae
https://powo.science.kew.org/taxon/urn:lsid:ipni.org:names:30000566-2/general-information</x:v>
      </x:c>
      <x:c r="V154" s="215" t="str">
        <x:v>https://powo.science.kew.org/taxon/urn:lsid:ipni.org:names:30000566-2</x:v>
      </x:c>
      <x:c r="W154" s="215" t="str">
        <x:v>https://www.mobot.org/Mobot/research/APweb/orders/caryophyllalesweb.htm
https://floranorthamerica.org/Amaranthaceae
https://powo.science.kew.org/taxon/urn:lsid:ipni.org:names:30000566-2/general-information
https://powo.science.kew.org/taxon/urn:lsid:ipni.org:names:30000566-2</x:v>
      </x:c>
      <x:c r="X154" s="215" t="str">
        <x:v>No - retain qualifiers and exceptions</x:v>
      </x:c>
      <x:c r="Y154" s="215" t="str">
        <x:v>Yes</x:v>
      </x:c>
      <x:c r="Z154" s="215" t="str">
        <x:v>Source-backed draft</x:v>
      </x:c>
    </x:row>
    <x:row r="155" ht="42" customHeight="1">
      <x:c r="A155" s="215" t="str">
        <x:v>Amaranthaceae</x:v>
      </x:c>
      <x:c r="B155" s="215" t="str">
        <x:v>AMAR-EMBRYO</x:v>
      </x:c>
      <x:c r="C155" s="215" t="str">
        <x:v>Broad family tendency</x:v>
      </x:c>
      <x:c r="D155" s="215" t="str">
        <x:v>Seed</x:v>
      </x:c>
      <x:c r="E155" s="215" t="str">
        <x:v>Embryo often curved around perisperm</x:v>
      </x:c>
      <x:c r="F155" s="215" t="str">
        <x:v>Strong</x:v>
      </x:c>
      <x:c r="G155" s="215" t="str">
        <x:v>3</x:v>
      </x:c>
      <x:c r="H155" s="215" t="str">
        <x:v>High when visible</x:v>
      </x:c>
      <x:c r="I155" s="215" t="str">
        <x:v>Dissection or microscope</x:v>
      </x:c>
      <x:c r="J155" s="215" t="str">
        <x:v>Mature seed</x:v>
      </x:c>
      <x:c r="K155" s="215" t="str">
        <x:v>The embryo commonly bends around a central food-storage tissue rather than lying straight inside the seed.</x:v>
      </x:c>
      <x:c r="L155" s="215" t="str">
        <x:v>Not safely visible in the field and variation occurs; seed preparation may be required.</x:v>
      </x:c>
      <x:c r="M155" s="215" t="str">
        <x:v>Microscopic confirmation for difficult sterile or fragmentary material.</x:v>
      </x:c>
      <x:c r="N155" s="215" t="str">
        <x:v>Potentially useful for voucher verification, not routine public field identification.</x:v>
      </x:c>
      <x:c r="O155" s="215" t="str">
        <x:v>Low</x:v>
      </x:c>
      <x:c r="P155" s="215" t="str">
        <x:v>No</x:v>
      </x:c>
      <x:c r="Q155" s="215" t="str"/>
      <x:c r="R155" s="215" t="str"/>
      <x:c r="S155" s="215" t="str">
        <x:v>APWEB-CARY; FNA-AMAR; KEW-AMAR-GI; POWO-AMAR</x:v>
      </x:c>
      <x:c r="T155" s="215" t="str">
        <x:v>https://www.mobot.org/Mobot/research/APweb/orders/caryophyllalesweb.htm</x:v>
      </x:c>
      <x:c r="U155" s="215" t="str">
        <x:v>https://floranorthamerica.org/Amaranthaceae
https://powo.science.kew.org/taxon/urn:lsid:ipni.org:names:30000566-2/general-information</x:v>
      </x:c>
      <x:c r="V155" s="215" t="str">
        <x:v>https://powo.science.kew.org/taxon/urn:lsid:ipni.org:names:30000566-2</x:v>
      </x:c>
      <x:c r="W155" s="215" t="str">
        <x:v>https://www.mobot.org/Mobot/research/APweb/orders/caryophyllalesweb.htm
https://floranorthamerica.org/Amaranthaceae
https://powo.science.kew.org/taxon/urn:lsid:ipni.org:names:30000566-2/general-information
https://powo.science.kew.org/taxon/urn:lsid:ipni.org:names:30000566-2</x:v>
      </x:c>
      <x:c r="X155" s="215" t="str">
        <x:v>No - retain qualifiers and exceptions</x:v>
      </x:c>
      <x:c r="Y155" s="215" t="str">
        <x:v>Yes</x:v>
      </x:c>
      <x:c r="Z155" s="215" t="str">
        <x:v>Source-backed draft</x:v>
      </x:c>
    </x:row>
    <x:row r="156" ht="42" customHeight="1">
      <x:c r="A156" s="215" t="str">
        <x:v>Amaranthaceae</x:v>
      </x:c>
      <x:c r="B156" s="215" t="str">
        <x:v>AMAR-AMARANTHUS</x:v>
      </x:c>
      <x:c r="C156" s="215" t="str">
        <x:v>Local subgroup: Amaranthus</x:v>
      </x:c>
      <x:c r="D156" s="215" t="str">
        <x:v>Flower, bracts, fruit</x:v>
      </x:c>
      <x:c r="E156" s="215" t="str">
        <x:v>Unisexual or bisexual clustered flowers with sharp bracts and a one-seeded utricle</x:v>
      </x:c>
      <x:c r="F156" s="215" t="str">
        <x:v>Subgroup</x:v>
      </x:c>
      <x:c r="G156" s="215" t="str">
        <x:v>5</x:v>
      </x:c>
      <x:c r="H156" s="215" t="str">
        <x:v>High with mature material</x:v>
      </x:c>
      <x:c r="I156" s="215" t="str">
        <x:v>Hand lens</x:v>
      </x:c>
      <x:c r="J156" s="215" t="str">
        <x:v>Flowering and fruiting</x:v>
      </x:c>
      <x:c r="K156" s="215" t="str">
        <x:v>Amaranthus combines dense greenish clusters, persistent tepals, bracts, and tiny one-seeded fruits; sex arrangement and fruit opening are important.</x:v>
      </x:c>
      <x:c r="L156" s="215" t="str">
        <x:v>Species can be extremely similar; bract length, tepal number, inflorescence structure, and fruit dehiscence must be checked together.</x:v>
      </x:c>
      <x:c r="M156" s="215" t="str">
        <x:v>Routes to the five local Amaranthus taxa but does not separate them.</x:v>
      </x:c>
      <x:c r="N156" s="215" t="str">
        <x:v>Directly relevant to A. palmeri, A. polygonoides, A. retroflexus, A. scleropoides, and A. spinosus.</x:v>
      </x:c>
      <x:c r="O156" s="215" t="str">
        <x:v>Low</x:v>
      </x:c>
      <x:c r="P156" s="215" t="str">
        <x:v>No</x:v>
      </x:c>
      <x:c r="Q156" s="215" t="str"/>
      <x:c r="R156" s="215" t="str">
        <x:v>AMAR-LK01</x:v>
      </x:c>
      <x:c r="S156" s="215" t="str">
        <x:v>FNA-AMAR; APWEB-CARY; POWO-AMAR</x:v>
      </x:c>
      <x:c r="T156" s="215" t="str">
        <x:v>https://www.mobot.org/Mobot/research/APweb/orders/caryophyllalesweb.htm</x:v>
      </x:c>
      <x:c r="U156" s="215" t="str">
        <x:v>https://floranorthamerica.org/Amaranthaceae
https://powo.science.kew.org/taxon/urn:lsid:ipni.org:names:30000566-2/general-information</x:v>
      </x:c>
      <x:c r="V156" s="215" t="str">
        <x:v>https://powo.science.kew.org/taxon/urn:lsid:ipni.org:names:30000566-2</x:v>
      </x:c>
      <x:c r="W156" s="215" t="str">
        <x:v>https://floranorthamerica.org/Amaranthaceae
https://www.mobot.org/Mobot/research/APweb/orders/caryophyllalesweb.htm
https://powo.science.kew.org/taxon/urn:lsid:ipni.org:names:30000566-2
https://powo.science.kew.org/taxon/urn:lsid:ipni.org:names:30000566-2/general-information</x:v>
      </x:c>
      <x:c r="X156" s="215" t="str">
        <x:v>No - retain qualifiers and exceptions</x:v>
      </x:c>
      <x:c r="Y156" s="215" t="str">
        <x:v>Yes</x:v>
      </x:c>
      <x:c r="Z156" s="215" t="str">
        <x:v>Source-backed draft</x:v>
      </x:c>
    </x:row>
    <x:row r="157" ht="42" customHeight="1">
      <x:c r="A157" s="215" t="str">
        <x:v>Amaranthaceae</x:v>
      </x:c>
      <x:c r="B157" s="215" t="str">
        <x:v>AMAR-CHENOPOD</x:v>
      </x:c>
      <x:c r="C157" s="215" t="str">
        <x:v>Local subgroup: former Chenopodiaceae</x:v>
      </x:c>
      <x:c r="D157" s="215" t="str">
        <x:v>Leaf, flower, fruit</x:v>
      </x:c>
      <x:c r="E157" s="215" t="str">
        <x:v>Mealy, scaly, or salt-adapted appearance with highly reduced flowers</x:v>
      </x:c>
      <x:c r="F157" s="215" t="str">
        <x:v>Subgroup</x:v>
      </x:c>
      <x:c r="G157" s="215" t="str">
        <x:v>4</x:v>
      </x:c>
      <x:c r="H157" s="215" t="str">
        <x:v>Moderate</x:v>
      </x:c>
      <x:c r="I157" s="215" t="str">
        <x:v>Naked eye plus hand lens</x:v>
      </x:c>
      <x:c r="J157" s="215" t="str">
        <x:v>Flowering and fruiting</x:v>
      </x:c>
      <x:c r="K157" s="215" t="str">
        <x:v>Atriplex and Blitum follow the former chenopod route, which often has tiny green flowers and surfaces that look whitish or mealy.</x:v>
      </x:c>
      <x:c r="L157" s="215" t="str">
        <x:v>Mealiness and saline habitat are not universal; some taxa are glabrous and many unrelated plants grow in salty or disturbed sites.</x:v>
      </x:c>
      <x:c r="M157" s="215" t="str">
        <x:v>Directs the user away from the narrow Amaranthus-style description.</x:v>
      </x:c>
      <x:c r="N157" s="215" t="str">
        <x:v>Applies to Atriplex canescens and Blitum nuttallianum.</x:v>
      </x:c>
      <x:c r="O157" s="215" t="str">
        <x:v>Moderate</x:v>
      </x:c>
      <x:c r="P157" s="215" t="str">
        <x:v>Yes</x:v>
      </x:c>
      <x:c r="Q157" s="215" t="str">
        <x:v>Needs genus-level morphology from authoritative treatments before final key weighting.</x:v>
      </x:c>
      <x:c r="R157" s="215" t="str">
        <x:v>AMAR-LK03</x:v>
      </x:c>
      <x:c r="S157" s="215" t="str">
        <x:v>APWEB-CARY; KEW-AMAR-GI; POWO-AMAR</x:v>
      </x:c>
      <x:c r="T157" s="215" t="str">
        <x:v>https://www.mobot.org/Mobot/research/APweb/orders/caryophyllalesweb.htm</x:v>
      </x:c>
      <x:c r="U157" s="215" t="str">
        <x:v>https://powo.science.kew.org/taxon/urn:lsid:ipni.org:names:30000566-2/general-information
https://floranorthamerica.org/Amaranthaceae</x:v>
      </x:c>
      <x:c r="V157" s="215" t="str">
        <x:v>https://powo.science.kew.org/taxon/urn:lsid:ipni.org:names:30000566-2</x:v>
      </x:c>
      <x:c r="W157" s="215" t="str">
        <x:v>https://www.mobot.org/Mobot/research/APweb/orders/caryophyllalesweb.htm
https://powo.science.kew.org/taxon/urn:lsid:ipni.org:names:30000566-2/general-information
https://powo.science.kew.org/taxon/urn:lsid:ipni.org:names:30000566-2
https://floranorthamerica.org/Amaranthaceae</x:v>
      </x:c>
      <x:c r="X157" s="215" t="str">
        <x:v>No - retain qualifiers and exceptions</x:v>
      </x:c>
      <x:c r="Y157" s="215" t="str">
        <x:v>Yes</x:v>
      </x:c>
      <x:c r="Z157" s="215" t="str">
        <x:v>Human review required</x:v>
      </x:c>
    </x:row>
    <x:row r="158" ht="42" customHeight="1">
      <x:c r="A158" s="215" t="str">
        <x:v>Amaranthaceae</x:v>
      </x:c>
      <x:c r="B158" s="215" t="str">
        <x:v>AMAR-ATRIPLEX</x:v>
      </x:c>
      <x:c r="C158" s="215" t="str">
        <x:v>Local subgroup: Atriplex</x:v>
      </x:c>
      <x:c r="D158" s="215" t="str">
        <x:v>Pistillate flower and fruit</x:v>
      </x:c>
      <x:c r="E158" s="215" t="str">
        <x:v>Fruit enclosed by two enlarged bracts, often without a normal perianth</x:v>
      </x:c>
      <x:c r="F158" s="215" t="str">
        <x:v>Subgroup</x:v>
      </x:c>
      <x:c r="G158" s="215" t="str">
        <x:v>5</x:v>
      </x:c>
      <x:c r="H158" s="215" t="str">
        <x:v>High with fruit</x:v>
      </x:c>
      <x:c r="I158" s="215" t="str">
        <x:v>Hand lens</x:v>
      </x:c>
      <x:c r="J158" s="215" t="str">
        <x:v>Fruiting</x:v>
      </x:c>
      <x:c r="K158" s="215" t="str">
        <x:v>The two bracts around a pistillate flower enlarge and form a distinctive envelope around the fruit.</x:v>
      </x:c>
      <x:c r="L158" s="215" t="str">
        <x:v>Bract shape, fusion, and ornament vary by species; male flowers retain a different perianth form.</x:v>
      </x:c>
      <x:c r="M158" s="215" t="str">
        <x:v>A strong route to Atriplex within broad Amaranthaceae.</x:v>
      </x:c>
      <x:c r="N158" s="215" t="str">
        <x:v>Directly relevant to Atriplex canescens.</x:v>
      </x:c>
      <x:c r="O158" s="215" t="str">
        <x:v>Low</x:v>
      </x:c>
      <x:c r="P158" s="215" t="str">
        <x:v>No</x:v>
      </x:c>
      <x:c r="Q158" s="215" t="str"/>
      <x:c r="R158" s="215" t="str">
        <x:v>AMAR-LK03</x:v>
      </x:c>
      <x:c r="S158" s="215" t="str">
        <x:v>KEW-AMAR-GI; APWEB-CARY; POWO-AMAR</x:v>
      </x:c>
      <x:c r="T158" s="215" t="str">
        <x:v>https://www.mobot.org/Mobot/research/APweb/orders/caryophyllalesweb.htm</x:v>
      </x:c>
      <x:c r="U158" s="215" t="str">
        <x:v>https://powo.science.kew.org/taxon/urn:lsid:ipni.org:names:30000566-2/general-information
https://floranorthamerica.org/Amaranthaceae</x:v>
      </x:c>
      <x:c r="V158" s="215" t="str">
        <x:v>https://powo.science.kew.org/taxon/urn:lsid:ipni.org:names:30000566-2</x:v>
      </x:c>
      <x:c r="W158" s="215" t="str">
        <x:v>https://powo.science.kew.org/taxon/urn:lsid:ipni.org:names:30000566-2/general-information
https://www.mobot.org/Mobot/research/APweb/orders/caryophyllalesweb.htm
https://powo.science.kew.org/taxon/urn:lsid:ipni.org:names:30000566-2
https://floranorthamerica.org/Amaranthaceae</x:v>
      </x:c>
      <x:c r="X158" s="215" t="str">
        <x:v>No - retain qualifiers and exceptions</x:v>
      </x:c>
      <x:c r="Y158" s="215" t="str">
        <x:v>Yes</x:v>
      </x:c>
      <x:c r="Z158" s="215" t="str">
        <x:v>Source-backed draft</x:v>
      </x:c>
    </x:row>
    <x:row r="159" ht="42" customHeight="1">
      <x:c r="A159" s="215" t="str">
        <x:v>Amaranthaceae</x:v>
      </x:c>
      <x:c r="B159" s="215" t="str">
        <x:v>AMAR-CELOSIA-FROEL</x:v>
      </x:c>
      <x:c r="C159" s="215" t="str">
        <x:v>Local subgroup: Celosia and Froelichia</x:v>
      </x:c>
      <x:c r="D159" s="215" t="str">
        <x:v>Inflorescence and perianth</x:v>
      </x:c>
      <x:c r="E159" s="215" t="str">
        <x:v>Dense, often conspicuous spikes with persistent papery perianth</x:v>
      </x:c>
      <x:c r="F159" s="215" t="str">
        <x:v>Subgroup</x:v>
      </x:c>
      <x:c r="G159" s="215" t="str">
        <x:v>4</x:v>
      </x:c>
      <x:c r="H159" s="215" t="str">
        <x:v>Moderate to high</x:v>
      </x:c>
      <x:c r="I159" s="215" t="str">
        <x:v>Naked eye plus hand lens</x:v>
      </x:c>
      <x:c r="J159" s="215" t="str">
        <x:v>Flowering and fruiting</x:v>
      </x:c>
      <x:c r="K159" s="215" t="str">
        <x:v>The papery flower parts persist and help make the spike conspicuous after flowering.</x:v>
      </x:c>
      <x:c r="L159" s="215" t="str">
        <x:v>Celosia and Froelichia differ strongly in bracts, hairs, style, and fruit; this is only a local branch point.</x:v>
      </x:c>
      <x:c r="M159" s="215" t="str">
        <x:v>Separates these local genera from many diffuse Amaranthus and former chenopod forms.</x:v>
      </x:c>
      <x:c r="N159" s="215" t="str">
        <x:v>Applies to Celosia nitida and Froelichia gracilis.</x:v>
      </x:c>
      <x:c r="O159" s="215" t="str">
        <x:v>Moderate</x:v>
      </x:c>
      <x:c r="P159" s="215" t="str">
        <x:v>Yes</x:v>
      </x:c>
      <x:c r="Q159" s="215" t="str">
        <x:v>Genus matrix needed before field deployment.</x:v>
      </x:c>
      <x:c r="R159" s="215" t="str"/>
      <x:c r="S159" s="215" t="str">
        <x:v>FNA-AMAR; APWEB-CARY; POWO-AMAR</x:v>
      </x:c>
      <x:c r="T159" s="215" t="str">
        <x:v>https://www.mobot.org/Mobot/research/APweb/orders/caryophyllalesweb.htm</x:v>
      </x:c>
      <x:c r="U159" s="215" t="str">
        <x:v>https://floranorthamerica.org/Amaranthaceae
https://powo.science.kew.org/taxon/urn:lsid:ipni.org:names:30000566-2/general-information</x:v>
      </x:c>
      <x:c r="V159" s="215" t="str">
        <x:v>https://powo.science.kew.org/taxon/urn:lsid:ipni.org:names:30000566-2</x:v>
      </x:c>
      <x:c r="W159" s="215" t="str">
        <x:v>https://floranorthamerica.org/Amaranthaceae
https://www.mobot.org/Mobot/research/APweb/orders/caryophyllalesweb.htm
https://powo.science.kew.org/taxon/urn:lsid:ipni.org:names:30000566-2
https://powo.science.kew.org/taxon/urn:lsid:ipni.org:names:30000566-2/general-information</x:v>
      </x:c>
      <x:c r="X159" s="215" t="str">
        <x:v>No - retain qualifiers and exceptions</x:v>
      </x:c>
      <x:c r="Y159" s="215" t="str">
        <x:v>Yes</x:v>
      </x:c>
      <x:c r="Z159" s="215" t="str">
        <x:v>Human review required</x:v>
      </x:c>
    </x:row>
    <x:row r="160" ht="42" customHeight="1">
      <x:c r="A160" s="215" t="str">
        <x:v>Amaranthaceae</x:v>
      </x:c>
      <x:c r="B160" s="215" t="str">
        <x:v>AMAR-TIDESTROMIA</x:v>
      </x:c>
      <x:c r="C160" s="215" t="str">
        <x:v>Local subgroup: Tidestromia</x:v>
      </x:c>
      <x:c r="D160" s="215" t="str">
        <x:v>Indumentum and habit</x:v>
      </x:c>
      <x:c r="E160" s="215" t="str">
        <x:v>Prostrate or spreading plant with dense branched or stellate hairs</x:v>
      </x:c>
      <x:c r="F160" s="215" t="str">
        <x:v>Subgroup</x:v>
      </x:c>
      <x:c r="G160" s="215" t="str">
        <x:v>4</x:v>
      </x:c>
      <x:c r="H160" s="215" t="str">
        <x:v>Moderate to high</x:v>
      </x:c>
      <x:c r="I160" s="215" t="str">
        <x:v>Hand lens</x:v>
      </x:c>
      <x:c r="J160" s="215" t="str">
        <x:v>Vegetative to fruiting</x:v>
      </x:c>
      <x:c r="K160" s="215" t="str">
        <x:v>The gray-woolly surface comes from branched hairs rather than simple hairs.</x:v>
      </x:c>
      <x:c r="L160" s="215" t="str">
        <x:v>Hair density changes with age and environment; other unrelated plants also have stellate hairs.</x:v>
      </x:c>
      <x:c r="M160" s="215" t="str">
        <x:v>Routes a woolly prostrate local amaranth to Tidestromia when flowers and fruits agree.</x:v>
      </x:c>
      <x:c r="N160" s="215" t="str">
        <x:v>Directly relevant to Tidestromia lanuginosa.</x:v>
      </x:c>
      <x:c r="O160" s="215" t="str">
        <x:v>Low</x:v>
      </x:c>
      <x:c r="P160" s="215" t="str">
        <x:v>No</x:v>
      </x:c>
      <x:c r="Q160" s="215" t="str"/>
      <x:c r="R160" s="215" t="str"/>
      <x:c r="S160" s="215" t="str">
        <x:v>FNA-AMAR; APWEB-CARY; POWO-AMAR</x:v>
      </x:c>
      <x:c r="T160" s="215" t="str">
        <x:v>https://www.mobot.org/Mobot/research/APweb/orders/caryophyllalesweb.htm</x:v>
      </x:c>
      <x:c r="U160" s="215" t="str">
        <x:v>https://floranorthamerica.org/Amaranthaceae
https://powo.science.kew.org/taxon/urn:lsid:ipni.org:names:30000566-2/general-information</x:v>
      </x:c>
      <x:c r="V160" s="215" t="str">
        <x:v>https://powo.science.kew.org/taxon/urn:lsid:ipni.org:names:30000566-2</x:v>
      </x:c>
      <x:c r="W160" s="215" t="str">
        <x:v>https://floranorthamerica.org/Amaranthaceae
https://www.mobot.org/Mobot/research/APweb/orders/caryophyllalesweb.htm
https://powo.science.kew.org/taxon/urn:lsid:ipni.org:names:30000566-2
https://powo.science.kew.org/taxon/urn:lsid:ipni.org:names:30000566-2/general-information</x:v>
      </x:c>
      <x:c r="X160" s="215" t="str">
        <x:v>No - retain qualifiers and exceptions</x:v>
      </x:c>
      <x:c r="Y160" s="215" t="str">
        <x:v>Yes</x:v>
      </x:c>
      <x:c r="Z160" s="215" t="str">
        <x:v>Source-backed draft</x:v>
      </x:c>
    </x:row>
    <x:row r="161" ht="42" customHeight="1">
      <x:c r="A161" s="215" t="str">
        <x:v>Amaranthaceae</x:v>
      </x:c>
      <x:c r="B161" s="215" t="str">
        <x:v>AMAR-PIGMENT</x:v>
      </x:c>
      <x:c r="C161" s="215" t="str">
        <x:v>Family-wide warning</x:v>
      </x:c>
      <x:c r="D161" s="215" t="str">
        <x:v>Chemistry / color</x:v>
      </x:c>
      <x:c r="E161" s="215" t="str">
        <x:v>Betalain pigments may replace anthocyanins</x:v>
      </x:c>
      <x:c r="F161" s="215" t="str">
        <x:v>Caution</x:v>
      </x:c>
      <x:c r="G161" s="215" t="str">
        <x:v>0</x:v>
      </x:c>
      <x:c r="H161" s="215" t="str">
        <x:v>Variable</x:v>
      </x:c>
      <x:c r="I161" s="215" t="str">
        <x:v>Not a safe field test</x:v>
      </x:c>
      <x:c r="J161" s="215" t="str">
        <x:v>Any</x:v>
      </x:c>
      <x:c r="K161" s="215" t="str">
        <x:v>Red or purple color in many family members can come from betalains.</x:v>
      </x:c>
      <x:c r="L161" s="215" t="str">
        <x:v>Pigment presence is not universal, cannot be diagnosed reliably by eye, and similar colors occur in unrelated plants.</x:v>
      </x:c>
      <x:c r="M161" s="215" t="str">
        <x:v>Retain as background biology, never as a field-ID requirement.</x:v>
      </x:c>
      <x:c r="N161" s="215" t="str">
        <x:v>Some local Amaranthus show red coloration, but color is too variable for identification.</x:v>
      </x:c>
      <x:c r="O161" s="215" t="str">
        <x:v>Low</x:v>
      </x:c>
      <x:c r="P161" s="215" t="str">
        <x:v>No</x:v>
      </x:c>
      <x:c r="Q161" s="215" t="str"/>
      <x:c r="R161" s="215" t="str"/>
      <x:c r="S161" s="215" t="str">
        <x:v>APWEB-CARY; KEW-AMAR-GI; POWO-AMAR</x:v>
      </x:c>
      <x:c r="T161" s="215" t="str">
        <x:v>https://www.mobot.org/Mobot/research/APweb/orders/caryophyllalesweb.htm</x:v>
      </x:c>
      <x:c r="U161" s="215" t="str">
        <x:v>https://powo.science.kew.org/taxon/urn:lsid:ipni.org:names:30000566-2/general-information
https://floranorthamerica.org/Amaranthaceae</x:v>
      </x:c>
      <x:c r="V161" s="215" t="str">
        <x:v>https://powo.science.kew.org/taxon/urn:lsid:ipni.org:names:30000566-2</x:v>
      </x:c>
      <x:c r="W161" s="215" t="str">
        <x:v>https://www.mobot.org/Mobot/research/APweb/orders/caryophyllalesweb.htm
https://powo.science.kew.org/taxon/urn:lsid:ipni.org:names:30000566-2/general-information
https://powo.science.kew.org/taxon/urn:lsid:ipni.org:names:30000566-2
https://floranorthamerica.org/Amaranthaceae</x:v>
      </x:c>
      <x:c r="X161" s="215" t="str">
        <x:v>No - retain qualifiers and exceptions</x:v>
      </x:c>
      <x:c r="Y161" s="215" t="str">
        <x:v>Yes</x:v>
      </x:c>
      <x:c r="Z161" s="215" t="str">
        <x:v>Source-backed draft</x:v>
      </x:c>
    </x:row>
    <x:row r="162" ht="42" customHeight="1">
      <x:c r="A162" s="215" t="str">
        <x:v>Cactaceae</x:v>
      </x:c>
      <x:c r="B162" s="215" t="str">
        <x:v>CACT-STEM</x:v>
      </x:c>
      <x:c r="C162" s="215" t="str">
        <x:v>Broad family tendency</x:v>
      </x:c>
      <x:c r="D162" s="215" t="str">
        <x:v>Stem</x:v>
      </x:c>
      <x:c r="E162" s="215" t="str">
        <x:v>Stems commonly succulent and photosynthetic</x:v>
      </x:c>
      <x:c r="F162" s="215" t="str">
        <x:v>Supporting</x:v>
      </x:c>
      <x:c r="G162" s="215" t="str">
        <x:v>3</x:v>
      </x:c>
      <x:c r="H162" s="215" t="str">
        <x:v>High</x:v>
      </x:c>
      <x:c r="I162" s="215" t="str">
        <x:v>Naked eye</x:v>
      </x:c>
      <x:c r="J162" s="215" t="str">
        <x:v>Any</x:v>
      </x:c>
      <x:c r="K162" s="215" t="str">
        <x:v>The water-storing stem often performs most photosynthesis and may be flattened, cylindrical, ribbed, or tuberculate.</x:v>
      </x:c>
      <x:c r="L162" s="215" t="str">
        <x:v>Some cacti are leafy or epiphytic; succulence occurs in many unrelated families.</x:v>
      </x:c>
      <x:c r="M162" s="215" t="str">
        <x:v>Use only as the visual entry point, then find areoles.</x:v>
      </x:c>
      <x:c r="N162" s="215" t="str">
        <x:v>All current Hays taxa have conspicuously succulent stems.</x:v>
      </x:c>
      <x:c r="O162" s="215" t="str">
        <x:v>Low</x:v>
      </x:c>
      <x:c r="P162" s="215" t="str">
        <x:v>No</x:v>
      </x:c>
      <x:c r="Q162" s="215" t="str"/>
      <x:c r="R162" s="215" t="str">
        <x:v>CACT-LK01; CACT-LK02; CACT-LK03</x:v>
      </x:c>
      <x:c r="S162" s="215" t="str">
        <x:v>APWEB-CARY; FNA-CACT; POWO-CACT</x:v>
      </x:c>
      <x:c r="T162" s="215" t="str">
        <x:v>https://www.mobot.org/Mobot/research/APweb/orders/caryophyllalesweb.htm</x:v>
      </x:c>
      <x:c r="U162" s="215" t="str">
        <x:v>https://floranorthamerica.org/Cactaceae</x:v>
      </x:c>
      <x:c r="V162" s="215" t="str">
        <x:v>https://powo.science.kew.org/taxon/urn:lsid:ipni.org:names:30000028-2</x:v>
      </x:c>
      <x:c r="W162" s="215" t="str">
        <x:v>https://www.mobot.org/Mobot/research/APweb/orders/caryophyllalesweb.htm
https://floranorthamerica.org/Cactaceae
https://powo.science.kew.org/taxon/urn:lsid:ipni.org:names:30000028-2</x:v>
      </x:c>
      <x:c r="X162" s="215" t="str">
        <x:v>No - retain qualifiers and exceptions</x:v>
      </x:c>
      <x:c r="Y162" s="215" t="str">
        <x:v>Yes</x:v>
      </x:c>
      <x:c r="Z162" s="215" t="str">
        <x:v>Source-backed draft</x:v>
      </x:c>
    </x:row>
    <x:row r="163" ht="42" customHeight="1">
      <x:c r="A163" s="215" t="str">
        <x:v>Cactaceae</x:v>
      </x:c>
      <x:c r="B163" s="215" t="str">
        <x:v>CACT-AREOLE</x:v>
      </x:c>
      <x:c r="C163" s="215" t="str">
        <x:v>Family-wide defining structure</x:v>
      </x:c>
      <x:c r="D163" s="215" t="str">
        <x:v>Shoot system</x:v>
      </x:c>
      <x:c r="E163" s="215" t="str">
        <x:v>Areoles present</x:v>
      </x:c>
      <x:c r="F163" s="215" t="str">
        <x:v>Core</x:v>
      </x:c>
      <x:c r="G163" s="215" t="str">
        <x:v>5</x:v>
      </x:c>
      <x:c r="H163" s="215" t="str">
        <x:v>High</x:v>
      </x:c>
      <x:c r="I163" s="215" t="str">
        <x:v>Naked eye or hand lens</x:v>
      </x:c>
      <x:c r="J163" s="215" t="str">
        <x:v>Any</x:v>
      </x:c>
      <x:c r="K163" s="215" t="str">
        <x:v>An areole is a short-shoot pad or cluster from which spines, hairs, flowers, or new branches arise.</x:v>
      </x:c>
      <x:c r="L163" s="215" t="str">
        <x:v>Areoles can be tiny, woolly, crowded, or nearly spineless, but the structure rather than the spine itself is the key.</x:v>
      </x:c>
      <x:c r="M163" s="215" t="str">
        <x:v>The most reliable visible separation from succulent Euphorbiaceae, Agave, and Portulacaceae.</x:v>
      </x:c>
      <x:c r="N163" s="215" t="str">
        <x:v>Visible in every current local cactus genus.</x:v>
      </x:c>
      <x:c r="O163" s="215" t="str">
        <x:v>Low</x:v>
      </x:c>
      <x:c r="P163" s="215" t="str">
        <x:v>No</x:v>
      </x:c>
      <x:c r="Q163" s="215" t="str"/>
      <x:c r="R163" s="215" t="str">
        <x:v>CACT-LK01; CACT-LK02; CACT-LK03</x:v>
      </x:c>
      <x:c r="S163" s="215" t="str">
        <x:v>APWEB-CARY; FNA-CACT; POWO-CACT</x:v>
      </x:c>
      <x:c r="T163" s="215" t="str">
        <x:v>https://www.mobot.org/Mobot/research/APweb/orders/caryophyllalesweb.htm</x:v>
      </x:c>
      <x:c r="U163" s="215" t="str">
        <x:v>https://floranorthamerica.org/Cactaceae</x:v>
      </x:c>
      <x:c r="V163" s="215" t="str">
        <x:v>https://powo.science.kew.org/taxon/urn:lsid:ipni.org:names:30000028-2</x:v>
      </x:c>
      <x:c r="W163" s="215" t="str">
        <x:v>https://www.mobot.org/Mobot/research/APweb/orders/caryophyllalesweb.htm
https://floranorthamerica.org/Cactaceae
https://powo.science.kew.org/taxon/urn:lsid:ipni.org:names:30000028-2</x:v>
      </x:c>
      <x:c r="X163" s="215" t="str">
        <x:v>No - retain qualifiers and exceptions</x:v>
      </x:c>
      <x:c r="Y163" s="215" t="str">
        <x:v>Yes</x:v>
      </x:c>
      <x:c r="Z163" s="215" t="str">
        <x:v>Source-backed draft</x:v>
      </x:c>
    </x:row>
    <x:row r="164" ht="42" customHeight="1">
      <x:c r="A164" s="215" t="str">
        <x:v>Cactaceae</x:v>
      </x:c>
      <x:c r="B164" s="215" t="str">
        <x:v>CACT-SPINES</x:v>
      </x:c>
      <x:c r="C164" s="215" t="str">
        <x:v>Broad family tendency</x:v>
      </x:c>
      <x:c r="D164" s="215" t="str">
        <x:v>Areole / leaf homologue</x:v>
      </x:c>
      <x:c r="E164" s="215" t="str">
        <x:v>Spines, bristles, hairs, or wool commonly arise from areoles</x:v>
      </x:c>
      <x:c r="F164" s="215" t="str">
        <x:v>Strong</x:v>
      </x:c>
      <x:c r="G164" s="215" t="str">
        <x:v>4</x:v>
      </x:c>
      <x:c r="H164" s="215" t="str">
        <x:v>High</x:v>
      </x:c>
      <x:c r="I164" s="215" t="str">
        <x:v>Naked eye or hand lens</x:v>
      </x:c>
      <x:c r="J164" s="215" t="str">
        <x:v>Any</x:v>
      </x:c>
      <x:c r="K164" s="215" t="str">
        <x:v>Protective structures are organized in repeatable areoles instead of arising randomly from the stem surface.</x:v>
      </x:c>
      <x:c r="L164" s="215" t="str">
        <x:v>Some taxa or individuals are weakly spined or spineless; spines alone are not unique to cacti.</x:v>
      </x:c>
      <x:c r="M164" s="215" t="str">
        <x:v>Confirm that every spine cluster is centered on an areole.</x:v>
      </x:c>
      <x:c r="N164" s="215" t="str">
        <x:v>Strong across the local list; spine form is important at genus and species levels.</x:v>
      </x:c>
      <x:c r="O164" s="215" t="str">
        <x:v>Low</x:v>
      </x:c>
      <x:c r="P164" s="215" t="str">
        <x:v>No</x:v>
      </x:c>
      <x:c r="Q164" s="215" t="str"/>
      <x:c r="R164" s="215" t="str">
        <x:v>CACT-LK01; CACT-LK02</x:v>
      </x:c>
      <x:c r="S164" s="215" t="str">
        <x:v>APWEB-CARY; FNA-CACT; POWO-CACT</x:v>
      </x:c>
      <x:c r="T164" s="215" t="str">
        <x:v>https://www.mobot.org/Mobot/research/APweb/orders/caryophyllalesweb.htm</x:v>
      </x:c>
      <x:c r="U164" s="215" t="str">
        <x:v>https://floranorthamerica.org/Cactaceae</x:v>
      </x:c>
      <x:c r="V164" s="215" t="str">
        <x:v>https://powo.science.kew.org/taxon/urn:lsid:ipni.org:names:30000028-2</x:v>
      </x:c>
      <x:c r="W164" s="215" t="str">
        <x:v>https://www.mobot.org/Mobot/research/APweb/orders/caryophyllalesweb.htm
https://floranorthamerica.org/Cactaceae
https://powo.science.kew.org/taxon/urn:lsid:ipni.org:names:30000028-2</x:v>
      </x:c>
      <x:c r="X164" s="215" t="str">
        <x:v>No - retain qualifiers and exceptions</x:v>
      </x:c>
      <x:c r="Y164" s="215" t="str">
        <x:v>Yes</x:v>
      </x:c>
      <x:c r="Z164" s="215" t="str">
        <x:v>Source-backed draft</x:v>
      </x:c>
    </x:row>
    <x:row r="165" ht="42" customHeight="1">
      <x:c r="A165" s="215" t="str">
        <x:v>Cactaceae</x:v>
      </x:c>
      <x:c r="B165" s="215" t="str">
        <x:v>CACT-LEAVES</x:v>
      </x:c>
      <x:c r="C165" s="215" t="str">
        <x:v>Broad family tendency</x:v>
      </x:c>
      <x:c r="D165" s="215" t="str">
        <x:v>Leaf</x:v>
      </x:c>
      <x:c r="E165" s="215" t="str">
        <x:v>Ordinary leaves usually absent or rapidly deciduous</x:v>
      </x:c>
      <x:c r="F165" s="215" t="str">
        <x:v>Supporting</x:v>
      </x:c>
      <x:c r="G165" s="215" t="str">
        <x:v>2</x:v>
      </x:c>
      <x:c r="H165" s="215" t="str">
        <x:v>Variable</x:v>
      </x:c>
      <x:c r="I165" s="215" t="str">
        <x:v>Naked eye</x:v>
      </x:c>
      <x:c r="J165" s="215" t="str">
        <x:v>Vegetative</x:v>
      </x:c>
      <x:c r="K165" s="215" t="str">
        <x:v>Most local cacti rely on stems rather than broad leaves.</x:v>
      </x:c>
      <x:c r="L165" s="215" t="str">
        <x:v>Opuntioideae may produce small cylindrical leaves on new growth; leafy cacti occur elsewhere in the family.</x:v>
      </x:c>
      <x:c r="M165" s="215" t="str">
        <x:v>Absence of leaves supports but never proves the family.</x:v>
      </x:c>
      <x:c r="N165" s="215" t="str">
        <x:v>Small early leaves may appear on Opuntia and Cylindropuntia.</x:v>
      </x:c>
      <x:c r="O165" s="215" t="str">
        <x:v>Low</x:v>
      </x:c>
      <x:c r="P165" s="215" t="str">
        <x:v>No</x:v>
      </x:c>
      <x:c r="Q165" s="215" t="str"/>
      <x:c r="R165" s="215" t="str">
        <x:v>CACT-LK02; CACT-LK03</x:v>
      </x:c>
      <x:c r="S165" s="215" t="str">
        <x:v>APWEB-CARY; FNA-CACT; POWO-CACT</x:v>
      </x:c>
      <x:c r="T165" s="215" t="str">
        <x:v>https://www.mobot.org/Mobot/research/APweb/orders/caryophyllalesweb.htm</x:v>
      </x:c>
      <x:c r="U165" s="215" t="str">
        <x:v>https://floranorthamerica.org/Cactaceae</x:v>
      </x:c>
      <x:c r="V165" s="215" t="str">
        <x:v>https://powo.science.kew.org/taxon/urn:lsid:ipni.org:names:30000028-2</x:v>
      </x:c>
      <x:c r="W165" s="215" t="str">
        <x:v>https://www.mobot.org/Mobot/research/APweb/orders/caryophyllalesweb.htm
https://floranorthamerica.org/Cactaceae
https://powo.science.kew.org/taxon/urn:lsid:ipni.org:names:30000028-2</x:v>
      </x:c>
      <x:c r="X165" s="215" t="str">
        <x:v>No - retain qualifiers and exceptions</x:v>
      </x:c>
      <x:c r="Y165" s="215" t="str">
        <x:v>Yes</x:v>
      </x:c>
      <x:c r="Z165" s="215" t="str">
        <x:v>Source-backed draft</x:v>
      </x:c>
    </x:row>
    <x:row r="166" ht="42" customHeight="1">
      <x:c r="A166" s="215" t="str">
        <x:v>Cactaceae</x:v>
      </x:c>
      <x:c r="B166" s="215" t="str">
        <x:v>CACT-FLOWER-ORIGIN</x:v>
      </x:c>
      <x:c r="C166" s="215" t="str">
        <x:v>Family-wide</x:v>
      </x:c>
      <x:c r="D166" s="215" t="str">
        <x:v>Flower position</x:v>
      </x:c>
      <x:c r="E166" s="215" t="str">
        <x:v>Flowers arise from areoles or areole-derived structures</x:v>
      </x:c>
      <x:c r="F166" s="215" t="str">
        <x:v>Core</x:v>
      </x:c>
      <x:c r="G166" s="215" t="str">
        <x:v>5</x:v>
      </x:c>
      <x:c r="H166" s="215" t="str">
        <x:v>High</x:v>
      </x:c>
      <x:c r="I166" s="215" t="str">
        <x:v>Naked eye</x:v>
      </x:c>
      <x:c r="J166" s="215" t="str">
        <x:v>Flowering</x:v>
      </x:c>
      <x:c r="K166" s="215" t="str">
        <x:v>The flower is connected to the same specialized short-shoot system that bears spines or wool.</x:v>
      </x:c>
      <x:c r="L166" s="215" t="str">
        <x:v>The areole may be hidden by dense wool or positioned in an axil-like groove.</x:v>
      </x:c>
      <x:c r="M166" s="215" t="str">
        <x:v>Confirms cactus organization even when a plant is nearly spineless.</x:v>
      </x:c>
      <x:c r="N166" s="215" t="str">
        <x:v>Applicable to all current local taxa.</x:v>
      </x:c>
      <x:c r="O166" s="215" t="str">
        <x:v>Low</x:v>
      </x:c>
      <x:c r="P166" s="215" t="str">
        <x:v>No</x:v>
      </x:c>
      <x:c r="Q166" s="215" t="str"/>
      <x:c r="R166" s="215" t="str">
        <x:v>CACT-LK01; CACT-LK02; CACT-LK03</x:v>
      </x:c>
      <x:c r="S166" s="215" t="str">
        <x:v>APWEB-CARY; FNA-CACT; POWO-CACT</x:v>
      </x:c>
      <x:c r="T166" s="215" t="str">
        <x:v>https://www.mobot.org/Mobot/research/APweb/orders/caryophyllalesweb.htm</x:v>
      </x:c>
      <x:c r="U166" s="215" t="str">
        <x:v>https://floranorthamerica.org/Cactaceae</x:v>
      </x:c>
      <x:c r="V166" s="215" t="str">
        <x:v>https://powo.science.kew.org/taxon/urn:lsid:ipni.org:names:30000028-2</x:v>
      </x:c>
      <x:c r="W166" s="215" t="str">
        <x:v>https://www.mobot.org/Mobot/research/APweb/orders/caryophyllalesweb.htm
https://floranorthamerica.org/Cactaceae
https://powo.science.kew.org/taxon/urn:lsid:ipni.org:names:30000028-2</x:v>
      </x:c>
      <x:c r="X166" s="215" t="str">
        <x:v>No - retain qualifiers and exceptions</x:v>
      </x:c>
      <x:c r="Y166" s="215" t="str">
        <x:v>Yes</x:v>
      </x:c>
      <x:c r="Z166" s="215" t="str">
        <x:v>Source-backed draft</x:v>
      </x:c>
    </x:row>
    <x:row r="167" ht="42" customHeight="1">
      <x:c r="A167" s="215" t="str">
        <x:v>Cactaceae</x:v>
      </x:c>
      <x:c r="B167" s="215" t="str">
        <x:v>CACT-TEPALS</x:v>
      </x:c>
      <x:c r="C167" s="215" t="str">
        <x:v>Broad family suite</x:v>
      </x:c>
      <x:c r="D167" s="215" t="str">
        <x:v>Flower</x:v>
      </x:c>
      <x:c r="E167" s="215" t="str">
        <x:v>Numerous tepals grade from outer sepal-like to inner petal-like segments</x:v>
      </x:c>
      <x:c r="F167" s="215" t="str">
        <x:v>Strong</x:v>
      </x:c>
      <x:c r="G167" s="215" t="str">
        <x:v>4</x:v>
      </x:c>
      <x:c r="H167" s="215" t="str">
        <x:v>High</x:v>
      </x:c>
      <x:c r="I167" s="215" t="str">
        <x:v>Naked eye</x:v>
      </x:c>
      <x:c r="J167" s="215" t="str">
        <x:v>Flowering</x:v>
      </x:c>
      <x:c r="K167" s="215" t="str">
        <x:v>Instead of a clean sepal-versus-petal boundary, the flower often shows a gradual transition through many parts.</x:v>
      </x:c>
      <x:c r="L167" s="215" t="str">
        <x:v>Number and differentiation vary; small flowers can make the transition less obvious.</x:v>
      </x:c>
      <x:c r="M167" s="215" t="str">
        <x:v>Use with numerous stamens and an inferior ovary.</x:v>
      </x:c>
      <x:c r="N167" s="215" t="str">
        <x:v>Strong in all flowering local genera.</x:v>
      </x:c>
      <x:c r="O167" s="215" t="str">
        <x:v>Low</x:v>
      </x:c>
      <x:c r="P167" s="215" t="str">
        <x:v>No</x:v>
      </x:c>
      <x:c r="Q167" s="215" t="str"/>
      <x:c r="R167" s="215" t="str">
        <x:v>CACT-LK01; CACT-LK03</x:v>
      </x:c>
      <x:c r="S167" s="215" t="str">
        <x:v>APWEB-CARY; FNA-CACT; POWO-CACT</x:v>
      </x:c>
      <x:c r="T167" s="215" t="str">
        <x:v>https://www.mobot.org/Mobot/research/APweb/orders/caryophyllalesweb.htm</x:v>
      </x:c>
      <x:c r="U167" s="215" t="str">
        <x:v>https://floranorthamerica.org/Cactaceae</x:v>
      </x:c>
      <x:c r="V167" s="215" t="str">
        <x:v>https://powo.science.kew.org/taxon/urn:lsid:ipni.org:names:30000028-2</x:v>
      </x:c>
      <x:c r="W167" s="215" t="str">
        <x:v>https://www.mobot.org/Mobot/research/APweb/orders/caryophyllalesweb.htm
https://floranorthamerica.org/Cactaceae
https://powo.science.kew.org/taxon/urn:lsid:ipni.org:names:30000028-2</x:v>
      </x:c>
      <x:c r="X167" s="215" t="str">
        <x:v>No - retain qualifiers and exceptions</x:v>
      </x:c>
      <x:c r="Y167" s="215" t="str">
        <x:v>Yes</x:v>
      </x:c>
      <x:c r="Z167" s="215" t="str">
        <x:v>Source-backed draft</x:v>
      </x:c>
    </x:row>
    <x:row r="168" ht="42" customHeight="1">
      <x:c r="A168" s="215" t="str">
        <x:v>Cactaceae</x:v>
      </x:c>
      <x:c r="B168" s="215" t="str">
        <x:v>CACT-STAMENS</x:v>
      </x:c>
      <x:c r="C168" s="215" t="str">
        <x:v>Broad family suite</x:v>
      </x:c>
      <x:c r="D168" s="215" t="str">
        <x:v>Androecium</x:v>
      </x:c>
      <x:c r="E168" s="215" t="str">
        <x:v>Stamens numerous</x:v>
      </x:c>
      <x:c r="F168" s="215" t="str">
        <x:v>Strong</x:v>
      </x:c>
      <x:c r="G168" s="215" t="str">
        <x:v>4</x:v>
      </x:c>
      <x:c r="H168" s="215" t="str">
        <x:v>High</x:v>
      </x:c>
      <x:c r="I168" s="215" t="str">
        <x:v>Naked eye</x:v>
      </x:c>
      <x:c r="J168" s="215" t="str">
        <x:v>Flowering</x:v>
      </x:c>
      <x:c r="K168" s="215" t="str">
        <x:v>Many stamens form a conspicuous ring or mass inside the flower.</x:v>
      </x:c>
      <x:c r="L168" s="215" t="str">
        <x:v>Numerous stamens also occur in Rosaceae and other families; counts and arrangement vary.</x:v>
      </x:c>
      <x:c r="M168" s="215" t="str">
        <x:v>Only diagnostic when the flower comes from an areole on a succulent stem.</x:v>
      </x:c>
      <x:c r="N168" s="215" t="str">
        <x:v>Strong across local taxa.</x:v>
      </x:c>
      <x:c r="O168" s="215" t="str">
        <x:v>Low</x:v>
      </x:c>
      <x:c r="P168" s="215" t="str">
        <x:v>No</x:v>
      </x:c>
      <x:c r="Q168" s="215" t="str"/>
      <x:c r="R168" s="215" t="str">
        <x:v>CACT-LK03</x:v>
      </x:c>
      <x:c r="S168" s="215" t="str">
        <x:v>APWEB-CARY; FNA-CACT; POWO-CACT</x:v>
      </x:c>
      <x:c r="T168" s="215" t="str">
        <x:v>https://www.mobot.org/Mobot/research/APweb/orders/caryophyllalesweb.htm</x:v>
      </x:c>
      <x:c r="U168" s="215" t="str">
        <x:v>https://floranorthamerica.org/Cactaceae</x:v>
      </x:c>
      <x:c r="V168" s="215" t="str">
        <x:v>https://powo.science.kew.org/taxon/urn:lsid:ipni.org:names:30000028-2</x:v>
      </x:c>
      <x:c r="W168" s="215" t="str">
        <x:v>https://www.mobot.org/Mobot/research/APweb/orders/caryophyllalesweb.htm
https://floranorthamerica.org/Cactaceae
https://powo.science.kew.org/taxon/urn:lsid:ipni.org:names:30000028-2</x:v>
      </x:c>
      <x:c r="X168" s="215" t="str">
        <x:v>No - retain qualifiers and exceptions</x:v>
      </x:c>
      <x:c r="Y168" s="215" t="str">
        <x:v>Yes</x:v>
      </x:c>
      <x:c r="Z168" s="215" t="str">
        <x:v>Source-backed draft</x:v>
      </x:c>
    </x:row>
    <x:row r="169" ht="42" customHeight="1">
      <x:c r="A169" s="215" t="str">
        <x:v>Cactaceae</x:v>
      </x:c>
      <x:c r="B169" s="215" t="str">
        <x:v>CACT-OVARY</x:v>
      </x:c>
      <x:c r="C169" s="215" t="str">
        <x:v>Broad family suite</x:v>
      </x:c>
      <x:c r="D169" s="215" t="str">
        <x:v>Gynoecium</x:v>
      </x:c>
      <x:c r="E169" s="215" t="str">
        <x:v>Ovary inferior or deeply sunken, usually one-locular with parietal placentation</x:v>
      </x:c>
      <x:c r="F169" s="215" t="str">
        <x:v>Core</x:v>
      </x:c>
      <x:c r="G169" s="215" t="str">
        <x:v>5</x:v>
      </x:c>
      <x:c r="H169" s="215" t="str">
        <x:v>High</x:v>
      </x:c>
      <x:c r="I169" s="215" t="str">
        <x:v>Side view or hand lens</x:v>
      </x:c>
      <x:c r="J169" s="215" t="str">
        <x:v>Flowering to young fruit</x:v>
      </x:c>
      <x:c r="K169" s="215" t="str">
        <x:v>The flower parts arise above a seed-bearing chamber embedded in the stem-like floral base.</x:v>
      </x:c>
      <x:c r="L169" s="215" t="str">
        <x:v>Degree of embedding varies; internal placentation requires dissection.</x:v>
      </x:c>
      <x:c r="M169" s="215" t="str">
        <x:v>A major reproductive confirmation after areoles are found.</x:v>
      </x:c>
      <x:c r="N169" s="215" t="str">
        <x:v>Expected across current local taxa.</x:v>
      </x:c>
      <x:c r="O169" s="215" t="str">
        <x:v>Low</x:v>
      </x:c>
      <x:c r="P169" s="215" t="str">
        <x:v>No</x:v>
      </x:c>
      <x:c r="Q169" s="215" t="str"/>
      <x:c r="R169" s="215" t="str">
        <x:v>CACT-LK01; CACT-LK03</x:v>
      </x:c>
      <x:c r="S169" s="215" t="str">
        <x:v>APWEB-CARY; FNA-CACT; POWO-CACT</x:v>
      </x:c>
      <x:c r="T169" s="215" t="str">
        <x:v>https://www.mobot.org/Mobot/research/APweb/orders/caryophyllalesweb.htm</x:v>
      </x:c>
      <x:c r="U169" s="215" t="str">
        <x:v>https://floranorthamerica.org/Cactaceae</x:v>
      </x:c>
      <x:c r="V169" s="215" t="str">
        <x:v>https://powo.science.kew.org/taxon/urn:lsid:ipni.org:names:30000028-2</x:v>
      </x:c>
      <x:c r="W169" s="215" t="str">
        <x:v>https://www.mobot.org/Mobot/research/APweb/orders/caryophyllalesweb.htm
https://floranorthamerica.org/Cactaceae
https://powo.science.kew.org/taxon/urn:lsid:ipni.org:names:30000028-2</x:v>
      </x:c>
      <x:c r="X169" s="215" t="str">
        <x:v>No - retain qualifiers and exceptions</x:v>
      </x:c>
      <x:c r="Y169" s="215" t="str">
        <x:v>Yes</x:v>
      </x:c>
      <x:c r="Z169" s="215" t="str">
        <x:v>Source-backed draft</x:v>
      </x:c>
    </x:row>
    <x:row r="170" ht="42" customHeight="1">
      <x:c r="A170" s="215" t="str">
        <x:v>Cactaceae</x:v>
      </x:c>
      <x:c r="B170" s="215" t="str">
        <x:v>CACT-FRUIT</x:v>
      </x:c>
      <x:c r="C170" s="215" t="str">
        <x:v>Broad family suite</x:v>
      </x:c>
      <x:c r="D170" s="215" t="str">
        <x:v>Fruit</x:v>
      </x:c>
      <x:c r="E170" s="215" t="str">
        <x:v>Berry-like fruit with many seeds</x:v>
      </x:c>
      <x:c r="F170" s="215" t="str">
        <x:v>Strong</x:v>
      </x:c>
      <x:c r="G170" s="215" t="str">
        <x:v>4</x:v>
      </x:c>
      <x:c r="H170" s="215" t="str">
        <x:v>High</x:v>
      </x:c>
      <x:c r="I170" s="215" t="str">
        <x:v>Naked eye</x:v>
      </x:c>
      <x:c r="J170" s="215" t="str">
        <x:v>Fruiting</x:v>
      </x:c>
      <x:c r="K170" s="215" t="str">
        <x:v>The inferior ovary matures into a fleshy or sometimes drying berry containing many seeds.</x:v>
      </x:c>
      <x:c r="L170" s="215" t="str">
        <x:v>Fruit may be dry at maturity, spiny, woolly, or deeply embedded; animals may remove it quickly.</x:v>
      </x:c>
      <x:c r="M170" s="215" t="str">
        <x:v>Useful confirmation when flowers are absent.</x:v>
      </x:c>
      <x:c r="N170" s="215" t="str">
        <x:v>Strong across local taxa, but fruit surface varies greatly.</x:v>
      </x:c>
      <x:c r="O170" s="215" t="str">
        <x:v>Low</x:v>
      </x:c>
      <x:c r="P170" s="215" t="str">
        <x:v>No</x:v>
      </x:c>
      <x:c r="Q170" s="215" t="str"/>
      <x:c r="R170" s="215" t="str">
        <x:v>CACT-LK01; CACT-LK03</x:v>
      </x:c>
      <x:c r="S170" s="215" t="str">
        <x:v>APWEB-CARY; FNA-CACT; POWO-CACT</x:v>
      </x:c>
      <x:c r="T170" s="215" t="str">
        <x:v>https://www.mobot.org/Mobot/research/APweb/orders/caryophyllalesweb.htm</x:v>
      </x:c>
      <x:c r="U170" s="215" t="str">
        <x:v>https://floranorthamerica.org/Cactaceae</x:v>
      </x:c>
      <x:c r="V170" s="215" t="str">
        <x:v>https://powo.science.kew.org/taxon/urn:lsid:ipni.org:names:30000028-2</x:v>
      </x:c>
      <x:c r="W170" s="215" t="str">
        <x:v>https://www.mobot.org/Mobot/research/APweb/orders/caryophyllalesweb.htm
https://floranorthamerica.org/Cactaceae
https://powo.science.kew.org/taxon/urn:lsid:ipni.org:names:30000028-2</x:v>
      </x:c>
      <x:c r="X170" s="215" t="str">
        <x:v>No - retain qualifiers and exceptions</x:v>
      </x:c>
      <x:c r="Y170" s="215" t="str">
        <x:v>Yes</x:v>
      </x:c>
      <x:c r="Z170" s="215" t="str">
        <x:v>Source-backed draft</x:v>
      </x:c>
    </x:row>
    <x:row r="171" ht="42" customHeight="1">
      <x:c r="A171" s="215" t="str">
        <x:v>Cactaceae</x:v>
      </x:c>
      <x:c r="B171" s="215" t="str">
        <x:v>CACT-OPUNT-GLOCHID</x:v>
      </x:c>
      <x:c r="C171" s="215" t="str">
        <x:v>Local subgroup: Opuntioideae</x:v>
      </x:c>
      <x:c r="D171" s="215" t="str">
        <x:v>Areole</x:v>
      </x:c>
      <x:c r="E171" s="215" t="str">
        <x:v>Glochids present</x:v>
      </x:c>
      <x:c r="F171" s="215" t="str">
        <x:v>Subgroup</x:v>
      </x:c>
      <x:c r="G171" s="215" t="str">
        <x:v>5</x:v>
      </x:c>
      <x:c r="H171" s="215" t="str">
        <x:v>High</x:v>
      </x:c>
      <x:c r="I171" s="215" t="str">
        <x:v>Hand lens; do not touch</x:v>
      </x:c>
      <x:c r="J171" s="215" t="str">
        <x:v>Any</x:v>
      </x:c>
      <x:c r="K171" s="215" t="str">
        <x:v>Glochids are tiny barbed bristles in the areole that detach easily and penetrate skin.</x:v>
      </x:c>
      <x:c r="L171" s="215" t="str">
        <x:v>They may be difficult to see, weathered away, or hidden among longer spines; absence by casual inspection is unsafe.</x:v>
      </x:c>
      <x:c r="M171" s="215" t="str">
        <x:v>Strongly separates Opuntia and Cylindropuntia from local cactoideae genera.</x:v>
      </x:c>
      <x:c r="N171" s="215" t="str">
        <x:v>Applies to all local Opuntia and Cylindropuntia records.</x:v>
      </x:c>
      <x:c r="O171" s="215" t="str">
        <x:v>Low</x:v>
      </x:c>
      <x:c r="P171" s="215" t="str">
        <x:v>No</x:v>
      </x:c>
      <x:c r="Q171" s="215" t="str"/>
      <x:c r="R171" s="215" t="str"/>
      <x:c r="S171" s="215" t="str">
        <x:v>FNA-CACT; APWEB-CARY; POWO-CACT</x:v>
      </x:c>
      <x:c r="T171" s="215" t="str">
        <x:v>https://www.mobot.org/Mobot/research/APweb/orders/caryophyllalesweb.htm</x:v>
      </x:c>
      <x:c r="U171" s="215" t="str">
        <x:v>https://floranorthamerica.org/Cactaceae</x:v>
      </x:c>
      <x:c r="V171" s="215" t="str">
        <x:v>https://powo.science.kew.org/taxon/urn:lsid:ipni.org:names:30000028-2</x:v>
      </x:c>
      <x:c r="W171" s="215" t="str">
        <x:v>https://floranorthamerica.org/Cactaceae
https://www.mobot.org/Mobot/research/APweb/orders/caryophyllalesweb.htm
https://powo.science.kew.org/taxon/urn:lsid:ipni.org:names:30000028-2</x:v>
      </x:c>
      <x:c r="X171" s="215" t="str">
        <x:v>No - retain qualifiers and exceptions</x:v>
      </x:c>
      <x:c r="Y171" s="215" t="str">
        <x:v>Yes</x:v>
      </x:c>
      <x:c r="Z171" s="215" t="str">
        <x:v>Source-backed draft</x:v>
      </x:c>
    </x:row>
    <x:row r="172" ht="42" customHeight="1">
      <x:c r="A172" s="215" t="str">
        <x:v>Cactaceae</x:v>
      </x:c>
      <x:c r="B172" s="215" t="str">
        <x:v>CACT-OPUNT-STEM</x:v>
      </x:c>
      <x:c r="C172" s="215" t="str">
        <x:v>Local subgroup: Opuntioideae</x:v>
      </x:c>
      <x:c r="D172" s="215" t="str">
        <x:v>Stem and seed</x:v>
      </x:c>
      <x:c r="E172" s="215" t="str">
        <x:v>Jointed stems; flattened pads in Opuntia or cylindrical joints in Cylindropuntia</x:v>
      </x:c>
      <x:c r="F172" s="215" t="str">
        <x:v>Subgroup</x:v>
      </x:c>
      <x:c r="G172" s="215" t="str">
        <x:v>5</x:v>
      </x:c>
      <x:c r="H172" s="215" t="str">
        <x:v>High</x:v>
      </x:c>
      <x:c r="I172" s="215" t="str">
        <x:v>Naked eye</x:v>
      </x:c>
      <x:c r="J172" s="215" t="str">
        <x:v>Any</x:v>
      </x:c>
      <x:c r="K172" s="215" t="str">
        <x:v>The plant is built from detachable or constricted joints, either broad pads or slender cylinders.</x:v>
      </x:c>
      <x:c r="L172" s="215" t="str">
        <x:v>Young growth may not show a clear joint boundary; damaged cacti can mimic segments.</x:v>
      </x:c>
      <x:c r="M172" s="215" t="str">
        <x:v>Separates local opuntioids and then divides prickly pears from chollas.</x:v>
      </x:c>
      <x:c r="N172" s="215" t="str">
        <x:v>Directly relevant to five Opuntia records and Cylindropuntia leptocaulis.</x:v>
      </x:c>
      <x:c r="O172" s="215" t="str">
        <x:v>Low</x:v>
      </x:c>
      <x:c r="P172" s="215" t="str">
        <x:v>No</x:v>
      </x:c>
      <x:c r="Q172" s="215" t="str"/>
      <x:c r="R172" s="215" t="str"/>
      <x:c r="S172" s="215" t="str">
        <x:v>FNA-CACT; APWEB-CARY; POWO-CACT</x:v>
      </x:c>
      <x:c r="T172" s="215" t="str">
        <x:v>https://www.mobot.org/Mobot/research/APweb/orders/caryophyllalesweb.htm</x:v>
      </x:c>
      <x:c r="U172" s="215" t="str">
        <x:v>https://floranorthamerica.org/Cactaceae</x:v>
      </x:c>
      <x:c r="V172" s="215" t="str">
        <x:v>https://powo.science.kew.org/taxon/urn:lsid:ipni.org:names:30000028-2</x:v>
      </x:c>
      <x:c r="W172" s="215" t="str">
        <x:v>https://floranorthamerica.org/Cactaceae
https://www.mobot.org/Mobot/research/APweb/orders/caryophyllalesweb.htm
https://powo.science.kew.org/taxon/urn:lsid:ipni.org:names:30000028-2</x:v>
      </x:c>
      <x:c r="X172" s="215" t="str">
        <x:v>No - retain qualifiers and exceptions</x:v>
      </x:c>
      <x:c r="Y172" s="215" t="str">
        <x:v>Yes</x:v>
      </x:c>
      <x:c r="Z172" s="215" t="str">
        <x:v>Source-backed draft</x:v>
      </x:c>
    </x:row>
    <x:row r="173" ht="42" customHeight="1">
      <x:c r="A173" s="215" t="str">
        <x:v>Cactaceae</x:v>
      </x:c>
      <x:c r="B173" s="215" t="str">
        <x:v>CACT-CACTOIDEAE</x:v>
      </x:c>
      <x:c r="C173" s="215" t="str">
        <x:v>Local subgroup: Cactoideae</x:v>
      </x:c>
      <x:c r="D173" s="215" t="str">
        <x:v>Stem and areole</x:v>
      </x:c>
      <x:c r="E173" s="215" t="str">
        <x:v>Ribbed or tuberculate unjointed stem without glochids</x:v>
      </x:c>
      <x:c r="F173" s="215" t="str">
        <x:v>Subgroup</x:v>
      </x:c>
      <x:c r="G173" s="215" t="str">
        <x:v>5</x:v>
      </x:c>
      <x:c r="H173" s="215" t="str">
        <x:v>High</x:v>
      </x:c>
      <x:c r="I173" s="215" t="str">
        <x:v>Naked eye plus hand lens</x:v>
      </x:c>
      <x:c r="J173" s="215" t="str">
        <x:v>Any</x:v>
      </x:c>
      <x:c r="K173" s="215" t="str">
        <x:v>Barrel, hedgehog, and nipple cacti use ribs or tubercles rather than flat pads or cylindrical detachable joints.</x:v>
      </x:c>
      <x:c r="L173" s="215" t="str">
        <x:v>Some stems branch or cluster; tubercle and rib expression can change with drought.</x:v>
      </x:c>
      <x:c r="M173" s="215" t="str">
        <x:v>Routes to Coryphantha, Echinocereus, Homalocephala, and Thelocactus.</x:v>
      </x:c>
      <x:c r="N173" s="215" t="str">
        <x:v>Applies to the remaining five local cactus taxa.</x:v>
      </x:c>
      <x:c r="O173" s="215" t="str">
        <x:v>Low</x:v>
      </x:c>
      <x:c r="P173" s="215" t="str">
        <x:v>No</x:v>
      </x:c>
      <x:c r="Q173" s="215" t="str"/>
      <x:c r="R173" s="215" t="str"/>
      <x:c r="S173" s="215" t="str">
        <x:v>FNA-CACT; APWEB-CARY; POWO-CACT</x:v>
      </x:c>
      <x:c r="T173" s="215" t="str">
        <x:v>https://www.mobot.org/Mobot/research/APweb/orders/caryophyllalesweb.htm</x:v>
      </x:c>
      <x:c r="U173" s="215" t="str">
        <x:v>https://floranorthamerica.org/Cactaceae</x:v>
      </x:c>
      <x:c r="V173" s="215" t="str">
        <x:v>https://powo.science.kew.org/taxon/urn:lsid:ipni.org:names:30000028-2</x:v>
      </x:c>
      <x:c r="W173" s="215" t="str">
        <x:v>https://floranorthamerica.org/Cactaceae
https://www.mobot.org/Mobot/research/APweb/orders/caryophyllalesweb.htm
https://powo.science.kew.org/taxon/urn:lsid:ipni.org:names:30000028-2</x:v>
      </x:c>
      <x:c r="X173" s="215" t="str">
        <x:v>No - retain qualifiers and exceptions</x:v>
      </x:c>
      <x:c r="Y173" s="215" t="str">
        <x:v>Yes</x:v>
      </x:c>
      <x:c r="Z173" s="215" t="str">
        <x:v>Source-backed draft</x:v>
      </x:c>
    </x:row>
    <x:row r="174" ht="42" customHeight="1">
      <x:c r="A174" s="215" t="str">
        <x:v>Cactaceae</x:v>
      </x:c>
      <x:c r="B174" s="215" t="str">
        <x:v>CACT-SEED</x:v>
      </x:c>
      <x:c r="C174" s="215" t="str">
        <x:v>Broad family tendency</x:v>
      </x:c>
      <x:c r="D174" s="215" t="str">
        <x:v>Seed</x:v>
      </x:c>
      <x:c r="E174" s="215" t="str">
        <x:v>Seeds commonly hard-coated, often dark; hilum-micropyle region specialized</x:v>
      </x:c>
      <x:c r="F174" s="215" t="str">
        <x:v>Supporting</x:v>
      </x:c>
      <x:c r="G174" s="215" t="str">
        <x:v>2</x:v>
      </x:c>
      <x:c r="H174" s="215" t="str">
        <x:v>Moderate</x:v>
      </x:c>
      <x:c r="I174" s="215" t="str">
        <x:v>Hand lens or microscope</x:v>
      </x:c>
      <x:c r="J174" s="215" t="str">
        <x:v>Mature fruit</x:v>
      </x:c>
      <x:c r="K174" s="215" t="str">
        <x:v>Seed shape and surface can confirm genus or species after the fruit route is known.</x:v>
      </x:c>
      <x:c r="L174" s="215" t="str">
        <x:v>Seed characters are too small and variable for first-pass family identification.</x:v>
      </x:c>
      <x:c r="M174" s="215" t="str">
        <x:v>Reserve for voucher or difficult species verification.</x:v>
      </x:c>
      <x:c r="N174" s="215" t="str">
        <x:v>Potentially useful in Opuntia and small cactoideae, but not a public first-line trait.</x:v>
      </x:c>
      <x:c r="O174" s="215" t="str">
        <x:v>Low</x:v>
      </x:c>
      <x:c r="P174" s="215" t="str">
        <x:v>No</x:v>
      </x:c>
      <x:c r="Q174" s="215" t="str"/>
      <x:c r="R174" s="215" t="str"/>
      <x:c r="S174" s="215" t="str">
        <x:v>APWEB-CARY; FNA-CACT; POWO-CACT</x:v>
      </x:c>
      <x:c r="T174" s="215" t="str">
        <x:v>https://www.mobot.org/Mobot/research/APweb/orders/caryophyllalesweb.htm</x:v>
      </x:c>
      <x:c r="U174" s="215" t="str">
        <x:v>https://floranorthamerica.org/Cactaceae</x:v>
      </x:c>
      <x:c r="V174" s="215" t="str">
        <x:v>https://powo.science.kew.org/taxon/urn:lsid:ipni.org:names:30000028-2</x:v>
      </x:c>
      <x:c r="W174" s="215" t="str">
        <x:v>https://www.mobot.org/Mobot/research/APweb/orders/caryophyllalesweb.htm
https://floranorthamerica.org/Cactaceae
https://powo.science.kew.org/taxon/urn:lsid:ipni.org:names:30000028-2</x:v>
      </x:c>
      <x:c r="X174" s="215" t="str">
        <x:v>No - retain qualifiers and exceptions</x:v>
      </x:c>
      <x:c r="Y174" s="215" t="str">
        <x:v>Yes</x:v>
      </x:c>
      <x:c r="Z174" s="215" t="str">
        <x:v>Source-backed draft</x:v>
      </x:c>
    </x:row>
    <x:row r="175" ht="42" customHeight="1">
      <x:c r="A175" s="215" t="str">
        <x:v>Cactaceae</x:v>
      </x:c>
      <x:c r="B175" s="215" t="str">
        <x:v>CACT-SAFETY</x:v>
      </x:c>
      <x:c r="C175" s="215" t="str">
        <x:v>Observation rule</x:v>
      </x:c>
      <x:c r="D175" s="215" t="str">
        <x:v>Safety</x:v>
      </x:c>
      <x:c r="E175" s="215" t="str">
        <x:v>Avoid bare-hand contact with spines and especially glochids</x:v>
      </x:c>
      <x:c r="F175" s="215" t="str">
        <x:v>Caution</x:v>
      </x:c>
      <x:c r="G175" s="215" t="str">
        <x:v>0</x:v>
      </x:c>
      <x:c r="H175" s="215" t="str">
        <x:v>High</x:v>
      </x:c>
      <x:c r="I175" s="215" t="str">
        <x:v>Behavioral rule</x:v>
      </x:c>
      <x:c r="J175" s="215" t="str">
        <x:v>Any</x:v>
      </x:c>
      <x:c r="K175" s="215" t="str">
        <x:v>Use tools, eye protection, and close-focus photographs rather than touching an unknown cactus.</x:v>
      </x:c>
      <x:c r="L175" s="215" t="str">
        <x:v>Nearly spineless plants may still have minute glochids or fragile bristles.</x:v>
      </x:c>
      <x:c r="M175" s="215" t="str">
        <x:v>Prevents injury while collecting diagnostic observations.</x:v>
      </x:c>
      <x:c r="N175" s="215" t="str">
        <x:v>Essential for all local opuntioids and prudent for the entire family.</x:v>
      </x:c>
      <x:c r="O175" s="215" t="str">
        <x:v>Low</x:v>
      </x:c>
      <x:c r="P175" s="215" t="str">
        <x:v>No</x:v>
      </x:c>
      <x:c r="Q175" s="215" t="str"/>
      <x:c r="R175" s="215" t="str"/>
      <x:c r="S175" s="215" t="str">
        <x:v>FNA-CACT; POWO-CACT</x:v>
      </x:c>
      <x:c r="T175" s="215" t="str">
        <x:v>https://www.mobot.org/Mobot/research/APweb/orders/caryophyllalesweb.htm</x:v>
      </x:c>
      <x:c r="U175" s="215" t="str">
        <x:v>https://floranorthamerica.org/Cactaceae</x:v>
      </x:c>
      <x:c r="V175" s="215" t="str">
        <x:v>https://powo.science.kew.org/taxon/urn:lsid:ipni.org:names:30000028-2</x:v>
      </x:c>
      <x:c r="W175" s="215" t="str">
        <x:v>https://floranorthamerica.org/Cactaceae
https://powo.science.kew.org/taxon/urn:lsid:ipni.org:names:30000028-2
https://www.mobot.org/Mobot/research/APweb/orders/caryophyllalesweb.htm</x:v>
      </x:c>
      <x:c r="X175" s="215" t="str">
        <x:v>No - retain qualifiers and exceptions</x:v>
      </x:c>
      <x:c r="Y175" s="215" t="str">
        <x:v>Yes</x:v>
      </x:c>
      <x:c r="Z175" s="215" t="str">
        <x:v>Source-backed draft</x:v>
      </x:c>
    </x:row>
    <x:row r="176" ht="42" customHeight="1">
      <x:c r="A176" s="215" t="str">
        <x:v>Fagaceae</x:v>
      </x:c>
      <x:c r="B176" s="215" t="str">
        <x:v>FAG-HABIT</x:v>
      </x:c>
      <x:c r="C176" s="215" t="str">
        <x:v>Family-wide</x:v>
      </x:c>
      <x:c r="D176" s="215" t="str">
        <x:v>Habit</x:v>
      </x:c>
      <x:c r="E176" s="215" t="str">
        <x:v>Trees or shrubs</x:v>
      </x:c>
      <x:c r="F176" s="215" t="str">
        <x:v>Supporting</x:v>
      </x:c>
      <x:c r="G176" s="215" t="str">
        <x:v>2</x:v>
      </x:c>
      <x:c r="H176" s="215" t="str">
        <x:v>High</x:v>
      </x:c>
      <x:c r="I176" s="215" t="str">
        <x:v>Naked eye</x:v>
      </x:c>
      <x:c r="J176" s="215" t="str">
        <x:v>Any</x:v>
      </x:c>
      <x:c r="K176" s="215" t="str">
        <x:v>Members are woody plants rather than annual or soft-stemmed herbs.</x:v>
      </x:c>
      <x:c r="L176" s="215" t="str">
        <x:v>Habit alone is shared with many families and does not distinguish oaks from unrelated trees.</x:v>
      </x:c>
      <x:c r="M176" s="215" t="str">
        <x:v>Use only as the opening filter.</x:v>
      </x:c>
      <x:c r="N176" s="215" t="str">
        <x:v>All current Hays records are Quercus trees or shrubs.</x:v>
      </x:c>
      <x:c r="O176" s="215" t="str">
        <x:v>Low</x:v>
      </x:c>
      <x:c r="P176" s="215" t="str">
        <x:v>No</x:v>
      </x:c>
      <x:c r="Q176" s="215" t="str"/>
      <x:c r="R176" s="215" t="str">
        <x:v>FAG-LK01; FAG-LK02; FAG-LK03</x:v>
      </x:c>
      <x:c r="S176" s="215" t="str">
        <x:v>APWEB-FAG; FNA-FAG; POWO-FAG</x:v>
      </x:c>
      <x:c r="T176" s="215" t="str">
        <x:v>https://www.mobot.org/MOBOT/research/APWeb/orders/fagalesweb.htm</x:v>
      </x:c>
      <x:c r="U176" s="215" t="str">
        <x:v>https://floranorthamerica.org/Fagaceae</x:v>
      </x:c>
      <x:c r="V176" s="215" t="str">
        <x:v>https://powo.science.kew.org/taxon/urn:lsid:ipni.org:names:30000116-2</x:v>
      </x:c>
      <x:c r="W176" s="215" t="str">
        <x:v>https://www.mobot.org/MOBOT/research/APWeb/orders/fagalesweb.htm
https://floranorthamerica.org/Fagaceae
https://powo.science.kew.org/taxon/urn:lsid:ipni.org:names:30000116-2</x:v>
      </x:c>
      <x:c r="X176" s="215" t="str">
        <x:v>No - retain qualifiers and exceptions</x:v>
      </x:c>
      <x:c r="Y176" s="215" t="str">
        <x:v>Yes</x:v>
      </x:c>
      <x:c r="Z176" s="215" t="str">
        <x:v>Source-backed draft</x:v>
      </x:c>
    </x:row>
    <x:row r="177" ht="42" customHeight="1">
      <x:c r="A177" s="215" t="str">
        <x:v>Fagaceae</x:v>
      </x:c>
      <x:c r="B177" s="215" t="str">
        <x:v>FAG-LEAF</x:v>
      </x:c>
      <x:c r="C177" s="215" t="str">
        <x:v>Broad family tendency</x:v>
      </x:c>
      <x:c r="D177" s="215" t="str">
        <x:v>Leaf</x:v>
      </x:c>
      <x:c r="E177" s="215" t="str">
        <x:v>Leaves simple, alternate, and usually stipulate</x:v>
      </x:c>
      <x:c r="F177" s="215" t="str">
        <x:v>Supporting</x:v>
      </x:c>
      <x:c r="G177" s="215" t="str">
        <x:v>3</x:v>
      </x:c>
      <x:c r="H177" s="215" t="str">
        <x:v>Moderate</x:v>
      </x:c>
      <x:c r="I177" s="215" t="str">
        <x:v>Naked eye</x:v>
      </x:c>
      <x:c r="J177" s="215" t="str">
        <x:v>Vegetative</x:v>
      </x:c>
      <x:c r="K177" s="215" t="str">
        <x:v>A single blade occurs at each alternating node, with stipules that may fall early.</x:v>
      </x:c>
      <x:c r="L177" s="215" t="str">
        <x:v>Leaf margins range from entire to toothed or deeply lobed; stipules often disappear; evergreen and deciduous forms occur.</x:v>
      </x:c>
      <x:c r="M177" s="215" t="str">
        <x:v>A useful suite, never proof without fruit or flowers.</x:v>
      </x:c>
      <x:c r="N177" s="215" t="str">
        <x:v>Applies to local Quercus but leaf diversity is exceptionally high.</x:v>
      </x:c>
      <x:c r="O177" s="215" t="str">
        <x:v>Low</x:v>
      </x:c>
      <x:c r="P177" s="215" t="str">
        <x:v>No</x:v>
      </x:c>
      <x:c r="Q177" s="215" t="str"/>
      <x:c r="R177" s="215" t="str">
        <x:v>FAG-LK01; FAG-LK02; FAG-LK03</x:v>
      </x:c>
      <x:c r="S177" s="215" t="str">
        <x:v>APWEB-FAG; FNA-FAG; POWO-FAG</x:v>
      </x:c>
      <x:c r="T177" s="215" t="str">
        <x:v>https://www.mobot.org/MOBOT/research/APWeb/orders/fagalesweb.htm</x:v>
      </x:c>
      <x:c r="U177" s="215" t="str">
        <x:v>https://floranorthamerica.org/Fagaceae</x:v>
      </x:c>
      <x:c r="V177" s="215" t="str">
        <x:v>https://powo.science.kew.org/taxon/urn:lsid:ipni.org:names:30000116-2</x:v>
      </x:c>
      <x:c r="W177" s="215" t="str">
        <x:v>https://www.mobot.org/MOBOT/research/APWeb/orders/fagalesweb.htm
https://floranorthamerica.org/Fagaceae
https://powo.science.kew.org/taxon/urn:lsid:ipni.org:names:30000116-2</x:v>
      </x:c>
      <x:c r="X177" s="215" t="str">
        <x:v>No - retain qualifiers and exceptions</x:v>
      </x:c>
      <x:c r="Y177" s="215" t="str">
        <x:v>Yes</x:v>
      </x:c>
      <x:c r="Z177" s="215" t="str">
        <x:v>Source-backed draft</x:v>
      </x:c>
    </x:row>
    <x:row r="178" ht="42" customHeight="1">
      <x:c r="A178" s="215" t="str">
        <x:v>Fagaceae</x:v>
      </x:c>
      <x:c r="B178" s="215" t="str">
        <x:v>FAG-UNISEX</x:v>
      </x:c>
      <x:c r="C178" s="215" t="str">
        <x:v>Family-wide tendency</x:v>
      </x:c>
      <x:c r="D178" s="215" t="str">
        <x:v>Flower</x:v>
      </x:c>
      <x:c r="E178" s="215" t="str">
        <x:v>Flowers unisexual; plants usually monoecious</x:v>
      </x:c>
      <x:c r="F178" s="215" t="str">
        <x:v>Strong</x:v>
      </x:c>
      <x:c r="G178" s="215" t="str">
        <x:v>3</x:v>
      </x:c>
      <x:c r="H178" s="215" t="str">
        <x:v>Moderate</x:v>
      </x:c>
      <x:c r="I178" s="215" t="str">
        <x:v>Naked eye or hand lens</x:v>
      </x:c>
      <x:c r="J178" s="215" t="str">
        <x:v>Flowering</x:v>
      </x:c>
      <x:c r="K178" s="215" t="str">
        <x:v>Separate pollen-bearing and ovule-bearing flowers occur on the same plant.</x:v>
      </x:c>
      <x:c r="L178" s="215" t="str">
        <x:v>Flowers are small, seasonal, and often overlooked; rare departures occur within the broader family.</x:v>
      </x:c>
      <x:c r="M178" s="215" t="str">
        <x:v>Supports Fagaceae when catkins and cupulate pistillate flowers occur together.</x:v>
      </x:c>
      <x:c r="N178" s="215" t="str">
        <x:v>Expected across all local Quercus.</x:v>
      </x:c>
      <x:c r="O178" s="215" t="str">
        <x:v>Low</x:v>
      </x:c>
      <x:c r="P178" s="215" t="str">
        <x:v>No</x:v>
      </x:c>
      <x:c r="Q178" s="215" t="str"/>
      <x:c r="R178" s="215" t="str">
        <x:v>FAG-LK01; FAG-LK02</x:v>
      </x:c>
      <x:c r="S178" s="215" t="str">
        <x:v>APWEB-FAG; FNA-FAG; POWO-FAG</x:v>
      </x:c>
      <x:c r="T178" s="215" t="str">
        <x:v>https://www.mobot.org/MOBOT/research/APWeb/orders/fagalesweb.htm</x:v>
      </x:c>
      <x:c r="U178" s="215" t="str">
        <x:v>https://floranorthamerica.org/Fagaceae</x:v>
      </x:c>
      <x:c r="V178" s="215" t="str">
        <x:v>https://powo.science.kew.org/taxon/urn:lsid:ipni.org:names:30000116-2</x:v>
      </x:c>
      <x:c r="W178" s="215" t="str">
        <x:v>https://www.mobot.org/MOBOT/research/APWeb/orders/fagalesweb.htm
https://floranorthamerica.org/Fagaceae
https://powo.science.kew.org/taxon/urn:lsid:ipni.org:names:30000116-2</x:v>
      </x:c>
      <x:c r="X178" s="215" t="str">
        <x:v>No - retain qualifiers and exceptions</x:v>
      </x:c>
      <x:c r="Y178" s="215" t="str">
        <x:v>Yes</x:v>
      </x:c>
      <x:c r="Z178" s="215" t="str">
        <x:v>Source-backed draft</x:v>
      </x:c>
    </x:row>
    <x:row r="179" ht="42" customHeight="1">
      <x:c r="A179" s="215" t="str">
        <x:v>Fagaceae</x:v>
      </x:c>
      <x:c r="B179" s="215" t="str">
        <x:v>FAG-MALE</x:v>
      </x:c>
      <x:c r="C179" s="215" t="str">
        <x:v>Family-wide tendency</x:v>
      </x:c>
      <x:c r="D179" s="215" t="str">
        <x:v>Staminate inflorescence</x:v>
      </x:c>
      <x:c r="E179" s="215" t="str">
        <x:v>Male flowers in catkins or catkin-like clusters</x:v>
      </x:c>
      <x:c r="F179" s="215" t="str">
        <x:v>Strong</x:v>
      </x:c>
      <x:c r="G179" s="215" t="str">
        <x:v>3</x:v>
      </x:c>
      <x:c r="H179" s="215" t="str">
        <x:v>High in season</x:v>
      </x:c>
      <x:c r="I179" s="215" t="str">
        <x:v>Naked eye or hand lens</x:v>
      </x:c>
      <x:c r="J179" s="215" t="str">
        <x:v>Spring flowering</x:v>
      </x:c>
      <x:c r="K179" s="215" t="str">
        <x:v>Pollen flowers are grouped along dangling or spreading axes.</x:v>
      </x:c>
      <x:c r="L179" s="215" t="str">
        <x:v>Catkins are shared with Juglandaceae and Betulaceae; orientation and branching vary.</x:v>
      </x:c>
      <x:c r="M179" s="215" t="str">
        <x:v>Use with alternate simple leaves and developing cupules, not alone.</x:v>
      </x:c>
      <x:c r="N179" s="215" t="str">
        <x:v>Highly visible in local oaks during flowering.</x:v>
      </x:c>
      <x:c r="O179" s="215" t="str">
        <x:v>Low</x:v>
      </x:c>
      <x:c r="P179" s="215" t="str">
        <x:v>No</x:v>
      </x:c>
      <x:c r="Q179" s="215" t="str"/>
      <x:c r="R179" s="215" t="str">
        <x:v>FAG-LK01; FAG-LK02</x:v>
      </x:c>
      <x:c r="S179" s="215" t="str">
        <x:v>APWEB-FAG; FNA-FAG; POWO-FAG</x:v>
      </x:c>
      <x:c r="T179" s="215" t="str">
        <x:v>https://www.mobot.org/MOBOT/research/APWeb/orders/fagalesweb.htm</x:v>
      </x:c>
      <x:c r="U179" s="215" t="str">
        <x:v>https://floranorthamerica.org/Fagaceae</x:v>
      </x:c>
      <x:c r="V179" s="215" t="str">
        <x:v>https://powo.science.kew.org/taxon/urn:lsid:ipni.org:names:30000116-2</x:v>
      </x:c>
      <x:c r="W179" s="215" t="str">
        <x:v>https://www.mobot.org/MOBOT/research/APWeb/orders/fagalesweb.htm
https://floranorthamerica.org/Fagaceae
https://powo.science.kew.org/taxon/urn:lsid:ipni.org:names:30000116-2</x:v>
      </x:c>
      <x:c r="X179" s="215" t="str">
        <x:v>No - retain qualifiers and exceptions</x:v>
      </x:c>
      <x:c r="Y179" s="215" t="str">
        <x:v>Yes</x:v>
      </x:c>
      <x:c r="Z179" s="215" t="str">
        <x:v>Source-backed draft</x:v>
      </x:c>
    </x:row>
    <x:row r="180" ht="42" customHeight="1">
      <x:c r="A180" s="215" t="str">
        <x:v>Fagaceae</x:v>
      </x:c>
      <x:c r="B180" s="215" t="str">
        <x:v>FAG-FEMALE</x:v>
      </x:c>
      <x:c r="C180" s="215" t="str">
        <x:v>Family-wide tendency</x:v>
      </x:c>
      <x:c r="D180" s="215" t="str">
        <x:v>Pistillate flower</x:v>
      </x:c>
      <x:c r="E180" s="215" t="str">
        <x:v>Female flowers solitary or in small groups, surrounded by an involucre that becomes a cupule</x:v>
      </x:c>
      <x:c r="F180" s="215" t="str">
        <x:v>Core</x:v>
      </x:c>
      <x:c r="G180" s="215" t="str">
        <x:v>5</x:v>
      </x:c>
      <x:c r="H180" s="215" t="str">
        <x:v>Moderate to high</x:v>
      </x:c>
      <x:c r="I180" s="215" t="str">
        <x:v>Hand lens</x:v>
      </x:c>
      <x:c r="J180" s="215" t="str">
        <x:v>Flowering to young fruit</x:v>
      </x:c>
      <x:c r="K180" s="215" t="str">
        <x:v>A cluster of bracts below or around the female flower develops into the nut cup or husk.</x:v>
      </x:c>
      <x:c r="L180" s="215" t="str">
        <x:v>Young structures can be minute and hidden among leaves; cupules differ among family genera.</x:v>
      </x:c>
      <x:c r="M180" s="215" t="str">
        <x:v>This developmental link is the key family feature.</x:v>
      </x:c>
      <x:c r="N180" s="215" t="str">
        <x:v>In local Quercus it becomes the acorn cup.</x:v>
      </x:c>
      <x:c r="O180" s="215" t="str">
        <x:v>Low</x:v>
      </x:c>
      <x:c r="P180" s="215" t="str">
        <x:v>No</x:v>
      </x:c>
      <x:c r="Q180" s="215" t="str"/>
      <x:c r="R180" s="215" t="str">
        <x:v>FAG-LK01; FAG-LK02</x:v>
      </x:c>
      <x:c r="S180" s="215" t="str">
        <x:v>APWEB-FAG; FNA-FAG; POWO-FAG</x:v>
      </x:c>
      <x:c r="T180" s="215" t="str">
        <x:v>https://www.mobot.org/MOBOT/research/APWeb/orders/fagalesweb.htm</x:v>
      </x:c>
      <x:c r="U180" s="215" t="str">
        <x:v>https://floranorthamerica.org/Fagaceae</x:v>
      </x:c>
      <x:c r="V180" s="215" t="str">
        <x:v>https://powo.science.kew.org/taxon/urn:lsid:ipni.org:names:30000116-2</x:v>
      </x:c>
      <x:c r="W180" s="215" t="str">
        <x:v>https://www.mobot.org/MOBOT/research/APWeb/orders/fagalesweb.htm
https://floranorthamerica.org/Fagaceae
https://powo.science.kew.org/taxon/urn:lsid:ipni.org:names:30000116-2</x:v>
      </x:c>
      <x:c r="X180" s="215" t="str">
        <x:v>No - retain qualifiers and exceptions</x:v>
      </x:c>
      <x:c r="Y180" s="215" t="str">
        <x:v>Yes</x:v>
      </x:c>
      <x:c r="Z180" s="215" t="str">
        <x:v>Source-backed draft</x:v>
      </x:c>
    </x:row>
    <x:row r="181" ht="42" customHeight="1">
      <x:c r="A181" s="215" t="str">
        <x:v>Fagaceae</x:v>
      </x:c>
      <x:c r="B181" s="215" t="str">
        <x:v>FAG-OVARY</x:v>
      </x:c>
      <x:c r="C181" s="215" t="str">
        <x:v>Broad family suite</x:v>
      </x:c>
      <x:c r="D181" s="215" t="str">
        <x:v>Gynoecium</x:v>
      </x:c>
      <x:c r="E181" s="215" t="str">
        <x:v>Ovary inferior, usually with multiple locules and two ovules per locule</x:v>
      </x:c>
      <x:c r="F181" s="215" t="str">
        <x:v>Strong</x:v>
      </x:c>
      <x:c r="G181" s="215" t="str">
        <x:v>4</x:v>
      </x:c>
      <x:c r="H181" s="215" t="str">
        <x:v>High in section</x:v>
      </x:c>
      <x:c r="I181" s="215" t="str">
        <x:v>Dissection or hand lens on young fruit</x:v>
      </x:c>
      <x:c r="J181" s="215" t="str">
        <x:v>Flowering to young fruit</x:v>
      </x:c>
      <x:c r="K181" s="215" t="str">
        <x:v>The flower sits above an ovary divided internally into chambers, even though only one seed normally matures.</x:v>
      </x:c>
      <x:c r="L181" s="215" t="str">
        <x:v>Internal locules and ovules are not practical in routine field work and may collapse as fruit develops.</x:v>
      </x:c>
      <x:c r="M181" s="215" t="str">
        <x:v>An anatomical confirmation, not a first-line field trait.</x:v>
      </x:c>
      <x:c r="N181" s="215" t="str">
        <x:v>Applies to local oaks but should remain optional.</x:v>
      </x:c>
      <x:c r="O181" s="215" t="str">
        <x:v>Low</x:v>
      </x:c>
      <x:c r="P181" s="215" t="str">
        <x:v>No</x:v>
      </x:c>
      <x:c r="Q181" s="215" t="str"/>
      <x:c r="R181" s="215" t="str"/>
      <x:c r="S181" s="215" t="str">
        <x:v>APWEB-FAG; FNA-FAG; POWO-FAG</x:v>
      </x:c>
      <x:c r="T181" s="215" t="str">
        <x:v>https://www.mobot.org/MOBOT/research/APWeb/orders/fagalesweb.htm</x:v>
      </x:c>
      <x:c r="U181" s="215" t="str">
        <x:v>https://floranorthamerica.org/Fagaceae</x:v>
      </x:c>
      <x:c r="V181" s="215" t="str">
        <x:v>https://powo.science.kew.org/taxon/urn:lsid:ipni.org:names:30000116-2</x:v>
      </x:c>
      <x:c r="W181" s="215" t="str">
        <x:v>https://www.mobot.org/MOBOT/research/APWeb/orders/fagalesweb.htm
https://floranorthamerica.org/Fagaceae
https://powo.science.kew.org/taxon/urn:lsid:ipni.org:names:30000116-2</x:v>
      </x:c>
      <x:c r="X181" s="215" t="str">
        <x:v>No - retain qualifiers and exceptions</x:v>
      </x:c>
      <x:c r="Y181" s="215" t="str">
        <x:v>Yes</x:v>
      </x:c>
      <x:c r="Z181" s="215" t="str">
        <x:v>Source-backed draft</x:v>
      </x:c>
    </x:row>
    <x:row r="182" ht="42" customHeight="1">
      <x:c r="A182" s="215" t="str">
        <x:v>Fagaceae</x:v>
      </x:c>
      <x:c r="B182" s="215" t="str">
        <x:v>FAG-NUT</x:v>
      </x:c>
      <x:c r="C182" s="215" t="str">
        <x:v>Family-wide</x:v>
      </x:c>
      <x:c r="D182" s="215" t="str">
        <x:v>Fruit</x:v>
      </x:c>
      <x:c r="E182" s="215" t="str">
        <x:v>One-seeded nut</x:v>
      </x:c>
      <x:c r="F182" s="215" t="str">
        <x:v>Core</x:v>
      </x:c>
      <x:c r="G182" s="215" t="str">
        <x:v>5</x:v>
      </x:c>
      <x:c r="H182" s="215" t="str">
        <x:v>High</x:v>
      </x:c>
      <x:c r="I182" s="215" t="str">
        <x:v>Naked eye</x:v>
      </x:c>
      <x:c r="J182" s="215" t="str">
        <x:v>Fruiting</x:v>
      </x:c>
      <x:c r="K182" s="215" t="str">
        <x:v>The fruit is a dry, hard-walled nut with one mature seed.</x:v>
      </x:c>
      <x:c r="L182" s="215" t="str">
        <x:v>Young fruits can abort; cupule form differs and more than one nut may share a cupule in nonlocal genera.</x:v>
      </x:c>
      <x:c r="M182" s="215" t="str">
        <x:v>Use together with the cupule for decisive family confirmation.</x:v>
      </x:c>
      <x:c r="N182" s="215" t="str">
        <x:v>All current local taxa produce acorns.</x:v>
      </x:c>
      <x:c r="O182" s="215" t="str">
        <x:v>Low</x:v>
      </x:c>
      <x:c r="P182" s="215" t="str">
        <x:v>No</x:v>
      </x:c>
      <x:c r="Q182" s="215" t="str"/>
      <x:c r="R182" s="215" t="str">
        <x:v>FAG-LK01; FAG-LK02; FAG-LK03</x:v>
      </x:c>
      <x:c r="S182" s="215" t="str">
        <x:v>APWEB-FAG; FNA-FAG; POWO-FAG</x:v>
      </x:c>
      <x:c r="T182" s="215" t="str">
        <x:v>https://www.mobot.org/MOBOT/research/APWeb/orders/fagalesweb.htm</x:v>
      </x:c>
      <x:c r="U182" s="215" t="str">
        <x:v>https://floranorthamerica.org/Fagaceae</x:v>
      </x:c>
      <x:c r="V182" s="215" t="str">
        <x:v>https://powo.science.kew.org/taxon/urn:lsid:ipni.org:names:30000116-2</x:v>
      </x:c>
      <x:c r="W182" s="215" t="str">
        <x:v>https://www.mobot.org/MOBOT/research/APWeb/orders/fagalesweb.htm
https://floranorthamerica.org/Fagaceae
https://powo.science.kew.org/taxon/urn:lsid:ipni.org:names:30000116-2</x:v>
      </x:c>
      <x:c r="X182" s="215" t="str">
        <x:v>No - retain qualifiers and exceptions</x:v>
      </x:c>
      <x:c r="Y182" s="215" t="str">
        <x:v>Yes</x:v>
      </x:c>
      <x:c r="Z182" s="215" t="str">
        <x:v>Source-backed draft</x:v>
      </x:c>
    </x:row>
    <x:row r="183" ht="42" customHeight="1">
      <x:c r="A183" s="215" t="str">
        <x:v>Fagaceae</x:v>
      </x:c>
      <x:c r="B183" s="215" t="str">
        <x:v>FAG-CUPULE</x:v>
      </x:c>
      <x:c r="C183" s="215" t="str">
        <x:v>Family-wide diagnostic</x:v>
      </x:c>
      <x:c r="D183" s="215" t="str">
        <x:v>Fruit / involucre</x:v>
      </x:c>
      <x:c r="E183" s="215" t="str">
        <x:v>Nut partly or wholly enclosed by a cupule</x:v>
      </x:c>
      <x:c r="F183" s="215" t="str">
        <x:v>Core</x:v>
      </x:c>
      <x:c r="G183" s="215" t="str">
        <x:v>5</x:v>
      </x:c>
      <x:c r="H183" s="215" t="str">
        <x:v>High</x:v>
      </x:c>
      <x:c r="I183" s="215" t="str">
        <x:v>Naked eye</x:v>
      </x:c>
      <x:c r="J183" s="215" t="str">
        <x:v>Fruiting</x:v>
      </x:c>
      <x:c r="K183" s="215" t="str">
        <x:v>A cup, husk, or bur made from fused or clustered bracts surrounds the nut.</x:v>
      </x:c>
      <x:c r="L183" s="215" t="str">
        <x:v>The cupule can be shallow, deep, spiny, or completely enclosing depending on genus; detached nuts lose this clue.</x:v>
      </x:c>
      <x:c r="M183" s="215" t="str">
        <x:v>FNA identifies the cupule as the most diagnostic family feature.</x:v>
      </x:c>
      <x:c r="N183" s="215" t="str">
        <x:v>In local Quercus it is the familiar scaly acorn cup.</x:v>
      </x:c>
      <x:c r="O183" s="215" t="str">
        <x:v>Low</x:v>
      </x:c>
      <x:c r="P183" s="215" t="str">
        <x:v>No</x:v>
      </x:c>
      <x:c r="Q183" s="215" t="str"/>
      <x:c r="R183" s="215" t="str">
        <x:v>FAG-LK01; FAG-LK02; FAG-LK03</x:v>
      </x:c>
      <x:c r="S183" s="215" t="str">
        <x:v>APWEB-FAG; FNA-FAG; POWO-FAG</x:v>
      </x:c>
      <x:c r="T183" s="215" t="str">
        <x:v>https://www.mobot.org/MOBOT/research/APWeb/orders/fagalesweb.htm</x:v>
      </x:c>
      <x:c r="U183" s="215" t="str">
        <x:v>https://floranorthamerica.org/Fagaceae</x:v>
      </x:c>
      <x:c r="V183" s="215" t="str">
        <x:v>https://powo.science.kew.org/taxon/urn:lsid:ipni.org:names:30000116-2</x:v>
      </x:c>
      <x:c r="W183" s="215" t="str">
        <x:v>https://www.mobot.org/MOBOT/research/APWeb/orders/fagalesweb.htm
https://floranorthamerica.org/Fagaceae
https://powo.science.kew.org/taxon/urn:lsid:ipni.org:names:30000116-2</x:v>
      </x:c>
      <x:c r="X183" s="215" t="str">
        <x:v>No - retain qualifiers and exceptions</x:v>
      </x:c>
      <x:c r="Y183" s="215" t="str">
        <x:v>Yes</x:v>
      </x:c>
      <x:c r="Z183" s="215" t="str">
        <x:v>Source-backed draft</x:v>
      </x:c>
    </x:row>
    <x:row r="184" ht="42" customHeight="1">
      <x:c r="A184" s="215" t="str">
        <x:v>Fagaceae</x:v>
      </x:c>
      <x:c r="B184" s="215" t="str">
        <x:v>FAG-QUERCUS</x:v>
      </x:c>
      <x:c r="C184" s="215" t="str">
        <x:v>Local subgroup: Quercus</x:v>
      </x:c>
      <x:c r="D184" s="215" t="str">
        <x:v>Fruit</x:v>
      </x:c>
      <x:c r="E184" s="215" t="str">
        <x:v>One acorn seated singly in a scaly cup</x:v>
      </x:c>
      <x:c r="F184" s="215" t="str">
        <x:v>Subgroup</x:v>
      </x:c>
      <x:c r="G184" s="215" t="str">
        <x:v>5</x:v>
      </x:c>
      <x:c r="H184" s="215" t="str">
        <x:v>High</x:v>
      </x:c>
      <x:c r="I184" s="215" t="str">
        <x:v>Naked eye</x:v>
      </x:c>
      <x:c r="J184" s="215" t="str">
        <x:v>Fruiting</x:v>
      </x:c>
      <x:c r="K184" s="215" t="str">
        <x:v>Local Fagaceae are oaks, so the cupule is an open scaly cup beneath one nut rather than a closed bur or multi-nut husk.</x:v>
      </x:c>
      <x:c r="L184" s="215" t="str">
        <x:v>Very young or detached acorns may lack a clear cup; malformed fruits occur.</x:v>
      </x:c>
      <x:c r="M184" s="215" t="str">
        <x:v>Routes every current Hays family record to Quercus.</x:v>
      </x:c>
      <x:c r="N184" s="215" t="str">
        <x:v>Applies to all ten local taxa.</x:v>
      </x:c>
      <x:c r="O184" s="215" t="str">
        <x:v>Low</x:v>
      </x:c>
      <x:c r="P184" s="215" t="str">
        <x:v>No</x:v>
      </x:c>
      <x:c r="Q184" s="215" t="str"/>
      <x:c r="R184" s="215" t="str">
        <x:v>FAG-LK01; FAG-LK02; FAG-LK03</x:v>
      </x:c>
      <x:c r="S184" s="215" t="str">
        <x:v>FNA-FAG; APWEB-FAG; POWO-FAG</x:v>
      </x:c>
      <x:c r="T184" s="215" t="str">
        <x:v>https://www.mobot.org/MOBOT/research/APWeb/orders/fagalesweb.htm</x:v>
      </x:c>
      <x:c r="U184" s="215" t="str">
        <x:v>https://floranorthamerica.org/Fagaceae</x:v>
      </x:c>
      <x:c r="V184" s="215" t="str">
        <x:v>https://powo.science.kew.org/taxon/urn:lsid:ipni.org:names:30000116-2</x:v>
      </x:c>
      <x:c r="W184" s="215" t="str">
        <x:v>https://floranorthamerica.org/Fagaceae
https://www.mobot.org/MOBOT/research/APWeb/orders/fagalesweb.htm
https://powo.science.kew.org/taxon/urn:lsid:ipni.org:names:30000116-2</x:v>
      </x:c>
      <x:c r="X184" s="215" t="str">
        <x:v>No - retain qualifiers and exceptions</x:v>
      </x:c>
      <x:c r="Y184" s="215" t="str">
        <x:v>Yes</x:v>
      </x:c>
      <x:c r="Z184" s="215" t="str">
        <x:v>Source-backed draft</x:v>
      </x:c>
    </x:row>
    <x:row r="185" ht="42" customHeight="1">
      <x:c r="A185" s="215" t="str">
        <x:v>Fagaceae</x:v>
      </x:c>
      <x:c r="B185" s="215" t="str">
        <x:v>FAG-BUD</x:v>
      </x:c>
      <x:c r="C185" s="215" t="str">
        <x:v>Local subgroup support: Quercus</x:v>
      </x:c>
      <x:c r="D185" s="215" t="str">
        <x:v>Twig and bud</x:v>
      </x:c>
      <x:c r="E185" s="215" t="str">
        <x:v>Clustered terminal buds common</x:v>
      </x:c>
      <x:c r="F185" s="215" t="str">
        <x:v>Supporting</x:v>
      </x:c>
      <x:c r="G185" s="215" t="str">
        <x:v>3</x:v>
      </x:c>
      <x:c r="H185" s="215" t="str">
        <x:v>Moderate</x:v>
      </x:c>
      <x:c r="I185" s="215" t="str">
        <x:v>Naked eye or hand lens</x:v>
      </x:c>
      <x:c r="J185" s="215" t="str">
        <x:v>Dormant twig</x:v>
      </x:c>
      <x:c r="K185" s="215" t="str">
        <x:v>Several buds often crowd at the end of an oak twig, helping when leaves and acorns are absent.</x:v>
      </x:c>
      <x:c r="L185" s="215" t="str">
        <x:v>Bud clustering varies, may be damaged, and occurs in some unrelated woody plants.</x:v>
      </x:c>
      <x:c r="M185" s="215" t="str">
        <x:v>A practical winter clue, never family proof.</x:v>
      </x:c>
      <x:c r="N185" s="215" t="str">
        <x:v>Useful across local Quercus, especially deciduous species.</x:v>
      </x:c>
      <x:c r="O185" s="215" t="str">
        <x:v>Moderate</x:v>
      </x:c>
      <x:c r="P185" s="215" t="str">
        <x:v>Yes</x:v>
      </x:c>
      <x:c r="Q185" s="215" t="str">
        <x:v>Validate reliability across local evergreen live oaks and short shoots before weighting.</x:v>
      </x:c>
      <x:c r="R185" s="215" t="str">
        <x:v>FAG-LK01; FAG-LK03</x:v>
      </x:c>
      <x:c r="S185" s="215" t="str">
        <x:v>FNA-FAG; POWO-FAG</x:v>
      </x:c>
      <x:c r="T185" s="215" t="str">
        <x:v>https://www.mobot.org/MOBOT/research/APWeb/orders/fagalesweb.htm</x:v>
      </x:c>
      <x:c r="U185" s="215" t="str">
        <x:v>https://floranorthamerica.org/Fagaceae</x:v>
      </x:c>
      <x:c r="V185" s="215" t="str">
        <x:v>https://powo.science.kew.org/taxon/urn:lsid:ipni.org:names:30000116-2</x:v>
      </x:c>
      <x:c r="W185" s="215" t="str">
        <x:v>https://floranorthamerica.org/Fagaceae
https://powo.science.kew.org/taxon/urn:lsid:ipni.org:names:30000116-2
https://www.mobot.org/MOBOT/research/APWeb/orders/fagalesweb.htm</x:v>
      </x:c>
      <x:c r="X185" s="215" t="str">
        <x:v>No - retain qualifiers and exceptions</x:v>
      </x:c>
      <x:c r="Y185" s="215" t="str">
        <x:v>Yes</x:v>
      </x:c>
      <x:c r="Z185" s="215" t="str">
        <x:v>Human review required</x:v>
      </x:c>
    </x:row>
    <x:row r="186" ht="42" customHeight="1">
      <x:c r="A186" s="215" t="str">
        <x:v>Fagaceae</x:v>
      </x:c>
      <x:c r="B186" s="215" t="str">
        <x:v>FAG-LEAF-CAUTION</x:v>
      </x:c>
      <x:c r="C186" s="215" t="str">
        <x:v>Local subgroup warning: Quercus</x:v>
      </x:c>
      <x:c r="D186" s="215" t="str">
        <x:v>Leaf</x:v>
      </x:c>
      <x:c r="E186" s="215" t="str">
        <x:v>Leaf lobing, teeth, and evergreen texture are highly variable</x:v>
      </x:c>
      <x:c r="F186" s="215" t="str">
        <x:v>Caution</x:v>
      </x:c>
      <x:c r="G186" s="215" t="str">
        <x:v>0</x:v>
      </x:c>
      <x:c r="H186" s="215" t="str">
        <x:v>High</x:v>
      </x:c>
      <x:c r="I186" s="215" t="str">
        <x:v>Naked eye</x:v>
      </x:c>
      <x:c r="J186" s="215" t="str">
        <x:v>Vegetative</x:v>
      </x:c>
      <x:c r="K186" s="215" t="str">
        <x:v>Oaks can have entire, toothed, bristle-tipped, rounded-lobed, or deeply lobed leaves.</x:v>
      </x:c>
      <x:c r="L186" s="215" t="str">
        <x:v>Juvenile shoots, stump sprouts, drought, shade, and hybridization can change leaf form.</x:v>
      </x:c>
      <x:c r="M186" s="215" t="str">
        <x:v>Never identify an oak species from one leaf without twig, bud, pubescence, and fruit evidence.</x:v>
      </x:c>
      <x:c r="N186" s="215" t="str">
        <x:v>Critical for the ten local oaks, including live-oak and white/red-oak routes.</x:v>
      </x:c>
      <x:c r="O186" s="215" t="str">
        <x:v>Low</x:v>
      </x:c>
      <x:c r="P186" s="215" t="str">
        <x:v>No</x:v>
      </x:c>
      <x:c r="Q186" s="215" t="str"/>
      <x:c r="R186" s="215" t="str">
        <x:v>FAG-LK03</x:v>
      </x:c>
      <x:c r="S186" s="215" t="str">
        <x:v>FNA-FAG; APWEB-FAG; POWO-FAG</x:v>
      </x:c>
      <x:c r="T186" s="215" t="str">
        <x:v>https://www.mobot.org/MOBOT/research/APWeb/orders/fagalesweb.htm</x:v>
      </x:c>
      <x:c r="U186" s="215" t="str">
        <x:v>https://floranorthamerica.org/Fagaceae</x:v>
      </x:c>
      <x:c r="V186" s="215" t="str">
        <x:v>https://powo.science.kew.org/taxon/urn:lsid:ipni.org:names:30000116-2</x:v>
      </x:c>
      <x:c r="W186" s="215" t="str">
        <x:v>https://floranorthamerica.org/Fagaceae
https://www.mobot.org/MOBOT/research/APWeb/orders/fagalesweb.htm
https://powo.science.kew.org/taxon/urn:lsid:ipni.org:names:30000116-2</x:v>
      </x:c>
      <x:c r="X186" s="215" t="str">
        <x:v>No - retain qualifiers and exceptions</x:v>
      </x:c>
      <x:c r="Y186" s="215" t="str">
        <x:v>Yes</x:v>
      </x:c>
      <x:c r="Z186" s="215" t="str">
        <x:v>Source-backed draft</x:v>
      </x:c>
    </x:row>
    <x:row r="187" ht="42" customHeight="1">
      <x:c r="A187" s="215" t="str">
        <x:v>Fagaceae</x:v>
      </x:c>
      <x:c r="B187" s="215" t="str">
        <x:v>FAG-MATURITY</x:v>
      </x:c>
      <x:c r="C187" s="215" t="str">
        <x:v>Local subgroup: Quercus</x:v>
      </x:c>
      <x:c r="D187" s="215" t="str">
        <x:v>Fruit phenology</x:v>
      </x:c>
      <x:c r="E187" s="215" t="str">
        <x:v>Acorns mature in one or two seasons depending on lineage</x:v>
      </x:c>
      <x:c r="F187" s="215" t="str">
        <x:v>Subgroup</x:v>
      </x:c>
      <x:c r="G187" s="215" t="str">
        <x:v>4</x:v>
      </x:c>
      <x:c r="H187" s="215" t="str">
        <x:v>Moderate</x:v>
      </x:c>
      <x:c r="I187" s="215" t="str">
        <x:v>Naked eye plus seasonal context</x:v>
      </x:c>
      <x:c r="J187" s="215" t="str">
        <x:v>Fruiting over two seasons</x:v>
      </x:c>
      <x:c r="K187" s="215" t="str">
        <x:v>Presence of current-year versus second-year acorns can help separate major oak lineages.</x:v>
      </x:c>
      <x:c r="L187" s="215" t="str">
        <x:v>Timing can be misread when crops overlap, abort, or are out of season; taxonomic groups and hybrids complicate the rule.</x:v>
      </x:c>
      <x:c r="M187" s="215" t="str">
        <x:v>Use as a lineage clue only, not as a family character.</x:v>
      </x:c>
      <x:c r="N187" s="215" t="str">
        <x:v>Potentially useful for local white-oak versus red-oak routes.</x:v>
      </x:c>
      <x:c r="O187" s="215" t="str">
        <x:v>High</x:v>
      </x:c>
      <x:c r="P187" s="215" t="str">
        <x:v>Yes</x:v>
      </x:c>
      <x:c r="Q187" s="215" t="str">
        <x:v>Requires species-by-species local validation and a phenology protocol before use.</x:v>
      </x:c>
      <x:c r="R187" s="215" t="str"/>
      <x:c r="S187" s="215" t="str">
        <x:v>FNA-FAG; APWEB-FAG; POWO-FAG</x:v>
      </x:c>
      <x:c r="T187" s="215" t="str">
        <x:v>https://www.mobot.org/MOBOT/research/APWeb/orders/fagalesweb.htm</x:v>
      </x:c>
      <x:c r="U187" s="215" t="str">
        <x:v>https://floranorthamerica.org/Fagaceae</x:v>
      </x:c>
      <x:c r="V187" s="215" t="str">
        <x:v>https://powo.science.kew.org/taxon/urn:lsid:ipni.org:names:30000116-2</x:v>
      </x:c>
      <x:c r="W187" s="215" t="str">
        <x:v>https://floranorthamerica.org/Fagaceae
https://www.mobot.org/MOBOT/research/APWeb/orders/fagalesweb.htm
https://powo.science.kew.org/taxon/urn:lsid:ipni.org:names:30000116-2</x:v>
      </x:c>
      <x:c r="X187" s="215" t="str">
        <x:v>No - retain qualifiers and exceptions</x:v>
      </x:c>
      <x:c r="Y187" s="215" t="str">
        <x:v>Yes</x:v>
      </x:c>
      <x:c r="Z187" s="215" t="str">
        <x:v>Human review required</x:v>
      </x:c>
    </x:row>
    <x:row r="188" ht="42" customHeight="1">
      <x:c r="A188" s="215" t="str">
        <x:v>Fagaceae</x:v>
      </x:c>
      <x:c r="B188" s="215" t="str">
        <x:v>FAG-HYBRID</x:v>
      </x:c>
      <x:c r="C188" s="215" t="str">
        <x:v>Local subgroup warning: Quercus</x:v>
      </x:c>
      <x:c r="D188" s="215" t="str">
        <x:v>Taxonomy / morphology</x:v>
      </x:c>
      <x:c r="E188" s="215" t="str">
        <x:v>Hybridization and introgression can blur species boundaries</x:v>
      </x:c>
      <x:c r="F188" s="215" t="str">
        <x:v>Caution</x:v>
      </x:c>
      <x:c r="G188" s="215" t="str">
        <x:v>0</x:v>
      </x:c>
      <x:c r="H188" s="215" t="str">
        <x:v>High</x:v>
      </x:c>
      <x:c r="I188" s="215" t="str">
        <x:v>Multiple organs and populations</x:v>
      </x:c>
      <x:c r="J188" s="215" t="str">
        <x:v>Any, preferably fruiting</x:v>
      </x:c>
      <x:c r="K188" s="215" t="str">
        <x:v>Some oaks exchange genes, producing individuals with intermediate leaves, cups, twigs, or pubescence.</x:v>
      </x:c>
      <x:c r="L188" s="215" t="str">
        <x:v>Not every intermediate plant is a hybrid; environmental variation and juvenile growth can mimic intermediacy.</x:v>
      </x:c>
      <x:c r="M188" s="215" t="str">
        <x:v>Allows the tool to stop honestly at Quercus or a species group.</x:v>
      </x:c>
      <x:c r="N188" s="215" t="str">
        <x:v>Important in Central Texas oak identification.</x:v>
      </x:c>
      <x:c r="O188" s="215" t="str">
        <x:v>High</x:v>
      </x:c>
      <x:c r="P188" s="215" t="str">
        <x:v>Yes</x:v>
      </x:c>
      <x:c r="Q188" s="215" t="str">
        <x:v>Hybrid claims require expert and preferably specimen or genetic review.</x:v>
      </x:c>
      <x:c r="R188" s="215" t="str"/>
      <x:c r="S188" s="215" t="str">
        <x:v>FNA-FAG; APWEB-FAG; POWO-FAG</x:v>
      </x:c>
      <x:c r="T188" s="215" t="str">
        <x:v>https://www.mobot.org/MOBOT/research/APWeb/orders/fagalesweb.htm</x:v>
      </x:c>
      <x:c r="U188" s="215" t="str">
        <x:v>https://floranorthamerica.org/Fagaceae</x:v>
      </x:c>
      <x:c r="V188" s="215" t="str">
        <x:v>https://powo.science.kew.org/taxon/urn:lsid:ipni.org:names:30000116-2</x:v>
      </x:c>
      <x:c r="W188" s="215" t="str">
        <x:v>https://floranorthamerica.org/Fagaceae
https://www.mobot.org/MOBOT/research/APWeb/orders/fagalesweb.htm
https://powo.science.kew.org/taxon/urn:lsid:ipni.org:names:30000116-2</x:v>
      </x:c>
      <x:c r="X188" s="215" t="str">
        <x:v>No - retain qualifiers and exceptions</x:v>
      </x:c>
      <x:c r="Y188" s="215" t="str">
        <x:v>Yes</x:v>
      </x:c>
      <x:c r="Z188" s="215" t="str">
        <x:v>Human review required</x:v>
      </x:c>
    </x:row>
    <x:row r="189" ht="42" customHeight="1">
      <x:c r="A189" s="215" t="str">
        <x:v>Acanthaceae</x:v>
      </x:c>
      <x:c r="B189" s="215" t="str">
        <x:v>ACANTH-LEAF</x:v>
      </x:c>
      <x:c r="C189" s="215" t="str">
        <x:v>Broad family tendency</x:v>
      </x:c>
      <x:c r="D189" s="215" t="str">
        <x:v>Leaf</x:v>
      </x:c>
      <x:c r="E189" s="215" t="str">
        <x:v>Leaves usually opposite and without stipules</x:v>
      </x:c>
      <x:c r="F189" s="215" t="str">
        <x:v>Supporting</x:v>
      </x:c>
      <x:c r="G189" s="215" t="str">
        <x:v>3</x:v>
      </x:c>
      <x:c r="H189" s="215" t="str">
        <x:v>Moderate</x:v>
      </x:c>
      <x:c r="I189" s="215" t="str">
        <x:v>Naked eye</x:v>
      </x:c>
      <x:c r="J189" s="215" t="str">
        <x:v>Vegetative</x:v>
      </x:c>
      <x:c r="K189" s="215" t="str">
        <x:v>Paired simple leaves are common along the stem, usually without leaf-base stipules.</x:v>
      </x:c>
      <x:c r="L189" s="215" t="str">
        <x:v>Alternate or whorled leaves occur in parts of the family; opposite leaves are widespread in other Lamiales.</x:v>
      </x:c>
      <x:c r="M189" s="215" t="str">
        <x:v>A useful entry clue only.</x:v>
      </x:c>
      <x:c r="N189" s="215" t="str">
        <x:v>Applies to most current local genera.</x:v>
      </x:c>
      <x:c r="O189" s="215" t="str">
        <x:v>Low</x:v>
      </x:c>
      <x:c r="P189" s="215" t="str">
        <x:v>No</x:v>
      </x:c>
      <x:c r="Q189" s="215" t="str"/>
      <x:c r="R189" s="215" t="str">
        <x:v>ACANTH-LK01; ACANTH-LK02; ACANTH-LK03</x:v>
      </x:c>
      <x:c r="S189" s="215" t="str">
        <x:v>APWEB-LAM; KEW-ACANTH-GI; POWO-ACANTH</x:v>
      </x:c>
      <x:c r="T189" s="215" t="str">
        <x:v>https://mobot.org/MOBOT/research/APweb/orders/lamialesweb.htm</x:v>
      </x:c>
      <x:c r="U189" s="215" t="str">
        <x:v>https://powo.science.kew.org/taxon/urn:lsid:ipni.org:names:30000618-2/general-information</x:v>
      </x:c>
      <x:c r="V189" s="215" t="str">
        <x:v>https://powo.science.kew.org/taxon/urn:lsid:ipni.org:names:30000618-2</x:v>
      </x:c>
      <x:c r="W189" s="215" t="str">
        <x:v>https://mobot.org/MOBOT/research/APweb/orders/lamialesweb.htm
https://powo.science.kew.org/taxon/urn:lsid:ipni.org:names:30000618-2/general-information
https://powo.science.kew.org/taxon/urn:lsid:ipni.org:names:30000618-2</x:v>
      </x:c>
      <x:c r="X189" s="215" t="str">
        <x:v>No - retain qualifiers and exceptions</x:v>
      </x:c>
      <x:c r="Y189" s="215" t="str">
        <x:v>Yes</x:v>
      </x:c>
      <x:c r="Z189" s="215" t="str">
        <x:v>Source-backed draft</x:v>
      </x:c>
    </x:row>
    <x:row r="190" ht="42" customHeight="1">
      <x:c r="A190" s="215" t="str">
        <x:v>Acanthaceae</x:v>
      </x:c>
      <x:c r="B190" s="215" t="str">
        <x:v>ACANTH-NODE</x:v>
      </x:c>
      <x:c r="C190" s="215" t="str">
        <x:v>Broad family tendency</x:v>
      </x:c>
      <x:c r="D190" s="215" t="str">
        <x:v>Stem node</x:v>
      </x:c>
      <x:c r="E190" s="215" t="str">
        <x:v>Node commonly swollen or joined by a transverse ridge</x:v>
      </x:c>
      <x:c r="F190" s="215" t="str">
        <x:v>Strong</x:v>
      </x:c>
      <x:c r="G190" s="215" t="str">
        <x:v>4</x:v>
      </x:c>
      <x:c r="H190" s="215" t="str">
        <x:v>Moderate to high</x:v>
      </x:c>
      <x:c r="I190" s="215" t="str">
        <x:v>Naked eye or hand lens</x:v>
      </x:c>
      <x:c r="J190" s="215" t="str">
        <x:v>Vegetative</x:v>
      </x:c>
      <x:c r="K190" s="215" t="str">
        <x:v>A raised line or ridge may connect the bases of opposite leaves, and the node can look thickened.</x:v>
      </x:c>
      <x:c r="L190" s="215" t="str">
        <x:v>The ridge may be faint or absent; similar nodal lines occur in other opposite-leaved plants.</x:v>
      </x:c>
      <x:c r="M190" s="215" t="str">
        <x:v>Use with cystoliths and reproductive characters.</x:v>
      </x:c>
      <x:c r="N190" s="215" t="str">
        <x:v>Useful in several local Ruellia, Justicia, and Dicliptera routes.</x:v>
      </x:c>
      <x:c r="O190" s="215" t="str">
        <x:v>Moderate</x:v>
      </x:c>
      <x:c r="P190" s="215" t="str">
        <x:v>Yes</x:v>
      </x:c>
      <x:c r="Q190" s="215" t="str">
        <x:v>Visibility and frequency should be checked across the nine local taxa.</x:v>
      </x:c>
      <x:c r="R190" s="215" t="str">
        <x:v>ACANTH-LK01; ACANTH-LK02; ACANTH-LK03</x:v>
      </x:c>
      <x:c r="S190" s="215" t="str">
        <x:v>KEW-ACANTH-GI; APWEB-LAM; POWO-ACANTH</x:v>
      </x:c>
      <x:c r="T190" s="215" t="str">
        <x:v>https://mobot.org/MOBOT/research/APweb/orders/lamialesweb.htm</x:v>
      </x:c>
      <x:c r="U190" s="215" t="str">
        <x:v>https://powo.science.kew.org/taxon/urn:lsid:ipni.org:names:30000618-2/general-information</x:v>
      </x:c>
      <x:c r="V190" s="215" t="str">
        <x:v>https://powo.science.kew.org/taxon/urn:lsid:ipni.org:names:30000618-2</x:v>
      </x:c>
      <x:c r="W190" s="215" t="str">
        <x:v>https://powo.science.kew.org/taxon/urn:lsid:ipni.org:names:30000618-2/general-information
https://mobot.org/MOBOT/research/APweb/orders/lamialesweb.htm
https://powo.science.kew.org/taxon/urn:lsid:ipni.org:names:30000618-2</x:v>
      </x:c>
      <x:c r="X190" s="215" t="str">
        <x:v>No - retain qualifiers and exceptions</x:v>
      </x:c>
      <x:c r="Y190" s="215" t="str">
        <x:v>Yes</x:v>
      </x:c>
      <x:c r="Z190" s="215" t="str">
        <x:v>Human review required</x:v>
      </x:c>
    </x:row>
    <x:row r="191" ht="42" customHeight="1">
      <x:c r="A191" s="215" t="str">
        <x:v>Acanthaceae</x:v>
      </x:c>
      <x:c r="B191" s="215" t="str">
        <x:v>ACANTH-CYSTO</x:v>
      </x:c>
      <x:c r="C191" s="215" t="str">
        <x:v>Broad family tendency</x:v>
      </x:c>
      <x:c r="D191" s="215" t="str">
        <x:v>Leaf / mineral body</x:v>
      </x:c>
      <x:c r="E191" s="215" t="str">
        <x:v>Cystoliths often visible as pale streaks or dots</x:v>
      </x:c>
      <x:c r="F191" s="215" t="str">
        <x:v>Strong</x:v>
      </x:c>
      <x:c r="G191" s="215" t="str">
        <x:v>4</x:v>
      </x:c>
      <x:c r="H191" s="215" t="str">
        <x:v>Moderate</x:v>
      </x:c>
      <x:c r="I191" s="215" t="str">
        <x:v>Hand lens; backlighting helpful</x:v>
      </x:c>
      <x:c r="J191" s="215" t="str">
        <x:v>Vegetative</x:v>
      </x:c>
      <x:c r="K191" s="215" t="str">
        <x:v>Calcium carbonate bodies inside leaf cells may appear as short pale lines, dots, or rods.</x:v>
      </x:c>
      <x:c r="L191" s="215" t="str">
        <x:v>They are absent in some subfamilies and can be hard to see in thick, hairy, or dry leaves; other families may have cystoliths.</x:v>
      </x:c>
      <x:c r="M191" s="215" t="str">
        <x:v>Strong supporting evidence, never an absolute requirement.</x:v>
      </x:c>
      <x:c r="N191" s="215" t="str">
        <x:v>Likely useful in local acanthoid and ruellioid genera; needs direct local testing.</x:v>
      </x:c>
      <x:c r="O191" s="215" t="str">
        <x:v>Moderate</x:v>
      </x:c>
      <x:c r="P191" s="215" t="str">
        <x:v>Yes</x:v>
      </x:c>
      <x:c r="Q191" s="215" t="str">
        <x:v>Confirm which local genera consistently show field-visible cystoliths.</x:v>
      </x:c>
      <x:c r="R191" s="215" t="str">
        <x:v>ACANTH-LK01; ACANTH-LK02; ACANTH-LK03</x:v>
      </x:c>
      <x:c r="S191" s="215" t="str">
        <x:v>KEW-ACANTH-GI; APWEB-LAM; POWO-ACANTH</x:v>
      </x:c>
      <x:c r="T191" s="215" t="str">
        <x:v>https://mobot.org/MOBOT/research/APweb/orders/lamialesweb.htm</x:v>
      </x:c>
      <x:c r="U191" s="215" t="str">
        <x:v>https://powo.science.kew.org/taxon/urn:lsid:ipni.org:names:30000618-2/general-information</x:v>
      </x:c>
      <x:c r="V191" s="215" t="str">
        <x:v>https://powo.science.kew.org/taxon/urn:lsid:ipni.org:names:30000618-2</x:v>
      </x:c>
      <x:c r="W191" s="215" t="str">
        <x:v>https://powo.science.kew.org/taxon/urn:lsid:ipni.org:names:30000618-2/general-information
https://mobot.org/MOBOT/research/APweb/orders/lamialesweb.htm
https://powo.science.kew.org/taxon/urn:lsid:ipni.org:names:30000618-2</x:v>
      </x:c>
      <x:c r="X191" s="215" t="str">
        <x:v>No - retain qualifiers and exceptions</x:v>
      </x:c>
      <x:c r="Y191" s="215" t="str">
        <x:v>Yes</x:v>
      </x:c>
      <x:c r="Z191" s="215" t="str">
        <x:v>Human review required</x:v>
      </x:c>
    </x:row>
    <x:row r="192" ht="42" customHeight="1">
      <x:c r="A192" s="215" t="str">
        <x:v>Acanthaceae</x:v>
      </x:c>
      <x:c r="B192" s="215" t="str">
        <x:v>ACANTH-BRACTS</x:v>
      </x:c>
      <x:c r="C192" s="215" t="str">
        <x:v>Broad family tendency</x:v>
      </x:c>
      <x:c r="D192" s="215" t="str">
        <x:v>Inflorescence</x:v>
      </x:c>
      <x:c r="E192" s="215" t="str">
        <x:v>Flowers often subtended by conspicuous bracts and bracteoles</x:v>
      </x:c>
      <x:c r="F192" s="215" t="str">
        <x:v>Strong</x:v>
      </x:c>
      <x:c r="G192" s="215" t="str">
        <x:v>3</x:v>
      </x:c>
      <x:c r="H192" s="215" t="str">
        <x:v>Variable</x:v>
      </x:c>
      <x:c r="I192" s="215" t="str">
        <x:v>Naked eye or hand lens</x:v>
      </x:c>
      <x:c r="J192" s="215" t="str">
        <x:v>Flowering</x:v>
      </x:c>
      <x:c r="K192" s="215" t="str">
        <x:v>Leaflike, colorful, narrow, or overlapping bracts often organize spikes, heads, or small clusters.</x:v>
      </x:c>
      <x:c r="L192" s="215" t="str">
        <x:v>Bracts can be small or inconspicuous; showy bracts occur in unrelated families.</x:v>
      </x:c>
      <x:c r="M192" s="215" t="str">
        <x:v>Helps map the flower unit and later fruit, especially in dense inflorescences.</x:v>
      </x:c>
      <x:c r="N192" s="215" t="str">
        <x:v>Useful across local Anisacanthus, Dicliptera, Justicia, Ruellia, and relatives.</x:v>
      </x:c>
      <x:c r="O192" s="215" t="str">
        <x:v>Low</x:v>
      </x:c>
      <x:c r="P192" s="215" t="str">
        <x:v>No</x:v>
      </x:c>
      <x:c r="Q192" s="215" t="str"/>
      <x:c r="R192" s="215" t="str">
        <x:v>ACANTH-LK02; ACANTH-LK03</x:v>
      </x:c>
      <x:c r="S192" s="215" t="str">
        <x:v>APWEB-LAM; KEW-ACANTH-GI; POWO-ACANTH</x:v>
      </x:c>
      <x:c r="T192" s="215" t="str">
        <x:v>https://mobot.org/MOBOT/research/APweb/orders/lamialesweb.htm</x:v>
      </x:c>
      <x:c r="U192" s="215" t="str">
        <x:v>https://powo.science.kew.org/taxon/urn:lsid:ipni.org:names:30000618-2/general-information</x:v>
      </x:c>
      <x:c r="V192" s="215" t="str">
        <x:v>https://powo.science.kew.org/taxon/urn:lsid:ipni.org:names:30000618-2</x:v>
      </x:c>
      <x:c r="W192" s="215" t="str">
        <x:v>https://mobot.org/MOBOT/research/APweb/orders/lamialesweb.htm
https://powo.science.kew.org/taxon/urn:lsid:ipni.org:names:30000618-2/general-information
https://powo.science.kew.org/taxon/urn:lsid:ipni.org:names:30000618-2</x:v>
      </x:c>
      <x:c r="X192" s="215" t="str">
        <x:v>No - retain qualifiers and exceptions</x:v>
      </x:c>
      <x:c r="Y192" s="215" t="str">
        <x:v>Yes</x:v>
      </x:c>
      <x:c r="Z192" s="215" t="str">
        <x:v>Source-backed draft</x:v>
      </x:c>
    </x:row>
    <x:row r="193" ht="42" customHeight="1">
      <x:c r="A193" s="215" t="str">
        <x:v>Acanthaceae</x:v>
      </x:c>
      <x:c r="B193" s="215" t="str">
        <x:v>ACANTH-COROLLA</x:v>
      </x:c>
      <x:c r="C193" s="215" t="str">
        <x:v>Broad family tendency</x:v>
      </x:c>
      <x:c r="D193" s="215" t="str">
        <x:v>Corolla</x:v>
      </x:c>
      <x:c r="E193" s="215" t="str">
        <x:v>Corolla fused and usually strongly bilateral</x:v>
      </x:c>
      <x:c r="F193" s="215" t="str">
        <x:v>Strong</x:v>
      </x:c>
      <x:c r="G193" s="215" t="str">
        <x:v>4</x:v>
      </x:c>
      <x:c r="H193" s="215" t="str">
        <x:v>High</x:v>
      </x:c>
      <x:c r="I193" s="215" t="str">
        <x:v>Naked eye</x:v>
      </x:c>
      <x:c r="J193" s="215" t="str">
        <x:v>Flowering</x:v>
      </x:c>
      <x:c r="K193" s="215" t="str">
        <x:v>The petals form a tube with an upper and lower lip or another asymmetric arrangement.</x:v>
      </x:c>
      <x:c r="L193" s="215" t="str">
        <x:v>Nearly radial flowers occur in some lineages; many other Lamiales also have bilateral fused corollas.</x:v>
      </x:c>
      <x:c r="M193" s="215" t="str">
        <x:v>Use with stamen count, capsule, and seed-supporting structures.</x:v>
      </x:c>
      <x:c r="N193" s="215" t="str">
        <x:v>Strong across the local snapshot, though Ruellia can look broadly funnel-shaped.</x:v>
      </x:c>
      <x:c r="O193" s="215" t="str">
        <x:v>Low</x:v>
      </x:c>
      <x:c r="P193" s="215" t="str">
        <x:v>No</x:v>
      </x:c>
      <x:c r="Q193" s="215" t="str"/>
      <x:c r="R193" s="215" t="str">
        <x:v>ACANTH-LK01; ACANTH-LK02; ACANTH-LK03</x:v>
      </x:c>
      <x:c r="S193" s="215" t="str">
        <x:v>APWEB-LAM; KEW-ACANTH-GI; POWO-ACANTH</x:v>
      </x:c>
      <x:c r="T193" s="215" t="str">
        <x:v>https://mobot.org/MOBOT/research/APweb/orders/lamialesweb.htm</x:v>
      </x:c>
      <x:c r="U193" s="215" t="str">
        <x:v>https://powo.science.kew.org/taxon/urn:lsid:ipni.org:names:30000618-2/general-information</x:v>
      </x:c>
      <x:c r="V193" s="215" t="str">
        <x:v>https://powo.science.kew.org/taxon/urn:lsid:ipni.org:names:30000618-2</x:v>
      </x:c>
      <x:c r="W193" s="215" t="str">
        <x:v>https://mobot.org/MOBOT/research/APweb/orders/lamialesweb.htm
https://powo.science.kew.org/taxon/urn:lsid:ipni.org:names:30000618-2/general-information
https://powo.science.kew.org/taxon/urn:lsid:ipni.org:names:30000618-2</x:v>
      </x:c>
      <x:c r="X193" s="215" t="str">
        <x:v>No - retain qualifiers and exceptions</x:v>
      </x:c>
      <x:c r="Y193" s="215" t="str">
        <x:v>Yes</x:v>
      </x:c>
      <x:c r="Z193" s="215" t="str">
        <x:v>Source-backed draft</x:v>
      </x:c>
    </x:row>
    <x:row r="194" ht="42" customHeight="1">
      <x:c r="A194" s="215" t="str">
        <x:v>Acanthaceae</x:v>
      </x:c>
      <x:c r="B194" s="215" t="str">
        <x:v>ACANTH-STAMEN</x:v>
      </x:c>
      <x:c r="C194" s="215" t="str">
        <x:v>Broad family tendency</x:v>
      </x:c>
      <x:c r="D194" s="215" t="str">
        <x:v>Androecium</x:v>
      </x:c>
      <x:c r="E194" s="215" t="str">
        <x:v>Two or four epipetalous stamens</x:v>
      </x:c>
      <x:c r="F194" s="215" t="str">
        <x:v>Strong</x:v>
      </x:c>
      <x:c r="G194" s="215" t="str">
        <x:v>4</x:v>
      </x:c>
      <x:c r="H194" s="215" t="str">
        <x:v>High</x:v>
      </x:c>
      <x:c r="I194" s="215" t="str">
        <x:v>Hand lens</x:v>
      </x:c>
      <x:c r="J194" s="215" t="str">
        <x:v>Flowering</x:v>
      </x:c>
      <x:c r="K194" s="215" t="str">
        <x:v>Fertile stamens attach to the corolla tube and occur in a small count, often two or four.</x:v>
      </x:c>
      <x:c r="L194" s="215" t="str">
        <x:v>Some lineages differ and staminodes may occur; the same counts appear in related families.</x:v>
      </x:c>
      <x:c r="M194" s="215" t="str">
        <x:v>A route-defining character when combined with capsule and seed traits.</x:v>
      </x:c>
      <x:c r="N194" s="215" t="str">
        <x:v>Two-stamen and four-stamen routes both occur locally.</x:v>
      </x:c>
      <x:c r="O194" s="215" t="str">
        <x:v>Moderate</x:v>
      </x:c>
      <x:c r="P194" s="215" t="str">
        <x:v>Yes</x:v>
      </x:c>
      <x:c r="Q194" s="215" t="str">
        <x:v>Weight must be assigned separately for justicioid and ruellioid local groups.</x:v>
      </x:c>
      <x:c r="R194" s="215" t="str">
        <x:v>ACANTH-LK01; ACANTH-LK02; ACANTH-LK03</x:v>
      </x:c>
      <x:c r="S194" s="215" t="str">
        <x:v>APWEB-LAM; KEW-ACANTH-GI; POWO-ACANTH</x:v>
      </x:c>
      <x:c r="T194" s="215" t="str">
        <x:v>https://mobot.org/MOBOT/research/APweb/orders/lamialesweb.htm</x:v>
      </x:c>
      <x:c r="U194" s="215" t="str">
        <x:v>https://powo.science.kew.org/taxon/urn:lsid:ipni.org:names:30000618-2/general-information</x:v>
      </x:c>
      <x:c r="V194" s="215" t="str">
        <x:v>https://powo.science.kew.org/taxon/urn:lsid:ipni.org:names:30000618-2</x:v>
      </x:c>
      <x:c r="W194" s="215" t="str">
        <x:v>https://mobot.org/MOBOT/research/APweb/orders/lamialesweb.htm
https://powo.science.kew.org/taxon/urn:lsid:ipni.org:names:30000618-2/general-information
https://powo.science.kew.org/taxon/urn:lsid:ipni.org:names:30000618-2</x:v>
      </x:c>
      <x:c r="X194" s="215" t="str">
        <x:v>No - retain qualifiers and exceptions</x:v>
      </x:c>
      <x:c r="Y194" s="215" t="str">
        <x:v>Yes</x:v>
      </x:c>
      <x:c r="Z194" s="215" t="str">
        <x:v>Human review required</x:v>
      </x:c>
    </x:row>
    <x:row r="195" ht="42" customHeight="1">
      <x:c r="A195" s="215" t="str">
        <x:v>Acanthaceae</x:v>
      </x:c>
      <x:c r="B195" s="215" t="str">
        <x:v>ACANTH-OVARY</x:v>
      </x:c>
      <x:c r="C195" s="215" t="str">
        <x:v>Broad family suite</x:v>
      </x:c>
      <x:c r="D195" s="215" t="str">
        <x:v>Gynoecium</x:v>
      </x:c>
      <x:c r="E195" s="215" t="str">
        <x:v>Ovary superior, usually two-locular, commonly with few ovules per locule</x:v>
      </x:c>
      <x:c r="F195" s="215" t="str">
        <x:v>Strong</x:v>
      </x:c>
      <x:c r="G195" s="215" t="str">
        <x:v>4</x:v>
      </x:c>
      <x:c r="H195" s="215" t="str">
        <x:v>Moderate</x:v>
      </x:c>
      <x:c r="I195" s="215" t="str">
        <x:v>Hand lens or dissection</x:v>
      </x:c>
      <x:c r="J195" s="215" t="str">
        <x:v>Flowering to young fruit</x:v>
      </x:c>
      <x:c r="K195" s="215" t="str">
        <x:v>The seed chamber sits above the attachment of the corolla and is divided into two locules.</x:v>
      </x:c>
      <x:c r="L195" s="215" t="str">
        <x:v>Ovule number varies from two to many per locule, especially across subfamilies.</x:v>
      </x:c>
      <x:c r="M195" s="215" t="str">
        <x:v>Supports the family after the flower form matches.</x:v>
      </x:c>
      <x:c r="N195" s="215" t="str">
        <x:v>Expected across current local genera.</x:v>
      </x:c>
      <x:c r="O195" s="215" t="str">
        <x:v>Low</x:v>
      </x:c>
      <x:c r="P195" s="215" t="str">
        <x:v>No</x:v>
      </x:c>
      <x:c r="Q195" s="215" t="str"/>
      <x:c r="R195" s="215" t="str">
        <x:v>ACANTH-LK01; ACANTH-LK02</x:v>
      </x:c>
      <x:c r="S195" s="215" t="str">
        <x:v>APWEB-LAM; KEW-ACANTH-GI; POWO-ACANTH</x:v>
      </x:c>
      <x:c r="T195" s="215" t="str">
        <x:v>https://mobot.org/MOBOT/research/APweb/orders/lamialesweb.htm</x:v>
      </x:c>
      <x:c r="U195" s="215" t="str">
        <x:v>https://powo.science.kew.org/taxon/urn:lsid:ipni.org:names:30000618-2/general-information</x:v>
      </x:c>
      <x:c r="V195" s="215" t="str">
        <x:v>https://powo.science.kew.org/taxon/urn:lsid:ipni.org:names:30000618-2</x:v>
      </x:c>
      <x:c r="W195" s="215" t="str">
        <x:v>https://mobot.org/MOBOT/research/APweb/orders/lamialesweb.htm
https://powo.science.kew.org/taxon/urn:lsid:ipni.org:names:30000618-2/general-information
https://powo.science.kew.org/taxon/urn:lsid:ipni.org:names:30000618-2</x:v>
      </x:c>
      <x:c r="X195" s="215" t="str">
        <x:v>No - retain qualifiers and exceptions</x:v>
      </x:c>
      <x:c r="Y195" s="215" t="str">
        <x:v>Yes</x:v>
      </x:c>
      <x:c r="Z195" s="215" t="str">
        <x:v>Source-backed draft</x:v>
      </x:c>
    </x:row>
    <x:row r="196" ht="42" customHeight="1">
      <x:c r="A196" s="215" t="str">
        <x:v>Acanthaceae</x:v>
      </x:c>
      <x:c r="B196" s="215" t="str">
        <x:v>ACANTH-CAPSULE</x:v>
      </x:c>
      <x:c r="C196" s="215" t="str">
        <x:v>Broad family suite</x:v>
      </x:c>
      <x:c r="D196" s="215" t="str">
        <x:v>Fruit</x:v>
      </x:c>
      <x:c r="E196" s="215" t="str">
        <x:v>Usually a two-valved loculicidal capsule, often explosively dehiscent</x:v>
      </x:c>
      <x:c r="F196" s="215" t="str">
        <x:v>Core</x:v>
      </x:c>
      <x:c r="G196" s="215" t="str">
        <x:v>5</x:v>
      </x:c>
      <x:c r="H196" s="215" t="str">
        <x:v>High</x:v>
      </x:c>
      <x:c r="I196" s="215" t="str">
        <x:v>Naked eye or hand lens</x:v>
      </x:c>
      <x:c r="J196" s="215" t="str">
        <x:v>Mature fruit</x:v>
      </x:c>
      <x:c r="K196" s="215" t="str">
        <x:v>The dry fruit splits into two valves, often suddenly, to throw the seeds.</x:v>
      </x:c>
      <x:c r="L196" s="215" t="str">
        <x:v>Fruit can be immature, already emptied, or nonexplosive in some lineages; capsule shape varies.</x:v>
      </x:c>
      <x:c r="M196" s="215" t="str">
        <x:v>One of the strongest practical family confirmations.</x:v>
      </x:c>
      <x:c r="N196" s="215" t="str">
        <x:v>Strong across current local genera.</x:v>
      </x:c>
      <x:c r="O196" s="215" t="str">
        <x:v>Low</x:v>
      </x:c>
      <x:c r="P196" s="215" t="str">
        <x:v>No</x:v>
      </x:c>
      <x:c r="Q196" s="215" t="str"/>
      <x:c r="R196" s="215" t="str">
        <x:v>ACANTH-LK01; ACANTH-LK02; ACANTH-LK03</x:v>
      </x:c>
      <x:c r="S196" s="215" t="str">
        <x:v>APWEB-LAM; KEW-ACANTH-GI; POWO-ACANTH</x:v>
      </x:c>
      <x:c r="T196" s="215" t="str">
        <x:v>https://mobot.org/MOBOT/research/APweb/orders/lamialesweb.htm</x:v>
      </x:c>
      <x:c r="U196" s="215" t="str">
        <x:v>https://powo.science.kew.org/taxon/urn:lsid:ipni.org:names:30000618-2/general-information</x:v>
      </x:c>
      <x:c r="V196" s="215" t="str">
        <x:v>https://powo.science.kew.org/taxon/urn:lsid:ipni.org:names:30000618-2</x:v>
      </x:c>
      <x:c r="W196" s="215" t="str">
        <x:v>https://mobot.org/MOBOT/research/APweb/orders/lamialesweb.htm
https://powo.science.kew.org/taxon/urn:lsid:ipni.org:names:30000618-2/general-information
https://powo.science.kew.org/taxon/urn:lsid:ipni.org:names:30000618-2</x:v>
      </x:c>
      <x:c r="X196" s="215" t="str">
        <x:v>No - retain qualifiers and exceptions</x:v>
      </x:c>
      <x:c r="Y196" s="215" t="str">
        <x:v>Yes</x:v>
      </x:c>
      <x:c r="Z196" s="215" t="str">
        <x:v>Source-backed draft</x:v>
      </x:c>
    </x:row>
    <x:row r="197" ht="42" customHeight="1">
      <x:c r="A197" s="215" t="str">
        <x:v>Acanthaceae</x:v>
      </x:c>
      <x:c r="B197" s="215" t="str">
        <x:v>ACANTH-RETIN</x:v>
      </x:c>
      <x:c r="C197" s="215" t="str">
        <x:v>Acanthoideae tendency, not family-wide</x:v>
      </x:c>
      <x:c r="D197" s="215" t="str">
        <x:v>Fruit / seed support</x:v>
      </x:c>
      <x:c r="E197" s="215" t="str">
        <x:v>Hooklike retinacula or jaculators support and eject seeds</x:v>
      </x:c>
      <x:c r="F197" s="215" t="str">
        <x:v>Core</x:v>
      </x:c>
      <x:c r="G197" s="215" t="str">
        <x:v>5</x:v>
      </x:c>
      <x:c r="H197" s="215" t="str">
        <x:v>High when present</x:v>
      </x:c>
      <x:c r="I197" s="215" t="str">
        <x:v>Hand lens; open capsule</x:v>
      </x:c>
      <x:c r="J197" s="215" t="str">
        <x:v>Mature opened fruit</x:v>
      </x:c>
      <x:c r="K197" s="215" t="str">
        <x:v>Each seed may rest on a hard hook or stalk that springs it outward when the capsule opens.</x:v>
      </x:c>
      <x:c r="L197" s="215" t="str">
        <x:v>Retinacula are absent in major family lineages such as Thunbergioideae and Nelsonioideae; broken or emptied capsules may hide them.</x:v>
      </x:c>
      <x:c r="M197" s="215" t="str">
        <x:v>Decisive evidence for the retinaculate acanthoid route, not a universal family requirement.</x:v>
      </x:c>
      <x:c r="N197" s="215" t="str">
        <x:v>All current local genera are expected to fall in retinaculate Acanthoideae, but this must be verified genus-by-genus.</x:v>
      </x:c>
      <x:c r="O197" s="215" t="str">
        <x:v>Moderate</x:v>
      </x:c>
      <x:c r="P197" s="215" t="str">
        <x:v>Yes</x:v>
      </x:c>
      <x:c r="Q197" s="215" t="str">
        <x:v>Confirm retinacula across every local genus and retain the broad-family exception.</x:v>
      </x:c>
      <x:c r="R197" s="215" t="str">
        <x:v>ACANTH-LK01; ACANTH-LK02; ACANTH-LK03</x:v>
      </x:c>
      <x:c r="S197" s="215" t="str">
        <x:v>KEW-ACANTH-GI; APWEB-LAM; POWO-ACANTH</x:v>
      </x:c>
      <x:c r="T197" s="215" t="str">
        <x:v>https://mobot.org/MOBOT/research/APweb/orders/lamialesweb.htm</x:v>
      </x:c>
      <x:c r="U197" s="215" t="str">
        <x:v>https://powo.science.kew.org/taxon/urn:lsid:ipni.org:names:30000618-2/general-information</x:v>
      </x:c>
      <x:c r="V197" s="215" t="str">
        <x:v>https://powo.science.kew.org/taxon/urn:lsid:ipni.org:names:30000618-2</x:v>
      </x:c>
      <x:c r="W197" s="215" t="str">
        <x:v>https://powo.science.kew.org/taxon/urn:lsid:ipni.org:names:30000618-2/general-information
https://mobot.org/MOBOT/research/APweb/orders/lamialesweb.htm
https://powo.science.kew.org/taxon/urn:lsid:ipni.org:names:30000618-2</x:v>
      </x:c>
      <x:c r="X197" s="215" t="str">
        <x:v>No - retain qualifiers and exceptions</x:v>
      </x:c>
      <x:c r="Y197" s="215" t="str">
        <x:v>Yes</x:v>
      </x:c>
      <x:c r="Z197" s="215" t="str">
        <x:v>Human review required</x:v>
      </x:c>
    </x:row>
    <x:row r="198" ht="42" customHeight="1">
      <x:c r="A198" s="215" t="str">
        <x:v>Acanthaceae</x:v>
      </x:c>
      <x:c r="B198" s="215" t="str">
        <x:v>ACANTH-SEED</x:v>
      </x:c>
      <x:c r="C198" s="215" t="str">
        <x:v>Broad family tendency</x:v>
      </x:c>
      <x:c r="D198" s="215" t="str">
        <x:v>Seed</x:v>
      </x:c>
      <x:c r="E198" s="215" t="str">
        <x:v>Seeds few to many, commonly flattened, often with hygroscopic hairs or surface structures</x:v>
      </x:c>
      <x:c r="F198" s="215" t="str">
        <x:v>Supporting</x:v>
      </x:c>
      <x:c r="G198" s="215" t="str">
        <x:v>3</x:v>
      </x:c>
      <x:c r="H198" s="215" t="str">
        <x:v>Variable</x:v>
      </x:c>
      <x:c r="I198" s="215" t="str">
        <x:v>Hand lens or microscope</x:v>
      </x:c>
      <x:c r="J198" s="215" t="str">
        <x:v>Mature fruit</x:v>
      </x:c>
      <x:c r="K198" s="215" t="str">
        <x:v>Seed number, flattening, hairs, and surface pattern help separate lineages after the capsule is identified.</x:v>
      </x:c>
      <x:c r="L198" s="215" t="str">
        <x:v>Seed form varies widely and is not a safe first-line family character.</x:v>
      </x:c>
      <x:c r="M198" s="215" t="str">
        <x:v>Reserve for genus or species matrices.</x:v>
      </x:c>
      <x:c r="N198" s="215" t="str">
        <x:v>Potentially important in local Ruellia and Justicia groups.</x:v>
      </x:c>
      <x:c r="O198" s="215" t="str">
        <x:v>Moderate</x:v>
      </x:c>
      <x:c r="P198" s="215" t="str">
        <x:v>Yes</x:v>
      </x:c>
      <x:c r="Q198" s="215" t="str">
        <x:v>Needs authoritative genus treatments before scoring.</x:v>
      </x:c>
      <x:c r="R198" s="215" t="str"/>
      <x:c r="S198" s="215" t="str">
        <x:v>APWEB-LAM; KEW-ACANTH-GI; POWO-ACANTH</x:v>
      </x:c>
      <x:c r="T198" s="215" t="str">
        <x:v>https://mobot.org/MOBOT/research/APweb/orders/lamialesweb.htm</x:v>
      </x:c>
      <x:c r="U198" s="215" t="str">
        <x:v>https://powo.science.kew.org/taxon/urn:lsid:ipni.org:names:30000618-2/general-information</x:v>
      </x:c>
      <x:c r="V198" s="215" t="str">
        <x:v>https://powo.science.kew.org/taxon/urn:lsid:ipni.org:names:30000618-2</x:v>
      </x:c>
      <x:c r="W198" s="215" t="str">
        <x:v>https://mobot.org/MOBOT/research/APweb/orders/lamialesweb.htm
https://powo.science.kew.org/taxon/urn:lsid:ipni.org:names:30000618-2/general-information
https://powo.science.kew.org/taxon/urn:lsid:ipni.org:names:30000618-2</x:v>
      </x:c>
      <x:c r="X198" s="215" t="str">
        <x:v>No - retain qualifiers and exceptions</x:v>
      </x:c>
      <x:c r="Y198" s="215" t="str">
        <x:v>Yes</x:v>
      </x:c>
      <x:c r="Z198" s="215" t="str">
        <x:v>Human review required</x:v>
      </x:c>
    </x:row>
    <x:row r="199" ht="42" customHeight="1">
      <x:c r="A199" s="215" t="str">
        <x:v>Acanthaceae</x:v>
      </x:c>
      <x:c r="B199" s="215" t="str">
        <x:v>ACANTH-CALYX</x:v>
      </x:c>
      <x:c r="C199" s="215" t="str">
        <x:v>Broad family tendency</x:v>
      </x:c>
      <x:c r="D199" s="215" t="str">
        <x:v>Calyx</x:v>
      </x:c>
      <x:c r="E199" s="215" t="str">
        <x:v>Persistent calyx commonly divided into 4-5 lobes or segments</x:v>
      </x:c>
      <x:c r="F199" s="215" t="str">
        <x:v>Supporting</x:v>
      </x:c>
      <x:c r="G199" s="215" t="str">
        <x:v>3</x:v>
      </x:c>
      <x:c r="H199" s="215" t="str">
        <x:v>Moderate</x:v>
      </x:c>
      <x:c r="I199" s="215" t="str">
        <x:v>Hand lens</x:v>
      </x:c>
      <x:c r="J199" s="215" t="str">
        <x:v>Flowering to fruiting</x:v>
      </x:c>
      <x:c r="K199" s="215" t="str">
        <x:v>The green outer flower parts often remain beneath the developing capsule.</x:v>
      </x:c>
      <x:c r="L199" s="215" t="str">
        <x:v>Segment number and equality vary; calyx can be reduced or deeply divided.</x:v>
      </x:c>
      <x:c r="M199" s="215" t="str">
        <x:v>Useful with capsule form and bracts.</x:v>
      </x:c>
      <x:c r="N199" s="215" t="str">
        <x:v>Visible in most local routes.</x:v>
      </x:c>
      <x:c r="O199" s="215" t="str">
        <x:v>Low</x:v>
      </x:c>
      <x:c r="P199" s="215" t="str">
        <x:v>No</x:v>
      </x:c>
      <x:c r="Q199" s="215" t="str"/>
      <x:c r="R199" s="215" t="str">
        <x:v>ACANTH-LK02</x:v>
      </x:c>
      <x:c r="S199" s="215" t="str">
        <x:v>APWEB-LAM; KEW-ACANTH-GI; POWO-ACANTH</x:v>
      </x:c>
      <x:c r="T199" s="215" t="str">
        <x:v>https://mobot.org/MOBOT/research/APweb/orders/lamialesweb.htm</x:v>
      </x:c>
      <x:c r="U199" s="215" t="str">
        <x:v>https://powo.science.kew.org/taxon/urn:lsid:ipni.org:names:30000618-2/general-information</x:v>
      </x:c>
      <x:c r="V199" s="215" t="str">
        <x:v>https://powo.science.kew.org/taxon/urn:lsid:ipni.org:names:30000618-2</x:v>
      </x:c>
      <x:c r="W199" s="215" t="str">
        <x:v>https://mobot.org/MOBOT/research/APweb/orders/lamialesweb.htm
https://powo.science.kew.org/taxon/urn:lsid:ipni.org:names:30000618-2/general-information
https://powo.science.kew.org/taxon/urn:lsid:ipni.org:names:30000618-2</x:v>
      </x:c>
      <x:c r="X199" s="215" t="str">
        <x:v>No - retain qualifiers and exceptions</x:v>
      </x:c>
      <x:c r="Y199" s="215" t="str">
        <x:v>Yes</x:v>
      </x:c>
      <x:c r="Z199" s="215" t="str">
        <x:v>Source-backed draft</x:v>
      </x:c>
    </x:row>
    <x:row r="200" ht="42" customHeight="1">
      <x:c r="A200" s="215" t="str">
        <x:v>Acanthaceae</x:v>
      </x:c>
      <x:c r="B200" s="215" t="str">
        <x:v>ACANTH-JUSTICIOID</x:v>
      </x:c>
      <x:c r="C200" s="215" t="str">
        <x:v>Local subgroup: Justicia, Dianthera, Dicliptera, Anisacanthus</x:v>
      </x:c>
      <x:c r="D200" s="215" t="str">
        <x:v>Flower and fruit</x:v>
      </x:c>
      <x:c r="E200" s="215" t="str">
        <x:v>Usually two fertile stamens; capsule commonly constricted or differentiated between seed-bearing and sterile portions</x:v>
      </x:c>
      <x:c r="F200" s="215" t="str">
        <x:v>Subgroup</x:v>
      </x:c>
      <x:c r="G200" s="215" t="str">
        <x:v>5</x:v>
      </x:c>
      <x:c r="H200" s="215" t="str">
        <x:v>Moderate to high</x:v>
      </x:c>
      <x:c r="I200" s="215" t="str">
        <x:v>Hand lens</x:v>
      </x:c>
      <x:c r="J200" s="215" t="str">
        <x:v>Flowering and fruiting</x:v>
      </x:c>
      <x:c r="K200" s="215" t="str">
        <x:v>This route captures several local justicioid genera after a bilateral corolla and acanthaceous capsule are established.</x:v>
      </x:c>
      <x:c r="L200" s="215" t="str">
        <x:v>Capsule and anther details differ by genus, and generic boundaries have changed; two stamens also occur elsewhere in Lamiales.</x:v>
      </x:c>
      <x:c r="M200" s="215" t="str">
        <x:v>A local branch point, not a family definition.</x:v>
      </x:c>
      <x:c r="N200" s="215" t="str">
        <x:v>Applies to Anisacanthus, Dianthera, Dicliptera, and Justicia local rows.</x:v>
      </x:c>
      <x:c r="O200" s="215" t="str">
        <x:v>Moderate</x:v>
      </x:c>
      <x:c r="P200" s="215" t="str">
        <x:v>Yes</x:v>
      </x:c>
      <x:c r="Q200" s="215" t="str">
        <x:v>Needs genus matrix and confirmation under current accepted generic limits.</x:v>
      </x:c>
      <x:c r="R200" s="215" t="str">
        <x:v>ACANTH-LK01; ACANTH-LK02</x:v>
      </x:c>
      <x:c r="S200" s="215" t="str">
        <x:v>KEW-ACANTH-GI; APWEB-LAM; POWO-ACANTH</x:v>
      </x:c>
      <x:c r="T200" s="215" t="str">
        <x:v>https://mobot.org/MOBOT/research/APweb/orders/lamialesweb.htm</x:v>
      </x:c>
      <x:c r="U200" s="215" t="str">
        <x:v>https://powo.science.kew.org/taxon/urn:lsid:ipni.org:names:30000618-2/general-information</x:v>
      </x:c>
      <x:c r="V200" s="215" t="str">
        <x:v>https://powo.science.kew.org/taxon/urn:lsid:ipni.org:names:30000618-2</x:v>
      </x:c>
      <x:c r="W200" s="215" t="str">
        <x:v>https://powo.science.kew.org/taxon/urn:lsid:ipni.org:names:30000618-2/general-information
https://mobot.org/MOBOT/research/APweb/orders/lamialesweb.htm
https://powo.science.kew.org/taxon/urn:lsid:ipni.org:names:30000618-2</x:v>
      </x:c>
      <x:c r="X200" s="215" t="str">
        <x:v>No - retain qualifiers and exceptions</x:v>
      </x:c>
      <x:c r="Y200" s="215" t="str">
        <x:v>Yes</x:v>
      </x:c>
      <x:c r="Z200" s="215" t="str">
        <x:v>Human review required</x:v>
      </x:c>
    </x:row>
    <x:row r="201" ht="42" customHeight="1">
      <x:c r="A201" s="215" t="str">
        <x:v>Acanthaceae</x:v>
      </x:c>
      <x:c r="B201" s="215" t="str">
        <x:v>ACANTH-RUELLIOID</x:v>
      </x:c>
      <x:c r="C201" s="215" t="str">
        <x:v>Local subgroup: Ruellia, Dyschoriste, Hygrophila</x:v>
      </x:c>
      <x:c r="D201" s="215" t="str">
        <x:v>Flower and fruit</x:v>
      </x:c>
      <x:c r="E201" s="215" t="str">
        <x:v>Often four didynamous stamens with a multi-seeded explosive capsule</x:v>
      </x:c>
      <x:c r="F201" s="215" t="str">
        <x:v>Subgroup</x:v>
      </x:c>
      <x:c r="G201" s="215" t="str">
        <x:v>5</x:v>
      </x:c>
      <x:c r="H201" s="215" t="str">
        <x:v>Moderate to high</x:v>
      </x:c>
      <x:c r="I201" s="215" t="str">
        <x:v>Hand lens</x:v>
      </x:c>
      <x:c r="J201" s="215" t="str">
        <x:v>Flowering and fruiting</x:v>
      </x:c>
      <x:c r="K201" s="215" t="str">
        <x:v>This route captures the local ruellioid genera, many with showy funnel-shaped flowers and capsules that eject several seeds.</x:v>
      </x:c>
      <x:c r="L201" s="215" t="str">
        <x:v>Stamen number, pollen, capsule, and seed characters vary by genus; flower shape can converge with Plantaginaceae.</x:v>
      </x:c>
      <x:c r="M201" s="215" t="str">
        <x:v>A strong local branch point after family confirmation.</x:v>
      </x:c>
      <x:c r="N201" s="215" t="str">
        <x:v>Applies to Ruellia, Dyschoriste, and Hygrophila local rows.</x:v>
      </x:c>
      <x:c r="O201" s="215" t="str">
        <x:v>Moderate</x:v>
      </x:c>
      <x:c r="P201" s="215" t="str">
        <x:v>Yes</x:v>
      </x:c>
      <x:c r="Q201" s="215" t="str">
        <x:v>Genus-level validation needed, particularly for Hygrophila and Dyschoriste.</x:v>
      </x:c>
      <x:c r="R201" s="215" t="str">
        <x:v>ACANTH-LK02; ACANTH-LK03</x:v>
      </x:c>
      <x:c r="S201" s="215" t="str">
        <x:v>KEW-ACANTH-GI; APWEB-LAM; POWO-ACANTH</x:v>
      </x:c>
      <x:c r="T201" s="215" t="str">
        <x:v>https://mobot.org/MOBOT/research/APweb/orders/lamialesweb.htm</x:v>
      </x:c>
      <x:c r="U201" s="215" t="str">
        <x:v>https://powo.science.kew.org/taxon/urn:lsid:ipni.org:names:30000618-2/general-information</x:v>
      </x:c>
      <x:c r="V201" s="215" t="str">
        <x:v>https://powo.science.kew.org/taxon/urn:lsid:ipni.org:names:30000618-2</x:v>
      </x:c>
      <x:c r="W201" s="215" t="str">
        <x:v>https://powo.science.kew.org/taxon/urn:lsid:ipni.org:names:30000618-2/general-information
https://mobot.org/MOBOT/research/APweb/orders/lamialesweb.htm
https://powo.science.kew.org/taxon/urn:lsid:ipni.org:names:30000618-2</x:v>
      </x:c>
      <x:c r="X201" s="215" t="str">
        <x:v>No - retain qualifiers and exceptions</x:v>
      </x:c>
      <x:c r="Y201" s="215" t="str">
        <x:v>Yes</x:v>
      </x:c>
      <x:c r="Z201" s="215" t="str">
        <x:v>Human review required</x:v>
      </x:c>
    </x:row>
    <x:row r="202" ht="42" customHeight="1">
      <x:c r="A202" s="215" t="str">
        <x:v>Acanthaceae</x:v>
      </x:c>
      <x:c r="B202" s="215" t="str">
        <x:v>ACANTH-WATER</x:v>
      </x:c>
      <x:c r="C202" s="215" t="str">
        <x:v>Local subgroup support: Dianthera and Hygrophila</x:v>
      </x:c>
      <x:c r="D202" s="215" t="str">
        <x:v>Habitat and habit</x:v>
      </x:c>
      <x:c r="E202" s="215" t="str">
        <x:v>Some local genera are aquatic or wetland herbs</x:v>
      </x:c>
      <x:c r="F202" s="215" t="str">
        <x:v>Caution</x:v>
      </x:c>
      <x:c r="G202" s="215" t="str">
        <x:v>0</x:v>
      </x:c>
      <x:c r="H202" s="215" t="str">
        <x:v>Variable</x:v>
      </x:c>
      <x:c r="I202" s="215" t="str">
        <x:v>Naked eye</x:v>
      </x:c>
      <x:c r="J202" s="215" t="str">
        <x:v>Any</x:v>
      </x:c>
      <x:c r="K202" s="215" t="str">
        <x:v>Dianthera americana and Hygrophila can occur in water or saturated soils.</x:v>
      </x:c>
      <x:c r="L202" s="215" t="str">
        <x:v>Habitat is not a family trait; many Acanthaceae are upland and many unrelated plants share wetlands.</x:v>
      </x:c>
      <x:c r="M202" s="215" t="str">
        <x:v>Use habitat only to choose which local genus route to inspect.</x:v>
      </x:c>
      <x:c r="N202" s="215" t="str">
        <x:v>Relevant to two local wetland taxa.</x:v>
      </x:c>
      <x:c r="O202" s="215" t="str">
        <x:v>Low</x:v>
      </x:c>
      <x:c r="P202" s="215" t="str">
        <x:v>No</x:v>
      </x:c>
      <x:c r="Q202" s="215" t="str"/>
      <x:c r="R202" s="215" t="str">
        <x:v>ACANTH-LK02</x:v>
      </x:c>
      <x:c r="S202" s="215" t="str">
        <x:v>KEW-ACANTH-GI; POWO-ACANTH</x:v>
      </x:c>
      <x:c r="T202" s="215" t="str">
        <x:v>https://mobot.org/MOBOT/research/APweb/orders/lamialesweb.htm</x:v>
      </x:c>
      <x:c r="U202" s="215" t="str">
        <x:v>https://powo.science.kew.org/taxon/urn:lsid:ipni.org:names:30000618-2/general-information</x:v>
      </x:c>
      <x:c r="V202" s="215" t="str">
        <x:v>https://powo.science.kew.org/taxon/urn:lsid:ipni.org:names:30000618-2</x:v>
      </x:c>
      <x:c r="W202" s="215" t="str">
        <x:v>https://powo.science.kew.org/taxon/urn:lsid:ipni.org:names:30000618-2/general-information
https://powo.science.kew.org/taxon/urn:lsid:ipni.org:names:30000618-2
https://mobot.org/MOBOT/research/APweb/orders/lamialesweb.htm</x:v>
      </x:c>
      <x:c r="X202" s="215" t="str">
        <x:v>No - retain qualifiers and exceptions</x:v>
      </x:c>
      <x:c r="Y202" s="215" t="str">
        <x:v>Yes</x:v>
      </x:c>
      <x:c r="Z202" s="215" t="str">
        <x:v>Source-backed draft</x:v>
      </x:c>
    </x:row>
    <x:row r="203" ht="42" customHeight="1">
      <x:c r="A203" s="215" t="str">
        <x:v>Commelinaceae</x:v>
      </x:c>
      <x:c r="B203" s="215" t="str">
        <x:v>COMM-HABIT</x:v>
      </x:c>
      <x:c r="C203" s="215" t="str">
        <x:v>Broad family tendency</x:v>
      </x:c>
      <x:c r="D203" s="215" t="str">
        <x:v>Habit</x:v>
      </x:c>
      <x:c r="E203" s="215" t="str">
        <x:v>Herbaceous monocots, often succulent or watery</x:v>
      </x:c>
      <x:c r="F203" s="215" t="str">
        <x:v>Supporting</x:v>
      </x:c>
      <x:c r="G203" s="215" t="str">
        <x:v>2</x:v>
      </x:c>
      <x:c r="H203" s="215" t="str">
        <x:v>Moderate</x:v>
      </x:c>
      <x:c r="I203" s="215" t="str">
        <x:v>Naked eye</x:v>
      </x:c>
      <x:c r="J203" s="215" t="str">
        <x:v>Any</x:v>
      </x:c>
      <x:c r="K203" s="215" t="str">
        <x:v>Plants are soft-stemmed herbs rather than woody shrubs or grasses with dry culms.</x:v>
      </x:c>
      <x:c r="L203" s="215" t="str">
        <x:v>Texture ranges from delicate to firm; succulence occurs in many unrelated plants.</x:v>
      </x:c>
      <x:c r="M203" s="215" t="str">
        <x:v>Use only as an entry clue.</x:v>
      </x:c>
      <x:c r="N203" s="215" t="str">
        <x:v>All current local taxa are herbaceous.</x:v>
      </x:c>
      <x:c r="O203" s="215" t="str">
        <x:v>Low</x:v>
      </x:c>
      <x:c r="P203" s="215" t="str">
        <x:v>No</x:v>
      </x:c>
      <x:c r="Q203" s="215" t="str"/>
      <x:c r="R203" s="215" t="str">
        <x:v>COMM-LK01; COMM-LK02</x:v>
      </x:c>
      <x:c r="S203" s="215" t="str">
        <x:v>APWEB-COMM; FNA-COMM; POWO-COMM</x:v>
      </x:c>
      <x:c r="T203" s="215" t="str">
        <x:v>https://mobot.org/MOBOT/research/APWeb/orders/commelinalesweb.htm</x:v>
      </x:c>
      <x:c r="U203" s="215" t="str">
        <x:v>https://floranorthamerica.org/Commelinaceae</x:v>
      </x:c>
      <x:c r="V203" s="215" t="str">
        <x:v>https://powo.science.kew.org/taxon/urn:lsid:ipni.org:names:30000225-2</x:v>
      </x:c>
      <x:c r="W203" s="215" t="str">
        <x:v>https://mobot.org/MOBOT/research/APWeb/orders/commelinalesweb.htm
https://floranorthamerica.org/Commelinaceae
https://powo.science.kew.org/taxon/urn:lsid:ipni.org:names:30000225-2</x:v>
      </x:c>
      <x:c r="X203" s="215" t="str">
        <x:v>No - retain qualifiers and exceptions</x:v>
      </x:c>
      <x:c r="Y203" s="215" t="str">
        <x:v>Yes</x:v>
      </x:c>
      <x:c r="Z203" s="215" t="str">
        <x:v>Source-backed draft</x:v>
      </x:c>
    </x:row>
    <x:row r="204" ht="42" customHeight="1">
      <x:c r="A204" s="215" t="str">
        <x:v>Commelinaceae</x:v>
      </x:c>
      <x:c r="B204" s="215" t="str">
        <x:v>COMM-LEAF</x:v>
      </x:c>
      <x:c r="C204" s="215" t="str">
        <x:v>Broad family tendency</x:v>
      </x:c>
      <x:c r="D204" s="215" t="str">
        <x:v>Leaf</x:v>
      </x:c>
      <x:c r="E204" s="215" t="str">
        <x:v>Leaves alternate, parallel-veined, with a sheathing base</x:v>
      </x:c>
      <x:c r="F204" s="215" t="str">
        <x:v>Strong</x:v>
      </x:c>
      <x:c r="G204" s="215" t="str">
        <x:v>3</x:v>
      </x:c>
      <x:c r="H204" s="215" t="str">
        <x:v>Moderate to high</x:v>
      </x:c>
      <x:c r="I204" s="215" t="str">
        <x:v>Naked eye</x:v>
      </x:c>
      <x:c r="J204" s="215" t="str">
        <x:v>Vegetative</x:v>
      </x:c>
      <x:c r="K204" s="215" t="str">
        <x:v>Each blade usually has parallel veins and a base that wraps around the stem.</x:v>
      </x:c>
      <x:c r="L204" s="215" t="str">
        <x:v>Leaves can be broad or narrow; parallel veins and sheaths occur in many monocot families.</x:v>
      </x:c>
      <x:c r="M204" s="215" t="str">
        <x:v>Use with closed sheath, swollen nodes, and flower structure.</x:v>
      </x:c>
      <x:c r="N204" s="215" t="str">
        <x:v>Strong across Commelina, Tinantia, and Tradescantia.</x:v>
      </x:c>
      <x:c r="O204" s="215" t="str">
        <x:v>Low</x:v>
      </x:c>
      <x:c r="P204" s="215" t="str">
        <x:v>No</x:v>
      </x:c>
      <x:c r="Q204" s="215" t="str"/>
      <x:c r="R204" s="215" t="str">
        <x:v>COMM-LK01; COMM-LK02</x:v>
      </x:c>
      <x:c r="S204" s="215" t="str">
        <x:v>APWEB-COMM; FNA-COMM; POWO-COMM</x:v>
      </x:c>
      <x:c r="T204" s="215" t="str">
        <x:v>https://mobot.org/MOBOT/research/APWeb/orders/commelinalesweb.htm</x:v>
      </x:c>
      <x:c r="U204" s="215" t="str">
        <x:v>https://floranorthamerica.org/Commelinaceae</x:v>
      </x:c>
      <x:c r="V204" s="215" t="str">
        <x:v>https://powo.science.kew.org/taxon/urn:lsid:ipni.org:names:30000225-2</x:v>
      </x:c>
      <x:c r="W204" s="215" t="str">
        <x:v>https://mobot.org/MOBOT/research/APWeb/orders/commelinalesweb.htm
https://floranorthamerica.org/Commelinaceae
https://powo.science.kew.org/taxon/urn:lsid:ipni.org:names:30000225-2</x:v>
      </x:c>
      <x:c r="X204" s="215" t="str">
        <x:v>No - retain qualifiers and exceptions</x:v>
      </x:c>
      <x:c r="Y204" s="215" t="str">
        <x:v>Yes</x:v>
      </x:c>
      <x:c r="Z204" s="215" t="str">
        <x:v>Source-backed draft</x:v>
      </x:c>
    </x:row>
    <x:row r="205" ht="42" customHeight="1">
      <x:c r="A205" s="215" t="str">
        <x:v>Commelinaceae</x:v>
      </x:c>
      <x:c r="B205" s="215" t="str">
        <x:v>COMM-SHEATH</x:v>
      </x:c>
      <x:c r="C205" s="215" t="str">
        <x:v>Broad family tendency</x:v>
      </x:c>
      <x:c r="D205" s="215" t="str">
        <x:v>Leaf base</x:v>
      </x:c>
      <x:c r="E205" s="215" t="str">
        <x:v>Leaf sheath usually closed around the stem</x:v>
      </x:c>
      <x:c r="F205" s="215" t="str">
        <x:v>Strong</x:v>
      </x:c>
      <x:c r="G205" s="215" t="str">
        <x:v>4</x:v>
      </x:c>
      <x:c r="H205" s="215" t="str">
        <x:v>Moderate</x:v>
      </x:c>
      <x:c r="I205" s="215" t="str">
        <x:v>Naked eye or hand lens</x:v>
      </x:c>
      <x:c r="J205" s="215" t="str">
        <x:v>Vegetative</x:v>
      </x:c>
      <x:c r="K205" s="215" t="str">
        <x:v>The two sheath margins are fused into a tube for at least part of their length.</x:v>
      </x:c>
      <x:c r="L205" s="215" t="str">
        <x:v>The seam may split with age or damage, and exact closure varies.</x:v>
      </x:c>
      <x:c r="M205" s="215" t="str">
        <x:v>Helps separate from many grasses with open sheaths.</x:v>
      </x:c>
      <x:c r="N205" s="215" t="str">
        <x:v>Useful across the local family snapshot.</x:v>
      </x:c>
      <x:c r="O205" s="215" t="str">
        <x:v>Low</x:v>
      </x:c>
      <x:c r="P205" s="215" t="str">
        <x:v>No</x:v>
      </x:c>
      <x:c r="Q205" s="215" t="str"/>
      <x:c r="R205" s="215" t="str">
        <x:v>COMM-LK02</x:v>
      </x:c>
      <x:c r="S205" s="215" t="str">
        <x:v>APWEB-COMM; FNA-COMM; POWO-COMM</x:v>
      </x:c>
      <x:c r="T205" s="215" t="str">
        <x:v>https://mobot.org/MOBOT/research/APWeb/orders/commelinalesweb.htm</x:v>
      </x:c>
      <x:c r="U205" s="215" t="str">
        <x:v>https://floranorthamerica.org/Commelinaceae</x:v>
      </x:c>
      <x:c r="V205" s="215" t="str">
        <x:v>https://powo.science.kew.org/taxon/urn:lsid:ipni.org:names:30000225-2</x:v>
      </x:c>
      <x:c r="W205" s="215" t="str">
        <x:v>https://mobot.org/MOBOT/research/APWeb/orders/commelinalesweb.htm
https://floranorthamerica.org/Commelinaceae
https://powo.science.kew.org/taxon/urn:lsid:ipni.org:names:30000225-2</x:v>
      </x:c>
      <x:c r="X205" s="215" t="str">
        <x:v>No - retain qualifiers and exceptions</x:v>
      </x:c>
      <x:c r="Y205" s="215" t="str">
        <x:v>Yes</x:v>
      </x:c>
      <x:c r="Z205" s="215" t="str">
        <x:v>Source-backed draft</x:v>
      </x:c>
    </x:row>
    <x:row r="206" ht="42" customHeight="1">
      <x:c r="A206" s="215" t="str">
        <x:v>Commelinaceae</x:v>
      </x:c>
      <x:c r="B206" s="215" t="str">
        <x:v>COMM-NODES</x:v>
      </x:c>
      <x:c r="C206" s="215" t="str">
        <x:v>Broad family tendency</x:v>
      </x:c>
      <x:c r="D206" s="215" t="str">
        <x:v>Stem</x:v>
      </x:c>
      <x:c r="E206" s="215" t="str">
        <x:v>Nodes commonly swollen, stems often fleshy and rooting at nodes</x:v>
      </x:c>
      <x:c r="F206" s="215" t="str">
        <x:v>Strong</x:v>
      </x:c>
      <x:c r="G206" s="215" t="str">
        <x:v>3</x:v>
      </x:c>
      <x:c r="H206" s="215" t="str">
        <x:v>Moderate to high</x:v>
      </x:c>
      <x:c r="I206" s="215" t="str">
        <x:v>Naked eye or touch</x:v>
      </x:c>
      <x:c r="J206" s="215" t="str">
        <x:v>Vegetative</x:v>
      </x:c>
      <x:c r="K206" s="215" t="str">
        <x:v>Distinct thickened joints interrupt the soft stem, and creeping stems may root where they touch soil.</x:v>
      </x:c>
      <x:c r="L206" s="215" t="str">
        <x:v>Not every species creeps or roots at nodes; swollen nodes occur elsewhere.</x:v>
      </x:c>
      <x:c r="M206" s="215" t="str">
        <x:v>Use as part of the leaf-sheath-plus-flower suite.</x:v>
      </x:c>
      <x:c r="N206" s="215" t="str">
        <x:v>Strong in Commelina and many Tradescantia; Tinantia is more upright.</x:v>
      </x:c>
      <x:c r="O206" s="215" t="str">
        <x:v>Low</x:v>
      </x:c>
      <x:c r="P206" s="215" t="str">
        <x:v>No</x:v>
      </x:c>
      <x:c r="Q206" s="215" t="str"/>
      <x:c r="R206" s="215" t="str">
        <x:v>COMM-LK01; COMM-LK02</x:v>
      </x:c>
      <x:c r="S206" s="215" t="str">
        <x:v>APWEB-COMM; FNA-COMM; POWO-COMM</x:v>
      </x:c>
      <x:c r="T206" s="215" t="str">
        <x:v>https://mobot.org/MOBOT/research/APWeb/orders/commelinalesweb.htm</x:v>
      </x:c>
      <x:c r="U206" s="215" t="str">
        <x:v>https://floranorthamerica.org/Commelinaceae</x:v>
      </x:c>
      <x:c r="V206" s="215" t="str">
        <x:v>https://powo.science.kew.org/taxon/urn:lsid:ipni.org:names:30000225-2</x:v>
      </x:c>
      <x:c r="W206" s="215" t="str">
        <x:v>https://mobot.org/MOBOT/research/APWeb/orders/commelinalesweb.htm
https://floranorthamerica.org/Commelinaceae
https://powo.science.kew.org/taxon/urn:lsid:ipni.org:names:30000225-2</x:v>
      </x:c>
      <x:c r="X206" s="215" t="str">
        <x:v>No - retain qualifiers and exceptions</x:v>
      </x:c>
      <x:c r="Y206" s="215" t="str">
        <x:v>Yes</x:v>
      </x:c>
      <x:c r="Z206" s="215" t="str">
        <x:v>Source-backed draft</x:v>
      </x:c>
    </x:row>
    <x:row r="207" ht="42" customHeight="1">
      <x:c r="A207" s="215" t="str">
        <x:v>Commelinaceae</x:v>
      </x:c>
      <x:c r="B207" s="215" t="str">
        <x:v>COMM-INFLO</x:v>
      </x:c>
      <x:c r="C207" s="215" t="str">
        <x:v>Broad family suite</x:v>
      </x:c>
      <x:c r="D207" s="215" t="str">
        <x:v>Inflorescence</x:v>
      </x:c>
      <x:c r="E207" s="215" t="str">
        <x:v>Flowers in cymes, often scorpioid, enclosed or subtended by bracts or spathes</x:v>
      </x:c>
      <x:c r="F207" s="215" t="str">
        <x:v>Strong</x:v>
      </x:c>
      <x:c r="G207" s="215" t="str">
        <x:v>4</x:v>
      </x:c>
      <x:c r="H207" s="215" t="str">
        <x:v>Moderate to high</x:v>
      </x:c>
      <x:c r="I207" s="215" t="str">
        <x:v>Naked eye</x:v>
      </x:c>
      <x:c r="J207" s="215" t="str">
        <x:v>Flowering</x:v>
      </x:c>
      <x:c r="K207" s="215" t="str">
        <x:v>Branches of the flower cluster may curl or unfold sequentially, often from a folded or leaflike bract.</x:v>
      </x:c>
      <x:c r="L207" s="215" t="str">
        <x:v>Inflorescences can be reduced, paired, or arranged differently; the scorpioid pattern may be hidden in small clusters.</x:v>
      </x:c>
      <x:c r="M207" s="215" t="str">
        <x:v>A strong structural clue before dissecting a flower.</x:v>
      </x:c>
      <x:c r="N207" s="215" t="str">
        <x:v>Commelina has a conspicuous folded spathe; Tradescantia and Tinantia use different bract arrangements.</x:v>
      </x:c>
      <x:c r="O207" s="215" t="str">
        <x:v>Low</x:v>
      </x:c>
      <x:c r="P207" s="215" t="str">
        <x:v>No</x:v>
      </x:c>
      <x:c r="Q207" s="215" t="str"/>
      <x:c r="R207" s="215" t="str">
        <x:v>COMM-LK01</x:v>
      </x:c>
      <x:c r="S207" s="215" t="str">
        <x:v>APWEB-COMM; FNA-COMM; POWO-COMM</x:v>
      </x:c>
      <x:c r="T207" s="215" t="str">
        <x:v>https://mobot.org/MOBOT/research/APWeb/orders/commelinalesweb.htm</x:v>
      </x:c>
      <x:c r="U207" s="215" t="str">
        <x:v>https://floranorthamerica.org/Commelinaceae</x:v>
      </x:c>
      <x:c r="V207" s="215" t="str">
        <x:v>https://powo.science.kew.org/taxon/urn:lsid:ipni.org:names:30000225-2</x:v>
      </x:c>
      <x:c r="W207" s="215" t="str">
        <x:v>https://mobot.org/MOBOT/research/APWeb/orders/commelinalesweb.htm
https://floranorthamerica.org/Commelinaceae
https://powo.science.kew.org/taxon/urn:lsid:ipni.org:names:30000225-2</x:v>
      </x:c>
      <x:c r="X207" s="215" t="str">
        <x:v>No - retain qualifiers and exceptions</x:v>
      </x:c>
      <x:c r="Y207" s="215" t="str">
        <x:v>Yes</x:v>
      </x:c>
      <x:c r="Z207" s="215" t="str">
        <x:v>Source-backed draft</x:v>
      </x:c>
    </x:row>
    <x:row r="208" ht="42" customHeight="1">
      <x:c r="A208" s="215" t="str">
        <x:v>Commelinaceae</x:v>
      </x:c>
      <x:c r="B208" s="215" t="str">
        <x:v>COMM-3PLUS3</x:v>
      </x:c>
      <x:c r="C208" s="215" t="str">
        <x:v>Broad family suite</x:v>
      </x:c>
      <x:c r="D208" s="215" t="str">
        <x:v>Perianth</x:v>
      </x:c>
      <x:c r="E208" s="215" t="str">
        <x:v>Three sepals and three petals</x:v>
      </x:c>
      <x:c r="F208" s="215" t="str">
        <x:v>Core</x:v>
      </x:c>
      <x:c r="G208" s="215" t="str">
        <x:v>5</x:v>
      </x:c>
      <x:c r="H208" s="215" t="str">
        <x:v>High</x:v>
      </x:c>
      <x:c r="I208" s="215" t="str">
        <x:v>Naked eye or hand lens</x:v>
      </x:c>
      <x:c r="J208" s="215" t="str">
        <x:v>Fresh flowering</x:v>
      </x:c>
      <x:c r="K208" s="215" t="str">
        <x:v>The flower is built in two whorls of three, typical of monocots.</x:v>
      </x:c>
      <x:c r="L208" s="215" t="str">
        <x:v>Petals may be unequal, reduced, fused at the base, or absent in some lineages; flowers collapse quickly.</x:v>
      </x:c>
      <x:c r="M208" s="215" t="str">
        <x:v>Use with six-stamen pattern and capsule.</x:v>
      </x:c>
      <x:c r="N208" s="215" t="str">
        <x:v>Expected across all current local genera.</x:v>
      </x:c>
      <x:c r="O208" s="215" t="str">
        <x:v>Low</x:v>
      </x:c>
      <x:c r="P208" s="215" t="str">
        <x:v>No</x:v>
      </x:c>
      <x:c r="Q208" s="215" t="str"/>
      <x:c r="R208" s="215" t="str">
        <x:v>COMM-LK01; COMM-LK02</x:v>
      </x:c>
      <x:c r="S208" s="215" t="str">
        <x:v>APWEB-COMM; FNA-COMM; POWO-COMM</x:v>
      </x:c>
      <x:c r="T208" s="215" t="str">
        <x:v>https://mobot.org/MOBOT/research/APWeb/orders/commelinalesweb.htm</x:v>
      </x:c>
      <x:c r="U208" s="215" t="str">
        <x:v>https://floranorthamerica.org/Commelinaceae</x:v>
      </x:c>
      <x:c r="V208" s="215" t="str">
        <x:v>https://powo.science.kew.org/taxon/urn:lsid:ipni.org:names:30000225-2</x:v>
      </x:c>
      <x:c r="W208" s="215" t="str">
        <x:v>https://mobot.org/MOBOT/research/APWeb/orders/commelinalesweb.htm
https://floranorthamerica.org/Commelinaceae
https://powo.science.kew.org/taxon/urn:lsid:ipni.org:names:30000225-2</x:v>
      </x:c>
      <x:c r="X208" s="215" t="str">
        <x:v>No - retain qualifiers and exceptions</x:v>
      </x:c>
      <x:c r="Y208" s="215" t="str">
        <x:v>Yes</x:v>
      </x:c>
      <x:c r="Z208" s="215" t="str">
        <x:v>Source-backed draft</x:v>
      </x:c>
    </x:row>
    <x:row r="209" ht="42" customHeight="1">
      <x:c r="A209" s="215" t="str">
        <x:v>Commelinaceae</x:v>
      </x:c>
      <x:c r="B209" s="215" t="str">
        <x:v>COMM-EPHEMERAL</x:v>
      </x:c>
      <x:c r="C209" s="215" t="str">
        <x:v>Broad family tendency</x:v>
      </x:c>
      <x:c r="D209" s="215" t="str">
        <x:v>Flower</x:v>
      </x:c>
      <x:c r="E209" s="215" t="str">
        <x:v>Petals delicate, deliquescent, and short-lived</x:v>
      </x:c>
      <x:c r="F209" s="215" t="str">
        <x:v>Strong</x:v>
      </x:c>
      <x:c r="G209" s="215" t="str">
        <x:v>3</x:v>
      </x:c>
      <x:c r="H209" s="215" t="str">
        <x:v>High when observed</x:v>
      </x:c>
      <x:c r="I209" s="215" t="str">
        <x:v>Naked eye</x:v>
      </x:c>
      <x:c r="J209" s="215" t="str">
        <x:v>Fresh morning flowers</x:v>
      </x:c>
      <x:c r="K209" s="215" t="str">
        <x:v>Petals commonly wilt into a soft mass rather than drying as a firm papery corolla.</x:v>
      </x:c>
      <x:c r="L209" s="215" t="str">
        <x:v>Weather, handling, and flower age affect the result; a collapsed flower may provide few characters.</x:v>
      </x:c>
      <x:c r="M209" s="215" t="str">
        <x:v>Explains why fresh material or photographs are needed.</x:v>
      </x:c>
      <x:c r="N209" s="215" t="str">
        <x:v>Highly relevant to local dayflowers and spiderworts.</x:v>
      </x:c>
      <x:c r="O209" s="215" t="str">
        <x:v>Low</x:v>
      </x:c>
      <x:c r="P209" s="215" t="str">
        <x:v>No</x:v>
      </x:c>
      <x:c r="Q209" s="215" t="str"/>
      <x:c r="R209" s="215" t="str">
        <x:v>COMM-LK01</x:v>
      </x:c>
      <x:c r="S209" s="215" t="str">
        <x:v>APWEB-COMM; FNA-COMM; POWO-COMM</x:v>
      </x:c>
      <x:c r="T209" s="215" t="str">
        <x:v>https://mobot.org/MOBOT/research/APWeb/orders/commelinalesweb.htm</x:v>
      </x:c>
      <x:c r="U209" s="215" t="str">
        <x:v>https://floranorthamerica.org/Commelinaceae</x:v>
      </x:c>
      <x:c r="V209" s="215" t="str">
        <x:v>https://powo.science.kew.org/taxon/urn:lsid:ipni.org:names:30000225-2</x:v>
      </x:c>
      <x:c r="W209" s="215" t="str">
        <x:v>https://mobot.org/MOBOT/research/APWeb/orders/commelinalesweb.htm
https://floranorthamerica.org/Commelinaceae
https://powo.science.kew.org/taxon/urn:lsid:ipni.org:names:30000225-2</x:v>
      </x:c>
      <x:c r="X209" s="215" t="str">
        <x:v>No - retain qualifiers and exceptions</x:v>
      </x:c>
      <x:c r="Y209" s="215" t="str">
        <x:v>Yes</x:v>
      </x:c>
      <x:c r="Z209" s="215" t="str">
        <x:v>Source-backed draft</x:v>
      </x:c>
    </x:row>
    <x:row r="210" ht="42" customHeight="1">
      <x:c r="A210" s="215" t="str">
        <x:v>Commelinaceae</x:v>
      </x:c>
      <x:c r="B210" s="215" t="str">
        <x:v>COMM-STAMENS</x:v>
      </x:c>
      <x:c r="C210" s="215" t="str">
        <x:v>Broad family suite</x:v>
      </x:c>
      <x:c r="D210" s="215" t="str">
        <x:v>Androecium</x:v>
      </x:c>
      <x:c r="E210" s="215" t="str">
        <x:v>Six stamens in two whorls, with some often sterile or unequal</x:v>
      </x:c>
      <x:c r="F210" s="215" t="str">
        <x:v>Strong</x:v>
      </x:c>
      <x:c r="G210" s="215" t="str">
        <x:v>4</x:v>
      </x:c>
      <x:c r="H210" s="215" t="str">
        <x:v>Variable</x:v>
      </x:c>
      <x:c r="I210" s="215" t="str">
        <x:v>Hand lens</x:v>
      </x:c>
      <x:c r="J210" s="215" t="str">
        <x:v>Fresh flowering</x:v>
      </x:c>
      <x:c r="K210" s="215" t="str">
        <x:v>A flower may show a mixture of fertile stamens and staminodes, sometimes with conspicuous hairs or colored anthers.</x:v>
      </x:c>
      <x:c r="L210" s="215" t="str">
        <x:v>Number of fertile stamens varies among genera and can be obscured by collapsed petals.</x:v>
      </x:c>
      <x:c r="M210" s="215" t="str">
        <x:v>A powerful genus-route character after the 3+3 perianth is confirmed.</x:v>
      </x:c>
      <x:c r="N210" s="215" t="str">
        <x:v>Commelina commonly has fertile stamens plus staminodes; Tradescantia usually presents six fertile stamens.</x:v>
      </x:c>
      <x:c r="O210" s="215" t="str">
        <x:v>Low</x:v>
      </x:c>
      <x:c r="P210" s="215" t="str">
        <x:v>No</x:v>
      </x:c>
      <x:c r="Q210" s="215" t="str"/>
      <x:c r="R210" s="215" t="str">
        <x:v>COMM-LK01</x:v>
      </x:c>
      <x:c r="S210" s="215" t="str">
        <x:v>APWEB-COMM; FNA-COMM; POWO-COMM</x:v>
      </x:c>
      <x:c r="T210" s="215" t="str">
        <x:v>https://mobot.org/MOBOT/research/APWeb/orders/commelinalesweb.htm</x:v>
      </x:c>
      <x:c r="U210" s="215" t="str">
        <x:v>https://floranorthamerica.org/Commelinaceae</x:v>
      </x:c>
      <x:c r="V210" s="215" t="str">
        <x:v>https://powo.science.kew.org/taxon/urn:lsid:ipni.org:names:30000225-2</x:v>
      </x:c>
      <x:c r="W210" s="215" t="str">
        <x:v>https://mobot.org/MOBOT/research/APWeb/orders/commelinalesweb.htm
https://floranorthamerica.org/Commelinaceae
https://powo.science.kew.org/taxon/urn:lsid:ipni.org:names:30000225-2</x:v>
      </x:c>
      <x:c r="X210" s="215" t="str">
        <x:v>No - retain qualifiers and exceptions</x:v>
      </x:c>
      <x:c r="Y210" s="215" t="str">
        <x:v>Yes</x:v>
      </x:c>
      <x:c r="Z210" s="215" t="str">
        <x:v>Source-backed draft</x:v>
      </x:c>
    </x:row>
    <x:row r="211" ht="42" customHeight="1">
      <x:c r="A211" s="215" t="str">
        <x:v>Commelinaceae</x:v>
      </x:c>
      <x:c r="B211" s="215" t="str">
        <x:v>COMM-FILAMENT</x:v>
      </x:c>
      <x:c r="C211" s="215" t="str">
        <x:v>Broad family tendency</x:v>
      </x:c>
      <x:c r="D211" s="215" t="str">
        <x:v>Androecium</x:v>
      </x:c>
      <x:c r="E211" s="215" t="str">
        <x:v>Filaments often hairy or bearded</x:v>
      </x:c>
      <x:c r="F211" s="215" t="str">
        <x:v>Supporting</x:v>
      </x:c>
      <x:c r="G211" s="215" t="str">
        <x:v>3</x:v>
      </x:c>
      <x:c r="H211" s="215" t="str">
        <x:v>Moderate</x:v>
      </x:c>
      <x:c r="I211" s="215" t="str">
        <x:v>Hand lens or macro photograph</x:v>
      </x:c>
      <x:c r="J211" s="215" t="str">
        <x:v>Fresh flowering</x:v>
      </x:c>
      <x:c r="K211" s="215" t="str">
        <x:v>Colored or moniliform hairs may cover the filaments and become conspicuous at close range.</x:v>
      </x:c>
      <x:c r="L211" s="215" t="str">
        <x:v>Hairiness varies and may be absent; water or wilt can mat the hairs.</x:v>
      </x:c>
      <x:c r="M211" s="215" t="str">
        <x:v>Supports Commelinaceae and helps separate local genera.</x:v>
      </x:c>
      <x:c r="N211" s="215" t="str">
        <x:v>Especially visible in Tradescantia and Tinantia.</x:v>
      </x:c>
      <x:c r="O211" s="215" t="str">
        <x:v>Low</x:v>
      </x:c>
      <x:c r="P211" s="215" t="str">
        <x:v>No</x:v>
      </x:c>
      <x:c r="Q211" s="215" t="str"/>
      <x:c r="R211" s="215" t="str">
        <x:v>COMM-LK01</x:v>
      </x:c>
      <x:c r="S211" s="215" t="str">
        <x:v>APWEB-COMM; FNA-COMM; POWO-COMM</x:v>
      </x:c>
      <x:c r="T211" s="215" t="str">
        <x:v>https://mobot.org/MOBOT/research/APWeb/orders/commelinalesweb.htm</x:v>
      </x:c>
      <x:c r="U211" s="215" t="str">
        <x:v>https://floranorthamerica.org/Commelinaceae</x:v>
      </x:c>
      <x:c r="V211" s="215" t="str">
        <x:v>https://powo.science.kew.org/taxon/urn:lsid:ipni.org:names:30000225-2</x:v>
      </x:c>
      <x:c r="W211" s="215" t="str">
        <x:v>https://mobot.org/MOBOT/research/APWeb/orders/commelinalesweb.htm
https://floranorthamerica.org/Commelinaceae
https://powo.science.kew.org/taxon/urn:lsid:ipni.org:names:30000225-2</x:v>
      </x:c>
      <x:c r="X211" s="215" t="str">
        <x:v>No - retain qualifiers and exceptions</x:v>
      </x:c>
      <x:c r="Y211" s="215" t="str">
        <x:v>Yes</x:v>
      </x:c>
      <x:c r="Z211" s="215" t="str">
        <x:v>Source-backed draft</x:v>
      </x:c>
    </x:row>
    <x:row r="212" ht="42" customHeight="1">
      <x:c r="A212" s="215" t="str">
        <x:v>Commelinaceae</x:v>
      </x:c>
      <x:c r="B212" s="215" t="str">
        <x:v>COMM-OVARY</x:v>
      </x:c>
      <x:c r="C212" s="215" t="str">
        <x:v>Broad family suite</x:v>
      </x:c>
      <x:c r="D212" s="215" t="str">
        <x:v>Gynoecium</x:v>
      </x:c>
      <x:c r="E212" s="215" t="str">
        <x:v>Ovary superior, usually 2-3 locular, with axile placentation</x:v>
      </x:c>
      <x:c r="F212" s="215" t="str">
        <x:v>Strong</x:v>
      </x:c>
      <x:c r="G212" s="215" t="str">
        <x:v>4</x:v>
      </x:c>
      <x:c r="H212" s="215" t="str">
        <x:v>Moderate</x:v>
      </x:c>
      <x:c r="I212" s="215" t="str">
        <x:v>Hand lens or dissection</x:v>
      </x:c>
      <x:c r="J212" s="215" t="str">
        <x:v>Flowering to young fruit</x:v>
      </x:c>
      <x:c r="K212" s="215" t="str">
        <x:v>The ovary sits above the flower base and contains two or three seed chambers.</x:v>
      </x:c>
      <x:c r="L212" s="215" t="str">
        <x:v>Locule number, fertility, and ovule number vary; internal structure requires dissection.</x:v>
      </x:c>
      <x:c r="M212" s="215" t="str">
        <x:v>Supports the family after the monocot flower pattern is established.</x:v>
      </x:c>
      <x:c r="N212" s="215" t="str">
        <x:v>Expected across local genera.</x:v>
      </x:c>
      <x:c r="O212" s="215" t="str">
        <x:v>Low</x:v>
      </x:c>
      <x:c r="P212" s="215" t="str">
        <x:v>No</x:v>
      </x:c>
      <x:c r="Q212" s="215" t="str"/>
      <x:c r="R212" s="215" t="str">
        <x:v>COMM-LK01</x:v>
      </x:c>
      <x:c r="S212" s="215" t="str">
        <x:v>APWEB-COMM; FNA-COMM; POWO-COMM</x:v>
      </x:c>
      <x:c r="T212" s="215" t="str">
        <x:v>https://mobot.org/MOBOT/research/APWeb/orders/commelinalesweb.htm</x:v>
      </x:c>
      <x:c r="U212" s="215" t="str">
        <x:v>https://floranorthamerica.org/Commelinaceae</x:v>
      </x:c>
      <x:c r="V212" s="215" t="str">
        <x:v>https://powo.science.kew.org/taxon/urn:lsid:ipni.org:names:30000225-2</x:v>
      </x:c>
      <x:c r="W212" s="215" t="str">
        <x:v>https://mobot.org/MOBOT/research/APWeb/orders/commelinalesweb.htm
https://floranorthamerica.org/Commelinaceae
https://powo.science.kew.org/taxon/urn:lsid:ipni.org:names:30000225-2</x:v>
      </x:c>
      <x:c r="X212" s="215" t="str">
        <x:v>No - retain qualifiers and exceptions</x:v>
      </x:c>
      <x:c r="Y212" s="215" t="str">
        <x:v>Yes</x:v>
      </x:c>
      <x:c r="Z212" s="215" t="str">
        <x:v>Source-backed draft</x:v>
      </x:c>
    </x:row>
    <x:row r="213" ht="42" customHeight="1">
      <x:c r="A213" s="215" t="str">
        <x:v>Commelinaceae</x:v>
      </x:c>
      <x:c r="B213" s="215" t="str">
        <x:v>COMM-CAPSULE</x:v>
      </x:c>
      <x:c r="C213" s="215" t="str">
        <x:v>Broad family suite</x:v>
      </x:c>
      <x:c r="D213" s="215" t="str">
        <x:v>Fruit</x:v>
      </x:c>
      <x:c r="E213" s="215" t="str">
        <x:v>Loculicidal capsule, usually with a few seeds</x:v>
      </x:c>
      <x:c r="F213" s="215" t="str">
        <x:v>Core</x:v>
      </x:c>
      <x:c r="G213" s="215" t="str">
        <x:v>5</x:v>
      </x:c>
      <x:c r="H213" s="215" t="str">
        <x:v>High</x:v>
      </x:c>
      <x:c r="I213" s="215" t="str">
        <x:v>Hand lens</x:v>
      </x:c>
      <x:c r="J213" s="215" t="str">
        <x:v>Mature fruit</x:v>
      </x:c>
      <x:c r="K213" s="215" t="str">
        <x:v>The dry fruit splits through the backs of its locules into valves.</x:v>
      </x:c>
      <x:c r="L213" s="215" t="str">
        <x:v>Some locules may be sterile or indehiscent; old capsules may already have fallen apart.</x:v>
      </x:c>
      <x:c r="M213" s="215" t="str">
        <x:v>A strong reproductive confirmation.</x:v>
      </x:c>
      <x:c r="N213" s="215" t="str">
        <x:v>Useful across all current local taxa.</x:v>
      </x:c>
      <x:c r="O213" s="215" t="str">
        <x:v>Low</x:v>
      </x:c>
      <x:c r="P213" s="215" t="str">
        <x:v>No</x:v>
      </x:c>
      <x:c r="Q213" s="215" t="str"/>
      <x:c r="R213" s="215" t="str">
        <x:v>COMM-LK01; COMM-LK02</x:v>
      </x:c>
      <x:c r="S213" s="215" t="str">
        <x:v>APWEB-COMM; FNA-COMM; POWO-COMM</x:v>
      </x:c>
      <x:c r="T213" s="215" t="str">
        <x:v>https://mobot.org/MOBOT/research/APWeb/orders/commelinalesweb.htm</x:v>
      </x:c>
      <x:c r="U213" s="215" t="str">
        <x:v>https://floranorthamerica.org/Commelinaceae</x:v>
      </x:c>
      <x:c r="V213" s="215" t="str">
        <x:v>https://powo.science.kew.org/taxon/urn:lsid:ipni.org:names:30000225-2</x:v>
      </x:c>
      <x:c r="W213" s="215" t="str">
        <x:v>https://mobot.org/MOBOT/research/APWeb/orders/commelinalesweb.htm
https://floranorthamerica.org/Commelinaceae
https://powo.science.kew.org/taxon/urn:lsid:ipni.org:names:30000225-2</x:v>
      </x:c>
      <x:c r="X213" s="215" t="str">
        <x:v>No - retain qualifiers and exceptions</x:v>
      </x:c>
      <x:c r="Y213" s="215" t="str">
        <x:v>Yes</x:v>
      </x:c>
      <x:c r="Z213" s="215" t="str">
        <x:v>Source-backed draft</x:v>
      </x:c>
    </x:row>
    <x:row r="214" ht="42" customHeight="1">
      <x:c r="A214" s="215" t="str">
        <x:v>Commelinaceae</x:v>
      </x:c>
      <x:c r="B214" s="215" t="str">
        <x:v>COMM-EMBRYOTEGA</x:v>
      </x:c>
      <x:c r="C214" s="215" t="str">
        <x:v>Broad family tendency</x:v>
      </x:c>
      <x:c r="D214" s="215" t="str">
        <x:v>Seed</x:v>
      </x:c>
      <x:c r="E214" s="215" t="str">
        <x:v>Seed with a distinct embryotega or caplike area</x:v>
      </x:c>
      <x:c r="F214" s="215" t="str">
        <x:v>Strong</x:v>
      </x:c>
      <x:c r="G214" s="215" t="str">
        <x:v>3</x:v>
      </x:c>
      <x:c r="H214" s="215" t="str">
        <x:v>High when visible</x:v>
      </x:c>
      <x:c r="I214" s="215" t="str">
        <x:v>Hand lens or microscope</x:v>
      </x:c>
      <x:c r="J214" s="215" t="str">
        <x:v>Mature seed</x:v>
      </x:c>
      <x:c r="K214" s="215" t="str">
        <x:v>A small, often contrasting cap or area marks the position of the embryo on the seed coat.</x:v>
      </x:c>
      <x:c r="L214" s="215" t="str">
        <x:v>It is too small for routine field recognition and surface patterns vary.</x:v>
      </x:c>
      <x:c r="M214" s="215" t="str">
        <x:v>Microscopic confirmation for vouchers or difficult fragments.</x:v>
      </x:c>
      <x:c r="N214" s="215" t="str">
        <x:v>Potentially useful in genus and species matrices.</x:v>
      </x:c>
      <x:c r="O214" s="215" t="str">
        <x:v>Low</x:v>
      </x:c>
      <x:c r="P214" s="215" t="str">
        <x:v>No</x:v>
      </x:c>
      <x:c r="Q214" s="215" t="str"/>
      <x:c r="R214" s="215" t="str"/>
      <x:c r="S214" s="215" t="str">
        <x:v>APWEB-COMM; FNA-COMM; POWO-COMM</x:v>
      </x:c>
      <x:c r="T214" s="215" t="str">
        <x:v>https://mobot.org/MOBOT/research/APWeb/orders/commelinalesweb.htm</x:v>
      </x:c>
      <x:c r="U214" s="215" t="str">
        <x:v>https://floranorthamerica.org/Commelinaceae</x:v>
      </x:c>
      <x:c r="V214" s="215" t="str">
        <x:v>https://powo.science.kew.org/taxon/urn:lsid:ipni.org:names:30000225-2</x:v>
      </x:c>
      <x:c r="W214" s="215" t="str">
        <x:v>https://mobot.org/MOBOT/research/APWeb/orders/commelinalesweb.htm
https://floranorthamerica.org/Commelinaceae
https://powo.science.kew.org/taxon/urn:lsid:ipni.org:names:30000225-2</x:v>
      </x:c>
      <x:c r="X214" s="215" t="str">
        <x:v>No - retain qualifiers and exceptions</x:v>
      </x:c>
      <x:c r="Y214" s="215" t="str">
        <x:v>Yes</x:v>
      </x:c>
      <x:c r="Z214" s="215" t="str">
        <x:v>Source-backed draft</x:v>
      </x:c>
    </x:row>
    <x:row r="215" ht="42" customHeight="1">
      <x:c r="A215" s="215" t="str">
        <x:v>Commelinaceae</x:v>
      </x:c>
      <x:c r="B215" s="215" t="str">
        <x:v>COMM-COMMELINA</x:v>
      </x:c>
      <x:c r="C215" s="215" t="str">
        <x:v>Local subgroup: Commelina</x:v>
      </x:c>
      <x:c r="D215" s="215" t="str">
        <x:v>Inflorescence and stamens</x:v>
      </x:c>
      <x:c r="E215" s="215" t="str">
        <x:v>Folded spathe enclosing cymes; petals unequal; fertile stamens mixed with staminodes</x:v>
      </x:c>
      <x:c r="F215" s="215" t="str">
        <x:v>Subgroup</x:v>
      </x:c>
      <x:c r="G215" s="215" t="str">
        <x:v>5</x:v>
      </x:c>
      <x:c r="H215" s="215" t="str">
        <x:v>High</x:v>
      </x:c>
      <x:c r="I215" s="215" t="str">
        <x:v>Naked eye plus hand lens</x:v>
      </x:c>
      <x:c r="J215" s="215" t="str">
        <x:v>Fresh flowering</x:v>
      </x:c>
      <x:c r="K215" s="215" t="str">
        <x:v>A boat-shaped or folded bract surrounds the flower cluster, and the flower often has two large colored petals plus a smaller third petal.</x:v>
      </x:c>
      <x:c r="L215" s="215" t="str">
        <x:v>Spathe shape and fusion differ by species; flowers are short-lived.</x:v>
      </x:c>
      <x:c r="M215" s="215" t="str">
        <x:v>Strongly separates local Commelina from Tradescantia and Tinantia.</x:v>
      </x:c>
      <x:c r="N215" s="215" t="str">
        <x:v>Directly relevant to Commelina erecta and its listed infraspecific forms.</x:v>
      </x:c>
      <x:c r="O215" s="215" t="str">
        <x:v>Low</x:v>
      </x:c>
      <x:c r="P215" s="215" t="str">
        <x:v>No</x:v>
      </x:c>
      <x:c r="Q215" s="215" t="str"/>
      <x:c r="R215" s="215" t="str">
        <x:v>COMM-LK01</x:v>
      </x:c>
      <x:c r="S215" s="215" t="str">
        <x:v>FNA-COMM; APWEB-COMM; POWO-COMM</x:v>
      </x:c>
      <x:c r="T215" s="215" t="str">
        <x:v>https://mobot.org/MOBOT/research/APWeb/orders/commelinalesweb.htm</x:v>
      </x:c>
      <x:c r="U215" s="215" t="str">
        <x:v>https://floranorthamerica.org/Commelinaceae</x:v>
      </x:c>
      <x:c r="V215" s="215" t="str">
        <x:v>https://powo.science.kew.org/taxon/urn:lsid:ipni.org:names:30000225-2</x:v>
      </x:c>
      <x:c r="W215" s="215" t="str">
        <x:v>https://floranorthamerica.org/Commelinaceae
https://mobot.org/MOBOT/research/APWeb/orders/commelinalesweb.htm
https://powo.science.kew.org/taxon/urn:lsid:ipni.org:names:30000225-2</x:v>
      </x:c>
      <x:c r="X215" s="215" t="str">
        <x:v>No - retain qualifiers and exceptions</x:v>
      </x:c>
      <x:c r="Y215" s="215" t="str">
        <x:v>Yes</x:v>
      </x:c>
      <x:c r="Z215" s="215" t="str">
        <x:v>Source-backed draft</x:v>
      </x:c>
    </x:row>
    <x:row r="216" ht="42" customHeight="1">
      <x:c r="A216" s="215" t="str">
        <x:v>Commelinaceae</x:v>
      </x:c>
      <x:c r="B216" s="215" t="str">
        <x:v>COMM-TRAD-TIN</x:v>
      </x:c>
      <x:c r="C216" s="215" t="str">
        <x:v>Local subgroup: Tradescantia and Tinantia</x:v>
      </x:c>
      <x:c r="D216" s="215" t="str">
        <x:v>Flower and inflorescence</x:v>
      </x:c>
      <x:c r="E216" s="215" t="str">
        <x:v>Three more similar petals; conspicuous hairy filaments; no enclosing Commelina-type folded spathe</x:v>
      </x:c>
      <x:c r="F216" s="215" t="str">
        <x:v>Subgroup</x:v>
      </x:c>
      <x:c r="G216" s="215" t="str">
        <x:v>5</x:v>
      </x:c>
      <x:c r="H216" s="215" t="str">
        <x:v>Moderate to high</x:v>
      </x:c>
      <x:c r="I216" s="215" t="str">
        <x:v>Naked eye plus hand lens</x:v>
      </x:c>
      <x:c r="J216" s="215" t="str">
        <x:v>Fresh flowering</x:v>
      </x:c>
      <x:c r="K216" s="215" t="str">
        <x:v>These local genera show more open flowers and conspicuous stamen hairs rather than the classic dayflower spathe-and-unequal-petal form.</x:v>
      </x:c>
      <x:c r="L216" s="215" t="str">
        <x:v>Tinantia and Tradescantia still differ in inflorescence, sepal, petal, and stamen details.</x:v>
      </x:c>
      <x:c r="M216" s="215" t="str">
        <x:v>Provides a local branch point; a genus matrix is still required.</x:v>
      </x:c>
      <x:c r="N216" s="215" t="str">
        <x:v>Applies to Tinantia anomala and seven Tradescantia rows.</x:v>
      </x:c>
      <x:c r="O216" s="215" t="str">
        <x:v>Moderate</x:v>
      </x:c>
      <x:c r="P216" s="215" t="str">
        <x:v>Yes</x:v>
      </x:c>
      <x:c r="Q216" s="215" t="str">
        <x:v>Validate the smallest dependable Tinantia-versus-Tradescantia characters.</x:v>
      </x:c>
      <x:c r="R216" s="215" t="str">
        <x:v>COMM-LK01</x:v>
      </x:c>
      <x:c r="S216" s="215" t="str">
        <x:v>FNA-COMM; APWEB-COMM; POWO-COMM</x:v>
      </x:c>
      <x:c r="T216" s="215" t="str">
        <x:v>https://mobot.org/MOBOT/research/APWeb/orders/commelinalesweb.htm</x:v>
      </x:c>
      <x:c r="U216" s="215" t="str">
        <x:v>https://floranorthamerica.org/Commelinaceae</x:v>
      </x:c>
      <x:c r="V216" s="215" t="str">
        <x:v>https://powo.science.kew.org/taxon/urn:lsid:ipni.org:names:30000225-2</x:v>
      </x:c>
      <x:c r="W216" s="215" t="str">
        <x:v>https://floranorthamerica.org/Commelinaceae
https://mobot.org/MOBOT/research/APWeb/orders/commelinalesweb.htm
https://powo.science.kew.org/taxon/urn:lsid:ipni.org:names:30000225-2</x:v>
      </x:c>
      <x:c r="X216" s="215" t="str">
        <x:v>No - retain qualifiers and exceptions</x:v>
      </x:c>
      <x:c r="Y216" s="215" t="str">
        <x:v>Yes</x:v>
      </x:c>
      <x:c r="Z216" s="215" t="str">
        <x:v>Human review required</x:v>
      </x:c>
    </x:row>
    <x:row r="217" ht="42" customHeight="1">
      <x:c r="A217" s="215" t="str">
        <x:v>Rosaceae</x:v>
      </x:c>
      <x:c r="B217" s="215" t="str">
        <x:v>ROS-HETERO</x:v>
      </x:c>
      <x:c r="C217" s="215" t="str">
        <x:v>Family-wide</x:v>
      </x:c>
      <x:c r="D217" s="215" t="str">
        <x:v>Whole plant</x:v>
      </x:c>
      <x:c r="E217" s="215" t="str">
        <x:v>Family morphology is highly heterogeneous</x:v>
      </x:c>
      <x:c r="F217" s="215" t="str">
        <x:v>Caution</x:v>
      </x:c>
      <x:c r="G217" s="215" t="str">
        <x:v>0</x:v>
      </x:c>
      <x:c r="H217" s="215" t="str">
        <x:v>High</x:v>
      </x:c>
      <x:c r="I217" s="215" t="str">
        <x:v>Naked eye</x:v>
      </x:c>
      <x:c r="J217" s="215" t="str">
        <x:v>Any</x:v>
      </x:c>
      <x:c r="K217" s="215" t="str">
        <x:v>Rosaceae includes herbs, shrubs, and trees with drupes, pomes, aggregate fruits, achenes, and follicles.</x:v>
      </x:c>
      <x:c r="L217" s="215" t="str">
        <x:v>No single leaf type, stamen count, carpel count, ovary position, or fruit type covers the whole family.</x:v>
      </x:c>
      <x:c r="M217" s="215" t="str">
        <x:v>The key must use a hypanthium plus a reproductive subgroup route.</x:v>
      </x:c>
      <x:c r="N217" s="215" t="str">
        <x:v>The local snapshot spans Geum, Malus, Prunus, and Rubus, four very different forms.</x:v>
      </x:c>
      <x:c r="O217" s="215" t="str">
        <x:v>Low</x:v>
      </x:c>
      <x:c r="P217" s="215" t="str">
        <x:v>No</x:v>
      </x:c>
      <x:c r="Q217" s="215" t="str"/>
      <x:c r="R217" s="215" t="str">
        <x:v>ROS-LK01; ROS-LK02</x:v>
      </x:c>
      <x:c r="S217" s="215" t="str">
        <x:v>APWEB-ROS; FNA-ROS; POWO-ROS</x:v>
      </x:c>
      <x:c r="T217" s="215" t="str">
        <x:v>https://www.mobot.org/mobot/research/APWeb/orders/rosalesweb.htm</x:v>
      </x:c>
      <x:c r="U217" s="215" t="str">
        <x:v>https://floranorthamerica.org/Rosaceae</x:v>
      </x:c>
      <x:c r="V217" s="215" t="str">
        <x:v>https://powo.science.kew.org/taxon/urn:lsid:ipni.org:names:30000200-2</x:v>
      </x:c>
      <x:c r="W217" s="215" t="str">
        <x:v>https://www.mobot.org/mobot/research/APWeb/orders/rosalesweb.htm
https://floranorthamerica.org/Rosaceae
https://powo.science.kew.org/taxon/urn:lsid:ipni.org:names:30000200-2</x:v>
      </x:c>
      <x:c r="X217" s="215" t="str">
        <x:v>No - retain qualifiers and exceptions</x:v>
      </x:c>
      <x:c r="Y217" s="215" t="str">
        <x:v>Yes</x:v>
      </x:c>
      <x:c r="Z217" s="215" t="str">
        <x:v>Source-backed draft</x:v>
      </x:c>
    </x:row>
    <x:row r="218" ht="42" customHeight="1">
      <x:c r="A218" s="215" t="str">
        <x:v>Rosaceae</x:v>
      </x:c>
      <x:c r="B218" s="215" t="str">
        <x:v>ROS-LEAF</x:v>
      </x:c>
      <x:c r="C218" s="215" t="str">
        <x:v>Broad family tendency</x:v>
      </x:c>
      <x:c r="D218" s="215" t="str">
        <x:v>Leaf</x:v>
      </x:c>
      <x:c r="E218" s="215" t="str">
        <x:v>Leaves usually alternate, often toothed, and commonly stipulate</x:v>
      </x:c>
      <x:c r="F218" s="215" t="str">
        <x:v>Supporting</x:v>
      </x:c>
      <x:c r="G218" s="215" t="str">
        <x:v>3</x:v>
      </x:c>
      <x:c r="H218" s="215" t="str">
        <x:v>Variable</x:v>
      </x:c>
      <x:c r="I218" s="215" t="str">
        <x:v>Naked eye or hand lens</x:v>
      </x:c>
      <x:c r="J218" s="215" t="str">
        <x:v>Vegetative</x:v>
      </x:c>
      <x:c r="K218" s="215" t="str">
        <x:v>Many members have one leaf per node, serrated margins, and paired stipules at the leaf base.</x:v>
      </x:c>
      <x:c r="L218" s="215" t="str">
        <x:v>Leaves may be opposite, entire, compound, or stipules may be tiny or fall early; unrelated families share these traits.</x:v>
      </x:c>
      <x:c r="M218" s="215" t="str">
        <x:v>A useful supporting suite only.</x:v>
      </x:c>
      <x:c r="N218" s="215" t="str">
        <x:v>Strong in local Rubus and Geum; stipules may be subtle in Prunus and Malus.</x:v>
      </x:c>
      <x:c r="O218" s="215" t="str">
        <x:v>Low</x:v>
      </x:c>
      <x:c r="P218" s="215" t="str">
        <x:v>No</x:v>
      </x:c>
      <x:c r="Q218" s="215" t="str"/>
      <x:c r="R218" s="215" t="str">
        <x:v>ROS-LK01; ROS-LK02</x:v>
      </x:c>
      <x:c r="S218" s="215" t="str">
        <x:v>APWEB-ROS; FNA-ROS; POWO-ROS</x:v>
      </x:c>
      <x:c r="T218" s="215" t="str">
        <x:v>https://www.mobot.org/mobot/research/APWeb/orders/rosalesweb.htm</x:v>
      </x:c>
      <x:c r="U218" s="215" t="str">
        <x:v>https://floranorthamerica.org/Rosaceae</x:v>
      </x:c>
      <x:c r="V218" s="215" t="str">
        <x:v>https://powo.science.kew.org/taxon/urn:lsid:ipni.org:names:30000200-2</x:v>
      </x:c>
      <x:c r="W218" s="215" t="str">
        <x:v>https://www.mobot.org/mobot/research/APWeb/orders/rosalesweb.htm
https://floranorthamerica.org/Rosaceae
https://powo.science.kew.org/taxon/urn:lsid:ipni.org:names:30000200-2</x:v>
      </x:c>
      <x:c r="X218" s="215" t="str">
        <x:v>No - retain qualifiers and exceptions</x:v>
      </x:c>
      <x:c r="Y218" s="215" t="str">
        <x:v>Yes</x:v>
      </x:c>
      <x:c r="Z218" s="215" t="str">
        <x:v>Source-backed draft</x:v>
      </x:c>
    </x:row>
    <x:row r="219" ht="42" customHeight="1">
      <x:c r="A219" s="215" t="str">
        <x:v>Rosaceae</x:v>
      </x:c>
      <x:c r="B219" s="215" t="str">
        <x:v>ROS-HYPANTH</x:v>
      </x:c>
      <x:c r="C219" s="215" t="str">
        <x:v>Broad family suite</x:v>
      </x:c>
      <x:c r="D219" s="215" t="str">
        <x:v>Flower</x:v>
      </x:c>
      <x:c r="E219" s="215" t="str">
        <x:v>Hypanthium or floral cup commonly present</x:v>
      </x:c>
      <x:c r="F219" s="215" t="str">
        <x:v>Core</x:v>
      </x:c>
      <x:c r="G219" s="215" t="str">
        <x:v>5</x:v>
      </x:c>
      <x:c r="H219" s="215" t="str">
        <x:v>Moderate to high</x:v>
      </x:c>
      <x:c r="I219" s="215" t="str">
        <x:v>Naked eye or hand lens; sometimes section</x:v>
      </x:c>
      <x:c r="J219" s="215" t="str">
        <x:v>Flowering</x:v>
      </x:c>
      <x:c r="K219" s="215" t="str">
        <x:v>Sepals, petals, and stamens attach to the rim of a cup, saucer, or tube surrounding or fused to the carpels.</x:v>
      </x:c>
      <x:c r="L219" s="215" t="str">
        <x:v>Shape ranges from shallow to deep and may be fused to an inferior ovary; it can be difficult to see in tiny flowers.</x:v>
      </x:c>
      <x:c r="M219" s="215" t="str">
        <x:v>The most useful unifying family concept when paired with a subgroup fruit route.</x:v>
      </x:c>
      <x:c r="N219" s="215" t="str">
        <x:v>Visible in local Prunus, Rubus, Geum, and Malus, but expressed differently.</x:v>
      </x:c>
      <x:c r="O219" s="215" t="str">
        <x:v>Low</x:v>
      </x:c>
      <x:c r="P219" s="215" t="str">
        <x:v>No</x:v>
      </x:c>
      <x:c r="Q219" s="215" t="str"/>
      <x:c r="R219" s="215" t="str">
        <x:v>ROS-LK01; ROS-LK02</x:v>
      </x:c>
      <x:c r="S219" s="215" t="str">
        <x:v>APWEB-ROS; FNA-ROS; POWO-ROS</x:v>
      </x:c>
      <x:c r="T219" s="215" t="str">
        <x:v>https://www.mobot.org/mobot/research/APWeb/orders/rosalesweb.htm</x:v>
      </x:c>
      <x:c r="U219" s="215" t="str">
        <x:v>https://floranorthamerica.org/Rosaceae</x:v>
      </x:c>
      <x:c r="V219" s="215" t="str">
        <x:v>https://powo.science.kew.org/taxon/urn:lsid:ipni.org:names:30000200-2</x:v>
      </x:c>
      <x:c r="W219" s="215" t="str">
        <x:v>https://www.mobot.org/mobot/research/APWeb/orders/rosalesweb.htm
https://floranorthamerica.org/Rosaceae
https://powo.science.kew.org/taxon/urn:lsid:ipni.org:names:30000200-2</x:v>
      </x:c>
      <x:c r="X219" s="215" t="str">
        <x:v>No - retain qualifiers and exceptions</x:v>
      </x:c>
      <x:c r="Y219" s="215" t="str">
        <x:v>Yes</x:v>
      </x:c>
      <x:c r="Z219" s="215" t="str">
        <x:v>Source-backed draft</x:v>
      </x:c>
    </x:row>
    <x:row r="220" ht="42" customHeight="1">
      <x:c r="A220" s="215" t="str">
        <x:v>Rosaceae</x:v>
      </x:c>
      <x:c r="B220" s="215" t="str">
        <x:v>ROS-PERIANTH</x:v>
      </x:c>
      <x:c r="C220" s="215" t="str">
        <x:v>Broad family tendency</x:v>
      </x:c>
      <x:c r="D220" s="215" t="str">
        <x:v>Perianth</x:v>
      </x:c>
      <x:c r="E220" s="215" t="str">
        <x:v>Usually 5 sepals and 5 free petals</x:v>
      </x:c>
      <x:c r="F220" s="215" t="str">
        <x:v>Strong</x:v>
      </x:c>
      <x:c r="G220" s="215" t="str">
        <x:v>3</x:v>
      </x:c>
      <x:c r="H220" s="215" t="str">
        <x:v>Variable</x:v>
      </x:c>
      <x:c r="I220" s="215" t="str">
        <x:v>Naked eye</x:v>
      </x:c>
      <x:c r="J220" s="215" t="str">
        <x:v>Flowering</x:v>
      </x:c>
      <x:c r="K220" s="215" t="str">
        <x:v>Many familiar rose-family flowers have a five-part calyx and five separate petals.</x:v>
      </x:c>
      <x:c r="L220" s="215" t="str">
        <x:v>Petals can be absent, fewer, or more; flower parts may differ in some lineages.</x:v>
      </x:c>
      <x:c r="M220" s="215" t="str">
        <x:v>Use only with the hypanthium and reproductive structures.</x:v>
      </x:c>
      <x:c r="N220" s="215" t="str">
        <x:v>Applies well to current local genera, though petal size varies.</x:v>
      </x:c>
      <x:c r="O220" s="215" t="str">
        <x:v>Low</x:v>
      </x:c>
      <x:c r="P220" s="215" t="str">
        <x:v>No</x:v>
      </x:c>
      <x:c r="Q220" s="215" t="str"/>
      <x:c r="R220" s="215" t="str">
        <x:v>ROS-LK01; ROS-LK02</x:v>
      </x:c>
      <x:c r="S220" s="215" t="str">
        <x:v>APWEB-ROS; FNA-ROS; POWO-ROS</x:v>
      </x:c>
      <x:c r="T220" s="215" t="str">
        <x:v>https://www.mobot.org/mobot/research/APWeb/orders/rosalesweb.htm</x:v>
      </x:c>
      <x:c r="U220" s="215" t="str">
        <x:v>https://floranorthamerica.org/Rosaceae</x:v>
      </x:c>
      <x:c r="V220" s="215" t="str">
        <x:v>https://powo.science.kew.org/taxon/urn:lsid:ipni.org:names:30000200-2</x:v>
      </x:c>
      <x:c r="W220" s="215" t="str">
        <x:v>https://www.mobot.org/mobot/research/APWeb/orders/rosalesweb.htm
https://floranorthamerica.org/Rosaceae
https://powo.science.kew.org/taxon/urn:lsid:ipni.org:names:30000200-2</x:v>
      </x:c>
      <x:c r="X220" s="215" t="str">
        <x:v>No - retain qualifiers and exceptions</x:v>
      </x:c>
      <x:c r="Y220" s="215" t="str">
        <x:v>Yes</x:v>
      </x:c>
      <x:c r="Z220" s="215" t="str">
        <x:v>Source-backed draft</x:v>
      </x:c>
    </x:row>
    <x:row r="221" ht="42" customHeight="1">
      <x:c r="A221" s="215" t="str">
        <x:v>Rosaceae</x:v>
      </x:c>
      <x:c r="B221" s="215" t="str">
        <x:v>ROS-STAMENS</x:v>
      </x:c>
      <x:c r="C221" s="215" t="str">
        <x:v>Broad family tendency</x:v>
      </x:c>
      <x:c r="D221" s="215" t="str">
        <x:v>Androecium</x:v>
      </x:c>
      <x:c r="E221" s="215" t="str">
        <x:v>Stamens often numerous and attached to the hypanthium rim</x:v>
      </x:c>
      <x:c r="F221" s="215" t="str">
        <x:v>Strong</x:v>
      </x:c>
      <x:c r="G221" s="215" t="str">
        <x:v>4</x:v>
      </x:c>
      <x:c r="H221" s="215" t="str">
        <x:v>Variable</x:v>
      </x:c>
      <x:c r="I221" s="215" t="str">
        <x:v>Naked eye or hand lens</x:v>
      </x:c>
      <x:c r="J221" s="215" t="str">
        <x:v>Flowering</x:v>
      </x:c>
      <x:c r="K221" s="215" t="str">
        <x:v>A ring of many stamens commonly surrounds the carpels.</x:v>
      </x:c>
      <x:c r="L221" s="215" t="str">
        <x:v>Some lineages have only a few stamens; numerous stamens occur in Ranunculaceae, Cactaceae, and other families.</x:v>
      </x:c>
      <x:c r="M221" s="215" t="str">
        <x:v>The attachment to a hypanthium is more informative than the count alone.</x:v>
      </x:c>
      <x:c r="N221" s="215" t="str">
        <x:v>Strong in local Prunus, Rubus, Geum, and Malus.</x:v>
      </x:c>
      <x:c r="O221" s="215" t="str">
        <x:v>Low</x:v>
      </x:c>
      <x:c r="P221" s="215" t="str">
        <x:v>No</x:v>
      </x:c>
      <x:c r="Q221" s="215" t="str"/>
      <x:c r="R221" s="215" t="str">
        <x:v>ROS-LK01</x:v>
      </x:c>
      <x:c r="S221" s="215" t="str">
        <x:v>APWEB-ROS; FNA-ROS; POWO-ROS</x:v>
      </x:c>
      <x:c r="T221" s="215" t="str">
        <x:v>https://www.mobot.org/mobot/research/APWeb/orders/rosalesweb.htm</x:v>
      </x:c>
      <x:c r="U221" s="215" t="str">
        <x:v>https://floranorthamerica.org/Rosaceae</x:v>
      </x:c>
      <x:c r="V221" s="215" t="str">
        <x:v>https://powo.science.kew.org/taxon/urn:lsid:ipni.org:names:30000200-2</x:v>
      </x:c>
      <x:c r="W221" s="215" t="str">
        <x:v>https://www.mobot.org/mobot/research/APWeb/orders/rosalesweb.htm
https://floranorthamerica.org/Rosaceae
https://powo.science.kew.org/taxon/urn:lsid:ipni.org:names:30000200-2</x:v>
      </x:c>
      <x:c r="X221" s="215" t="str">
        <x:v>No - retain qualifiers and exceptions</x:v>
      </x:c>
      <x:c r="Y221" s="215" t="str">
        <x:v>Yes</x:v>
      </x:c>
      <x:c r="Z221" s="215" t="str">
        <x:v>Source-backed draft</x:v>
      </x:c>
    </x:row>
    <x:row r="222" ht="42" customHeight="1">
      <x:c r="A222" s="215" t="str">
        <x:v>Rosaceae</x:v>
      </x:c>
      <x:c r="B222" s="215" t="str">
        <x:v>ROS-OVARY</x:v>
      </x:c>
      <x:c r="C222" s="215" t="str">
        <x:v>Family-wide variation</x:v>
      </x:c>
      <x:c r="D222" s="215" t="str">
        <x:v>Gynoecium</x:v>
      </x:c>
      <x:c r="E222" s="215" t="str">
        <x:v>Ovary position ranges from superior to inferior; carpels from one to many</x:v>
      </x:c>
      <x:c r="F222" s="215" t="str">
        <x:v>Caution</x:v>
      </x:c>
      <x:c r="G222" s="215" t="str">
        <x:v>0</x:v>
      </x:c>
      <x:c r="H222" s="215" t="str">
        <x:v>High</x:v>
      </x:c>
      <x:c r="I222" s="215" t="str">
        <x:v>Hand lens or section</x:v>
      </x:c>
      <x:c r="J222" s="215" t="str">
        <x:v>Flowering to young fruit</x:v>
      </x:c>
      <x:c r="K222" s="215" t="str">
        <x:v>Different rosaceous lineages solve the gynoecium in very different ways.</x:v>
      </x:c>
      <x:c r="L222" s="215" t="str">
        <x:v>A single superior or inferior ovary rule will misidentify major portions of the family.</x:v>
      </x:c>
      <x:c r="M222" s="215" t="str">
        <x:v>Use ovary position and carpel number to choose a subgroup, not to accept or reject Rosaceae.</x:v>
      </x:c>
      <x:c r="N222" s="215" t="str">
        <x:v>Local Prunus has one superior carpel; Rubus/Geum many superior carpels; Malus an inferior compound ovary.</x:v>
      </x:c>
      <x:c r="O222" s="215" t="str">
        <x:v>Low</x:v>
      </x:c>
      <x:c r="P222" s="215" t="str">
        <x:v>No</x:v>
      </x:c>
      <x:c r="Q222" s="215" t="str"/>
      <x:c r="R222" s="215" t="str">
        <x:v>ROS-LK01; ROS-LK02</x:v>
      </x:c>
      <x:c r="S222" s="215" t="str">
        <x:v>APWEB-ROS; FNA-ROS; POWO-ROS</x:v>
      </x:c>
      <x:c r="T222" s="215" t="str">
        <x:v>https://www.mobot.org/mobot/research/APWeb/orders/rosalesweb.htm</x:v>
      </x:c>
      <x:c r="U222" s="215" t="str">
        <x:v>https://floranorthamerica.org/Rosaceae</x:v>
      </x:c>
      <x:c r="V222" s="215" t="str">
        <x:v>https://powo.science.kew.org/taxon/urn:lsid:ipni.org:names:30000200-2</x:v>
      </x:c>
      <x:c r="W222" s="215" t="str">
        <x:v>https://www.mobot.org/mobot/research/APWeb/orders/rosalesweb.htm
https://floranorthamerica.org/Rosaceae
https://powo.science.kew.org/taxon/urn:lsid:ipni.org:names:30000200-2</x:v>
      </x:c>
      <x:c r="X222" s="215" t="str">
        <x:v>No - retain qualifiers and exceptions</x:v>
      </x:c>
      <x:c r="Y222" s="215" t="str">
        <x:v>Yes</x:v>
      </x:c>
      <x:c r="Z222" s="215" t="str">
        <x:v>Source-backed draft</x:v>
      </x:c>
    </x:row>
    <x:row r="223" ht="42" customHeight="1">
      <x:c r="A223" s="215" t="str">
        <x:v>Rosaceae</x:v>
      </x:c>
      <x:c r="B223" s="215" t="str">
        <x:v>ROS-FRUIT</x:v>
      </x:c>
      <x:c r="C223" s="215" t="str">
        <x:v>Family-wide variation</x:v>
      </x:c>
      <x:c r="D223" s="215" t="str">
        <x:v>Fruit</x:v>
      </x:c>
      <x:c r="E223" s="215" t="str">
        <x:v>Fruit type highly variable</x:v>
      </x:c>
      <x:c r="F223" s="215" t="str">
        <x:v>Caution</x:v>
      </x:c>
      <x:c r="G223" s="215" t="str">
        <x:v>0</x:v>
      </x:c>
      <x:c r="H223" s="215" t="str">
        <x:v>High</x:v>
      </x:c>
      <x:c r="I223" s="215" t="str">
        <x:v>Naked eye</x:v>
      </x:c>
      <x:c r="J223" s="215" t="str">
        <x:v>Fruiting</x:v>
      </x:c>
      <x:c r="K223" s="215" t="str">
        <x:v>The family includes drupes, pomes, aggregate drupelets, aggregate achenes, follicles, and other forms.</x:v>
      </x:c>
      <x:c r="L223" s="215" t="str">
        <x:v>No one fruit type defines the family, and accessory tissue may form much of the visible fruit.</x:v>
      </x:c>
      <x:c r="M223" s="215" t="str">
        <x:v>Fruit should route to a lineage after the hypanthium and flower are considered.</x:v>
      </x:c>
      <x:c r="N223" s="215" t="str">
        <x:v>All four major local genera require separate fruit routes.</x:v>
      </x:c>
      <x:c r="O223" s="215" t="str">
        <x:v>Low</x:v>
      </x:c>
      <x:c r="P223" s="215" t="str">
        <x:v>No</x:v>
      </x:c>
      <x:c r="Q223" s="215" t="str"/>
      <x:c r="R223" s="215" t="str">
        <x:v>ROS-LK01; ROS-LK02</x:v>
      </x:c>
      <x:c r="S223" s="215" t="str">
        <x:v>APWEB-ROS; FNA-ROS; POWO-ROS</x:v>
      </x:c>
      <x:c r="T223" s="215" t="str">
        <x:v>https://www.mobot.org/mobot/research/APWeb/orders/rosalesweb.htm</x:v>
      </x:c>
      <x:c r="U223" s="215" t="str">
        <x:v>https://floranorthamerica.org/Rosaceae</x:v>
      </x:c>
      <x:c r="V223" s="215" t="str">
        <x:v>https://powo.science.kew.org/taxon/urn:lsid:ipni.org:names:30000200-2</x:v>
      </x:c>
      <x:c r="W223" s="215" t="str">
        <x:v>https://www.mobot.org/mobot/research/APWeb/orders/rosalesweb.htm
https://floranorthamerica.org/Rosaceae
https://powo.science.kew.org/taxon/urn:lsid:ipni.org:names:30000200-2</x:v>
      </x:c>
      <x:c r="X223" s="215" t="str">
        <x:v>No - retain qualifiers and exceptions</x:v>
      </x:c>
      <x:c r="Y223" s="215" t="str">
        <x:v>Yes</x:v>
      </x:c>
      <x:c r="Z223" s="215" t="str">
        <x:v>Source-backed draft</x:v>
      </x:c>
    </x:row>
    <x:row r="224" ht="42" customHeight="1">
      <x:c r="A224" s="215" t="str">
        <x:v>Rosaceae</x:v>
      </x:c>
      <x:c r="B224" s="215" t="str">
        <x:v>ROS-PRUNUS</x:v>
      </x:c>
      <x:c r="C224" s="215" t="str">
        <x:v>Local subgroup: Prunus</x:v>
      </x:c>
      <x:c r="D224" s="215" t="str">
        <x:v>Flower and fruit</x:v>
      </x:c>
      <x:c r="E224" s="215" t="str">
        <x:v>One superior carpel matures as a drupe with a hard stone</x:v>
      </x:c>
      <x:c r="F224" s="215" t="str">
        <x:v>Subgroup</x:v>
      </x:c>
      <x:c r="G224" s="215" t="str">
        <x:v>5</x:v>
      </x:c>
      <x:c r="H224" s="215" t="str">
        <x:v>High</x:v>
      </x:c>
      <x:c r="I224" s="215" t="str">
        <x:v>Naked eye plus hand lens</x:v>
      </x:c>
      <x:c r="J224" s="215" t="str">
        <x:v>Flowering and fruiting</x:v>
      </x:c>
      <x:c r="K224" s="215" t="str">
        <x:v>The flower has one pistil inside a hypanthium, and the fruit becomes a one-stoned cherry or plum.</x:v>
      </x:c>
      <x:c r="L224" s="215" t="str">
        <x:v>Double fruits, aborted stones, and malformed fruit occur; flowers alone can resemble other Rosaceae.</x:v>
      </x:c>
      <x:c r="M224" s="215" t="str">
        <x:v>Strongly routes local cherries and plums to Prunus.</x:v>
      </x:c>
      <x:c r="N224" s="215" t="str">
        <x:v>Applies to six Prunus rows in the local snapshot.</x:v>
      </x:c>
      <x:c r="O224" s="215" t="str">
        <x:v>Low</x:v>
      </x:c>
      <x:c r="P224" s="215" t="str">
        <x:v>No</x:v>
      </x:c>
      <x:c r="Q224" s="215" t="str"/>
      <x:c r="R224" s="215" t="str">
        <x:v>ROS-LK02</x:v>
      </x:c>
      <x:c r="S224" s="215" t="str">
        <x:v>FNA-ROS; APWEB-ROS; POWO-ROS</x:v>
      </x:c>
      <x:c r="T224" s="215" t="str">
        <x:v>https://www.mobot.org/mobot/research/APWeb/orders/rosalesweb.htm</x:v>
      </x:c>
      <x:c r="U224" s="215" t="str">
        <x:v>https://floranorthamerica.org/Rosaceae</x:v>
      </x:c>
      <x:c r="V224" s="215" t="str">
        <x:v>https://powo.science.kew.org/taxon/urn:lsid:ipni.org:names:30000200-2</x:v>
      </x:c>
      <x:c r="W224" s="215" t="str">
        <x:v>https://floranorthamerica.org/Rosaceae
https://www.mobot.org/mobot/research/APWeb/orders/rosalesweb.htm
https://powo.science.kew.org/taxon/urn:lsid:ipni.org:names:30000200-2</x:v>
      </x:c>
      <x:c r="X224" s="215" t="str">
        <x:v>No - retain qualifiers and exceptions</x:v>
      </x:c>
      <x:c r="Y224" s="215" t="str">
        <x:v>Yes</x:v>
      </x:c>
      <x:c r="Z224" s="215" t="str">
        <x:v>Source-backed draft</x:v>
      </x:c>
    </x:row>
    <x:row r="225" ht="42" customHeight="1">
      <x:c r="A225" s="215" t="str">
        <x:v>Rosaceae</x:v>
      </x:c>
      <x:c r="B225" s="215" t="str">
        <x:v>ROS-PRUNUS-GLAND</x:v>
      </x:c>
      <x:c r="C225" s="215" t="str">
        <x:v>Local subgroup support: Prunus</x:v>
      </x:c>
      <x:c r="D225" s="215" t="str">
        <x:v>Leaf / petiole</x:v>
      </x:c>
      <x:c r="E225" s="215" t="str">
        <x:v>Glands often present on petiole or blade base</x:v>
      </x:c>
      <x:c r="F225" s="215" t="str">
        <x:v>Supporting</x:v>
      </x:c>
      <x:c r="G225" s="215" t="str">
        <x:v>3</x:v>
      </x:c>
      <x:c r="H225" s="215" t="str">
        <x:v>Variable</x:v>
      </x:c>
      <x:c r="I225" s="215" t="str">
        <x:v>Hand lens</x:v>
      </x:c>
      <x:c r="J225" s="215" t="str">
        <x:v>Vegetative</x:v>
      </x:c>
      <x:c r="K225" s="215" t="str">
        <x:v>Small nectar glands may occur near the petiole or lower leaf margin.</x:v>
      </x:c>
      <x:c r="L225" s="215" t="str">
        <x:v>Glands can be absent, minute, seasonal, or variable by species and leaf position.</x:v>
      </x:c>
      <x:c r="M225" s="215" t="str">
        <x:v>Useful only after Prunus is suspected.</x:v>
      </x:c>
      <x:c r="N225" s="215" t="str">
        <x:v>Potentially helpful among local Prunus, but requires a genus matrix.</x:v>
      </x:c>
      <x:c r="O225" s="215" t="str">
        <x:v>Moderate</x:v>
      </x:c>
      <x:c r="P225" s="215" t="str">
        <x:v>Yes</x:v>
      </x:c>
      <x:c r="Q225" s="215" t="str">
        <x:v>Validate gland presence and position species-by-species.</x:v>
      </x:c>
      <x:c r="R225" s="215" t="str"/>
      <x:c r="S225" s="215" t="str">
        <x:v>FNA-ROS; POWO-ROS</x:v>
      </x:c>
      <x:c r="T225" s="215" t="str">
        <x:v>https://www.mobot.org/mobot/research/APWeb/orders/rosalesweb.htm</x:v>
      </x:c>
      <x:c r="U225" s="215" t="str">
        <x:v>https://floranorthamerica.org/Rosaceae</x:v>
      </x:c>
      <x:c r="V225" s="215" t="str">
        <x:v>https://powo.science.kew.org/taxon/urn:lsid:ipni.org:names:30000200-2</x:v>
      </x:c>
      <x:c r="W225" s="215" t="str">
        <x:v>https://floranorthamerica.org/Rosaceae
https://powo.science.kew.org/taxon/urn:lsid:ipni.org:names:30000200-2
https://www.mobot.org/mobot/research/APWeb/orders/rosalesweb.htm</x:v>
      </x:c>
      <x:c r="X225" s="215" t="str">
        <x:v>No - retain qualifiers and exceptions</x:v>
      </x:c>
      <x:c r="Y225" s="215" t="str">
        <x:v>Yes</x:v>
      </x:c>
      <x:c r="Z225" s="215" t="str">
        <x:v>Human review required</x:v>
      </x:c>
    </x:row>
    <x:row r="226" ht="42" customHeight="1">
      <x:c r="A226" s="215" t="str">
        <x:v>Rosaceae</x:v>
      </x:c>
      <x:c r="B226" s="215" t="str">
        <x:v>ROS-RUBUS</x:v>
      </x:c>
      <x:c r="C226" s="215" t="str">
        <x:v>Local subgroup: Rubus</x:v>
      </x:c>
      <x:c r="D226" s="215" t="str">
        <x:v>Fruit</x:v>
      </x:c>
      <x:c r="E226" s="215" t="str">
        <x:v>Aggregate of many fleshy drupelets</x:v>
      </x:c>
      <x:c r="F226" s="215" t="str">
        <x:v>Subgroup</x:v>
      </x:c>
      <x:c r="G226" s="215" t="str">
        <x:v>5</x:v>
      </x:c>
      <x:c r="H226" s="215" t="str">
        <x:v>High</x:v>
      </x:c>
      <x:c r="I226" s="215" t="str">
        <x:v>Naked eye</x:v>
      </x:c>
      <x:c r="J226" s="215" t="str">
        <x:v>Fruiting</x:v>
      </x:c>
      <x:c r="K226" s="215" t="str">
        <x:v>Many tiny one-seeded drupelets mature together on one receptacle to form a blackberry-like fruit.</x:v>
      </x:c>
      <x:c r="L226" s="215" t="str">
        <x:v>Unripe fruit can resemble a cluster of ovaries; other aggregate fruits exist outside Rosaceae.</x:v>
      </x:c>
      <x:c r="M226" s="215" t="str">
        <x:v>Strongly routes the local dewberry to Rubus.</x:v>
      </x:c>
      <x:c r="N226" s="215" t="str">
        <x:v>Directly applies to Rubus trivialis.</x:v>
      </x:c>
      <x:c r="O226" s="215" t="str">
        <x:v>Low</x:v>
      </x:c>
      <x:c r="P226" s="215" t="str">
        <x:v>No</x:v>
      </x:c>
      <x:c r="Q226" s="215" t="str"/>
      <x:c r="R226" s="215" t="str">
        <x:v>ROS-LK01</x:v>
      </x:c>
      <x:c r="S226" s="215" t="str">
        <x:v>FNA-ROS; APWEB-ROS; POWO-ROS</x:v>
      </x:c>
      <x:c r="T226" s="215" t="str">
        <x:v>https://www.mobot.org/mobot/research/APWeb/orders/rosalesweb.htm</x:v>
      </x:c>
      <x:c r="U226" s="215" t="str">
        <x:v>https://floranorthamerica.org/Rosaceae</x:v>
      </x:c>
      <x:c r="V226" s="215" t="str">
        <x:v>https://powo.science.kew.org/taxon/urn:lsid:ipni.org:names:30000200-2</x:v>
      </x:c>
      <x:c r="W226" s="215" t="str">
        <x:v>https://floranorthamerica.org/Rosaceae
https://www.mobot.org/mobot/research/APWeb/orders/rosalesweb.htm
https://powo.science.kew.org/taxon/urn:lsid:ipni.org:names:30000200-2</x:v>
      </x:c>
      <x:c r="X226" s="215" t="str">
        <x:v>No - retain qualifiers and exceptions</x:v>
      </x:c>
      <x:c r="Y226" s="215" t="str">
        <x:v>Yes</x:v>
      </x:c>
      <x:c r="Z226" s="215" t="str">
        <x:v>Source-backed draft</x:v>
      </x:c>
    </x:row>
    <x:row r="227" ht="42" customHeight="1">
      <x:c r="A227" s="215" t="str">
        <x:v>Rosaceae</x:v>
      </x:c>
      <x:c r="B227" s="215" t="str">
        <x:v>ROS-GEUM</x:v>
      </x:c>
      <x:c r="C227" s="215" t="str">
        <x:v>Local subgroup: Geum</x:v>
      </x:c>
      <x:c r="D227" s="215" t="str">
        <x:v>Fruit and style</x:v>
      </x:c>
      <x:c r="E227" s="215" t="str">
        <x:v>Aggregate of dry achenes, often with elongated or hooked persistent styles</x:v>
      </x:c>
      <x:c r="F227" s="215" t="str">
        <x:v>Subgroup</x:v>
      </x:c>
      <x:c r="G227" s="215" t="str">
        <x:v>5</x:v>
      </x:c>
      <x:c r="H227" s="215" t="str">
        <x:v>High with fruit</x:v>
      </x:c>
      <x:c r="I227" s="215" t="str">
        <x:v>Naked eye plus hand lens</x:v>
      </x:c>
      <x:c r="J227" s="215" t="str">
        <x:v>Fruiting</x:v>
      </x:c>
      <x:c r="K227" s="215" t="str">
        <x:v>Each of many carpels forms a dry achene, and persistent styles can create a bristly or hooked fruit head.</x:v>
      </x:c>
      <x:c r="L227" s="215" t="str">
        <x:v>Style shape and jointing vary by species; dry aggregate fruits also occur in Ranunculaceae.</x:v>
      </x:c>
      <x:c r="M227" s="215" t="str">
        <x:v>Use the hypanthium and stipules to separate from ranunculaceous lookalikes.</x:v>
      </x:c>
      <x:c r="N227" s="215" t="str">
        <x:v>Directly applies to Geum canadense.</x:v>
      </x:c>
      <x:c r="O227" s="215" t="str">
        <x:v>Low</x:v>
      </x:c>
      <x:c r="P227" s="215" t="str">
        <x:v>No</x:v>
      </x:c>
      <x:c r="Q227" s="215" t="str"/>
      <x:c r="R227" s="215" t="str">
        <x:v>ROS-LK01</x:v>
      </x:c>
      <x:c r="S227" s="215" t="str">
        <x:v>FNA-ROS; APWEB-ROS; POWO-ROS</x:v>
      </x:c>
      <x:c r="T227" s="215" t="str">
        <x:v>https://www.mobot.org/mobot/research/APWeb/orders/rosalesweb.htm</x:v>
      </x:c>
      <x:c r="U227" s="215" t="str">
        <x:v>https://floranorthamerica.org/Rosaceae</x:v>
      </x:c>
      <x:c r="V227" s="215" t="str">
        <x:v>https://powo.science.kew.org/taxon/urn:lsid:ipni.org:names:30000200-2</x:v>
      </x:c>
      <x:c r="W227" s="215" t="str">
        <x:v>https://floranorthamerica.org/Rosaceae
https://www.mobot.org/mobot/research/APWeb/orders/rosalesweb.htm
https://powo.science.kew.org/taxon/urn:lsid:ipni.org:names:30000200-2</x:v>
      </x:c>
      <x:c r="X227" s="215" t="str">
        <x:v>No - retain qualifiers and exceptions</x:v>
      </x:c>
      <x:c r="Y227" s="215" t="str">
        <x:v>Yes</x:v>
      </x:c>
      <x:c r="Z227" s="215" t="str">
        <x:v>Source-backed draft</x:v>
      </x:c>
    </x:row>
    <x:row r="228" ht="42" customHeight="1">
      <x:c r="A228" s="215" t="str">
        <x:v>Rosaceae</x:v>
      </x:c>
      <x:c r="B228" s="215" t="str">
        <x:v>ROS-MALUS</x:v>
      </x:c>
      <x:c r="C228" s="215" t="str">
        <x:v>Local subgroup: Malus</x:v>
      </x:c>
      <x:c r="D228" s="215" t="str">
        <x:v>Gynoecium and fruit</x:v>
      </x:c>
      <x:c r="E228" s="215" t="str">
        <x:v>Inferior compound ovary matures as a pome with a papery or cartilaginous core</x:v>
      </x:c>
      <x:c r="F228" s="215" t="str">
        <x:v>Subgroup</x:v>
      </x:c>
      <x:c r="G228" s="215" t="str">
        <x:v>5</x:v>
      </x:c>
      <x:c r="H228" s="215" t="str">
        <x:v>High</x:v>
      </x:c>
      <x:c r="I228" s="215" t="str">
        <x:v>Naked eye; section fruit</x:v>
      </x:c>
      <x:c r="J228" s="215" t="str">
        <x:v>Flowering and fruiting</x:v>
      </x:c>
      <x:c r="K228" s="215" t="str">
        <x:v>The hypanthium and ovary become a fleshy apple-like fruit surrounding several seed chambers.</x:v>
      </x:c>
      <x:c r="L228" s="215" t="str">
        <x:v>Small, damaged, or sterile fruits can obscure the core; other pome genera share the pattern.</x:v>
      </x:c>
      <x:c r="M228" s="215" t="str">
        <x:v>Routes the local crabapple to Malus and its relatives.</x:v>
      </x:c>
      <x:c r="N228" s="215" t="str">
        <x:v>Directly applies to Malus ioensis.</x:v>
      </x:c>
      <x:c r="O228" s="215" t="str">
        <x:v>Low</x:v>
      </x:c>
      <x:c r="P228" s="215" t="str">
        <x:v>No</x:v>
      </x:c>
      <x:c r="Q228" s="215" t="str"/>
      <x:c r="R228" s="215" t="str">
        <x:v>ROS-LK02</x:v>
      </x:c>
      <x:c r="S228" s="215" t="str">
        <x:v>FNA-ROS; APWEB-ROS; POWO-ROS</x:v>
      </x:c>
      <x:c r="T228" s="215" t="str">
        <x:v>https://www.mobot.org/mobot/research/APWeb/orders/rosalesweb.htm</x:v>
      </x:c>
      <x:c r="U228" s="215" t="str">
        <x:v>https://floranorthamerica.org/Rosaceae</x:v>
      </x:c>
      <x:c r="V228" s="215" t="str">
        <x:v>https://powo.science.kew.org/taxon/urn:lsid:ipni.org:names:30000200-2</x:v>
      </x:c>
      <x:c r="W228" s="215" t="str">
        <x:v>https://floranorthamerica.org/Rosaceae
https://www.mobot.org/mobot/research/APWeb/orders/rosalesweb.htm
https://powo.science.kew.org/taxon/urn:lsid:ipni.org:names:30000200-2</x:v>
      </x:c>
      <x:c r="X228" s="215" t="str">
        <x:v>No - retain qualifiers and exceptions</x:v>
      </x:c>
      <x:c r="Y228" s="215" t="str">
        <x:v>Yes</x:v>
      </x:c>
      <x:c r="Z228" s="215" t="str">
        <x:v>Source-backed draft</x:v>
      </x:c>
    </x:row>
    <x:row r="229" ht="42" customHeight="1">
      <x:c r="A229" s="215" t="str">
        <x:v>Rosaceae</x:v>
      </x:c>
      <x:c r="B229" s="215" t="str">
        <x:v>ROS-STIPULE</x:v>
      </x:c>
      <x:c r="C229" s="215" t="str">
        <x:v>Broad family tendency</x:v>
      </x:c>
      <x:c r="D229" s="215" t="str">
        <x:v>Leaf base</x:v>
      </x:c>
      <x:c r="E229" s="215" t="str">
        <x:v>Stipules common but sometimes early-deciduous</x:v>
      </x:c>
      <x:c r="F229" s="215" t="str">
        <x:v>Supporting</x:v>
      </x:c>
      <x:c r="G229" s="215" t="str">
        <x:v>3</x:v>
      </x:c>
      <x:c r="H229" s="215" t="str">
        <x:v>Variable</x:v>
      </x:c>
      <x:c r="I229" s="215" t="str">
        <x:v>Hand lens</x:v>
      </x:c>
      <x:c r="J229" s="215" t="str">
        <x:v>Young vegetative growth</x:v>
      </x:c>
      <x:c r="K229" s="215" t="str">
        <x:v>Paired appendages may occur at the base of the petiole or fuse partly to it.</x:v>
      </x:c>
      <x:c r="L229" s="215" t="str">
        <x:v>They can be tiny, transformed, or lost before observation; stipules occur in many other families.</x:v>
      </x:c>
      <x:c r="M229" s="215" t="str">
        <x:v>Supports a suspected Rosaceae, especially with a hypanthium.</x:v>
      </x:c>
      <x:c r="N229" s="215" t="str">
        <x:v>Useful in Geum, Rubus, and Malus; less obvious on mature Prunus twigs.</x:v>
      </x:c>
      <x:c r="O229" s="215" t="str">
        <x:v>Low</x:v>
      </x:c>
      <x:c r="P229" s="215" t="str">
        <x:v>No</x:v>
      </x:c>
      <x:c r="Q229" s="215" t="str"/>
      <x:c r="R229" s="215" t="str">
        <x:v>ROS-LK02</x:v>
      </x:c>
      <x:c r="S229" s="215" t="str">
        <x:v>APWEB-ROS; FNA-ROS; POWO-ROS</x:v>
      </x:c>
      <x:c r="T229" s="215" t="str">
        <x:v>https://www.mobot.org/mobot/research/APWeb/orders/rosalesweb.htm</x:v>
      </x:c>
      <x:c r="U229" s="215" t="str">
        <x:v>https://floranorthamerica.org/Rosaceae</x:v>
      </x:c>
      <x:c r="V229" s="215" t="str">
        <x:v>https://powo.science.kew.org/taxon/urn:lsid:ipni.org:names:30000200-2</x:v>
      </x:c>
      <x:c r="W229" s="215" t="str">
        <x:v>https://www.mobot.org/mobot/research/APWeb/orders/rosalesweb.htm
https://floranorthamerica.org/Rosaceae
https://powo.science.kew.org/taxon/urn:lsid:ipni.org:names:30000200-2</x:v>
      </x:c>
      <x:c r="X229" s="215" t="str">
        <x:v>No - retain qualifiers and exceptions</x:v>
      </x:c>
      <x:c r="Y229" s="215" t="str">
        <x:v>Yes</x:v>
      </x:c>
      <x:c r="Z229" s="215" t="str">
        <x:v>Source-backed draft</x:v>
      </x:c>
    </x:row>
    <x:row r="230" ht="42" customHeight="1">
      <x:c r="A230" s="215" t="str">
        <x:v>Rosaceae</x:v>
      </x:c>
      <x:c r="B230" s="215" t="str">
        <x:v>ROS-SAFETY</x:v>
      </x:c>
      <x:c r="C230" s="215" t="str">
        <x:v>Observation rule</x:v>
      </x:c>
      <x:c r="D230" s="215" t="str">
        <x:v>Safety</x:v>
      </x:c>
      <x:c r="E230" s="215" t="str">
        <x:v>Do not taste unknown seeds, pits, wilted leaves, or bark</x:v>
      </x:c>
      <x:c r="F230" s="215" t="str">
        <x:v>Caution</x:v>
      </x:c>
      <x:c r="G230" s="215" t="str">
        <x:v>0</x:v>
      </x:c>
      <x:c r="H230" s="215" t="str">
        <x:v>High</x:v>
      </x:c>
      <x:c r="I230" s="215" t="str">
        <x:v>Behavioral rule</x:v>
      </x:c>
      <x:c r="J230" s="215" t="str">
        <x:v>Any</x:v>
      </x:c>
      <x:c r="K230" s="215" t="str">
        <x:v>Some Rosaceae, especially Prunus tissues and seeds, contain cyanogenic compounds.</x:v>
      </x:c>
      <x:c r="L230" s="215" t="str">
        <x:v>Chemical content varies by species, tissue, maturity, and processing.</x:v>
      </x:c>
      <x:c r="M230" s="215" t="str">
        <x:v>Prevents taste-based identification and unsafe handling.</x:v>
      </x:c>
      <x:c r="N230" s="215" t="str">
        <x:v>Especially important for the six local Prunus records.</x:v>
      </x:c>
      <x:c r="O230" s="215" t="str">
        <x:v>Low</x:v>
      </x:c>
      <x:c r="P230" s="215" t="str">
        <x:v>No</x:v>
      </x:c>
      <x:c r="Q230" s="215" t="str"/>
      <x:c r="R230" s="215" t="str"/>
      <x:c r="S230" s="215" t="str">
        <x:v>APWEB-ROS; FNA-ROS; POWO-ROS</x:v>
      </x:c>
      <x:c r="T230" s="215" t="str">
        <x:v>https://www.mobot.org/mobot/research/APWeb/orders/rosalesweb.htm</x:v>
      </x:c>
      <x:c r="U230" s="215" t="str">
        <x:v>https://floranorthamerica.org/Rosaceae</x:v>
      </x:c>
      <x:c r="V230" s="215" t="str">
        <x:v>https://powo.science.kew.org/taxon/urn:lsid:ipni.org:names:30000200-2</x:v>
      </x:c>
      <x:c r="W230" s="215" t="str">
        <x:v>https://www.mobot.org/mobot/research/APWeb/orders/rosalesweb.htm
https://floranorthamerica.org/Rosaceae
https://powo.science.kew.org/taxon/urn:lsid:ipni.org:names:30000200-2</x:v>
      </x:c>
      <x:c r="X230" s="215" t="str">
        <x:v>No - retain qualifiers and exceptions</x:v>
      </x:c>
      <x:c r="Y230" s="215" t="str">
        <x:v>Yes</x:v>
      </x:c>
      <x:c r="Z230" s="215" t="str">
        <x:v>Source-backed draft</x:v>
      </x:c>
    </x:row>
    <x:row r="231" ht="42" customHeight="1">
      <x:c r="A231" s="215" t="str">
        <x:v>Verbenaceae</x:v>
      </x:c>
      <x:c r="B231" s="215" t="str">
        <x:v>VERB-SCOPE</x:v>
      </x:c>
      <x:c r="C231" s="215" t="str">
        <x:v>Family-wide taxonomy</x:v>
      </x:c>
      <x:c r="D231" s="215" t="str">
        <x:v>Taxonomic scope</x:v>
      </x:c>
      <x:c r="E231" s="215" t="str">
        <x:v>Use narrow modern Verbenaceae, not the older broad family</x:v>
      </x:c>
      <x:c r="F231" s="215" t="str">
        <x:v>Caution</x:v>
      </x:c>
      <x:c r="G231" s="215" t="str">
        <x:v>0</x:v>
      </x:c>
      <x:c r="H231" s="215" t="str">
        <x:v>High</x:v>
      </x:c>
      <x:c r="I231" s="215" t="str">
        <x:v>Reference check</x:v>
      </x:c>
      <x:c r="J231" s="215" t="str">
        <x:v>Any</x:v>
      </x:c>
      <x:c r="K231" s="215" t="str">
        <x:v>Several familiar genera once placed in Verbenaceae are now classified in Lamiaceae or Acanthaceae.</x:v>
      </x:c>
      <x:c r="L231" s="215" t="str">
        <x:v>Older floras and labels may use broader limits, causing apparent contradictions in family characters.</x:v>
      </x:c>
      <x:c r="M231" s="215" t="str">
        <x:v>Requires current POWO/APweb family placement before morphology is interpreted.</x:v>
      </x:c>
      <x:c r="N231" s="215" t="str">
        <x:v>The current local list contains Aloysia, Glandularia, Lantana, Phyla, and Verbena, all in accepted Verbenaceae.</x:v>
      </x:c>
      <x:c r="O231" s="215" t="str">
        <x:v>Low</x:v>
      </x:c>
      <x:c r="P231" s="215" t="str">
        <x:v>Yes</x:v>
      </x:c>
      <x:c r="Q231" s="215" t="str">
        <x:v>Preserve legacy family names as synonyms, never silently merge older descriptions.</x:v>
      </x:c>
      <x:c r="R231" s="215" t="str">
        <x:v>VERB-LK01; VERB-LK02; VERB-LK03</x:v>
      </x:c>
      <x:c r="S231" s="215" t="str">
        <x:v>APWEB-LAM; KEW-VERB-GI; POWO-VERB</x:v>
      </x:c>
      <x:c r="T231" s="215" t="str">
        <x:v>https://mobot.org/MOBOT/research/APweb/orders/lamialesweb.htm</x:v>
      </x:c>
      <x:c r="U231" s="215" t="str">
        <x:v>https://powo.science.kew.org/taxon/urn:lsid:ipni.org:names:30000070-2/general-information</x:v>
      </x:c>
      <x:c r="V231" s="215" t="str">
        <x:v>https://powo.science.kew.org/taxon/urn:lsid:ipni.org:names:30000070-2</x:v>
      </x:c>
      <x:c r="W231" s="215" t="str">
        <x:v>https://mobot.org/MOBOT/research/APweb/orders/lamialesweb.htm
https://powo.science.kew.org/taxon/urn:lsid:ipni.org:names:30000070-2/general-information
https://powo.science.kew.org/taxon/urn:lsid:ipni.org:names:30000070-2</x:v>
      </x:c>
      <x:c r="X231" s="215" t="str">
        <x:v>No - retain qualifiers and exceptions</x:v>
      </x:c>
      <x:c r="Y231" s="215" t="str">
        <x:v>Yes</x:v>
      </x:c>
      <x:c r="Z231" s="215" t="str">
        <x:v>Human review required</x:v>
      </x:c>
    </x:row>
    <x:row r="232" ht="42" customHeight="1">
      <x:c r="A232" s="215" t="str">
        <x:v>Verbenaceae</x:v>
      </x:c>
      <x:c r="B232" s="215" t="str">
        <x:v>VERB-LEAF</x:v>
      </x:c>
      <x:c r="C232" s="215" t="str">
        <x:v>Broad family tendency</x:v>
      </x:c>
      <x:c r="D232" s="215" t="str">
        <x:v>Leaf</x:v>
      </x:c>
      <x:c r="E232" s="215" t="str">
        <x:v>Leaves usually opposite or whorled and exstipulate</x:v>
      </x:c>
      <x:c r="F232" s="215" t="str">
        <x:v>Supporting</x:v>
      </x:c>
      <x:c r="G232" s="215" t="str">
        <x:v>3</x:v>
      </x:c>
      <x:c r="H232" s="215" t="str">
        <x:v>Moderate</x:v>
      </x:c>
      <x:c r="I232" s="215" t="str">
        <x:v>Naked eye</x:v>
      </x:c>
      <x:c r="J232" s="215" t="str">
        <x:v>Vegetative</x:v>
      </x:c>
      <x:c r="K232" s="215" t="str">
        <x:v>Leaves commonly occur in pairs or whorls without stipules.</x:v>
      </x:c>
      <x:c r="L232" s="215" t="str">
        <x:v>Alternate leaves occur in some members; many unrelated Lamiales share opposite exstipulate leaves.</x:v>
      </x:c>
      <x:c r="M232" s="215" t="str">
        <x:v>A useful opening clue only.</x:v>
      </x:c>
      <x:c r="N232" s="215" t="str">
        <x:v>Applies well across the current local genera.</x:v>
      </x:c>
      <x:c r="O232" s="215" t="str">
        <x:v>Low</x:v>
      </x:c>
      <x:c r="P232" s="215" t="str">
        <x:v>No</x:v>
      </x:c>
      <x:c r="Q232" s="215" t="str"/>
      <x:c r="R232" s="215" t="str">
        <x:v>VERB-LK01; VERB-LK02; VERB-LK03</x:v>
      </x:c>
      <x:c r="S232" s="215" t="str">
        <x:v>APWEB-LAM; KEW-VERB-GI; POWO-VERB</x:v>
      </x:c>
      <x:c r="T232" s="215" t="str">
        <x:v>https://mobot.org/MOBOT/research/APweb/orders/lamialesweb.htm</x:v>
      </x:c>
      <x:c r="U232" s="215" t="str">
        <x:v>https://powo.science.kew.org/taxon/urn:lsid:ipni.org:names:30000070-2/general-information</x:v>
      </x:c>
      <x:c r="V232" s="215" t="str">
        <x:v>https://powo.science.kew.org/taxon/urn:lsid:ipni.org:names:30000070-2</x:v>
      </x:c>
      <x:c r="W232" s="215" t="str">
        <x:v>https://mobot.org/MOBOT/research/APweb/orders/lamialesweb.htm
https://powo.science.kew.org/taxon/urn:lsid:ipni.org:names:30000070-2/general-information
https://powo.science.kew.org/taxon/urn:lsid:ipni.org:names:30000070-2</x:v>
      </x:c>
      <x:c r="X232" s="215" t="str">
        <x:v>No - retain qualifiers and exceptions</x:v>
      </x:c>
      <x:c r="Y232" s="215" t="str">
        <x:v>Yes</x:v>
      </x:c>
      <x:c r="Z232" s="215" t="str">
        <x:v>Source-backed draft</x:v>
      </x:c>
    </x:row>
    <x:row r="233" ht="42" customHeight="1">
      <x:c r="A233" s="215" t="str">
        <x:v>Verbenaceae</x:v>
      </x:c>
      <x:c r="B233" s="215" t="str">
        <x:v>VERB-NODE</x:v>
      </x:c>
      <x:c r="C233" s="215" t="str">
        <x:v>Broad family tendency</x:v>
      </x:c>
      <x:c r="D233" s="215" t="str">
        <x:v>Stem node</x:v>
      </x:c>
      <x:c r="E233" s="215" t="str">
        <x:v>Stems often angled; a line or ridge may connect opposite leaf bases</x:v>
      </x:c>
      <x:c r="F233" s="215" t="str">
        <x:v>Supporting</x:v>
      </x:c>
      <x:c r="G233" s="215" t="str">
        <x:v>2</x:v>
      </x:c>
      <x:c r="H233" s="215" t="str">
        <x:v>Variable</x:v>
      </x:c>
      <x:c r="I233" s="215" t="str">
        <x:v>Naked eye or hand lens</x:v>
      </x:c>
      <x:c r="J233" s="215" t="str">
        <x:v>Vegetative</x:v>
      </x:c>
      <x:c r="K233" s="215" t="str">
        <x:v>Nodes and internodes may look four-angled or ridged.</x:v>
      </x:c>
      <x:c r="L233" s="215" t="str">
        <x:v>Round stems are common, and square stems occur widely in Lamiaceae and Acanthaceae.</x:v>
      </x:c>
      <x:c r="M233" s="215" t="str">
        <x:v>Never use stem shape as proof.</x:v>
      </x:c>
      <x:c r="N233" s="215" t="str">
        <x:v>Potentially useful in Verbena and Glandularia.</x:v>
      </x:c>
      <x:c r="O233" s="215" t="str">
        <x:v>Low</x:v>
      </x:c>
      <x:c r="P233" s="215" t="str">
        <x:v>No</x:v>
      </x:c>
      <x:c r="Q233" s="215" t="str"/>
      <x:c r="R233" s="215" t="str">
        <x:v>VERB-LK01; VERB-LK02</x:v>
      </x:c>
      <x:c r="S233" s="215" t="str">
        <x:v>KEW-VERB-GI; APWEB-LAM; POWO-VERB</x:v>
      </x:c>
      <x:c r="T233" s="215" t="str">
        <x:v>https://mobot.org/MOBOT/research/APweb/orders/lamialesweb.htm</x:v>
      </x:c>
      <x:c r="U233" s="215" t="str">
        <x:v>https://powo.science.kew.org/taxon/urn:lsid:ipni.org:names:30000070-2/general-information</x:v>
      </x:c>
      <x:c r="V233" s="215" t="str">
        <x:v>https://powo.science.kew.org/taxon/urn:lsid:ipni.org:names:30000070-2</x:v>
      </x:c>
      <x:c r="W233" s="215" t="str">
        <x:v>https://powo.science.kew.org/taxon/urn:lsid:ipni.org:names:30000070-2/general-information
https://mobot.org/MOBOT/research/APweb/orders/lamialesweb.htm
https://powo.science.kew.org/taxon/urn:lsid:ipni.org:names:30000070-2</x:v>
      </x:c>
      <x:c r="X233" s="215" t="str">
        <x:v>No - retain qualifiers and exceptions</x:v>
      </x:c>
      <x:c r="Y233" s="215" t="str">
        <x:v>Yes</x:v>
      </x:c>
      <x:c r="Z233" s="215" t="str">
        <x:v>Source-backed draft</x:v>
      </x:c>
    </x:row>
    <x:row r="234" ht="42" customHeight="1">
      <x:c r="A234" s="215" t="str">
        <x:v>Verbenaceae</x:v>
      </x:c>
      <x:c r="B234" s="215" t="str">
        <x:v>VERB-AROMA</x:v>
      </x:c>
      <x:c r="C234" s="215" t="str">
        <x:v>Common, not universal</x:v>
      </x:c>
      <x:c r="D234" s="215" t="str">
        <x:v>Exudate / scent</x:v>
      </x:c>
      <x:c r="E234" s="215" t="str">
        <x:v>Some members aromatic</x:v>
      </x:c>
      <x:c r="F234" s="215" t="str">
        <x:v>Caution</x:v>
      </x:c>
      <x:c r="G234" s="215" t="str">
        <x:v>0</x:v>
      </x:c>
      <x:c r="H234" s="215" t="str">
        <x:v>Variable</x:v>
      </x:c>
      <x:c r="I234" s="215" t="str">
        <x:v>Smell only; do not taste</x:v>
      </x:c>
      <x:c r="J234" s="215" t="str">
        <x:v>Vegetative or flowering</x:v>
      </x:c>
      <x:c r="K234" s="215" t="str">
        <x:v>Crushed leaves may release a noticeable scent in Lantana, Aloysia, and others.</x:v>
      </x:c>
      <x:c r="L234" s="215" t="str">
        <x:v>Aroma can be weak or absent and is common in Lamiaceae and many unrelated families.</x:v>
      </x:c>
      <x:c r="M234" s="215" t="str">
        <x:v>Use only as a safe supporting observation.</x:v>
      </x:c>
      <x:c r="N234" s="215" t="str">
        <x:v>Relevant to Aloysia and Lantana, less dependable across Verbena and Phyla.</x:v>
      </x:c>
      <x:c r="O234" s="215" t="str">
        <x:v>Low</x:v>
      </x:c>
      <x:c r="P234" s="215" t="str">
        <x:v>No</x:v>
      </x:c>
      <x:c r="Q234" s="215" t="str"/>
      <x:c r="R234" s="215" t="str">
        <x:v>VERB-LK01</x:v>
      </x:c>
      <x:c r="S234" s="215" t="str">
        <x:v>KEW-VERB-GI; APWEB-LAM; POWO-VERB</x:v>
      </x:c>
      <x:c r="T234" s="215" t="str">
        <x:v>https://mobot.org/MOBOT/research/APweb/orders/lamialesweb.htm</x:v>
      </x:c>
      <x:c r="U234" s="215" t="str">
        <x:v>https://powo.science.kew.org/taxon/urn:lsid:ipni.org:names:30000070-2/general-information</x:v>
      </x:c>
      <x:c r="V234" s="215" t="str">
        <x:v>https://powo.science.kew.org/taxon/urn:lsid:ipni.org:names:30000070-2</x:v>
      </x:c>
      <x:c r="W234" s="215" t="str">
        <x:v>https://powo.science.kew.org/taxon/urn:lsid:ipni.org:names:30000070-2/general-information
https://mobot.org/MOBOT/research/APweb/orders/lamialesweb.htm
https://powo.science.kew.org/taxon/urn:lsid:ipni.org:names:30000070-2</x:v>
      </x:c>
      <x:c r="X234" s="215" t="str">
        <x:v>No - retain qualifiers and exceptions</x:v>
      </x:c>
      <x:c r="Y234" s="215" t="str">
        <x:v>Yes</x:v>
      </x:c>
      <x:c r="Z234" s="215" t="str">
        <x:v>Source-backed draft</x:v>
      </x:c>
    </x:row>
    <x:row r="235" ht="42" customHeight="1">
      <x:c r="A235" s="215" t="str">
        <x:v>Verbenaceae</x:v>
      </x:c>
      <x:c r="B235" s="215" t="str">
        <x:v>VERB-INFLO</x:v>
      </x:c>
      <x:c r="C235" s="215" t="str">
        <x:v>Broad family tendency</x:v>
      </x:c>
      <x:c r="D235" s="215" t="str">
        <x:v>Inflorescence</x:v>
      </x:c>
      <x:c r="E235" s="215" t="str">
        <x:v>Flowers commonly in spikes, racemes, heads, or panicles</x:v>
      </x:c>
      <x:c r="F235" s="215" t="str">
        <x:v>Strong</x:v>
      </x:c>
      <x:c r="G235" s="215" t="str">
        <x:v>3</x:v>
      </x:c>
      <x:c r="H235" s="215" t="str">
        <x:v>Variable</x:v>
      </x:c>
      <x:c r="I235" s="215" t="str">
        <x:v>Naked eye</x:v>
      </x:c>
      <x:c r="J235" s="215" t="str">
        <x:v>Flowering</x:v>
      </x:c>
      <x:c r="K235" s="215" t="str">
        <x:v>Small flowers are often organized into elongated spikes or compact heads.</x:v>
      </x:c>
      <x:c r="L235" s="215" t="str">
        <x:v>Inflorescence architecture varies by tribe and similar clusters occur in related families.</x:v>
      </x:c>
      <x:c r="M235" s="215" t="str">
        <x:v>Use to select a local route, not to define the family alone.</x:v>
      </x:c>
      <x:c r="N235" s="215" t="str">
        <x:v>Verbena/Glandularia/Aloysia often form spikes; Lantana and Phyla compact heads.</x:v>
      </x:c>
      <x:c r="O235" s="215" t="str">
        <x:v>Low</x:v>
      </x:c>
      <x:c r="P235" s="215" t="str">
        <x:v>No</x:v>
      </x:c>
      <x:c r="Q235" s="215" t="str"/>
      <x:c r="R235" s="215" t="str">
        <x:v>VERB-LK01; VERB-LK02; VERB-LK03</x:v>
      </x:c>
      <x:c r="S235" s="215" t="str">
        <x:v>APWEB-LAM; KEW-VERB-GI; POWO-VERB</x:v>
      </x:c>
      <x:c r="T235" s="215" t="str">
        <x:v>https://mobot.org/MOBOT/research/APweb/orders/lamialesweb.htm</x:v>
      </x:c>
      <x:c r="U235" s="215" t="str">
        <x:v>https://powo.science.kew.org/taxon/urn:lsid:ipni.org:names:30000070-2/general-information</x:v>
      </x:c>
      <x:c r="V235" s="215" t="str">
        <x:v>https://powo.science.kew.org/taxon/urn:lsid:ipni.org:names:30000070-2</x:v>
      </x:c>
      <x:c r="W235" s="215" t="str">
        <x:v>https://mobot.org/MOBOT/research/APweb/orders/lamialesweb.htm
https://powo.science.kew.org/taxon/urn:lsid:ipni.org:names:30000070-2/general-information
https://powo.science.kew.org/taxon/urn:lsid:ipni.org:names:30000070-2</x:v>
      </x:c>
      <x:c r="X235" s="215" t="str">
        <x:v>No - retain qualifiers and exceptions</x:v>
      </x:c>
      <x:c r="Y235" s="215" t="str">
        <x:v>Yes</x:v>
      </x:c>
      <x:c r="Z235" s="215" t="str">
        <x:v>Source-backed draft</x:v>
      </x:c>
    </x:row>
    <x:row r="236" ht="42" customHeight="1">
      <x:c r="A236" s="215" t="str">
        <x:v>Verbenaceae</x:v>
      </x:c>
      <x:c r="B236" s="215" t="str">
        <x:v>VERB-CALYX</x:v>
      </x:c>
      <x:c r="C236" s="215" t="str">
        <x:v>Broad family tendency</x:v>
      </x:c>
      <x:c r="D236" s="215" t="str">
        <x:v>Calyx</x:v>
      </x:c>
      <x:c r="E236" s="215" t="str">
        <x:v>Calyx fused and persistent, usually 4-5-toothed</x:v>
      </x:c>
      <x:c r="F236" s="215" t="str">
        <x:v>Supporting</x:v>
      </x:c>
      <x:c r="G236" s="215" t="str">
        <x:v>3</x:v>
      </x:c>
      <x:c r="H236" s="215" t="str">
        <x:v>Moderate</x:v>
      </x:c>
      <x:c r="I236" s="215" t="str">
        <x:v>Hand lens</x:v>
      </x:c>
      <x:c r="J236" s="215" t="str">
        <x:v>Flowering to fruiting</x:v>
      </x:c>
      <x:c r="K236" s="215" t="str">
        <x:v>A tubular green calyx often remains around the developing fruit.</x:v>
      </x:c>
      <x:c r="L236" s="215" t="str">
        <x:v>Teeth can be unequal or obscure; the calyx may enlarge or change texture.</x:v>
      </x:c>
      <x:c r="M236" s="215" t="str">
        <x:v>Supports the fused-corolla and fruit suite.</x:v>
      </x:c>
      <x:c r="N236" s="215" t="str">
        <x:v>Applicable across local genera.</x:v>
      </x:c>
      <x:c r="O236" s="215" t="str">
        <x:v>Low</x:v>
      </x:c>
      <x:c r="P236" s="215" t="str">
        <x:v>No</x:v>
      </x:c>
      <x:c r="Q236" s="215" t="str"/>
      <x:c r="R236" s="215" t="str">
        <x:v>VERB-LK01; VERB-LK02; VERB-LK03</x:v>
      </x:c>
      <x:c r="S236" s="215" t="str">
        <x:v>APWEB-LAM; KEW-VERB-GI; POWO-VERB</x:v>
      </x:c>
      <x:c r="T236" s="215" t="str">
        <x:v>https://mobot.org/MOBOT/research/APweb/orders/lamialesweb.htm</x:v>
      </x:c>
      <x:c r="U236" s="215" t="str">
        <x:v>https://powo.science.kew.org/taxon/urn:lsid:ipni.org:names:30000070-2/general-information</x:v>
      </x:c>
      <x:c r="V236" s="215" t="str">
        <x:v>https://powo.science.kew.org/taxon/urn:lsid:ipni.org:names:30000070-2</x:v>
      </x:c>
      <x:c r="W236" s="215" t="str">
        <x:v>https://mobot.org/MOBOT/research/APweb/orders/lamialesweb.htm
https://powo.science.kew.org/taxon/urn:lsid:ipni.org:names:30000070-2/general-information
https://powo.science.kew.org/taxon/urn:lsid:ipni.org:names:30000070-2</x:v>
      </x:c>
      <x:c r="X236" s="215" t="str">
        <x:v>No - retain qualifiers and exceptions</x:v>
      </x:c>
      <x:c r="Y236" s="215" t="str">
        <x:v>Yes</x:v>
      </x:c>
      <x:c r="Z236" s="215" t="str">
        <x:v>Source-backed draft</x:v>
      </x:c>
    </x:row>
    <x:row r="237" ht="42" customHeight="1">
      <x:c r="A237" s="215" t="str">
        <x:v>Verbenaceae</x:v>
      </x:c>
      <x:c r="B237" s="215" t="str">
        <x:v>VERB-COROLLA</x:v>
      </x:c>
      <x:c r="C237" s="215" t="str">
        <x:v>Broad family suite</x:v>
      </x:c>
      <x:c r="D237" s="215" t="str">
        <x:v>Corolla</x:v>
      </x:c>
      <x:c r="E237" s="215" t="str">
        <x:v>Corolla fused, tubular or salverform, with 4-5 lobes and often bilateral</x:v>
      </x:c>
      <x:c r="F237" s="215" t="str">
        <x:v>Strong</x:v>
      </x:c>
      <x:c r="G237" s="215" t="str">
        <x:v>4</x:v>
      </x:c>
      <x:c r="H237" s="215" t="str">
        <x:v>High</x:v>
      </x:c>
      <x:c r="I237" s="215" t="str">
        <x:v>Naked eye</x:v>
      </x:c>
      <x:c r="J237" s="215" t="str">
        <x:v>Flowering</x:v>
      </x:c>
      <x:c r="K237" s="215" t="str">
        <x:v>The petals form a tube ending in several lobes, often with unequal upper and lower sides.</x:v>
      </x:c>
      <x:c r="L237" s="215" t="str">
        <x:v>Nearly radial forms occur, and the same general form is common across Lamiales.</x:v>
      </x:c>
      <x:c r="M237" s="215" t="str">
        <x:v>Use with terminal style and fruit construction.</x:v>
      </x:c>
      <x:c r="N237" s="215" t="str">
        <x:v>Strong across all current local genera.</x:v>
      </x:c>
      <x:c r="O237" s="215" t="str">
        <x:v>Low</x:v>
      </x:c>
      <x:c r="P237" s="215" t="str">
        <x:v>No</x:v>
      </x:c>
      <x:c r="Q237" s="215" t="str"/>
      <x:c r="R237" s="215" t="str">
        <x:v>VERB-LK01; VERB-LK02; VERB-LK03</x:v>
      </x:c>
      <x:c r="S237" s="215" t="str">
        <x:v>APWEB-LAM; KEW-VERB-GI; POWO-VERB</x:v>
      </x:c>
      <x:c r="T237" s="215" t="str">
        <x:v>https://mobot.org/MOBOT/research/APweb/orders/lamialesweb.htm</x:v>
      </x:c>
      <x:c r="U237" s="215" t="str">
        <x:v>https://powo.science.kew.org/taxon/urn:lsid:ipni.org:names:30000070-2/general-information</x:v>
      </x:c>
      <x:c r="V237" s="215" t="str">
        <x:v>https://powo.science.kew.org/taxon/urn:lsid:ipni.org:names:30000070-2</x:v>
      </x:c>
      <x:c r="W237" s="215" t="str">
        <x:v>https://mobot.org/MOBOT/research/APweb/orders/lamialesweb.htm
https://powo.science.kew.org/taxon/urn:lsid:ipni.org:names:30000070-2/general-information
https://powo.science.kew.org/taxon/urn:lsid:ipni.org:names:30000070-2</x:v>
      </x:c>
      <x:c r="X237" s="215" t="str">
        <x:v>No - retain qualifiers and exceptions</x:v>
      </x:c>
      <x:c r="Y237" s="215" t="str">
        <x:v>Yes</x:v>
      </x:c>
      <x:c r="Z237" s="215" t="str">
        <x:v>Source-backed draft</x:v>
      </x:c>
    </x:row>
    <x:row r="238" ht="42" customHeight="1">
      <x:c r="A238" s="215" t="str">
        <x:v>Verbenaceae</x:v>
      </x:c>
      <x:c r="B238" s="215" t="str">
        <x:v>VERB-STAMEN</x:v>
      </x:c>
      <x:c r="C238" s="215" t="str">
        <x:v>Broad family tendency</x:v>
      </x:c>
      <x:c r="D238" s="215" t="str">
        <x:v>Androecium</x:v>
      </x:c>
      <x:c r="E238" s="215" t="str">
        <x:v>Four didynamous or two epipetalous stamens</x:v>
      </x:c>
      <x:c r="F238" s="215" t="str">
        <x:v>Strong</x:v>
      </x:c>
      <x:c r="G238" s="215" t="str">
        <x:v>4</x:v>
      </x:c>
      <x:c r="H238" s="215" t="str">
        <x:v>High</x:v>
      </x:c>
      <x:c r="I238" s="215" t="str">
        <x:v>Hand lens</x:v>
      </x:c>
      <x:c r="J238" s="215" t="str">
        <x:v>Flowering</x:v>
      </x:c>
      <x:c r="K238" s="215" t="str">
        <x:v>Stamens attach to the corolla tube and commonly occur as two long plus two short, or as only two fertile stamens.</x:v>
      </x:c>
      <x:c r="L238" s="215" t="str">
        <x:v>Counts vary and staminodes may occur; related families share the same numbers.</x:v>
      </x:c>
      <x:c r="M238" s="215" t="str">
        <x:v>Count after inspecting style position and fruit.</x:v>
      </x:c>
      <x:c r="N238" s="215" t="str">
        <x:v>Likely four-stamen in many local Verbena/Lantana routes; route-specific confirmation needed.</x:v>
      </x:c>
      <x:c r="O238" s="215" t="str">
        <x:v>Moderate</x:v>
      </x:c>
      <x:c r="P238" s="215" t="str">
        <x:v>Yes</x:v>
      </x:c>
      <x:c r="Q238" s="215" t="str">
        <x:v>Validate stamen count and insertion for each local genus.</x:v>
      </x:c>
      <x:c r="R238" s="215" t="str">
        <x:v>VERB-LK01; VERB-LK02; VERB-LK03</x:v>
      </x:c>
      <x:c r="S238" s="215" t="str">
        <x:v>APWEB-LAM; KEW-VERB-GI; POWO-VERB</x:v>
      </x:c>
      <x:c r="T238" s="215" t="str">
        <x:v>https://mobot.org/MOBOT/research/APweb/orders/lamialesweb.htm</x:v>
      </x:c>
      <x:c r="U238" s="215" t="str">
        <x:v>https://powo.science.kew.org/taxon/urn:lsid:ipni.org:names:30000070-2/general-information</x:v>
      </x:c>
      <x:c r="V238" s="215" t="str">
        <x:v>https://powo.science.kew.org/taxon/urn:lsid:ipni.org:names:30000070-2</x:v>
      </x:c>
      <x:c r="W238" s="215" t="str">
        <x:v>https://mobot.org/MOBOT/research/APweb/orders/lamialesweb.htm
https://powo.science.kew.org/taxon/urn:lsid:ipni.org:names:30000070-2/general-information
https://powo.science.kew.org/taxon/urn:lsid:ipni.org:names:30000070-2</x:v>
      </x:c>
      <x:c r="X238" s="215" t="str">
        <x:v>No - retain qualifiers and exceptions</x:v>
      </x:c>
      <x:c r="Y238" s="215" t="str">
        <x:v>Yes</x:v>
      </x:c>
      <x:c r="Z238" s="215" t="str">
        <x:v>Human review required</x:v>
      </x:c>
    </x:row>
    <x:row r="239" ht="42" customHeight="1">
      <x:c r="A239" s="215" t="str">
        <x:v>Verbenaceae</x:v>
      </x:c>
      <x:c r="B239" s="215" t="str">
        <x:v>VERB-OVARY</x:v>
      </x:c>
      <x:c r="C239" s="215" t="str">
        <x:v>Broad family suite</x:v>
      </x:c>
      <x:c r="D239" s="215" t="str">
        <x:v>Gynoecium</x:v>
      </x:c>
      <x:c r="E239" s="215" t="str">
        <x:v>Ovary superior, two carpels, often appearing four-locular</x:v>
      </x:c>
      <x:c r="F239" s="215" t="str">
        <x:v>Strong</x:v>
      </x:c>
      <x:c r="G239" s="215" t="str">
        <x:v>4</x:v>
      </x:c>
      <x:c r="H239" s="215" t="str">
        <x:v>Moderate</x:v>
      </x:c>
      <x:c r="I239" s="215" t="str">
        <x:v>Hand lens or dissection</x:v>
      </x:c>
      <x:c r="J239" s="215" t="str">
        <x:v>Flowering to young fruit</x:v>
      </x:c>
      <x:c r="K239" s="215" t="str">
        <x:v>Internal false partitions can make the ovary look divided into four chambers, usually with one ovule in each.</x:v>
      </x:c>
      <x:c r="L239" s="215" t="str">
        <x:v>Locule number and completeness vary among lineages; internal structure is difficult without sectioning.</x:v>
      </x:c>
      <x:c r="M239" s="215" t="str">
        <x:v>Supports the family but must be paired with terminal style.</x:v>
      </x:c>
      <x:c r="N239" s="215" t="str">
        <x:v>Expected across local genera.</x:v>
      </x:c>
      <x:c r="O239" s="215" t="str">
        <x:v>Low</x:v>
      </x:c>
      <x:c r="P239" s="215" t="str">
        <x:v>No</x:v>
      </x:c>
      <x:c r="Q239" s="215" t="str"/>
      <x:c r="R239" s="215" t="str">
        <x:v>VERB-LK01; VERB-LK02</x:v>
      </x:c>
      <x:c r="S239" s="215" t="str">
        <x:v>APWEB-LAM; KEW-VERB-GI; POWO-VERB</x:v>
      </x:c>
      <x:c r="T239" s="215" t="str">
        <x:v>https://mobot.org/MOBOT/research/APweb/orders/lamialesweb.htm</x:v>
      </x:c>
      <x:c r="U239" s="215" t="str">
        <x:v>https://powo.science.kew.org/taxon/urn:lsid:ipni.org:names:30000070-2/general-information</x:v>
      </x:c>
      <x:c r="V239" s="215" t="str">
        <x:v>https://powo.science.kew.org/taxon/urn:lsid:ipni.org:names:30000070-2</x:v>
      </x:c>
      <x:c r="W239" s="215" t="str">
        <x:v>https://mobot.org/MOBOT/research/APweb/orders/lamialesweb.htm
https://powo.science.kew.org/taxon/urn:lsid:ipni.org:names:30000070-2/general-information
https://powo.science.kew.org/taxon/urn:lsid:ipni.org:names:30000070-2</x:v>
      </x:c>
      <x:c r="X239" s="215" t="str">
        <x:v>No - retain qualifiers and exceptions</x:v>
      </x:c>
      <x:c r="Y239" s="215" t="str">
        <x:v>Yes</x:v>
      </x:c>
      <x:c r="Z239" s="215" t="str">
        <x:v>Source-backed draft</x:v>
      </x:c>
    </x:row>
    <x:row r="240" ht="42" customHeight="1">
      <x:c r="A240" s="215" t="str">
        <x:v>Verbenaceae</x:v>
      </x:c>
      <x:c r="B240" s="215" t="str">
        <x:v>VERB-STYLE</x:v>
      </x:c>
      <x:c r="C240" s="215" t="str">
        <x:v>Broad family suite</x:v>
      </x:c>
      <x:c r="D240" s="215" t="str">
        <x:v>Gynoecium</x:v>
      </x:c>
      <x:c r="E240" s="215" t="str">
        <x:v>Style terminal or nearly terminal, not deeply gynobasic</x:v>
      </x:c>
      <x:c r="F240" s="215" t="str">
        <x:v>Core</x:v>
      </x:c>
      <x:c r="G240" s="215" t="str">
        <x:v>5</x:v>
      </x:c>
      <x:c r="H240" s="215" t="str">
        <x:v>High with careful view</x:v>
      </x:c>
      <x:c r="I240" s="215" t="str">
        <x:v>Hand lens; sometimes dissection</x:v>
      </x:c>
      <x:c r="J240" s="215" t="str">
        <x:v>Flowering to young fruit</x:v>
      </x:c>
      <x:c r="K240" s="215" t="str">
        <x:v>The style rises from the top of the ovary rather than from between four deep ovary lobes.</x:v>
      </x:c>
      <x:c r="L240" s="215" t="str">
        <x:v>A shallowly lobed ovary or tiny flower can make the position difficult to judge; some variation occurs.</x:v>
      </x:c>
      <x:c r="M240" s="215" t="str">
        <x:v>The most useful separation from many Lamiaceae, which often have a deeply four-lobed ovary and gynobasic style.</x:v>
      </x:c>
      <x:c r="N240" s="215" t="str">
        <x:v>Critical across local Verbenaceae.</x:v>
      </x:c>
      <x:c r="O240" s="215" t="str">
        <x:v>Moderate</x:v>
      </x:c>
      <x:c r="P240" s="215" t="str">
        <x:v>Yes</x:v>
      </x:c>
      <x:c r="Q240" s="215" t="str">
        <x:v>Create a photo guide for top-versus-between-lobes interpretation before public use.</x:v>
      </x:c>
      <x:c r="R240" s="215" t="str">
        <x:v>VERB-LK01</x:v>
      </x:c>
      <x:c r="S240" s="215" t="str">
        <x:v>APWEB-LAM; KEW-VERB-GI; POWO-VERB</x:v>
      </x:c>
      <x:c r="T240" s="215" t="str">
        <x:v>https://mobot.org/MOBOT/research/APweb/orders/lamialesweb.htm</x:v>
      </x:c>
      <x:c r="U240" s="215" t="str">
        <x:v>https://powo.science.kew.org/taxon/urn:lsid:ipni.org:names:30000070-2/general-information</x:v>
      </x:c>
      <x:c r="V240" s="215" t="str">
        <x:v>https://powo.science.kew.org/taxon/urn:lsid:ipni.org:names:30000070-2</x:v>
      </x:c>
      <x:c r="W240" s="215" t="str">
        <x:v>https://mobot.org/MOBOT/research/APweb/orders/lamialesweb.htm
https://powo.science.kew.org/taxon/urn:lsid:ipni.org:names:30000070-2/general-information
https://powo.science.kew.org/taxon/urn:lsid:ipni.org:names:30000070-2</x:v>
      </x:c>
      <x:c r="X240" s="215" t="str">
        <x:v>No - retain qualifiers and exceptions</x:v>
      </x:c>
      <x:c r="Y240" s="215" t="str">
        <x:v>Yes</x:v>
      </x:c>
      <x:c r="Z240" s="215" t="str">
        <x:v>Human review required</x:v>
      </x:c>
    </x:row>
    <x:row r="241" ht="42" customHeight="1">
      <x:c r="A241" s="215" t="str">
        <x:v>Verbenaceae</x:v>
      </x:c>
      <x:c r="B241" s="215" t="str">
        <x:v>VERB-FRUIT</x:v>
      </x:c>
      <x:c r="C241" s="215" t="str">
        <x:v>Broad family suite</x:v>
      </x:c>
      <x:c r="D241" s="215" t="str">
        <x:v>Fruit</x:v>
      </x:c>
      <x:c r="E241" s="215" t="str">
        <x:v>Fruit a drupe or schizocarp splitting into 2 or 4 mericarps</x:v>
      </x:c>
      <x:c r="F241" s="215" t="str">
        <x:v>Core</x:v>
      </x:c>
      <x:c r="G241" s="215" t="str">
        <x:v>5</x:v>
      </x:c>
      <x:c r="H241" s="215" t="str">
        <x:v>High</x:v>
      </x:c>
      <x:c r="I241" s="215" t="str">
        <x:v>Naked eye or hand lens</x:v>
      </x:c>
      <x:c r="J241" s="215" t="str">
        <x:v>Mature fruit</x:v>
      </x:c>
      <x:c r="K241" s="215" t="str">
        <x:v>The ovary matures either into a fleshy stone fruit or a dry fruit that breaks into a small number of units.</x:v>
      </x:c>
      <x:c r="L241" s="215" t="str">
        <x:v>Fruit texture and splitting pattern vary strongly among tribes; immature fruit can mislead.</x:v>
      </x:c>
      <x:c r="M241" s="215" t="str">
        <x:v>Decisive when combined with terminal style and persistent calyx.</x:v>
      </x:c>
      <x:c r="N241" s="215" t="str">
        <x:v>Local genera include both dry and fleshy routes.</x:v>
      </x:c>
      <x:c r="O241" s="215" t="str">
        <x:v>Low</x:v>
      </x:c>
      <x:c r="P241" s="215" t="str">
        <x:v>No</x:v>
      </x:c>
      <x:c r="Q241" s="215" t="str"/>
      <x:c r="R241" s="215" t="str">
        <x:v>VERB-LK01; VERB-LK02; VERB-LK03</x:v>
      </x:c>
      <x:c r="S241" s="215" t="str">
        <x:v>APWEB-LAM; KEW-VERB-GI; POWO-VERB</x:v>
      </x:c>
      <x:c r="T241" s="215" t="str">
        <x:v>https://mobot.org/MOBOT/research/APweb/orders/lamialesweb.htm</x:v>
      </x:c>
      <x:c r="U241" s="215" t="str">
        <x:v>https://powo.science.kew.org/taxon/urn:lsid:ipni.org:names:30000070-2/general-information</x:v>
      </x:c>
      <x:c r="V241" s="215" t="str">
        <x:v>https://powo.science.kew.org/taxon/urn:lsid:ipni.org:names:30000070-2</x:v>
      </x:c>
      <x:c r="W241" s="215" t="str">
        <x:v>https://mobot.org/MOBOT/research/APweb/orders/lamialesweb.htm
https://powo.science.kew.org/taxon/urn:lsid:ipni.org:names:30000070-2/general-information
https://powo.science.kew.org/taxon/urn:lsid:ipni.org:names:30000070-2</x:v>
      </x:c>
      <x:c r="X241" s="215" t="str">
        <x:v>No - retain qualifiers and exceptions</x:v>
      </x:c>
      <x:c r="Y241" s="215" t="str">
        <x:v>Yes</x:v>
      </x:c>
      <x:c r="Z241" s="215" t="str">
        <x:v>Source-backed draft</x:v>
      </x:c>
    </x:row>
    <x:row r="242" ht="42" customHeight="1">
      <x:c r="A242" s="215" t="str">
        <x:v>Verbenaceae</x:v>
      </x:c>
      <x:c r="B242" s="215" t="str">
        <x:v>VERB-VERBENA</x:v>
      </x:c>
      <x:c r="C242" s="215" t="str">
        <x:v>Local subgroup: Verbena and Glandularia</x:v>
      </x:c>
      <x:c r="D242" s="215" t="str">
        <x:v>Inflorescence and fruit</x:v>
      </x:c>
      <x:c r="E242" s="215" t="str">
        <x:v>Spikes or heads of small flowers; dry fruit splitting into four one-seeded mericarps</x:v>
      </x:c>
      <x:c r="F242" s="215" t="str">
        <x:v>Subgroup</x:v>
      </x:c>
      <x:c r="G242" s="215" t="str">
        <x:v>5</x:v>
      </x:c>
      <x:c r="H242" s="215" t="str">
        <x:v>High with fruit</x:v>
      </x:c>
      <x:c r="I242" s="215" t="str">
        <x:v>Naked eye plus hand lens</x:v>
      </x:c>
      <x:c r="J242" s="215" t="str">
        <x:v>Flowering and fruiting</x:v>
      </x:c>
      <x:c r="K242" s="215" t="str">
        <x:v>These herbaceous local vervains retain a dry four-part fruit inside the persistent calyx.</x:v>
      </x:c>
      <x:c r="L242" s="215" t="str">
        <x:v>Glandularia and Verbena differ in habit, inflorescence, corolla tube, style, and fruit details; names have shifted historically.</x:v>
      </x:c>
      <x:c r="M242" s="215" t="str">
        <x:v>Routes the five Verbena/Glandularia local species to a dry-fruited branch.</x:v>
      </x:c>
      <x:c r="N242" s="215" t="str">
        <x:v>Directly applies to two Glandularia and four Verbena rows.</x:v>
      </x:c>
      <x:c r="O242" s="215" t="str">
        <x:v>Moderate</x:v>
      </x:c>
      <x:c r="P242" s="215" t="str">
        <x:v>Yes</x:v>
      </x:c>
      <x:c r="Q242" s="215" t="str">
        <x:v>A dedicated genus matrix is needed to separate Verbena and Glandularia reliably.</x:v>
      </x:c>
      <x:c r="R242" s="215" t="str">
        <x:v>VERB-LK01; VERB-LK03</x:v>
      </x:c>
      <x:c r="S242" s="215" t="str">
        <x:v>KEW-VERB-GI; APWEB-LAM; POWO-VERB</x:v>
      </x:c>
      <x:c r="T242" s="215" t="str">
        <x:v>https://mobot.org/MOBOT/research/APweb/orders/lamialesweb.htm</x:v>
      </x:c>
      <x:c r="U242" s="215" t="str">
        <x:v>https://powo.science.kew.org/taxon/urn:lsid:ipni.org:names:30000070-2/general-information</x:v>
      </x:c>
      <x:c r="V242" s="215" t="str">
        <x:v>https://powo.science.kew.org/taxon/urn:lsid:ipni.org:names:30000070-2</x:v>
      </x:c>
      <x:c r="W242" s="215" t="str">
        <x:v>https://powo.science.kew.org/taxon/urn:lsid:ipni.org:names:30000070-2/general-information
https://mobot.org/MOBOT/research/APweb/orders/lamialesweb.htm
https://powo.science.kew.org/taxon/urn:lsid:ipni.org:names:30000070-2</x:v>
      </x:c>
      <x:c r="X242" s="215" t="str">
        <x:v>No - retain qualifiers and exceptions</x:v>
      </x:c>
      <x:c r="Y242" s="215" t="str">
        <x:v>Yes</x:v>
      </x:c>
      <x:c r="Z242" s="215" t="str">
        <x:v>Human review required</x:v>
      </x:c>
    </x:row>
    <x:row r="243" ht="42" customHeight="1">
      <x:c r="A243" s="215" t="str">
        <x:v>Verbenaceae</x:v>
      </x:c>
      <x:c r="B243" s="215" t="str">
        <x:v>VERB-LANTANA</x:v>
      </x:c>
      <x:c r="C243" s="215" t="str">
        <x:v>Local subgroup: Lantana</x:v>
      </x:c>
      <x:c r="D243" s="215" t="str">
        <x:v>Inflorescence and fruit</x:v>
      </x:c>
      <x:c r="E243" s="215" t="str">
        <x:v>Dense flower heads followed by fleshy drupes</x:v>
      </x:c>
      <x:c r="F243" s="215" t="str">
        <x:v>Subgroup</x:v>
      </x:c>
      <x:c r="G243" s="215" t="str">
        <x:v>5</x:v>
      </x:c>
      <x:c r="H243" s="215" t="str">
        <x:v>High</x:v>
      </x:c>
      <x:c r="I243" s="215" t="str">
        <x:v>Naked eye</x:v>
      </x:c>
      <x:c r="J243" s="215" t="str">
        <x:v>Flowering and fruiting</x:v>
      </x:c>
      <x:c r="K243" s="215" t="str">
        <x:v>Many small flowers share a compact head, and each matures into a small fleshy, stone-bearing fruit.</x:v>
      </x:c>
      <x:c r="L243" s="215" t="str">
        <x:v>Phyla also has heads but its fruit and growth form differ; immature Lantana fruit may remain green and hard.</x:v>
      </x:c>
      <x:c r="M243" s="215" t="str">
        <x:v>Strongly routes local Lantana after family placement.</x:v>
      </x:c>
      <x:c r="N243" s="215" t="str">
        <x:v>Directly applies to Lantana urticoides.</x:v>
      </x:c>
      <x:c r="O243" s="215" t="str">
        <x:v>Low</x:v>
      </x:c>
      <x:c r="P243" s="215" t="str">
        <x:v>No</x:v>
      </x:c>
      <x:c r="Q243" s="215" t="str"/>
      <x:c r="R243" s="215" t="str">
        <x:v>VERB-LK01</x:v>
      </x:c>
      <x:c r="S243" s="215" t="str">
        <x:v>KEW-VERB-GI; APWEB-LAM; POWO-VERB</x:v>
      </x:c>
      <x:c r="T243" s="215" t="str">
        <x:v>https://mobot.org/MOBOT/research/APweb/orders/lamialesweb.htm</x:v>
      </x:c>
      <x:c r="U243" s="215" t="str">
        <x:v>https://powo.science.kew.org/taxon/urn:lsid:ipni.org:names:30000070-2/general-information</x:v>
      </x:c>
      <x:c r="V243" s="215" t="str">
        <x:v>https://powo.science.kew.org/taxon/urn:lsid:ipni.org:names:30000070-2</x:v>
      </x:c>
      <x:c r="W243" s="215" t="str">
        <x:v>https://powo.science.kew.org/taxon/urn:lsid:ipni.org:names:30000070-2/general-information
https://mobot.org/MOBOT/research/APweb/orders/lamialesweb.htm
https://powo.science.kew.org/taxon/urn:lsid:ipni.org:names:30000070-2</x:v>
      </x:c>
      <x:c r="X243" s="215" t="str">
        <x:v>No - retain qualifiers and exceptions</x:v>
      </x:c>
      <x:c r="Y243" s="215" t="str">
        <x:v>Yes</x:v>
      </x:c>
      <x:c r="Z243" s="215" t="str">
        <x:v>Source-backed draft</x:v>
      </x:c>
    </x:row>
    <x:row r="244" ht="42" customHeight="1">
      <x:c r="A244" s="215" t="str">
        <x:v>Verbenaceae</x:v>
      </x:c>
      <x:c r="B244" s="215" t="str">
        <x:v>VERB-PHYLA</x:v>
      </x:c>
      <x:c r="C244" s="215" t="str">
        <x:v>Local subgroup: Phyla</x:v>
      </x:c>
      <x:c r="D244" s="215" t="str">
        <x:v>Habit, inflorescence, fruit</x:v>
      </x:c>
      <x:c r="E244" s="215" t="str">
        <x:v>Creeping herb with compact heads and a small dry or drupelike two-part fruit</x:v>
      </x:c>
      <x:c r="F244" s="215" t="str">
        <x:v>Subgroup</x:v>
      </x:c>
      <x:c r="G244" s="215" t="str">
        <x:v>4</x:v>
      </x:c>
      <x:c r="H244" s="215" t="str">
        <x:v>Moderate to high</x:v>
      </x:c>
      <x:c r="I244" s="215" t="str">
        <x:v>Naked eye plus hand lens</x:v>
      </x:c>
      <x:c r="J244" s="215" t="str">
        <x:v>Flowering and fruiting</x:v>
      </x:c>
      <x:c r="K244" s="215" t="str">
        <x:v>A mat-forming stem and short dense flower head point toward Phyla.</x:v>
      </x:c>
      <x:c r="L244" s="215" t="str">
        <x:v>Creeping habit and heads occur elsewhere; fruit terminology and splitting require close inspection.</x:v>
      </x:c>
      <x:c r="M244" s="215" t="str">
        <x:v>Separates the local frogfruit route from Lantana and upright vervains.</x:v>
      </x:c>
      <x:c r="N244" s="215" t="str">
        <x:v>Directly applies to Phyla nodiflora.</x:v>
      </x:c>
      <x:c r="O244" s="215" t="str">
        <x:v>Moderate</x:v>
      </x:c>
      <x:c r="P244" s="215" t="str">
        <x:v>Yes</x:v>
      </x:c>
      <x:c r="Q244" s="215" t="str">
        <x:v>Human review should standardize fruit terminology and confirm the smallest field-visible difference from Lantana.</x:v>
      </x:c>
      <x:c r="R244" s="215" t="str">
        <x:v>VERB-LK01; VERB-LK03</x:v>
      </x:c>
      <x:c r="S244" s="215" t="str">
        <x:v>KEW-VERB-GI; APWEB-LAM; POWO-VERB</x:v>
      </x:c>
      <x:c r="T244" s="215" t="str">
        <x:v>https://mobot.org/MOBOT/research/APweb/orders/lamialesweb.htm</x:v>
      </x:c>
      <x:c r="U244" s="215" t="str">
        <x:v>https://powo.science.kew.org/taxon/urn:lsid:ipni.org:names:30000070-2/general-information</x:v>
      </x:c>
      <x:c r="V244" s="215" t="str">
        <x:v>https://powo.science.kew.org/taxon/urn:lsid:ipni.org:names:30000070-2</x:v>
      </x:c>
      <x:c r="W244" s="215" t="str">
        <x:v>https://powo.science.kew.org/taxon/urn:lsid:ipni.org:names:30000070-2/general-information
https://mobot.org/MOBOT/research/APweb/orders/lamialesweb.htm
https://powo.science.kew.org/taxon/urn:lsid:ipni.org:names:30000070-2</x:v>
      </x:c>
      <x:c r="X244" s="215" t="str">
        <x:v>No - retain qualifiers and exceptions</x:v>
      </x:c>
      <x:c r="Y244" s="215" t="str">
        <x:v>Yes</x:v>
      </x:c>
      <x:c r="Z244" s="215" t="str">
        <x:v>Human review required</x:v>
      </x:c>
    </x:row>
    <x:row r="245" ht="42" customHeight="1">
      <x:c r="A245" s="215" t="str">
        <x:v>Verbenaceae</x:v>
      </x:c>
      <x:c r="B245" s="215" t="str">
        <x:v>VERB-ALOYSIA</x:v>
      </x:c>
      <x:c r="C245" s="215" t="str">
        <x:v>Local subgroup: Aloysia</x:v>
      </x:c>
      <x:c r="D245" s="215" t="str">
        <x:v>Habit and inflorescence</x:v>
      </x:c>
      <x:c r="E245" s="215" t="str">
        <x:v>Woody aromatic shrub with slender spikes or racemes and dry fruit</x:v>
      </x:c>
      <x:c r="F245" s="215" t="str">
        <x:v>Subgroup</x:v>
      </x:c>
      <x:c r="G245" s="215" t="str">
        <x:v>5</x:v>
      </x:c>
      <x:c r="H245" s="215" t="str">
        <x:v>Moderate to high</x:v>
      </x:c>
      <x:c r="I245" s="215" t="str">
        <x:v>Naked eye plus hand lens</x:v>
      </x:c>
      <x:c r="J245" s="215" t="str">
        <x:v>Flowering and fruiting</x:v>
      </x:c>
      <x:c r="K245" s="215" t="str">
        <x:v>The local Aloysia route is woody, often fragrant, and carries many small flowers along narrow axes.</x:v>
      </x:c>
      <x:c r="L245" s="215" t="str">
        <x:v>Other aromatic shrubs can look similar; fruit and terminal style still must agree.</x:v>
      </x:c>
      <x:c r="M245" s="215" t="str">
        <x:v>Separates Aloysia from herbaceous Verbena/Glandularia and head-forming Lantana/Phyla.</x:v>
      </x:c>
      <x:c r="N245" s="215" t="str">
        <x:v>Directly applies to Aloysia gratissima.</x:v>
      </x:c>
      <x:c r="O245" s="215" t="str">
        <x:v>Low</x:v>
      </x:c>
      <x:c r="P245" s="215" t="str">
        <x:v>No</x:v>
      </x:c>
      <x:c r="Q245" s="215" t="str"/>
      <x:c r="R245" s="215" t="str">
        <x:v>VERB-LK01</x:v>
      </x:c>
      <x:c r="S245" s="215" t="str">
        <x:v>KEW-VERB-GI; APWEB-LAM; POWO-VERB</x:v>
      </x:c>
      <x:c r="T245" s="215" t="str">
        <x:v>https://mobot.org/MOBOT/research/APweb/orders/lamialesweb.htm</x:v>
      </x:c>
      <x:c r="U245" s="215" t="str">
        <x:v>https://powo.science.kew.org/taxon/urn:lsid:ipni.org:names:30000070-2/general-information</x:v>
      </x:c>
      <x:c r="V245" s="215" t="str">
        <x:v>https://powo.science.kew.org/taxon/urn:lsid:ipni.org:names:30000070-2</x:v>
      </x:c>
      <x:c r="W245" s="215" t="str">
        <x:v>https://powo.science.kew.org/taxon/urn:lsid:ipni.org:names:30000070-2/general-information
https://mobot.org/MOBOT/research/APweb/orders/lamialesweb.htm
https://powo.science.kew.org/taxon/urn:lsid:ipni.org:names:30000070-2</x:v>
      </x:c>
      <x:c r="X245" s="215" t="str">
        <x:v>No - retain qualifiers and exceptions</x:v>
      </x:c>
      <x:c r="Y245" s="215" t="str">
        <x:v>Yes</x:v>
      </x:c>
      <x:c r="Z245" s="215" t="str">
        <x:v>Source-backed draft</x:v>
      </x:c>
    </x:row>
    <x:row r="246" ht="42" customHeight="1">
      <x:c r="A246" s="215" t="str">
        <x:v>Verbenaceae</x:v>
      </x:c>
      <x:c r="B246" s="215" t="str">
        <x:v>VERB-SAFETY</x:v>
      </x:c>
      <x:c r="C246" s="215" t="str">
        <x:v>Observation rule</x:v>
      </x:c>
      <x:c r="D246" s="215" t="str">
        <x:v>Safety</x:v>
      </x:c>
      <x:c r="E246" s="215" t="str">
        <x:v>Do not taste fruits or leaves</x:v>
      </x:c>
      <x:c r="F246" s="215" t="str">
        <x:v>Caution</x:v>
      </x:c>
      <x:c r="G246" s="215" t="str">
        <x:v>0</x:v>
      </x:c>
      <x:c r="H246" s="215" t="str">
        <x:v>High</x:v>
      </x:c>
      <x:c r="I246" s="215" t="str">
        <x:v>Behavioral rule</x:v>
      </x:c>
      <x:c r="J246" s="215" t="str">
        <x:v>Any</x:v>
      </x:c>
      <x:c r="K246" s="215" t="str">
        <x:v>Family members differ in toxicity, and taste is unnecessary for identification.</x:v>
      </x:c>
      <x:c r="L246" s="215" t="str">
        <x:v>Risk varies among species, plant parts, and maturity.</x:v>
      </x:c>
      <x:c r="M246" s="215" t="str">
        <x:v>Prevents unsafe confirmation attempts, especially with Lantana fruit.</x:v>
      </x:c>
      <x:c r="N246" s="215" t="str">
        <x:v>Suitable for all local routes.</x:v>
      </x:c>
      <x:c r="O246" s="215" t="str">
        <x:v>Low</x:v>
      </x:c>
      <x:c r="P246" s="215" t="str">
        <x:v>No</x:v>
      </x:c>
      <x:c r="Q246" s="215" t="str"/>
      <x:c r="R246" s="215" t="str"/>
      <x:c r="S246" s="215" t="str">
        <x:v>KEW-VERB-GI; POWO-VERB</x:v>
      </x:c>
      <x:c r="T246" s="215" t="str">
        <x:v>https://mobot.org/MOBOT/research/APweb/orders/lamialesweb.htm</x:v>
      </x:c>
      <x:c r="U246" s="215" t="str">
        <x:v>https://powo.science.kew.org/taxon/urn:lsid:ipni.org:names:30000070-2/general-information</x:v>
      </x:c>
      <x:c r="V246" s="215" t="str">
        <x:v>https://powo.science.kew.org/taxon/urn:lsid:ipni.org:names:30000070-2</x:v>
      </x:c>
      <x:c r="W246" s="215" t="str">
        <x:v>https://powo.science.kew.org/taxon/urn:lsid:ipni.org:names:30000070-2/general-information
https://powo.science.kew.org/taxon/urn:lsid:ipni.org:names:30000070-2
https://mobot.org/MOBOT/research/APweb/orders/lamialesweb.htm</x:v>
      </x:c>
      <x:c r="X246" s="215" t="str">
        <x:v>No - retain qualifiers and exceptions</x:v>
      </x:c>
      <x:c r="Y246" s="215" t="str">
        <x:v>Yes</x:v>
      </x:c>
      <x:c r="Z246" s="215" t="str">
        <x:v>Source-backed draft</x:v>
      </x:c>
    </x:row>
    <x:row r="247" ht="42" customHeight="1">
      <x:c r="A247" s="215" t="str">
        <x:v>Asteraceae</x:v>
      </x:c>
      <x:c r="B247" s="215" t="str">
        <x:v>AST-HEAD</x:v>
      </x:c>
      <x:c r="C247" s="215" t="str">
        <x:v>Family-wide, with reduced exceptions</x:v>
      </x:c>
      <x:c r="D247" s="215" t="str">
        <x:v>Inflorescence</x:v>
      </x:c>
      <x:c r="E247" s="215" t="str">
        <x:v>Flowers aggregated into a capitulum or head, usually surrounded by an involucre</x:v>
      </x:c>
      <x:c r="F247" s="215" t="str">
        <x:v>Core</x:v>
      </x:c>
      <x:c r="G247" s="215" t="str">
        <x:v>5</x:v>
      </x:c>
      <x:c r="H247" s="215" t="str">
        <x:v>High</x:v>
      </x:c>
      <x:c r="I247" s="215" t="str">
        <x:v>Naked eye to hand lens</x:v>
      </x:c>
      <x:c r="J247" s="215" t="str">
        <x:v>Flowering or fruiting</x:v>
      </x:c>
      <x:c r="K247" s="215" t="str">
        <x:v>What looks like one flower is usually a whole cluster of small florets sharing one receptacle.</x:v>
      </x:c>
      <x:c r="L247" s="215" t="str">
        <x:v>Heads may contain only one or a few florets, and highly reduced heads can be difficult to recognize; a head alone is not unique to Asteraceae.</x:v>
      </x:c>
      <x:c r="M247" s="215" t="str">
        <x:v>First determine whether the apparent flower is a composite head, then confirm with phyllaries, anther tube, inferior one-ovulate ovaries, or cypselae.</x:v>
      </x:c>
      <x:c r="N247" s="215" t="str">
        <x:v>A high-priority Hays County family across prairie, roadside, riparian, and disturbed habitats; local material spans radiate, discoid, disciform, and liguliflorous heads.</x:v>
      </x:c>
      <x:c r="O247" s="215" t="str">
        <x:v>Low</x:v>
      </x:c>
      <x:c r="P247" s="215" t="str">
        <x:v>No</x:v>
      </x:c>
      <x:c r="Q247" s="215" t="str"/>
      <x:c r="R247" s="215" t="str">
        <x:v>AST-LK01; AST-LK02</x:v>
      </x:c>
      <x:c r="S247" s="215" t="str">
        <x:v>APWEB-ASTER; FNA-ASTER; POWO-ASTER; LBJWC-HAYS</x:v>
      </x:c>
      <x:c r="T247" s="215" t="str">
        <x:v>https://www.mobot.org/MOBOT/research/APweb/orders/asteralesweb.htm</x:v>
      </x:c>
      <x:c r="U247" s="215" t="str">
        <x:v>https://floranorthamerica.org/Asteraceae</x:v>
      </x:c>
      <x:c r="V247" s="215" t="str">
        <x:v>https://powo.science.kew.org/taxon/urn:lsid:ipni.org:names:319342-2</x:v>
      </x:c>
      <x:c r="W247" s="215" t="str">
        <x:v>https://www.mobot.org/MOBOT/research/APweb/orders/asteralesweb.htm
https://floranorthamerica.org/Asteraceae
https://powo.science.kew.org/taxon/urn:lsid:ipni.org:names:319342-2
https://www.wildflower.org/collections/collection.php?collection=hays</x:v>
      </x:c>
      <x:c r="X247" s="215" t="str">
        <x:v>No — retain qualifiers and exceptions</x:v>
      </x:c>
      <x:c r="Y247" s="215" t="str">
        <x:v>Yes</x:v>
      </x:c>
      <x:c r="Z247" s="215" t="str">
        <x:v>Source-backed draft</x:v>
      </x:c>
    </x:row>
    <x:row r="248" ht="42" customHeight="1">
      <x:c r="A248" s="215" t="str">
        <x:v>Asteraceae</x:v>
      </x:c>
      <x:c r="B248" s="215" t="str">
        <x:v>AST-PHYLLARY</x:v>
      </x:c>
      <x:c r="C248" s="215" t="str">
        <x:v>Broad family tendency</x:v>
      </x:c>
      <x:c r="D248" s="215" t="str">
        <x:v>Involucre</x:v>
      </x:c>
      <x:c r="E248" s="215" t="str">
        <x:v>One or more series of phyllaries commonly surround the receptacle</x:v>
      </x:c>
      <x:c r="F248" s="215" t="str">
        <x:v>Strong</x:v>
      </x:c>
      <x:c r="G248" s="215" t="str">
        <x:v>4</x:v>
      </x:c>
      <x:c r="H248" s="215" t="str">
        <x:v>High in typical heads</x:v>
      </x:c>
      <x:c r="I248" s="215" t="str">
        <x:v>Naked eye or hand lens</x:v>
      </x:c>
      <x:c r="J248" s="215" t="str">
        <x:v>Flowering or fruiting</x:v>
      </x:c>
      <x:c r="K248" s="215" t="str">
        <x:v>Leaflike or scale-like bracts make a cup, cylinder, or spreading ring beneath the florets.</x:v>
      </x:c>
      <x:c r="L248" s="215" t="str">
        <x:v>Phyllaries vary greatly and are rarely absent; an extra calyculus of bractlets may occur below them.</x:v>
      </x:c>
      <x:c r="M248" s="215" t="str">
        <x:v>Use phyllary number, arrangement, texture, and shape after confirming a composite head; do not confuse them with sepals of one large flower.</x:v>
      </x:c>
      <x:c r="N248" s="215" t="str">
        <x:v>A high-priority Hays County family across prairie, roadside, riparian, and disturbed habitats; local material spans radiate, discoid, disciform, and liguliflorous heads.</x:v>
      </x:c>
      <x:c r="O248" s="215" t="str">
        <x:v>Low</x:v>
      </x:c>
      <x:c r="P248" s="215" t="str">
        <x:v>No</x:v>
      </x:c>
      <x:c r="Q248" s="215" t="str"/>
      <x:c r="R248" s="215" t="str">
        <x:v>AST-LK01; AST-LK02</x:v>
      </x:c>
      <x:c r="S248" s="215" t="str">
        <x:v>APWEB-ASTER; FNA-ASTER; POWO-ASTER; LBJWC-HAYS</x:v>
      </x:c>
      <x:c r="T248" s="215" t="str">
        <x:v>https://www.mobot.org/MOBOT/research/APweb/orders/asteralesweb.htm</x:v>
      </x:c>
      <x:c r="U248" s="215" t="str">
        <x:v>https://floranorthamerica.org/Asteraceae</x:v>
      </x:c>
      <x:c r="V248" s="215" t="str">
        <x:v>https://powo.science.kew.org/taxon/urn:lsid:ipni.org:names:319342-2</x:v>
      </x:c>
      <x:c r="W248" s="215" t="str">
        <x:v>https://www.mobot.org/MOBOT/research/APweb/orders/asteralesweb.htm
https://floranorthamerica.org/Asteraceae
https://powo.science.kew.org/taxon/urn:lsid:ipni.org:names:319342-2
https://www.wildflower.org/collections/collection.php?collection=hays</x:v>
      </x:c>
      <x:c r="X248" s="215" t="str">
        <x:v>No — retain qualifiers and exceptions</x:v>
      </x:c>
      <x:c r="Y248" s="215" t="str">
        <x:v>Yes</x:v>
      </x:c>
      <x:c r="Z248" s="215" t="str">
        <x:v>Source-backed draft</x:v>
      </x:c>
    </x:row>
    <x:row r="249" ht="42" customHeight="1">
      <x:c r="A249" s="215" t="str">
        <x:v>Asteraceae</x:v>
      </x:c>
      <x:c r="B249" s="215" t="str">
        <x:v>AST-RAYDISC</x:v>
      </x:c>
      <x:c r="C249" s="215" t="str">
        <x:v>Common variation within family</x:v>
      </x:c>
      <x:c r="D249" s="215" t="str">
        <x:v>Floret type</x:v>
      </x:c>
      <x:c r="E249" s="215" t="str">
        <x:v>Heads may have ray, disc, ligulate, filiform, or other floret forms</x:v>
      </x:c>
      <x:c r="F249" s="215" t="str">
        <x:v>Strong</x:v>
      </x:c>
      <x:c r="G249" s="215" t="str">
        <x:v>4</x:v>
      </x:c>
      <x:c r="H249" s="215" t="str">
        <x:v>Variable</x:v>
      </x:c>
      <x:c r="I249" s="215" t="str">
        <x:v>Naked eye or hand lens</x:v>
      </x:c>
      <x:c r="J249" s="215" t="str">
        <x:v>Flowering</x:v>
      </x:c>
      <x:c r="K249" s="215" t="str">
        <x:v>Outer ray florets can look like petals while inner disc florets look like the flower center; some heads have only one floret type.</x:v>
      </x:c>
      <x:c r="L249" s="215" t="str">
        <x:v>Rays are not required. Discoid, disciform, and liguliflorous heads lack the familiar daisy pattern, and sex and fertility of florets vary.</x:v>
      </x:c>
      <x:c r="M249" s="215" t="str">
        <x:v>Recognize each ray or disc unit as a separate flower and examine more than one floret type when present.</x:v>
      </x:c>
      <x:c r="N249" s="215" t="str">
        <x:v>A high-priority Hays County family across prairie, roadside, riparian, and disturbed habitats; local material spans radiate, discoid, disciform, and liguliflorous heads.</x:v>
      </x:c>
      <x:c r="O249" s="215" t="str">
        <x:v>Low</x:v>
      </x:c>
      <x:c r="P249" s="215" t="str">
        <x:v>No</x:v>
      </x:c>
      <x:c r="Q249" s="215" t="str"/>
      <x:c r="R249" s="215" t="str">
        <x:v>AST-LK01</x:v>
      </x:c>
      <x:c r="S249" s="215" t="str">
        <x:v>APWEB-ASTER; FNA-ASTER; POWO-ASTER; LBJWC-HAYS</x:v>
      </x:c>
      <x:c r="T249" s="215" t="str">
        <x:v>https://www.mobot.org/MOBOT/research/APweb/orders/asteralesweb.htm</x:v>
      </x:c>
      <x:c r="U249" s="215" t="str">
        <x:v>https://floranorthamerica.org/Asteraceae</x:v>
      </x:c>
      <x:c r="V249" s="215" t="str">
        <x:v>https://powo.science.kew.org/taxon/urn:lsid:ipni.org:names:319342-2</x:v>
      </x:c>
      <x:c r="W249" s="215" t="str">
        <x:v>https://www.mobot.org/MOBOT/research/APweb/orders/asteralesweb.htm
https://floranorthamerica.org/Asteraceae
https://powo.science.kew.org/taxon/urn:lsid:ipni.org:names:319342-2
https://www.wildflower.org/collections/collection.php?collection=hays</x:v>
      </x:c>
      <x:c r="X249" s="215" t="str">
        <x:v>No — retain qualifiers and exceptions</x:v>
      </x:c>
      <x:c r="Y249" s="215" t="str">
        <x:v>Yes</x:v>
      </x:c>
      <x:c r="Z249" s="215" t="str">
        <x:v>Source-backed draft</x:v>
      </x:c>
    </x:row>
    <x:row r="250" ht="42" customHeight="1">
      <x:c r="A250" s="215" t="str">
        <x:v>Asteraceae</x:v>
      </x:c>
      <x:c r="B250" s="215" t="str">
        <x:v>AST-COROLLA</x:v>
      </x:c>
      <x:c r="C250" s="215" t="str">
        <x:v>Family-wide with variation</x:v>
      </x:c>
      <x:c r="D250" s="215" t="str">
        <x:v>Corolla</x:v>
      </x:c>
      <x:c r="E250" s="215" t="str">
        <x:v>Corollas sympetalous and usually 5-merous, actinomorphic or zygomorphic</x:v>
      </x:c>
      <x:c r="F250" s="215" t="str">
        <x:v>Strong</x:v>
      </x:c>
      <x:c r="G250" s="215" t="str">
        <x:v>4</x:v>
      </x:c>
      <x:c r="H250" s="215" t="str">
        <x:v>Moderate</x:v>
      </x:c>
      <x:c r="I250" s="215" t="str">
        <x:v>Hand lens</x:v>
      </x:c>
      <x:c r="J250" s="215" t="str">
        <x:v>Flowering</x:v>
      </x:c>
      <x:c r="K250" s="215" t="str">
        <x:v>The petals of each tiny floret are joined into a tube, sometimes ending in five lobes or forming a straplike ray.</x:v>
      </x:c>
      <x:c r="L250" s="215" t="str">
        <x:v>Corollas can be 3- to 5-merous, very small, strongly asymmetric, or reduced; count an individual floret, not the whole head.</x:v>
      </x:c>
      <x:c r="M250" s="215" t="str">
        <x:v>Useful after isolating one floret; combine with inferior ovary and anther arrangement.</x:v>
      </x:c>
      <x:c r="N250" s="215" t="str">
        <x:v>A high-priority Hays County family across prairie, roadside, riparian, and disturbed habitats; local material spans radiate, discoid, disciform, and liguliflorous heads.</x:v>
      </x:c>
      <x:c r="O250" s="215" t="str">
        <x:v>Low</x:v>
      </x:c>
      <x:c r="P250" s="215" t="str">
        <x:v>No</x:v>
      </x:c>
      <x:c r="Q250" s="215" t="str"/>
      <x:c r="R250" s="215" t="str">
        <x:v>AST-LK01</x:v>
      </x:c>
      <x:c r="S250" s="215" t="str">
        <x:v>APWEB-ASTER; FNA-ASTER; POWO-ASTER; LBJWC-HAYS</x:v>
      </x:c>
      <x:c r="T250" s="215" t="str">
        <x:v>https://www.mobot.org/MOBOT/research/APweb/orders/asteralesweb.htm</x:v>
      </x:c>
      <x:c r="U250" s="215" t="str">
        <x:v>https://floranorthamerica.org/Asteraceae</x:v>
      </x:c>
      <x:c r="V250" s="215" t="str">
        <x:v>https://powo.science.kew.org/taxon/urn:lsid:ipni.org:names:319342-2</x:v>
      </x:c>
      <x:c r="W250" s="215" t="str">
        <x:v>https://www.mobot.org/MOBOT/research/APweb/orders/asteralesweb.htm
https://floranorthamerica.org/Asteraceae
https://powo.science.kew.org/taxon/urn:lsid:ipni.org:names:319342-2
https://www.wildflower.org/collections/collection.php?collection=hays</x:v>
      </x:c>
      <x:c r="X250" s="215" t="str">
        <x:v>No — retain qualifiers and exceptions</x:v>
      </x:c>
      <x:c r="Y250" s="215" t="str">
        <x:v>Yes</x:v>
      </x:c>
      <x:c r="Z250" s="215" t="str">
        <x:v>Source-backed draft</x:v>
      </x:c>
    </x:row>
    <x:row r="251" ht="42" customHeight="1">
      <x:c r="A251" s="215" t="str">
        <x:v>Asteraceae</x:v>
      </x:c>
      <x:c r="B251" s="215" t="str">
        <x:v>AST-ANTHER</x:v>
      </x:c>
      <x:c r="C251" s="215" t="str">
        <x:v>Nearly family-wide</x:v>
      </x:c>
      <x:c r="D251" s="215" t="str">
        <x:v>Androecium</x:v>
      </x:c>
      <x:c r="E251" s="215" t="str">
        <x:v>Usually 4–5 anthers connate into a tube around the style</x:v>
      </x:c>
      <x:c r="F251" s="215" t="str">
        <x:v>Core</x:v>
      </x:c>
      <x:c r="G251" s="215" t="str">
        <x:v>5</x:v>
      </x:c>
      <x:c r="H251" s="215" t="str">
        <x:v>High when visible</x:v>
      </x:c>
      <x:c r="I251" s="215" t="str">
        <x:v>Hand lens or dissection</x:v>
      </x:c>
      <x:c r="J251" s="215" t="str">
        <x:v>Fresh flowering material</x:v>
      </x:c>
      <x:c r="K251" s="215" t="str">
        <x:v>The style grows upward through a sleeve made by joined anthers and often pushes pollen out.</x:v>
      </x:c>
      <x:c r="L251" s="215" t="str">
        <x:v>Anther or filament arrangement has rare exceptions and can be obscured in old or tiny florets.</x:v>
      </x:c>
      <x:c r="M251" s="215" t="str">
        <x:v>A very strong confirmation character when a head-like inflorescence could belong to another family.</x:v>
      </x:c>
      <x:c r="N251" s="215" t="str">
        <x:v>A high-priority Hays County family across prairie, roadside, riparian, and disturbed habitats; local material spans radiate, discoid, disciform, and liguliflorous heads.</x:v>
      </x:c>
      <x:c r="O251" s="215" t="str">
        <x:v>Low</x:v>
      </x:c>
      <x:c r="P251" s="215" t="str">
        <x:v>No</x:v>
      </x:c>
      <x:c r="Q251" s="215" t="str"/>
      <x:c r="R251" s="215" t="str">
        <x:v>AST-LK02</x:v>
      </x:c>
      <x:c r="S251" s="215" t="str">
        <x:v>APWEB-ASTER; FNA-ASTER; POWO-ASTER; LBJWC-HAYS</x:v>
      </x:c>
      <x:c r="T251" s="215" t="str">
        <x:v>https://www.mobot.org/MOBOT/research/APweb/orders/asteralesweb.htm</x:v>
      </x:c>
      <x:c r="U251" s="215" t="str">
        <x:v>https://floranorthamerica.org/Asteraceae</x:v>
      </x:c>
      <x:c r="V251" s="215" t="str">
        <x:v>https://powo.science.kew.org/taxon/urn:lsid:ipni.org:names:319342-2</x:v>
      </x:c>
      <x:c r="W251" s="215" t="str">
        <x:v>https://www.mobot.org/MOBOT/research/APweb/orders/asteralesweb.htm
https://floranorthamerica.org/Asteraceae
https://powo.science.kew.org/taxon/urn:lsid:ipni.org:names:319342-2
https://www.wildflower.org/collections/collection.php?collection=hays</x:v>
      </x:c>
      <x:c r="X251" s="215" t="str">
        <x:v>No — retain qualifiers and exceptions</x:v>
      </x:c>
      <x:c r="Y251" s="215" t="str">
        <x:v>Yes</x:v>
      </x:c>
      <x:c r="Z251" s="215" t="str">
        <x:v>Source-backed draft</x:v>
      </x:c>
    </x:row>
    <x:row r="252" ht="42" customHeight="1">
      <x:c r="A252" s="215" t="str">
        <x:v>Asteraceae</x:v>
      </x:c>
      <x:c r="B252" s="215" t="str">
        <x:v>AST-OVARY</x:v>
      </x:c>
      <x:c r="C252" s="215" t="str">
        <x:v>Family-wide</x:v>
      </x:c>
      <x:c r="D252" s="215" t="str">
        <x:v>Gynoecium</x:v>
      </x:c>
      <x:c r="E252" s="215" t="str">
        <x:v>Ovary inferior, bicarpellate, one-locular, with one basal ovule per floret</x:v>
      </x:c>
      <x:c r="F252" s="215" t="str">
        <x:v>Core</x:v>
      </x:c>
      <x:c r="G252" s="215" t="str">
        <x:v>5</x:v>
      </x:c>
      <x:c r="H252" s="215" t="str">
        <x:v>High</x:v>
      </x:c>
      <x:c r="I252" s="215" t="str">
        <x:v>Hand lens or dissection</x:v>
      </x:c>
      <x:c r="J252" s="215" t="str">
        <x:v>Flowering to early fruit</x:v>
      </x:c>
      <x:c r="K252" s="215" t="str">
        <x:v>Each floret sits on top of a small ovary that normally develops into one seedlike fruit.</x:v>
      </x:c>
      <x:c r="L252" s="215" t="str">
        <x:v>The inferior boundary is hard to see in very small florets; ovary position alone occurs in unrelated families.</x:v>
      </x:c>
      <x:c r="M252" s="215" t="str">
        <x:v>Confirm a suspected composite by pairing this with an involucrate head and anther tube.</x:v>
      </x:c>
      <x:c r="N252" s="215" t="str">
        <x:v>A high-priority Hays County family across prairie, roadside, riparian, and disturbed habitats; local material spans radiate, discoid, disciform, and liguliflorous heads.</x:v>
      </x:c>
      <x:c r="O252" s="215" t="str">
        <x:v>Low</x:v>
      </x:c>
      <x:c r="P252" s="215" t="str">
        <x:v>No</x:v>
      </x:c>
      <x:c r="Q252" s="215" t="str"/>
      <x:c r="R252" s="215" t="str">
        <x:v>AST-LK02</x:v>
      </x:c>
      <x:c r="S252" s="215" t="str">
        <x:v>APWEB-ASTER; FNA-ASTER; POWO-ASTER; LBJWC-HAYS</x:v>
      </x:c>
      <x:c r="T252" s="215" t="str">
        <x:v>https://www.mobot.org/MOBOT/research/APweb/orders/asteralesweb.htm</x:v>
      </x:c>
      <x:c r="U252" s="215" t="str">
        <x:v>https://floranorthamerica.org/Asteraceae</x:v>
      </x:c>
      <x:c r="V252" s="215" t="str">
        <x:v>https://powo.science.kew.org/taxon/urn:lsid:ipni.org:names:319342-2</x:v>
      </x:c>
      <x:c r="W252" s="215" t="str">
        <x:v>https://www.mobot.org/MOBOT/research/APweb/orders/asteralesweb.htm
https://floranorthamerica.org/Asteraceae
https://powo.science.kew.org/taxon/urn:lsid:ipni.org:names:319342-2
https://www.wildflower.org/collections/collection.php?collection=hays</x:v>
      </x:c>
      <x:c r="X252" s="215" t="str">
        <x:v>No — retain qualifiers and exceptions</x:v>
      </x:c>
      <x:c r="Y252" s="215" t="str">
        <x:v>Yes</x:v>
      </x:c>
      <x:c r="Z252" s="215" t="str">
        <x:v>Source-backed draft</x:v>
      </x:c>
    </x:row>
    <x:row r="253" ht="42" customHeight="1">
      <x:c r="A253" s="215" t="str">
        <x:v>Asteraceae</x:v>
      </x:c>
      <x:c r="B253" s="215" t="str">
        <x:v>AST-PAPPUS</x:v>
      </x:c>
      <x:c r="C253" s="215" t="str">
        <x:v>Broad family tendency</x:v>
      </x:c>
      <x:c r="D253" s="215" t="str">
        <x:v>Calyx / fruit accessory</x:v>
      </x:c>
      <x:c r="E253" s="215" t="str">
        <x:v>Calyx commonly modified into a pappus of bristles, awns, or scales</x:v>
      </x:c>
      <x:c r="F253" s="215" t="str">
        <x:v>Strong</x:v>
      </x:c>
      <x:c r="G253" s="215" t="str">
        <x:v>4</x:v>
      </x:c>
      <x:c r="H253" s="215" t="str">
        <x:v>Variable</x:v>
      </x:c>
      <x:c r="I253" s="215" t="str">
        <x:v>Naked eye to hand lens</x:v>
      </x:c>
      <x:c r="J253" s="215" t="str">
        <x:v>Fruiting, sometimes flowering</x:v>
      </x:c>
      <x:c r="K253" s="215" t="str">
        <x:v>Instead of ordinary sepals, many florets carry hairs, tiny scales, or awns above the ovary.</x:v>
      </x:c>
      <x:c r="L253" s="215" t="str">
        <x:v>The pappus can be absent, reduced to a crown, fall early, or differ between florets in one head.</x:v>
      </x:c>
      <x:c r="M253" s="215" t="str">
        <x:v>Use pappus type as supporting evidence and for genus-level work, but absence never excludes Asteraceae.</x:v>
      </x:c>
      <x:c r="N253" s="215" t="str">
        <x:v>A high-priority Hays County family across prairie, roadside, riparian, and disturbed habitats; local material spans radiate, discoid, disciform, and liguliflorous heads.</x:v>
      </x:c>
      <x:c r="O253" s="215" t="str">
        <x:v>Low</x:v>
      </x:c>
      <x:c r="P253" s="215" t="str">
        <x:v>No</x:v>
      </x:c>
      <x:c r="Q253" s="215" t="str"/>
      <x:c r="R253" s="215" t="str">
        <x:v>AST-LK01</x:v>
      </x:c>
      <x:c r="S253" s="215" t="str">
        <x:v>APWEB-ASTER; FNA-ASTER; POWO-ASTER; LBJWC-HAYS</x:v>
      </x:c>
      <x:c r="T253" s="215" t="str">
        <x:v>https://www.mobot.org/MOBOT/research/APweb/orders/asteralesweb.htm</x:v>
      </x:c>
      <x:c r="U253" s="215" t="str">
        <x:v>https://floranorthamerica.org/Asteraceae</x:v>
      </x:c>
      <x:c r="V253" s="215" t="str">
        <x:v>https://powo.science.kew.org/taxon/urn:lsid:ipni.org:names:319342-2</x:v>
      </x:c>
      <x:c r="W253" s="215" t="str">
        <x:v>https://www.mobot.org/MOBOT/research/APweb/orders/asteralesweb.htm
https://floranorthamerica.org/Asteraceae
https://powo.science.kew.org/taxon/urn:lsid:ipni.org:names:319342-2
https://www.wildflower.org/collections/collection.php?collection=hays</x:v>
      </x:c>
      <x:c r="X253" s="215" t="str">
        <x:v>No — retain qualifiers and exceptions</x:v>
      </x:c>
      <x:c r="Y253" s="215" t="str">
        <x:v>Yes</x:v>
      </x:c>
      <x:c r="Z253" s="215" t="str">
        <x:v>Source-backed draft</x:v>
      </x:c>
    </x:row>
    <x:row r="254" ht="42" customHeight="1">
      <x:c r="A254" s="215" t="str">
        <x:v>Asteraceae</x:v>
      </x:c>
      <x:c r="B254" s="215" t="str">
        <x:v>AST-FRUIT</x:v>
      </x:c>
      <x:c r="C254" s="215" t="str">
        <x:v>Family-wide with modifications</x:v>
      </x:c>
      <x:c r="D254" s="215" t="str">
        <x:v>Fruit</x:v>
      </x:c>
      <x:c r="E254" s="215" t="str">
        <x:v>Dry, one-seeded cypsela, often topped by a pappus</x:v>
      </x:c>
      <x:c r="F254" s="215" t="str">
        <x:v>Core</x:v>
      </x:c>
      <x:c r="G254" s="215" t="str">
        <x:v>5</x:v>
      </x:c>
      <x:c r="H254" s="215" t="str">
        <x:v>High on mature material</x:v>
      </x:c>
      <x:c r="I254" s="215" t="str">
        <x:v>Naked eye to hand lens</x:v>
      </x:c>
      <x:c r="J254" s="215" t="str">
        <x:v>Mature fruit</x:v>
      </x:c>
      <x:c r="K254" s="215" t="str">
        <x:v>Each floret usually makes one dry seedlike fruit; technically it is a cypsela because it came from an inferior ovary.</x:v>
      </x:c>
      <x:c r="L254" s="215" t="str">
        <x:v>Cypselae vary in compression, wings, beaks, ribs, and pappus; immature ovaries may not show the final form.</x:v>
      </x:c>
      <x:c r="M254" s="215" t="str">
        <x:v>The combination of many cypselae on one receptacle plus phyllaries strongly supports Asteraceae.</x:v>
      </x:c>
      <x:c r="N254" s="215" t="str">
        <x:v>A high-priority Hays County family across prairie, roadside, riparian, and disturbed habitats; local material spans radiate, discoid, disciform, and liguliflorous heads.</x:v>
      </x:c>
      <x:c r="O254" s="215" t="str">
        <x:v>Low</x:v>
      </x:c>
      <x:c r="P254" s="215" t="str">
        <x:v>No</x:v>
      </x:c>
      <x:c r="Q254" s="215" t="str"/>
      <x:c r="R254" s="215" t="str">
        <x:v>AST-LK01; AST-LK02</x:v>
      </x:c>
      <x:c r="S254" s="215" t="str">
        <x:v>APWEB-ASTER; FNA-ASTER; POWO-ASTER; LBJWC-HAYS</x:v>
      </x:c>
      <x:c r="T254" s="215" t="str">
        <x:v>https://www.mobot.org/MOBOT/research/APweb/orders/asteralesweb.htm</x:v>
      </x:c>
      <x:c r="U254" s="215" t="str">
        <x:v>https://floranorthamerica.org/Asteraceae</x:v>
      </x:c>
      <x:c r="V254" s="215" t="str">
        <x:v>https://powo.science.kew.org/taxon/urn:lsid:ipni.org:names:319342-2</x:v>
      </x:c>
      <x:c r="W254" s="215" t="str">
        <x:v>https://www.mobot.org/MOBOT/research/APweb/orders/asteralesweb.htm
https://floranorthamerica.org/Asteraceae
https://powo.science.kew.org/taxon/urn:lsid:ipni.org:names:319342-2
https://www.wildflower.org/collections/collection.php?collection=hays</x:v>
      </x:c>
      <x:c r="X254" s="215" t="str">
        <x:v>No — retain qualifiers and exceptions</x:v>
      </x:c>
      <x:c r="Y254" s="215" t="str">
        <x:v>Yes</x:v>
      </x:c>
      <x:c r="Z254" s="215" t="str">
        <x:v>Source-backed draft</x:v>
      </x:c>
    </x:row>
    <x:row r="255" ht="42" customHeight="1">
      <x:c r="A255" s="215" t="str">
        <x:v>Asteraceae</x:v>
      </x:c>
      <x:c r="B255" s="215" t="str">
        <x:v>AST-LK01</x:v>
      </x:c>
      <x:c r="C255" s="215" t="str">
        <x:v>Hays County field comparison</x:v>
      </x:c>
      <x:c r="D255" s="215" t="str">
        <x:v>Lookalike comparison</x:v>
      </x:c>
      <x:c r="E255" s="215" t="str">
        <x:v>Composite head versus one true showy flower</x:v>
      </x:c>
      <x:c r="F255" s="215" t="str">
        <x:v>Strong</x:v>
      </x:c>
      <x:c r="G255" s="215" t="str">
        <x:v>4</x:v>
      </x:c>
      <x:c r="H255" s="215" t="str">
        <x:v>High</x:v>
      </x:c>
      <x:c r="I255" s="215" t="str">
        <x:v>Naked eye or hand lens</x:v>
      </x:c>
      <x:c r="J255" s="215" t="str">
        <x:v>Flowering</x:v>
      </x:c>
      <x:c r="K255" s="215" t="str">
        <x:v>In Asteraceae, the apparent petals and center usually resolve into many separate florets, each with its own ovary; a true single flower has one floral axis and one ovary set.</x:v>
      </x:c>
      <x:c r="L255" s="215" t="str">
        <x:v>Very small or one-flowered heads can defeat this shortcut, and some unrelated families also form heads.</x:v>
      </x:c>
      <x:c r="M255" s="215" t="str">
        <x:v>Use a hand lens to find multiple corolla tubes and ovaries on a shared receptacle, then locate the involucre.</x:v>
      </x:c>
      <x:c r="N255" s="215" t="str">
        <x:v>A high-priority Hays County family across prairie, roadside, riparian, and disturbed habitats; local material spans radiate, discoid, disciform, and liguliflorous heads.</x:v>
      </x:c>
      <x:c r="O255" s="215" t="str">
        <x:v>Low</x:v>
      </x:c>
      <x:c r="P255" s="215" t="str">
        <x:v>No</x:v>
      </x:c>
      <x:c r="Q255" s="215" t="str"/>
      <x:c r="R255" s="215" t="str"/>
      <x:c r="S255" s="215" t="str">
        <x:v>APWEB-ASTER; FNA-ASTER; POWO-ASTER; LBJWC-HAYS</x:v>
      </x:c>
      <x:c r="T255" s="215" t="str">
        <x:v>https://www.mobot.org/MOBOT/research/APweb/orders/asteralesweb.htm</x:v>
      </x:c>
      <x:c r="U255" s="215" t="str">
        <x:v>https://floranorthamerica.org/Asteraceae</x:v>
      </x:c>
      <x:c r="V255" s="215" t="str">
        <x:v>https://powo.science.kew.org/taxon/urn:lsid:ipni.org:names:319342-2</x:v>
      </x:c>
      <x:c r="W255" s="215" t="str">
        <x:v>https://www.mobot.org/MOBOT/research/APweb/orders/asteralesweb.htm
https://floranorthamerica.org/Asteraceae
https://powo.science.kew.org/taxon/urn:lsid:ipni.org:names:319342-2
https://www.wildflower.org/collections/collection.php?collection=hays</x:v>
      </x:c>
      <x:c r="X255" s="215" t="str">
        <x:v>No — retain qualifiers and exceptions</x:v>
      </x:c>
      <x:c r="Y255" s="215" t="str">
        <x:v>Yes</x:v>
      </x:c>
      <x:c r="Z255" s="215" t="str">
        <x:v>Source-backed comparison draft</x:v>
      </x:c>
    </x:row>
    <x:row r="256" ht="42" customHeight="1">
      <x:c r="A256" s="215" t="str">
        <x:v>Asteraceae</x:v>
      </x:c>
      <x:c r="B256" s="215" t="str">
        <x:v>AST-LK02</x:v>
      </x:c>
      <x:c r="C256" s="215" t="str">
        <x:v>Hays County field comparison</x:v>
      </x:c>
      <x:c r="D256" s="215" t="str">
        <x:v>Lookalike comparison</x:v>
      </x:c>
      <x:c r="E256" s="215" t="str">
        <x:v>Asteraceae heads versus headlike Apiaceae or Caprifoliaceae clusters</x:v>
      </x:c>
      <x:c r="F256" s="215" t="str">
        <x:v>Strong</x:v>
      </x:c>
      <x:c r="G256" s="215" t="str">
        <x:v>4</x:v>
      </x:c>
      <x:c r="H256" s="215" t="str">
        <x:v>Moderate</x:v>
      </x:c>
      <x:c r="I256" s="215" t="str">
        <x:v>Hand lens or dissection</x:v>
      </x:c>
      <x:c r="J256" s="215" t="str">
        <x:v>Flowering to fruiting</x:v>
      </x:c>
      <x:c r="K256" s="215" t="str">
        <x:v>Asteraceae usually show an involucre, connate anthers, one inferior ovary per floret, and cypselae; headlike Apiaceae instead resolve to umbel architecture and paired mericarps.</x:v>
      </x:c>
      <x:c r="L256" s="215" t="str">
        <x:v>Some condensed heads are difficult before fruit, and this comparison does not cover every head-forming family.</x:v>
      </x:c>
      <x:c r="M256" s="215" t="str">
        <x:v>When the head is ambiguous, prioritize anther arrangement and mature fruit rather than ray-like appearance.</x:v>
      </x:c>
      <x:c r="N256" s="215" t="str">
        <x:v>A high-priority Hays County family across prairie, roadside, riparian, and disturbed habitats; local material spans radiate, discoid, disciform, and liguliflorous heads.</x:v>
      </x:c>
      <x:c r="O256" s="215" t="str">
        <x:v>Moderate</x:v>
      </x:c>
      <x:c r="P256" s="215" t="str">
        <x:v>Yes</x:v>
      </x:c>
      <x:c r="Q256" s="215" t="str">
        <x:v>Cross-family comparison should be rechecked when the Caprifoliaceae treatment is added.</x:v>
      </x:c>
      <x:c r="R256" s="215" t="str"/>
      <x:c r="S256" s="215" t="str">
        <x:v>APWEB-ASTER; FNA-ASTER; POWO-ASTER; APWEB-API; POWO-API; LBJWC-HAYS</x:v>
      </x:c>
      <x:c r="T256" s="215" t="str">
        <x:v>https://www.mobot.org/MOBOT/research/APweb/orders/asteralesweb.htm</x:v>
      </x:c>
      <x:c r="U256" s="215" t="str">
        <x:v>https://floranorthamerica.org/Asteraceae</x:v>
      </x:c>
      <x:c r="V256" s="215" t="str">
        <x:v>https://powo.science.kew.org/taxon/urn:lsid:ipni.org:names:319342-2</x:v>
      </x:c>
      <x:c r="W256" s="215" t="str">
        <x:v>https://www.mobot.org/MOBOT/research/APweb/orders/asteralesweb.htm
https://floranorthamerica.org/Asteraceae
https://powo.science.kew.org/taxon/urn:lsid:ipni.org:names:319342-2
https://www.wildflower.org/collections/collection.php?collection=hays
https://www.mobot.org/MOBOT/research/apweb/orders/apialesweb.htm
https://powo.science.kew.org/taxon/urn:lsid:ipni.org:names:30000180-2/general-information</x:v>
      </x:c>
      <x:c r="X256" s="215" t="str">
        <x:v>No — retain qualifiers and exceptions</x:v>
      </x:c>
      <x:c r="Y256" s="215" t="str">
        <x:v>Yes</x:v>
      </x:c>
      <x:c r="Z256" s="215" t="str">
        <x:v>Source-backed comparison draft</x:v>
      </x:c>
    </x:row>
    <x:row r="257" ht="42" customHeight="1">
      <x:c r="A257" s="215" t="str">
        <x:v>Poaceae</x:v>
      </x:c>
      <x:c r="B257" s="215" t="str">
        <x:v>POA-CULM</x:v>
      </x:c>
      <x:c r="C257" s="215" t="str">
        <x:v>Broad family tendency</x:v>
      </x:c>
      <x:c r="D257" s="215" t="str">
        <x:v>Stem</x:v>
      </x:c>
      <x:c r="E257" s="215" t="str">
        <x:v>Culms jointed with conspicuous nodes; internodes often hollow but sometimes solid</x:v>
      </x:c>
      <x:c r="F257" s="215" t="str">
        <x:v>Strong</x:v>
      </x:c>
      <x:c r="G257" s="215" t="str">
        <x:v>4</x:v>
      </x:c>
      <x:c r="H257" s="215" t="str">
        <x:v>Moderate</x:v>
      </x:c>
      <x:c r="I257" s="215" t="str">
        <x:v>Naked eye</x:v>
      </x:c>
      <x:c r="J257" s="215" t="str">
        <x:v>Vegetative to fruiting</x:v>
      </x:c>
      <x:c r="K257" s="215" t="str">
        <x:v>Grass stems are built in segments separated by solid joints called nodes.</x:v>
      </x:c>
      <x:c r="L257" s="215" t="str">
        <x:v>Hollow internodes are not universal; bamboos, corn, and several herbaceous grasses may have solid or pithy internodes.</x:v>
      </x:c>
      <x:c r="M257" s="215" t="str">
        <x:v>Use nodes as a stronger clue than hollowness, then confirm the leaf sheath, ligule, and spikelet.</x:v>
      </x:c>
      <x:c r="N257" s="215" t="str">
        <x:v>Central to Hays County grasslands, savannas, roadsides, riparian corridors, and restoration work; local genera include warm- and cool-season grasses with substantial spikelet variation.</x:v>
      </x:c>
      <x:c r="O257" s="215" t="str">
        <x:v>Low</x:v>
      </x:c>
      <x:c r="P257" s="215" t="str">
        <x:v>No</x:v>
      </x:c>
      <x:c r="Q257" s="215" t="str"/>
      <x:c r="R257" s="215" t="str">
        <x:v>POA-LK01; POA-LK02</x:v>
      </x:c>
      <x:c r="S257" s="215" t="str">
        <x:v>APWEB-POAC; FNA-POAC; POWO-POAC; LBJWC-HAYS</x:v>
      </x:c>
      <x:c r="T257" s="215" t="str">
        <x:v>https://www.mobot.org/MOBOT/research/APweb/orders/poalesweb.htm</x:v>
      </x:c>
      <x:c r="U257" s="215" t="str">
        <x:v>https://floranorthamerica.org/Poaceae</x:v>
      </x:c>
      <x:c r="V257" s="215" t="str">
        <x:v>https://powo.science.kew.org/taxon/urn:lsid:ipni.org:names:30000032-2</x:v>
      </x:c>
      <x:c r="W257" s="215" t="str">
        <x:v>https://www.mobot.org/MOBOT/research/APweb/orders/poalesweb.htm
https://floranorthamerica.org/Poaceae
https://powo.science.kew.org/taxon/urn:lsid:ipni.org:names:30000032-2
https://www.wildflower.org/collections/collection.php?collection=hays</x:v>
      </x:c>
      <x:c r="X257" s="215" t="str">
        <x:v>No — retain qualifiers and exceptions</x:v>
      </x:c>
      <x:c r="Y257" s="215" t="str">
        <x:v>Yes</x:v>
      </x:c>
      <x:c r="Z257" s="215" t="str">
        <x:v>Source-backed draft</x:v>
      </x:c>
    </x:row>
    <x:row r="258" ht="42" customHeight="1">
      <x:c r="A258" s="215" t="str">
        <x:v>Poaceae</x:v>
      </x:c>
      <x:c r="B258" s="215" t="str">
        <x:v>POA-LEAF</x:v>
      </x:c>
      <x:c r="C258" s="215" t="str">
        <x:v>Broad family tendency</x:v>
      </x:c>
      <x:c r="D258" s="215" t="str">
        <x:v>Leaf</x:v>
      </x:c>
      <x:c r="E258" s="215" t="str">
        <x:v>Leaves usually alternate and two-ranked, with sheath, ligule region, and blade</x:v>
      </x:c>
      <x:c r="F258" s="215" t="str">
        <x:v>Core</x:v>
      </x:c>
      <x:c r="G258" s="215" t="str">
        <x:v>5</x:v>
      </x:c>
      <x:c r="H258" s="215" t="str">
        <x:v>High in typical material</x:v>
      </x:c>
      <x:c r="I258" s="215" t="str">
        <x:v>Naked eye</x:v>
      </x:c>
      <x:c r="J258" s="215" t="str">
        <x:v>Vegetative</x:v>
      </x:c>
      <x:c r="K258" s="215" t="str">
        <x:v>Leaves usually alternate from opposite sides of the culm and wrap the stem at their bases.</x:v>
      </x:c>
      <x:c r="L258" s="215" t="str">
        <x:v>Two-ranking can be obscured by twisting, basal crowding, or branching; unusual grasses can have pseudopetioles or broad blades.</x:v>
      </x:c>
      <x:c r="M258" s="215" t="str">
        <x:v>Follow one leaf from blade through collar and sheath to its node before deciding it is a grass.</x:v>
      </x:c>
      <x:c r="N258" s="215" t="str">
        <x:v>Central to Hays County grasslands, savannas, roadsides, riparian corridors, and restoration work; local genera include warm- and cool-season grasses with substantial spikelet variation.</x:v>
      </x:c>
      <x:c r="O258" s="215" t="str">
        <x:v>Low</x:v>
      </x:c>
      <x:c r="P258" s="215" t="str">
        <x:v>No</x:v>
      </x:c>
      <x:c r="Q258" s="215" t="str"/>
      <x:c r="R258" s="215" t="str">
        <x:v>POA-LK01; POA-LK02</x:v>
      </x:c>
      <x:c r="S258" s="215" t="str">
        <x:v>APWEB-POAC; FNA-POAC; POWO-POAC; LBJWC-HAYS</x:v>
      </x:c>
      <x:c r="T258" s="215" t="str">
        <x:v>https://www.mobot.org/MOBOT/research/APweb/orders/poalesweb.htm</x:v>
      </x:c>
      <x:c r="U258" s="215" t="str">
        <x:v>https://floranorthamerica.org/Poaceae</x:v>
      </x:c>
      <x:c r="V258" s="215" t="str">
        <x:v>https://powo.science.kew.org/taxon/urn:lsid:ipni.org:names:30000032-2</x:v>
      </x:c>
      <x:c r="W258" s="215" t="str">
        <x:v>https://www.mobot.org/MOBOT/research/APweb/orders/poalesweb.htm
https://floranorthamerica.org/Poaceae
https://powo.science.kew.org/taxon/urn:lsid:ipni.org:names:30000032-2
https://www.wildflower.org/collections/collection.php?collection=hays</x:v>
      </x:c>
      <x:c r="X258" s="215" t="str">
        <x:v>No — retain qualifiers and exceptions</x:v>
      </x:c>
      <x:c r="Y258" s="215" t="str">
        <x:v>Yes</x:v>
      </x:c>
      <x:c r="Z258" s="215" t="str">
        <x:v>Source-backed draft</x:v>
      </x:c>
    </x:row>
    <x:row r="259" ht="42" customHeight="1">
      <x:c r="A259" s="215" t="str">
        <x:v>Poaceae</x:v>
      </x:c>
      <x:c r="B259" s="215" t="str">
        <x:v>POA-SHEATH</x:v>
      </x:c>
      <x:c r="C259" s="215" t="str">
        <x:v>Broad family tendency</x:v>
      </x:c>
      <x:c r="D259" s="215" t="str">
        <x:v>Leaf sheath</x:v>
      </x:c>
      <x:c r="E259" s="215" t="str">
        <x:v>Leaf sheath commonly open along the side, sometimes closed</x:v>
      </x:c>
      <x:c r="F259" s="215" t="str">
        <x:v>Strong</x:v>
      </x:c>
      <x:c r="G259" s="215" t="str">
        <x:v>4</x:v>
      </x:c>
      <x:c r="H259" s="215" t="str">
        <x:v>Moderate</x:v>
      </x:c>
      <x:c r="I259" s="215" t="str">
        <x:v>Naked eye</x:v>
      </x:c>
      <x:c r="J259" s="215" t="str">
        <x:v>Vegetative</x:v>
      </x:c>
      <x:c r="K259" s="215" t="str">
        <x:v>The leaf base forms a sleeve around the culm that can usually be peeled apart along a seam.</x:v>
      </x:c>
      <x:c r="L259" s="215" t="str">
        <x:v>Some grass sheaths are closed for part or all of their length, especially in particular genera; torn sheaths can mislead.</x:v>
      </x:c>
      <x:c r="M259" s="215" t="str">
        <x:v>Compare with the typically closed sheaths of Cyperaceae, but never use sheath closure alone.</x:v>
      </x:c>
      <x:c r="N259" s="215" t="str">
        <x:v>Central to Hays County grasslands, savannas, roadsides, riparian corridors, and restoration work; local genera include warm- and cool-season grasses with substantial spikelet variation.</x:v>
      </x:c>
      <x:c r="O259" s="215" t="str">
        <x:v>Low</x:v>
      </x:c>
      <x:c r="P259" s="215" t="str">
        <x:v>No</x:v>
      </x:c>
      <x:c r="Q259" s="215" t="str"/>
      <x:c r="R259" s="215" t="str">
        <x:v>POA-LK01</x:v>
      </x:c>
      <x:c r="S259" s="215" t="str">
        <x:v>APWEB-POAC; FNA-POAC; POWO-POAC; LBJWC-HAYS</x:v>
      </x:c>
      <x:c r="T259" s="215" t="str">
        <x:v>https://www.mobot.org/MOBOT/research/APweb/orders/poalesweb.htm</x:v>
      </x:c>
      <x:c r="U259" s="215" t="str">
        <x:v>https://floranorthamerica.org/Poaceae</x:v>
      </x:c>
      <x:c r="V259" s="215" t="str">
        <x:v>https://powo.science.kew.org/taxon/urn:lsid:ipni.org:names:30000032-2</x:v>
      </x:c>
      <x:c r="W259" s="215" t="str">
        <x:v>https://www.mobot.org/MOBOT/research/APweb/orders/poalesweb.htm
https://floranorthamerica.org/Poaceae
https://powo.science.kew.org/taxon/urn:lsid:ipni.org:names:30000032-2
https://www.wildflower.org/collections/collection.php?collection=hays</x:v>
      </x:c>
      <x:c r="X259" s="215" t="str">
        <x:v>No — retain qualifiers and exceptions</x:v>
      </x:c>
      <x:c r="Y259" s="215" t="str">
        <x:v>Yes</x:v>
      </x:c>
      <x:c r="Z259" s="215" t="str">
        <x:v>Source-backed draft</x:v>
      </x:c>
    </x:row>
    <x:row r="260" ht="42" customHeight="1">
      <x:c r="A260" s="215" t="str">
        <x:v>Poaceae</x:v>
      </x:c>
      <x:c r="B260" s="215" t="str">
        <x:v>POA-LIGULE</x:v>
      </x:c>
      <x:c r="C260" s="215" t="str">
        <x:v>Broad family tendency</x:v>
      </x:c>
      <x:c r="D260" s="215" t="str">
        <x:v>Leaf collar</x:v>
      </x:c>
      <x:c r="E260" s="215" t="str">
        <x:v>Ligule at the junction of sheath and blade, membranous and/or a fringe of hairs</x:v>
      </x:c>
      <x:c r="F260" s="215" t="str">
        <x:v>Strong</x:v>
      </x:c>
      <x:c r="G260" s="215" t="str">
        <x:v>4</x:v>
      </x:c>
      <x:c r="H260" s="215" t="str">
        <x:v>High when preserved</x:v>
      </x:c>
      <x:c r="I260" s="215" t="str">
        <x:v>Naked eye or hand lens</x:v>
      </x:c>
      <x:c r="J260" s="215" t="str">
        <x:v>Vegetative</x:v>
      </x:c>
      <x:c r="K260" s="215" t="str">
        <x:v>A small flap or row of hairs usually appears on the inner side where the blade leaves the sheath.</x:v>
      </x:c>
      <x:c r="L260" s="215" t="str">
        <x:v>The ligule can be tiny, split, hairy, membrane-like, or rarely absent, and old leaves may lose it.</x:v>
      </x:c>
      <x:c r="M260" s="215" t="str">
        <x:v>A ligule plus a jointed culm and grass spikelet is a powerful field suite.</x:v>
      </x:c>
      <x:c r="N260" s="215" t="str">
        <x:v>Central to Hays County grasslands, savannas, roadsides, riparian corridors, and restoration work; local genera include warm- and cool-season grasses with substantial spikelet variation.</x:v>
      </x:c>
      <x:c r="O260" s="215" t="str">
        <x:v>Low</x:v>
      </x:c>
      <x:c r="P260" s="215" t="str">
        <x:v>No</x:v>
      </x:c>
      <x:c r="Q260" s="215" t="str"/>
      <x:c r="R260" s="215" t="str">
        <x:v>POA-LK01; POA-LK02</x:v>
      </x:c>
      <x:c r="S260" s="215" t="str">
        <x:v>APWEB-POAC; FNA-POAC; POWO-POAC; LBJWC-HAYS</x:v>
      </x:c>
      <x:c r="T260" s="215" t="str">
        <x:v>https://www.mobot.org/MOBOT/research/APweb/orders/poalesweb.htm</x:v>
      </x:c>
      <x:c r="U260" s="215" t="str">
        <x:v>https://floranorthamerica.org/Poaceae</x:v>
      </x:c>
      <x:c r="V260" s="215" t="str">
        <x:v>https://powo.science.kew.org/taxon/urn:lsid:ipni.org:names:30000032-2</x:v>
      </x:c>
      <x:c r="W260" s="215" t="str">
        <x:v>https://www.mobot.org/MOBOT/research/APweb/orders/poalesweb.htm
https://floranorthamerica.org/Poaceae
https://powo.science.kew.org/taxon/urn:lsid:ipni.org:names:30000032-2
https://www.wildflower.org/collections/collection.php?collection=hays</x:v>
      </x:c>
      <x:c r="X260" s="215" t="str">
        <x:v>No — retain qualifiers and exceptions</x:v>
      </x:c>
      <x:c r="Y260" s="215" t="str">
        <x:v>Yes</x:v>
      </x:c>
      <x:c r="Z260" s="215" t="str">
        <x:v>Source-backed draft</x:v>
      </x:c>
    </x:row>
    <x:row r="261" ht="42" customHeight="1">
      <x:c r="A261" s="215" t="str">
        <x:v>Poaceae</x:v>
      </x:c>
      <x:c r="B261" s="215" t="str">
        <x:v>POA-SPIKELET</x:v>
      </x:c>
      <x:c r="C261" s="215" t="str">
        <x:v>Family-wide structural theme</x:v>
      </x:c>
      <x:c r="D261" s="215" t="str">
        <x:v>Inflorescence</x:v>
      </x:c>
      <x:c r="E261" s="215" t="str">
        <x:v>Flowers organized into spikelets, usually with basal glumes and one or more florets</x:v>
      </x:c>
      <x:c r="F261" s="215" t="str">
        <x:v>Core</x:v>
      </x:c>
      <x:c r="G261" s="215" t="str">
        <x:v>5</x:v>
      </x:c>
      <x:c r="H261" s="215" t="str">
        <x:v>High</x:v>
      </x:c>
      <x:c r="I261" s="215" t="str">
        <x:v>Naked eye to hand lens</x:v>
      </x:c>
      <x:c r="J261" s="215" t="str">
        <x:v>Flowering or fruiting</x:v>
      </x:c>
      <x:c r="K261" s="215" t="str">
        <x:v>The basic grass unit is a small package: usually two outer glumes below one or more florets.</x:v>
      </x:c>
      <x:c r="L261" s="215" t="str">
        <x:v>Glumes may be reduced, unequal, absent in some lineages, or resemble lemmas; spikelets may contain one to many florets.</x:v>
      </x:c>
      <x:c r="M261" s="215" t="str">
        <x:v>Identify the spikelet boundary before counting flower parts or interpreting an awn.</x:v>
      </x:c>
      <x:c r="N261" s="215" t="str">
        <x:v>Central to Hays County grasslands, savannas, roadsides, riparian corridors, and restoration work; local genera include warm- and cool-season grasses with substantial spikelet variation.</x:v>
      </x:c>
      <x:c r="O261" s="215" t="str">
        <x:v>Low</x:v>
      </x:c>
      <x:c r="P261" s="215" t="str">
        <x:v>No</x:v>
      </x:c>
      <x:c r="Q261" s="215" t="str"/>
      <x:c r="R261" s="215" t="str">
        <x:v>POA-LK01; POA-LK02</x:v>
      </x:c>
      <x:c r="S261" s="215" t="str">
        <x:v>APWEB-POAC; FNA-POAC; POWO-POAC; LBJWC-HAYS</x:v>
      </x:c>
      <x:c r="T261" s="215" t="str">
        <x:v>https://www.mobot.org/MOBOT/research/APweb/orders/poalesweb.htm</x:v>
      </x:c>
      <x:c r="U261" s="215" t="str">
        <x:v>https://floranorthamerica.org/Poaceae</x:v>
      </x:c>
      <x:c r="V261" s="215" t="str">
        <x:v>https://powo.science.kew.org/taxon/urn:lsid:ipni.org:names:30000032-2</x:v>
      </x:c>
      <x:c r="W261" s="215" t="str">
        <x:v>https://www.mobot.org/MOBOT/research/APweb/orders/poalesweb.htm
https://floranorthamerica.org/Poaceae
https://powo.science.kew.org/taxon/urn:lsid:ipni.org:names:30000032-2
https://www.wildflower.org/collections/collection.php?collection=hays</x:v>
      </x:c>
      <x:c r="X261" s="215" t="str">
        <x:v>No — retain qualifiers and exceptions</x:v>
      </x:c>
      <x:c r="Y261" s="215" t="str">
        <x:v>Yes</x:v>
      </x:c>
      <x:c r="Z261" s="215" t="str">
        <x:v>Source-backed draft</x:v>
      </x:c>
    </x:row>
    <x:row r="262" ht="42" customHeight="1">
      <x:c r="A262" s="215" t="str">
        <x:v>Poaceae</x:v>
      </x:c>
      <x:c r="B262" s="215" t="str">
        <x:v>POA-LEMMA</x:v>
      </x:c>
      <x:c r="C262" s="215" t="str">
        <x:v>Family-wide structural theme</x:v>
      </x:c>
      <x:c r="D262" s="215" t="str">
        <x:v>Floret bracts</x:v>
      </x:c>
      <x:c r="E262" s="215" t="str">
        <x:v>Each floret usually enclosed by a lemma and palea</x:v>
      </x:c>
      <x:c r="F262" s="215" t="str">
        <x:v>Core</x:v>
      </x:c>
      <x:c r="G262" s="215" t="str">
        <x:v>5</x:v>
      </x:c>
      <x:c r="H262" s="215" t="str">
        <x:v>High with magnification</x:v>
      </x:c>
      <x:c r="I262" s="215" t="str">
        <x:v>Hand lens</x:v>
      </x:c>
      <x:c r="J262" s="215" t="str">
        <x:v>Flowering or fruiting</x:v>
      </x:c>
      <x:c r="K262" s="215" t="str">
        <x:v>Inside the glumes, each grass flower is held between two bracts: an outer lemma and inner palea.</x:v>
      </x:c>
      <x:c r="L262" s="215" t="str">
        <x:v>The palea can be reduced or absent, lemmas may be awned, and sterile lemmas or florets can complicate the pattern.</x:v>
      </x:c>
      <x:c r="M262" s="215" t="str">
        <x:v>This paired-bract construction separates grasses from most sedges, where each flower is subtended by one scale.</x:v>
      </x:c>
      <x:c r="N262" s="215" t="str">
        <x:v>Central to Hays County grasslands, savannas, roadsides, riparian corridors, and restoration work; local genera include warm- and cool-season grasses with substantial spikelet variation.</x:v>
      </x:c>
      <x:c r="O262" s="215" t="str">
        <x:v>Low</x:v>
      </x:c>
      <x:c r="P262" s="215" t="str">
        <x:v>No</x:v>
      </x:c>
      <x:c r="Q262" s="215" t="str"/>
      <x:c r="R262" s="215" t="str">
        <x:v>POA-LK01</x:v>
      </x:c>
      <x:c r="S262" s="215" t="str">
        <x:v>APWEB-POAC; FNA-POAC; POWO-POAC; LBJWC-HAYS</x:v>
      </x:c>
      <x:c r="T262" s="215" t="str">
        <x:v>https://www.mobot.org/MOBOT/research/APweb/orders/poalesweb.htm</x:v>
      </x:c>
      <x:c r="U262" s="215" t="str">
        <x:v>https://floranorthamerica.org/Poaceae</x:v>
      </x:c>
      <x:c r="V262" s="215" t="str">
        <x:v>https://powo.science.kew.org/taxon/urn:lsid:ipni.org:names:30000032-2</x:v>
      </x:c>
      <x:c r="W262" s="215" t="str">
        <x:v>https://www.mobot.org/MOBOT/research/APweb/orders/poalesweb.htm
https://floranorthamerica.org/Poaceae
https://powo.science.kew.org/taxon/urn:lsid:ipni.org:names:30000032-2
https://www.wildflower.org/collections/collection.php?collection=hays</x:v>
      </x:c>
      <x:c r="X262" s="215" t="str">
        <x:v>No — retain qualifiers and exceptions</x:v>
      </x:c>
      <x:c r="Y262" s="215" t="str">
        <x:v>Yes</x:v>
      </x:c>
      <x:c r="Z262" s="215" t="str">
        <x:v>Source-backed draft</x:v>
      </x:c>
    </x:row>
    <x:row r="263" ht="42" customHeight="1">
      <x:c r="A263" s="215" t="str">
        <x:v>Poaceae</x:v>
      </x:c>
      <x:c r="B263" s="215" t="str">
        <x:v>POA-FLOWER</x:v>
      </x:c>
      <x:c r="C263" s="215" t="str">
        <x:v>Broad family tendency</x:v>
      </x:c>
      <x:c r="D263" s="215" t="str">
        <x:v>Flower</x:v>
      </x:c>
      <x:c r="E263" s="215" t="str">
        <x:v>Perianth reduced to lodicules or absent; stamens commonly three</x:v>
      </x:c>
      <x:c r="F263" s="215" t="str">
        <x:v>Strong</x:v>
      </x:c>
      <x:c r="G263" s="215" t="str">
        <x:v>4</x:v>
      </x:c>
      <x:c r="H263" s="215" t="str">
        <x:v>Variable</x:v>
      </x:c>
      <x:c r="I263" s="215" t="str">
        <x:v>Hand lens or dissection</x:v>
      </x:c>
      <x:c r="J263" s="215" t="str">
        <x:v>Fresh flowering material</x:v>
      </x:c>
      <x:c r="K263" s="215" t="str">
        <x:v>Grass flowers are tiny and lack showy sepals and petals; small lodicules help open the floret.</x:v>
      </x:c>
      <x:c r="L263" s="215" t="str">
        <x:v>Stamen and lodicule numbers vary, and these parts are short-lived or hidden between lemma and palea.</x:v>
      </x:c>
      <x:c r="M263" s="215" t="str">
        <x:v>Use mainly as confirmation on a fresh spikelet, not as the first field character.</x:v>
      </x:c>
      <x:c r="N263" s="215" t="str">
        <x:v>Central to Hays County grasslands, savannas, roadsides, riparian corridors, and restoration work; local genera include warm- and cool-season grasses with substantial spikelet variation.</x:v>
      </x:c>
      <x:c r="O263" s="215" t="str">
        <x:v>Moderate</x:v>
      </x:c>
      <x:c r="P263" s="215" t="str">
        <x:v>No</x:v>
      </x:c>
      <x:c r="Q263" s="215" t="str"/>
      <x:c r="R263" s="215" t="str">
        <x:v>POA-LK02</x:v>
      </x:c>
      <x:c r="S263" s="215" t="str">
        <x:v>APWEB-POAC; FNA-POAC; POWO-POAC; LBJWC-HAYS</x:v>
      </x:c>
      <x:c r="T263" s="215" t="str">
        <x:v>https://www.mobot.org/MOBOT/research/APweb/orders/poalesweb.htm</x:v>
      </x:c>
      <x:c r="U263" s="215" t="str">
        <x:v>https://floranorthamerica.org/Poaceae</x:v>
      </x:c>
      <x:c r="V263" s="215" t="str">
        <x:v>https://powo.science.kew.org/taxon/urn:lsid:ipni.org:names:30000032-2</x:v>
      </x:c>
      <x:c r="W263" s="215" t="str">
        <x:v>https://www.mobot.org/MOBOT/research/APweb/orders/poalesweb.htm
https://floranorthamerica.org/Poaceae
https://powo.science.kew.org/taxon/urn:lsid:ipni.org:names:30000032-2
https://www.wildflower.org/collections/collection.php?collection=hays</x:v>
      </x:c>
      <x:c r="X263" s="215" t="str">
        <x:v>No — retain qualifiers and exceptions</x:v>
      </x:c>
      <x:c r="Y263" s="215" t="str">
        <x:v>Yes</x:v>
      </x:c>
      <x:c r="Z263" s="215" t="str">
        <x:v>Source-backed draft</x:v>
      </x:c>
    </x:row>
    <x:row r="264" ht="42" customHeight="1">
      <x:c r="A264" s="215" t="str">
        <x:v>Poaceae</x:v>
      </x:c>
      <x:c r="B264" s="215" t="str">
        <x:v>POA-STIGMA</x:v>
      </x:c>
      <x:c r="C264" s="215" t="str">
        <x:v>Broad family tendency</x:v>
      </x:c>
      <x:c r="D264" s="215" t="str">
        <x:v>Gynoecium</x:v>
      </x:c>
      <x:c r="E264" s="215" t="str">
        <x:v>Stigmas usually two and feathery</x:v>
      </x:c>
      <x:c r="F264" s="215" t="str">
        <x:v>Strong</x:v>
      </x:c>
      <x:c r="G264" s="215" t="str">
        <x:v>4</x:v>
      </x:c>
      <x:c r="H264" s="215" t="str">
        <x:v>High when exserted</x:v>
      </x:c>
      <x:c r="I264" s="215" t="str">
        <x:v>Hand lens</x:v>
      </x:c>
      <x:c r="J264" s="215" t="str">
        <x:v>Anthesis</x:v>
      </x:c>
      <x:c r="K264" s="215" t="str">
        <x:v>Fine, brushlike stigmas often stick out of the floret to catch windblown pollen.</x:v>
      </x:c>
      <x:c r="L264" s="215" t="str">
        <x:v>Some grasses have one or three stigmas, and stigmas may be hidden before or after anthesis.</x:v>
      </x:c>
      <x:c r="M264" s="215" t="str">
        <x:v>Useful for separating a flowering grass from superficially similar rushes or narrow-leaved monocots.</x:v>
      </x:c>
      <x:c r="N264" s="215" t="str">
        <x:v>Central to Hays County grasslands, savannas, roadsides, riparian corridors, and restoration work; local genera include warm- and cool-season grasses with substantial spikelet variation.</x:v>
      </x:c>
      <x:c r="O264" s="215" t="str">
        <x:v>Low</x:v>
      </x:c>
      <x:c r="P264" s="215" t="str">
        <x:v>No</x:v>
      </x:c>
      <x:c r="Q264" s="215" t="str"/>
      <x:c r="R264" s="215" t="str">
        <x:v>POA-LK02</x:v>
      </x:c>
      <x:c r="S264" s="215" t="str">
        <x:v>APWEB-POAC; FNA-POAC; POWO-POAC; LBJWC-HAYS</x:v>
      </x:c>
      <x:c r="T264" s="215" t="str">
        <x:v>https://www.mobot.org/MOBOT/research/APweb/orders/poalesweb.htm</x:v>
      </x:c>
      <x:c r="U264" s="215" t="str">
        <x:v>https://floranorthamerica.org/Poaceae</x:v>
      </x:c>
      <x:c r="V264" s="215" t="str">
        <x:v>https://powo.science.kew.org/taxon/urn:lsid:ipni.org:names:30000032-2</x:v>
      </x:c>
      <x:c r="W264" s="215" t="str">
        <x:v>https://www.mobot.org/MOBOT/research/APweb/orders/poalesweb.htm
https://floranorthamerica.org/Poaceae
https://powo.science.kew.org/taxon/urn:lsid:ipni.org:names:30000032-2
https://www.wildflower.org/collections/collection.php?collection=hays</x:v>
      </x:c>
      <x:c r="X264" s="215" t="str">
        <x:v>No — retain qualifiers and exceptions</x:v>
      </x:c>
      <x:c r="Y264" s="215" t="str">
        <x:v>Yes</x:v>
      </x:c>
      <x:c r="Z264" s="215" t="str">
        <x:v>Source-backed draft</x:v>
      </x:c>
    </x:row>
    <x:row r="265" ht="42" customHeight="1">
      <x:c r="A265" s="215" t="str">
        <x:v>Poaceae</x:v>
      </x:c>
      <x:c r="B265" s="215" t="str">
        <x:v>POA-FRUIT</x:v>
      </x:c>
      <x:c r="C265" s="215" t="str">
        <x:v>Broad family tendency</x:v>
      </x:c>
      <x:c r="D265" s="215" t="str">
        <x:v>Fruit</x:v>
      </x:c>
      <x:c r="E265" s="215" t="str">
        <x:v>Usually a caryopsis with pericarp closely adherent to the seed coat</x:v>
      </x:c>
      <x:c r="F265" s="215" t="str">
        <x:v>Core</x:v>
      </x:c>
      <x:c r="G265" s="215" t="str">
        <x:v>5</x:v>
      </x:c>
      <x:c r="H265" s="215" t="str">
        <x:v>High on mature grain</x:v>
      </x:c>
      <x:c r="I265" s="215" t="str">
        <x:v>Hand lens or dissection</x:v>
      </x:c>
      <x:c r="J265" s="215" t="str">
        <x:v>Mature fruit</x:v>
      </x:c>
      <x:c r="K265" s="215" t="str">
        <x:v>The familiar grain type is one-seeded and normally does not split open; fruit wall and seed coat are fused or tightly joined.</x:v>
      </x:c>
      <x:c r="L265" s="215" t="str">
        <x:v>Some lineages have fruits in which the pericarp is less firmly attached; retained floral bracts may hide the grain.</x:v>
      </x:c>
      <x:c r="M265" s="215" t="str">
        <x:v>Mature fruit plus lemma-palea enclosure confirms Poaceae against sedges with true achenes.</x:v>
      </x:c>
      <x:c r="N265" s="215" t="str">
        <x:v>Central to Hays County grasslands, savannas, roadsides, riparian corridors, and restoration work; local genera include warm- and cool-season grasses with substantial spikelet variation.</x:v>
      </x:c>
      <x:c r="O265" s="215" t="str">
        <x:v>Low</x:v>
      </x:c>
      <x:c r="P265" s="215" t="str">
        <x:v>No</x:v>
      </x:c>
      <x:c r="Q265" s="215" t="str"/>
      <x:c r="R265" s="215" t="str">
        <x:v>POA-LK01</x:v>
      </x:c>
      <x:c r="S265" s="215" t="str">
        <x:v>APWEB-POAC; FNA-POAC; POWO-POAC; LBJWC-HAYS</x:v>
      </x:c>
      <x:c r="T265" s="215" t="str">
        <x:v>https://www.mobot.org/MOBOT/research/APweb/orders/poalesweb.htm</x:v>
      </x:c>
      <x:c r="U265" s="215" t="str">
        <x:v>https://floranorthamerica.org/Poaceae</x:v>
      </x:c>
      <x:c r="V265" s="215" t="str">
        <x:v>https://powo.science.kew.org/taxon/urn:lsid:ipni.org:names:30000032-2</x:v>
      </x:c>
      <x:c r="W265" s="215" t="str">
        <x:v>https://www.mobot.org/MOBOT/research/APweb/orders/poalesweb.htm
https://floranorthamerica.org/Poaceae
https://powo.science.kew.org/taxon/urn:lsid:ipni.org:names:30000032-2
https://www.wildflower.org/collections/collection.php?collection=hays</x:v>
      </x:c>
      <x:c r="X265" s="215" t="str">
        <x:v>No — retain qualifiers and exceptions</x:v>
      </x:c>
      <x:c r="Y265" s="215" t="str">
        <x:v>Yes</x:v>
      </x:c>
      <x:c r="Z265" s="215" t="str">
        <x:v>Source-backed draft</x:v>
      </x:c>
    </x:row>
    <x:row r="266" ht="42" customHeight="1">
      <x:c r="A266" s="215" t="str">
        <x:v>Poaceae</x:v>
      </x:c>
      <x:c r="B266" s="215" t="str">
        <x:v>POA-LK01</x:v>
      </x:c>
      <x:c r="C266" s="215" t="str">
        <x:v>Hays County field comparison</x:v>
      </x:c>
      <x:c r="D266" s="215" t="str">
        <x:v>Lookalike comparison</x:v>
      </x:c>
      <x:c r="E266" s="215" t="str">
        <x:v>Poaceae versus Cyperaceae</x:v>
      </x:c>
      <x:c r="F266" s="215" t="str">
        <x:v>Strong</x:v>
      </x:c>
      <x:c r="G266" s="215" t="str">
        <x:v>5</x:v>
      </x:c>
      <x:c r="H266" s="215" t="str">
        <x:v>High with fertile material</x:v>
      </x:c>
      <x:c r="I266" s="215" t="str">
        <x:v>Naked eye to hand lens</x:v>
      </x:c>
      <x:c r="J266" s="215" t="str">
        <x:v>Vegetative plus fruiting preferred</x:v>
      </x:c>
      <x:c r="K266" s="215" t="str">
        <x:v>Grasses usually have jointed culms, open sheaths, ligules, and florets between lemma and palea; sedges usually have closed sheaths, often solid angled culms, one scale per flower, and achenes.</x:v>
      </x:c>
      <x:c r="L266" s="215" t="str">
        <x:v>Round-stemmed sedges and solid-stemmed grasses make the old 'sedges have edges' rhyme unreliable.</x:v>
      </x:c>
      <x:c r="M266" s="215" t="str">
        <x:v>Prioritize sheath, ligule, and spikelet/floret construction over stem cross-section.</x:v>
      </x:c>
      <x:c r="N266" s="215" t="str">
        <x:v>Central to Hays County grasslands, savannas, roadsides, riparian corridors, and restoration work; local genera include warm- and cool-season grasses with substantial spikelet variation.</x:v>
      </x:c>
      <x:c r="O266" s="215" t="str">
        <x:v>Low</x:v>
      </x:c>
      <x:c r="P266" s="215" t="str">
        <x:v>No</x:v>
      </x:c>
      <x:c r="Q266" s="215" t="str"/>
      <x:c r="R266" s="215" t="str"/>
      <x:c r="S266" s="215" t="str">
        <x:v>APWEB-POAC; FNA-POAC; POWO-POAC; APWEB-CYP; FNA-CYP; POWO-CYP; LBJWC-HAYS</x:v>
      </x:c>
      <x:c r="T266" s="215" t="str">
        <x:v>https://www.mobot.org/MOBOT/research/APweb/orders/poalesweb.htm</x:v>
      </x:c>
      <x:c r="U266" s="215" t="str">
        <x:v>https://floranorthamerica.org/Poaceae</x:v>
      </x:c>
      <x:c r="V266" s="215" t="str">
        <x:v>https://powo.science.kew.org/taxon/urn:lsid:ipni.org:names:30000032-2</x:v>
      </x:c>
      <x:c r="W266" s="215" t="str">
        <x:v>https://www.mobot.org/MOBOT/research/APweb/orders/poalesweb.htm
https://floranorthamerica.org/Poaceae
https://powo.science.kew.org/taxon/urn:lsid:ipni.org:names:30000032-2
https://www.wildflower.org/collections/collection.php?collection=hays
https://floranorthamerica.org/Cyperaceae
https://powo.science.kew.org/taxon/urn:lsid:ipni.org:names:30000197-2</x:v>
      </x:c>
      <x:c r="X266" s="215" t="str">
        <x:v>No — retain qualifiers and exceptions</x:v>
      </x:c>
      <x:c r="Y266" s="215" t="str">
        <x:v>Yes</x:v>
      </x:c>
      <x:c r="Z266" s="215" t="str">
        <x:v>Source-backed comparison draft</x:v>
      </x:c>
    </x:row>
    <x:row r="267" ht="42" customHeight="1">
      <x:c r="A267" s="215" t="str">
        <x:v>Poaceae</x:v>
      </x:c>
      <x:c r="B267" s="215" t="str">
        <x:v>POA-LK02</x:v>
      </x:c>
      <x:c r="C267" s="215" t="str">
        <x:v>Hays County field comparison</x:v>
      </x:c>
      <x:c r="D267" s="215" t="str">
        <x:v>Lookalike comparison</x:v>
      </x:c>
      <x:c r="E267" s="215" t="str">
        <x:v>Poaceae versus Juncaceae and other rushlike monocots</x:v>
      </x:c>
      <x:c r="F267" s="215" t="str">
        <x:v>Strong</x:v>
      </x:c>
      <x:c r="G267" s="215" t="str">
        <x:v>4</x:v>
      </x:c>
      <x:c r="H267" s="215" t="str">
        <x:v>Moderate</x:v>
      </x:c>
      <x:c r="I267" s="215" t="str">
        <x:v>Naked eye to hand lens</x:v>
      </x:c>
      <x:c r="J267" s="215" t="str">
        <x:v>Flowering or fruiting</x:v>
      </x:c>
      <x:c r="K267" s="215" t="str">
        <x:v>Grasses have spikelets with glumes and lemma-palea florets; rushes more often show small but recognizable six-tepaled flowers and capsular fruits.</x:v>
      </x:c>
      <x:c r="L267" s="215" t="str">
        <x:v>Highly reduced rush flowers or immature material may require dissection; vegetative material alone can remain unresolved.</x:v>
      </x:c>
      <x:c r="M267" s="215" t="str">
        <x:v>Look for a grass ligule and a true grass spikelet before relying on leaf narrowness.</x:v>
      </x:c>
      <x:c r="N267" s="215" t="str">
        <x:v>Central to Hays County grasslands, savannas, roadsides, riparian corridors, and restoration work; local genera include warm- and cool-season grasses with substantial spikelet variation.</x:v>
      </x:c>
      <x:c r="O267" s="215" t="str">
        <x:v>Moderate</x:v>
      </x:c>
      <x:c r="P267" s="215" t="str">
        <x:v>Yes</x:v>
      </x:c>
      <x:c r="Q267" s="215" t="str">
        <x:v>Juncaceae comparison should be rechecked against its future Hays family treatment.</x:v>
      </x:c>
      <x:c r="R267" s="215" t="str"/>
      <x:c r="S267" s="215" t="str">
        <x:v>APWEB-POAC; FNA-POAC; POWO-POAC; FNA-JUNC; LBJWC-HAYS</x:v>
      </x:c>
      <x:c r="T267" s="215" t="str">
        <x:v>https://www.mobot.org/MOBOT/research/APweb/orders/poalesweb.htm</x:v>
      </x:c>
      <x:c r="U267" s="215" t="str">
        <x:v>https://floranorthamerica.org/Poaceae</x:v>
      </x:c>
      <x:c r="V267" s="215" t="str">
        <x:v>https://powo.science.kew.org/taxon/urn:lsid:ipni.org:names:30000032-2</x:v>
      </x:c>
      <x:c r="W267" s="215" t="str">
        <x:v>https://www.mobot.org/MOBOT/research/APweb/orders/poalesweb.htm
https://floranorthamerica.org/Poaceae
https://powo.science.kew.org/taxon/urn:lsid:ipni.org:names:30000032-2
https://www.wildflower.org/collections/collection.php?collection=hays
https://floranorthamerica.org/Juncaceae</x:v>
      </x:c>
      <x:c r="X267" s="215" t="str">
        <x:v>No — retain qualifiers and exceptions</x:v>
      </x:c>
      <x:c r="Y267" s="215" t="str">
        <x:v>Yes</x:v>
      </x:c>
      <x:c r="Z267" s="215" t="str">
        <x:v>Source-backed comparison draft</x:v>
      </x:c>
    </x:row>
    <x:row r="268" ht="42" customHeight="1">
      <x:c r="A268" s="215" t="str">
        <x:v>Fabaceae</x:v>
      </x:c>
      <x:c r="B268" s="215" t="str">
        <x:v>FAB-HABIT</x:v>
      </x:c>
      <x:c r="C268" s="215" t="str">
        <x:v>Family-wide variation</x:v>
      </x:c>
      <x:c r="D268" s="215" t="str">
        <x:v>Habit</x:v>
      </x:c>
      <x:c r="E268" s="215" t="str">
        <x:v>Annual or perennial herbs, shrubs, trees, or vines</x:v>
      </x:c>
      <x:c r="F268" s="215" t="str">
        <x:v>Caution</x:v>
      </x:c>
      <x:c r="G268" s="215" t="str">
        <x:v>0</x:v>
      </x:c>
      <x:c r="H268" s="215" t="str">
        <x:v>Variable</x:v>
      </x:c>
      <x:c r="I268" s="215" t="str">
        <x:v>Naked eye</x:v>
      </x:c>
      <x:c r="J268" s="215" t="str">
        <x:v>Any</x:v>
      </x:c>
      <x:c r="K268" s="215" t="str">
        <x:v>Legumes occur in nearly every growth form, so habit helps describe a plant but cannot identify the family.</x:v>
      </x:c>
      <x:c r="L268" s="215" t="str">
        <x:v>No single habit is diagnostic, and thorny woody legumes can look very different from herbaceous papilionoids.</x:v>
      </x:c>
      <x:c r="M268" s="215" t="str">
        <x:v>Use only as context before checking leaves, flowers, ovary, and fruit.</x:v>
      </x:c>
      <x:c r="N268" s="215" t="str">
        <x:v>A major Hays County prairie, savanna, woodland-edge, and restoration family, ranging from low herbs to shrubs and trees; local identification must allow all major floral forms.</x:v>
      </x:c>
      <x:c r="O268" s="215" t="str">
        <x:v>Low</x:v>
      </x:c>
      <x:c r="P268" s="215" t="str">
        <x:v>No</x:v>
      </x:c>
      <x:c r="Q268" s="215" t="str"/>
      <x:c r="R268" s="215" t="str">
        <x:v>FAB-LK01; FAB-LK02</x:v>
      </x:c>
      <x:c r="S268" s="215" t="str">
        <x:v>APWEB-FAB; FNA-FAB; POWO-FAB; LBJWC-HAYS</x:v>
      </x:c>
      <x:c r="T268" s="215" t="str">
        <x:v>https://www.mobot.org/MOBOT/research/APweb/orders/fabalesweb.htm</x:v>
      </x:c>
      <x:c r="U268" s="215" t="str">
        <x:v>https://floranorthamerica.org/Fabaceae</x:v>
      </x:c>
      <x:c r="V268" s="215" t="str">
        <x:v>https://powo.science.kew.org/taxon/urn:lsid:ipni.org:names:30000147-2</x:v>
      </x:c>
      <x:c r="W268" s="215" t="str">
        <x:v>https://www.mobot.org/MOBOT/research/APweb/orders/fabalesweb.htm
https://floranorthamerica.org/Fabaceae
https://powo.science.kew.org/taxon/urn:lsid:ipni.org:names:30000147-2
https://www.wildflower.org/collections/collection.php?collection=hays</x:v>
      </x:c>
      <x:c r="X268" s="215" t="str">
        <x:v>No — retain qualifiers and exceptions</x:v>
      </x:c>
      <x:c r="Y268" s="215" t="str">
        <x:v>Yes</x:v>
      </x:c>
      <x:c r="Z268" s="215" t="str">
        <x:v>Source-backed draft</x:v>
      </x:c>
    </x:row>
    <x:row r="269" ht="42" customHeight="1">
      <x:c r="A269" s="215" t="str">
        <x:v>Fabaceae</x:v>
      </x:c>
      <x:c r="B269" s="215" t="str">
        <x:v>FAB-LEAF</x:v>
      </x:c>
      <x:c r="C269" s="215" t="str">
        <x:v>Broad family tendency</x:v>
      </x:c>
      <x:c r="D269" s="215" t="str">
        <x:v>Leaf</x:v>
      </x:c>
      <x:c r="E269" s="215" t="str">
        <x:v>Leaves usually alternate and compound, commonly pinnate, bipinnate, trifoliolate, or unifoliolate</x:v>
      </x:c>
      <x:c r="F269" s="215" t="str">
        <x:v>Strong</x:v>
      </x:c>
      <x:c r="G269" s="215" t="str">
        <x:v>4</x:v>
      </x:c>
      <x:c r="H269" s="215" t="str">
        <x:v>Variable</x:v>
      </x:c>
      <x:c r="I269" s="215" t="str">
        <x:v>Naked eye</x:v>
      </x:c>
      <x:c r="J269" s="215" t="str">
        <x:v>Vegetative</x:v>
      </x:c>
      <x:c r="K269" s="215" t="str">
        <x:v>Many legumes divide each leaf into leaflets, often arranged along a central stalk.</x:v>
      </x:c>
      <x:c r="L269" s="215" t="str">
        <x:v>Simple leaves, reduced leaves, phyllodes, and unusual arrangements occur; leaflet number varies from one to many.</x:v>
      </x:c>
      <x:c r="M269" s="215" t="str">
        <x:v>First distinguish a compound leaf from a leafy branch by finding the axillary bud at the whole leaf base.</x:v>
      </x:c>
      <x:c r="N269" s="215" t="str">
        <x:v>A major Hays County prairie, savanna, woodland-edge, and restoration family, ranging from low herbs to shrubs and trees; local identification must allow all major floral forms.</x:v>
      </x:c>
      <x:c r="O269" s="215" t="str">
        <x:v>Low</x:v>
      </x:c>
      <x:c r="P269" s="215" t="str">
        <x:v>No</x:v>
      </x:c>
      <x:c r="Q269" s="215" t="str"/>
      <x:c r="R269" s="215" t="str">
        <x:v>FAB-LK01; FAB-LK02</x:v>
      </x:c>
      <x:c r="S269" s="215" t="str">
        <x:v>APWEB-FAB; FNA-FAB; POWO-FAB; LBJWC-HAYS</x:v>
      </x:c>
      <x:c r="T269" s="215" t="str">
        <x:v>https://www.mobot.org/MOBOT/research/APweb/orders/fabalesweb.htm</x:v>
      </x:c>
      <x:c r="U269" s="215" t="str">
        <x:v>https://floranorthamerica.org/Fabaceae</x:v>
      </x:c>
      <x:c r="V269" s="215" t="str">
        <x:v>https://powo.science.kew.org/taxon/urn:lsid:ipni.org:names:30000147-2</x:v>
      </x:c>
      <x:c r="W269" s="215" t="str">
        <x:v>https://www.mobot.org/MOBOT/research/APweb/orders/fabalesweb.htm
https://floranorthamerica.org/Fabaceae
https://powo.science.kew.org/taxon/urn:lsid:ipni.org:names:30000147-2
https://www.wildflower.org/collections/collection.php?collection=hays</x:v>
      </x:c>
      <x:c r="X269" s="215" t="str">
        <x:v>No — retain qualifiers and exceptions</x:v>
      </x:c>
      <x:c r="Y269" s="215" t="str">
        <x:v>Yes</x:v>
      </x:c>
      <x:c r="Z269" s="215" t="str">
        <x:v>Source-backed draft</x:v>
      </x:c>
    </x:row>
    <x:row r="270" ht="42" customHeight="1">
      <x:c r="A270" s="215" t="str">
        <x:v>Fabaceae</x:v>
      </x:c>
      <x:c r="B270" s="215" t="str">
        <x:v>FAB-STIPULE</x:v>
      </x:c>
      <x:c r="C270" s="215" t="str">
        <x:v>Broad family tendency</x:v>
      </x:c>
      <x:c r="D270" s="215" t="str">
        <x:v>Stipules</x:v>
      </x:c>
      <x:c r="E270" s="215" t="str">
        <x:v>Paired stipules commonly present at the leaf base</x:v>
      </x:c>
      <x:c r="F270" s="215" t="str">
        <x:v>Strong</x:v>
      </x:c>
      <x:c r="G270" s="215" t="str">
        <x:v>4</x:v>
      </x:c>
      <x:c r="H270" s="215" t="str">
        <x:v>Moderate</x:v>
      </x:c>
      <x:c r="I270" s="215" t="str">
        <x:v>Naked eye or hand lens</x:v>
      </x:c>
      <x:c r="J270" s="215" t="str">
        <x:v>Young vegetative material</x:v>
      </x:c>
      <x:c r="K270" s="215" t="str">
        <x:v>Two small leaflike, papery, or spine-like structures often sit where the petiole joins the stem.</x:v>
      </x:c>
      <x:c r="L270" s="215" t="str">
        <x:v>Stipules may be minute, fall early, fuse, or become spines; their absence on old growth does not exclude Fabaceae.</x:v>
      </x:c>
      <x:c r="M270" s="215" t="str">
        <x:v>Use with compound leaves and pulvini; useful against many pinnate-leaved non-legumes.</x:v>
      </x:c>
      <x:c r="N270" s="215" t="str">
        <x:v>A major Hays County prairie, savanna, woodland-edge, and restoration family, ranging from low herbs to shrubs and trees; local identification must allow all major floral forms.</x:v>
      </x:c>
      <x:c r="O270" s="215" t="str">
        <x:v>Low</x:v>
      </x:c>
      <x:c r="P270" s="215" t="str">
        <x:v>No</x:v>
      </x:c>
      <x:c r="Q270" s="215" t="str"/>
      <x:c r="R270" s="215" t="str">
        <x:v>FAB-LK01; FAB-LK02</x:v>
      </x:c>
      <x:c r="S270" s="215" t="str">
        <x:v>APWEB-FAB; FNA-FAB; POWO-FAB; LBJWC-HAYS</x:v>
      </x:c>
      <x:c r="T270" s="215" t="str">
        <x:v>https://www.mobot.org/MOBOT/research/APweb/orders/fabalesweb.htm</x:v>
      </x:c>
      <x:c r="U270" s="215" t="str">
        <x:v>https://floranorthamerica.org/Fabaceae</x:v>
      </x:c>
      <x:c r="V270" s="215" t="str">
        <x:v>https://powo.science.kew.org/taxon/urn:lsid:ipni.org:names:30000147-2</x:v>
      </x:c>
      <x:c r="W270" s="215" t="str">
        <x:v>https://www.mobot.org/MOBOT/research/APweb/orders/fabalesweb.htm
https://floranorthamerica.org/Fabaceae
https://powo.science.kew.org/taxon/urn:lsid:ipni.org:names:30000147-2
https://www.wildflower.org/collections/collection.php?collection=hays</x:v>
      </x:c>
      <x:c r="X270" s="215" t="str">
        <x:v>No — retain qualifiers and exceptions</x:v>
      </x:c>
      <x:c r="Y270" s="215" t="str">
        <x:v>Yes</x:v>
      </x:c>
      <x:c r="Z270" s="215" t="str">
        <x:v>Source-backed draft</x:v>
      </x:c>
    </x:row>
    <x:row r="271" ht="42" customHeight="1">
      <x:c r="A271" s="215" t="str">
        <x:v>Fabaceae</x:v>
      </x:c>
      <x:c r="B271" s="215" t="str">
        <x:v>FAB-PULVINUS</x:v>
      </x:c>
      <x:c r="C271" s="215" t="str">
        <x:v>Broad family tendency</x:v>
      </x:c>
      <x:c r="D271" s="215" t="str">
        <x:v>Leaf base / leaflet base</x:v>
      </x:c>
      <x:c r="E271" s="215" t="str">
        <x:v>Swollen pulvini often occur at petiole and petiolule bases</x:v>
      </x:c>
      <x:c r="F271" s="215" t="str">
        <x:v>Strong</x:v>
      </x:c>
      <x:c r="G271" s="215" t="str">
        <x:v>4</x:v>
      </x:c>
      <x:c r="H271" s="215" t="str">
        <x:v>Moderate</x:v>
      </x:c>
      <x:c r="I271" s="215" t="str">
        <x:v>Naked eye or hand lens</x:v>
      </x:c>
      <x:c r="J271" s="215" t="str">
        <x:v>Vegetative</x:v>
      </x:c>
      <x:c r="K271" s="215" t="str">
        <x:v>A small jointlike swelling lets the whole leaf or individual leaflets change position.</x:v>
      </x:c>
      <x:c r="L271" s="215" t="str">
        <x:v>Pulvini can be weak or absent and occur in some unrelated families.</x:v>
      </x:c>
      <x:c r="M271" s="215" t="str">
        <x:v>Combine with stipules and legume flowers or fruit; especially useful on bipinnate or sensitive-leaved local legumes.</x:v>
      </x:c>
      <x:c r="N271" s="215" t="str">
        <x:v>A major Hays County prairie, savanna, woodland-edge, and restoration family, ranging from low herbs to shrubs and trees; local identification must allow all major floral forms.</x:v>
      </x:c>
      <x:c r="O271" s="215" t="str">
        <x:v>Low</x:v>
      </x:c>
      <x:c r="P271" s="215" t="str">
        <x:v>No</x:v>
      </x:c>
      <x:c r="Q271" s="215" t="str"/>
      <x:c r="R271" s="215" t="str">
        <x:v>FAB-LK02</x:v>
      </x:c>
      <x:c r="S271" s="215" t="str">
        <x:v>APWEB-FAB; FNA-FAB; POWO-FAB; LBJWC-HAYS</x:v>
      </x:c>
      <x:c r="T271" s="215" t="str">
        <x:v>https://www.mobot.org/MOBOT/research/APweb/orders/fabalesweb.htm</x:v>
      </x:c>
      <x:c r="U271" s="215" t="str">
        <x:v>https://floranorthamerica.org/Fabaceae</x:v>
      </x:c>
      <x:c r="V271" s="215" t="str">
        <x:v>https://powo.science.kew.org/taxon/urn:lsid:ipni.org:names:30000147-2</x:v>
      </x:c>
      <x:c r="W271" s="215" t="str">
        <x:v>https://www.mobot.org/MOBOT/research/APweb/orders/fabalesweb.htm
https://floranorthamerica.org/Fabaceae
https://powo.science.kew.org/taxon/urn:lsid:ipni.org:names:30000147-2
https://www.wildflower.org/collections/collection.php?collection=hays</x:v>
      </x:c>
      <x:c r="X271" s="215" t="str">
        <x:v>No — retain qualifiers and exceptions</x:v>
      </x:c>
      <x:c r="Y271" s="215" t="str">
        <x:v>Yes</x:v>
      </x:c>
      <x:c r="Z271" s="215" t="str">
        <x:v>Source-backed draft</x:v>
      </x:c>
    </x:row>
    <x:row r="272" ht="42" customHeight="1">
      <x:c r="A272" s="215" t="str">
        <x:v>Fabaceae</x:v>
      </x:c>
      <x:c r="B272" s="215" t="str">
        <x:v>FAB-FLOWER</x:v>
      </x:c>
      <x:c r="C272" s="215" t="str">
        <x:v>Broad family tendency</x:v>
      </x:c>
      <x:c r="D272" s="215" t="str">
        <x:v>Flower</x:v>
      </x:c>
      <x:c r="E272" s="215" t="str">
        <x:v>Flowers commonly 5-merous and often zygomorphic, but symmetry varies among subfamilies</x:v>
      </x:c>
      <x:c r="F272" s="215" t="str">
        <x:v>Strong</x:v>
      </x:c>
      <x:c r="G272" s="215" t="str">
        <x:v>4</x:v>
      </x:c>
      <x:c r="H272" s="215" t="str">
        <x:v>Variable</x:v>
      </x:c>
      <x:c r="I272" s="215" t="str">
        <x:v>Naked eye</x:v>
      </x:c>
      <x:c r="J272" s="215" t="str">
        <x:v>Flowering</x:v>
      </x:c>
      <x:c r="K272" s="215" t="str">
        <x:v>Many legumes have unequal petals and a one-sided flower, while mimosoid forms may look radial and brushlike.</x:v>
      </x:c>
      <x:c r="L272" s="215" t="str">
        <x:v>Actinomorphic or nearly actinomorphic flowers occur, petals may be reduced or absent, and sepal and petal fusion varies.</x:v>
      </x:c>
      <x:c r="M272" s="215" t="str">
        <x:v>Never require the pea-flower shape for the whole family; follow either papilionoid or non-papilionoid routes to the one-carpel fruit.</x:v>
      </x:c>
      <x:c r="N272" s="215" t="str">
        <x:v>A major Hays County prairie, savanna, woodland-edge, and restoration family, ranging from low herbs to shrubs and trees; local identification must allow all major floral forms.</x:v>
      </x:c>
      <x:c r="O272" s="215" t="str">
        <x:v>Low</x:v>
      </x:c>
      <x:c r="P272" s="215" t="str">
        <x:v>No</x:v>
      </x:c>
      <x:c r="Q272" s="215" t="str"/>
      <x:c r="R272" s="215" t="str">
        <x:v>FAB-LK01; FAB-LK02</x:v>
      </x:c>
      <x:c r="S272" s="215" t="str">
        <x:v>APWEB-FAB; FNA-FAB; POWO-FAB; LBJWC-HAYS</x:v>
      </x:c>
      <x:c r="T272" s="215" t="str">
        <x:v>https://www.mobot.org/MOBOT/research/APweb/orders/fabalesweb.htm</x:v>
      </x:c>
      <x:c r="U272" s="215" t="str">
        <x:v>https://floranorthamerica.org/Fabaceae</x:v>
      </x:c>
      <x:c r="V272" s="215" t="str">
        <x:v>https://powo.science.kew.org/taxon/urn:lsid:ipni.org:names:30000147-2</x:v>
      </x:c>
      <x:c r="W272" s="215" t="str">
        <x:v>https://www.mobot.org/MOBOT/research/APweb/orders/fabalesweb.htm
https://floranorthamerica.org/Fabaceae
https://powo.science.kew.org/taxon/urn:lsid:ipni.org:names:30000147-2
https://www.wildflower.org/collections/collection.php?collection=hays</x:v>
      </x:c>
      <x:c r="X272" s="215" t="str">
        <x:v>No — retain qualifiers and exceptions</x:v>
      </x:c>
      <x:c r="Y272" s="215" t="str">
        <x:v>Yes</x:v>
      </x:c>
      <x:c r="Z272" s="215" t="str">
        <x:v>Source-backed draft</x:v>
      </x:c>
    </x:row>
    <x:row r="273" ht="42" customHeight="1">
      <x:c r="A273" s="215" t="str">
        <x:v>Fabaceae</x:v>
      </x:c>
      <x:c r="B273" s="215" t="str">
        <x:v>FAB-PAPILIONOID</x:v>
      </x:c>
      <x:c r="C273" s="215" t="str">
        <x:v>Subfamily-limited, common locally</x:v>
      </x:c>
      <x:c r="D273" s="215" t="str">
        <x:v>Corolla</x:v>
      </x:c>
      <x:c r="E273" s="215" t="str">
        <x:v>Papilionoid flowers with banner, two wings, and keel</x:v>
      </x:c>
      <x:c r="F273" s="215" t="str">
        <x:v>Strong</x:v>
      </x:c>
      <x:c r="G273" s="215" t="str">
        <x:v>4</x:v>
      </x:c>
      <x:c r="H273" s="215" t="str">
        <x:v>High when present</x:v>
      </x:c>
      <x:c r="I273" s="215" t="str">
        <x:v>Naked eye</x:v>
      </x:c>
      <x:c r="J273" s="215" t="str">
        <x:v>Flowering</x:v>
      </x:c>
      <x:c r="K273" s="215" t="str">
        <x:v>The classic pea flower has one upper banner petal, two side wings, and two lower petals forming a keel.</x:v>
      </x:c>
      <x:c r="L273" s="215" t="str">
        <x:v>This is not family-wide and is absent from mimosoid and many caesalpinioid legumes.</x:v>
      </x:c>
      <x:c r="M273" s="215" t="str">
        <x:v>When present it strongly supports Fabaceae; when absent, use stamens, single carpel, and pod characters.</x:v>
      </x:c>
      <x:c r="N273" s="215" t="str">
        <x:v>A major Hays County prairie, savanna, woodland-edge, and restoration family, ranging from low herbs to shrubs and trees; local identification must allow all major floral forms.</x:v>
      </x:c>
      <x:c r="O273" s="215" t="str">
        <x:v>Low</x:v>
      </x:c>
      <x:c r="P273" s="215" t="str">
        <x:v>No</x:v>
      </x:c>
      <x:c r="Q273" s="215" t="str"/>
      <x:c r="R273" s="215" t="str">
        <x:v>FAB-LK01</x:v>
      </x:c>
      <x:c r="S273" s="215" t="str">
        <x:v>APWEB-FAB; FNA-FAB; POWO-FAB; LBJWC-HAYS</x:v>
      </x:c>
      <x:c r="T273" s="215" t="str">
        <x:v>https://www.mobot.org/MOBOT/research/APweb/orders/fabalesweb.htm</x:v>
      </x:c>
      <x:c r="U273" s="215" t="str">
        <x:v>https://floranorthamerica.org/Fabaceae</x:v>
      </x:c>
      <x:c r="V273" s="215" t="str">
        <x:v>https://powo.science.kew.org/taxon/urn:lsid:ipni.org:names:30000147-2</x:v>
      </x:c>
      <x:c r="W273" s="215" t="str">
        <x:v>https://www.mobot.org/MOBOT/research/APweb/orders/fabalesweb.htm
https://floranorthamerica.org/Fabaceae
https://powo.science.kew.org/taxon/urn:lsid:ipni.org:names:30000147-2
https://www.wildflower.org/collections/collection.php?collection=hays</x:v>
      </x:c>
      <x:c r="X273" s="215" t="str">
        <x:v>No — retain qualifiers and exceptions</x:v>
      </x:c>
      <x:c r="Y273" s="215" t="str">
        <x:v>Yes</x:v>
      </x:c>
      <x:c r="Z273" s="215" t="str">
        <x:v>Source-backed draft</x:v>
      </x:c>
    </x:row>
    <x:row r="274" ht="42" customHeight="1">
      <x:c r="A274" s="215" t="str">
        <x:v>Fabaceae</x:v>
      </x:c>
      <x:c r="B274" s="215" t="str">
        <x:v>FAB-STAMEN</x:v>
      </x:c>
      <x:c r="C274" s="215" t="str">
        <x:v>Broad family variation</x:v>
      </x:c>
      <x:c r="D274" s="215" t="str">
        <x:v>Androecium</x:v>
      </x:c>
      <x:c r="E274" s="215" t="str">
        <x:v>Stamens commonly ten or numerous; filaments free or variously connate</x:v>
      </x:c>
      <x:c r="F274" s="215" t="str">
        <x:v>Strong</x:v>
      </x:c>
      <x:c r="G274" s="215" t="str">
        <x:v>4</x:v>
      </x:c>
      <x:c r="H274" s="215" t="str">
        <x:v>Variable</x:v>
      </x:c>
      <x:c r="I274" s="215" t="str">
        <x:v>Naked eye to hand lens</x:v>
      </x:c>
      <x:c r="J274" s="215" t="str">
        <x:v>Flowering</x:v>
      </x:c>
      <x:c r="K274" s="215" t="str">
        <x:v>Pea-type flowers often hide ten stamens, commonly in a 9+1 bundle; mimosoid flowers may display many long stamens.</x:v>
      </x:c>
      <x:c r="L274" s="215" t="str">
        <x:v>Numbers and fusion patterns vary substantially, including fewer than ten stamens.</x:v>
      </x:c>
      <x:c r="M274" s="215" t="str">
        <x:v>Use stamen number and fusion only after choosing the correct floral route within the family.</x:v>
      </x:c>
      <x:c r="N274" s="215" t="str">
        <x:v>A major Hays County prairie, savanna, woodland-edge, and restoration family, ranging from low herbs to shrubs and trees; local identification must allow all major floral forms.</x:v>
      </x:c>
      <x:c r="O274" s="215" t="str">
        <x:v>Low</x:v>
      </x:c>
      <x:c r="P274" s="215" t="str">
        <x:v>No</x:v>
      </x:c>
      <x:c r="Q274" s="215" t="str"/>
      <x:c r="R274" s="215" t="str">
        <x:v>FAB-LK02</x:v>
      </x:c>
      <x:c r="S274" s="215" t="str">
        <x:v>APWEB-FAB; FNA-FAB; POWO-FAB; LBJWC-HAYS</x:v>
      </x:c>
      <x:c r="T274" s="215" t="str">
        <x:v>https://www.mobot.org/MOBOT/research/APweb/orders/fabalesweb.htm</x:v>
      </x:c>
      <x:c r="U274" s="215" t="str">
        <x:v>https://floranorthamerica.org/Fabaceae</x:v>
      </x:c>
      <x:c r="V274" s="215" t="str">
        <x:v>https://powo.science.kew.org/taxon/urn:lsid:ipni.org:names:30000147-2</x:v>
      </x:c>
      <x:c r="W274" s="215" t="str">
        <x:v>https://www.mobot.org/MOBOT/research/APweb/orders/fabalesweb.htm
https://floranorthamerica.org/Fabaceae
https://powo.science.kew.org/taxon/urn:lsid:ipni.org:names:30000147-2
https://www.wildflower.org/collections/collection.php?collection=hays</x:v>
      </x:c>
      <x:c r="X274" s="215" t="str">
        <x:v>No — retain qualifiers and exceptions</x:v>
      </x:c>
      <x:c r="Y274" s="215" t="str">
        <x:v>Yes</x:v>
      </x:c>
      <x:c r="Z274" s="215" t="str">
        <x:v>Source-backed draft</x:v>
      </x:c>
    </x:row>
    <x:row r="275" ht="42" customHeight="1">
      <x:c r="A275" s="215" t="str">
        <x:v>Fabaceae</x:v>
      </x:c>
      <x:c r="B275" s="215" t="str">
        <x:v>FAB-OVARY</x:v>
      </x:c>
      <x:c r="C275" s="215" t="str">
        <x:v>Family-wide structural theme</x:v>
      </x:c>
      <x:c r="D275" s="215" t="str">
        <x:v>Gynoecium</x:v>
      </x:c>
      <x:c r="E275" s="215" t="str">
        <x:v>One superior carpel, often stipitate, with one to many ovules along one margin</x:v>
      </x:c>
      <x:c r="F275" s="215" t="str">
        <x:v>Core</x:v>
      </x:c>
      <x:c r="G275" s="215" t="str">
        <x:v>5</x:v>
      </x:c>
      <x:c r="H275" s="215" t="str">
        <x:v>High with dissection</x:v>
      </x:c>
      <x:c r="I275" s="215" t="str">
        <x:v>Hand lens or dissection</x:v>
      </x:c>
      <x:c r="J275" s="215" t="str">
        <x:v>Flowering to early fruit</x:v>
      </x:c>
      <x:c r="K275" s="215" t="str">
        <x:v>A single ovary develops from one carpel, and its ovules line one side.</x:v>
      </x:c>
      <x:c r="L275" s="215" t="str">
        <x:v>The ovary can be hidden by petals and stamens, and a stipe or floral cup can complicate its apparent position.</x:v>
      </x:c>
      <x:c r="M275" s="215" t="str">
        <x:v>This is a stronger family confirmation than compound leaves or nitrogen-fixing nodules.</x:v>
      </x:c>
      <x:c r="N275" s="215" t="str">
        <x:v>A major Hays County prairie, savanna, woodland-edge, and restoration family, ranging from low herbs to shrubs and trees; local identification must allow all major floral forms.</x:v>
      </x:c>
      <x:c r="O275" s="215" t="str">
        <x:v>Low</x:v>
      </x:c>
      <x:c r="P275" s="215" t="str">
        <x:v>No</x:v>
      </x:c>
      <x:c r="Q275" s="215" t="str"/>
      <x:c r="R275" s="215" t="str">
        <x:v>FAB-LK01; FAB-LK02</x:v>
      </x:c>
      <x:c r="S275" s="215" t="str">
        <x:v>APWEB-FAB; FNA-FAB; POWO-FAB; LBJWC-HAYS</x:v>
      </x:c>
      <x:c r="T275" s="215" t="str">
        <x:v>https://www.mobot.org/MOBOT/research/APweb/orders/fabalesweb.htm</x:v>
      </x:c>
      <x:c r="U275" s="215" t="str">
        <x:v>https://floranorthamerica.org/Fabaceae</x:v>
      </x:c>
      <x:c r="V275" s="215" t="str">
        <x:v>https://powo.science.kew.org/taxon/urn:lsid:ipni.org:names:30000147-2</x:v>
      </x:c>
      <x:c r="W275" s="215" t="str">
        <x:v>https://www.mobot.org/MOBOT/research/APweb/orders/fabalesweb.htm
https://floranorthamerica.org/Fabaceae
https://powo.science.kew.org/taxon/urn:lsid:ipni.org:names:30000147-2
https://www.wildflower.org/collections/collection.php?collection=hays</x:v>
      </x:c>
      <x:c r="X275" s="215" t="str">
        <x:v>No — retain qualifiers and exceptions</x:v>
      </x:c>
      <x:c r="Y275" s="215" t="str">
        <x:v>Yes</x:v>
      </x:c>
      <x:c r="Z275" s="215" t="str">
        <x:v>Source-backed draft</x:v>
      </x:c>
    </x:row>
    <x:row r="276" ht="42" customHeight="1">
      <x:c r="A276" s="215" t="str">
        <x:v>Fabaceae</x:v>
      </x:c>
      <x:c r="B276" s="215" t="str">
        <x:v>FAB-FRUIT</x:v>
      </x:c>
      <x:c r="C276" s="215" t="str">
        <x:v>Broad family tendency</x:v>
      </x:c>
      <x:c r="D276" s="215" t="str">
        <x:v>Fruit</x:v>
      </x:c>
      <x:c r="E276" s="215" t="str">
        <x:v>Legume derived from one carpel, commonly opening along two sutures</x:v>
      </x:c>
      <x:c r="F276" s="215" t="str">
        <x:v>Core</x:v>
      </x:c>
      <x:c r="G276" s="215" t="str">
        <x:v>5</x:v>
      </x:c>
      <x:c r="H276" s="215" t="str">
        <x:v>High</x:v>
      </x:c>
      <x:c r="I276" s="215" t="str">
        <x:v>Naked eye</x:v>
      </x:c>
      <x:c r="J276" s="215" t="str">
        <x:v>Mature fruit</x:v>
      </x:c>
      <x:c r="K276" s="215" t="str">
        <x:v>The typical pod splits along both edges and carries seeds in one row.</x:v>
      </x:c>
      <x:c r="L276" s="215" t="str">
        <x:v>Pods may be indehiscent, break into one-seeded segments, coil, become winged, fleshy, or contain only one seed.</x:v>
      </x:c>
      <x:c r="M276" s="215" t="str">
        <x:v>Mature fruit is often the best confirmation, but require single-carpel pod construction rather than any elongated capsule.</x:v>
      </x:c>
      <x:c r="N276" s="215" t="str">
        <x:v>A major Hays County prairie, savanna, woodland-edge, and restoration family, ranging from low herbs to shrubs and trees; local identification must allow all major floral forms.</x:v>
      </x:c>
      <x:c r="O276" s="215" t="str">
        <x:v>Low</x:v>
      </x:c>
      <x:c r="P276" s="215" t="str">
        <x:v>No</x:v>
      </x:c>
      <x:c r="Q276" s="215" t="str"/>
      <x:c r="R276" s="215" t="str">
        <x:v>FAB-LK01; FAB-LK02</x:v>
      </x:c>
      <x:c r="S276" s="215" t="str">
        <x:v>APWEB-FAB; FNA-FAB; POWO-FAB; LBJWC-HAYS</x:v>
      </x:c>
      <x:c r="T276" s="215" t="str">
        <x:v>https://www.mobot.org/MOBOT/research/APweb/orders/fabalesweb.htm</x:v>
      </x:c>
      <x:c r="U276" s="215" t="str">
        <x:v>https://floranorthamerica.org/Fabaceae</x:v>
      </x:c>
      <x:c r="V276" s="215" t="str">
        <x:v>https://powo.science.kew.org/taxon/urn:lsid:ipni.org:names:30000147-2</x:v>
      </x:c>
      <x:c r="W276" s="215" t="str">
        <x:v>https://www.mobot.org/MOBOT/research/APweb/orders/fabalesweb.htm
https://floranorthamerica.org/Fabaceae
https://powo.science.kew.org/taxon/urn:lsid:ipni.org:names:30000147-2
https://www.wildflower.org/collections/collection.php?collection=hays</x:v>
      </x:c>
      <x:c r="X276" s="215" t="str">
        <x:v>No — retain qualifiers and exceptions</x:v>
      </x:c>
      <x:c r="Y276" s="215" t="str">
        <x:v>Yes</x:v>
      </x:c>
      <x:c r="Z276" s="215" t="str">
        <x:v>Source-backed draft</x:v>
      </x:c>
    </x:row>
    <x:row r="277" ht="42" customHeight="1">
      <x:c r="A277" s="215" t="str">
        <x:v>Fabaceae</x:v>
      </x:c>
      <x:c r="B277" s="215" t="str">
        <x:v>FAB-LK01</x:v>
      </x:c>
      <x:c r="C277" s="215" t="str">
        <x:v>Hays County field comparison</x:v>
      </x:c>
      <x:c r="D277" s="215" t="str">
        <x:v>Lookalike comparison</x:v>
      </x:c>
      <x:c r="E277" s="215" t="str">
        <x:v>Fabaceae versus Rosaceae with compound stipulate leaves</x:v>
      </x:c>
      <x:c r="F277" s="215" t="str">
        <x:v>Strong</x:v>
      </x:c>
      <x:c r="G277" s="215" t="str">
        <x:v>4</x:v>
      </x:c>
      <x:c r="H277" s="215" t="str">
        <x:v>Moderate</x:v>
      </x:c>
      <x:c r="I277" s="215" t="str">
        <x:v>Naked eye to hand lens</x:v>
      </x:c>
      <x:c r="J277" s="215" t="str">
        <x:v>Flowering or fruiting</x:v>
      </x:c>
      <x:c r="K277" s="215" t="str">
        <x:v>Legumes usually have one superior carpel producing a pod; roses commonly have actinomorphic flowers with a hypanthium and multiple or several carpels producing achenes, drupes, or pomes.</x:v>
      </x:c>
      <x:c r="L277" s="215" t="str">
        <x:v>Vegetative shoots can remain ambiguous, and both families may have stipules or prickles.</x:v>
      </x:c>
      <x:c r="M277" s="215" t="str">
        <x:v>Use ovary number and mature fruit rather than compound leaves alone.</x:v>
      </x:c>
      <x:c r="N277" s="215" t="str">
        <x:v>A major Hays County prairie, savanna, woodland-edge, and restoration family, ranging from low herbs to shrubs and trees; local identification must allow all major floral forms.</x:v>
      </x:c>
      <x:c r="O277" s="215" t="str">
        <x:v>Low</x:v>
      </x:c>
      <x:c r="P277" s="215" t="str">
        <x:v>No</x:v>
      </x:c>
      <x:c r="Q277" s="215" t="str"/>
      <x:c r="R277" s="215" t="str"/>
      <x:c r="S277" s="215" t="str">
        <x:v>APWEB-FAB; FNA-FAB; POWO-FAB; APWEB-ROS; FNA-ROS; POWO-ROS; LBJWC-HAYS</x:v>
      </x:c>
      <x:c r="T277" s="215" t="str">
        <x:v>https://www.mobot.org/MOBOT/research/APweb/orders/fabalesweb.htm</x:v>
      </x:c>
      <x:c r="U277" s="215" t="str">
        <x:v>https://floranorthamerica.org/Fabaceae</x:v>
      </x:c>
      <x:c r="V277" s="215" t="str">
        <x:v>https://powo.science.kew.org/taxon/urn:lsid:ipni.org:names:30000147-2</x:v>
      </x:c>
      <x:c r="W277" s="215" t="str">
        <x:v>https://www.mobot.org/MOBOT/research/APweb/orders/fabalesweb.htm
https://floranorthamerica.org/Fabaceae
https://powo.science.kew.org/taxon/urn:lsid:ipni.org:names:30000147-2
https://www.wildflower.org/collections/collection.php?collection=hays
https://www.mobot.org/mobot/research/APWeb/orders/rosalesweb.htm
https://floranorthamerica.org/Rosaceae
https://powo.science.kew.org/taxon/urn:lsid:ipni.org:names:30000200-2</x:v>
      </x:c>
      <x:c r="X277" s="215" t="str">
        <x:v>No — retain qualifiers and exceptions</x:v>
      </x:c>
      <x:c r="Y277" s="215" t="str">
        <x:v>Yes</x:v>
      </x:c>
      <x:c r="Z277" s="215" t="str">
        <x:v>Source-backed comparison draft</x:v>
      </x:c>
    </x:row>
    <x:row r="278" ht="42" customHeight="1">
      <x:c r="A278" s="215" t="str">
        <x:v>Fabaceae</x:v>
      </x:c>
      <x:c r="B278" s="215" t="str">
        <x:v>FAB-LK02</x:v>
      </x:c>
      <x:c r="C278" s="215" t="str">
        <x:v>Hays County field comparison</x:v>
      </x:c>
      <x:c r="D278" s="215" t="str">
        <x:v>Lookalike comparison</x:v>
      </x:c>
      <x:c r="E278" s="215" t="str">
        <x:v>Fabaceae versus other pinnate-leaved woody plants such as Sapindaceae</x:v>
      </x:c>
      <x:c r="F278" s="215" t="str">
        <x:v>Supporting</x:v>
      </x:c>
      <x:c r="G278" s="215" t="str">
        <x:v>3</x:v>
      </x:c>
      <x:c r="H278" s="215" t="str">
        <x:v>Moderate</x:v>
      </x:c>
      <x:c r="I278" s="215" t="str">
        <x:v>Naked eye to hand lens</x:v>
      </x:c>
      <x:c r="J278" s="215" t="str">
        <x:v>Vegetative plus fruiting preferred</x:v>
      </x:c>
      <x:c r="K278" s="215" t="str">
        <x:v>Fabaceae commonly combine stipules or pulvini with a single-carpel pod; Sapindaceae may have similar leaflets but different flowers and samaras, capsules, or schizocarps.</x:v>
      </x:c>
      <x:c r="L278" s="215" t="str">
        <x:v>Stipules and pulvini are not universal in legumes, and non-legumes can show jointlike leaflet bases.</x:v>
      </x:c>
      <x:c r="M278" s="215" t="str">
        <x:v>Treat pinnate leaves only as a prompt to search for axillary buds, stipules, flower structure, and mature fruit.</x:v>
      </x:c>
      <x:c r="N278" s="215" t="str">
        <x:v>A major Hays County prairie, savanna, woodland-edge, and restoration family, ranging from low herbs to shrubs and trees; local identification must allow all major floral forms.</x:v>
      </x:c>
      <x:c r="O278" s="215" t="str">
        <x:v>Moderate</x:v>
      </x:c>
      <x:c r="P278" s="215" t="str">
        <x:v>Yes</x:v>
      </x:c>
      <x:c r="Q278" s="215" t="str">
        <x:v>Broad cross-family comparison needs refinement when Sapindaceae receives a full local treatment.</x:v>
      </x:c>
      <x:c r="R278" s="215" t="str"/>
      <x:c r="S278" s="215" t="str">
        <x:v>APWEB-FAB; FNA-FAB; POWO-FAB; FNA-SAP; LBJWC-HAYS</x:v>
      </x:c>
      <x:c r="T278" s="215" t="str">
        <x:v>https://www.mobot.org/MOBOT/research/APweb/orders/fabalesweb.htm</x:v>
      </x:c>
      <x:c r="U278" s="215" t="str">
        <x:v>https://floranorthamerica.org/Fabaceae</x:v>
      </x:c>
      <x:c r="V278" s="215" t="str">
        <x:v>https://powo.science.kew.org/taxon/urn:lsid:ipni.org:names:30000147-2</x:v>
      </x:c>
      <x:c r="W278" s="215" t="str">
        <x:v>https://www.mobot.org/MOBOT/research/APweb/orders/fabalesweb.htm
https://floranorthamerica.org/Fabaceae
https://powo.science.kew.org/taxon/urn:lsid:ipni.org:names:30000147-2
https://www.wildflower.org/collections/collection.php?collection=hays
https://floranorthamerica.org/Sapindaceae</x:v>
      </x:c>
      <x:c r="X278" s="215" t="str">
        <x:v>No — retain qualifiers and exceptions</x:v>
      </x:c>
      <x:c r="Y278" s="215" t="str">
        <x:v>Yes</x:v>
      </x:c>
      <x:c r="Z278" s="215" t="str">
        <x:v>Source-backed comparison draft</x:v>
      </x:c>
    </x:row>
    <x:row r="279" ht="42" customHeight="1">
      <x:c r="A279" s="215" t="str">
        <x:v>Cyperaceae</x:v>
      </x:c>
      <x:c r="B279" s="215" t="str">
        <x:v>CYP-CULM</x:v>
      </x:c>
      <x:c r="C279" s="215" t="str">
        <x:v>Broad family tendency</x:v>
      </x:c>
      <x:c r="D279" s="215" t="str">
        <x:v>Stem</x:v>
      </x:c>
      <x:c r="E279" s="215" t="str">
        <x:v>Culms commonly solid and angled, often three-sided</x:v>
      </x:c>
      <x:c r="F279" s="215" t="str">
        <x:v>Strong</x:v>
      </x:c>
      <x:c r="G279" s="215" t="str">
        <x:v>4</x:v>
      </x:c>
      <x:c r="H279" s="215" t="str">
        <x:v>Variable</x:v>
      </x:c>
      <x:c r="I279" s="215" t="str">
        <x:v>Naked eye and touch</x:v>
      </x:c>
      <x:c r="J279" s="215" t="str">
        <x:v>Vegetative to fruiting</x:v>
      </x:c>
      <x:c r="K279" s="215" t="str">
        <x:v>Many sedges have firm stems with edges that can be felt by rolling the stem between the fingers.</x:v>
      </x:c>
      <x:c r="L279" s="215" t="str">
        <x:v>Round, flattened, weakly angled, or hollow stems occur; Eleocharis and bulrush-like genera often defeat the rhyme 'sedges have edges.'</x:v>
      </x:c>
      <x:c r="M279" s="215" t="str">
        <x:v>Use stem shape only as an early clue and confirm with closed sheaths, spikelets, and achenes.</x:v>
      </x:c>
      <x:c r="N279" s="215" t="str">
        <x:v>Important in Hays County seeps, creek margins, wet depressions, seasonal swales, lawns, and moist disturbed ground; local material includes Carex, Cyperus, Eleocharis, and bulrush-like forms.</x:v>
      </x:c>
      <x:c r="O279" s="215" t="str">
        <x:v>Low</x:v>
      </x:c>
      <x:c r="P279" s="215" t="str">
        <x:v>No</x:v>
      </x:c>
      <x:c r="Q279" s="215" t="str"/>
      <x:c r="R279" s="215" t="str">
        <x:v>CYP-LK01; CYP-LK02</x:v>
      </x:c>
      <x:c r="S279" s="215" t="str">
        <x:v>APWEB-CYP; FNA-CYP; POWO-CYP; LBJWC-HAYS</x:v>
      </x:c>
      <x:c r="T279" s="215" t="str">
        <x:v>https://www.mobot.org/MOBOT/research/APweb/orders/poalesweb.htm</x:v>
      </x:c>
      <x:c r="U279" s="215" t="str">
        <x:v>https://floranorthamerica.org/Cyperaceae</x:v>
      </x:c>
      <x:c r="V279" s="215" t="str">
        <x:v>https://powo.science.kew.org/taxon/urn:lsid:ipni.org:names:30000197-2</x:v>
      </x:c>
      <x:c r="W279" s="215" t="str">
        <x:v>https://www.mobot.org/MOBOT/research/APweb/orders/poalesweb.htm
https://floranorthamerica.org/Cyperaceae
https://powo.science.kew.org/taxon/urn:lsid:ipni.org:names:30000197-2
https://www.wildflower.org/collections/collection.php?collection=hays</x:v>
      </x:c>
      <x:c r="X279" s="215" t="str">
        <x:v>No — retain qualifiers and exceptions</x:v>
      </x:c>
      <x:c r="Y279" s="215" t="str">
        <x:v>Yes</x:v>
      </x:c>
      <x:c r="Z279" s="215" t="str">
        <x:v>Source-backed draft</x:v>
      </x:c>
    </x:row>
    <x:row r="280" ht="42" customHeight="1">
      <x:c r="A280" s="215" t="str">
        <x:v>Cyperaceae</x:v>
      </x:c>
      <x:c r="B280" s="215" t="str">
        <x:v>CYP-SHEATH</x:v>
      </x:c>
      <x:c r="C280" s="215" t="str">
        <x:v>Broad family tendency</x:v>
      </x:c>
      <x:c r="D280" s="215" t="str">
        <x:v>Leaf sheath</x:v>
      </x:c>
      <x:c r="E280" s="215" t="str">
        <x:v>Leaf sheath usually closed around the culm</x:v>
      </x:c>
      <x:c r="F280" s="215" t="str">
        <x:v>Strong</x:v>
      </x:c>
      <x:c r="G280" s="215" t="str">
        <x:v>4</x:v>
      </x:c>
      <x:c r="H280" s="215" t="str">
        <x:v>High when intact</x:v>
      </x:c>
      <x:c r="I280" s="215" t="str">
        <x:v>Naked eye</x:v>
      </x:c>
      <x:c r="J280" s="215" t="str">
        <x:v>Vegetative</x:v>
      </x:c>
      <x:c r="K280" s="215" t="str">
        <x:v>The leaf base forms a continuous tube rather than a sleeve with an open seam.</x:v>
      </x:c>
      <x:c r="L280" s="215" t="str">
        <x:v>Sheaths can tear, become bladeless, or be difficult to inspect at crowded bases.</x:v>
      </x:c>
      <x:c r="M280" s="215" t="str">
        <x:v>A closed sheath supports Cyperaceae against most grasses, but must be combined with reproductive characters.</x:v>
      </x:c>
      <x:c r="N280" s="215" t="str">
        <x:v>Important in Hays County seeps, creek margins, wet depressions, seasonal swales, lawns, and moist disturbed ground; local material includes Carex, Cyperus, Eleocharis, and bulrush-like forms.</x:v>
      </x:c>
      <x:c r="O280" s="215" t="str">
        <x:v>Low</x:v>
      </x:c>
      <x:c r="P280" s="215" t="str">
        <x:v>No</x:v>
      </x:c>
      <x:c r="Q280" s="215" t="str"/>
      <x:c r="R280" s="215" t="str">
        <x:v>CYP-LK01</x:v>
      </x:c>
      <x:c r="S280" s="215" t="str">
        <x:v>APWEB-CYP; FNA-CYP; POWO-CYP; LBJWC-HAYS</x:v>
      </x:c>
      <x:c r="T280" s="215" t="str">
        <x:v>https://www.mobot.org/MOBOT/research/APweb/orders/poalesweb.htm</x:v>
      </x:c>
      <x:c r="U280" s="215" t="str">
        <x:v>https://floranorthamerica.org/Cyperaceae</x:v>
      </x:c>
      <x:c r="V280" s="215" t="str">
        <x:v>https://powo.science.kew.org/taxon/urn:lsid:ipni.org:names:30000197-2</x:v>
      </x:c>
      <x:c r="W280" s="215" t="str">
        <x:v>https://www.mobot.org/MOBOT/research/APweb/orders/poalesweb.htm
https://floranorthamerica.org/Cyperaceae
https://powo.science.kew.org/taxon/urn:lsid:ipni.org:names:30000197-2
https://www.wildflower.org/collections/collection.php?collection=hays</x:v>
      </x:c>
      <x:c r="X280" s="215" t="str">
        <x:v>No — retain qualifiers and exceptions</x:v>
      </x:c>
      <x:c r="Y280" s="215" t="str">
        <x:v>Yes</x:v>
      </x:c>
      <x:c r="Z280" s="215" t="str">
        <x:v>Source-backed draft</x:v>
      </x:c>
    </x:row>
    <x:row r="281" ht="42" customHeight="1">
      <x:c r="A281" s="215" t="str">
        <x:v>Cyperaceae</x:v>
      </x:c>
      <x:c r="B281" s="215" t="str">
        <x:v>CYP-LEAFRANK</x:v>
      </x:c>
      <x:c r="C281" s="215" t="str">
        <x:v>Broad family tendency</x:v>
      </x:c>
      <x:c r="D281" s="215" t="str">
        <x:v>Leaf arrangement</x:v>
      </x:c>
      <x:c r="E281" s="215" t="str">
        <x:v>Leaves often three-ranked, sometimes two-ranked, four-ranked, spiral, reduced, or absent</x:v>
      </x:c>
      <x:c r="F281" s="215" t="str">
        <x:v>Supporting</x:v>
      </x:c>
      <x:c r="G281" s="215" t="str">
        <x:v>3</x:v>
      </x:c>
      <x:c r="H281" s="215" t="str">
        <x:v>Variable</x:v>
      </x:c>
      <x:c r="I281" s="215" t="str">
        <x:v>Naked eye</x:v>
      </x:c>
      <x:c r="J281" s="215" t="str">
        <x:v>Vegetative</x:v>
      </x:c>
      <x:c r="K281" s="215" t="str">
        <x:v>Leaf bases often emerge in three directions around the culm.</x:v>
      </x:c>
      <x:c r="L281" s="215" t="str">
        <x:v>The family includes several other arrangements, and bladeless spike-rushes offer little leaf evidence.</x:v>
      </x:c>
      <x:c r="M281" s="215" t="str">
        <x:v>Use only as part of a sedge suite; never reject the family when three ranks are not visible.</x:v>
      </x:c>
      <x:c r="N281" s="215" t="str">
        <x:v>Important in Hays County seeps, creek margins, wet depressions, seasonal swales, lawns, and moist disturbed ground; local material includes Carex, Cyperus, Eleocharis, and bulrush-like forms.</x:v>
      </x:c>
      <x:c r="O281" s="215" t="str">
        <x:v>Low</x:v>
      </x:c>
      <x:c r="P281" s="215" t="str">
        <x:v>No</x:v>
      </x:c>
      <x:c r="Q281" s="215" t="str"/>
      <x:c r="R281" s="215" t="str">
        <x:v>CYP-LK01; CYP-LK02</x:v>
      </x:c>
      <x:c r="S281" s="215" t="str">
        <x:v>APWEB-CYP; FNA-CYP; POWO-CYP; LBJWC-HAYS</x:v>
      </x:c>
      <x:c r="T281" s="215" t="str">
        <x:v>https://www.mobot.org/MOBOT/research/APweb/orders/poalesweb.htm</x:v>
      </x:c>
      <x:c r="U281" s="215" t="str">
        <x:v>https://floranorthamerica.org/Cyperaceae</x:v>
      </x:c>
      <x:c r="V281" s="215" t="str">
        <x:v>https://powo.science.kew.org/taxon/urn:lsid:ipni.org:names:30000197-2</x:v>
      </x:c>
      <x:c r="W281" s="215" t="str">
        <x:v>https://www.mobot.org/MOBOT/research/APweb/orders/poalesweb.htm
https://floranorthamerica.org/Cyperaceae
https://powo.science.kew.org/taxon/urn:lsid:ipni.org:names:30000197-2
https://www.wildflower.org/collections/collection.php?collection=hays</x:v>
      </x:c>
      <x:c r="X281" s="215" t="str">
        <x:v>No — retain qualifiers and exceptions</x:v>
      </x:c>
      <x:c r="Y281" s="215" t="str">
        <x:v>Yes</x:v>
      </x:c>
      <x:c r="Z281" s="215" t="str">
        <x:v>Source-backed draft</x:v>
      </x:c>
    </x:row>
    <x:row r="282" ht="42" customHeight="1">
      <x:c r="A282" s="215" t="str">
        <x:v>Cyperaceae</x:v>
      </x:c>
      <x:c r="B282" s="215" t="str">
        <x:v>CYP-SPIKELET</x:v>
      </x:c>
      <x:c r="C282" s="215" t="str">
        <x:v>Family-wide structural theme</x:v>
      </x:c>
      <x:c r="D282" s="215" t="str">
        <x:v>Inflorescence</x:v>
      </x:c>
      <x:c r="E282" s="215" t="str">
        <x:v>Flowers arranged in spikelets or compact heads of spikelets</x:v>
      </x:c>
      <x:c r="F282" s="215" t="str">
        <x:v>Core</x:v>
      </x:c>
      <x:c r="G282" s="215" t="str">
        <x:v>5</x:v>
      </x:c>
      <x:c r="H282" s="215" t="str">
        <x:v>High</x:v>
      </x:c>
      <x:c r="I282" s="215" t="str">
        <x:v>Naked eye to hand lens</x:v>
      </x:c>
      <x:c r="J282" s="215" t="str">
        <x:v>Flowering or fruiting</x:v>
      </x:c>
      <x:c r="K282" s="215" t="str">
        <x:v>Small flowers sit in orderly rows beneath scales, forming spikes, spikelets, or headlike clusters.</x:v>
      </x:c>
      <x:c r="L282" s="215" t="str">
        <x:v>Spikelets vary from one flower to many and may be hidden by large leaflike bracts.</x:v>
      </x:c>
      <x:c r="M282" s="215" t="str">
        <x:v>Locate individual flower scales and determine whether each flower has one scale or a grass lemma-palea pair.</x:v>
      </x:c>
      <x:c r="N282" s="215" t="str">
        <x:v>Important in Hays County seeps, creek margins, wet depressions, seasonal swales, lawns, and moist disturbed ground; local material includes Carex, Cyperus, Eleocharis, and bulrush-like forms.</x:v>
      </x:c>
      <x:c r="O282" s="215" t="str">
        <x:v>Low</x:v>
      </x:c>
      <x:c r="P282" s="215" t="str">
        <x:v>No</x:v>
      </x:c>
      <x:c r="Q282" s="215" t="str"/>
      <x:c r="R282" s="215" t="str">
        <x:v>CYP-LK01; CYP-LK02</x:v>
      </x:c>
      <x:c r="S282" s="215" t="str">
        <x:v>APWEB-CYP; FNA-CYP; POWO-CYP; LBJWC-HAYS</x:v>
      </x:c>
      <x:c r="T282" s="215" t="str">
        <x:v>https://www.mobot.org/MOBOT/research/APweb/orders/poalesweb.htm</x:v>
      </x:c>
      <x:c r="U282" s="215" t="str">
        <x:v>https://floranorthamerica.org/Cyperaceae</x:v>
      </x:c>
      <x:c r="V282" s="215" t="str">
        <x:v>https://powo.science.kew.org/taxon/urn:lsid:ipni.org:names:30000197-2</x:v>
      </x:c>
      <x:c r="W282" s="215" t="str">
        <x:v>https://www.mobot.org/MOBOT/research/APweb/orders/poalesweb.htm
https://floranorthamerica.org/Cyperaceae
https://powo.science.kew.org/taxon/urn:lsid:ipni.org:names:30000197-2
https://www.wildflower.org/collections/collection.php?collection=hays</x:v>
      </x:c>
      <x:c r="X282" s="215" t="str">
        <x:v>No — retain qualifiers and exceptions</x:v>
      </x:c>
      <x:c r="Y282" s="215" t="str">
        <x:v>Yes</x:v>
      </x:c>
      <x:c r="Z282" s="215" t="str">
        <x:v>Source-backed draft</x:v>
      </x:c>
    </x:row>
    <x:row r="283" ht="42" customHeight="1">
      <x:c r="A283" s="215" t="str">
        <x:v>Cyperaceae</x:v>
      </x:c>
      <x:c r="B283" s="215" t="str">
        <x:v>CYP-SCALE</x:v>
      </x:c>
      <x:c r="C283" s="215" t="str">
        <x:v>Broad family tendency</x:v>
      </x:c>
      <x:c r="D283" s="215" t="str">
        <x:v>Floral bract</x:v>
      </x:c>
      <x:c r="E283" s="215" t="str">
        <x:v>Each flower usually subtended by one scale or glume</x:v>
      </x:c>
      <x:c r="F283" s="215" t="str">
        <x:v>Core</x:v>
      </x:c>
      <x:c r="G283" s="215" t="str">
        <x:v>5</x:v>
      </x:c>
      <x:c r="H283" s="215" t="str">
        <x:v>High with magnification</x:v>
      </x:c>
      <x:c r="I283" s="215" t="str">
        <x:v>Hand lens</x:v>
      </x:c>
      <x:c r="J283" s="215" t="str">
        <x:v>Flowering or fruiting</x:v>
      </x:c>
      <x:c r="K283" s="215" t="str">
        <x:v>A sedge flower usually sits behind one scale instead of between a lemma and palea.</x:v>
      </x:c>
      <x:c r="L283" s="215" t="str">
        <x:v>Carex female flowers are enclosed by a perigynium in addition to the subtending scale, and complex spikelets may obscure the basic unit.</x:v>
      </x:c>
      <x:c r="M283" s="215" t="str">
        <x:v>One-scale construction is one of the best ways to separate sedges from grasses.</x:v>
      </x:c>
      <x:c r="N283" s="215" t="str">
        <x:v>Important in Hays County seeps, creek margins, wet depressions, seasonal swales, lawns, and moist disturbed ground; local material includes Carex, Cyperus, Eleocharis, and bulrush-like forms.</x:v>
      </x:c>
      <x:c r="O283" s="215" t="str">
        <x:v>Low</x:v>
      </x:c>
      <x:c r="P283" s="215" t="str">
        <x:v>No</x:v>
      </x:c>
      <x:c r="Q283" s="215" t="str"/>
      <x:c r="R283" s="215" t="str">
        <x:v>CYP-LK01</x:v>
      </x:c>
      <x:c r="S283" s="215" t="str">
        <x:v>APWEB-CYP; FNA-CYP; POWO-CYP; LBJWC-HAYS</x:v>
      </x:c>
      <x:c r="T283" s="215" t="str">
        <x:v>https://www.mobot.org/MOBOT/research/APweb/orders/poalesweb.htm</x:v>
      </x:c>
      <x:c r="U283" s="215" t="str">
        <x:v>https://floranorthamerica.org/Cyperaceae</x:v>
      </x:c>
      <x:c r="V283" s="215" t="str">
        <x:v>https://powo.science.kew.org/taxon/urn:lsid:ipni.org:names:30000197-2</x:v>
      </x:c>
      <x:c r="W283" s="215" t="str">
        <x:v>https://www.mobot.org/MOBOT/research/APweb/orders/poalesweb.htm
https://floranorthamerica.org/Cyperaceae
https://powo.science.kew.org/taxon/urn:lsid:ipni.org:names:30000197-2
https://www.wildflower.org/collections/collection.php?collection=hays</x:v>
      </x:c>
      <x:c r="X283" s="215" t="str">
        <x:v>No — retain qualifiers and exceptions</x:v>
      </x:c>
      <x:c r="Y283" s="215" t="str">
        <x:v>Yes</x:v>
      </x:c>
      <x:c r="Z283" s="215" t="str">
        <x:v>Source-backed draft</x:v>
      </x:c>
    </x:row>
    <x:row r="284" ht="42" customHeight="1">
      <x:c r="A284" s="215" t="str">
        <x:v>Cyperaceae</x:v>
      </x:c>
      <x:c r="B284" s="215" t="str">
        <x:v>CYP-PERIANTH</x:v>
      </x:c>
      <x:c r="C284" s="215" t="str">
        <x:v>Broad family variation</x:v>
      </x:c>
      <x:c r="D284" s="215" t="str">
        <x:v>Perianth</x:v>
      </x:c>
      <x:c r="E284" s="215" t="str">
        <x:v>Perianth absent or reduced to bristles, hairs, or scales</x:v>
      </x:c>
      <x:c r="F284" s="215" t="str">
        <x:v>Strong</x:v>
      </x:c>
      <x:c r="G284" s="215" t="str">
        <x:v>4</x:v>
      </x:c>
      <x:c r="H284" s="215" t="str">
        <x:v>Variable</x:v>
      </x:c>
      <x:c r="I284" s="215" t="str">
        <x:v>Hand lens or dissection</x:v>
      </x:c>
      <x:c r="J284" s="215" t="str">
        <x:v>Flowering to fruiting</x:v>
      </x:c>
      <x:c r="K284" s="215" t="str">
        <x:v>Showy petals and sepals are missing; tiny bristles or scales may remain around the achene.</x:v>
      </x:c>
      <x:c r="L284" s="215" t="str">
        <x:v>Perianth parts can be absent, conspicuous, or modified, and may elongate strongly in cotton-grass relatives.</x:v>
      </x:c>
      <x:c r="M284" s="215" t="str">
        <x:v>Use mature fruit to see whether bristles persist around the achene.</x:v>
      </x:c>
      <x:c r="N284" s="215" t="str">
        <x:v>Important in Hays County seeps, creek margins, wet depressions, seasonal swales, lawns, and moist disturbed ground; local material includes Carex, Cyperus, Eleocharis, and bulrush-like forms.</x:v>
      </x:c>
      <x:c r="O284" s="215" t="str">
        <x:v>Low</x:v>
      </x:c>
      <x:c r="P284" s="215" t="str">
        <x:v>No</x:v>
      </x:c>
      <x:c r="Q284" s="215" t="str"/>
      <x:c r="R284" s="215" t="str">
        <x:v>CYP-LK02</x:v>
      </x:c>
      <x:c r="S284" s="215" t="str">
        <x:v>APWEB-CYP; FNA-CYP; POWO-CYP; LBJWC-HAYS</x:v>
      </x:c>
      <x:c r="T284" s="215" t="str">
        <x:v>https://www.mobot.org/MOBOT/research/APweb/orders/poalesweb.htm</x:v>
      </x:c>
      <x:c r="U284" s="215" t="str">
        <x:v>https://floranorthamerica.org/Cyperaceae</x:v>
      </x:c>
      <x:c r="V284" s="215" t="str">
        <x:v>https://powo.science.kew.org/taxon/urn:lsid:ipni.org:names:30000197-2</x:v>
      </x:c>
      <x:c r="W284" s="215" t="str">
        <x:v>https://www.mobot.org/MOBOT/research/APweb/orders/poalesweb.htm
https://floranorthamerica.org/Cyperaceae
https://powo.science.kew.org/taxon/urn:lsid:ipni.org:names:30000197-2
https://www.wildflower.org/collections/collection.php?collection=hays</x:v>
      </x:c>
      <x:c r="X284" s="215" t="str">
        <x:v>No — retain qualifiers and exceptions</x:v>
      </x:c>
      <x:c r="Y284" s="215" t="str">
        <x:v>Yes</x:v>
      </x:c>
      <x:c r="Z284" s="215" t="str">
        <x:v>Source-backed draft</x:v>
      </x:c>
    </x:row>
    <x:row r="285" ht="42" customHeight="1">
      <x:c r="A285" s="215" t="str">
        <x:v>Cyperaceae</x:v>
      </x:c>
      <x:c r="B285" s="215" t="str">
        <x:v>CYP-STYLE</x:v>
      </x:c>
      <x:c r="C285" s="215" t="str">
        <x:v>Broad family tendency</x:v>
      </x:c>
      <x:c r="D285" s="215" t="str">
        <x:v>Gynoecium</x:v>
      </x:c>
      <x:c r="E285" s="215" t="str">
        <x:v>One ovule per flower; style commonly two- or three-branched</x:v>
      </x:c>
      <x:c r="F285" s="215" t="str">
        <x:v>Strong</x:v>
      </x:c>
      <x:c r="G285" s="215" t="str">
        <x:v>4</x:v>
      </x:c>
      <x:c r="H285" s="215" t="str">
        <x:v>Moderate</x:v>
      </x:c>
      <x:c r="I285" s="215" t="str">
        <x:v>Hand lens</x:v>
      </x:c>
      <x:c r="J285" s="215" t="str">
        <x:v>Anthesis to early fruit</x:v>
      </x:c>
      <x:c r="K285" s="215" t="str">
        <x:v>The number of style branches often predicts whether the mature achene is flattened or three-angled.</x:v>
      </x:c>
      <x:c r="L285" s="215" t="str">
        <x:v>Branch number varies and can fall away after flowering; some lineages have special style bases or tubercles.</x:v>
      </x:c>
      <x:c r="M285" s="215" t="str">
        <x:v>Use style branches with mature achene shape for genus-level sorting after confirming Cyperaceae.</x:v>
      </x:c>
      <x:c r="N285" s="215" t="str">
        <x:v>Important in Hays County seeps, creek margins, wet depressions, seasonal swales, lawns, and moist disturbed ground; local material includes Carex, Cyperus, Eleocharis, and bulrush-like forms.</x:v>
      </x:c>
      <x:c r="O285" s="215" t="str">
        <x:v>Low</x:v>
      </x:c>
      <x:c r="P285" s="215" t="str">
        <x:v>No</x:v>
      </x:c>
      <x:c r="Q285" s="215" t="str"/>
      <x:c r="R285" s="215" t="str">
        <x:v>CYP-LK01</x:v>
      </x:c>
      <x:c r="S285" s="215" t="str">
        <x:v>APWEB-CYP; FNA-CYP; POWO-CYP; LBJWC-HAYS</x:v>
      </x:c>
      <x:c r="T285" s="215" t="str">
        <x:v>https://www.mobot.org/MOBOT/research/APweb/orders/poalesweb.htm</x:v>
      </x:c>
      <x:c r="U285" s="215" t="str">
        <x:v>https://floranorthamerica.org/Cyperaceae</x:v>
      </x:c>
      <x:c r="V285" s="215" t="str">
        <x:v>https://powo.science.kew.org/taxon/urn:lsid:ipni.org:names:30000197-2</x:v>
      </x:c>
      <x:c r="W285" s="215" t="str">
        <x:v>https://www.mobot.org/MOBOT/research/APweb/orders/poalesweb.htm
https://floranorthamerica.org/Cyperaceae
https://powo.science.kew.org/taxon/urn:lsid:ipni.org:names:30000197-2
https://www.wildflower.org/collections/collection.php?collection=hays</x:v>
      </x:c>
      <x:c r="X285" s="215" t="str">
        <x:v>No — retain qualifiers and exceptions</x:v>
      </x:c>
      <x:c r="Y285" s="215" t="str">
        <x:v>Yes</x:v>
      </x:c>
      <x:c r="Z285" s="215" t="str">
        <x:v>Source-backed draft</x:v>
      </x:c>
    </x:row>
    <x:row r="286" ht="42" customHeight="1">
      <x:c r="A286" s="215" t="str">
        <x:v>Cyperaceae</x:v>
      </x:c>
      <x:c r="B286" s="215" t="str">
        <x:v>CYP-FRUIT</x:v>
      </x:c>
      <x:c r="C286" s="215" t="str">
        <x:v>Family-wide structural theme</x:v>
      </x:c>
      <x:c r="D286" s="215" t="str">
        <x:v>Fruit</x:v>
      </x:c>
      <x:c r="E286" s="215" t="str">
        <x:v>Dry one-seeded achene, commonly lenticular or three-angled</x:v>
      </x:c>
      <x:c r="F286" s="215" t="str">
        <x:v>Core</x:v>
      </x:c>
      <x:c r="G286" s="215" t="str">
        <x:v>5</x:v>
      </x:c>
      <x:c r="H286" s="215" t="str">
        <x:v>High</x:v>
      </x:c>
      <x:c r="I286" s="215" t="str">
        <x:v>Hand lens</x:v>
      </x:c>
      <x:c r="J286" s="215" t="str">
        <x:v>Mature fruit</x:v>
      </x:c>
      <x:c r="K286" s="215" t="str">
        <x:v>Each flower normally makes one small, hard, seedlike fruit that is not fused to the seed coat.</x:v>
      </x:c>
      <x:c r="L286" s="215" t="str">
        <x:v>Achenes can be enclosed in a perigynium, surrounded by bristles, topped by a tubercle, or have varied surfaces.</x:v>
      </x:c>
      <x:c r="M286" s="215" t="str">
        <x:v>A true achene plus one-scale flower construction separates sedges from grasses with caryopses.</x:v>
      </x:c>
      <x:c r="N286" s="215" t="str">
        <x:v>Important in Hays County seeps, creek margins, wet depressions, seasonal swales, lawns, and moist disturbed ground; local material includes Carex, Cyperus, Eleocharis, and bulrush-like forms.</x:v>
      </x:c>
      <x:c r="O286" s="215" t="str">
        <x:v>Low</x:v>
      </x:c>
      <x:c r="P286" s="215" t="str">
        <x:v>No</x:v>
      </x:c>
      <x:c r="Q286" s="215" t="str"/>
      <x:c r="R286" s="215" t="str">
        <x:v>CYP-LK01; CYP-LK02</x:v>
      </x:c>
      <x:c r="S286" s="215" t="str">
        <x:v>APWEB-CYP; FNA-CYP; POWO-CYP; LBJWC-HAYS</x:v>
      </x:c>
      <x:c r="T286" s="215" t="str">
        <x:v>https://www.mobot.org/MOBOT/research/APweb/orders/poalesweb.htm</x:v>
      </x:c>
      <x:c r="U286" s="215" t="str">
        <x:v>https://floranorthamerica.org/Cyperaceae</x:v>
      </x:c>
      <x:c r="V286" s="215" t="str">
        <x:v>https://powo.science.kew.org/taxon/urn:lsid:ipni.org:names:30000197-2</x:v>
      </x:c>
      <x:c r="W286" s="215" t="str">
        <x:v>https://www.mobot.org/MOBOT/research/APweb/orders/poalesweb.htm
https://floranorthamerica.org/Cyperaceae
https://powo.science.kew.org/taxon/urn:lsid:ipni.org:names:30000197-2
https://www.wildflower.org/collections/collection.php?collection=hays</x:v>
      </x:c>
      <x:c r="X286" s="215" t="str">
        <x:v>No — retain qualifiers and exceptions</x:v>
      </x:c>
      <x:c r="Y286" s="215" t="str">
        <x:v>Yes</x:v>
      </x:c>
      <x:c r="Z286" s="215" t="str">
        <x:v>Source-backed draft</x:v>
      </x:c>
    </x:row>
    <x:row r="287" ht="42" customHeight="1">
      <x:c r="A287" s="215" t="str">
        <x:v>Cyperaceae</x:v>
      </x:c>
      <x:c r="B287" s="215" t="str">
        <x:v>CYP-CAREX</x:v>
      </x:c>
      <x:c r="C287" s="215" t="str">
        <x:v>Subfamily / genus-group route</x:v>
      </x:c>
      <x:c r="D287" s="215" t="str">
        <x:v>Female flower enclosure</x:v>
      </x:c>
      <x:c r="E287" s="215" t="str">
        <x:v>Carex and close relatives enclose each female flower and achene in a perigynium</x:v>
      </x:c>
      <x:c r="F287" s="215" t="str">
        <x:v>Strong</x:v>
      </x:c>
      <x:c r="G287" s="215" t="str">
        <x:v>4</x:v>
      </x:c>
      <x:c r="H287" s="215" t="str">
        <x:v>High when mature</x:v>
      </x:c>
      <x:c r="I287" s="215" t="str">
        <x:v>Naked eye or hand lens</x:v>
      </x:c>
      <x:c r="J287" s="215" t="str">
        <x:v>Flowering to fruiting</x:v>
      </x:c>
      <x:c r="K287" s="215" t="str">
        <x:v>A small saclike structure surrounds the female flower and later the achene.</x:v>
      </x:c>
      <x:c r="L287" s="215" t="str">
        <x:v>This is not a family-wide sedge character and should never be required for Cyperus, Eleocharis, Schoenoplectus, or other sedges.</x:v>
      </x:c>
      <x:c r="M287" s="215" t="str">
        <x:v>When present, it strongly identifies the Carex group and prevents misreading the perigynium as a grass bract.</x:v>
      </x:c>
      <x:c r="N287" s="215" t="str">
        <x:v>Important in Hays County seeps, creek margins, wet depressions, seasonal swales, lawns, and moist disturbed ground; local material includes Carex, Cyperus, Eleocharis, and bulrush-like forms.</x:v>
      </x:c>
      <x:c r="O287" s="215" t="str">
        <x:v>Low</x:v>
      </x:c>
      <x:c r="P287" s="215" t="str">
        <x:v>No</x:v>
      </x:c>
      <x:c r="Q287" s="215" t="str"/>
      <x:c r="R287" s="215" t="str">
        <x:v>CYP-LK01</x:v>
      </x:c>
      <x:c r="S287" s="215" t="str">
        <x:v>APWEB-CYP; FNA-CYP; POWO-CYP; LBJWC-HAYS</x:v>
      </x:c>
      <x:c r="T287" s="215" t="str">
        <x:v>https://www.mobot.org/MOBOT/research/APweb/orders/poalesweb.htm</x:v>
      </x:c>
      <x:c r="U287" s="215" t="str">
        <x:v>https://floranorthamerica.org/Cyperaceae</x:v>
      </x:c>
      <x:c r="V287" s="215" t="str">
        <x:v>https://powo.science.kew.org/taxon/urn:lsid:ipni.org:names:30000197-2</x:v>
      </x:c>
      <x:c r="W287" s="215" t="str">
        <x:v>https://www.mobot.org/MOBOT/research/APweb/orders/poalesweb.htm
https://floranorthamerica.org/Cyperaceae
https://powo.science.kew.org/taxon/urn:lsid:ipni.org:names:30000197-2
https://www.wildflower.org/collections/collection.php?collection=hays</x:v>
      </x:c>
      <x:c r="X287" s="215" t="str">
        <x:v>No — retain qualifiers and exceptions</x:v>
      </x:c>
      <x:c r="Y287" s="215" t="str">
        <x:v>Yes</x:v>
      </x:c>
      <x:c r="Z287" s="215" t="str">
        <x:v>Source-backed draft</x:v>
      </x:c>
    </x:row>
    <x:row r="288" ht="42" customHeight="1">
      <x:c r="A288" s="215" t="str">
        <x:v>Cyperaceae</x:v>
      </x:c>
      <x:c r="B288" s="215" t="str">
        <x:v>CYP-LK01</x:v>
      </x:c>
      <x:c r="C288" s="215" t="str">
        <x:v>Hays County field comparison</x:v>
      </x:c>
      <x:c r="D288" s="215" t="str">
        <x:v>Lookalike comparison</x:v>
      </x:c>
      <x:c r="E288" s="215" t="str">
        <x:v>Cyperaceae versus Poaceae</x:v>
      </x:c>
      <x:c r="F288" s="215" t="str">
        <x:v>Strong</x:v>
      </x:c>
      <x:c r="G288" s="215" t="str">
        <x:v>5</x:v>
      </x:c>
      <x:c r="H288" s="215" t="str">
        <x:v>High with fertile material</x:v>
      </x:c>
      <x:c r="I288" s="215" t="str">
        <x:v>Naked eye to hand lens</x:v>
      </x:c>
      <x:c r="J288" s="215" t="str">
        <x:v>Vegetative plus fruiting preferred</x:v>
      </x:c>
      <x:c r="K288" s="215" t="str">
        <x:v>Sedges usually have closed sheaths, often solid angled culms, one scale per flower, and achenes; grasses usually have nodes, ligules, often open sheaths, lemma-palea florets, and caryopses.</x:v>
      </x:c>
      <x:c r="L288" s="215" t="str">
        <x:v>Stem shape and solidity each have exceptions in both families.</x:v>
      </x:c>
      <x:c r="M288" s="215" t="str">
        <x:v>Use sheath and reproductive-unit construction before applying the stem-shape shortcut.</x:v>
      </x:c>
      <x:c r="N288" s="215" t="str">
        <x:v>Important in Hays County seeps, creek margins, wet depressions, seasonal swales, lawns, and moist disturbed ground; local material includes Carex, Cyperus, Eleocharis, and bulrush-like forms.</x:v>
      </x:c>
      <x:c r="O288" s="215" t="str">
        <x:v>Low</x:v>
      </x:c>
      <x:c r="P288" s="215" t="str">
        <x:v>No</x:v>
      </x:c>
      <x:c r="Q288" s="215" t="str"/>
      <x:c r="R288" s="215" t="str"/>
      <x:c r="S288" s="215" t="str">
        <x:v>APWEB-CYP; FNA-CYP; POWO-CYP; APWEB-POAC; FNA-POAC; POWO-POAC; LBJWC-HAYS</x:v>
      </x:c>
      <x:c r="T288" s="215" t="str">
        <x:v>https://www.mobot.org/MOBOT/research/APweb/orders/poalesweb.htm</x:v>
      </x:c>
      <x:c r="U288" s="215" t="str">
        <x:v>https://floranorthamerica.org/Cyperaceae</x:v>
      </x:c>
      <x:c r="V288" s="215" t="str">
        <x:v>https://powo.science.kew.org/taxon/urn:lsid:ipni.org:names:30000197-2</x:v>
      </x:c>
      <x:c r="W288" s="215" t="str">
        <x:v>https://www.mobot.org/MOBOT/research/APweb/orders/poalesweb.htm
https://floranorthamerica.org/Cyperaceae
https://powo.science.kew.org/taxon/urn:lsid:ipni.org:names:30000197-2
https://www.wildflower.org/collections/collection.php?collection=hays
https://floranorthamerica.org/Poaceae
https://powo.science.kew.org/taxon/urn:lsid:ipni.org:names:30000032-2</x:v>
      </x:c>
      <x:c r="X288" s="215" t="str">
        <x:v>No — retain qualifiers and exceptions</x:v>
      </x:c>
      <x:c r="Y288" s="215" t="str">
        <x:v>Yes</x:v>
      </x:c>
      <x:c r="Z288" s="215" t="str">
        <x:v>Source-backed comparison draft</x:v>
      </x:c>
    </x:row>
    <x:row r="289" ht="42" customHeight="1">
      <x:c r="A289" s="215" t="str">
        <x:v>Cyperaceae</x:v>
      </x:c>
      <x:c r="B289" s="215" t="str">
        <x:v>CYP-LK02</x:v>
      </x:c>
      <x:c r="C289" s="215" t="str">
        <x:v>Hays County field comparison</x:v>
      </x:c>
      <x:c r="D289" s="215" t="str">
        <x:v>Lookalike comparison</x:v>
      </x:c>
      <x:c r="E289" s="215" t="str">
        <x:v>Cyperaceae versus Juncaceae</x:v>
      </x:c>
      <x:c r="F289" s="215" t="str">
        <x:v>Strong</x:v>
      </x:c>
      <x:c r="G289" s="215" t="str">
        <x:v>4</x:v>
      </x:c>
      <x:c r="H289" s="215" t="str">
        <x:v>Moderate</x:v>
      </x:c>
      <x:c r="I289" s="215" t="str">
        <x:v>Naked eye to hand lens</x:v>
      </x:c>
      <x:c r="J289" s="215" t="str">
        <x:v>Flowering or fruiting</x:v>
      </x:c>
      <x:c r="K289" s="215" t="str">
        <x:v>Sedges usually reduce the perianth and produce achenes in scale-bearing spikelets; rushes more often retain six small tepals and produce capsules with more than one seed.</x:v>
      </x:c>
      <x:c r="L289" s="215" t="str">
        <x:v>Highly reduced flowers and immature fruit can be ambiguous, especially in dense wetland vegetation.</x:v>
      </x:c>
      <x:c r="M289" s="215" t="str">
        <x:v>Open a mature flower or fruiting unit and compare perianth and fruit type.</x:v>
      </x:c>
      <x:c r="N289" s="215" t="str">
        <x:v>Important in Hays County seeps, creek margins, wet depressions, seasonal swales, lawns, and moist disturbed ground; local material includes Carex, Cyperus, Eleocharis, and bulrush-like forms.</x:v>
      </x:c>
      <x:c r="O289" s="215" t="str">
        <x:v>Moderate</x:v>
      </x:c>
      <x:c r="P289" s="215" t="str">
        <x:v>Yes</x:v>
      </x:c>
      <x:c r="Q289" s="215" t="str">
        <x:v>Juncaceae comparison should be rechecked against its future Hays family treatment.</x:v>
      </x:c>
      <x:c r="R289" s="215" t="str"/>
      <x:c r="S289" s="215" t="str">
        <x:v>APWEB-CYP; FNA-CYP; POWO-CYP; FNA-JUNC; LBJWC-HAYS</x:v>
      </x:c>
      <x:c r="T289" s="215" t="str">
        <x:v>https://www.mobot.org/MOBOT/research/APweb/orders/poalesweb.htm</x:v>
      </x:c>
      <x:c r="U289" s="215" t="str">
        <x:v>https://floranorthamerica.org/Cyperaceae</x:v>
      </x:c>
      <x:c r="V289" s="215" t="str">
        <x:v>https://powo.science.kew.org/taxon/urn:lsid:ipni.org:names:30000197-2</x:v>
      </x:c>
      <x:c r="W289" s="215" t="str">
        <x:v>https://www.mobot.org/MOBOT/research/APweb/orders/poalesweb.htm
https://floranorthamerica.org/Cyperaceae
https://powo.science.kew.org/taxon/urn:lsid:ipni.org:names:30000197-2
https://www.wildflower.org/collections/collection.php?collection=hays
https://floranorthamerica.org/Juncaceae</x:v>
      </x:c>
      <x:c r="X289" s="215" t="str">
        <x:v>No — retain qualifiers and exceptions</x:v>
      </x:c>
      <x:c r="Y289" s="215" t="str">
        <x:v>Yes</x:v>
      </x:c>
      <x:c r="Z289" s="215" t="str">
        <x:v>Source-backed comparison draft</x:v>
      </x:c>
    </x:row>
    <x:row r="290" ht="42" customHeight="1">
      <x:c r="A290" s="215" t="str">
        <x:v>Lamiaceae</x:v>
      </x:c>
      <x:c r="B290" s="215" t="str">
        <x:v>LAM-HABIT</x:v>
      </x:c>
      <x:c r="C290" s="215" t="str">
        <x:v>Family-wide variation</x:v>
      </x:c>
      <x:c r="D290" s="215" t="str">
        <x:v>Habit</x:v>
      </x:c>
      <x:c r="E290" s="215" t="str">
        <x:v>Mostly herbs and shrubs, with vines and trees also present</x:v>
      </x:c>
      <x:c r="F290" s="215" t="str">
        <x:v>Supporting</x:v>
      </x:c>
      <x:c r="G290" s="215" t="str">
        <x:v>2</x:v>
      </x:c>
      <x:c r="H290" s="215" t="str">
        <x:v>Variable</x:v>
      </x:c>
      <x:c r="I290" s="215" t="str">
        <x:v>Naked eye</x:v>
      </x:c>
      <x:c r="J290" s="215" t="str">
        <x:v>Any</x:v>
      </x:c>
      <x:c r="K290" s="215" t="str">
        <x:v>Many local mints are herbs, but the modern family also includes woody members formerly placed near Verbenaceae.</x:v>
      </x:c>
      <x:c r="L290" s="215" t="str">
        <x:v>Habit cannot confirm or reject Lamiaceae, particularly under the modern broad circumscription.</x:v>
      </x:c>
      <x:c r="M290" s="215" t="str">
        <x:v>Use only as context before checking leaf arrangement, inflorescence, flower, and fruit.</x:v>
      </x:c>
      <x:c r="N290" s="215" t="str">
        <x:v>Well represented in Hays County prairies, rocky openings, woodland edges, seeps, and disturbed ground; local herbs include Monarda, Salvia, Scutellaria, Stachys, and Hedeoma, with woody exceptions also possible.</x:v>
      </x:c>
      <x:c r="O290" s="215" t="str">
        <x:v>Low</x:v>
      </x:c>
      <x:c r="P290" s="215" t="str">
        <x:v>No</x:v>
      </x:c>
      <x:c r="Q290" s="215" t="str"/>
      <x:c r="R290" s="215" t="str">
        <x:v>LAM-LK01; LAM-LK02</x:v>
      </x:c>
      <x:c r="S290" s="215" t="str">
        <x:v>APWEB-LAM; POWO-LAM-GI; POWO-LAM; LBJWC-HAYS</x:v>
      </x:c>
      <x:c r="T290" s="215" t="str">
        <x:v>https://www.mobot.org/MOBOT/research/APweb/orders/lamialesweb.htm</x:v>
      </x:c>
      <x:c r="U290" s="215" t="str">
        <x:v>https://powo.science.kew.org/taxon/urn:lsid:ipni.org:names:30000097-2/general-information</x:v>
      </x:c>
      <x:c r="V290" s="215" t="str">
        <x:v>https://powo.science.kew.org/taxon/urn:lsid:ipni.org:names:30000097-2</x:v>
      </x:c>
      <x:c r="W290" s="215" t="str">
        <x:v>https://www.mobot.org/MOBOT/research/APweb/orders/lamialesweb.htm
https://powo.science.kew.org/taxon/urn:lsid:ipni.org:names:30000097-2/general-information
https://powo.science.kew.org/taxon/urn:lsid:ipni.org:names:30000097-2
https://www.wildflower.org/collections/collection.php?collection=hays</x:v>
      </x:c>
      <x:c r="X290" s="215" t="str">
        <x:v>No — retain qualifiers and exceptions</x:v>
      </x:c>
      <x:c r="Y290" s="215" t="str">
        <x:v>Yes</x:v>
      </x:c>
      <x:c r="Z290" s="215" t="str">
        <x:v>Source-backed draft</x:v>
      </x:c>
    </x:row>
    <x:row r="291" ht="42" customHeight="1">
      <x:c r="A291" s="215" t="str">
        <x:v>Lamiaceae</x:v>
      </x:c>
      <x:c r="B291" s="215" t="str">
        <x:v>LAM-STEM</x:v>
      </x:c>
      <x:c r="C291" s="215" t="str">
        <x:v>Broad family tendency</x:v>
      </x:c>
      <x:c r="D291" s="215" t="str">
        <x:v>Stem</x:v>
      </x:c>
      <x:c r="E291" s="215" t="str">
        <x:v>Stems often four-angled or square in cross-section</x:v>
      </x:c>
      <x:c r="F291" s="215" t="str">
        <x:v>Strong</x:v>
      </x:c>
      <x:c r="G291" s="215" t="str">
        <x:v>4</x:v>
      </x:c>
      <x:c r="H291" s="215" t="str">
        <x:v>Variable</x:v>
      </x:c>
      <x:c r="I291" s="215" t="str">
        <x:v>Naked eye and touch</x:v>
      </x:c>
      <x:c r="J291" s="215" t="str">
        <x:v>Vegetative to flowering</x:v>
      </x:c>
      <x:c r="K291" s="215" t="str">
        <x:v>Many mint stems have four noticeable corners.</x:v>
      </x:c>
      <x:c r="L291" s="215" t="str">
        <x:v>Round or weakly angled stems occur, woody twigs can hide the character, and square stems also occur in unrelated families.</x:v>
      </x:c>
      <x:c r="M291" s="215" t="str">
        <x:v>Use as an early clue only; confirm with opposite leaves and the gynoecium or fruit.</x:v>
      </x:c>
      <x:c r="N291" s="215" t="str">
        <x:v>Well represented in Hays County prairies, rocky openings, woodland edges, seeps, and disturbed ground; local herbs include Monarda, Salvia, Scutellaria, Stachys, and Hedeoma, with woody exceptions also possible.</x:v>
      </x:c>
      <x:c r="O291" s="215" t="str">
        <x:v>Low</x:v>
      </x:c>
      <x:c r="P291" s="215" t="str">
        <x:v>No</x:v>
      </x:c>
      <x:c r="Q291" s="215" t="str"/>
      <x:c r="R291" s="215" t="str">
        <x:v>LAM-LK01; LAM-LK02</x:v>
      </x:c>
      <x:c r="S291" s="215" t="str">
        <x:v>APWEB-LAM; POWO-LAM-GI; POWO-LAM; LBJWC-HAYS</x:v>
      </x:c>
      <x:c r="T291" s="215" t="str">
        <x:v>https://www.mobot.org/MOBOT/research/APweb/orders/lamialesweb.htm</x:v>
      </x:c>
      <x:c r="U291" s="215" t="str">
        <x:v>https://powo.science.kew.org/taxon/urn:lsid:ipni.org:names:30000097-2/general-information</x:v>
      </x:c>
      <x:c r="V291" s="215" t="str">
        <x:v>https://powo.science.kew.org/taxon/urn:lsid:ipni.org:names:30000097-2</x:v>
      </x:c>
      <x:c r="W291" s="215" t="str">
        <x:v>https://www.mobot.org/MOBOT/research/APweb/orders/lamialesweb.htm
https://powo.science.kew.org/taxon/urn:lsid:ipni.org:names:30000097-2/general-information
https://powo.science.kew.org/taxon/urn:lsid:ipni.org:names:30000097-2
https://www.wildflower.org/collections/collection.php?collection=hays</x:v>
      </x:c>
      <x:c r="X291" s="215" t="str">
        <x:v>No — retain qualifiers and exceptions</x:v>
      </x:c>
      <x:c r="Y291" s="215" t="str">
        <x:v>Yes</x:v>
      </x:c>
      <x:c r="Z291" s="215" t="str">
        <x:v>Source-backed draft</x:v>
      </x:c>
    </x:row>
    <x:row r="292" ht="42" customHeight="1">
      <x:c r="A292" s="215" t="str">
        <x:v>Lamiaceae</x:v>
      </x:c>
      <x:c r="B292" s="215" t="str">
        <x:v>LAM-LEAF</x:v>
      </x:c>
      <x:c r="C292" s="215" t="str">
        <x:v>Broad family tendency</x:v>
      </x:c>
      <x:c r="D292" s="215" t="str">
        <x:v>Leaf</x:v>
      </x:c>
      <x:c r="E292" s="215" t="str">
        <x:v>Leaves usually opposite, often decussate, estipulate, and commonly toothed</x:v>
      </x:c>
      <x:c r="F292" s="215" t="str">
        <x:v>Strong</x:v>
      </x:c>
      <x:c r="G292" s="215" t="str">
        <x:v>4</x:v>
      </x:c>
      <x:c r="H292" s="215" t="str">
        <x:v>High in typical material</x:v>
      </x:c>
      <x:c r="I292" s="215" t="str">
        <x:v>Naked eye</x:v>
      </x:c>
      <x:c r="J292" s="215" t="str">
        <x:v>Vegetative</x:v>
      </x:c>
      <x:c r="K292" s="215" t="str">
        <x:v>Leaf pairs usually sit across from each other, with each new pair rotated relative to the one below.</x:v>
      </x:c>
      <x:c r="L292" s="215" t="str">
        <x:v>Whorled or alternate arrangements occur in some members; margins may be entire and leaves can be very small.</x:v>
      </x:c>
      <x:c r="M292" s="215" t="str">
        <x:v>Pair leaf arrangement with square stems, cymose clusters, and four-lobed ovary or nutlets.</x:v>
      </x:c>
      <x:c r="N292" s="215" t="str">
        <x:v>Well represented in Hays County prairies, rocky openings, woodland edges, seeps, and disturbed ground; local herbs include Monarda, Salvia, Scutellaria, Stachys, and Hedeoma, with woody exceptions also possible.</x:v>
      </x:c>
      <x:c r="O292" s="215" t="str">
        <x:v>Low</x:v>
      </x:c>
      <x:c r="P292" s="215" t="str">
        <x:v>No</x:v>
      </x:c>
      <x:c r="Q292" s="215" t="str"/>
      <x:c r="R292" s="215" t="str">
        <x:v>LAM-LK01; LAM-LK02</x:v>
      </x:c>
      <x:c r="S292" s="215" t="str">
        <x:v>APWEB-LAM; POWO-LAM-GI; POWO-LAM; LBJWC-HAYS</x:v>
      </x:c>
      <x:c r="T292" s="215" t="str">
        <x:v>https://www.mobot.org/MOBOT/research/APweb/orders/lamialesweb.htm</x:v>
      </x:c>
      <x:c r="U292" s="215" t="str">
        <x:v>https://powo.science.kew.org/taxon/urn:lsid:ipni.org:names:30000097-2/general-information</x:v>
      </x:c>
      <x:c r="V292" s="215" t="str">
        <x:v>https://powo.science.kew.org/taxon/urn:lsid:ipni.org:names:30000097-2</x:v>
      </x:c>
      <x:c r="W292" s="215" t="str">
        <x:v>https://www.mobot.org/MOBOT/research/APweb/orders/lamialesweb.htm
https://powo.science.kew.org/taxon/urn:lsid:ipni.org:names:30000097-2/general-information
https://powo.science.kew.org/taxon/urn:lsid:ipni.org:names:30000097-2
https://www.wildflower.org/collections/collection.php?collection=hays</x:v>
      </x:c>
      <x:c r="X292" s="215" t="str">
        <x:v>No — retain qualifiers and exceptions</x:v>
      </x:c>
      <x:c r="Y292" s="215" t="str">
        <x:v>Yes</x:v>
      </x:c>
      <x:c r="Z292" s="215" t="str">
        <x:v>Source-backed draft</x:v>
      </x:c>
    </x:row>
    <x:row r="293" ht="42" customHeight="1">
      <x:c r="A293" s="215" t="str">
        <x:v>Lamiaceae</x:v>
      </x:c>
      <x:c r="B293" s="215" t="str">
        <x:v>LAM-AROMA</x:v>
      </x:c>
      <x:c r="C293" s="215" t="str">
        <x:v>Common, not family-wide</x:v>
      </x:c>
      <x:c r="D293" s="215" t="str">
        <x:v>Glands / odor</x:v>
      </x:c>
      <x:c r="E293" s="215" t="str">
        <x:v>Plants often aromatic from glandular hairs and essential oils</x:v>
      </x:c>
      <x:c r="F293" s="215" t="str">
        <x:v>Supporting</x:v>
      </x:c>
      <x:c r="G293" s="215" t="str">
        <x:v>2</x:v>
      </x:c>
      <x:c r="H293" s="215" t="str">
        <x:v>Variable</x:v>
      </x:c>
      <x:c r="I293" s="215" t="str">
        <x:v>Smell and hand lens</x:v>
      </x:c>
      <x:c r="J293" s="215" t="str">
        <x:v>Fresh vegetative or flowering material</x:v>
      </x:c>
      <x:c r="K293" s="215" t="str">
        <x:v>Gently rubbing a leaf may release a minty, resinous, citrus, or otherwise strong scent.</x:v>
      </x:c>
      <x:c r="L293" s="215" t="str">
        <x:v>Many Lamiaceae are weakly scented or odorless, and aromatic plants occur in numerous other families.</x:v>
      </x:c>
      <x:c r="M293" s="215" t="str">
        <x:v>Use odor to prompt closer inspection, never as a pass/fail family character.</x:v>
      </x:c>
      <x:c r="N293" s="215" t="str">
        <x:v>Well represented in Hays County prairies, rocky openings, woodland edges, seeps, and disturbed ground; local herbs include Monarda, Salvia, Scutellaria, Stachys, and Hedeoma, with woody exceptions also possible.</x:v>
      </x:c>
      <x:c r="O293" s="215" t="str">
        <x:v>Low</x:v>
      </x:c>
      <x:c r="P293" s="215" t="str">
        <x:v>No</x:v>
      </x:c>
      <x:c r="Q293" s="215" t="str"/>
      <x:c r="R293" s="215" t="str">
        <x:v>LAM-LK01; LAM-LK02</x:v>
      </x:c>
      <x:c r="S293" s="215" t="str">
        <x:v>APWEB-LAM; POWO-LAM-GI; POWO-LAM; LBJWC-HAYS</x:v>
      </x:c>
      <x:c r="T293" s="215" t="str">
        <x:v>https://www.mobot.org/MOBOT/research/APweb/orders/lamialesweb.htm</x:v>
      </x:c>
      <x:c r="U293" s="215" t="str">
        <x:v>https://powo.science.kew.org/taxon/urn:lsid:ipni.org:names:30000097-2/general-information</x:v>
      </x:c>
      <x:c r="V293" s="215" t="str">
        <x:v>https://powo.science.kew.org/taxon/urn:lsid:ipni.org:names:30000097-2</x:v>
      </x:c>
      <x:c r="W293" s="215" t="str">
        <x:v>https://www.mobot.org/MOBOT/research/APweb/orders/lamialesweb.htm
https://powo.science.kew.org/taxon/urn:lsid:ipni.org:names:30000097-2/general-information
https://powo.science.kew.org/taxon/urn:lsid:ipni.org:names:30000097-2
https://www.wildflower.org/collections/collection.php?collection=hays</x:v>
      </x:c>
      <x:c r="X293" s="215" t="str">
        <x:v>No — retain qualifiers and exceptions</x:v>
      </x:c>
      <x:c r="Y293" s="215" t="str">
        <x:v>Yes</x:v>
      </x:c>
      <x:c r="Z293" s="215" t="str">
        <x:v>Source-backed draft</x:v>
      </x:c>
    </x:row>
    <x:row r="294" ht="42" customHeight="1">
      <x:c r="A294" s="215" t="str">
        <x:v>Lamiaceae</x:v>
      </x:c>
      <x:c r="B294" s="215" t="str">
        <x:v>LAM-INFLO</x:v>
      </x:c>
      <x:c r="C294" s="215" t="str">
        <x:v>Broad family tendency</x:v>
      </x:c>
      <x:c r="D294" s="215" t="str">
        <x:v>Inflorescence</x:v>
      </x:c>
      <x:c r="E294" s="215" t="str">
        <x:v>Inflorescence branches commonly cymose, often condensed into verticillaster-like clusters</x:v>
      </x:c>
      <x:c r="F294" s="215" t="str">
        <x:v>Strong</x:v>
      </x:c>
      <x:c r="G294" s="215" t="str">
        <x:v>4</x:v>
      </x:c>
      <x:c r="H294" s="215" t="str">
        <x:v>Moderate</x:v>
      </x:c>
      <x:c r="I294" s="215" t="str">
        <x:v>Naked eye</x:v>
      </x:c>
      <x:c r="J294" s="215" t="str">
        <x:v>Flowering</x:v>
      </x:c>
      <x:c r="K294" s="215" t="str">
        <x:v>Flowers often form paired side clusters that can look like rings around the stem.</x:v>
      </x:c>
      <x:c r="L294" s="215" t="str">
        <x:v>Cymes may be reduced, elongated, solitary, or arranged into larger spikes and panicles; architecture can be hard to see without tracing branches.</x:v>
      </x:c>
      <x:c r="M294" s="215" t="str">
        <x:v>Cymose clustering helps separate many Lamiaceae from racemose Verbenaceae when flowers and fruit are incomplete.</x:v>
      </x:c>
      <x:c r="N294" s="215" t="str">
        <x:v>Well represented in Hays County prairies, rocky openings, woodland edges, seeps, and disturbed ground; local herbs include Monarda, Salvia, Scutellaria, Stachys, and Hedeoma, with woody exceptions also possible.</x:v>
      </x:c>
      <x:c r="O294" s="215" t="str">
        <x:v>Low</x:v>
      </x:c>
      <x:c r="P294" s="215" t="str">
        <x:v>No</x:v>
      </x:c>
      <x:c r="Q294" s="215" t="str"/>
      <x:c r="R294" s="215" t="str">
        <x:v>LAM-LK01</x:v>
      </x:c>
      <x:c r="S294" s="215" t="str">
        <x:v>APWEB-LAM; POWO-LAM-GI; POWO-LAM; LBJWC-HAYS</x:v>
      </x:c>
      <x:c r="T294" s="215" t="str">
        <x:v>https://www.mobot.org/MOBOT/research/APweb/orders/lamialesweb.htm</x:v>
      </x:c>
      <x:c r="U294" s="215" t="str">
        <x:v>https://powo.science.kew.org/taxon/urn:lsid:ipni.org:names:30000097-2/general-information</x:v>
      </x:c>
      <x:c r="V294" s="215" t="str">
        <x:v>https://powo.science.kew.org/taxon/urn:lsid:ipni.org:names:30000097-2</x:v>
      </x:c>
      <x:c r="W294" s="215" t="str">
        <x:v>https://www.mobot.org/MOBOT/research/APweb/orders/lamialesweb.htm
https://powo.science.kew.org/taxon/urn:lsid:ipni.org:names:30000097-2/general-information
https://powo.science.kew.org/taxon/urn:lsid:ipni.org:names:30000097-2
https://www.wildflower.org/collections/collection.php?collection=hays</x:v>
      </x:c>
      <x:c r="X294" s="215" t="str">
        <x:v>No — retain qualifiers and exceptions</x:v>
      </x:c>
      <x:c r="Y294" s="215" t="str">
        <x:v>Yes</x:v>
      </x:c>
      <x:c r="Z294" s="215" t="str">
        <x:v>Source-backed draft</x:v>
      </x:c>
    </x:row>
    <x:row r="295" ht="42" customHeight="1">
      <x:c r="A295" s="215" t="str">
        <x:v>Lamiaceae</x:v>
      </x:c>
      <x:c r="B295" s="215" t="str">
        <x:v>LAM-COROLLA</x:v>
      </x:c>
      <x:c r="C295" s="215" t="str">
        <x:v>Broad family tendency</x:v>
      </x:c>
      <x:c r="D295" s="215" t="str">
        <x:v>Corolla</x:v>
      </x:c>
      <x:c r="E295" s="215" t="str">
        <x:v>Corolla sympetalous and usually zygomorphic, commonly two-lipped</x:v>
      </x:c>
      <x:c r="F295" s="215" t="str">
        <x:v>Strong</x:v>
      </x:c>
      <x:c r="G295" s="215" t="str">
        <x:v>4</x:v>
      </x:c>
      <x:c r="H295" s="215" t="str">
        <x:v>Variable</x:v>
      </x:c>
      <x:c r="I295" s="215" t="str">
        <x:v>Naked eye</x:v>
      </x:c>
      <x:c r="J295" s="215" t="str">
        <x:v>Flowering</x:v>
      </x:c>
      <x:c r="K295" s="215" t="str">
        <x:v>Five joined petals often form an upper and lower lip around the stamens and style.</x:v>
      </x:c>
      <x:c r="L295" s="215" t="str">
        <x:v>Nearly actinomorphic corollas occur, especially in some mint-like groups, and lobe proportions vary greatly.</x:v>
      </x:c>
      <x:c r="M295" s="215" t="str">
        <x:v>Use floral symmetry with stamen number and four-lobed ovary; do not require a dramatic two-lipped flower.</x:v>
      </x:c>
      <x:c r="N295" s="215" t="str">
        <x:v>Well represented in Hays County prairies, rocky openings, woodland edges, seeps, and disturbed ground; local herbs include Monarda, Salvia, Scutellaria, Stachys, and Hedeoma, with woody exceptions also possible.</x:v>
      </x:c>
      <x:c r="O295" s="215" t="str">
        <x:v>Low</x:v>
      </x:c>
      <x:c r="P295" s="215" t="str">
        <x:v>No</x:v>
      </x:c>
      <x:c r="Q295" s="215" t="str"/>
      <x:c r="R295" s="215" t="str">
        <x:v>LAM-LK01; LAM-LK02</x:v>
      </x:c>
      <x:c r="S295" s="215" t="str">
        <x:v>APWEB-LAM; POWO-LAM-GI; POWO-LAM; LBJWC-HAYS</x:v>
      </x:c>
      <x:c r="T295" s="215" t="str">
        <x:v>https://www.mobot.org/MOBOT/research/APweb/orders/lamialesweb.htm</x:v>
      </x:c>
      <x:c r="U295" s="215" t="str">
        <x:v>https://powo.science.kew.org/taxon/urn:lsid:ipni.org:names:30000097-2/general-information</x:v>
      </x:c>
      <x:c r="V295" s="215" t="str">
        <x:v>https://powo.science.kew.org/taxon/urn:lsid:ipni.org:names:30000097-2</x:v>
      </x:c>
      <x:c r="W295" s="215" t="str">
        <x:v>https://www.mobot.org/MOBOT/research/APweb/orders/lamialesweb.htm
https://powo.science.kew.org/taxon/urn:lsid:ipni.org:names:30000097-2/general-information
https://powo.science.kew.org/taxon/urn:lsid:ipni.org:names:30000097-2
https://www.wildflower.org/collections/collection.php?collection=hays</x:v>
      </x:c>
      <x:c r="X295" s="215" t="str">
        <x:v>No — retain qualifiers and exceptions</x:v>
      </x:c>
      <x:c r="Y295" s="215" t="str">
        <x:v>Yes</x:v>
      </x:c>
      <x:c r="Z295" s="215" t="str">
        <x:v>Source-backed draft</x:v>
      </x:c>
    </x:row>
    <x:row r="296" ht="42" customHeight="1">
      <x:c r="A296" s="215" t="str">
        <x:v>Lamiaceae</x:v>
      </x:c>
      <x:c r="B296" s="215" t="str">
        <x:v>LAM-STAMEN</x:v>
      </x:c>
      <x:c r="C296" s="215" t="str">
        <x:v>Broad family tendency</x:v>
      </x:c>
      <x:c r="D296" s="215" t="str">
        <x:v>Androecium</x:v>
      </x:c>
      <x:c r="E296" s="215" t="str">
        <x:v>Usually four didynamous stamens or two fertile stamens</x:v>
      </x:c>
      <x:c r="F296" s="215" t="str">
        <x:v>Strong</x:v>
      </x:c>
      <x:c r="G296" s="215" t="str">
        <x:v>4</x:v>
      </x:c>
      <x:c r="H296" s="215" t="str">
        <x:v>Moderate</x:v>
      </x:c>
      <x:c r="I296" s="215" t="str">
        <x:v>Naked eye to hand lens</x:v>
      </x:c>
      <x:c r="J296" s="215" t="str">
        <x:v>Fresh flowering material</x:v>
      </x:c>
      <x:c r="K296" s="215" t="str">
        <x:v>Many flowers have two longer and two shorter stamens; Salvia and relatives commonly show only two fertile stamens.</x:v>
      </x:c>
      <x:c r="L296" s="215" t="str">
        <x:v>Stamen number and equality vary, and staminodes may occur.</x:v>
      </x:c>
      <x:c r="M296" s="215" t="str">
        <x:v>Count fertile stamens only on an intact corolla and combine with ovary lobing.</x:v>
      </x:c>
      <x:c r="N296" s="215" t="str">
        <x:v>Well represented in Hays County prairies, rocky openings, woodland edges, seeps, and disturbed ground; local herbs include Monarda, Salvia, Scutellaria, Stachys, and Hedeoma, with woody exceptions also possible.</x:v>
      </x:c>
      <x:c r="O296" s="215" t="str">
        <x:v>Low</x:v>
      </x:c>
      <x:c r="P296" s="215" t="str">
        <x:v>No</x:v>
      </x:c>
      <x:c r="Q296" s="215" t="str"/>
      <x:c r="R296" s="215" t="str">
        <x:v>LAM-LK01</x:v>
      </x:c>
      <x:c r="S296" s="215" t="str">
        <x:v>APWEB-LAM; POWO-LAM-GI; POWO-LAM; LBJWC-HAYS</x:v>
      </x:c>
      <x:c r="T296" s="215" t="str">
        <x:v>https://www.mobot.org/MOBOT/research/APweb/orders/lamialesweb.htm</x:v>
      </x:c>
      <x:c r="U296" s="215" t="str">
        <x:v>https://powo.science.kew.org/taxon/urn:lsid:ipni.org:names:30000097-2/general-information</x:v>
      </x:c>
      <x:c r="V296" s="215" t="str">
        <x:v>https://powo.science.kew.org/taxon/urn:lsid:ipni.org:names:30000097-2</x:v>
      </x:c>
      <x:c r="W296" s="215" t="str">
        <x:v>https://www.mobot.org/MOBOT/research/APweb/orders/lamialesweb.htm
https://powo.science.kew.org/taxon/urn:lsid:ipni.org:names:30000097-2/general-information
https://powo.science.kew.org/taxon/urn:lsid:ipni.org:names:30000097-2
https://www.wildflower.org/collections/collection.php?collection=hays</x:v>
      </x:c>
      <x:c r="X296" s="215" t="str">
        <x:v>No — retain qualifiers and exceptions</x:v>
      </x:c>
      <x:c r="Y296" s="215" t="str">
        <x:v>Yes</x:v>
      </x:c>
      <x:c r="Z296" s="215" t="str">
        <x:v>Source-backed draft</x:v>
      </x:c>
    </x:row>
    <x:row r="297" ht="42" customHeight="1">
      <x:c r="A297" s="215" t="str">
        <x:v>Lamiaceae</x:v>
      </x:c>
      <x:c r="B297" s="215" t="str">
        <x:v>LAM-OVARY</x:v>
      </x:c>
      <x:c r="C297" s="215" t="str">
        <x:v>Broad family tendency</x:v>
      </x:c>
      <x:c r="D297" s="215" t="str">
        <x:v>Gynoecium</x:v>
      </x:c>
      <x:c r="E297" s="215" t="str">
        <x:v>Bicarpellate ovary commonly deeply four-lobed, with a usually bifid style often arising between lobes</x:v>
      </x:c>
      <x:c r="F297" s="215" t="str">
        <x:v>Core</x:v>
      </x:c>
      <x:c r="G297" s="215" t="str">
        <x:v>5</x:v>
      </x:c>
      <x:c r="H297" s="215" t="str">
        <x:v>High with dissection</x:v>
      </x:c>
      <x:c r="I297" s="215" t="str">
        <x:v>Hand lens or dissection</x:v>
      </x:c>
      <x:c r="J297" s="215" t="str">
        <x:v>Fresh flowering material</x:v>
      </x:c>
      <x:c r="K297" s="215" t="str">
        <x:v>The ovary often looks like four small green bumps, with the style rising from their center.</x:v>
      </x:c>
      <x:c r="L297" s="215" t="str">
        <x:v>Degree of lobing and style position vary in the broad family; some woody lineages have less-divided ovaries or fleshy fruits.</x:v>
      </x:c>
      <x:c r="M297" s="215" t="str">
        <x:v>This is a stronger confirmation than square stems or aroma and is central to separating Lamiaceae from lookalikes.</x:v>
      </x:c>
      <x:c r="N297" s="215" t="str">
        <x:v>Well represented in Hays County prairies, rocky openings, woodland edges, seeps, and disturbed ground; local herbs include Monarda, Salvia, Scutellaria, Stachys, and Hedeoma, with woody exceptions also possible.</x:v>
      </x:c>
      <x:c r="O297" s="215" t="str">
        <x:v>Low</x:v>
      </x:c>
      <x:c r="P297" s="215" t="str">
        <x:v>No</x:v>
      </x:c>
      <x:c r="Q297" s="215" t="str"/>
      <x:c r="R297" s="215" t="str">
        <x:v>LAM-LK01; LAM-LK02</x:v>
      </x:c>
      <x:c r="S297" s="215" t="str">
        <x:v>APWEB-LAM; POWO-LAM-GI; POWO-LAM; LBJWC-HAYS</x:v>
      </x:c>
      <x:c r="T297" s="215" t="str">
        <x:v>https://www.mobot.org/MOBOT/research/APweb/orders/lamialesweb.htm</x:v>
      </x:c>
      <x:c r="U297" s="215" t="str">
        <x:v>https://powo.science.kew.org/taxon/urn:lsid:ipni.org:names:30000097-2/general-information</x:v>
      </x:c>
      <x:c r="V297" s="215" t="str">
        <x:v>https://powo.science.kew.org/taxon/urn:lsid:ipni.org:names:30000097-2</x:v>
      </x:c>
      <x:c r="W297" s="215" t="str">
        <x:v>https://www.mobot.org/MOBOT/research/APweb/orders/lamialesweb.htm
https://powo.science.kew.org/taxon/urn:lsid:ipni.org:names:30000097-2/general-information
https://powo.science.kew.org/taxon/urn:lsid:ipni.org:names:30000097-2
https://www.wildflower.org/collections/collection.php?collection=hays</x:v>
      </x:c>
      <x:c r="X297" s="215" t="str">
        <x:v>No — retain qualifiers and exceptions</x:v>
      </x:c>
      <x:c r="Y297" s="215" t="str">
        <x:v>Yes</x:v>
      </x:c>
      <x:c r="Z297" s="215" t="str">
        <x:v>Source-backed draft</x:v>
      </x:c>
    </x:row>
    <x:row r="298" ht="42" customHeight="1">
      <x:c r="A298" s="215" t="str">
        <x:v>Lamiaceae</x:v>
      </x:c>
      <x:c r="B298" s="215" t="str">
        <x:v>LAM-FRUIT</x:v>
      </x:c>
      <x:c r="C298" s="215" t="str">
        <x:v>Broad family tendency</x:v>
      </x:c>
      <x:c r="D298" s="215" t="str">
        <x:v>Fruit</x:v>
      </x:c>
      <x:c r="E298" s="215" t="str">
        <x:v>Fruit commonly a schizocarp separating into four one-seeded nutlets</x:v>
      </x:c>
      <x:c r="F298" s="215" t="str">
        <x:v>Core</x:v>
      </x:c>
      <x:c r="G298" s="215" t="str">
        <x:v>5</x:v>
      </x:c>
      <x:c r="H298" s="215" t="str">
        <x:v>High on mature material</x:v>
      </x:c>
      <x:c r="I298" s="215" t="str">
        <x:v>Naked eye to hand lens</x:v>
      </x:c>
      <x:c r="J298" s="215" t="str">
        <x:v>Mature fruit</x:v>
      </x:c>
      <x:c r="K298" s="215" t="str">
        <x:v>After the corolla falls, four small nutlets commonly remain inside the persistent calyx.</x:v>
      </x:c>
      <x:c r="L298" s="215" t="str">
        <x:v>One or more nutlets may abort, and some modern Lamiaceae have fleshy or otherwise non-typical fruits.</x:v>
      </x:c>
      <x:c r="M298" s="215" t="str">
        <x:v>Four nutlets plus opposite leaves and a persistent calyx strongly supports the typical herbaceous mint route.</x:v>
      </x:c>
      <x:c r="N298" s="215" t="str">
        <x:v>Well represented in Hays County prairies, rocky openings, woodland edges, seeps, and disturbed ground; local herbs include Monarda, Salvia, Scutellaria, Stachys, and Hedeoma, with woody exceptions also possible.</x:v>
      </x:c>
      <x:c r="O298" s="215" t="str">
        <x:v>Low</x:v>
      </x:c>
      <x:c r="P298" s="215" t="str">
        <x:v>No</x:v>
      </x:c>
      <x:c r="Q298" s="215" t="str"/>
      <x:c r="R298" s="215" t="str">
        <x:v>LAM-LK01; LAM-LK02</x:v>
      </x:c>
      <x:c r="S298" s="215" t="str">
        <x:v>APWEB-LAM; POWO-LAM-GI; POWO-LAM; LBJWC-HAYS</x:v>
      </x:c>
      <x:c r="T298" s="215" t="str">
        <x:v>https://www.mobot.org/MOBOT/research/APweb/orders/lamialesweb.htm</x:v>
      </x:c>
      <x:c r="U298" s="215" t="str">
        <x:v>https://powo.science.kew.org/taxon/urn:lsid:ipni.org:names:30000097-2/general-information</x:v>
      </x:c>
      <x:c r="V298" s="215" t="str">
        <x:v>https://powo.science.kew.org/taxon/urn:lsid:ipni.org:names:30000097-2</x:v>
      </x:c>
      <x:c r="W298" s="215" t="str">
        <x:v>https://www.mobot.org/MOBOT/research/APweb/orders/lamialesweb.htm
https://powo.science.kew.org/taxon/urn:lsid:ipni.org:names:30000097-2/general-information
https://powo.science.kew.org/taxon/urn:lsid:ipni.org:names:30000097-2
https://www.wildflower.org/collections/collection.php?collection=hays</x:v>
      </x:c>
      <x:c r="X298" s="215" t="str">
        <x:v>No — retain qualifiers and exceptions</x:v>
      </x:c>
      <x:c r="Y298" s="215" t="str">
        <x:v>Yes</x:v>
      </x:c>
      <x:c r="Z298" s="215" t="str">
        <x:v>Source-backed draft</x:v>
      </x:c>
    </x:row>
    <x:row r="299" ht="42" customHeight="1">
      <x:c r="A299" s="215" t="str">
        <x:v>Lamiaceae</x:v>
      </x:c>
      <x:c r="B299" s="215" t="str">
        <x:v>LAM-CALYX</x:v>
      </x:c>
      <x:c r="C299" s="215" t="str">
        <x:v>Broad family tendency</x:v>
      </x:c>
      <x:c r="D299" s="215" t="str">
        <x:v>Calyx</x:v>
      </x:c>
      <x:c r="E299" s="215" t="str">
        <x:v>Calyx persistent, often dry, ridged, and sometimes enlarging in fruit</x:v>
      </x:c>
      <x:c r="F299" s="215" t="str">
        <x:v>Strong</x:v>
      </x:c>
      <x:c r="G299" s="215" t="str">
        <x:v>4</x:v>
      </x:c>
      <x:c r="H299" s="215" t="str">
        <x:v>Moderate</x:v>
      </x:c>
      <x:c r="I299" s="215" t="str">
        <x:v>Naked eye to hand lens</x:v>
      </x:c>
      <x:c r="J299" s="215" t="str">
        <x:v>Flowering to fruiting</x:v>
      </x:c>
      <x:c r="K299" s="215" t="str">
        <x:v>The sepal tube often remains around the developing nutlets and may become stiffer or larger.</x:v>
      </x:c>
      <x:c r="L299" s="215" t="str">
        <x:v>Calyx form is extremely variable and can be two-lipped, regular, spiny, inflated, or sometimes fleshy.</x:v>
      </x:c>
      <x:c r="M299" s="215" t="str">
        <x:v>Inspect the fruiting calyx for nutlets and use its shape later for genus-level identification.</x:v>
      </x:c>
      <x:c r="N299" s="215" t="str">
        <x:v>Well represented in Hays County prairies, rocky openings, woodland edges, seeps, and disturbed ground; local herbs include Monarda, Salvia, Scutellaria, Stachys, and Hedeoma, with woody exceptions also possible.</x:v>
      </x:c>
      <x:c r="O299" s="215" t="str">
        <x:v>Low</x:v>
      </x:c>
      <x:c r="P299" s="215" t="str">
        <x:v>No</x:v>
      </x:c>
      <x:c r="Q299" s="215" t="str"/>
      <x:c r="R299" s="215" t="str">
        <x:v>LAM-LK01</x:v>
      </x:c>
      <x:c r="S299" s="215" t="str">
        <x:v>APWEB-LAM; POWO-LAM-GI; POWO-LAM; LBJWC-HAYS</x:v>
      </x:c>
      <x:c r="T299" s="215" t="str">
        <x:v>https://www.mobot.org/MOBOT/research/APweb/orders/lamialesweb.htm</x:v>
      </x:c>
      <x:c r="U299" s="215" t="str">
        <x:v>https://powo.science.kew.org/taxon/urn:lsid:ipni.org:names:30000097-2/general-information</x:v>
      </x:c>
      <x:c r="V299" s="215" t="str">
        <x:v>https://powo.science.kew.org/taxon/urn:lsid:ipni.org:names:30000097-2</x:v>
      </x:c>
      <x:c r="W299" s="215" t="str">
        <x:v>https://www.mobot.org/MOBOT/research/APweb/orders/lamialesweb.htm
https://powo.science.kew.org/taxon/urn:lsid:ipni.org:names:30000097-2/general-information
https://powo.science.kew.org/taxon/urn:lsid:ipni.org:names:30000097-2
https://www.wildflower.org/collections/collection.php?collection=hays</x:v>
      </x:c>
      <x:c r="X299" s="215" t="str">
        <x:v>No — retain qualifiers and exceptions</x:v>
      </x:c>
      <x:c r="Y299" s="215" t="str">
        <x:v>Yes</x:v>
      </x:c>
      <x:c r="Z299" s="215" t="str">
        <x:v>Source-backed draft</x:v>
      </x:c>
    </x:row>
    <x:row r="300" ht="42" customHeight="1">
      <x:c r="A300" s="215" t="str">
        <x:v>Lamiaceae</x:v>
      </x:c>
      <x:c r="B300" s="215" t="str">
        <x:v>LAM-LK01</x:v>
      </x:c>
      <x:c r="C300" s="215" t="str">
        <x:v>Hays County field comparison</x:v>
      </x:c>
      <x:c r="D300" s="215" t="str">
        <x:v>Lookalike comparison</x:v>
      </x:c>
      <x:c r="E300" s="215" t="str">
        <x:v>Lamiaceae versus Verbenaceae</x:v>
      </x:c>
      <x:c r="F300" s="215" t="str">
        <x:v>Strong</x:v>
      </x:c>
      <x:c r="G300" s="215" t="str">
        <x:v>5</x:v>
      </x:c>
      <x:c r="H300" s="215" t="str">
        <x:v>Moderate</x:v>
      </x:c>
      <x:c r="I300" s="215" t="str">
        <x:v>Naked eye to hand lens</x:v>
      </x:c>
      <x:c r="J300" s="215" t="str">
        <x:v>Flowering and fruiting preferred</x:v>
      </x:c>
      <x:c r="K300" s="215" t="str">
        <x:v>Typical Lamiaceae have cymose flower clusters, a bifid often gynobasic style, and four nutlets; Verbenaceae more often have racemose inflorescences, a terminal style with less-divided stigma, and different fruit anatomy.</x:v>
      </x:c>
      <x:c r="L300" s="215" t="str">
        <x:v>Modern family boundaries moved several formerly verbenaceous genera into Lamiaceae, and vegetative characters overlap heavily.</x:v>
      </x:c>
      <x:c r="M300" s="215" t="str">
        <x:v>Use inflorescence architecture plus style and fruit, not herbaceous versus woody habit.</x:v>
      </x:c>
      <x:c r="N300" s="215" t="str">
        <x:v>Well represented in Hays County prairies, rocky openings, woodland edges, seeps, and disturbed ground; local herbs include Monarda, Salvia, Scutellaria, Stachys, and Hedeoma, with woody exceptions also possible.</x:v>
      </x:c>
      <x:c r="O300" s="215" t="str">
        <x:v>Low</x:v>
      </x:c>
      <x:c r="P300" s="215" t="str">
        <x:v>No</x:v>
      </x:c>
      <x:c r="Q300" s="215" t="str"/>
      <x:c r="R300" s="215" t="str"/>
      <x:c r="S300" s="215" t="str">
        <x:v>APWEB-LAM; POWO-LAM; APWEB-VERB; POWO-VERB; LBJWC-HAYS</x:v>
      </x:c>
      <x:c r="T300" s="215" t="str">
        <x:v>https://www.mobot.org/MOBOT/research/APweb/orders/lamialesweb.htm</x:v>
      </x:c>
      <x:c r="U300" s="215" t="str">
        <x:v>https://powo.science.kew.org/taxon/urn:lsid:ipni.org:names:30000097-2/general-information</x:v>
      </x:c>
      <x:c r="V300" s="215" t="str">
        <x:v>https://powo.science.kew.org/taxon/urn:lsid:ipni.org:names:30000097-2</x:v>
      </x:c>
      <x:c r="W300" s="215" t="str">
        <x:v>https://www.mobot.org/MOBOT/research/APweb/orders/lamialesweb.htm
https://powo.science.kew.org/taxon/urn:lsid:ipni.org:names:30000097-2/general-information
https://powo.science.kew.org/taxon/urn:lsid:ipni.org:names:30000097-2
https://www.wildflower.org/collections/collection.php?collection=hays
https://powo.science.kew.org/taxon/urn:lsid:ipni.org:names:30000070-2/general-information
https://powo.science.kew.org/taxon/urn:lsid:ipni.org:names:30000070-2</x:v>
      </x:c>
      <x:c r="X300" s="215" t="str">
        <x:v>No — retain qualifiers and exceptions</x:v>
      </x:c>
      <x:c r="Y300" s="215" t="str">
        <x:v>Yes</x:v>
      </x:c>
      <x:c r="Z300" s="215" t="str">
        <x:v>Source-backed comparison draft</x:v>
      </x:c>
    </x:row>
    <x:row r="301" ht="42" customHeight="1">
      <x:c r="A301" s="215" t="str">
        <x:v>Lamiaceae</x:v>
      </x:c>
      <x:c r="B301" s="215" t="str">
        <x:v>LAM-LK02</x:v>
      </x:c>
      <x:c r="C301" s="215" t="str">
        <x:v>Hays County field comparison</x:v>
      </x:c>
      <x:c r="D301" s="215" t="str">
        <x:v>Lookalike comparison</x:v>
      </x:c>
      <x:c r="E301" s="215" t="str">
        <x:v>Lamiaceae versus Boraginaceae with four nutlets and gynobasic style</x:v>
      </x:c>
      <x:c r="F301" s="215" t="str">
        <x:v>Strong</x:v>
      </x:c>
      <x:c r="G301" s="215" t="str">
        <x:v>4</x:v>
      </x:c>
      <x:c r="H301" s="215" t="str">
        <x:v>Moderate</x:v>
      </x:c>
      <x:c r="I301" s="215" t="str">
        <x:v>Naked eye to hand lens</x:v>
      </x:c>
      <x:c r="J301" s="215" t="str">
        <x:v>Flowering and fruiting preferred</x:v>
      </x:c>
      <x:c r="K301" s="215" t="str">
        <x:v>Typical local Lamiaceae have opposite leaves, often square stems, and zygomorphic flowers; many Boraginaceae have alternate rough leaves, scorpioid cymes, and more nearly actinomorphic flowers.</x:v>
      </x:c>
      <x:c r="L301" s="215" t="str">
        <x:v>Exceptions occur in leaf arrangement, hairiness, and floral symmetry, so four nutlets alone does not settle the family.</x:v>
      </x:c>
      <x:c r="M301" s="215" t="str">
        <x:v>Trace leaf insertion and inflorescence form, then confirm flower symmetry and ovary structure.</x:v>
      </x:c>
      <x:c r="N301" s="215" t="str">
        <x:v>Well represented in Hays County prairies, rocky openings, woodland edges, seeps, and disturbed ground; local herbs include Monarda, Salvia, Scutellaria, Stachys, and Hedeoma, with woody exceptions also possible.</x:v>
      </x:c>
      <x:c r="O301" s="215" t="str">
        <x:v>Low</x:v>
      </x:c>
      <x:c r="P301" s="215" t="str">
        <x:v>No</x:v>
      </x:c>
      <x:c r="Q301" s="215" t="str"/>
      <x:c r="R301" s="215" t="str"/>
      <x:c r="S301" s="215" t="str">
        <x:v>APWEB-LAM; POWO-LAM; APWEB-BORAG; POWO-BORAG; LBJWC-HAYS</x:v>
      </x:c>
      <x:c r="T301" s="215" t="str">
        <x:v>https://www.mobot.org/MOBOT/research/APweb/orders/lamialesweb.htm</x:v>
      </x:c>
      <x:c r="U301" s="215" t="str">
        <x:v>https://powo.science.kew.org/taxon/urn:lsid:ipni.org:names:30000097-2/general-information</x:v>
      </x:c>
      <x:c r="V301" s="215" t="str">
        <x:v>https://powo.science.kew.org/taxon/urn:lsid:ipni.org:names:30000097-2</x:v>
      </x:c>
      <x:c r="W301" s="215" t="str">
        <x:v>https://www.mobot.org/MOBOT/research/APweb/orders/lamialesweb.htm
https://powo.science.kew.org/taxon/urn:lsid:ipni.org:names:30000097-2/general-information
https://powo.science.kew.org/taxon/urn:lsid:ipni.org:names:30000097-2
https://www.wildflower.org/collections/collection.php?collection=hays
https://www.mobot.org/MOBOT/Research/APweb/orders/boraginalesweb.htm
https://powo.science.kew.org/taxon/urn:lsid:ipni.org:names:30000135-2/general-information</x:v>
      </x:c>
      <x:c r="X301" s="215" t="str">
        <x:v>No — retain qualifiers and exceptions</x:v>
      </x:c>
      <x:c r="Y301" s="215" t="str">
        <x:v>Yes</x:v>
      </x:c>
      <x:c r="Z301" s="215" t="str">
        <x:v>Source-backed comparison draft</x:v>
      </x:c>
    </x:row>
    <x:row r="302" ht="42" customHeight="1">
      <x:c r="A302" s="215" t="str">
        <x:v>Juncaceae</x:v>
      </x:c>
      <x:c r="B302" s="215" t="str">
        <x:v>JUN-HABIT</x:v>
      </x:c>
      <x:c r="C302" s="215" t="str">
        <x:v>Broad family tendency</x:v>
      </x:c>
      <x:c r="D302" s="215" t="str">
        <x:v>Habit</x:v>
      </x:c>
      <x:c r="E302" s="215" t="str">
        <x:v>Annual or perennial herbs, commonly tufted or rhizomatous</x:v>
      </x:c>
      <x:c r="F302" s="215" t="str">
        <x:v>Supporting</x:v>
      </x:c>
      <x:c r="G302" s="215" t="str">
        <x:v>2</x:v>
      </x:c>
      <x:c r="H302" s="215" t="str">
        <x:v>High</x:v>
      </x:c>
      <x:c r="I302" s="215" t="str">
        <x:v>Naked eye</x:v>
      </x:c>
      <x:c r="J302" s="215" t="str">
        <x:v>Vegetative to fruiting</x:v>
      </x:c>
      <x:c r="K302" s="215" t="str">
        <x:v>Rushes are usually grasslike herbs growing in clumps or from spreading underground stems.</x:v>
      </x:c>
      <x:c r="L302" s="215" t="str">
        <x:v>Annual species occur, and habit overlaps heavily with grasses and sedges.</x:v>
      </x:c>
      <x:c r="M302" s="215" t="str">
        <x:v>Use habitat and growth form only to begin the rush-versus-sedge-versus-grass check.</x:v>
      </x:c>
      <x:c r="N302" s="215" t="str">
        <x:v>Confirmed Hays County rush-family route in wet swales, seeps, pond margins, riparian ground, and seasonally moist grasslands; local field work will most often encounter Juncus-type material.</x:v>
      </x:c>
      <x:c r="O302" s="215" t="str">
        <x:v>Low</x:v>
      </x:c>
      <x:c r="P302" s="215" t="str">
        <x:v>No</x:v>
      </x:c>
      <x:c r="Q302" s="215" t="str"/>
      <x:c r="R302" s="215" t="str">
        <x:v>JUN-LK01; JUN-LK02</x:v>
      </x:c>
      <x:c r="S302" s="215" t="str">
        <x:v>APWEB-JUNC; FNA-JUNC; POWO-JUNC; LBJWC-HAYS</x:v>
      </x:c>
      <x:c r="T302" s="215" t="str">
        <x:v>https://www.mobot.org/MOBOT/research/APweb/orders/poalesweb.htm</x:v>
      </x:c>
      <x:c r="U302" s="215" t="str">
        <x:v>https://floranorthamerica.org/Juncaceae</x:v>
      </x:c>
      <x:c r="V302" s="215" t="str">
        <x:v>https://powo.science.kew.org/taxon/urn:lsid:ipni.org:names:77126749-1</x:v>
      </x:c>
      <x:c r="W302" s="215" t="str">
        <x:v>https://www.mobot.org/MOBOT/research/APweb/orders/poalesweb.htm
https://floranorthamerica.org/Juncaceae
https://powo.science.kew.org/taxon/urn:lsid:ipni.org:names:77126749-1
https://www.wildflower.org/collections/collection.php?collection=hays</x:v>
      </x:c>
      <x:c r="X302" s="215" t="str">
        <x:v>No — retain qualifiers and exceptions</x:v>
      </x:c>
      <x:c r="Y302" s="215" t="str">
        <x:v>Yes</x:v>
      </x:c>
      <x:c r="Z302" s="215" t="str">
        <x:v>Source-backed draft</x:v>
      </x:c>
    </x:row>
    <x:row r="303" ht="42" customHeight="1">
      <x:c r="A303" s="215" t="str">
        <x:v>Juncaceae</x:v>
      </x:c>
      <x:c r="B303" s="215" t="str">
        <x:v>JUN-CULM</x:v>
      </x:c>
      <x:c r="C303" s="215" t="str">
        <x:v>Broad family tendency</x:v>
      </x:c>
      <x:c r="D303" s="215" t="str">
        <x:v>Stem</x:v>
      </x:c>
      <x:c r="E303" s="215" t="str">
        <x:v>Culms usually solid and round, sometimes flattened</x:v>
      </x:c>
      <x:c r="F303" s="215" t="str">
        <x:v>Strong</x:v>
      </x:c>
      <x:c r="G303" s="215" t="str">
        <x:v>4</x:v>
      </x:c>
      <x:c r="H303" s="215" t="str">
        <x:v>Moderate</x:v>
      </x:c>
      <x:c r="I303" s="215" t="str">
        <x:v>Naked eye and touch</x:v>
      </x:c>
      <x:c r="J303" s="215" t="str">
        <x:v>Vegetative to fruiting</x:v>
      </x:c>
      <x:c r="K303" s="215" t="str">
        <x:v>Many rush stems feel round and are filled with pith rather than hollow between nodes.</x:v>
      </x:c>
      <x:c r="L303" s="215" t="str">
        <x:v>Flattened stems occur, and round solid stems also occur in sedges and other monocots.</x:v>
      </x:c>
      <x:c r="M303" s="215" t="str">
        <x:v>Pair stem form with six tepals and a capsule; never use 'rushes are round' by itself.</x:v>
      </x:c>
      <x:c r="N303" s="215" t="str">
        <x:v>Confirmed Hays County rush-family route in wet swales, seeps, pond margins, riparian ground, and seasonally moist grasslands; local field work will most often encounter Juncus-type material.</x:v>
      </x:c>
      <x:c r="O303" s="215" t="str">
        <x:v>Low</x:v>
      </x:c>
      <x:c r="P303" s="215" t="str">
        <x:v>No</x:v>
      </x:c>
      <x:c r="Q303" s="215" t="str"/>
      <x:c r="R303" s="215" t="str">
        <x:v>JUN-LK01; JUN-LK02</x:v>
      </x:c>
      <x:c r="S303" s="215" t="str">
        <x:v>APWEB-JUNC; FNA-JUNC; POWO-JUNC; LBJWC-HAYS</x:v>
      </x:c>
      <x:c r="T303" s="215" t="str">
        <x:v>https://www.mobot.org/MOBOT/research/APweb/orders/poalesweb.htm</x:v>
      </x:c>
      <x:c r="U303" s="215" t="str">
        <x:v>https://floranorthamerica.org/Juncaceae</x:v>
      </x:c>
      <x:c r="V303" s="215" t="str">
        <x:v>https://powo.science.kew.org/taxon/urn:lsid:ipni.org:names:77126749-1</x:v>
      </x:c>
      <x:c r="W303" s="215" t="str">
        <x:v>https://www.mobot.org/MOBOT/research/APweb/orders/poalesweb.htm
https://floranorthamerica.org/Juncaceae
https://powo.science.kew.org/taxon/urn:lsid:ipni.org:names:77126749-1
https://www.wildflower.org/collections/collection.php?collection=hays</x:v>
      </x:c>
      <x:c r="X303" s="215" t="str">
        <x:v>No — retain qualifiers and exceptions</x:v>
      </x:c>
      <x:c r="Y303" s="215" t="str">
        <x:v>Yes</x:v>
      </x:c>
      <x:c r="Z303" s="215" t="str">
        <x:v>Source-backed draft</x:v>
      </x:c>
    </x:row>
    <x:row r="304" ht="42" customHeight="1">
      <x:c r="A304" s="215" t="str">
        <x:v>Juncaceae</x:v>
      </x:c>
      <x:c r="B304" s="215" t="str">
        <x:v>JUN-LEAF</x:v>
      </x:c>
      <x:c r="C304" s="215" t="str">
        <x:v>Broad family tendency</x:v>
      </x:c>
      <x:c r="D304" s="215" t="str">
        <x:v>Leaf</x:v>
      </x:c>
      <x:c r="E304" s="215" t="str">
        <x:v>Leaves mostly basal; blades flat, channelled, or round, with sheathing bases</x:v>
      </x:c>
      <x:c r="F304" s="215" t="str">
        <x:v>Strong</x:v>
      </x:c>
      <x:c r="G304" s="215" t="str">
        <x:v>4</x:v>
      </x:c>
      <x:c r="H304" s="215" t="str">
        <x:v>Variable</x:v>
      </x:c>
      <x:c r="I304" s="215" t="str">
        <x:v>Naked eye</x:v>
      </x:c>
      <x:c r="J304" s="215" t="str">
        <x:v>Vegetative</x:v>
      </x:c>
      <x:c r="K304" s="215" t="str">
        <x:v>Leaves often gather near the plant base and can resemble grass or sedge leaves.</x:v>
      </x:c>
      <x:c r="L304" s="215" t="str">
        <x:v>Blades may be reduced to sheaths, and leaf form ranges from threadlike to flat and broad.</x:v>
      </x:c>
      <x:c r="M304" s="215" t="str">
        <x:v>Follow a leaf to its sheath, then confirm the flower and fruit before assigning the family.</x:v>
      </x:c>
      <x:c r="N304" s="215" t="str">
        <x:v>Confirmed Hays County rush-family route in wet swales, seeps, pond margins, riparian ground, and seasonally moist grasslands; local field work will most often encounter Juncus-type material.</x:v>
      </x:c>
      <x:c r="O304" s="215" t="str">
        <x:v>Low</x:v>
      </x:c>
      <x:c r="P304" s="215" t="str">
        <x:v>No</x:v>
      </x:c>
      <x:c r="Q304" s="215" t="str"/>
      <x:c r="R304" s="215" t="str">
        <x:v>JUN-LK01; JUN-LK02</x:v>
      </x:c>
      <x:c r="S304" s="215" t="str">
        <x:v>APWEB-JUNC; FNA-JUNC; POWO-JUNC; LBJWC-HAYS</x:v>
      </x:c>
      <x:c r="T304" s="215" t="str">
        <x:v>https://www.mobot.org/MOBOT/research/APweb/orders/poalesweb.htm</x:v>
      </x:c>
      <x:c r="U304" s="215" t="str">
        <x:v>https://floranorthamerica.org/Juncaceae</x:v>
      </x:c>
      <x:c r="V304" s="215" t="str">
        <x:v>https://powo.science.kew.org/taxon/urn:lsid:ipni.org:names:77126749-1</x:v>
      </x:c>
      <x:c r="W304" s="215" t="str">
        <x:v>https://www.mobot.org/MOBOT/research/APweb/orders/poalesweb.htm
https://floranorthamerica.org/Juncaceae
https://powo.science.kew.org/taxon/urn:lsid:ipni.org:names:77126749-1
https://www.wildflower.org/collections/collection.php?collection=hays</x:v>
      </x:c>
      <x:c r="X304" s="215" t="str">
        <x:v>No — retain qualifiers and exceptions</x:v>
      </x:c>
      <x:c r="Y304" s="215" t="str">
        <x:v>Yes</x:v>
      </x:c>
      <x:c r="Z304" s="215" t="str">
        <x:v>Source-backed draft</x:v>
      </x:c>
    </x:row>
    <x:row r="305" ht="42" customHeight="1">
      <x:c r="A305" s="215" t="str">
        <x:v>Juncaceae</x:v>
      </x:c>
      <x:c r="B305" s="215" t="str">
        <x:v>JUN-INFLO</x:v>
      </x:c>
      <x:c r="C305" s="215" t="str">
        <x:v>Family-wide variation</x:v>
      </x:c>
      <x:c r="D305" s="215" t="str">
        <x:v>Inflorescence</x:v>
      </x:c>
      <x:c r="E305" s="215" t="str">
        <x:v>Flowers solitary or grouped in heads, cymes, panicles, or branched clusters</x:v>
      </x:c>
      <x:c r="F305" s="215" t="str">
        <x:v>Supporting</x:v>
      </x:c>
      <x:c r="G305" s="215" t="str">
        <x:v>3</x:v>
      </x:c>
      <x:c r="H305" s="215" t="str">
        <x:v>Variable</x:v>
      </x:c>
      <x:c r="I305" s="215" t="str">
        <x:v>Naked eye to hand lens</x:v>
      </x:c>
      <x:c r="J305" s="215" t="str">
        <x:v>Flowering or fruiting</x:v>
      </x:c>
      <x:c r="K305" s="215" t="str">
        <x:v>Tiny rush flowers may form loose branching clusters or tight headlike groups.</x:v>
      </x:c>
      <x:c r="L305" s="215" t="str">
        <x:v>Inflorescence architecture varies strongly and a long bract can make a lateral cluster appear terminal or vice versa.</x:v>
      </x:c>
      <x:c r="M305" s="215" t="str">
        <x:v>Trace the main axis and subtending bract, but rely more heavily on tepals and capsule.</x:v>
      </x:c>
      <x:c r="N305" s="215" t="str">
        <x:v>Confirmed Hays County rush-family route in wet swales, seeps, pond margins, riparian ground, and seasonally moist grasslands; local field work will most often encounter Juncus-type material.</x:v>
      </x:c>
      <x:c r="O305" s="215" t="str">
        <x:v>Low</x:v>
      </x:c>
      <x:c r="P305" s="215" t="str">
        <x:v>No</x:v>
      </x:c>
      <x:c r="Q305" s="215" t="str"/>
      <x:c r="R305" s="215" t="str">
        <x:v>JUN-LK01</x:v>
      </x:c>
      <x:c r="S305" s="215" t="str">
        <x:v>APWEB-JUNC; FNA-JUNC; POWO-JUNC; LBJWC-HAYS</x:v>
      </x:c>
      <x:c r="T305" s="215" t="str">
        <x:v>https://www.mobot.org/MOBOT/research/APweb/orders/poalesweb.htm</x:v>
      </x:c>
      <x:c r="U305" s="215" t="str">
        <x:v>https://floranorthamerica.org/Juncaceae</x:v>
      </x:c>
      <x:c r="V305" s="215" t="str">
        <x:v>https://powo.science.kew.org/taxon/urn:lsid:ipni.org:names:77126749-1</x:v>
      </x:c>
      <x:c r="W305" s="215" t="str">
        <x:v>https://www.mobot.org/MOBOT/research/APweb/orders/poalesweb.htm
https://floranorthamerica.org/Juncaceae
https://powo.science.kew.org/taxon/urn:lsid:ipni.org:names:77126749-1
https://www.wildflower.org/collections/collection.php?collection=hays</x:v>
      </x:c>
      <x:c r="X305" s="215" t="str">
        <x:v>No — retain qualifiers and exceptions</x:v>
      </x:c>
      <x:c r="Y305" s="215" t="str">
        <x:v>Yes</x:v>
      </x:c>
      <x:c r="Z305" s="215" t="str">
        <x:v>Source-backed draft</x:v>
      </x:c>
    </x:row>
    <x:row r="306" ht="42" customHeight="1">
      <x:c r="A306" s="215" t="str">
        <x:v>Juncaceae</x:v>
      </x:c>
      <x:c r="B306" s="215" t="str">
        <x:v>JUN-TEPALS</x:v>
      </x:c>
      <x:c r="C306" s="215" t="str">
        <x:v>Broad family tendency</x:v>
      </x:c>
      <x:c r="D306" s="215" t="str">
        <x:v>Perianth</x:v>
      </x:c>
      <x:c r="E306" s="215" t="str">
        <x:v>Usually six small, persistent, scarious or chaffy tepals in two whorls</x:v>
      </x:c>
      <x:c r="F306" s="215" t="str">
        <x:v>Core</x:v>
      </x:c>
      <x:c r="G306" s="215" t="str">
        <x:v>5</x:v>
      </x:c>
      <x:c r="H306" s="215" t="str">
        <x:v>High</x:v>
      </x:c>
      <x:c r="I306" s="215" t="str">
        <x:v>Hand lens</x:v>
      </x:c>
      <x:c r="J306" s="215" t="str">
        <x:v>Flowering to fruiting</x:v>
      </x:c>
      <x:c r="K306" s="215" t="str">
        <x:v>A rush flower usually has six pointed, scale-like flower parts that remain around the fruit.</x:v>
      </x:c>
      <x:c r="L306" s="215" t="str">
        <x:v>Perianth number can be reduced in uncommon lineages and the tiny tepals may be difficult to separate.</x:v>
      </x:c>
      <x:c r="M306" s="215" t="str">
        <x:v>Six persistent tepals are the fastest strong check against sedges, whose perianth is absent or bristle-like.</x:v>
      </x:c>
      <x:c r="N306" s="215" t="str">
        <x:v>Confirmed Hays County rush-family route in wet swales, seeps, pond margins, riparian ground, and seasonally moist grasslands; local field work will most often encounter Juncus-type material.</x:v>
      </x:c>
      <x:c r="O306" s="215" t="str">
        <x:v>Low</x:v>
      </x:c>
      <x:c r="P306" s="215" t="str">
        <x:v>No</x:v>
      </x:c>
      <x:c r="Q306" s="215" t="str"/>
      <x:c r="R306" s="215" t="str">
        <x:v>JUN-LK01; JUN-LK02</x:v>
      </x:c>
      <x:c r="S306" s="215" t="str">
        <x:v>APWEB-JUNC; FNA-JUNC; POWO-JUNC; LBJWC-HAYS</x:v>
      </x:c>
      <x:c r="T306" s="215" t="str">
        <x:v>https://www.mobot.org/MOBOT/research/APweb/orders/poalesweb.htm</x:v>
      </x:c>
      <x:c r="U306" s="215" t="str">
        <x:v>https://floranorthamerica.org/Juncaceae</x:v>
      </x:c>
      <x:c r="V306" s="215" t="str">
        <x:v>https://powo.science.kew.org/taxon/urn:lsid:ipni.org:names:77126749-1</x:v>
      </x:c>
      <x:c r="W306" s="215" t="str">
        <x:v>https://www.mobot.org/MOBOT/research/APweb/orders/poalesweb.htm
https://floranorthamerica.org/Juncaceae
https://powo.science.kew.org/taxon/urn:lsid:ipni.org:names:77126749-1
https://www.wildflower.org/collections/collection.php?collection=hays</x:v>
      </x:c>
      <x:c r="X306" s="215" t="str">
        <x:v>No — retain qualifiers and exceptions</x:v>
      </x:c>
      <x:c r="Y306" s="215" t="str">
        <x:v>Yes</x:v>
      </x:c>
      <x:c r="Z306" s="215" t="str">
        <x:v>Source-backed draft</x:v>
      </x:c>
    </x:row>
    <x:row r="307" ht="42" customHeight="1">
      <x:c r="A307" s="215" t="str">
        <x:v>Juncaceae</x:v>
      </x:c>
      <x:c r="B307" s="215" t="str">
        <x:v>JUN-STAMEN</x:v>
      </x:c>
      <x:c r="C307" s="215" t="str">
        <x:v>Broad family tendency</x:v>
      </x:c>
      <x:c r="D307" s="215" t="str">
        <x:v>Androecium</x:v>
      </x:c>
      <x:c r="E307" s="215" t="str">
        <x:v>Stamens usually three or six</x:v>
      </x:c>
      <x:c r="F307" s="215" t="str">
        <x:v>Strong</x:v>
      </x:c>
      <x:c r="G307" s="215" t="str">
        <x:v>4</x:v>
      </x:c>
      <x:c r="H307" s="215" t="str">
        <x:v>Moderate</x:v>
      </x:c>
      <x:c r="I307" s="215" t="str">
        <x:v>Hand lens or dissection</x:v>
      </x:c>
      <x:c r="J307" s="215" t="str">
        <x:v>Fresh flowering material</x:v>
      </x:c>
      <x:c r="K307" s="215" t="str">
        <x:v>The small flower commonly holds either one stamen opposite each outer tepal or six stamens total.</x:v>
      </x:c>
      <x:c r="L307" s="215" t="str">
        <x:v>Stamens are short-lived and numbers vary in reduced flowers.</x:v>
      </x:c>
      <x:c r="M307" s="215" t="str">
        <x:v>Count only intact fresh flowers and combine with six tepals and a superior ovary.</x:v>
      </x:c>
      <x:c r="N307" s="215" t="str">
        <x:v>Confirmed Hays County rush-family route in wet swales, seeps, pond margins, riparian ground, and seasonally moist grasslands; local field work will most often encounter Juncus-type material.</x:v>
      </x:c>
      <x:c r="O307" s="215" t="str">
        <x:v>Low</x:v>
      </x:c>
      <x:c r="P307" s="215" t="str">
        <x:v>No</x:v>
      </x:c>
      <x:c r="Q307" s="215" t="str"/>
      <x:c r="R307" s="215" t="str">
        <x:v>JUN-LK02</x:v>
      </x:c>
      <x:c r="S307" s="215" t="str">
        <x:v>APWEB-JUNC; FNA-JUNC; POWO-JUNC; LBJWC-HAYS</x:v>
      </x:c>
      <x:c r="T307" s="215" t="str">
        <x:v>https://www.mobot.org/MOBOT/research/APweb/orders/poalesweb.htm</x:v>
      </x:c>
      <x:c r="U307" s="215" t="str">
        <x:v>https://floranorthamerica.org/Juncaceae</x:v>
      </x:c>
      <x:c r="V307" s="215" t="str">
        <x:v>https://powo.science.kew.org/taxon/urn:lsid:ipni.org:names:77126749-1</x:v>
      </x:c>
      <x:c r="W307" s="215" t="str">
        <x:v>https://www.mobot.org/MOBOT/research/APweb/orders/poalesweb.htm
https://floranorthamerica.org/Juncaceae
https://powo.science.kew.org/taxon/urn:lsid:ipni.org:names:77126749-1
https://www.wildflower.org/collections/collection.php?collection=hays</x:v>
      </x:c>
      <x:c r="X307" s="215" t="str">
        <x:v>No — retain qualifiers and exceptions</x:v>
      </x:c>
      <x:c r="Y307" s="215" t="str">
        <x:v>Yes</x:v>
      </x:c>
      <x:c r="Z307" s="215" t="str">
        <x:v>Source-backed draft</x:v>
      </x:c>
    </x:row>
    <x:row r="308" ht="42" customHeight="1">
      <x:c r="A308" s="215" t="str">
        <x:v>Juncaceae</x:v>
      </x:c>
      <x:c r="B308" s="215" t="str">
        <x:v>JUN-OVARY</x:v>
      </x:c>
      <x:c r="C308" s="215" t="str">
        <x:v>Broad family tendency</x:v>
      </x:c>
      <x:c r="D308" s="215" t="str">
        <x:v>Gynoecium</x:v>
      </x:c>
      <x:c r="E308" s="215" t="str">
        <x:v>Ovary superior, one- or three-locular, with three stigmatic branches commonly visible</x:v>
      </x:c>
      <x:c r="F308" s="215" t="str">
        <x:v>Strong</x:v>
      </x:c>
      <x:c r="G308" s="215" t="str">
        <x:v>4</x:v>
      </x:c>
      <x:c r="H308" s="215" t="str">
        <x:v>High with magnification</x:v>
      </x:c>
      <x:c r="I308" s="215" t="str">
        <x:v>Hand lens or dissection</x:v>
      </x:c>
      <x:c r="J308" s="215" t="str">
        <x:v>Flowering to early fruit</x:v>
      </x:c>
      <x:c r="K308" s="215" t="str">
        <x:v>The ovary sits above the tepals and commonly ends in three fine stigma branches.</x:v>
      </x:c>
      <x:c r="L308" s="215" t="str">
        <x:v>Locule number and placentation vary, and stigmas may be shed before fruit maturity.</x:v>
      </x:c>
      <x:c r="M308" s="215" t="str">
        <x:v>Use with perianth and fruit type rather than as a stand-alone feature.</x:v>
      </x:c>
      <x:c r="N308" s="215" t="str">
        <x:v>Confirmed Hays County rush-family route in wet swales, seeps, pond margins, riparian ground, and seasonally moist grasslands; local field work will most often encounter Juncus-type material.</x:v>
      </x:c>
      <x:c r="O308" s="215" t="str">
        <x:v>Low</x:v>
      </x:c>
      <x:c r="P308" s="215" t="str">
        <x:v>No</x:v>
      </x:c>
      <x:c r="Q308" s="215" t="str"/>
      <x:c r="R308" s="215" t="str">
        <x:v>JUN-LK01</x:v>
      </x:c>
      <x:c r="S308" s="215" t="str">
        <x:v>APWEB-JUNC; FNA-JUNC; POWO-JUNC; LBJWC-HAYS</x:v>
      </x:c>
      <x:c r="T308" s="215" t="str">
        <x:v>https://www.mobot.org/MOBOT/research/APweb/orders/poalesweb.htm</x:v>
      </x:c>
      <x:c r="U308" s="215" t="str">
        <x:v>https://floranorthamerica.org/Juncaceae</x:v>
      </x:c>
      <x:c r="V308" s="215" t="str">
        <x:v>https://powo.science.kew.org/taxon/urn:lsid:ipni.org:names:77126749-1</x:v>
      </x:c>
      <x:c r="W308" s="215" t="str">
        <x:v>https://www.mobot.org/MOBOT/research/APweb/orders/poalesweb.htm
https://floranorthamerica.org/Juncaceae
https://powo.science.kew.org/taxon/urn:lsid:ipni.org:names:77126749-1
https://www.wildflower.org/collections/collection.php?collection=hays</x:v>
      </x:c>
      <x:c r="X308" s="215" t="str">
        <x:v>No — retain qualifiers and exceptions</x:v>
      </x:c>
      <x:c r="Y308" s="215" t="str">
        <x:v>Yes</x:v>
      </x:c>
      <x:c r="Z308" s="215" t="str">
        <x:v>Source-backed draft</x:v>
      </x:c>
    </x:row>
    <x:row r="309" ht="42" customHeight="1">
      <x:c r="A309" s="215" t="str">
        <x:v>Juncaceae</x:v>
      </x:c>
      <x:c r="B309" s="215" t="str">
        <x:v>JUN-FRUIT</x:v>
      </x:c>
      <x:c r="C309" s="215" t="str">
        <x:v>Family-wide structural theme</x:v>
      </x:c>
      <x:c r="D309" s="215" t="str">
        <x:v>Fruit</x:v>
      </x:c>
      <x:c r="E309" s="215" t="str">
        <x:v>Loculicidal capsule containing three to many seeds</x:v>
      </x:c>
      <x:c r="F309" s="215" t="str">
        <x:v>Core</x:v>
      </x:c>
      <x:c r="G309" s="215" t="str">
        <x:v>5</x:v>
      </x:c>
      <x:c r="H309" s="215" t="str">
        <x:v>High</x:v>
      </x:c>
      <x:c r="I309" s="215" t="str">
        <x:v>Hand lens</x:v>
      </x:c>
      <x:c r="J309" s="215" t="str">
        <x:v>Mature fruit</x:v>
      </x:c>
      <x:c r="K309" s="215" t="str">
        <x:v>The dry fruit splits open along its chambers and releases several seeds.</x:v>
      </x:c>
      <x:c r="L309" s="215" t="str">
        <x:v>Luzula commonly has only three seeds, while Juncus usually has more; immature capsules may look like a sedge achene.</x:v>
      </x:c>
      <x:c r="M309" s="215" t="str">
        <x:v>A dehiscent capsule inside six persistent tepals is decisive against sedges and grasses.</x:v>
      </x:c>
      <x:c r="N309" s="215" t="str">
        <x:v>Confirmed Hays County rush-family route in wet swales, seeps, pond margins, riparian ground, and seasonally moist grasslands; local field work will most often encounter Juncus-type material.</x:v>
      </x:c>
      <x:c r="O309" s="215" t="str">
        <x:v>Low</x:v>
      </x:c>
      <x:c r="P309" s="215" t="str">
        <x:v>No</x:v>
      </x:c>
      <x:c r="Q309" s="215" t="str"/>
      <x:c r="R309" s="215" t="str">
        <x:v>JUN-LK01; JUN-LK02</x:v>
      </x:c>
      <x:c r="S309" s="215" t="str">
        <x:v>APWEB-JUNC; FNA-JUNC; POWO-JUNC; LBJWC-HAYS</x:v>
      </x:c>
      <x:c r="T309" s="215" t="str">
        <x:v>https://www.mobot.org/MOBOT/research/APweb/orders/poalesweb.htm</x:v>
      </x:c>
      <x:c r="U309" s="215" t="str">
        <x:v>https://floranorthamerica.org/Juncaceae</x:v>
      </x:c>
      <x:c r="V309" s="215" t="str">
        <x:v>https://powo.science.kew.org/taxon/urn:lsid:ipni.org:names:77126749-1</x:v>
      </x:c>
      <x:c r="W309" s="215" t="str">
        <x:v>https://www.mobot.org/MOBOT/research/APweb/orders/poalesweb.htm
https://floranorthamerica.org/Juncaceae
https://powo.science.kew.org/taxon/urn:lsid:ipni.org:names:77126749-1
https://www.wildflower.org/collections/collection.php?collection=hays</x:v>
      </x:c>
      <x:c r="X309" s="215" t="str">
        <x:v>No — retain qualifiers and exceptions</x:v>
      </x:c>
      <x:c r="Y309" s="215" t="str">
        <x:v>Yes</x:v>
      </x:c>
      <x:c r="Z309" s="215" t="str">
        <x:v>Source-backed draft</x:v>
      </x:c>
    </x:row>
    <x:row r="310" ht="42" customHeight="1">
      <x:c r="A310" s="215" t="str">
        <x:v>Juncaceae</x:v>
      </x:c>
      <x:c r="B310" s="215" t="str">
        <x:v>JUN-SEED</x:v>
      </x:c>
      <x:c r="C310" s="215" t="str">
        <x:v>Broad family variation</x:v>
      </x:c>
      <x:c r="D310" s="215" t="str">
        <x:v>Seed</x:v>
      </x:c>
      <x:c r="E310" s="215" t="str">
        <x:v>Seeds three to many, sometimes with pale appendages at one or both ends</x:v>
      </x:c>
      <x:c r="F310" s="215" t="str">
        <x:v>Supporting</x:v>
      </x:c>
      <x:c r="G310" s="215" t="str">
        <x:v>3</x:v>
      </x:c>
      <x:c r="H310" s="215" t="str">
        <x:v>Variable</x:v>
      </x:c>
      <x:c r="I310" s="215" t="str">
        <x:v>Hand lens</x:v>
      </x:c>
      <x:c r="J310" s="215" t="str">
        <x:v>Mature opened capsule</x:v>
      </x:c>
      <x:c r="K310" s="215" t="str">
        <x:v>Opening a mature capsule reveals several small seeds; some have whitish tail-like ends.</x:v>
      </x:c>
      <x:c r="L310" s="215" t="str">
        <x:v>Appendages are not universal and seed number differs between major lineages.</x:v>
      </x:c>
      <x:c r="M310" s="215" t="str">
        <x:v>Use seed number to confirm a capsule and to help separate Juncus-type from Luzula-type material.</x:v>
      </x:c>
      <x:c r="N310" s="215" t="str">
        <x:v>Confirmed Hays County rush-family route in wet swales, seeps, pond margins, riparian ground, and seasonally moist grasslands; local field work will most often encounter Juncus-type material.</x:v>
      </x:c>
      <x:c r="O310" s="215" t="str">
        <x:v>Low</x:v>
      </x:c>
      <x:c r="P310" s="215" t="str">
        <x:v>No</x:v>
      </x:c>
      <x:c r="Q310" s="215" t="str"/>
      <x:c r="R310" s="215" t="str">
        <x:v>JUN-LK01</x:v>
      </x:c>
      <x:c r="S310" s="215" t="str">
        <x:v>APWEB-JUNC; FNA-JUNC; POWO-JUNC; LBJWC-HAYS</x:v>
      </x:c>
      <x:c r="T310" s="215" t="str">
        <x:v>https://www.mobot.org/MOBOT/research/APweb/orders/poalesweb.htm</x:v>
      </x:c>
      <x:c r="U310" s="215" t="str">
        <x:v>https://floranorthamerica.org/Juncaceae</x:v>
      </x:c>
      <x:c r="V310" s="215" t="str">
        <x:v>https://powo.science.kew.org/taxon/urn:lsid:ipni.org:names:77126749-1</x:v>
      </x:c>
      <x:c r="W310" s="215" t="str">
        <x:v>https://www.mobot.org/MOBOT/research/APweb/orders/poalesweb.htm
https://floranorthamerica.org/Juncaceae
https://powo.science.kew.org/taxon/urn:lsid:ipni.org:names:77126749-1
https://www.wildflower.org/collections/collection.php?collection=hays</x:v>
      </x:c>
      <x:c r="X310" s="215" t="str">
        <x:v>No — retain qualifiers and exceptions</x:v>
      </x:c>
      <x:c r="Y310" s="215" t="str">
        <x:v>Yes</x:v>
      </x:c>
      <x:c r="Z310" s="215" t="str">
        <x:v>Source-backed draft</x:v>
      </x:c>
    </x:row>
    <x:row r="311" ht="42" customHeight="1">
      <x:c r="A311" s="215" t="str">
        <x:v>Juncaceae</x:v>
      </x:c>
      <x:c r="B311" s="215" t="str">
        <x:v>JUN-LK01</x:v>
      </x:c>
      <x:c r="C311" s="215" t="str">
        <x:v>Hays County field comparison</x:v>
      </x:c>
      <x:c r="D311" s="215" t="str">
        <x:v>Lookalike comparison</x:v>
      </x:c>
      <x:c r="E311" s="215" t="str">
        <x:v>Juncaceae versus Cyperaceae</x:v>
      </x:c>
      <x:c r="F311" s="215" t="str">
        <x:v>Strong</x:v>
      </x:c>
      <x:c r="G311" s="215" t="str">
        <x:v>5</x:v>
      </x:c>
      <x:c r="H311" s="215" t="str">
        <x:v>High with fertile material</x:v>
      </x:c>
      <x:c r="I311" s="215" t="str">
        <x:v>Hand lens</x:v>
      </x:c>
      <x:c r="J311" s="215" t="str">
        <x:v>Flowering or fruiting</x:v>
      </x:c>
      <x:c r="K311" s="215" t="str">
        <x:v>Rushes usually retain six chaffy tepals and make multi-seeded capsules; sedges usually have one scale per flower, a reduced or absent perianth, and one-seeded achenes.</x:v>
      </x:c>
      <x:c r="L311" s="215" t="str">
        <x:v>Vegetative plants and immature fruits may remain unresolved.</x:v>
      </x:c>
      <x:c r="M311" s="215" t="str">
        <x:v>Open one mature reproductive unit and prioritize perianth plus fruit type over stem shape.</x:v>
      </x:c>
      <x:c r="N311" s="215" t="str">
        <x:v>Confirmed Hays County rush-family route in wet swales, seeps, pond margins, riparian ground, and seasonally moist grasslands; local field work will most often encounter Juncus-type material.</x:v>
      </x:c>
      <x:c r="O311" s="215" t="str">
        <x:v>Low</x:v>
      </x:c>
      <x:c r="P311" s="215" t="str">
        <x:v>No</x:v>
      </x:c>
      <x:c r="Q311" s="215" t="str"/>
      <x:c r="R311" s="215" t="str"/>
      <x:c r="S311" s="215" t="str">
        <x:v>APWEB-JUNC; FNA-JUNC; POWO-JUNC; APWEB-CYP; FNA-CYP; POWO-CYP; LBJWC-HAYS</x:v>
      </x:c>
      <x:c r="T311" s="215" t="str">
        <x:v>https://www.mobot.org/MOBOT/research/APweb/orders/poalesweb.htm</x:v>
      </x:c>
      <x:c r="U311" s="215" t="str">
        <x:v>https://floranorthamerica.org/Juncaceae</x:v>
      </x:c>
      <x:c r="V311" s="215" t="str">
        <x:v>https://powo.science.kew.org/taxon/urn:lsid:ipni.org:names:77126749-1</x:v>
      </x:c>
      <x:c r="W311" s="215" t="str">
        <x:v>https://www.mobot.org/MOBOT/research/APweb/orders/poalesweb.htm
https://floranorthamerica.org/Juncaceae
https://powo.science.kew.org/taxon/urn:lsid:ipni.org:names:77126749-1
https://www.wildflower.org/collections/collection.php?collection=hays
https://floranorthamerica.org/Cyperaceae
https://powo.science.kew.org/taxon/urn:lsid:ipni.org:names:30000197-2</x:v>
      </x:c>
      <x:c r="X311" s="215" t="str">
        <x:v>No — retain qualifiers and exceptions</x:v>
      </x:c>
      <x:c r="Y311" s="215" t="str">
        <x:v>Yes</x:v>
      </x:c>
      <x:c r="Z311" s="215" t="str">
        <x:v>Source-backed comparison draft</x:v>
      </x:c>
    </x:row>
    <x:row r="312" ht="42" customHeight="1">
      <x:c r="A312" s="215" t="str">
        <x:v>Juncaceae</x:v>
      </x:c>
      <x:c r="B312" s="215" t="str">
        <x:v>JUN-LK02</x:v>
      </x:c>
      <x:c r="C312" s="215" t="str">
        <x:v>Hays County field comparison</x:v>
      </x:c>
      <x:c r="D312" s="215" t="str">
        <x:v>Lookalike comparison</x:v>
      </x:c>
      <x:c r="E312" s="215" t="str">
        <x:v>Juncaceae versus Poaceae</x:v>
      </x:c>
      <x:c r="F312" s="215" t="str">
        <x:v>Strong</x:v>
      </x:c>
      <x:c r="G312" s="215" t="str">
        <x:v>5</x:v>
      </x:c>
      <x:c r="H312" s="215" t="str">
        <x:v>High with fertile material</x:v>
      </x:c>
      <x:c r="I312" s="215" t="str">
        <x:v>Hand lens</x:v>
      </x:c>
      <x:c r="J312" s="215" t="str">
        <x:v>Flowering or fruiting</x:v>
      </x:c>
      <x:c r="K312" s="215" t="str">
        <x:v>Rushes have recognizable tepals and capsules; grasses organize flowers into glume-bearing spikelets with lemma-palea florets and usually produce caryopses.</x:v>
      </x:c>
      <x:c r="L312" s="215" t="str">
        <x:v>Reduced or weathered material can hide both constructions.</x:v>
      </x:c>
      <x:c r="M312" s="215" t="str">
        <x:v>Find either a six-tepaled flower or a true grass spikelet before trusting leaf shape.</x:v>
      </x:c>
      <x:c r="N312" s="215" t="str">
        <x:v>Confirmed Hays County rush-family route in wet swales, seeps, pond margins, riparian ground, and seasonally moist grasslands; local field work will most often encounter Juncus-type material.</x:v>
      </x:c>
      <x:c r="O312" s="215" t="str">
        <x:v>Low</x:v>
      </x:c>
      <x:c r="P312" s="215" t="str">
        <x:v>No</x:v>
      </x:c>
      <x:c r="Q312" s="215" t="str"/>
      <x:c r="R312" s="215" t="str"/>
      <x:c r="S312" s="215" t="str">
        <x:v>APWEB-JUNC; FNA-JUNC; POWO-JUNC; APWEB-POAC; FNA-POAC; POWO-POAC; LBJWC-HAYS</x:v>
      </x:c>
      <x:c r="T312" s="215" t="str">
        <x:v>https://www.mobot.org/MOBOT/research/APweb/orders/poalesweb.htm</x:v>
      </x:c>
      <x:c r="U312" s="215" t="str">
        <x:v>https://floranorthamerica.org/Juncaceae</x:v>
      </x:c>
      <x:c r="V312" s="215" t="str">
        <x:v>https://powo.science.kew.org/taxon/urn:lsid:ipni.org:names:77126749-1</x:v>
      </x:c>
      <x:c r="W312" s="215" t="str">
        <x:v>https://www.mobot.org/MOBOT/research/APweb/orders/poalesweb.htm
https://floranorthamerica.org/Juncaceae
https://powo.science.kew.org/taxon/urn:lsid:ipni.org:names:77126749-1
https://www.wildflower.org/collections/collection.php?collection=hays
https://floranorthamerica.org/Poaceae
https://powo.science.kew.org/taxon/urn:lsid:ipni.org:names:30000032-2</x:v>
      </x:c>
      <x:c r="X312" s="215" t="str">
        <x:v>No — retain qualifiers and exceptions</x:v>
      </x:c>
      <x:c r="Y312" s="215" t="str">
        <x:v>Yes</x:v>
      </x:c>
      <x:c r="Z312" s="215" t="str">
        <x:v>Source-backed comparison draft</x:v>
      </x:c>
    </x:row>
    <x:row r="313" ht="42" customHeight="1">
      <x:c r="A313" s="215" t="str">
        <x:v>Rubiaceae</x:v>
      </x:c>
      <x:c r="B313" s="215" t="str">
        <x:v>RUB-HABIT</x:v>
      </x:c>
      <x:c r="C313" s="215" t="str">
        <x:v>Family-wide variation</x:v>
      </x:c>
      <x:c r="D313" s="215" t="str">
        <x:v>Habit</x:v>
      </x:c>
      <x:c r="E313" s="215" t="str">
        <x:v>Herbs, shrubs, trees, or climbers</x:v>
      </x:c>
      <x:c r="F313" s="215" t="str">
        <x:v>Caution</x:v>
      </x:c>
      <x:c r="G313" s="215" t="str">
        <x:v>0</x:v>
      </x:c>
      <x:c r="H313" s="215" t="str">
        <x:v>High</x:v>
      </x:c>
      <x:c r="I313" s="215" t="str">
        <x:v>Naked eye</x:v>
      </x:c>
      <x:c r="J313" s="215" t="str">
        <x:v>Any</x:v>
      </x:c>
      <x:c r="K313" s="215" t="str">
        <x:v>The coffee family includes tiny annual herbs as well as shrubs and trees.</x:v>
      </x:c>
      <x:c r="L313" s="215" t="str">
        <x:v>Habit is too variable to diagnose the family.</x:v>
      </x:c>
      <x:c r="M313" s="215" t="str">
        <x:v>Use only to choose an appropriate local genus route after leaf nodes and flowers are checked.</x:v>
      </x:c>
      <x:c r="N313" s="215" t="str">
        <x:v>Confirmed Hays County family spanning bedstraw, bluet/diamondflower, buttonbush, and buttonweed-type routes in limestone openings, lawns, woodland edges, riparian sites, and moist ground; synonym tracking is important in local genera.</x:v>
      </x:c>
      <x:c r="O313" s="215" t="str">
        <x:v>Low</x:v>
      </x:c>
      <x:c r="P313" s="215" t="str">
        <x:v>No</x:v>
      </x:c>
      <x:c r="Q313" s="215" t="str"/>
      <x:c r="R313" s="215" t="str">
        <x:v>RUB-LK01; RUB-LK02</x:v>
      </x:c>
      <x:c r="S313" s="215" t="str">
        <x:v>APWEB-RUB; POWO-RUB-GI; POWO-RUB; LBJWC-HAYS</x:v>
      </x:c>
      <x:c r="T313" s="215" t="str">
        <x:v>https://www.mobot.org/MOBOT/research/APweb/orders/gentianalesweb.htm</x:v>
      </x:c>
      <x:c r="U313" s="215" t="str">
        <x:v>https://powo.science.kew.org/taxon/urn:lsid:ipni.org:names:30032120-2/general-information</x:v>
      </x:c>
      <x:c r="V313" s="215" t="str">
        <x:v>https://powo.science.kew.org/taxon/urn:lsid:ipni.org:names:30032120-2</x:v>
      </x:c>
      <x:c r="W313" s="215" t="str">
        <x:v>https://www.mobot.org/MOBOT/research/APweb/orders/gentianalesweb.htm
https://powo.science.kew.org/taxon/urn:lsid:ipni.org:names:30032120-2/general-information
https://powo.science.kew.org/taxon/urn:lsid:ipni.org:names:30032120-2
https://www.wildflower.org/collections/collection.php?collection=hays</x:v>
      </x:c>
      <x:c r="X313" s="215" t="str">
        <x:v>No — retain qualifiers and exceptions</x:v>
      </x:c>
      <x:c r="Y313" s="215" t="str">
        <x:v>Yes</x:v>
      </x:c>
      <x:c r="Z313" s="215" t="str">
        <x:v>Source-backed draft</x:v>
      </x:c>
    </x:row>
    <x:row r="314" ht="42" customHeight="1">
      <x:c r="A314" s="215" t="str">
        <x:v>Rubiaceae</x:v>
      </x:c>
      <x:c r="B314" s="215" t="str">
        <x:v>RUB-LEAF</x:v>
      </x:c>
      <x:c r="C314" s="215" t="str">
        <x:v>Broad family tendency</x:v>
      </x:c>
      <x:c r="D314" s="215" t="str">
        <x:v>Leaf</x:v>
      </x:c>
      <x:c r="E314" s="215" t="str">
        <x:v>Leaves usually opposite or whorled, commonly simple and entire</x:v>
      </x:c>
      <x:c r="F314" s="215" t="str">
        <x:v>Strong</x:v>
      </x:c>
      <x:c r="G314" s="215" t="str">
        <x:v>4</x:v>
      </x:c>
      <x:c r="H314" s="215" t="str">
        <x:v>High</x:v>
      </x:c>
      <x:c r="I314" s="215" t="str">
        <x:v>Naked eye</x:v>
      </x:c>
      <x:c r="J314" s="215" t="str">
        <x:v>Vegetative</x:v>
      </x:c>
      <x:c r="K314" s="215" t="str">
        <x:v>Leaf pairs usually face each other, and some bedstraws appear to have rings of many leaves.</x:v>
      </x:c>
      <x:c r="L314" s="215" t="str">
        <x:v>Rare alternate leaves and toothed or divided blades occur outside typical local routes.</x:v>
      </x:c>
      <x:c r="M314" s="215" t="str">
        <x:v>At each node, search for interpetiolar stipules before using leaf arrangement as evidence.</x:v>
      </x:c>
      <x:c r="N314" s="215" t="str">
        <x:v>Confirmed Hays County family spanning bedstraw, bluet/diamondflower, buttonbush, and buttonweed-type routes in limestone openings, lawns, woodland edges, riparian sites, and moist ground; synonym tracking is important in local genera.</x:v>
      </x:c>
      <x:c r="O314" s="215" t="str">
        <x:v>Low</x:v>
      </x:c>
      <x:c r="P314" s="215" t="str">
        <x:v>No</x:v>
      </x:c>
      <x:c r="Q314" s="215" t="str"/>
      <x:c r="R314" s="215" t="str">
        <x:v>RUB-LK01; RUB-LK02</x:v>
      </x:c>
      <x:c r="S314" s="215" t="str">
        <x:v>APWEB-RUB; POWO-RUB-GI; POWO-RUB; LBJWC-HAYS</x:v>
      </x:c>
      <x:c r="T314" s="215" t="str">
        <x:v>https://www.mobot.org/MOBOT/research/APweb/orders/gentianalesweb.htm</x:v>
      </x:c>
      <x:c r="U314" s="215" t="str">
        <x:v>https://powo.science.kew.org/taxon/urn:lsid:ipni.org:names:30032120-2/general-information</x:v>
      </x:c>
      <x:c r="V314" s="215" t="str">
        <x:v>https://powo.science.kew.org/taxon/urn:lsid:ipni.org:names:30032120-2</x:v>
      </x:c>
      <x:c r="W314" s="215" t="str">
        <x:v>https://www.mobot.org/MOBOT/research/APweb/orders/gentianalesweb.htm
https://powo.science.kew.org/taxon/urn:lsid:ipni.org:names:30032120-2/general-information
https://powo.science.kew.org/taxon/urn:lsid:ipni.org:names:30032120-2
https://www.wildflower.org/collections/collection.php?collection=hays</x:v>
      </x:c>
      <x:c r="X314" s="215" t="str">
        <x:v>No — retain qualifiers and exceptions</x:v>
      </x:c>
      <x:c r="Y314" s="215" t="str">
        <x:v>Yes</x:v>
      </x:c>
      <x:c r="Z314" s="215" t="str">
        <x:v>Source-backed draft</x:v>
      </x:c>
    </x:row>
    <x:row r="315" ht="42" customHeight="1">
      <x:c r="A315" s="215" t="str">
        <x:v>Rubiaceae</x:v>
      </x:c>
      <x:c r="B315" s="215" t="str">
        <x:v>RUB-STIPULE</x:v>
      </x:c>
      <x:c r="C315" s="215" t="str">
        <x:v>Broad family tendency</x:v>
      </x:c>
      <x:c r="D315" s="215" t="str">
        <x:v>Stipules</x:v>
      </x:c>
      <x:c r="E315" s="215" t="str">
        <x:v>Interpetiolar or intrapetiolar stipules usually present between opposite leaves</x:v>
      </x:c>
      <x:c r="F315" s="215" t="str">
        <x:v>Core</x:v>
      </x:c>
      <x:c r="G315" s="215" t="str">
        <x:v>5</x:v>
      </x:c>
      <x:c r="H315" s="215" t="str">
        <x:v>High when intact</x:v>
      </x:c>
      <x:c r="I315" s="215" t="str">
        <x:v>Naked eye to hand lens</x:v>
      </x:c>
      <x:c r="J315" s="215" t="str">
        <x:v>Young vegetative material</x:v>
      </x:c>
      <x:c r="K315" s="215" t="str">
        <x:v>A small flap, fringe, or pair of structures bridges the space between opposite leaf stalks.</x:v>
      </x:c>
      <x:c r="L315" s="215" t="str">
        <x:v>Stipules can be minute, divided into bristles, fused, deciduous, or interpreted as leaflike in Rubieae.</x:v>
      </x:c>
      <x:c r="M315" s="215" t="str">
        <x:v>Opposite entire leaves plus interpetiolar stipules strongly supports Rubiaceae over most local lookalikes.</x:v>
      </x:c>
      <x:c r="N315" s="215" t="str">
        <x:v>Confirmed Hays County family spanning bedstraw, bluet/diamondflower, buttonbush, and buttonweed-type routes in limestone openings, lawns, woodland edges, riparian sites, and moist ground; synonym tracking is important in local genera.</x:v>
      </x:c>
      <x:c r="O315" s="215" t="str">
        <x:v>Low</x:v>
      </x:c>
      <x:c r="P315" s="215" t="str">
        <x:v>No</x:v>
      </x:c>
      <x:c r="Q315" s="215" t="str"/>
      <x:c r="R315" s="215" t="str">
        <x:v>RUB-LK01; RUB-LK02</x:v>
      </x:c>
      <x:c r="S315" s="215" t="str">
        <x:v>APWEB-RUB; POWO-RUB-GI; POWO-RUB; LBJWC-HAYS</x:v>
      </x:c>
      <x:c r="T315" s="215" t="str">
        <x:v>https://www.mobot.org/MOBOT/research/APweb/orders/gentianalesweb.htm</x:v>
      </x:c>
      <x:c r="U315" s="215" t="str">
        <x:v>https://powo.science.kew.org/taxon/urn:lsid:ipni.org:names:30032120-2/general-information</x:v>
      </x:c>
      <x:c r="V315" s="215" t="str">
        <x:v>https://powo.science.kew.org/taxon/urn:lsid:ipni.org:names:30032120-2</x:v>
      </x:c>
      <x:c r="W315" s="215" t="str">
        <x:v>https://www.mobot.org/MOBOT/research/APweb/orders/gentianalesweb.htm
https://powo.science.kew.org/taxon/urn:lsid:ipni.org:names:30032120-2/general-information
https://powo.science.kew.org/taxon/urn:lsid:ipni.org:names:30032120-2
https://www.wildflower.org/collections/collection.php?collection=hays</x:v>
      </x:c>
      <x:c r="X315" s="215" t="str">
        <x:v>No — retain qualifiers and exceptions</x:v>
      </x:c>
      <x:c r="Y315" s="215" t="str">
        <x:v>Yes</x:v>
      </x:c>
      <x:c r="Z315" s="215" t="str">
        <x:v>Source-backed draft</x:v>
      </x:c>
    </x:row>
    <x:row r="316" ht="42" customHeight="1">
      <x:c r="A316" s="215" t="str">
        <x:v>Rubiaceae</x:v>
      </x:c>
      <x:c r="B316" s="215" t="str">
        <x:v>RUB-GALIUM</x:v>
      </x:c>
      <x:c r="C316" s="215" t="str">
        <x:v>Tribe-limited, common locally</x:v>
      </x:c>
      <x:c r="D316" s="215" t="str">
        <x:v>Leaf node</x:v>
      </x:c>
      <x:c r="E316" s="215" t="str">
        <x:v>In Galium and allies, leaflike stipules make apparent whorls of four or more similar blades</x:v>
      </x:c>
      <x:c r="F316" s="215" t="str">
        <x:v>Strong</x:v>
      </x:c>
      <x:c r="G316" s="215" t="str">
        <x:v>4</x:v>
      </x:c>
      <x:c r="H316" s="215" t="str">
        <x:v>High when present</x:v>
      </x:c>
      <x:c r="I316" s="215" t="str">
        <x:v>Naked eye</x:v>
      </x:c>
      <x:c r="J316" s="215" t="str">
        <x:v>Vegetative</x:v>
      </x:c>
      <x:c r="K316" s="215" t="str">
        <x:v>A bedstraw 'whorl' is typically two true leaves plus stipules that look like extra leaves.</x:v>
      </x:c>
      <x:c r="L316" s="215" t="str">
        <x:v>This construction is not family-wide and should not be required for other rubiads.</x:v>
      </x:c>
      <x:c r="M316" s="215" t="str">
        <x:v>Use apparent whorls as a Galium-route clue, then check tiny flowers and paired fruit lobes.</x:v>
      </x:c>
      <x:c r="N316" s="215" t="str">
        <x:v>Confirmed Hays County family spanning bedstraw, bluet/diamondflower, buttonbush, and buttonweed-type routes in limestone openings, lawns, woodland edges, riparian sites, and moist ground; synonym tracking is important in local genera.</x:v>
      </x:c>
      <x:c r="O316" s="215" t="str">
        <x:v>Low</x:v>
      </x:c>
      <x:c r="P316" s="215" t="str">
        <x:v>No</x:v>
      </x:c>
      <x:c r="Q316" s="215" t="str"/>
      <x:c r="R316" s="215" t="str">
        <x:v>RUB-LK02</x:v>
      </x:c>
      <x:c r="S316" s="215" t="str">
        <x:v>APWEB-RUB; POWO-RUB-GI; POWO-RUB; LBJWC-HAYS</x:v>
      </x:c>
      <x:c r="T316" s="215" t="str">
        <x:v>https://www.mobot.org/MOBOT/research/APweb/orders/gentianalesweb.htm</x:v>
      </x:c>
      <x:c r="U316" s="215" t="str">
        <x:v>https://powo.science.kew.org/taxon/urn:lsid:ipni.org:names:30032120-2/general-information</x:v>
      </x:c>
      <x:c r="V316" s="215" t="str">
        <x:v>https://powo.science.kew.org/taxon/urn:lsid:ipni.org:names:30032120-2</x:v>
      </x:c>
      <x:c r="W316" s="215" t="str">
        <x:v>https://www.mobot.org/MOBOT/research/APweb/orders/gentianalesweb.htm
https://powo.science.kew.org/taxon/urn:lsid:ipni.org:names:30032120-2/general-information
https://powo.science.kew.org/taxon/urn:lsid:ipni.org:names:30032120-2
https://www.wildflower.org/collections/collection.php?collection=hays</x:v>
      </x:c>
      <x:c r="X316" s="215" t="str">
        <x:v>No — retain qualifiers and exceptions</x:v>
      </x:c>
      <x:c r="Y316" s="215" t="str">
        <x:v>Yes</x:v>
      </x:c>
      <x:c r="Z316" s="215" t="str">
        <x:v>Source-backed draft</x:v>
      </x:c>
    </x:row>
    <x:row r="317" ht="42" customHeight="1">
      <x:c r="A317" s="215" t="str">
        <x:v>Rubiaceae</x:v>
      </x:c>
      <x:c r="B317" s="215" t="str">
        <x:v>RUB-COROLLA</x:v>
      </x:c>
      <x:c r="C317" s="215" t="str">
        <x:v>Broad family tendency</x:v>
      </x:c>
      <x:c r="D317" s="215" t="str">
        <x:v>Corolla</x:v>
      </x:c>
      <x:c r="E317" s="215" t="str">
        <x:v>Corolla sympetalous, usually four- or five-lobed and commonly radially symmetric</x:v>
      </x:c>
      <x:c r="F317" s="215" t="str">
        <x:v>Strong</x:v>
      </x:c>
      <x:c r="G317" s="215" t="str">
        <x:v>4</x:v>
      </x:c>
      <x:c r="H317" s="215" t="str">
        <x:v>High</x:v>
      </x:c>
      <x:c r="I317" s="215" t="str">
        <x:v>Naked eye to hand lens</x:v>
      </x:c>
      <x:c r="J317" s="215" t="str">
        <x:v>Flowering</x:v>
      </x:c>
      <x:c r="K317" s="215" t="str">
        <x:v>The petals are joined into a tube or shallow wheel ending in four or five lobes.</x:v>
      </x:c>
      <x:c r="L317" s="215" t="str">
        <x:v>Some flowers are strongly tubular, asymmetric, or otherwise modified; flowers may be very small.</x:v>
      </x:c>
      <x:c r="M317" s="215" t="str">
        <x:v>Pair a fused corolla with an inferior ovary and stipulate opposite leaves.</x:v>
      </x:c>
      <x:c r="N317" s="215" t="str">
        <x:v>Confirmed Hays County family spanning bedstraw, bluet/diamondflower, buttonbush, and buttonweed-type routes in limestone openings, lawns, woodland edges, riparian sites, and moist ground; synonym tracking is important in local genera.</x:v>
      </x:c>
      <x:c r="O317" s="215" t="str">
        <x:v>Low</x:v>
      </x:c>
      <x:c r="P317" s="215" t="str">
        <x:v>No</x:v>
      </x:c>
      <x:c r="Q317" s="215" t="str"/>
      <x:c r="R317" s="215" t="str">
        <x:v>RUB-LK01</x:v>
      </x:c>
      <x:c r="S317" s="215" t="str">
        <x:v>APWEB-RUB; POWO-RUB-GI; POWO-RUB; LBJWC-HAYS</x:v>
      </x:c>
      <x:c r="T317" s="215" t="str">
        <x:v>https://www.mobot.org/MOBOT/research/APweb/orders/gentianalesweb.htm</x:v>
      </x:c>
      <x:c r="U317" s="215" t="str">
        <x:v>https://powo.science.kew.org/taxon/urn:lsid:ipni.org:names:30032120-2/general-information</x:v>
      </x:c>
      <x:c r="V317" s="215" t="str">
        <x:v>https://powo.science.kew.org/taxon/urn:lsid:ipni.org:names:30032120-2</x:v>
      </x:c>
      <x:c r="W317" s="215" t="str">
        <x:v>https://www.mobot.org/MOBOT/research/APweb/orders/gentianalesweb.htm
https://powo.science.kew.org/taxon/urn:lsid:ipni.org:names:30032120-2/general-information
https://powo.science.kew.org/taxon/urn:lsid:ipni.org:names:30032120-2
https://www.wildflower.org/collections/collection.php?collection=hays</x:v>
      </x:c>
      <x:c r="X317" s="215" t="str">
        <x:v>No — retain qualifiers and exceptions</x:v>
      </x:c>
      <x:c r="Y317" s="215" t="str">
        <x:v>Yes</x:v>
      </x:c>
      <x:c r="Z317" s="215" t="str">
        <x:v>Source-backed draft</x:v>
      </x:c>
    </x:row>
    <x:row r="318" ht="42" customHeight="1">
      <x:c r="A318" s="215" t="str">
        <x:v>Rubiaceae</x:v>
      </x:c>
      <x:c r="B318" s="215" t="str">
        <x:v>RUB-STAMEN</x:v>
      </x:c>
      <x:c r="C318" s="215" t="str">
        <x:v>Broad family tendency</x:v>
      </x:c>
      <x:c r="D318" s="215" t="str">
        <x:v>Androecium</x:v>
      </x:c>
      <x:c r="E318" s="215" t="str">
        <x:v>Stamens usually equal to and alternate with corolla lobes, attached to the corolla tube</x:v>
      </x:c>
      <x:c r="F318" s="215" t="str">
        <x:v>Strong</x:v>
      </x:c>
      <x:c r="G318" s="215" t="str">
        <x:v>4</x:v>
      </x:c>
      <x:c r="H318" s="215" t="str">
        <x:v>Moderate</x:v>
      </x:c>
      <x:c r="I318" s="215" t="str">
        <x:v>Hand lens</x:v>
      </x:c>
      <x:c r="J318" s="215" t="str">
        <x:v>Fresh flowering material</x:v>
      </x:c>
      <x:c r="K318" s="215" t="str">
        <x:v>A four-lobed flower usually carries four stamens positioned between the lobes.</x:v>
      </x:c>
      <x:c r="L318" s="215" t="str">
        <x:v>Small corollas and short-lived anthers can make counting difficult.</x:v>
      </x:c>
      <x:c r="M318" s="215" t="str">
        <x:v>Use as confirmation after the corolla and ovary are interpreted.</x:v>
      </x:c>
      <x:c r="N318" s="215" t="str">
        <x:v>Confirmed Hays County family spanning bedstraw, bluet/diamondflower, buttonbush, and buttonweed-type routes in limestone openings, lawns, woodland edges, riparian sites, and moist ground; synonym tracking is important in local genera.</x:v>
      </x:c>
      <x:c r="O318" s="215" t="str">
        <x:v>Low</x:v>
      </x:c>
      <x:c r="P318" s="215" t="str">
        <x:v>No</x:v>
      </x:c>
      <x:c r="Q318" s="215" t="str"/>
      <x:c r="R318" s="215" t="str">
        <x:v>RUB-LK01</x:v>
      </x:c>
      <x:c r="S318" s="215" t="str">
        <x:v>APWEB-RUB; POWO-RUB-GI; POWO-RUB; LBJWC-HAYS</x:v>
      </x:c>
      <x:c r="T318" s="215" t="str">
        <x:v>https://www.mobot.org/MOBOT/research/APweb/orders/gentianalesweb.htm</x:v>
      </x:c>
      <x:c r="U318" s="215" t="str">
        <x:v>https://powo.science.kew.org/taxon/urn:lsid:ipni.org:names:30032120-2/general-information</x:v>
      </x:c>
      <x:c r="V318" s="215" t="str">
        <x:v>https://powo.science.kew.org/taxon/urn:lsid:ipni.org:names:30032120-2</x:v>
      </x:c>
      <x:c r="W318" s="215" t="str">
        <x:v>https://www.mobot.org/MOBOT/research/APweb/orders/gentianalesweb.htm
https://powo.science.kew.org/taxon/urn:lsid:ipni.org:names:30032120-2/general-information
https://powo.science.kew.org/taxon/urn:lsid:ipni.org:names:30032120-2
https://www.wildflower.org/collections/collection.php?collection=hays</x:v>
      </x:c>
      <x:c r="X318" s="215" t="str">
        <x:v>No — retain qualifiers and exceptions</x:v>
      </x:c>
      <x:c r="Y318" s="215" t="str">
        <x:v>Yes</x:v>
      </x:c>
      <x:c r="Z318" s="215" t="str">
        <x:v>Source-backed draft</x:v>
      </x:c>
    </x:row>
    <x:row r="319" ht="42" customHeight="1">
      <x:c r="A319" s="215" t="str">
        <x:v>Rubiaceae</x:v>
      </x:c>
      <x:c r="B319" s="215" t="str">
        <x:v>RUB-OVARY</x:v>
      </x:c>
      <x:c r="C319" s="215" t="str">
        <x:v>Broad family tendency</x:v>
      </x:c>
      <x:c r="D319" s="215" t="str">
        <x:v>Gynoecium</x:v>
      </x:c>
      <x:c r="E319" s="215" t="str">
        <x:v>Ovary usually inferior, commonly two-carpellate, with an epigynous nectary above it</x:v>
      </x:c>
      <x:c r="F319" s="215" t="str">
        <x:v>Core</x:v>
      </x:c>
      <x:c r="G319" s="215" t="str">
        <x:v>5</x:v>
      </x:c>
      <x:c r="H319" s="215" t="str">
        <x:v>High with magnification</x:v>
      </x:c>
      <x:c r="I319" s="215" t="str">
        <x:v>Hand lens or dissection</x:v>
      </x:c>
      <x:c r="J319" s="215" t="str">
        <x:v>Flowering to early fruit</x:v>
      </x:c>
      <x:c r="K319" s="215" t="str">
        <x:v>The corolla and stamens arise above the ovary, often around a small nectar-bearing disc.</x:v>
      </x:c>
      <x:c r="L319" s="215" t="str">
        <x:v>Locule and ovule numbers vary, and the ovary boundary may be hard to see on tiny flowers.</x:v>
      </x:c>
      <x:c r="M319" s="215" t="str">
        <x:v>Inferior ovary plus interpetiolar stipules is a high-value family combination.</x:v>
      </x:c>
      <x:c r="N319" s="215" t="str">
        <x:v>Confirmed Hays County family spanning bedstraw, bluet/diamondflower, buttonbush, and buttonweed-type routes in limestone openings, lawns, woodland edges, riparian sites, and moist ground; synonym tracking is important in local genera.</x:v>
      </x:c>
      <x:c r="O319" s="215" t="str">
        <x:v>Low</x:v>
      </x:c>
      <x:c r="P319" s="215" t="str">
        <x:v>No</x:v>
      </x:c>
      <x:c r="Q319" s="215" t="str"/>
      <x:c r="R319" s="215" t="str">
        <x:v>RUB-LK01; RUB-LK02</x:v>
      </x:c>
      <x:c r="S319" s="215" t="str">
        <x:v>APWEB-RUB; POWO-RUB-GI; POWO-RUB; LBJWC-HAYS</x:v>
      </x:c>
      <x:c r="T319" s="215" t="str">
        <x:v>https://www.mobot.org/MOBOT/research/APweb/orders/gentianalesweb.htm</x:v>
      </x:c>
      <x:c r="U319" s="215" t="str">
        <x:v>https://powo.science.kew.org/taxon/urn:lsid:ipni.org:names:30032120-2/general-information</x:v>
      </x:c>
      <x:c r="V319" s="215" t="str">
        <x:v>https://powo.science.kew.org/taxon/urn:lsid:ipni.org:names:30032120-2</x:v>
      </x:c>
      <x:c r="W319" s="215" t="str">
        <x:v>https://www.mobot.org/MOBOT/research/APweb/orders/gentianalesweb.htm
https://powo.science.kew.org/taxon/urn:lsid:ipni.org:names:30032120-2/general-information
https://powo.science.kew.org/taxon/urn:lsid:ipni.org:names:30032120-2
https://www.wildflower.org/collections/collection.php?collection=hays</x:v>
      </x:c>
      <x:c r="X319" s="215" t="str">
        <x:v>No — retain qualifiers and exceptions</x:v>
      </x:c>
      <x:c r="Y319" s="215" t="str">
        <x:v>Yes</x:v>
      </x:c>
      <x:c r="Z319" s="215" t="str">
        <x:v>Source-backed draft</x:v>
      </x:c>
    </x:row>
    <x:row r="320" ht="42" customHeight="1">
      <x:c r="A320" s="215" t="str">
        <x:v>Rubiaceae</x:v>
      </x:c>
      <x:c r="B320" s="215" t="str">
        <x:v>RUB-STYLE</x:v>
      </x:c>
      <x:c r="C320" s="215" t="str">
        <x:v>Broad family tendency</x:v>
      </x:c>
      <x:c r="D320" s="215" t="str">
        <x:v>Style and stigma</x:v>
      </x:c>
      <x:c r="E320" s="215" t="str">
        <x:v>Style commonly well developed and apically divided into two branches or lobes</x:v>
      </x:c>
      <x:c r="F320" s="215" t="str">
        <x:v>Strong</x:v>
      </x:c>
      <x:c r="G320" s="215" t="str">
        <x:v>4</x:v>
      </x:c>
      <x:c r="H320" s="215" t="str">
        <x:v>Moderate</x:v>
      </x:c>
      <x:c r="I320" s="215" t="str">
        <x:v>Hand lens</x:v>
      </x:c>
      <x:c r="J320" s="215" t="str">
        <x:v>Fresh flowering material</x:v>
      </x:c>
      <x:c r="K320" s="215" t="str">
        <x:v>A single style commonly ends in two stigmatic parts above the corolla.</x:v>
      </x:c>
      <x:c r="L320" s="215" t="str">
        <x:v>Stigma form and style length vary widely and may be hidden inside the flower.</x:v>
      </x:c>
      <x:c r="M320" s="215" t="str">
        <x:v>Use only with ovary position and node characters.</x:v>
      </x:c>
      <x:c r="N320" s="215" t="str">
        <x:v>Confirmed Hays County family spanning bedstraw, bluet/diamondflower, buttonbush, and buttonweed-type routes in limestone openings, lawns, woodland edges, riparian sites, and moist ground; synonym tracking is important in local genera.</x:v>
      </x:c>
      <x:c r="O320" s="215" t="str">
        <x:v>Low</x:v>
      </x:c>
      <x:c r="P320" s="215" t="str">
        <x:v>No</x:v>
      </x:c>
      <x:c r="Q320" s="215" t="str"/>
      <x:c r="R320" s="215" t="str">
        <x:v>RUB-LK01</x:v>
      </x:c>
      <x:c r="S320" s="215" t="str">
        <x:v>APWEB-RUB; POWO-RUB-GI; POWO-RUB; LBJWC-HAYS</x:v>
      </x:c>
      <x:c r="T320" s="215" t="str">
        <x:v>https://www.mobot.org/MOBOT/research/APweb/orders/gentianalesweb.htm</x:v>
      </x:c>
      <x:c r="U320" s="215" t="str">
        <x:v>https://powo.science.kew.org/taxon/urn:lsid:ipni.org:names:30032120-2/general-information</x:v>
      </x:c>
      <x:c r="V320" s="215" t="str">
        <x:v>https://powo.science.kew.org/taxon/urn:lsid:ipni.org:names:30032120-2</x:v>
      </x:c>
      <x:c r="W320" s="215" t="str">
        <x:v>https://www.mobot.org/MOBOT/research/APweb/orders/gentianalesweb.htm
https://powo.science.kew.org/taxon/urn:lsid:ipni.org:names:30032120-2/general-information
https://powo.science.kew.org/taxon/urn:lsid:ipni.org:names:30032120-2
https://www.wildflower.org/collections/collection.php?collection=hays</x:v>
      </x:c>
      <x:c r="X320" s="215" t="str">
        <x:v>No — retain qualifiers and exceptions</x:v>
      </x:c>
      <x:c r="Y320" s="215" t="str">
        <x:v>Yes</x:v>
      </x:c>
      <x:c r="Z320" s="215" t="str">
        <x:v>Source-backed draft</x:v>
      </x:c>
    </x:row>
    <x:row r="321" ht="42" customHeight="1">
      <x:c r="A321" s="215" t="str">
        <x:v>Rubiaceae</x:v>
      </x:c>
      <x:c r="B321" s="215" t="str">
        <x:v>RUB-FRUIT</x:v>
      </x:c>
      <x:c r="C321" s="215" t="str">
        <x:v>Family-wide variation</x:v>
      </x:c>
      <x:c r="D321" s="215" t="str">
        <x:v>Fruit</x:v>
      </x:c>
      <x:c r="E321" s="215" t="str">
        <x:v>Fruit may be a capsule, berry, drupe, or schizocarp, usually reflecting a two-carpellate ovary</x:v>
      </x:c>
      <x:c r="F321" s="215" t="str">
        <x:v>Supporting</x:v>
      </x:c>
      <x:c r="G321" s="215" t="str">
        <x:v>3</x:v>
      </x:c>
      <x:c r="H321" s="215" t="str">
        <x:v>Variable</x:v>
      </x:c>
      <x:c r="I321" s="215" t="str">
        <x:v>Naked eye to hand lens</x:v>
      </x:c>
      <x:c r="J321" s="215" t="str">
        <x:v>Mature fruit</x:v>
      </x:c>
      <x:c r="K321" s="215" t="str">
        <x:v>Local rubiads can produce paired dry units, capsules, or fleshy fruits, so no single fruit type covers the family.</x:v>
      </x:c>
      <x:c r="L321" s="215" t="str">
        <x:v>Fruit diversity is substantial; fruit alone can mislead.</x:v>
      </x:c>
      <x:c r="M321" s="215" t="str">
        <x:v>Use fruit construction to select a genus route only after stipules, corolla, and inferior ovary support Rubiaceae.</x:v>
      </x:c>
      <x:c r="N321" s="215" t="str">
        <x:v>Confirmed Hays County family spanning bedstraw, bluet/diamondflower, buttonbush, and buttonweed-type routes in limestone openings, lawns, woodland edges, riparian sites, and moist ground; synonym tracking is important in local genera.</x:v>
      </x:c>
      <x:c r="O321" s="215" t="str">
        <x:v>Low</x:v>
      </x:c>
      <x:c r="P321" s="215" t="str">
        <x:v>No</x:v>
      </x:c>
      <x:c r="Q321" s="215" t="str"/>
      <x:c r="R321" s="215" t="str">
        <x:v>RUB-LK01; RUB-LK02</x:v>
      </x:c>
      <x:c r="S321" s="215" t="str">
        <x:v>APWEB-RUB; POWO-RUB-GI; POWO-RUB; LBJWC-HAYS</x:v>
      </x:c>
      <x:c r="T321" s="215" t="str">
        <x:v>https://www.mobot.org/MOBOT/research/APweb/orders/gentianalesweb.htm</x:v>
      </x:c>
      <x:c r="U321" s="215" t="str">
        <x:v>https://powo.science.kew.org/taxon/urn:lsid:ipni.org:names:30032120-2/general-information</x:v>
      </x:c>
      <x:c r="V321" s="215" t="str">
        <x:v>https://powo.science.kew.org/taxon/urn:lsid:ipni.org:names:30032120-2</x:v>
      </x:c>
      <x:c r="W321" s="215" t="str">
        <x:v>https://www.mobot.org/MOBOT/research/APweb/orders/gentianalesweb.htm
https://powo.science.kew.org/taxon/urn:lsid:ipni.org:names:30032120-2/general-information
https://powo.science.kew.org/taxon/urn:lsid:ipni.org:names:30032120-2
https://www.wildflower.org/collections/collection.php?collection=hays</x:v>
      </x:c>
      <x:c r="X321" s="215" t="str">
        <x:v>No — retain qualifiers and exceptions</x:v>
      </x:c>
      <x:c r="Y321" s="215" t="str">
        <x:v>Yes</x:v>
      </x:c>
      <x:c r="Z321" s="215" t="str">
        <x:v>Source-backed draft</x:v>
      </x:c>
    </x:row>
    <x:row r="322" ht="42" customHeight="1">
      <x:c r="A322" s="215" t="str">
        <x:v>Rubiaceae</x:v>
      </x:c>
      <x:c r="B322" s="215" t="str">
        <x:v>RUB-LK01</x:v>
      </x:c>
      <x:c r="C322" s="215" t="str">
        <x:v>Hays County field comparison</x:v>
      </x:c>
      <x:c r="D322" s="215" t="str">
        <x:v>Lookalike comparison</x:v>
      </x:c>
      <x:c r="E322" s="215" t="str">
        <x:v>Rubiaceae versus opposite-leaved Apocynaceae or Gentianaceae</x:v>
      </x:c>
      <x:c r="F322" s="215" t="str">
        <x:v>Strong</x:v>
      </x:c>
      <x:c r="G322" s="215" t="str">
        <x:v>4</x:v>
      </x:c>
      <x:c r="H322" s="215" t="str">
        <x:v>Moderate</x:v>
      </x:c>
      <x:c r="I322" s="215" t="str">
        <x:v>Hand lens</x:v>
      </x:c>
      <x:c r="J322" s="215" t="str">
        <x:v>Flowering preferred</x:v>
      </x:c>
      <x:c r="K322" s="215" t="str">
        <x:v>Rubiaceae usually have interpetiolar stipules and an inferior ovary; Apocynaceae generally lack stipules and often have latex, while Gentianaceae generally lack true interpetiolar stipules and have a superior ovary.</x:v>
      </x:c>
      <x:c r="L322" s="215" t="str">
        <x:v>Small stipules can be missed, latex can be weak, and flower condition may prevent confident ovary interpretation.</x:v>
      </x:c>
      <x:c r="M322" s="215" t="str">
        <x:v>Check the node first, then ovary position; use sap only as supporting evidence.</x:v>
      </x:c>
      <x:c r="N322" s="215" t="str">
        <x:v>Confirmed Hays County family spanning bedstraw, bluet/diamondflower, buttonbush, and buttonweed-type routes in limestone openings, lawns, woodland edges, riparian sites, and moist ground; synonym tracking is important in local genera.</x:v>
      </x:c>
      <x:c r="O322" s="215" t="str">
        <x:v>Moderate</x:v>
      </x:c>
      <x:c r="P322" s="215" t="str">
        <x:v>Yes</x:v>
      </x:c>
      <x:c r="Q322" s="215" t="str">
        <x:v>The Gentianaceae side should be rechecked during that family's full local treatment.</x:v>
      </x:c>
      <x:c r="R322" s="215" t="str"/>
      <x:c r="S322" s="215" t="str">
        <x:v>APWEB-RUB; POWO-RUB-GI; POWO-RUB; FNA-APOC; FNA-GENT; LBJWC-HAYS</x:v>
      </x:c>
      <x:c r="T322" s="215" t="str">
        <x:v>https://www.mobot.org/MOBOT/research/APweb/orders/gentianalesweb.htm</x:v>
      </x:c>
      <x:c r="U322" s="215" t="str">
        <x:v>https://powo.science.kew.org/taxon/urn:lsid:ipni.org:names:30032120-2/general-information</x:v>
      </x:c>
      <x:c r="V322" s="215" t="str">
        <x:v>https://powo.science.kew.org/taxon/urn:lsid:ipni.org:names:30032120-2</x:v>
      </x:c>
      <x:c r="W322" s="215" t="str">
        <x:v>https://www.mobot.org/MOBOT/research/APweb/orders/gentianalesweb.htm
https://powo.science.kew.org/taxon/urn:lsid:ipni.org:names:30032120-2/general-information
https://powo.science.kew.org/taxon/urn:lsid:ipni.org:names:30032120-2
https://www.wildflower.org/collections/collection.php?collection=hays
https://floranorthamerica.org/Apocynaceae
https://floranorthamerica.org/Gentianaceae</x:v>
      </x:c>
      <x:c r="X322" s="215" t="str">
        <x:v>No — retain qualifiers and exceptions</x:v>
      </x:c>
      <x:c r="Y322" s="215" t="str">
        <x:v>Yes</x:v>
      </x:c>
      <x:c r="Z322" s="215" t="str">
        <x:v>Source-backed comparison draft</x:v>
      </x:c>
    </x:row>
    <x:row r="323" ht="42" customHeight="1">
      <x:c r="A323" s="215" t="str">
        <x:v>Rubiaceae</x:v>
      </x:c>
      <x:c r="B323" s="215" t="str">
        <x:v>RUB-LK02</x:v>
      </x:c>
      <x:c r="C323" s="215" t="str">
        <x:v>Hays County field comparison</x:v>
      </x:c>
      <x:c r="D323" s="215" t="str">
        <x:v>Lookalike comparison</x:v>
      </x:c>
      <x:c r="E323" s="215" t="str">
        <x:v>Bedstraw-type Rubiaceae versus whorled or clustered Caryophyllaceae</x:v>
      </x:c>
      <x:c r="F323" s="215" t="str">
        <x:v>Strong</x:v>
      </x:c>
      <x:c r="G323" s="215" t="str">
        <x:v>4</x:v>
      </x:c>
      <x:c r="H323" s="215" t="str">
        <x:v>Moderate</x:v>
      </x:c>
      <x:c r="I323" s="215" t="str">
        <x:v>Hand lens</x:v>
      </x:c>
      <x:c r="J323" s="215" t="str">
        <x:v>Flowering or fruiting</x:v>
      </x:c>
      <x:c r="K323" s="215" t="str">
        <x:v>Bedstraws commonly show leaflike stipules at nodes, tiny sympetalous flowers, inferior ovaries, and paired dry fruits; pink-family herbs more often have distinct petals, superior ovaries, and capsules or utricles.</x:v>
      </x:c>
      <x:c r="L323" s="215" t="str">
        <x:v>Vegetative whorls can remain ambiguous and both families include tiny flowers.</x:v>
      </x:c>
      <x:c r="M323" s="215" t="str">
        <x:v>Prioritize corolla fusion and ovary position, then mature fruit.</x:v>
      </x:c>
      <x:c r="N323" s="215" t="str">
        <x:v>Confirmed Hays County family spanning bedstraw, bluet/diamondflower, buttonbush, and buttonweed-type routes in limestone openings, lawns, woodland edges, riparian sites, and moist ground; synonym tracking is important in local genera.</x:v>
      </x:c>
      <x:c r="O323" s="215" t="str">
        <x:v>Moderate</x:v>
      </x:c>
      <x:c r="P323" s="215" t="str">
        <x:v>Yes</x:v>
      </x:c>
      <x:c r="Q323" s="215" t="str">
        <x:v>Caryophyllaceae has not yet received its full Hays treatment.</x:v>
      </x:c>
      <x:c r="R323" s="215" t="str"/>
      <x:c r="S323" s="215" t="str">
        <x:v>APWEB-RUB; POWO-RUB-GI; POWO-RUB; FNA-CARY; LBJWC-HAYS</x:v>
      </x:c>
      <x:c r="T323" s="215" t="str">
        <x:v>https://www.mobot.org/MOBOT/research/APweb/orders/gentianalesweb.htm</x:v>
      </x:c>
      <x:c r="U323" s="215" t="str">
        <x:v>https://powo.science.kew.org/taxon/urn:lsid:ipni.org:names:30032120-2/general-information</x:v>
      </x:c>
      <x:c r="V323" s="215" t="str">
        <x:v>https://powo.science.kew.org/taxon/urn:lsid:ipni.org:names:30032120-2</x:v>
      </x:c>
      <x:c r="W323" s="215" t="str">
        <x:v>https://www.mobot.org/MOBOT/research/APweb/orders/gentianalesweb.htm
https://powo.science.kew.org/taxon/urn:lsid:ipni.org:names:30032120-2/general-information
https://powo.science.kew.org/taxon/urn:lsid:ipni.org:names:30032120-2
https://www.wildflower.org/collections/collection.php?collection=hays
https://floranorthamerica.org/Caryophyllaceae</x:v>
      </x:c>
      <x:c r="X323" s="215" t="str">
        <x:v>No — retain qualifiers and exceptions</x:v>
      </x:c>
      <x:c r="Y323" s="215" t="str">
        <x:v>Yes</x:v>
      </x:c>
      <x:c r="Z323" s="215" t="str">
        <x:v>Source-backed comparison draft</x:v>
      </x:c>
    </x:row>
    <x:row r="324" ht="42" customHeight="1">
      <x:c r="A324" s="215" t="str">
        <x:v>Sapindaceae</x:v>
      </x:c>
      <x:c r="B324" s="215" t="str">
        <x:v>SAP-HABIT</x:v>
      </x:c>
      <x:c r="C324" s="215" t="str">
        <x:v>Family-wide variation</x:v>
      </x:c>
      <x:c r="D324" s="215" t="str">
        <x:v>Habit</x:v>
      </x:c>
      <x:c r="E324" s="215" t="str">
        <x:v>Mostly trees, shrubs, and woody climbers, with some herbaceous vines</x:v>
      </x:c>
      <x:c r="F324" s="215" t="str">
        <x:v>Supporting</x:v>
      </x:c>
      <x:c r="G324" s="215" t="str">
        <x:v>2</x:v>
      </x:c>
      <x:c r="H324" s="215" t="str">
        <x:v>High</x:v>
      </x:c>
      <x:c r="I324" s="215" t="str">
        <x:v>Naked eye</x:v>
      </x:c>
      <x:c r="J324" s="215" t="str">
        <x:v>Any</x:v>
      </x:c>
      <x:c r="K324" s="215" t="str">
        <x:v>Most soapberries are woody, but local balloon-vine relatives can be herbaceous climbers.</x:v>
      </x:c>
      <x:c r="L324" s="215" t="str">
        <x:v>Habit varies and does not diagnose the family.</x:v>
      </x:c>
      <x:c r="M324" s="215" t="str">
        <x:v>Use habit only to select between maple, soapberry, buckeye, and vine routes.</x:v>
      </x:c>
      <x:c r="N324" s="215" t="str">
        <x:v>Confirmed Hays County family with boxelder, soapberry, Mexican buckeye, and balloon-vine routes; local material spans trees, shrubs, and herbaceous or woody climbers, so the modern family concept must remain broad.</x:v>
      </x:c>
      <x:c r="O324" s="215" t="str">
        <x:v>Low</x:v>
      </x:c>
      <x:c r="P324" s="215" t="str">
        <x:v>No</x:v>
      </x:c>
      <x:c r="Q324" s="215" t="str"/>
      <x:c r="R324" s="215" t="str">
        <x:v>SAP-LK01; SAP-LK02</x:v>
      </x:c>
      <x:c r="S324" s="215" t="str">
        <x:v>APWEB-SAP; POWO-SAP-GI; POWO-SAP; LBJWC-HAYS</x:v>
      </x:c>
      <x:c r="T324" s="215" t="str">
        <x:v>https://www.mobot.org/MOBOT/research/APweb/orders/sapindalesweb.htm</x:v>
      </x:c>
      <x:c r="U324" s="215" t="str">
        <x:v>https://powo.science.kew.org/taxon/urn:lsid:ipni.org:names:30000506-2/general-information</x:v>
      </x:c>
      <x:c r="V324" s="215" t="str">
        <x:v>https://powo.science.kew.org/taxon/urn:lsid:ipni.org:names:30000506-2</x:v>
      </x:c>
      <x:c r="W324" s="215" t="str">
        <x:v>https://www.mobot.org/MOBOT/research/APweb/orders/sapindalesweb.htm
https://powo.science.kew.org/taxon/urn:lsid:ipni.org:names:30000506-2/general-information
https://powo.science.kew.org/taxon/urn:lsid:ipni.org:names:30000506-2
https://www.wildflower.org/collections/collection.php?collection=hays</x:v>
      </x:c>
      <x:c r="X324" s="215" t="str">
        <x:v>No — retain qualifiers and exceptions</x:v>
      </x:c>
      <x:c r="Y324" s="215" t="str">
        <x:v>Yes</x:v>
      </x:c>
      <x:c r="Z324" s="215" t="str">
        <x:v>Source-backed draft</x:v>
      </x:c>
    </x:row>
    <x:row r="325" ht="42" customHeight="1">
      <x:c r="A325" s="215" t="str">
        <x:v>Sapindaceae</x:v>
      </x:c>
      <x:c r="B325" s="215" t="str">
        <x:v>SAP-LEAF</x:v>
      </x:c>
      <x:c r="C325" s="215" t="str">
        <x:v>Broad family tendency</x:v>
      </x:c>
      <x:c r="D325" s="215" t="str">
        <x:v>Leaf</x:v>
      </x:c>
      <x:c r="E325" s="215" t="str">
        <x:v>Leaves usually alternate and often compound; simple and opposite leaves also occur</x:v>
      </x:c>
      <x:c r="F325" s="215" t="str">
        <x:v>Strong</x:v>
      </x:c>
      <x:c r="G325" s="215" t="str">
        <x:v>4</x:v>
      </x:c>
      <x:c r="H325" s="215" t="str">
        <x:v>Variable</x:v>
      </x:c>
      <x:c r="I325" s="215" t="str">
        <x:v>Naked eye</x:v>
      </x:c>
      <x:c r="J325" s="215" t="str">
        <x:v>Vegetative</x:v>
      </x:c>
      <x:c r="K325" s="215" t="str">
        <x:v>Many members have pinnate or divided leaves, but maples may be simple and opposite.</x:v>
      </x:c>
      <x:c r="L325" s="215" t="str">
        <x:v>The modern family includes Acer and Aesculus, so a single leaf arrangement or division pattern cannot be required.</x:v>
      </x:c>
      <x:c r="M325" s="215" t="str">
        <x:v>Confirm the whole leaf at its axillary bud, then use flowers and fruit.</x:v>
      </x:c>
      <x:c r="N325" s="215" t="str">
        <x:v>Confirmed Hays County family with boxelder, soapberry, Mexican buckeye, and balloon-vine routes; local material spans trees, shrubs, and herbaceous or woody climbers, so the modern family concept must remain broad.</x:v>
      </x:c>
      <x:c r="O325" s="215" t="str">
        <x:v>Low</x:v>
      </x:c>
      <x:c r="P325" s="215" t="str">
        <x:v>No</x:v>
      </x:c>
      <x:c r="Q325" s="215" t="str"/>
      <x:c r="R325" s="215" t="str">
        <x:v>SAP-LK01; SAP-LK02</x:v>
      </x:c>
      <x:c r="S325" s="215" t="str">
        <x:v>APWEB-SAP; POWO-SAP-GI; POWO-SAP; LBJWC-HAYS</x:v>
      </x:c>
      <x:c r="T325" s="215" t="str">
        <x:v>https://www.mobot.org/MOBOT/research/APweb/orders/sapindalesweb.htm</x:v>
      </x:c>
      <x:c r="U325" s="215" t="str">
        <x:v>https://powo.science.kew.org/taxon/urn:lsid:ipni.org:names:30000506-2/general-information</x:v>
      </x:c>
      <x:c r="V325" s="215" t="str">
        <x:v>https://powo.science.kew.org/taxon/urn:lsid:ipni.org:names:30000506-2</x:v>
      </x:c>
      <x:c r="W325" s="215" t="str">
        <x:v>https://www.mobot.org/MOBOT/research/APweb/orders/sapindalesweb.htm
https://powo.science.kew.org/taxon/urn:lsid:ipni.org:names:30000506-2/general-information
https://powo.science.kew.org/taxon/urn:lsid:ipni.org:names:30000506-2
https://www.wildflower.org/collections/collection.php?collection=hays</x:v>
      </x:c>
      <x:c r="X325" s="215" t="str">
        <x:v>No — retain qualifiers and exceptions</x:v>
      </x:c>
      <x:c r="Y325" s="215" t="str">
        <x:v>Yes</x:v>
      </x:c>
      <x:c r="Z325" s="215" t="str">
        <x:v>Source-backed draft</x:v>
      </x:c>
    </x:row>
    <x:row r="326" ht="42" customHeight="1">
      <x:c r="A326" s="215" t="str">
        <x:v>Sapindaceae</x:v>
      </x:c>
      <x:c r="B326" s="215" t="str">
        <x:v>SAP-STIPULE</x:v>
      </x:c>
      <x:c r="C326" s="215" t="str">
        <x:v>Broad family tendency</x:v>
      </x:c>
      <x:c r="D326" s="215" t="str">
        <x:v>Stipules</x:v>
      </x:c>
      <x:c r="E326" s="215" t="str">
        <x:v>Stipules usually absent, but present in Cardiospermum and Paullinia-type vines</x:v>
      </x:c>
      <x:c r="F326" s="215" t="str">
        <x:v>Supporting</x:v>
      </x:c>
      <x:c r="G326" s="215" t="str">
        <x:v>3</x:v>
      </x:c>
      <x:c r="H326" s="215" t="str">
        <x:v>Variable</x:v>
      </x:c>
      <x:c r="I326" s="215" t="str">
        <x:v>Naked eye to hand lens</x:v>
      </x:c>
      <x:c r="J326" s="215" t="str">
        <x:v>Young vegetative material</x:v>
      </x:c>
      <x:c r="K326" s="215" t="str">
        <x:v>Most local trees lack stipules, while balloon-vine relatives may carry them.</x:v>
      </x:c>
      <x:c r="L326" s="215" t="str">
        <x:v>Because stipules occur in a major local vine route, absence is not universal.</x:v>
      </x:c>
      <x:c r="M326" s="215" t="str">
        <x:v>Use stipules to narrow the genus route, not to accept or reject the family.</x:v>
      </x:c>
      <x:c r="N326" s="215" t="str">
        <x:v>Confirmed Hays County family with boxelder, soapberry, Mexican buckeye, and balloon-vine routes; local material spans trees, shrubs, and herbaceous or woody climbers, so the modern family concept must remain broad.</x:v>
      </x:c>
      <x:c r="O326" s="215" t="str">
        <x:v>Low</x:v>
      </x:c>
      <x:c r="P326" s="215" t="str">
        <x:v>No</x:v>
      </x:c>
      <x:c r="Q326" s="215" t="str"/>
      <x:c r="R326" s="215" t="str">
        <x:v>SAP-LK01</x:v>
      </x:c>
      <x:c r="S326" s="215" t="str">
        <x:v>APWEB-SAP; POWO-SAP-GI; POWO-SAP; LBJWC-HAYS</x:v>
      </x:c>
      <x:c r="T326" s="215" t="str">
        <x:v>https://www.mobot.org/MOBOT/research/APweb/orders/sapindalesweb.htm</x:v>
      </x:c>
      <x:c r="U326" s="215" t="str">
        <x:v>https://powo.science.kew.org/taxon/urn:lsid:ipni.org:names:30000506-2/general-information</x:v>
      </x:c>
      <x:c r="V326" s="215" t="str">
        <x:v>https://powo.science.kew.org/taxon/urn:lsid:ipni.org:names:30000506-2</x:v>
      </x:c>
      <x:c r="W326" s="215" t="str">
        <x:v>https://www.mobot.org/MOBOT/research/APweb/orders/sapindalesweb.htm
https://powo.science.kew.org/taxon/urn:lsid:ipni.org:names:30000506-2/general-information
https://powo.science.kew.org/taxon/urn:lsid:ipni.org:names:30000506-2
https://www.wildflower.org/collections/collection.php?collection=hays</x:v>
      </x:c>
      <x:c r="X326" s="215" t="str">
        <x:v>No — retain qualifiers and exceptions</x:v>
      </x:c>
      <x:c r="Y326" s="215" t="str">
        <x:v>Yes</x:v>
      </x:c>
      <x:c r="Z326" s="215" t="str">
        <x:v>Source-backed draft</x:v>
      </x:c>
    </x:row>
    <x:row r="327" ht="42" customHeight="1">
      <x:c r="A327" s="215" t="str">
        <x:v>Sapindaceae</x:v>
      </x:c>
      <x:c r="B327" s="215" t="str">
        <x:v>SAP-INFLO</x:v>
      </x:c>
      <x:c r="C327" s="215" t="str">
        <x:v>Broad family tendency</x:v>
      </x:c>
      <x:c r="D327" s="215" t="str">
        <x:v>Inflorescence</x:v>
      </x:c>
      <x:c r="E327" s="215" t="str">
        <x:v>Flowers commonly in panicles, thyrses, racemes, or clustered units</x:v>
      </x:c>
      <x:c r="F327" s="215" t="str">
        <x:v>Supporting</x:v>
      </x:c>
      <x:c r="G327" s="215" t="str">
        <x:v>3</x:v>
      </x:c>
      <x:c r="H327" s="215" t="str">
        <x:v>Variable</x:v>
      </x:c>
      <x:c r="I327" s="215" t="str">
        <x:v>Naked eye</x:v>
      </x:c>
      <x:c r="J327" s="215" t="str">
        <x:v>Flowering</x:v>
      </x:c>
      <x:c r="K327" s="215" t="str">
        <x:v>Small flowers are often gathered into branched clusters.</x:v>
      </x:c>
      <x:c r="L327" s="215" t="str">
        <x:v>Inflorescences vary widely, especially in Acer, Aesculus, and climbing lineages.</x:v>
      </x:c>
      <x:c r="M327" s="215" t="str">
        <x:v>Use architecture with flower sex and fruit rather than alone.</x:v>
      </x:c>
      <x:c r="N327" s="215" t="str">
        <x:v>Confirmed Hays County family with boxelder, soapberry, Mexican buckeye, and balloon-vine routes; local material spans trees, shrubs, and herbaceous or woody climbers, so the modern family concept must remain broad.</x:v>
      </x:c>
      <x:c r="O327" s="215" t="str">
        <x:v>Low</x:v>
      </x:c>
      <x:c r="P327" s="215" t="str">
        <x:v>No</x:v>
      </x:c>
      <x:c r="Q327" s="215" t="str"/>
      <x:c r="R327" s="215" t="str">
        <x:v>SAP-LK02</x:v>
      </x:c>
      <x:c r="S327" s="215" t="str">
        <x:v>APWEB-SAP; POWO-SAP-GI; POWO-SAP; LBJWC-HAYS</x:v>
      </x:c>
      <x:c r="T327" s="215" t="str">
        <x:v>https://www.mobot.org/MOBOT/research/APweb/orders/sapindalesweb.htm</x:v>
      </x:c>
      <x:c r="U327" s="215" t="str">
        <x:v>https://powo.science.kew.org/taxon/urn:lsid:ipni.org:names:30000506-2/general-information</x:v>
      </x:c>
      <x:c r="V327" s="215" t="str">
        <x:v>https://powo.science.kew.org/taxon/urn:lsid:ipni.org:names:30000506-2</x:v>
      </x:c>
      <x:c r="W327" s="215" t="str">
        <x:v>https://www.mobot.org/MOBOT/research/APweb/orders/sapindalesweb.htm
https://powo.science.kew.org/taxon/urn:lsid:ipni.org:names:30000506-2/general-information
https://powo.science.kew.org/taxon/urn:lsid:ipni.org:names:30000506-2
https://www.wildflower.org/collections/collection.php?collection=hays</x:v>
      </x:c>
      <x:c r="X327" s="215" t="str">
        <x:v>No — retain qualifiers and exceptions</x:v>
      </x:c>
      <x:c r="Y327" s="215" t="str">
        <x:v>Yes</x:v>
      </x:c>
      <x:c r="Z327" s="215" t="str">
        <x:v>Source-backed draft</x:v>
      </x:c>
    </x:row>
    <x:row r="328" ht="42" customHeight="1">
      <x:c r="A328" s="215" t="str">
        <x:v>Sapindaceae</x:v>
      </x:c>
      <x:c r="B328" s="215" t="str">
        <x:v>SAP-FLOWER</x:v>
      </x:c>
      <x:c r="C328" s="215" t="str">
        <x:v>Broad family tendency</x:v>
      </x:c>
      <x:c r="D328" s="215" t="str">
        <x:v>Flower</x:v>
      </x:c>
      <x:c r="E328" s="215" t="str">
        <x:v>Flowers usually small, four- or five-merous, and often functionally unisexual</x:v>
      </x:c>
      <x:c r="F328" s="215" t="str">
        <x:v>Strong</x:v>
      </x:c>
      <x:c r="G328" s="215" t="str">
        <x:v>4</x:v>
      </x:c>
      <x:c r="H328" s="215" t="str">
        <x:v>Variable</x:v>
      </x:c>
      <x:c r="I328" s="215" t="str">
        <x:v>Naked eye to hand lens</x:v>
      </x:c>
      <x:c r="J328" s="215" t="str">
        <x:v>Fresh flowering material</x:v>
      </x:c>
      <x:c r="K328" s="215" t="str">
        <x:v>A plant may carry male and female flowers that look similar but have nonfunctional opposite-sex organs.</x:v>
      </x:c>
      <x:c r="L328" s="215" t="str">
        <x:v>Bisexual flowers occur, symmetry ranges from radial to one-sided, and petal number may be reduced.</x:v>
      </x:c>
      <x:c r="M328" s="215" t="str">
        <x:v>Inspect several flowers and pair them with the nectar disc and fruit type.</x:v>
      </x:c>
      <x:c r="N328" s="215" t="str">
        <x:v>Confirmed Hays County family with boxelder, soapberry, Mexican buckeye, and balloon-vine routes; local material spans trees, shrubs, and herbaceous or woody climbers, so the modern family concept must remain broad.</x:v>
      </x:c>
      <x:c r="O328" s="215" t="str">
        <x:v>Low</x:v>
      </x:c>
      <x:c r="P328" s="215" t="str">
        <x:v>No</x:v>
      </x:c>
      <x:c r="Q328" s="215" t="str"/>
      <x:c r="R328" s="215" t="str">
        <x:v>SAP-LK01; SAP-LK02</x:v>
      </x:c>
      <x:c r="S328" s="215" t="str">
        <x:v>APWEB-SAP; POWO-SAP-GI; POWO-SAP; LBJWC-HAYS</x:v>
      </x:c>
      <x:c r="T328" s="215" t="str">
        <x:v>https://www.mobot.org/MOBOT/research/APweb/orders/sapindalesweb.htm</x:v>
      </x:c>
      <x:c r="U328" s="215" t="str">
        <x:v>https://powo.science.kew.org/taxon/urn:lsid:ipni.org:names:30000506-2/general-information</x:v>
      </x:c>
      <x:c r="V328" s="215" t="str">
        <x:v>https://powo.science.kew.org/taxon/urn:lsid:ipni.org:names:30000506-2</x:v>
      </x:c>
      <x:c r="W328" s="215" t="str">
        <x:v>https://www.mobot.org/MOBOT/research/APweb/orders/sapindalesweb.htm
https://powo.science.kew.org/taxon/urn:lsid:ipni.org:names:30000506-2/general-information
https://powo.science.kew.org/taxon/urn:lsid:ipni.org:names:30000506-2
https://www.wildflower.org/collections/collection.php?collection=hays</x:v>
      </x:c>
      <x:c r="X328" s="215" t="str">
        <x:v>No — retain qualifiers and exceptions</x:v>
      </x:c>
      <x:c r="Y328" s="215" t="str">
        <x:v>Yes</x:v>
      </x:c>
      <x:c r="Z328" s="215" t="str">
        <x:v>Source-backed draft</x:v>
      </x:c>
    </x:row>
    <x:row r="329" ht="42" customHeight="1">
      <x:c r="A329" s="215" t="str">
        <x:v>Sapindaceae</x:v>
      </x:c>
      <x:c r="B329" s="215" t="str">
        <x:v>SAP-DISC</x:v>
      </x:c>
      <x:c r="C329" s="215" t="str">
        <x:v>Broad family tendency</x:v>
      </x:c>
      <x:c r="D329" s="215" t="str">
        <x:v>Nectary</x:v>
      </x:c>
      <x:c r="E329" s="215" t="str">
        <x:v>Nectar disc commonly outside the stamens</x:v>
      </x:c>
      <x:c r="F329" s="215" t="str">
        <x:v>Strong</x:v>
      </x:c>
      <x:c r="G329" s="215" t="str">
        <x:v>4</x:v>
      </x:c>
      <x:c r="H329" s="215" t="str">
        <x:v>Moderate</x:v>
      </x:c>
      <x:c r="I329" s="215" t="str">
        <x:v>Hand lens or dissection</x:v>
      </x:c>
      <x:c r="J329" s="215" t="str">
        <x:v>Fresh flowering material</x:v>
      </x:c>
      <x:c r="K329" s="215" t="str">
        <x:v>A ring or lopsided pad of nectar tissue often lies between petals and stamens.</x:v>
      </x:c>
      <x:c r="L329" s="215" t="str">
        <x:v>Disc shape and completeness vary and it can be inconspicuous in small flowers.</x:v>
      </x:c>
      <x:c r="M329" s="215" t="str">
        <x:v>A visible extrastaminal disc supports Sapindaceae but must be combined with ovary and fruit.</x:v>
      </x:c>
      <x:c r="N329" s="215" t="str">
        <x:v>Confirmed Hays County family with boxelder, soapberry, Mexican buckeye, and balloon-vine routes; local material spans trees, shrubs, and herbaceous or woody climbers, so the modern family concept must remain broad.</x:v>
      </x:c>
      <x:c r="O329" s="215" t="str">
        <x:v>Low</x:v>
      </x:c>
      <x:c r="P329" s="215" t="str">
        <x:v>No</x:v>
      </x:c>
      <x:c r="Q329" s="215" t="str"/>
      <x:c r="R329" s="215" t="str">
        <x:v>SAP-LK02</x:v>
      </x:c>
      <x:c r="S329" s="215" t="str">
        <x:v>APWEB-SAP; POWO-SAP-GI; POWO-SAP; LBJWC-HAYS</x:v>
      </x:c>
      <x:c r="T329" s="215" t="str">
        <x:v>https://www.mobot.org/MOBOT/research/APweb/orders/sapindalesweb.htm</x:v>
      </x:c>
      <x:c r="U329" s="215" t="str">
        <x:v>https://powo.science.kew.org/taxon/urn:lsid:ipni.org:names:30000506-2/general-information</x:v>
      </x:c>
      <x:c r="V329" s="215" t="str">
        <x:v>https://powo.science.kew.org/taxon/urn:lsid:ipni.org:names:30000506-2</x:v>
      </x:c>
      <x:c r="W329" s="215" t="str">
        <x:v>https://www.mobot.org/MOBOT/research/APweb/orders/sapindalesweb.htm
https://powo.science.kew.org/taxon/urn:lsid:ipni.org:names:30000506-2/general-information
https://powo.science.kew.org/taxon/urn:lsid:ipni.org:names:30000506-2
https://www.wildflower.org/collections/collection.php?collection=hays</x:v>
      </x:c>
      <x:c r="X329" s="215" t="str">
        <x:v>No — retain qualifiers and exceptions</x:v>
      </x:c>
      <x:c r="Y329" s="215" t="str">
        <x:v>Yes</x:v>
      </x:c>
      <x:c r="Z329" s="215" t="str">
        <x:v>Source-backed draft</x:v>
      </x:c>
    </x:row>
    <x:row r="330" ht="42" customHeight="1">
      <x:c r="A330" s="215" t="str">
        <x:v>Sapindaceae</x:v>
      </x:c>
      <x:c r="B330" s="215" t="str">
        <x:v>SAP-STAMEN</x:v>
      </x:c>
      <x:c r="C330" s="215" t="str">
        <x:v>Broad family tendency</x:v>
      </x:c>
      <x:c r="D330" s="215" t="str">
        <x:v>Androecium</x:v>
      </x:c>
      <x:c r="E330" s="215" t="str">
        <x:v>Stamens often eight, with filaments frequently hairy</x:v>
      </x:c>
      <x:c r="F330" s="215" t="str">
        <x:v>Strong</x:v>
      </x:c>
      <x:c r="G330" s="215" t="str">
        <x:v>4</x:v>
      </x:c>
      <x:c r="H330" s="215" t="str">
        <x:v>Variable</x:v>
      </x:c>
      <x:c r="I330" s="215" t="str">
        <x:v>Hand lens</x:v>
      </x:c>
      <x:c r="J330" s="215" t="str">
        <x:v>Fresh flowering material</x:v>
      </x:c>
      <x:c r="K330" s="215" t="str">
        <x:v>Many flowers have about eight stamens, sometimes with noticeable hairs on their stalks.</x:v>
      </x:c>
      <x:c r="L330" s="215" t="str">
        <x:v>Stamen number and hairiness vary and reduced flowers may contain sterile stamens.</x:v>
      </x:c>
      <x:c r="M330" s="215" t="str">
        <x:v>Use as supporting evidence after flower sex and disc position are understood.</x:v>
      </x:c>
      <x:c r="N330" s="215" t="str">
        <x:v>Confirmed Hays County family with boxelder, soapberry, Mexican buckeye, and balloon-vine routes; local material spans trees, shrubs, and herbaceous or woody climbers, so the modern family concept must remain broad.</x:v>
      </x:c>
      <x:c r="O330" s="215" t="str">
        <x:v>Low</x:v>
      </x:c>
      <x:c r="P330" s="215" t="str">
        <x:v>No</x:v>
      </x:c>
      <x:c r="Q330" s="215" t="str"/>
      <x:c r="R330" s="215" t="str">
        <x:v>SAP-LK02</x:v>
      </x:c>
      <x:c r="S330" s="215" t="str">
        <x:v>APWEB-SAP; POWO-SAP-GI; POWO-SAP; LBJWC-HAYS</x:v>
      </x:c>
      <x:c r="T330" s="215" t="str">
        <x:v>https://www.mobot.org/MOBOT/research/APweb/orders/sapindalesweb.htm</x:v>
      </x:c>
      <x:c r="U330" s="215" t="str">
        <x:v>https://powo.science.kew.org/taxon/urn:lsid:ipni.org:names:30000506-2/general-information</x:v>
      </x:c>
      <x:c r="V330" s="215" t="str">
        <x:v>https://powo.science.kew.org/taxon/urn:lsid:ipni.org:names:30000506-2</x:v>
      </x:c>
      <x:c r="W330" s="215" t="str">
        <x:v>https://www.mobot.org/MOBOT/research/APweb/orders/sapindalesweb.htm
https://powo.science.kew.org/taxon/urn:lsid:ipni.org:names:30000506-2/general-information
https://powo.science.kew.org/taxon/urn:lsid:ipni.org:names:30000506-2
https://www.wildflower.org/collections/collection.php?collection=hays</x:v>
      </x:c>
      <x:c r="X330" s="215" t="str">
        <x:v>No — retain qualifiers and exceptions</x:v>
      </x:c>
      <x:c r="Y330" s="215" t="str">
        <x:v>Yes</x:v>
      </x:c>
      <x:c r="Z330" s="215" t="str">
        <x:v>Source-backed draft</x:v>
      </x:c>
    </x:row>
    <x:row r="331" ht="42" customHeight="1">
      <x:c r="A331" s="215" t="str">
        <x:v>Sapindaceae</x:v>
      </x:c>
      <x:c r="B331" s="215" t="str">
        <x:v>SAP-OVARY</x:v>
      </x:c>
      <x:c r="C331" s="215" t="str">
        <x:v>Broad family tendency</x:v>
      </x:c>
      <x:c r="D331" s="215" t="str">
        <x:v>Gynoecium</x:v>
      </x:c>
      <x:c r="E331" s="215" t="str">
        <x:v>Ovary usually superior and two- or three-carpellate, commonly lobed</x:v>
      </x:c>
      <x:c r="F331" s="215" t="str">
        <x:v>Strong</x:v>
      </x:c>
      <x:c r="G331" s="215" t="str">
        <x:v>4</x:v>
      </x:c>
      <x:c r="H331" s="215" t="str">
        <x:v>Moderate</x:v>
      </x:c>
      <x:c r="I331" s="215" t="str">
        <x:v>Hand lens or dissection</x:v>
      </x:c>
      <x:c r="J331" s="215" t="str">
        <x:v>Flowering to early fruit</x:v>
      </x:c>
      <x:c r="K331" s="215" t="str">
        <x:v>The ovary often shows two or three sections that later become fruit lobes, wings, or capsule chambers.</x:v>
      </x:c>
      <x:c r="L331" s="215" t="str">
        <x:v>Carpel number and the number of developing lobes vary, and sterile pistils occur in staminate flowers.</x:v>
      </x:c>
      <x:c r="M331" s="215" t="str">
        <x:v>Examine a functional pistillate or bisexual flower and connect the ovary to mature fruit.</x:v>
      </x:c>
      <x:c r="N331" s="215" t="str">
        <x:v>Confirmed Hays County family with boxelder, soapberry, Mexican buckeye, and balloon-vine routes; local material spans trees, shrubs, and herbaceous or woody climbers, so the modern family concept must remain broad.</x:v>
      </x:c>
      <x:c r="O331" s="215" t="str">
        <x:v>Low</x:v>
      </x:c>
      <x:c r="P331" s="215" t="str">
        <x:v>No</x:v>
      </x:c>
      <x:c r="Q331" s="215" t="str"/>
      <x:c r="R331" s="215" t="str">
        <x:v>SAP-LK01; SAP-LK02</x:v>
      </x:c>
      <x:c r="S331" s="215" t="str">
        <x:v>APWEB-SAP; POWO-SAP-GI; POWO-SAP; LBJWC-HAYS</x:v>
      </x:c>
      <x:c r="T331" s="215" t="str">
        <x:v>https://www.mobot.org/MOBOT/research/APweb/orders/sapindalesweb.htm</x:v>
      </x:c>
      <x:c r="U331" s="215" t="str">
        <x:v>https://powo.science.kew.org/taxon/urn:lsid:ipni.org:names:30000506-2/general-information</x:v>
      </x:c>
      <x:c r="V331" s="215" t="str">
        <x:v>https://powo.science.kew.org/taxon/urn:lsid:ipni.org:names:30000506-2</x:v>
      </x:c>
      <x:c r="W331" s="215" t="str">
        <x:v>https://www.mobot.org/MOBOT/research/APweb/orders/sapindalesweb.htm
https://powo.science.kew.org/taxon/urn:lsid:ipni.org:names:30000506-2/general-information
https://powo.science.kew.org/taxon/urn:lsid:ipni.org:names:30000506-2
https://www.wildflower.org/collections/collection.php?collection=hays</x:v>
      </x:c>
      <x:c r="X331" s="215" t="str">
        <x:v>No — retain qualifiers and exceptions</x:v>
      </x:c>
      <x:c r="Y331" s="215" t="str">
        <x:v>Yes</x:v>
      </x:c>
      <x:c r="Z331" s="215" t="str">
        <x:v>Source-backed draft</x:v>
      </x:c>
    </x:row>
    <x:row r="332" ht="42" customHeight="1">
      <x:c r="A332" s="215" t="str">
        <x:v>Sapindaceae</x:v>
      </x:c>
      <x:c r="B332" s="215" t="str">
        <x:v>SAP-FRUIT</x:v>
      </x:c>
      <x:c r="C332" s="215" t="str">
        <x:v>Family-wide variation</x:v>
      </x:c>
      <x:c r="D332" s="215" t="str">
        <x:v>Fruit</x:v>
      </x:c>
      <x:c r="E332" s="215" t="str">
        <x:v>Fruit diverse: samara, capsule, schizocarp, berry-like or drupaceous forms</x:v>
      </x:c>
      <x:c r="F332" s="215" t="str">
        <x:v>Strong</x:v>
      </x:c>
      <x:c r="G332" s="215" t="str">
        <x:v>4</x:v>
      </x:c>
      <x:c r="H332" s="215" t="str">
        <x:v>Variable</x:v>
      </x:c>
      <x:c r="I332" s="215" t="str">
        <x:v>Naked eye</x:v>
      </x:c>
      <x:c r="J332" s="215" t="str">
        <x:v>Mature fruit</x:v>
      </x:c>
      <x:c r="K332" s="215" t="str">
        <x:v>The family can make maple keys, inflated balloon-vine capsules, buckeye capsules, or soapberry-like fruits.</x:v>
      </x:c>
      <x:c r="L332" s="215" t="str">
        <x:v>No single fruit type identifies the family; aborted carpels can make fruits appear one-lobed.</x:v>
      </x:c>
      <x:c r="M332" s="215" t="str">
        <x:v>Use fruit route with leaf and flower characters, and never interpret every elongated or inflated fruit as a legume.</x:v>
      </x:c>
      <x:c r="N332" s="215" t="str">
        <x:v>Confirmed Hays County family with boxelder, soapberry, Mexican buckeye, and balloon-vine routes; local material spans trees, shrubs, and herbaceous or woody climbers, so the modern family concept must remain broad.</x:v>
      </x:c>
      <x:c r="O332" s="215" t="str">
        <x:v>Low</x:v>
      </x:c>
      <x:c r="P332" s="215" t="str">
        <x:v>No</x:v>
      </x:c>
      <x:c r="Q332" s="215" t="str"/>
      <x:c r="R332" s="215" t="str">
        <x:v>SAP-LK01; SAP-LK02</x:v>
      </x:c>
      <x:c r="S332" s="215" t="str">
        <x:v>APWEB-SAP; POWO-SAP-GI; POWO-SAP; LBJWC-HAYS</x:v>
      </x:c>
      <x:c r="T332" s="215" t="str">
        <x:v>https://www.mobot.org/MOBOT/research/APweb/orders/sapindalesweb.htm</x:v>
      </x:c>
      <x:c r="U332" s="215" t="str">
        <x:v>https://powo.science.kew.org/taxon/urn:lsid:ipni.org:names:30000506-2/general-information</x:v>
      </x:c>
      <x:c r="V332" s="215" t="str">
        <x:v>https://powo.science.kew.org/taxon/urn:lsid:ipni.org:names:30000506-2</x:v>
      </x:c>
      <x:c r="W332" s="215" t="str">
        <x:v>https://www.mobot.org/MOBOT/research/APweb/orders/sapindalesweb.htm
https://powo.science.kew.org/taxon/urn:lsid:ipni.org:names:30000506-2/general-information
https://powo.science.kew.org/taxon/urn:lsid:ipni.org:names:30000506-2
https://www.wildflower.org/collections/collection.php?collection=hays</x:v>
      </x:c>
      <x:c r="X332" s="215" t="str">
        <x:v>No — retain qualifiers and exceptions</x:v>
      </x:c>
      <x:c r="Y332" s="215" t="str">
        <x:v>Yes</x:v>
      </x:c>
      <x:c r="Z332" s="215" t="str">
        <x:v>Source-backed draft</x:v>
      </x:c>
    </x:row>
    <x:row r="333" ht="42" customHeight="1">
      <x:c r="A333" s="215" t="str">
        <x:v>Sapindaceae</x:v>
      </x:c>
      <x:c r="B333" s="215" t="str">
        <x:v>SAP-LK01</x:v>
      </x:c>
      <x:c r="C333" s="215" t="str">
        <x:v>Hays County field comparison</x:v>
      </x:c>
      <x:c r="D333" s="215" t="str">
        <x:v>Lookalike comparison</x:v>
      </x:c>
      <x:c r="E333" s="215" t="str">
        <x:v>Sapindaceae versus Fabaceae with pinnate leaves</x:v>
      </x:c>
      <x:c r="F333" s="215" t="str">
        <x:v>Strong</x:v>
      </x:c>
      <x:c r="G333" s="215" t="str">
        <x:v>5</x:v>
      </x:c>
      <x:c r="H333" s="215" t="str">
        <x:v>High with fruit</x:v>
      </x:c>
      <x:c r="I333" s="215" t="str">
        <x:v>Naked eye to hand lens</x:v>
      </x:c>
      <x:c r="J333" s="215" t="str">
        <x:v>Flowering or fruiting</x:v>
      </x:c>
      <x:c r="K333" s="215" t="str">
        <x:v>Sapindaceae often lack stipules and produce samaras, capsules, schizocarps, or drupaceous fruits; Fabaceae commonly show stipules or pulvini and a one-carpel pod.</x:v>
      </x:c>
      <x:c r="L333" s="215" t="str">
        <x:v>Vegetative material overlaps and stipules are present in some sapindaceous vines.</x:v>
      </x:c>
      <x:c r="M333" s="215" t="str">
        <x:v>Find the whole leaf, then prioritize ovary carpel number and mature fruit.</x:v>
      </x:c>
      <x:c r="N333" s="215" t="str">
        <x:v>Confirmed Hays County family with boxelder, soapberry, Mexican buckeye, and balloon-vine routes; local material spans trees, shrubs, and herbaceous or woody climbers, so the modern family concept must remain broad.</x:v>
      </x:c>
      <x:c r="O333" s="215" t="str">
        <x:v>Low</x:v>
      </x:c>
      <x:c r="P333" s="215" t="str">
        <x:v>No</x:v>
      </x:c>
      <x:c r="Q333" s="215" t="str"/>
      <x:c r="R333" s="215" t="str"/>
      <x:c r="S333" s="215" t="str">
        <x:v>APWEB-SAP; POWO-SAP-GI; POWO-SAP; APWEB-FAB; FNA-FAB; POWO-FAB; LBJWC-HAYS</x:v>
      </x:c>
      <x:c r="T333" s="215" t="str">
        <x:v>https://www.mobot.org/MOBOT/research/APweb/orders/sapindalesweb.htm</x:v>
      </x:c>
      <x:c r="U333" s="215" t="str">
        <x:v>https://powo.science.kew.org/taxon/urn:lsid:ipni.org:names:30000506-2/general-information</x:v>
      </x:c>
      <x:c r="V333" s="215" t="str">
        <x:v>https://powo.science.kew.org/taxon/urn:lsid:ipni.org:names:30000506-2</x:v>
      </x:c>
      <x:c r="W333" s="215" t="str">
        <x:v>https://www.mobot.org/MOBOT/research/APweb/orders/sapindalesweb.htm
https://powo.science.kew.org/taxon/urn:lsid:ipni.org:names:30000506-2/general-information
https://powo.science.kew.org/taxon/urn:lsid:ipni.org:names:30000506-2
https://www.wildflower.org/collections/collection.php?collection=hays
https://floranorthamerica.org/Fabaceae
https://powo.science.kew.org/taxon/urn:lsid:ipni.org:names:30000147-2</x:v>
      </x:c>
      <x:c r="X333" s="215" t="str">
        <x:v>No — retain qualifiers and exceptions</x:v>
      </x:c>
      <x:c r="Y333" s="215" t="str">
        <x:v>Yes</x:v>
      </x:c>
      <x:c r="Z333" s="215" t="str">
        <x:v>Source-backed comparison draft</x:v>
      </x:c>
    </x:row>
    <x:row r="334" ht="42" customHeight="1">
      <x:c r="A334" s="215" t="str">
        <x:v>Sapindaceae</x:v>
      </x:c>
      <x:c r="B334" s="215" t="str">
        <x:v>SAP-LK02</x:v>
      </x:c>
      <x:c r="C334" s="215" t="str">
        <x:v>Hays County field comparison</x:v>
      </x:c>
      <x:c r="D334" s="215" t="str">
        <x:v>Lookalike comparison</x:v>
      </x:c>
      <x:c r="E334" s="215" t="str">
        <x:v>Sapindaceae versus Anacardiaceae</x:v>
      </x:c>
      <x:c r="F334" s="215" t="str">
        <x:v>Strong</x:v>
      </x:c>
      <x:c r="G334" s="215" t="str">
        <x:v>4</x:v>
      </x:c>
      <x:c r="H334" s="215" t="str">
        <x:v>Moderate</x:v>
      </x:c>
      <x:c r="I334" s="215" t="str">
        <x:v>Naked eye to hand lens</x:v>
      </x:c>
      <x:c r="J334" s="215" t="str">
        <x:v>Flowering and fruiting preferred</x:v>
      </x:c>
      <x:c r="K334" s="215" t="str">
        <x:v>Sapindaceae usually lacks resinous or dark-drying sap and often has an extrastaminal disc, hairy filaments, and multi-lobed or capsular fruit; Anacardiaceae often has resin canals, irritant sap, an eccentric style, and drupaceous fruit.</x:v>
      </x:c>
      <x:c r="L334" s="215" t="str">
        <x:v>Sap may be weak, and both families have small flowers, discs, compound leaves, and diverse fruits.</x:v>
      </x:c>
      <x:c r="M334" s="215" t="str">
        <x:v>Use sap cautiously and prioritize style position plus mature fruit anatomy.</x:v>
      </x:c>
      <x:c r="N334" s="215" t="str">
        <x:v>Confirmed Hays County family with boxelder, soapberry, Mexican buckeye, and balloon-vine routes; local material spans trees, shrubs, and herbaceous or woody climbers, so the modern family concept must remain broad.</x:v>
      </x:c>
      <x:c r="O334" s="215" t="str">
        <x:v>Moderate</x:v>
      </x:c>
      <x:c r="P334" s="215" t="str">
        <x:v>Yes</x:v>
      </x:c>
      <x:c r="Q334" s="215" t="str">
        <x:v>Anacardiaceae has not yet received its full Hays treatment.</x:v>
      </x:c>
      <x:c r="R334" s="215" t="str"/>
      <x:c r="S334" s="215" t="str">
        <x:v>APWEB-SAP; POWO-SAP-GI; POWO-SAP; POWO-ANAC-GI; POWO-ANAC; LBJWC-HAYS</x:v>
      </x:c>
      <x:c r="T334" s="215" t="str">
        <x:v>https://www.mobot.org/MOBOT/research/APweb/orders/sapindalesweb.htm</x:v>
      </x:c>
      <x:c r="U334" s="215" t="str">
        <x:v>https://powo.science.kew.org/taxon/urn:lsid:ipni.org:names:30000506-2/general-information</x:v>
      </x:c>
      <x:c r="V334" s="215" t="str">
        <x:v>https://powo.science.kew.org/taxon/urn:lsid:ipni.org:names:30000506-2</x:v>
      </x:c>
      <x:c r="W334" s="215" t="str">
        <x:v>https://www.mobot.org/MOBOT/research/APweb/orders/sapindalesweb.htm
https://powo.science.kew.org/taxon/urn:lsid:ipni.org:names:30000506-2/general-information
https://powo.science.kew.org/taxon/urn:lsid:ipni.org:names:30000506-2
https://www.wildflower.org/collections/collection.php?collection=hays
https://powo.science.kew.org/taxon/urn:lsid:ipni.org:names:30002342-2/general-information
https://powo.science.kew.org/taxon/urn:lsid:ipni.org:names:30002342-2</x:v>
      </x:c>
      <x:c r="X334" s="215" t="str">
        <x:v>No — retain qualifiers and exceptions</x:v>
      </x:c>
      <x:c r="Y334" s="215" t="str">
        <x:v>Yes</x:v>
      </x:c>
      <x:c r="Z334" s="215" t="str">
        <x:v>Source-backed comparison draft</x:v>
      </x:c>
    </x:row>
    <x:row r="335" ht="42" customHeight="1">
      <x:c r="A335" s="215" t="str">
        <x:v>Caprifoliaceae</x:v>
      </x:c>
      <x:c r="B335" s="215" t="str">
        <x:v>CAP-HABIT</x:v>
      </x:c>
      <x:c r="C335" s="215" t="str">
        <x:v>Family-wide variation</x:v>
      </x:c>
      <x:c r="D335" s="215" t="str">
        <x:v>Habit</x:v>
      </x:c>
      <x:c r="E335" s="215" t="str">
        <x:v>Herbs, shrubs, or vines; rarely small trees</x:v>
      </x:c>
      <x:c r="F335" s="215" t="str">
        <x:v>Supporting</x:v>
      </x:c>
      <x:c r="G335" s="215" t="str">
        <x:v>2</x:v>
      </x:c>
      <x:c r="H335" s="215" t="str">
        <x:v>High</x:v>
      </x:c>
      <x:c r="I335" s="215" t="str">
        <x:v>Naked eye</x:v>
      </x:c>
      <x:c r="J335" s="215" t="str">
        <x:v>Any</x:v>
      </x:c>
      <x:c r="K335" s="215" t="str">
        <x:v>The modern honeysuckle family includes woody honeysuckles and coralberries as well as small annual valerian relatives.</x:v>
      </x:c>
      <x:c r="L335" s="215" t="str">
        <x:v>Habit differs greatly among subfamilies and is not diagnostic.</x:v>
      </x:c>
      <x:c r="M335" s="215" t="str">
        <x:v>Use habit only to select the woody versus valerian-type route.</x:v>
      </x:c>
      <x:c r="N335" s="215" t="str">
        <x:v>Confirmed Hays County family with honeysuckle, coralberry, and corn-salad/Valerianella routes in rocky woodland edges, thickets, prairies, lawns, and disturbed ground; woody and herbaceous paths must both remain available.</x:v>
      </x:c>
      <x:c r="O335" s="215" t="str">
        <x:v>Low</x:v>
      </x:c>
      <x:c r="P335" s="215" t="str">
        <x:v>No</x:v>
      </x:c>
      <x:c r="Q335" s="215" t="str"/>
      <x:c r="R335" s="215" t="str">
        <x:v>CAP-LK01; CAP-LK02</x:v>
      </x:c>
      <x:c r="S335" s="215" t="str">
        <x:v>APWEB-CAP; POWO-CAP-GI; POWO-CAP; LBJWC-HAYS</x:v>
      </x:c>
      <x:c r="T335" s="215" t="str">
        <x:v>https://www.mobot.org/MOBOT/research/APweb/orders/dipsacalesweb.htm</x:v>
      </x:c>
      <x:c r="U335" s="215" t="str">
        <x:v>https://powo.science.kew.org/taxon/urn:lsid:ipni.org:names:30000739-2/general-information</x:v>
      </x:c>
      <x:c r="V335" s="215" t="str">
        <x:v>https://powo.science.kew.org/taxon/urn:lsid:ipni.org:names:30000739-2</x:v>
      </x:c>
      <x:c r="W335" s="215" t="str">
        <x:v>https://www.mobot.org/MOBOT/research/APweb/orders/dipsacalesweb.htm
https://powo.science.kew.org/taxon/urn:lsid:ipni.org:names:30000739-2/general-information
https://powo.science.kew.org/taxon/urn:lsid:ipni.org:names:30000739-2
https://www.wildflower.org/collections/collection.php?collection=hays</x:v>
      </x:c>
      <x:c r="X335" s="215" t="str">
        <x:v>No — retain qualifiers and exceptions</x:v>
      </x:c>
      <x:c r="Y335" s="215" t="str">
        <x:v>Yes</x:v>
      </x:c>
      <x:c r="Z335" s="215" t="str">
        <x:v>Source-backed draft</x:v>
      </x:c>
    </x:row>
    <x:row r="336" ht="42" customHeight="1">
      <x:c r="A336" s="215" t="str">
        <x:v>Caprifoliaceae</x:v>
      </x:c>
      <x:c r="B336" s="215" t="str">
        <x:v>CAP-LEAF</x:v>
      </x:c>
      <x:c r="C336" s="215" t="str">
        <x:v>Broad family tendency</x:v>
      </x:c>
      <x:c r="D336" s="215" t="str">
        <x:v>Leaf</x:v>
      </x:c>
      <x:c r="E336" s="215" t="str">
        <x:v>Leaves usually opposite, simple or compound, with stipules absent or very small</x:v>
      </x:c>
      <x:c r="F336" s="215" t="str">
        <x:v>Strong</x:v>
      </x:c>
      <x:c r="G336" s="215" t="str">
        <x:v>4</x:v>
      </x:c>
      <x:c r="H336" s="215" t="str">
        <x:v>Variable</x:v>
      </x:c>
      <x:c r="I336" s="215" t="str">
        <x:v>Naked eye</x:v>
      </x:c>
      <x:c r="J336" s="215" t="str">
        <x:v>Vegetative</x:v>
      </x:c>
      <x:c r="K336" s="215" t="str">
        <x:v>Most local routes show leaf pairs across the stem and no obvious stipules.</x:v>
      </x:c>
      <x:c r="L336" s="215" t="str">
        <x:v>Alternate leaves occur rarely and some members have compound leaves or fused upper leaf bases.</x:v>
      </x:c>
      <x:c r="M336" s="215" t="str">
        <x:v>Search for stipules and then confirm with the flower and inferior ovary.</x:v>
      </x:c>
      <x:c r="N336" s="215" t="str">
        <x:v>Confirmed Hays County family with honeysuckle, coralberry, and corn-salad/Valerianella routes in rocky woodland edges, thickets, prairies, lawns, and disturbed ground; woody and herbaceous paths must both remain available.</x:v>
      </x:c>
      <x:c r="O336" s="215" t="str">
        <x:v>Low</x:v>
      </x:c>
      <x:c r="P336" s="215" t="str">
        <x:v>No</x:v>
      </x:c>
      <x:c r="Q336" s="215" t="str"/>
      <x:c r="R336" s="215" t="str">
        <x:v>CAP-LK01; CAP-LK02</x:v>
      </x:c>
      <x:c r="S336" s="215" t="str">
        <x:v>APWEB-CAP; POWO-CAP-GI; POWO-CAP; LBJWC-HAYS</x:v>
      </x:c>
      <x:c r="T336" s="215" t="str">
        <x:v>https://www.mobot.org/MOBOT/research/APweb/orders/dipsacalesweb.htm</x:v>
      </x:c>
      <x:c r="U336" s="215" t="str">
        <x:v>https://powo.science.kew.org/taxon/urn:lsid:ipni.org:names:30000739-2/general-information</x:v>
      </x:c>
      <x:c r="V336" s="215" t="str">
        <x:v>https://powo.science.kew.org/taxon/urn:lsid:ipni.org:names:30000739-2</x:v>
      </x:c>
      <x:c r="W336" s="215" t="str">
        <x:v>https://www.mobot.org/MOBOT/research/APweb/orders/dipsacalesweb.htm
https://powo.science.kew.org/taxon/urn:lsid:ipni.org:names:30000739-2/general-information
https://powo.science.kew.org/taxon/urn:lsid:ipni.org:names:30000739-2
https://www.wildflower.org/collections/collection.php?collection=hays</x:v>
      </x:c>
      <x:c r="X336" s="215" t="str">
        <x:v>No — retain qualifiers and exceptions</x:v>
      </x:c>
      <x:c r="Y336" s="215" t="str">
        <x:v>Yes</x:v>
      </x:c>
      <x:c r="Z336" s="215" t="str">
        <x:v>Source-backed draft</x:v>
      </x:c>
    </x:row>
    <x:row r="337" ht="42" customHeight="1">
      <x:c r="A337" s="215" t="str">
        <x:v>Caprifoliaceae</x:v>
      </x:c>
      <x:c r="B337" s="215" t="str">
        <x:v>CAP-INFLO</x:v>
      </x:c>
      <x:c r="C337" s="215" t="str">
        <x:v>Broad family tendency</x:v>
      </x:c>
      <x:c r="D337" s="215" t="str">
        <x:v>Inflorescence</x:v>
      </x:c>
      <x:c r="E337" s="215" t="str">
        <x:v>Inflorescences commonly cymose, paired, whorled, or condensed into heads</x:v>
      </x:c>
      <x:c r="F337" s="215" t="str">
        <x:v>Strong</x:v>
      </x:c>
      <x:c r="G337" s="215" t="str">
        <x:v>4</x:v>
      </x:c>
      <x:c r="H337" s="215" t="str">
        <x:v>Variable</x:v>
      </x:c>
      <x:c r="I337" s="215" t="str">
        <x:v>Naked eye</x:v>
      </x:c>
      <x:c r="J337" s="215" t="str">
        <x:v>Flowering</x:v>
      </x:c>
      <x:c r="K337" s="215" t="str">
        <x:v>Flowers often occur in branching side clusters, pairs, or tight heads rather than a simple raceme.</x:v>
      </x:c>
      <x:c r="L337" s="215" t="str">
        <x:v>Architecture is highly diverse and some flowers are solitary.</x:v>
      </x:c>
      <x:c r="M337" s="215" t="str">
        <x:v>Trace branch endings and bracts, then use corolla symmetry and fruit.</x:v>
      </x:c>
      <x:c r="N337" s="215" t="str">
        <x:v>Confirmed Hays County family with honeysuckle, coralberry, and corn-salad/Valerianella routes in rocky woodland edges, thickets, prairies, lawns, and disturbed ground; woody and herbaceous paths must both remain available.</x:v>
      </x:c>
      <x:c r="O337" s="215" t="str">
        <x:v>Low</x:v>
      </x:c>
      <x:c r="P337" s="215" t="str">
        <x:v>No</x:v>
      </x:c>
      <x:c r="Q337" s="215" t="str"/>
      <x:c r="R337" s="215" t="str">
        <x:v>CAP-LK01; CAP-LK02</x:v>
      </x:c>
      <x:c r="S337" s="215" t="str">
        <x:v>APWEB-CAP; POWO-CAP-GI; POWO-CAP; LBJWC-HAYS</x:v>
      </x:c>
      <x:c r="T337" s="215" t="str">
        <x:v>https://www.mobot.org/MOBOT/research/APweb/orders/dipsacalesweb.htm</x:v>
      </x:c>
      <x:c r="U337" s="215" t="str">
        <x:v>https://powo.science.kew.org/taxon/urn:lsid:ipni.org:names:30000739-2/general-information</x:v>
      </x:c>
      <x:c r="V337" s="215" t="str">
        <x:v>https://powo.science.kew.org/taxon/urn:lsid:ipni.org:names:30000739-2</x:v>
      </x:c>
      <x:c r="W337" s="215" t="str">
        <x:v>https://www.mobot.org/MOBOT/research/APweb/orders/dipsacalesweb.htm
https://powo.science.kew.org/taxon/urn:lsid:ipni.org:names:30000739-2/general-information
https://powo.science.kew.org/taxon/urn:lsid:ipni.org:names:30000739-2
https://www.wildflower.org/collections/collection.php?collection=hays</x:v>
      </x:c>
      <x:c r="X337" s="215" t="str">
        <x:v>No — retain qualifiers and exceptions</x:v>
      </x:c>
      <x:c r="Y337" s="215" t="str">
        <x:v>Yes</x:v>
      </x:c>
      <x:c r="Z337" s="215" t="str">
        <x:v>Source-backed draft</x:v>
      </x:c>
    </x:row>
    <x:row r="338" ht="42" customHeight="1">
      <x:c r="A338" s="215" t="str">
        <x:v>Caprifoliaceae</x:v>
      </x:c>
      <x:c r="B338" s="215" t="str">
        <x:v>CAP-COROLLA</x:v>
      </x:c>
      <x:c r="C338" s="215" t="str">
        <x:v>Broad family tendency</x:v>
      </x:c>
      <x:c r="D338" s="215" t="str">
        <x:v>Corolla</x:v>
      </x:c>
      <x:c r="E338" s="215" t="str">
        <x:v>Corolla sympetalous, usually four- or five-lobed and often zygomorphic or two-lipped</x:v>
      </x:c>
      <x:c r="F338" s="215" t="str">
        <x:v>Strong</x:v>
      </x:c>
      <x:c r="G338" s="215" t="str">
        <x:v>4</x:v>
      </x:c>
      <x:c r="H338" s="215" t="str">
        <x:v>Variable</x:v>
      </x:c>
      <x:c r="I338" s="215" t="str">
        <x:v>Naked eye</x:v>
      </x:c>
      <x:c r="J338" s="215" t="str">
        <x:v>Flowering</x:v>
      </x:c>
      <x:c r="K338" s="215" t="str">
        <x:v>Joined petals form a tube, funnel, bell, or two-lipped flower.</x:v>
      </x:c>
      <x:c r="L338" s="215" t="str">
        <x:v>Some flowers are nearly radial, especially in certain valerian relatives.</x:v>
      </x:c>
      <x:c r="M338" s="215" t="str">
        <x:v>Use corolla symmetry with opposite leaves and inferior ovary.</x:v>
      </x:c>
      <x:c r="N338" s="215" t="str">
        <x:v>Confirmed Hays County family with honeysuckle, coralberry, and corn-salad/Valerianella routes in rocky woodland edges, thickets, prairies, lawns, and disturbed ground; woody and herbaceous paths must both remain available.</x:v>
      </x:c>
      <x:c r="O338" s="215" t="str">
        <x:v>Low</x:v>
      </x:c>
      <x:c r="P338" s="215" t="str">
        <x:v>No</x:v>
      </x:c>
      <x:c r="Q338" s="215" t="str"/>
      <x:c r="R338" s="215" t="str">
        <x:v>CAP-LK01; CAP-LK02</x:v>
      </x:c>
      <x:c r="S338" s="215" t="str">
        <x:v>APWEB-CAP; POWO-CAP-GI; POWO-CAP; LBJWC-HAYS</x:v>
      </x:c>
      <x:c r="T338" s="215" t="str">
        <x:v>https://www.mobot.org/MOBOT/research/APweb/orders/dipsacalesweb.htm</x:v>
      </x:c>
      <x:c r="U338" s="215" t="str">
        <x:v>https://powo.science.kew.org/taxon/urn:lsid:ipni.org:names:30000739-2/general-information</x:v>
      </x:c>
      <x:c r="V338" s="215" t="str">
        <x:v>https://powo.science.kew.org/taxon/urn:lsid:ipni.org:names:30000739-2</x:v>
      </x:c>
      <x:c r="W338" s="215" t="str">
        <x:v>https://www.mobot.org/MOBOT/research/APweb/orders/dipsacalesweb.htm
https://powo.science.kew.org/taxon/urn:lsid:ipni.org:names:30000739-2/general-information
https://powo.science.kew.org/taxon/urn:lsid:ipni.org:names:30000739-2
https://www.wildflower.org/collections/collection.php?collection=hays</x:v>
      </x:c>
      <x:c r="X338" s="215" t="str">
        <x:v>No — retain qualifiers and exceptions</x:v>
      </x:c>
      <x:c r="Y338" s="215" t="str">
        <x:v>Yes</x:v>
      </x:c>
      <x:c r="Z338" s="215" t="str">
        <x:v>Source-backed draft</x:v>
      </x:c>
    </x:row>
    <x:row r="339" ht="42" customHeight="1">
      <x:c r="A339" s="215" t="str">
        <x:v>Caprifoliaceae</x:v>
      </x:c>
      <x:c r="B339" s="215" t="str">
        <x:v>CAP-STAMEN</x:v>
      </x:c>
      <x:c r="C339" s="215" t="str">
        <x:v>Broad family tendency</x:v>
      </x:c>
      <x:c r="D339" s="215" t="str">
        <x:v>Androecium</x:v>
      </x:c>
      <x:c r="E339" s="215" t="str">
        <x:v>Usually four or five stamens attached to the corolla tube and alternating with its lobes</x:v>
      </x:c>
      <x:c r="F339" s="215" t="str">
        <x:v>Strong</x:v>
      </x:c>
      <x:c r="G339" s="215" t="str">
        <x:v>4</x:v>
      </x:c>
      <x:c r="H339" s="215" t="str">
        <x:v>Moderate</x:v>
      </x:c>
      <x:c r="I339" s="215" t="str">
        <x:v>Naked eye to hand lens</x:v>
      </x:c>
      <x:c r="J339" s="215" t="str">
        <x:v>Fresh flowering material</x:v>
      </x:c>
      <x:c r="K339" s="215" t="str">
        <x:v>The stamens arise from inside the corolla tube and may project beyond it.</x:v>
      </x:c>
      <x:c r="L339" s="215" t="str">
        <x:v>Stamen number and exsertion vary, and some flowers have reduced stamens.</x:v>
      </x:c>
      <x:c r="M339" s="215" t="str">
        <x:v>Use as confirmation rather than a first character.</x:v>
      </x:c>
      <x:c r="N339" s="215" t="str">
        <x:v>Confirmed Hays County family with honeysuckle, coralberry, and corn-salad/Valerianella routes in rocky woodland edges, thickets, prairies, lawns, and disturbed ground; woody and herbaceous paths must both remain available.</x:v>
      </x:c>
      <x:c r="O339" s="215" t="str">
        <x:v>Low</x:v>
      </x:c>
      <x:c r="P339" s="215" t="str">
        <x:v>No</x:v>
      </x:c>
      <x:c r="Q339" s="215" t="str"/>
      <x:c r="R339" s="215" t="str">
        <x:v>CAP-LK02</x:v>
      </x:c>
      <x:c r="S339" s="215" t="str">
        <x:v>APWEB-CAP; POWO-CAP-GI; POWO-CAP; LBJWC-HAYS</x:v>
      </x:c>
      <x:c r="T339" s="215" t="str">
        <x:v>https://www.mobot.org/MOBOT/research/APweb/orders/dipsacalesweb.htm</x:v>
      </x:c>
      <x:c r="U339" s="215" t="str">
        <x:v>https://powo.science.kew.org/taxon/urn:lsid:ipni.org:names:30000739-2/general-information</x:v>
      </x:c>
      <x:c r="V339" s="215" t="str">
        <x:v>https://powo.science.kew.org/taxon/urn:lsid:ipni.org:names:30000739-2</x:v>
      </x:c>
      <x:c r="W339" s="215" t="str">
        <x:v>https://www.mobot.org/MOBOT/research/APweb/orders/dipsacalesweb.htm
https://powo.science.kew.org/taxon/urn:lsid:ipni.org:names:30000739-2/general-information
https://powo.science.kew.org/taxon/urn:lsid:ipni.org:names:30000739-2
https://www.wildflower.org/collections/collection.php?collection=hays</x:v>
      </x:c>
      <x:c r="X339" s="215" t="str">
        <x:v>No — retain qualifiers and exceptions</x:v>
      </x:c>
      <x:c r="Y339" s="215" t="str">
        <x:v>Yes</x:v>
      </x:c>
      <x:c r="Z339" s="215" t="str">
        <x:v>Source-backed draft</x:v>
      </x:c>
    </x:row>
    <x:row r="340" ht="42" customHeight="1">
      <x:c r="A340" s="215" t="str">
        <x:v>Caprifoliaceae</x:v>
      </x:c>
      <x:c r="B340" s="215" t="str">
        <x:v>CAP-OVARY</x:v>
      </x:c>
      <x:c r="C340" s="215" t="str">
        <x:v>Family-wide structural theme</x:v>
      </x:c>
      <x:c r="D340" s="215" t="str">
        <x:v>Gynoecium</x:v>
      </x:c>
      <x:c r="E340" s="215" t="str">
        <x:v>Ovary inferior, usually formed from two or more fused carpels</x:v>
      </x:c>
      <x:c r="F340" s="215" t="str">
        <x:v>Core</x:v>
      </x:c>
      <x:c r="G340" s="215" t="str">
        <x:v>5</x:v>
      </x:c>
      <x:c r="H340" s="215" t="str">
        <x:v>High with magnification</x:v>
      </x:c>
      <x:c r="I340" s="215" t="str">
        <x:v>Hand lens or dissection</x:v>
      </x:c>
      <x:c r="J340" s="215" t="str">
        <x:v>Flowering to early fruit</x:v>
      </x:c>
      <x:c r="K340" s="215" t="str">
        <x:v>The calyx and corolla appear to arise above the ovary.</x:v>
      </x:c>
      <x:c r="L340" s="215" t="str">
        <x:v>Some locules or carpels may abort, making mature fruit look simpler than the flower.</x:v>
      </x:c>
      <x:c r="M340" s="215" t="str">
        <x:v>Inferior ovary plus a fused, often asymmetric corolla strongly supports Caprifoliaceae.</x:v>
      </x:c>
      <x:c r="N340" s="215" t="str">
        <x:v>Confirmed Hays County family with honeysuckle, coralberry, and corn-salad/Valerianella routes in rocky woodland edges, thickets, prairies, lawns, and disturbed ground; woody and herbaceous paths must both remain available.</x:v>
      </x:c>
      <x:c r="O340" s="215" t="str">
        <x:v>Low</x:v>
      </x:c>
      <x:c r="P340" s="215" t="str">
        <x:v>No</x:v>
      </x:c>
      <x:c r="Q340" s="215" t="str"/>
      <x:c r="R340" s="215" t="str">
        <x:v>CAP-LK01; CAP-LK02</x:v>
      </x:c>
      <x:c r="S340" s="215" t="str">
        <x:v>APWEB-CAP; POWO-CAP-GI; POWO-CAP; LBJWC-HAYS</x:v>
      </x:c>
      <x:c r="T340" s="215" t="str">
        <x:v>https://www.mobot.org/MOBOT/research/APweb/orders/dipsacalesweb.htm</x:v>
      </x:c>
      <x:c r="U340" s="215" t="str">
        <x:v>https://powo.science.kew.org/taxon/urn:lsid:ipni.org:names:30000739-2/general-information</x:v>
      </x:c>
      <x:c r="V340" s="215" t="str">
        <x:v>https://powo.science.kew.org/taxon/urn:lsid:ipni.org:names:30000739-2</x:v>
      </x:c>
      <x:c r="W340" s="215" t="str">
        <x:v>https://www.mobot.org/MOBOT/research/APweb/orders/dipsacalesweb.htm
https://powo.science.kew.org/taxon/urn:lsid:ipni.org:names:30000739-2/general-information
https://powo.science.kew.org/taxon/urn:lsid:ipni.org:names:30000739-2
https://www.wildflower.org/collections/collection.php?collection=hays</x:v>
      </x:c>
      <x:c r="X340" s="215" t="str">
        <x:v>No — retain qualifiers and exceptions</x:v>
      </x:c>
      <x:c r="Y340" s="215" t="str">
        <x:v>Yes</x:v>
      </x:c>
      <x:c r="Z340" s="215" t="str">
        <x:v>Source-backed draft</x:v>
      </x:c>
    </x:row>
    <x:row r="341" ht="42" customHeight="1">
      <x:c r="A341" s="215" t="str">
        <x:v>Caprifoliaceae</x:v>
      </x:c>
      <x:c r="B341" s="215" t="str">
        <x:v>CAP-STYLE</x:v>
      </x:c>
      <x:c r="C341" s="215" t="str">
        <x:v>Broad family tendency</x:v>
      </x:c>
      <x:c r="D341" s="215" t="str">
        <x:v>Style and stigma</x:v>
      </x:c>
      <x:c r="E341" s="215" t="str">
        <x:v>Style often elongate with a capitate stigma</x:v>
      </x:c>
      <x:c r="F341" s="215" t="str">
        <x:v>Strong</x:v>
      </x:c>
      <x:c r="G341" s="215" t="str">
        <x:v>4</x:v>
      </x:c>
      <x:c r="H341" s="215" t="str">
        <x:v>Moderate</x:v>
      </x:c>
      <x:c r="I341" s="215" t="str">
        <x:v>Naked eye to hand lens</x:v>
      </x:c>
      <x:c r="J341" s="215" t="str">
        <x:v>Fresh flowering material</x:v>
      </x:c>
      <x:c r="K341" s="215" t="str">
        <x:v>A slender style commonly ends in a small rounded stigma and may extend beyond the corolla.</x:v>
      </x:c>
      <x:c r="L341" s="215" t="str">
        <x:v>Style length varies and the structure can be hidden in short-tubed flowers.</x:v>
      </x:c>
      <x:c r="M341" s="215" t="str">
        <x:v>Useful against Viburnaceae when combined with zygomorphic flowers.</x:v>
      </x:c>
      <x:c r="N341" s="215" t="str">
        <x:v>Confirmed Hays County family with honeysuckle, coralberry, and corn-salad/Valerianella routes in rocky woodland edges, thickets, prairies, lawns, and disturbed ground; woody and herbaceous paths must both remain available.</x:v>
      </x:c>
      <x:c r="O341" s="215" t="str">
        <x:v>Low</x:v>
      </x:c>
      <x:c r="P341" s="215" t="str">
        <x:v>No</x:v>
      </x:c>
      <x:c r="Q341" s="215" t="str"/>
      <x:c r="R341" s="215" t="str">
        <x:v>CAP-LK02</x:v>
      </x:c>
      <x:c r="S341" s="215" t="str">
        <x:v>APWEB-CAP; POWO-CAP-GI; POWO-CAP; LBJWC-HAYS</x:v>
      </x:c>
      <x:c r="T341" s="215" t="str">
        <x:v>https://www.mobot.org/MOBOT/research/APweb/orders/dipsacalesweb.htm</x:v>
      </x:c>
      <x:c r="U341" s="215" t="str">
        <x:v>https://powo.science.kew.org/taxon/urn:lsid:ipni.org:names:30000739-2/general-information</x:v>
      </x:c>
      <x:c r="V341" s="215" t="str">
        <x:v>https://powo.science.kew.org/taxon/urn:lsid:ipni.org:names:30000739-2</x:v>
      </x:c>
      <x:c r="W341" s="215" t="str">
        <x:v>https://www.mobot.org/MOBOT/research/APweb/orders/dipsacalesweb.htm
https://powo.science.kew.org/taxon/urn:lsid:ipni.org:names:30000739-2/general-information
https://powo.science.kew.org/taxon/urn:lsid:ipni.org:names:30000739-2
https://www.wildflower.org/collections/collection.php?collection=hays</x:v>
      </x:c>
      <x:c r="X341" s="215" t="str">
        <x:v>No — retain qualifiers and exceptions</x:v>
      </x:c>
      <x:c r="Y341" s="215" t="str">
        <x:v>Yes</x:v>
      </x:c>
      <x:c r="Z341" s="215" t="str">
        <x:v>Source-backed draft</x:v>
      </x:c>
    </x:row>
    <x:row r="342" ht="42" customHeight="1">
      <x:c r="A342" s="215" t="str">
        <x:v>Caprifoliaceae</x:v>
      </x:c>
      <x:c r="B342" s="215" t="str">
        <x:v>CAP-CALYX</x:v>
      </x:c>
      <x:c r="C342" s="215" t="str">
        <x:v>Family-wide variation</x:v>
      </x:c>
      <x:c r="D342" s="215" t="str">
        <x:v>Calyx and accessory bracts</x:v>
      </x:c>
      <x:c r="E342" s="215" t="str">
        <x:v>Calyx persistent but highly variable; teeth may be small, bristle-like, or enlarged, and an involucel may occur</x:v>
      </x:c>
      <x:c r="F342" s="215" t="str">
        <x:v>Supporting</x:v>
      </x:c>
      <x:c r="G342" s="215" t="str">
        <x:v>3</x:v>
      </x:c>
      <x:c r="H342" s="215" t="str">
        <x:v>Variable</x:v>
      </x:c>
      <x:c r="I342" s="215" t="str">
        <x:v>Hand lens</x:v>
      </x:c>
      <x:c r="J342" s="215" t="str">
        <x:v>Flowering to fruiting</x:v>
      </x:c>
      <x:c r="K342" s="215" t="str">
        <x:v>The calyx can remain as small teeth, a fringe, or an expanded fruiting structure.</x:v>
      </x:c>
      <x:c r="L342" s="215" t="str">
        <x:v>This character varies strongly across the broad family and is not useful without a route-specific interpretation.</x:v>
      </x:c>
      <x:c r="M342" s="215" t="str">
        <x:v>Use the fruiting calyx to separate honeysuckle, valerian, and dipsacoid pathways.</x:v>
      </x:c>
      <x:c r="N342" s="215" t="str">
        <x:v>Confirmed Hays County family with honeysuckle, coralberry, and corn-salad/Valerianella routes in rocky woodland edges, thickets, prairies, lawns, and disturbed ground; woody and herbaceous paths must both remain available.</x:v>
      </x:c>
      <x:c r="O342" s="215" t="str">
        <x:v>Low</x:v>
      </x:c>
      <x:c r="P342" s="215" t="str">
        <x:v>No</x:v>
      </x:c>
      <x:c r="Q342" s="215" t="str"/>
      <x:c r="R342" s="215" t="str">
        <x:v>CAP-LK01</x:v>
      </x:c>
      <x:c r="S342" s="215" t="str">
        <x:v>APWEB-CAP; POWO-CAP-GI; POWO-CAP; LBJWC-HAYS</x:v>
      </x:c>
      <x:c r="T342" s="215" t="str">
        <x:v>https://www.mobot.org/MOBOT/research/APweb/orders/dipsacalesweb.htm</x:v>
      </x:c>
      <x:c r="U342" s="215" t="str">
        <x:v>https://powo.science.kew.org/taxon/urn:lsid:ipni.org:names:30000739-2/general-information</x:v>
      </x:c>
      <x:c r="V342" s="215" t="str">
        <x:v>https://powo.science.kew.org/taxon/urn:lsid:ipni.org:names:30000739-2</x:v>
      </x:c>
      <x:c r="W342" s="215" t="str">
        <x:v>https://www.mobot.org/MOBOT/research/APweb/orders/dipsacalesweb.htm
https://powo.science.kew.org/taxon/urn:lsid:ipni.org:names:30000739-2/general-information
https://powo.science.kew.org/taxon/urn:lsid:ipni.org:names:30000739-2
https://www.wildflower.org/collections/collection.php?collection=hays</x:v>
      </x:c>
      <x:c r="X342" s="215" t="str">
        <x:v>No — retain qualifiers and exceptions</x:v>
      </x:c>
      <x:c r="Y342" s="215" t="str">
        <x:v>Yes</x:v>
      </x:c>
      <x:c r="Z342" s="215" t="str">
        <x:v>Source-backed draft</x:v>
      </x:c>
    </x:row>
    <x:row r="343" ht="42" customHeight="1">
      <x:c r="A343" s="215" t="str">
        <x:v>Caprifoliaceae</x:v>
      </x:c>
      <x:c r="B343" s="215" t="str">
        <x:v>CAP-FRUIT</x:v>
      </x:c>
      <x:c r="C343" s="215" t="str">
        <x:v>Family-wide variation</x:v>
      </x:c>
      <x:c r="D343" s="215" t="str">
        <x:v>Fruit</x:v>
      </x:c>
      <x:c r="E343" s="215" t="str">
        <x:v>Fruit may be a berry, drupe, capsule, achene, or cypsela</x:v>
      </x:c>
      <x:c r="F343" s="215" t="str">
        <x:v>Supporting</x:v>
      </x:c>
      <x:c r="G343" s="215" t="str">
        <x:v>3</x:v>
      </x:c>
      <x:c r="H343" s="215" t="str">
        <x:v>Variable</x:v>
      </x:c>
      <x:c r="I343" s="215" t="str">
        <x:v>Naked eye to hand lens</x:v>
      </x:c>
      <x:c r="J343" s="215" t="str">
        <x:v>Mature fruit</x:v>
      </x:c>
      <x:c r="K343" s="215" t="str">
        <x:v>Woody local routes often make fleshy fruits, while valerian-type herbs make dry one-seeded fruits.</x:v>
      </x:c>
      <x:c r="L343" s="215" t="str">
        <x:v>Fruit diversity is too great for one family-wide rule.</x:v>
      </x:c>
      <x:c r="M343" s="215" t="str">
        <x:v>Use fruit type only after habit, corolla, and ovary position establish the route.</x:v>
      </x:c>
      <x:c r="N343" s="215" t="str">
        <x:v>Confirmed Hays County family with honeysuckle, coralberry, and corn-salad/Valerianella routes in rocky woodland edges, thickets, prairies, lawns, and disturbed ground; woody and herbaceous paths must both remain available.</x:v>
      </x:c>
      <x:c r="O343" s="215" t="str">
        <x:v>Low</x:v>
      </x:c>
      <x:c r="P343" s="215" t="str">
        <x:v>No</x:v>
      </x:c>
      <x:c r="Q343" s="215" t="str"/>
      <x:c r="R343" s="215" t="str">
        <x:v>CAP-LK01; CAP-LK02</x:v>
      </x:c>
      <x:c r="S343" s="215" t="str">
        <x:v>APWEB-CAP; POWO-CAP-GI; POWO-CAP; LBJWC-HAYS</x:v>
      </x:c>
      <x:c r="T343" s="215" t="str">
        <x:v>https://www.mobot.org/MOBOT/research/APweb/orders/dipsacalesweb.htm</x:v>
      </x:c>
      <x:c r="U343" s="215" t="str">
        <x:v>https://powo.science.kew.org/taxon/urn:lsid:ipni.org:names:30000739-2/general-information</x:v>
      </x:c>
      <x:c r="V343" s="215" t="str">
        <x:v>https://powo.science.kew.org/taxon/urn:lsid:ipni.org:names:30000739-2</x:v>
      </x:c>
      <x:c r="W343" s="215" t="str">
        <x:v>https://www.mobot.org/MOBOT/research/APweb/orders/dipsacalesweb.htm
https://powo.science.kew.org/taxon/urn:lsid:ipni.org:names:30000739-2/general-information
https://powo.science.kew.org/taxon/urn:lsid:ipni.org:names:30000739-2
https://www.wildflower.org/collections/collection.php?collection=hays</x:v>
      </x:c>
      <x:c r="X343" s="215" t="str">
        <x:v>No — retain qualifiers and exceptions</x:v>
      </x:c>
      <x:c r="Y343" s="215" t="str">
        <x:v>Yes</x:v>
      </x:c>
      <x:c r="Z343" s="215" t="str">
        <x:v>Source-backed draft</x:v>
      </x:c>
    </x:row>
    <x:row r="344" ht="42" customHeight="1">
      <x:c r="A344" s="215" t="str">
        <x:v>Caprifoliaceae</x:v>
      </x:c>
      <x:c r="B344" s="215" t="str">
        <x:v>CAP-LK01</x:v>
      </x:c>
      <x:c r="C344" s="215" t="str">
        <x:v>Hays County field comparison</x:v>
      </x:c>
      <x:c r="D344" s="215" t="str">
        <x:v>Lookalike comparison</x:v>
      </x:c>
      <x:c r="E344" s="215" t="str">
        <x:v>Caprifoliaceae versus Rubiaceae</x:v>
      </x:c>
      <x:c r="F344" s="215" t="str">
        <x:v>Strong</x:v>
      </x:c>
      <x:c r="G344" s="215" t="str">
        <x:v>4</x:v>
      </x:c>
      <x:c r="H344" s="215" t="str">
        <x:v>Moderate</x:v>
      </x:c>
      <x:c r="I344" s="215" t="str">
        <x:v>Hand lens</x:v>
      </x:c>
      <x:c r="J344" s="215" t="str">
        <x:v>Flowering preferred</x:v>
      </x:c>
      <x:c r="K344" s="215" t="str">
        <x:v>Caprifoliaceae usually lacks interpetiolar stipules and often has a zygomorphic flower with an elongate style; Rubiaceae usually has interpetiolar stipules and more often radial four- or five-lobed flowers.</x:v>
      </x:c>
      <x:c r="L344" s="215" t="str">
        <x:v>Both families often have opposite leaves, fused corollas, and inferior ovaries.</x:v>
      </x:c>
      <x:c r="M344" s="215" t="str">
        <x:v>Inspect the leaf node first, then corolla symmetry and stigma form.</x:v>
      </x:c>
      <x:c r="N344" s="215" t="str">
        <x:v>Confirmed Hays County family with honeysuckle, coralberry, and corn-salad/Valerianella routes in rocky woodland edges, thickets, prairies, lawns, and disturbed ground; woody and herbaceous paths must both remain available.</x:v>
      </x:c>
      <x:c r="O344" s="215" t="str">
        <x:v>Low</x:v>
      </x:c>
      <x:c r="P344" s="215" t="str">
        <x:v>No</x:v>
      </x:c>
      <x:c r="Q344" s="215" t="str"/>
      <x:c r="R344" s="215" t="str"/>
      <x:c r="S344" s="215" t="str">
        <x:v>APWEB-CAP; POWO-CAP-GI; POWO-CAP; APWEB-RUB; POWO-RUB-GI; POWO-RUB; LBJWC-HAYS</x:v>
      </x:c>
      <x:c r="T344" s="215" t="str">
        <x:v>https://www.mobot.org/MOBOT/research/APweb/orders/dipsacalesweb.htm</x:v>
      </x:c>
      <x:c r="U344" s="215" t="str">
        <x:v>https://powo.science.kew.org/taxon/urn:lsid:ipni.org:names:30000739-2/general-information</x:v>
      </x:c>
      <x:c r="V344" s="215" t="str">
        <x:v>https://powo.science.kew.org/taxon/urn:lsid:ipni.org:names:30000739-2</x:v>
      </x:c>
      <x:c r="W344" s="215" t="str">
        <x:v>https://www.mobot.org/MOBOT/research/APweb/orders/dipsacalesweb.htm
https://powo.science.kew.org/taxon/urn:lsid:ipni.org:names:30000739-2/general-information
https://powo.science.kew.org/taxon/urn:lsid:ipni.org:names:30000739-2
https://www.wildflower.org/collections/collection.php?collection=hays
https://powo.science.kew.org/taxon/urn:lsid:ipni.org:names:30032120-2/general-information
https://powo.science.kew.org/taxon/urn:lsid:ipni.org:names:30032120-2</x:v>
      </x:c>
      <x:c r="X344" s="215" t="str">
        <x:v>No — retain qualifiers and exceptions</x:v>
      </x:c>
      <x:c r="Y344" s="215" t="str">
        <x:v>Yes</x:v>
      </x:c>
      <x:c r="Z344" s="215" t="str">
        <x:v>Source-backed comparison draft</x:v>
      </x:c>
    </x:row>
    <x:row r="345" ht="42" customHeight="1">
      <x:c r="A345" s="215" t="str">
        <x:v>Caprifoliaceae</x:v>
      </x:c>
      <x:c r="B345" s="215" t="str">
        <x:v>CAP-LK02</x:v>
      </x:c>
      <x:c r="C345" s="215" t="str">
        <x:v>Hays County field comparison</x:v>
      </x:c>
      <x:c r="D345" s="215" t="str">
        <x:v>Lookalike comparison</x:v>
      </x:c>
      <x:c r="E345" s="215" t="str">
        <x:v>Caprifoliaceae versus Viburnaceae</x:v>
      </x:c>
      <x:c r="F345" s="215" t="str">
        <x:v>Strong</x:v>
      </x:c>
      <x:c r="G345" s="215" t="str">
        <x:v>4</x:v>
      </x:c>
      <x:c r="H345" s="215" t="str">
        <x:v>Moderate</x:v>
      </x:c>
      <x:c r="I345" s="215" t="str">
        <x:v>Naked eye to hand lens</x:v>
      </x:c>
      <x:c r="J345" s="215" t="str">
        <x:v>Flowering and fruiting preferred</x:v>
      </x:c>
      <x:c r="K345" s="215" t="str">
        <x:v>Caprifoliaceae more often has zygomorphic tubular flowers and an elongate style; Viburnaceae usually has radial flowers, a short or nearly sessile stigma, and drupe or berry fruits. Viburnum and Sambucus are excluded from current Caprifoliaceae.</x:v>
      </x:c>
      <x:c r="L345" s="215" t="str">
        <x:v>Both families share opposite leaves, fused corollas, inferior ovaries, and fleshy fruits in some lineages.</x:v>
      </x:c>
      <x:c r="M345" s="215" t="str">
        <x:v>Use corolla symmetry, style length, and current family placement together.</x:v>
      </x:c>
      <x:c r="N345" s="215" t="str">
        <x:v>Confirmed Hays County family with honeysuckle, coralberry, and corn-salad/Valerianella routes in rocky woodland edges, thickets, prairies, lawns, and disturbed ground; woody and herbaceous paths must both remain available.</x:v>
      </x:c>
      <x:c r="O345" s="215" t="str">
        <x:v>Moderate</x:v>
      </x:c>
      <x:c r="P345" s="215" t="str">
        <x:v>Yes</x:v>
      </x:c>
      <x:c r="Q345" s="215" t="str">
        <x:v>Viburnaceae has not yet received its full Hays treatment.</x:v>
      </x:c>
      <x:c r="R345" s="215" t="str"/>
      <x:c r="S345" s="215" t="str">
        <x:v>APWEB-CAP; POWO-CAP-GI; POWO-CAP; POWO-VIB-GI; POWO-VIB; LBJWC-HAYS</x:v>
      </x:c>
      <x:c r="T345" s="215" t="str">
        <x:v>https://www.mobot.org/MOBOT/research/APweb/orders/dipsacalesweb.htm</x:v>
      </x:c>
      <x:c r="U345" s="215" t="str">
        <x:v>https://powo.science.kew.org/taxon/urn:lsid:ipni.org:names:30000739-2/general-information</x:v>
      </x:c>
      <x:c r="V345" s="215" t="str">
        <x:v>https://powo.science.kew.org/taxon/urn:lsid:ipni.org:names:30000739-2</x:v>
      </x:c>
      <x:c r="W345" s="215" t="str">
        <x:v>https://www.mobot.org/MOBOT/research/APweb/orders/dipsacalesweb.htm
https://powo.science.kew.org/taxon/urn:lsid:ipni.org:names:30000739-2/general-information
https://powo.science.kew.org/taxon/urn:lsid:ipni.org:names:30000739-2
https://www.wildflower.org/collections/collection.php?collection=hays
https://powo.science.kew.org/taxon/urn:lsid:ipni.org:names:77162522-1/general-information
https://powo.science.kew.org/taxon/urn:lsid:ipni.org:names:77162522-1</x:v>
      </x:c>
      <x:c r="X345" s="215" t="str">
        <x:v>No — retain qualifiers and exceptions</x:v>
      </x:c>
      <x:c r="Y345" s="215" t="str">
        <x:v>Yes</x:v>
      </x:c>
      <x:c r="Z345" s="215" t="str">
        <x:v>Source-backed comparison draft</x:v>
      </x:c>
    </x:row>
    <x:row r="346" ht="42" customHeight="1">
      <x:c r="A346" s="215" t="str">
        <x:v>Polygonaceae</x:v>
      </x:c>
      <x:c r="B346" s="215" t="str">
        <x:v>POL-HABIT</x:v>
      </x:c>
      <x:c r="C346" s="215" t="str">
        <x:v>Family-wide variation</x:v>
      </x:c>
      <x:c r="D346" s="215" t="str">
        <x:v>Habit</x:v>
      </x:c>
      <x:c r="E346" s="215" t="str">
        <x:v>Annual or perennial herbs, shrubs, vines, or rarely trees</x:v>
      </x:c>
      <x:c r="F346" s="215" t="str">
        <x:v>Caution</x:v>
      </x:c>
      <x:c r="G346" s="215" t="str">
        <x:v>0</x:v>
      </x:c>
      <x:c r="H346" s="215" t="str">
        <x:v>High</x:v>
      </x:c>
      <x:c r="I346" s="215" t="str">
        <x:v>Naked eye</x:v>
      </x:c>
      <x:c r="J346" s="215" t="str">
        <x:v>Any</x:v>
      </x:c>
      <x:c r="K346" s="215" t="str">
        <x:v>Most local members are herbs, but the family also includes woody and climbing forms.</x:v>
      </x:c>
      <x:c r="L346" s="215" t="str">
        <x:v>Habit is too variable to diagnose the family.</x:v>
      </x:c>
      <x:c r="M346" s="215" t="str">
        <x:v>Use only to choose between dock, smartweed, knotweed, and wild-buckwheat routes.</x:v>
      </x:c>
      <x:c r="N346"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46" s="215" t="str">
        <x:v>Low</x:v>
      </x:c>
      <x:c r="P346" s="215" t="str">
        <x:v>No</x:v>
      </x:c>
      <x:c r="Q346" s="215" t="str"/>
      <x:c r="R346" s="215" t="str">
        <x:v>POL-LK01; POL-LK02</x:v>
      </x:c>
      <x:c r="S346" s="215" t="str">
        <x:v>APWEB-POL; FNA-POL; POWO-POL; LBJWC-HAYS</x:v>
      </x:c>
      <x:c r="T346" s="215" t="str">
        <x:v>https://www.mobot.org/MOBOT/research/APweb/orders/caryophyllalesweb.htm</x:v>
      </x:c>
      <x:c r="U346" s="215" t="str">
        <x:v>https://floranorthamerica.org/Polygonaceae
https://powo.science.kew.org/taxon/urn:lsid:ipni.org:names:30000532-2/general-information</x:v>
      </x:c>
      <x:c r="V346" s="215" t="str">
        <x:v>https://powo.science.kew.org/taxon/urn:lsid:ipni.org:names:30000532-2</x:v>
      </x:c>
      <x:c r="W346"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46" s="215" t="str">
        <x:v>No — retain qualifiers and exceptions</x:v>
      </x:c>
      <x:c r="Y346" s="215" t="str">
        <x:v>Yes</x:v>
      </x:c>
      <x:c r="Z346" s="215" t="str">
        <x:v>Source-backed draft</x:v>
      </x:c>
    </x:row>
    <x:row r="347" ht="42" customHeight="1">
      <x:c r="A347" s="215" t="str">
        <x:v>Polygonaceae</x:v>
      </x:c>
      <x:c r="B347" s="215" t="str">
        <x:v>POL-STEM</x:v>
      </x:c>
      <x:c r="C347" s="215" t="str">
        <x:v>Broad family tendency</x:v>
      </x:c>
      <x:c r="D347" s="215" t="str">
        <x:v>Stem and nodes</x:v>
      </x:c>
      <x:c r="E347" s="215" t="str">
        <x:v>Nodes often swollen or conspicuous</x:v>
      </x:c>
      <x:c r="F347" s="215" t="str">
        <x:v>Strong</x:v>
      </x:c>
      <x:c r="G347" s="215" t="str">
        <x:v>4</x:v>
      </x:c>
      <x:c r="H347" s="215" t="str">
        <x:v>Variable</x:v>
      </x:c>
      <x:c r="I347" s="215" t="str">
        <x:v>Naked eye</x:v>
      </x:c>
      <x:c r="J347" s="215" t="str">
        <x:v>Vegetative</x:v>
      </x:c>
      <x:c r="K347" s="215" t="str">
        <x:v>The stem frequently thickens where each leaf attaches.</x:v>
      </x:c>
      <x:c r="L347" s="215" t="str">
        <x:v>Nodes are not swollen in every lineage, especially some Eriogonoideae, and swollen nodes occur in other families.</x:v>
      </x:c>
      <x:c r="M347" s="215" t="str">
        <x:v>At a conspicuous node, look immediately for an ocrea or its scar.</x:v>
      </x:c>
      <x:c r="N347"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47" s="215" t="str">
        <x:v>Low</x:v>
      </x:c>
      <x:c r="P347" s="215" t="str">
        <x:v>No</x:v>
      </x:c>
      <x:c r="Q347" s="215" t="str"/>
      <x:c r="R347" s="215" t="str">
        <x:v>POL-LK01; POL-LK02</x:v>
      </x:c>
      <x:c r="S347" s="215" t="str">
        <x:v>APWEB-POL; FNA-POL; POWO-POL; LBJWC-HAYS</x:v>
      </x:c>
      <x:c r="T347" s="215" t="str">
        <x:v>https://www.mobot.org/MOBOT/research/APweb/orders/caryophyllalesweb.htm</x:v>
      </x:c>
      <x:c r="U347" s="215" t="str">
        <x:v>https://floranorthamerica.org/Polygonaceae
https://powo.science.kew.org/taxon/urn:lsid:ipni.org:names:30000532-2/general-information</x:v>
      </x:c>
      <x:c r="V347" s="215" t="str">
        <x:v>https://powo.science.kew.org/taxon/urn:lsid:ipni.org:names:30000532-2</x:v>
      </x:c>
      <x:c r="W347"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47" s="215" t="str">
        <x:v>No — retain qualifiers and exceptions</x:v>
      </x:c>
      <x:c r="Y347" s="215" t="str">
        <x:v>Yes</x:v>
      </x:c>
      <x:c r="Z347" s="215" t="str">
        <x:v>Source-backed draft</x:v>
      </x:c>
    </x:row>
    <x:row r="348" ht="42" customHeight="1">
      <x:c r="A348" s="215" t="str">
        <x:v>Polygonaceae</x:v>
      </x:c>
      <x:c r="B348" s="215" t="str">
        <x:v>POL-LEAF</x:v>
      </x:c>
      <x:c r="C348" s="215" t="str">
        <x:v>Broad family tendency</x:v>
      </x:c>
      <x:c r="D348" s="215" t="str">
        <x:v>Leaf</x:v>
      </x:c>
      <x:c r="E348" s="215" t="str">
        <x:v>Leaves mostly alternate, simple, and usually entire</x:v>
      </x:c>
      <x:c r="F348" s="215" t="str">
        <x:v>Strong</x:v>
      </x:c>
      <x:c r="G348" s="215" t="str">
        <x:v>4</x:v>
      </x:c>
      <x:c r="H348" s="215" t="str">
        <x:v>High</x:v>
      </x:c>
      <x:c r="I348" s="215" t="str">
        <x:v>Naked eye</x:v>
      </x:c>
      <x:c r="J348" s="215" t="str">
        <x:v>Vegetative</x:v>
      </x:c>
      <x:c r="K348" s="215" t="str">
        <x:v>One simple leaf usually arises at each node in alternating sequence.</x:v>
      </x:c>
      <x:c r="L348" s="215" t="str">
        <x:v>Opposite or whorled leaves and lobed or wavy margins occur.</x:v>
      </x:c>
      <x:c r="M348" s="215" t="str">
        <x:v>Use leaf arrangement with node structure and fruit, never alone.</x:v>
      </x:c>
      <x:c r="N348"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48" s="215" t="str">
        <x:v>Low</x:v>
      </x:c>
      <x:c r="P348" s="215" t="str">
        <x:v>No</x:v>
      </x:c>
      <x:c r="Q348" s="215" t="str"/>
      <x:c r="R348" s="215" t="str">
        <x:v>POL-LK01; POL-LK02</x:v>
      </x:c>
      <x:c r="S348" s="215" t="str">
        <x:v>APWEB-POL; FNA-POL; POWO-POL; LBJWC-HAYS</x:v>
      </x:c>
      <x:c r="T348" s="215" t="str">
        <x:v>https://www.mobot.org/MOBOT/research/APweb/orders/caryophyllalesweb.htm</x:v>
      </x:c>
      <x:c r="U348" s="215" t="str">
        <x:v>https://floranorthamerica.org/Polygonaceae
https://powo.science.kew.org/taxon/urn:lsid:ipni.org:names:30000532-2/general-information</x:v>
      </x:c>
      <x:c r="V348" s="215" t="str">
        <x:v>https://powo.science.kew.org/taxon/urn:lsid:ipni.org:names:30000532-2</x:v>
      </x:c>
      <x:c r="W348"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48" s="215" t="str">
        <x:v>No — retain qualifiers and exceptions</x:v>
      </x:c>
      <x:c r="Y348" s="215" t="str">
        <x:v>Yes</x:v>
      </x:c>
      <x:c r="Z348" s="215" t="str">
        <x:v>Source-backed draft</x:v>
      </x:c>
    </x:row>
    <x:row r="349" ht="42" customHeight="1">
      <x:c r="A349" s="215" t="str">
        <x:v>Polygonaceae</x:v>
      </x:c>
      <x:c r="B349" s="215" t="str">
        <x:v>POL-OCREA</x:v>
      </x:c>
      <x:c r="C349" s="215" t="str">
        <x:v>Subfamily-limited, common locally</x:v>
      </x:c>
      <x:c r="D349" s="215" t="str">
        <x:v>Stipules</x:v>
      </x:c>
      <x:c r="E349" s="215" t="str">
        <x:v>Tubular ocrea commonly sheaths the stem at nodes in Polygonoideae</x:v>
      </x:c>
      <x:c r="F349" s="215" t="str">
        <x:v>Core within route</x:v>
      </x:c>
      <x:c r="G349" s="215" t="str">
        <x:v>5</x:v>
      </x:c>
      <x:c r="H349" s="215" t="str">
        <x:v>High when intact</x:v>
      </x:c>
      <x:c r="I349" s="215" t="str">
        <x:v>Naked eye to hand lens</x:v>
      </x:c>
      <x:c r="J349" s="215" t="str">
        <x:v>Young vegetative material</x:v>
      </x:c>
      <x:c r="K349" s="215" t="str">
        <x:v>A papery or membranous sleeve wraps the stem just above the leaf base.</x:v>
      </x:c>
      <x:c r="L349" s="215" t="str">
        <x:v>The ocrea is absent in Eriogonoideae and may tear away or weather into a scar.</x:v>
      </x:c>
      <x:c r="M349" s="215" t="str">
        <x:v>A clear ocrea strongly supports the dock-smartweed-knotweed route; absence requires checking the wild-buckwheat route.</x:v>
      </x:c>
      <x:c r="N349"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49" s="215" t="str">
        <x:v>Low</x:v>
      </x:c>
      <x:c r="P349" s="215" t="str">
        <x:v>No</x:v>
      </x:c>
      <x:c r="Q349" s="215" t="str"/>
      <x:c r="R349" s="215" t="str">
        <x:v>POL-LK01; POL-LK02</x:v>
      </x:c>
      <x:c r="S349" s="215" t="str">
        <x:v>APWEB-POL; FNA-POL; POWO-POL; LBJWC-HAYS</x:v>
      </x:c>
      <x:c r="T349" s="215" t="str">
        <x:v>https://www.mobot.org/MOBOT/research/APweb/orders/caryophyllalesweb.htm</x:v>
      </x:c>
      <x:c r="U349" s="215" t="str">
        <x:v>https://floranorthamerica.org/Polygonaceae
https://powo.science.kew.org/taxon/urn:lsid:ipni.org:names:30000532-2/general-information</x:v>
      </x:c>
      <x:c r="V349" s="215" t="str">
        <x:v>https://powo.science.kew.org/taxon/urn:lsid:ipni.org:names:30000532-2</x:v>
      </x:c>
      <x:c r="W349"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49" s="215" t="str">
        <x:v>No — retain qualifiers and exceptions</x:v>
      </x:c>
      <x:c r="Y349" s="215" t="str">
        <x:v>Yes</x:v>
      </x:c>
      <x:c r="Z349" s="215" t="str">
        <x:v>Source-backed draft</x:v>
      </x:c>
    </x:row>
    <x:row r="350" ht="42" customHeight="1">
      <x:c r="A350" s="215" t="str">
        <x:v>Polygonaceae</x:v>
      </x:c>
      <x:c r="B350" s="215" t="str">
        <x:v>POL-INFLO</x:v>
      </x:c>
      <x:c r="C350" s="215" t="str">
        <x:v>Broad family tendency</x:v>
      </x:c>
      <x:c r="D350" s="215" t="str">
        <x:v>Inflorescence</x:v>
      </x:c>
      <x:c r="E350" s="215" t="str">
        <x:v>Small flowers commonly grouped in fascicles within spikes, racemes, panicles, heads, or involucrate clusters</x:v>
      </x:c>
      <x:c r="F350" s="215" t="str">
        <x:v>Strong</x:v>
      </x:c>
      <x:c r="G350" s="215" t="str">
        <x:v>4</x:v>
      </x:c>
      <x:c r="H350" s="215" t="str">
        <x:v>Variable</x:v>
      </x:c>
      <x:c r="I350" s="215" t="str">
        <x:v>Naked eye to hand lens</x:v>
      </x:c>
      <x:c r="J350" s="215" t="str">
        <x:v>Flowering</x:v>
      </x:c>
      <x:c r="K350" s="215" t="str">
        <x:v>Tiny flowers often occur in repeated bundles along or at the end of an axis.</x:v>
      </x:c>
      <x:c r="L350" s="215" t="str">
        <x:v>Eriogonoideae may place flowers in involucres, while Polygonoideae commonly uses ocreolae and different cluster forms.</x:v>
      </x:c>
      <x:c r="M350" s="215" t="str">
        <x:v>Identify the subfamily route before interpreting bracts and clusters.</x:v>
      </x:c>
      <x:c r="N350"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0" s="215" t="str">
        <x:v>Low</x:v>
      </x:c>
      <x:c r="P350" s="215" t="str">
        <x:v>No</x:v>
      </x:c>
      <x:c r="Q350" s="215" t="str"/>
      <x:c r="R350" s="215" t="str">
        <x:v>POL-LK01</x:v>
      </x:c>
      <x:c r="S350" s="215" t="str">
        <x:v>APWEB-POL; FNA-POL; POWO-POL; LBJWC-HAYS</x:v>
      </x:c>
      <x:c r="T350" s="215" t="str">
        <x:v>https://www.mobot.org/MOBOT/research/APweb/orders/caryophyllalesweb.htm</x:v>
      </x:c>
      <x:c r="U350" s="215" t="str">
        <x:v>https://floranorthamerica.org/Polygonaceae
https://powo.science.kew.org/taxon/urn:lsid:ipni.org:names:30000532-2/general-information</x:v>
      </x:c>
      <x:c r="V350" s="215" t="str">
        <x:v>https://powo.science.kew.org/taxon/urn:lsid:ipni.org:names:30000532-2</x:v>
      </x:c>
      <x:c r="W350"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50" s="215" t="str">
        <x:v>No — retain qualifiers and exceptions</x:v>
      </x:c>
      <x:c r="Y350" s="215" t="str">
        <x:v>Yes</x:v>
      </x:c>
      <x:c r="Z350" s="215" t="str">
        <x:v>Source-backed draft</x:v>
      </x:c>
    </x:row>
    <x:row r="351" ht="42" customHeight="1">
      <x:c r="A351" s="215" t="str">
        <x:v>Polygonaceae</x:v>
      </x:c>
      <x:c r="B351" s="215" t="str">
        <x:v>POL-TEPALS</x:v>
      </x:c>
      <x:c r="C351" s="215" t="str">
        <x:v>Broad family tendency</x:v>
      </x:c>
      <x:c r="D351" s="215" t="str">
        <x:v>Perianth</x:v>
      </x:c>
      <x:c r="E351" s="215" t="str">
        <x:v>Tepals usually two to six, often basally joined, persistent and frequently enlarging or hardening in fruit</x:v>
      </x:c>
      <x:c r="F351" s="215" t="str">
        <x:v>Strong</x:v>
      </x:c>
      <x:c r="G351" s="215" t="str">
        <x:v>4</x:v>
      </x:c>
      <x:c r="H351" s="215" t="str">
        <x:v>High</x:v>
      </x:c>
      <x:c r="I351" s="215" t="str">
        <x:v>Hand lens</x:v>
      </x:c>
      <x:c r="J351" s="215" t="str">
        <x:v>Flowering to fruiting</x:v>
      </x:c>
      <x:c r="K351" s="215" t="str">
        <x:v>Small flower parts remain around the achene and may form wings, valves, or a fleshy covering.</x:v>
      </x:c>
      <x:c r="L351" s="215" t="str">
        <x:v>Tepal number and texture vary, and outer and inner tepals may differ strongly.</x:v>
      </x:c>
      <x:c r="M351" s="215" t="str">
        <x:v>Persistent or accrescent tepals around a one-seeded achene are a major family clue.</x:v>
      </x:c>
      <x:c r="N351"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1" s="215" t="str">
        <x:v>Low</x:v>
      </x:c>
      <x:c r="P351" s="215" t="str">
        <x:v>No</x:v>
      </x:c>
      <x:c r="Q351" s="215" t="str"/>
      <x:c r="R351" s="215" t="str">
        <x:v>POL-LK01; POL-LK02</x:v>
      </x:c>
      <x:c r="S351" s="215" t="str">
        <x:v>APWEB-POL; FNA-POL; POWO-POL; LBJWC-HAYS</x:v>
      </x:c>
      <x:c r="T351" s="215" t="str">
        <x:v>https://www.mobot.org/MOBOT/research/APweb/orders/caryophyllalesweb.htm</x:v>
      </x:c>
      <x:c r="U351" s="215" t="str">
        <x:v>https://floranorthamerica.org/Polygonaceae
https://powo.science.kew.org/taxon/urn:lsid:ipni.org:names:30000532-2/general-information</x:v>
      </x:c>
      <x:c r="V351" s="215" t="str">
        <x:v>https://powo.science.kew.org/taxon/urn:lsid:ipni.org:names:30000532-2</x:v>
      </x:c>
      <x:c r="W351"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51" s="215" t="str">
        <x:v>No — retain qualifiers and exceptions</x:v>
      </x:c>
      <x:c r="Y351" s="215" t="str">
        <x:v>Yes</x:v>
      </x:c>
      <x:c r="Z351" s="215" t="str">
        <x:v>Source-backed draft</x:v>
      </x:c>
    </x:row>
    <x:row r="352" ht="42" customHeight="1">
      <x:c r="A352" s="215" t="str">
        <x:v>Polygonaceae</x:v>
      </x:c>
      <x:c r="B352" s="215" t="str">
        <x:v>POL-STAMEN</x:v>
      </x:c>
      <x:c r="C352" s="215" t="str">
        <x:v>Broad family tendency</x:v>
      </x:c>
      <x:c r="D352" s="215" t="str">
        <x:v>Androecium</x:v>
      </x:c>
      <x:c r="E352" s="215" t="str">
        <x:v>Stamens commonly six to nine, sometimes fewer</x:v>
      </x:c>
      <x:c r="F352" s="215" t="str">
        <x:v>Supporting</x:v>
      </x:c>
      <x:c r="G352" s="215" t="str">
        <x:v>3</x:v>
      </x:c>
      <x:c r="H352" s="215" t="str">
        <x:v>Variable</x:v>
      </x:c>
      <x:c r="I352" s="215" t="str">
        <x:v>Hand lens or dissection</x:v>
      </x:c>
      <x:c r="J352" s="215" t="str">
        <x:v>Fresh flowering material</x:v>
      </x:c>
      <x:c r="K352" s="215" t="str">
        <x:v>Several stamens arise around the single ovary, often in relation to the tepal whorls.</x:v>
      </x:c>
      <x:c r="L352" s="215" t="str">
        <x:v>Numbers vary and stamens are hard to count in tiny or unisexual flowers.</x:v>
      </x:c>
      <x:c r="M352" s="215" t="str">
        <x:v>Use mainly for confirmation after the tepals and ovary are understood.</x:v>
      </x:c>
      <x:c r="N352"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2" s="215" t="str">
        <x:v>Low</x:v>
      </x:c>
      <x:c r="P352" s="215" t="str">
        <x:v>No</x:v>
      </x:c>
      <x:c r="Q352" s="215" t="str"/>
      <x:c r="R352" s="215" t="str">
        <x:v>POL-LK02</x:v>
      </x:c>
      <x:c r="S352" s="215" t="str">
        <x:v>APWEB-POL; FNA-POL; POWO-POL; LBJWC-HAYS</x:v>
      </x:c>
      <x:c r="T352" s="215" t="str">
        <x:v>https://www.mobot.org/MOBOT/research/APweb/orders/caryophyllalesweb.htm</x:v>
      </x:c>
      <x:c r="U352" s="215" t="str">
        <x:v>https://floranorthamerica.org/Polygonaceae
https://powo.science.kew.org/taxon/urn:lsid:ipni.org:names:30000532-2/general-information</x:v>
      </x:c>
      <x:c r="V352" s="215" t="str">
        <x:v>https://powo.science.kew.org/taxon/urn:lsid:ipni.org:names:30000532-2</x:v>
      </x:c>
      <x:c r="W352"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52" s="215" t="str">
        <x:v>No — retain qualifiers and exceptions</x:v>
      </x:c>
      <x:c r="Y352" s="215" t="str">
        <x:v>Yes</x:v>
      </x:c>
      <x:c r="Z352" s="215" t="str">
        <x:v>Source-backed draft</x:v>
      </x:c>
    </x:row>
    <x:row r="353" ht="42" customHeight="1">
      <x:c r="A353" s="215" t="str">
        <x:v>Polygonaceae</x:v>
      </x:c>
      <x:c r="B353" s="215" t="str">
        <x:v>POL-OVARY</x:v>
      </x:c>
      <x:c r="C353" s="215" t="str">
        <x:v>Family-wide structural theme</x:v>
      </x:c>
      <x:c r="D353" s="215" t="str">
        <x:v>Gynoecium</x:v>
      </x:c>
      <x:c r="E353" s="215" t="str">
        <x:v>Ovary superior, one-locular, with a single basal ovule and usually two or three styles</x:v>
      </x:c>
      <x:c r="F353" s="215" t="str">
        <x:v>Core</x:v>
      </x:c>
      <x:c r="G353" s="215" t="str">
        <x:v>5</x:v>
      </x:c>
      <x:c r="H353" s="215" t="str">
        <x:v>High with magnification</x:v>
      </x:c>
      <x:c r="I353" s="215" t="str">
        <x:v>Hand lens or dissection</x:v>
      </x:c>
      <x:c r="J353" s="215" t="str">
        <x:v>Flowering to early fruit</x:v>
      </x:c>
      <x:c r="K353" s="215" t="str">
        <x:v>One ovule develops into one dry fruit, commonly with two or three angles.</x:v>
      </x:c>
      <x:c r="L353" s="215" t="str">
        <x:v>Style number and fusion vary and the ovary may be hidden by the persistent perianth.</x:v>
      </x:c>
      <x:c r="M353" s="215" t="str">
        <x:v>Connect the single ovule to the mature achene and persistent tepals.</x:v>
      </x:c>
      <x:c r="N353"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3" s="215" t="str">
        <x:v>Low</x:v>
      </x:c>
      <x:c r="P353" s="215" t="str">
        <x:v>No</x:v>
      </x:c>
      <x:c r="Q353" s="215" t="str"/>
      <x:c r="R353" s="215" t="str">
        <x:v>POL-LK01; POL-LK02</x:v>
      </x:c>
      <x:c r="S353" s="215" t="str">
        <x:v>APWEB-POL; FNA-POL; POWO-POL; LBJWC-HAYS</x:v>
      </x:c>
      <x:c r="T353" s="215" t="str">
        <x:v>https://www.mobot.org/MOBOT/research/APweb/orders/caryophyllalesweb.htm</x:v>
      </x:c>
      <x:c r="U353" s="215" t="str">
        <x:v>https://floranorthamerica.org/Polygonaceae
https://powo.science.kew.org/taxon/urn:lsid:ipni.org:names:30000532-2/general-information</x:v>
      </x:c>
      <x:c r="V353" s="215" t="str">
        <x:v>https://powo.science.kew.org/taxon/urn:lsid:ipni.org:names:30000532-2</x:v>
      </x:c>
      <x:c r="W353"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53" s="215" t="str">
        <x:v>No — retain qualifiers and exceptions</x:v>
      </x:c>
      <x:c r="Y353" s="215" t="str">
        <x:v>Yes</x:v>
      </x:c>
      <x:c r="Z353" s="215" t="str">
        <x:v>Source-backed draft</x:v>
      </x:c>
    </x:row>
    <x:row r="354" ht="42" customHeight="1">
      <x:c r="A354" s="215" t="str">
        <x:v>Polygonaceae</x:v>
      </x:c>
      <x:c r="B354" s="215" t="str">
        <x:v>POL-FRUIT</x:v>
      </x:c>
      <x:c r="C354" s="215" t="str">
        <x:v>Family-wide structural theme</x:v>
      </x:c>
      <x:c r="D354" s="215" t="str">
        <x:v>Fruit</x:v>
      </x:c>
      <x:c r="E354" s="215" t="str">
        <x:v>One-seeded achene, commonly three-angled or lenticular, enclosed by or projecting from the persistent perianth</x:v>
      </x:c>
      <x:c r="F354" s="215" t="str">
        <x:v>Core</x:v>
      </x:c>
      <x:c r="G354" s="215" t="str">
        <x:v>5</x:v>
      </x:c>
      <x:c r="H354" s="215" t="str">
        <x:v>High</x:v>
      </x:c>
      <x:c r="I354" s="215" t="str">
        <x:v>Naked eye to hand lens</x:v>
      </x:c>
      <x:c r="J354" s="215" t="str">
        <x:v>Mature fruit</x:v>
      </x:c>
      <x:c r="K354" s="215" t="str">
        <x:v>The fruit is a small dry body with one seed, often triangular in cross-section.</x:v>
      </x:c>
      <x:c r="L354" s="215" t="str">
        <x:v>Fruit shape can be two-, three-, or rarely four-angled, roundish, winged, or hidden by enlarged tepals.</x:v>
      </x:c>
      <x:c r="M354" s="215" t="str">
        <x:v>A mature achene plus persistent tepals and node characters strongly confirms Polygonaceae.</x:v>
      </x:c>
      <x:c r="N354"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4" s="215" t="str">
        <x:v>Low</x:v>
      </x:c>
      <x:c r="P354" s="215" t="str">
        <x:v>No</x:v>
      </x:c>
      <x:c r="Q354" s="215" t="str"/>
      <x:c r="R354" s="215" t="str">
        <x:v>POL-LK01; POL-LK02</x:v>
      </x:c>
      <x:c r="S354" s="215" t="str">
        <x:v>APWEB-POL; FNA-POL; POWO-POL; LBJWC-HAYS</x:v>
      </x:c>
      <x:c r="T354" s="215" t="str">
        <x:v>https://www.mobot.org/MOBOT/research/APweb/orders/caryophyllalesweb.htm</x:v>
      </x:c>
      <x:c r="U354" s="215" t="str">
        <x:v>https://floranorthamerica.org/Polygonaceae
https://powo.science.kew.org/taxon/urn:lsid:ipni.org:names:30000532-2/general-information</x:v>
      </x:c>
      <x:c r="V354" s="215" t="str">
        <x:v>https://powo.science.kew.org/taxon/urn:lsid:ipni.org:names:30000532-2</x:v>
      </x:c>
      <x:c r="W354"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54" s="215" t="str">
        <x:v>No — retain qualifiers and exceptions</x:v>
      </x:c>
      <x:c r="Y354" s="215" t="str">
        <x:v>Yes</x:v>
      </x:c>
      <x:c r="Z354" s="215" t="str">
        <x:v>Source-backed draft</x:v>
      </x:c>
    </x:row>
    <x:row r="355" ht="42" customHeight="1">
      <x:c r="A355" s="215" t="str">
        <x:v>Polygonaceae</x:v>
      </x:c>
      <x:c r="B355" s="215" t="str">
        <x:v>POL-LK01</x:v>
      </x:c>
      <x:c r="C355" s="215" t="str">
        <x:v>Hays County field comparison</x:v>
      </x:c>
      <x:c r="D355" s="215" t="str">
        <x:v>Lookalike comparison</x:v>
      </x:c>
      <x:c r="E355" s="215" t="str">
        <x:v>Polygonaceae versus Plumbaginaceae</x:v>
      </x:c>
      <x:c r="F355" s="215" t="str">
        <x:v>Strong</x:v>
      </x:c>
      <x:c r="G355" s="215" t="str">
        <x:v>4</x:v>
      </x:c>
      <x:c r="H355" s="215" t="str">
        <x:v>Moderate</x:v>
      </x:c>
      <x:c r="I355" s="215" t="str">
        <x:v>Hand lens</x:v>
      </x:c>
      <x:c r="J355" s="215" t="str">
        <x:v>Flowering or fruiting</x:v>
      </x:c>
      <x:c r="K355" s="215" t="str">
        <x:v>Polygonaceae commonly has alternate leaves, ocreae in many local routes, small tepals, and an angled achene; Plumbaginaceae commonly has a persistent ribbed calyx, a five-lobed corolla, stamens opposite corolla lobes, and lacks an ocrea.</x:v>
      </x:c>
      <x:c r="L355" s="215" t="str">
        <x:v>Wild-buckwheat Polygonaceae lacks ocreae, and both families can have persistent perianths around one-seeded fruits.</x:v>
      </x:c>
      <x:c r="M355" s="215" t="str">
        <x:v>Use floral merosity and stamen position when no ocrea is present.</x:v>
      </x:c>
      <x:c r="N355"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5" s="215" t="str">
        <x:v>Moderate</x:v>
      </x:c>
      <x:c r="P355" s="215" t="str">
        <x:v>Yes</x:v>
      </x:c>
      <x:c r="Q355" s="215" t="str">
        <x:v>Plumbaginaceae has not yet received its full Hays treatment.</x:v>
      </x:c>
      <x:c r="R355" s="215" t="str"/>
      <x:c r="S355" s="215" t="str">
        <x:v>APWEB-POL; FNA-POL; POWO-POL; FNA-PLUMB; LBJWC-HAYS</x:v>
      </x:c>
      <x:c r="T355" s="215" t="str">
        <x:v>https://www.mobot.org/MOBOT/research/APweb/orders/caryophyllalesweb.htm</x:v>
      </x:c>
      <x:c r="U355" s="215" t="str">
        <x:v>https://floranorthamerica.org/Polygonaceae
https://powo.science.kew.org/taxon/urn:lsid:ipni.org:names:30000532-2/general-information</x:v>
      </x:c>
      <x:c r="V355" s="215" t="str">
        <x:v>https://powo.science.kew.org/taxon/urn:lsid:ipni.org:names:30000532-2</x:v>
      </x:c>
      <x:c r="W355"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
https://floranorthamerica.org/Plumbaginaceae</x:v>
      </x:c>
      <x:c r="X355" s="215" t="str">
        <x:v>No — retain qualifiers and exceptions</x:v>
      </x:c>
      <x:c r="Y355" s="215" t="str">
        <x:v>Yes</x:v>
      </x:c>
      <x:c r="Z355" s="215" t="str">
        <x:v>Source-backed comparison draft</x:v>
      </x:c>
    </x:row>
    <x:row r="356" ht="42" customHeight="1">
      <x:c r="A356" s="215" t="str">
        <x:v>Polygonaceae</x:v>
      </x:c>
      <x:c r="B356" s="215" t="str">
        <x:v>POL-LK02</x:v>
      </x:c>
      <x:c r="C356" s="215" t="str">
        <x:v>Hays County field comparison</x:v>
      </x:c>
      <x:c r="D356" s="215" t="str">
        <x:v>Lookalike comparison</x:v>
      </x:c>
      <x:c r="E356" s="215" t="str">
        <x:v>Polygonaceae versus Amaranthaceae or Caryophyllaceae with small flowers</x:v>
      </x:c>
      <x:c r="F356" s="215" t="str">
        <x:v>Strong</x:v>
      </x:c>
      <x:c r="G356" s="215" t="str">
        <x:v>4</x:v>
      </x:c>
      <x:c r="H356" s="215" t="str">
        <x:v>Moderate</x:v>
      </x:c>
      <x:c r="I356" s="215" t="str">
        <x:v>Hand lens</x:v>
      </x:c>
      <x:c r="J356" s="215" t="str">
        <x:v>Flowering and fruiting preferred</x:v>
      </x:c>
      <x:c r="K356" s="215" t="str">
        <x:v>Polygonaceae commonly combines an ocrea or involucrate wild-buckwheat route with persistent tepals and one angled achene; Amaranthaceae often has scarious bracts and utricles, while Caryophyllaceae commonly has opposite leaves, radial flowers, and capsules or utricles.</x:v>
      </x:c>
      <x:c r="L356" s="215" t="str">
        <x:v>Reduced flowers and one-seeded fruits can overlap, and the ocrea is absent from one polygonaceous subfamily.</x:v>
      </x:c>
      <x:c r="M356" s="215" t="str">
        <x:v>Check node appendages, ovary position and ovule number, then mature fruit.</x:v>
      </x:c>
      <x:c r="N356"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6" s="215" t="str">
        <x:v>Moderate</x:v>
      </x:c>
      <x:c r="P356" s="215" t="str">
        <x:v>Yes</x:v>
      </x:c>
      <x:c r="Q356" s="215" t="str">
        <x:v>Caryophyllaceae has not yet received its full Hays treatment.</x:v>
      </x:c>
      <x:c r="R356" s="215" t="str"/>
      <x:c r="S356" s="215" t="str">
        <x:v>APWEB-POL; FNA-POL; POWO-POL; FNA-AMAR; FNA-CARY; LBJWC-HAYS</x:v>
      </x:c>
      <x:c r="T356" s="215" t="str">
        <x:v>https://www.mobot.org/MOBOT/research/APweb/orders/caryophyllalesweb.htm</x:v>
      </x:c>
      <x:c r="U356" s="215" t="str">
        <x:v>https://floranorthamerica.org/Polygonaceae
https://powo.science.kew.org/taxon/urn:lsid:ipni.org:names:30000532-2/general-information</x:v>
      </x:c>
      <x:c r="V356" s="215" t="str">
        <x:v>https://powo.science.kew.org/taxon/urn:lsid:ipni.org:names:30000532-2</x:v>
      </x:c>
      <x:c r="W356"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
https://floranorthamerica.org/Amaranthaceae
https://floranorthamerica.org/Caryophyllaceae</x:v>
      </x:c>
      <x:c r="X356" s="215" t="str">
        <x:v>No — retain qualifiers and exceptions</x:v>
      </x:c>
      <x:c r="Y356" s="215" t="str">
        <x:v>Yes</x:v>
      </x:c>
      <x:c r="Z356" s="215" t="str">
        <x:v>Source-backed comparison draft</x:v>
      </x:c>
    </x:row>
    <x:row r="357" ht="42" customHeight="1">
      <x:c r="A357" s="215" t="str">
        <x:v>Caryophyllaceae</x:v>
      </x:c>
      <x:c r="B357" s="215" t="str">
        <x:v>CAR-HABIT</x:v>
      </x:c>
      <x:c r="C357" s="215" t="str">
        <x:v>Family-wide, predominant</x:v>
      </x:c>
      <x:c r="D357" s="215" t="str">
        <x:v>Habit</x:v>
      </x:c>
      <x:c r="E357" s="215" t="str">
        <x:v>Mostly annual to perennial herbs</x:v>
      </x:c>
      <x:c r="F357" s="215" t="str">
        <x:v>Supporting</x:v>
      </x:c>
      <x:c r="G357" s="215" t="str">
        <x:v>2</x:v>
      </x:c>
      <x:c r="H357" s="215" t="str">
        <x:v>High</x:v>
      </x:c>
      <x:c r="I357" s="215" t="str">
        <x:v>Naked eye</x:v>
      </x:c>
      <x:c r="J357" s="215" t="str">
        <x:v>Any season with intact plant</x:v>
      </x:c>
      <x:c r="K357" s="215" t="str">
        <x:v>Most members encountered locally are herbs.</x:v>
      </x:c>
      <x:c r="L357" s="215" t="str">
        <x:v>The family also includes uncommon shrubs, vines, and small trees outside the main local routes.</x:v>
      </x:c>
      <x:c r="M357" s="215" t="str">
        <x:v>Use only as an initial screen; confirm with nodes, leaves, flowers, and fruit.</x:v>
      </x:c>
      <x:c r="N357" s="215" t="str">
        <x:v>Fits local Paronychia-, Drymaria-, and Silene-type routes in the carried Hays inventory.</x:v>
      </x:c>
      <x:c r="O357" s="215" t="str">
        <x:v>Low</x:v>
      </x:c>
      <x:c r="P357" s="215" t="str">
        <x:v>No</x:v>
      </x:c>
      <x:c r="Q357" s="215" t="str"/>
      <x:c r="R357" s="215" t="str">
        <x:v>CAR-LK01; CAR-LK02</x:v>
      </x:c>
      <x:c r="S357" s="215" t="str">
        <x:v>APWEB-CARY; FNA-CARY; POWO-CARY; LBJ-HAYS</x:v>
      </x:c>
      <x:c r="T357" s="215" t="str">
        <x:v>https://www.mobot.org/MOBOT/research/APweb/orders/caryophyllalesweb.htm</x:v>
      </x:c>
      <x:c r="U357" s="215" t="str">
        <x:v>https://floranorthamerica.org/Caryophyllaceae</x:v>
      </x:c>
      <x:c r="V357" s="215" t="str">
        <x:v>https://powo.science.kew.org/taxon/urn:lsid:ipni.org:names:30000815-2/general-information</x:v>
      </x:c>
      <x:c r="W357" s="215" t="str">
        <x:v>https://www.mobot.org/MOBOT/research/APweb/orders/caryophyllalesweb.htm
https://floranorthamerica.org/Caryophyllaceae
https://powo.science.kew.org/taxon/urn:lsid:ipni.org:names:30000815-2/general-information
https://www.wildflower.org/collections/collection.php?collection=hays</x:v>
      </x:c>
      <x:c r="X357" s="215" t="str">
        <x:v>No — retain qualifiers and exceptions</x:v>
      </x:c>
      <x:c r="Y357" s="215" t="str">
        <x:v>Yes</x:v>
      </x:c>
      <x:c r="Z357" s="215" t="str">
        <x:v>Source-backed draft</x:v>
      </x:c>
    </x:row>
    <x:row r="358" ht="42" customHeight="1">
      <x:c r="A358" s="215" t="str">
        <x:v>Caryophyllaceae</x:v>
      </x:c>
      <x:c r="B358" s="215" t="str">
        <x:v>CAR-NODES</x:v>
      </x:c>
      <x:c r="C358" s="215" t="str">
        <x:v>Family-wide, common</x:v>
      </x:c>
      <x:c r="D358" s="215" t="str">
        <x:v>Stem</x:v>
      </x:c>
      <x:c r="E358" s="215" t="str">
        <x:v>Nodes often swollen</x:v>
      </x:c>
      <x:c r="F358" s="215" t="str">
        <x:v>Strong</x:v>
      </x:c>
      <x:c r="G358" s="215" t="str">
        <x:v>4</x:v>
      </x:c>
      <x:c r="H358" s="215" t="str">
        <x:v>Moderate</x:v>
      </x:c>
      <x:c r="I358" s="215" t="str">
        <x:v>Naked eye</x:v>
      </x:c>
      <x:c r="J358" s="215" t="str">
        <x:v>Vegetative or flowering</x:v>
      </x:c>
      <x:c r="K358" s="215" t="str">
        <x:v>The stem joints are frequently visibly thickened.</x:v>
      </x:c>
      <x:c r="L358" s="215" t="str">
        <x:v>Swelling is common rather than universal and may be subtle on fine or prostrate stems.</x:v>
      </x:c>
      <x:c r="M358" s="215" t="str">
        <x:v>Pair with opposite simple leaves and floral characters; never reject the family when nodes are not swollen.</x:v>
      </x:c>
      <x:c r="N358" s="215" t="str">
        <x:v>A practical field cue in many local pink-family herbs.</x:v>
      </x:c>
      <x:c r="O358" s="215" t="str">
        <x:v>Low</x:v>
      </x:c>
      <x:c r="P358" s="215" t="str">
        <x:v>No</x:v>
      </x:c>
      <x:c r="Q358" s="215" t="str"/>
      <x:c r="R358" s="215" t="str">
        <x:v>CAR-LK01</x:v>
      </x:c>
      <x:c r="S358" s="215" t="str">
        <x:v>APWEB-CARY; FNA-CARY; POWO-CARY; LBJ-HAYS</x:v>
      </x:c>
      <x:c r="T358" s="215" t="str">
        <x:v>https://www.mobot.org/MOBOT/research/APweb/orders/caryophyllalesweb.htm</x:v>
      </x:c>
      <x:c r="U358" s="215" t="str">
        <x:v>https://floranorthamerica.org/Caryophyllaceae</x:v>
      </x:c>
      <x:c r="V358" s="215" t="str">
        <x:v>https://powo.science.kew.org/taxon/urn:lsid:ipni.org:names:30000815-2/general-information</x:v>
      </x:c>
      <x:c r="W358" s="215" t="str">
        <x:v>https://www.mobot.org/MOBOT/research/APweb/orders/caryophyllalesweb.htm
https://floranorthamerica.org/Caryophyllaceae
https://powo.science.kew.org/taxon/urn:lsid:ipni.org:names:30000815-2/general-information
https://www.wildflower.org/collections/collection.php?collection=hays</x:v>
      </x:c>
      <x:c r="X358" s="215" t="str">
        <x:v>No — retain qualifiers and exceptions</x:v>
      </x:c>
      <x:c r="Y358" s="215" t="str">
        <x:v>Yes</x:v>
      </x:c>
      <x:c r="Z358" s="215" t="str">
        <x:v>Source-backed draft</x:v>
      </x:c>
    </x:row>
    <x:row r="359" ht="42" customHeight="1">
      <x:c r="A359" s="215" t="str">
        <x:v>Caryophyllaceae</x:v>
      </x:c>
      <x:c r="B359" s="215" t="str">
        <x:v>CAR-LEAVES</x:v>
      </x:c>
      <x:c r="C359" s="215" t="str">
        <x:v>Family-wide, predominant</x:v>
      </x:c>
      <x:c r="D359" s="215" t="str">
        <x:v>Leaf</x:v>
      </x:c>
      <x:c r="E359" s="215" t="str">
        <x:v>Leaves usually opposite, simple, and entire</x:v>
      </x:c>
      <x:c r="F359" s="215" t="str">
        <x:v>Strong</x:v>
      </x:c>
      <x:c r="G359" s="215" t="str">
        <x:v>4</x:v>
      </x:c>
      <x:c r="H359" s="215" t="str">
        <x:v>High</x:v>
      </x:c>
      <x:c r="I359" s="215" t="str">
        <x:v>Naked eye</x:v>
      </x:c>
      <x:c r="J359" s="215" t="str">
        <x:v>Vegetative or flowering</x:v>
      </x:c>
      <x:c r="K359" s="215" t="str">
        <x:v>Leaves commonly occur in opposite pairs and lack teeth or lobes.</x:v>
      </x:c>
      <x:c r="L359" s="215" t="str">
        <x:v>Leaves may be whorled, pseudo-whorled, or rarely alternate; stipules may be present or absent.</x:v>
      </x:c>
      <x:c r="M359" s="215" t="str">
        <x:v>A useful vegetative screen, especially with swollen nodes; confirm reproductively.</x:v>
      </x:c>
      <x:c r="N359" s="215" t="str">
        <x:v>Useful across several Hays County herb routes, but not sufficient alone.</x:v>
      </x:c>
      <x:c r="O359" s="215" t="str">
        <x:v>Low</x:v>
      </x:c>
      <x:c r="P359" s="215" t="str">
        <x:v>No</x:v>
      </x:c>
      <x:c r="Q359" s="215" t="str"/>
      <x:c r="R359" s="215" t="str">
        <x:v>CAR-LK01; CAR-LK02</x:v>
      </x:c>
      <x:c r="S359" s="215" t="str">
        <x:v>APWEB-CARY; FNA-CARY; POWO-CARY; LBJ-HAYS</x:v>
      </x:c>
      <x:c r="T359" s="215" t="str">
        <x:v>https://www.mobot.org/MOBOT/research/APweb/orders/caryophyllalesweb.htm</x:v>
      </x:c>
      <x:c r="U359" s="215" t="str">
        <x:v>https://floranorthamerica.org/Caryophyllaceae</x:v>
      </x:c>
      <x:c r="V359" s="215" t="str">
        <x:v>https://powo.science.kew.org/taxon/urn:lsid:ipni.org:names:30000815-2/general-information</x:v>
      </x:c>
      <x:c r="W359" s="215" t="str">
        <x:v>https://www.mobot.org/MOBOT/research/APweb/orders/caryophyllalesweb.htm
https://floranorthamerica.org/Caryophyllaceae
https://powo.science.kew.org/taxon/urn:lsid:ipni.org:names:30000815-2/general-information
https://www.wildflower.org/collections/collection.php?collection=hays</x:v>
      </x:c>
      <x:c r="X359" s="215" t="str">
        <x:v>No — retain qualifiers and exceptions</x:v>
      </x:c>
      <x:c r="Y359" s="215" t="str">
        <x:v>Yes</x:v>
      </x:c>
      <x:c r="Z359" s="215" t="str">
        <x:v>Source-backed draft</x:v>
      </x:c>
    </x:row>
    <x:row r="360" ht="42" customHeight="1">
      <x:c r="A360" s="215" t="str">
        <x:v>Caryophyllaceae</x:v>
      </x:c>
      <x:c r="B360" s="215" t="str">
        <x:v>CAR-FLOWER</x:v>
      </x:c>
      <x:c r="C360" s="215" t="str">
        <x:v>Family-wide</x:v>
      </x:c>
      <x:c r="D360" s="215" t="str">
        <x:v>Flower</x:v>
      </x:c>
      <x:c r="E360" s="215" t="str">
        <x:v>Flowers radial and usually 4- or 5-merous</x:v>
      </x:c>
      <x:c r="F360" s="215" t="str">
        <x:v>Strong</x:v>
      </x:c>
      <x:c r="G360" s="215" t="str">
        <x:v>4</x:v>
      </x:c>
      <x:c r="H360" s="215" t="str">
        <x:v>High</x:v>
      </x:c>
      <x:c r="I360" s="215" t="str">
        <x:v>Naked eye or hand lens</x:v>
      </x:c>
      <x:c r="J360" s="215" t="str">
        <x:v>Flowering</x:v>
      </x:c>
      <x:c r="K360" s="215" t="str">
        <x:v>Sepals and petals, when petals are present, are commonly in fours or fives.</x:v>
      </x:c>
      <x:c r="L360" s="215" t="str">
        <x:v>Petals may be absent and flowers may occasionally be unisexual; merosity has exceptions.</x:v>
      </x:c>
      <x:c r="M360" s="215" t="str">
        <x:v>Combine with superior ovary and free-central or basal placentation.</x:v>
      </x:c>
      <x:c r="N360" s="215" t="str">
        <x:v>Useful on intact local flowers, including small inconspicuous species.</x:v>
      </x:c>
      <x:c r="O360" s="215" t="str">
        <x:v>Low</x:v>
      </x:c>
      <x:c r="P360" s="215" t="str">
        <x:v>No</x:v>
      </x:c>
      <x:c r="Q360" s="215" t="str"/>
      <x:c r="R360" s="215" t="str">
        <x:v>CAR-LK02</x:v>
      </x:c>
      <x:c r="S360" s="215" t="str">
        <x:v>APWEB-CARY; FNA-CARY; POWO-CARY; LBJ-HAYS</x:v>
      </x:c>
      <x:c r="T360" s="215" t="str">
        <x:v>https://www.mobot.org/MOBOT/research/APweb/orders/caryophyllalesweb.htm</x:v>
      </x:c>
      <x:c r="U360" s="215" t="str">
        <x:v>https://floranorthamerica.org/Caryophyllaceae</x:v>
      </x:c>
      <x:c r="V360" s="215" t="str">
        <x:v>https://powo.science.kew.org/taxon/urn:lsid:ipni.org:names:30000815-2/general-information</x:v>
      </x:c>
      <x:c r="W360" s="215" t="str">
        <x:v>https://www.mobot.org/MOBOT/research/APweb/orders/caryophyllalesweb.htm
https://floranorthamerica.org/Caryophyllaceae
https://powo.science.kew.org/taxon/urn:lsid:ipni.org:names:30000815-2/general-information
https://www.wildflower.org/collections/collection.php?collection=hays</x:v>
      </x:c>
      <x:c r="X360" s="215" t="str">
        <x:v>No — retain qualifiers and exceptions</x:v>
      </x:c>
      <x:c r="Y360" s="215" t="str">
        <x:v>Yes</x:v>
      </x:c>
      <x:c r="Z360" s="215" t="str">
        <x:v>Source-backed draft</x:v>
      </x:c>
    </x:row>
    <x:row r="361" ht="42" customHeight="1">
      <x:c r="A361" s="215" t="str">
        <x:v>Caryophyllaceae</x:v>
      </x:c>
      <x:c r="B361" s="215" t="str">
        <x:v>CAR-SEPALS</x:v>
      </x:c>
      <x:c r="C361" s="215" t="str">
        <x:v>Family-wide</x:v>
      </x:c>
      <x:c r="D361" s="215" t="str">
        <x:v>Calyx</x:v>
      </x:c>
      <x:c r="E361" s="215" t="str">
        <x:v>Sepals persistent, free or basally fused</x:v>
      </x:c>
      <x:c r="F361" s="215" t="str">
        <x:v>Strong</x:v>
      </x:c>
      <x:c r="G361" s="215" t="str">
        <x:v>3</x:v>
      </x:c>
      <x:c r="H361" s="215" t="str">
        <x:v>High</x:v>
      </x:c>
      <x:c r="I361" s="215" t="str">
        <x:v>Hand lens</x:v>
      </x:c>
      <x:c r="J361" s="215" t="str">
        <x:v>Flowering through fruiting</x:v>
      </x:c>
      <x:c r="K361" s="215" t="str">
        <x:v>The sepals usually remain around the developing fruit.</x:v>
      </x:c>
      <x:c r="L361" s="215" t="str">
        <x:v>Some groups have separate sepals and others a cup or tube; the family cannot be keyed by fusion alone.</x:v>
      </x:c>
      <x:c r="M361" s="215" t="str">
        <x:v>Persistence supports identification and helps route subgroups.</x:v>
      </x:c>
      <x:c r="N361" s="215" t="str">
        <x:v>Especially useful on weathered Hays material carrying capsules or utricles.</x:v>
      </x:c>
      <x:c r="O361" s="215" t="str">
        <x:v>Low</x:v>
      </x:c>
      <x:c r="P361" s="215" t="str">
        <x:v>No</x:v>
      </x:c>
      <x:c r="Q361" s="215" t="str"/>
      <x:c r="R361" s="215" t="str">
        <x:v>CAR-LK02</x:v>
      </x:c>
      <x:c r="S361" s="215" t="str">
        <x:v>APWEB-CARY; FNA-CARY; POWO-CARY; LBJ-HAYS</x:v>
      </x:c>
      <x:c r="T361" s="215" t="str">
        <x:v>https://www.mobot.org/MOBOT/research/APweb/orders/caryophyllalesweb.htm</x:v>
      </x:c>
      <x:c r="U361" s="215" t="str">
        <x:v>https://floranorthamerica.org/Caryophyllaceae</x:v>
      </x:c>
      <x:c r="V361" s="215" t="str">
        <x:v>https://powo.science.kew.org/taxon/urn:lsid:ipni.org:names:30000815-2/general-information</x:v>
      </x:c>
      <x:c r="W361" s="215" t="str">
        <x:v>https://www.mobot.org/MOBOT/research/APweb/orders/caryophyllalesweb.htm
https://floranorthamerica.org/Caryophyllaceae
https://powo.science.kew.org/taxon/urn:lsid:ipni.org:names:30000815-2/general-information
https://www.wildflower.org/collections/collection.php?collection=hays</x:v>
      </x:c>
      <x:c r="X361" s="215" t="str">
        <x:v>No — retain qualifiers and exceptions</x:v>
      </x:c>
      <x:c r="Y361" s="215" t="str">
        <x:v>Yes</x:v>
      </x:c>
      <x:c r="Z361" s="215" t="str">
        <x:v>Source-backed draft</x:v>
      </x:c>
    </x:row>
    <x:row r="362" ht="42" customHeight="1">
      <x:c r="A362" s="215" t="str">
        <x:v>Caryophyllaceae</x:v>
      </x:c>
      <x:c r="B362" s="215" t="str">
        <x:v>CAR-PETALS</x:v>
      </x:c>
      <x:c r="C362" s="215" t="str">
        <x:v>Family-wide, variable</x:v>
      </x:c>
      <x:c r="D362" s="215" t="str">
        <x:v>Corolla</x:v>
      </x:c>
      <x:c r="E362" s="215" t="str">
        <x:v>Petals often clawed or notched, but sometimes absent</x:v>
      </x:c>
      <x:c r="F362" s="215" t="str">
        <x:v>Supporting</x:v>
      </x:c>
      <x:c r="G362" s="215" t="str">
        <x:v>3</x:v>
      </x:c>
      <x:c r="H362" s="215" t="str">
        <x:v>Moderate</x:v>
      </x:c>
      <x:c r="I362" s="215" t="str">
        <x:v>Naked eye or hand lens</x:v>
      </x:c>
      <x:c r="J362" s="215" t="str">
        <x:v>Fresh flowers</x:v>
      </x:c>
      <x:c r="K362" s="215" t="str">
        <x:v>Many members have a narrow petal base and a notched or divided blade.</x:v>
      </x:c>
      <x:c r="L362" s="215" t="str">
        <x:v>Petals may be entire, fugacious, rudimentary, or absent; some appendages have disputed interpretation.</x:v>
      </x:c>
      <x:c r="M362" s="215" t="str">
        <x:v>Use as a positive clue, not an exclusion rule.</x:v>
      </x:c>
      <x:c r="N362" s="215" t="str">
        <x:v>Helpful in Silene- and chickweed-like plants; unreliable in Paronychia-like plants.</x:v>
      </x:c>
      <x:c r="O362" s="215" t="str">
        <x:v>Medium</x:v>
      </x:c>
      <x:c r="P362" s="215" t="str">
        <x:v>No</x:v>
      </x:c>
      <x:c r="Q362" s="215" t="str"/>
      <x:c r="R362" s="215" t="str">
        <x:v>CAR-LK02</x:v>
      </x:c>
      <x:c r="S362" s="215" t="str">
        <x:v>APWEB-CARY; FNA-CARY; POWO-CARY; LBJ-HAYS</x:v>
      </x:c>
      <x:c r="T362" s="215" t="str">
        <x:v>https://www.mobot.org/MOBOT/research/APweb/orders/caryophyllalesweb.htm</x:v>
      </x:c>
      <x:c r="U362" s="215" t="str">
        <x:v>https://floranorthamerica.org/Caryophyllaceae</x:v>
      </x:c>
      <x:c r="V362" s="215" t="str">
        <x:v>https://powo.science.kew.org/taxon/urn:lsid:ipni.org:names:30000815-2/general-information</x:v>
      </x:c>
      <x:c r="W362" s="215" t="str">
        <x:v>https://www.mobot.org/MOBOT/research/APweb/orders/caryophyllalesweb.htm
https://floranorthamerica.org/Caryophyllaceae
https://powo.science.kew.org/taxon/urn:lsid:ipni.org:names:30000815-2/general-information
https://www.wildflower.org/collections/collection.php?collection=hays</x:v>
      </x:c>
      <x:c r="X362" s="215" t="str">
        <x:v>No — retain qualifiers and exceptions</x:v>
      </x:c>
      <x:c r="Y362" s="215" t="str">
        <x:v>Yes</x:v>
      </x:c>
      <x:c r="Z362" s="215" t="str">
        <x:v>Source-backed draft</x:v>
      </x:c>
    </x:row>
    <x:row r="363" ht="42" customHeight="1">
      <x:c r="A363" s="215" t="str">
        <x:v>Caryophyllaceae</x:v>
      </x:c>
      <x:c r="B363" s="215" t="str">
        <x:v>CAR-OVARY</x:v>
      </x:c>
      <x:c r="C363" s="215" t="str">
        <x:v>Family-wide, predominant</x:v>
      </x:c>
      <x:c r="D363" s="215" t="str">
        <x:v>Gynoecium</x:v>
      </x:c>
      <x:c r="E363" s="215" t="str">
        <x:v>Ovary superior, commonly one-locular with free-central or basal placentation</x:v>
      </x:c>
      <x:c r="F363" s="215" t="str">
        <x:v>Core</x:v>
      </x:c>
      <x:c r="G363" s="215" t="str">
        <x:v>5</x:v>
      </x:c>
      <x:c r="H363" s="215" t="str">
        <x:v>High</x:v>
      </x:c>
      <x:c r="I363" s="215" t="str">
        <x:v>Hand lens or dissection</x:v>
      </x:c>
      <x:c r="J363" s="215" t="str">
        <x:v>Flowering or young fruit</x:v>
      </x:c>
      <x:c r="K363" s="215" t="str">
        <x:v>Ovules usually attach to a central column or the base rather than to a full partition.</x:v>
      </x:c>
      <x:c r="L363" s="215" t="str">
        <x:v>Some ovaries are partly divided or 3–5-locular proximally; placentation often needs dissection.</x:v>
      </x:c>
      <x:c r="M363" s="215" t="str">
        <x:v>A strong confirmation when paired with persistent sepals and capsule or utricle fruit.</x:v>
      </x:c>
      <x:c r="N363" s="215" t="str">
        <x:v>Useful when small local flowers make superficial identification uncertain.</x:v>
      </x:c>
      <x:c r="O363" s="215" t="str">
        <x:v>Low</x:v>
      </x:c>
      <x:c r="P363" s="215" t="str">
        <x:v>No</x:v>
      </x:c>
      <x:c r="Q363" s="215" t="str"/>
      <x:c r="R363" s="215" t="str">
        <x:v>CAR-LK02</x:v>
      </x:c>
      <x:c r="S363" s="215" t="str">
        <x:v>APWEB-CARY; FNA-CARY; POWO-CARY; LBJ-HAYS</x:v>
      </x:c>
      <x:c r="T363" s="215" t="str">
        <x:v>https://www.mobot.org/MOBOT/research/APweb/orders/caryophyllalesweb.htm</x:v>
      </x:c>
      <x:c r="U363" s="215" t="str">
        <x:v>https://floranorthamerica.org/Caryophyllaceae</x:v>
      </x:c>
      <x:c r="V363" s="215" t="str">
        <x:v>https://powo.science.kew.org/taxon/urn:lsid:ipni.org:names:30000815-2/general-information</x:v>
      </x:c>
      <x:c r="W363" s="215" t="str">
        <x:v>https://www.mobot.org/MOBOT/research/APweb/orders/caryophyllalesweb.htm
https://floranorthamerica.org/Caryophyllaceae
https://powo.science.kew.org/taxon/urn:lsid:ipni.org:names:30000815-2/general-information
https://www.wildflower.org/collections/collection.php?collection=hays</x:v>
      </x:c>
      <x:c r="X363" s="215" t="str">
        <x:v>No — retain qualifiers and exceptions</x:v>
      </x:c>
      <x:c r="Y363" s="215" t="str">
        <x:v>Yes</x:v>
      </x:c>
      <x:c r="Z363" s="215" t="str">
        <x:v>Source-backed draft</x:v>
      </x:c>
    </x:row>
    <x:row r="364" ht="42" customHeight="1">
      <x:c r="A364" s="215" t="str">
        <x:v>Caryophyllaceae</x:v>
      </x:c>
      <x:c r="B364" s="215" t="str">
        <x:v>CAR-STYLES</x:v>
      </x:c>
      <x:c r="C364" s="215" t="str">
        <x:v>Family-wide, variable</x:v>
      </x:c>
      <x:c r="D364" s="215" t="str">
        <x:v>Gynoecium</x:v>
      </x:c>
      <x:c r="E364" s="215" t="str">
        <x:v>Usually 2–5 styles or stigmas</x:v>
      </x:c>
      <x:c r="F364" s="215" t="str">
        <x:v>Supporting</x:v>
      </x:c>
      <x:c r="G364" s="215" t="str">
        <x:v>3</x:v>
      </x:c>
      <x:c r="H364" s="215" t="str">
        <x:v>Moderate</x:v>
      </x:c>
      <x:c r="I364" s="215" t="str">
        <x:v>Hand lens</x:v>
      </x:c>
      <x:c r="J364" s="215" t="str">
        <x:v>Fresh flowers</x:v>
      </x:c>
      <x:c r="K364" s="215" t="str">
        <x:v>The ovary commonly ends in several style or stigma branches.</x:v>
      </x:c>
      <x:c r="L364" s="215" t="str">
        <x:v>The family ranges from one to six styles or stigmas and staminate flowers lack them.</x:v>
      </x:c>
      <x:c r="M364" s="215" t="str">
        <x:v>Count only intact receptive flowers and use with fruit-opening pattern.</x:v>
      </x:c>
      <x:c r="N364" s="215" t="str">
        <x:v>Can separate local pink-family routes from superficially similar herbs.</x:v>
      </x:c>
      <x:c r="O364" s="215" t="str">
        <x:v>Low</x:v>
      </x:c>
      <x:c r="P364" s="215" t="str">
        <x:v>No</x:v>
      </x:c>
      <x:c r="Q364" s="215" t="str"/>
      <x:c r="R364" s="215" t="str">
        <x:v>CAR-LK02</x:v>
      </x:c>
      <x:c r="S364" s="215" t="str">
        <x:v>APWEB-CARY; FNA-CARY; POWO-CARY; LBJ-HAYS</x:v>
      </x:c>
      <x:c r="T364" s="215" t="str">
        <x:v>https://www.mobot.org/MOBOT/research/APweb/orders/caryophyllalesweb.htm</x:v>
      </x:c>
      <x:c r="U364" s="215" t="str">
        <x:v>https://floranorthamerica.org/Caryophyllaceae</x:v>
      </x:c>
      <x:c r="V364" s="215" t="str">
        <x:v>https://powo.science.kew.org/taxon/urn:lsid:ipni.org:names:30000815-2/general-information</x:v>
      </x:c>
      <x:c r="W364" s="215" t="str">
        <x:v>https://www.mobot.org/MOBOT/research/APweb/orders/caryophyllalesweb.htm
https://floranorthamerica.org/Caryophyllaceae
https://powo.science.kew.org/taxon/urn:lsid:ipni.org:names:30000815-2/general-information
https://www.wildflower.org/collections/collection.php?collection=hays</x:v>
      </x:c>
      <x:c r="X364" s="215" t="str">
        <x:v>No — retain qualifiers and exceptions</x:v>
      </x:c>
      <x:c r="Y364" s="215" t="str">
        <x:v>Yes</x:v>
      </x:c>
      <x:c r="Z364" s="215" t="str">
        <x:v>Source-backed draft</x:v>
      </x:c>
    </x:row>
    <x:row r="365" ht="42" customHeight="1">
      <x:c r="A365" s="215" t="str">
        <x:v>Caryophyllaceae</x:v>
      </x:c>
      <x:c r="B365" s="215" t="str">
        <x:v>CAR-FRUIT</x:v>
      </x:c>
      <x:c r="C365" s="215" t="str">
        <x:v>Family-wide</x:v>
      </x:c>
      <x:c r="D365" s="215" t="str">
        <x:v>Fruit</x:v>
      </x:c>
      <x:c r="E365" s="215" t="str">
        <x:v>Fruit usually a capsule or an indehiscent utricle</x:v>
      </x:c>
      <x:c r="F365" s="215" t="str">
        <x:v>Core</x:v>
      </x:c>
      <x:c r="G365" s="215" t="str">
        <x:v>5</x:v>
      </x:c>
      <x:c r="H365" s="215" t="str">
        <x:v>High</x:v>
      </x:c>
      <x:c r="I365" s="215" t="str">
        <x:v>Naked eye or hand lens</x:v>
      </x:c>
      <x:c r="J365" s="215" t="str">
        <x:v>Mature fruit</x:v>
      </x:c>
      <x:c r="K365" s="215" t="str">
        <x:v>Mature fruits either open by valves or teeth or remain as a small one-seeded utricle.</x:v>
      </x:c>
      <x:c r="L365" s="215" t="str">
        <x:v>Fruit type varies by subgroup and immature fruit may conceal the opening mechanism.</x:v>
      </x:c>
      <x:c r="M365" s="215" t="str">
        <x:v>One of the best late-season confirmations; link it to placentation and sepal persistence.</x:v>
      </x:c>
      <x:c r="N365" s="215" t="str">
        <x:v>High-value evidence for local Paronychia versus capsule-bearing routes.</x:v>
      </x:c>
      <x:c r="O365" s="215" t="str">
        <x:v>Low</x:v>
      </x:c>
      <x:c r="P365" s="215" t="str">
        <x:v>No</x:v>
      </x:c>
      <x:c r="Q365" s="215" t="str"/>
      <x:c r="R365" s="215" t="str">
        <x:v>CAR-LK02</x:v>
      </x:c>
      <x:c r="S365" s="215" t="str">
        <x:v>APWEB-CARY; FNA-CARY; POWO-CARY; LBJ-HAYS</x:v>
      </x:c>
      <x:c r="T365" s="215" t="str">
        <x:v>https://www.mobot.org/MOBOT/research/APweb/orders/caryophyllalesweb.htm</x:v>
      </x:c>
      <x:c r="U365" s="215" t="str">
        <x:v>https://floranorthamerica.org/Caryophyllaceae</x:v>
      </x:c>
      <x:c r="V365" s="215" t="str">
        <x:v>https://powo.science.kew.org/taxon/urn:lsid:ipni.org:names:30000815-2/general-information</x:v>
      </x:c>
      <x:c r="W365" s="215" t="str">
        <x:v>https://www.mobot.org/MOBOT/research/APweb/orders/caryophyllalesweb.htm
https://floranorthamerica.org/Caryophyllaceae
https://powo.science.kew.org/taxon/urn:lsid:ipni.org:names:30000815-2/general-information
https://www.wildflower.org/collections/collection.php?collection=hays</x:v>
      </x:c>
      <x:c r="X365" s="215" t="str">
        <x:v>No — retain qualifiers and exceptions</x:v>
      </x:c>
      <x:c r="Y365" s="215" t="str">
        <x:v>Yes</x:v>
      </x:c>
      <x:c r="Z365" s="215" t="str">
        <x:v>Source-backed draft</x:v>
      </x:c>
    </x:row>
    <x:row r="366" ht="42" customHeight="1">
      <x:c r="A366" s="215" t="str">
        <x:v>Caryophyllaceae</x:v>
      </x:c>
      <x:c r="B366" s="215" t="str">
        <x:v>CAR-LK01</x:v>
      </x:c>
      <x:c r="C366" s="215" t="str">
        <x:v>Lookalike comparison</x:v>
      </x:c>
      <x:c r="D366" s="215" t="str">
        <x:v>Lookalike</x:v>
      </x:c>
      <x:c r="E366" s="215" t="str">
        <x:v>Versus Rubiaceae/Galium: Caryophyllaceae lacks interpetiolar stipules and usually has a superior ovary</x:v>
      </x:c>
      <x:c r="F366" s="215" t="str">
        <x:v>Lookalike</x:v>
      </x:c>
      <x:c r="G366" s="215" t="str">
        <x:v>4</x:v>
      </x:c>
      <x:c r="H366" s="215" t="str">
        <x:v>High</x:v>
      </x:c>
      <x:c r="I366" s="215" t="str">
        <x:v>Hand lens</x:v>
      </x:c>
      <x:c r="J366" s="215" t="str">
        <x:v>Flowering</x:v>
      </x:c>
      <x:c r="K366" s="215" t="str">
        <x:v>Opposite-leaved bedstraw-like plants can look similar, but Rubiaceae commonly shows stipules between leaf bases and an inferior ovary.</x:v>
      </x:c>
      <x:c r="L366" s="215" t="str">
        <x:v>Scarious stipules occur in some Caryophyllaceae and Galium leaves can appear whorled because stipules resemble leaves.</x:v>
      </x:c>
      <x:c r="M366" s="215" t="str">
        <x:v>Inspect the node and ovary position together; do not use apparent leaf whorls alone.</x:v>
      </x:c>
      <x:c r="N366" s="215" t="str">
        <x:v>Rubiaceae already has first-pass coverage, so this comparison is merge-linked.</x:v>
      </x:c>
      <x:c r="O366" s="215" t="str">
        <x:v>Low</x:v>
      </x:c>
      <x:c r="P366" s="215" t="str">
        <x:v>No</x:v>
      </x:c>
      <x:c r="Q366" s="215" t="str"/>
      <x:c r="R366" s="215" t="str">
        <x:v>CAR-LEAVES; CAR-OVARY</x:v>
      </x:c>
      <x:c r="S366" s="215" t="str">
        <x:v>APWEB-CARY; FNA-CARY; POWO-CARY; LBJ-HAYS</x:v>
      </x:c>
      <x:c r="T366" s="215" t="str">
        <x:v>https://www.mobot.org/MOBOT/research/APweb/orders/caryophyllalesweb.htm</x:v>
      </x:c>
      <x:c r="U366" s="215" t="str">
        <x:v>https://floranorthamerica.org/Caryophyllaceae</x:v>
      </x:c>
      <x:c r="V366" s="215" t="str">
        <x:v>https://powo.science.kew.org/taxon/urn:lsid:ipni.org:names:30000815-2/general-information</x:v>
      </x:c>
      <x:c r="W366" s="215" t="str">
        <x:v>https://www.mobot.org/MOBOT/research/APweb/orders/caryophyllalesweb.htm
https://floranorthamerica.org/Caryophyllaceae
https://powo.science.kew.org/taxon/urn:lsid:ipni.org:names:30000815-2/general-information
https://www.wildflower.org/collections/collection.php?collection=hays</x:v>
      </x:c>
      <x:c r="X366" s="215" t="str">
        <x:v>No — retain qualifiers and exceptions</x:v>
      </x:c>
      <x:c r="Y366" s="215" t="str">
        <x:v>Yes</x:v>
      </x:c>
      <x:c r="Z366" s="215" t="str">
        <x:v>Source-backed draft</x:v>
      </x:c>
    </x:row>
    <x:row r="367" ht="42" customHeight="1">
      <x:c r="A367" s="215" t="str">
        <x:v>Caryophyllaceae</x:v>
      </x:c>
      <x:c r="B367" s="215" t="str">
        <x:v>CAR-LK02</x:v>
      </x:c>
      <x:c r="C367" s="215" t="str">
        <x:v>Lookalike comparison</x:v>
      </x:c>
      <x:c r="D367" s="215" t="str">
        <x:v>Lookalike</x:v>
      </x:c>
      <x:c r="E367" s="215" t="str">
        <x:v>Versus Amaranthaceae/Polygonaceae: opposite entire leaves plus persistent 4–5-merous calyx and capsule/utricle suite</x:v>
      </x:c>
      <x:c r="F367" s="215" t="str">
        <x:v>Lookalike</x:v>
      </x:c>
      <x:c r="G367" s="215" t="str">
        <x:v>3</x:v>
      </x:c>
      <x:c r="H367" s="215" t="str">
        <x:v>Moderate</x:v>
      </x:c>
      <x:c r="I367" s="215" t="str">
        <x:v>Hand lens</x:v>
      </x:c>
      <x:c r="J367" s="215" t="str">
        <x:v>Flowering or fruiting</x:v>
      </x:c>
      <x:c r="K367" s="215" t="str">
        <x:v>Pink-family herbs are separated by the full floral and fruit suite rather than leaf shape alone.</x:v>
      </x:c>
      <x:c r="L367" s="215" t="str">
        <x:v>Caryophyllales families overlap strongly; reduced flowers or absent petals make the comparison difficult.</x:v>
      </x:c>
      <x:c r="M367" s="215" t="str">
        <x:v>Prioritize ovary, placentation, and fruit; retain uncertainty on sterile material.</x:v>
      </x:c>
      <x:c r="N367" s="215" t="str">
        <x:v>Both comparison families already have first-pass coverage in the master.</x:v>
      </x:c>
      <x:c r="O367" s="215" t="str">
        <x:v>Medium</x:v>
      </x:c>
      <x:c r="P367" s="215" t="str">
        <x:v>No</x:v>
      </x:c>
      <x:c r="Q367" s="215" t="str"/>
      <x:c r="R367" s="215" t="str">
        <x:v>CAR-FLOWER; CAR-OVARY; CAR-FRUIT</x:v>
      </x:c>
      <x:c r="S367" s="215" t="str">
        <x:v>APWEB-CARY; FNA-CARY; POWO-CARY; LBJ-HAYS</x:v>
      </x:c>
      <x:c r="T367" s="215" t="str">
        <x:v>https://www.mobot.org/MOBOT/research/APweb/orders/caryophyllalesweb.htm</x:v>
      </x:c>
      <x:c r="U367" s="215" t="str">
        <x:v>https://floranorthamerica.org/Caryophyllaceae</x:v>
      </x:c>
      <x:c r="V367" s="215" t="str">
        <x:v>https://powo.science.kew.org/taxon/urn:lsid:ipni.org:names:30000815-2/general-information</x:v>
      </x:c>
      <x:c r="W367" s="215" t="str">
        <x:v>https://www.mobot.org/MOBOT/research/APweb/orders/caryophyllalesweb.htm
https://floranorthamerica.org/Caryophyllaceae
https://powo.science.kew.org/taxon/urn:lsid:ipni.org:names:30000815-2/general-information
https://www.wildflower.org/collections/collection.php?collection=hays</x:v>
      </x:c>
      <x:c r="X367" s="215" t="str">
        <x:v>No — retain qualifiers and exceptions</x:v>
      </x:c>
      <x:c r="Y367" s="215" t="str">
        <x:v>Yes</x:v>
      </x:c>
      <x:c r="Z367" s="215" t="str">
        <x:v>Source-backed draft</x:v>
      </x:c>
    </x:row>
    <x:row r="368" ht="42" customHeight="1">
      <x:c r="A368" s="215" t="str">
        <x:v>Anacardiaceae</x:v>
      </x:c>
      <x:c r="B368" s="215" t="str">
        <x:v>ANA-HABIT</x:v>
      </x:c>
      <x:c r="C368" s="215" t="str">
        <x:v>Family-wide, predominant</x:v>
      </x:c>
      <x:c r="D368" s="215" t="str">
        <x:v>Habit</x:v>
      </x:c>
      <x:c r="E368" s="215" t="str">
        <x:v>Trees or shrubs, rarely other habits</x:v>
      </x:c>
      <x:c r="F368" s="215" t="str">
        <x:v>Supporting</x:v>
      </x:c>
      <x:c r="G368" s="215" t="str">
        <x:v>2</x:v>
      </x:c>
      <x:c r="H368" s="215" t="str">
        <x:v>High</x:v>
      </x:c>
      <x:c r="I368" s="215" t="str">
        <x:v>Naked eye</x:v>
      </x:c>
      <x:c r="J368" s="215" t="str">
        <x:v>Any season</x:v>
      </x:c>
      <x:c r="K368" s="215" t="str">
        <x:v>Local members are woody plants.</x:v>
      </x:c>
      <x:c r="L368" s="215" t="str">
        <x:v>The global family occasionally includes herbs or lianas.</x:v>
      </x:c>
      <x:c r="M368" s="215" t="str">
        <x:v>Use as a screen before checking sap, leaves, flowers, and fruit.</x:v>
      </x:c>
      <x:c r="N368" s="215" t="str">
        <x:v>Strongly relevant to sumac- and poison-ivy-type Hays routes.</x:v>
      </x:c>
      <x:c r="O368" s="215" t="str">
        <x:v>Low</x:v>
      </x:c>
      <x:c r="P368" s="215" t="str">
        <x:v>No</x:v>
      </x:c>
      <x:c r="Q368" s="215" t="str"/>
      <x:c r="R368" s="215" t="str">
        <x:v>ANA-LK01; ANA-LK02</x:v>
      </x:c>
      <x:c r="S368" s="215" t="str">
        <x:v>APWEB-ANAC; POWO-ANAC; LBJ-HAYS</x:v>
      </x:c>
      <x:c r="T368" s="215" t="str">
        <x:v>https://www.mobot.org/MOBOT/research/APweb/orders/sapindalesweb.htm</x:v>
      </x:c>
      <x:c r="U368" s="215" t="str">
        <x:v>https://powo.science.kew.org/taxon/urn:lsid:ipni.org:names:30002342-2/general-information</x:v>
      </x:c>
      <x:c r="V368" s="215" t="str">
        <x:v>https://powo.science.kew.org/taxon/urn:lsid:ipni.org:names:30002342-2</x:v>
      </x:c>
      <x:c r="W368" s="215" t="str">
        <x:v>https://www.mobot.org/MOBOT/research/APweb/orders/sapindalesweb.htm
https://powo.science.kew.org/taxon/urn:lsid:ipni.org:names:30002342-2/general-information
https://powo.science.kew.org/taxon/urn:lsid:ipni.org:names:30002342-2
https://www.wildflower.org/collections/collection.php?collection=hays</x:v>
      </x:c>
      <x:c r="X368" s="215" t="str">
        <x:v>No — retain qualifiers and exceptions</x:v>
      </x:c>
      <x:c r="Y368" s="215" t="str">
        <x:v>Yes</x:v>
      </x:c>
      <x:c r="Z368" s="215" t="str">
        <x:v>Source-backed draft</x:v>
      </x:c>
    </x:row>
    <x:row r="369" ht="42" customHeight="1">
      <x:c r="A369" s="215" t="str">
        <x:v>Anacardiaceae</x:v>
      </x:c>
      <x:c r="B369" s="215" t="str">
        <x:v>ANA-RESIN</x:v>
      </x:c>
      <x:c r="C369" s="215" t="str">
        <x:v>Family-wide, common</x:v>
      </x:c>
      <x:c r="D369" s="215" t="str">
        <x:v>Sap</x:v>
      </x:c>
      <x:c r="E369" s="215" t="str">
        <x:v>Secretory resin canals; sap often clear to milky and drying dark</x:v>
      </x:c>
      <x:c r="F369" s="215" t="str">
        <x:v>Core</x:v>
      </x:c>
      <x:c r="G369" s="215" t="str">
        <x:v>5</x:v>
      </x:c>
      <x:c r="H369" s="215" t="str">
        <x:v>High when safely observed</x:v>
      </x:c>
      <x:c r="I369" s="215" t="str">
        <x:v>Naked eye and odor; avoid skin contact</x:v>
      </x:c>
      <x:c r="J369" s="215" t="str">
        <x:v>Fresh twig, leaf, or bark damage</x:v>
      </x:c>
      <x:c r="K369" s="215" t="str">
        <x:v>Fresh damage may release resinous sap that darkens brown or black.</x:v>
      </x:c>
      <x:c r="L369" s="215" t="str">
        <x:v>Color and amount vary; some exudates cause severe dermatitis, so destructive testing is unsafe and not required.</x:v>
      </x:c>
      <x:c r="M369" s="215" t="str">
        <x:v>Use existing breaks or naturally exuded sap only; combine with stipule-free leaves and drupaceous fruit.</x:v>
      </x:c>
      <x:c r="N369" s="215" t="str">
        <x:v>Highly informative for Rhus and Toxicodendron-type material in Hays County.</x:v>
      </x:c>
      <x:c r="O369" s="215" t="str">
        <x:v>Low</x:v>
      </x:c>
      <x:c r="P369" s="215" t="str">
        <x:v>No</x:v>
      </x:c>
      <x:c r="Q369" s="215" t="str"/>
      <x:c r="R369" s="215" t="str">
        <x:v>ANA-LK01; ANA-LK02</x:v>
      </x:c>
      <x:c r="S369" s="215" t="str">
        <x:v>APWEB-ANAC; POWO-ANAC; LBJ-HAYS</x:v>
      </x:c>
      <x:c r="T369" s="215" t="str">
        <x:v>https://www.mobot.org/MOBOT/research/APweb/orders/sapindalesweb.htm</x:v>
      </x:c>
      <x:c r="U369" s="215" t="str">
        <x:v>https://powo.science.kew.org/taxon/urn:lsid:ipni.org:names:30002342-2/general-information</x:v>
      </x:c>
      <x:c r="V369" s="215" t="str">
        <x:v>https://powo.science.kew.org/taxon/urn:lsid:ipni.org:names:30002342-2</x:v>
      </x:c>
      <x:c r="W369" s="215" t="str">
        <x:v>https://www.mobot.org/MOBOT/research/APweb/orders/sapindalesweb.htm
https://powo.science.kew.org/taxon/urn:lsid:ipni.org:names:30002342-2/general-information
https://powo.science.kew.org/taxon/urn:lsid:ipni.org:names:30002342-2
https://www.wildflower.org/collections/collection.php?collection=hays</x:v>
      </x:c>
      <x:c r="X369" s="215" t="str">
        <x:v>No — retain qualifiers and exceptions</x:v>
      </x:c>
      <x:c r="Y369" s="215" t="str">
        <x:v>Yes</x:v>
      </x:c>
      <x:c r="Z369" s="215" t="str">
        <x:v>Source-backed draft</x:v>
      </x:c>
    </x:row>
    <x:row r="370" ht="42" customHeight="1">
      <x:c r="A370" s="215" t="str">
        <x:v>Anacardiaceae</x:v>
      </x:c>
      <x:c r="B370" s="215" t="str">
        <x:v>ANA-LEAVES</x:v>
      </x:c>
      <x:c r="C370" s="215" t="str">
        <x:v>Family-wide</x:v>
      </x:c>
      <x:c r="D370" s="215" t="str">
        <x:v>Leaf</x:v>
      </x:c>
      <x:c r="E370" s="215" t="str">
        <x:v>Leaves alternate or sometimes opposite, simple or compound; stipules absent</x:v>
      </x:c>
      <x:c r="F370" s="215" t="str">
        <x:v>Strong</x:v>
      </x:c>
      <x:c r="G370" s="215" t="str">
        <x:v>4</x:v>
      </x:c>
      <x:c r="H370" s="215" t="str">
        <x:v>High</x:v>
      </x:c>
      <x:c r="I370" s="215" t="str">
        <x:v>Naked eye</x:v>
      </x:c>
      <x:c r="J370" s="215" t="str">
        <x:v>Vegetative</x:v>
      </x:c>
      <x:c r="K370" s="215" t="str">
        <x:v>The family spans simple, trifoliolate, and pinnate leaves but normally lacks stipules.</x:v>
      </x:c>
      <x:c r="L370" s="215" t="str">
        <x:v>Arrangement and margins vary, so no single leaf form is diagnostic.</x:v>
      </x:c>
      <x:c r="M370" s="215" t="str">
        <x:v>Confirm with resin, small flowers, disc, and fruit rather than relying on leaflet count.</x:v>
      </x:c>
      <x:c r="N370" s="215" t="str">
        <x:v>Matches the broad range of local sumac and poison-ivy leaf forms.</x:v>
      </x:c>
      <x:c r="O370" s="215" t="str">
        <x:v>Low</x:v>
      </x:c>
      <x:c r="P370" s="215" t="str">
        <x:v>No</x:v>
      </x:c>
      <x:c r="Q370" s="215" t="str"/>
      <x:c r="R370" s="215" t="str">
        <x:v>ANA-LK01; ANA-LK02</x:v>
      </x:c>
      <x:c r="S370" s="215" t="str">
        <x:v>APWEB-ANAC; POWO-ANAC; LBJ-HAYS</x:v>
      </x:c>
      <x:c r="T370" s="215" t="str">
        <x:v>https://www.mobot.org/MOBOT/research/APweb/orders/sapindalesweb.htm</x:v>
      </x:c>
      <x:c r="U370" s="215" t="str">
        <x:v>https://powo.science.kew.org/taxon/urn:lsid:ipni.org:names:30002342-2/general-information</x:v>
      </x:c>
      <x:c r="V370" s="215" t="str">
        <x:v>https://powo.science.kew.org/taxon/urn:lsid:ipni.org:names:30002342-2</x:v>
      </x:c>
      <x:c r="W370" s="215" t="str">
        <x:v>https://www.mobot.org/MOBOT/research/APweb/orders/sapindalesweb.htm
https://powo.science.kew.org/taxon/urn:lsid:ipni.org:names:30002342-2/general-information
https://powo.science.kew.org/taxon/urn:lsid:ipni.org:names:30002342-2
https://www.wildflower.org/collections/collection.php?collection=hays</x:v>
      </x:c>
      <x:c r="X370" s="215" t="str">
        <x:v>No — retain qualifiers and exceptions</x:v>
      </x:c>
      <x:c r="Y370" s="215" t="str">
        <x:v>Yes</x:v>
      </x:c>
      <x:c r="Z370" s="215" t="str">
        <x:v>Source-backed draft</x:v>
      </x:c>
    </x:row>
    <x:row r="371" ht="42" customHeight="1">
      <x:c r="A371" s="215" t="str">
        <x:v>Anacardiaceae</x:v>
      </x:c>
      <x:c r="B371" s="215" t="str">
        <x:v>ANA-INFLO</x:v>
      </x:c>
      <x:c r="C371" s="215" t="str">
        <x:v>Family-wide, common</x:v>
      </x:c>
      <x:c r="D371" s="215" t="str">
        <x:v>Inflorescence</x:v>
      </x:c>
      <x:c r="E371" s="215" t="str">
        <x:v>Flowers commonly in terminal or axillary branched clusters</x:v>
      </x:c>
      <x:c r="F371" s="215" t="str">
        <x:v>Supporting</x:v>
      </x:c>
      <x:c r="G371" s="215" t="str">
        <x:v>2</x:v>
      </x:c>
      <x:c r="H371" s="215" t="str">
        <x:v>Moderate</x:v>
      </x:c>
      <x:c r="I371" s="215" t="str">
        <x:v>Naked eye</x:v>
      </x:c>
      <x:c r="J371" s="215" t="str">
        <x:v>Flowering</x:v>
      </x:c>
      <x:c r="K371" s="215" t="str">
        <x:v>Small flowers are often grouped in panicles, racemes, spikes, or thyrses.</x:v>
      </x:c>
      <x:c r="L371" s="215" t="str">
        <x:v>The exact cluster type varies and flowers are rarely solitary.</x:v>
      </x:c>
      <x:c r="M371" s="215" t="str">
        <x:v>Useful context with woody habit and resinous tissues.</x:v>
      </x:c>
      <x:c r="N371" s="215" t="str">
        <x:v>Visible on flowering sumacs and related local plants.</x:v>
      </x:c>
      <x:c r="O371" s="215" t="str">
        <x:v>Low</x:v>
      </x:c>
      <x:c r="P371" s="215" t="str">
        <x:v>No</x:v>
      </x:c>
      <x:c r="Q371" s="215" t="str"/>
      <x:c r="R371" s="215" t="str">
        <x:v>ANA-LK01</x:v>
      </x:c>
      <x:c r="S371" s="215" t="str">
        <x:v>APWEB-ANAC; POWO-ANAC; LBJ-HAYS</x:v>
      </x:c>
      <x:c r="T371" s="215" t="str">
        <x:v>https://www.mobot.org/MOBOT/research/APweb/orders/sapindalesweb.htm</x:v>
      </x:c>
      <x:c r="U371" s="215" t="str">
        <x:v>https://powo.science.kew.org/taxon/urn:lsid:ipni.org:names:30002342-2/general-information</x:v>
      </x:c>
      <x:c r="V371" s="215" t="str">
        <x:v>https://powo.science.kew.org/taxon/urn:lsid:ipni.org:names:30002342-2</x:v>
      </x:c>
      <x:c r="W371" s="215" t="str">
        <x:v>https://www.mobot.org/MOBOT/research/APweb/orders/sapindalesweb.htm
https://powo.science.kew.org/taxon/urn:lsid:ipni.org:names:30002342-2/general-information
https://powo.science.kew.org/taxon/urn:lsid:ipni.org:names:30002342-2
https://www.wildflower.org/collections/collection.php?collection=hays</x:v>
      </x:c>
      <x:c r="X371" s="215" t="str">
        <x:v>No — retain qualifiers and exceptions</x:v>
      </x:c>
      <x:c r="Y371" s="215" t="str">
        <x:v>Yes</x:v>
      </x:c>
      <x:c r="Z371" s="215" t="str">
        <x:v>Source-backed draft</x:v>
      </x:c>
    </x:row>
    <x:row r="372" ht="42" customHeight="1">
      <x:c r="A372" s="215" t="str">
        <x:v>Anacardiaceae</x:v>
      </x:c>
      <x:c r="B372" s="215" t="str">
        <x:v>ANA-FLOWER</x:v>
      </x:c>
      <x:c r="C372" s="215" t="str">
        <x:v>Family-wide, predominant</x:v>
      </x:c>
      <x:c r="D372" s="215" t="str">
        <x:v>Flower</x:v>
      </x:c>
      <x:c r="E372" s="215" t="str">
        <x:v>Flowers small, usually 5-merous, bisexual or unisexual</x:v>
      </x:c>
      <x:c r="F372" s="215" t="str">
        <x:v>Strong</x:v>
      </x:c>
      <x:c r="G372" s="215" t="str">
        <x:v>3</x:v>
      </x:c>
      <x:c r="H372" s="215" t="str">
        <x:v>High</x:v>
      </x:c>
      <x:c r="I372" s="215" t="str">
        <x:v>Hand lens</x:v>
      </x:c>
      <x:c r="J372" s="215" t="str">
        <x:v>Fresh flowering material</x:v>
      </x:c>
      <x:c r="K372" s="215" t="str">
        <x:v>Flowers are commonly tiny with about five parts and may be functionally male or female.</x:v>
      </x:c>
      <x:c r="L372" s="215" t="str">
        <x:v>The family ranges from 3 to 7 parts, and sexuality varies among genera and plants.</x:v>
      </x:c>
      <x:c r="M372" s="215" t="str">
        <x:v>Pair with the floral disc and one-ovule locules; do not reject atypical merosity.</x:v>
      </x:c>
      <x:c r="N372" s="215" t="str">
        <x:v>Useful but requires a hand lens on Hays woody material.</x:v>
      </x:c>
      <x:c r="O372" s="215" t="str">
        <x:v>Low</x:v>
      </x:c>
      <x:c r="P372" s="215" t="str">
        <x:v>No</x:v>
      </x:c>
      <x:c r="Q372" s="215" t="str"/>
      <x:c r="R372" s="215" t="str">
        <x:v>ANA-LK01</x:v>
      </x:c>
      <x:c r="S372" s="215" t="str">
        <x:v>APWEB-ANAC; POWO-ANAC; LBJ-HAYS</x:v>
      </x:c>
      <x:c r="T372" s="215" t="str">
        <x:v>https://www.mobot.org/MOBOT/research/APweb/orders/sapindalesweb.htm</x:v>
      </x:c>
      <x:c r="U372" s="215" t="str">
        <x:v>https://powo.science.kew.org/taxon/urn:lsid:ipni.org:names:30002342-2/general-information</x:v>
      </x:c>
      <x:c r="V372" s="215" t="str">
        <x:v>https://powo.science.kew.org/taxon/urn:lsid:ipni.org:names:30002342-2</x:v>
      </x:c>
      <x:c r="W372" s="215" t="str">
        <x:v>https://www.mobot.org/MOBOT/research/APweb/orders/sapindalesweb.htm
https://powo.science.kew.org/taxon/urn:lsid:ipni.org:names:30002342-2/general-information
https://powo.science.kew.org/taxon/urn:lsid:ipni.org:names:30002342-2
https://www.wildflower.org/collections/collection.php?collection=hays</x:v>
      </x:c>
      <x:c r="X372" s="215" t="str">
        <x:v>No — retain qualifiers and exceptions</x:v>
      </x:c>
      <x:c r="Y372" s="215" t="str">
        <x:v>Yes</x:v>
      </x:c>
      <x:c r="Z372" s="215" t="str">
        <x:v>Source-backed draft</x:v>
      </x:c>
    </x:row>
    <x:row r="373" ht="42" customHeight="1">
      <x:c r="A373" s="215" t="str">
        <x:v>Anacardiaceae</x:v>
      </x:c>
      <x:c r="B373" s="215" t="str">
        <x:v>ANA-DISC</x:v>
      </x:c>
      <x:c r="C373" s="215" t="str">
        <x:v>Family-wide, common</x:v>
      </x:c>
      <x:c r="D373" s="215" t="str">
        <x:v>Flower</x:v>
      </x:c>
      <x:c r="E373" s="215" t="str">
        <x:v>Nectar disc commonly present around or beneath stamens</x:v>
      </x:c>
      <x:c r="F373" s="215" t="str">
        <x:v>Strong</x:v>
      </x:c>
      <x:c r="G373" s="215" t="str">
        <x:v>4</x:v>
      </x:c>
      <x:c r="H373" s="215" t="str">
        <x:v>Moderate</x:v>
      </x:c>
      <x:c r="I373" s="215" t="str">
        <x:v>Hand lens or dissection</x:v>
      </x:c>
      <x:c r="J373" s="215" t="str">
        <x:v>Fresh flowers</x:v>
      </x:c>
      <x:c r="K373" s="215" t="str">
        <x:v>A ring or lobed disc is often visible in the flower center.</x:v>
      </x:c>
      <x:c r="L373" s="215" t="str">
        <x:v>Some descriptions allow the disc to be absent in portions of the family; very small flowers obscure it.</x:v>
      </x:c>
      <x:c r="M373" s="215" t="str">
        <x:v>Use as part of the flower suite with stamen number and ovary position.</x:v>
      </x:c>
      <x:c r="N373" s="215" t="str">
        <x:v>A good confirmation on intact local flowers when visible.</x:v>
      </x:c>
      <x:c r="O373" s="215" t="str">
        <x:v>Low</x:v>
      </x:c>
      <x:c r="P373" s="215" t="str">
        <x:v>No</x:v>
      </x:c>
      <x:c r="Q373" s="215" t="str"/>
      <x:c r="R373" s="215" t="str">
        <x:v>ANA-LK01</x:v>
      </x:c>
      <x:c r="S373" s="215" t="str">
        <x:v>APWEB-ANAC; POWO-ANAC; LBJ-HAYS</x:v>
      </x:c>
      <x:c r="T373" s="215" t="str">
        <x:v>https://www.mobot.org/MOBOT/research/APweb/orders/sapindalesweb.htm</x:v>
      </x:c>
      <x:c r="U373" s="215" t="str">
        <x:v>https://powo.science.kew.org/taxon/urn:lsid:ipni.org:names:30002342-2/general-information</x:v>
      </x:c>
      <x:c r="V373" s="215" t="str">
        <x:v>https://powo.science.kew.org/taxon/urn:lsid:ipni.org:names:30002342-2</x:v>
      </x:c>
      <x:c r="W373" s="215" t="str">
        <x:v>https://www.mobot.org/MOBOT/research/APweb/orders/sapindalesweb.htm
https://powo.science.kew.org/taxon/urn:lsid:ipni.org:names:30002342-2/general-information
https://powo.science.kew.org/taxon/urn:lsid:ipni.org:names:30002342-2
https://www.wildflower.org/collections/collection.php?collection=hays</x:v>
      </x:c>
      <x:c r="X373" s="215" t="str">
        <x:v>No — retain qualifiers and exceptions</x:v>
      </x:c>
      <x:c r="Y373" s="215" t="str">
        <x:v>Yes</x:v>
      </x:c>
      <x:c r="Z373" s="215" t="str">
        <x:v>Source-backed draft</x:v>
      </x:c>
    </x:row>
    <x:row r="374" ht="42" customHeight="1">
      <x:c r="A374" s="215" t="str">
        <x:v>Anacardiaceae</x:v>
      </x:c>
      <x:c r="B374" s="215" t="str">
        <x:v>ANA-OVARY</x:v>
      </x:c>
      <x:c r="C374" s="215" t="str">
        <x:v>Family-wide, predominant</x:v>
      </x:c>
      <x:c r="D374" s="215" t="str">
        <x:v>Gynoecium</x:v>
      </x:c>
      <x:c r="E374" s="215" t="str">
        <x:v>Ovary usually superior, 1–5-locular, with one ovule per locule and often eccentric style</x:v>
      </x:c>
      <x:c r="F374" s="215" t="str">
        <x:v>Core</x:v>
      </x:c>
      <x:c r="G374" s="215" t="str">
        <x:v>5</x:v>
      </x:c>
      <x:c r="H374" s="215" t="str">
        <x:v>High</x:v>
      </x:c>
      <x:c r="I374" s="215" t="str">
        <x:v>Hand lens or dissection</x:v>
      </x:c>
      <x:c r="J374" s="215" t="str">
        <x:v>Fresh flower or young fruit</x:v>
      </x:c>
      <x:c r="K374" s="215" t="str">
        <x:v>The ovary commonly has few chambers, each capable of holding one ovule, and the style may sit off center.</x:v>
      </x:c>
      <x:c r="L374" s="215" t="str">
        <x:v>Rare semi-inferior ovaries and broader locule counts occur; style position is not universal.</x:v>
      </x:c>
      <x:c r="M374" s="215" t="str">
        <x:v>Strong confirmation with resin and drupaceous fruit.</x:v>
      </x:c>
      <x:c r="N374" s="215" t="str">
        <x:v>Useful for separating local material from lookalike woody families.</x:v>
      </x:c>
      <x:c r="O374" s="215" t="str">
        <x:v>Low</x:v>
      </x:c>
      <x:c r="P374" s="215" t="str">
        <x:v>No</x:v>
      </x:c>
      <x:c r="Q374" s="215" t="str"/>
      <x:c r="R374" s="215" t="str">
        <x:v>ANA-LK01; ANA-LK02</x:v>
      </x:c>
      <x:c r="S374" s="215" t="str">
        <x:v>APWEB-ANAC; POWO-ANAC; LBJ-HAYS</x:v>
      </x:c>
      <x:c r="T374" s="215" t="str">
        <x:v>https://www.mobot.org/MOBOT/research/APweb/orders/sapindalesweb.htm</x:v>
      </x:c>
      <x:c r="U374" s="215" t="str">
        <x:v>https://powo.science.kew.org/taxon/urn:lsid:ipni.org:names:30002342-2/general-information</x:v>
      </x:c>
      <x:c r="V374" s="215" t="str">
        <x:v>https://powo.science.kew.org/taxon/urn:lsid:ipni.org:names:30002342-2</x:v>
      </x:c>
      <x:c r="W374" s="215" t="str">
        <x:v>https://www.mobot.org/MOBOT/research/APweb/orders/sapindalesweb.htm
https://powo.science.kew.org/taxon/urn:lsid:ipni.org:names:30002342-2/general-information
https://powo.science.kew.org/taxon/urn:lsid:ipni.org:names:30002342-2
https://www.wildflower.org/collections/collection.php?collection=hays</x:v>
      </x:c>
      <x:c r="X374" s="215" t="str">
        <x:v>No — retain qualifiers and exceptions</x:v>
      </x:c>
      <x:c r="Y374" s="215" t="str">
        <x:v>Yes</x:v>
      </x:c>
      <x:c r="Z374" s="215" t="str">
        <x:v>Source-backed draft</x:v>
      </x:c>
    </x:row>
    <x:row r="375" ht="42" customHeight="1">
      <x:c r="A375" s="215" t="str">
        <x:v>Anacardiaceae</x:v>
      </x:c>
      <x:c r="B375" s="215" t="str">
        <x:v>ANA-FRUIT</x:v>
      </x:c>
      <x:c r="C375" s="215" t="str">
        <x:v>Family-wide, predominant</x:v>
      </x:c>
      <x:c r="D375" s="215" t="str">
        <x:v>Fruit</x:v>
      </x:c>
      <x:c r="E375" s="215" t="str">
        <x:v>Fruit commonly drupaceous, sometimes dry or winged</x:v>
      </x:c>
      <x:c r="F375" s="215" t="str">
        <x:v>Core</x:v>
      </x:c>
      <x:c r="G375" s="215" t="str">
        <x:v>5</x:v>
      </x:c>
      <x:c r="H375" s="215" t="str">
        <x:v>High</x:v>
      </x:c>
      <x:c r="I375" s="215" t="str">
        <x:v>Naked eye</x:v>
      </x:c>
      <x:c r="J375" s="215" t="str">
        <x:v>Mature fruit</x:v>
      </x:c>
      <x:c r="K375" s="215" t="str">
        <x:v>Many members form a one-seeded stone fruit with a firm inner layer.</x:v>
      </x:c>
      <x:c r="L375" s="215" t="str">
        <x:v>The family also includes samaras and other specialized dry fruits; not every fruit is fleshy.</x:v>
      </x:c>
      <x:c r="M375" s="215" t="str">
        <x:v>Use mature fruit with resin and floral traits; do not equate every drupe with this family.</x:v>
      </x:c>
      <x:c r="N375" s="215" t="str">
        <x:v>Very useful for local sumac and poison-ivy fruit clusters.</x:v>
      </x:c>
      <x:c r="O375" s="215" t="str">
        <x:v>Low</x:v>
      </x:c>
      <x:c r="P375" s="215" t="str">
        <x:v>No</x:v>
      </x:c>
      <x:c r="Q375" s="215" t="str"/>
      <x:c r="R375" s="215" t="str">
        <x:v>ANA-LK01; ANA-LK02</x:v>
      </x:c>
      <x:c r="S375" s="215" t="str">
        <x:v>APWEB-ANAC; POWO-ANAC; LBJ-HAYS</x:v>
      </x:c>
      <x:c r="T375" s="215" t="str">
        <x:v>https://www.mobot.org/MOBOT/research/APweb/orders/sapindalesweb.htm</x:v>
      </x:c>
      <x:c r="U375" s="215" t="str">
        <x:v>https://powo.science.kew.org/taxon/urn:lsid:ipni.org:names:30002342-2/general-information</x:v>
      </x:c>
      <x:c r="V375" s="215" t="str">
        <x:v>https://powo.science.kew.org/taxon/urn:lsid:ipni.org:names:30002342-2</x:v>
      </x:c>
      <x:c r="W375" s="215" t="str">
        <x:v>https://www.mobot.org/MOBOT/research/APweb/orders/sapindalesweb.htm
https://powo.science.kew.org/taxon/urn:lsid:ipni.org:names:30002342-2/general-information
https://powo.science.kew.org/taxon/urn:lsid:ipni.org:names:30002342-2
https://www.wildflower.org/collections/collection.php?collection=hays</x:v>
      </x:c>
      <x:c r="X375" s="215" t="str">
        <x:v>No — retain qualifiers and exceptions</x:v>
      </x:c>
      <x:c r="Y375" s="215" t="str">
        <x:v>Yes</x:v>
      </x:c>
      <x:c r="Z375" s="215" t="str">
        <x:v>Source-backed draft</x:v>
      </x:c>
    </x:row>
    <x:row r="376" ht="42" customHeight="1">
      <x:c r="A376" s="215" t="str">
        <x:v>Anacardiaceae</x:v>
      </x:c>
      <x:c r="B376" s="215" t="str">
        <x:v>ANA-ODOR</x:v>
      </x:c>
      <x:c r="C376" s="215" t="str">
        <x:v>Family-wide, common</x:v>
      </x:c>
      <x:c r="D376" s="215" t="str">
        <x:v>Odor</x:v>
      </x:c>
      <x:c r="E376" s="215" t="str">
        <x:v>Fresh tissues often resinous, turpentine-like, or mango-like</x:v>
      </x:c>
      <x:c r="F376" s="215" t="str">
        <x:v>Supporting</x:v>
      </x:c>
      <x:c r="G376" s="215" t="str">
        <x:v>2</x:v>
      </x:c>
      <x:c r="H376" s="215" t="str">
        <x:v>Moderate</x:v>
      </x:c>
      <x:c r="I376" s="215" t="str">
        <x:v>Odor without direct contact</x:v>
      </x:c>
      <x:c r="J376" s="215" t="str">
        <x:v>Fresh naturally damaged material</x:v>
      </x:c>
      <x:c r="K376" s="215" t="str">
        <x:v>A resinous scent can support identification.</x:v>
      </x:c>
      <x:c r="L376" s="215" t="str">
        <x:v>Odor varies, may be absent, and crushing suspected Toxicodendron is unsafe; scent is never required.</x:v>
      </x:c>
      <x:c r="M376" s="215" t="str">
        <x:v>Use only opportunistically and never as a deliberate exposure test.</x:v>
      </x:c>
      <x:c r="N376" s="215" t="str">
        <x:v>Relevant but safety-limited in Hays fieldwork.</x:v>
      </x:c>
      <x:c r="O376" s="215" t="str">
        <x:v>Low</x:v>
      </x:c>
      <x:c r="P376" s="215" t="str">
        <x:v>No</x:v>
      </x:c>
      <x:c r="Q376" s="215" t="str"/>
      <x:c r="R376" s="215" t="str">
        <x:v>ANA-LK01; ANA-LK02</x:v>
      </x:c>
      <x:c r="S376" s="215" t="str">
        <x:v>APWEB-ANAC; POWO-ANAC; LBJ-HAYS</x:v>
      </x:c>
      <x:c r="T376" s="215" t="str">
        <x:v>https://www.mobot.org/MOBOT/research/APweb/orders/sapindalesweb.htm</x:v>
      </x:c>
      <x:c r="U376" s="215" t="str">
        <x:v>https://powo.science.kew.org/taxon/urn:lsid:ipni.org:names:30002342-2/general-information</x:v>
      </x:c>
      <x:c r="V376" s="215" t="str">
        <x:v>https://powo.science.kew.org/taxon/urn:lsid:ipni.org:names:30002342-2</x:v>
      </x:c>
      <x:c r="W376" s="215" t="str">
        <x:v>https://www.mobot.org/MOBOT/research/APweb/orders/sapindalesweb.htm
https://powo.science.kew.org/taxon/urn:lsid:ipni.org:names:30002342-2/general-information
https://powo.science.kew.org/taxon/urn:lsid:ipni.org:names:30002342-2
https://www.wildflower.org/collections/collection.php?collection=hays</x:v>
      </x:c>
      <x:c r="X376" s="215" t="str">
        <x:v>No — retain qualifiers and exceptions</x:v>
      </x:c>
      <x:c r="Y376" s="215" t="str">
        <x:v>Yes</x:v>
      </x:c>
      <x:c r="Z376" s="215" t="str">
        <x:v>Source-backed draft</x:v>
      </x:c>
    </x:row>
    <x:row r="377" ht="42" customHeight="1">
      <x:c r="A377" s="215" t="str">
        <x:v>Anacardiaceae</x:v>
      </x:c>
      <x:c r="B377" s="215" t="str">
        <x:v>ANA-LK01</x:v>
      </x:c>
      <x:c r="C377" s="215" t="str">
        <x:v>Lookalike comparison</x:v>
      </x:c>
      <x:c r="D377" s="215" t="str">
        <x:v>Lookalike</x:v>
      </x:c>
      <x:c r="E377" s="215" t="str">
        <x:v>Versus Sapindaceae: resin canals and dark-drying sap favor Anacardiaceae</x:v>
      </x:c>
      <x:c r="F377" s="215" t="str">
        <x:v>Lookalike</x:v>
      </x:c>
      <x:c r="G377" s="215" t="str">
        <x:v>4</x:v>
      </x:c>
      <x:c r="H377" s="215" t="str">
        <x:v>High</x:v>
      </x:c>
      <x:c r="I377" s="215" t="str">
        <x:v>Naked eye and odor; avoid contact</x:v>
      </x:c>
      <x:c r="J377" s="215" t="str">
        <x:v>Vegetative, flowering, or fruiting</x:v>
      </x:c>
      <x:c r="K377" s="215" t="str">
        <x:v>Both families can have compound leaves and small flowers, but conspicuous resinous exudate supports Anacardiaceae.</x:v>
      </x:c>
      <x:c r="L377" s="215" t="str">
        <x:v>Sap can be inconspicuous, and absence of visible resin does not prove Sapindaceae.</x:v>
      </x:c>
      <x:c r="M377" s="215" t="str">
        <x:v>Combine sap with ovule count, disc, and fruit construction.</x:v>
      </x:c>
      <x:c r="N377" s="215" t="str">
        <x:v>Sapindaceae already has first-pass coverage and is common enough locally to matter.</x:v>
      </x:c>
      <x:c r="O377" s="215" t="str">
        <x:v>Low</x:v>
      </x:c>
      <x:c r="P377" s="215" t="str">
        <x:v>No</x:v>
      </x:c>
      <x:c r="Q377" s="215" t="str"/>
      <x:c r="R377" s="215" t="str">
        <x:v>ANA-RESIN; ANA-OVARY; ANA-FRUIT</x:v>
      </x:c>
      <x:c r="S377" s="215" t="str">
        <x:v>APWEB-ANAC; POWO-ANAC; LBJ-HAYS</x:v>
      </x:c>
      <x:c r="T377" s="215" t="str">
        <x:v>https://www.mobot.org/MOBOT/research/APweb/orders/sapindalesweb.htm</x:v>
      </x:c>
      <x:c r="U377" s="215" t="str">
        <x:v>https://powo.science.kew.org/taxon/urn:lsid:ipni.org:names:30002342-2/general-information</x:v>
      </x:c>
      <x:c r="V377" s="215" t="str">
        <x:v>https://powo.science.kew.org/taxon/urn:lsid:ipni.org:names:30002342-2</x:v>
      </x:c>
      <x:c r="W377" s="215" t="str">
        <x:v>https://www.mobot.org/MOBOT/research/APweb/orders/sapindalesweb.htm
https://powo.science.kew.org/taxon/urn:lsid:ipni.org:names:30002342-2/general-information
https://powo.science.kew.org/taxon/urn:lsid:ipni.org:names:30002342-2
https://www.wildflower.org/collections/collection.php?collection=hays</x:v>
      </x:c>
      <x:c r="X377" s="215" t="str">
        <x:v>No — retain qualifiers and exceptions</x:v>
      </x:c>
      <x:c r="Y377" s="215" t="str">
        <x:v>Yes</x:v>
      </x:c>
      <x:c r="Z377" s="215" t="str">
        <x:v>Source-backed draft</x:v>
      </x:c>
    </x:row>
    <x:row r="378" ht="42" customHeight="1">
      <x:c r="A378" s="215" t="str">
        <x:v>Anacardiaceae</x:v>
      </x:c>
      <x:c r="B378" s="215" t="str">
        <x:v>ANA-LK02</x:v>
      </x:c>
      <x:c r="C378" s="215" t="str">
        <x:v>Lookalike comparison</x:v>
      </x:c>
      <x:c r="D378" s="215" t="str">
        <x:v>Lookalike</x:v>
      </x:c>
      <x:c r="E378" s="215" t="str">
        <x:v>Versus Rutaceae: resinous/dark-drying sap favors Anacardiaceae; pellucid oil dots and citrus odor favor Rutaceae</x:v>
      </x:c>
      <x:c r="F378" s="215" t="str">
        <x:v>Lookalike</x:v>
      </x:c>
      <x:c r="G378" s="215" t="str">
        <x:v>4</x:v>
      </x:c>
      <x:c r="H378" s="215" t="str">
        <x:v>Moderate</x:v>
      </x:c>
      <x:c r="I378" s="215" t="str">
        <x:v>Backlighting, hand lens, odor without contact</x:v>
      </x:c>
      <x:c r="J378" s="215" t="str">
        <x:v>Fresh leaves or twigs</x:v>
      </x:c>
      <x:c r="K378" s="215" t="str">
        <x:v>Oil-gland dots and a citrus-like odor point toward Rutaceae rather than sumac relatives.</x:v>
      </x:c>
      <x:c r="L378" s="215" t="str">
        <x:v>Both odor and visible glands can be weak; deliberate crushing is unsafe when Toxicodendron is possible.</x:v>
      </x:c>
      <x:c r="M378" s="215" t="str">
        <x:v>Use multiple characters and flag ambiguous sterile material.</x:v>
      </x:c>
      <x:c r="N378" s="215" t="str">
        <x:v>Rutaceae has not yet received first-pass rows, so this link needs reciprocal QA.</x:v>
      </x:c>
      <x:c r="O378" s="215" t="str">
        <x:v>Medium</x:v>
      </x:c>
      <x:c r="P378" s="215" t="str">
        <x:v>Yes</x:v>
      </x:c>
      <x:c r="Q378" s="215" t="str">
        <x:v>Reciprocal Rutaceae family evidence and local lookalike coverage are not yet in the master.</x:v>
      </x:c>
      <x:c r="R378" s="215" t="str">
        <x:v>ANA-RESIN; ANA-LEAVES</x:v>
      </x:c>
      <x:c r="S378" s="215" t="str">
        <x:v>APWEB-ANAC; POWO-ANAC; LBJ-HAYS</x:v>
      </x:c>
      <x:c r="T378" s="215" t="str">
        <x:v>https://www.mobot.org/MOBOT/research/APweb/orders/sapindalesweb.htm</x:v>
      </x:c>
      <x:c r="U378" s="215" t="str">
        <x:v>https://powo.science.kew.org/taxon/urn:lsid:ipni.org:names:30002342-2/general-information</x:v>
      </x:c>
      <x:c r="V378" s="215" t="str">
        <x:v>https://powo.science.kew.org/taxon/urn:lsid:ipni.org:names:30002342-2</x:v>
      </x:c>
      <x:c r="W378" s="215" t="str">
        <x:v>https://www.mobot.org/MOBOT/research/APweb/orders/sapindalesweb.htm
https://powo.science.kew.org/taxon/urn:lsid:ipni.org:names:30002342-2/general-information
https://powo.science.kew.org/taxon/urn:lsid:ipni.org:names:30002342-2
https://www.wildflower.org/collections/collection.php?collection=hays</x:v>
      </x:c>
      <x:c r="X378" s="215" t="str">
        <x:v>No — retain qualifiers and exceptions</x:v>
      </x:c>
      <x:c r="Y378" s="215" t="str">
        <x:v>Yes</x:v>
      </x:c>
      <x:c r="Z378" s="215" t="str">
        <x:v>Human review required</x:v>
      </x:c>
    </x:row>
    <x:row r="379" ht="42" customHeight="1">
      <x:c r="A379" s="215" t="str">
        <x:v>Viburnaceae</x:v>
      </x:c>
      <x:c r="B379" s="215" t="str">
        <x:v>VIB-HABIT</x:v>
      </x:c>
      <x:c r="C379" s="215" t="str">
        <x:v>Family-wide</x:v>
      </x:c>
      <x:c r="D379" s="215" t="str">
        <x:v>Habit</x:v>
      </x:c>
      <x:c r="E379" s="215" t="str">
        <x:v>Herbs, shrubs, or small trees depending on genus</x:v>
      </x:c>
      <x:c r="F379" s="215" t="str">
        <x:v>Supporting</x:v>
      </x:c>
      <x:c r="G379" s="215" t="str">
        <x:v>1</x:v>
      </x:c>
      <x:c r="H379" s="215" t="str">
        <x:v>High</x:v>
      </x:c>
      <x:c r="I379" s="215" t="str">
        <x:v>Naked eye</x:v>
      </x:c>
      <x:c r="J379" s="215" t="str">
        <x:v>Any season</x:v>
      </x:c>
      <x:c r="K379" s="215" t="str">
        <x:v>The family includes small herbs as well as elderberry- and viburnum-like woody plants.</x:v>
      </x:c>
      <x:c r="L379" s="215" t="str">
        <x:v>Habit differs sharply among Adoxa, Sambucus, and Viburnum and is not diagnostic alone.</x:v>
      </x:c>
      <x:c r="M379" s="215" t="str">
        <x:v>Route by habit, then confirm the opposite leaves, flowers, inferior ovary, and fruit.</x:v>
      </x:c>
      <x:c r="N379" s="215" t="str">
        <x:v>Local relevance is mainly Sambucus- and Viburnum-type woody material.</x:v>
      </x:c>
      <x:c r="O379" s="215" t="str">
        <x:v>Low</x:v>
      </x:c>
      <x:c r="P379" s="215" t="str">
        <x:v>No</x:v>
      </x:c>
      <x:c r="Q379" s="215" t="str"/>
      <x:c r="R379" s="215" t="str">
        <x:v>VIB-LK01; VIB-LK02</x:v>
      </x:c>
      <x:c r="S379" s="215" t="str">
        <x:v>APWEB-VIBU; POWO-VIBU; LBJ-HAYS</x:v>
      </x:c>
      <x:c r="T379" s="215" t="str">
        <x:v>https://www.mobot.org/MOBOT/research/APweb/orders/dipsacalesweb.htm</x:v>
      </x:c>
      <x:c r="U379" s="215" t="str">
        <x:v>https://powo.science.kew.org/taxon/urn:lsid:ipni.org:names:77162522-1/general-information</x:v>
      </x:c>
      <x:c r="V379" s="215" t="str">
        <x:v>https://powo.science.kew.org/taxon/urn:lsid:ipni.org:names:77162522-1</x:v>
      </x:c>
      <x:c r="W379" s="215" t="str">
        <x:v>https://www.mobot.org/MOBOT/research/APweb/orders/dipsacalesweb.htm
https://powo.science.kew.org/taxon/urn:lsid:ipni.org:names:77162522-1/general-information
https://powo.science.kew.org/taxon/urn:lsid:ipni.org:names:77162522-1
https://www.wildflower.org/collections/collection.php?collection=hays</x:v>
      </x:c>
      <x:c r="X379" s="215" t="str">
        <x:v>No — retain qualifiers and exceptions</x:v>
      </x:c>
      <x:c r="Y379" s="215" t="str">
        <x:v>Yes</x:v>
      </x:c>
      <x:c r="Z379" s="215" t="str">
        <x:v>Source-backed draft</x:v>
      </x:c>
    </x:row>
    <x:row r="380" ht="42" customHeight="1">
      <x:c r="A380" s="215" t="str">
        <x:v>Viburnaceae</x:v>
      </x:c>
      <x:c r="B380" s="215" t="str">
        <x:v>VIB-LEAVES</x:v>
      </x:c>
      <x:c r="C380" s="215" t="str">
        <x:v>Family-wide, predominant</x:v>
      </x:c>
      <x:c r="D380" s="215" t="str">
        <x:v>Leaf</x:v>
      </x:c>
      <x:c r="E380" s="215" t="str">
        <x:v>Leaves opposite; simple or compound; interpetiolar stipules absent</x:v>
      </x:c>
      <x:c r="F380" s="215" t="str">
        <x:v>Strong</x:v>
      </x:c>
      <x:c r="G380" s="215" t="str">
        <x:v>4</x:v>
      </x:c>
      <x:c r="H380" s="215" t="str">
        <x:v>High</x:v>
      </x:c>
      <x:c r="I380" s="215" t="str">
        <x:v>Naked eye</x:v>
      </x:c>
      <x:c r="J380" s="215" t="str">
        <x:v>Vegetative</x:v>
      </x:c>
      <x:c r="K380" s="215" t="str">
        <x:v>Leaves usually occur in opposite pairs, with simple blades in Viburnum and commonly compound leaves in Sambucus.</x:v>
      </x:c>
      <x:c r="L380" s="215" t="str">
        <x:v>Leaf form varies by genus; margins are often toothed but not universally so.</x:v>
      </x:c>
      <x:c r="M380" s="215" t="str">
        <x:v>Use the node plus inferior ovary and fruit; absence of interpetiolar stipules helps against Rubiaceae.</x:v>
      </x:c>
      <x:c r="N380" s="215" t="str">
        <x:v>Directly useful for elderberry- and blackhaw-like Hays routes.</x:v>
      </x:c>
      <x:c r="O380" s="215" t="str">
        <x:v>Low</x:v>
      </x:c>
      <x:c r="P380" s="215" t="str">
        <x:v>No</x:v>
      </x:c>
      <x:c r="Q380" s="215" t="str"/>
      <x:c r="R380" s="215" t="str">
        <x:v>VIB-LK01; VIB-LK02</x:v>
      </x:c>
      <x:c r="S380" s="215" t="str">
        <x:v>APWEB-VIBU; POWO-VIBU; LBJ-HAYS</x:v>
      </x:c>
      <x:c r="T380" s="215" t="str">
        <x:v>https://www.mobot.org/MOBOT/research/APweb/orders/dipsacalesweb.htm</x:v>
      </x:c>
      <x:c r="U380" s="215" t="str">
        <x:v>https://powo.science.kew.org/taxon/urn:lsid:ipni.org:names:77162522-1/general-information</x:v>
      </x:c>
      <x:c r="V380" s="215" t="str">
        <x:v>https://powo.science.kew.org/taxon/urn:lsid:ipni.org:names:77162522-1</x:v>
      </x:c>
      <x:c r="W380" s="215" t="str">
        <x:v>https://www.mobot.org/MOBOT/research/APweb/orders/dipsacalesweb.htm
https://powo.science.kew.org/taxon/urn:lsid:ipni.org:names:77162522-1/general-information
https://powo.science.kew.org/taxon/urn:lsid:ipni.org:names:77162522-1
https://www.wildflower.org/collections/collection.php?collection=hays</x:v>
      </x:c>
      <x:c r="X380" s="215" t="str">
        <x:v>No — retain qualifiers and exceptions</x:v>
      </x:c>
      <x:c r="Y380" s="215" t="str">
        <x:v>Yes</x:v>
      </x:c>
      <x:c r="Z380" s="215" t="str">
        <x:v>Source-backed draft</x:v>
      </x:c>
    </x:row>
    <x:row r="381" ht="42" customHeight="1">
      <x:c r="A381" s="215" t="str">
        <x:v>Viburnaceae</x:v>
      </x:c>
      <x:c r="B381" s="215" t="str">
        <x:v>VIB-INFLO</x:v>
      </x:c>
      <x:c r="C381" s="215" t="str">
        <x:v>Family-wide, common</x:v>
      </x:c>
      <x:c r="D381" s="215" t="str">
        <x:v>Inflorescence</x:v>
      </x:c>
      <x:c r="E381" s="215" t="str">
        <x:v>Flowers commonly in branched, often flat-topped terminal clusters</x:v>
      </x:c>
      <x:c r="F381" s="215" t="str">
        <x:v>Supporting</x:v>
      </x:c>
      <x:c r="G381" s="215" t="str">
        <x:v>3</x:v>
      </x:c>
      <x:c r="H381" s="215" t="str">
        <x:v>Moderate</x:v>
      </x:c>
      <x:c r="I381" s="215" t="str">
        <x:v>Naked eye</x:v>
      </x:c>
      <x:c r="J381" s="215" t="str">
        <x:v>Flowering</x:v>
      </x:c>
      <x:c r="K381" s="215" t="str">
        <x:v>Many local-looking members bear numerous small flowers in broad clusters.</x:v>
      </x:c>
      <x:c r="L381" s="215" t="str">
        <x:v>Cluster architecture varies and some taxa are not flat-topped.</x:v>
      </x:c>
      <x:c r="M381" s="215" t="str">
        <x:v>Useful field cue with opposite leaves, but confirm floral and fruit characters.</x:v>
      </x:c>
      <x:c r="N381" s="215" t="str">
        <x:v>Conspicuous on flowering Sambucus and Viburnum material.</x:v>
      </x:c>
      <x:c r="O381" s="215" t="str">
        <x:v>Low</x:v>
      </x:c>
      <x:c r="P381" s="215" t="str">
        <x:v>No</x:v>
      </x:c>
      <x:c r="Q381" s="215" t="str"/>
      <x:c r="R381" s="215" t="str">
        <x:v>VIB-LK01; VIB-LK02</x:v>
      </x:c>
      <x:c r="S381" s="215" t="str">
        <x:v>APWEB-VIBU; POWO-VIBU; LBJ-HAYS</x:v>
      </x:c>
      <x:c r="T381" s="215" t="str">
        <x:v>https://www.mobot.org/MOBOT/research/APweb/orders/dipsacalesweb.htm</x:v>
      </x:c>
      <x:c r="U381" s="215" t="str">
        <x:v>https://powo.science.kew.org/taxon/urn:lsid:ipni.org:names:77162522-1/general-information</x:v>
      </x:c>
      <x:c r="V381" s="215" t="str">
        <x:v>https://powo.science.kew.org/taxon/urn:lsid:ipni.org:names:77162522-1</x:v>
      </x:c>
      <x:c r="W381" s="215" t="str">
        <x:v>https://www.mobot.org/MOBOT/research/APweb/orders/dipsacalesweb.htm
https://powo.science.kew.org/taxon/urn:lsid:ipni.org:names:77162522-1/general-information
https://powo.science.kew.org/taxon/urn:lsid:ipni.org:names:77162522-1
https://www.wildflower.org/collections/collection.php?collection=hays</x:v>
      </x:c>
      <x:c r="X381" s="215" t="str">
        <x:v>No — retain qualifiers and exceptions</x:v>
      </x:c>
      <x:c r="Y381" s="215" t="str">
        <x:v>Yes</x:v>
      </x:c>
      <x:c r="Z381" s="215" t="str">
        <x:v>Source-backed draft</x:v>
      </x:c>
    </x:row>
    <x:row r="382" ht="42" customHeight="1">
      <x:c r="A382" s="215" t="str">
        <x:v>Viburnaceae</x:v>
      </x:c>
      <x:c r="B382" s="215" t="str">
        <x:v>VIB-FLOWER</x:v>
      </x:c>
      <x:c r="C382" s="215" t="str">
        <x:v>Family-wide, predominant</x:v>
      </x:c>
      <x:c r="D382" s="215" t="str">
        <x:v>Flower</x:v>
      </x:c>
      <x:c r="E382" s="215" t="str">
        <x:v>Flowers radial, usually 5-merous, with a fused corolla</x:v>
      </x:c>
      <x:c r="F382" s="215" t="str">
        <x:v>Strong</x:v>
      </x:c>
      <x:c r="G382" s="215" t="str">
        <x:v>4</x:v>
      </x:c>
      <x:c r="H382" s="215" t="str">
        <x:v>High</x:v>
      </x:c>
      <x:c r="I382" s="215" t="str">
        <x:v>Hand lens</x:v>
      </x:c>
      <x:c r="J382" s="215" t="str">
        <x:v>Fresh flowers</x:v>
      </x:c>
      <x:c r="K382" s="215" t="str">
        <x:v>Most flowers have five lobes forming a shallow or tubular joined corolla.</x:v>
      </x:c>
      <x:c r="L382" s="215" t="str">
        <x:v>Adoxa departs from the dominant five-part pattern, and marginal sterile flowers occur in some Viburnum.</x:v>
      </x:c>
      <x:c r="M382" s="215" t="str">
        <x:v>Pair with five epipetalous stamens and an inferior ovary.</x:v>
      </x:c>
      <x:c r="N382" s="215" t="str">
        <x:v>Useful on intact local woody inflorescences.</x:v>
      </x:c>
      <x:c r="O382" s="215" t="str">
        <x:v>Low</x:v>
      </x:c>
      <x:c r="P382" s="215" t="str">
        <x:v>No</x:v>
      </x:c>
      <x:c r="Q382" s="215" t="str"/>
      <x:c r="R382" s="215" t="str">
        <x:v>VIB-LK01</x:v>
      </x:c>
      <x:c r="S382" s="215" t="str">
        <x:v>APWEB-VIBU; POWO-VIBU; LBJ-HAYS</x:v>
      </x:c>
      <x:c r="T382" s="215" t="str">
        <x:v>https://www.mobot.org/MOBOT/research/APweb/orders/dipsacalesweb.htm</x:v>
      </x:c>
      <x:c r="U382" s="215" t="str">
        <x:v>https://powo.science.kew.org/taxon/urn:lsid:ipni.org:names:77162522-1/general-information</x:v>
      </x:c>
      <x:c r="V382" s="215" t="str">
        <x:v>https://powo.science.kew.org/taxon/urn:lsid:ipni.org:names:77162522-1</x:v>
      </x:c>
      <x:c r="W382" s="215" t="str">
        <x:v>https://www.mobot.org/MOBOT/research/APweb/orders/dipsacalesweb.htm
https://powo.science.kew.org/taxon/urn:lsid:ipni.org:names:77162522-1/general-information
https://powo.science.kew.org/taxon/urn:lsid:ipni.org:names:77162522-1
https://www.wildflower.org/collections/collection.php?collection=hays</x:v>
      </x:c>
      <x:c r="X382" s="215" t="str">
        <x:v>No — retain qualifiers and exceptions</x:v>
      </x:c>
      <x:c r="Y382" s="215" t="str">
        <x:v>Yes</x:v>
      </x:c>
      <x:c r="Z382" s="215" t="str">
        <x:v>Source-backed draft</x:v>
      </x:c>
    </x:row>
    <x:row r="383" ht="42" customHeight="1">
      <x:c r="A383" s="215" t="str">
        <x:v>Viburnaceae</x:v>
      </x:c>
      <x:c r="B383" s="215" t="str">
        <x:v>VIB-STAMENS</x:v>
      </x:c>
      <x:c r="C383" s="215" t="str">
        <x:v>Family-wide, predominant</x:v>
      </x:c>
      <x:c r="D383" s="215" t="str">
        <x:v>Androecium</x:v>
      </x:c>
      <x:c r="E383" s="215" t="str">
        <x:v>Usually five stamens attached to the corolla</x:v>
      </x:c>
      <x:c r="F383" s="215" t="str">
        <x:v>Strong</x:v>
      </x:c>
      <x:c r="G383" s="215" t="str">
        <x:v>4</x:v>
      </x:c>
      <x:c r="H383" s="215" t="str">
        <x:v>High</x:v>
      </x:c>
      <x:c r="I383" s="215" t="str">
        <x:v>Hand lens</x:v>
      </x:c>
      <x:c r="J383" s="215" t="str">
        <x:v>Fresh flowers</x:v>
      </x:c>
      <x:c r="K383" s="215" t="str">
        <x:v>A stamen generally aligns with each corolla lobe and arises from the corolla tube.</x:v>
      </x:c>
      <x:c r="L383" s="215" t="str">
        <x:v>Reduced or divergent flowers occur, especially outside the main local woody routes.</x:v>
      </x:c>
      <x:c r="M383" s="215" t="str">
        <x:v>Count on intact flowers and combine with ovary position.</x:v>
      </x:c>
      <x:c r="N383" s="215" t="str">
        <x:v>Practical for Sambucus- and Viburnum-type material.</x:v>
      </x:c>
      <x:c r="O383" s="215" t="str">
        <x:v>Low</x:v>
      </x:c>
      <x:c r="P383" s="215" t="str">
        <x:v>No</x:v>
      </x:c>
      <x:c r="Q383" s="215" t="str"/>
      <x:c r="R383" s="215" t="str">
        <x:v>VIB-LK01</x:v>
      </x:c>
      <x:c r="S383" s="215" t="str">
        <x:v>APWEB-VIBU; POWO-VIBU; LBJ-HAYS</x:v>
      </x:c>
      <x:c r="T383" s="215" t="str">
        <x:v>https://www.mobot.org/MOBOT/research/APweb/orders/dipsacalesweb.htm</x:v>
      </x:c>
      <x:c r="U383" s="215" t="str">
        <x:v>https://powo.science.kew.org/taxon/urn:lsid:ipni.org:names:77162522-1/general-information</x:v>
      </x:c>
      <x:c r="V383" s="215" t="str">
        <x:v>https://powo.science.kew.org/taxon/urn:lsid:ipni.org:names:77162522-1</x:v>
      </x:c>
      <x:c r="W383" s="215" t="str">
        <x:v>https://www.mobot.org/MOBOT/research/APweb/orders/dipsacalesweb.htm
https://powo.science.kew.org/taxon/urn:lsid:ipni.org:names:77162522-1/general-information
https://powo.science.kew.org/taxon/urn:lsid:ipni.org:names:77162522-1
https://www.wildflower.org/collections/collection.php?collection=hays</x:v>
      </x:c>
      <x:c r="X383" s="215" t="str">
        <x:v>No — retain qualifiers and exceptions</x:v>
      </x:c>
      <x:c r="Y383" s="215" t="str">
        <x:v>Yes</x:v>
      </x:c>
      <x:c r="Z383" s="215" t="str">
        <x:v>Source-backed draft</x:v>
      </x:c>
    </x:row>
    <x:row r="384" ht="42" customHeight="1">
      <x:c r="A384" s="215" t="str">
        <x:v>Viburnaceae</x:v>
      </x:c>
      <x:c r="B384" s="215" t="str">
        <x:v>VIB-OVARY</x:v>
      </x:c>
      <x:c r="C384" s="215" t="str">
        <x:v>Family-wide</x:v>
      </x:c>
      <x:c r="D384" s="215" t="str">
        <x:v>Gynoecium</x:v>
      </x:c>
      <x:c r="E384" s="215" t="str">
        <x:v>Ovary inferior or partly inferior</x:v>
      </x:c>
      <x:c r="F384" s="215" t="str">
        <x:v>Core</x:v>
      </x:c>
      <x:c r="G384" s="215" t="str">
        <x:v>5</x:v>
      </x:c>
      <x:c r="H384" s="215" t="str">
        <x:v>High</x:v>
      </x:c>
      <x:c r="I384" s="215" t="str">
        <x:v>Hand lens or side view</x:v>
      </x:c>
      <x:c r="J384" s="215" t="str">
        <x:v>Flowering or young fruit</x:v>
      </x:c>
      <x:c r="K384" s="215" t="str">
        <x:v>The floral parts arise above an ovary embedded below them.</x:v>
      </x:c>
      <x:c r="L384" s="215" t="str">
        <x:v>The degree of inferiority varies and may be hard to see in very small flowers.</x:v>
      </x:c>
      <x:c r="M384" s="215" t="str">
        <x:v>A strong separator from many opposite-leaved woody lookalikes.</x:v>
      </x:c>
      <x:c r="N384" s="215" t="str">
        <x:v>High-value confirmation for local family identification.</x:v>
      </x:c>
      <x:c r="O384" s="215" t="str">
        <x:v>Low</x:v>
      </x:c>
      <x:c r="P384" s="215" t="str">
        <x:v>No</x:v>
      </x:c>
      <x:c r="Q384" s="215" t="str"/>
      <x:c r="R384" s="215" t="str">
        <x:v>VIB-LK01; VIB-LK02</x:v>
      </x:c>
      <x:c r="S384" s="215" t="str">
        <x:v>APWEB-VIBU; POWO-VIBU; LBJ-HAYS</x:v>
      </x:c>
      <x:c r="T384" s="215" t="str">
        <x:v>https://www.mobot.org/MOBOT/research/APweb/orders/dipsacalesweb.htm</x:v>
      </x:c>
      <x:c r="U384" s="215" t="str">
        <x:v>https://powo.science.kew.org/taxon/urn:lsid:ipni.org:names:77162522-1/general-information</x:v>
      </x:c>
      <x:c r="V384" s="215" t="str">
        <x:v>https://powo.science.kew.org/taxon/urn:lsid:ipni.org:names:77162522-1</x:v>
      </x:c>
      <x:c r="W384" s="215" t="str">
        <x:v>https://www.mobot.org/MOBOT/research/APweb/orders/dipsacalesweb.htm
https://powo.science.kew.org/taxon/urn:lsid:ipni.org:names:77162522-1/general-information
https://powo.science.kew.org/taxon/urn:lsid:ipni.org:names:77162522-1
https://www.wildflower.org/collections/collection.php?collection=hays</x:v>
      </x:c>
      <x:c r="X384" s="215" t="str">
        <x:v>No — retain qualifiers and exceptions</x:v>
      </x:c>
      <x:c r="Y384" s="215" t="str">
        <x:v>Yes</x:v>
      </x:c>
      <x:c r="Z384" s="215" t="str">
        <x:v>Source-backed draft</x:v>
      </x:c>
    </x:row>
    <x:row r="385" ht="42" customHeight="1">
      <x:c r="A385" s="215" t="str">
        <x:v>Viburnaceae</x:v>
      </x:c>
      <x:c r="B385" s="215" t="str">
        <x:v>VIB-STIGMA</x:v>
      </x:c>
      <x:c r="C385" s="215" t="str">
        <x:v>Family-wide, common</x:v>
      </x:c>
      <x:c r="D385" s="215" t="str">
        <x:v>Gynoecium</x:v>
      </x:c>
      <x:c r="E385" s="215" t="str">
        <x:v>Style short or absent; stigma often lobed or capitate</x:v>
      </x:c>
      <x:c r="F385" s="215" t="str">
        <x:v>Supporting</x:v>
      </x:c>
      <x:c r="G385" s="215" t="str">
        <x:v>2</x:v>
      </x:c>
      <x:c r="H385" s="215" t="str">
        <x:v>Moderate</x:v>
      </x:c>
      <x:c r="I385" s="215" t="str">
        <x:v>Hand lens</x:v>
      </x:c>
      <x:c r="J385" s="215" t="str">
        <x:v>Fresh flowers</x:v>
      </x:c>
      <x:c r="K385" s="215" t="str">
        <x:v>The stigma commonly sits close to the ovary rather than on a long conspicuous style.</x:v>
      </x:c>
      <x:c r="L385" s="215" t="str">
        <x:v>Shape varies among the three genera and tiny flowers obscure it.</x:v>
      </x:c>
      <x:c r="M385" s="215" t="str">
        <x:v>Use only as supporting evidence with inferior ovary and fruit.</x:v>
      </x:c>
      <x:c r="N385" s="215" t="str">
        <x:v>Useful during close examination of Hays flowers.</x:v>
      </x:c>
      <x:c r="O385" s="215" t="str">
        <x:v>Low</x:v>
      </x:c>
      <x:c r="P385" s="215" t="str">
        <x:v>No</x:v>
      </x:c>
      <x:c r="Q385" s="215" t="str"/>
      <x:c r="R385" s="215" t="str">
        <x:v>VIB-LK01</x:v>
      </x:c>
      <x:c r="S385" s="215" t="str">
        <x:v>APWEB-VIBU; POWO-VIBU; LBJ-HAYS</x:v>
      </x:c>
      <x:c r="T385" s="215" t="str">
        <x:v>https://www.mobot.org/MOBOT/research/APweb/orders/dipsacalesweb.htm</x:v>
      </x:c>
      <x:c r="U385" s="215" t="str">
        <x:v>https://powo.science.kew.org/taxon/urn:lsid:ipni.org:names:77162522-1/general-information</x:v>
      </x:c>
      <x:c r="V385" s="215" t="str">
        <x:v>https://powo.science.kew.org/taxon/urn:lsid:ipni.org:names:77162522-1</x:v>
      </x:c>
      <x:c r="W385" s="215" t="str">
        <x:v>https://www.mobot.org/MOBOT/research/APweb/orders/dipsacalesweb.htm
https://powo.science.kew.org/taxon/urn:lsid:ipni.org:names:77162522-1/general-information
https://powo.science.kew.org/taxon/urn:lsid:ipni.org:names:77162522-1
https://www.wildflower.org/collections/collection.php?collection=hays</x:v>
      </x:c>
      <x:c r="X385" s="215" t="str">
        <x:v>No — retain qualifiers and exceptions</x:v>
      </x:c>
      <x:c r="Y385" s="215" t="str">
        <x:v>Yes</x:v>
      </x:c>
      <x:c r="Z385" s="215" t="str">
        <x:v>Source-backed draft</x:v>
      </x:c>
    </x:row>
    <x:row r="386" ht="42" customHeight="1">
      <x:c r="A386" s="215" t="str">
        <x:v>Viburnaceae</x:v>
      </x:c>
      <x:c r="B386" s="215" t="str">
        <x:v>VIB-FRUIT</x:v>
      </x:c>
      <x:c r="C386" s="215" t="str">
        <x:v>Family-wide</x:v>
      </x:c>
      <x:c r="D386" s="215" t="str">
        <x:v>Fruit</x:v>
      </x:c>
      <x:c r="E386" s="215" t="str">
        <x:v>Indehiscent fleshy fruit: drupes in Viburnum and berry-like fruits in Sambucus</x:v>
      </x:c>
      <x:c r="F386" s="215" t="str">
        <x:v>Core</x:v>
      </x:c>
      <x:c r="G386" s="215" t="str">
        <x:v>5</x:v>
      </x:c>
      <x:c r="H386" s="215" t="str">
        <x:v>High</x:v>
      </x:c>
      <x:c r="I386" s="215" t="str">
        <x:v>Naked eye</x:v>
      </x:c>
      <x:c r="J386" s="215" t="str">
        <x:v>Mature fruit</x:v>
      </x:c>
      <x:c r="K386" s="215" t="str">
        <x:v>The fruit remains closed and contains one or more hardened seed-bearing structures.</x:v>
      </x:c>
      <x:c r="L386" s="215" t="str">
        <x:v>Fruit construction differs by genus; immature fruit can appear similar across unrelated families.</x:v>
      </x:c>
      <x:c r="M386" s="215" t="str">
        <x:v>Mature fruit plus opposite leaves and inferior ovary is a strong suite.</x:v>
      </x:c>
      <x:c r="N386" s="215" t="str">
        <x:v>Highly practical for local blackhaw- and elderberry-type plants.</x:v>
      </x:c>
      <x:c r="O386" s="215" t="str">
        <x:v>Low</x:v>
      </x:c>
      <x:c r="P386" s="215" t="str">
        <x:v>No</x:v>
      </x:c>
      <x:c r="Q386" s="215" t="str"/>
      <x:c r="R386" s="215" t="str">
        <x:v>VIB-LK01; VIB-LK02</x:v>
      </x:c>
      <x:c r="S386" s="215" t="str">
        <x:v>APWEB-VIBU; POWO-VIBU; LBJ-HAYS</x:v>
      </x:c>
      <x:c r="T386" s="215" t="str">
        <x:v>https://www.mobot.org/MOBOT/research/APweb/orders/dipsacalesweb.htm</x:v>
      </x:c>
      <x:c r="U386" s="215" t="str">
        <x:v>https://powo.science.kew.org/taxon/urn:lsid:ipni.org:names:77162522-1/general-information</x:v>
      </x:c>
      <x:c r="V386" s="215" t="str">
        <x:v>https://powo.science.kew.org/taxon/urn:lsid:ipni.org:names:77162522-1</x:v>
      </x:c>
      <x:c r="W386" s="215" t="str">
        <x:v>https://www.mobot.org/MOBOT/research/APweb/orders/dipsacalesweb.htm
https://powo.science.kew.org/taxon/urn:lsid:ipni.org:names:77162522-1/general-information
https://powo.science.kew.org/taxon/urn:lsid:ipni.org:names:77162522-1
https://www.wildflower.org/collections/collection.php?collection=hays</x:v>
      </x:c>
      <x:c r="X386" s="215" t="str">
        <x:v>No — retain qualifiers and exceptions</x:v>
      </x:c>
      <x:c r="Y386" s="215" t="str">
        <x:v>Yes</x:v>
      </x:c>
      <x:c r="Z386" s="215" t="str">
        <x:v>Source-backed draft</x:v>
      </x:c>
    </x:row>
    <x:row r="387" ht="42" customHeight="1">
      <x:c r="A387" s="215" t="str">
        <x:v>Viburnaceae</x:v>
      </x:c>
      <x:c r="B387" s="215" t="str">
        <x:v>VIB-TAXON</x:v>
      </x:c>
      <x:c r="C387" s="215" t="str">
        <x:v>Current family circumscription</x:v>
      </x:c>
      <x:c r="D387" s="215" t="str">
        <x:v>Taxonomy</x:v>
      </x:c>
      <x:c r="E387" s="215" t="str">
        <x:v>Sambucus and Viburnum are treated in Viburnaceae, separate from Caprifoliaceae</x:v>
      </x:c>
      <x:c r="F387" s="215" t="str">
        <x:v>Caution</x:v>
      </x:c>
      <x:c r="G387" s="215" t="str">
        <x:v>1</x:v>
      </x:c>
      <x:c r="H387" s="215" t="str">
        <x:v>High</x:v>
      </x:c>
      <x:c r="I387" s="215" t="str">
        <x:v>Not field-visible</x:v>
      </x:c>
      <x:c r="J387" s="215" t="str">
        <x:v>Any material</x:v>
      </x:c>
      <x:c r="K387" s="215" t="str">
        <x:v>Current accepted family placement differs from older broad Caprifoliaceae treatments.</x:v>
      </x:c>
      <x:c r="L387" s="215" t="str">
        <x:v>Older labels and floras may use Adoxaceae or broad Caprifoliaceae; synonyms must be reconciled.</x:v>
      </x:c>
      <x:c r="M387" s="215" t="str">
        <x:v>Use accepted POWO family placement while retaining source-name notes.</x:v>
      </x:c>
      <x:c r="N387" s="215" t="str">
        <x:v>Important because Hays records and collections may use older family concepts.</x:v>
      </x:c>
      <x:c r="O387" s="215" t="str">
        <x:v>Low</x:v>
      </x:c>
      <x:c r="P387" s="215" t="str">
        <x:v>No</x:v>
      </x:c>
      <x:c r="Q387" s="215" t="str"/>
      <x:c r="R387" s="215" t="str">
        <x:v>VIB-LK01</x:v>
      </x:c>
      <x:c r="S387" s="215" t="str">
        <x:v>APWEB-VIBU; POWO-VIBU; LBJ-HAYS</x:v>
      </x:c>
      <x:c r="T387" s="215" t="str">
        <x:v>https://www.mobot.org/MOBOT/research/APweb/orders/dipsacalesweb.htm</x:v>
      </x:c>
      <x:c r="U387" s="215" t="str">
        <x:v>https://powo.science.kew.org/taxon/urn:lsid:ipni.org:names:77162522-1/general-information</x:v>
      </x:c>
      <x:c r="V387" s="215" t="str">
        <x:v>https://powo.science.kew.org/taxon/urn:lsid:ipni.org:names:77162522-1</x:v>
      </x:c>
      <x:c r="W387" s="215" t="str">
        <x:v>https://www.mobot.org/MOBOT/research/APweb/orders/dipsacalesweb.htm
https://powo.science.kew.org/taxon/urn:lsid:ipni.org:names:77162522-1/general-information
https://powo.science.kew.org/taxon/urn:lsid:ipni.org:names:77162522-1
https://www.wildflower.org/collections/collection.php?collection=hays</x:v>
      </x:c>
      <x:c r="X387" s="215" t="str">
        <x:v>No — retain qualifiers and exceptions</x:v>
      </x:c>
      <x:c r="Y387" s="215" t="str">
        <x:v>Yes</x:v>
      </x:c>
      <x:c r="Z387" s="215" t="str">
        <x:v>Source-backed draft</x:v>
      </x:c>
    </x:row>
    <x:row r="388" ht="42" customHeight="1">
      <x:c r="A388" s="215" t="str">
        <x:v>Viburnaceae</x:v>
      </x:c>
      <x:c r="B388" s="215" t="str">
        <x:v>VIB-LK01</x:v>
      </x:c>
      <x:c r="C388" s="215" t="str">
        <x:v>Lookalike comparison</x:v>
      </x:c>
      <x:c r="D388" s="215" t="str">
        <x:v>Lookalike</x:v>
      </x:c>
      <x:c r="E388" s="215" t="str">
        <x:v>Versus Caprifoliaceae: Viburnaceae is usually radially 5-merous with five stamens and indehiscent fleshy fruit</x:v>
      </x:c>
      <x:c r="F388" s="215" t="str">
        <x:v>Lookalike</x:v>
      </x:c>
      <x:c r="G388" s="215" t="str">
        <x:v>4</x:v>
      </x:c>
      <x:c r="H388" s="215" t="str">
        <x:v>High</x:v>
      </x:c>
      <x:c r="I388" s="215" t="str">
        <x:v>Hand lens</x:v>
      </x:c>
      <x:c r="J388" s="215" t="str">
        <x:v>Flowering through fruiting</x:v>
      </x:c>
      <x:c r="K388" s="215" t="str">
        <x:v>Many Caprifoliaceae have bilaterally symmetric flowers or fewer stamens, while Viburnaceae commonly has radial flowers and fleshy closed fruits.</x:v>
      </x:c>
      <x:c r="L388" s="215" t="str">
        <x:v>There is overlap in symmetry and ovary position; no single character covers every genus.</x:v>
      </x:c>
      <x:c r="M388" s="215" t="str">
        <x:v>Use corolla symmetry, stamen count, and mature fruit together.</x:v>
      </x:c>
      <x:c r="N388" s="215" t="str">
        <x:v>Caprifoliaceae already has first-pass coverage, enabling reciprocal QA.</x:v>
      </x:c>
      <x:c r="O388" s="215" t="str">
        <x:v>Low</x:v>
      </x:c>
      <x:c r="P388" s="215" t="str">
        <x:v>No</x:v>
      </x:c>
      <x:c r="Q388" s="215" t="str"/>
      <x:c r="R388" s="215" t="str">
        <x:v>VIB-FLOWER; VIB-STAMENS; VIB-FRUIT</x:v>
      </x:c>
      <x:c r="S388" s="215" t="str">
        <x:v>APWEB-VIBU; POWO-VIBU; LBJ-HAYS</x:v>
      </x:c>
      <x:c r="T388" s="215" t="str">
        <x:v>https://www.mobot.org/MOBOT/research/APweb/orders/dipsacalesweb.htm</x:v>
      </x:c>
      <x:c r="U388" s="215" t="str">
        <x:v>https://powo.science.kew.org/taxon/urn:lsid:ipni.org:names:77162522-1/general-information</x:v>
      </x:c>
      <x:c r="V388" s="215" t="str">
        <x:v>https://powo.science.kew.org/taxon/urn:lsid:ipni.org:names:77162522-1</x:v>
      </x:c>
      <x:c r="W388" s="215" t="str">
        <x:v>https://www.mobot.org/MOBOT/research/APweb/orders/dipsacalesweb.htm
https://powo.science.kew.org/taxon/urn:lsid:ipni.org:names:77162522-1/general-information
https://powo.science.kew.org/taxon/urn:lsid:ipni.org:names:77162522-1
https://www.wildflower.org/collections/collection.php?collection=hays</x:v>
      </x:c>
      <x:c r="X388" s="215" t="str">
        <x:v>No — retain qualifiers and exceptions</x:v>
      </x:c>
      <x:c r="Y388" s="215" t="str">
        <x:v>Yes</x:v>
      </x:c>
      <x:c r="Z388" s="215" t="str">
        <x:v>Source-backed draft</x:v>
      </x:c>
    </x:row>
    <x:row r="389" ht="42" customHeight="1">
      <x:c r="A389" s="215" t="str">
        <x:v>Viburnaceae</x:v>
      </x:c>
      <x:c r="B389" s="215" t="str">
        <x:v>VIB-LK02</x:v>
      </x:c>
      <x:c r="C389" s="215" t="str">
        <x:v>Lookalike comparison</x:v>
      </x:c>
      <x:c r="D389" s="215" t="str">
        <x:v>Lookalike</x:v>
      </x:c>
      <x:c r="E389" s="215" t="str">
        <x:v>Versus Cornaceae/Hydrangeaceae: use leaf arrangement, flower construction, and mature fruit rather than flat-topped clusters alone</x:v>
      </x:c>
      <x:c r="F389" s="215" t="str">
        <x:v>Lookalike</x:v>
      </x:c>
      <x:c r="G389" s="215" t="str">
        <x:v>3</x:v>
      </x:c>
      <x:c r="H389" s="215" t="str">
        <x:v>Moderate</x:v>
      </x:c>
      <x:c r="I389" s="215" t="str">
        <x:v>Hand lens</x:v>
      </x:c>
      <x:c r="J389" s="215" t="str">
        <x:v>Flowering or fruiting</x:v>
      </x:c>
      <x:c r="K389" s="215" t="str">
        <x:v>Opposite leaves and broad clusters occur in several woody families, so the inferior ovary plus viburnum- or elderberry-type fruit suite matters.</x:v>
      </x:c>
      <x:c r="L389" s="215" t="str">
        <x:v>Sterile shoots and immature clusters may remain unresolved.</x:v>
      </x:c>
      <x:c r="M389" s="215" t="str">
        <x:v>Retain family-level uncertainty until flowers or mature fruit are available.</x:v>
      </x:c>
      <x:c r="N389" s="215" t="str">
        <x:v>Cornaceae and Hydrangeaceae have not yet received reciprocal first-pass evidence rows.</x:v>
      </x:c>
      <x:c r="O389" s="215" t="str">
        <x:v>Medium</x:v>
      </x:c>
      <x:c r="P389" s="215" t="str">
        <x:v>Yes</x:v>
      </x:c>
      <x:c r="Q389" s="215" t="str">
        <x:v>Reciprocal Cornaceae and Hydrangeaceae lookalike coverage is not yet in the master.</x:v>
      </x:c>
      <x:c r="R389" s="215" t="str">
        <x:v>VIB-LEAVES; VIB-OVARY; VIB-FRUIT</x:v>
      </x:c>
      <x:c r="S389" s="215" t="str">
        <x:v>APWEB-VIBU; POWO-VIBU; LBJ-HAYS</x:v>
      </x:c>
      <x:c r="T389" s="215" t="str">
        <x:v>https://www.mobot.org/MOBOT/research/APweb/orders/dipsacalesweb.htm</x:v>
      </x:c>
      <x:c r="U389" s="215" t="str">
        <x:v>https://powo.science.kew.org/taxon/urn:lsid:ipni.org:names:77162522-1/general-information</x:v>
      </x:c>
      <x:c r="V389" s="215" t="str">
        <x:v>https://powo.science.kew.org/taxon/urn:lsid:ipni.org:names:77162522-1</x:v>
      </x:c>
      <x:c r="W389" s="215" t="str">
        <x:v>https://www.mobot.org/MOBOT/research/APweb/orders/dipsacalesweb.htm
https://powo.science.kew.org/taxon/urn:lsid:ipni.org:names:77162522-1/general-information
https://powo.science.kew.org/taxon/urn:lsid:ipni.org:names:77162522-1
https://www.wildflower.org/collections/collection.php?collection=hays</x:v>
      </x:c>
      <x:c r="X389" s="215" t="str">
        <x:v>No — retain qualifiers and exceptions</x:v>
      </x:c>
      <x:c r="Y389" s="215" t="str">
        <x:v>Yes</x:v>
      </x:c>
      <x:c r="Z389" s="215" t="str">
        <x:v>Human review required</x:v>
      </x:c>
    </x:row>
    <x:row r="390" ht="42" customHeight="1">
      <x:c r="A390" s="215" t="str">
        <x:v>Gentianaceae</x:v>
      </x:c>
      <x:c r="B390" s="215" t="str">
        <x:v>GEN-HABIT</x:v>
      </x:c>
      <x:c r="C390" s="215" t="str">
        <x:v>Family-wide, local predominant</x:v>
      </x:c>
      <x:c r="D390" s="215" t="str">
        <x:v>Habit</x:v>
      </x:c>
      <x:c r="E390" s="215" t="str">
        <x:v>Mostly herbs in the local identification routes</x:v>
      </x:c>
      <x:c r="F390" s="215" t="str">
        <x:v>Supporting</x:v>
      </x:c>
      <x:c r="G390" s="215" t="str">
        <x:v>2</x:v>
      </x:c>
      <x:c r="H390" s="215" t="str">
        <x:v>High</x:v>
      </x:c>
      <x:c r="I390" s="215" t="str">
        <x:v>Naked eye</x:v>
      </x:c>
      <x:c r="J390" s="215" t="str">
        <x:v>Any season</x:v>
      </x:c>
      <x:c r="K390" s="215" t="str">
        <x:v>Central Texas gentian-family plants are chiefly herbaceous.</x:v>
      </x:c>
      <x:c r="L390" s="215" t="str">
        <x:v>The global family includes shrubs, trees, climbers, and non-green mycoheterotrophs.</x:v>
      </x:c>
      <x:c r="M390" s="215" t="str">
        <x:v>Use habit only to enter the key; confirm with leaves and flowers.</x:v>
      </x:c>
      <x:c r="N390" s="215" t="str">
        <x:v>Fits centaury-, prairie-gentian-, and rose-gentian-type Hays routes.</x:v>
      </x:c>
      <x:c r="O390" s="215" t="str">
        <x:v>Low</x:v>
      </x:c>
      <x:c r="P390" s="215" t="str">
        <x:v>No</x:v>
      </x:c>
      <x:c r="Q390" s="215" t="str"/>
      <x:c r="R390" s="215" t="str">
        <x:v>GEN-LK01; GEN-LK02</x:v>
      </x:c>
      <x:c r="S390" s="215" t="str">
        <x:v>APWEB-GENT; FNA-GENT; POWO-GENT; LBJ-HAYS</x:v>
      </x:c>
      <x:c r="T390" s="215" t="str">
        <x:v>https://www.mobot.org/MOBOT/research/APweb/orders/gentianalesweb.htm</x:v>
      </x:c>
      <x:c r="U390" s="215" t="str">
        <x:v>https://floranorthamerica.org/Gentianaceae</x:v>
      </x:c>
      <x:c r="V390" s="215" t="str">
        <x:v>https://powo.science.kew.org/taxon/urn:lsid:ipni.org:names:30000253-2/general-information</x:v>
      </x:c>
      <x:c r="W390" s="215" t="str">
        <x:v>https://www.mobot.org/MOBOT/research/APweb/orders/gentianalesweb.htm
https://floranorthamerica.org/Gentianaceae
https://powo.science.kew.org/taxon/urn:lsid:ipni.org:names:30000253-2/general-information
https://www.wildflower.org/collections/collection.php?collection=hays</x:v>
      </x:c>
      <x:c r="X390" s="215" t="str">
        <x:v>No — retain qualifiers and exceptions</x:v>
      </x:c>
      <x:c r="Y390" s="215" t="str">
        <x:v>Yes</x:v>
      </x:c>
      <x:c r="Z390" s="215" t="str">
        <x:v>Source-backed draft</x:v>
      </x:c>
    </x:row>
    <x:row r="391" ht="42" customHeight="1">
      <x:c r="A391" s="215" t="str">
        <x:v>Gentianaceae</x:v>
      </x:c>
      <x:c r="B391" s="215" t="str">
        <x:v>GEN-LEAVES</x:v>
      </x:c>
      <x:c r="C391" s="215" t="str">
        <x:v>Family-wide, predominant</x:v>
      </x:c>
      <x:c r="D391" s="215" t="str">
        <x:v>Leaf</x:v>
      </x:c>
      <x:c r="E391" s="215" t="str">
        <x:v>Leaves usually opposite, simple, entire, and without stipules</x:v>
      </x:c>
      <x:c r="F391" s="215" t="str">
        <x:v>Strong</x:v>
      </x:c>
      <x:c r="G391" s="215" t="str">
        <x:v>4</x:v>
      </x:c>
      <x:c r="H391" s="215" t="str">
        <x:v>High</x:v>
      </x:c>
      <x:c r="I391" s="215" t="str">
        <x:v>Naked eye</x:v>
      </x:c>
      <x:c r="J391" s="215" t="str">
        <x:v>Vegetative or flowering</x:v>
      </x:c>
      <x:c r="K391" s="215" t="str">
        <x:v>Leaves commonly form opposite pairs with smooth margins and no stipules.</x:v>
      </x:c>
      <x:c r="L391" s="215" t="str">
        <x:v>Leaves may be basal, whorled, or rarely alternate, and reduced in non-green lineages.</x:v>
      </x:c>
      <x:c r="M391" s="215" t="str">
        <x:v>Combine with the sympetalous flower and superior ovary.</x:v>
      </x:c>
      <x:c r="N391" s="215" t="str">
        <x:v>Useful across the principal herbaceous Hays routes.</x:v>
      </x:c>
      <x:c r="O391" s="215" t="str">
        <x:v>Low</x:v>
      </x:c>
      <x:c r="P391" s="215" t="str">
        <x:v>No</x:v>
      </x:c>
      <x:c r="Q391" s="215" t="str"/>
      <x:c r="R391" s="215" t="str">
        <x:v>GEN-LK01; GEN-LK02</x:v>
      </x:c>
      <x:c r="S391" s="215" t="str">
        <x:v>APWEB-GENT; FNA-GENT; POWO-GENT; LBJ-HAYS</x:v>
      </x:c>
      <x:c r="T391" s="215" t="str">
        <x:v>https://www.mobot.org/MOBOT/research/APweb/orders/gentianalesweb.htm</x:v>
      </x:c>
      <x:c r="U391" s="215" t="str">
        <x:v>https://floranorthamerica.org/Gentianaceae</x:v>
      </x:c>
      <x:c r="V391" s="215" t="str">
        <x:v>https://powo.science.kew.org/taxon/urn:lsid:ipni.org:names:30000253-2/general-information</x:v>
      </x:c>
      <x:c r="W391" s="215" t="str">
        <x:v>https://www.mobot.org/MOBOT/research/APweb/orders/gentianalesweb.htm
https://floranorthamerica.org/Gentianaceae
https://powo.science.kew.org/taxon/urn:lsid:ipni.org:names:30000253-2/general-information
https://www.wildflower.org/collections/collection.php?collection=hays</x:v>
      </x:c>
      <x:c r="X391" s="215" t="str">
        <x:v>No — retain qualifiers and exceptions</x:v>
      </x:c>
      <x:c r="Y391" s="215" t="str">
        <x:v>Yes</x:v>
      </x:c>
      <x:c r="Z391" s="215" t="str">
        <x:v>Source-backed draft</x:v>
      </x:c>
    </x:row>
    <x:row r="392" ht="42" customHeight="1">
      <x:c r="A392" s="215" t="str">
        <x:v>Gentianaceae</x:v>
      </x:c>
      <x:c r="B392" s="215" t="str">
        <x:v>GEN-BITTER</x:v>
      </x:c>
      <x:c r="C392" s="215" t="str">
        <x:v>Family-wide, common</x:v>
      </x:c>
      <x:c r="D392" s="215" t="str">
        <x:v>Chemistry / odor</x:v>
      </x:c>
      <x:c r="E392" s="215" t="str">
        <x:v>Tissues often bitter from iridoids</x:v>
      </x:c>
      <x:c r="F392" s="215" t="str">
        <x:v>Supporting</x:v>
      </x:c>
      <x:c r="G392" s="215" t="str">
        <x:v>1</x:v>
      </x:c>
      <x:c r="H392" s="215" t="str">
        <x:v>Moderate</x:v>
      </x:c>
      <x:c r="I392" s="215" t="str">
        <x:v>Not recommended as a taste test</x:v>
      </x:c>
      <x:c r="J392" s="215" t="str">
        <x:v>Fresh material</x:v>
      </x:c>
      <x:c r="K392" s="215" t="str">
        <x:v>Bitter chemistry is characteristic of many members.</x:v>
      </x:c>
      <x:c r="L392" s="215" t="str">
        <x:v>Taste varies, some plants may be toxic, and tasting unidentified plants is not an acceptable field test.</x:v>
      </x:c>
      <x:c r="M392" s="215" t="str">
        <x:v>Treat as source context only, never as an action or exclusion rule.</x:v>
      </x:c>
      <x:c r="N392" s="215" t="str">
        <x:v>Not operational for Hays field identification.</x:v>
      </x:c>
      <x:c r="O392" s="215" t="str">
        <x:v>Medium</x:v>
      </x:c>
      <x:c r="P392" s="215" t="str">
        <x:v>No</x:v>
      </x:c>
      <x:c r="Q392" s="215" t="str"/>
      <x:c r="R392" s="215" t="str">
        <x:v>GEN-LK01; GEN-LK02</x:v>
      </x:c>
      <x:c r="S392" s="215" t="str">
        <x:v>APWEB-GENT; FNA-GENT; POWO-GENT; LBJ-HAYS</x:v>
      </x:c>
      <x:c r="T392" s="215" t="str">
        <x:v>https://www.mobot.org/MOBOT/research/APweb/orders/gentianalesweb.htm</x:v>
      </x:c>
      <x:c r="U392" s="215" t="str">
        <x:v>https://floranorthamerica.org/Gentianaceae</x:v>
      </x:c>
      <x:c r="V392" s="215" t="str">
        <x:v>https://powo.science.kew.org/taxon/urn:lsid:ipni.org:names:30000253-2/general-information</x:v>
      </x:c>
      <x:c r="W392" s="215" t="str">
        <x:v>https://www.mobot.org/MOBOT/research/APweb/orders/gentianalesweb.htm
https://floranorthamerica.org/Gentianaceae
https://powo.science.kew.org/taxon/urn:lsid:ipni.org:names:30000253-2/general-information
https://www.wildflower.org/collections/collection.php?collection=hays</x:v>
      </x:c>
      <x:c r="X392" s="215" t="str">
        <x:v>No — retain qualifiers and exceptions</x:v>
      </x:c>
      <x:c r="Y392" s="215" t="str">
        <x:v>Yes</x:v>
      </x:c>
      <x:c r="Z392" s="215" t="str">
        <x:v>Source-backed draft</x:v>
      </x:c>
    </x:row>
    <x:row r="393" ht="42" customHeight="1">
      <x:c r="A393" s="215" t="str">
        <x:v>Gentianaceae</x:v>
      </x:c>
      <x:c r="B393" s="215" t="str">
        <x:v>GEN-FLOWER</x:v>
      </x:c>
      <x:c r="C393" s="215" t="str">
        <x:v>Family-wide, predominant</x:v>
      </x:c>
      <x:c r="D393" s="215" t="str">
        <x:v>Flower</x:v>
      </x:c>
      <x:c r="E393" s="215" t="str">
        <x:v>Flowers usually radial, 4- or 5-merous, with a fused corolla</x:v>
      </x:c>
      <x:c r="F393" s="215" t="str">
        <x:v>Core</x:v>
      </x:c>
      <x:c r="G393" s="215" t="str">
        <x:v>5</x:v>
      </x:c>
      <x:c r="H393" s="215" t="str">
        <x:v>High</x:v>
      </x:c>
      <x:c r="I393" s="215" t="str">
        <x:v>Naked eye or hand lens</x:v>
      </x:c>
      <x:c r="J393" s="215" t="str">
        <x:v>Fresh flowers</x:v>
      </x:c>
      <x:c r="K393" s="215" t="str">
        <x:v>The petals join into a tube or bell ending in four or five lobes.</x:v>
      </x:c>
      <x:c r="L393" s="215" t="str">
        <x:v>Some flowers are weakly bilateral or have different part counts; corolla form varies greatly.</x:v>
      </x:c>
      <x:c r="M393" s="215" t="str">
        <x:v>Use with opposite entire leaves, epipetalous stamens, and superior ovary.</x:v>
      </x:c>
      <x:c r="N393" s="215" t="str">
        <x:v>Highly visible in flowering local gentian-family herbs.</x:v>
      </x:c>
      <x:c r="O393" s="215" t="str">
        <x:v>Low</x:v>
      </x:c>
      <x:c r="P393" s="215" t="str">
        <x:v>No</x:v>
      </x:c>
      <x:c r="Q393" s="215" t="str"/>
      <x:c r="R393" s="215" t="str">
        <x:v>GEN-LK01; GEN-LK02</x:v>
      </x:c>
      <x:c r="S393" s="215" t="str">
        <x:v>APWEB-GENT; FNA-GENT; POWO-GENT; LBJ-HAYS</x:v>
      </x:c>
      <x:c r="T393" s="215" t="str">
        <x:v>https://www.mobot.org/MOBOT/research/APweb/orders/gentianalesweb.htm</x:v>
      </x:c>
      <x:c r="U393" s="215" t="str">
        <x:v>https://floranorthamerica.org/Gentianaceae</x:v>
      </x:c>
      <x:c r="V393" s="215" t="str">
        <x:v>https://powo.science.kew.org/taxon/urn:lsid:ipni.org:names:30000253-2/general-information</x:v>
      </x:c>
      <x:c r="W393" s="215" t="str">
        <x:v>https://www.mobot.org/MOBOT/research/APweb/orders/gentianalesweb.htm
https://floranorthamerica.org/Gentianaceae
https://powo.science.kew.org/taxon/urn:lsid:ipni.org:names:30000253-2/general-information
https://www.wildflower.org/collections/collection.php?collection=hays</x:v>
      </x:c>
      <x:c r="X393" s="215" t="str">
        <x:v>No — retain qualifiers and exceptions</x:v>
      </x:c>
      <x:c r="Y393" s="215" t="str">
        <x:v>Yes</x:v>
      </x:c>
      <x:c r="Z393" s="215" t="str">
        <x:v>Source-backed draft</x:v>
      </x:c>
    </x:row>
    <x:row r="394" ht="42" customHeight="1">
      <x:c r="A394" s="215" t="str">
        <x:v>Gentianaceae</x:v>
      </x:c>
      <x:c r="B394" s="215" t="str">
        <x:v>GEN-PLEATS</x:v>
      </x:c>
      <x:c r="C394" s="215" t="str">
        <x:v>Family-wide, common in key routes</x:v>
      </x:c>
      <x:c r="D394" s="215" t="str">
        <x:v>Corolla</x:v>
      </x:c>
      <x:c r="E394" s="215" t="str">
        <x:v>Corolla commonly has folds, plaits, or appendages between lobes</x:v>
      </x:c>
      <x:c r="F394" s="215" t="str">
        <x:v>Strong</x:v>
      </x:c>
      <x:c r="G394" s="215" t="str">
        <x:v>3</x:v>
      </x:c>
      <x:c r="H394" s="215" t="str">
        <x:v>Moderate</x:v>
      </x:c>
      <x:c r="I394" s="215" t="str">
        <x:v>Naked eye or hand lens</x:v>
      </x:c>
      <x:c r="J394" s="215" t="str">
        <x:v>Fresh open flowers</x:v>
      </x:c>
      <x:c r="K394" s="215" t="str">
        <x:v>Extra folds or appendages often occur between the main corolla lobes.</x:v>
      </x:c>
      <x:c r="L394" s="215" t="str">
        <x:v>Not universal across the family and can be obscure in small or closed flowers.</x:v>
      </x:c>
      <x:c r="M394" s="215" t="str">
        <x:v>A positive confirmation in many gentian-like flowers, not a rejection rule.</x:v>
      </x:c>
      <x:c r="N394" s="215" t="str">
        <x:v>Useful for several showy Hays routes when flowers are fully open.</x:v>
      </x:c>
      <x:c r="O394" s="215" t="str">
        <x:v>Medium</x:v>
      </x:c>
      <x:c r="P394" s="215" t="str">
        <x:v>No</x:v>
      </x:c>
      <x:c r="Q394" s="215" t="str"/>
      <x:c r="R394" s="215" t="str">
        <x:v>GEN-LK02</x:v>
      </x:c>
      <x:c r="S394" s="215" t="str">
        <x:v>APWEB-GENT; FNA-GENT; POWO-GENT; LBJ-HAYS</x:v>
      </x:c>
      <x:c r="T394" s="215" t="str">
        <x:v>https://www.mobot.org/MOBOT/research/APweb/orders/gentianalesweb.htm</x:v>
      </x:c>
      <x:c r="U394" s="215" t="str">
        <x:v>https://floranorthamerica.org/Gentianaceae</x:v>
      </x:c>
      <x:c r="V394" s="215" t="str">
        <x:v>https://powo.science.kew.org/taxon/urn:lsid:ipni.org:names:30000253-2/general-information</x:v>
      </x:c>
      <x:c r="W394" s="215" t="str">
        <x:v>https://www.mobot.org/MOBOT/research/APweb/orders/gentianalesweb.htm
https://floranorthamerica.org/Gentianaceae
https://powo.science.kew.org/taxon/urn:lsid:ipni.org:names:30000253-2/general-information
https://www.wildflower.org/collections/collection.php?collection=hays</x:v>
      </x:c>
      <x:c r="X394" s="215" t="str">
        <x:v>No — retain qualifiers and exceptions</x:v>
      </x:c>
      <x:c r="Y394" s="215" t="str">
        <x:v>Yes</x:v>
      </x:c>
      <x:c r="Z394" s="215" t="str">
        <x:v>Source-backed draft</x:v>
      </x:c>
    </x:row>
    <x:row r="395" ht="42" customHeight="1">
      <x:c r="A395" s="215" t="str">
        <x:v>Gentianaceae</x:v>
      </x:c>
      <x:c r="B395" s="215" t="str">
        <x:v>GEN-STAMENS</x:v>
      </x:c>
      <x:c r="C395" s="215" t="str">
        <x:v>Family-wide, predominant</x:v>
      </x:c>
      <x:c r="D395" s="215" t="str">
        <x:v>Androecium</x:v>
      </x:c>
      <x:c r="E395" s="215" t="str">
        <x:v>Stamens usually equal corolla lobes and attached to the corolla tube</x:v>
      </x:c>
      <x:c r="F395" s="215" t="str">
        <x:v>Strong</x:v>
      </x:c>
      <x:c r="G395" s="215" t="str">
        <x:v>4</x:v>
      </x:c>
      <x:c r="H395" s="215" t="str">
        <x:v>High</x:v>
      </x:c>
      <x:c r="I395" s="215" t="str">
        <x:v>Hand lens</x:v>
      </x:c>
      <x:c r="J395" s="215" t="str">
        <x:v>Fresh flowers</x:v>
      </x:c>
      <x:c r="K395" s="215" t="str">
        <x:v>There is commonly one stamen per corolla lobe, arising from the joined petals.</x:v>
      </x:c>
      <x:c r="L395" s="215" t="str">
        <x:v>Anther form and attachment vary; reduced flowers can depart.</x:v>
      </x:c>
      <x:c r="M395" s="215" t="str">
        <x:v>Pair with corolla fusion and ovary position.</x:v>
      </x:c>
      <x:c r="N395" s="215" t="str">
        <x:v>Practical on intact local flowers.</x:v>
      </x:c>
      <x:c r="O395" s="215" t="str">
        <x:v>Low</x:v>
      </x:c>
      <x:c r="P395" s="215" t="str">
        <x:v>No</x:v>
      </x:c>
      <x:c r="Q395" s="215" t="str"/>
      <x:c r="R395" s="215" t="str">
        <x:v>GEN-LK01; GEN-LK02</x:v>
      </x:c>
      <x:c r="S395" s="215" t="str">
        <x:v>APWEB-GENT; FNA-GENT; POWO-GENT; LBJ-HAYS</x:v>
      </x:c>
      <x:c r="T395" s="215" t="str">
        <x:v>https://www.mobot.org/MOBOT/research/APweb/orders/gentianalesweb.htm</x:v>
      </x:c>
      <x:c r="U395" s="215" t="str">
        <x:v>https://floranorthamerica.org/Gentianaceae</x:v>
      </x:c>
      <x:c r="V395" s="215" t="str">
        <x:v>https://powo.science.kew.org/taxon/urn:lsid:ipni.org:names:30000253-2/general-information</x:v>
      </x:c>
      <x:c r="W395" s="215" t="str">
        <x:v>https://www.mobot.org/MOBOT/research/APweb/orders/gentianalesweb.htm
https://floranorthamerica.org/Gentianaceae
https://powo.science.kew.org/taxon/urn:lsid:ipni.org:names:30000253-2/general-information
https://www.wildflower.org/collections/collection.php?collection=hays</x:v>
      </x:c>
      <x:c r="X395" s="215" t="str">
        <x:v>No — retain qualifiers and exceptions</x:v>
      </x:c>
      <x:c r="Y395" s="215" t="str">
        <x:v>Yes</x:v>
      </x:c>
      <x:c r="Z395" s="215" t="str">
        <x:v>Source-backed draft</x:v>
      </x:c>
    </x:row>
    <x:row r="396" ht="42" customHeight="1">
      <x:c r="A396" s="215" t="str">
        <x:v>Gentianaceae</x:v>
      </x:c>
      <x:c r="B396" s="215" t="str">
        <x:v>GEN-OVARY</x:v>
      </x:c>
      <x:c r="C396" s="215" t="str">
        <x:v>Family-wide</x:v>
      </x:c>
      <x:c r="D396" s="215" t="str">
        <x:v>Gynoecium</x:v>
      </x:c>
      <x:c r="E396" s="215" t="str">
        <x:v>Ovary superior, formed from two carpels and usually one or two locules</x:v>
      </x:c>
      <x:c r="F396" s="215" t="str">
        <x:v>Core</x:v>
      </x:c>
      <x:c r="G396" s="215" t="str">
        <x:v>5</x:v>
      </x:c>
      <x:c r="H396" s="215" t="str">
        <x:v>High</x:v>
      </x:c>
      <x:c r="I396" s="215" t="str">
        <x:v>Hand lens or dissection</x:v>
      </x:c>
      <x:c r="J396" s="215" t="str">
        <x:v>Flowering or young fruit</x:v>
      </x:c>
      <x:c r="K396" s="215" t="str">
        <x:v>The ovary sits above the attachment of the floral parts and commonly has one chamber with parietal placentas or two chambers.</x:v>
      </x:c>
      <x:c r="L396" s="215" t="str">
        <x:v>Locule number and placentation vary within the family and may require dissection.</x:v>
      </x:c>
      <x:c r="M396" s="215" t="str">
        <x:v>One of the best separators from Rubiaceae, which commonly has an inferior ovary.</x:v>
      </x:c>
      <x:c r="N396" s="215" t="str">
        <x:v>Strongly relevant to Hays family confirmation.</x:v>
      </x:c>
      <x:c r="O396" s="215" t="str">
        <x:v>Low</x:v>
      </x:c>
      <x:c r="P396" s="215" t="str">
        <x:v>No</x:v>
      </x:c>
      <x:c r="Q396" s="215" t="str"/>
      <x:c r="R396" s="215" t="str">
        <x:v>GEN-LK01; GEN-LK02</x:v>
      </x:c>
      <x:c r="S396" s="215" t="str">
        <x:v>APWEB-GENT; FNA-GENT; POWO-GENT; LBJ-HAYS</x:v>
      </x:c>
      <x:c r="T396" s="215" t="str">
        <x:v>https://www.mobot.org/MOBOT/research/APweb/orders/gentianalesweb.htm</x:v>
      </x:c>
      <x:c r="U396" s="215" t="str">
        <x:v>https://floranorthamerica.org/Gentianaceae</x:v>
      </x:c>
      <x:c r="V396" s="215" t="str">
        <x:v>https://powo.science.kew.org/taxon/urn:lsid:ipni.org:names:30000253-2/general-information</x:v>
      </x:c>
      <x:c r="W396" s="215" t="str">
        <x:v>https://www.mobot.org/MOBOT/research/APweb/orders/gentianalesweb.htm
https://floranorthamerica.org/Gentianaceae
https://powo.science.kew.org/taxon/urn:lsid:ipni.org:names:30000253-2/general-information
https://www.wildflower.org/collections/collection.php?collection=hays</x:v>
      </x:c>
      <x:c r="X396" s="215" t="str">
        <x:v>No — retain qualifiers and exceptions</x:v>
      </x:c>
      <x:c r="Y396" s="215" t="str">
        <x:v>Yes</x:v>
      </x:c>
      <x:c r="Z396" s="215" t="str">
        <x:v>Source-backed draft</x:v>
      </x:c>
    </x:row>
    <x:row r="397" ht="42" customHeight="1">
      <x:c r="A397" s="215" t="str">
        <x:v>Gentianaceae</x:v>
      </x:c>
      <x:c r="B397" s="215" t="str">
        <x:v>GEN-STIGMA</x:v>
      </x:c>
      <x:c r="C397" s="215" t="str">
        <x:v>Family-wide, predominant</x:v>
      </x:c>
      <x:c r="D397" s="215" t="str">
        <x:v>Gynoecium</x:v>
      </x:c>
      <x:c r="E397" s="215" t="str">
        <x:v>Stigma commonly two-lobed</x:v>
      </x:c>
      <x:c r="F397" s="215" t="str">
        <x:v>Supporting</x:v>
      </x:c>
      <x:c r="G397" s="215" t="str">
        <x:v>3</x:v>
      </x:c>
      <x:c r="H397" s="215" t="str">
        <x:v>Moderate</x:v>
      </x:c>
      <x:c r="I397" s="215" t="str">
        <x:v>Hand lens</x:v>
      </x:c>
      <x:c r="J397" s="215" t="str">
        <x:v>Fresh flowers</x:v>
      </x:c>
      <x:c r="K397" s="215" t="str">
        <x:v>The style commonly ends in two receptive lobes.</x:v>
      </x:c>
      <x:c r="L397" s="215" t="str">
        <x:v>Lobe size and style length vary and some stigmas appear capitate.</x:v>
      </x:c>
      <x:c r="M397" s="215" t="str">
        <x:v>Use with a two-carpellate ovary and many-seeded capsule.</x:v>
      </x:c>
      <x:c r="N397" s="215" t="str">
        <x:v>Useful in close examination of local flowers.</x:v>
      </x:c>
      <x:c r="O397" s="215" t="str">
        <x:v>Low</x:v>
      </x:c>
      <x:c r="P397" s="215" t="str">
        <x:v>No</x:v>
      </x:c>
      <x:c r="Q397" s="215" t="str"/>
      <x:c r="R397" s="215" t="str">
        <x:v>GEN-LK01</x:v>
      </x:c>
      <x:c r="S397" s="215" t="str">
        <x:v>APWEB-GENT; FNA-GENT; POWO-GENT; LBJ-HAYS</x:v>
      </x:c>
      <x:c r="T397" s="215" t="str">
        <x:v>https://www.mobot.org/MOBOT/research/APweb/orders/gentianalesweb.htm</x:v>
      </x:c>
      <x:c r="U397" s="215" t="str">
        <x:v>https://floranorthamerica.org/Gentianaceae</x:v>
      </x:c>
      <x:c r="V397" s="215" t="str">
        <x:v>https://powo.science.kew.org/taxon/urn:lsid:ipni.org:names:30000253-2/general-information</x:v>
      </x:c>
      <x:c r="W397" s="215" t="str">
        <x:v>https://www.mobot.org/MOBOT/research/APweb/orders/gentianalesweb.htm
https://floranorthamerica.org/Gentianaceae
https://powo.science.kew.org/taxon/urn:lsid:ipni.org:names:30000253-2/general-information
https://www.wildflower.org/collections/collection.php?collection=hays</x:v>
      </x:c>
      <x:c r="X397" s="215" t="str">
        <x:v>No — retain qualifiers and exceptions</x:v>
      </x:c>
      <x:c r="Y397" s="215" t="str">
        <x:v>Yes</x:v>
      </x:c>
      <x:c r="Z397" s="215" t="str">
        <x:v>Source-backed draft</x:v>
      </x:c>
    </x:row>
    <x:row r="398" ht="42" customHeight="1">
      <x:c r="A398" s="215" t="str">
        <x:v>Gentianaceae</x:v>
      </x:c>
      <x:c r="B398" s="215" t="str">
        <x:v>GEN-FRUIT</x:v>
      </x:c>
      <x:c r="C398" s="215" t="str">
        <x:v>Family-wide, predominant</x:v>
      </x:c>
      <x:c r="D398" s="215" t="str">
        <x:v>Fruit</x:v>
      </x:c>
      <x:c r="E398" s="215" t="str">
        <x:v>Usually a capsule with many small seeds</x:v>
      </x:c>
      <x:c r="F398" s="215" t="str">
        <x:v>Core</x:v>
      </x:c>
      <x:c r="G398" s="215" t="str">
        <x:v>5</x:v>
      </x:c>
      <x:c r="H398" s="215" t="str">
        <x:v>High</x:v>
      </x:c>
      <x:c r="I398" s="215" t="str">
        <x:v>Hand lens</x:v>
      </x:c>
      <x:c r="J398" s="215" t="str">
        <x:v>Mature fruit</x:v>
      </x:c>
      <x:c r="K398" s="215" t="str">
        <x:v>The dry fruit commonly opens to release numerous small seeds.</x:v>
      </x:c>
      <x:c r="L398" s="215" t="str">
        <x:v>Berries occur in some lineages; immature fruit may not reveal dehiscence.</x:v>
      </x:c>
      <x:c r="M398" s="215" t="str">
        <x:v>Strong late-season confirmation with persistent calyx and superior ovary.</x:v>
      </x:c>
      <x:c r="N398" s="215" t="str">
        <x:v>Applicable to the main herbaceous Hays routes.</x:v>
      </x:c>
      <x:c r="O398" s="215" t="str">
        <x:v>Low</x:v>
      </x:c>
      <x:c r="P398" s="215" t="str">
        <x:v>No</x:v>
      </x:c>
      <x:c r="Q398" s="215" t="str"/>
      <x:c r="R398" s="215" t="str">
        <x:v>GEN-LK01; GEN-LK02</x:v>
      </x:c>
      <x:c r="S398" s="215" t="str">
        <x:v>APWEB-GENT; FNA-GENT; POWO-GENT; LBJ-HAYS</x:v>
      </x:c>
      <x:c r="T398" s="215" t="str">
        <x:v>https://www.mobot.org/MOBOT/research/APweb/orders/gentianalesweb.htm</x:v>
      </x:c>
      <x:c r="U398" s="215" t="str">
        <x:v>https://floranorthamerica.org/Gentianaceae</x:v>
      </x:c>
      <x:c r="V398" s="215" t="str">
        <x:v>https://powo.science.kew.org/taxon/urn:lsid:ipni.org:names:30000253-2/general-information</x:v>
      </x:c>
      <x:c r="W398" s="215" t="str">
        <x:v>https://www.mobot.org/MOBOT/research/APweb/orders/gentianalesweb.htm
https://floranorthamerica.org/Gentianaceae
https://powo.science.kew.org/taxon/urn:lsid:ipni.org:names:30000253-2/general-information
https://www.wildflower.org/collections/collection.php?collection=hays</x:v>
      </x:c>
      <x:c r="X398" s="215" t="str">
        <x:v>No — retain qualifiers and exceptions</x:v>
      </x:c>
      <x:c r="Y398" s="215" t="str">
        <x:v>Yes</x:v>
      </x:c>
      <x:c r="Z398" s="215" t="str">
        <x:v>Source-backed draft</x:v>
      </x:c>
    </x:row>
    <x:row r="399" ht="42" customHeight="1">
      <x:c r="A399" s="215" t="str">
        <x:v>Gentianaceae</x:v>
      </x:c>
      <x:c r="B399" s="215" t="str">
        <x:v>GEN-LK01</x:v>
      </x:c>
      <x:c r="C399" s="215" t="str">
        <x:v>Lookalike comparison</x:v>
      </x:c>
      <x:c r="D399" s="215" t="str">
        <x:v>Lookalike</x:v>
      </x:c>
      <x:c r="E399" s="215" t="str">
        <x:v>Versus Rubiaceae: superior ovary and lack of interpetiolar stipules favor Gentianaceae</x:v>
      </x:c>
      <x:c r="F399" s="215" t="str">
        <x:v>Lookalike</x:v>
      </x:c>
      <x:c r="G399" s="215" t="str">
        <x:v>5</x:v>
      </x:c>
      <x:c r="H399" s="215" t="str">
        <x:v>High</x:v>
      </x:c>
      <x:c r="I399" s="215" t="str">
        <x:v>Hand lens</x:v>
      </x:c>
      <x:c r="J399" s="215" t="str">
        <x:v>Flowering</x:v>
      </x:c>
      <x:c r="K399" s="215" t="str">
        <x:v>Both can have opposite leaves and fused corollas, but Rubiaceae commonly has an inferior ovary and stipules between petioles.</x:v>
      </x:c>
      <x:c r="L399" s="215" t="str">
        <x:v>Tiny flowers can obscure ovary position, and leaf-base structures may be damaged.</x:v>
      </x:c>
      <x:c r="M399" s="215" t="str">
        <x:v>Inspect nodes and a side view of the ovary together.</x:v>
      </x:c>
      <x:c r="N399" s="215" t="str">
        <x:v>Rubiaceae already has first-pass coverage, so this is a high-value reciprocal comparison.</x:v>
      </x:c>
      <x:c r="O399" s="215" t="str">
        <x:v>Low</x:v>
      </x:c>
      <x:c r="P399" s="215" t="str">
        <x:v>No</x:v>
      </x:c>
      <x:c r="Q399" s="215" t="str"/>
      <x:c r="R399" s="215" t="str">
        <x:v>GEN-LEAVES; GEN-OVARY</x:v>
      </x:c>
      <x:c r="S399" s="215" t="str">
        <x:v>APWEB-GENT; FNA-GENT; POWO-GENT; LBJ-HAYS</x:v>
      </x:c>
      <x:c r="T399" s="215" t="str">
        <x:v>https://www.mobot.org/MOBOT/research/APweb/orders/gentianalesweb.htm</x:v>
      </x:c>
      <x:c r="U399" s="215" t="str">
        <x:v>https://floranorthamerica.org/Gentianaceae</x:v>
      </x:c>
      <x:c r="V399" s="215" t="str">
        <x:v>https://powo.science.kew.org/taxon/urn:lsid:ipni.org:names:30000253-2/general-information</x:v>
      </x:c>
      <x:c r="W399" s="215" t="str">
        <x:v>https://www.mobot.org/MOBOT/research/APweb/orders/gentianalesweb.htm
https://floranorthamerica.org/Gentianaceae
https://powo.science.kew.org/taxon/urn:lsid:ipni.org:names:30000253-2/general-information
https://www.wildflower.org/collections/collection.php?collection=hays</x:v>
      </x:c>
      <x:c r="X399" s="215" t="str">
        <x:v>No — retain qualifiers and exceptions</x:v>
      </x:c>
      <x:c r="Y399" s="215" t="str">
        <x:v>Yes</x:v>
      </x:c>
      <x:c r="Z399" s="215" t="str">
        <x:v>Source-backed draft</x:v>
      </x:c>
    </x:row>
    <x:row r="400" ht="42" customHeight="1">
      <x:c r="A400" s="215" t="str">
        <x:v>Gentianaceae</x:v>
      </x:c>
      <x:c r="B400" s="215" t="str">
        <x:v>GEN-LK02</x:v>
      </x:c>
      <x:c r="C400" s="215" t="str">
        <x:v>Lookalike comparison</x:v>
      </x:c>
      <x:c r="D400" s="215" t="str">
        <x:v>Lookalike</x:v>
      </x:c>
      <x:c r="E400" s="215" t="str">
        <x:v>Versus Apocynaceae: no milky latex and a capsule with many small seeds favor common Gentianaceae routes</x:v>
      </x:c>
      <x:c r="F400" s="215" t="str">
        <x:v>Lookalike</x:v>
      </x:c>
      <x:c r="G400" s="215" t="str">
        <x:v>4</x:v>
      </x:c>
      <x:c r="H400" s="215" t="str">
        <x:v>Moderate</x:v>
      </x:c>
      <x:c r="I400" s="215" t="str">
        <x:v>Naked eye or hand lens</x:v>
      </x:c>
      <x:c r="J400" s="215" t="str">
        <x:v>Flowering through fruiting</x:v>
      </x:c>
      <x:c r="K400" s="215" t="str">
        <x:v>Both families may have opposite entire leaves and fused corollas; latex, anther-stigma specialization, and paired follicles favor Apocynaceae.</x:v>
      </x:c>
      <x:c r="L400" s="215" t="str">
        <x:v>Latex may be scant, and Gentianaceae includes unusual fruits; avoid forcing the comparison on sterile plants.</x:v>
      </x:c>
      <x:c r="M400" s="215" t="str">
        <x:v>Use sap only when naturally visible, then confirm ovary and fruit architecture.</x:v>
      </x:c>
      <x:c r="N400" s="215" t="str">
        <x:v>Apocynaceae already has first-pass coverage in the master.</x:v>
      </x:c>
      <x:c r="O400" s="215" t="str">
        <x:v>Low</x:v>
      </x:c>
      <x:c r="P400" s="215" t="str">
        <x:v>No</x:v>
      </x:c>
      <x:c r="Q400" s="215" t="str"/>
      <x:c r="R400" s="215" t="str">
        <x:v>GEN-FLOWER; GEN-OVARY; GEN-FRUIT</x:v>
      </x:c>
      <x:c r="S400" s="215" t="str">
        <x:v>APWEB-GENT; FNA-GENT; POWO-GENT; LBJ-HAYS</x:v>
      </x:c>
      <x:c r="T400" s="215" t="str">
        <x:v>https://www.mobot.org/MOBOT/research/APweb/orders/gentianalesweb.htm</x:v>
      </x:c>
      <x:c r="U400" s="215" t="str">
        <x:v>https://floranorthamerica.org/Gentianaceae</x:v>
      </x:c>
      <x:c r="V400" s="215" t="str">
        <x:v>https://powo.science.kew.org/taxon/urn:lsid:ipni.org:names:30000253-2/general-information</x:v>
      </x:c>
      <x:c r="W400" s="215" t="str">
        <x:v>https://www.mobot.org/MOBOT/research/APweb/orders/gentianalesweb.htm
https://floranorthamerica.org/Gentianaceae
https://powo.science.kew.org/taxon/urn:lsid:ipni.org:names:30000253-2/general-information
https://www.wildflower.org/collections/collection.php?collection=hays</x:v>
      </x:c>
      <x:c r="X400" s="215" t="str">
        <x:v>No — retain qualifiers and exceptions</x:v>
      </x:c>
      <x:c r="Y400" s="215" t="str">
        <x:v>Yes</x:v>
      </x:c>
      <x:c r="Z400" s="215" t="str">
        <x:v>Source-backed draft</x:v>
      </x:c>
    </x:row>
    <x:row r="401" ht="42" customHeight="1">
      <x:c r="A401" s="215" t="str">
        <x:v>Plumbaginaceae</x:v>
      </x:c>
      <x:c r="B401" s="215" t="str">
        <x:v>PLU-HABIT</x:v>
      </x:c>
      <x:c r="C401" s="215" t="str">
        <x:v>Family-wide</x:v>
      </x:c>
      <x:c r="D401" s="215" t="str">
        <x:v>Habit</x:v>
      </x:c>
      <x:c r="E401" s="215" t="str">
        <x:v>Mostly herbs or shrubs</x:v>
      </x:c>
      <x:c r="F401" s="215" t="str">
        <x:v>Supporting</x:v>
      </x:c>
      <x:c r="G401" s="215" t="str">
        <x:v>2</x:v>
      </x:c>
      <x:c r="H401" s="215" t="str">
        <x:v>High</x:v>
      </x:c>
      <x:c r="I401" s="215" t="str">
        <x:v>Naked eye</x:v>
      </x:c>
      <x:c r="J401" s="215" t="str">
        <x:v>Any season</x:v>
      </x:c>
      <x:c r="K401" s="215" t="str">
        <x:v>The family is chiefly herbaceous to shrubby.</x:v>
      </x:c>
      <x:c r="L401" s="215" t="str">
        <x:v>Habit ranges from annual herbs to scrambling shrubs and small trees in nonlocal lineages.</x:v>
      </x:c>
      <x:c r="M401" s="215" t="str">
        <x:v>Use only as an entry cue; confirm flowers and fruit.</x:v>
      </x:c>
      <x:c r="N401" s="215" t="str">
        <x:v>Local relevance is mainly a native Plumbago-type route; cultivated ornamentals must not establish county presence.</x:v>
      </x:c>
      <x:c r="O401" s="215" t="str">
        <x:v>Medium</x:v>
      </x:c>
      <x:c r="P401" s="215" t="str">
        <x:v>No</x:v>
      </x:c>
      <x:c r="Q401" s="215" t="str"/>
      <x:c r="R401" s="215" t="str">
        <x:v>PLU-LK01; PLU-LK02</x:v>
      </x:c>
      <x:c r="S401" s="215" t="str">
        <x:v>APWEB-PLUM; FNA-PLUM; POWO-PLUM; LBJ-HAYS</x:v>
      </x:c>
      <x:c r="T401" s="215" t="str">
        <x:v>https://www.mobot.org/MOBOT/research/APweb/orders/caryophyllalesweb.htm</x:v>
      </x:c>
      <x:c r="U401" s="215" t="str">
        <x:v>https://floranorthamerica.org/Plumbaginaceae</x:v>
      </x:c>
      <x:c r="V401" s="215" t="str">
        <x:v>https://powo.science.kew.org/taxon/urn:lsid:ipni.org:names:30000293-2/general-information</x:v>
      </x:c>
      <x:c r="W401" s="215" t="str">
        <x:v>https://www.mobot.org/MOBOT/research/APweb/orders/caryophyllalesweb.htm
https://floranorthamerica.org/Plumbaginaceae
https://powo.science.kew.org/taxon/urn:lsid:ipni.org:names:30000293-2/general-information
https://www.wildflower.org/collections/collection.php?collection=hays</x:v>
      </x:c>
      <x:c r="X401" s="215" t="str">
        <x:v>No — retain qualifiers and exceptions</x:v>
      </x:c>
      <x:c r="Y401" s="215" t="str">
        <x:v>Yes</x:v>
      </x:c>
      <x:c r="Z401" s="215" t="str">
        <x:v>Source-backed draft</x:v>
      </x:c>
    </x:row>
    <x:row r="402" ht="42" customHeight="1">
      <x:c r="A402" s="215" t="str">
        <x:v>Plumbaginaceae</x:v>
      </x:c>
      <x:c r="B402" s="215" t="str">
        <x:v>PLU-LEAVES</x:v>
      </x:c>
      <x:c r="C402" s="215" t="str">
        <x:v>Family-wide, predominant</x:v>
      </x:c>
      <x:c r="D402" s="215" t="str">
        <x:v>Leaf</x:v>
      </x:c>
      <x:c r="E402" s="215" t="str">
        <x:v>Leaves simple, alternate or basal, usually without stipules</x:v>
      </x:c>
      <x:c r="F402" s="215" t="str">
        <x:v>Strong</x:v>
      </x:c>
      <x:c r="G402" s="215" t="str">
        <x:v>3</x:v>
      </x:c>
      <x:c r="H402" s="215" t="str">
        <x:v>High</x:v>
      </x:c>
      <x:c r="I402" s="215" t="str">
        <x:v>Naked eye</x:v>
      </x:c>
      <x:c r="J402" s="215" t="str">
        <x:v>Vegetative or flowering</x:v>
      </x:c>
      <x:c r="K402" s="215" t="str">
        <x:v>Leaves are commonly undivided and either spiral on stems or gathered near the base.</x:v>
      </x:c>
      <x:c r="L402" s="215" t="str">
        <x:v>Arrangement and texture vary, and some Plumbago descriptions allow small cauline stipule-like structures.</x:v>
      </x:c>
      <x:c r="M402" s="215" t="str">
        <x:v>Combine with persistent calyx, opposite-petal stamens, and one-ovule ovary.</x:v>
      </x:c>
      <x:c r="N402" s="215" t="str">
        <x:v>Useful in routing Hays Plumbago-type material.</x:v>
      </x:c>
      <x:c r="O402" s="215" t="str">
        <x:v>Medium</x:v>
      </x:c>
      <x:c r="P402" s="215" t="str">
        <x:v>No</x:v>
      </x:c>
      <x:c r="Q402" s="215" t="str"/>
      <x:c r="R402" s="215" t="str">
        <x:v>PLU-LK01; PLU-LK02</x:v>
      </x:c>
      <x:c r="S402" s="215" t="str">
        <x:v>APWEB-PLUM; FNA-PLUM; POWO-PLUM; LBJ-HAYS</x:v>
      </x:c>
      <x:c r="T402" s="215" t="str">
        <x:v>https://www.mobot.org/MOBOT/research/APweb/orders/caryophyllalesweb.htm</x:v>
      </x:c>
      <x:c r="U402" s="215" t="str">
        <x:v>https://floranorthamerica.org/Plumbaginaceae</x:v>
      </x:c>
      <x:c r="V402" s="215" t="str">
        <x:v>https://powo.science.kew.org/taxon/urn:lsid:ipni.org:names:30000293-2/general-information</x:v>
      </x:c>
      <x:c r="W402" s="215" t="str">
        <x:v>https://www.mobot.org/MOBOT/research/APweb/orders/caryophyllalesweb.htm
https://floranorthamerica.org/Plumbaginaceae
https://powo.science.kew.org/taxon/urn:lsid:ipni.org:names:30000293-2/general-information
https://www.wildflower.org/collections/collection.php?collection=hays</x:v>
      </x:c>
      <x:c r="X402" s="215" t="str">
        <x:v>No — retain qualifiers and exceptions</x:v>
      </x:c>
      <x:c r="Y402" s="215" t="str">
        <x:v>Yes</x:v>
      </x:c>
      <x:c r="Z402" s="215" t="str">
        <x:v>Source-backed draft</x:v>
      </x:c>
    </x:row>
    <x:row r="403" ht="42" customHeight="1">
      <x:c r="A403" s="215" t="str">
        <x:v>Plumbaginaceae</x:v>
      </x:c>
      <x:c r="B403" s="215" t="str">
        <x:v>PLU-GLANDS</x:v>
      </x:c>
      <x:c r="C403" s="215" t="str">
        <x:v>Family-wide, common</x:v>
      </x:c>
      <x:c r="D403" s="215" t="str">
        <x:v>Leaf / gland</x:v>
      </x:c>
      <x:c r="E403" s="215" t="str">
        <x:v>Salt or mucilage glands often present</x:v>
      </x:c>
      <x:c r="F403" s="215" t="str">
        <x:v>Supporting</x:v>
      </x:c>
      <x:c r="G403" s="215" t="str">
        <x:v>2</x:v>
      </x:c>
      <x:c r="H403" s="215" t="str">
        <x:v>Moderate</x:v>
      </x:c>
      <x:c r="I403" s="215" t="str">
        <x:v>Hand lens</x:v>
      </x:c>
      <x:c r="J403" s="215" t="str">
        <x:v>Fresh leaves</x:v>
      </x:c>
      <x:c r="K403" s="215" t="str">
        <x:v>Specialized surface glands are common in the family.</x:v>
      </x:c>
      <x:c r="L403" s="215" t="str">
        <x:v>They may be inconspicuous, not salt-excreting in every lineage, and are not a practical universal field mark.</x:v>
      </x:c>
      <x:c r="M403" s="215" t="str">
        <x:v>Use as confirmation under magnification, never as a required feature.</x:v>
      </x:c>
      <x:c r="N403" s="215" t="str">
        <x:v>Potentially useful but not expected to be obvious in Hays field material.</x:v>
      </x:c>
      <x:c r="O403" s="215" t="str">
        <x:v>Medium</x:v>
      </x:c>
      <x:c r="P403" s="215" t="str">
        <x:v>No</x:v>
      </x:c>
      <x:c r="Q403" s="215" t="str"/>
      <x:c r="R403" s="215" t="str">
        <x:v>PLU-LK01</x:v>
      </x:c>
      <x:c r="S403" s="215" t="str">
        <x:v>APWEB-PLUM; FNA-PLUM; POWO-PLUM; LBJ-HAYS</x:v>
      </x:c>
      <x:c r="T403" s="215" t="str">
        <x:v>https://www.mobot.org/MOBOT/research/APweb/orders/caryophyllalesweb.htm</x:v>
      </x:c>
      <x:c r="U403" s="215" t="str">
        <x:v>https://floranorthamerica.org/Plumbaginaceae</x:v>
      </x:c>
      <x:c r="V403" s="215" t="str">
        <x:v>https://powo.science.kew.org/taxon/urn:lsid:ipni.org:names:30000293-2/general-information</x:v>
      </x:c>
      <x:c r="W403" s="215" t="str">
        <x:v>https://www.mobot.org/MOBOT/research/APweb/orders/caryophyllalesweb.htm
https://floranorthamerica.org/Plumbaginaceae
https://powo.science.kew.org/taxon/urn:lsid:ipni.org:names:30000293-2/general-information
https://www.wildflower.org/collections/collection.php?collection=hays</x:v>
      </x:c>
      <x:c r="X403" s="215" t="str">
        <x:v>No — retain qualifiers and exceptions</x:v>
      </x:c>
      <x:c r="Y403" s="215" t="str">
        <x:v>Yes</x:v>
      </x:c>
      <x:c r="Z403" s="215" t="str">
        <x:v>Source-backed draft</x:v>
      </x:c>
    </x:row>
    <x:row r="404" ht="42" customHeight="1">
      <x:c r="A404" s="215" t="str">
        <x:v>Plumbaginaceae</x:v>
      </x:c>
      <x:c r="B404" s="215" t="str">
        <x:v>PLU-FLOWER</x:v>
      </x:c>
      <x:c r="C404" s="215" t="str">
        <x:v>Family-wide, predominant</x:v>
      </x:c>
      <x:c r="D404" s="215" t="str">
        <x:v>Flower</x:v>
      </x:c>
      <x:c r="E404" s="215" t="str">
        <x:v>Flowers usually 5-merous</x:v>
      </x:c>
      <x:c r="F404" s="215" t="str">
        <x:v>Strong</x:v>
      </x:c>
      <x:c r="G404" s="215" t="str">
        <x:v>4</x:v>
      </x:c>
      <x:c r="H404" s="215" t="str">
        <x:v>High</x:v>
      </x:c>
      <x:c r="I404" s="215" t="str">
        <x:v>Naked eye or hand lens</x:v>
      </x:c>
      <x:c r="J404" s="215" t="str">
        <x:v>Fresh flowers</x:v>
      </x:c>
      <x:c r="K404" s="215" t="str">
        <x:v>The calyx, corolla, and stamens commonly follow a five-part plan.</x:v>
      </x:c>
      <x:c r="L404" s="215" t="str">
        <x:v>Reduced or atypical flowers occur and the exact degree of petal fusion differs between lineages.</x:v>
      </x:c>
      <x:c r="M404" s="215" t="str">
        <x:v>Use with the distinctive calyx and stamen position.</x:v>
      </x:c>
      <x:c r="N404" s="215" t="str">
        <x:v>Visible and useful on flowering Plumbago-type plants.</x:v>
      </x:c>
      <x:c r="O404" s="215" t="str">
        <x:v>Low</x:v>
      </x:c>
      <x:c r="P404" s="215" t="str">
        <x:v>No</x:v>
      </x:c>
      <x:c r="Q404" s="215" t="str"/>
      <x:c r="R404" s="215" t="str">
        <x:v>PLU-LK01; PLU-LK02</x:v>
      </x:c>
      <x:c r="S404" s="215" t="str">
        <x:v>APWEB-PLUM; FNA-PLUM; POWO-PLUM; LBJ-HAYS</x:v>
      </x:c>
      <x:c r="T404" s="215" t="str">
        <x:v>https://www.mobot.org/MOBOT/research/APweb/orders/caryophyllalesweb.htm</x:v>
      </x:c>
      <x:c r="U404" s="215" t="str">
        <x:v>https://floranorthamerica.org/Plumbaginaceae</x:v>
      </x:c>
      <x:c r="V404" s="215" t="str">
        <x:v>https://powo.science.kew.org/taxon/urn:lsid:ipni.org:names:30000293-2/general-information</x:v>
      </x:c>
      <x:c r="W404" s="215" t="str">
        <x:v>https://www.mobot.org/MOBOT/research/APweb/orders/caryophyllalesweb.htm
https://floranorthamerica.org/Plumbaginaceae
https://powo.science.kew.org/taxon/urn:lsid:ipni.org:names:30000293-2/general-information
https://www.wildflower.org/collections/collection.php?collection=hays</x:v>
      </x:c>
      <x:c r="X404" s="215" t="str">
        <x:v>No — retain qualifiers and exceptions</x:v>
      </x:c>
      <x:c r="Y404" s="215" t="str">
        <x:v>Yes</x:v>
      </x:c>
      <x:c r="Z404" s="215" t="str">
        <x:v>Source-backed draft</x:v>
      </x:c>
    </x:row>
    <x:row r="405" ht="42" customHeight="1">
      <x:c r="A405" s="215" t="str">
        <x:v>Plumbaginaceae</x:v>
      </x:c>
      <x:c r="B405" s="215" t="str">
        <x:v>PLU-CALYX</x:v>
      </x:c>
      <x:c r="C405" s="215" t="str">
        <x:v>Family-wide</x:v>
      </x:c>
      <x:c r="D405" s="215" t="str">
        <x:v>Calyx</x:v>
      </x:c>
      <x:c r="E405" s="215" t="str">
        <x:v>Calyx persistent, fused, ribbed or glandular, and often enclosing the fruit</x:v>
      </x:c>
      <x:c r="F405" s="215" t="str">
        <x:v>Core</x:v>
      </x:c>
      <x:c r="G405" s="215" t="str">
        <x:v>5</x:v>
      </x:c>
      <x:c r="H405" s="215" t="str">
        <x:v>High</x:v>
      </x:c>
      <x:c r="I405" s="215" t="str">
        <x:v>Hand lens</x:v>
      </x:c>
      <x:c r="J405" s="215" t="str">
        <x:v>Flowering through fruiting</x:v>
      </x:c>
      <x:c r="K405" s="215" t="str">
        <x:v>A tough or papery five-lobed calyx remains around the developing one-seeded fruit.</x:v>
      </x:c>
      <x:c r="L405" s="215" t="str">
        <x:v>Texture and glandularity vary between Plumbago and sea-lavender relatives.</x:v>
      </x:c>
      <x:c r="M405" s="215" t="str">
        <x:v>One of the best family clues when used with five opposite-petal stamens.</x:v>
      </x:c>
      <x:c r="N405" s="215" t="str">
        <x:v>Especially useful on local Plumbago-type inflorescences.</x:v>
      </x:c>
      <x:c r="O405" s="215" t="str">
        <x:v>Low</x:v>
      </x:c>
      <x:c r="P405" s="215" t="str">
        <x:v>No</x:v>
      </x:c>
      <x:c r="Q405" s="215" t="str"/>
      <x:c r="R405" s="215" t="str">
        <x:v>PLU-LK01; PLU-LK02</x:v>
      </x:c>
      <x:c r="S405" s="215" t="str">
        <x:v>APWEB-PLUM; FNA-PLUM; POWO-PLUM; LBJ-HAYS</x:v>
      </x:c>
      <x:c r="T405" s="215" t="str">
        <x:v>https://www.mobot.org/MOBOT/research/APweb/orders/caryophyllalesweb.htm</x:v>
      </x:c>
      <x:c r="U405" s="215" t="str">
        <x:v>https://floranorthamerica.org/Plumbaginaceae</x:v>
      </x:c>
      <x:c r="V405" s="215" t="str">
        <x:v>https://powo.science.kew.org/taxon/urn:lsid:ipni.org:names:30000293-2/general-information</x:v>
      </x:c>
      <x:c r="W405" s="215" t="str">
        <x:v>https://www.mobot.org/MOBOT/research/APweb/orders/caryophyllalesweb.htm
https://floranorthamerica.org/Plumbaginaceae
https://powo.science.kew.org/taxon/urn:lsid:ipni.org:names:30000293-2/general-information
https://www.wildflower.org/collections/collection.php?collection=hays</x:v>
      </x:c>
      <x:c r="X405" s="215" t="str">
        <x:v>No — retain qualifiers and exceptions</x:v>
      </x:c>
      <x:c r="Y405" s="215" t="str">
        <x:v>Yes</x:v>
      </x:c>
      <x:c r="Z405" s="215" t="str">
        <x:v>Source-backed draft</x:v>
      </x:c>
    </x:row>
    <x:row r="406" ht="42" customHeight="1">
      <x:c r="A406" s="215" t="str">
        <x:v>Plumbaginaceae</x:v>
      </x:c>
      <x:c r="B406" s="215" t="str">
        <x:v>PLU-COROLLA</x:v>
      </x:c>
      <x:c r="C406" s="215" t="str">
        <x:v>Family-wide, variable</x:v>
      </x:c>
      <x:c r="D406" s="215" t="str">
        <x:v>Corolla</x:v>
      </x:c>
      <x:c r="E406" s="215" t="str">
        <x:v>Five petals free or fused to varying degrees; lobes often clawed or contorted</x:v>
      </x:c>
      <x:c r="F406" s="215" t="str">
        <x:v>Supporting</x:v>
      </x:c>
      <x:c r="G406" s="215" t="str">
        <x:v>3</x:v>
      </x:c>
      <x:c r="H406" s="215" t="str">
        <x:v>Moderate</x:v>
      </x:c>
      <x:c r="I406" s="215" t="str">
        <x:v>Naked eye or hand lens</x:v>
      </x:c>
      <x:c r="J406" s="215" t="str">
        <x:v>Fresh flowers</x:v>
      </x:c>
      <x:c r="K406" s="215" t="str">
        <x:v>The corolla has five prominent parts, sometimes joined into a tube.</x:v>
      </x:c>
      <x:c r="L406" s="215" t="str">
        <x:v>Plumbago and Limonium-type lineages differ substantially in fusion and form.</x:v>
      </x:c>
      <x:c r="M406" s="215" t="str">
        <x:v>Do not make corolla fusion a universal rule; pair with calyx and stamens.</x:v>
      </x:c>
      <x:c r="N406" s="215" t="str">
        <x:v>Useful for routing local versus cultivated-looking material.</x:v>
      </x:c>
      <x:c r="O406" s="215" t="str">
        <x:v>Medium</x:v>
      </x:c>
      <x:c r="P406" s="215" t="str">
        <x:v>No</x:v>
      </x:c>
      <x:c r="Q406" s="215" t="str"/>
      <x:c r="R406" s="215" t="str">
        <x:v>PLU-LK01; PLU-LK02</x:v>
      </x:c>
      <x:c r="S406" s="215" t="str">
        <x:v>APWEB-PLUM; FNA-PLUM; POWO-PLUM; LBJ-HAYS</x:v>
      </x:c>
      <x:c r="T406" s="215" t="str">
        <x:v>https://www.mobot.org/MOBOT/research/APweb/orders/caryophyllalesweb.htm</x:v>
      </x:c>
      <x:c r="U406" s="215" t="str">
        <x:v>https://floranorthamerica.org/Plumbaginaceae</x:v>
      </x:c>
      <x:c r="V406" s="215" t="str">
        <x:v>https://powo.science.kew.org/taxon/urn:lsid:ipni.org:names:30000293-2/general-information</x:v>
      </x:c>
      <x:c r="W406" s="215" t="str">
        <x:v>https://www.mobot.org/MOBOT/research/APweb/orders/caryophyllalesweb.htm
https://floranorthamerica.org/Plumbaginaceae
https://powo.science.kew.org/taxon/urn:lsid:ipni.org:names:30000293-2/general-information
https://www.wildflower.org/collections/collection.php?collection=hays</x:v>
      </x:c>
      <x:c r="X406" s="215" t="str">
        <x:v>No — retain qualifiers and exceptions</x:v>
      </x:c>
      <x:c r="Y406" s="215" t="str">
        <x:v>Yes</x:v>
      </x:c>
      <x:c r="Z406" s="215" t="str">
        <x:v>Source-backed draft</x:v>
      </x:c>
    </x:row>
    <x:row r="407" ht="42" customHeight="1">
      <x:c r="A407" s="215" t="str">
        <x:v>Plumbaginaceae</x:v>
      </x:c>
      <x:c r="B407" s="215" t="str">
        <x:v>PLU-STAMENS</x:v>
      </x:c>
      <x:c r="C407" s="215" t="str">
        <x:v>Family-wide</x:v>
      </x:c>
      <x:c r="D407" s="215" t="str">
        <x:v>Androecium</x:v>
      </x:c>
      <x:c r="E407" s="215" t="str">
        <x:v>Five stamens opposite the petals or corolla lobes</x:v>
      </x:c>
      <x:c r="F407" s="215" t="str">
        <x:v>Core</x:v>
      </x:c>
      <x:c r="G407" s="215" t="str">
        <x:v>5</x:v>
      </x:c>
      <x:c r="H407" s="215" t="str">
        <x:v>High</x:v>
      </x:c>
      <x:c r="I407" s="215" t="str">
        <x:v>Hand lens</x:v>
      </x:c>
      <x:c r="J407" s="215" t="str">
        <x:v>Fresh open flowers</x:v>
      </x:c>
      <x:c r="K407" s="215" t="str">
        <x:v>Each stamen aligns with a petal rather than alternating with it.</x:v>
      </x:c>
      <x:c r="L407" s="215" t="str">
        <x:v>Attachment to the corolla varies and the relationship may be hard to see in tiny flowers.</x:v>
      </x:c>
      <x:c r="M407" s="215" t="str">
        <x:v>A high-value diagnostic character when an intact flower is available.</x:v>
      </x:c>
      <x:c r="N407" s="215" t="str">
        <x:v>Strong confirmation for Hays Plumbago-type material.</x:v>
      </x:c>
      <x:c r="O407" s="215" t="str">
        <x:v>Low</x:v>
      </x:c>
      <x:c r="P407" s="215" t="str">
        <x:v>No</x:v>
      </x:c>
      <x:c r="Q407" s="215" t="str"/>
      <x:c r="R407" s="215" t="str">
        <x:v>PLU-LK01; PLU-LK02</x:v>
      </x:c>
      <x:c r="S407" s="215" t="str">
        <x:v>APWEB-PLUM; FNA-PLUM; POWO-PLUM; LBJ-HAYS</x:v>
      </x:c>
      <x:c r="T407" s="215" t="str">
        <x:v>https://www.mobot.org/MOBOT/research/APweb/orders/caryophyllalesweb.htm</x:v>
      </x:c>
      <x:c r="U407" s="215" t="str">
        <x:v>https://floranorthamerica.org/Plumbaginaceae</x:v>
      </x:c>
      <x:c r="V407" s="215" t="str">
        <x:v>https://powo.science.kew.org/taxon/urn:lsid:ipni.org:names:30000293-2/general-information</x:v>
      </x:c>
      <x:c r="W407" s="215" t="str">
        <x:v>https://www.mobot.org/MOBOT/research/APweb/orders/caryophyllalesweb.htm
https://floranorthamerica.org/Plumbaginaceae
https://powo.science.kew.org/taxon/urn:lsid:ipni.org:names:30000293-2/general-information
https://www.wildflower.org/collections/collection.php?collection=hays</x:v>
      </x:c>
      <x:c r="X407" s="215" t="str">
        <x:v>No — retain qualifiers and exceptions</x:v>
      </x:c>
      <x:c r="Y407" s="215" t="str">
        <x:v>Yes</x:v>
      </x:c>
      <x:c r="Z407" s="215" t="str">
        <x:v>Source-backed draft</x:v>
      </x:c>
    </x:row>
    <x:row r="408" ht="42" customHeight="1">
      <x:c r="A408" s="215" t="str">
        <x:v>Plumbaginaceae</x:v>
      </x:c>
      <x:c r="B408" s="215" t="str">
        <x:v>PLU-OVARY</x:v>
      </x:c>
      <x:c r="C408" s="215" t="str">
        <x:v>Family-wide</x:v>
      </x:c>
      <x:c r="D408" s="215" t="str">
        <x:v>Gynoecium</x:v>
      </x:c>
      <x:c r="E408" s="215" t="str">
        <x:v>Ovary superior, one-locular, with one basal ovule</x:v>
      </x:c>
      <x:c r="F408" s="215" t="str">
        <x:v>Core</x:v>
      </x:c>
      <x:c r="G408" s="215" t="str">
        <x:v>5</x:v>
      </x:c>
      <x:c r="H408" s="215" t="str">
        <x:v>High</x:v>
      </x:c>
      <x:c r="I408" s="215" t="str">
        <x:v>Hand lens or dissection</x:v>
      </x:c>
      <x:c r="J408" s="215" t="str">
        <x:v>Flowering or young fruit</x:v>
      </x:c>
      <x:c r="K408" s="215" t="str">
        <x:v>A single chamber contains one ovule attached at the base.</x:v>
      </x:c>
      <x:c r="L408" s="215" t="str">
        <x:v>The ovule and chamber may require dissection; style arrangement varies strongly.</x:v>
      </x:c>
      <x:c r="M408" s="215" t="str">
        <x:v>Use with persistent calyx and one-seeded fruit to separate close Caryophyllales lookalikes.</x:v>
      </x:c>
      <x:c r="N408" s="215" t="str">
        <x:v>High-value confirmation when local material is ambiguous.</x:v>
      </x:c>
      <x:c r="O408" s="215" t="str">
        <x:v>Low</x:v>
      </x:c>
      <x:c r="P408" s="215" t="str">
        <x:v>No</x:v>
      </x:c>
      <x:c r="Q408" s="215" t="str"/>
      <x:c r="R408" s="215" t="str">
        <x:v>PLU-LK01; PLU-LK02</x:v>
      </x:c>
      <x:c r="S408" s="215" t="str">
        <x:v>APWEB-PLUM; FNA-PLUM; POWO-PLUM; LBJ-HAYS</x:v>
      </x:c>
      <x:c r="T408" s="215" t="str">
        <x:v>https://www.mobot.org/MOBOT/research/APweb/orders/caryophyllalesweb.htm</x:v>
      </x:c>
      <x:c r="U408" s="215" t="str">
        <x:v>https://floranorthamerica.org/Plumbaginaceae</x:v>
      </x:c>
      <x:c r="V408" s="215" t="str">
        <x:v>https://powo.science.kew.org/taxon/urn:lsid:ipni.org:names:30000293-2/general-information</x:v>
      </x:c>
      <x:c r="W408" s="215" t="str">
        <x:v>https://www.mobot.org/MOBOT/research/APweb/orders/caryophyllalesweb.htm
https://floranorthamerica.org/Plumbaginaceae
https://powo.science.kew.org/taxon/urn:lsid:ipni.org:names:30000293-2/general-information
https://www.wildflower.org/collections/collection.php?collection=hays</x:v>
      </x:c>
      <x:c r="X408" s="215" t="str">
        <x:v>No — retain qualifiers and exceptions</x:v>
      </x:c>
      <x:c r="Y408" s="215" t="str">
        <x:v>Yes</x:v>
      </x:c>
      <x:c r="Z408" s="215" t="str">
        <x:v>Source-backed draft</x:v>
      </x:c>
    </x:row>
    <x:row r="409" ht="42" customHeight="1">
      <x:c r="A409" s="215" t="str">
        <x:v>Plumbaginaceae</x:v>
      </x:c>
      <x:c r="B409" s="215" t="str">
        <x:v>PLU-FRUIT</x:v>
      </x:c>
      <x:c r="C409" s="215" t="str">
        <x:v>Family-wide</x:v>
      </x:c>
      <x:c r="D409" s="215" t="str">
        <x:v>Fruit</x:v>
      </x:c>
      <x:c r="E409" s="215" t="str">
        <x:v>One-seeded achene, utricle, or circumscissile capsule enclosed by the persistent calyx</x:v>
      </x:c>
      <x:c r="F409" s="215" t="str">
        <x:v>Core</x:v>
      </x:c>
      <x:c r="G409" s="215" t="str">
        <x:v>5</x:v>
      </x:c>
      <x:c r="H409" s="215" t="str">
        <x:v>High</x:v>
      </x:c>
      <x:c r="I409" s="215" t="str">
        <x:v>Hand lens</x:v>
      </x:c>
      <x:c r="J409" s="215" t="str">
        <x:v>Mature fruit</x:v>
      </x:c>
      <x:c r="K409" s="215" t="str">
        <x:v>The small one-seeded fruit remains wrapped in the calyx and may open around its circumference.</x:v>
      </x:c>
      <x:c r="L409" s="215" t="str">
        <x:v>Fruit terminology and dehiscence vary by subgroup; immature fruits are difficult.</x:v>
      </x:c>
      <x:c r="M409" s="215" t="str">
        <x:v>Use mature fruit with the single basal ovule and opposite-petal stamens.</x:v>
      </x:c>
      <x:c r="N409" s="215" t="str">
        <x:v>Very useful for confirming local Plumbago-type plants after flowering.</x:v>
      </x:c>
      <x:c r="O409" s="215" t="str">
        <x:v>Low</x:v>
      </x:c>
      <x:c r="P409" s="215" t="str">
        <x:v>No</x:v>
      </x:c>
      <x:c r="Q409" s="215" t="str"/>
      <x:c r="R409" s="215" t="str">
        <x:v>PLU-LK01; PLU-LK02</x:v>
      </x:c>
      <x:c r="S409" s="215" t="str">
        <x:v>APWEB-PLUM; FNA-PLUM; POWO-PLUM; LBJ-HAYS</x:v>
      </x:c>
      <x:c r="T409" s="215" t="str">
        <x:v>https://www.mobot.org/MOBOT/research/APweb/orders/caryophyllalesweb.htm</x:v>
      </x:c>
      <x:c r="U409" s="215" t="str">
        <x:v>https://floranorthamerica.org/Plumbaginaceae</x:v>
      </x:c>
      <x:c r="V409" s="215" t="str">
        <x:v>https://powo.science.kew.org/taxon/urn:lsid:ipni.org:names:30000293-2/general-information</x:v>
      </x:c>
      <x:c r="W409" s="215" t="str">
        <x:v>https://www.mobot.org/MOBOT/research/APweb/orders/caryophyllalesweb.htm
https://floranorthamerica.org/Plumbaginaceae
https://powo.science.kew.org/taxon/urn:lsid:ipni.org:names:30000293-2/general-information
https://www.wildflower.org/collections/collection.php?collection=hays</x:v>
      </x:c>
      <x:c r="X409" s="215" t="str">
        <x:v>No — retain qualifiers and exceptions</x:v>
      </x:c>
      <x:c r="Y409" s="215" t="str">
        <x:v>Yes</x:v>
      </x:c>
      <x:c r="Z409" s="215" t="str">
        <x:v>Source-backed draft</x:v>
      </x:c>
    </x:row>
    <x:row r="410" ht="42" customHeight="1">
      <x:c r="A410" s="215" t="str">
        <x:v>Plumbaginaceae</x:v>
      </x:c>
      <x:c r="B410" s="215" t="str">
        <x:v>PLU-LK01</x:v>
      </x:c>
      <x:c r="C410" s="215" t="str">
        <x:v>Lookalike comparison</x:v>
      </x:c>
      <x:c r="D410" s="215" t="str">
        <x:v>Lookalike</x:v>
      </x:c>
      <x:c r="E410" s="215" t="str">
        <x:v>Versus Polygonaceae: five stamens opposite petals and a fused persistent calyx favor Plumbaginaceae; ochrea and tepals favor Polygonaceae</x:v>
      </x:c>
      <x:c r="F410" s="215" t="str">
        <x:v>Lookalike</x:v>
      </x:c>
      <x:c r="G410" s="215" t="str">
        <x:v>5</x:v>
      </x:c>
      <x:c r="H410" s="215" t="str">
        <x:v>High</x:v>
      </x:c>
      <x:c r="I410" s="215" t="str">
        <x:v>Hand lens</x:v>
      </x:c>
      <x:c r="J410" s="215" t="str">
        <x:v>Flowering or fruiting</x:v>
      </x:c>
      <x:c r="K410" s="215" t="str">
        <x:v>Both are close Caryophyllales relatives with one-seeded fruits, but their nodal sheaths and floral whorls differ.</x:v>
      </x:c>
      <x:c r="L410" s="215" t="str">
        <x:v>Ochreae can be absent or damaged in Polygonaceae, and tiny flowers require magnification.</x:v>
      </x:c>
      <x:c r="M410" s="215" t="str">
        <x:v>Use node, stamen alignment, and calyx structure together.</x:v>
      </x:c>
      <x:c r="N410" s="215" t="str">
        <x:v>Polygonaceae already has first-pass coverage, enabling reciprocal QA.</x:v>
      </x:c>
      <x:c r="O410" s="215" t="str">
        <x:v>Low</x:v>
      </x:c>
      <x:c r="P410" s="215" t="str">
        <x:v>No</x:v>
      </x:c>
      <x:c r="Q410" s="215" t="str"/>
      <x:c r="R410" s="215" t="str">
        <x:v>PLU-CALYX; PLU-STAMENS; PLU-OVARY</x:v>
      </x:c>
      <x:c r="S410" s="215" t="str">
        <x:v>APWEB-PLUM; FNA-PLUM; POWO-PLUM; LBJ-HAYS</x:v>
      </x:c>
      <x:c r="T410" s="215" t="str">
        <x:v>https://www.mobot.org/MOBOT/research/APweb/orders/caryophyllalesweb.htm</x:v>
      </x:c>
      <x:c r="U410" s="215" t="str">
        <x:v>https://floranorthamerica.org/Plumbaginaceae</x:v>
      </x:c>
      <x:c r="V410" s="215" t="str">
        <x:v>https://powo.science.kew.org/taxon/urn:lsid:ipni.org:names:30000293-2/general-information</x:v>
      </x:c>
      <x:c r="W410" s="215" t="str">
        <x:v>https://www.mobot.org/MOBOT/research/APweb/orders/caryophyllalesweb.htm
https://floranorthamerica.org/Plumbaginaceae
https://powo.science.kew.org/taxon/urn:lsid:ipni.org:names:30000293-2/general-information
https://www.wildflower.org/collections/collection.php?collection=hays</x:v>
      </x:c>
      <x:c r="X410" s="215" t="str">
        <x:v>No — retain qualifiers and exceptions</x:v>
      </x:c>
      <x:c r="Y410" s="215" t="str">
        <x:v>Yes</x:v>
      </x:c>
      <x:c r="Z410" s="215" t="str">
        <x:v>Source-backed draft</x:v>
      </x:c>
    </x:row>
    <x:row r="411" ht="42" customHeight="1">
      <x:c r="A411" s="215" t="str">
        <x:v>Plumbaginaceae</x:v>
      </x:c>
      <x:c r="B411" s="215" t="str">
        <x:v>PLU-LK02</x:v>
      </x:c>
      <x:c r="C411" s="215" t="str">
        <x:v>Lookalike comparison</x:v>
      </x:c>
      <x:c r="D411" s="215" t="str">
        <x:v>Lookalike</x:v>
      </x:c>
      <x:c r="E411" s="215" t="str">
        <x:v>Versus Primulaceae: stamen position may overlap, so persistent ribbed/glandular calyx plus one basal ovule is decisive</x:v>
      </x:c>
      <x:c r="F411" s="215" t="str">
        <x:v>Lookalike</x:v>
      </x:c>
      <x:c r="G411" s="215" t="str">
        <x:v>4</x:v>
      </x:c>
      <x:c r="H411" s="215" t="str">
        <x:v>Moderate</x:v>
      </x:c>
      <x:c r="I411" s="215" t="str">
        <x:v>Hand lens or dissection</x:v>
      </x:c>
      <x:c r="J411" s="215" t="str">
        <x:v>Flowering or fruiting</x:v>
      </x:c>
      <x:c r="K411" s="215" t="str">
        <x:v>Both may show stamens opposite corolla lobes; Plumbaginaceae is supported by its persistent calyx and single basal ovule.</x:v>
      </x:c>
      <x:c r="L411" s="215" t="str">
        <x:v>Dissection may be necessary and Primulaceae fruit usually has more ovules and seeds.</x:v>
      </x:c>
      <x:c r="M411" s="215" t="str">
        <x:v>Retain uncertainty until ovary or mature fruit is available.</x:v>
      </x:c>
      <x:c r="N411" s="215" t="str">
        <x:v>Primulaceae has not yet received reciprocal first-pass evidence rows.</x:v>
      </x:c>
      <x:c r="O411" s="215" t="str">
        <x:v>Medium</x:v>
      </x:c>
      <x:c r="P411" s="215" t="str">
        <x:v>Yes</x:v>
      </x:c>
      <x:c r="Q411" s="215" t="str">
        <x:v>Reciprocal Primulaceae family evidence and local lookalike coverage are not yet in the master.</x:v>
      </x:c>
      <x:c r="R411" s="215" t="str">
        <x:v>PLU-CALYX; PLU-STAMENS; PLU-OVARY; PLU-FRUIT</x:v>
      </x:c>
      <x:c r="S411" s="215" t="str">
        <x:v>APWEB-PLUM; FNA-PLUM; POWO-PLUM; LBJ-HAYS</x:v>
      </x:c>
      <x:c r="T411" s="215" t="str">
        <x:v>https://www.mobot.org/MOBOT/research/APweb/orders/caryophyllalesweb.htm</x:v>
      </x:c>
      <x:c r="U411" s="215" t="str">
        <x:v>https://floranorthamerica.org/Plumbaginaceae</x:v>
      </x:c>
      <x:c r="V411" s="215" t="str">
        <x:v>https://powo.science.kew.org/taxon/urn:lsid:ipni.org:names:30000293-2/general-information</x:v>
      </x:c>
      <x:c r="W411" s="215" t="str">
        <x:v>https://www.mobot.org/MOBOT/research/APweb/orders/caryophyllalesweb.htm
https://floranorthamerica.org/Plumbaginaceae
https://powo.science.kew.org/taxon/urn:lsid:ipni.org:names:30000293-2/general-information
https://www.wildflower.org/collections/collection.php?collection=hays</x:v>
      </x:c>
      <x:c r="X411" s="215" t="str">
        <x:v>No — retain qualifiers and exceptions</x:v>
      </x:c>
      <x:c r="Y411" s="215" t="str">
        <x:v>Yes</x:v>
      </x:c>
      <x:c r="Z411" s="215" t="str">
        <x:v>Human review required</x:v>
      </x:c>
    </x:row>
    <x:row r="412" ht="42" customHeight="1">
      <x:c r="A412" s="215" t="str">
        <x:v>Rutaceae</x:v>
      </x:c>
      <x:c r="B412" s="215" t="str">
        <x:v>RUT-HABIT</x:v>
      </x:c>
      <x:c r="C412" s="215" t="str">
        <x:v>Family-wide, predominant</x:v>
      </x:c>
      <x:c r="D412" s="215" t="str">
        <x:v>Habit</x:v>
      </x:c>
      <x:c r="E412" s="215" t="str">
        <x:v>Mostly trees or shrubs; spines or prickles sometimes present</x:v>
      </x:c>
      <x:c r="F412" s="215" t="str">
        <x:v>Supporting</x:v>
      </x:c>
      <x:c r="G412" s="215" t="str">
        <x:v>2</x:v>
      </x:c>
      <x:c r="H412" s="215" t="str">
        <x:v>High</x:v>
      </x:c>
      <x:c r="I412" s="215" t="str">
        <x:v>Naked eye</x:v>
      </x:c>
      <x:c r="J412" s="215" t="str">
        <x:v>Any season</x:v>
      </x:c>
      <x:c r="K412" s="215" t="str">
        <x:v>Most local members are woody and some are armed.</x:v>
      </x:c>
      <x:c r="L412" s="215" t="str">
        <x:v>The family also contains lianas and occasional herbs; armature is not required.</x:v>
      </x:c>
      <x:c r="M412" s="215" t="str">
        <x:v>Use as an entry cue, then confirm oil glands, odor, flowers, and fruit.</x:v>
      </x:c>
      <x:c r="N412" s="215" t="str">
        <x:v>Relevant to Ptelea-, Zanthoxylum-, and other native rue-family routes carried for Hays County.</x:v>
      </x:c>
      <x:c r="O412" s="215" t="str">
        <x:v>Low</x:v>
      </x:c>
      <x:c r="P412" s="215" t="str">
        <x:v>No</x:v>
      </x:c>
      <x:c r="Q412" s="215" t="str"/>
      <x:c r="R412" s="215" t="str">
        <x:v>RUT-LK01; RUT-LK02</x:v>
      </x:c>
      <x:c r="S412" s="215" t="str">
        <x:v>APWEB-RUTA; POWO-RUTA; LBJ-HAYS</x:v>
      </x:c>
      <x:c r="T412" s="215" t="str">
        <x:v>https://www.mobot.org/MOBOT/research/APweb/orders/sapindalesweb.htm</x:v>
      </x:c>
      <x:c r="U412" s="215" t="str">
        <x:v>https://powo.science.kew.org/taxon/urn:lsid:ipni.org:names:30001492-2/general-information</x:v>
      </x:c>
      <x:c r="V412" s="215" t="str">
        <x:v>https://powo.science.kew.org/taxon/urn:lsid:ipni.org:names:30001492-2</x:v>
      </x:c>
      <x:c r="W412" s="215" t="str">
        <x:v>https://www.mobot.org/MOBOT/research/APweb/orders/sapindalesweb.htm
https://powo.science.kew.org/taxon/urn:lsid:ipni.org:names:30001492-2/general-information
https://powo.science.kew.org/taxon/urn:lsid:ipni.org:names:30001492-2
https://www.wildflower.org/collections/collection.php?collection=hays</x:v>
      </x:c>
      <x:c r="X412" s="215" t="str">
        <x:v>No — retain qualifiers and exceptions</x:v>
      </x:c>
      <x:c r="Y412" s="215" t="str">
        <x:v>Yes</x:v>
      </x:c>
      <x:c r="Z412" s="215" t="str">
        <x:v>Source-backed draft</x:v>
      </x:c>
    </x:row>
    <x:row r="413" ht="42" customHeight="1">
      <x:c r="A413" s="215" t="str">
        <x:v>Rutaceae</x:v>
      </x:c>
      <x:c r="B413" s="215" t="str">
        <x:v>RUT-GLANDS</x:v>
      </x:c>
      <x:c r="C413" s="215" t="str">
        <x:v>Family-wide, predominant</x:v>
      </x:c>
      <x:c r="D413" s="215" t="str">
        <x:v>Leaf / gland</x:v>
      </x:c>
      <x:c r="E413" s="215" t="str">
        <x:v>Pellucid aromatic oil-gland dots commonly visible in leaves and other organs</x:v>
      </x:c>
      <x:c r="F413" s="215" t="str">
        <x:v>Core</x:v>
      </x:c>
      <x:c r="G413" s="215" t="str">
        <x:v>5</x:v>
      </x:c>
      <x:c r="H413" s="215" t="str">
        <x:v>High</x:v>
      </x:c>
      <x:c r="I413" s="215" t="str">
        <x:v>Backlighting or hand lens</x:v>
      </x:c>
      <x:c r="J413" s="215" t="str">
        <x:v>Fresh leaves, flowers, or fruit</x:v>
      </x:c>
      <x:c r="K413" s="215" t="str">
        <x:v>Translucent or oily dots can often be seen when a leaf is held to light.</x:v>
      </x:c>
      <x:c r="L413" s="215" t="str">
        <x:v>Dots may be concentrated near margins, appear as pits, or be hard to see in thick or weathered material.</x:v>
      </x:c>
      <x:c r="M413" s="215" t="str">
        <x:v>A high-value cue against other compound-leaved Sapindales; confirm with odor and floral structure.</x:v>
      </x:c>
      <x:c r="N413" s="215" t="str">
        <x:v>Highly practical for local wafer-ash and prickly-ash relatives.</x:v>
      </x:c>
      <x:c r="O413" s="215" t="str">
        <x:v>Low</x:v>
      </x:c>
      <x:c r="P413" s="215" t="str">
        <x:v>No</x:v>
      </x:c>
      <x:c r="Q413" s="215" t="str"/>
      <x:c r="R413" s="215" t="str">
        <x:v>RUT-LK01; RUT-LK02</x:v>
      </x:c>
      <x:c r="S413" s="215" t="str">
        <x:v>APWEB-RUTA; POWO-RUTA; LBJ-HAYS</x:v>
      </x:c>
      <x:c r="T413" s="215" t="str">
        <x:v>https://www.mobot.org/MOBOT/research/APweb/orders/sapindalesweb.htm</x:v>
      </x:c>
      <x:c r="U413" s="215" t="str">
        <x:v>https://powo.science.kew.org/taxon/urn:lsid:ipni.org:names:30001492-2/general-information</x:v>
      </x:c>
      <x:c r="V413" s="215" t="str">
        <x:v>https://powo.science.kew.org/taxon/urn:lsid:ipni.org:names:30001492-2</x:v>
      </x:c>
      <x:c r="W413" s="215" t="str">
        <x:v>https://www.mobot.org/MOBOT/research/APweb/orders/sapindalesweb.htm
https://powo.science.kew.org/taxon/urn:lsid:ipni.org:names:30001492-2/general-information
https://powo.science.kew.org/taxon/urn:lsid:ipni.org:names:30001492-2
https://www.wildflower.org/collections/collection.php?collection=hays</x:v>
      </x:c>
      <x:c r="X413" s="215" t="str">
        <x:v>No — retain qualifiers and exceptions</x:v>
      </x:c>
      <x:c r="Y413" s="215" t="str">
        <x:v>Yes</x:v>
      </x:c>
      <x:c r="Z413" s="215" t="str">
        <x:v>Source-backed draft</x:v>
      </x:c>
    </x:row>
    <x:row r="414" ht="42" customHeight="1">
      <x:c r="A414" s="215" t="str">
        <x:v>Rutaceae</x:v>
      </x:c>
      <x:c r="B414" s="215" t="str">
        <x:v>RUT-ODOR</x:v>
      </x:c>
      <x:c r="C414" s="215" t="str">
        <x:v>Family-wide, common</x:v>
      </x:c>
      <x:c r="D414" s="215" t="str">
        <x:v>Odor</x:v>
      </x:c>
      <x:c r="E414" s="215" t="str">
        <x:v>Fresh tissue often strongly citrus-like or rank-aromatic</x:v>
      </x:c>
      <x:c r="F414" s="215" t="str">
        <x:v>Strong</x:v>
      </x:c>
      <x:c r="G414" s="215" t="str">
        <x:v>4</x:v>
      </x:c>
      <x:c r="H414" s="215" t="str">
        <x:v>Moderate</x:v>
      </x:c>
      <x:c r="I414" s="215" t="str">
        <x:v>Odor; avoid unnecessary crushing</x:v>
      </x:c>
      <x:c r="J414" s="215" t="str">
        <x:v>Fresh naturally damaged material</x:v>
      </x:c>
      <x:c r="K414" s="215" t="str">
        <x:v>Aromatic oils often create a citrus or resin-spice scent.</x:v>
      </x:c>
      <x:c r="L414" s="215" t="str">
        <x:v>Odor strength varies; tasting is inappropriate and crushing is unnecessary when gland dots are visible.</x:v>
      </x:c>
      <x:c r="M414" s="215" t="str">
        <x:v>Use opportunistically with pellucid dots; absence of odor does not reject the family.</x:v>
      </x:c>
      <x:c r="N414" s="215" t="str">
        <x:v>Useful but secondary for Hays field material.</x:v>
      </x:c>
      <x:c r="O414" s="215" t="str">
        <x:v>Low</x:v>
      </x:c>
      <x:c r="P414" s="215" t="str">
        <x:v>No</x:v>
      </x:c>
      <x:c r="Q414" s="215" t="str"/>
      <x:c r="R414" s="215" t="str">
        <x:v>RUT-LK01; RUT-LK02</x:v>
      </x:c>
      <x:c r="S414" s="215" t="str">
        <x:v>APWEB-RUTA; POWO-RUTA; LBJ-HAYS</x:v>
      </x:c>
      <x:c r="T414" s="215" t="str">
        <x:v>https://www.mobot.org/MOBOT/research/APweb/orders/sapindalesweb.htm</x:v>
      </x:c>
      <x:c r="U414" s="215" t="str">
        <x:v>https://powo.science.kew.org/taxon/urn:lsid:ipni.org:names:30001492-2/general-information</x:v>
      </x:c>
      <x:c r="V414" s="215" t="str">
        <x:v>https://powo.science.kew.org/taxon/urn:lsid:ipni.org:names:30001492-2</x:v>
      </x:c>
      <x:c r="W414" s="215" t="str">
        <x:v>https://www.mobot.org/MOBOT/research/APweb/orders/sapindalesweb.htm
https://powo.science.kew.org/taxon/urn:lsid:ipni.org:names:30001492-2/general-information
https://powo.science.kew.org/taxon/urn:lsid:ipni.org:names:30001492-2
https://www.wildflower.org/collections/collection.php?collection=hays</x:v>
      </x:c>
      <x:c r="X414" s="215" t="str">
        <x:v>No — retain qualifiers and exceptions</x:v>
      </x:c>
      <x:c r="Y414" s="215" t="str">
        <x:v>Yes</x:v>
      </x:c>
      <x:c r="Z414" s="215" t="str">
        <x:v>Source-backed draft</x:v>
      </x:c>
    </x:row>
    <x:row r="415" ht="42" customHeight="1">
      <x:c r="A415" s="215" t="str">
        <x:v>Rutaceae</x:v>
      </x:c>
      <x:c r="B415" s="215" t="str">
        <x:v>RUT-LEAVES</x:v>
      </x:c>
      <x:c r="C415" s="215" t="str">
        <x:v>Family-wide</x:v>
      </x:c>
      <x:c r="D415" s="215" t="str">
        <x:v>Leaf</x:v>
      </x:c>
      <x:c r="E415" s="215" t="str">
        <x:v>Leaves simple to compound, alternate or opposite, usually without stipules</x:v>
      </x:c>
      <x:c r="F415" s="215" t="str">
        <x:v>Strong</x:v>
      </x:c>
      <x:c r="G415" s="215" t="str">
        <x:v>3</x:v>
      </x:c>
      <x:c r="H415" s="215" t="str">
        <x:v>High</x:v>
      </x:c>
      <x:c r="I415" s="215" t="str">
        <x:v>Naked eye</x:v>
      </x:c>
      <x:c r="J415" s="215" t="str">
        <x:v>Vegetative</x:v>
      </x:c>
      <x:c r="K415" s="215" t="str">
        <x:v>Leaf architecture varies greatly, but stipules are normally absent.</x:v>
      </x:c>
      <x:c r="L415" s="215" t="str">
        <x:v>Simple, trifoliolate, pinnate, bipinnate, and palmately compound forms all occur; rachises may be winged.</x:v>
      </x:c>
      <x:c r="M415" s="215" t="str">
        <x:v>Do not identify from leaflet number alone; combine with oil glands.</x:v>
      </x:c>
      <x:c r="N415" s="215" t="str">
        <x:v>Covers the different leaf forms expected among Hays rue-family genera.</x:v>
      </x:c>
      <x:c r="O415" s="215" t="str">
        <x:v>Low</x:v>
      </x:c>
      <x:c r="P415" s="215" t="str">
        <x:v>No</x:v>
      </x:c>
      <x:c r="Q415" s="215" t="str"/>
      <x:c r="R415" s="215" t="str">
        <x:v>RUT-LK01; RUT-LK02</x:v>
      </x:c>
      <x:c r="S415" s="215" t="str">
        <x:v>APWEB-RUTA; POWO-RUTA; LBJ-HAYS</x:v>
      </x:c>
      <x:c r="T415" s="215" t="str">
        <x:v>https://www.mobot.org/MOBOT/research/APweb/orders/sapindalesweb.htm</x:v>
      </x:c>
      <x:c r="U415" s="215" t="str">
        <x:v>https://powo.science.kew.org/taxon/urn:lsid:ipni.org:names:30001492-2/general-information</x:v>
      </x:c>
      <x:c r="V415" s="215" t="str">
        <x:v>https://powo.science.kew.org/taxon/urn:lsid:ipni.org:names:30001492-2</x:v>
      </x:c>
      <x:c r="W415" s="215" t="str">
        <x:v>https://www.mobot.org/MOBOT/research/APweb/orders/sapindalesweb.htm
https://powo.science.kew.org/taxon/urn:lsid:ipni.org:names:30001492-2/general-information
https://powo.science.kew.org/taxon/urn:lsid:ipni.org:names:30001492-2
https://www.wildflower.org/collections/collection.php?collection=hays</x:v>
      </x:c>
      <x:c r="X415" s="215" t="str">
        <x:v>No — retain qualifiers and exceptions</x:v>
      </x:c>
      <x:c r="Y415" s="215" t="str">
        <x:v>Yes</x:v>
      </x:c>
      <x:c r="Z415" s="215" t="str">
        <x:v>Source-backed draft</x:v>
      </x:c>
    </x:row>
    <x:row r="416" ht="42" customHeight="1">
      <x:c r="A416" s="215" t="str">
        <x:v>Rutaceae</x:v>
      </x:c>
      <x:c r="B416" s="215" t="str">
        <x:v>RUT-FLOWER</x:v>
      </x:c>
      <x:c r="C416" s="215" t="str">
        <x:v>Family-wide, predominant</x:v>
      </x:c>
      <x:c r="D416" s="215" t="str">
        <x:v>Flower</x:v>
      </x:c>
      <x:c r="E416" s="215" t="str">
        <x:v>Flowers usually small, radial, and 4- or 5-merous</x:v>
      </x:c>
      <x:c r="F416" s="215" t="str">
        <x:v>Strong</x:v>
      </x:c>
      <x:c r="G416" s="215" t="str">
        <x:v>4</x:v>
      </x:c>
      <x:c r="H416" s="215" t="str">
        <x:v>High</x:v>
      </x:c>
      <x:c r="I416" s="215" t="str">
        <x:v>Hand lens</x:v>
      </x:c>
      <x:c r="J416" s="215" t="str">
        <x:v>Fresh flowers</x:v>
      </x:c>
      <x:c r="K416" s="215" t="str">
        <x:v>Most flowers have four or five sepals and petals.</x:v>
      </x:c>
      <x:c r="L416" s="215" t="str">
        <x:v>Some flowers are bilateral, unisexual, apetalous, or otherwise reduced.</x:v>
      </x:c>
      <x:c r="M416" s="215" t="str">
        <x:v>Use with the intrastaminal disc and superior ovary.</x:v>
      </x:c>
      <x:c r="N416" s="215" t="str">
        <x:v>Practical on flowering Ptelea and Zanthoxylum-type material.</x:v>
      </x:c>
      <x:c r="O416" s="215" t="str">
        <x:v>Low</x:v>
      </x:c>
      <x:c r="P416" s="215" t="str">
        <x:v>No</x:v>
      </x:c>
      <x:c r="Q416" s="215" t="str"/>
      <x:c r="R416" s="215" t="str">
        <x:v>RUT-LK01; RUT-LK02</x:v>
      </x:c>
      <x:c r="S416" s="215" t="str">
        <x:v>APWEB-RUTA; POWO-RUTA; LBJ-HAYS</x:v>
      </x:c>
      <x:c r="T416" s="215" t="str">
        <x:v>https://www.mobot.org/MOBOT/research/APweb/orders/sapindalesweb.htm</x:v>
      </x:c>
      <x:c r="U416" s="215" t="str">
        <x:v>https://powo.science.kew.org/taxon/urn:lsid:ipni.org:names:30001492-2/general-information</x:v>
      </x:c>
      <x:c r="V416" s="215" t="str">
        <x:v>https://powo.science.kew.org/taxon/urn:lsid:ipni.org:names:30001492-2</x:v>
      </x:c>
      <x:c r="W416" s="215" t="str">
        <x:v>https://www.mobot.org/MOBOT/research/APweb/orders/sapindalesweb.htm
https://powo.science.kew.org/taxon/urn:lsid:ipni.org:names:30001492-2/general-information
https://powo.science.kew.org/taxon/urn:lsid:ipni.org:names:30001492-2
https://www.wildflower.org/collections/collection.php?collection=hays</x:v>
      </x:c>
      <x:c r="X416" s="215" t="str">
        <x:v>No — retain qualifiers and exceptions</x:v>
      </x:c>
      <x:c r="Y416" s="215" t="str">
        <x:v>Yes</x:v>
      </x:c>
      <x:c r="Z416" s="215" t="str">
        <x:v>Source-backed draft</x:v>
      </x:c>
    </x:row>
    <x:row r="417" ht="42" customHeight="1">
      <x:c r="A417" s="215" t="str">
        <x:v>Rutaceae</x:v>
      </x:c>
      <x:c r="B417" s="215" t="str">
        <x:v>RUT-STAMENS</x:v>
      </x:c>
      <x:c r="C417" s="215" t="str">
        <x:v>Family-wide, common</x:v>
      </x:c>
      <x:c r="D417" s="215" t="str">
        <x:v>Androecium</x:v>
      </x:c>
      <x:c r="E417" s="215" t="str">
        <x:v>Stamens commonly equal to or twice the petal number</x:v>
      </x:c>
      <x:c r="F417" s="215" t="str">
        <x:v>Strong</x:v>
      </x:c>
      <x:c r="G417" s="215" t="str">
        <x:v>3</x:v>
      </x:c>
      <x:c r="H417" s="215" t="str">
        <x:v>Moderate</x:v>
      </x:c>
      <x:c r="I417" s="215" t="str">
        <x:v>Hand lens</x:v>
      </x:c>
      <x:c r="J417" s="215" t="str">
        <x:v>Fresh flowers</x:v>
      </x:c>
      <x:c r="K417" s="215" t="str">
        <x:v>Five or ten stamens are frequent in five-petaled flowers.</x:v>
      </x:c>
      <x:c r="L417" s="215" t="str">
        <x:v>Counts range from two to many and reduced flowers can contain staminodes.</x:v>
      </x:c>
      <x:c r="M417" s="215" t="str">
        <x:v>Count only intact flowers and use as supporting evidence.</x:v>
      </x:c>
      <x:c r="N417" s="215" t="str">
        <x:v>Useful for separating local flowers from superficially similar woody families.</x:v>
      </x:c>
      <x:c r="O417" s="215" t="str">
        <x:v>Low</x:v>
      </x:c>
      <x:c r="P417" s="215" t="str">
        <x:v>No</x:v>
      </x:c>
      <x:c r="Q417" s="215" t="str"/>
      <x:c r="R417" s="215" t="str">
        <x:v>RUT-LK02</x:v>
      </x:c>
      <x:c r="S417" s="215" t="str">
        <x:v>APWEB-RUTA; POWO-RUTA; LBJ-HAYS</x:v>
      </x:c>
      <x:c r="T417" s="215" t="str">
        <x:v>https://www.mobot.org/MOBOT/research/APweb/orders/sapindalesweb.htm</x:v>
      </x:c>
      <x:c r="U417" s="215" t="str">
        <x:v>https://powo.science.kew.org/taxon/urn:lsid:ipni.org:names:30001492-2/general-information</x:v>
      </x:c>
      <x:c r="V417" s="215" t="str">
        <x:v>https://powo.science.kew.org/taxon/urn:lsid:ipni.org:names:30001492-2</x:v>
      </x:c>
      <x:c r="W417" s="215" t="str">
        <x:v>https://www.mobot.org/MOBOT/research/APweb/orders/sapindalesweb.htm
https://powo.science.kew.org/taxon/urn:lsid:ipni.org:names:30001492-2/general-information
https://powo.science.kew.org/taxon/urn:lsid:ipni.org:names:30001492-2
https://www.wildflower.org/collections/collection.php?collection=hays</x:v>
      </x:c>
      <x:c r="X417" s="215" t="str">
        <x:v>No — retain qualifiers and exceptions</x:v>
      </x:c>
      <x:c r="Y417" s="215" t="str">
        <x:v>Yes</x:v>
      </x:c>
      <x:c r="Z417" s="215" t="str">
        <x:v>Source-backed draft</x:v>
      </x:c>
    </x:row>
    <x:row r="418" ht="42" customHeight="1">
      <x:c r="A418" s="215" t="str">
        <x:v>Rutaceae</x:v>
      </x:c>
      <x:c r="B418" s="215" t="str">
        <x:v>RUT-DISC</x:v>
      </x:c>
      <x:c r="C418" s="215" t="str">
        <x:v>Family-wide, common</x:v>
      </x:c>
      <x:c r="D418" s="215" t="str">
        <x:v>Flower</x:v>
      </x:c>
      <x:c r="E418" s="215" t="str">
        <x:v>Intrastaminal nectar disc usually conspicuous</x:v>
      </x:c>
      <x:c r="F418" s="215" t="str">
        <x:v>Strong</x:v>
      </x:c>
      <x:c r="G418" s="215" t="str">
        <x:v>4</x:v>
      </x:c>
      <x:c r="H418" s="215" t="str">
        <x:v>Moderate</x:v>
      </x:c>
      <x:c r="I418" s="215" t="str">
        <x:v>Hand lens</x:v>
      </x:c>
      <x:c r="J418" s="215" t="str">
        <x:v>Fresh flowers</x:v>
      </x:c>
      <x:c r="K418" s="215" t="str">
        <x:v>A disc commonly lies inside the stamen ring around the ovary.</x:v>
      </x:c>
      <x:c r="L418" s="215" t="str">
        <x:v>The disc may be reduced or absent and tiny flowers may conceal it.</x:v>
      </x:c>
      <x:c r="M418" s="215" t="str">
        <x:v>Pair with gland-dotted leaves and superior ovary.</x:v>
      </x:c>
      <x:c r="N418" s="215" t="str">
        <x:v>A valuable confirmation on intact local material.</x:v>
      </x:c>
      <x:c r="O418" s="215" t="str">
        <x:v>Low</x:v>
      </x:c>
      <x:c r="P418" s="215" t="str">
        <x:v>No</x:v>
      </x:c>
      <x:c r="Q418" s="215" t="str"/>
      <x:c r="R418" s="215" t="str">
        <x:v>RUT-LK01; RUT-LK02</x:v>
      </x:c>
      <x:c r="S418" s="215" t="str">
        <x:v>APWEB-RUTA; POWO-RUTA; LBJ-HAYS</x:v>
      </x:c>
      <x:c r="T418" s="215" t="str">
        <x:v>https://www.mobot.org/MOBOT/research/APweb/orders/sapindalesweb.htm</x:v>
      </x:c>
      <x:c r="U418" s="215" t="str">
        <x:v>https://powo.science.kew.org/taxon/urn:lsid:ipni.org:names:30001492-2/general-information</x:v>
      </x:c>
      <x:c r="V418" s="215" t="str">
        <x:v>https://powo.science.kew.org/taxon/urn:lsid:ipni.org:names:30001492-2</x:v>
      </x:c>
      <x:c r="W418" s="215" t="str">
        <x:v>https://www.mobot.org/MOBOT/research/APweb/orders/sapindalesweb.htm
https://powo.science.kew.org/taxon/urn:lsid:ipni.org:names:30001492-2/general-information
https://powo.science.kew.org/taxon/urn:lsid:ipni.org:names:30001492-2
https://www.wildflower.org/collections/collection.php?collection=hays</x:v>
      </x:c>
      <x:c r="X418" s="215" t="str">
        <x:v>No — retain qualifiers and exceptions</x:v>
      </x:c>
      <x:c r="Y418" s="215" t="str">
        <x:v>Yes</x:v>
      </x:c>
      <x:c r="Z418" s="215" t="str">
        <x:v>Source-backed draft</x:v>
      </x:c>
    </x:row>
    <x:row r="419" ht="42" customHeight="1">
      <x:c r="A419" s="215" t="str">
        <x:v>Rutaceae</x:v>
      </x:c>
      <x:c r="B419" s="215" t="str">
        <x:v>RUT-OVARY</x:v>
      </x:c>
      <x:c r="C419" s="215" t="str">
        <x:v>Family-wide, predominant</x:v>
      </x:c>
      <x:c r="D419" s="215" t="str">
        <x:v>Gynoecium</x:v>
      </x:c>
      <x:c r="E419" s="215" t="str">
        <x:v>Ovary superior, usually 4–5-carpellate with one or two ovules per locule</x:v>
      </x:c>
      <x:c r="F419" s="215" t="str">
        <x:v>Core</x:v>
      </x:c>
      <x:c r="G419" s="215" t="str">
        <x:v>5</x:v>
      </x:c>
      <x:c r="H419" s="215" t="str">
        <x:v>High</x:v>
      </x:c>
      <x:c r="I419" s="215" t="str">
        <x:v>Hand lens or dissection</x:v>
      </x:c>
      <x:c r="J419" s="215" t="str">
        <x:v>Flowering or young fruit</x:v>
      </x:c>
      <x:c r="K419" s="215" t="str">
        <x:v>The ovary sits above the flower base and commonly contains several carpels.</x:v>
      </x:c>
      <x:c r="L419" s="215" t="str">
        <x:v>Carpels may be free or fused and counts vary from one to many.</x:v>
      </x:c>
      <x:c r="M419" s="215" t="str">
        <x:v>Use with disc and mature fruit rather than treating carpel number as fixed.</x:v>
      </x:c>
      <x:c r="N419" s="215" t="str">
        <x:v>Strong confirmation for Hays rue-family material.</x:v>
      </x:c>
      <x:c r="O419" s="215" t="str">
        <x:v>Low</x:v>
      </x:c>
      <x:c r="P419" s="215" t="str">
        <x:v>No</x:v>
      </x:c>
      <x:c r="Q419" s="215" t="str"/>
      <x:c r="R419" s="215" t="str">
        <x:v>RUT-LK01; RUT-LK02</x:v>
      </x:c>
      <x:c r="S419" s="215" t="str">
        <x:v>APWEB-RUTA; POWO-RUTA; LBJ-HAYS</x:v>
      </x:c>
      <x:c r="T419" s="215" t="str">
        <x:v>https://www.mobot.org/MOBOT/research/APweb/orders/sapindalesweb.htm</x:v>
      </x:c>
      <x:c r="U419" s="215" t="str">
        <x:v>https://powo.science.kew.org/taxon/urn:lsid:ipni.org:names:30001492-2/general-information</x:v>
      </x:c>
      <x:c r="V419" s="215" t="str">
        <x:v>https://powo.science.kew.org/taxon/urn:lsid:ipni.org:names:30001492-2</x:v>
      </x:c>
      <x:c r="W419" s="215" t="str">
        <x:v>https://www.mobot.org/MOBOT/research/APweb/orders/sapindalesweb.htm
https://powo.science.kew.org/taxon/urn:lsid:ipni.org:names:30001492-2/general-information
https://powo.science.kew.org/taxon/urn:lsid:ipni.org:names:30001492-2
https://www.wildflower.org/collections/collection.php?collection=hays</x:v>
      </x:c>
      <x:c r="X419" s="215" t="str">
        <x:v>No — retain qualifiers and exceptions</x:v>
      </x:c>
      <x:c r="Y419" s="215" t="str">
        <x:v>Yes</x:v>
      </x:c>
      <x:c r="Z419" s="215" t="str">
        <x:v>Source-backed draft</x:v>
      </x:c>
    </x:row>
    <x:row r="420" ht="42" customHeight="1">
      <x:c r="A420" s="215" t="str">
        <x:v>Rutaceae</x:v>
      </x:c>
      <x:c r="B420" s="215" t="str">
        <x:v>RUT-FRUIT</x:v>
      </x:c>
      <x:c r="C420" s="215" t="str">
        <x:v>Family-wide, highly variable</x:v>
      </x:c>
      <x:c r="D420" s="215" t="str">
        <x:v>Fruit</x:v>
      </x:c>
      <x:c r="E420" s="215" t="str">
        <x:v>Fruit may be capsule, schizocarp, samara, drupe, berry, or hesperidium</x:v>
      </x:c>
      <x:c r="F420" s="215" t="str">
        <x:v>Caution</x:v>
      </x:c>
      <x:c r="G420" s="215" t="str">
        <x:v>1</x:v>
      </x:c>
      <x:c r="H420" s="215" t="str">
        <x:v>High</x:v>
      </x:c>
      <x:c r="I420" s="215" t="str">
        <x:v>Naked eye</x:v>
      </x:c>
      <x:c r="J420" s="215" t="str">
        <x:v>Mature fruit</x:v>
      </x:c>
      <x:c r="K420" s="215" t="str">
        <x:v>Fruit type is diverse and should route genera rather than define the family.</x:v>
      </x:c>
      <x:c r="L420" s="215" t="str">
        <x:v>No single fruit form is family-wide; cultivated citrus should not be used as the family model.</x:v>
      </x:c>
      <x:c r="M420" s="215" t="str">
        <x:v>First identify Rutaceae by glands and flowers, then use fruit for genus-level routing.</x:v>
      </x:c>
      <x:c r="N420" s="215" t="str">
        <x:v>Local Ptelea, Zanthoxylum, and Amyris-type routes differ substantially in fruit.</x:v>
      </x:c>
      <x:c r="O420" s="215" t="str">
        <x:v>Low</x:v>
      </x:c>
      <x:c r="P420" s="215" t="str">
        <x:v>No</x:v>
      </x:c>
      <x:c r="Q420" s="215" t="str"/>
      <x:c r="R420" s="215" t="str">
        <x:v>RUT-LK01; RUT-LK02</x:v>
      </x:c>
      <x:c r="S420" s="215" t="str">
        <x:v>APWEB-RUTA; POWO-RUTA; LBJ-HAYS</x:v>
      </x:c>
      <x:c r="T420" s="215" t="str">
        <x:v>https://www.mobot.org/MOBOT/research/APweb/orders/sapindalesweb.htm</x:v>
      </x:c>
      <x:c r="U420" s="215" t="str">
        <x:v>https://powo.science.kew.org/taxon/urn:lsid:ipni.org:names:30001492-2/general-information</x:v>
      </x:c>
      <x:c r="V420" s="215" t="str">
        <x:v>https://powo.science.kew.org/taxon/urn:lsid:ipni.org:names:30001492-2</x:v>
      </x:c>
      <x:c r="W420" s="215" t="str">
        <x:v>https://www.mobot.org/MOBOT/research/APweb/orders/sapindalesweb.htm
https://powo.science.kew.org/taxon/urn:lsid:ipni.org:names:30001492-2/general-information
https://powo.science.kew.org/taxon/urn:lsid:ipni.org:names:30001492-2
https://www.wildflower.org/collections/collection.php?collection=hays</x:v>
      </x:c>
      <x:c r="X420" s="215" t="str">
        <x:v>No — retain qualifiers and exceptions</x:v>
      </x:c>
      <x:c r="Y420" s="215" t="str">
        <x:v>Yes</x:v>
      </x:c>
      <x:c r="Z420" s="215" t="str">
        <x:v>Source-backed draft</x:v>
      </x:c>
    </x:row>
    <x:row r="421" ht="42" customHeight="1">
      <x:c r="A421" s="215" t="str">
        <x:v>Rutaceae</x:v>
      </x:c>
      <x:c r="B421" s="215" t="str">
        <x:v>RUT-LK01</x:v>
      </x:c>
      <x:c r="C421" s="215" t="str">
        <x:v>Lookalike comparison</x:v>
      </x:c>
      <x:c r="D421" s="215" t="str">
        <x:v>Lookalike</x:v>
      </x:c>
      <x:c r="E421" s="215" t="str">
        <x:v>Versus Anacardiaceae: pellucid oil dots and citrus-like odor favor Rutaceae; dark-drying resin favors Anacardiaceae</x:v>
      </x:c>
      <x:c r="F421" s="215" t="str">
        <x:v>Lookalike</x:v>
      </x:c>
      <x:c r="G421" s="215" t="str">
        <x:v>5</x:v>
      </x:c>
      <x:c r="H421" s="215" t="str">
        <x:v>High</x:v>
      </x:c>
      <x:c r="I421" s="215" t="str">
        <x:v>Backlighting, hand lens, opportunistic odor</x:v>
      </x:c>
      <x:c r="J421" s="215" t="str">
        <x:v>Fresh leaves or naturally damaged twigs</x:v>
      </x:c>
      <x:c r="K421" s="215" t="str">
        <x:v>Both can be woody with compound leaves, but their secretory systems differ.</x:v>
      </x:c>
      <x:c r="L421" s="215" t="str">
        <x:v>Glands or resin may be inconspicuous; do not deliberately expose skin to suspected Toxicodendron.</x:v>
      </x:c>
      <x:c r="M421" s="215" t="str">
        <x:v>Use glands, sap behavior, style position, and fruit as a suite.</x:v>
      </x:c>
      <x:c r="N421" s="215" t="str">
        <x:v>Anacardiaceae first-pass coverage is already present, closing the reciprocal comparison.</x:v>
      </x:c>
      <x:c r="O421" s="215" t="str">
        <x:v>Low</x:v>
      </x:c>
      <x:c r="P421" s="215" t="str">
        <x:v>No</x:v>
      </x:c>
      <x:c r="Q421" s="215" t="str"/>
      <x:c r="R421" s="215" t="str">
        <x:v>RUT-GLANDS; RUT-ODOR; RUT-OVARY</x:v>
      </x:c>
      <x:c r="S421" s="215" t="str">
        <x:v>APWEB-RUTA; POWO-RUTA; LBJ-HAYS</x:v>
      </x:c>
      <x:c r="T421" s="215" t="str">
        <x:v>https://www.mobot.org/MOBOT/research/APweb/orders/sapindalesweb.htm</x:v>
      </x:c>
      <x:c r="U421" s="215" t="str">
        <x:v>https://powo.science.kew.org/taxon/urn:lsid:ipni.org:names:30001492-2/general-information</x:v>
      </x:c>
      <x:c r="V421" s="215" t="str">
        <x:v>https://powo.science.kew.org/taxon/urn:lsid:ipni.org:names:30001492-2</x:v>
      </x:c>
      <x:c r="W421" s="215" t="str">
        <x:v>https://www.mobot.org/MOBOT/research/APweb/orders/sapindalesweb.htm
https://powo.science.kew.org/taxon/urn:lsid:ipni.org:names:30001492-2/general-information
https://powo.science.kew.org/taxon/urn:lsid:ipni.org:names:30001492-2
https://www.wildflower.org/collections/collection.php?collection=hays</x:v>
      </x:c>
      <x:c r="X421" s="215" t="str">
        <x:v>No — retain qualifiers and exceptions</x:v>
      </x:c>
      <x:c r="Y421" s="215" t="str">
        <x:v>Yes</x:v>
      </x:c>
      <x:c r="Z421" s="215" t="str">
        <x:v>Source-backed draft</x:v>
      </x:c>
    </x:row>
    <x:row r="422" ht="42" customHeight="1">
      <x:c r="A422" s="215" t="str">
        <x:v>Rutaceae</x:v>
      </x:c>
      <x:c r="B422" s="215" t="str">
        <x:v>RUT-LK02</x:v>
      </x:c>
      <x:c r="C422" s="215" t="str">
        <x:v>Lookalike comparison</x:v>
      </x:c>
      <x:c r="D422" s="215" t="str">
        <x:v>Lookalike</x:v>
      </x:c>
      <x:c r="E422" s="215" t="str">
        <x:v>Versus Sapindaceae: pellucid gland dots and aromatic oils favor Rutaceae</x:v>
      </x:c>
      <x:c r="F422" s="215" t="str">
        <x:v>Lookalike</x:v>
      </x:c>
      <x:c r="G422" s="215" t="str">
        <x:v>4</x:v>
      </x:c>
      <x:c r="H422" s="215" t="str">
        <x:v>High</x:v>
      </x:c>
      <x:c r="I422" s="215" t="str">
        <x:v>Backlighting or hand lens</x:v>
      </x:c>
      <x:c r="J422" s="215" t="str">
        <x:v>Vegetative through fruiting</x:v>
      </x:c>
      <x:c r="K422" s="215" t="str">
        <x:v>Compound leaves and small disc-bearing flowers occur in both families, but visible oil dots strongly support Rutaceae.</x:v>
      </x:c>
      <x:c r="L422" s="215" t="str">
        <x:v>Some Rutaceae glands are obscure and some other families have glandular tissues.</x:v>
      </x:c>
      <x:c r="M422" s="215" t="str">
        <x:v>Confirm with aroma, ovary structure, and fruit rather than using leaf form alone.</x:v>
      </x:c>
      <x:c r="N422" s="215" t="str">
        <x:v>Sapindaceae already has first-pass coverage in the master.</x:v>
      </x:c>
      <x:c r="O422" s="215" t="str">
        <x:v>Low</x:v>
      </x:c>
      <x:c r="P422" s="215" t="str">
        <x:v>No</x:v>
      </x:c>
      <x:c r="Q422" s="215" t="str"/>
      <x:c r="R422" s="215" t="str">
        <x:v>RUT-GLANDS; RUT-DISC; RUT-OVARY</x:v>
      </x:c>
      <x:c r="S422" s="215" t="str">
        <x:v>APWEB-RUTA; POWO-RUTA; LBJ-HAYS</x:v>
      </x:c>
      <x:c r="T422" s="215" t="str">
        <x:v>https://www.mobot.org/MOBOT/research/APweb/orders/sapindalesweb.htm</x:v>
      </x:c>
      <x:c r="U422" s="215" t="str">
        <x:v>https://powo.science.kew.org/taxon/urn:lsid:ipni.org:names:30001492-2/general-information</x:v>
      </x:c>
      <x:c r="V422" s="215" t="str">
        <x:v>https://powo.science.kew.org/taxon/urn:lsid:ipni.org:names:30001492-2</x:v>
      </x:c>
      <x:c r="W422" s="215" t="str">
        <x:v>https://www.mobot.org/MOBOT/research/APweb/orders/sapindalesweb.htm
https://powo.science.kew.org/taxon/urn:lsid:ipni.org:names:30001492-2/general-information
https://powo.science.kew.org/taxon/urn:lsid:ipni.org:names:30001492-2
https://www.wildflower.org/collections/collection.php?collection=hays</x:v>
      </x:c>
      <x:c r="X422" s="215" t="str">
        <x:v>No — retain qualifiers and exceptions</x:v>
      </x:c>
      <x:c r="Y422" s="215" t="str">
        <x:v>Yes</x:v>
      </x:c>
      <x:c r="Z422" s="215" t="str">
        <x:v>Source-backed draft</x:v>
      </x:c>
    </x:row>
    <x:row r="423" ht="42" customHeight="1">
      <x:c r="A423" s="215" t="str">
        <x:v>Cornaceae</x:v>
      </x:c>
      <x:c r="B423" s="215" t="str">
        <x:v>COR-HABIT</x:v>
      </x:c>
      <x:c r="C423" s="215" t="str">
        <x:v>Current narrow family; local route</x:v>
      </x:c>
      <x:c r="D423" s="215" t="str">
        <x:v>Habit</x:v>
      </x:c>
      <x:c r="E423" s="215" t="str">
        <x:v>Perennial herbs, shrubs, or trees globally; local route predominantly woody Cornus</x:v>
      </x:c>
      <x:c r="F423" s="215" t="str">
        <x:v>Supporting</x:v>
      </x:c>
      <x:c r="G423" s="215" t="str">
        <x:v>2</x:v>
      </x:c>
      <x:c r="H423" s="215" t="str">
        <x:v>High</x:v>
      </x:c>
      <x:c r="I423" s="215" t="str">
        <x:v>Naked eye</x:v>
      </x:c>
      <x:c r="J423" s="215" t="str">
        <x:v>Any season</x:v>
      </x:c>
      <x:c r="K423" s="215" t="str">
        <x:v>Dogwoods are usually recognized locally as shrubs or small trees.</x:v>
      </x:c>
      <x:c r="L423" s="215" t="str">
        <x:v>The family includes herbaceous Cornus elsewhere, so woody habit is not universal.</x:v>
      </x:c>
      <x:c r="M423" s="215" t="str">
        <x:v>Use habit only to enter the suite.</x:v>
      </x:c>
      <x:c r="N423" s="215" t="str">
        <x:v>Locally relevant to dogwood-type woody plants carried for Hays County.</x:v>
      </x:c>
      <x:c r="O423" s="215" t="str">
        <x:v>Low</x:v>
      </x:c>
      <x:c r="P423" s="215" t="str">
        <x:v>No</x:v>
      </x:c>
      <x:c r="Q423" s="215" t="str"/>
      <x:c r="R423" s="215" t="str">
        <x:v>COR-LK01; COR-LK02</x:v>
      </x:c>
      <x:c r="S423" s="215" t="str">
        <x:v>APWEB-CORN; FNA-CORN; POWO-CORN; LBJ-HAYS</x:v>
      </x:c>
      <x:c r="T423" s="215" t="str">
        <x:v>https://www.mobot.org/MOBOT/research/APweb/orders/cornalesweb.htm</x:v>
      </x:c>
      <x:c r="U423" s="215" t="str">
        <x:v>https://floranorthamerica.org/Cornaceae</x:v>
      </x:c>
      <x:c r="V423" s="215" t="str">
        <x:v>https://powo.science.kew.org/taxon/urn:lsid:ipni.org:names:30002899-2/general-information</x:v>
      </x:c>
      <x:c r="W423" s="215" t="str">
        <x:v>https://www.mobot.org/MOBOT/research/APweb/orders/cornalesweb.htm
https://floranorthamerica.org/Cornaceae
https://powo.science.kew.org/taxon/urn:lsid:ipni.org:names:30002899-2/general-information
https://www.wildflower.org/collections/collection.php?collection=hays</x:v>
      </x:c>
      <x:c r="X423" s="215" t="str">
        <x:v>No — retain qualifiers and exceptions</x:v>
      </x:c>
      <x:c r="Y423" s="215" t="str">
        <x:v>Yes</x:v>
      </x:c>
      <x:c r="Z423" s="215" t="str">
        <x:v>Source-backed draft</x:v>
      </x:c>
    </x:row>
    <x:row r="424" ht="42" customHeight="1">
      <x:c r="A424" s="215" t="str">
        <x:v>Cornaceae</x:v>
      </x:c>
      <x:c r="B424" s="215" t="str">
        <x:v>COR-LEAVES</x:v>
      </x:c>
      <x:c r="C424" s="215" t="str">
        <x:v>Family-wide, predominant</x:v>
      </x:c>
      <x:c r="D424" s="215" t="str">
        <x:v>Leaf</x:v>
      </x:c>
      <x:c r="E424" s="215" t="str">
        <x:v>Leaves usually opposite, simple, entire, and without stipules</x:v>
      </x:c>
      <x:c r="F424" s="215" t="str">
        <x:v>Strong</x:v>
      </x:c>
      <x:c r="G424" s="215" t="str">
        <x:v>4</x:v>
      </x:c>
      <x:c r="H424" s="215" t="str">
        <x:v>High</x:v>
      </x:c>
      <x:c r="I424" s="215" t="str">
        <x:v>Naked eye</x:v>
      </x:c>
      <x:c r="J424" s="215" t="str">
        <x:v>Vegetative</x:v>
      </x:c>
      <x:c r="K424" s="215" t="str">
        <x:v>Most dogwoods have paired simple leaves with smooth margins and no stipules.</x:v>
      </x:c>
      <x:c r="L424" s="215" t="str">
        <x:v>Leaves can be alternate in some Cornus and petioles may be absent.</x:v>
      </x:c>
      <x:c r="M424" s="215" t="str">
        <x:v>Combine with venation, four-part flowers, inferior ovary, and drupe.</x:v>
      </x:c>
      <x:c r="N424" s="215" t="str">
        <x:v>Highly useful for Hays dogwood material.</x:v>
      </x:c>
      <x:c r="O424" s="215" t="str">
        <x:v>Low</x:v>
      </x:c>
      <x:c r="P424" s="215" t="str">
        <x:v>No</x:v>
      </x:c>
      <x:c r="Q424" s="215" t="str"/>
      <x:c r="R424" s="215" t="str">
        <x:v>COR-LK01; COR-LK02</x:v>
      </x:c>
      <x:c r="S424" s="215" t="str">
        <x:v>APWEB-CORN; FNA-CORN; POWO-CORN; LBJ-HAYS</x:v>
      </x:c>
      <x:c r="T424" s="215" t="str">
        <x:v>https://www.mobot.org/MOBOT/research/APweb/orders/cornalesweb.htm</x:v>
      </x:c>
      <x:c r="U424" s="215" t="str">
        <x:v>https://floranorthamerica.org/Cornaceae</x:v>
      </x:c>
      <x:c r="V424" s="215" t="str">
        <x:v>https://powo.science.kew.org/taxon/urn:lsid:ipni.org:names:30002899-2/general-information</x:v>
      </x:c>
      <x:c r="W424" s="215" t="str">
        <x:v>https://www.mobot.org/MOBOT/research/APweb/orders/cornalesweb.htm
https://floranorthamerica.org/Cornaceae
https://powo.science.kew.org/taxon/urn:lsid:ipni.org:names:30002899-2/general-information
https://www.wildflower.org/collections/collection.php?collection=hays</x:v>
      </x:c>
      <x:c r="X424" s="215" t="str">
        <x:v>No — retain qualifiers and exceptions</x:v>
      </x:c>
      <x:c r="Y424" s="215" t="str">
        <x:v>Yes</x:v>
      </x:c>
      <x:c r="Z424" s="215" t="str">
        <x:v>Source-backed draft</x:v>
      </x:c>
    </x:row>
    <x:row r="425" ht="42" customHeight="1">
      <x:c r="A425" s="215" t="str">
        <x:v>Cornaceae</x:v>
      </x:c>
      <x:c r="B425" s="215" t="str">
        <x:v>COR-VENATION</x:v>
      </x:c>
      <x:c r="C425" s="215" t="str">
        <x:v>Family-wide, common</x:v>
      </x:c>
      <x:c r="D425" s="215" t="str">
        <x:v>Leaf</x:v>
      </x:c>
      <x:c r="E425" s="215" t="str">
        <x:v>Secondary veins commonly curve toward the leaf tip</x:v>
      </x:c>
      <x:c r="F425" s="215" t="str">
        <x:v>Strong</x:v>
      </x:c>
      <x:c r="G425" s="215" t="str">
        <x:v>3</x:v>
      </x:c>
      <x:c r="H425" s="215" t="str">
        <x:v>Moderate</x:v>
      </x:c>
      <x:c r="I425" s="215" t="str">
        <x:v>Naked eye</x:v>
      </x:c>
      <x:c r="J425" s="215" t="str">
        <x:v>Mature leaves</x:v>
      </x:c>
      <x:c r="K425" s="215" t="str">
        <x:v>Dogwood veins often arc forward rather than ending directly at the margin.</x:v>
      </x:c>
      <x:c r="L425" s="215" t="str">
        <x:v>The FNA family description uses broader pinnate/eucamptodromous terminology; curvature varies by species.</x:v>
      </x:c>
      <x:c r="M425" s="215" t="str">
        <x:v>Use as a positive vegetative cue, not a requirement.</x:v>
      </x:c>
      <x:c r="N425" s="215" t="str">
        <x:v>Practical on local Cornus leaves.</x:v>
      </x:c>
      <x:c r="O425" s="215" t="str">
        <x:v>Medium</x:v>
      </x:c>
      <x:c r="P425" s="215" t="str">
        <x:v>No</x:v>
      </x:c>
      <x:c r="Q425" s="215" t="str"/>
      <x:c r="R425" s="215" t="str">
        <x:v>COR-LK01; COR-LK02</x:v>
      </x:c>
      <x:c r="S425" s="215" t="str">
        <x:v>APWEB-CORN; FNA-CORN; POWO-CORN; LBJ-HAYS</x:v>
      </x:c>
      <x:c r="T425" s="215" t="str">
        <x:v>https://www.mobot.org/MOBOT/research/APweb/orders/cornalesweb.htm</x:v>
      </x:c>
      <x:c r="U425" s="215" t="str">
        <x:v>https://floranorthamerica.org/Cornaceae</x:v>
      </x:c>
      <x:c r="V425" s="215" t="str">
        <x:v>https://powo.science.kew.org/taxon/urn:lsid:ipni.org:names:30002899-2/general-information</x:v>
      </x:c>
      <x:c r="W425" s="215" t="str">
        <x:v>https://www.mobot.org/MOBOT/research/APweb/orders/cornalesweb.htm
https://floranorthamerica.org/Cornaceae
https://powo.science.kew.org/taxon/urn:lsid:ipni.org:names:30002899-2/general-information
https://www.wildflower.org/collections/collection.php?collection=hays</x:v>
      </x:c>
      <x:c r="X425" s="215" t="str">
        <x:v>No — retain qualifiers and exceptions</x:v>
      </x:c>
      <x:c r="Y425" s="215" t="str">
        <x:v>Yes</x:v>
      </x:c>
      <x:c r="Z425" s="215" t="str">
        <x:v>Source-backed draft</x:v>
      </x:c>
    </x:row>
    <x:row r="426" ht="42" customHeight="1">
      <x:c r="A426" s="215" t="str">
        <x:v>Cornaceae</x:v>
      </x:c>
      <x:c r="B426" s="215" t="str">
        <x:v>COR-HAIRS</x:v>
      </x:c>
      <x:c r="C426" s="215" t="str">
        <x:v>Family-wide, common</x:v>
      </x:c>
      <x:c r="D426" s="215" t="str">
        <x:v>Hair</x:v>
      </x:c>
      <x:c r="E426" s="215" t="str">
        <x:v>Hairs simple or characteristically two-armed</x:v>
      </x:c>
      <x:c r="F426" s="215" t="str">
        <x:v>Supporting</x:v>
      </x:c>
      <x:c r="G426" s="215" t="str">
        <x:v>2</x:v>
      </x:c>
      <x:c r="H426" s="215" t="str">
        <x:v>Moderate</x:v>
      </x:c>
      <x:c r="I426" s="215" t="str">
        <x:v>Hand lens</x:v>
      </x:c>
      <x:c r="J426" s="215" t="str">
        <x:v>Young twigs or leaf surfaces</x:v>
      </x:c>
      <x:c r="K426" s="215" t="str">
        <x:v>Some dogwoods bear compass-needle-like two-armed hairs.</x:v>
      </x:c>
      <x:c r="L426" s="215" t="str">
        <x:v>Hairs may be absent or one arm reduced and require magnification.</x:v>
      </x:c>
      <x:c r="M426" s="215" t="str">
        <x:v>Useful as confirmation when reproductive parts are unavailable.</x:v>
      </x:c>
      <x:c r="N426" s="215" t="str">
        <x:v>Potentially useful for local Cornus identification.</x:v>
      </x:c>
      <x:c r="O426" s="215" t="str">
        <x:v>Low</x:v>
      </x:c>
      <x:c r="P426" s="215" t="str">
        <x:v>No</x:v>
      </x:c>
      <x:c r="Q426" s="215" t="str"/>
      <x:c r="R426" s="215" t="str">
        <x:v>COR-LK02</x:v>
      </x:c>
      <x:c r="S426" s="215" t="str">
        <x:v>APWEB-CORN; FNA-CORN; POWO-CORN; LBJ-HAYS</x:v>
      </x:c>
      <x:c r="T426" s="215" t="str">
        <x:v>https://www.mobot.org/MOBOT/research/APweb/orders/cornalesweb.htm</x:v>
      </x:c>
      <x:c r="U426" s="215" t="str">
        <x:v>https://floranorthamerica.org/Cornaceae</x:v>
      </x:c>
      <x:c r="V426" s="215" t="str">
        <x:v>https://powo.science.kew.org/taxon/urn:lsid:ipni.org:names:30002899-2/general-information</x:v>
      </x:c>
      <x:c r="W426" s="215" t="str">
        <x:v>https://www.mobot.org/MOBOT/research/APweb/orders/cornalesweb.htm
https://floranorthamerica.org/Cornaceae
https://powo.science.kew.org/taxon/urn:lsid:ipni.org:names:30002899-2/general-information
https://www.wildflower.org/collections/collection.php?collection=hays</x:v>
      </x:c>
      <x:c r="X426" s="215" t="str">
        <x:v>No — retain qualifiers and exceptions</x:v>
      </x:c>
      <x:c r="Y426" s="215" t="str">
        <x:v>Yes</x:v>
      </x:c>
      <x:c r="Z426" s="215" t="str">
        <x:v>Source-backed draft</x:v>
      </x:c>
    </x:row>
    <x:row r="427" ht="42" customHeight="1">
      <x:c r="A427" s="215" t="str">
        <x:v>Cornaceae</x:v>
      </x:c>
      <x:c r="B427" s="215" t="str">
        <x:v>COR-INFLO</x:v>
      </x:c>
      <x:c r="C427" s="215" t="str">
        <x:v>Family-wide</x:v>
      </x:c>
      <x:c r="D427" s="215" t="str">
        <x:v>Inflorescence</x:v>
      </x:c>
      <x:c r="E427" s="215" t="str">
        <x:v>Flowers in cymes, umbels, or compact heads</x:v>
      </x:c>
      <x:c r="F427" s="215" t="str">
        <x:v>Supporting</x:v>
      </x:c>
      <x:c r="G427" s="215" t="str">
        <x:v>2</x:v>
      </x:c>
      <x:c r="H427" s="215" t="str">
        <x:v>High</x:v>
      </x:c>
      <x:c r="I427" s="215" t="str">
        <x:v>Naked eye</x:v>
      </x:c>
      <x:c r="J427" s="215" t="str">
        <x:v>Flowering</x:v>
      </x:c>
      <x:c r="K427" s="215" t="str">
        <x:v>Small flowers are grouped in branched clusters or heads.</x:v>
      </x:c>
      <x:c r="L427" s="215" t="str">
        <x:v>Cluster form varies substantially and showy bracts occur in only some lineages.</x:v>
      </x:c>
      <x:c r="M427" s="215" t="str">
        <x:v>Use cluster architecture with floral merosity and fruit.</x:v>
      </x:c>
      <x:c r="N427" s="215" t="str">
        <x:v>Useful for routing local dogwood material.</x:v>
      </x:c>
      <x:c r="O427" s="215" t="str">
        <x:v>Low</x:v>
      </x:c>
      <x:c r="P427" s="215" t="str">
        <x:v>No</x:v>
      </x:c>
      <x:c r="Q427" s="215" t="str"/>
      <x:c r="R427" s="215" t="str">
        <x:v>COR-LK01; COR-LK02</x:v>
      </x:c>
      <x:c r="S427" s="215" t="str">
        <x:v>APWEB-CORN; FNA-CORN; POWO-CORN; LBJ-HAYS</x:v>
      </x:c>
      <x:c r="T427" s="215" t="str">
        <x:v>https://www.mobot.org/MOBOT/research/APweb/orders/cornalesweb.htm</x:v>
      </x:c>
      <x:c r="U427" s="215" t="str">
        <x:v>https://floranorthamerica.org/Cornaceae</x:v>
      </x:c>
      <x:c r="V427" s="215" t="str">
        <x:v>https://powo.science.kew.org/taxon/urn:lsid:ipni.org:names:30002899-2/general-information</x:v>
      </x:c>
      <x:c r="W427" s="215" t="str">
        <x:v>https://www.mobot.org/MOBOT/research/APweb/orders/cornalesweb.htm
https://floranorthamerica.org/Cornaceae
https://powo.science.kew.org/taxon/urn:lsid:ipni.org:names:30002899-2/general-information
https://www.wildflower.org/collections/collection.php?collection=hays</x:v>
      </x:c>
      <x:c r="X427" s="215" t="str">
        <x:v>No — retain qualifiers and exceptions</x:v>
      </x:c>
      <x:c r="Y427" s="215" t="str">
        <x:v>Yes</x:v>
      </x:c>
      <x:c r="Z427" s="215" t="str">
        <x:v>Source-backed draft</x:v>
      </x:c>
    </x:row>
    <x:row r="428" ht="42" customHeight="1">
      <x:c r="A428" s="215" t="str">
        <x:v>Cornaceae</x:v>
      </x:c>
      <x:c r="B428" s="215" t="str">
        <x:v>COR-FLOWER</x:v>
      </x:c>
      <x:c r="C428" s="215" t="str">
        <x:v>Family-wide, predominant</x:v>
      </x:c>
      <x:c r="D428" s="215" t="str">
        <x:v>Flower</x:v>
      </x:c>
      <x:c r="E428" s="215" t="str">
        <x:v>Flowers radial, usually 4-merous, with free petals</x:v>
      </x:c>
      <x:c r="F428" s="215" t="str">
        <x:v>Strong</x:v>
      </x:c>
      <x:c r="G428" s="215" t="str">
        <x:v>4</x:v>
      </x:c>
      <x:c r="H428" s="215" t="str">
        <x:v>High</x:v>
      </x:c>
      <x:c r="I428" s="215" t="str">
        <x:v>Hand lens</x:v>
      </x:c>
      <x:c r="J428" s="215" t="str">
        <x:v>Fresh flowers</x:v>
      </x:c>
      <x:c r="K428" s="215" t="str">
        <x:v>Most flowers have four sepals, four petals, and four stamens.</x:v>
      </x:c>
      <x:c r="L428" s="215" t="str">
        <x:v>Five-part flowers and unisexual flowers occur in some lineages.</x:v>
      </x:c>
      <x:c r="M428" s="215" t="str">
        <x:v>Pair with inferior ovary and drupe.</x:v>
      </x:c>
      <x:c r="N428" s="215" t="str">
        <x:v>Strong field evidence on flowering Hays dogwoods.</x:v>
      </x:c>
      <x:c r="O428" s="215" t="str">
        <x:v>Low</x:v>
      </x:c>
      <x:c r="P428" s="215" t="str">
        <x:v>No</x:v>
      </x:c>
      <x:c r="Q428" s="215" t="str"/>
      <x:c r="R428" s="215" t="str">
        <x:v>COR-LK01; COR-LK02</x:v>
      </x:c>
      <x:c r="S428" s="215" t="str">
        <x:v>APWEB-CORN; FNA-CORN; POWO-CORN; LBJ-HAYS</x:v>
      </x:c>
      <x:c r="T428" s="215" t="str">
        <x:v>https://www.mobot.org/MOBOT/research/APweb/orders/cornalesweb.htm</x:v>
      </x:c>
      <x:c r="U428" s="215" t="str">
        <x:v>https://floranorthamerica.org/Cornaceae</x:v>
      </x:c>
      <x:c r="V428" s="215" t="str">
        <x:v>https://powo.science.kew.org/taxon/urn:lsid:ipni.org:names:30002899-2/general-information</x:v>
      </x:c>
      <x:c r="W428" s="215" t="str">
        <x:v>https://www.mobot.org/MOBOT/research/APweb/orders/cornalesweb.htm
https://floranorthamerica.org/Cornaceae
https://powo.science.kew.org/taxon/urn:lsid:ipni.org:names:30002899-2/general-information
https://www.wildflower.org/collections/collection.php?collection=hays</x:v>
      </x:c>
      <x:c r="X428" s="215" t="str">
        <x:v>No — retain qualifiers and exceptions</x:v>
      </x:c>
      <x:c r="Y428" s="215" t="str">
        <x:v>Yes</x:v>
      </x:c>
      <x:c r="Z428" s="215" t="str">
        <x:v>Source-backed draft</x:v>
      </x:c>
    </x:row>
    <x:row r="429" ht="42" customHeight="1">
      <x:c r="A429" s="215" t="str">
        <x:v>Cornaceae</x:v>
      </x:c>
      <x:c r="B429" s="215" t="str">
        <x:v>COR-STAMENS</x:v>
      </x:c>
      <x:c r="C429" s="215" t="str">
        <x:v>Family-wide, predominant</x:v>
      </x:c>
      <x:c r="D429" s="215" t="str">
        <x:v>Androecium</x:v>
      </x:c>
      <x:c r="E429" s="215" t="str">
        <x:v>Usually four stamens alternating with petals</x:v>
      </x:c>
      <x:c r="F429" s="215" t="str">
        <x:v>Strong</x:v>
      </x:c>
      <x:c r="G429" s="215" t="str">
        <x:v>3</x:v>
      </x:c>
      <x:c r="H429" s="215" t="str">
        <x:v>High</x:v>
      </x:c>
      <x:c r="I429" s="215" t="str">
        <x:v>Hand lens</x:v>
      </x:c>
      <x:c r="J429" s="215" t="str">
        <x:v>Fresh flowers</x:v>
      </x:c>
      <x:c r="K429" s="215" t="str">
        <x:v>One free stamen normally accompanies each petal position.</x:v>
      </x:c>
      <x:c r="L429" s="215" t="str">
        <x:v>Five stamens occur with five-part flowers.</x:v>
      </x:c>
      <x:c r="M429" s="215" t="str">
        <x:v>Count only intact flowers and pair with ovary position.</x:v>
      </x:c>
      <x:c r="N429" s="215" t="str">
        <x:v>Useful close-range confirmation.</x:v>
      </x:c>
      <x:c r="O429" s="215" t="str">
        <x:v>Low</x:v>
      </x:c>
      <x:c r="P429" s="215" t="str">
        <x:v>No</x:v>
      </x:c>
      <x:c r="Q429" s="215" t="str"/>
      <x:c r="R429" s="215" t="str">
        <x:v>COR-LK01</x:v>
      </x:c>
      <x:c r="S429" s="215" t="str">
        <x:v>APWEB-CORN; FNA-CORN; POWO-CORN; LBJ-HAYS</x:v>
      </x:c>
      <x:c r="T429" s="215" t="str">
        <x:v>https://www.mobot.org/MOBOT/research/APweb/orders/cornalesweb.htm</x:v>
      </x:c>
      <x:c r="U429" s="215" t="str">
        <x:v>https://floranorthamerica.org/Cornaceae</x:v>
      </x:c>
      <x:c r="V429" s="215" t="str">
        <x:v>https://powo.science.kew.org/taxon/urn:lsid:ipni.org:names:30002899-2/general-information</x:v>
      </x:c>
      <x:c r="W429" s="215" t="str">
        <x:v>https://www.mobot.org/MOBOT/research/APweb/orders/cornalesweb.htm
https://floranorthamerica.org/Cornaceae
https://powo.science.kew.org/taxon/urn:lsid:ipni.org:names:30002899-2/general-information
https://www.wildflower.org/collections/collection.php?collection=hays</x:v>
      </x:c>
      <x:c r="X429" s="215" t="str">
        <x:v>No — retain qualifiers and exceptions</x:v>
      </x:c>
      <x:c r="Y429" s="215" t="str">
        <x:v>Yes</x:v>
      </x:c>
      <x:c r="Z429" s="215" t="str">
        <x:v>Source-backed draft</x:v>
      </x:c>
    </x:row>
    <x:row r="430" ht="42" customHeight="1">
      <x:c r="A430" s="215" t="str">
        <x:v>Cornaceae</x:v>
      </x:c>
      <x:c r="B430" s="215" t="str">
        <x:v>COR-OVARY</x:v>
      </x:c>
      <x:c r="C430" s="215" t="str">
        <x:v>Family-wide</x:v>
      </x:c>
      <x:c r="D430" s="215" t="str">
        <x:v>Gynoecium</x:v>
      </x:c>
      <x:c r="E430" s="215" t="str">
        <x:v>Ovary inferior, usually two-locular with one apical ovule per locule</x:v>
      </x:c>
      <x:c r="F430" s="215" t="str">
        <x:v>Core</x:v>
      </x:c>
      <x:c r="G430" s="215" t="str">
        <x:v>5</x:v>
      </x:c>
      <x:c r="H430" s="215" t="str">
        <x:v>High</x:v>
      </x:c>
      <x:c r="I430" s="215" t="str">
        <x:v>Hand lens or dissection</x:v>
      </x:c>
      <x:c r="J430" s="215" t="str">
        <x:v>Flowering or young fruit</x:v>
      </x:c>
      <x:c r="K430" s="215" t="str">
        <x:v>The ovary lies below the flower and typically has two potential seed chambers.</x:v>
      </x:c>
      <x:c r="L430" s="215" t="str">
        <x:v>One to four carpels or locules occur across the family treatment.</x:v>
      </x:c>
      <x:c r="M430" s="215" t="str">
        <x:v>A strong separator when combined with four free petals and drupe.</x:v>
      </x:c>
      <x:c r="N430" s="215" t="str">
        <x:v>High-value Hays family evidence.</x:v>
      </x:c>
      <x:c r="O430" s="215" t="str">
        <x:v>Low</x:v>
      </x:c>
      <x:c r="P430" s="215" t="str">
        <x:v>No</x:v>
      </x:c>
      <x:c r="Q430" s="215" t="str"/>
      <x:c r="R430" s="215" t="str">
        <x:v>COR-LK01; COR-LK02</x:v>
      </x:c>
      <x:c r="S430" s="215" t="str">
        <x:v>APWEB-CORN; FNA-CORN; POWO-CORN; LBJ-HAYS</x:v>
      </x:c>
      <x:c r="T430" s="215" t="str">
        <x:v>https://www.mobot.org/MOBOT/research/APweb/orders/cornalesweb.htm</x:v>
      </x:c>
      <x:c r="U430" s="215" t="str">
        <x:v>https://floranorthamerica.org/Cornaceae</x:v>
      </x:c>
      <x:c r="V430" s="215" t="str">
        <x:v>https://powo.science.kew.org/taxon/urn:lsid:ipni.org:names:30002899-2/general-information</x:v>
      </x:c>
      <x:c r="W430" s="215" t="str">
        <x:v>https://www.mobot.org/MOBOT/research/APweb/orders/cornalesweb.htm
https://floranorthamerica.org/Cornaceae
https://powo.science.kew.org/taxon/urn:lsid:ipni.org:names:30002899-2/general-information
https://www.wildflower.org/collections/collection.php?collection=hays</x:v>
      </x:c>
      <x:c r="X430" s="215" t="str">
        <x:v>No — retain qualifiers and exceptions</x:v>
      </x:c>
      <x:c r="Y430" s="215" t="str">
        <x:v>Yes</x:v>
      </x:c>
      <x:c r="Z430" s="215" t="str">
        <x:v>Source-backed draft</x:v>
      </x:c>
    </x:row>
    <x:row r="431" ht="42" customHeight="1">
      <x:c r="A431" s="215" t="str">
        <x:v>Cornaceae</x:v>
      </x:c>
      <x:c r="B431" s="215" t="str">
        <x:v>COR-FRUIT</x:v>
      </x:c>
      <x:c r="C431" s="215" t="str">
        <x:v>Family-wide, predominant</x:v>
      </x:c>
      <x:c r="D431" s="215" t="str">
        <x:v>Fruit</x:v>
      </x:c>
      <x:c r="E431" s="215" t="str">
        <x:v>Fruit a drupe, usually with one or two seeds</x:v>
      </x:c>
      <x:c r="F431" s="215" t="str">
        <x:v>Core</x:v>
      </x:c>
      <x:c r="G431" s="215" t="str">
        <x:v>5</x:v>
      </x:c>
      <x:c r="H431" s="215" t="str">
        <x:v>High</x:v>
      </x:c>
      <x:c r="I431" s="215" t="str">
        <x:v>Naked eye</x:v>
      </x:c>
      <x:c r="J431" s="215" t="str">
        <x:v>Mature fruit</x:v>
      </x:c>
      <x:c r="K431" s="215" t="str">
        <x:v>Dogwoods form closed fleshy fruits with a hard inner stone.</x:v>
      </x:c>
      <x:c r="L431" s="215" t="str">
        <x:v>Some fruits fuse into a multiple structure outside the main local route.</x:v>
      </x:c>
      <x:c r="M431" s="215" t="str">
        <x:v>Mature fruit plus opposite leaves and inferior ovary strongly confirms Cornaceae.</x:v>
      </x:c>
      <x:c r="N431" s="215" t="str">
        <x:v>Highly practical for local dogwoods.</x:v>
      </x:c>
      <x:c r="O431" s="215" t="str">
        <x:v>Low</x:v>
      </x:c>
      <x:c r="P431" s="215" t="str">
        <x:v>No</x:v>
      </x:c>
      <x:c r="Q431" s="215" t="str"/>
      <x:c r="R431" s="215" t="str">
        <x:v>COR-LK01; COR-LK02</x:v>
      </x:c>
      <x:c r="S431" s="215" t="str">
        <x:v>APWEB-CORN; FNA-CORN; POWO-CORN; LBJ-HAYS</x:v>
      </x:c>
      <x:c r="T431" s="215" t="str">
        <x:v>https://www.mobot.org/MOBOT/research/APweb/orders/cornalesweb.htm</x:v>
      </x:c>
      <x:c r="U431" s="215" t="str">
        <x:v>https://floranorthamerica.org/Cornaceae</x:v>
      </x:c>
      <x:c r="V431" s="215" t="str">
        <x:v>https://powo.science.kew.org/taxon/urn:lsid:ipni.org:names:30002899-2/general-information</x:v>
      </x:c>
      <x:c r="W431" s="215" t="str">
        <x:v>https://www.mobot.org/MOBOT/research/APweb/orders/cornalesweb.htm
https://floranorthamerica.org/Cornaceae
https://powo.science.kew.org/taxon/urn:lsid:ipni.org:names:30002899-2/general-information
https://www.wildflower.org/collections/collection.php?collection=hays</x:v>
      </x:c>
      <x:c r="X431" s="215" t="str">
        <x:v>No — retain qualifiers and exceptions</x:v>
      </x:c>
      <x:c r="Y431" s="215" t="str">
        <x:v>Yes</x:v>
      </x:c>
      <x:c r="Z431" s="215" t="str">
        <x:v>Source-backed draft</x:v>
      </x:c>
    </x:row>
    <x:row r="432" ht="42" customHeight="1">
      <x:c r="A432" s="215" t="str">
        <x:v>Cornaceae</x:v>
      </x:c>
      <x:c r="B432" s="215" t="str">
        <x:v>COR-LK01</x:v>
      </x:c>
      <x:c r="C432" s="215" t="str">
        <x:v>Lookalike comparison</x:v>
      </x:c>
      <x:c r="D432" s="215" t="str">
        <x:v>Lookalike</x:v>
      </x:c>
      <x:c r="E432" s="215" t="str">
        <x:v>Versus Viburnaceae: four free petals and four stamens favor Cornaceae; fused five-lobed corolla favors Viburnaceae</x:v>
      </x:c>
      <x:c r="F432" s="215" t="str">
        <x:v>Lookalike</x:v>
      </x:c>
      <x:c r="G432" s="215" t="str">
        <x:v>5</x:v>
      </x:c>
      <x:c r="H432" s="215" t="str">
        <x:v>High</x:v>
      </x:c>
      <x:c r="I432" s="215" t="str">
        <x:v>Hand lens</x:v>
      </x:c>
      <x:c r="J432" s="215" t="str">
        <x:v>Flowering or fruiting</x:v>
      </x:c>
      <x:c r="K432" s="215" t="str">
        <x:v>Both can have opposite leaves, inferior ovaries, and drupes, so flower construction is decisive.</x:v>
      </x:c>
      <x:c r="L432" s="215" t="str">
        <x:v>Part counts can vary and sterile material may remain ambiguous.</x:v>
      </x:c>
      <x:c r="M432" s="215" t="str">
        <x:v>Use corolla fusion, stamen count, and fruit together.</x:v>
      </x:c>
      <x:c r="N432" s="215" t="str">
        <x:v>Viburnaceae reciprocal coverage already exists.</x:v>
      </x:c>
      <x:c r="O432" s="215" t="str">
        <x:v>Low</x:v>
      </x:c>
      <x:c r="P432" s="215" t="str">
        <x:v>No</x:v>
      </x:c>
      <x:c r="Q432" s="215" t="str"/>
      <x:c r="R432" s="215" t="str">
        <x:v>COR-FLOWER; COR-STAMENS; COR-OVARY</x:v>
      </x:c>
      <x:c r="S432" s="215" t="str">
        <x:v>APWEB-CORN; FNA-CORN; POWO-CORN; LBJ-HAYS</x:v>
      </x:c>
      <x:c r="T432" s="215" t="str">
        <x:v>https://www.mobot.org/MOBOT/research/APweb/orders/cornalesweb.htm</x:v>
      </x:c>
      <x:c r="U432" s="215" t="str">
        <x:v>https://floranorthamerica.org/Cornaceae</x:v>
      </x:c>
      <x:c r="V432" s="215" t="str">
        <x:v>https://powo.science.kew.org/taxon/urn:lsid:ipni.org:names:30002899-2/general-information</x:v>
      </x:c>
      <x:c r="W432" s="215" t="str">
        <x:v>https://www.mobot.org/MOBOT/research/APweb/orders/cornalesweb.htm
https://floranorthamerica.org/Cornaceae
https://powo.science.kew.org/taxon/urn:lsid:ipni.org:names:30002899-2/general-information
https://www.wildflower.org/collections/collection.php?collection=hays</x:v>
      </x:c>
      <x:c r="X432" s="215" t="str">
        <x:v>No — retain qualifiers and exceptions</x:v>
      </x:c>
      <x:c r="Y432" s="215" t="str">
        <x:v>Yes</x:v>
      </x:c>
      <x:c r="Z432" s="215" t="str">
        <x:v>Source-backed draft</x:v>
      </x:c>
    </x:row>
    <x:row r="433" ht="42" customHeight="1">
      <x:c r="A433" s="215" t="str">
        <x:v>Cornaceae</x:v>
      </x:c>
      <x:c r="B433" s="215" t="str">
        <x:v>COR-LK02</x:v>
      </x:c>
      <x:c r="C433" s="215" t="str">
        <x:v>Lookalike comparison</x:v>
      </x:c>
      <x:c r="D433" s="215" t="str">
        <x:v>Lookalike</x:v>
      </x:c>
      <x:c r="E433" s="215" t="str">
        <x:v>Versus Hydrangeaceae: simple 4-merous flowers and drupes favor Cornaceae; many stamens and capsules favor Hydrangeaceae</x:v>
      </x:c>
      <x:c r="F433" s="215" t="str">
        <x:v>Lookalike</x:v>
      </x:c>
      <x:c r="G433" s="215" t="str">
        <x:v>4</x:v>
      </x:c>
      <x:c r="H433" s="215" t="str">
        <x:v>High</x:v>
      </x:c>
      <x:c r="I433" s="215" t="str">
        <x:v>Hand lens</x:v>
      </x:c>
      <x:c r="J433" s="215" t="str">
        <x:v>Flowering through fruiting</x:v>
      </x:c>
      <x:c r="K433" s="215" t="str">
        <x:v>Opposite leaves and broad flower clusters overlap, but reproductive structures differ.</x:v>
      </x:c>
      <x:c r="L433" s="215" t="str">
        <x:v>Hydrangeaceae is internally variable and sterile material is unreliable.</x:v>
      </x:c>
      <x:c r="M433" s="215" t="str">
        <x:v>Prioritize stamen number and mature fruit.</x:v>
      </x:c>
      <x:c r="N433" s="215" t="str">
        <x:v>Hydrangeaceae is completed in this same batch, providing reciprocal coverage.</x:v>
      </x:c>
      <x:c r="O433" s="215" t="str">
        <x:v>Low</x:v>
      </x:c>
      <x:c r="P433" s="215" t="str">
        <x:v>No</x:v>
      </x:c>
      <x:c r="Q433" s="215" t="str"/>
      <x:c r="R433" s="215" t="str">
        <x:v>COR-FLOWER; COR-FRUIT</x:v>
      </x:c>
      <x:c r="S433" s="215" t="str">
        <x:v>APWEB-CORN; FNA-CORN; POWO-CORN; LBJ-HAYS</x:v>
      </x:c>
      <x:c r="T433" s="215" t="str">
        <x:v>https://www.mobot.org/MOBOT/research/APweb/orders/cornalesweb.htm</x:v>
      </x:c>
      <x:c r="U433" s="215" t="str">
        <x:v>https://floranorthamerica.org/Cornaceae</x:v>
      </x:c>
      <x:c r="V433" s="215" t="str">
        <x:v>https://powo.science.kew.org/taxon/urn:lsid:ipni.org:names:30002899-2/general-information</x:v>
      </x:c>
      <x:c r="W433" s="215" t="str">
        <x:v>https://www.mobot.org/MOBOT/research/APweb/orders/cornalesweb.htm
https://floranorthamerica.org/Cornaceae
https://powo.science.kew.org/taxon/urn:lsid:ipni.org:names:30002899-2/general-information
https://www.wildflower.org/collections/collection.php?collection=hays</x:v>
      </x:c>
      <x:c r="X433" s="215" t="str">
        <x:v>No — retain qualifiers and exceptions</x:v>
      </x:c>
      <x:c r="Y433" s="215" t="str">
        <x:v>Yes</x:v>
      </x:c>
      <x:c r="Z433" s="215" t="str">
        <x:v>Source-backed draft</x:v>
      </x:c>
    </x:row>
    <x:row r="434" ht="42" customHeight="1">
      <x:c r="A434" s="215" t="str">
        <x:v>Hydrangeaceae</x:v>
      </x:c>
      <x:c r="B434" s="215" t="str">
        <x:v>HYD-HABIT</x:v>
      </x:c>
      <x:c r="C434" s="215" t="str">
        <x:v>Family-wide, predominant</x:v>
      </x:c>
      <x:c r="D434" s="215" t="str">
        <x:v>Habit</x:v>
      </x:c>
      <x:c r="E434" s="215" t="str">
        <x:v>Subshrubs, shrubs, trees, or woody vines</x:v>
      </x:c>
      <x:c r="F434" s="215" t="str">
        <x:v>Supporting</x:v>
      </x:c>
      <x:c r="G434" s="215" t="str">
        <x:v>2</x:v>
      </x:c>
      <x:c r="H434" s="215" t="str">
        <x:v>High</x:v>
      </x:c>
      <x:c r="I434" s="215" t="str">
        <x:v>Naked eye</x:v>
      </x:c>
      <x:c r="J434" s="215" t="str">
        <x:v>Any season</x:v>
      </x:c>
      <x:c r="K434" s="215" t="str">
        <x:v>The family is chiefly woody.</x:v>
      </x:c>
      <x:c r="L434" s="215" t="str">
        <x:v>Rare herbaceous forms occur outside the main North American routes.</x:v>
      </x:c>
      <x:c r="M434" s="215" t="str">
        <x:v>Use only as an initial screen.</x:v>
      </x:c>
      <x:c r="N434" s="215" t="str">
        <x:v>Hays relevance is primarily Fendlera- and Philadelphus-type woody routes; cultivated Hydrangea alone does not establish presence.</x:v>
      </x:c>
      <x:c r="O434" s="215" t="str">
        <x:v>Medium</x:v>
      </x:c>
      <x:c r="P434" s="215" t="str">
        <x:v>No</x:v>
      </x:c>
      <x:c r="Q434" s="215" t="str"/>
      <x:c r="R434" s="215" t="str">
        <x:v>HYD-LK01; HYD-LK02</x:v>
      </x:c>
      <x:c r="S434" s="215" t="str">
        <x:v>APWEB-HYDR; FNA-HYDR; POWO-HYDR; LBJ-HAYS</x:v>
      </x:c>
      <x:c r="T434" s="215" t="str">
        <x:v>https://www.mobot.org/MOBOT/research/APweb/orders/cornalesweb.htm</x:v>
      </x:c>
      <x:c r="U434" s="215" t="str">
        <x:v>https://floranorthamerica.org/Hydrangeaceae</x:v>
      </x:c>
      <x:c r="V434" s="215" t="str">
        <x:v>https://powo.science.kew.org/taxon/urn:lsid:ipni.org:names:77126637-1/general-information</x:v>
      </x:c>
      <x:c r="W434" s="215" t="str">
        <x:v>https://www.mobot.org/MOBOT/research/APweb/orders/cornalesweb.htm
https://floranorthamerica.org/Hydrangeaceae
https://powo.science.kew.org/taxon/urn:lsid:ipni.org:names:77126637-1/general-information
https://www.wildflower.org/collections/collection.php?collection=hays</x:v>
      </x:c>
      <x:c r="X434" s="215" t="str">
        <x:v>No — retain qualifiers and exceptions</x:v>
      </x:c>
      <x:c r="Y434" s="215" t="str">
        <x:v>Yes</x:v>
      </x:c>
      <x:c r="Z434" s="215" t="str">
        <x:v>Source-backed draft</x:v>
      </x:c>
    </x:row>
    <x:row r="435" ht="42" customHeight="1">
      <x:c r="A435" s="215" t="str">
        <x:v>Hydrangeaceae</x:v>
      </x:c>
      <x:c r="B435" s="215" t="str">
        <x:v>HYD-LEAVES</x:v>
      </x:c>
      <x:c r="C435" s="215" t="str">
        <x:v>Family-wide, predominant</x:v>
      </x:c>
      <x:c r="D435" s="215" t="str">
        <x:v>Leaf</x:v>
      </x:c>
      <x:c r="E435" s="215" t="str">
        <x:v>Leaves usually opposite or whorled, simple, and without stipules</x:v>
      </x:c>
      <x:c r="F435" s="215" t="str">
        <x:v>Strong</x:v>
      </x:c>
      <x:c r="G435" s="215" t="str">
        <x:v>4</x:v>
      </x:c>
      <x:c r="H435" s="215" t="str">
        <x:v>High</x:v>
      </x:c>
      <x:c r="I435" s="215" t="str">
        <x:v>Naked eye</x:v>
      </x:c>
      <x:c r="J435" s="215" t="str">
        <x:v>Vegetative</x:v>
      </x:c>
      <x:c r="K435" s="215" t="str">
        <x:v>Leaves commonly occur in pairs and lack stipules.</x:v>
      </x:c>
      <x:c r="L435" s="215" t="str">
        <x:v>Alternate leaves occur in some lineages and margins range from entire to toothed or lobed.</x:v>
      </x:c>
      <x:c r="M435" s="215" t="str">
        <x:v>Combine with flowers, stamen number, ovary, and fruit.</x:v>
      </x:c>
      <x:c r="N435" s="215" t="str">
        <x:v>Useful for local Fendlera and mock-orange-type material.</x:v>
      </x:c>
      <x:c r="O435" s="215" t="str">
        <x:v>Low</x:v>
      </x:c>
      <x:c r="P435" s="215" t="str">
        <x:v>No</x:v>
      </x:c>
      <x:c r="Q435" s="215" t="str"/>
      <x:c r="R435" s="215" t="str">
        <x:v>HYD-LK01; HYD-LK02</x:v>
      </x:c>
      <x:c r="S435" s="215" t="str">
        <x:v>APWEB-HYDR; FNA-HYDR; POWO-HYDR; LBJ-HAYS</x:v>
      </x:c>
      <x:c r="T435" s="215" t="str">
        <x:v>https://www.mobot.org/MOBOT/research/APweb/orders/cornalesweb.htm</x:v>
      </x:c>
      <x:c r="U435" s="215" t="str">
        <x:v>https://floranorthamerica.org/Hydrangeaceae</x:v>
      </x:c>
      <x:c r="V435" s="215" t="str">
        <x:v>https://powo.science.kew.org/taxon/urn:lsid:ipni.org:names:77126637-1/general-information</x:v>
      </x:c>
      <x:c r="W435" s="215" t="str">
        <x:v>https://www.mobot.org/MOBOT/research/APweb/orders/cornalesweb.htm
https://floranorthamerica.org/Hydrangeaceae
https://powo.science.kew.org/taxon/urn:lsid:ipni.org:names:77126637-1/general-information
https://www.wildflower.org/collections/collection.php?collection=hays</x:v>
      </x:c>
      <x:c r="X435" s="215" t="str">
        <x:v>No — retain qualifiers and exceptions</x:v>
      </x:c>
      <x:c r="Y435" s="215" t="str">
        <x:v>Yes</x:v>
      </x:c>
      <x:c r="Z435" s="215" t="str">
        <x:v>Source-backed draft</x:v>
      </x:c>
    </x:row>
    <x:row r="436" ht="42" customHeight="1">
      <x:c r="A436" s="215" t="str">
        <x:v>Hydrangeaceae</x:v>
      </x:c>
      <x:c r="B436" s="215" t="str">
        <x:v>HYD-HAIRS</x:v>
      </x:c>
      <x:c r="C436" s="215" t="str">
        <x:v>Family-wide, common</x:v>
      </x:c>
      <x:c r="D436" s="215" t="str">
        <x:v>Hair</x:v>
      </x:c>
      <x:c r="E436" s="215" t="str">
        <x:v>Hairs often long, unicellular, sometimes branched or tuberculate</x:v>
      </x:c>
      <x:c r="F436" s="215" t="str">
        <x:v>Supporting</x:v>
      </x:c>
      <x:c r="G436" s="215" t="str">
        <x:v>2</x:v>
      </x:c>
      <x:c r="H436" s="215" t="str">
        <x:v>Moderate</x:v>
      </x:c>
      <x:c r="I436" s="215" t="str">
        <x:v>Hand lens</x:v>
      </x:c>
      <x:c r="J436" s="215" t="str">
        <x:v>Young twigs and leaves</x:v>
      </x:c>
      <x:c r="K436" s="215" t="str">
        <x:v>Characteristic long hairs can support recognition.</x:v>
      </x:c>
      <x:c r="L436" s="215" t="str">
        <x:v>Hair form varies and many plants may be nearly glabrous.</x:v>
      </x:c>
      <x:c r="M436" s="215" t="str">
        <x:v>Use only as supporting microcharacter evidence.</x:v>
      </x:c>
      <x:c r="N436" s="215" t="str">
        <x:v>Potentially useful when separating local woody genera.</x:v>
      </x:c>
      <x:c r="O436" s="215" t="str">
        <x:v>Medium</x:v>
      </x:c>
      <x:c r="P436" s="215" t="str">
        <x:v>No</x:v>
      </x:c>
      <x:c r="Q436" s="215" t="str"/>
      <x:c r="R436" s="215" t="str">
        <x:v>HYD-LK02</x:v>
      </x:c>
      <x:c r="S436" s="215" t="str">
        <x:v>APWEB-HYDR; FNA-HYDR; POWO-HYDR; LBJ-HAYS</x:v>
      </x:c>
      <x:c r="T436" s="215" t="str">
        <x:v>https://www.mobot.org/MOBOT/research/APweb/orders/cornalesweb.htm</x:v>
      </x:c>
      <x:c r="U436" s="215" t="str">
        <x:v>https://floranorthamerica.org/Hydrangeaceae</x:v>
      </x:c>
      <x:c r="V436" s="215" t="str">
        <x:v>https://powo.science.kew.org/taxon/urn:lsid:ipni.org:names:77126637-1/general-information</x:v>
      </x:c>
      <x:c r="W436" s="215" t="str">
        <x:v>https://www.mobot.org/MOBOT/research/APweb/orders/cornalesweb.htm
https://floranorthamerica.org/Hydrangeaceae
https://powo.science.kew.org/taxon/urn:lsid:ipni.org:names:77126637-1/general-information
https://www.wildflower.org/collections/collection.php?collection=hays</x:v>
      </x:c>
      <x:c r="X436" s="215" t="str">
        <x:v>No — retain qualifiers and exceptions</x:v>
      </x:c>
      <x:c r="Y436" s="215" t="str">
        <x:v>Yes</x:v>
      </x:c>
      <x:c r="Z436" s="215" t="str">
        <x:v>Source-backed draft</x:v>
      </x:c>
    </x:row>
    <x:row r="437" ht="42" customHeight="1">
      <x:c r="A437" s="215" t="str">
        <x:v>Hydrangeaceae</x:v>
      </x:c>
      <x:c r="B437" s="215" t="str">
        <x:v>HYD-INFLO</x:v>
      </x:c>
      <x:c r="C437" s="215" t="str">
        <x:v>Family-wide</x:v>
      </x:c>
      <x:c r="D437" s="215" t="str">
        <x:v>Inflorescence</x:v>
      </x:c>
      <x:c r="E437" s="215" t="str">
        <x:v>Flowers in cymes, panicles, racemes, corymbs, or occasionally solitary</x:v>
      </x:c>
      <x:c r="F437" s="215" t="str">
        <x:v>Supporting</x:v>
      </x:c>
      <x:c r="G437" s="215" t="str">
        <x:v>2</x:v>
      </x:c>
      <x:c r="H437" s="215" t="str">
        <x:v>High</x:v>
      </x:c>
      <x:c r="I437" s="215" t="str">
        <x:v>Naked eye</x:v>
      </x:c>
      <x:c r="J437" s="215" t="str">
        <x:v>Flowering</x:v>
      </x:c>
      <x:c r="K437" s="215" t="str">
        <x:v>Flower clusters are usually branched but highly variable.</x:v>
      </x:c>
      <x:c r="L437" s="215" t="str">
        <x:v>No single inflorescence architecture identifies the family.</x:v>
      </x:c>
      <x:c r="M437" s="215" t="str">
        <x:v>Use cluster type for genus routing after stronger reproductive characters.</x:v>
      </x:c>
      <x:c r="N437" s="215" t="str">
        <x:v>Relevant across Hays hydrangea-family routes.</x:v>
      </x:c>
      <x:c r="O437" s="215" t="str">
        <x:v>Low</x:v>
      </x:c>
      <x:c r="P437" s="215" t="str">
        <x:v>No</x:v>
      </x:c>
      <x:c r="Q437" s="215" t="str"/>
      <x:c r="R437" s="215" t="str">
        <x:v>HYD-LK01; HYD-LK02</x:v>
      </x:c>
      <x:c r="S437" s="215" t="str">
        <x:v>APWEB-HYDR; FNA-HYDR; POWO-HYDR; LBJ-HAYS</x:v>
      </x:c>
      <x:c r="T437" s="215" t="str">
        <x:v>https://www.mobot.org/MOBOT/research/APweb/orders/cornalesweb.htm</x:v>
      </x:c>
      <x:c r="U437" s="215" t="str">
        <x:v>https://floranorthamerica.org/Hydrangeaceae</x:v>
      </x:c>
      <x:c r="V437" s="215" t="str">
        <x:v>https://powo.science.kew.org/taxon/urn:lsid:ipni.org:names:77126637-1/general-information</x:v>
      </x:c>
      <x:c r="W437" s="215" t="str">
        <x:v>https://www.mobot.org/MOBOT/research/APweb/orders/cornalesweb.htm
https://floranorthamerica.org/Hydrangeaceae
https://powo.science.kew.org/taxon/urn:lsid:ipni.org:names:77126637-1/general-information
https://www.wildflower.org/collections/collection.php?collection=hays</x:v>
      </x:c>
      <x:c r="X437" s="215" t="str">
        <x:v>No — retain qualifiers and exceptions</x:v>
      </x:c>
      <x:c r="Y437" s="215" t="str">
        <x:v>Yes</x:v>
      </x:c>
      <x:c r="Z437" s="215" t="str">
        <x:v>Source-backed draft</x:v>
      </x:c>
    </x:row>
    <x:row r="438" ht="42" customHeight="1">
      <x:c r="A438" s="215" t="str">
        <x:v>Hydrangeaceae</x:v>
      </x:c>
      <x:c r="B438" s="215" t="str">
        <x:v>HYD-FLOWER</x:v>
      </x:c>
      <x:c r="C438" s="215" t="str">
        <x:v>Family-wide</x:v>
      </x:c>
      <x:c r="D438" s="215" t="str">
        <x:v>Flower</x:v>
      </x:c>
      <x:c r="E438" s="215" t="str">
        <x:v>Bisexual flowers radial; some clusters also have enlarged sterile marginal flowers</x:v>
      </x:c>
      <x:c r="F438" s="215" t="str">
        <x:v>Strong</x:v>
      </x:c>
      <x:c r="G438" s="215" t="str">
        <x:v>3</x:v>
      </x:c>
      <x:c r="H438" s="215" t="str">
        <x:v>High</x:v>
      </x:c>
      <x:c r="I438" s="215" t="str">
        <x:v>Naked eye or hand lens</x:v>
      </x:c>
      <x:c r="J438" s="215" t="str">
        <x:v>Fresh flowers</x:v>
      </x:c>
      <x:c r="K438" s="215" t="str">
        <x:v>Most fertile flowers are radial, while showy sterile flowers occur in some genera.</x:v>
      </x:c>
      <x:c r="L438" s="215" t="str">
        <x:v>Sterile marginal flowers are absent in many family members and should never be required.</x:v>
      </x:c>
      <x:c r="M438" s="215" t="str">
        <x:v>Use sterile flowers as a positive clue only; inspect fertile flowers for family evidence.</x:v>
      </x:c>
      <x:c r="N438" s="215" t="str">
        <x:v>Important because cultivated hydrangeas overemphasize a nonuniversal character.</x:v>
      </x:c>
      <x:c r="O438" s="215" t="str">
        <x:v>Low</x:v>
      </x:c>
      <x:c r="P438" s="215" t="str">
        <x:v>No</x:v>
      </x:c>
      <x:c r="Q438" s="215" t="str"/>
      <x:c r="R438" s="215" t="str">
        <x:v>HYD-LK01; HYD-LK02</x:v>
      </x:c>
      <x:c r="S438" s="215" t="str">
        <x:v>APWEB-HYDR; FNA-HYDR; POWO-HYDR; LBJ-HAYS</x:v>
      </x:c>
      <x:c r="T438" s="215" t="str">
        <x:v>https://www.mobot.org/MOBOT/research/APweb/orders/cornalesweb.htm</x:v>
      </x:c>
      <x:c r="U438" s="215" t="str">
        <x:v>https://floranorthamerica.org/Hydrangeaceae</x:v>
      </x:c>
      <x:c r="V438" s="215" t="str">
        <x:v>https://powo.science.kew.org/taxon/urn:lsid:ipni.org:names:77126637-1/general-information</x:v>
      </x:c>
      <x:c r="W438" s="215" t="str">
        <x:v>https://www.mobot.org/MOBOT/research/APweb/orders/cornalesweb.htm
https://floranorthamerica.org/Hydrangeaceae
https://powo.science.kew.org/taxon/urn:lsid:ipni.org:names:77126637-1/general-information
https://www.wildflower.org/collections/collection.php?collection=hays</x:v>
      </x:c>
      <x:c r="X438" s="215" t="str">
        <x:v>No — retain qualifiers and exceptions</x:v>
      </x:c>
      <x:c r="Y438" s="215" t="str">
        <x:v>Yes</x:v>
      </x:c>
      <x:c r="Z438" s="215" t="str">
        <x:v>Source-backed draft</x:v>
      </x:c>
    </x:row>
    <x:row r="439" ht="42" customHeight="1">
      <x:c r="A439" s="215" t="str">
        <x:v>Hydrangeaceae</x:v>
      </x:c>
      <x:c r="B439" s="215" t="str">
        <x:v>HYD-MEROSITY</x:v>
      </x:c>
      <x:c r="C439" s="215" t="str">
        <x:v>Family-wide, variable</x:v>
      </x:c>
      <x:c r="D439" s="215" t="str">
        <x:v>Flower</x:v>
      </x:c>
      <x:c r="E439" s="215" t="str">
        <x:v>Sepals and petals usually 4–12</x:v>
      </x:c>
      <x:c r="F439" s="215" t="str">
        <x:v>Supporting</x:v>
      </x:c>
      <x:c r="G439" s="215" t="str">
        <x:v>2</x:v>
      </x:c>
      <x:c r="H439" s="215" t="str">
        <x:v>High</x:v>
      </x:c>
      <x:c r="I439" s="215" t="str">
        <x:v>Hand lens</x:v>
      </x:c>
      <x:c r="J439" s="215" t="str">
        <x:v>Fresh flowers</x:v>
      </x:c>
      <x:c r="K439" s="215" t="str">
        <x:v>Flower parts occur in several-numbered whorls, commonly four or five in local routes.</x:v>
      </x:c>
      <x:c r="L439" s="215" t="str">
        <x:v>Counts vary widely and petals may be basally joined.</x:v>
      </x:c>
      <x:c r="M439" s="215" t="str">
        <x:v>Use only with stamen, ovary, and fruit characters.</x:v>
      </x:c>
      <x:c r="N439" s="215" t="str">
        <x:v>Useful for local genus routing but not diagnostic alone.</x:v>
      </x:c>
      <x:c r="O439" s="215" t="str">
        <x:v>Low</x:v>
      </x:c>
      <x:c r="P439" s="215" t="str">
        <x:v>No</x:v>
      </x:c>
      <x:c r="Q439" s="215" t="str"/>
      <x:c r="R439" s="215" t="str">
        <x:v>HYD-LK02</x:v>
      </x:c>
      <x:c r="S439" s="215" t="str">
        <x:v>APWEB-HYDR; FNA-HYDR; POWO-HYDR; LBJ-HAYS</x:v>
      </x:c>
      <x:c r="T439" s="215" t="str">
        <x:v>https://www.mobot.org/MOBOT/research/APweb/orders/cornalesweb.htm</x:v>
      </x:c>
      <x:c r="U439" s="215" t="str">
        <x:v>https://floranorthamerica.org/Hydrangeaceae</x:v>
      </x:c>
      <x:c r="V439" s="215" t="str">
        <x:v>https://powo.science.kew.org/taxon/urn:lsid:ipni.org:names:77126637-1/general-information</x:v>
      </x:c>
      <x:c r="W439" s="215" t="str">
        <x:v>https://www.mobot.org/MOBOT/research/APweb/orders/cornalesweb.htm
https://floranorthamerica.org/Hydrangeaceae
https://powo.science.kew.org/taxon/urn:lsid:ipni.org:names:77126637-1/general-information
https://www.wildflower.org/collections/collection.php?collection=hays</x:v>
      </x:c>
      <x:c r="X439" s="215" t="str">
        <x:v>No — retain qualifiers and exceptions</x:v>
      </x:c>
      <x:c r="Y439" s="215" t="str">
        <x:v>Yes</x:v>
      </x:c>
      <x:c r="Z439" s="215" t="str">
        <x:v>Source-backed draft</x:v>
      </x:c>
    </x:row>
    <x:row r="440" ht="42" customHeight="1">
      <x:c r="A440" s="215" t="str">
        <x:v>Hydrangeaceae</x:v>
      </x:c>
      <x:c r="B440" s="215" t="str">
        <x:v>HYD-STAMENS</x:v>
      </x:c>
      <x:c r="C440" s="215" t="str">
        <x:v>Family-wide, variable</x:v>
      </x:c>
      <x:c r="D440" s="215" t="str">
        <x:v>Androecium</x:v>
      </x:c>
      <x:c r="E440" s="215" t="str">
        <x:v>Stamens 8–200, often more numerous than petals</x:v>
      </x:c>
      <x:c r="F440" s="215" t="str">
        <x:v>Strong</x:v>
      </x:c>
      <x:c r="G440" s="215" t="str">
        <x:v>4</x:v>
      </x:c>
      <x:c r="H440" s="215" t="str">
        <x:v>High</x:v>
      </x:c>
      <x:c r="I440" s="215" t="str">
        <x:v>Hand lens</x:v>
      </x:c>
      <x:c r="J440" s="215" t="str">
        <x:v>Fresh flowers</x:v>
      </x:c>
      <x:c r="K440" s="215" t="str">
        <x:v>Many members have two or more stamens per petal, and some have dozens.</x:v>
      </x:c>
      <x:c r="L440" s="215" t="str">
        <x:v>Several lineages have only 8–12 stamens, so extreme abundance is not universal.</x:v>
      </x:c>
      <x:c r="M440" s="215" t="str">
        <x:v>Stamen count is highly useful against four- or five-stamen woody lookalikes.</x:v>
      </x:c>
      <x:c r="N440" s="215" t="str">
        <x:v>Especially helpful against Cornaceae and Viburnaceae in Hays.</x:v>
      </x:c>
      <x:c r="O440" s="215" t="str">
        <x:v>Low</x:v>
      </x:c>
      <x:c r="P440" s="215" t="str">
        <x:v>No</x:v>
      </x:c>
      <x:c r="Q440" s="215" t="str"/>
      <x:c r="R440" s="215" t="str">
        <x:v>HYD-LK01; HYD-LK02</x:v>
      </x:c>
      <x:c r="S440" s="215" t="str">
        <x:v>APWEB-HYDR; FNA-HYDR; POWO-HYDR; LBJ-HAYS</x:v>
      </x:c>
      <x:c r="T440" s="215" t="str">
        <x:v>https://www.mobot.org/MOBOT/research/APweb/orders/cornalesweb.htm</x:v>
      </x:c>
      <x:c r="U440" s="215" t="str">
        <x:v>https://floranorthamerica.org/Hydrangeaceae</x:v>
      </x:c>
      <x:c r="V440" s="215" t="str">
        <x:v>https://powo.science.kew.org/taxon/urn:lsid:ipni.org:names:77126637-1/general-information</x:v>
      </x:c>
      <x:c r="W440" s="215" t="str">
        <x:v>https://www.mobot.org/MOBOT/research/APweb/orders/cornalesweb.htm
https://floranorthamerica.org/Hydrangeaceae
https://powo.science.kew.org/taxon/urn:lsid:ipni.org:names:77126637-1/general-information
https://www.wildflower.org/collections/collection.php?collection=hays</x:v>
      </x:c>
      <x:c r="X440" s="215" t="str">
        <x:v>No — retain qualifiers and exceptions</x:v>
      </x:c>
      <x:c r="Y440" s="215" t="str">
        <x:v>Yes</x:v>
      </x:c>
      <x:c r="Z440" s="215" t="str">
        <x:v>Source-backed draft</x:v>
      </x:c>
    </x:row>
    <x:row r="441" ht="42" customHeight="1">
      <x:c r="A441" s="215" t="str">
        <x:v>Hydrangeaceae</x:v>
      </x:c>
      <x:c r="B441" s="215" t="str">
        <x:v>HYD-OVARY</x:v>
      </x:c>
      <x:c r="C441" s="215" t="str">
        <x:v>Family-wide, highly variable</x:v>
      </x:c>
      <x:c r="D441" s="215" t="str">
        <x:v>Gynoecium</x:v>
      </x:c>
      <x:c r="E441" s="215" t="str">
        <x:v>Ovary ranges from nearly superior to completely inferior</x:v>
      </x:c>
      <x:c r="F441" s="215" t="str">
        <x:v>Caution</x:v>
      </x:c>
      <x:c r="G441" s="215" t="str">
        <x:v>1</x:v>
      </x:c>
      <x:c r="H441" s="215" t="str">
        <x:v>High</x:v>
      </x:c>
      <x:c r="I441" s="215" t="str">
        <x:v>Hand lens or side view</x:v>
      </x:c>
      <x:c r="J441" s="215" t="str">
        <x:v>Flowering or young fruit</x:v>
      </x:c>
      <x:c r="K441" s="215" t="str">
        <x:v>Ovary position varies markedly within the family.</x:v>
      </x:c>
      <x:c r="L441" s="215" t="str">
        <x:v>Because the hypanthium may be free distally or fully adnate, ovary position cannot serve as a universal family rule.</x:v>
      </x:c>
      <x:c r="M441" s="215" t="str">
        <x:v>Record the observed state for genus routing but never reject the family on position alone.</x:v>
      </x:c>
      <x:c r="N441" s="215" t="str">
        <x:v>Important caution for Hays family identification.</x:v>
      </x:c>
      <x:c r="O441" s="215" t="str">
        <x:v>Low</x:v>
      </x:c>
      <x:c r="P441" s="215" t="str">
        <x:v>No</x:v>
      </x:c>
      <x:c r="Q441" s="215" t="str"/>
      <x:c r="R441" s="215" t="str">
        <x:v>HYD-LK01; HYD-LK02</x:v>
      </x:c>
      <x:c r="S441" s="215" t="str">
        <x:v>APWEB-HYDR; FNA-HYDR; POWO-HYDR; LBJ-HAYS</x:v>
      </x:c>
      <x:c r="T441" s="215" t="str">
        <x:v>https://www.mobot.org/MOBOT/research/APweb/orders/cornalesweb.htm</x:v>
      </x:c>
      <x:c r="U441" s="215" t="str">
        <x:v>https://floranorthamerica.org/Hydrangeaceae</x:v>
      </x:c>
      <x:c r="V441" s="215" t="str">
        <x:v>https://powo.science.kew.org/taxon/urn:lsid:ipni.org:names:77126637-1/general-information</x:v>
      </x:c>
      <x:c r="W441" s="215" t="str">
        <x:v>https://www.mobot.org/MOBOT/research/APweb/orders/cornalesweb.htm
https://floranorthamerica.org/Hydrangeaceae
https://powo.science.kew.org/taxon/urn:lsid:ipni.org:names:77126637-1/general-information
https://www.wildflower.org/collections/collection.php?collection=hays</x:v>
      </x:c>
      <x:c r="X441" s="215" t="str">
        <x:v>No — retain qualifiers and exceptions</x:v>
      </x:c>
      <x:c r="Y441" s="215" t="str">
        <x:v>Yes</x:v>
      </x:c>
      <x:c r="Z441" s="215" t="str">
        <x:v>Source-backed draft</x:v>
      </x:c>
    </x:row>
    <x:row r="442" ht="42" customHeight="1">
      <x:c r="A442" s="215" t="str">
        <x:v>Hydrangeaceae</x:v>
      </x:c>
      <x:c r="B442" s="215" t="str">
        <x:v>HYD-FRUIT</x:v>
      </x:c>
      <x:c r="C442" s="215" t="str">
        <x:v>Family-wide, predominant</x:v>
      </x:c>
      <x:c r="D442" s="215" t="str">
        <x:v>Fruit</x:v>
      </x:c>
      <x:c r="E442" s="215" t="str">
        <x:v>Fruit usually a capsule; berries occur in some lineages</x:v>
      </x:c>
      <x:c r="F442" s="215" t="str">
        <x:v>Core</x:v>
      </x:c>
      <x:c r="G442" s="215" t="str">
        <x:v>4</x:v>
      </x:c>
      <x:c r="H442" s="215" t="str">
        <x:v>High</x:v>
      </x:c>
      <x:c r="I442" s="215" t="str">
        <x:v>Hand lens</x:v>
      </x:c>
      <x:c r="J442" s="215" t="str">
        <x:v>Mature fruit</x:v>
      </x:c>
      <x:c r="K442" s="215" t="str">
        <x:v>Most North American members form a dry capsule opening in one of several ways.</x:v>
      </x:c>
      <x:c r="L442" s="215" t="str">
        <x:v>Berry fruits occur and capsule opening pattern varies.</x:v>
      </x:c>
      <x:c r="M442" s="215" t="str">
        <x:v>Mature capsule plus numerous ovules or seeds supports the family.</x:v>
      </x:c>
      <x:c r="N442" s="215" t="str">
        <x:v>Useful for Hays Fendlera- and Philadelphus-type routes.</x:v>
      </x:c>
      <x:c r="O442" s="215" t="str">
        <x:v>Low</x:v>
      </x:c>
      <x:c r="P442" s="215" t="str">
        <x:v>No</x:v>
      </x:c>
      <x:c r="Q442" s="215" t="str"/>
      <x:c r="R442" s="215" t="str">
        <x:v>HYD-LK01; HYD-LK02</x:v>
      </x:c>
      <x:c r="S442" s="215" t="str">
        <x:v>APWEB-HYDR; FNA-HYDR; POWO-HYDR; LBJ-HAYS</x:v>
      </x:c>
      <x:c r="T442" s="215" t="str">
        <x:v>https://www.mobot.org/MOBOT/research/APweb/orders/cornalesweb.htm</x:v>
      </x:c>
      <x:c r="U442" s="215" t="str">
        <x:v>https://floranorthamerica.org/Hydrangeaceae</x:v>
      </x:c>
      <x:c r="V442" s="215" t="str">
        <x:v>https://powo.science.kew.org/taxon/urn:lsid:ipni.org:names:77126637-1/general-information</x:v>
      </x:c>
      <x:c r="W442" s="215" t="str">
        <x:v>https://www.mobot.org/MOBOT/research/APweb/orders/cornalesweb.htm
https://floranorthamerica.org/Hydrangeaceae
https://powo.science.kew.org/taxon/urn:lsid:ipni.org:names:77126637-1/general-information
https://www.wildflower.org/collections/collection.php?collection=hays</x:v>
      </x:c>
      <x:c r="X442" s="215" t="str">
        <x:v>No — retain qualifiers and exceptions</x:v>
      </x:c>
      <x:c r="Y442" s="215" t="str">
        <x:v>Yes</x:v>
      </x:c>
      <x:c r="Z442" s="215" t="str">
        <x:v>Source-backed draft</x:v>
      </x:c>
    </x:row>
    <x:row r="443" ht="42" customHeight="1">
      <x:c r="A443" s="215" t="str">
        <x:v>Hydrangeaceae</x:v>
      </x:c>
      <x:c r="B443" s="215" t="str">
        <x:v>HYD-LK01</x:v>
      </x:c>
      <x:c r="C443" s="215" t="str">
        <x:v>Lookalike comparison</x:v>
      </x:c>
      <x:c r="D443" s="215" t="str">
        <x:v>Lookalike</x:v>
      </x:c>
      <x:c r="E443" s="215" t="str">
        <x:v>Versus Viburnaceae: numerous stamens and capsular fruit favor Hydrangeaceae; five stamens and fleshy drupes/berries favor Viburnaceae</x:v>
      </x:c>
      <x:c r="F443" s="215" t="str">
        <x:v>Lookalike</x:v>
      </x:c>
      <x:c r="G443" s="215" t="str">
        <x:v>5</x:v>
      </x:c>
      <x:c r="H443" s="215" t="str">
        <x:v>High</x:v>
      </x:c>
      <x:c r="I443" s="215" t="str">
        <x:v>Hand lens</x:v>
      </x:c>
      <x:c r="J443" s="215" t="str">
        <x:v>Flowering through fruiting</x:v>
      </x:c>
      <x:c r="K443" s="215" t="str">
        <x:v>The two share opposite leaves and clustered flowers but differ strongly in typical stamen number and mature fruit.</x:v>
      </x:c>
      <x:c r="L443" s="215" t="str">
        <x:v>Some Hydrangeaceae have only eight stamens, and immature fruits may mislead.</x:v>
      </x:c>
      <x:c r="M443" s="215" t="str">
        <x:v>Use fertile flowers and mature fruit together.</x:v>
      </x:c>
      <x:c r="N443" s="215" t="str">
        <x:v>Viburnaceae already has first-pass reciprocal coverage.</x:v>
      </x:c>
      <x:c r="O443" s="215" t="str">
        <x:v>Low</x:v>
      </x:c>
      <x:c r="P443" s="215" t="str">
        <x:v>No</x:v>
      </x:c>
      <x:c r="Q443" s="215" t="str"/>
      <x:c r="R443" s="215" t="str">
        <x:v>HYD-STAMENS; HYD-FRUIT</x:v>
      </x:c>
      <x:c r="S443" s="215" t="str">
        <x:v>APWEB-HYDR; FNA-HYDR; POWO-HYDR; LBJ-HAYS</x:v>
      </x:c>
      <x:c r="T443" s="215" t="str">
        <x:v>https://www.mobot.org/MOBOT/research/APweb/orders/cornalesweb.htm</x:v>
      </x:c>
      <x:c r="U443" s="215" t="str">
        <x:v>https://floranorthamerica.org/Hydrangeaceae</x:v>
      </x:c>
      <x:c r="V443" s="215" t="str">
        <x:v>https://powo.science.kew.org/taxon/urn:lsid:ipni.org:names:77126637-1/general-information</x:v>
      </x:c>
      <x:c r="W443" s="215" t="str">
        <x:v>https://www.mobot.org/MOBOT/research/APweb/orders/cornalesweb.htm
https://floranorthamerica.org/Hydrangeaceae
https://powo.science.kew.org/taxon/urn:lsid:ipni.org:names:77126637-1/general-information
https://www.wildflower.org/collections/collection.php?collection=hays</x:v>
      </x:c>
      <x:c r="X443" s="215" t="str">
        <x:v>No — retain qualifiers and exceptions</x:v>
      </x:c>
      <x:c r="Y443" s="215" t="str">
        <x:v>Yes</x:v>
      </x:c>
      <x:c r="Z443" s="215" t="str">
        <x:v>Source-backed draft</x:v>
      </x:c>
    </x:row>
    <x:row r="444" ht="42" customHeight="1">
      <x:c r="A444" s="215" t="str">
        <x:v>Hydrangeaceae</x:v>
      </x:c>
      <x:c r="B444" s="215" t="str">
        <x:v>HYD-LK02</x:v>
      </x:c>
      <x:c r="C444" s="215" t="str">
        <x:v>Lookalike comparison</x:v>
      </x:c>
      <x:c r="D444" s="215" t="str">
        <x:v>Lookalike</x:v>
      </x:c>
      <x:c r="E444" s="215" t="str">
        <x:v>Versus Cornaceae: more numerous stamens and capsules favor Hydrangeaceae; four stamens and drupes favor Cornaceae</x:v>
      </x:c>
      <x:c r="F444" s="215" t="str">
        <x:v>Lookalike</x:v>
      </x:c>
      <x:c r="G444" s="215" t="str">
        <x:v>5</x:v>
      </x:c>
      <x:c r="H444" s="215" t="str">
        <x:v>High</x:v>
      </x:c>
      <x:c r="I444" s="215" t="str">
        <x:v>Hand lens</x:v>
      </x:c>
      <x:c r="J444" s="215" t="str">
        <x:v>Flowering or fruiting</x:v>
      </x:c>
      <x:c r="K444" s="215" t="str">
        <x:v>Both can have opposite simple leaves, but their fertile flowers and fruits separate them.</x:v>
      </x:c>
      <x:c r="L444" s="215" t="str">
        <x:v>Sterile shoots may remain unresolved.</x:v>
      </x:c>
      <x:c r="M444" s="215" t="str">
        <x:v>Use stamen count, corolla construction, and mature fruit.</x:v>
      </x:c>
      <x:c r="N444" s="215" t="str">
        <x:v>Cornaceae is completed in this same batch.</x:v>
      </x:c>
      <x:c r="O444" s="215" t="str">
        <x:v>Low</x:v>
      </x:c>
      <x:c r="P444" s="215" t="str">
        <x:v>No</x:v>
      </x:c>
      <x:c r="Q444" s="215" t="str"/>
      <x:c r="R444" s="215" t="str">
        <x:v>HYD-STAMENS; HYD-FRUIT</x:v>
      </x:c>
      <x:c r="S444" s="215" t="str">
        <x:v>APWEB-HYDR; FNA-HYDR; POWO-HYDR; LBJ-HAYS</x:v>
      </x:c>
      <x:c r="T444" s="215" t="str">
        <x:v>https://www.mobot.org/MOBOT/research/APweb/orders/cornalesweb.htm</x:v>
      </x:c>
      <x:c r="U444" s="215" t="str">
        <x:v>https://floranorthamerica.org/Hydrangeaceae</x:v>
      </x:c>
      <x:c r="V444" s="215" t="str">
        <x:v>https://powo.science.kew.org/taxon/urn:lsid:ipni.org:names:77126637-1/general-information</x:v>
      </x:c>
      <x:c r="W444" s="215" t="str">
        <x:v>https://www.mobot.org/MOBOT/research/APweb/orders/cornalesweb.htm
https://floranorthamerica.org/Hydrangeaceae
https://powo.science.kew.org/taxon/urn:lsid:ipni.org:names:77126637-1/general-information
https://www.wildflower.org/collections/collection.php?collection=hays</x:v>
      </x:c>
      <x:c r="X444" s="215" t="str">
        <x:v>No — retain qualifiers and exceptions</x:v>
      </x:c>
      <x:c r="Y444" s="215" t="str">
        <x:v>Yes</x:v>
      </x:c>
      <x:c r="Z444" s="215" t="str">
        <x:v>Source-backed draft</x:v>
      </x:c>
    </x:row>
    <x:row r="445" ht="42" customHeight="1">
      <x:c r="A445" s="215" t="str">
        <x:v>Primulaceae</x:v>
      </x:c>
      <x:c r="B445" s="215" t="str">
        <x:v>PRI-HABIT</x:v>
      </x:c>
      <x:c r="C445" s="215" t="str">
        <x:v>Current broad family</x:v>
      </x:c>
      <x:c r="D445" s="215" t="str">
        <x:v>Habit</x:v>
      </x:c>
      <x:c r="E445" s="215" t="str">
        <x:v>Herbs, shrubs, or trees; local routes include both herbaceous and woody members</x:v>
      </x:c>
      <x:c r="F445" s="215" t="str">
        <x:v>Supporting</x:v>
      </x:c>
      <x:c r="G445" s="215" t="str">
        <x:v>1</x:v>
      </x:c>
      <x:c r="H445" s="215" t="str">
        <x:v>High</x:v>
      </x:c>
      <x:c r="I445" s="215" t="str">
        <x:v>Naked eye</x:v>
      </x:c>
      <x:c r="J445" s="215" t="str">
        <x:v>Any season</x:v>
      </x:c>
      <x:c r="K445" s="215" t="str">
        <x:v>Current Primulaceae is broader than the traditional primrose-only concept.</x:v>
      </x:c>
      <x:c r="L445" s="215" t="str">
        <x:v>The FNA family page describes the traditional herbaceous Primulaceae and does not cover all former Myrsinaceae.</x:v>
      </x:c>
      <x:c r="M445" s="215" t="str">
        <x:v>Do not use habit as a family requirement.</x:v>
      </x:c>
      <x:c r="N445" s="215" t="str">
        <x:v>Hays routes may include Samolus-, Lysimachia-, and woody myrsinoid-type members depending on accepted circumscription.</x:v>
      </x:c>
      <x:c r="O445" s="215" t="str">
        <x:v>Medium</x:v>
      </x:c>
      <x:c r="P445" s="215" t="str">
        <x:v>No</x:v>
      </x:c>
      <x:c r="Q445" s="215" t="str"/>
      <x:c r="R445" s="215" t="str">
        <x:v>PRI-LK01; PRI-LK02</x:v>
      </x:c>
      <x:c r="S445" s="215" t="str">
        <x:v>APWEB-PRIM; FNA-PRIM; POWO-PRIM; LBJ-HAYS</x:v>
      </x:c>
      <x:c r="T445" s="215" t="str">
        <x:v>https://www.mobot.org/MOBOT/research/APweb/orders/ericalesweb.htm</x:v>
      </x:c>
      <x:c r="U445" s="215" t="str">
        <x:v>https://floranorthamerica.org/Primulaceae</x:v>
      </x:c>
      <x:c r="V445" s="215" t="str">
        <x:v>https://powo.science.kew.org/taxon/urn:lsid:ipni.org:names:77126675-1/general-information</x:v>
      </x:c>
      <x:c r="W445" s="215" t="str">
        <x:v>https://www.mobot.org/MOBOT/research/APweb/orders/ericalesweb.htm
https://floranorthamerica.org/Primulaceae
https://powo.science.kew.org/taxon/urn:lsid:ipni.org:names:77126675-1/general-information
https://www.wildflower.org/collections/collection.php?collection=hays</x:v>
      </x:c>
      <x:c r="X445" s="215" t="str">
        <x:v>No — retain qualifiers and exceptions</x:v>
      </x:c>
      <x:c r="Y445" s="215" t="str">
        <x:v>Yes</x:v>
      </x:c>
      <x:c r="Z445" s="215" t="str">
        <x:v>Source-backed draft</x:v>
      </x:c>
    </x:row>
    <x:row r="446" ht="42" customHeight="1">
      <x:c r="A446" s="215" t="str">
        <x:v>Primulaceae</x:v>
      </x:c>
      <x:c r="B446" s="215" t="str">
        <x:v>PRI-LEAVES</x:v>
      </x:c>
      <x:c r="C446" s="215" t="str">
        <x:v>Family-wide, variable</x:v>
      </x:c>
      <x:c r="D446" s="215" t="str">
        <x:v>Leaf</x:v>
      </x:c>
      <x:c r="E446" s="215" t="str">
        <x:v>Leaves simple, without stipules, arranged basal, alternate, opposite, or whorled</x:v>
      </x:c>
      <x:c r="F446" s="215" t="str">
        <x:v>Supporting</x:v>
      </x:c>
      <x:c r="G446" s="215" t="str">
        <x:v>2</x:v>
      </x:c>
      <x:c r="H446" s="215" t="str">
        <x:v>High</x:v>
      </x:c>
      <x:c r="I446" s="215" t="str">
        <x:v>Naked eye</x:v>
      </x:c>
      <x:c r="J446" s="215" t="str">
        <x:v>Vegetative</x:v>
      </x:c>
      <x:c r="K446" s="215" t="str">
        <x:v>Leaves are generally simple and stipule-free, but their arrangement varies.</x:v>
      </x:c>
      <x:c r="L446" s="215" t="str">
        <x:v>Aquatic and woody lineages broaden the range of leaf forms.</x:v>
      </x:c>
      <x:c r="M446" s="215" t="str">
        <x:v>Use only with flower and ovary characters.</x:v>
      </x:c>
      <x:c r="N446" s="215" t="str">
        <x:v>Caution is important across the varied Hays routes.</x:v>
      </x:c>
      <x:c r="O446" s="215" t="str">
        <x:v>Low</x:v>
      </x:c>
      <x:c r="P446" s="215" t="str">
        <x:v>No</x:v>
      </x:c>
      <x:c r="Q446" s="215" t="str"/>
      <x:c r="R446" s="215" t="str">
        <x:v>PRI-LK01; PRI-LK02</x:v>
      </x:c>
      <x:c r="S446" s="215" t="str">
        <x:v>APWEB-PRIM; FNA-PRIM; POWO-PRIM; LBJ-HAYS</x:v>
      </x:c>
      <x:c r="T446" s="215" t="str">
        <x:v>https://www.mobot.org/MOBOT/research/APweb/orders/ericalesweb.htm</x:v>
      </x:c>
      <x:c r="U446" s="215" t="str">
        <x:v>https://floranorthamerica.org/Primulaceae</x:v>
      </x:c>
      <x:c r="V446" s="215" t="str">
        <x:v>https://powo.science.kew.org/taxon/urn:lsid:ipni.org:names:77126675-1/general-information</x:v>
      </x:c>
      <x:c r="W446" s="215" t="str">
        <x:v>https://www.mobot.org/MOBOT/research/APweb/orders/ericalesweb.htm
https://floranorthamerica.org/Primulaceae
https://powo.science.kew.org/taxon/urn:lsid:ipni.org:names:77126675-1/general-information
https://www.wildflower.org/collections/collection.php?collection=hays</x:v>
      </x:c>
      <x:c r="X446" s="215" t="str">
        <x:v>No — retain qualifiers and exceptions</x:v>
      </x:c>
      <x:c r="Y446" s="215" t="str">
        <x:v>Yes</x:v>
      </x:c>
      <x:c r="Z446" s="215" t="str">
        <x:v>Source-backed draft</x:v>
      </x:c>
    </x:row>
    <x:row r="447" ht="42" customHeight="1">
      <x:c r="A447" s="215" t="str">
        <x:v>Primulaceae</x:v>
      </x:c>
      <x:c r="B447" s="215" t="str">
        <x:v>PRI-FLOWER</x:v>
      </x:c>
      <x:c r="C447" s="215" t="str">
        <x:v>Family-wide, predominant</x:v>
      </x:c>
      <x:c r="D447" s="215" t="str">
        <x:v>Flower</x:v>
      </x:c>
      <x:c r="E447" s="215" t="str">
        <x:v>Flowers usually radial and 4- or 5-merous, often with a fused corolla</x:v>
      </x:c>
      <x:c r="F447" s="215" t="str">
        <x:v>Strong</x:v>
      </x:c>
      <x:c r="G447" s="215" t="str">
        <x:v>4</x:v>
      </x:c>
      <x:c r="H447" s="215" t="str">
        <x:v>High</x:v>
      </x:c>
      <x:c r="I447" s="215" t="str">
        <x:v>Hand lens</x:v>
      </x:c>
      <x:c r="J447" s="215" t="str">
        <x:v>Fresh flowers</x:v>
      </x:c>
      <x:c r="K447" s="215" t="str">
        <x:v>Most flowers have four or five joined petals forming a tube or wheel.</x:v>
      </x:c>
      <x:c r="L447" s="215" t="str">
        <x:v>Some broad-family lineages have reduced or differently constructed flowers.</x:v>
      </x:c>
      <x:c r="M447" s="215" t="str">
        <x:v>Pair with opposite-petal stamens and free-central placentation.</x:v>
      </x:c>
      <x:c r="N447" s="215" t="str">
        <x:v>Useful on flowering local herbs and woody members.</x:v>
      </x:c>
      <x:c r="O447" s="215" t="str">
        <x:v>Medium</x:v>
      </x:c>
      <x:c r="P447" s="215" t="str">
        <x:v>No</x:v>
      </x:c>
      <x:c r="Q447" s="215" t="str"/>
      <x:c r="R447" s="215" t="str">
        <x:v>PRI-LK01; PRI-LK02</x:v>
      </x:c>
      <x:c r="S447" s="215" t="str">
        <x:v>APWEB-PRIM; FNA-PRIM; POWO-PRIM; LBJ-HAYS</x:v>
      </x:c>
      <x:c r="T447" s="215" t="str">
        <x:v>https://www.mobot.org/MOBOT/research/APweb/orders/ericalesweb.htm</x:v>
      </x:c>
      <x:c r="U447" s="215" t="str">
        <x:v>https://floranorthamerica.org/Primulaceae</x:v>
      </x:c>
      <x:c r="V447" s="215" t="str">
        <x:v>https://powo.science.kew.org/taxon/urn:lsid:ipni.org:names:77126675-1/general-information</x:v>
      </x:c>
      <x:c r="W447" s="215" t="str">
        <x:v>https://www.mobot.org/MOBOT/research/APweb/orders/ericalesweb.htm
https://floranorthamerica.org/Primulaceae
https://powo.science.kew.org/taxon/urn:lsid:ipni.org:names:77126675-1/general-information
https://www.wildflower.org/collections/collection.php?collection=hays</x:v>
      </x:c>
      <x:c r="X447" s="215" t="str">
        <x:v>No — retain qualifiers and exceptions</x:v>
      </x:c>
      <x:c r="Y447" s="215" t="str">
        <x:v>Yes</x:v>
      </x:c>
      <x:c r="Z447" s="215" t="str">
        <x:v>Source-backed draft</x:v>
      </x:c>
    </x:row>
    <x:row r="448" ht="42" customHeight="1">
      <x:c r="A448" s="215" t="str">
        <x:v>Primulaceae</x:v>
      </x:c>
      <x:c r="B448" s="215" t="str">
        <x:v>PRI-STAMENS</x:v>
      </x:c>
      <x:c r="C448" s="215" t="str">
        <x:v>Family-wide, predominant</x:v>
      </x:c>
      <x:c r="D448" s="215" t="str">
        <x:v>Androecium</x:v>
      </x:c>
      <x:c r="E448" s="215" t="str">
        <x:v>Stamens usually opposite corolla lobes and attached to the corolla</x:v>
      </x:c>
      <x:c r="F448" s="215" t="str">
        <x:v>Core</x:v>
      </x:c>
      <x:c r="G448" s="215" t="str">
        <x:v>5</x:v>
      </x:c>
      <x:c r="H448" s="215" t="str">
        <x:v>High</x:v>
      </x:c>
      <x:c r="I448" s="215" t="str">
        <x:v>Hand lens</x:v>
      </x:c>
      <x:c r="J448" s="215" t="str">
        <x:v>Fresh flowers</x:v>
      </x:c>
      <x:c r="K448" s="215" t="str">
        <x:v>Each stamen commonly faces a corolla lobe rather than alternating with it.</x:v>
      </x:c>
      <x:c r="L448" s="215" t="str">
        <x:v>Counts or fertility may be reduced in some lineages.</x:v>
      </x:c>
      <x:c r="M448" s="215" t="str">
        <x:v>A high-value character, but Plumbaginaceae can share the alignment.</x:v>
      </x:c>
      <x:c r="N448" s="215" t="str">
        <x:v>Strongly useful for Hays Primulaceae when paired with ovary and fruit.</x:v>
      </x:c>
      <x:c r="O448" s="215" t="str">
        <x:v>Low</x:v>
      </x:c>
      <x:c r="P448" s="215" t="str">
        <x:v>No</x:v>
      </x:c>
      <x:c r="Q448" s="215" t="str"/>
      <x:c r="R448" s="215" t="str">
        <x:v>PRI-LK01; PRI-LK02</x:v>
      </x:c>
      <x:c r="S448" s="215" t="str">
        <x:v>APWEB-PRIM; FNA-PRIM; POWO-PRIM; LBJ-HAYS</x:v>
      </x:c>
      <x:c r="T448" s="215" t="str">
        <x:v>https://www.mobot.org/MOBOT/research/APweb/orders/ericalesweb.htm</x:v>
      </x:c>
      <x:c r="U448" s="215" t="str">
        <x:v>https://floranorthamerica.org/Primulaceae</x:v>
      </x:c>
      <x:c r="V448" s="215" t="str">
        <x:v>https://powo.science.kew.org/taxon/urn:lsid:ipni.org:names:77126675-1/general-information</x:v>
      </x:c>
      <x:c r="W448" s="215" t="str">
        <x:v>https://www.mobot.org/MOBOT/research/APweb/orders/ericalesweb.htm
https://floranorthamerica.org/Primulaceae
https://powo.science.kew.org/taxon/urn:lsid:ipni.org:names:77126675-1/general-information
https://www.wildflower.org/collections/collection.php?collection=hays</x:v>
      </x:c>
      <x:c r="X448" s="215" t="str">
        <x:v>No — retain qualifiers and exceptions</x:v>
      </x:c>
      <x:c r="Y448" s="215" t="str">
        <x:v>Yes</x:v>
      </x:c>
      <x:c r="Z448" s="215" t="str">
        <x:v>Source-backed draft</x:v>
      </x:c>
    </x:row>
    <x:row r="449" ht="42" customHeight="1">
      <x:c r="A449" s="215" t="str">
        <x:v>Primulaceae</x:v>
      </x:c>
      <x:c r="B449" s="215" t="str">
        <x:v>PRI-OVARY</x:v>
      </x:c>
      <x:c r="C449" s="215" t="str">
        <x:v>Family-wide, predominant</x:v>
      </x:c>
      <x:c r="D449" s="215" t="str">
        <x:v>Gynoecium</x:v>
      </x:c>
      <x:c r="E449" s="215" t="str">
        <x:v>Ovary superior, usually one-locular</x:v>
      </x:c>
      <x:c r="F449" s="215" t="str">
        <x:v>Core</x:v>
      </x:c>
      <x:c r="G449" s="215" t="str">
        <x:v>5</x:v>
      </x:c>
      <x:c r="H449" s="215" t="str">
        <x:v>High</x:v>
      </x:c>
      <x:c r="I449" s="215" t="str">
        <x:v>Hand lens or dissection</x:v>
      </x:c>
      <x:c r="J449" s="215" t="str">
        <x:v>Flowering or young fruit</x:v>
      </x:c>
      <x:c r="K449" s="215" t="str">
        <x:v>The ovary sits above the other floral parts and commonly has a single chamber.</x:v>
      </x:c>
      <x:c r="L449" s="215" t="str">
        <x:v>Broad-family exceptions and specialized lineages require qualifiers.</x:v>
      </x:c>
      <x:c r="M449" s="215" t="str">
        <x:v>Combine with placentation, style, and fruit.</x:v>
      </x:c>
      <x:c r="N449" s="215" t="str">
        <x:v>Useful for separating local Primulaceae from inferior-ovary lookalikes.</x:v>
      </x:c>
      <x:c r="O449" s="215" t="str">
        <x:v>Medium</x:v>
      </x:c>
      <x:c r="P449" s="215" t="str">
        <x:v>No</x:v>
      </x:c>
      <x:c r="Q449" s="215" t="str"/>
      <x:c r="R449" s="215" t="str">
        <x:v>PRI-LK01; PRI-LK02</x:v>
      </x:c>
      <x:c r="S449" s="215" t="str">
        <x:v>APWEB-PRIM; FNA-PRIM; POWO-PRIM; LBJ-HAYS</x:v>
      </x:c>
      <x:c r="T449" s="215" t="str">
        <x:v>https://www.mobot.org/MOBOT/research/APweb/orders/ericalesweb.htm</x:v>
      </x:c>
      <x:c r="U449" s="215" t="str">
        <x:v>https://floranorthamerica.org/Primulaceae</x:v>
      </x:c>
      <x:c r="V449" s="215" t="str">
        <x:v>https://powo.science.kew.org/taxon/urn:lsid:ipni.org:names:77126675-1/general-information</x:v>
      </x:c>
      <x:c r="W449" s="215" t="str">
        <x:v>https://www.mobot.org/MOBOT/research/APweb/orders/ericalesweb.htm
https://floranorthamerica.org/Primulaceae
https://powo.science.kew.org/taxon/urn:lsid:ipni.org:names:77126675-1/general-information
https://www.wildflower.org/collections/collection.php?collection=hays</x:v>
      </x:c>
      <x:c r="X449" s="215" t="str">
        <x:v>No — retain qualifiers and exceptions</x:v>
      </x:c>
      <x:c r="Y449" s="215" t="str">
        <x:v>Yes</x:v>
      </x:c>
      <x:c r="Z449" s="215" t="str">
        <x:v>Source-backed draft</x:v>
      </x:c>
    </x:row>
    <x:row r="450" ht="42" customHeight="1">
      <x:c r="A450" s="215" t="str">
        <x:v>Primulaceae</x:v>
      </x:c>
      <x:c r="B450" s="215" t="str">
        <x:v>PRI-PLACENTA</x:v>
      </x:c>
      <x:c r="C450" s="215" t="str">
        <x:v>Family-wide, predominant</x:v>
      </x:c>
      <x:c r="D450" s="215" t="str">
        <x:v>Gynoecium</x:v>
      </x:c>
      <x:c r="E450" s="215" t="str">
        <x:v>Placentation free-central with ovules on a central column</x:v>
      </x:c>
      <x:c r="F450" s="215" t="str">
        <x:v>Core</x:v>
      </x:c>
      <x:c r="G450" s="215" t="str">
        <x:v>5</x:v>
      </x:c>
      <x:c r="H450" s="215" t="str">
        <x:v>High</x:v>
      </x:c>
      <x:c r="I450" s="215" t="str">
        <x:v>Dissection</x:v>
      </x:c>
      <x:c r="J450" s="215" t="str">
        <x:v>Fresh flower or young fruit</x:v>
      </x:c>
      <x:c r="K450" s="215" t="str">
        <x:v>Ovules attach to a free-standing central axis inside the one-chambered ovary.</x:v>
      </x:c>
      <x:c r="L450" s="215" t="str">
        <x:v>This is not visible without opening the ovary and may be difficult in tiny flowers.</x:v>
      </x:c>
      <x:c r="M450" s="215" t="str">
        <x:v>Use as decisive confirmation when stamen position overlaps another family.</x:v>
      </x:c>
      <x:c r="N450" s="215" t="str">
        <x:v>High-value laboratory or hand-lens confirmation for Hays material.</x:v>
      </x:c>
      <x:c r="O450" s="215" t="str">
        <x:v>Medium</x:v>
      </x:c>
      <x:c r="P450" s="215" t="str">
        <x:v>No</x:v>
      </x:c>
      <x:c r="Q450" s="215" t="str"/>
      <x:c r="R450" s="215" t="str">
        <x:v>PRI-LK01; PRI-LK02</x:v>
      </x:c>
      <x:c r="S450" s="215" t="str">
        <x:v>APWEB-PRIM; FNA-PRIM; POWO-PRIM; LBJ-HAYS</x:v>
      </x:c>
      <x:c r="T450" s="215" t="str">
        <x:v>https://www.mobot.org/MOBOT/research/APweb/orders/ericalesweb.htm</x:v>
      </x:c>
      <x:c r="U450" s="215" t="str">
        <x:v>https://floranorthamerica.org/Primulaceae</x:v>
      </x:c>
      <x:c r="V450" s="215" t="str">
        <x:v>https://powo.science.kew.org/taxon/urn:lsid:ipni.org:names:77126675-1/general-information</x:v>
      </x:c>
      <x:c r="W450" s="215" t="str">
        <x:v>https://www.mobot.org/MOBOT/research/APweb/orders/ericalesweb.htm
https://floranorthamerica.org/Primulaceae
https://powo.science.kew.org/taxon/urn:lsid:ipni.org:names:77126675-1/general-information
https://www.wildflower.org/collections/collection.php?collection=hays</x:v>
      </x:c>
      <x:c r="X450" s="215" t="str">
        <x:v>No — retain qualifiers and exceptions</x:v>
      </x:c>
      <x:c r="Y450" s="215" t="str">
        <x:v>Yes</x:v>
      </x:c>
      <x:c r="Z450" s="215" t="str">
        <x:v>Source-backed draft</x:v>
      </x:c>
    </x:row>
    <x:row r="451" ht="42" customHeight="1">
      <x:c r="A451" s="215" t="str">
        <x:v>Primulaceae</x:v>
      </x:c>
      <x:c r="B451" s="215" t="str">
        <x:v>PRI-STYLE</x:v>
      </x:c>
      <x:c r="C451" s="215" t="str">
        <x:v>Family-wide, predominant</x:v>
      </x:c>
      <x:c r="D451" s="215" t="str">
        <x:v>Gynoecium</x:v>
      </x:c>
      <x:c r="E451" s="215" t="str">
        <x:v>Usually one terminal style with a capitate or lobed stigma</x:v>
      </x:c>
      <x:c r="F451" s="215" t="str">
        <x:v>Supporting</x:v>
      </x:c>
      <x:c r="G451" s="215" t="str">
        <x:v>3</x:v>
      </x:c>
      <x:c r="H451" s="215" t="str">
        <x:v>Moderate</x:v>
      </x:c>
      <x:c r="I451" s="215" t="str">
        <x:v>Hand lens</x:v>
      </x:c>
      <x:c r="J451" s="215" t="str">
        <x:v>Fresh flowers</x:v>
      </x:c>
      <x:c r="K451" s="215" t="str">
        <x:v>A single style commonly rises from the ovary center.</x:v>
      </x:c>
      <x:c r="L451" s="215" t="str">
        <x:v>Style length varies with heterostyly and broad-family lineages can differ.</x:v>
      </x:c>
      <x:c r="M451" s="215" t="str">
        <x:v>Use only with stamen alignment and placentation.</x:v>
      </x:c>
      <x:c r="N451" s="215" t="str">
        <x:v>Practical on intact Hays flowers.</x:v>
      </x:c>
      <x:c r="O451" s="215" t="str">
        <x:v>Low</x:v>
      </x:c>
      <x:c r="P451" s="215" t="str">
        <x:v>No</x:v>
      </x:c>
      <x:c r="Q451" s="215" t="str"/>
      <x:c r="R451" s="215" t="str">
        <x:v>PRI-LK01</x:v>
      </x:c>
      <x:c r="S451" s="215" t="str">
        <x:v>APWEB-PRIM; FNA-PRIM; POWO-PRIM; LBJ-HAYS</x:v>
      </x:c>
      <x:c r="T451" s="215" t="str">
        <x:v>https://www.mobot.org/MOBOT/research/APweb/orders/ericalesweb.htm</x:v>
      </x:c>
      <x:c r="U451" s="215" t="str">
        <x:v>https://floranorthamerica.org/Primulaceae</x:v>
      </x:c>
      <x:c r="V451" s="215" t="str">
        <x:v>https://powo.science.kew.org/taxon/urn:lsid:ipni.org:names:77126675-1/general-information</x:v>
      </x:c>
      <x:c r="W451" s="215" t="str">
        <x:v>https://www.mobot.org/MOBOT/research/APweb/orders/ericalesweb.htm
https://floranorthamerica.org/Primulaceae
https://powo.science.kew.org/taxon/urn:lsid:ipni.org:names:77126675-1/general-information
https://www.wildflower.org/collections/collection.php?collection=hays</x:v>
      </x:c>
      <x:c r="X451" s="215" t="str">
        <x:v>No — retain qualifiers and exceptions</x:v>
      </x:c>
      <x:c r="Y451" s="215" t="str">
        <x:v>Yes</x:v>
      </x:c>
      <x:c r="Z451" s="215" t="str">
        <x:v>Source-backed draft</x:v>
      </x:c>
    </x:row>
    <x:row r="452" ht="42" customHeight="1">
      <x:c r="A452" s="215" t="str">
        <x:v>Primulaceae</x:v>
      </x:c>
      <x:c r="B452" s="215" t="str">
        <x:v>PRI-FRUIT</x:v>
      </x:c>
      <x:c r="C452" s="215" t="str">
        <x:v>Current broad family</x:v>
      </x:c>
      <x:c r="D452" s="215" t="str">
        <x:v>Fruit</x:v>
      </x:c>
      <x:c r="E452" s="215" t="str">
        <x:v>Capsule or berry depending on lineage</x:v>
      </x:c>
      <x:c r="F452" s="215" t="str">
        <x:v>Strong</x:v>
      </x:c>
      <x:c r="G452" s="215" t="str">
        <x:v>3</x:v>
      </x:c>
      <x:c r="H452" s="215" t="str">
        <x:v>High</x:v>
      </x:c>
      <x:c r="I452" s="215" t="str">
        <x:v>Naked eye or hand lens</x:v>
      </x:c>
      <x:c r="J452" s="215" t="str">
        <x:v>Mature fruit</x:v>
      </x:c>
      <x:c r="K452" s="215" t="str">
        <x:v>Traditional herbaceous primroses usually make capsules, whereas many former Myrsinaceae make berries.</x:v>
      </x:c>
      <x:c r="L452" s="215" t="str">
        <x:v>Fruit type is not universal under current broad Primulaceae.</x:v>
      </x:c>
      <x:c r="M452" s="215" t="str">
        <x:v>Use fruit to route subfamilies after family confirmation.</x:v>
      </x:c>
      <x:c r="N452" s="215" t="str">
        <x:v>Important for interpreting herbaceous versus woody Hays members.</x:v>
      </x:c>
      <x:c r="O452" s="215" t="str">
        <x:v>Medium</x:v>
      </x:c>
      <x:c r="P452" s="215" t="str">
        <x:v>No</x:v>
      </x:c>
      <x:c r="Q452" s="215" t="str"/>
      <x:c r="R452" s="215" t="str">
        <x:v>PRI-LK01; PRI-LK02</x:v>
      </x:c>
      <x:c r="S452" s="215" t="str">
        <x:v>APWEB-PRIM; FNA-PRIM; POWO-PRIM; LBJ-HAYS</x:v>
      </x:c>
      <x:c r="T452" s="215" t="str">
        <x:v>https://www.mobot.org/MOBOT/research/APweb/orders/ericalesweb.htm</x:v>
      </x:c>
      <x:c r="U452" s="215" t="str">
        <x:v>https://floranorthamerica.org/Primulaceae</x:v>
      </x:c>
      <x:c r="V452" s="215" t="str">
        <x:v>https://powo.science.kew.org/taxon/urn:lsid:ipni.org:names:77126675-1/general-information</x:v>
      </x:c>
      <x:c r="W452" s="215" t="str">
        <x:v>https://www.mobot.org/MOBOT/research/APweb/orders/ericalesweb.htm
https://floranorthamerica.org/Primulaceae
https://powo.science.kew.org/taxon/urn:lsid:ipni.org:names:77126675-1/general-information
https://www.wildflower.org/collections/collection.php?collection=hays</x:v>
      </x:c>
      <x:c r="X452" s="215" t="str">
        <x:v>No — retain qualifiers and exceptions</x:v>
      </x:c>
      <x:c r="Y452" s="215" t="str">
        <x:v>Yes</x:v>
      </x:c>
      <x:c r="Z452" s="215" t="str">
        <x:v>Source-backed draft</x:v>
      </x:c>
    </x:row>
    <x:row r="453" ht="42" customHeight="1">
      <x:c r="A453" s="215" t="str">
        <x:v>Primulaceae</x:v>
      </x:c>
      <x:c r="B453" s="215" t="str">
        <x:v>PRI-TAXON</x:v>
      </x:c>
      <x:c r="C453" s="215" t="str">
        <x:v>Taxonomy / source reconciliation</x:v>
      </x:c>
      <x:c r="D453" s="215" t="str">
        <x:v>Taxonomy</x:v>
      </x:c>
      <x:c r="E453" s="215" t="str">
        <x:v>POWO accepts broad Primulaceae including former Myrsinaceae and Theophrastaceae; FNA page is narrower</x:v>
      </x:c>
      <x:c r="F453" s="215" t="str">
        <x:v>Caution</x:v>
      </x:c>
      <x:c r="G453" s="215" t="str">
        <x:v>0</x:v>
      </x:c>
      <x:c r="H453" s="215" t="str">
        <x:v>High</x:v>
      </x:c>
      <x:c r="I453" s="215" t="str">
        <x:v>Not field-visible</x:v>
      </x:c>
      <x:c r="J453" s="215" t="str">
        <x:v>Any material</x:v>
      </x:c>
      <x:c r="K453" s="215" t="str">
        <x:v>The practical flora and accepted taxonomy do not use identical family limits.</x:v>
      </x:c>
      <x:c r="L453" s="215" t="str">
        <x:v>Traits from narrow FNA Primulaceae must not be generalized uncritically to the full modern family.</x:v>
      </x:c>
      <x:c r="M453" s="215" t="str">
        <x:v>Scope every character and retain subfamily-level uncertainty until a broad North American treatment is reconciled.</x:v>
      </x:c>
      <x:c r="N453" s="215" t="str">
        <x:v>Directly affects Hays species formerly filed under Myrsinaceae.</x:v>
      </x:c>
      <x:c r="O453" s="215" t="str">
        <x:v>Medium</x:v>
      </x:c>
      <x:c r="P453" s="215" t="str">
        <x:v>Yes</x:v>
      </x:c>
      <x:c r="Q453" s="215" t="str">
        <x:v>The direct FNA family treatment is narrower than current POWO Primulaceae; a later taxonomy QA pass should reconcile local genera and synonyms.</x:v>
      </x:c>
      <x:c r="R453" s="215" t="str">
        <x:v>PRI-LK01; PRI-LK02</x:v>
      </x:c>
      <x:c r="S453" s="215" t="str">
        <x:v>APWEB-PRIM; FNA-PRIM; POWO-PRIM; LBJ-HAYS</x:v>
      </x:c>
      <x:c r="T453" s="215" t="str">
        <x:v>https://www.mobot.org/MOBOT/research/APweb/orders/ericalesweb.htm</x:v>
      </x:c>
      <x:c r="U453" s="215" t="str">
        <x:v>https://floranorthamerica.org/Primulaceae</x:v>
      </x:c>
      <x:c r="V453" s="215" t="str">
        <x:v>https://powo.science.kew.org/taxon/urn:lsid:ipni.org:names:77126675-1/general-information</x:v>
      </x:c>
      <x:c r="W453" s="215" t="str">
        <x:v>https://www.mobot.org/MOBOT/research/APweb/orders/ericalesweb.htm
https://floranorthamerica.org/Primulaceae
https://powo.science.kew.org/taxon/urn:lsid:ipni.org:names:77126675-1/general-information
https://www.wildflower.org/collections/collection.php?collection=hays</x:v>
      </x:c>
      <x:c r="X453" s="215" t="str">
        <x:v>No — retain qualifiers and exceptions</x:v>
      </x:c>
      <x:c r="Y453" s="215" t="str">
        <x:v>Yes</x:v>
      </x:c>
      <x:c r="Z453" s="215" t="str">
        <x:v>Human review required</x:v>
      </x:c>
    </x:row>
    <x:row r="454" ht="42" customHeight="1">
      <x:c r="A454" s="215" t="str">
        <x:v>Primulaceae</x:v>
      </x:c>
      <x:c r="B454" s="215" t="str">
        <x:v>PRI-LK01</x:v>
      </x:c>
      <x:c r="C454" s="215" t="str">
        <x:v>Lookalike comparison</x:v>
      </x:c>
      <x:c r="D454" s="215" t="str">
        <x:v>Lookalike</x:v>
      </x:c>
      <x:c r="E454" s="215" t="str">
        <x:v>Versus Plumbaginaceae: both may have stamens opposite corolla lobes; many ovules on a free-central placenta favor Primulaceae</x:v>
      </x:c>
      <x:c r="F454" s="215" t="str">
        <x:v>Lookalike</x:v>
      </x:c>
      <x:c r="G454" s="215" t="str">
        <x:v>5</x:v>
      </x:c>
      <x:c r="H454" s="215" t="str">
        <x:v>High</x:v>
      </x:c>
      <x:c r="I454" s="215" t="str">
        <x:v>Hand lens or dissection</x:v>
      </x:c>
      <x:c r="J454" s="215" t="str">
        <x:v>Flowering or young fruit</x:v>
      </x:c>
      <x:c r="K454" s="215" t="str">
        <x:v>Plumbaginaceae normally has one basal ovule and a persistent ribbed or glandular calyx, unlike typical Primulaceae.</x:v>
      </x:c>
      <x:c r="L454" s="215" t="str">
        <x:v>The ovary may need dissection and broad Primulaceae fruit types vary.</x:v>
      </x:c>
      <x:c r="M454" s="215" t="str">
        <x:v>Use ovule number, placentation, and calyx together.</x:v>
      </x:c>
      <x:c r="N454" s="215" t="str">
        <x:v>Plumbaginaceae reciprocal coverage already exists.</x:v>
      </x:c>
      <x:c r="O454" s="215" t="str">
        <x:v>Low</x:v>
      </x:c>
      <x:c r="P454" s="215" t="str">
        <x:v>No</x:v>
      </x:c>
      <x:c r="Q454" s="215" t="str"/>
      <x:c r="R454" s="215" t="str">
        <x:v>PRI-STAMENS; PRI-PLACENTA; PRI-FRUIT</x:v>
      </x:c>
      <x:c r="S454" s="215" t="str">
        <x:v>APWEB-PRIM; FNA-PRIM; POWO-PRIM; LBJ-HAYS</x:v>
      </x:c>
      <x:c r="T454" s="215" t="str">
        <x:v>https://www.mobot.org/MOBOT/research/APweb/orders/ericalesweb.htm</x:v>
      </x:c>
      <x:c r="U454" s="215" t="str">
        <x:v>https://floranorthamerica.org/Primulaceae</x:v>
      </x:c>
      <x:c r="V454" s="215" t="str">
        <x:v>https://powo.science.kew.org/taxon/urn:lsid:ipni.org:names:77126675-1/general-information</x:v>
      </x:c>
      <x:c r="W454" s="215" t="str">
        <x:v>https://www.mobot.org/MOBOT/research/APweb/orders/ericalesweb.htm
https://floranorthamerica.org/Primulaceae
https://powo.science.kew.org/taxon/urn:lsid:ipni.org:names:77126675-1/general-information
https://www.wildflower.org/collections/collection.php?collection=hays</x:v>
      </x:c>
      <x:c r="X454" s="215" t="str">
        <x:v>No — retain qualifiers and exceptions</x:v>
      </x:c>
      <x:c r="Y454" s="215" t="str">
        <x:v>Yes</x:v>
      </x:c>
      <x:c r="Z454" s="215" t="str">
        <x:v>Source-backed draft</x:v>
      </x:c>
    </x:row>
    <x:row r="455" ht="42" customHeight="1">
      <x:c r="A455" s="215" t="str">
        <x:v>Primulaceae</x:v>
      </x:c>
      <x:c r="B455" s="215" t="str">
        <x:v>PRI-LK02</x:v>
      </x:c>
      <x:c r="C455" s="215" t="str">
        <x:v>Lookalike comparison</x:v>
      </x:c>
      <x:c r="D455" s="215" t="str">
        <x:v>Lookalike</x:v>
      </x:c>
      <x:c r="E455" s="215" t="str">
        <x:v>Versus Gentianaceae: opposite-petal stamens and free-central placenta favor Primulaceae; alternating stamens and parietal placentation favor Gentianaceae</x:v>
      </x:c>
      <x:c r="F455" s="215" t="str">
        <x:v>Lookalike</x:v>
      </x:c>
      <x:c r="G455" s="215" t="str">
        <x:v>4</x:v>
      </x:c>
      <x:c r="H455" s="215" t="str">
        <x:v>Moderate</x:v>
      </x:c>
      <x:c r="I455" s="215" t="str">
        <x:v>Hand lens or dissection</x:v>
      </x:c>
      <x:c r="J455" s="215" t="str">
        <x:v>Flowering</x:v>
      </x:c>
      <x:c r="K455" s="215" t="str">
        <x:v>Both can be herbs with fused 4–5-lobed corollas.</x:v>
      </x:c>
      <x:c r="L455" s="215" t="str">
        <x:v>Leaf arrangement and flower color are unreliable; ovary anatomy may be required.</x:v>
      </x:c>
      <x:c r="M455" s="215" t="str">
        <x:v>Use stamen alignment and placentation, not general appearance.</x:v>
      </x:c>
      <x:c r="N455" s="215" t="str">
        <x:v>Gentianaceae already has first-pass coverage.</x:v>
      </x:c>
      <x:c r="O455" s="215" t="str">
        <x:v>Low</x:v>
      </x:c>
      <x:c r="P455" s="215" t="str">
        <x:v>No</x:v>
      </x:c>
      <x:c r="Q455" s="215" t="str"/>
      <x:c r="R455" s="215" t="str">
        <x:v>PRI-STAMENS; PRI-PLACENTA</x:v>
      </x:c>
      <x:c r="S455" s="215" t="str">
        <x:v>APWEB-PRIM; FNA-PRIM; POWO-PRIM; LBJ-HAYS</x:v>
      </x:c>
      <x:c r="T455" s="215" t="str">
        <x:v>https://www.mobot.org/MOBOT/research/APweb/orders/ericalesweb.htm</x:v>
      </x:c>
      <x:c r="U455" s="215" t="str">
        <x:v>https://floranorthamerica.org/Primulaceae</x:v>
      </x:c>
      <x:c r="V455" s="215" t="str">
        <x:v>https://powo.science.kew.org/taxon/urn:lsid:ipni.org:names:77126675-1/general-information</x:v>
      </x:c>
      <x:c r="W455" s="215" t="str">
        <x:v>https://www.mobot.org/MOBOT/research/APweb/orders/ericalesweb.htm
https://floranorthamerica.org/Primulaceae
https://powo.science.kew.org/taxon/urn:lsid:ipni.org:names:77126675-1/general-information
https://www.wildflower.org/collections/collection.php?collection=hays</x:v>
      </x:c>
      <x:c r="X455" s="215" t="str">
        <x:v>No — retain qualifiers and exceptions</x:v>
      </x:c>
      <x:c r="Y455" s="215" t="str">
        <x:v>Yes</x:v>
      </x:c>
      <x:c r="Z455" s="215" t="str">
        <x:v>Source-backed draft</x:v>
      </x:c>
    </x:row>
    <x:row r="456" ht="42" customHeight="1">
      <x:c r="A456" s="215" t="str">
        <x:v>Orchidaceae</x:v>
      </x:c>
      <x:c r="B456" s="215" t="str">
        <x:v>ORC-HABIT</x:v>
      </x:c>
      <x:c r="C456" s="215" t="str">
        <x:v>Family-wide; local route</x:v>
      </x:c>
      <x:c r="D456" s="215" t="str">
        <x:v>Habit</x:v>
      </x:c>
      <x:c r="E456" s="215" t="str">
        <x:v>Perennial herbs; local species primarily terrestrial geophytes</x:v>
      </x:c>
      <x:c r="F456" s="215" t="str">
        <x:v>Supporting</x:v>
      </x:c>
      <x:c r="G456" s="215" t="str">
        <x:v>2</x:v>
      </x:c>
      <x:c r="H456" s="215" t="str">
        <x:v>High</x:v>
      </x:c>
      <x:c r="I456" s="215" t="str">
        <x:v>Naked eye</x:v>
      </x:c>
      <x:c r="J456" s="215" t="str">
        <x:v>Vegetative or flowering</x:v>
      </x:c>
      <x:c r="K456" s="215" t="str">
        <x:v>Central Texas orchids grow from rhizomes, tubers, or rootstocks and may disappear seasonally.</x:v>
      </x:c>
      <x:c r="L456" s="215" t="str">
        <x:v>The global family is mostly epiphytic and includes leafless mycoheterotrophs.</x:v>
      </x:c>
      <x:c r="M456" s="215" t="str">
        <x:v>Use season and subterranean structures cautiously; confirm flowers or fruit.</x:v>
      </x:c>
      <x:c r="N456" s="215" t="str">
        <x:v>Relevant to locally uncommon, seasonally hidden Hays orchids.</x:v>
      </x:c>
      <x:c r="O456" s="215" t="str">
        <x:v>Low</x:v>
      </x:c>
      <x:c r="P456" s="215" t="str">
        <x:v>No</x:v>
      </x:c>
      <x:c r="Q456" s="215" t="str"/>
      <x:c r="R456" s="215" t="str">
        <x:v>ORC-LK01; ORC-LK02</x:v>
      </x:c>
      <x:c r="S456" s="215" t="str">
        <x:v>APWEB-ORCH; FNA-ORCH; POWO-ORCH; LBJ-HAYS</x:v>
      </x:c>
      <x:c r="T456" s="215" t="str">
        <x:v>https://www.mobot.org/MOBOT/research/APweb/orders/asparagalesweb.htm</x:v>
      </x:c>
      <x:c r="U456" s="215" t="str">
        <x:v>https://floranorthamerica.org/Orchidaceae</x:v>
      </x:c>
      <x:c r="V456" s="215" t="str">
        <x:v>https://powo.science.kew.org/taxon/urn:lsid:ipni.org:names:30000046-2/general-information</x:v>
      </x:c>
      <x:c r="W456" s="215" t="str">
        <x:v>https://www.mobot.org/MOBOT/research/APweb/orders/asparagalesweb.htm
https://floranorthamerica.org/Orchidaceae
https://powo.science.kew.org/taxon/urn:lsid:ipni.org:names:30000046-2/general-information
https://www.wildflower.org/collections/collection.php?collection=hays</x:v>
      </x:c>
      <x:c r="X456" s="215" t="str">
        <x:v>No — retain qualifiers and exceptions</x:v>
      </x:c>
      <x:c r="Y456" s="215" t="str">
        <x:v>Yes</x:v>
      </x:c>
      <x:c r="Z456" s="215" t="str">
        <x:v>Source-backed draft</x:v>
      </x:c>
    </x:row>
    <x:row r="457" ht="42" customHeight="1">
      <x:c r="A457" s="215" t="str">
        <x:v>Orchidaceae</x:v>
      </x:c>
      <x:c r="B457" s="215" t="str">
        <x:v>ORC-ROOTS</x:v>
      </x:c>
      <x:c r="C457" s="215" t="str">
        <x:v>Family-wide, common</x:v>
      </x:c>
      <x:c r="D457" s="215" t="str">
        <x:v>Root</x:v>
      </x:c>
      <x:c r="E457" s="215" t="str">
        <x:v>Roots specialized, mycorrhizal, often thick or with velamen; tubers or rhizomes frequent</x:v>
      </x:c>
      <x:c r="F457" s="215" t="str">
        <x:v>Strong</x:v>
      </x:c>
      <x:c r="G457" s="215" t="str">
        <x:v>3</x:v>
      </x:c>
      <x:c r="H457" s="215" t="str">
        <x:v>Moderate</x:v>
      </x:c>
      <x:c r="I457" s="215" t="str">
        <x:v>Naked eye only when exposed</x:v>
      </x:c>
      <x:c r="J457" s="215" t="str">
        <x:v>Growing season</x:v>
      </x:c>
      <x:c r="K457" s="215" t="str">
        <x:v>Orchid roots and underground organs are specialized and depend on fungi.</x:v>
      </x:c>
      <x:c r="L457" s="215" t="str">
        <x:v>Velamen is most conspicuous in epiphytes and digging is inappropriate for identification.</x:v>
      </x:c>
      <x:c r="M457" s="215" t="str">
        <x:v>Use only when naturally exposed; never disturb rare plants for this character.</x:v>
      </x:c>
      <x:c r="N457" s="215" t="str">
        <x:v>Supporting evidence for Hays terrestrial orchids.</x:v>
      </x:c>
      <x:c r="O457" s="215" t="str">
        <x:v>Low</x:v>
      </x:c>
      <x:c r="P457" s="215" t="str">
        <x:v>No</x:v>
      </x:c>
      <x:c r="Q457" s="215" t="str"/>
      <x:c r="R457" s="215" t="str">
        <x:v>ORC-LK01; ORC-LK02</x:v>
      </x:c>
      <x:c r="S457" s="215" t="str">
        <x:v>APWEB-ORCH; FNA-ORCH; POWO-ORCH; LBJ-HAYS</x:v>
      </x:c>
      <x:c r="T457" s="215" t="str">
        <x:v>https://www.mobot.org/MOBOT/research/APweb/orders/asparagalesweb.htm</x:v>
      </x:c>
      <x:c r="U457" s="215" t="str">
        <x:v>https://floranorthamerica.org/Orchidaceae</x:v>
      </x:c>
      <x:c r="V457" s="215" t="str">
        <x:v>https://powo.science.kew.org/taxon/urn:lsid:ipni.org:names:30000046-2/general-information</x:v>
      </x:c>
      <x:c r="W457" s="215" t="str">
        <x:v>https://www.mobot.org/MOBOT/research/APweb/orders/asparagalesweb.htm
https://floranorthamerica.org/Orchidaceae
https://powo.science.kew.org/taxon/urn:lsid:ipni.org:names:30000046-2/general-information
https://www.wildflower.org/collections/collection.php?collection=hays</x:v>
      </x:c>
      <x:c r="X457" s="215" t="str">
        <x:v>No — retain qualifiers and exceptions</x:v>
      </x:c>
      <x:c r="Y457" s="215" t="str">
        <x:v>Yes</x:v>
      </x:c>
      <x:c r="Z457" s="215" t="str">
        <x:v>Source-backed draft</x:v>
      </x:c>
    </x:row>
    <x:row r="458" ht="42" customHeight="1">
      <x:c r="A458" s="215" t="str">
        <x:v>Orchidaceae</x:v>
      </x:c>
      <x:c r="B458" s="215" t="str">
        <x:v>ORC-LEAVES</x:v>
      </x:c>
      <x:c r="C458" s="215" t="str">
        <x:v>Family-wide, predominant</x:v>
      </x:c>
      <x:c r="D458" s="215" t="str">
        <x:v>Leaf</x:v>
      </x:c>
      <x:c r="E458" s="215" t="str">
        <x:v>Leaves simple, entire, often sheathing at base; sometimes reduced to scales</x:v>
      </x:c>
      <x:c r="F458" s="215" t="str">
        <x:v>Supporting</x:v>
      </x:c>
      <x:c r="G458" s="215" t="str">
        <x:v>2</x:v>
      </x:c>
      <x:c r="H458" s="215" t="str">
        <x:v>High</x:v>
      </x:c>
      <x:c r="I458" s="215" t="str">
        <x:v>Naked eye</x:v>
      </x:c>
      <x:c r="J458" s="215" t="str">
        <x:v>Vegetative or flowering</x:v>
      </x:c>
      <x:c r="K458" s="215" t="str">
        <x:v>Orchid leaves are undivided and often clasp or sheath the stem.</x:v>
      </x:c>
      <x:c r="L458" s="215" t="str">
        <x:v>Leaf number, texture, and presence vary widely; some orchids are leafless when flowering.</x:v>
      </x:c>
      <x:c r="M458" s="215" t="str">
        <x:v>Vegetative material alone rarely supports confident family identification.</x:v>
      </x:c>
      <x:c r="N458" s="215" t="str">
        <x:v>Important caution for seasonally dormant Hays species.</x:v>
      </x:c>
      <x:c r="O458" s="215" t="str">
        <x:v>Low</x:v>
      </x:c>
      <x:c r="P458" s="215" t="str">
        <x:v>No</x:v>
      </x:c>
      <x:c r="Q458" s="215" t="str"/>
      <x:c r="R458" s="215" t="str">
        <x:v>ORC-LK01; ORC-LK02</x:v>
      </x:c>
      <x:c r="S458" s="215" t="str">
        <x:v>APWEB-ORCH; FNA-ORCH; POWO-ORCH; LBJ-HAYS</x:v>
      </x:c>
      <x:c r="T458" s="215" t="str">
        <x:v>https://www.mobot.org/MOBOT/research/APweb/orders/asparagalesweb.htm</x:v>
      </x:c>
      <x:c r="U458" s="215" t="str">
        <x:v>https://floranorthamerica.org/Orchidaceae</x:v>
      </x:c>
      <x:c r="V458" s="215" t="str">
        <x:v>https://powo.science.kew.org/taxon/urn:lsid:ipni.org:names:30000046-2/general-information</x:v>
      </x:c>
      <x:c r="W458" s="215" t="str">
        <x:v>https://www.mobot.org/MOBOT/research/APweb/orders/asparagalesweb.htm
https://floranorthamerica.org/Orchidaceae
https://powo.science.kew.org/taxon/urn:lsid:ipni.org:names:30000046-2/general-information
https://www.wildflower.org/collections/collection.php?collection=hays</x:v>
      </x:c>
      <x:c r="X458" s="215" t="str">
        <x:v>No — retain qualifiers and exceptions</x:v>
      </x:c>
      <x:c r="Y458" s="215" t="str">
        <x:v>Yes</x:v>
      </x:c>
      <x:c r="Z458" s="215" t="str">
        <x:v>Source-backed draft</x:v>
      </x:c>
    </x:row>
    <x:row r="459" ht="42" customHeight="1">
      <x:c r="A459" s="215" t="str">
        <x:v>Orchidaceae</x:v>
      </x:c>
      <x:c r="B459" s="215" t="str">
        <x:v>ORC-FLOWER</x:v>
      </x:c>
      <x:c r="C459" s="215" t="str">
        <x:v>Family-wide, predominant</x:v>
      </x:c>
      <x:c r="D459" s="215" t="str">
        <x:v>Flower</x:v>
      </x:c>
      <x:c r="E459" s="215" t="str">
        <x:v>Flowers usually bilaterally symmetric and often resupinate</x:v>
      </x:c>
      <x:c r="F459" s="215" t="str">
        <x:v>Core</x:v>
      </x:c>
      <x:c r="G459" s="215" t="str">
        <x:v>5</x:v>
      </x:c>
      <x:c r="H459" s="215" t="str">
        <x:v>High</x:v>
      </x:c>
      <x:c r="I459" s="215" t="str">
        <x:v>Naked eye</x:v>
      </x:c>
      <x:c r="J459" s="215" t="str">
        <x:v>Fresh flowers</x:v>
      </x:c>
      <x:c r="K459" s="215" t="str">
        <x:v>Most orchid flowers are one-sided and twist so the lip is positioned lowermost.</x:v>
      </x:c>
      <x:c r="L459" s="215" t="str">
        <x:v>Resupination can be absent, incomplete, or reversed, and a few flowers are nearly radial.</x:v>
      </x:c>
      <x:c r="M459" s="215" t="str">
        <x:v>Use with the lip, column, and inferior ovary.</x:v>
      </x:c>
      <x:c r="N459" s="215" t="str">
        <x:v>Highly visible when Hays orchids are in bloom.</x:v>
      </x:c>
      <x:c r="O459" s="215" t="str">
        <x:v>Low</x:v>
      </x:c>
      <x:c r="P459" s="215" t="str">
        <x:v>No</x:v>
      </x:c>
      <x:c r="Q459" s="215" t="str"/>
      <x:c r="R459" s="215" t="str">
        <x:v>ORC-LK01; ORC-LK02</x:v>
      </x:c>
      <x:c r="S459" s="215" t="str">
        <x:v>APWEB-ORCH; FNA-ORCH; POWO-ORCH; LBJ-HAYS</x:v>
      </x:c>
      <x:c r="T459" s="215" t="str">
        <x:v>https://www.mobot.org/MOBOT/research/APweb/orders/asparagalesweb.htm</x:v>
      </x:c>
      <x:c r="U459" s="215" t="str">
        <x:v>https://floranorthamerica.org/Orchidaceae</x:v>
      </x:c>
      <x:c r="V459" s="215" t="str">
        <x:v>https://powo.science.kew.org/taxon/urn:lsid:ipni.org:names:30000046-2/general-information</x:v>
      </x:c>
      <x:c r="W459" s="215" t="str">
        <x:v>https://www.mobot.org/MOBOT/research/APweb/orders/asparagalesweb.htm
https://floranorthamerica.org/Orchidaceae
https://powo.science.kew.org/taxon/urn:lsid:ipni.org:names:30000046-2/general-information
https://www.wildflower.org/collections/collection.php?collection=hays</x:v>
      </x:c>
      <x:c r="X459" s="215" t="str">
        <x:v>No — retain qualifiers and exceptions</x:v>
      </x:c>
      <x:c r="Y459" s="215" t="str">
        <x:v>Yes</x:v>
      </x:c>
      <x:c r="Z459" s="215" t="str">
        <x:v>Source-backed draft</x:v>
      </x:c>
    </x:row>
    <x:row r="460" ht="42" customHeight="1">
      <x:c r="A460" s="215" t="str">
        <x:v>Orchidaceae</x:v>
      </x:c>
      <x:c r="B460" s="215" t="str">
        <x:v>ORC-TEPALS</x:v>
      </x:c>
      <x:c r="C460" s="215" t="str">
        <x:v>Family-wide</x:v>
      </x:c>
      <x:c r="D460" s="215" t="str">
        <x:v>Flower</x:v>
      </x:c>
      <x:c r="E460" s="215" t="str">
        <x:v>Three sepals and three petals, with the median petal modified as a lip or labellum</x:v>
      </x:c>
      <x:c r="F460" s="215" t="str">
        <x:v>Core</x:v>
      </x:c>
      <x:c r="G460" s="215" t="str">
        <x:v>5</x:v>
      </x:c>
      <x:c r="H460" s="215" t="str">
        <x:v>High</x:v>
      </x:c>
      <x:c r="I460" s="215" t="str">
        <x:v>Naked eye or hand lens</x:v>
      </x:c>
      <x:c r="J460" s="215" t="str">
        <x:v>Fresh flowers</x:v>
      </x:c>
      <x:c r="K460" s="215" t="str">
        <x:v>One of the three petals is usually strongly different and functions as a landing platform.</x:v>
      </x:c>
      <x:c r="L460" s="215" t="str">
        <x:v>The lip may be uppermost when flowers are not resupinate and can be minute or highly modified.</x:v>
      </x:c>
      <x:c r="M460" s="215" t="str">
        <x:v>Confirm the six-part perianth with the column.</x:v>
      </x:c>
      <x:c r="N460" s="215" t="str">
        <x:v>A central family-identification character for local orchids.</x:v>
      </x:c>
      <x:c r="O460" s="215" t="str">
        <x:v>Low</x:v>
      </x:c>
      <x:c r="P460" s="215" t="str">
        <x:v>No</x:v>
      </x:c>
      <x:c r="Q460" s="215" t="str"/>
      <x:c r="R460" s="215" t="str">
        <x:v>ORC-LK01; ORC-LK02</x:v>
      </x:c>
      <x:c r="S460" s="215" t="str">
        <x:v>APWEB-ORCH; FNA-ORCH; POWO-ORCH; LBJ-HAYS</x:v>
      </x:c>
      <x:c r="T460" s="215" t="str">
        <x:v>https://www.mobot.org/MOBOT/research/APweb/orders/asparagalesweb.htm</x:v>
      </x:c>
      <x:c r="U460" s="215" t="str">
        <x:v>https://floranorthamerica.org/Orchidaceae</x:v>
      </x:c>
      <x:c r="V460" s="215" t="str">
        <x:v>https://powo.science.kew.org/taxon/urn:lsid:ipni.org:names:30000046-2/general-information</x:v>
      </x:c>
      <x:c r="W460" s="215" t="str">
        <x:v>https://www.mobot.org/MOBOT/research/APweb/orders/asparagalesweb.htm
https://floranorthamerica.org/Orchidaceae
https://powo.science.kew.org/taxon/urn:lsid:ipni.org:names:30000046-2/general-information
https://www.wildflower.org/collections/collection.php?collection=hays</x:v>
      </x:c>
      <x:c r="X460" s="215" t="str">
        <x:v>No — retain qualifiers and exceptions</x:v>
      </x:c>
      <x:c r="Y460" s="215" t="str">
        <x:v>Yes</x:v>
      </x:c>
      <x:c r="Z460" s="215" t="str">
        <x:v>Source-backed draft</x:v>
      </x:c>
    </x:row>
    <x:row r="461" ht="42" customHeight="1">
      <x:c r="A461" s="215" t="str">
        <x:v>Orchidaceae</x:v>
      </x:c>
      <x:c r="B461" s="215" t="str">
        <x:v>ORC-COLUMN</x:v>
      </x:c>
      <x:c r="C461" s="215" t="str">
        <x:v>Family-wide</x:v>
      </x:c>
      <x:c r="D461" s="215" t="str">
        <x:v>Flower</x:v>
      </x:c>
      <x:c r="E461" s="215" t="str">
        <x:v>Stamens, style, and stigma fused into a column</x:v>
      </x:c>
      <x:c r="F461" s="215" t="str">
        <x:v>Core</x:v>
      </x:c>
      <x:c r="G461" s="215" t="str">
        <x:v>5</x:v>
      </x:c>
      <x:c r="H461" s="215" t="str">
        <x:v>High</x:v>
      </x:c>
      <x:c r="I461" s="215" t="str">
        <x:v>Hand lens</x:v>
      </x:c>
      <x:c r="J461" s="215" t="str">
        <x:v>Fresh flowers</x:v>
      </x:c>
      <x:c r="K461" s="215" t="str">
        <x:v>The sexual organs form one central structure instead of separate stamens and style.</x:v>
      </x:c>
      <x:c r="L461" s="215" t="str">
        <x:v>Column shape varies greatly and tiny flowers may require magnification.</x:v>
      </x:c>
      <x:c r="M461" s="215" t="str">
        <x:v>One of the strongest orchid characters; use with labellum and pollinia.</x:v>
      </x:c>
      <x:c r="N461" s="215" t="str">
        <x:v>Decisive for Hays orchid confirmation.</x:v>
      </x:c>
      <x:c r="O461" s="215" t="str">
        <x:v>Low</x:v>
      </x:c>
      <x:c r="P461" s="215" t="str">
        <x:v>No</x:v>
      </x:c>
      <x:c r="Q461" s="215" t="str"/>
      <x:c r="R461" s="215" t="str">
        <x:v>ORC-LK01; ORC-LK02</x:v>
      </x:c>
      <x:c r="S461" s="215" t="str">
        <x:v>APWEB-ORCH; FNA-ORCH; POWO-ORCH; LBJ-HAYS</x:v>
      </x:c>
      <x:c r="T461" s="215" t="str">
        <x:v>https://www.mobot.org/MOBOT/research/APweb/orders/asparagalesweb.htm</x:v>
      </x:c>
      <x:c r="U461" s="215" t="str">
        <x:v>https://floranorthamerica.org/Orchidaceae</x:v>
      </x:c>
      <x:c r="V461" s="215" t="str">
        <x:v>https://powo.science.kew.org/taxon/urn:lsid:ipni.org:names:30000046-2/general-information</x:v>
      </x:c>
      <x:c r="W461" s="215" t="str">
        <x:v>https://www.mobot.org/MOBOT/research/APweb/orders/asparagalesweb.htm
https://floranorthamerica.org/Orchidaceae
https://powo.science.kew.org/taxon/urn:lsid:ipni.org:names:30000046-2/general-information
https://www.wildflower.org/collections/collection.php?collection=hays</x:v>
      </x:c>
      <x:c r="X461" s="215" t="str">
        <x:v>No — retain qualifiers and exceptions</x:v>
      </x:c>
      <x:c r="Y461" s="215" t="str">
        <x:v>Yes</x:v>
      </x:c>
      <x:c r="Z461" s="215" t="str">
        <x:v>Source-backed draft</x:v>
      </x:c>
    </x:row>
    <x:row r="462" ht="42" customHeight="1">
      <x:c r="A462" s="215" t="str">
        <x:v>Orchidaceae</x:v>
      </x:c>
      <x:c r="B462" s="215" t="str">
        <x:v>ORC-POLLINIA</x:v>
      </x:c>
      <x:c r="C462" s="215" t="str">
        <x:v>Family-wide, predominant</x:v>
      </x:c>
      <x:c r="D462" s="215" t="str">
        <x:v>Pollen</x:v>
      </x:c>
      <x:c r="E462" s="215" t="str">
        <x:v>Pollen usually aggregated into pollinia</x:v>
      </x:c>
      <x:c r="F462" s="215" t="str">
        <x:v>Core</x:v>
      </x:c>
      <x:c r="G462" s="215" t="str">
        <x:v>5</x:v>
      </x:c>
      <x:c r="H462" s="215" t="str">
        <x:v>High when examined</x:v>
      </x:c>
      <x:c r="I462" s="215" t="str">
        <x:v>Hand lens to microscope</x:v>
      </x:c>
      <x:c r="J462" s="215" t="str">
        <x:v>Fresh flowers</x:v>
      </x:c>
      <x:c r="K462" s="215" t="str">
        <x:v>Pollen is packaged into a few granular or waxy masses.</x:v>
      </x:c>
      <x:c r="L462" s="215" t="str">
        <x:v>Some basal orchids have less consolidated pollen and pollinia may be removed by pollinators.</x:v>
      </x:c>
      <x:c r="M462" s="215" t="str">
        <x:v>Use as close-range confirmation, not a required naked-eye feature.</x:v>
      </x:c>
      <x:c r="N462" s="215" t="str">
        <x:v>Useful for difficult local flowers when material is intact.</x:v>
      </x:c>
      <x:c r="O462" s="215" t="str">
        <x:v>Low</x:v>
      </x:c>
      <x:c r="P462" s="215" t="str">
        <x:v>No</x:v>
      </x:c>
      <x:c r="Q462" s="215" t="str"/>
      <x:c r="R462" s="215" t="str">
        <x:v>ORC-LK01; ORC-LK02</x:v>
      </x:c>
      <x:c r="S462" s="215" t="str">
        <x:v>APWEB-ORCH; FNA-ORCH; POWO-ORCH; LBJ-HAYS</x:v>
      </x:c>
      <x:c r="T462" s="215" t="str">
        <x:v>https://www.mobot.org/MOBOT/research/APweb/orders/asparagalesweb.htm</x:v>
      </x:c>
      <x:c r="U462" s="215" t="str">
        <x:v>https://floranorthamerica.org/Orchidaceae</x:v>
      </x:c>
      <x:c r="V462" s="215" t="str">
        <x:v>https://powo.science.kew.org/taxon/urn:lsid:ipni.org:names:30000046-2/general-information</x:v>
      </x:c>
      <x:c r="W462" s="215" t="str">
        <x:v>https://www.mobot.org/MOBOT/research/APweb/orders/asparagalesweb.htm
https://floranorthamerica.org/Orchidaceae
https://powo.science.kew.org/taxon/urn:lsid:ipni.org:names:30000046-2/general-information
https://www.wildflower.org/collections/collection.php?collection=hays</x:v>
      </x:c>
      <x:c r="X462" s="215" t="str">
        <x:v>No — retain qualifiers and exceptions</x:v>
      </x:c>
      <x:c r="Y462" s="215" t="str">
        <x:v>Yes</x:v>
      </x:c>
      <x:c r="Z462" s="215" t="str">
        <x:v>Source-backed draft</x:v>
      </x:c>
    </x:row>
    <x:row r="463" ht="42" customHeight="1">
      <x:c r="A463" s="215" t="str">
        <x:v>Orchidaceae</x:v>
      </x:c>
      <x:c r="B463" s="215" t="str">
        <x:v>ORC-OVARY</x:v>
      </x:c>
      <x:c r="C463" s="215" t="str">
        <x:v>Family-wide</x:v>
      </x:c>
      <x:c r="D463" s="215" t="str">
        <x:v>Gynoecium</x:v>
      </x:c>
      <x:c r="E463" s="215" t="str">
        <x:v>Ovary inferior and usually twisted in resupinate flowers</x:v>
      </x:c>
      <x:c r="F463" s="215" t="str">
        <x:v>Core</x:v>
      </x:c>
      <x:c r="G463" s="215" t="str">
        <x:v>5</x:v>
      </x:c>
      <x:c r="H463" s="215" t="str">
        <x:v>High</x:v>
      </x:c>
      <x:c r="I463" s="215" t="str">
        <x:v>Naked eye or hand lens</x:v>
      </x:c>
      <x:c r="J463" s="215" t="str">
        <x:v>Flowering or young fruit</x:v>
      </x:c>
      <x:c r="K463" s="215" t="str">
        <x:v>The ovary lies below the tepals and often forms the twisting stalk-like portion of the flower.</x:v>
      </x:c>
      <x:c r="L463" s="215" t="str">
        <x:v>Twisting is not universal and can be subtle.</x:v>
      </x:c>
      <x:c r="M463" s="215" t="str">
        <x:v>Pair inferior ovary with column and labellum.</x:v>
      </x:c>
      <x:c r="N463" s="215" t="str">
        <x:v>Strong field evidence on local flowering orchids.</x:v>
      </x:c>
      <x:c r="O463" s="215" t="str">
        <x:v>Low</x:v>
      </x:c>
      <x:c r="P463" s="215" t="str">
        <x:v>No</x:v>
      </x:c>
      <x:c r="Q463" s="215" t="str"/>
      <x:c r="R463" s="215" t="str">
        <x:v>ORC-LK01; ORC-LK02</x:v>
      </x:c>
      <x:c r="S463" s="215" t="str">
        <x:v>APWEB-ORCH; FNA-ORCH; POWO-ORCH; LBJ-HAYS</x:v>
      </x:c>
      <x:c r="T463" s="215" t="str">
        <x:v>https://www.mobot.org/MOBOT/research/APweb/orders/asparagalesweb.htm</x:v>
      </x:c>
      <x:c r="U463" s="215" t="str">
        <x:v>https://floranorthamerica.org/Orchidaceae</x:v>
      </x:c>
      <x:c r="V463" s="215" t="str">
        <x:v>https://powo.science.kew.org/taxon/urn:lsid:ipni.org:names:30000046-2/general-information</x:v>
      </x:c>
      <x:c r="W463" s="215" t="str">
        <x:v>https://www.mobot.org/MOBOT/research/APweb/orders/asparagalesweb.htm
https://floranorthamerica.org/Orchidaceae
https://powo.science.kew.org/taxon/urn:lsid:ipni.org:names:30000046-2/general-information
https://www.wildflower.org/collections/collection.php?collection=hays</x:v>
      </x:c>
      <x:c r="X463" s="215" t="str">
        <x:v>No — retain qualifiers and exceptions</x:v>
      </x:c>
      <x:c r="Y463" s="215" t="str">
        <x:v>Yes</x:v>
      </x:c>
      <x:c r="Z463" s="215" t="str">
        <x:v>Source-backed draft</x:v>
      </x:c>
    </x:row>
    <x:row r="464" ht="42" customHeight="1">
      <x:c r="A464" s="215" t="str">
        <x:v>Orchidaceae</x:v>
      </x:c>
      <x:c r="B464" s="215" t="str">
        <x:v>ORC-SEEDS</x:v>
      </x:c>
      <x:c r="C464" s="215" t="str">
        <x:v>Family-wide</x:v>
      </x:c>
      <x:c r="D464" s="215" t="str">
        <x:v>Fruit / seed</x:v>
      </x:c>
      <x:c r="E464" s="215" t="str">
        <x:v>Capsule contains very many dust-like seeds with little stored food</x:v>
      </x:c>
      <x:c r="F464" s="215" t="str">
        <x:v>Core</x:v>
      </x:c>
      <x:c r="G464" s="215" t="str">
        <x:v>5</x:v>
      </x:c>
      <x:c r="H464" s="215" t="str">
        <x:v>High</x:v>
      </x:c>
      <x:c r="I464" s="215" t="str">
        <x:v>Hand lens</x:v>
      </x:c>
      <x:c r="J464" s="215" t="str">
        <x:v>Mature fruit</x:v>
      </x:c>
      <x:c r="K464" s="215" t="str">
        <x:v>Orchid capsules release numerous extremely small seeds.</x:v>
      </x:c>
      <x:c r="L464" s="215" t="str">
        <x:v>A closed or immature capsule hides this feature and opening fruit is unnecessary.</x:v>
      </x:c>
      <x:c r="M464" s="215" t="str">
        <x:v>Use naturally dehisced capsules as strong late-season confirmation.</x:v>
      </x:c>
      <x:c r="N464" s="215" t="str">
        <x:v>Potentially useful after flowering in Hays without disturbing plants.</x:v>
      </x:c>
      <x:c r="O464" s="215" t="str">
        <x:v>Low</x:v>
      </x:c>
      <x:c r="P464" s="215" t="str">
        <x:v>No</x:v>
      </x:c>
      <x:c r="Q464" s="215" t="str"/>
      <x:c r="R464" s="215" t="str">
        <x:v>ORC-LK01; ORC-LK02</x:v>
      </x:c>
      <x:c r="S464" s="215" t="str">
        <x:v>APWEB-ORCH; FNA-ORCH; POWO-ORCH; LBJ-HAYS</x:v>
      </x:c>
      <x:c r="T464" s="215" t="str">
        <x:v>https://www.mobot.org/MOBOT/research/APweb/orders/asparagalesweb.htm</x:v>
      </x:c>
      <x:c r="U464" s="215" t="str">
        <x:v>https://floranorthamerica.org/Orchidaceae</x:v>
      </x:c>
      <x:c r="V464" s="215" t="str">
        <x:v>https://powo.science.kew.org/taxon/urn:lsid:ipni.org:names:30000046-2/general-information</x:v>
      </x:c>
      <x:c r="W464" s="215" t="str">
        <x:v>https://www.mobot.org/MOBOT/research/APweb/orders/asparagalesweb.htm
https://floranorthamerica.org/Orchidaceae
https://powo.science.kew.org/taxon/urn:lsid:ipni.org:names:30000046-2/general-information
https://www.wildflower.org/collections/collection.php?collection=hays</x:v>
      </x:c>
      <x:c r="X464" s="215" t="str">
        <x:v>No — retain qualifiers and exceptions</x:v>
      </x:c>
      <x:c r="Y464" s="215" t="str">
        <x:v>Yes</x:v>
      </x:c>
      <x:c r="Z464" s="215" t="str">
        <x:v>Source-backed draft</x:v>
      </x:c>
    </x:row>
    <x:row r="465" ht="42" customHeight="1">
      <x:c r="A465" s="215" t="str">
        <x:v>Orchidaceae</x:v>
      </x:c>
      <x:c r="B465" s="215" t="str">
        <x:v>ORC-LK01</x:v>
      </x:c>
      <x:c r="C465" s="215" t="str">
        <x:v>Lookalike comparison</x:v>
      </x:c>
      <x:c r="D465" s="215" t="str">
        <x:v>Lookalike</x:v>
      </x:c>
      <x:c r="E465" s="215" t="str">
        <x:v>Versus Asparagaceae: column, labellum, pollinia, and inferior ovary favor Orchidaceae</x:v>
      </x:c>
      <x:c r="F465" s="215" t="str">
        <x:v>Lookalike</x:v>
      </x:c>
      <x:c r="G465" s="215" t="str">
        <x:v>5</x:v>
      </x:c>
      <x:c r="H465" s="215" t="str">
        <x:v>High</x:v>
      </x:c>
      <x:c r="I465" s="215" t="str">
        <x:v>Hand lens</x:v>
      </x:c>
      <x:c r="J465" s="215" t="str">
        <x:v>Flowering</x:v>
      </x:c>
      <x:c r="K465" s="215" t="str">
        <x:v>Both are monocot herbs, but Asparagaceae usually has separate stamens, no orchid column, and no pollinia.</x:v>
      </x:c>
      <x:c r="L465" s="215" t="str">
        <x:v>Sterile plants may remain unresolved.</x:v>
      </x:c>
      <x:c r="M465" s="215" t="str">
        <x:v>Require reproductive evidence when rare orchids are suspected.</x:v>
      </x:c>
      <x:c r="N465" s="215" t="str">
        <x:v>Asparagaceae already has first-pass coverage.</x:v>
      </x:c>
      <x:c r="O465" s="215" t="str">
        <x:v>Low</x:v>
      </x:c>
      <x:c r="P465" s="215" t="str">
        <x:v>No</x:v>
      </x:c>
      <x:c r="Q465" s="215" t="str"/>
      <x:c r="R465" s="215" t="str">
        <x:v>ORC-TEPALS; ORC-COLUMN; ORC-POLLINIA</x:v>
      </x:c>
      <x:c r="S465" s="215" t="str">
        <x:v>APWEB-ORCH; FNA-ORCH; POWO-ORCH; LBJ-HAYS</x:v>
      </x:c>
      <x:c r="T465" s="215" t="str">
        <x:v>https://www.mobot.org/MOBOT/research/APweb/orders/asparagalesweb.htm</x:v>
      </x:c>
      <x:c r="U465" s="215" t="str">
        <x:v>https://floranorthamerica.org/Orchidaceae</x:v>
      </x:c>
      <x:c r="V465" s="215" t="str">
        <x:v>https://powo.science.kew.org/taxon/urn:lsid:ipni.org:names:30000046-2/general-information</x:v>
      </x:c>
      <x:c r="W465" s="215" t="str">
        <x:v>https://www.mobot.org/MOBOT/research/APweb/orders/asparagalesweb.htm
https://floranorthamerica.org/Orchidaceae
https://powo.science.kew.org/taxon/urn:lsid:ipni.org:names:30000046-2/general-information
https://www.wildflower.org/collections/collection.php?collection=hays</x:v>
      </x:c>
      <x:c r="X465" s="215" t="str">
        <x:v>No — retain qualifiers and exceptions</x:v>
      </x:c>
      <x:c r="Y465" s="215" t="str">
        <x:v>Yes</x:v>
      </x:c>
      <x:c r="Z465" s="215" t="str">
        <x:v>Source-backed draft</x:v>
      </x:c>
    </x:row>
    <x:row r="466" ht="42" customHeight="1">
      <x:c r="A466" s="215" t="str">
        <x:v>Orchidaceae</x:v>
      </x:c>
      <x:c r="B466" s="215" t="str">
        <x:v>ORC-LK02</x:v>
      </x:c>
      <x:c r="C466" s="215" t="str">
        <x:v>Lookalike comparison</x:v>
      </x:c>
      <x:c r="D466" s="215" t="str">
        <x:v>Lookalike</x:v>
      </x:c>
      <x:c r="E466" s="215" t="str">
        <x:v>Versus Iridaceae: orchid column and pollinia versus three separate stamens in Iridaceae</x:v>
      </x:c>
      <x:c r="F466" s="215" t="str">
        <x:v>Lookalike</x:v>
      </x:c>
      <x:c r="G466" s="215" t="str">
        <x:v>5</x:v>
      </x:c>
      <x:c r="H466" s="215" t="str">
        <x:v>High</x:v>
      </x:c>
      <x:c r="I466" s="215" t="str">
        <x:v>Hand lens</x:v>
      </x:c>
      <x:c r="J466" s="215" t="str">
        <x:v>Flowering</x:v>
      </x:c>
      <x:c r="K466" s="215" t="str">
        <x:v>Both can have showy bilateral flowers and inferior ovaries, but only orchids fuse sexual organs into a column and package pollen into pollinia.</x:v>
      </x:c>
      <x:c r="L466" s="215" t="str">
        <x:v>Tiny or damaged flowers can conceal the distinction.</x:v>
      </x:c>
      <x:c r="M466" s="215" t="str">
        <x:v>Inspect the flower center before assigning family.</x:v>
      </x:c>
      <x:c r="N466" s="215" t="str">
        <x:v>Iridaceae has not yet received reciprocal first-pass evidence.</x:v>
      </x:c>
      <x:c r="O466" s="215" t="str">
        <x:v>Medium</x:v>
      </x:c>
      <x:c r="P466" s="215" t="str">
        <x:v>Yes</x:v>
      </x:c>
      <x:c r="Q466" s="215" t="str">
        <x:v>Reciprocal Iridaceae family and Hays lookalike rows are not yet in the master.</x:v>
      </x:c>
      <x:c r="R466" s="215" t="str">
        <x:v>ORC-COLUMN; ORC-POLLINIA</x:v>
      </x:c>
      <x:c r="S466" s="215" t="str">
        <x:v>APWEB-ORCH; FNA-ORCH; POWO-ORCH; LBJ-HAYS</x:v>
      </x:c>
      <x:c r="T466" s="215" t="str">
        <x:v>https://www.mobot.org/MOBOT/research/APweb/orders/asparagalesweb.htm</x:v>
      </x:c>
      <x:c r="U466" s="215" t="str">
        <x:v>https://floranorthamerica.org/Orchidaceae</x:v>
      </x:c>
      <x:c r="V466" s="215" t="str">
        <x:v>https://powo.science.kew.org/taxon/urn:lsid:ipni.org:names:30000046-2/general-information</x:v>
      </x:c>
      <x:c r="W466" s="215" t="str">
        <x:v>https://www.mobot.org/MOBOT/research/APweb/orders/asparagalesweb.htm
https://floranorthamerica.org/Orchidaceae
https://powo.science.kew.org/taxon/urn:lsid:ipni.org:names:30000046-2/general-information
https://www.wildflower.org/collections/collection.php?collection=hays</x:v>
      </x:c>
      <x:c r="X466" s="215" t="str">
        <x:v>No — retain qualifiers and exceptions</x:v>
      </x:c>
      <x:c r="Y466" s="215" t="str">
        <x:v>Yes</x:v>
      </x:c>
      <x:c r="Z466" s="215" t="str">
        <x:v>Human review required</x:v>
      </x:c>
    </x:row>
    <x:row r="467" ht="42" customHeight="1">
      <x:c r="A467" s="215" t="str">
        <x:v>Salicaceae</x:v>
      </x:c>
      <x:c r="B467" s="215" t="str">
        <x:v>SAL-HABIT</x:v>
      </x:c>
      <x:c r="C467" s="215" t="str">
        <x:v>Local salicoid route</x:v>
      </x:c>
      <x:c r="D467" s="215" t="str">
        <x:v>Habit</x:v>
      </x:c>
      <x:c r="E467" s="215" t="str">
        <x:v>Dioecious trees or shrubs</x:v>
      </x:c>
      <x:c r="F467" s="215" t="str">
        <x:v>Strong</x:v>
      </x:c>
      <x:c r="G467" s="215" t="str">
        <x:v>4</x:v>
      </x:c>
      <x:c r="H467" s="215" t="str">
        <x:v>High</x:v>
      </x:c>
      <x:c r="I467" s="215" t="str">
        <x:v>Naked eye</x:v>
      </x:c>
      <x:c r="J467" s="215" t="str">
        <x:v>Any season</x:v>
      </x:c>
      <x:c r="K467" s="215" t="str">
        <x:v>Local willows and cottonwoods are woody plants with male and female flowers on separate plants.</x:v>
      </x:c>
      <x:c r="L467" s="215" t="str">
        <x:v>Current broad Salicaceae also includes many non-salicoid tropical lineages, so this is not universal to the accepted family.</x:v>
      </x:c>
      <x:c r="M467" s="215" t="str">
        <x:v>Use for local Salix/Populus routing only.</x:v>
      </x:c>
      <x:c r="N467" s="215" t="str">
        <x:v>Highly relevant along Hays waterways and riparian corridors.</x:v>
      </x:c>
      <x:c r="O467" s="215" t="str">
        <x:v>Medium</x:v>
      </x:c>
      <x:c r="P467" s="215" t="str">
        <x:v>No</x:v>
      </x:c>
      <x:c r="Q467" s="215" t="str"/>
      <x:c r="R467" s="215" t="str">
        <x:v>SAL-LK01; SAL-LK02</x:v>
      </x:c>
      <x:c r="S467" s="215" t="str">
        <x:v>APWEB-SALI; FNA-SALI; POWO-SALI; LBJ-HAYS</x:v>
      </x:c>
      <x:c r="T467" s="215" t="str">
        <x:v>https://www.mobot.org/MOBOT/research/APweb/orders/malpighialesweb.htm</x:v>
      </x:c>
      <x:c r="U467" s="215" t="str">
        <x:v>https://floranorthamerica.org/Salicaceae</x:v>
      </x:c>
      <x:c r="V467" s="215" t="str">
        <x:v>https://powo.science.kew.org/taxon/urn:lsid:ipni.org:names:30002644-2/general-information</x:v>
      </x:c>
      <x:c r="W467" s="215" t="str">
        <x:v>https://www.mobot.org/MOBOT/research/APweb/orders/malpighialesweb.htm
https://floranorthamerica.org/Salicaceae
https://powo.science.kew.org/taxon/urn:lsid:ipni.org:names:30002644-2/general-information
https://www.wildflower.org/collections/collection.php?collection=hays</x:v>
      </x:c>
      <x:c r="X467" s="215" t="str">
        <x:v>No — retain qualifiers and exceptions</x:v>
      </x:c>
      <x:c r="Y467" s="215" t="str">
        <x:v>Yes</x:v>
      </x:c>
      <x:c r="Z467" s="215" t="str">
        <x:v>Source-backed draft</x:v>
      </x:c>
    </x:row>
    <x:row r="468" ht="42" customHeight="1">
      <x:c r="A468" s="215" t="str">
        <x:v>Salicaceae</x:v>
      </x:c>
      <x:c r="B468" s="215" t="str">
        <x:v>SAL-LEAVES</x:v>
      </x:c>
      <x:c r="C468" s="215" t="str">
        <x:v>Local salicoid route</x:v>
      </x:c>
      <x:c r="D468" s="215" t="str">
        <x:v>Leaf</x:v>
      </x:c>
      <x:c r="E468" s="215" t="str">
        <x:v>Leaves alternate, simple, usually toothed; stipules present but often deciduous</x:v>
      </x:c>
      <x:c r="F468" s="215" t="str">
        <x:v>Strong</x:v>
      </x:c>
      <x:c r="G468" s="215" t="str">
        <x:v>4</x:v>
      </x:c>
      <x:c r="H468" s="215" t="str">
        <x:v>High</x:v>
      </x:c>
      <x:c r="I468" s="215" t="str">
        <x:v>Naked eye</x:v>
      </x:c>
      <x:c r="J468" s="215" t="str">
        <x:v>Vegetative</x:v>
      </x:c>
      <x:c r="K468" s="215" t="str">
        <x:v>Willows and cottonwoods commonly have single alternate leaves with toothed margins.</x:v>
      </x:c>
      <x:c r="L468" s="215" t="str">
        <x:v>Margins can be nearly entire and stipules may fall early; broad Salicaceae is more variable.</x:v>
      </x:c>
      <x:c r="M468" s="215" t="str">
        <x:v>Use with buds, catkins, and fruit.</x:v>
      </x:c>
      <x:c r="N468" s="215" t="str">
        <x:v>Practical on local riparian Salix and Populus.</x:v>
      </x:c>
      <x:c r="O468" s="215" t="str">
        <x:v>Low</x:v>
      </x:c>
      <x:c r="P468" s="215" t="str">
        <x:v>No</x:v>
      </x:c>
      <x:c r="Q468" s="215" t="str"/>
      <x:c r="R468" s="215" t="str">
        <x:v>SAL-LK01; SAL-LK02</x:v>
      </x:c>
      <x:c r="S468" s="215" t="str">
        <x:v>APWEB-SALI; FNA-SALI; POWO-SALI; LBJ-HAYS</x:v>
      </x:c>
      <x:c r="T468" s="215" t="str">
        <x:v>https://www.mobot.org/MOBOT/research/APweb/orders/malpighialesweb.htm</x:v>
      </x:c>
      <x:c r="U468" s="215" t="str">
        <x:v>https://floranorthamerica.org/Salicaceae</x:v>
      </x:c>
      <x:c r="V468" s="215" t="str">
        <x:v>https://powo.science.kew.org/taxon/urn:lsid:ipni.org:names:30002644-2/general-information</x:v>
      </x:c>
      <x:c r="W468" s="215" t="str">
        <x:v>https://www.mobot.org/MOBOT/research/APweb/orders/malpighialesweb.htm
https://floranorthamerica.org/Salicaceae
https://powo.science.kew.org/taxon/urn:lsid:ipni.org:names:30002644-2/general-information
https://www.wildflower.org/collections/collection.php?collection=hays</x:v>
      </x:c>
      <x:c r="X468" s="215" t="str">
        <x:v>No — retain qualifiers and exceptions</x:v>
      </x:c>
      <x:c r="Y468" s="215" t="str">
        <x:v>Yes</x:v>
      </x:c>
      <x:c r="Z468" s="215" t="str">
        <x:v>Source-backed draft</x:v>
      </x:c>
    </x:row>
    <x:row r="469" ht="42" customHeight="1">
      <x:c r="A469" s="215" t="str">
        <x:v>Salicaceae</x:v>
      </x:c>
      <x:c r="B469" s="215" t="str">
        <x:v>SAL-BUDS</x:v>
      </x:c>
      <x:c r="C469" s="215" t="str">
        <x:v>Local salicoid route</x:v>
      </x:c>
      <x:c r="D469" s="215" t="str">
        <x:v>Bud</x:v>
      </x:c>
      <x:c r="E469" s="215" t="str">
        <x:v>Buds often covered by a single visible scale in Salix; Populus buds differ</x:v>
      </x:c>
      <x:c r="F469" s="215" t="str">
        <x:v>Supporting</x:v>
      </x:c>
      <x:c r="G469" s="215" t="str">
        <x:v>3</x:v>
      </x:c>
      <x:c r="H469" s="215" t="str">
        <x:v>Moderate</x:v>
      </x:c>
      <x:c r="I469" s="215" t="str">
        <x:v>Naked eye or hand lens</x:v>
      </x:c>
      <x:c r="J469" s="215" t="str">
        <x:v>Dormant twigs</x:v>
      </x:c>
      <x:c r="K469" s="215" t="str">
        <x:v>A single cap-like bud scale is a useful willow character.</x:v>
      </x:c>
      <x:c r="L469" s="215" t="str">
        <x:v>This does not apply across Populus or broad Salicaceae and is a genus-level route.</x:v>
      </x:c>
      <x:c r="M469" s="215" t="str">
        <x:v>Use only after recognizing a salicoid woody plant.</x:v>
      </x:c>
      <x:c r="N469" s="215" t="str">
        <x:v>Useful for winter Hays willow identification.</x:v>
      </x:c>
      <x:c r="O469" s="215" t="str">
        <x:v>Low</x:v>
      </x:c>
      <x:c r="P469" s="215" t="str">
        <x:v>No</x:v>
      </x:c>
      <x:c r="Q469" s="215" t="str"/>
      <x:c r="R469" s="215" t="str">
        <x:v>SAL-LK01</x:v>
      </x:c>
      <x:c r="S469" s="215" t="str">
        <x:v>APWEB-SALI; FNA-SALI; POWO-SALI; LBJ-HAYS</x:v>
      </x:c>
      <x:c r="T469" s="215" t="str">
        <x:v>https://www.mobot.org/MOBOT/research/APweb/orders/malpighialesweb.htm</x:v>
      </x:c>
      <x:c r="U469" s="215" t="str">
        <x:v>https://floranorthamerica.org/Salicaceae</x:v>
      </x:c>
      <x:c r="V469" s="215" t="str">
        <x:v>https://powo.science.kew.org/taxon/urn:lsid:ipni.org:names:30002644-2/general-information</x:v>
      </x:c>
      <x:c r="W469" s="215" t="str">
        <x:v>https://www.mobot.org/MOBOT/research/APweb/orders/malpighialesweb.htm
https://floranorthamerica.org/Salicaceae
https://powo.science.kew.org/taxon/urn:lsid:ipni.org:names:30002644-2/general-information
https://www.wildflower.org/collections/collection.php?collection=hays</x:v>
      </x:c>
      <x:c r="X469" s="215" t="str">
        <x:v>No — retain qualifiers and exceptions</x:v>
      </x:c>
      <x:c r="Y469" s="215" t="str">
        <x:v>Yes</x:v>
      </x:c>
      <x:c r="Z469" s="215" t="str">
        <x:v>Source-backed draft</x:v>
      </x:c>
    </x:row>
    <x:row r="470" ht="42" customHeight="1">
      <x:c r="A470" s="215" t="str">
        <x:v>Salicaceae</x:v>
      </x:c>
      <x:c r="B470" s="215" t="str">
        <x:v>SAL-CATKINS</x:v>
      </x:c>
      <x:c r="C470" s="215" t="str">
        <x:v>Local salicoid route</x:v>
      </x:c>
      <x:c r="D470" s="215" t="str">
        <x:v>Inflorescence</x:v>
      </x:c>
      <x:c r="E470" s="215" t="str">
        <x:v>Flowers grouped in catkins</x:v>
      </x:c>
      <x:c r="F470" s="215" t="str">
        <x:v>Core</x:v>
      </x:c>
      <x:c r="G470" s="215" t="str">
        <x:v>5</x:v>
      </x:c>
      <x:c r="H470" s="215" t="str">
        <x:v>High</x:v>
      </x:c>
      <x:c r="I470" s="215" t="str">
        <x:v>Naked eye</x:v>
      </x:c>
      <x:c r="J470" s="215" t="str">
        <x:v>Flowering</x:v>
      </x:c>
      <x:c r="K470" s="215" t="str">
        <x:v>Many tiny flowers form elongated or compact catkins.</x:v>
      </x:c>
      <x:c r="L470" s="215" t="str">
        <x:v>Broad Salicaceae includes other inflorescence forms, and catkins are shared with unrelated woody families.</x:v>
      </x:c>
      <x:c r="M470" s="215" t="str">
        <x:v>Combine with unisexual reduced flowers, ovary, and cottony seeds.</x:v>
      </x:c>
      <x:c r="N470" s="215" t="str">
        <x:v>Highly visible on flowering Hays willows and cottonwoods.</x:v>
      </x:c>
      <x:c r="O470" s="215" t="str">
        <x:v>Low</x:v>
      </x:c>
      <x:c r="P470" s="215" t="str">
        <x:v>No</x:v>
      </x:c>
      <x:c r="Q470" s="215" t="str"/>
      <x:c r="R470" s="215" t="str">
        <x:v>SAL-LK01; SAL-LK02</x:v>
      </x:c>
      <x:c r="S470" s="215" t="str">
        <x:v>APWEB-SALI; FNA-SALI; POWO-SALI; LBJ-HAYS</x:v>
      </x:c>
      <x:c r="T470" s="215" t="str">
        <x:v>https://www.mobot.org/MOBOT/research/APweb/orders/malpighialesweb.htm</x:v>
      </x:c>
      <x:c r="U470" s="215" t="str">
        <x:v>https://floranorthamerica.org/Salicaceae</x:v>
      </x:c>
      <x:c r="V470" s="215" t="str">
        <x:v>https://powo.science.kew.org/taxon/urn:lsid:ipni.org:names:30002644-2/general-information</x:v>
      </x:c>
      <x:c r="W470" s="215" t="str">
        <x:v>https://www.mobot.org/MOBOT/research/APweb/orders/malpighialesweb.htm
https://floranorthamerica.org/Salicaceae
https://powo.science.kew.org/taxon/urn:lsid:ipni.org:names:30002644-2/general-information
https://www.wildflower.org/collections/collection.php?collection=hays</x:v>
      </x:c>
      <x:c r="X470" s="215" t="str">
        <x:v>No — retain qualifiers and exceptions</x:v>
      </x:c>
      <x:c r="Y470" s="215" t="str">
        <x:v>Yes</x:v>
      </x:c>
      <x:c r="Z470" s="215" t="str">
        <x:v>Source-backed draft</x:v>
      </x:c>
    </x:row>
    <x:row r="471" ht="42" customHeight="1">
      <x:c r="A471" s="215" t="str">
        <x:v>Salicaceae</x:v>
      </x:c>
      <x:c r="B471" s="215" t="str">
        <x:v>SAL-FLOWER</x:v>
      </x:c>
      <x:c r="C471" s="215" t="str">
        <x:v>Local salicoid route</x:v>
      </x:c>
      <x:c r="D471" s="215" t="str">
        <x:v>Flower</x:v>
      </x:c>
      <x:c r="E471" s="215" t="str">
        <x:v>Flowers unisexual, strongly reduced, usually lacking an obvious perianth</x:v>
      </x:c>
      <x:c r="F471" s="215" t="str">
        <x:v>Core</x:v>
      </x:c>
      <x:c r="G471" s="215" t="str">
        <x:v>5</x:v>
      </x:c>
      <x:c r="H471" s="215" t="str">
        <x:v>High</x:v>
      </x:c>
      <x:c r="I471" s="215" t="str">
        <x:v>Hand lens</x:v>
      </x:c>
      <x:c r="J471" s="215" t="str">
        <x:v>Fresh catkins</x:v>
      </x:c>
      <x:c r="K471" s="215" t="str">
        <x:v>Each catkin flower is male or female and has little or no showy perianth.</x:v>
      </x:c>
      <x:c r="L471" s="215" t="str">
        <x:v>Broad-family lineages can have bisexual flowers and a developed perianth.</x:v>
      </x:c>
      <x:c r="M471" s="215" t="str">
        <x:v>Use only within the local Salix/Populus route.</x:v>
      </x:c>
      <x:c r="N471" s="215" t="str">
        <x:v>Strong local family evidence when catkins are intact.</x:v>
      </x:c>
      <x:c r="O471" s="215" t="str">
        <x:v>Medium</x:v>
      </x:c>
      <x:c r="P471" s="215" t="str">
        <x:v>No</x:v>
      </x:c>
      <x:c r="Q471" s="215" t="str"/>
      <x:c r="R471" s="215" t="str">
        <x:v>SAL-LK01; SAL-LK02</x:v>
      </x:c>
      <x:c r="S471" s="215" t="str">
        <x:v>APWEB-SALI; FNA-SALI; POWO-SALI; LBJ-HAYS</x:v>
      </x:c>
      <x:c r="T471" s="215" t="str">
        <x:v>https://www.mobot.org/MOBOT/research/APweb/orders/malpighialesweb.htm</x:v>
      </x:c>
      <x:c r="U471" s="215" t="str">
        <x:v>https://floranorthamerica.org/Salicaceae</x:v>
      </x:c>
      <x:c r="V471" s="215" t="str">
        <x:v>https://powo.science.kew.org/taxon/urn:lsid:ipni.org:names:30002644-2/general-information</x:v>
      </x:c>
      <x:c r="W471" s="215" t="str">
        <x:v>https://www.mobot.org/MOBOT/research/APweb/orders/malpighialesweb.htm
https://floranorthamerica.org/Salicaceae
https://powo.science.kew.org/taxon/urn:lsid:ipni.org:names:30002644-2/general-information
https://www.wildflower.org/collections/collection.php?collection=hays</x:v>
      </x:c>
      <x:c r="X471" s="215" t="str">
        <x:v>No — retain qualifiers and exceptions</x:v>
      </x:c>
      <x:c r="Y471" s="215" t="str">
        <x:v>Yes</x:v>
      </x:c>
      <x:c r="Z471" s="215" t="str">
        <x:v>Source-backed draft</x:v>
      </x:c>
    </x:row>
    <x:row r="472" ht="42" customHeight="1">
      <x:c r="A472" s="215" t="str">
        <x:v>Salicaceae</x:v>
      </x:c>
      <x:c r="B472" s="215" t="str">
        <x:v>SAL-GLAND</x:v>
      </x:c>
      <x:c r="C472" s="215" t="str">
        <x:v>Local salicoid route</x:v>
      </x:c>
      <x:c r="D472" s="215" t="str">
        <x:v>Flower</x:v>
      </x:c>
      <x:c r="E472" s="215" t="str">
        <x:v>One or more nectar glands or a disc associated with reduced flowers</x:v>
      </x:c>
      <x:c r="F472" s="215" t="str">
        <x:v>Supporting</x:v>
      </x:c>
      <x:c r="G472" s="215" t="str">
        <x:v>3</x:v>
      </x:c>
      <x:c r="H472" s="215" t="str">
        <x:v>Moderate</x:v>
      </x:c>
      <x:c r="I472" s="215" t="str">
        <x:v>Hand lens</x:v>
      </x:c>
      <x:c r="J472" s="215" t="str">
        <x:v>Fresh catkins</x:v>
      </x:c>
      <x:c r="K472" s="215" t="str">
        <x:v>Small glands replace a showy perianth around local willow or cottonwood flowers.</x:v>
      </x:c>
      <x:c r="L472" s="215" t="str">
        <x:v>Number and shape differ between genera and may be hard to see.</x:v>
      </x:c>
      <x:c r="M472" s="215" t="str">
        <x:v>Use as supporting evidence in catkin dissection.</x:v>
      </x:c>
      <x:c r="N472" s="215" t="str">
        <x:v>Useful for detailed Hays identification.</x:v>
      </x:c>
      <x:c r="O472" s="215" t="str">
        <x:v>Low</x:v>
      </x:c>
      <x:c r="P472" s="215" t="str">
        <x:v>No</x:v>
      </x:c>
      <x:c r="Q472" s="215" t="str"/>
      <x:c r="R472" s="215" t="str">
        <x:v>SAL-LK01</x:v>
      </x:c>
      <x:c r="S472" s="215" t="str">
        <x:v>APWEB-SALI; FNA-SALI; POWO-SALI; LBJ-HAYS</x:v>
      </x:c>
      <x:c r="T472" s="215" t="str">
        <x:v>https://www.mobot.org/MOBOT/research/APweb/orders/malpighialesweb.htm</x:v>
      </x:c>
      <x:c r="U472" s="215" t="str">
        <x:v>https://floranorthamerica.org/Salicaceae</x:v>
      </x:c>
      <x:c r="V472" s="215" t="str">
        <x:v>https://powo.science.kew.org/taxon/urn:lsid:ipni.org:names:30002644-2/general-information</x:v>
      </x:c>
      <x:c r="W472" s="215" t="str">
        <x:v>https://www.mobot.org/MOBOT/research/APweb/orders/malpighialesweb.htm
https://floranorthamerica.org/Salicaceae
https://powo.science.kew.org/taxon/urn:lsid:ipni.org:names:30002644-2/general-information
https://www.wildflower.org/collections/collection.php?collection=hays</x:v>
      </x:c>
      <x:c r="X472" s="215" t="str">
        <x:v>No — retain qualifiers and exceptions</x:v>
      </x:c>
      <x:c r="Y472" s="215" t="str">
        <x:v>Yes</x:v>
      </x:c>
      <x:c r="Z472" s="215" t="str">
        <x:v>Source-backed draft</x:v>
      </x:c>
    </x:row>
    <x:row r="473" ht="42" customHeight="1">
      <x:c r="A473" s="215" t="str">
        <x:v>Salicaceae</x:v>
      </x:c>
      <x:c r="B473" s="215" t="str">
        <x:v>SAL-OVARY</x:v>
      </x:c>
      <x:c r="C473" s="215" t="str">
        <x:v>Local salicoid route</x:v>
      </x:c>
      <x:c r="D473" s="215" t="str">
        <x:v>Gynoecium</x:v>
      </x:c>
      <x:c r="E473" s="215" t="str">
        <x:v>Ovary superior, one-locular, with parietal placentation</x:v>
      </x:c>
      <x:c r="F473" s="215" t="str">
        <x:v>Core</x:v>
      </x:c>
      <x:c r="G473" s="215" t="str">
        <x:v>5</x:v>
      </x:c>
      <x:c r="H473" s="215" t="str">
        <x:v>High</x:v>
      </x:c>
      <x:c r="I473" s="215" t="str">
        <x:v>Hand lens or dissection</x:v>
      </x:c>
      <x:c r="J473" s="215" t="str">
        <x:v>Female catkins or young fruit</x:v>
      </x:c>
      <x:c r="K473" s="215" t="str">
        <x:v>The female flower has one chamber with ovules attached to the inner walls.</x:v>
      </x:c>
      <x:c r="L473" s="215" t="str">
        <x:v>This is a local salicoid pattern and may require dissection.</x:v>
      </x:c>
      <x:c r="M473" s="215" t="str">
        <x:v>Use with capsule and hairy seeds to separate other catkin families.</x:v>
      </x:c>
      <x:c r="N473" s="215" t="str">
        <x:v>Strong confirmation for Hays Salix/Populus.</x:v>
      </x:c>
      <x:c r="O473" s="215" t="str">
        <x:v>Low</x:v>
      </x:c>
      <x:c r="P473" s="215" t="str">
        <x:v>No</x:v>
      </x:c>
      <x:c r="Q473" s="215" t="str"/>
      <x:c r="R473" s="215" t="str">
        <x:v>SAL-LK01; SAL-LK02</x:v>
      </x:c>
      <x:c r="S473" s="215" t="str">
        <x:v>APWEB-SALI; FNA-SALI; POWO-SALI; LBJ-HAYS</x:v>
      </x:c>
      <x:c r="T473" s="215" t="str">
        <x:v>https://www.mobot.org/MOBOT/research/APweb/orders/malpighialesweb.htm</x:v>
      </x:c>
      <x:c r="U473" s="215" t="str">
        <x:v>https://floranorthamerica.org/Salicaceae</x:v>
      </x:c>
      <x:c r="V473" s="215" t="str">
        <x:v>https://powo.science.kew.org/taxon/urn:lsid:ipni.org:names:30002644-2/general-information</x:v>
      </x:c>
      <x:c r="W473" s="215" t="str">
        <x:v>https://www.mobot.org/MOBOT/research/APweb/orders/malpighialesweb.htm
https://floranorthamerica.org/Salicaceae
https://powo.science.kew.org/taxon/urn:lsid:ipni.org:names:30002644-2/general-information
https://www.wildflower.org/collections/collection.php?collection=hays</x:v>
      </x:c>
      <x:c r="X473" s="215" t="str">
        <x:v>No — retain qualifiers and exceptions</x:v>
      </x:c>
      <x:c r="Y473" s="215" t="str">
        <x:v>Yes</x:v>
      </x:c>
      <x:c r="Z473" s="215" t="str">
        <x:v>Source-backed draft</x:v>
      </x:c>
    </x:row>
    <x:row r="474" ht="42" customHeight="1">
      <x:c r="A474" s="215" t="str">
        <x:v>Salicaceae</x:v>
      </x:c>
      <x:c r="B474" s="215" t="str">
        <x:v>SAL-FRUIT</x:v>
      </x:c>
      <x:c r="C474" s="215" t="str">
        <x:v>Local salicoid route</x:v>
      </x:c>
      <x:c r="D474" s="215" t="str">
        <x:v>Fruit</x:v>
      </x:c>
      <x:c r="E474" s="215" t="str">
        <x:v>Capsule opens by valves</x:v>
      </x:c>
      <x:c r="F474" s="215" t="str">
        <x:v>Core</x:v>
      </x:c>
      <x:c r="G474" s="215" t="str">
        <x:v>5</x:v>
      </x:c>
      <x:c r="H474" s="215" t="str">
        <x:v>High</x:v>
      </x:c>
      <x:c r="I474" s="215" t="str">
        <x:v>Naked eye or hand lens</x:v>
      </x:c>
      <x:c r="J474" s="215" t="str">
        <x:v>Mature fruit</x:v>
      </x:c>
      <x:c r="K474" s="215" t="str">
        <x:v>The dry fruit splits open to release many seeds.</x:v>
      </x:c>
      <x:c r="L474" s="215" t="str">
        <x:v>Broad Salicaceae includes berries and other fruit types outside Salix/Populus.</x:v>
      </x:c>
      <x:c r="M474" s="215" t="str">
        <x:v>Use only within the salicoid route and pair with seed hairs.</x:v>
      </x:c>
      <x:c r="N474" s="215" t="str">
        <x:v>Highly useful in Hays riparian material.</x:v>
      </x:c>
      <x:c r="O474" s="215" t="str">
        <x:v>Low</x:v>
      </x:c>
      <x:c r="P474" s="215" t="str">
        <x:v>No</x:v>
      </x:c>
      <x:c r="Q474" s="215" t="str"/>
      <x:c r="R474" s="215" t="str">
        <x:v>SAL-LK01; SAL-LK02</x:v>
      </x:c>
      <x:c r="S474" s="215" t="str">
        <x:v>APWEB-SALI; FNA-SALI; POWO-SALI; LBJ-HAYS</x:v>
      </x:c>
      <x:c r="T474" s="215" t="str">
        <x:v>https://www.mobot.org/MOBOT/research/APweb/orders/malpighialesweb.htm</x:v>
      </x:c>
      <x:c r="U474" s="215" t="str">
        <x:v>https://floranorthamerica.org/Salicaceae</x:v>
      </x:c>
      <x:c r="V474" s="215" t="str">
        <x:v>https://powo.science.kew.org/taxon/urn:lsid:ipni.org:names:30002644-2/general-information</x:v>
      </x:c>
      <x:c r="W474" s="215" t="str">
        <x:v>https://www.mobot.org/MOBOT/research/APweb/orders/malpighialesweb.htm
https://floranorthamerica.org/Salicaceae
https://powo.science.kew.org/taxon/urn:lsid:ipni.org:names:30002644-2/general-information
https://www.wildflower.org/collections/collection.php?collection=hays</x:v>
      </x:c>
      <x:c r="X474" s="215" t="str">
        <x:v>No — retain qualifiers and exceptions</x:v>
      </x:c>
      <x:c r="Y474" s="215" t="str">
        <x:v>Yes</x:v>
      </x:c>
      <x:c r="Z474" s="215" t="str">
        <x:v>Source-backed draft</x:v>
      </x:c>
    </x:row>
    <x:row r="475" ht="42" customHeight="1">
      <x:c r="A475" s="215" t="str">
        <x:v>Salicaceae</x:v>
      </x:c>
      <x:c r="B475" s="215" t="str">
        <x:v>SAL-SEEDS</x:v>
      </x:c>
      <x:c r="C475" s="215" t="str">
        <x:v>Local salicoid route</x:v>
      </x:c>
      <x:c r="D475" s="215" t="str">
        <x:v>Seed</x:v>
      </x:c>
      <x:c r="E475" s="215" t="str">
        <x:v>Seeds numerous and tufted with long silky hairs</x:v>
      </x:c>
      <x:c r="F475" s="215" t="str">
        <x:v>Core</x:v>
      </x:c>
      <x:c r="G475" s="215" t="str">
        <x:v>5</x:v>
      </x:c>
      <x:c r="H475" s="215" t="str">
        <x:v>High</x:v>
      </x:c>
      <x:c r="I475" s="215" t="str">
        <x:v>Naked eye</x:v>
      </x:c>
      <x:c r="J475" s="215" t="str">
        <x:v>Mature dehiscing fruit</x:v>
      </x:c>
      <x:c r="K475" s="215" t="str">
        <x:v>Released seeds form cottony masses that aid wind dispersal.</x:v>
      </x:c>
      <x:c r="L475" s="215" t="str">
        <x:v>Seed hairs are visible only briefly and are absent from many broad-family lineages.</x:v>
      </x:c>
      <x:c r="M475" s="215" t="str">
        <x:v>A strong seasonal confirmation for willow and cottonwood relatives.</x:v>
      </x:c>
      <x:c r="N475" s="215" t="str">
        <x:v>Conspicuous along Hays waterways during seed release.</x:v>
      </x:c>
      <x:c r="O475" s="215" t="str">
        <x:v>Low</x:v>
      </x:c>
      <x:c r="P475" s="215" t="str">
        <x:v>No</x:v>
      </x:c>
      <x:c r="Q475" s="215" t="str"/>
      <x:c r="R475" s="215" t="str">
        <x:v>SAL-LK01; SAL-LK02</x:v>
      </x:c>
      <x:c r="S475" s="215" t="str">
        <x:v>APWEB-SALI; FNA-SALI; POWO-SALI; LBJ-HAYS</x:v>
      </x:c>
      <x:c r="T475" s="215" t="str">
        <x:v>https://www.mobot.org/MOBOT/research/APweb/orders/malpighialesweb.htm</x:v>
      </x:c>
      <x:c r="U475" s="215" t="str">
        <x:v>https://floranorthamerica.org/Salicaceae</x:v>
      </x:c>
      <x:c r="V475" s="215" t="str">
        <x:v>https://powo.science.kew.org/taxon/urn:lsid:ipni.org:names:30002644-2/general-information</x:v>
      </x:c>
      <x:c r="W475" s="215" t="str">
        <x:v>https://www.mobot.org/MOBOT/research/APweb/orders/malpighialesweb.htm
https://floranorthamerica.org/Salicaceae
https://powo.science.kew.org/taxon/urn:lsid:ipni.org:names:30002644-2/general-information
https://www.wildflower.org/collections/collection.php?collection=hays</x:v>
      </x:c>
      <x:c r="X475" s="215" t="str">
        <x:v>No — retain qualifiers and exceptions</x:v>
      </x:c>
      <x:c r="Y475" s="215" t="str">
        <x:v>Yes</x:v>
      </x:c>
      <x:c r="Z475" s="215" t="str">
        <x:v>Source-backed draft</x:v>
      </x:c>
    </x:row>
    <x:row r="476" ht="42" customHeight="1">
      <x:c r="A476" s="215" t="str">
        <x:v>Salicaceae</x:v>
      </x:c>
      <x:c r="B476" s="215" t="str">
        <x:v>SAL-TAXON</x:v>
      </x:c>
      <x:c r="C476" s="215" t="str">
        <x:v>Taxonomy / source reconciliation</x:v>
      </x:c>
      <x:c r="D476" s="215" t="str">
        <x:v>Taxonomy</x:v>
      </x:c>
      <x:c r="E476" s="215" t="str">
        <x:v>Current broad Salicaceae extends beyond the traditional Salix–Populus concept</x:v>
      </x:c>
      <x:c r="F476" s="215" t="str">
        <x:v>Caution</x:v>
      </x:c>
      <x:c r="G476" s="215" t="str">
        <x:v>0</x:v>
      </x:c>
      <x:c r="H476" s="215" t="str">
        <x:v>High</x:v>
      </x:c>
      <x:c r="I476" s="215" t="str">
        <x:v>Not field-visible</x:v>
      </x:c>
      <x:c r="J476" s="215" t="str">
        <x:v>Any material</x:v>
      </x:c>
      <x:c r="K476" s="215" t="str">
        <x:v>Modern Salicaceae includes former Flacourtiaceae lineages with very different flowers and fruits.</x:v>
      </x:c>
      <x:c r="L476" s="215" t="str">
        <x:v>FNA and many field keys emphasize salicoid genera, so those traits must not be labeled universal for broad Salicaceae.</x:v>
      </x:c>
      <x:c r="M476" s="215" t="str">
        <x:v>Keep all local willow/cottonwood characters explicitly scoped and audit any Hays genera outside Salix/Populus.</x:v>
      </x:c>
      <x:c r="N476" s="215" t="str">
        <x:v>The carried Hays need is strongly salicoid, but the authoritative county inventory still requires genus reconciliation.</x:v>
      </x:c>
      <x:c r="O476" s="215" t="str">
        <x:v>Medium</x:v>
      </x:c>
      <x:c r="P476" s="215" t="str">
        <x:v>Yes</x:v>
      </x:c>
      <x:c r="Q476" s="215" t="str">
        <x:v>Broad POWO Salicaceae and practical salicoid treatments need a later local-genus reconciliation pass.</x:v>
      </x:c>
      <x:c r="R476" s="215" t="str">
        <x:v>SAL-LK01; SAL-LK02</x:v>
      </x:c>
      <x:c r="S476" s="215" t="str">
        <x:v>APWEB-SALI; FNA-SALI; POWO-SALI; LBJ-HAYS</x:v>
      </x:c>
      <x:c r="T476" s="215" t="str">
        <x:v>https://www.mobot.org/MOBOT/research/APweb/orders/malpighialesweb.htm</x:v>
      </x:c>
      <x:c r="U476" s="215" t="str">
        <x:v>https://floranorthamerica.org/Salicaceae</x:v>
      </x:c>
      <x:c r="V476" s="215" t="str">
        <x:v>https://powo.science.kew.org/taxon/urn:lsid:ipni.org:names:30002644-2/general-information</x:v>
      </x:c>
      <x:c r="W476" s="215" t="str">
        <x:v>https://www.mobot.org/MOBOT/research/APweb/orders/malpighialesweb.htm
https://floranorthamerica.org/Salicaceae
https://powo.science.kew.org/taxon/urn:lsid:ipni.org:names:30002644-2/general-information
https://www.wildflower.org/collections/collection.php?collection=hays</x:v>
      </x:c>
      <x:c r="X476" s="215" t="str">
        <x:v>No — retain qualifiers and exceptions</x:v>
      </x:c>
      <x:c r="Y476" s="215" t="str">
        <x:v>Yes</x:v>
      </x:c>
      <x:c r="Z476" s="215" t="str">
        <x:v>Human review required</x:v>
      </x:c>
    </x:row>
    <x:row r="477" ht="42" customHeight="1">
      <x:c r="A477" s="215" t="str">
        <x:v>Salicaceae</x:v>
      </x:c>
      <x:c r="B477" s="215" t="str">
        <x:v>SAL-LK01</x:v>
      </x:c>
      <x:c r="C477" s="215" t="str">
        <x:v>Lookalike comparison</x:v>
      </x:c>
      <x:c r="D477" s="215" t="str">
        <x:v>Lookalike</x:v>
      </x:c>
      <x:c r="E477" s="215" t="str">
        <x:v>Versus Betulaceae: cottony seeds in valved capsules favor Salicaceae; nutlets with bracts favor Betulaceae</x:v>
      </x:c>
      <x:c r="F477" s="215" t="str">
        <x:v>Lookalike</x:v>
      </x:c>
      <x:c r="G477" s="215" t="str">
        <x:v>5</x:v>
      </x:c>
      <x:c r="H477" s="215" t="str">
        <x:v>High</x:v>
      </x:c>
      <x:c r="I477" s="215" t="str">
        <x:v>Naked eye or hand lens</x:v>
      </x:c>
      <x:c r="J477" s="215" t="str">
        <x:v>Mature fruit</x:v>
      </x:c>
      <x:c r="K477" s="215" t="str">
        <x:v>Both form catkins on woody plants, but their female fruits and seeds differ sharply.</x:v>
      </x:c>
      <x:c r="L477" s="215" t="str">
        <x:v>Before fruiting, sterile or male material can remain ambiguous.</x:v>
      </x:c>
      <x:c r="M477" s="215" t="str">
        <x:v>Use mature female structures whenever possible.</x:v>
      </x:c>
      <x:c r="N477" s="215" t="str">
        <x:v>Betulaceae has not yet received reciprocal first-pass evidence.</x:v>
      </x:c>
      <x:c r="O477" s="215" t="str">
        <x:v>Medium</x:v>
      </x:c>
      <x:c r="P477" s="215" t="str">
        <x:v>Yes</x:v>
      </x:c>
      <x:c r="Q477" s="215" t="str">
        <x:v>Reciprocal Betulaceae family and catkin-lookalike rows are not yet in the master.</x:v>
      </x:c>
      <x:c r="R477" s="215" t="str">
        <x:v>SAL-CATKINS; SAL-FRUIT; SAL-SEEDS</x:v>
      </x:c>
      <x:c r="S477" s="215" t="str">
        <x:v>APWEB-SALI; FNA-SALI; POWO-SALI; LBJ-HAYS</x:v>
      </x:c>
      <x:c r="T477" s="215" t="str">
        <x:v>https://www.mobot.org/MOBOT/research/APweb/orders/malpighialesweb.htm</x:v>
      </x:c>
      <x:c r="U477" s="215" t="str">
        <x:v>https://floranorthamerica.org/Salicaceae</x:v>
      </x:c>
      <x:c r="V477" s="215" t="str">
        <x:v>https://powo.science.kew.org/taxon/urn:lsid:ipni.org:names:30002644-2/general-information</x:v>
      </x:c>
      <x:c r="W477" s="215" t="str">
        <x:v>https://www.mobot.org/MOBOT/research/APweb/orders/malpighialesweb.htm
https://floranorthamerica.org/Salicaceae
https://powo.science.kew.org/taxon/urn:lsid:ipni.org:names:30002644-2/general-information
https://www.wildflower.org/collections/collection.php?collection=hays</x:v>
      </x:c>
      <x:c r="X477" s="215" t="str">
        <x:v>No — retain qualifiers and exceptions</x:v>
      </x:c>
      <x:c r="Y477" s="215" t="str">
        <x:v>Yes</x:v>
      </x:c>
      <x:c r="Z477" s="215" t="str">
        <x:v>Human review required</x:v>
      </x:c>
    </x:row>
    <x:row r="478" ht="42" customHeight="1">
      <x:c r="A478" s="215" t="str">
        <x:v>Salicaceae</x:v>
      </x:c>
      <x:c r="B478" s="215" t="str">
        <x:v>SAL-LK02</x:v>
      </x:c>
      <x:c r="C478" s="215" t="str">
        <x:v>Lookalike comparison</x:v>
      </x:c>
      <x:c r="D478" s="215" t="str">
        <x:v>Lookalike</x:v>
      </x:c>
      <x:c r="E478" s="215" t="str">
        <x:v>Versus Fagaceae: valved capsules with cottony seeds favor Salicaceae; one-seeded nuts in cups favor Fagaceae</x:v>
      </x:c>
      <x:c r="F478" s="215" t="str">
        <x:v>Lookalike</x:v>
      </x:c>
      <x:c r="G478" s="215" t="str">
        <x:v>5</x:v>
      </x:c>
      <x:c r="H478" s="215" t="str">
        <x:v>High</x:v>
      </x:c>
      <x:c r="I478" s="215" t="str">
        <x:v>Naked eye</x:v>
      </x:c>
      <x:c r="J478" s="215" t="str">
        <x:v>Mature fruit</x:v>
      </x:c>
      <x:c r="K478" s="215" t="str">
        <x:v>Both can be wind-pollinated woody plants, but mature fruits are unmistakably different.</x:v>
      </x:c>
      <x:c r="L478" s="215" t="str">
        <x:v>This comparison is less useful before fruiting.</x:v>
      </x:c>
      <x:c r="M478" s="215" t="str">
        <x:v>Use fruit first and leaf or bud characters second.</x:v>
      </x:c>
      <x:c r="N478" s="215" t="str">
        <x:v>Fagaceae already has first-pass coverage.</x:v>
      </x:c>
      <x:c r="O478" s="215" t="str">
        <x:v>Low</x:v>
      </x:c>
      <x:c r="P478" s="215" t="str">
        <x:v>No</x:v>
      </x:c>
      <x:c r="Q478" s="215" t="str"/>
      <x:c r="R478" s="215" t="str">
        <x:v>SAL-FRUIT; SAL-SEEDS</x:v>
      </x:c>
      <x:c r="S478" s="215" t="str">
        <x:v>APWEB-SALI; FNA-SALI; POWO-SALI; LBJ-HAYS</x:v>
      </x:c>
      <x:c r="T478" s="215" t="str">
        <x:v>https://www.mobot.org/MOBOT/research/APweb/orders/malpighialesweb.htm</x:v>
      </x:c>
      <x:c r="U478" s="215" t="str">
        <x:v>https://floranorthamerica.org/Salicaceae</x:v>
      </x:c>
      <x:c r="V478" s="215" t="str">
        <x:v>https://powo.science.kew.org/taxon/urn:lsid:ipni.org:names:30002644-2/general-information</x:v>
      </x:c>
      <x:c r="W478" s="215" t="str">
        <x:v>https://www.mobot.org/MOBOT/research/APweb/orders/malpighialesweb.htm
https://floranorthamerica.org/Salicaceae
https://powo.science.kew.org/taxon/urn:lsid:ipni.org:names:30002644-2/general-information
https://www.wildflower.org/collections/collection.php?collection=hays</x:v>
      </x:c>
      <x:c r="X478" s="215" t="str">
        <x:v>No — retain qualifiers and exceptions</x:v>
      </x:c>
      <x:c r="Y478" s="215" t="str">
        <x:v>Yes</x:v>
      </x:c>
      <x:c r="Z478" s="215" t="str">
        <x:v>Source-backed draft</x:v>
      </x:c>
    </x:row>
    <x:row r="479" ht="42" customHeight="1">
      <x:c r="A479" s="215" t="str">
        <x:v>Betulaceae</x:v>
      </x:c>
      <x:c r="B479" s="215" t="str">
        <x:v>BET-HABIT</x:v>
      </x:c>
      <x:c r="C479" s="215" t="str">
        <x:v>Family character</x:v>
      </x:c>
      <x:c r="D479" s="215" t="str">
        <x:v>Habit</x:v>
      </x:c>
      <x:c r="E479" s="215" t="str">
        <x:v>Deciduous trees or shrubs</x:v>
      </x:c>
      <x:c r="F479" s="215" t="str">
        <x:v>Strong</x:v>
      </x:c>
      <x:c r="G479" s="215" t="str">
        <x:v>2</x:v>
      </x:c>
      <x:c r="H479" s="215" t="str">
        <x:v>High</x:v>
      </x:c>
      <x:c r="I479" s="215" t="str">
        <x:v>Naked eye or hand lens</x:v>
      </x:c>
      <x:c r="J479" s="215" t="str">
        <x:v>Any leafy material</x:v>
      </x:c>
      <x:c r="K479" s="215" t="str">
        <x:v>Look first for a woody deciduous plant rather than an herbaceous catkin mimic.</x:v>
      </x:c>
      <x:c r="L479" s="215" t="str">
        <x:v>Habit alone is weak and overlaps Salicaceae and Fagaceae.</x:v>
      </x:c>
      <x:c r="M479" s="215" t="str">
        <x:v>Use only as the opening character in a woody reproductive suite.</x:v>
      </x:c>
      <x:c r="N479" s="215" t="str">
        <x:v>Relevant Hays material is chiefly riparian or mesic-woodland catkin-bearing woody plants; county presence remains tied to the carried authoritative inventory.</x:v>
      </x:c>
      <x:c r="O479" s="215" t="str">
        <x:v>Low</x:v>
      </x:c>
      <x:c r="P479" s="215" t="str">
        <x:v>No</x:v>
      </x:c>
      <x:c r="Q479" s="215" t="str"/>
      <x:c r="R479" s="215" t="str"/>
      <x:c r="S479" s="215" t="str">
        <x:v>APWEB-BETU; FNA-BETU; POWO-BETU; LBJ-HAYS</x:v>
      </x:c>
      <x:c r="T479" s="215" t="str">
        <x:v>https://www.mobot.org/MOBOT/research/APweb/orders/fagalesweb.htm</x:v>
      </x:c>
      <x:c r="U479" s="215" t="str">
        <x:v>https://floranorthamerica.org/Betulaceae</x:v>
      </x:c>
      <x:c r="V479" s="215" t="str">
        <x:v>https://powo.science.kew.org/taxon/urn:lsid:ipni.org:names:77126723-1/general-information</x:v>
      </x:c>
      <x:c r="W479" s="215" t="str">
        <x:v>https://www.mobot.org/MOBOT/research/APweb/orders/fagalesweb.htm
https://floranorthamerica.org/Betulaceae
https://powo.science.kew.org/taxon/urn:lsid:ipni.org:names:77126723-1/general-information
https://www.wildflower.org/collections/collection.php?collection=hays</x:v>
      </x:c>
      <x:c r="X479" s="215" t="str">
        <x:v>No — retain qualifiers and exceptions</x:v>
      </x:c>
      <x:c r="Y479" s="215" t="str">
        <x:v>Yes</x:v>
      </x:c>
      <x:c r="Z479" s="215" t="str">
        <x:v>Source-backed draft</x:v>
      </x:c>
    </x:row>
    <x:row r="480" ht="42" customHeight="1">
      <x:c r="A480" s="215" t="str">
        <x:v>Betulaceae</x:v>
      </x:c>
      <x:c r="B480" s="215" t="str">
        <x:v>BET-BUDS</x:v>
      </x:c>
      <x:c r="C480" s="215" t="str">
        <x:v>Family character</x:v>
      </x:c>
      <x:c r="D480" s="215" t="str">
        <x:v>Stems / buds</x:v>
      </x:c>
      <x:c r="E480" s="215" t="str">
        <x:v>Winter buds usually scaly; terminal bud absent in many lineages</x:v>
      </x:c>
      <x:c r="F480" s="215" t="str">
        <x:v>Supporting</x:v>
      </x:c>
      <x:c r="G480" s="215" t="str">
        <x:v>2</x:v>
      </x:c>
      <x:c r="H480" s="215" t="str">
        <x:v>High</x:v>
      </x:c>
      <x:c r="I480" s="215" t="str">
        <x:v>Hand lens</x:v>
      </x:c>
      <x:c r="J480" s="215" t="str">
        <x:v>Dormant twigs</x:v>
      </x:c>
      <x:c r="K480" s="215" t="str">
        <x:v>Bud form can support family recognition outside the flowering season.</x:v>
      </x:c>
      <x:c r="L480" s="215" t="str">
        <x:v>Bud characters vary among genera and require intact twigs.</x:v>
      </x:c>
      <x:c r="M480" s="215" t="str">
        <x:v>Combine twig buds with alternate leaves and reproductive structures.</x:v>
      </x:c>
      <x:c r="N480" s="215" t="str">
        <x:v>Relevant Hays material is chiefly riparian or mesic-woodland catkin-bearing woody plants; county presence remains tied to the carried authoritative inventory.</x:v>
      </x:c>
      <x:c r="O480" s="215" t="str">
        <x:v>Low</x:v>
      </x:c>
      <x:c r="P480" s="215" t="str">
        <x:v>No</x:v>
      </x:c>
      <x:c r="Q480" s="215" t="str"/>
      <x:c r="R480" s="215" t="str"/>
      <x:c r="S480" s="215" t="str">
        <x:v>APWEB-BETU; FNA-BETU; POWO-BETU; LBJ-HAYS</x:v>
      </x:c>
      <x:c r="T480" s="215" t="str">
        <x:v>https://www.mobot.org/MOBOT/research/APweb/orders/fagalesweb.htm</x:v>
      </x:c>
      <x:c r="U480" s="215" t="str">
        <x:v>https://floranorthamerica.org/Betulaceae</x:v>
      </x:c>
      <x:c r="V480" s="215" t="str">
        <x:v>https://powo.science.kew.org/taxon/urn:lsid:ipni.org:names:77126723-1/general-information</x:v>
      </x:c>
      <x:c r="W480" s="215" t="str">
        <x:v>https://www.mobot.org/MOBOT/research/APweb/orders/fagalesweb.htm
https://floranorthamerica.org/Betulaceae
https://powo.science.kew.org/taxon/urn:lsid:ipni.org:names:77126723-1/general-information
https://www.wildflower.org/collections/collection.php?collection=hays</x:v>
      </x:c>
      <x:c r="X480" s="215" t="str">
        <x:v>No — retain qualifiers and exceptions</x:v>
      </x:c>
      <x:c r="Y480" s="215" t="str">
        <x:v>Yes</x:v>
      </x:c>
      <x:c r="Z480" s="215" t="str">
        <x:v>Source-backed draft</x:v>
      </x:c>
    </x:row>
    <x:row r="481" ht="42" customHeight="1">
      <x:c r="A481" s="215" t="str">
        <x:v>Betulaceae</x:v>
      </x:c>
      <x:c r="B481" s="215" t="str">
        <x:v>BET-LEAVES</x:v>
      </x:c>
      <x:c r="C481" s="215" t="str">
        <x:v>Family character</x:v>
      </x:c>
      <x:c r="D481" s="215" t="str">
        <x:v>Leaves / stipules</x:v>
      </x:c>
      <x:c r="E481" s="215" t="str">
        <x:v>Leaves alternate, simple, usually toothed; stipules deciduous</x:v>
      </x:c>
      <x:c r="F481" s="215" t="str">
        <x:v>Strong</x:v>
      </x:c>
      <x:c r="G481" s="215" t="str">
        <x:v>4</x:v>
      </x:c>
      <x:c r="H481" s="215" t="str">
        <x:v>High</x:v>
      </x:c>
      <x:c r="I481" s="215" t="str">
        <x:v>Naked eye or hand lens</x:v>
      </x:c>
      <x:c r="J481" s="215" t="str">
        <x:v>Leafy shoots</x:v>
      </x:c>
      <x:c r="K481" s="215" t="str">
        <x:v>A toothed simple leaf on an alternate twig is common in the family.</x:v>
      </x:c>
      <x:c r="L481" s="215" t="str">
        <x:v>Margins can be less toothed, and fallen stipules may leave only scars.</x:v>
      </x:c>
      <x:c r="M481" s="215" t="str">
        <x:v>Pair leaf arrangement with catkins or mature fruit.</x:v>
      </x:c>
      <x:c r="N481" s="215" t="str">
        <x:v>Relevant Hays material is chiefly riparian or mesic-woodland catkin-bearing woody plants; county presence remains tied to the carried authoritative inventory.</x:v>
      </x:c>
      <x:c r="O481" s="215" t="str">
        <x:v>Low</x:v>
      </x:c>
      <x:c r="P481" s="215" t="str">
        <x:v>No</x:v>
      </x:c>
      <x:c r="Q481" s="215" t="str"/>
      <x:c r="R481" s="215" t="str">
        <x:v>BET-LK01; BET-LK02</x:v>
      </x:c>
      <x:c r="S481" s="215" t="str">
        <x:v>APWEB-BETU; FNA-BETU; POWO-BETU; LBJ-HAYS</x:v>
      </x:c>
      <x:c r="T481" s="215" t="str">
        <x:v>https://www.mobot.org/MOBOT/research/APweb/orders/fagalesweb.htm</x:v>
      </x:c>
      <x:c r="U481" s="215" t="str">
        <x:v>https://floranorthamerica.org/Betulaceae</x:v>
      </x:c>
      <x:c r="V481" s="215" t="str">
        <x:v>https://powo.science.kew.org/taxon/urn:lsid:ipni.org:names:77126723-1/general-information</x:v>
      </x:c>
      <x:c r="W481" s="215" t="str">
        <x:v>https://www.mobot.org/MOBOT/research/APweb/orders/fagalesweb.htm
https://floranorthamerica.org/Betulaceae
https://powo.science.kew.org/taxon/urn:lsid:ipni.org:names:77126723-1/general-information
https://www.wildflower.org/collections/collection.php?collection=hays</x:v>
      </x:c>
      <x:c r="X481" s="215" t="str">
        <x:v>No — retain qualifiers and exceptions</x:v>
      </x:c>
      <x:c r="Y481" s="215" t="str">
        <x:v>Yes</x:v>
      </x:c>
      <x:c r="Z481" s="215" t="str">
        <x:v>Source-backed draft</x:v>
      </x:c>
    </x:row>
    <x:row r="482" ht="42" customHeight="1">
      <x:c r="A482" s="215" t="str">
        <x:v>Betulaceae</x:v>
      </x:c>
      <x:c r="B482" s="215" t="str">
        <x:v>BET-CATKINS</x:v>
      </x:c>
      <x:c r="C482" s="215" t="str">
        <x:v>Family character</x:v>
      </x:c>
      <x:c r="D482" s="215" t="str">
        <x:v>Inflorescence</x:v>
      </x:c>
      <x:c r="E482" s="215" t="str">
        <x:v>Flowers unisexual; staminate flowers in pendulous catkins and pistillate flowers in catkins or compact clusters</x:v>
      </x:c>
      <x:c r="F482" s="215" t="str">
        <x:v>Strong</x:v>
      </x:c>
      <x:c r="G482" s="215" t="str">
        <x:v>5</x:v>
      </x:c>
      <x:c r="H482" s="215" t="str">
        <x:v>High</x:v>
      </x:c>
      <x:c r="I482" s="215" t="str">
        <x:v>Naked eye or hand lens</x:v>
      </x:c>
      <x:c r="J482" s="215" t="str">
        <x:v>Flowering or fruiting material</x:v>
      </x:c>
      <x:c r="K482" s="215" t="str">
        <x:v>Male catkins are obvious, while female structures mature into bracted fruiting clusters.</x:v>
      </x:c>
      <x:c r="L482" s="215" t="str">
        <x:v>Sexes and inflorescence form vary by genus; sterile twigs are not decisive.</x:v>
      </x:c>
      <x:c r="M482" s="215" t="str">
        <x:v>Search for both male and female structures, then confirm fruit type.</x:v>
      </x:c>
      <x:c r="N482" s="215" t="str">
        <x:v>Relevant Hays material is chiefly riparian or mesic-woodland catkin-bearing woody plants; county presence remains tied to the carried authoritative inventory.</x:v>
      </x:c>
      <x:c r="O482" s="215" t="str">
        <x:v>Low</x:v>
      </x:c>
      <x:c r="P482" s="215" t="str">
        <x:v>No</x:v>
      </x:c>
      <x:c r="Q482" s="215" t="str"/>
      <x:c r="R482" s="215" t="str">
        <x:v>BET-LK01; BET-LK02</x:v>
      </x:c>
      <x:c r="S482" s="215" t="str">
        <x:v>APWEB-BETU; FNA-BETU; POWO-BETU; LBJ-HAYS</x:v>
      </x:c>
      <x:c r="T482" s="215" t="str">
        <x:v>https://www.mobot.org/MOBOT/research/APweb/orders/fagalesweb.htm</x:v>
      </x:c>
      <x:c r="U482" s="215" t="str">
        <x:v>https://floranorthamerica.org/Betulaceae</x:v>
      </x:c>
      <x:c r="V482" s="215" t="str">
        <x:v>https://powo.science.kew.org/taxon/urn:lsid:ipni.org:names:77126723-1/general-information</x:v>
      </x:c>
      <x:c r="W482" s="215" t="str">
        <x:v>https://www.mobot.org/MOBOT/research/APweb/orders/fagalesweb.htm
https://floranorthamerica.org/Betulaceae
https://powo.science.kew.org/taxon/urn:lsid:ipni.org:names:77126723-1/general-information
https://www.wildflower.org/collections/collection.php?collection=hays</x:v>
      </x:c>
      <x:c r="X482" s="215" t="str">
        <x:v>No — retain qualifiers and exceptions</x:v>
      </x:c>
      <x:c r="Y482" s="215" t="str">
        <x:v>Yes</x:v>
      </x:c>
      <x:c r="Z482" s="215" t="str">
        <x:v>Source-backed draft</x:v>
      </x:c>
    </x:row>
    <x:row r="483" ht="42" customHeight="1">
      <x:c r="A483" s="215" t="str">
        <x:v>Betulaceae</x:v>
      </x:c>
      <x:c r="B483" s="215" t="str">
        <x:v>BET-FLOWER</x:v>
      </x:c>
      <x:c r="C483" s="215" t="str">
        <x:v>Family character</x:v>
      </x:c>
      <x:c r="D483" s="215" t="str">
        <x:v>Flowers</x:v>
      </x:c>
      <x:c r="E483" s="215" t="str">
        <x:v>Flowers small, reduced, unisexual, and wind-pollinated; perianth absent or inconspicuous</x:v>
      </x:c>
      <x:c r="F483" s="215" t="str">
        <x:v>Moderate</x:v>
      </x:c>
      <x:c r="G483" s="215" t="str">
        <x:v>3</x:v>
      </x:c>
      <x:c r="H483" s="215" t="str">
        <x:v>High</x:v>
      </x:c>
      <x:c r="I483" s="215" t="str">
        <x:v>Hand lens</x:v>
      </x:c>
      <x:c r="J483" s="215" t="str">
        <x:v>Fresh catkins</x:v>
      </x:c>
      <x:c r="K483" s="215" t="str">
        <x:v>Do not expect showy petals; the catkin scales and bracts dominate.</x:v>
      </x:c>
      <x:c r="L483" s="215" t="str">
        <x:v>Reduced flowers overlap several wind-pollinated woody families.</x:v>
      </x:c>
      <x:c r="M483" s="215" t="str">
        <x:v>Treat as supporting evidence only after habit and inflorescence.</x:v>
      </x:c>
      <x:c r="N483" s="215" t="str">
        <x:v>Relevant Hays material is chiefly riparian or mesic-woodland catkin-bearing woody plants; county presence remains tied to the carried authoritative inventory.</x:v>
      </x:c>
      <x:c r="O483" s="215" t="str">
        <x:v>Low</x:v>
      </x:c>
      <x:c r="P483" s="215" t="str">
        <x:v>No</x:v>
      </x:c>
      <x:c r="Q483" s="215" t="str"/>
      <x:c r="R483" s="215" t="str"/>
      <x:c r="S483" s="215" t="str">
        <x:v>APWEB-BETU; FNA-BETU; POWO-BETU; LBJ-HAYS</x:v>
      </x:c>
      <x:c r="T483" s="215" t="str">
        <x:v>https://www.mobot.org/MOBOT/research/APweb/orders/fagalesweb.htm</x:v>
      </x:c>
      <x:c r="U483" s="215" t="str">
        <x:v>https://floranorthamerica.org/Betulaceae</x:v>
      </x:c>
      <x:c r="V483" s="215" t="str">
        <x:v>https://powo.science.kew.org/taxon/urn:lsid:ipni.org:names:77126723-1/general-information</x:v>
      </x:c>
      <x:c r="W483" s="215" t="str">
        <x:v>https://www.mobot.org/MOBOT/research/APweb/orders/fagalesweb.htm
https://floranorthamerica.org/Betulaceae
https://powo.science.kew.org/taxon/urn:lsid:ipni.org:names:77126723-1/general-information
https://www.wildflower.org/collections/collection.php?collection=hays</x:v>
      </x:c>
      <x:c r="X483" s="215" t="str">
        <x:v>No — retain qualifiers and exceptions</x:v>
      </x:c>
      <x:c r="Y483" s="215" t="str">
        <x:v>Yes</x:v>
      </x:c>
      <x:c r="Z483" s="215" t="str">
        <x:v>Source-backed draft</x:v>
      </x:c>
    </x:row>
    <x:row r="484" ht="42" customHeight="1">
      <x:c r="A484" s="215" t="str">
        <x:v>Betulaceae</x:v>
      </x:c>
      <x:c r="B484" s="215" t="str">
        <x:v>BET-OVARY</x:v>
      </x:c>
      <x:c r="C484" s="215" t="str">
        <x:v>Family character</x:v>
      </x:c>
      <x:c r="D484" s="215" t="str">
        <x:v>Gynoecium</x:v>
      </x:c>
      <x:c r="E484" s="215" t="str">
        <x:v>Ovary inferior, usually 2-locular, with 2 styles</x:v>
      </x:c>
      <x:c r="F484" s="215" t="str">
        <x:v>Strong</x:v>
      </x:c>
      <x:c r="G484" s="215" t="str">
        <x:v>4</x:v>
      </x:c>
      <x:c r="H484" s="215" t="str">
        <x:v>High</x:v>
      </x:c>
      <x:c r="I484" s="215" t="str">
        <x:v>Hand lens or dissection</x:v>
      </x:c>
      <x:c r="J484" s="215" t="str">
        <x:v>Fresh pistillate flowers</x:v>
      </x:c>
      <x:c r="K484" s="215" t="str">
        <x:v>Two styles on a tiny female flower support Betulaceae.</x:v>
      </x:c>
      <x:c r="L484" s="215" t="str">
        <x:v>Dissection is often required and the mature fruit obscures the ovary.</x:v>
      </x:c>
      <x:c r="M484" s="215" t="str">
        <x:v>Use under magnification when fruit characters are unavailable.</x:v>
      </x:c>
      <x:c r="N484" s="215" t="str">
        <x:v>Relevant Hays material is chiefly riparian or mesic-woodland catkin-bearing woody plants; county presence remains tied to the carried authoritative inventory.</x:v>
      </x:c>
      <x:c r="O484" s="215" t="str">
        <x:v>Low</x:v>
      </x:c>
      <x:c r="P484" s="215" t="str">
        <x:v>No</x:v>
      </x:c>
      <x:c r="Q484" s="215" t="str"/>
      <x:c r="R484" s="215" t="str"/>
      <x:c r="S484" s="215" t="str">
        <x:v>APWEB-BETU; FNA-BETU; POWO-BETU; LBJ-HAYS</x:v>
      </x:c>
      <x:c r="T484" s="215" t="str">
        <x:v>https://www.mobot.org/MOBOT/research/APweb/orders/fagalesweb.htm</x:v>
      </x:c>
      <x:c r="U484" s="215" t="str">
        <x:v>https://floranorthamerica.org/Betulaceae</x:v>
      </x:c>
      <x:c r="V484" s="215" t="str">
        <x:v>https://powo.science.kew.org/taxon/urn:lsid:ipni.org:names:77126723-1/general-information</x:v>
      </x:c>
      <x:c r="W484" s="215" t="str">
        <x:v>https://www.mobot.org/MOBOT/research/APweb/orders/fagalesweb.htm
https://floranorthamerica.org/Betulaceae
https://powo.science.kew.org/taxon/urn:lsid:ipni.org:names:77126723-1/general-information
https://www.wildflower.org/collections/collection.php?collection=hays</x:v>
      </x:c>
      <x:c r="X484" s="215" t="str">
        <x:v>No — retain qualifiers and exceptions</x:v>
      </x:c>
      <x:c r="Y484" s="215" t="str">
        <x:v>Yes</x:v>
      </x:c>
      <x:c r="Z484" s="215" t="str">
        <x:v>Source-backed draft</x:v>
      </x:c>
    </x:row>
    <x:row r="485" ht="42" customHeight="1">
      <x:c r="A485" s="215" t="str">
        <x:v>Betulaceae</x:v>
      </x:c>
      <x:c r="B485" s="215" t="str">
        <x:v>BET-FRUIT</x:v>
      </x:c>
      <x:c r="C485" s="215" t="str">
        <x:v>Family character</x:v>
      </x:c>
      <x:c r="D485" s="215" t="str">
        <x:v>Fruit</x:v>
      </x:c>
      <x:c r="E485" s="215" t="str">
        <x:v>Fruit a one-seeded nut or nutlet, sometimes winged as a samara</x:v>
      </x:c>
      <x:c r="F485" s="215" t="str">
        <x:v>Strong</x:v>
      </x:c>
      <x:c r="G485" s="215" t="str">
        <x:v>5</x:v>
      </x:c>
      <x:c r="H485" s="215" t="str">
        <x:v>High</x:v>
      </x:c>
      <x:c r="I485" s="215" t="str">
        <x:v>Naked eye or hand lens</x:v>
      </x:c>
      <x:c r="J485" s="215" t="str">
        <x:v>Mature fruit</x:v>
      </x:c>
      <x:c r="K485" s="215" t="str">
        <x:v>Mature female structures hold dry one-seeded fruits, not cottony-seeded capsules.</x:v>
      </x:c>
      <x:c r="L485" s="215" t="str">
        <x:v>Wings and nut size vary markedly by genus.</x:v>
      </x:c>
      <x:c r="M485" s="215" t="str">
        <x:v>This is the best separator from Salicaceae once mature.</x:v>
      </x:c>
      <x:c r="N485" s="215" t="str">
        <x:v>Relevant Hays material is chiefly riparian or mesic-woodland catkin-bearing woody plants; county presence remains tied to the carried authoritative inventory.</x:v>
      </x:c>
      <x:c r="O485" s="215" t="str">
        <x:v>Low</x:v>
      </x:c>
      <x:c r="P485" s="215" t="str">
        <x:v>No</x:v>
      </x:c>
      <x:c r="Q485" s="215" t="str"/>
      <x:c r="R485" s="215" t="str">
        <x:v>BET-LK01; BET-LK02</x:v>
      </x:c>
      <x:c r="S485" s="215" t="str">
        <x:v>APWEB-BETU; FNA-BETU; POWO-BETU; LBJ-HAYS</x:v>
      </x:c>
      <x:c r="T485" s="215" t="str">
        <x:v>https://www.mobot.org/MOBOT/research/APweb/orders/fagalesweb.htm</x:v>
      </x:c>
      <x:c r="U485" s="215" t="str">
        <x:v>https://floranorthamerica.org/Betulaceae</x:v>
      </x:c>
      <x:c r="V485" s="215" t="str">
        <x:v>https://powo.science.kew.org/taxon/urn:lsid:ipni.org:names:77126723-1/general-information</x:v>
      </x:c>
      <x:c r="W485" s="215" t="str">
        <x:v>https://www.mobot.org/MOBOT/research/APweb/orders/fagalesweb.htm
https://floranorthamerica.org/Betulaceae
https://powo.science.kew.org/taxon/urn:lsid:ipni.org:names:77126723-1/general-information
https://www.wildflower.org/collections/collection.php?collection=hays</x:v>
      </x:c>
      <x:c r="X485" s="215" t="str">
        <x:v>No — retain qualifiers and exceptions</x:v>
      </x:c>
      <x:c r="Y485" s="215" t="str">
        <x:v>Yes</x:v>
      </x:c>
      <x:c r="Z485" s="215" t="str">
        <x:v>Source-backed draft</x:v>
      </x:c>
    </x:row>
    <x:row r="486" ht="42" customHeight="1">
      <x:c r="A486" s="215" t="str">
        <x:v>Betulaceae</x:v>
      </x:c>
      <x:c r="B486" s="215" t="str">
        <x:v>BET-BRACTS</x:v>
      </x:c>
      <x:c r="C486" s="215" t="str">
        <x:v>Family character</x:v>
      </x:c>
      <x:c r="D486" s="215" t="str">
        <x:v>Fruit / bracts</x:v>
      </x:c>
      <x:c r="E486" s="215" t="str">
        <x:v>Nuts or nutlets subtended by, enclosed in, or associated with leafy or woody bracts or husks</x:v>
      </x:c>
      <x:c r="F486" s="215" t="str">
        <x:v>Strong</x:v>
      </x:c>
      <x:c r="G486" s="215" t="str">
        <x:v>5</x:v>
      </x:c>
      <x:c r="H486" s="215" t="str">
        <x:v>High</x:v>
      </x:c>
      <x:c r="I486" s="215" t="str">
        <x:v>Naked eye or hand lens</x:v>
      </x:c>
      <x:c r="J486" s="215" t="str">
        <x:v>Mature fruit</x:v>
      </x:c>
      <x:c r="K486" s="215" t="str">
        <x:v>The bracts around each dry fruit are often more diagnostic than the tiny nut.</x:v>
      </x:c>
      <x:c r="L486" s="215" t="str">
        <x:v>Bract shape differs greatly among birch, alder, hornbeam, hazel, and hop-hornbeam lineages.</x:v>
      </x:c>
      <x:c r="M486" s="215" t="str">
        <x:v>Match the bract-and-nut construction before using leaf shape.</x:v>
      </x:c>
      <x:c r="N486" s="215" t="str">
        <x:v>Relevant Hays material is chiefly riparian or mesic-woodland catkin-bearing woody plants; county presence remains tied to the carried authoritative inventory.</x:v>
      </x:c>
      <x:c r="O486" s="215" t="str">
        <x:v>Low</x:v>
      </x:c>
      <x:c r="P486" s="215" t="str">
        <x:v>No</x:v>
      </x:c>
      <x:c r="Q486" s="215" t="str"/>
      <x:c r="R486" s="215" t="str"/>
      <x:c r="S486" s="215" t="str">
        <x:v>APWEB-BETU; FNA-BETU; POWO-BETU; LBJ-HAYS</x:v>
      </x:c>
      <x:c r="T486" s="215" t="str">
        <x:v>https://www.mobot.org/MOBOT/research/APweb/orders/fagalesweb.htm</x:v>
      </x:c>
      <x:c r="U486" s="215" t="str">
        <x:v>https://floranorthamerica.org/Betulaceae</x:v>
      </x:c>
      <x:c r="V486" s="215" t="str">
        <x:v>https://powo.science.kew.org/taxon/urn:lsid:ipni.org:names:77126723-1/general-information</x:v>
      </x:c>
      <x:c r="W486" s="215" t="str">
        <x:v>https://www.mobot.org/MOBOT/research/APweb/orders/fagalesweb.htm
https://floranorthamerica.org/Betulaceae
https://powo.science.kew.org/taxon/urn:lsid:ipni.org:names:77126723-1/general-information
https://www.wildflower.org/collections/collection.php?collection=hays</x:v>
      </x:c>
      <x:c r="X486" s="215" t="str">
        <x:v>No — retain qualifiers and exceptions</x:v>
      </x:c>
      <x:c r="Y486" s="215" t="str">
        <x:v>Yes</x:v>
      </x:c>
      <x:c r="Z486" s="215" t="str">
        <x:v>Source-backed draft</x:v>
      </x:c>
    </x:row>
    <x:row r="487" ht="42" customHeight="1">
      <x:c r="A487" s="215" t="str">
        <x:v>Betulaceae</x:v>
      </x:c>
      <x:c r="B487" s="215" t="str">
        <x:v>BET-POLLEN</x:v>
      </x:c>
      <x:c r="C487" s="215" t="str">
        <x:v>Family character</x:v>
      </x:c>
      <x:c r="D487" s="215" t="str">
        <x:v>Pollination</x:v>
      </x:c>
      <x:c r="E487" s="215" t="str">
        <x:v>Wind-pollinated syndrome with abundant pollen from exposed catkins</x:v>
      </x:c>
      <x:c r="F487" s="215" t="str">
        <x:v>Supporting</x:v>
      </x:c>
      <x:c r="G487" s="215" t="str">
        <x:v>1</x:v>
      </x:c>
      <x:c r="H487" s="215" t="str">
        <x:v>High</x:v>
      </x:c>
      <x:c r="I487" s="215" t="str">
        <x:v>Naked eye or hand lens</x:v>
      </x:c>
      <x:c r="J487" s="215" t="str">
        <x:v>Anthesis</x:v>
      </x:c>
      <x:c r="K487" s="215" t="str">
        <x:v>Dangling male catkins shed pollen without showy petals or nectar guides.</x:v>
      </x:c>
      <x:c r="L487" s="215" t="str">
        <x:v>This syndrome is shared widely among temperate trees.</x:v>
      </x:c>
      <x:c r="M487" s="215" t="str">
        <x:v>Use as ecological support, never as a stand-alone family decision.</x:v>
      </x:c>
      <x:c r="N487" s="215" t="str">
        <x:v>Relevant Hays material is chiefly riparian or mesic-woodland catkin-bearing woody plants; county presence remains tied to the carried authoritative inventory.</x:v>
      </x:c>
      <x:c r="O487" s="215" t="str">
        <x:v>Low</x:v>
      </x:c>
      <x:c r="P487" s="215" t="str">
        <x:v>No</x:v>
      </x:c>
      <x:c r="Q487" s="215" t="str"/>
      <x:c r="R487" s="215" t="str"/>
      <x:c r="S487" s="215" t="str">
        <x:v>APWEB-BETU; FNA-BETU; POWO-BETU; LBJ-HAYS</x:v>
      </x:c>
      <x:c r="T487" s="215" t="str">
        <x:v>https://www.mobot.org/MOBOT/research/APweb/orders/fagalesweb.htm</x:v>
      </x:c>
      <x:c r="U487" s="215" t="str">
        <x:v>https://floranorthamerica.org/Betulaceae</x:v>
      </x:c>
      <x:c r="V487" s="215" t="str">
        <x:v>https://powo.science.kew.org/taxon/urn:lsid:ipni.org:names:77126723-1/general-information</x:v>
      </x:c>
      <x:c r="W487" s="215" t="str">
        <x:v>https://www.mobot.org/MOBOT/research/APweb/orders/fagalesweb.htm
https://floranorthamerica.org/Betulaceae
https://powo.science.kew.org/taxon/urn:lsid:ipni.org:names:77126723-1/general-information
https://www.wildflower.org/collections/collection.php?collection=hays</x:v>
      </x:c>
      <x:c r="X487" s="215" t="str">
        <x:v>No — retain qualifiers and exceptions</x:v>
      </x:c>
      <x:c r="Y487" s="215" t="str">
        <x:v>Yes</x:v>
      </x:c>
      <x:c r="Z487" s="215" t="str">
        <x:v>Source-backed draft</x:v>
      </x:c>
    </x:row>
    <x:row r="488" ht="42" customHeight="1">
      <x:c r="A488" s="215" t="str">
        <x:v>Betulaceae</x:v>
      </x:c>
      <x:c r="B488" s="215" t="str">
        <x:v>BET-LK01</x:v>
      </x:c>
      <x:c r="C488" s="215" t="str">
        <x:v>Lookalike comparison</x:v>
      </x:c>
      <x:c r="D488" s="215" t="str">
        <x:v>Lookalike</x:v>
      </x:c>
      <x:c r="E488" s="215" t="str">
        <x:v>Versus Salicaceae: nutlets with persistent bracts favor Betulaceae; valved capsules with cottony seeds favor Salicaceae</x:v>
      </x:c>
      <x:c r="F488" s="215" t="str">
        <x:v>Lookalike</x:v>
      </x:c>
      <x:c r="G488" s="215" t="str">
        <x:v>5</x:v>
      </x:c>
      <x:c r="H488" s="215" t="str">
        <x:v>High</x:v>
      </x:c>
      <x:c r="I488" s="215" t="str">
        <x:v>Naked eye or hand lens</x:v>
      </x:c>
      <x:c r="J488" s="215" t="str">
        <x:v>Mature female fruiting structures</x:v>
      </x:c>
      <x:c r="K488" s="215" t="str">
        <x:v>Both families can have alternate leaves and catkins, but mature female fruits differ sharply.</x:v>
      </x:c>
      <x:c r="L488" s="215" t="str">
        <x:v>Before fruiting, male or sterile material may remain ambiguous.</x:v>
      </x:c>
      <x:c r="M488" s="215" t="str">
        <x:v>Prioritize mature female catkins; this supplies the reciprocal comparison for SAL-LK01.</x:v>
      </x:c>
      <x:c r="N488" s="215" t="str">
        <x:v>Relevant Hays material is chiefly riparian or mesic-woodland catkin-bearing woody plants; county presence remains tied to the carried authoritative inventory.</x:v>
      </x:c>
      <x:c r="O488" s="215" t="str">
        <x:v>Low</x:v>
      </x:c>
      <x:c r="P488" s="215" t="str">
        <x:v>No</x:v>
      </x:c>
      <x:c r="Q488" s="215" t="str"/>
      <x:c r="R488" s="215" t="str">
        <x:v>BET-CATKINS; BET-FRUIT; BET-BRACTS</x:v>
      </x:c>
      <x:c r="S488" s="215" t="str">
        <x:v>APWEB-BETU; FNA-BETU; POWO-BETU; LBJ-HAYS</x:v>
      </x:c>
      <x:c r="T488" s="215" t="str">
        <x:v>https://www.mobot.org/MOBOT/research/APweb/orders/fagalesweb.htm</x:v>
      </x:c>
      <x:c r="U488" s="215" t="str">
        <x:v>https://floranorthamerica.org/Betulaceae</x:v>
      </x:c>
      <x:c r="V488" s="215" t="str">
        <x:v>https://powo.science.kew.org/taxon/urn:lsid:ipni.org:names:77126723-1/general-information</x:v>
      </x:c>
      <x:c r="W488" s="215" t="str">
        <x:v>https://www.mobot.org/MOBOT/research/APweb/orders/fagalesweb.htm
https://floranorthamerica.org/Betulaceae
https://powo.science.kew.org/taxon/urn:lsid:ipni.org:names:77126723-1/general-information
https://www.wildflower.org/collections/collection.php?collection=hays</x:v>
      </x:c>
      <x:c r="X488" s="215" t="str">
        <x:v>No — retain qualifiers and exceptions</x:v>
      </x:c>
      <x:c r="Y488" s="215" t="str">
        <x:v>Yes</x:v>
      </x:c>
      <x:c r="Z488" s="215" t="str">
        <x:v>Source-backed draft</x:v>
      </x:c>
    </x:row>
    <x:row r="489" ht="42" customHeight="1">
      <x:c r="A489" s="215" t="str">
        <x:v>Betulaceae</x:v>
      </x:c>
      <x:c r="B489" s="215" t="str">
        <x:v>BET-LK02</x:v>
      </x:c>
      <x:c r="C489" s="215" t="str">
        <x:v>Lookalike comparison</x:v>
      </x:c>
      <x:c r="D489" s="215" t="str">
        <x:v>Lookalike</x:v>
      </x:c>
      <x:c r="E489" s="215" t="str">
        <x:v>Versus Fagaceae: small catkin-borne nutlets with family-specific bracts favor Betulaceae; acorns or larger nuts in cupules favor Fagaceae</x:v>
      </x:c>
      <x:c r="F489" s="215" t="str">
        <x:v>Lookalike</x:v>
      </x:c>
      <x:c r="G489" s="215" t="str">
        <x:v>5</x:v>
      </x:c>
      <x:c r="H489" s="215" t="str">
        <x:v>High</x:v>
      </x:c>
      <x:c r="I489" s="215" t="str">
        <x:v>Naked eye or hand lens</x:v>
      </x:c>
      <x:c r="J489" s="215" t="str">
        <x:v>Mature fruit</x:v>
      </x:c>
      <x:c r="K489" s="215" t="str">
        <x:v>The fruit-supporting structures separate two wind-pollinated woody families.</x:v>
      </x:c>
      <x:c r="L489" s="215" t="str">
        <x:v>Very young fruits can be difficult; hazel-like involucres require care.</x:v>
      </x:c>
      <x:c r="M489" s="215" t="str">
        <x:v>Use mature nuts and their surrounding bracts or cupules.</x:v>
      </x:c>
      <x:c r="N489" s="215" t="str">
        <x:v>Relevant Hays material is chiefly riparian or mesic-woodland catkin-bearing woody plants; county presence remains tied to the carried authoritative inventory.</x:v>
      </x:c>
      <x:c r="O489" s="215" t="str">
        <x:v>Low</x:v>
      </x:c>
      <x:c r="P489" s="215" t="str">
        <x:v>No</x:v>
      </x:c>
      <x:c r="Q489" s="215" t="str"/>
      <x:c r="R489" s="215" t="str">
        <x:v>BET-FRUIT; BET-BRACTS</x:v>
      </x:c>
      <x:c r="S489" s="215" t="str">
        <x:v>APWEB-BETU; FNA-BETU; POWO-BETU; LBJ-HAYS</x:v>
      </x:c>
      <x:c r="T489" s="215" t="str">
        <x:v>https://www.mobot.org/MOBOT/research/APweb/orders/fagalesweb.htm</x:v>
      </x:c>
      <x:c r="U489" s="215" t="str">
        <x:v>https://floranorthamerica.org/Betulaceae</x:v>
      </x:c>
      <x:c r="V489" s="215" t="str">
        <x:v>https://powo.science.kew.org/taxon/urn:lsid:ipni.org:names:77126723-1/general-information</x:v>
      </x:c>
      <x:c r="W489" s="215" t="str">
        <x:v>https://www.mobot.org/MOBOT/research/APweb/orders/fagalesweb.htm
https://floranorthamerica.org/Betulaceae
https://powo.science.kew.org/taxon/urn:lsid:ipni.org:names:77126723-1/general-information
https://www.wildflower.org/collections/collection.php?collection=hays</x:v>
      </x:c>
      <x:c r="X489" s="215" t="str">
        <x:v>No — retain qualifiers and exceptions</x:v>
      </x:c>
      <x:c r="Y489" s="215" t="str">
        <x:v>Yes</x:v>
      </x:c>
      <x:c r="Z489" s="215" t="str">
        <x:v>Source-backed draft</x:v>
      </x:c>
    </x:row>
    <x:row r="490" ht="42" customHeight="1">
      <x:c r="A490" s="215" t="str">
        <x:v>Iridaceae</x:v>
      </x:c>
      <x:c r="B490" s="215" t="str">
        <x:v>IRI-HABIT</x:v>
      </x:c>
      <x:c r="C490" s="215" t="str">
        <x:v>Family character</x:v>
      </x:c>
      <x:c r="D490" s="215" t="str">
        <x:v>Habit / underground organs</x:v>
      </x:c>
      <x:c r="E490" s="215" t="str">
        <x:v>Perennial herbs arising from rhizomes, bulbs, or corms</x:v>
      </x:c>
      <x:c r="F490" s="215" t="str">
        <x:v>Strong</x:v>
      </x:c>
      <x:c r="G490" s="215" t="str">
        <x:v>2</x:v>
      </x:c>
      <x:c r="H490" s="215" t="str">
        <x:v>High</x:v>
      </x:c>
      <x:c r="I490" s="215" t="str">
        <x:v>Naked eye or hand lens</x:v>
      </x:c>
      <x:c r="J490" s="215" t="str">
        <x:v>Any active growth</x:v>
      </x:c>
      <x:c r="K490" s="215" t="str">
        <x:v>Iris-family plants usually persist underground through an enlarged stem organ.</x:v>
      </x:c>
      <x:c r="L490" s="215" t="str">
        <x:v>Underground organs may be inaccessible and are shared with many monocots.</x:v>
      </x:c>
      <x:c r="M490" s="215" t="str">
        <x:v>Use only with leaves and flowers; do not excavate unnecessarily.</x:v>
      </x:c>
      <x:c r="N490" s="215" t="str">
        <x:v>Central Texas blue-eyed-grasses and other iris-family herbs make this suite useful in prairies, seeps, and rocky openings.</x:v>
      </x:c>
      <x:c r="O490" s="215" t="str">
        <x:v>Low</x:v>
      </x:c>
      <x:c r="P490" s="215" t="str">
        <x:v>No</x:v>
      </x:c>
      <x:c r="Q490" s="215" t="str"/>
      <x:c r="R490" s="215" t="str"/>
      <x:c r="S490" s="215" t="str">
        <x:v>APWEB-IRID; FNA-IRID; POWO-IRID; LBJ-HAYS</x:v>
      </x:c>
      <x:c r="T490" s="215" t="str">
        <x:v>https://www.mobot.org/MOBOT/research/APweb/orders/asparagalesweb.htm</x:v>
      </x:c>
      <x:c r="U490" s="215" t="str">
        <x:v>https://floranorthamerica.org/Iridaceae</x:v>
      </x:c>
      <x:c r="V490" s="215" t="str">
        <x:v>https://powo.science.kew.org/taxon/urn:lsid:ipni.org:names:30001783-2/general-information</x:v>
      </x:c>
      <x:c r="W490" s="215" t="str">
        <x:v>https://www.mobot.org/MOBOT/research/APweb/orders/asparagalesweb.htm
https://floranorthamerica.org/Iridaceae
https://powo.science.kew.org/taxon/urn:lsid:ipni.org:names:30001783-2/general-information
https://www.wildflower.org/collections/collection.php?collection=hays</x:v>
      </x:c>
      <x:c r="X490" s="215" t="str">
        <x:v>No — retain qualifiers and exceptions</x:v>
      </x:c>
      <x:c r="Y490" s="215" t="str">
        <x:v>Yes</x:v>
      </x:c>
      <x:c r="Z490" s="215" t="str">
        <x:v>Source-backed draft</x:v>
      </x:c>
    </x:row>
    <x:row r="491" ht="42" customHeight="1">
      <x:c r="A491" s="215" t="str">
        <x:v>Iridaceae</x:v>
      </x:c>
      <x:c r="B491" s="215" t="str">
        <x:v>IRI-LEAVES</x:v>
      </x:c>
      <x:c r="C491" s="215" t="str">
        <x:v>Family character</x:v>
      </x:c>
      <x:c r="D491" s="215" t="str">
        <x:v>Leaves</x:v>
      </x:c>
      <x:c r="E491" s="215" t="str">
        <x:v>Leaves commonly distichous, parallel-veined, and often unifacial or edgewise</x:v>
      </x:c>
      <x:c r="F491" s="215" t="str">
        <x:v>Strong</x:v>
      </x:c>
      <x:c r="G491" s="215" t="str">
        <x:v>4</x:v>
      </x:c>
      <x:c r="H491" s="215" t="str">
        <x:v>High</x:v>
      </x:c>
      <x:c r="I491" s="215" t="str">
        <x:v>Naked eye or hand lens</x:v>
      </x:c>
      <x:c r="J491" s="215" t="str">
        <x:v>Vegetative or flowering material</x:v>
      </x:c>
      <x:c r="K491" s="215" t="str">
        <x:v>Leaves often form a flat fan or narrow grasslike spray with two ranked rows.</x:v>
      </x:c>
      <x:c r="L491" s="215" t="str">
        <x:v>Some genera have terete or differently folded leaves.</x:v>
      </x:c>
      <x:c r="M491" s="215" t="str">
        <x:v>Check leaf orientation and base arrangement, then confirm floral characters.</x:v>
      </x:c>
      <x:c r="N491" s="215" t="str">
        <x:v>Central Texas blue-eyed-grasses and other iris-family herbs make this suite useful in prairies, seeps, and rocky openings.</x:v>
      </x:c>
      <x:c r="O491" s="215" t="str">
        <x:v>Low</x:v>
      </x:c>
      <x:c r="P491" s="215" t="str">
        <x:v>No</x:v>
      </x:c>
      <x:c r="Q491" s="215" t="str"/>
      <x:c r="R491" s="215" t="str">
        <x:v>IRI-LK01; IRI-LK02</x:v>
      </x:c>
      <x:c r="S491" s="215" t="str">
        <x:v>APWEB-IRID; FNA-IRID; POWO-IRID; LBJ-HAYS</x:v>
      </x:c>
      <x:c r="T491" s="215" t="str">
        <x:v>https://www.mobot.org/MOBOT/research/APweb/orders/asparagalesweb.htm</x:v>
      </x:c>
      <x:c r="U491" s="215" t="str">
        <x:v>https://floranorthamerica.org/Iridaceae</x:v>
      </x:c>
      <x:c r="V491" s="215" t="str">
        <x:v>https://powo.science.kew.org/taxon/urn:lsid:ipni.org:names:30001783-2/general-information</x:v>
      </x:c>
      <x:c r="W491" s="215" t="str">
        <x:v>https://www.mobot.org/MOBOT/research/APweb/orders/asparagalesweb.htm
https://floranorthamerica.org/Iridaceae
https://powo.science.kew.org/taxon/urn:lsid:ipni.org:names:30001783-2/general-information
https://www.wildflower.org/collections/collection.php?collection=hays</x:v>
      </x:c>
      <x:c r="X491" s="215" t="str">
        <x:v>No — retain qualifiers and exceptions</x:v>
      </x:c>
      <x:c r="Y491" s="215" t="str">
        <x:v>Yes</x:v>
      </x:c>
      <x:c r="Z491" s="215" t="str">
        <x:v>Source-backed draft</x:v>
      </x:c>
    </x:row>
    <x:row r="492" ht="42" customHeight="1">
      <x:c r="A492" s="215" t="str">
        <x:v>Iridaceae</x:v>
      </x:c>
      <x:c r="B492" s="215" t="str">
        <x:v>IRI-INFLO</x:v>
      </x:c>
      <x:c r="C492" s="215" t="str">
        <x:v>Family character</x:v>
      </x:c>
      <x:c r="D492" s="215" t="str">
        <x:v>Inflorescence / bracts</x:v>
      </x:c>
      <x:c r="E492" s="215" t="str">
        <x:v>Flowers solitary, in spikes, or in rhipidia, commonly subtended by paired spathes</x:v>
      </x:c>
      <x:c r="F492" s="215" t="str">
        <x:v>Strong</x:v>
      </x:c>
      <x:c r="G492" s="215" t="str">
        <x:v>4</x:v>
      </x:c>
      <x:c r="H492" s="215" t="str">
        <x:v>High</x:v>
      </x:c>
      <x:c r="I492" s="215" t="str">
        <x:v>Naked eye or hand lens</x:v>
      </x:c>
      <x:c r="J492" s="215" t="str">
        <x:v>Flowering material</x:v>
      </x:c>
      <x:c r="K492" s="215" t="str">
        <x:v>Papery or green spathe bracts often enclose the flower cluster.</x:v>
      </x:c>
      <x:c r="L492" s="215" t="str">
        <x:v>Inflorescence architecture varies substantially among genera.</x:v>
      </x:c>
      <x:c r="M492" s="215" t="str">
        <x:v>Use spathes to support a monocot with the 3-stamen/inferior-ovary suite.</x:v>
      </x:c>
      <x:c r="N492" s="215" t="str">
        <x:v>Central Texas blue-eyed-grasses and other iris-family herbs make this suite useful in prairies, seeps, and rocky openings.</x:v>
      </x:c>
      <x:c r="O492" s="215" t="str">
        <x:v>Low</x:v>
      </x:c>
      <x:c r="P492" s="215" t="str">
        <x:v>No</x:v>
      </x:c>
      <x:c r="Q492" s="215" t="str"/>
      <x:c r="R492" s="215" t="str"/>
      <x:c r="S492" s="215" t="str">
        <x:v>APWEB-IRID; FNA-IRID; POWO-IRID; LBJ-HAYS</x:v>
      </x:c>
      <x:c r="T492" s="215" t="str">
        <x:v>https://www.mobot.org/MOBOT/research/APweb/orders/asparagalesweb.htm</x:v>
      </x:c>
      <x:c r="U492" s="215" t="str">
        <x:v>https://floranorthamerica.org/Iridaceae</x:v>
      </x:c>
      <x:c r="V492" s="215" t="str">
        <x:v>https://powo.science.kew.org/taxon/urn:lsid:ipni.org:names:30001783-2/general-information</x:v>
      </x:c>
      <x:c r="W492" s="215" t="str">
        <x:v>https://www.mobot.org/MOBOT/research/APweb/orders/asparagalesweb.htm
https://floranorthamerica.org/Iridaceae
https://powo.science.kew.org/taxon/urn:lsid:ipni.org:names:30001783-2/general-information
https://www.wildflower.org/collections/collection.php?collection=hays</x:v>
      </x:c>
      <x:c r="X492" s="215" t="str">
        <x:v>No — retain qualifiers and exceptions</x:v>
      </x:c>
      <x:c r="Y492" s="215" t="str">
        <x:v>Yes</x:v>
      </x:c>
      <x:c r="Z492" s="215" t="str">
        <x:v>Source-backed draft</x:v>
      </x:c>
    </x:row>
    <x:row r="493" ht="42" customHeight="1">
      <x:c r="A493" s="215" t="str">
        <x:v>Iridaceae</x:v>
      </x:c>
      <x:c r="B493" s="215" t="str">
        <x:v>IRI-TEPALS</x:v>
      </x:c>
      <x:c r="C493" s="215" t="str">
        <x:v>Family character</x:v>
      </x:c>
      <x:c r="D493" s="215" t="str">
        <x:v>Flowers</x:v>
      </x:c>
      <x:c r="E493" s="215" t="str">
        <x:v>Perianth of 6 petaloid tepals in two whorls</x:v>
      </x:c>
      <x:c r="F493" s="215" t="str">
        <x:v>Strong</x:v>
      </x:c>
      <x:c r="G493" s="215" t="str">
        <x:v>4</x:v>
      </x:c>
      <x:c r="H493" s="215" t="str">
        <x:v>High</x:v>
      </x:c>
      <x:c r="I493" s="215" t="str">
        <x:v>Naked eye or hand lens</x:v>
      </x:c>
      <x:c r="J493" s="215" t="str">
        <x:v>Fresh flowers</x:v>
      </x:c>
      <x:c r="K493" s="215" t="str">
        <x:v>Showy iris-family flowers normally have six petal-like segments.</x:v>
      </x:c>
      <x:c r="L493" s="215" t="str">
        <x:v>Tepals can be small, unequal, or fused basally.</x:v>
      </x:c>
      <x:c r="M493" s="215" t="str">
        <x:v>Count segments together with stamens and ovary position.</x:v>
      </x:c>
      <x:c r="N493" s="215" t="str">
        <x:v>Central Texas blue-eyed-grasses and other iris-family herbs make this suite useful in prairies, seeps, and rocky openings.</x:v>
      </x:c>
      <x:c r="O493" s="215" t="str">
        <x:v>Low</x:v>
      </x:c>
      <x:c r="P493" s="215" t="str">
        <x:v>No</x:v>
      </x:c>
      <x:c r="Q493" s="215" t="str"/>
      <x:c r="R493" s="215" t="str"/>
      <x:c r="S493" s="215" t="str">
        <x:v>APWEB-IRID; FNA-IRID; POWO-IRID; LBJ-HAYS</x:v>
      </x:c>
      <x:c r="T493" s="215" t="str">
        <x:v>https://www.mobot.org/MOBOT/research/APweb/orders/asparagalesweb.htm</x:v>
      </x:c>
      <x:c r="U493" s="215" t="str">
        <x:v>https://floranorthamerica.org/Iridaceae</x:v>
      </x:c>
      <x:c r="V493" s="215" t="str">
        <x:v>https://powo.science.kew.org/taxon/urn:lsid:ipni.org:names:30001783-2/general-information</x:v>
      </x:c>
      <x:c r="W493" s="215" t="str">
        <x:v>https://www.mobot.org/MOBOT/research/APweb/orders/asparagalesweb.htm
https://floranorthamerica.org/Iridaceae
https://powo.science.kew.org/taxon/urn:lsid:ipni.org:names:30001783-2/general-information
https://www.wildflower.org/collections/collection.php?collection=hays</x:v>
      </x:c>
      <x:c r="X493" s="215" t="str">
        <x:v>No — retain qualifiers and exceptions</x:v>
      </x:c>
      <x:c r="Y493" s="215" t="str">
        <x:v>Yes</x:v>
      </x:c>
      <x:c r="Z493" s="215" t="str">
        <x:v>Source-backed draft</x:v>
      </x:c>
    </x:row>
    <x:row r="494" ht="42" customHeight="1">
      <x:c r="A494" s="215" t="str">
        <x:v>Iridaceae</x:v>
      </x:c>
      <x:c r="B494" s="215" t="str">
        <x:v>IRI-STAMENS</x:v>
      </x:c>
      <x:c r="C494" s="215" t="str">
        <x:v>Family character</x:v>
      </x:c>
      <x:c r="D494" s="215" t="str">
        <x:v>Stamens</x:v>
      </x:c>
      <x:c r="E494" s="215" t="str">
        <x:v>Exactly 3 functional stamens in the usual family pattern</x:v>
      </x:c>
      <x:c r="F494" s="215" t="str">
        <x:v>Strong</x:v>
      </x:c>
      <x:c r="G494" s="215" t="str">
        <x:v>5</x:v>
      </x:c>
      <x:c r="H494" s="215" t="str">
        <x:v>High</x:v>
      </x:c>
      <x:c r="I494" s="215" t="str">
        <x:v>Naked eye or hand lens</x:v>
      </x:c>
      <x:c r="J494" s="215" t="str">
        <x:v>Fresh intact flowers</x:v>
      </x:c>
      <x:c r="K494" s="215" t="str">
        <x:v>Three stamens strongly narrow a showy monocot toward Iridaceae.</x:v>
      </x:c>
      <x:c r="L494" s="215" t="str">
        <x:v>Damaged flowers may lose stamens; rare departures should not be made universal.</x:v>
      </x:c>
      <x:c r="M494" s="215" t="str">
        <x:v>Count intact anthers and combine with an inferior ovary.</x:v>
      </x:c>
      <x:c r="N494" s="215" t="str">
        <x:v>Central Texas blue-eyed-grasses and other iris-family herbs make this suite useful in prairies, seeps, and rocky openings.</x:v>
      </x:c>
      <x:c r="O494" s="215" t="str">
        <x:v>Low</x:v>
      </x:c>
      <x:c r="P494" s="215" t="str">
        <x:v>No</x:v>
      </x:c>
      <x:c r="Q494" s="215" t="str"/>
      <x:c r="R494" s="215" t="str">
        <x:v>IRI-LK01; IRI-LK02</x:v>
      </x:c>
      <x:c r="S494" s="215" t="str">
        <x:v>APWEB-IRID; FNA-IRID; POWO-IRID; LBJ-HAYS</x:v>
      </x:c>
      <x:c r="T494" s="215" t="str">
        <x:v>https://www.mobot.org/MOBOT/research/APweb/orders/asparagalesweb.htm</x:v>
      </x:c>
      <x:c r="U494" s="215" t="str">
        <x:v>https://floranorthamerica.org/Iridaceae</x:v>
      </x:c>
      <x:c r="V494" s="215" t="str">
        <x:v>https://powo.science.kew.org/taxon/urn:lsid:ipni.org:names:30001783-2/general-information</x:v>
      </x:c>
      <x:c r="W494" s="215" t="str">
        <x:v>https://www.mobot.org/MOBOT/research/APweb/orders/asparagalesweb.htm
https://floranorthamerica.org/Iridaceae
https://powo.science.kew.org/taxon/urn:lsid:ipni.org:names:30001783-2/general-information
https://www.wildflower.org/collections/collection.php?collection=hays</x:v>
      </x:c>
      <x:c r="X494" s="215" t="str">
        <x:v>No — retain qualifiers and exceptions</x:v>
      </x:c>
      <x:c r="Y494" s="215" t="str">
        <x:v>Yes</x:v>
      </x:c>
      <x:c r="Z494" s="215" t="str">
        <x:v>Source-backed draft</x:v>
      </x:c>
    </x:row>
    <x:row r="495" ht="42" customHeight="1">
      <x:c r="A495" s="215" t="str">
        <x:v>Iridaceae</x:v>
      </x:c>
      <x:c r="B495" s="215" t="str">
        <x:v>IRI-OVARY</x:v>
      </x:c>
      <x:c r="C495" s="215" t="str">
        <x:v>Family character</x:v>
      </x:c>
      <x:c r="D495" s="215" t="str">
        <x:v>Gynoecium</x:v>
      </x:c>
      <x:c r="E495" s="215" t="str">
        <x:v>Ovary usually inferior and 3-locular</x:v>
      </x:c>
      <x:c r="F495" s="215" t="str">
        <x:v>Strong</x:v>
      </x:c>
      <x:c r="G495" s="215" t="str">
        <x:v>5</x:v>
      </x:c>
      <x:c r="H495" s="215" t="str">
        <x:v>High</x:v>
      </x:c>
      <x:c r="I495" s="215" t="str">
        <x:v>Hand lens or dissection</x:v>
      </x:c>
      <x:c r="J495" s="215" t="str">
        <x:v>Fresh flowers</x:v>
      </x:c>
      <x:c r="K495" s="215" t="str">
        <x:v>The seed-producing chamber sits below the tepals and is divided into three locules.</x:v>
      </x:c>
      <x:c r="L495" s="215" t="str">
        <x:v>The non-North-American genus Isophysis has a superior ovary; damaged flowers can obscure insertion.</x:v>
      </x:c>
      <x:c r="M495" s="215" t="str">
        <x:v>Confirm ovary position on a longitudinal view when uncertain.</x:v>
      </x:c>
      <x:c r="N495" s="215" t="str">
        <x:v>Central Texas blue-eyed-grasses and other iris-family herbs make this suite useful in prairies, seeps, and rocky openings.</x:v>
      </x:c>
      <x:c r="O495" s="215" t="str">
        <x:v>Low</x:v>
      </x:c>
      <x:c r="P495" s="215" t="str">
        <x:v>No</x:v>
      </x:c>
      <x:c r="Q495" s="215" t="str"/>
      <x:c r="R495" s="215" t="str">
        <x:v>IRI-LK02</x:v>
      </x:c>
      <x:c r="S495" s="215" t="str">
        <x:v>APWEB-IRID; FNA-IRID; POWO-IRID; LBJ-HAYS</x:v>
      </x:c>
      <x:c r="T495" s="215" t="str">
        <x:v>https://www.mobot.org/MOBOT/research/APweb/orders/asparagalesweb.htm</x:v>
      </x:c>
      <x:c r="U495" s="215" t="str">
        <x:v>https://floranorthamerica.org/Iridaceae</x:v>
      </x:c>
      <x:c r="V495" s="215" t="str">
        <x:v>https://powo.science.kew.org/taxon/urn:lsid:ipni.org:names:30001783-2/general-information</x:v>
      </x:c>
      <x:c r="W495" s="215" t="str">
        <x:v>https://www.mobot.org/MOBOT/research/APweb/orders/asparagalesweb.htm
https://floranorthamerica.org/Iridaceae
https://powo.science.kew.org/taxon/urn:lsid:ipni.org:names:30001783-2/general-information
https://www.wildflower.org/collections/collection.php?collection=hays</x:v>
      </x:c>
      <x:c r="X495" s="215" t="str">
        <x:v>No — retain qualifiers and exceptions</x:v>
      </x:c>
      <x:c r="Y495" s="215" t="str">
        <x:v>Yes</x:v>
      </x:c>
      <x:c r="Z495" s="215" t="str">
        <x:v>Source-backed draft</x:v>
      </x:c>
    </x:row>
    <x:row r="496" ht="42" customHeight="1">
      <x:c r="A496" s="215" t="str">
        <x:v>Iridaceae</x:v>
      </x:c>
      <x:c r="B496" s="215" t="str">
        <x:v>IRI-STYLE</x:v>
      </x:c>
      <x:c r="C496" s="215" t="str">
        <x:v>Family character</x:v>
      </x:c>
      <x:c r="D496" s="215" t="str">
        <x:v>Gynoecium</x:v>
      </x:c>
      <x:c r="E496" s="215" t="str">
        <x:v>Style divided into 3 branches or lobes, sometimes expanded and petaloid</x:v>
      </x:c>
      <x:c r="F496" s="215" t="str">
        <x:v>Strong</x:v>
      </x:c>
      <x:c r="G496" s="215" t="str">
        <x:v>4</x:v>
      </x:c>
      <x:c r="H496" s="215" t="str">
        <x:v>High</x:v>
      </x:c>
      <x:c r="I496" s="215" t="str">
        <x:v>Naked eye or hand lens</x:v>
      </x:c>
      <x:c r="J496" s="215" t="str">
        <x:v>Fresh flowers</x:v>
      </x:c>
      <x:c r="K496" s="215" t="str">
        <x:v>Three style branches may arch over or alternate with the stamens.</x:v>
      </x:c>
      <x:c r="L496" s="215" t="str">
        <x:v>Style form ranges from slender to showy and crestlike.</x:v>
      </x:c>
      <x:c r="M496" s="215" t="str">
        <x:v>Use style architecture as a high-value supporting character.</x:v>
      </x:c>
      <x:c r="N496" s="215" t="str">
        <x:v>Central Texas blue-eyed-grasses and other iris-family herbs make this suite useful in prairies, seeps, and rocky openings.</x:v>
      </x:c>
      <x:c r="O496" s="215" t="str">
        <x:v>Low</x:v>
      </x:c>
      <x:c r="P496" s="215" t="str">
        <x:v>No</x:v>
      </x:c>
      <x:c r="Q496" s="215" t="str"/>
      <x:c r="R496" s="215" t="str"/>
      <x:c r="S496" s="215" t="str">
        <x:v>APWEB-IRID; FNA-IRID; POWO-IRID; LBJ-HAYS</x:v>
      </x:c>
      <x:c r="T496" s="215" t="str">
        <x:v>https://www.mobot.org/MOBOT/research/APweb/orders/asparagalesweb.htm</x:v>
      </x:c>
      <x:c r="U496" s="215" t="str">
        <x:v>https://floranorthamerica.org/Iridaceae</x:v>
      </x:c>
      <x:c r="V496" s="215" t="str">
        <x:v>https://powo.science.kew.org/taxon/urn:lsid:ipni.org:names:30001783-2/general-information</x:v>
      </x:c>
      <x:c r="W496" s="215" t="str">
        <x:v>https://www.mobot.org/MOBOT/research/APweb/orders/asparagalesweb.htm
https://floranorthamerica.org/Iridaceae
https://powo.science.kew.org/taxon/urn:lsid:ipni.org:names:30001783-2/general-information
https://www.wildflower.org/collections/collection.php?collection=hays</x:v>
      </x:c>
      <x:c r="X496" s="215" t="str">
        <x:v>No — retain qualifiers and exceptions</x:v>
      </x:c>
      <x:c r="Y496" s="215" t="str">
        <x:v>Yes</x:v>
      </x:c>
      <x:c r="Z496" s="215" t="str">
        <x:v>Source-backed draft</x:v>
      </x:c>
    </x:row>
    <x:row r="497" ht="42" customHeight="1">
      <x:c r="A497" s="215" t="str">
        <x:v>Iridaceae</x:v>
      </x:c>
      <x:c r="B497" s="215" t="str">
        <x:v>IRI-FRUIT</x:v>
      </x:c>
      <x:c r="C497" s="215" t="str">
        <x:v>Family character</x:v>
      </x:c>
      <x:c r="D497" s="215" t="str">
        <x:v>Fruit</x:v>
      </x:c>
      <x:c r="E497" s="215" t="str">
        <x:v>Fruit usually a loculicidal capsule opening along the locule walls</x:v>
      </x:c>
      <x:c r="F497" s="215" t="str">
        <x:v>Strong</x:v>
      </x:c>
      <x:c r="G497" s="215" t="str">
        <x:v>4</x:v>
      </x:c>
      <x:c r="H497" s="215" t="str">
        <x:v>High</x:v>
      </x:c>
      <x:c r="I497" s="215" t="str">
        <x:v>Naked eye or hand lens</x:v>
      </x:c>
      <x:c r="J497" s="215" t="str">
        <x:v>Mature fruit</x:v>
      </x:c>
      <x:c r="K497" s="215" t="str">
        <x:v>Mature fruits are dry three-part capsules rather than berries.</x:v>
      </x:c>
      <x:c r="L497" s="215" t="str">
        <x:v>Fruit may be absent for much of the season.</x:v>
      </x:c>
      <x:c r="M497" s="215" t="str">
        <x:v>Use mature capsule construction to confirm post-flowering plants.</x:v>
      </x:c>
      <x:c r="N497" s="215" t="str">
        <x:v>Central Texas blue-eyed-grasses and other iris-family herbs make this suite useful in prairies, seeps, and rocky openings.</x:v>
      </x:c>
      <x:c r="O497" s="215" t="str">
        <x:v>Low</x:v>
      </x:c>
      <x:c r="P497" s="215" t="str">
        <x:v>No</x:v>
      </x:c>
      <x:c r="Q497" s="215" t="str"/>
      <x:c r="R497" s="215" t="str"/>
      <x:c r="S497" s="215" t="str">
        <x:v>APWEB-IRID; FNA-IRID; POWO-IRID; LBJ-HAYS</x:v>
      </x:c>
      <x:c r="T497" s="215" t="str">
        <x:v>https://www.mobot.org/MOBOT/research/APweb/orders/asparagalesweb.htm</x:v>
      </x:c>
      <x:c r="U497" s="215" t="str">
        <x:v>https://floranorthamerica.org/Iridaceae</x:v>
      </x:c>
      <x:c r="V497" s="215" t="str">
        <x:v>https://powo.science.kew.org/taxon/urn:lsid:ipni.org:names:30001783-2/general-information</x:v>
      </x:c>
      <x:c r="W497" s="215" t="str">
        <x:v>https://www.mobot.org/MOBOT/research/APweb/orders/asparagalesweb.htm
https://floranorthamerica.org/Iridaceae
https://powo.science.kew.org/taxon/urn:lsid:ipni.org:names:30001783-2/general-information
https://www.wildflower.org/collections/collection.php?collection=hays</x:v>
      </x:c>
      <x:c r="X497" s="215" t="str">
        <x:v>No — retain qualifiers and exceptions</x:v>
      </x:c>
      <x:c r="Y497" s="215" t="str">
        <x:v>Yes</x:v>
      </x:c>
      <x:c r="Z497" s="215" t="str">
        <x:v>Source-backed draft</x:v>
      </x:c>
    </x:row>
    <x:row r="498" ht="42" customHeight="1">
      <x:c r="A498" s="215" t="str">
        <x:v>Iridaceae</x:v>
      </x:c>
      <x:c r="B498" s="215" t="str">
        <x:v>IRI-SEEDS</x:v>
      </x:c>
      <x:c r="C498" s="215" t="str">
        <x:v>Family character</x:v>
      </x:c>
      <x:c r="D498" s="215" t="str">
        <x:v>Seeds</x:v>
      </x:c>
      <x:c r="E498" s="215" t="str">
        <x:v>Seeds several to many, often angular, globose, or winged, with firm endosperm</x:v>
      </x:c>
      <x:c r="F498" s="215" t="str">
        <x:v>Supporting</x:v>
      </x:c>
      <x:c r="G498" s="215" t="str">
        <x:v>2</x:v>
      </x:c>
      <x:c r="H498" s="215" t="str">
        <x:v>High</x:v>
      </x:c>
      <x:c r="I498" s="215" t="str">
        <x:v>Naked eye or hand lens</x:v>
      </x:c>
      <x:c r="J498" s="215" t="str">
        <x:v>Mature fruit and seeds</x:v>
      </x:c>
      <x:c r="K498" s="215" t="str">
        <x:v>Capsules usually hold multiple hard seeds rather than a single nutlet.</x:v>
      </x:c>
      <x:c r="L498" s="215" t="str">
        <x:v>Seed surface and wings vary among genera.</x:v>
      </x:c>
      <x:c r="M498" s="215" t="str">
        <x:v>Use only with capsule and vegetative characters.</x:v>
      </x:c>
      <x:c r="N498" s="215" t="str">
        <x:v>Central Texas blue-eyed-grasses and other iris-family herbs make this suite useful in prairies, seeps, and rocky openings.</x:v>
      </x:c>
      <x:c r="O498" s="215" t="str">
        <x:v>Low</x:v>
      </x:c>
      <x:c r="P498" s="215" t="str">
        <x:v>No</x:v>
      </x:c>
      <x:c r="Q498" s="215" t="str"/>
      <x:c r="R498" s="215" t="str"/>
      <x:c r="S498" s="215" t="str">
        <x:v>APWEB-IRID; FNA-IRID; POWO-IRID; LBJ-HAYS</x:v>
      </x:c>
      <x:c r="T498" s="215" t="str">
        <x:v>https://www.mobot.org/MOBOT/research/APweb/orders/asparagalesweb.htm</x:v>
      </x:c>
      <x:c r="U498" s="215" t="str">
        <x:v>https://floranorthamerica.org/Iridaceae</x:v>
      </x:c>
      <x:c r="V498" s="215" t="str">
        <x:v>https://powo.science.kew.org/taxon/urn:lsid:ipni.org:names:30001783-2/general-information</x:v>
      </x:c>
      <x:c r="W498" s="215" t="str">
        <x:v>https://www.mobot.org/MOBOT/research/APweb/orders/asparagalesweb.htm
https://floranorthamerica.org/Iridaceae
https://powo.science.kew.org/taxon/urn:lsid:ipni.org:names:30001783-2/general-information
https://www.wildflower.org/collections/collection.php?collection=hays</x:v>
      </x:c>
      <x:c r="X498" s="215" t="str">
        <x:v>No — retain qualifiers and exceptions</x:v>
      </x:c>
      <x:c r="Y498" s="215" t="str">
        <x:v>Yes</x:v>
      </x:c>
      <x:c r="Z498" s="215" t="str">
        <x:v>Source-backed draft</x:v>
      </x:c>
    </x:row>
    <x:row r="499" ht="42" customHeight="1">
      <x:c r="A499" s="215" t="str">
        <x:v>Iridaceae</x:v>
      </x:c>
      <x:c r="B499" s="215" t="str">
        <x:v>IRI-LK01</x:v>
      </x:c>
      <x:c r="C499" s="215" t="str">
        <x:v>Lookalike comparison</x:v>
      </x:c>
      <x:c r="D499" s="215" t="str">
        <x:v>Lookalike</x:v>
      </x:c>
      <x:c r="E499" s="215" t="str">
        <x:v>Versus Orchidaceae: 3 separate stamens and no floral column favor Iridaceae; a column and pollen masses favor Orchidaceae</x:v>
      </x:c>
      <x:c r="F499" s="215" t="str">
        <x:v>Lookalike</x:v>
      </x:c>
      <x:c r="G499" s="215" t="str">
        <x:v>5</x:v>
      </x:c>
      <x:c r="H499" s="215" t="str">
        <x:v>High</x:v>
      </x:c>
      <x:c r="I499" s="215" t="str">
        <x:v>Naked eye or hand lens</x:v>
      </x:c>
      <x:c r="J499" s="215" t="str">
        <x:v>Fresh flowers</x:v>
      </x:c>
      <x:c r="K499" s="215" t="str">
        <x:v>Both can be showy monocots with inferior ovaries, but their pollen-bearing structures differ.</x:v>
      </x:c>
      <x:c r="L499" s="215" t="str">
        <x:v>Very small flowers require magnification; damaged orchids may lose pollinia.</x:v>
      </x:c>
      <x:c r="M499" s="215" t="str">
        <x:v>Inspect the flower center and count functional stamens; this supplies the reciprocal comparison for Orchidaceae.</x:v>
      </x:c>
      <x:c r="N499" s="215" t="str">
        <x:v>Central Texas blue-eyed-grasses and other iris-family herbs make this suite useful in prairies, seeps, and rocky openings.</x:v>
      </x:c>
      <x:c r="O499" s="215" t="str">
        <x:v>Low</x:v>
      </x:c>
      <x:c r="P499" s="215" t="str">
        <x:v>No</x:v>
      </x:c>
      <x:c r="Q499" s="215" t="str"/>
      <x:c r="R499" s="215" t="str">
        <x:v>IRI-STAMENS; IRI-OVARY; IRI-STYLE</x:v>
      </x:c>
      <x:c r="S499" s="215" t="str">
        <x:v>APWEB-IRID; FNA-IRID; POWO-IRID; LBJ-HAYS</x:v>
      </x:c>
      <x:c r="T499" s="215" t="str">
        <x:v>https://www.mobot.org/MOBOT/research/APweb/orders/asparagalesweb.htm</x:v>
      </x:c>
      <x:c r="U499" s="215" t="str">
        <x:v>https://floranorthamerica.org/Iridaceae</x:v>
      </x:c>
      <x:c r="V499" s="215" t="str">
        <x:v>https://powo.science.kew.org/taxon/urn:lsid:ipni.org:names:30001783-2/general-information</x:v>
      </x:c>
      <x:c r="W499" s="215" t="str">
        <x:v>https://www.mobot.org/MOBOT/research/APweb/orders/asparagalesweb.htm
https://floranorthamerica.org/Iridaceae
https://powo.science.kew.org/taxon/urn:lsid:ipni.org:names:30001783-2/general-information
https://www.wildflower.org/collections/collection.php?collection=hays</x:v>
      </x:c>
      <x:c r="X499" s="215" t="str">
        <x:v>No — retain qualifiers and exceptions</x:v>
      </x:c>
      <x:c r="Y499" s="215" t="str">
        <x:v>Yes</x:v>
      </x:c>
      <x:c r="Z499" s="215" t="str">
        <x:v>Source-backed draft</x:v>
      </x:c>
    </x:row>
    <x:row r="500" ht="42" customHeight="1">
      <x:c r="A500" s="215" t="str">
        <x:v>Iridaceae</x:v>
      </x:c>
      <x:c r="B500" s="215" t="str">
        <x:v>IRI-LK02</x:v>
      </x:c>
      <x:c r="C500" s="215" t="str">
        <x:v>Lookalike comparison</x:v>
      </x:c>
      <x:c r="D500" s="215" t="str">
        <x:v>Lookalike</x:v>
      </x:c>
      <x:c r="E500" s="215" t="str">
        <x:v>Versus Asparagaceae: 3 stamens plus an usually inferior ovary favor Iridaceae; many local asparagoids have 6 stamens and a superior ovary</x:v>
      </x:c>
      <x:c r="F500" s="215" t="str">
        <x:v>Lookalike</x:v>
      </x:c>
      <x:c r="G500" s="215" t="str">
        <x:v>5</x:v>
      </x:c>
      <x:c r="H500" s="215" t="str">
        <x:v>High</x:v>
      </x:c>
      <x:c r="I500" s="215" t="str">
        <x:v>Naked eye or hand lens</x:v>
      </x:c>
      <x:c r="J500" s="215" t="str">
        <x:v>Fresh flowers</x:v>
      </x:c>
      <x:c r="K500" s="215" t="str">
        <x:v>Grasslike leaves and six tepals overlap, so stamen count and ovary position matter.</x:v>
      </x:c>
      <x:c r="L500" s="215" t="str">
        <x:v>Asparagaceae is diverse and exceptions require a full suite.</x:v>
      </x:c>
      <x:c r="M500" s="215" t="str">
        <x:v>Count stamens first, then verify where the perianth attaches.</x:v>
      </x:c>
      <x:c r="N500" s="215" t="str">
        <x:v>Central Texas blue-eyed-grasses and other iris-family herbs make this suite useful in prairies, seeps, and rocky openings.</x:v>
      </x:c>
      <x:c r="O500" s="215" t="str">
        <x:v>Low</x:v>
      </x:c>
      <x:c r="P500" s="215" t="str">
        <x:v>No</x:v>
      </x:c>
      <x:c r="Q500" s="215" t="str"/>
      <x:c r="R500" s="215" t="str">
        <x:v>IRI-LEAVES; IRI-STAMENS; IRI-OVARY</x:v>
      </x:c>
      <x:c r="S500" s="215" t="str">
        <x:v>APWEB-IRID; FNA-IRID; POWO-IRID; LBJ-HAYS</x:v>
      </x:c>
      <x:c r="T500" s="215" t="str">
        <x:v>https://www.mobot.org/MOBOT/research/APweb/orders/asparagalesweb.htm</x:v>
      </x:c>
      <x:c r="U500" s="215" t="str">
        <x:v>https://floranorthamerica.org/Iridaceae</x:v>
      </x:c>
      <x:c r="V500" s="215" t="str">
        <x:v>https://powo.science.kew.org/taxon/urn:lsid:ipni.org:names:30001783-2/general-information</x:v>
      </x:c>
      <x:c r="W500" s="215" t="str">
        <x:v>https://www.mobot.org/MOBOT/research/APweb/orders/asparagalesweb.htm
https://floranorthamerica.org/Iridaceae
https://powo.science.kew.org/taxon/urn:lsid:ipni.org:names:30001783-2/general-information
https://www.wildflower.org/collections/collection.php?collection=hays</x:v>
      </x:c>
      <x:c r="X500" s="215" t="str">
        <x:v>No — retain qualifiers and exceptions</x:v>
      </x:c>
      <x:c r="Y500" s="215" t="str">
        <x:v>Yes</x:v>
      </x:c>
      <x:c r="Z500" s="215" t="str">
        <x:v>Source-backed draft</x:v>
      </x:c>
    </x:row>
    <x:row r="501" ht="42" customHeight="1">
      <x:c r="A501" s="215" t="str">
        <x:v>Oleaceae</x:v>
      </x:c>
      <x:c r="B501" s="215" t="str">
        <x:v>OLE-HABIT</x:v>
      </x:c>
      <x:c r="C501" s="215" t="str">
        <x:v>Family character</x:v>
      </x:c>
      <x:c r="D501" s="215" t="str">
        <x:v>Habit</x:v>
      </x:c>
      <x:c r="E501" s="215" t="str">
        <x:v>Trees, shrubs, or woody climbers</x:v>
      </x:c>
      <x:c r="F501" s="215" t="str">
        <x:v>Strong</x:v>
      </x:c>
      <x:c r="G501" s="215" t="str">
        <x:v>2</x:v>
      </x:c>
      <x:c r="H501" s="215" t="str">
        <x:v>High</x:v>
      </x:c>
      <x:c r="I501" s="215" t="str">
        <x:v>Naked eye or hand lens</x:v>
      </x:c>
      <x:c r="J501" s="215" t="str">
        <x:v>Any leafy material</x:v>
      </x:c>
      <x:c r="K501" s="215" t="str">
        <x:v>The family is predominantly woody in the regional flora.</x:v>
      </x:c>
      <x:c r="L501" s="215" t="str">
        <x:v>Habit does not separate it from many opposite-leaved families.</x:v>
      </x:c>
      <x:c r="M501" s="215" t="str">
        <x:v>Use as a preliminary filter only.</x:v>
      </x:c>
      <x:c r="N501" s="215" t="str">
        <x:v>Ashes, elbowbush/forestiera relatives, and menodora-type shrubs make opposite-leaved woody Oleaceae practical in Hays County.</x:v>
      </x:c>
      <x:c r="O501" s="215" t="str">
        <x:v>Low</x:v>
      </x:c>
      <x:c r="P501" s="215" t="str">
        <x:v>No</x:v>
      </x:c>
      <x:c r="Q501" s="215" t="str"/>
      <x:c r="R501" s="215" t="str"/>
      <x:c r="S501" s="215" t="str">
        <x:v>APWEB-OLEA; POWO-OLEA; LBJ-HAYS</x:v>
      </x:c>
      <x:c r="T501" s="215" t="str">
        <x:v>https://www.mobot.org/MOBOT/research/APweb/orders/lamialesweb.htm</x:v>
      </x:c>
      <x:c r="U501" s="215" t="str">
        <x:v>https://powo.science.kew.org/taxon/urn:lsid:ipni.org:names:30001336-2/general-information</x:v>
      </x:c>
      <x:c r="V501" s="215" t="str">
        <x:v>https://powo.science.kew.org/taxon/urn:lsid:ipni.org:names:30001336-2/general-information</x:v>
      </x:c>
      <x:c r="W501"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1" s="215" t="str">
        <x:v>No — retain qualifiers and exceptions</x:v>
      </x:c>
      <x:c r="Y501" s="215" t="str">
        <x:v>Yes</x:v>
      </x:c>
      <x:c r="Z501" s="215" t="str">
        <x:v>Source-backed draft</x:v>
      </x:c>
    </x:row>
    <x:row r="502" ht="42" customHeight="1">
      <x:c r="A502" s="215" t="str">
        <x:v>Oleaceae</x:v>
      </x:c>
      <x:c r="B502" s="215" t="str">
        <x:v>OLE-LEAVES</x:v>
      </x:c>
      <x:c r="C502" s="215" t="str">
        <x:v>Family character</x:v>
      </x:c>
      <x:c r="D502" s="215" t="str">
        <x:v>Leaves / stipules</x:v>
      </x:c>
      <x:c r="E502" s="215" t="str">
        <x:v>Leaves usually opposite and exstipulate, simple, trifoliolate, or pinnate</x:v>
      </x:c>
      <x:c r="F502" s="215" t="str">
        <x:v>Strong</x:v>
      </x:c>
      <x:c r="G502" s="215" t="str">
        <x:v>4</x:v>
      </x:c>
      <x:c r="H502" s="215" t="str">
        <x:v>High</x:v>
      </x:c>
      <x:c r="I502" s="215" t="str">
        <x:v>Naked eye or hand lens</x:v>
      </x:c>
      <x:c r="J502" s="215" t="str">
        <x:v>Leafy shoots</x:v>
      </x:c>
      <x:c r="K502" s="215" t="str">
        <x:v>Opposite leaves without interpetiolar stipules are a strong first clue.</x:v>
      </x:c>
      <x:c r="L502" s="215" t="str">
        <x:v>Leaf arrangement or division can depart from the usual pattern in the global family.</x:v>
      </x:c>
      <x:c r="M502" s="215" t="str">
        <x:v>Inspect several nodes and look carefully for stipules or stipular scars.</x:v>
      </x:c>
      <x:c r="N502" s="215" t="str">
        <x:v>Ashes, elbowbush/forestiera relatives, and menodora-type shrubs make opposite-leaved woody Oleaceae practical in Hays County.</x:v>
      </x:c>
      <x:c r="O502" s="215" t="str">
        <x:v>Low</x:v>
      </x:c>
      <x:c r="P502" s="215" t="str">
        <x:v>No</x:v>
      </x:c>
      <x:c r="Q502" s="215" t="str"/>
      <x:c r="R502" s="215" t="str">
        <x:v>OLE-LK01; OLE-LK02</x:v>
      </x:c>
      <x:c r="S502" s="215" t="str">
        <x:v>APWEB-OLEA; POWO-OLEA; LBJ-HAYS</x:v>
      </x:c>
      <x:c r="T502" s="215" t="str">
        <x:v>https://www.mobot.org/MOBOT/research/APweb/orders/lamialesweb.htm</x:v>
      </x:c>
      <x:c r="U502" s="215" t="str">
        <x:v>https://powo.science.kew.org/taxon/urn:lsid:ipni.org:names:30001336-2/general-information</x:v>
      </x:c>
      <x:c r="V502" s="215" t="str">
        <x:v>https://powo.science.kew.org/taxon/urn:lsid:ipni.org:names:30001336-2/general-information</x:v>
      </x:c>
      <x:c r="W502"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2" s="215" t="str">
        <x:v>No — retain qualifiers and exceptions</x:v>
      </x:c>
      <x:c r="Y502" s="215" t="str">
        <x:v>Yes</x:v>
      </x:c>
      <x:c r="Z502" s="215" t="str">
        <x:v>Source-backed draft</x:v>
      </x:c>
    </x:row>
    <x:row r="503" ht="42" customHeight="1">
      <x:c r="A503" s="215" t="str">
        <x:v>Oleaceae</x:v>
      </x:c>
      <x:c r="B503" s="215" t="str">
        <x:v>OLE-INFLO</x:v>
      </x:c>
      <x:c r="C503" s="215" t="str">
        <x:v>Family character</x:v>
      </x:c>
      <x:c r="D503" s="215" t="str">
        <x:v>Inflorescence</x:v>
      </x:c>
      <x:c r="E503" s="215" t="str">
        <x:v>Flowers in terminal or axillary cymes, panicles, racemes, fascicles, or clusters</x:v>
      </x:c>
      <x:c r="F503" s="215" t="str">
        <x:v>Supporting</x:v>
      </x:c>
      <x:c r="G503" s="215" t="str">
        <x:v>2</x:v>
      </x:c>
      <x:c r="H503" s="215" t="str">
        <x:v>High</x:v>
      </x:c>
      <x:c r="I503" s="215" t="str">
        <x:v>Naked eye or hand lens</x:v>
      </x:c>
      <x:c r="J503" s="215" t="str">
        <x:v>Flowering material</x:v>
      </x:c>
      <x:c r="K503" s="215" t="str">
        <x:v>The inflorescence is variable, so its position supports rather than defines the family.</x:v>
      </x:c>
      <x:c r="L503" s="215" t="str">
        <x:v>No single inflorescence architecture is universal.</x:v>
      </x:c>
      <x:c r="M503" s="215" t="str">
        <x:v>Use inflorescence position with leaf arrangement and flower structure.</x:v>
      </x:c>
      <x:c r="N503" s="215" t="str">
        <x:v>Ashes, elbowbush/forestiera relatives, and menodora-type shrubs make opposite-leaved woody Oleaceae practical in Hays County.</x:v>
      </x:c>
      <x:c r="O503" s="215" t="str">
        <x:v>Low</x:v>
      </x:c>
      <x:c r="P503" s="215" t="str">
        <x:v>No</x:v>
      </x:c>
      <x:c r="Q503" s="215" t="str"/>
      <x:c r="R503" s="215" t="str"/>
      <x:c r="S503" s="215" t="str">
        <x:v>APWEB-OLEA; POWO-OLEA; LBJ-HAYS</x:v>
      </x:c>
      <x:c r="T503" s="215" t="str">
        <x:v>https://www.mobot.org/MOBOT/research/APweb/orders/lamialesweb.htm</x:v>
      </x:c>
      <x:c r="U503" s="215" t="str">
        <x:v>https://powo.science.kew.org/taxon/urn:lsid:ipni.org:names:30001336-2/general-information</x:v>
      </x:c>
      <x:c r="V503" s="215" t="str">
        <x:v>https://powo.science.kew.org/taxon/urn:lsid:ipni.org:names:30001336-2/general-information</x:v>
      </x:c>
      <x:c r="W503"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3" s="215" t="str">
        <x:v>No — retain qualifiers and exceptions</x:v>
      </x:c>
      <x:c r="Y503" s="215" t="str">
        <x:v>Yes</x:v>
      </x:c>
      <x:c r="Z503" s="215" t="str">
        <x:v>Source-backed draft</x:v>
      </x:c>
    </x:row>
    <x:row r="504" ht="42" customHeight="1">
      <x:c r="A504" s="215" t="str">
        <x:v>Oleaceae</x:v>
      </x:c>
      <x:c r="B504" s="215" t="str">
        <x:v>OLE-FLOWER</x:v>
      </x:c>
      <x:c r="C504" s="215" t="str">
        <x:v>Family character</x:v>
      </x:c>
      <x:c r="D504" s="215" t="str">
        <x:v>Flowers</x:v>
      </x:c>
      <x:c r="E504" s="215" t="str">
        <x:v>Flowers usually radially symmetric and 4-merous; corolla commonly fused but sometimes absent</x:v>
      </x:c>
      <x:c r="F504" s="215" t="str">
        <x:v>Strong</x:v>
      </x:c>
      <x:c r="G504" s="215" t="str">
        <x:v>4</x:v>
      </x:c>
      <x:c r="H504" s="215" t="str">
        <x:v>High</x:v>
      </x:c>
      <x:c r="I504" s="215" t="str">
        <x:v>Naked eye or hand lens</x:v>
      </x:c>
      <x:c r="J504" s="215" t="str">
        <x:v>Fresh flowers</x:v>
      </x:c>
      <x:c r="K504" s="215" t="str">
        <x:v>Four-parted flowers on an opposite-leaved woody plant are characteristic.</x:v>
      </x:c>
      <x:c r="L504" s="215" t="str">
        <x:v>Petals may be free or absent, and some flowers are unisexual.</x:v>
      </x:c>
      <x:c r="M504" s="215" t="str">
        <x:v>Count the calyx/corolla parts but retain exceptions.</x:v>
      </x:c>
      <x:c r="N504" s="215" t="str">
        <x:v>Ashes, elbowbush/forestiera relatives, and menodora-type shrubs make opposite-leaved woody Oleaceae practical in Hays County.</x:v>
      </x:c>
      <x:c r="O504" s="215" t="str">
        <x:v>Low</x:v>
      </x:c>
      <x:c r="P504" s="215" t="str">
        <x:v>No</x:v>
      </x:c>
      <x:c r="Q504" s="215" t="str"/>
      <x:c r="R504" s="215" t="str"/>
      <x:c r="S504" s="215" t="str">
        <x:v>APWEB-OLEA; POWO-OLEA; LBJ-HAYS</x:v>
      </x:c>
      <x:c r="T504" s="215" t="str">
        <x:v>https://www.mobot.org/MOBOT/research/APweb/orders/lamialesweb.htm</x:v>
      </x:c>
      <x:c r="U504" s="215" t="str">
        <x:v>https://powo.science.kew.org/taxon/urn:lsid:ipni.org:names:30001336-2/general-information</x:v>
      </x:c>
      <x:c r="V504" s="215" t="str">
        <x:v>https://powo.science.kew.org/taxon/urn:lsid:ipni.org:names:30001336-2/general-information</x:v>
      </x:c>
      <x:c r="W504"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4" s="215" t="str">
        <x:v>No — retain qualifiers and exceptions</x:v>
      </x:c>
      <x:c r="Y504" s="215" t="str">
        <x:v>Yes</x:v>
      </x:c>
      <x:c r="Z504" s="215" t="str">
        <x:v>Source-backed draft</x:v>
      </x:c>
    </x:row>
    <x:row r="505" ht="42" customHeight="1">
      <x:c r="A505" s="215" t="str">
        <x:v>Oleaceae</x:v>
      </x:c>
      <x:c r="B505" s="215" t="str">
        <x:v>OLE-STAMENS</x:v>
      </x:c>
      <x:c r="C505" s="215" t="str">
        <x:v>Family character</x:v>
      </x:c>
      <x:c r="D505" s="215" t="str">
        <x:v>Stamens</x:v>
      </x:c>
      <x:c r="E505" s="215" t="str">
        <x:v>Usually 2 stamens, attached to the corolla when a corolla is present</x:v>
      </x:c>
      <x:c r="F505" s="215" t="str">
        <x:v>Strong</x:v>
      </x:c>
      <x:c r="G505" s="215" t="str">
        <x:v>5</x:v>
      </x:c>
      <x:c r="H505" s="215" t="str">
        <x:v>High</x:v>
      </x:c>
      <x:c r="I505" s="215" t="str">
        <x:v>Naked eye or hand lens</x:v>
      </x:c>
      <x:c r="J505" s="215" t="str">
        <x:v>Fresh flowers</x:v>
      </x:c>
      <x:c r="K505" s="215" t="str">
        <x:v>Two stamens are one of the family’s most useful floral clues.</x:v>
      </x:c>
      <x:c r="L505" s="215" t="str">
        <x:v>Rare taxa have 4 stamens; flowers without a corolla need careful interpretation.</x:v>
      </x:c>
      <x:c r="M505" s="215" t="str">
        <x:v>Use intact flowers and combine with 4-merous symmetry.</x:v>
      </x:c>
      <x:c r="N505" s="215" t="str">
        <x:v>Ashes, elbowbush/forestiera relatives, and menodora-type shrubs make opposite-leaved woody Oleaceae practical in Hays County.</x:v>
      </x:c>
      <x:c r="O505" s="215" t="str">
        <x:v>Low</x:v>
      </x:c>
      <x:c r="P505" s="215" t="str">
        <x:v>No</x:v>
      </x:c>
      <x:c r="Q505" s="215" t="str"/>
      <x:c r="R505" s="215" t="str">
        <x:v>OLE-LK01; OLE-LK02</x:v>
      </x:c>
      <x:c r="S505" s="215" t="str">
        <x:v>APWEB-OLEA; POWO-OLEA; LBJ-HAYS</x:v>
      </x:c>
      <x:c r="T505" s="215" t="str">
        <x:v>https://www.mobot.org/MOBOT/research/APweb/orders/lamialesweb.htm</x:v>
      </x:c>
      <x:c r="U505" s="215" t="str">
        <x:v>https://powo.science.kew.org/taxon/urn:lsid:ipni.org:names:30001336-2/general-information</x:v>
      </x:c>
      <x:c r="V505" s="215" t="str">
        <x:v>https://powo.science.kew.org/taxon/urn:lsid:ipni.org:names:30001336-2/general-information</x:v>
      </x:c>
      <x:c r="W505"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5" s="215" t="str">
        <x:v>No — retain qualifiers and exceptions</x:v>
      </x:c>
      <x:c r="Y505" s="215" t="str">
        <x:v>Yes</x:v>
      </x:c>
      <x:c r="Z505" s="215" t="str">
        <x:v>Source-backed draft</x:v>
      </x:c>
    </x:row>
    <x:row r="506" ht="42" customHeight="1">
      <x:c r="A506" s="215" t="str">
        <x:v>Oleaceae</x:v>
      </x:c>
      <x:c r="B506" s="215" t="str">
        <x:v>OLE-OVARY</x:v>
      </x:c>
      <x:c r="C506" s="215" t="str">
        <x:v>Family character</x:v>
      </x:c>
      <x:c r="D506" s="215" t="str">
        <x:v>Gynoecium</x:v>
      </x:c>
      <x:c r="E506" s="215" t="str">
        <x:v>Ovary superior, 2-carpellate and usually 2-locular</x:v>
      </x:c>
      <x:c r="F506" s="215" t="str">
        <x:v>Strong</x:v>
      </x:c>
      <x:c r="G506" s="215" t="str">
        <x:v>5</x:v>
      </x:c>
      <x:c r="H506" s="215" t="str">
        <x:v>High</x:v>
      </x:c>
      <x:c r="I506" s="215" t="str">
        <x:v>Hand lens or dissection</x:v>
      </x:c>
      <x:c r="J506" s="215" t="str">
        <x:v>Fresh flowers</x:v>
      </x:c>
      <x:c r="K506" s="215" t="str">
        <x:v>The ovary sits above the other floral parts and is structurally two-parted.</x:v>
      </x:c>
      <x:c r="L506" s="215" t="str">
        <x:v>Locule and ovule details often require dissection.</x:v>
      </x:c>
      <x:c r="M506" s="215" t="str">
        <x:v>Use superior position to separate from Rubiaceae.</x:v>
      </x:c>
      <x:c r="N506" s="215" t="str">
        <x:v>Ashes, elbowbush/forestiera relatives, and menodora-type shrubs make opposite-leaved woody Oleaceae practical in Hays County.</x:v>
      </x:c>
      <x:c r="O506" s="215" t="str">
        <x:v>Low</x:v>
      </x:c>
      <x:c r="P506" s="215" t="str">
        <x:v>No</x:v>
      </x:c>
      <x:c r="Q506" s="215" t="str"/>
      <x:c r="R506" s="215" t="str">
        <x:v>OLE-LK01</x:v>
      </x:c>
      <x:c r="S506" s="215" t="str">
        <x:v>APWEB-OLEA; POWO-OLEA; LBJ-HAYS</x:v>
      </x:c>
      <x:c r="T506" s="215" t="str">
        <x:v>https://www.mobot.org/MOBOT/research/APweb/orders/lamialesweb.htm</x:v>
      </x:c>
      <x:c r="U506" s="215" t="str">
        <x:v>https://powo.science.kew.org/taxon/urn:lsid:ipni.org:names:30001336-2/general-information</x:v>
      </x:c>
      <x:c r="V506" s="215" t="str">
        <x:v>https://powo.science.kew.org/taxon/urn:lsid:ipni.org:names:30001336-2/general-information</x:v>
      </x:c>
      <x:c r="W506"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6" s="215" t="str">
        <x:v>No — retain qualifiers and exceptions</x:v>
      </x:c>
      <x:c r="Y506" s="215" t="str">
        <x:v>Yes</x:v>
      </x:c>
      <x:c r="Z506" s="215" t="str">
        <x:v>Source-backed draft</x:v>
      </x:c>
    </x:row>
    <x:row r="507" ht="42" customHeight="1">
      <x:c r="A507" s="215" t="str">
        <x:v>Oleaceae</x:v>
      </x:c>
      <x:c r="B507" s="215" t="str">
        <x:v>OLE-STIGMA</x:v>
      </x:c>
      <x:c r="C507" s="215" t="str">
        <x:v>Family character</x:v>
      </x:c>
      <x:c r="D507" s="215" t="str">
        <x:v>Gynoecium</x:v>
      </x:c>
      <x:c r="E507" s="215" t="str">
        <x:v>Stigma capitate or shallowly 2-lobed on a single style</x:v>
      </x:c>
      <x:c r="F507" s="215" t="str">
        <x:v>Supporting</x:v>
      </x:c>
      <x:c r="G507" s="215" t="str">
        <x:v>2</x:v>
      </x:c>
      <x:c r="H507" s="215" t="str">
        <x:v>High</x:v>
      </x:c>
      <x:c r="I507" s="215" t="str">
        <x:v>Hand lens</x:v>
      </x:c>
      <x:c r="J507" s="215" t="str">
        <x:v>Fresh flowers</x:v>
      </x:c>
      <x:c r="K507" s="215" t="str">
        <x:v>A single style with a two-lobed or headlike stigma fits the family suite.</x:v>
      </x:c>
      <x:c r="L507" s="215" t="str">
        <x:v>This is small and not reliably field-visible without magnification.</x:v>
      </x:c>
      <x:c r="M507" s="215" t="str">
        <x:v>Use only as confirmation after stamen and ovary characters.</x:v>
      </x:c>
      <x:c r="N507" s="215" t="str">
        <x:v>Ashes, elbowbush/forestiera relatives, and menodora-type shrubs make opposite-leaved woody Oleaceae practical in Hays County.</x:v>
      </x:c>
      <x:c r="O507" s="215" t="str">
        <x:v>Low</x:v>
      </x:c>
      <x:c r="P507" s="215" t="str">
        <x:v>No</x:v>
      </x:c>
      <x:c r="Q507" s="215" t="str"/>
      <x:c r="R507" s="215" t="str"/>
      <x:c r="S507" s="215" t="str">
        <x:v>APWEB-OLEA; POWO-OLEA; LBJ-HAYS</x:v>
      </x:c>
      <x:c r="T507" s="215" t="str">
        <x:v>https://www.mobot.org/MOBOT/research/APweb/orders/lamialesweb.htm</x:v>
      </x:c>
      <x:c r="U507" s="215" t="str">
        <x:v>https://powo.science.kew.org/taxon/urn:lsid:ipni.org:names:30001336-2/general-information</x:v>
      </x:c>
      <x:c r="V507" s="215" t="str">
        <x:v>https://powo.science.kew.org/taxon/urn:lsid:ipni.org:names:30001336-2/general-information</x:v>
      </x:c>
      <x:c r="W507"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7" s="215" t="str">
        <x:v>No — retain qualifiers and exceptions</x:v>
      </x:c>
      <x:c r="Y507" s="215" t="str">
        <x:v>Yes</x:v>
      </x:c>
      <x:c r="Z507" s="215" t="str">
        <x:v>Source-backed draft</x:v>
      </x:c>
    </x:row>
    <x:row r="508" ht="42" customHeight="1">
      <x:c r="A508" s="215" t="str">
        <x:v>Oleaceae</x:v>
      </x:c>
      <x:c r="B508" s="215" t="str">
        <x:v>OLE-FRUIT</x:v>
      </x:c>
      <x:c r="C508" s="215" t="str">
        <x:v>Family character</x:v>
      </x:c>
      <x:c r="D508" s="215" t="str">
        <x:v>Fruit</x:v>
      </x:c>
      <x:c r="E508" s="215" t="str">
        <x:v>Fruit a drupe, berry, samara, or capsule depending on lineage</x:v>
      </x:c>
      <x:c r="F508" s="215" t="str">
        <x:v>Moderate</x:v>
      </x:c>
      <x:c r="G508" s="215" t="str">
        <x:v>2</x:v>
      </x:c>
      <x:c r="H508" s="215" t="str">
        <x:v>High</x:v>
      </x:c>
      <x:c r="I508" s="215" t="str">
        <x:v>Naked eye or hand lens</x:v>
      </x:c>
      <x:c r="J508" s="215" t="str">
        <x:v>Mature fruit</x:v>
      </x:c>
      <x:c r="K508" s="215" t="str">
        <x:v>Fruit type varies widely within Oleaceae, from ash samaras to fleshy or capsular fruits.</x:v>
      </x:c>
      <x:c r="L508" s="215" t="str">
        <x:v>No one fruit type diagnoses the entire family.</x:v>
      </x:c>
      <x:c r="M508" s="215" t="str">
        <x:v>Identify the local genus first, then use its expected fruit construction.</x:v>
      </x:c>
      <x:c r="N508" s="215" t="str">
        <x:v>Ashes, elbowbush/forestiera relatives, and menodora-type shrubs make opposite-leaved woody Oleaceae practical in Hays County.</x:v>
      </x:c>
      <x:c r="O508" s="215" t="str">
        <x:v>Low</x:v>
      </x:c>
      <x:c r="P508" s="215" t="str">
        <x:v>No</x:v>
      </x:c>
      <x:c r="Q508" s="215" t="str"/>
      <x:c r="R508" s="215" t="str"/>
      <x:c r="S508" s="215" t="str">
        <x:v>APWEB-OLEA; POWO-OLEA; LBJ-HAYS</x:v>
      </x:c>
      <x:c r="T508" s="215" t="str">
        <x:v>https://www.mobot.org/MOBOT/research/APweb/orders/lamialesweb.htm</x:v>
      </x:c>
      <x:c r="U508" s="215" t="str">
        <x:v>https://powo.science.kew.org/taxon/urn:lsid:ipni.org:names:30001336-2/general-information</x:v>
      </x:c>
      <x:c r="V508" s="215" t="str">
        <x:v>https://powo.science.kew.org/taxon/urn:lsid:ipni.org:names:30001336-2/general-information</x:v>
      </x:c>
      <x:c r="W508"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8" s="215" t="str">
        <x:v>No — retain qualifiers and exceptions</x:v>
      </x:c>
      <x:c r="Y508" s="215" t="str">
        <x:v>Yes</x:v>
      </x:c>
      <x:c r="Z508" s="215" t="str">
        <x:v>Source-backed draft</x:v>
      </x:c>
    </x:row>
    <x:row r="509" ht="42" customHeight="1">
      <x:c r="A509" s="215" t="str">
        <x:v>Oleaceae</x:v>
      </x:c>
      <x:c r="B509" s="215" t="str">
        <x:v>OLE-SEEDS</x:v>
      </x:c>
      <x:c r="C509" s="215" t="str">
        <x:v>Family character</x:v>
      </x:c>
      <x:c r="D509" s="215" t="str">
        <x:v>Seeds</x:v>
      </x:c>
      <x:c r="E509" s="215" t="str">
        <x:v>Fruit commonly contains 1–2 mature seeds, though more ovules may begin development</x:v>
      </x:c>
      <x:c r="F509" s="215" t="str">
        <x:v>Supporting</x:v>
      </x:c>
      <x:c r="G509" s="215" t="str">
        <x:v>1</x:v>
      </x:c>
      <x:c r="H509" s="215" t="str">
        <x:v>High</x:v>
      </x:c>
      <x:c r="I509" s="215" t="str">
        <x:v>Naked eye or hand lens</x:v>
      </x:c>
      <x:c r="J509" s="215" t="str">
        <x:v>Mature fruit</x:v>
      </x:c>
      <x:c r="K509" s="215" t="str">
        <x:v>Low seed number can support the two-locular ovary pattern.</x:v>
      </x:c>
      <x:c r="L509" s="215" t="str">
        <x:v>Seed number varies and immature fruits can mislead.</x:v>
      </x:c>
      <x:c r="M509" s="215" t="str">
        <x:v>Use as a secondary mature-fruit character.</x:v>
      </x:c>
      <x:c r="N509" s="215" t="str">
        <x:v>Ashes, elbowbush/forestiera relatives, and menodora-type shrubs make opposite-leaved woody Oleaceae practical in Hays County.</x:v>
      </x:c>
      <x:c r="O509" s="215" t="str">
        <x:v>Low</x:v>
      </x:c>
      <x:c r="P509" s="215" t="str">
        <x:v>No</x:v>
      </x:c>
      <x:c r="Q509" s="215" t="str"/>
      <x:c r="R509" s="215" t="str"/>
      <x:c r="S509" s="215" t="str">
        <x:v>APWEB-OLEA; POWO-OLEA; LBJ-HAYS</x:v>
      </x:c>
      <x:c r="T509" s="215" t="str">
        <x:v>https://www.mobot.org/MOBOT/research/APweb/orders/lamialesweb.htm</x:v>
      </x:c>
      <x:c r="U509" s="215" t="str">
        <x:v>https://powo.science.kew.org/taxon/urn:lsid:ipni.org:names:30001336-2/general-information</x:v>
      </x:c>
      <x:c r="V509" s="215" t="str">
        <x:v>https://powo.science.kew.org/taxon/urn:lsid:ipni.org:names:30001336-2/general-information</x:v>
      </x:c>
      <x:c r="W509"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9" s="215" t="str">
        <x:v>No — retain qualifiers and exceptions</x:v>
      </x:c>
      <x:c r="Y509" s="215" t="str">
        <x:v>Yes</x:v>
      </x:c>
      <x:c r="Z509" s="215" t="str">
        <x:v>Source-backed draft</x:v>
      </x:c>
    </x:row>
    <x:row r="510" ht="42" customHeight="1">
      <x:c r="A510" s="215" t="str">
        <x:v>Oleaceae</x:v>
      </x:c>
      <x:c r="B510" s="215" t="str">
        <x:v>OLE-LK01</x:v>
      </x:c>
      <x:c r="C510" s="215" t="str">
        <x:v>Lookalike comparison</x:v>
      </x:c>
      <x:c r="D510" s="215" t="str">
        <x:v>Lookalike</x:v>
      </x:c>
      <x:c r="E510" s="215" t="str">
        <x:v>Versus Rubiaceae: no interpetiolar stipules and a superior ovary favor Oleaceae; stipules and an inferior ovary favor Rubiaceae</x:v>
      </x:c>
      <x:c r="F510" s="215" t="str">
        <x:v>Lookalike</x:v>
      </x:c>
      <x:c r="G510" s="215" t="str">
        <x:v>5</x:v>
      </x:c>
      <x:c r="H510" s="215" t="str">
        <x:v>High</x:v>
      </x:c>
      <x:c r="I510" s="215" t="str">
        <x:v>Naked eye or hand lens</x:v>
      </x:c>
      <x:c r="J510" s="215" t="str">
        <x:v>Leafy flowering material</x:v>
      </x:c>
      <x:c r="K510" s="215" t="str">
        <x:v>Both often have opposite leaves and small sympetalous flowers.</x:v>
      </x:c>
      <x:c r="L510" s="215" t="str">
        <x:v>Stipules may be tiny or fallen; verify ovary position on flowers.</x:v>
      </x:c>
      <x:c r="M510" s="215" t="str">
        <x:v>Inspect nodes first and flower insertion second.</x:v>
      </x:c>
      <x:c r="N510" s="215" t="str">
        <x:v>Ashes, elbowbush/forestiera relatives, and menodora-type shrubs make opposite-leaved woody Oleaceae practical in Hays County.</x:v>
      </x:c>
      <x:c r="O510" s="215" t="str">
        <x:v>Low</x:v>
      </x:c>
      <x:c r="P510" s="215" t="str">
        <x:v>No</x:v>
      </x:c>
      <x:c r="Q510" s="215" t="str"/>
      <x:c r="R510" s="215" t="str">
        <x:v>OLE-LEAVES; OLE-OVARY</x:v>
      </x:c>
      <x:c r="S510" s="215" t="str">
        <x:v>APWEB-OLEA; POWO-OLEA; LBJ-HAYS</x:v>
      </x:c>
      <x:c r="T510" s="215" t="str">
        <x:v>https://www.mobot.org/MOBOT/research/APweb/orders/lamialesweb.htm</x:v>
      </x:c>
      <x:c r="U510" s="215" t="str">
        <x:v>https://powo.science.kew.org/taxon/urn:lsid:ipni.org:names:30001336-2/general-information</x:v>
      </x:c>
      <x:c r="V510" s="215" t="str">
        <x:v>https://powo.science.kew.org/taxon/urn:lsid:ipni.org:names:30001336-2/general-information</x:v>
      </x:c>
      <x:c r="W510"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10" s="215" t="str">
        <x:v>No — retain qualifiers and exceptions</x:v>
      </x:c>
      <x:c r="Y510" s="215" t="str">
        <x:v>Yes</x:v>
      </x:c>
      <x:c r="Z510" s="215" t="str">
        <x:v>Source-backed draft</x:v>
      </x:c>
    </x:row>
    <x:row r="511" ht="42" customHeight="1">
      <x:c r="A511" s="215" t="str">
        <x:v>Oleaceae</x:v>
      </x:c>
      <x:c r="B511" s="215" t="str">
        <x:v>OLE-LK02</x:v>
      </x:c>
      <x:c r="C511" s="215" t="str">
        <x:v>Lookalike comparison</x:v>
      </x:c>
      <x:c r="D511" s="215" t="str">
        <x:v>Lookalike</x:v>
      </x:c>
      <x:c r="E511" s="215" t="str">
        <x:v>Versus Lamiaceae: woody radial 4-merous flowers with usually 2 stamens favor Oleaceae; bilabiate flowers and a deeply 4-lobed ovary favor many Lamiaceae</x:v>
      </x:c>
      <x:c r="F511" s="215" t="str">
        <x:v>Lookalike</x:v>
      </x:c>
      <x:c r="G511" s="215" t="str">
        <x:v>5</x:v>
      </x:c>
      <x:c r="H511" s="215" t="str">
        <x:v>High</x:v>
      </x:c>
      <x:c r="I511" s="215" t="str">
        <x:v>Naked eye or hand lens</x:v>
      </x:c>
      <x:c r="J511" s="215" t="str">
        <x:v>Fresh flowers</x:v>
      </x:c>
      <x:c r="K511" s="215" t="str">
        <x:v>Opposite leaves can send a field key in either direction.</x:v>
      </x:c>
      <x:c r="L511" s="215" t="str">
        <x:v>Woody Lamiaceae and atypical Oleaceae require the full floral suite.</x:v>
      </x:c>
      <x:c r="M511" s="215" t="str">
        <x:v>Check corolla symmetry, stamen count, and whether the ovary divides into four lobes.</x:v>
      </x:c>
      <x:c r="N511" s="215" t="str">
        <x:v>Ashes, elbowbush/forestiera relatives, and menodora-type shrubs make opposite-leaved woody Oleaceae practical in Hays County.</x:v>
      </x:c>
      <x:c r="O511" s="215" t="str">
        <x:v>Low</x:v>
      </x:c>
      <x:c r="P511" s="215" t="str">
        <x:v>No</x:v>
      </x:c>
      <x:c r="Q511" s="215" t="str"/>
      <x:c r="R511" s="215" t="str">
        <x:v>OLE-LEAVES; OLE-FLOWER; OLE-STAMENS</x:v>
      </x:c>
      <x:c r="S511" s="215" t="str">
        <x:v>APWEB-OLEA; POWO-OLEA; LBJ-HAYS</x:v>
      </x:c>
      <x:c r="T511" s="215" t="str">
        <x:v>https://www.mobot.org/MOBOT/research/APweb/orders/lamialesweb.htm</x:v>
      </x:c>
      <x:c r="U511" s="215" t="str">
        <x:v>https://powo.science.kew.org/taxon/urn:lsid:ipni.org:names:30001336-2/general-information</x:v>
      </x:c>
      <x:c r="V511" s="215" t="str">
        <x:v>https://powo.science.kew.org/taxon/urn:lsid:ipni.org:names:30001336-2/general-information</x:v>
      </x:c>
      <x:c r="W511"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11" s="215" t="str">
        <x:v>No — retain qualifiers and exceptions</x:v>
      </x:c>
      <x:c r="Y511" s="215" t="str">
        <x:v>Yes</x:v>
      </x:c>
      <x:c r="Z511" s="215" t="str">
        <x:v>Source-backed draft</x:v>
      </x:c>
    </x:row>
    <x:row r="512" ht="42" customHeight="1">
      <x:c r="A512" s="215" t="str">
        <x:v>Rhamnaceae</x:v>
      </x:c>
      <x:c r="B512" s="215" t="str">
        <x:v>RHA-HABIT</x:v>
      </x:c>
      <x:c r="C512" s="215" t="str">
        <x:v>Family character</x:v>
      </x:c>
      <x:c r="D512" s="215" t="str">
        <x:v>Habit / stems</x:v>
      </x:c>
      <x:c r="E512" s="215" t="str">
        <x:v>Trees, shrubs, or vines; branches sometimes ending in spines</x:v>
      </x:c>
      <x:c r="F512" s="215" t="str">
        <x:v>Strong</x:v>
      </x:c>
      <x:c r="G512" s="215" t="str">
        <x:v>2</x:v>
      </x:c>
      <x:c r="H512" s="215" t="str">
        <x:v>High</x:v>
      </x:c>
      <x:c r="I512" s="215" t="str">
        <x:v>Naked eye or hand lens</x:v>
      </x:c>
      <x:c r="J512" s="215" t="str">
        <x:v>Any mature shoot</x:v>
      </x:c>
      <x:c r="K512" s="215" t="str">
        <x:v>A woody, sometimes thorny plant is the normal regional presentation.</x:v>
      </x:c>
      <x:c r="L512" s="215" t="str">
        <x:v>Many unrelated shrubs are spiny, and not all Rhamnaceae are.</x:v>
      </x:c>
      <x:c r="M512" s="215" t="str">
        <x:v>Use stems only as a supporting clue.</x:v>
      </x:c>
      <x:c r="N512" s="215" t="str">
        <x:v>Buckthorn-family shrubs occur in Central Texas woodlands, thickets, and rocky sites; use the suite rather than any single leaf trait.</x:v>
      </x:c>
      <x:c r="O512" s="215" t="str">
        <x:v>Low</x:v>
      </x:c>
      <x:c r="P512" s="215" t="str">
        <x:v>No</x:v>
      </x:c>
      <x:c r="Q512" s="215" t="str"/>
      <x:c r="R512" s="215" t="str"/>
      <x:c r="S512" s="215" t="str">
        <x:v>APWEB-RHAM; FNA-RHAM; POWO-RHAM; LBJ-HAYS</x:v>
      </x:c>
      <x:c r="T512" s="215" t="str">
        <x:v>https://www.mobot.org/MOBOT/research/APweb/orders/rosalesweb.htm</x:v>
      </x:c>
      <x:c r="U512" s="215" t="str">
        <x:v>https://floranorthamerica.org/Rhamnaceae</x:v>
      </x:c>
      <x:c r="V512" s="215" t="str">
        <x:v>https://powo.science.kew.org/taxon/urn:lsid:ipni.org:names:50033316-1/general-information</x:v>
      </x:c>
      <x:c r="W512" s="215" t="str">
        <x:v>https://www.mobot.org/MOBOT/research/APweb/orders/rosalesweb.htm
https://floranorthamerica.org/Rhamnaceae
https://powo.science.kew.org/taxon/urn:lsid:ipni.org:names:50033316-1/general-information
https://www.wildflower.org/collections/collection.php?collection=hays</x:v>
      </x:c>
      <x:c r="X512" s="215" t="str">
        <x:v>No — retain qualifiers and exceptions</x:v>
      </x:c>
      <x:c r="Y512" s="215" t="str">
        <x:v>Yes</x:v>
      </x:c>
      <x:c r="Z512" s="215" t="str">
        <x:v>Source-backed draft</x:v>
      </x:c>
    </x:row>
    <x:row r="513" ht="42" customHeight="1">
      <x:c r="A513" s="215" t="str">
        <x:v>Rhamnaceae</x:v>
      </x:c>
      <x:c r="B513" s="215" t="str">
        <x:v>RHA-LEAVES</x:v>
      </x:c>
      <x:c r="C513" s="215" t="str">
        <x:v>Family character</x:v>
      </x:c>
      <x:c r="D513" s="215" t="str">
        <x:v>Leaves / stipules</x:v>
      </x:c>
      <x:c r="E513" s="215" t="str">
        <x:v>Leaves simple, alternate or opposite, usually stipulate; three strong veins from near the base are common</x:v>
      </x:c>
      <x:c r="F513" s="215" t="str">
        <x:v>Strong</x:v>
      </x:c>
      <x:c r="G513" s="215" t="str">
        <x:v>3</x:v>
      </x:c>
      <x:c r="H513" s="215" t="str">
        <x:v>High</x:v>
      </x:c>
      <x:c r="I513" s="215" t="str">
        <x:v>Naked eye or hand lens</x:v>
      </x:c>
      <x:c r="J513" s="215" t="str">
        <x:v>Leafy shoots</x:v>
      </x:c>
      <x:c r="K513" s="215" t="str">
        <x:v>Small stipules and prominent basal venation can be conspicuous on buckthorn-family leaves.</x:v>
      </x:c>
      <x:c r="L513" s="215" t="str">
        <x:v>Venation and arrangement vary; stipules may fall early.</x:v>
      </x:c>
      <x:c r="M513" s="215" t="str">
        <x:v>Inspect multiple nodes and combine leaf clues with flowers or fruit.</x:v>
      </x:c>
      <x:c r="N513" s="215" t="str">
        <x:v>Buckthorn-family shrubs occur in Central Texas woodlands, thickets, and rocky sites; use the suite rather than any single leaf trait.</x:v>
      </x:c>
      <x:c r="O513" s="215" t="str">
        <x:v>Low</x:v>
      </x:c>
      <x:c r="P513" s="215" t="str">
        <x:v>No</x:v>
      </x:c>
      <x:c r="Q513" s="215" t="str"/>
      <x:c r="R513" s="215" t="str">
        <x:v>RHA-LK01; RHA-LK02</x:v>
      </x:c>
      <x:c r="S513" s="215" t="str">
        <x:v>APWEB-RHAM; FNA-RHAM; POWO-RHAM; LBJ-HAYS</x:v>
      </x:c>
      <x:c r="T513" s="215" t="str">
        <x:v>https://www.mobot.org/MOBOT/research/APweb/orders/rosalesweb.htm</x:v>
      </x:c>
      <x:c r="U513" s="215" t="str">
        <x:v>https://floranorthamerica.org/Rhamnaceae</x:v>
      </x:c>
      <x:c r="V513" s="215" t="str">
        <x:v>https://powo.science.kew.org/taxon/urn:lsid:ipni.org:names:50033316-1/general-information</x:v>
      </x:c>
      <x:c r="W513" s="215" t="str">
        <x:v>https://www.mobot.org/MOBOT/research/APweb/orders/rosalesweb.htm
https://floranorthamerica.org/Rhamnaceae
https://powo.science.kew.org/taxon/urn:lsid:ipni.org:names:50033316-1/general-information
https://www.wildflower.org/collections/collection.php?collection=hays</x:v>
      </x:c>
      <x:c r="X513" s="215" t="str">
        <x:v>No — retain qualifiers and exceptions</x:v>
      </x:c>
      <x:c r="Y513" s="215" t="str">
        <x:v>Yes</x:v>
      </x:c>
      <x:c r="Z513" s="215" t="str">
        <x:v>Source-backed draft</x:v>
      </x:c>
    </x:row>
    <x:row r="514" ht="42" customHeight="1">
      <x:c r="A514" s="215" t="str">
        <x:v>Rhamnaceae</x:v>
      </x:c>
      <x:c r="B514" s="215" t="str">
        <x:v>RHA-FLOWER</x:v>
      </x:c>
      <x:c r="C514" s="215" t="str">
        <x:v>Family character</x:v>
      </x:c>
      <x:c r="D514" s="215" t="str">
        <x:v>Flowers</x:v>
      </x:c>
      <x:c r="E514" s="215" t="str">
        <x:v>Flowers small, commonly greenish, and 4- or 5-merous</x:v>
      </x:c>
      <x:c r="F514" s="215" t="str">
        <x:v>Strong</x:v>
      </x:c>
      <x:c r="G514" s="215" t="str">
        <x:v>3</x:v>
      </x:c>
      <x:c r="H514" s="215" t="str">
        <x:v>High</x:v>
      </x:c>
      <x:c r="I514" s="215" t="str">
        <x:v>Hand lens</x:v>
      </x:c>
      <x:c r="J514" s="215" t="str">
        <x:v>Fresh flowers</x:v>
      </x:c>
      <x:c r="K514" s="215" t="str">
        <x:v>The flowers are often inconspicuous but regularly constructed.</x:v>
      </x:c>
      <x:c r="L514" s="215" t="str">
        <x:v>Petals can be absent and merosity varies.</x:v>
      </x:c>
      <x:c r="M514" s="215" t="str">
        <x:v>Count parts under a hand lens and seek the disc and stamen position.</x:v>
      </x:c>
      <x:c r="N514" s="215" t="str">
        <x:v>Buckthorn-family shrubs occur in Central Texas woodlands, thickets, and rocky sites; use the suite rather than any single leaf trait.</x:v>
      </x:c>
      <x:c r="O514" s="215" t="str">
        <x:v>Low</x:v>
      </x:c>
      <x:c r="P514" s="215" t="str">
        <x:v>No</x:v>
      </x:c>
      <x:c r="Q514" s="215" t="str"/>
      <x:c r="R514" s="215" t="str"/>
      <x:c r="S514" s="215" t="str">
        <x:v>APWEB-RHAM; FNA-RHAM; POWO-RHAM; LBJ-HAYS</x:v>
      </x:c>
      <x:c r="T514" s="215" t="str">
        <x:v>https://www.mobot.org/MOBOT/research/APweb/orders/rosalesweb.htm</x:v>
      </x:c>
      <x:c r="U514" s="215" t="str">
        <x:v>https://floranorthamerica.org/Rhamnaceae</x:v>
      </x:c>
      <x:c r="V514" s="215" t="str">
        <x:v>https://powo.science.kew.org/taxon/urn:lsid:ipni.org:names:50033316-1/general-information</x:v>
      </x:c>
      <x:c r="W514" s="215" t="str">
        <x:v>https://www.mobot.org/MOBOT/research/APweb/orders/rosalesweb.htm
https://floranorthamerica.org/Rhamnaceae
https://powo.science.kew.org/taxon/urn:lsid:ipni.org:names:50033316-1/general-information
https://www.wildflower.org/collections/collection.php?collection=hays</x:v>
      </x:c>
      <x:c r="X514" s="215" t="str">
        <x:v>No — retain qualifiers and exceptions</x:v>
      </x:c>
      <x:c r="Y514" s="215" t="str">
        <x:v>Yes</x:v>
      </x:c>
      <x:c r="Z514" s="215" t="str">
        <x:v>Source-backed draft</x:v>
      </x:c>
    </x:row>
    <x:row r="515" ht="42" customHeight="1">
      <x:c r="A515" s="215" t="str">
        <x:v>Rhamnaceae</x:v>
      </x:c>
      <x:c r="B515" s="215" t="str">
        <x:v>RHA-DISC</x:v>
      </x:c>
      <x:c r="C515" s="215" t="str">
        <x:v>Family character</x:v>
      </x:c>
      <x:c r="D515" s="215" t="str">
        <x:v>Flowers / nectar disc</x:v>
      </x:c>
      <x:c r="E515" s="215" t="str">
        <x:v>A conspicuous nectar disc commonly surrounds or lines the ovary</x:v>
      </x:c>
      <x:c r="F515" s="215" t="str">
        <x:v>Strong</x:v>
      </x:c>
      <x:c r="G515" s="215" t="str">
        <x:v>5</x:v>
      </x:c>
      <x:c r="H515" s="215" t="str">
        <x:v>High</x:v>
      </x:c>
      <x:c r="I515" s="215" t="str">
        <x:v>Hand lens</x:v>
      </x:c>
      <x:c r="J515" s="215" t="str">
        <x:v>Fresh flowers</x:v>
      </x:c>
      <x:c r="K515" s="215" t="str">
        <x:v>The fleshy disc is often more visible than the tiny petals.</x:v>
      </x:c>
      <x:c r="L515" s="215" t="str">
        <x:v>Disc form and ovary immersion vary among genera.</x:v>
      </x:c>
      <x:c r="M515" s="215" t="str">
        <x:v>Use the disc together with stamens opposite the petals.</x:v>
      </x:c>
      <x:c r="N515" s="215" t="str">
        <x:v>Buckthorn-family shrubs occur in Central Texas woodlands, thickets, and rocky sites; use the suite rather than any single leaf trait.</x:v>
      </x:c>
      <x:c r="O515" s="215" t="str">
        <x:v>Low</x:v>
      </x:c>
      <x:c r="P515" s="215" t="str">
        <x:v>No</x:v>
      </x:c>
      <x:c r="Q515" s="215" t="str"/>
      <x:c r="R515" s="215" t="str"/>
      <x:c r="S515" s="215" t="str">
        <x:v>APWEB-RHAM; FNA-RHAM; POWO-RHAM; LBJ-HAYS</x:v>
      </x:c>
      <x:c r="T515" s="215" t="str">
        <x:v>https://www.mobot.org/MOBOT/research/APweb/orders/rosalesweb.htm</x:v>
      </x:c>
      <x:c r="U515" s="215" t="str">
        <x:v>https://floranorthamerica.org/Rhamnaceae</x:v>
      </x:c>
      <x:c r="V515" s="215" t="str">
        <x:v>https://powo.science.kew.org/taxon/urn:lsid:ipni.org:names:50033316-1/general-information</x:v>
      </x:c>
      <x:c r="W515" s="215" t="str">
        <x:v>https://www.mobot.org/MOBOT/research/APweb/orders/rosalesweb.htm
https://floranorthamerica.org/Rhamnaceae
https://powo.science.kew.org/taxon/urn:lsid:ipni.org:names:50033316-1/general-information
https://www.wildflower.org/collections/collection.php?collection=hays</x:v>
      </x:c>
      <x:c r="X515" s="215" t="str">
        <x:v>No — retain qualifiers and exceptions</x:v>
      </x:c>
      <x:c r="Y515" s="215" t="str">
        <x:v>Yes</x:v>
      </x:c>
      <x:c r="Z515" s="215" t="str">
        <x:v>Source-backed draft</x:v>
      </x:c>
    </x:row>
    <x:row r="516" ht="42" customHeight="1">
      <x:c r="A516" s="215" t="str">
        <x:v>Rhamnaceae</x:v>
      </x:c>
      <x:c r="B516" s="215" t="str">
        <x:v>RHA-PETALS</x:v>
      </x:c>
      <x:c r="C516" s="215" t="str">
        <x:v>Family character</x:v>
      </x:c>
      <x:c r="D516" s="215" t="str">
        <x:v>Flowers</x:v>
      </x:c>
      <x:c r="E516" s="215" t="str">
        <x:v>Petals small, often hooded or clawed, and sometimes absent</x:v>
      </x:c>
      <x:c r="F516" s="215" t="str">
        <x:v>Moderate</x:v>
      </x:c>
      <x:c r="G516" s="215" t="str">
        <x:v>3</x:v>
      </x:c>
      <x:c r="H516" s="215" t="str">
        <x:v>High</x:v>
      </x:c>
      <x:c r="I516" s="215" t="str">
        <x:v>Hand lens</x:v>
      </x:c>
      <x:c r="J516" s="215" t="str">
        <x:v>Fresh flowers</x:v>
      </x:c>
      <x:c r="K516" s="215" t="str">
        <x:v>Tiny petals may cap or partially enclose the stamens.</x:v>
      </x:c>
      <x:c r="L516" s="215" t="str">
        <x:v>Petal absence prevents this from being universal.</x:v>
      </x:c>
      <x:c r="M516" s="215" t="str">
        <x:v>Use only on intact flowers and retain the absence exception.</x:v>
      </x:c>
      <x:c r="N516" s="215" t="str">
        <x:v>Buckthorn-family shrubs occur in Central Texas woodlands, thickets, and rocky sites; use the suite rather than any single leaf trait.</x:v>
      </x:c>
      <x:c r="O516" s="215" t="str">
        <x:v>Low</x:v>
      </x:c>
      <x:c r="P516" s="215" t="str">
        <x:v>No</x:v>
      </x:c>
      <x:c r="Q516" s="215" t="str"/>
      <x:c r="R516" s="215" t="str"/>
      <x:c r="S516" s="215" t="str">
        <x:v>APWEB-RHAM; FNA-RHAM; POWO-RHAM; LBJ-HAYS</x:v>
      </x:c>
      <x:c r="T516" s="215" t="str">
        <x:v>https://www.mobot.org/MOBOT/research/APweb/orders/rosalesweb.htm</x:v>
      </x:c>
      <x:c r="U516" s="215" t="str">
        <x:v>https://floranorthamerica.org/Rhamnaceae</x:v>
      </x:c>
      <x:c r="V516" s="215" t="str">
        <x:v>https://powo.science.kew.org/taxon/urn:lsid:ipni.org:names:50033316-1/general-information</x:v>
      </x:c>
      <x:c r="W516" s="215" t="str">
        <x:v>https://www.mobot.org/MOBOT/research/APweb/orders/rosalesweb.htm
https://floranorthamerica.org/Rhamnaceae
https://powo.science.kew.org/taxon/urn:lsid:ipni.org:names:50033316-1/general-information
https://www.wildflower.org/collections/collection.php?collection=hays</x:v>
      </x:c>
      <x:c r="X516" s="215" t="str">
        <x:v>No — retain qualifiers and exceptions</x:v>
      </x:c>
      <x:c r="Y516" s="215" t="str">
        <x:v>Yes</x:v>
      </x:c>
      <x:c r="Z516" s="215" t="str">
        <x:v>Source-backed draft</x:v>
      </x:c>
    </x:row>
    <x:row r="517" ht="42" customHeight="1">
      <x:c r="A517" s="215" t="str">
        <x:v>Rhamnaceae</x:v>
      </x:c>
      <x:c r="B517" s="215" t="str">
        <x:v>RHA-STAMENS</x:v>
      </x:c>
      <x:c r="C517" s="215" t="str">
        <x:v>Family character</x:v>
      </x:c>
      <x:c r="D517" s="215" t="str">
        <x:v>Stamens</x:v>
      </x:c>
      <x:c r="E517" s="215" t="str">
        <x:v>Stamens equal in number to and positioned opposite the petals</x:v>
      </x:c>
      <x:c r="F517" s="215" t="str">
        <x:v>Strong</x:v>
      </x:c>
      <x:c r="G517" s="215" t="str">
        <x:v>5</x:v>
      </x:c>
      <x:c r="H517" s="215" t="str">
        <x:v>High</x:v>
      </x:c>
      <x:c r="I517" s="215" t="str">
        <x:v>Hand lens</x:v>
      </x:c>
      <x:c r="J517" s="215" t="str">
        <x:v>Fresh flowers</x:v>
      </x:c>
      <x:c r="K517" s="215" t="str">
        <x:v>Opposite-petal stamens are a high-value family clue.</x:v>
      </x:c>
      <x:c r="L517" s="215" t="str">
        <x:v>Flowers without petals require positional interpretation against the calyx and disc.</x:v>
      </x:c>
      <x:c r="M517" s="215" t="str">
        <x:v>Check intact flowers under magnification.</x:v>
      </x:c>
      <x:c r="N517" s="215" t="str">
        <x:v>Buckthorn-family shrubs occur in Central Texas woodlands, thickets, and rocky sites; use the suite rather than any single leaf trait.</x:v>
      </x:c>
      <x:c r="O517" s="215" t="str">
        <x:v>Low</x:v>
      </x:c>
      <x:c r="P517" s="215" t="str">
        <x:v>No</x:v>
      </x:c>
      <x:c r="Q517" s="215" t="str"/>
      <x:c r="R517" s="215" t="str">
        <x:v>RHA-LK01</x:v>
      </x:c>
      <x:c r="S517" s="215" t="str">
        <x:v>APWEB-RHAM; FNA-RHAM; POWO-RHAM; LBJ-HAYS</x:v>
      </x:c>
      <x:c r="T517" s="215" t="str">
        <x:v>https://www.mobot.org/MOBOT/research/APweb/orders/rosalesweb.htm</x:v>
      </x:c>
      <x:c r="U517" s="215" t="str">
        <x:v>https://floranorthamerica.org/Rhamnaceae</x:v>
      </x:c>
      <x:c r="V517" s="215" t="str">
        <x:v>https://powo.science.kew.org/taxon/urn:lsid:ipni.org:names:50033316-1/general-information</x:v>
      </x:c>
      <x:c r="W517" s="215" t="str">
        <x:v>https://www.mobot.org/MOBOT/research/APweb/orders/rosalesweb.htm
https://floranorthamerica.org/Rhamnaceae
https://powo.science.kew.org/taxon/urn:lsid:ipni.org:names:50033316-1/general-information
https://www.wildflower.org/collections/collection.php?collection=hays</x:v>
      </x:c>
      <x:c r="X517" s="215" t="str">
        <x:v>No — retain qualifiers and exceptions</x:v>
      </x:c>
      <x:c r="Y517" s="215" t="str">
        <x:v>Yes</x:v>
      </x:c>
      <x:c r="Z517" s="215" t="str">
        <x:v>Source-backed draft</x:v>
      </x:c>
    </x:row>
    <x:row r="518" ht="42" customHeight="1">
      <x:c r="A518" s="215" t="str">
        <x:v>Rhamnaceae</x:v>
      </x:c>
      <x:c r="B518" s="215" t="str">
        <x:v>RHA-OVARY</x:v>
      </x:c>
      <x:c r="C518" s="215" t="str">
        <x:v>Family character</x:v>
      </x:c>
      <x:c r="D518" s="215" t="str">
        <x:v>Gynoecium</x:v>
      </x:c>
      <x:c r="E518" s="215" t="str">
        <x:v>Ovary 2–4-locular and variably superior, partly inferior, or inferior as it becomes immersed in the disc</x:v>
      </x:c>
      <x:c r="F518" s="215" t="str">
        <x:v>Caution</x:v>
      </x:c>
      <x:c r="G518" s="215" t="str">
        <x:v>2</x:v>
      </x:c>
      <x:c r="H518" s="215" t="str">
        <x:v>High</x:v>
      </x:c>
      <x:c r="I518" s="215" t="str">
        <x:v>Hand lens or dissection</x:v>
      </x:c>
      <x:c r="J518" s="215" t="str">
        <x:v>Fresh flowers</x:v>
      </x:c>
      <x:c r="K518" s="215" t="str">
        <x:v>Ovary position is not fixed across the family, but the disc-ovary relationship is informative.</x:v>
      </x:c>
      <x:c r="L518" s="215" t="str">
        <x:v>Do not code the family as universally superior or inferior.</x:v>
      </x:c>
      <x:c r="M518" s="215" t="str">
        <x:v>Record the local genus and describe disc immersion explicitly.</x:v>
      </x:c>
      <x:c r="N518" s="215" t="str">
        <x:v>Buckthorn-family shrubs occur in Central Texas woodlands, thickets, and rocky sites; use the suite rather than any single leaf trait.</x:v>
      </x:c>
      <x:c r="O518" s="215" t="str">
        <x:v>Medium</x:v>
      </x:c>
      <x:c r="P518" s="215" t="str">
        <x:v>No</x:v>
      </x:c>
      <x:c r="Q518" s="215" t="str"/>
      <x:c r="R518" s="215" t="str"/>
      <x:c r="S518" s="215" t="str">
        <x:v>APWEB-RHAM; FNA-RHAM; POWO-RHAM; LBJ-HAYS</x:v>
      </x:c>
      <x:c r="T518" s="215" t="str">
        <x:v>https://www.mobot.org/MOBOT/research/APweb/orders/rosalesweb.htm</x:v>
      </x:c>
      <x:c r="U518" s="215" t="str">
        <x:v>https://floranorthamerica.org/Rhamnaceae</x:v>
      </x:c>
      <x:c r="V518" s="215" t="str">
        <x:v>https://powo.science.kew.org/taxon/urn:lsid:ipni.org:names:50033316-1/general-information</x:v>
      </x:c>
      <x:c r="W518" s="215" t="str">
        <x:v>https://www.mobot.org/MOBOT/research/APweb/orders/rosalesweb.htm
https://floranorthamerica.org/Rhamnaceae
https://powo.science.kew.org/taxon/urn:lsid:ipni.org:names:50033316-1/general-information
https://www.wildflower.org/collections/collection.php?collection=hays</x:v>
      </x:c>
      <x:c r="X518" s="215" t="str">
        <x:v>No — retain qualifiers and exceptions</x:v>
      </x:c>
      <x:c r="Y518" s="215" t="str">
        <x:v>Yes</x:v>
      </x:c>
      <x:c r="Z518" s="215" t="str">
        <x:v>Source-backed draft</x:v>
      </x:c>
    </x:row>
    <x:row r="519" ht="42" customHeight="1">
      <x:c r="A519" s="215" t="str">
        <x:v>Rhamnaceae</x:v>
      </x:c>
      <x:c r="B519" s="215" t="str">
        <x:v>RHA-FRUIT</x:v>
      </x:c>
      <x:c r="C519" s="215" t="str">
        <x:v>Family character</x:v>
      </x:c>
      <x:c r="D519" s="215" t="str">
        <x:v>Fruit</x:v>
      </x:c>
      <x:c r="E519" s="215" t="str">
        <x:v>Fruit a drupe, capsule, or dry splitting fruit, commonly with one seed per locule</x:v>
      </x:c>
      <x:c r="F519" s="215" t="str">
        <x:v>Strong</x:v>
      </x:c>
      <x:c r="G519" s="215" t="str">
        <x:v>3</x:v>
      </x:c>
      <x:c r="H519" s="215" t="str">
        <x:v>High</x:v>
      </x:c>
      <x:c r="I519" s="215" t="str">
        <x:v>Naked eye or hand lens</x:v>
      </x:c>
      <x:c r="J519" s="215" t="str">
        <x:v>Mature fruit</x:v>
      </x:c>
      <x:c r="K519" s="215" t="str">
        <x:v>Fruit construction varies, but it reflects a few locules associated with the floral disc.</x:v>
      </x:c>
      <x:c r="L519" s="215" t="str">
        <x:v>Fleshy versus dry fruit is lineage-dependent.</x:v>
      </x:c>
      <x:c r="M519" s="215" t="str">
        <x:v>Use fruit to reach genus after the floral suite establishes the family.</x:v>
      </x:c>
      <x:c r="N519" s="215" t="str">
        <x:v>Buckthorn-family shrubs occur in Central Texas woodlands, thickets, and rocky sites; use the suite rather than any single leaf trait.</x:v>
      </x:c>
      <x:c r="O519" s="215" t="str">
        <x:v>Low</x:v>
      </x:c>
      <x:c r="P519" s="215" t="str">
        <x:v>No</x:v>
      </x:c>
      <x:c r="Q519" s="215" t="str"/>
      <x:c r="R519" s="215" t="str"/>
      <x:c r="S519" s="215" t="str">
        <x:v>APWEB-RHAM; FNA-RHAM; POWO-RHAM; LBJ-HAYS</x:v>
      </x:c>
      <x:c r="T519" s="215" t="str">
        <x:v>https://www.mobot.org/MOBOT/research/APweb/orders/rosalesweb.htm</x:v>
      </x:c>
      <x:c r="U519" s="215" t="str">
        <x:v>https://floranorthamerica.org/Rhamnaceae</x:v>
      </x:c>
      <x:c r="V519" s="215" t="str">
        <x:v>https://powo.science.kew.org/taxon/urn:lsid:ipni.org:names:50033316-1/general-information</x:v>
      </x:c>
      <x:c r="W519" s="215" t="str">
        <x:v>https://www.mobot.org/MOBOT/research/APweb/orders/rosalesweb.htm
https://floranorthamerica.org/Rhamnaceae
https://powo.science.kew.org/taxon/urn:lsid:ipni.org:names:50033316-1/general-information
https://www.wildflower.org/collections/collection.php?collection=hays</x:v>
      </x:c>
      <x:c r="X519" s="215" t="str">
        <x:v>No — retain qualifiers and exceptions</x:v>
      </x:c>
      <x:c r="Y519" s="215" t="str">
        <x:v>Yes</x:v>
      </x:c>
      <x:c r="Z519" s="215" t="str">
        <x:v>Source-backed draft</x:v>
      </x:c>
    </x:row>
    <x:row r="520" ht="42" customHeight="1">
      <x:c r="A520" s="215" t="str">
        <x:v>Rhamnaceae</x:v>
      </x:c>
      <x:c r="B520" s="215" t="str">
        <x:v>RHA-SEEDS</x:v>
      </x:c>
      <x:c r="C520" s="215" t="str">
        <x:v>Family character</x:v>
      </x:c>
      <x:c r="D520" s="215" t="str">
        <x:v>Seeds</x:v>
      </x:c>
      <x:c r="E520" s="215" t="str">
        <x:v>Seeds commonly one per locule, often with a hard coat</x:v>
      </x:c>
      <x:c r="F520" s="215" t="str">
        <x:v>Supporting</x:v>
      </x:c>
      <x:c r="G520" s="215" t="str">
        <x:v>1</x:v>
      </x:c>
      <x:c r="H520" s="215" t="str">
        <x:v>High</x:v>
      </x:c>
      <x:c r="I520" s="215" t="str">
        <x:v>Naked eye or hand lens</x:v>
      </x:c>
      <x:c r="J520" s="215" t="str">
        <x:v>Mature fruit and seeds</x:v>
      </x:c>
      <x:c r="K520" s="215" t="str">
        <x:v>Low seed number supports the few-loculed ovary.</x:v>
      </x:c>
      <x:c r="L520" s="215" t="str">
        <x:v>Seed details are rarely practical before mature fruit.</x:v>
      </x:c>
      <x:c r="M520" s="215" t="str">
        <x:v>Treat as a confirmation character.</x:v>
      </x:c>
      <x:c r="N520" s="215" t="str">
        <x:v>Buckthorn-family shrubs occur in Central Texas woodlands, thickets, and rocky sites; use the suite rather than any single leaf trait.</x:v>
      </x:c>
      <x:c r="O520" s="215" t="str">
        <x:v>Low</x:v>
      </x:c>
      <x:c r="P520" s="215" t="str">
        <x:v>No</x:v>
      </x:c>
      <x:c r="Q520" s="215" t="str"/>
      <x:c r="R520" s="215" t="str"/>
      <x:c r="S520" s="215" t="str">
        <x:v>APWEB-RHAM; FNA-RHAM; POWO-RHAM; LBJ-HAYS</x:v>
      </x:c>
      <x:c r="T520" s="215" t="str">
        <x:v>https://www.mobot.org/MOBOT/research/APweb/orders/rosalesweb.htm</x:v>
      </x:c>
      <x:c r="U520" s="215" t="str">
        <x:v>https://floranorthamerica.org/Rhamnaceae</x:v>
      </x:c>
      <x:c r="V520" s="215" t="str">
        <x:v>https://powo.science.kew.org/taxon/urn:lsid:ipni.org:names:50033316-1/general-information</x:v>
      </x:c>
      <x:c r="W520" s="215" t="str">
        <x:v>https://www.mobot.org/MOBOT/research/APweb/orders/rosalesweb.htm
https://floranorthamerica.org/Rhamnaceae
https://powo.science.kew.org/taxon/urn:lsid:ipni.org:names:50033316-1/general-information
https://www.wildflower.org/collections/collection.php?collection=hays</x:v>
      </x:c>
      <x:c r="X520" s="215" t="str">
        <x:v>No — retain qualifiers and exceptions</x:v>
      </x:c>
      <x:c r="Y520" s="215" t="str">
        <x:v>Yes</x:v>
      </x:c>
      <x:c r="Z520" s="215" t="str">
        <x:v>Source-backed draft</x:v>
      </x:c>
    </x:row>
    <x:row r="521" ht="42" customHeight="1">
      <x:c r="A521" s="215" t="str">
        <x:v>Rhamnaceae</x:v>
      </x:c>
      <x:c r="B521" s="215" t="str">
        <x:v>RHA-LK01</x:v>
      </x:c>
      <x:c r="C521" s="215" t="str">
        <x:v>Lookalike comparison</x:v>
      </x:c>
      <x:c r="D521" s="215" t="str">
        <x:v>Lookalike</x:v>
      </x:c>
      <x:c r="E521" s="215" t="str">
        <x:v>Versus Rosaceae: stamens opposite small petals and a prominent disc favor Rhamnaceae; Rosaceae more often has stamens alternating with petals or numerous stamens</x:v>
      </x:c>
      <x:c r="F521" s="215" t="str">
        <x:v>Lookalike</x:v>
      </x:c>
      <x:c r="G521" s="215" t="str">
        <x:v>5</x:v>
      </x:c>
      <x:c r="H521" s="215" t="str">
        <x:v>High</x:v>
      </x:c>
      <x:c r="I521" s="215" t="str">
        <x:v>Naked eye or hand lens</x:v>
      </x:c>
      <x:c r="J521" s="215" t="str">
        <x:v>Fresh flowers</x:v>
      </x:c>
      <x:c r="K521" s="215" t="str">
        <x:v>Both may be stipulate woody plants with small 5-parted flowers.</x:v>
      </x:c>
      <x:c r="L521" s="215" t="str">
        <x:v>Reduced Rosaceae and petal-less Rhamnaceae require careful floral examination.</x:v>
      </x:c>
      <x:c r="M521" s="215" t="str">
        <x:v>Use stamen position relative to petals and the disc.</x:v>
      </x:c>
      <x:c r="N521" s="215" t="str">
        <x:v>Buckthorn-family shrubs occur in Central Texas woodlands, thickets, and rocky sites; use the suite rather than any single leaf trait.</x:v>
      </x:c>
      <x:c r="O521" s="215" t="str">
        <x:v>Low</x:v>
      </x:c>
      <x:c r="P521" s="215" t="str">
        <x:v>No</x:v>
      </x:c>
      <x:c r="Q521" s="215" t="str"/>
      <x:c r="R521" s="215" t="str">
        <x:v>RHA-DISC; RHA-STAMENS</x:v>
      </x:c>
      <x:c r="S521" s="215" t="str">
        <x:v>APWEB-RHAM; FNA-RHAM; POWO-RHAM; LBJ-HAYS</x:v>
      </x:c>
      <x:c r="T521" s="215" t="str">
        <x:v>https://www.mobot.org/MOBOT/research/APweb/orders/rosalesweb.htm</x:v>
      </x:c>
      <x:c r="U521" s="215" t="str">
        <x:v>https://floranorthamerica.org/Rhamnaceae</x:v>
      </x:c>
      <x:c r="V521" s="215" t="str">
        <x:v>https://powo.science.kew.org/taxon/urn:lsid:ipni.org:names:50033316-1/general-information</x:v>
      </x:c>
      <x:c r="W521" s="215" t="str">
        <x:v>https://www.mobot.org/MOBOT/research/APweb/orders/rosalesweb.htm
https://floranorthamerica.org/Rhamnaceae
https://powo.science.kew.org/taxon/urn:lsid:ipni.org:names:50033316-1/general-information
https://www.wildflower.org/collections/collection.php?collection=hays</x:v>
      </x:c>
      <x:c r="X521" s="215" t="str">
        <x:v>No — retain qualifiers and exceptions</x:v>
      </x:c>
      <x:c r="Y521" s="215" t="str">
        <x:v>Yes</x:v>
      </x:c>
      <x:c r="Z521" s="215" t="str">
        <x:v>Source-backed draft</x:v>
      </x:c>
    </x:row>
    <x:row r="522" ht="42" customHeight="1">
      <x:c r="A522" s="215" t="str">
        <x:v>Rhamnaceae</x:v>
      </x:c>
      <x:c r="B522" s="215" t="str">
        <x:v>RHA-LK02</x:v>
      </x:c>
      <x:c r="C522" s="215" t="str">
        <x:v>Lookalike comparison</x:v>
      </x:c>
      <x:c r="D522" s="215" t="str">
        <x:v>Lookalike</x:v>
      </x:c>
      <x:c r="E522" s="215" t="str">
        <x:v>Versus Vitaceae: tendrils and inflorescences opposite leaves favor Vitaceae; spines, stipules, and the rhamnaceous disc/stamen suite favor Rhamnaceae</x:v>
      </x:c>
      <x:c r="F522" s="215" t="str">
        <x:v>Lookalike</x:v>
      </x:c>
      <x:c r="G522" s="215" t="str">
        <x:v>5</x:v>
      </x:c>
      <x:c r="H522" s="215" t="str">
        <x:v>High</x:v>
      </x:c>
      <x:c r="I522" s="215" t="str">
        <x:v>Naked eye or hand lens</x:v>
      </x:c>
      <x:c r="J522" s="215" t="str">
        <x:v>Leafy flowering material</x:v>
      </x:c>
      <x:c r="K522" s="215" t="str">
        <x:v>Woody vines and small green flowers can overlap strongly.</x:v>
      </x:c>
      <x:c r="L522" s="215" t="str">
        <x:v>Vitaceae lacks completed reciprocal family rows in the current master.</x:v>
      </x:c>
      <x:c r="M522" s="215" t="str">
        <x:v>Keep this comparison provisional until Vitaceae receives first-pass coverage.</x:v>
      </x:c>
      <x:c r="N522" s="215" t="str">
        <x:v>Buckthorn-family shrubs occur in Central Texas woodlands, thickets, and rocky sites; use the suite rather than any single leaf trait.</x:v>
      </x:c>
      <x:c r="O522" s="215" t="str">
        <x:v>Medium</x:v>
      </x:c>
      <x:c r="P522" s="215" t="str">
        <x:v>Yes</x:v>
      </x:c>
      <x:c r="Q522" s="215" t="str">
        <x:v>Reciprocal Vitaceae family and lookalike rows are not yet in the working master.</x:v>
      </x:c>
      <x:c r="R522" s="215" t="str">
        <x:v>RHA-HABIT; RHA-DISC; RHA-STAMENS</x:v>
      </x:c>
      <x:c r="S522" s="215" t="str">
        <x:v>APWEB-RHAM; FNA-RHAM; POWO-RHAM; LBJ-HAYS</x:v>
      </x:c>
      <x:c r="T522" s="215" t="str">
        <x:v>https://www.mobot.org/MOBOT/research/APweb/orders/rosalesweb.htm</x:v>
      </x:c>
      <x:c r="U522" s="215" t="str">
        <x:v>https://floranorthamerica.org/Rhamnaceae</x:v>
      </x:c>
      <x:c r="V522" s="215" t="str">
        <x:v>https://powo.science.kew.org/taxon/urn:lsid:ipni.org:names:50033316-1/general-information</x:v>
      </x:c>
      <x:c r="W522" s="215" t="str">
        <x:v>https://www.mobot.org/MOBOT/research/APweb/orders/rosalesweb.htm
https://floranorthamerica.org/Rhamnaceae
https://powo.science.kew.org/taxon/urn:lsid:ipni.org:names:50033316-1/general-information
https://www.wildflower.org/collections/collection.php?collection=hays</x:v>
      </x:c>
      <x:c r="X522" s="215" t="str">
        <x:v>No — retain qualifiers and exceptions</x:v>
      </x:c>
      <x:c r="Y522" s="215" t="str">
        <x:v>Yes</x:v>
      </x:c>
      <x:c r="Z522" s="215" t="str">
        <x:v>Human review required</x:v>
      </x:c>
    </x:row>
    <x:row r="523" ht="42" customHeight="1">
      <x:c r="A523" s="215" t="str">
        <x:v>Nyctaginaceae</x:v>
      </x:c>
      <x:c r="B523" s="215" t="str">
        <x:v>NYC-HABIT</x:v>
      </x:c>
      <x:c r="C523" s="215" t="str">
        <x:v>Family character</x:v>
      </x:c>
      <x:c r="D523" s="215" t="str">
        <x:v>Habit</x:v>
      </x:c>
      <x:c r="E523" s="215" t="str">
        <x:v>Herbs, shrubs, trees, or vines, often with jointed-looking succulent growth</x:v>
      </x:c>
      <x:c r="F523" s="215" t="str">
        <x:v>Strong</x:v>
      </x:c>
      <x:c r="G523" s="215" t="str">
        <x:v>1</x:v>
      </x:c>
      <x:c r="H523" s="215" t="str">
        <x:v>High</x:v>
      </x:c>
      <x:c r="I523" s="215" t="str">
        <x:v>Naked eye or hand lens</x:v>
      </x:c>
      <x:c r="J523" s="215" t="str">
        <x:v>Any active growth</x:v>
      </x:c>
      <x:c r="K523" s="215" t="str">
        <x:v>The family ranges from delicate spiderlings to robust four-o'clocks and woody forms.</x:v>
      </x:c>
      <x:c r="L523" s="215" t="str">
        <x:v>Habit is highly variable and weak by itself.</x:v>
      </x:c>
      <x:c r="M523" s="215" t="str">
        <x:v>Use it only to enter the leaf-node-flower suite.</x:v>
      </x:c>
      <x:c r="N523" s="215" t="str">
        <x:v>Four-o'clocks and spiderlings are conspicuous Hays-area herbs, especially after rain and in disturbed or open ground.</x:v>
      </x:c>
      <x:c r="O523" s="215" t="str">
        <x:v>Low</x:v>
      </x:c>
      <x:c r="P523" s="215" t="str">
        <x:v>No</x:v>
      </x:c>
      <x:c r="Q523" s="215" t="str"/>
      <x:c r="R523" s="215" t="str"/>
      <x:c r="S523" s="215" t="str">
        <x:v>APWEB-NYCT; FNA-NYCT; POWO-NYCT; LBJ-HAYS</x:v>
      </x:c>
      <x:c r="T523" s="215" t="str">
        <x:v>https://www.mobot.org/MOBOT/research/APweb/orders/caryophyllalesweb.htm</x:v>
      </x:c>
      <x:c r="U523" s="215" t="str">
        <x:v>https://floranorthamerica.org/Nyctaginaceae</x:v>
      </x:c>
      <x:c r="V523" s="215" t="str">
        <x:v>https://powo.science.kew.org/taxon/urn:lsid:ipni.org:names:30000256-2/general-information</x:v>
      </x:c>
      <x:c r="W523" s="215" t="str">
        <x:v>https://www.mobot.org/MOBOT/research/APweb/orders/caryophyllalesweb.htm
https://floranorthamerica.org/Nyctaginaceae
https://powo.science.kew.org/taxon/urn:lsid:ipni.org:names:30000256-2/general-information
https://www.wildflower.org/collections/collection.php?collection=hays</x:v>
      </x:c>
      <x:c r="X523" s="215" t="str">
        <x:v>No — retain qualifiers and exceptions</x:v>
      </x:c>
      <x:c r="Y523" s="215" t="str">
        <x:v>Yes</x:v>
      </x:c>
      <x:c r="Z523" s="215" t="str">
        <x:v>Source-backed draft</x:v>
      </x:c>
    </x:row>
    <x:row r="524" ht="42" customHeight="1">
      <x:c r="A524" s="215" t="str">
        <x:v>Nyctaginaceae</x:v>
      </x:c>
      <x:c r="B524" s="215" t="str">
        <x:v>NYC-STEMS</x:v>
      </x:c>
      <x:c r="C524" s="215" t="str">
        <x:v>Family character</x:v>
      </x:c>
      <x:c r="D524" s="215" t="str">
        <x:v>Stems / nodes</x:v>
      </x:c>
      <x:c r="E524" s="215" t="str">
        <x:v>Nodes often swollen or conspicuously jointed</x:v>
      </x:c>
      <x:c r="F524" s="215" t="str">
        <x:v>Supporting</x:v>
      </x:c>
      <x:c r="G524" s="215" t="str">
        <x:v>2</x:v>
      </x:c>
      <x:c r="H524" s="215" t="str">
        <x:v>High</x:v>
      </x:c>
      <x:c r="I524" s="215" t="str">
        <x:v>Naked eye or hand lens</x:v>
      </x:c>
      <x:c r="J524" s="215" t="str">
        <x:v>Vegetative or flowering material</x:v>
      </x:c>
      <x:c r="K524" s="215" t="str">
        <x:v>Enlarged nodes are a quick field clue on many herbaceous members.</x:v>
      </x:c>
      <x:c r="L524" s="215" t="str">
        <x:v>Swollen nodes occur in other families and are not present equally in all genera.</x:v>
      </x:c>
      <x:c r="M524" s="215" t="str">
        <x:v>Combine with simple exstipulate leaves and anthocarp fruit.</x:v>
      </x:c>
      <x:c r="N524" s="215" t="str">
        <x:v>Four-o'clocks and spiderlings are conspicuous Hays-area herbs, especially after rain and in disturbed or open ground.</x:v>
      </x:c>
      <x:c r="O524" s="215" t="str">
        <x:v>Low</x:v>
      </x:c>
      <x:c r="P524" s="215" t="str">
        <x:v>No</x:v>
      </x:c>
      <x:c r="Q524" s="215" t="str"/>
      <x:c r="R524" s="215" t="str"/>
      <x:c r="S524" s="215" t="str">
        <x:v>APWEB-NYCT; FNA-NYCT; POWO-NYCT; LBJ-HAYS</x:v>
      </x:c>
      <x:c r="T524" s="215" t="str">
        <x:v>https://www.mobot.org/MOBOT/research/APweb/orders/caryophyllalesweb.htm</x:v>
      </x:c>
      <x:c r="U524" s="215" t="str">
        <x:v>https://floranorthamerica.org/Nyctaginaceae</x:v>
      </x:c>
      <x:c r="V524" s="215" t="str">
        <x:v>https://powo.science.kew.org/taxon/urn:lsid:ipni.org:names:30000256-2/general-information</x:v>
      </x:c>
      <x:c r="W524" s="215" t="str">
        <x:v>https://www.mobot.org/MOBOT/research/APweb/orders/caryophyllalesweb.htm
https://floranorthamerica.org/Nyctaginaceae
https://powo.science.kew.org/taxon/urn:lsid:ipni.org:names:30000256-2/general-information
https://www.wildflower.org/collections/collection.php?collection=hays</x:v>
      </x:c>
      <x:c r="X524" s="215" t="str">
        <x:v>No — retain qualifiers and exceptions</x:v>
      </x:c>
      <x:c r="Y524" s="215" t="str">
        <x:v>Yes</x:v>
      </x:c>
      <x:c r="Z524" s="215" t="str">
        <x:v>Source-backed draft</x:v>
      </x:c>
    </x:row>
    <x:row r="525" ht="42" customHeight="1">
      <x:c r="A525" s="215" t="str">
        <x:v>Nyctaginaceae</x:v>
      </x:c>
      <x:c r="B525" s="215" t="str">
        <x:v>NYC-LEAVES</x:v>
      </x:c>
      <x:c r="C525" s="215" t="str">
        <x:v>Family character</x:v>
      </x:c>
      <x:c r="D525" s="215" t="str">
        <x:v>Leaves / stipules</x:v>
      </x:c>
      <x:c r="E525" s="215" t="str">
        <x:v>Leaves simple, entire or nearly so, opposite or alternate, and without stipules</x:v>
      </x:c>
      <x:c r="F525" s="215" t="str">
        <x:v>Strong</x:v>
      </x:c>
      <x:c r="G525" s="215" t="str">
        <x:v>2</x:v>
      </x:c>
      <x:c r="H525" s="215" t="str">
        <x:v>High</x:v>
      </x:c>
      <x:c r="I525" s="215" t="str">
        <x:v>Naked eye or hand lens</x:v>
      </x:c>
      <x:c r="J525" s="215" t="str">
        <x:v>Leafy shoots</x:v>
      </x:c>
      <x:c r="K525" s="215" t="str">
        <x:v>Simple leaves without stipules fit the family but vary in arrangement.</x:v>
      </x:c>
      <x:c r="L525" s="215" t="str">
        <x:v>Leaf form alone overlaps many families.</x:v>
      </x:c>
      <x:c r="M525" s="215" t="str">
        <x:v>Inspect nodes for stipules and continue to perianth and fruit.</x:v>
      </x:c>
      <x:c r="N525" s="215" t="str">
        <x:v>Four-o'clocks and spiderlings are conspicuous Hays-area herbs, especially after rain and in disturbed or open ground.</x:v>
      </x:c>
      <x:c r="O525" s="215" t="str">
        <x:v>Low</x:v>
      </x:c>
      <x:c r="P525" s="215" t="str">
        <x:v>No</x:v>
      </x:c>
      <x:c r="Q525" s="215" t="str"/>
      <x:c r="R525" s="215" t="str">
        <x:v>NYC-LK01; NYC-LK02</x:v>
      </x:c>
      <x:c r="S525" s="215" t="str">
        <x:v>APWEB-NYCT; FNA-NYCT; POWO-NYCT; LBJ-HAYS</x:v>
      </x:c>
      <x:c r="T525" s="215" t="str">
        <x:v>https://www.mobot.org/MOBOT/research/APweb/orders/caryophyllalesweb.htm</x:v>
      </x:c>
      <x:c r="U525" s="215" t="str">
        <x:v>https://floranorthamerica.org/Nyctaginaceae</x:v>
      </x:c>
      <x:c r="V525" s="215" t="str">
        <x:v>https://powo.science.kew.org/taxon/urn:lsid:ipni.org:names:30000256-2/general-information</x:v>
      </x:c>
      <x:c r="W525" s="215" t="str">
        <x:v>https://www.mobot.org/MOBOT/research/APweb/orders/caryophyllalesweb.htm
https://floranorthamerica.org/Nyctaginaceae
https://powo.science.kew.org/taxon/urn:lsid:ipni.org:names:30000256-2/general-information
https://www.wildflower.org/collections/collection.php?collection=hays</x:v>
      </x:c>
      <x:c r="X525" s="215" t="str">
        <x:v>No — retain qualifiers and exceptions</x:v>
      </x:c>
      <x:c r="Y525" s="215" t="str">
        <x:v>Yes</x:v>
      </x:c>
      <x:c r="Z525" s="215" t="str">
        <x:v>Source-backed draft</x:v>
      </x:c>
    </x:row>
    <x:row r="526" ht="42" customHeight="1">
      <x:c r="A526" s="215" t="str">
        <x:v>Nyctaginaceae</x:v>
      </x:c>
      <x:c r="B526" s="215" t="str">
        <x:v>NYC-BRACTS</x:v>
      </x:c>
      <x:c r="C526" s="215" t="str">
        <x:v>Family character</x:v>
      </x:c>
      <x:c r="D526" s="215" t="str">
        <x:v>Inflorescence / bracts</x:v>
      </x:c>
      <x:c r="E526" s="215" t="str">
        <x:v>Flowers commonly subtended by an involucre of bracts that may be green or brightly colored</x:v>
      </x:c>
      <x:c r="F526" s="215" t="str">
        <x:v>Strong</x:v>
      </x:c>
      <x:c r="G526" s="215" t="str">
        <x:v>4</x:v>
      </x:c>
      <x:c r="H526" s="215" t="str">
        <x:v>High</x:v>
      </x:c>
      <x:c r="I526" s="215" t="str">
        <x:v>Naked eye or hand lens</x:v>
      </x:c>
      <x:c r="J526" s="215" t="str">
        <x:v>Fresh flowering clusters</x:v>
      </x:c>
      <x:c r="K526" s="215" t="str">
        <x:v>Showy ‘petals’ around a cluster may actually be involucral bracts.</x:v>
      </x:c>
      <x:c r="L526" s="215" t="str">
        <x:v>Involucre form varies and can be small in spiderlings.</x:v>
      </x:c>
      <x:c r="M526" s="215" t="str">
        <x:v>Separate outer bracts from the single floral perianth.</x:v>
      </x:c>
      <x:c r="N526" s="215" t="str">
        <x:v>Four-o'clocks and spiderlings are conspicuous Hays-area herbs, especially after rain and in disturbed or open ground.</x:v>
      </x:c>
      <x:c r="O526" s="215" t="str">
        <x:v>Low</x:v>
      </x:c>
      <x:c r="P526" s="215" t="str">
        <x:v>No</x:v>
      </x:c>
      <x:c r="Q526" s="215" t="str"/>
      <x:c r="R526" s="215" t="str"/>
      <x:c r="S526" s="215" t="str">
        <x:v>APWEB-NYCT; FNA-NYCT; POWO-NYCT; LBJ-HAYS</x:v>
      </x:c>
      <x:c r="T526" s="215" t="str">
        <x:v>https://www.mobot.org/MOBOT/research/APweb/orders/caryophyllalesweb.htm</x:v>
      </x:c>
      <x:c r="U526" s="215" t="str">
        <x:v>https://floranorthamerica.org/Nyctaginaceae</x:v>
      </x:c>
      <x:c r="V526" s="215" t="str">
        <x:v>https://powo.science.kew.org/taxon/urn:lsid:ipni.org:names:30000256-2/general-information</x:v>
      </x:c>
      <x:c r="W526" s="215" t="str">
        <x:v>https://www.mobot.org/MOBOT/research/APweb/orders/caryophyllalesweb.htm
https://floranorthamerica.org/Nyctaginaceae
https://powo.science.kew.org/taxon/urn:lsid:ipni.org:names:30000256-2/general-information
https://www.wildflower.org/collections/collection.php?collection=hays</x:v>
      </x:c>
      <x:c r="X526" s="215" t="str">
        <x:v>No — retain qualifiers and exceptions</x:v>
      </x:c>
      <x:c r="Y526" s="215" t="str">
        <x:v>Yes</x:v>
      </x:c>
      <x:c r="Z526" s="215" t="str">
        <x:v>Source-backed draft</x:v>
      </x:c>
    </x:row>
    <x:row r="527" ht="42" customHeight="1">
      <x:c r="A527" s="215" t="str">
        <x:v>Nyctaginaceae</x:v>
      </x:c>
      <x:c r="B527" s="215" t="str">
        <x:v>NYC-PERIGON</x:v>
      </x:c>
      <x:c r="C527" s="215" t="str">
        <x:v>Family character</x:v>
      </x:c>
      <x:c r="D527" s="215" t="str">
        <x:v>Flowers</x:v>
      </x:c>
      <x:c r="E527" s="215" t="str">
        <x:v>Perianth a single petaloid or calyxlike whorl; true petals absent</x:v>
      </x:c>
      <x:c r="F527" s="215" t="str">
        <x:v>Strong</x:v>
      </x:c>
      <x:c r="G527" s="215" t="str">
        <x:v>5</x:v>
      </x:c>
      <x:c r="H527" s="215" t="str">
        <x:v>High</x:v>
      </x:c>
      <x:c r="I527" s="215" t="str">
        <x:v>Naked eye or hand lens</x:v>
      </x:c>
      <x:c r="J527" s="215" t="str">
        <x:v>Fresh flowers</x:v>
      </x:c>
      <x:c r="K527" s="215" t="str">
        <x:v>What looks like a corolla is the only perianth whorl.</x:v>
      </x:c>
      <x:c r="L527" s="215" t="str">
        <x:v>The whorl may be dull and tiny or showy and tubular.</x:v>
      </x:c>
      <x:c r="M527" s="215" t="str">
        <x:v>Verify there is not a separate calyx-and-corolla pair.</x:v>
      </x:c>
      <x:c r="N527" s="215" t="str">
        <x:v>Four-o'clocks and spiderlings are conspicuous Hays-area herbs, especially after rain and in disturbed or open ground.</x:v>
      </x:c>
      <x:c r="O527" s="215" t="str">
        <x:v>Low</x:v>
      </x:c>
      <x:c r="P527" s="215" t="str">
        <x:v>No</x:v>
      </x:c>
      <x:c r="Q527" s="215" t="str"/>
      <x:c r="R527" s="215" t="str">
        <x:v>NYC-LK01; NYC-LK02</x:v>
      </x:c>
      <x:c r="S527" s="215" t="str">
        <x:v>APWEB-NYCT; FNA-NYCT; POWO-NYCT; LBJ-HAYS</x:v>
      </x:c>
      <x:c r="T527" s="215" t="str">
        <x:v>https://www.mobot.org/MOBOT/research/APweb/orders/caryophyllalesweb.htm</x:v>
      </x:c>
      <x:c r="U527" s="215" t="str">
        <x:v>https://floranorthamerica.org/Nyctaginaceae</x:v>
      </x:c>
      <x:c r="V527" s="215" t="str">
        <x:v>https://powo.science.kew.org/taxon/urn:lsid:ipni.org:names:30000256-2/general-information</x:v>
      </x:c>
      <x:c r="W527" s="215" t="str">
        <x:v>https://www.mobot.org/MOBOT/research/APweb/orders/caryophyllalesweb.htm
https://floranorthamerica.org/Nyctaginaceae
https://powo.science.kew.org/taxon/urn:lsid:ipni.org:names:30000256-2/general-information
https://www.wildflower.org/collections/collection.php?collection=hays</x:v>
      </x:c>
      <x:c r="X527" s="215" t="str">
        <x:v>No — retain qualifiers and exceptions</x:v>
      </x:c>
      <x:c r="Y527" s="215" t="str">
        <x:v>Yes</x:v>
      </x:c>
      <x:c r="Z527" s="215" t="str">
        <x:v>Source-backed draft</x:v>
      </x:c>
    </x:row>
    <x:row r="528" ht="42" customHeight="1">
      <x:c r="A528" s="215" t="str">
        <x:v>Nyctaginaceae</x:v>
      </x:c>
      <x:c r="B528" s="215" t="str">
        <x:v>NYC-FLOWER</x:v>
      </x:c>
      <x:c r="C528" s="215" t="str">
        <x:v>Family character</x:v>
      </x:c>
      <x:c r="D528" s="215" t="str">
        <x:v>Flowers</x:v>
      </x:c>
      <x:c r="E528" s="215" t="str">
        <x:v>Perianth usually of 5 fused segments, sometimes 3–5, forming a tube or bell</x:v>
      </x:c>
      <x:c r="F528" s="215" t="str">
        <x:v>Strong</x:v>
      </x:c>
      <x:c r="G528" s="215" t="str">
        <x:v>4</x:v>
      </x:c>
      <x:c r="H528" s="215" t="str">
        <x:v>High</x:v>
      </x:c>
      <x:c r="I528" s="215" t="str">
        <x:v>Naked eye or hand lens</x:v>
      </x:c>
      <x:c r="J528" s="215" t="str">
        <x:v>Fresh flowers</x:v>
      </x:c>
      <x:c r="K528" s="215" t="str">
        <x:v>A fused single perianth surrounds the stamens and ovary.</x:v>
      </x:c>
      <x:c r="L528" s="215" t="str">
        <x:v>Segment number and tube length vary among genera.</x:v>
      </x:c>
      <x:c r="M528" s="215" t="str">
        <x:v>Use with the absence of true petals and the anthocarp.</x:v>
      </x:c>
      <x:c r="N528" s="215" t="str">
        <x:v>Four-o'clocks and spiderlings are conspicuous Hays-area herbs, especially after rain and in disturbed or open ground.</x:v>
      </x:c>
      <x:c r="O528" s="215" t="str">
        <x:v>Low</x:v>
      </x:c>
      <x:c r="P528" s="215" t="str">
        <x:v>No</x:v>
      </x:c>
      <x:c r="Q528" s="215" t="str"/>
      <x:c r="R528" s="215" t="str"/>
      <x:c r="S528" s="215" t="str">
        <x:v>APWEB-NYCT; FNA-NYCT; POWO-NYCT; LBJ-HAYS</x:v>
      </x:c>
      <x:c r="T528" s="215" t="str">
        <x:v>https://www.mobot.org/MOBOT/research/APweb/orders/caryophyllalesweb.htm</x:v>
      </x:c>
      <x:c r="U528" s="215" t="str">
        <x:v>https://floranorthamerica.org/Nyctaginaceae</x:v>
      </x:c>
      <x:c r="V528" s="215" t="str">
        <x:v>https://powo.science.kew.org/taxon/urn:lsid:ipni.org:names:30000256-2/general-information</x:v>
      </x:c>
      <x:c r="W528" s="215" t="str">
        <x:v>https://www.mobot.org/MOBOT/research/APweb/orders/caryophyllalesweb.htm
https://floranorthamerica.org/Nyctaginaceae
https://powo.science.kew.org/taxon/urn:lsid:ipni.org:names:30000256-2/general-information
https://www.wildflower.org/collections/collection.php?collection=hays</x:v>
      </x:c>
      <x:c r="X528" s="215" t="str">
        <x:v>No — retain qualifiers and exceptions</x:v>
      </x:c>
      <x:c r="Y528" s="215" t="str">
        <x:v>Yes</x:v>
      </x:c>
      <x:c r="Z528" s="215" t="str">
        <x:v>Source-backed draft</x:v>
      </x:c>
    </x:row>
    <x:row r="529" ht="42" customHeight="1">
      <x:c r="A529" s="215" t="str">
        <x:v>Nyctaginaceae</x:v>
      </x:c>
      <x:c r="B529" s="215" t="str">
        <x:v>NYC-STAMENS</x:v>
      </x:c>
      <x:c r="C529" s="215" t="str">
        <x:v>Family character</x:v>
      </x:c>
      <x:c r="D529" s="215" t="str">
        <x:v>Stamens</x:v>
      </x:c>
      <x:c r="E529" s="215" t="str">
        <x:v>Stamens 1 to many, commonly 3–5, often projecting from the perianth</x:v>
      </x:c>
      <x:c r="F529" s="215" t="str">
        <x:v>Moderate</x:v>
      </x:c>
      <x:c r="G529" s="215" t="str">
        <x:v>2</x:v>
      </x:c>
      <x:c r="H529" s="215" t="str">
        <x:v>High</x:v>
      </x:c>
      <x:c r="I529" s="215" t="str">
        <x:v>Naked eye or hand lens</x:v>
      </x:c>
      <x:c r="J529" s="215" t="str">
        <x:v>Fresh open flowers</x:v>
      </x:c>
      <x:c r="K529" s="215" t="str">
        <x:v>Exserted stamens can be conspicuous in open flowers.</x:v>
      </x:c>
      <x:c r="L529" s="215" t="str">
        <x:v>Stamen number is too variable for a universal rule.</x:v>
      </x:c>
      <x:c r="M529" s="215" t="str">
        <x:v>Count only intact, fully open flowers and use as supporting evidence.</x:v>
      </x:c>
      <x:c r="N529" s="215" t="str">
        <x:v>Four-o'clocks and spiderlings are conspicuous Hays-area herbs, especially after rain and in disturbed or open ground.</x:v>
      </x:c>
      <x:c r="O529" s="215" t="str">
        <x:v>Low</x:v>
      </x:c>
      <x:c r="P529" s="215" t="str">
        <x:v>No</x:v>
      </x:c>
      <x:c r="Q529" s="215" t="str"/>
      <x:c r="R529" s="215" t="str"/>
      <x:c r="S529" s="215" t="str">
        <x:v>APWEB-NYCT; FNA-NYCT; POWO-NYCT; LBJ-HAYS</x:v>
      </x:c>
      <x:c r="T529" s="215" t="str">
        <x:v>https://www.mobot.org/MOBOT/research/APweb/orders/caryophyllalesweb.htm</x:v>
      </x:c>
      <x:c r="U529" s="215" t="str">
        <x:v>https://floranorthamerica.org/Nyctaginaceae</x:v>
      </x:c>
      <x:c r="V529" s="215" t="str">
        <x:v>https://powo.science.kew.org/taxon/urn:lsid:ipni.org:names:30000256-2/general-information</x:v>
      </x:c>
      <x:c r="W529" s="215" t="str">
        <x:v>https://www.mobot.org/MOBOT/research/APweb/orders/caryophyllalesweb.htm
https://floranorthamerica.org/Nyctaginaceae
https://powo.science.kew.org/taxon/urn:lsid:ipni.org:names:30000256-2/general-information
https://www.wildflower.org/collections/collection.php?collection=hays</x:v>
      </x:c>
      <x:c r="X529" s="215" t="str">
        <x:v>No — retain qualifiers and exceptions</x:v>
      </x:c>
      <x:c r="Y529" s="215" t="str">
        <x:v>Yes</x:v>
      </x:c>
      <x:c r="Z529" s="215" t="str">
        <x:v>Source-backed draft</x:v>
      </x:c>
    </x:row>
    <x:row r="530" ht="42" customHeight="1">
      <x:c r="A530" s="215" t="str">
        <x:v>Nyctaginaceae</x:v>
      </x:c>
      <x:c r="B530" s="215" t="str">
        <x:v>NYC-OVARY</x:v>
      </x:c>
      <x:c r="C530" s="215" t="str">
        <x:v>Family character</x:v>
      </x:c>
      <x:c r="D530" s="215" t="str">
        <x:v>Gynoecium</x:v>
      </x:c>
      <x:c r="E530" s="215" t="str">
        <x:v>Ovary superior, 1-locular, with a single basal ovule</x:v>
      </x:c>
      <x:c r="F530" s="215" t="str">
        <x:v>Strong</x:v>
      </x:c>
      <x:c r="G530" s="215" t="str">
        <x:v>4</x:v>
      </x:c>
      <x:c r="H530" s="215" t="str">
        <x:v>High</x:v>
      </x:c>
      <x:c r="I530" s="215" t="str">
        <x:v>Hand lens or dissection</x:v>
      </x:c>
      <x:c r="J530" s="215" t="str">
        <x:v>Fresh flowers</x:v>
      </x:c>
      <x:c r="K530" s="215" t="str">
        <x:v>Each flower develops only one seed-bearing unit.</x:v>
      </x:c>
      <x:c r="L530" s="215" t="str">
        <x:v>This usually requires dissection before fruiting.</x:v>
      </x:c>
      <x:c r="M530" s="215" t="str">
        <x:v>Use mature fruit when ovary structure is not visible.</x:v>
      </x:c>
      <x:c r="N530" s="215" t="str">
        <x:v>Four-o'clocks and spiderlings are conspicuous Hays-area herbs, especially after rain and in disturbed or open ground.</x:v>
      </x:c>
      <x:c r="O530" s="215" t="str">
        <x:v>Low</x:v>
      </x:c>
      <x:c r="P530" s="215" t="str">
        <x:v>No</x:v>
      </x:c>
      <x:c r="Q530" s="215" t="str"/>
      <x:c r="R530" s="215" t="str"/>
      <x:c r="S530" s="215" t="str">
        <x:v>APWEB-NYCT; FNA-NYCT; POWO-NYCT; LBJ-HAYS</x:v>
      </x:c>
      <x:c r="T530" s="215" t="str">
        <x:v>https://www.mobot.org/MOBOT/research/APweb/orders/caryophyllalesweb.htm</x:v>
      </x:c>
      <x:c r="U530" s="215" t="str">
        <x:v>https://floranorthamerica.org/Nyctaginaceae</x:v>
      </x:c>
      <x:c r="V530" s="215" t="str">
        <x:v>https://powo.science.kew.org/taxon/urn:lsid:ipni.org:names:30000256-2/general-information</x:v>
      </x:c>
      <x:c r="W530" s="215" t="str">
        <x:v>https://www.mobot.org/MOBOT/research/APweb/orders/caryophyllalesweb.htm
https://floranorthamerica.org/Nyctaginaceae
https://powo.science.kew.org/taxon/urn:lsid:ipni.org:names:30000256-2/general-information
https://www.wildflower.org/collections/collection.php?collection=hays</x:v>
      </x:c>
      <x:c r="X530" s="215" t="str">
        <x:v>No — retain qualifiers and exceptions</x:v>
      </x:c>
      <x:c r="Y530" s="215" t="str">
        <x:v>Yes</x:v>
      </x:c>
      <x:c r="Z530" s="215" t="str">
        <x:v>Source-backed draft</x:v>
      </x:c>
    </x:row>
    <x:row r="531" ht="42" customHeight="1">
      <x:c r="A531" s="215" t="str">
        <x:v>Nyctaginaceae</x:v>
      </x:c>
      <x:c r="B531" s="215" t="str">
        <x:v>NYC-FRUIT</x:v>
      </x:c>
      <x:c r="C531" s="215" t="str">
        <x:v>Family character</x:v>
      </x:c>
      <x:c r="D531" s="215" t="str">
        <x:v>Fruit / persistent perianth</x:v>
      </x:c>
      <x:c r="E531" s="215" t="str">
        <x:v>Persistent perianth base enlarges or hardens around the one-seeded fruit to form an anthocarp</x:v>
      </x:c>
      <x:c r="F531" s="215" t="str">
        <x:v>Strong</x:v>
      </x:c>
      <x:c r="G531" s="215" t="str">
        <x:v>5</x:v>
      </x:c>
      <x:c r="H531" s="215" t="str">
        <x:v>High</x:v>
      </x:c>
      <x:c r="I531" s="215" t="str">
        <x:v>Naked eye or hand lens</x:v>
      </x:c>
      <x:c r="J531" s="215" t="str">
        <x:v>Mature fruit</x:v>
      </x:c>
      <x:c r="K531" s="215" t="str">
        <x:v>The apparent fruit is a fruit enclosed by transformed floral tissue.</x:v>
      </x:c>
      <x:c r="L531" s="215" t="str">
        <x:v>Anthocarp shape, ribs, glands, and stickiness vary by genus.</x:v>
      </x:c>
      <x:c r="M531" s="215" t="str">
        <x:v>This is the strongest mature-material character for the family.</x:v>
      </x:c>
      <x:c r="N531" s="215" t="str">
        <x:v>Four-o'clocks and spiderlings are conspicuous Hays-area herbs, especially after rain and in disturbed or open ground.</x:v>
      </x:c>
      <x:c r="O531" s="215" t="str">
        <x:v>Low</x:v>
      </x:c>
      <x:c r="P531" s="215" t="str">
        <x:v>No</x:v>
      </x:c>
      <x:c r="Q531" s="215" t="str"/>
      <x:c r="R531" s="215" t="str">
        <x:v>NYC-LK01; NYC-LK02</x:v>
      </x:c>
      <x:c r="S531" s="215" t="str">
        <x:v>APWEB-NYCT; FNA-NYCT; POWO-NYCT; LBJ-HAYS</x:v>
      </x:c>
      <x:c r="T531" s="215" t="str">
        <x:v>https://www.mobot.org/MOBOT/research/APweb/orders/caryophyllalesweb.htm</x:v>
      </x:c>
      <x:c r="U531" s="215" t="str">
        <x:v>https://floranorthamerica.org/Nyctaginaceae</x:v>
      </x:c>
      <x:c r="V531" s="215" t="str">
        <x:v>https://powo.science.kew.org/taxon/urn:lsid:ipni.org:names:30000256-2/general-information</x:v>
      </x:c>
      <x:c r="W531" s="215" t="str">
        <x:v>https://www.mobot.org/MOBOT/research/APweb/orders/caryophyllalesweb.htm
https://floranorthamerica.org/Nyctaginaceae
https://powo.science.kew.org/taxon/urn:lsid:ipni.org:names:30000256-2/general-information
https://www.wildflower.org/collections/collection.php?collection=hays</x:v>
      </x:c>
      <x:c r="X531" s="215" t="str">
        <x:v>No — retain qualifiers and exceptions</x:v>
      </x:c>
      <x:c r="Y531" s="215" t="str">
        <x:v>Yes</x:v>
      </x:c>
      <x:c r="Z531" s="215" t="str">
        <x:v>Source-backed draft</x:v>
      </x:c>
    </x:row>
    <x:row r="532" ht="42" customHeight="1">
      <x:c r="A532" s="215" t="str">
        <x:v>Nyctaginaceae</x:v>
      </x:c>
      <x:c r="B532" s="215" t="str">
        <x:v>NYC-LK01</x:v>
      </x:c>
      <x:c r="C532" s="215" t="str">
        <x:v>Lookalike comparison</x:v>
      </x:c>
      <x:c r="D532" s="215" t="str">
        <x:v>Lookalike</x:v>
      </x:c>
      <x:c r="E532" s="215" t="str">
        <x:v>Versus Caryophyllaceae: a single perianth whorl plus anthocarp favors Nyctaginaceae; distinct sepals and petals plus a capsule or utricle favor Caryophyllaceae</x:v>
      </x:c>
      <x:c r="F532" s="215" t="str">
        <x:v>Lookalike</x:v>
      </x:c>
      <x:c r="G532" s="215" t="str">
        <x:v>5</x:v>
      </x:c>
      <x:c r="H532" s="215" t="str">
        <x:v>High</x:v>
      </x:c>
      <x:c r="I532" s="215" t="str">
        <x:v>Naked eye or hand lens</x:v>
      </x:c>
      <x:c r="J532" s="215" t="str">
        <x:v>Flowers and mature fruit</x:v>
      </x:c>
      <x:c r="K532" s="215" t="str">
        <x:v>Both may have swollen nodes and opposite entire leaves.</x:v>
      </x:c>
      <x:c r="L532" s="215" t="str">
        <x:v>Tiny flowers can obscure whether one or two perianth whorls are present.</x:v>
      </x:c>
      <x:c r="M532" s="215" t="str">
        <x:v>Examine both an open flower and a mature fruit.</x:v>
      </x:c>
      <x:c r="N532" s="215" t="str">
        <x:v>Four-o'clocks and spiderlings are conspicuous Hays-area herbs, especially after rain and in disturbed or open ground.</x:v>
      </x:c>
      <x:c r="O532" s="215" t="str">
        <x:v>Low</x:v>
      </x:c>
      <x:c r="P532" s="215" t="str">
        <x:v>No</x:v>
      </x:c>
      <x:c r="Q532" s="215" t="str"/>
      <x:c r="R532" s="215" t="str">
        <x:v>NYC-STEMS; NYC-PERIGON; NYC-FRUIT</x:v>
      </x:c>
      <x:c r="S532" s="215" t="str">
        <x:v>APWEB-NYCT; FNA-NYCT; POWO-NYCT; LBJ-HAYS</x:v>
      </x:c>
      <x:c r="T532" s="215" t="str">
        <x:v>https://www.mobot.org/MOBOT/research/APweb/orders/caryophyllalesweb.htm</x:v>
      </x:c>
      <x:c r="U532" s="215" t="str">
        <x:v>https://floranorthamerica.org/Nyctaginaceae</x:v>
      </x:c>
      <x:c r="V532" s="215" t="str">
        <x:v>https://powo.science.kew.org/taxon/urn:lsid:ipni.org:names:30000256-2/general-information</x:v>
      </x:c>
      <x:c r="W532" s="215" t="str">
        <x:v>https://www.mobot.org/MOBOT/research/APweb/orders/caryophyllalesweb.htm
https://floranorthamerica.org/Nyctaginaceae
https://powo.science.kew.org/taxon/urn:lsid:ipni.org:names:30000256-2/general-information
https://www.wildflower.org/collections/collection.php?collection=hays</x:v>
      </x:c>
      <x:c r="X532" s="215" t="str">
        <x:v>No — retain qualifiers and exceptions</x:v>
      </x:c>
      <x:c r="Y532" s="215" t="str">
        <x:v>Yes</x:v>
      </x:c>
      <x:c r="Z532" s="215" t="str">
        <x:v>Source-backed draft</x:v>
      </x:c>
    </x:row>
    <x:row r="533" ht="42" customHeight="1">
      <x:c r="A533" s="215" t="str">
        <x:v>Nyctaginaceae</x:v>
      </x:c>
      <x:c r="B533" s="215" t="str">
        <x:v>NYC-LK02</x:v>
      </x:c>
      <x:c r="C533" s="215" t="str">
        <x:v>Lookalike comparison</x:v>
      </x:c>
      <x:c r="D533" s="215" t="str">
        <x:v>Lookalike</x:v>
      </x:c>
      <x:c r="E533" s="215" t="str">
        <x:v>Versus Amaranthaceae: a fused petaloid perianth or involucral bracts and anthocarp favor Nyctaginaceae; dry tepals with bracts/bracteoles and utricular fruit favor many Amaranthaceae</x:v>
      </x:c>
      <x:c r="F533" s="215" t="str">
        <x:v>Lookalike</x:v>
      </x:c>
      <x:c r="G533" s="215" t="str">
        <x:v>5</x:v>
      </x:c>
      <x:c r="H533" s="215" t="str">
        <x:v>High</x:v>
      </x:c>
      <x:c r="I533" s="215" t="str">
        <x:v>Naked eye or hand lens</x:v>
      </x:c>
      <x:c r="J533" s="215" t="str">
        <x:v>Flowers and mature fruit</x:v>
      </x:c>
      <x:c r="K533" s="215" t="str">
        <x:v>Small dry flowers can be confusing in both families.</x:v>
      </x:c>
      <x:c r="L533" s="215" t="str">
        <x:v>Some lineages depart from the simplified field contrast.</x:v>
      </x:c>
      <x:c r="M533" s="215" t="str">
        <x:v>Use fruit enclosure and perianth texture as a weighted pair.</x:v>
      </x:c>
      <x:c r="N533" s="215" t="str">
        <x:v>Four-o'clocks and spiderlings are conspicuous Hays-area herbs, especially after rain and in disturbed or open ground.</x:v>
      </x:c>
      <x:c r="O533" s="215" t="str">
        <x:v>Low</x:v>
      </x:c>
      <x:c r="P533" s="215" t="str">
        <x:v>No</x:v>
      </x:c>
      <x:c r="Q533" s="215" t="str"/>
      <x:c r="R533" s="215" t="str">
        <x:v>NYC-BRACTS; NYC-PERIGON; NYC-FRUIT</x:v>
      </x:c>
      <x:c r="S533" s="215" t="str">
        <x:v>APWEB-NYCT; FNA-NYCT; POWO-NYCT; LBJ-HAYS</x:v>
      </x:c>
      <x:c r="T533" s="215" t="str">
        <x:v>https://www.mobot.org/MOBOT/research/APweb/orders/caryophyllalesweb.htm</x:v>
      </x:c>
      <x:c r="U533" s="215" t="str">
        <x:v>https://floranorthamerica.org/Nyctaginaceae</x:v>
      </x:c>
      <x:c r="V533" s="215" t="str">
        <x:v>https://powo.science.kew.org/taxon/urn:lsid:ipni.org:names:30000256-2/general-information</x:v>
      </x:c>
      <x:c r="W533" s="215" t="str">
        <x:v>https://www.mobot.org/MOBOT/research/APweb/orders/caryophyllalesweb.htm
https://floranorthamerica.org/Nyctaginaceae
https://powo.science.kew.org/taxon/urn:lsid:ipni.org:names:30000256-2/general-information
https://www.wildflower.org/collections/collection.php?collection=hays</x:v>
      </x:c>
      <x:c r="X533" s="215" t="str">
        <x:v>No — retain qualifiers and exceptions</x:v>
      </x:c>
      <x:c r="Y533" s="215" t="str">
        <x:v>Yes</x:v>
      </x:c>
      <x:c r="Z533" s="215" t="str">
        <x:v>Source-backed draft</x:v>
      </x:c>
    </x:row>
    <x:row r="534" ht="42" customHeight="1">
      <x:c r="A534" s="215" t="str">
        <x:v>Oxalidaceae</x:v>
      </x:c>
      <x:c r="B534" s="215" t="str">
        <x:v>OXA-HABIT</x:v>
      </x:c>
      <x:c r="C534" s="215" t="str">
        <x:v>Local/regional family character</x:v>
      </x:c>
      <x:c r="D534" s="215" t="str">
        <x:v>Habit</x:v>
      </x:c>
      <x:c r="E534" s="215" t="str">
        <x:v>Herbs in the local flora, often low and tufted or creeping</x:v>
      </x:c>
      <x:c r="F534" s="215" t="str">
        <x:v>Strong</x:v>
      </x:c>
      <x:c r="G534" s="215" t="str">
        <x:v>1</x:v>
      </x:c>
      <x:c r="H534" s="215" t="str">
        <x:v>High</x:v>
      </x:c>
      <x:c r="I534" s="215" t="str">
        <x:v>Naked eye or hand lens</x:v>
      </x:c>
      <x:c r="J534" s="215" t="str">
        <x:v>Any active growth</x:v>
      </x:c>
      <x:c r="K534" s="215" t="str">
        <x:v>Central Texas Oxalis is usually a small herb rather than a woody plant.</x:v>
      </x:c>
      <x:c r="L534" s="215" t="str">
        <x:v>The global family includes woody taxa, so this is locally scoped.</x:v>
      </x:c>
      <x:c r="M534" s="215" t="str">
        <x:v>Use only within the Hays regional context.</x:v>
      </x:c>
      <x:c r="N534" s="215" t="str">
        <x:v>Wild Oxalis is common and readily encountered in Hays lawns, woodlands, prairie openings, and disturbed sites.</x:v>
      </x:c>
      <x:c r="O534" s="215" t="str">
        <x:v>Low</x:v>
      </x:c>
      <x:c r="P534" s="215" t="str">
        <x:v>No</x:v>
      </x:c>
      <x:c r="Q534" s="215" t="str"/>
      <x:c r="R534" s="215" t="str"/>
      <x:c r="S534" s="215" t="str">
        <x:v>APWEB-OXAL; FNA-OXAL; POWO-OXAL; LBJ-HAYS</x:v>
      </x:c>
      <x:c r="T534" s="215" t="str">
        <x:v>https://www.mobot.org/MOBOT/research/APweb/orders/oxalidalesweb.htm</x:v>
      </x:c>
      <x:c r="U534" s="215" t="str">
        <x:v>https://floranorthamerica.org/Oxalidaceae</x:v>
      </x:c>
      <x:c r="V534" s="215" t="str">
        <x:v>https://powo.science.kew.org/taxon/urn:lsid:ipni.org:names:77126611-1/general-information</x:v>
      </x:c>
      <x:c r="W534" s="215" t="str">
        <x:v>https://www.mobot.org/MOBOT/research/APweb/orders/oxalidalesweb.htm
https://floranorthamerica.org/Oxalidaceae
https://powo.science.kew.org/taxon/urn:lsid:ipni.org:names:77126611-1/general-information
https://www.wildflower.org/collections/collection.php?collection=hays</x:v>
      </x:c>
      <x:c r="X534" s="215" t="str">
        <x:v>No — retain qualifiers and exceptions</x:v>
      </x:c>
      <x:c r="Y534" s="215" t="str">
        <x:v>Yes</x:v>
      </x:c>
      <x:c r="Z534" s="215" t="str">
        <x:v>Source-backed draft</x:v>
      </x:c>
    </x:row>
    <x:row r="535" ht="42" customHeight="1">
      <x:c r="A535" s="215" t="str">
        <x:v>Oxalidaceae</x:v>
      </x:c>
      <x:c r="B535" s="215" t="str">
        <x:v>OXA-LEAVES</x:v>
      </x:c>
      <x:c r="C535" s="215" t="str">
        <x:v>Family character</x:v>
      </x:c>
      <x:c r="D535" s="215" t="str">
        <x:v>Leaves</x:v>
      </x:c>
      <x:c r="E535" s="215" t="str">
        <x:v>Leaves alternate or basal, commonly palmately compound with 3 notched or heart-shaped leaflets</x:v>
      </x:c>
      <x:c r="F535" s="215" t="str">
        <x:v>Strong</x:v>
      </x:c>
      <x:c r="G535" s="215" t="str">
        <x:v>4</x:v>
      </x:c>
      <x:c r="H535" s="215" t="str">
        <x:v>High</x:v>
      </x:c>
      <x:c r="I535" s="215" t="str">
        <x:v>Naked eye or hand lens</x:v>
      </x:c>
      <x:c r="J535" s="215" t="str">
        <x:v>Vegetative or flowering material</x:v>
      </x:c>
      <x:c r="K535" s="215" t="str">
        <x:v>The shamrock-like three leaflets are the fastest local clue.</x:v>
      </x:c>
      <x:c r="L535" s="215" t="str">
        <x:v>Some species have more leaflets, and clovers can look similar.</x:v>
      </x:c>
      <x:c r="M535" s="215" t="str">
        <x:v>Confirm with radial flowers and capsule fruit.</x:v>
      </x:c>
      <x:c r="N535" s="215" t="str">
        <x:v>Wild Oxalis is common and readily encountered in Hays lawns, woodlands, prairie openings, and disturbed sites.</x:v>
      </x:c>
      <x:c r="O535" s="215" t="str">
        <x:v>Low</x:v>
      </x:c>
      <x:c r="P535" s="215" t="str">
        <x:v>No</x:v>
      </x:c>
      <x:c r="Q535" s="215" t="str"/>
      <x:c r="R535" s="215" t="str">
        <x:v>OXA-LK01; OXA-LK02</x:v>
      </x:c>
      <x:c r="S535" s="215" t="str">
        <x:v>APWEB-OXAL; FNA-OXAL; POWO-OXAL; LBJ-HAYS</x:v>
      </x:c>
      <x:c r="T535" s="215" t="str">
        <x:v>https://www.mobot.org/MOBOT/research/APweb/orders/oxalidalesweb.htm</x:v>
      </x:c>
      <x:c r="U535" s="215" t="str">
        <x:v>https://floranorthamerica.org/Oxalidaceae</x:v>
      </x:c>
      <x:c r="V535" s="215" t="str">
        <x:v>https://powo.science.kew.org/taxon/urn:lsid:ipni.org:names:77126611-1/general-information</x:v>
      </x:c>
      <x:c r="W535" s="215" t="str">
        <x:v>https://www.mobot.org/MOBOT/research/APweb/orders/oxalidalesweb.htm
https://floranorthamerica.org/Oxalidaceae
https://powo.science.kew.org/taxon/urn:lsid:ipni.org:names:77126611-1/general-information
https://www.wildflower.org/collections/collection.php?collection=hays</x:v>
      </x:c>
      <x:c r="X535" s="215" t="str">
        <x:v>No — retain qualifiers and exceptions</x:v>
      </x:c>
      <x:c r="Y535" s="215" t="str">
        <x:v>Yes</x:v>
      </x:c>
      <x:c r="Z535" s="215" t="str">
        <x:v>Source-backed draft</x:v>
      </x:c>
    </x:row>
    <x:row r="536" ht="42" customHeight="1">
      <x:c r="A536" s="215" t="str">
        <x:v>Oxalidaceae</x:v>
      </x:c>
      <x:c r="B536" s="215" t="str">
        <x:v>OXA-NYCTINASTY</x:v>
      </x:c>
      <x:c r="C536" s="215" t="str">
        <x:v>Family character</x:v>
      </x:c>
      <x:c r="D536" s="215" t="str">
        <x:v>Leaves / movement</x:v>
      </x:c>
      <x:c r="E536" s="215" t="str">
        <x:v>Leaflets commonly fold downward at night, in heat, or under stress</x:v>
      </x:c>
      <x:c r="F536" s="215" t="str">
        <x:v>Supporting</x:v>
      </x:c>
      <x:c r="G536" s="215" t="str">
        <x:v>2</x:v>
      </x:c>
      <x:c r="H536" s="215" t="str">
        <x:v>High</x:v>
      </x:c>
      <x:c r="I536" s="215" t="str">
        <x:v>Naked eye or hand lens</x:v>
      </x:c>
      <x:c r="J536" s="215" t="str">
        <x:v>Living plants across day/night or stress</x:v>
      </x:c>
      <x:c r="K536" s="215" t="str">
        <x:v>The three leaflets may close like small umbrellas.</x:v>
      </x:c>
      <x:c r="L536" s="215" t="str">
        <x:v>Movement depends on time and conditions and is not always observed.</x:v>
      </x:c>
      <x:c r="M536" s="215" t="str">
        <x:v>Use as behavioral support, not a required character.</x:v>
      </x:c>
      <x:c r="N536" s="215" t="str">
        <x:v>Wild Oxalis is common and readily encountered in Hays lawns, woodlands, prairie openings, and disturbed sites.</x:v>
      </x:c>
      <x:c r="O536" s="215" t="str">
        <x:v>Low</x:v>
      </x:c>
      <x:c r="P536" s="215" t="str">
        <x:v>No</x:v>
      </x:c>
      <x:c r="Q536" s="215" t="str"/>
      <x:c r="R536" s="215" t="str"/>
      <x:c r="S536" s="215" t="str">
        <x:v>APWEB-OXAL; FNA-OXAL; POWO-OXAL; LBJ-HAYS</x:v>
      </x:c>
      <x:c r="T536" s="215" t="str">
        <x:v>https://www.mobot.org/MOBOT/research/APweb/orders/oxalidalesweb.htm</x:v>
      </x:c>
      <x:c r="U536" s="215" t="str">
        <x:v>https://floranorthamerica.org/Oxalidaceae</x:v>
      </x:c>
      <x:c r="V536" s="215" t="str">
        <x:v>https://powo.science.kew.org/taxon/urn:lsid:ipni.org:names:77126611-1/general-information</x:v>
      </x:c>
      <x:c r="W536" s="215" t="str">
        <x:v>https://www.mobot.org/MOBOT/research/APweb/orders/oxalidalesweb.htm
https://floranorthamerica.org/Oxalidaceae
https://powo.science.kew.org/taxon/urn:lsid:ipni.org:names:77126611-1/general-information
https://www.wildflower.org/collections/collection.php?collection=hays</x:v>
      </x:c>
      <x:c r="X536" s="215" t="str">
        <x:v>No — retain qualifiers and exceptions</x:v>
      </x:c>
      <x:c r="Y536" s="215" t="str">
        <x:v>Yes</x:v>
      </x:c>
      <x:c r="Z536" s="215" t="str">
        <x:v>Source-backed draft</x:v>
      </x:c>
    </x:row>
    <x:row r="537" ht="42" customHeight="1">
      <x:c r="A537" s="215" t="str">
        <x:v>Oxalidaceae</x:v>
      </x:c>
      <x:c r="B537" s="215" t="str">
        <x:v>OXA-CHEM</x:v>
      </x:c>
      <x:c r="C537" s="215" t="str">
        <x:v>Family character</x:v>
      </x:c>
      <x:c r="D537" s="215" t="str">
        <x:v>Chemistry / taste</x:v>
      </x:c>
      <x:c r="E537" s="215" t="str">
        <x:v>Tissues contain oxalates and often have a sharp sour taste</x:v>
      </x:c>
      <x:c r="F537" s="215" t="str">
        <x:v>Caution</x:v>
      </x:c>
      <x:c r="G537" s="215" t="str">
        <x:v>0</x:v>
      </x:c>
      <x:c r="H537" s="215" t="str">
        <x:v>High</x:v>
      </x:c>
      <x:c r="I537" s="215" t="str">
        <x:v>Not recommended as a field test</x:v>
      </x:c>
      <x:c r="J537" s="215" t="str">
        <x:v>Any fresh tissue</x:v>
      </x:c>
      <x:c r="K537" s="215" t="str">
        <x:v>Sourness explains the common name wood-sorrel and distinguishes it from true clovers.</x:v>
      </x:c>
      <x:c r="L537" s="215" t="str">
        <x:v>Do not taste unknown plants; oxalates can be harmful and chemistry is not unique.</x:v>
      </x:c>
      <x:c r="M537" s="215" t="str">
        <x:v>Record odor/taste only from authoritative prior knowledge, never as a required field test.</x:v>
      </x:c>
      <x:c r="N537" s="215" t="str">
        <x:v>Wild Oxalis is common and readily encountered in Hays lawns, woodlands, prairie openings, and disturbed sites.</x:v>
      </x:c>
      <x:c r="O537" s="215" t="str">
        <x:v>Low</x:v>
      </x:c>
      <x:c r="P537" s="215" t="str">
        <x:v>No</x:v>
      </x:c>
      <x:c r="Q537" s="215" t="str"/>
      <x:c r="R537" s="215" t="str"/>
      <x:c r="S537" s="215" t="str">
        <x:v>APWEB-OXAL; FNA-OXAL; POWO-OXAL; LBJ-HAYS</x:v>
      </x:c>
      <x:c r="T537" s="215" t="str">
        <x:v>https://www.mobot.org/MOBOT/research/APweb/orders/oxalidalesweb.htm</x:v>
      </x:c>
      <x:c r="U537" s="215" t="str">
        <x:v>https://floranorthamerica.org/Oxalidaceae</x:v>
      </x:c>
      <x:c r="V537" s="215" t="str">
        <x:v>https://powo.science.kew.org/taxon/urn:lsid:ipni.org:names:77126611-1/general-information</x:v>
      </x:c>
      <x:c r="W537" s="215" t="str">
        <x:v>https://www.mobot.org/MOBOT/research/APweb/orders/oxalidalesweb.htm
https://floranorthamerica.org/Oxalidaceae
https://powo.science.kew.org/taxon/urn:lsid:ipni.org:names:77126611-1/general-information
https://www.wildflower.org/collections/collection.php?collection=hays</x:v>
      </x:c>
      <x:c r="X537" s="215" t="str">
        <x:v>No — retain qualifiers and exceptions</x:v>
      </x:c>
      <x:c r="Y537" s="215" t="str">
        <x:v>Yes</x:v>
      </x:c>
      <x:c r="Z537" s="215" t="str">
        <x:v>Source-backed draft</x:v>
      </x:c>
    </x:row>
    <x:row r="538" ht="42" customHeight="1">
      <x:c r="A538" s="215" t="str">
        <x:v>Oxalidaceae</x:v>
      </x:c>
      <x:c r="B538" s="215" t="str">
        <x:v>OXA-FLOWER</x:v>
      </x:c>
      <x:c r="C538" s="215" t="str">
        <x:v>Family character</x:v>
      </x:c>
      <x:c r="D538" s="215" t="str">
        <x:v>Flowers</x:v>
      </x:c>
      <x:c r="E538" s="215" t="str">
        <x:v>Flowers radially symmetric with 5 sepals and 5 separate petals</x:v>
      </x:c>
      <x:c r="F538" s="215" t="str">
        <x:v>Strong</x:v>
      </x:c>
      <x:c r="G538" s="215" t="str">
        <x:v>4</x:v>
      </x:c>
      <x:c r="H538" s="215" t="str">
        <x:v>High</x:v>
      </x:c>
      <x:c r="I538" s="215" t="str">
        <x:v>Naked eye or hand lens</x:v>
      </x:c>
      <x:c r="J538" s="215" t="str">
        <x:v>Fresh open flowers</x:v>
      </x:c>
      <x:c r="K538" s="215" t="str">
        <x:v>Five regular petals distinguish wood-sorrels from pea-shaped clover flowers.</x:v>
      </x:c>
      <x:c r="L538" s="215" t="str">
        <x:v>Petals may close, fall, or be damaged.</x:v>
      </x:c>
      <x:c r="M538" s="215" t="str">
        <x:v>Use a fresh open flower and count both whorls.</x:v>
      </x:c>
      <x:c r="N538" s="215" t="str">
        <x:v>Wild Oxalis is common and readily encountered in Hays lawns, woodlands, prairie openings, and disturbed sites.</x:v>
      </x:c>
      <x:c r="O538" s="215" t="str">
        <x:v>Low</x:v>
      </x:c>
      <x:c r="P538" s="215" t="str">
        <x:v>No</x:v>
      </x:c>
      <x:c r="Q538" s="215" t="str"/>
      <x:c r="R538" s="215" t="str">
        <x:v>OXA-LK01; OXA-LK02</x:v>
      </x:c>
      <x:c r="S538" s="215" t="str">
        <x:v>APWEB-OXAL; FNA-OXAL; POWO-OXAL; LBJ-HAYS</x:v>
      </x:c>
      <x:c r="T538" s="215" t="str">
        <x:v>https://www.mobot.org/MOBOT/research/APweb/orders/oxalidalesweb.htm</x:v>
      </x:c>
      <x:c r="U538" s="215" t="str">
        <x:v>https://floranorthamerica.org/Oxalidaceae</x:v>
      </x:c>
      <x:c r="V538" s="215" t="str">
        <x:v>https://powo.science.kew.org/taxon/urn:lsid:ipni.org:names:77126611-1/general-information</x:v>
      </x:c>
      <x:c r="W538" s="215" t="str">
        <x:v>https://www.mobot.org/MOBOT/research/APweb/orders/oxalidalesweb.htm
https://floranorthamerica.org/Oxalidaceae
https://powo.science.kew.org/taxon/urn:lsid:ipni.org:names:77126611-1/general-information
https://www.wildflower.org/collections/collection.php?collection=hays</x:v>
      </x:c>
      <x:c r="X538" s="215" t="str">
        <x:v>No — retain qualifiers and exceptions</x:v>
      </x:c>
      <x:c r="Y538" s="215" t="str">
        <x:v>Yes</x:v>
      </x:c>
      <x:c r="Z538" s="215" t="str">
        <x:v>Source-backed draft</x:v>
      </x:c>
    </x:row>
    <x:row r="539" ht="42" customHeight="1">
      <x:c r="A539" s="215" t="str">
        <x:v>Oxalidaceae</x:v>
      </x:c>
      <x:c r="B539" s="215" t="str">
        <x:v>OXA-STAMENS</x:v>
      </x:c>
      <x:c r="C539" s="215" t="str">
        <x:v>Family character</x:v>
      </x:c>
      <x:c r="D539" s="215" t="str">
        <x:v>Stamens</x:v>
      </x:c>
      <x:c r="E539" s="215" t="str">
        <x:v>Usually 10 stamens in two whorls, commonly of unequal lengths</x:v>
      </x:c>
      <x:c r="F539" s="215" t="str">
        <x:v>Strong</x:v>
      </x:c>
      <x:c r="G539" s="215" t="str">
        <x:v>4</x:v>
      </x:c>
      <x:c r="H539" s="215" t="str">
        <x:v>High</x:v>
      </x:c>
      <x:c r="I539" s="215" t="str">
        <x:v>Hand lens</x:v>
      </x:c>
      <x:c r="J539" s="215" t="str">
        <x:v>Fresh intact flowers</x:v>
      </x:c>
      <x:c r="K539" s="215" t="str">
        <x:v>Ten stamens support Oxalidaceae when paired with five regular petals.</x:v>
      </x:c>
      <x:c r="L539" s="215" t="str">
        <x:v>Stamens are small and damaged flowers can be incomplete.</x:v>
      </x:c>
      <x:c r="M539" s="215" t="str">
        <x:v>Count under magnification on an intact flower.</x:v>
      </x:c>
      <x:c r="N539" s="215" t="str">
        <x:v>Wild Oxalis is common and readily encountered in Hays lawns, woodlands, prairie openings, and disturbed sites.</x:v>
      </x:c>
      <x:c r="O539" s="215" t="str">
        <x:v>Low</x:v>
      </x:c>
      <x:c r="P539" s="215" t="str">
        <x:v>No</x:v>
      </x:c>
      <x:c r="Q539" s="215" t="str"/>
      <x:c r="R539" s="215" t="str"/>
      <x:c r="S539" s="215" t="str">
        <x:v>APWEB-OXAL; FNA-OXAL; POWO-OXAL; LBJ-HAYS</x:v>
      </x:c>
      <x:c r="T539" s="215" t="str">
        <x:v>https://www.mobot.org/MOBOT/research/APweb/orders/oxalidalesweb.htm</x:v>
      </x:c>
      <x:c r="U539" s="215" t="str">
        <x:v>https://floranorthamerica.org/Oxalidaceae</x:v>
      </x:c>
      <x:c r="V539" s="215" t="str">
        <x:v>https://powo.science.kew.org/taxon/urn:lsid:ipni.org:names:77126611-1/general-information</x:v>
      </x:c>
      <x:c r="W539" s="215" t="str">
        <x:v>https://www.mobot.org/MOBOT/research/APweb/orders/oxalidalesweb.htm
https://floranorthamerica.org/Oxalidaceae
https://powo.science.kew.org/taxon/urn:lsid:ipni.org:names:77126611-1/general-information
https://www.wildflower.org/collections/collection.php?collection=hays</x:v>
      </x:c>
      <x:c r="X539" s="215" t="str">
        <x:v>No — retain qualifiers and exceptions</x:v>
      </x:c>
      <x:c r="Y539" s="215" t="str">
        <x:v>Yes</x:v>
      </x:c>
      <x:c r="Z539" s="215" t="str">
        <x:v>Source-backed draft</x:v>
      </x:c>
    </x:row>
    <x:row r="540" ht="42" customHeight="1">
      <x:c r="A540" s="215" t="str">
        <x:v>Oxalidaceae</x:v>
      </x:c>
      <x:c r="B540" s="215" t="str">
        <x:v>OXA-HETEROSTYLY</x:v>
      </x:c>
      <x:c r="C540" s="215" t="str">
        <x:v>Family character</x:v>
      </x:c>
      <x:c r="D540" s="215" t="str">
        <x:v>Gynoecium / stamens</x:v>
      </x:c>
      <x:c r="E540" s="215" t="str">
        <x:v>Style and stamen lengths commonly occur in two or three floral morphs</x:v>
      </x:c>
      <x:c r="F540" s="215" t="str">
        <x:v>Supporting</x:v>
      </x:c>
      <x:c r="G540" s="215" t="str">
        <x:v>1</x:v>
      </x:c>
      <x:c r="H540" s="215" t="str">
        <x:v>High</x:v>
      </x:c>
      <x:c r="I540" s="215" t="str">
        <x:v>Hand lens</x:v>
      </x:c>
      <x:c r="J540" s="215" t="str">
        <x:v>Several fresh flowers from multiple plants</x:v>
      </x:c>
      <x:c r="K540" s="215" t="str">
        <x:v>Different plants may position stigmas and anthers at different heights.</x:v>
      </x:c>
      <x:c r="L540" s="215" t="str">
        <x:v>Not every species or population shows an obvious field pattern.</x:v>
      </x:c>
      <x:c r="M540" s="215" t="str">
        <x:v>Use only as population-level supporting evidence.</x:v>
      </x:c>
      <x:c r="N540" s="215" t="str">
        <x:v>Wild Oxalis is common and readily encountered in Hays lawns, woodlands, prairie openings, and disturbed sites.</x:v>
      </x:c>
      <x:c r="O540" s="215" t="str">
        <x:v>Low</x:v>
      </x:c>
      <x:c r="P540" s="215" t="str">
        <x:v>No</x:v>
      </x:c>
      <x:c r="Q540" s="215" t="str"/>
      <x:c r="R540" s="215" t="str"/>
      <x:c r="S540" s="215" t="str">
        <x:v>APWEB-OXAL; FNA-OXAL; POWO-OXAL; LBJ-HAYS</x:v>
      </x:c>
      <x:c r="T540" s="215" t="str">
        <x:v>https://www.mobot.org/MOBOT/research/APweb/orders/oxalidalesweb.htm</x:v>
      </x:c>
      <x:c r="U540" s="215" t="str">
        <x:v>https://floranorthamerica.org/Oxalidaceae</x:v>
      </x:c>
      <x:c r="V540" s="215" t="str">
        <x:v>https://powo.science.kew.org/taxon/urn:lsid:ipni.org:names:77126611-1/general-information</x:v>
      </x:c>
      <x:c r="W540" s="215" t="str">
        <x:v>https://www.mobot.org/MOBOT/research/APweb/orders/oxalidalesweb.htm
https://floranorthamerica.org/Oxalidaceae
https://powo.science.kew.org/taxon/urn:lsid:ipni.org:names:77126611-1/general-information
https://www.wildflower.org/collections/collection.php?collection=hays</x:v>
      </x:c>
      <x:c r="X540" s="215" t="str">
        <x:v>No — retain qualifiers and exceptions</x:v>
      </x:c>
      <x:c r="Y540" s="215" t="str">
        <x:v>Yes</x:v>
      </x:c>
      <x:c r="Z540" s="215" t="str">
        <x:v>Source-backed draft</x:v>
      </x:c>
    </x:row>
    <x:row r="541" ht="42" customHeight="1">
      <x:c r="A541" s="215" t="str">
        <x:v>Oxalidaceae</x:v>
      </x:c>
      <x:c r="B541" s="215" t="str">
        <x:v>OXA-OVARY</x:v>
      </x:c>
      <x:c r="C541" s="215" t="str">
        <x:v>Family character</x:v>
      </x:c>
      <x:c r="D541" s="215" t="str">
        <x:v>Gynoecium</x:v>
      </x:c>
      <x:c r="E541" s="215" t="str">
        <x:v>Ovary superior, 5-carpellate and usually 5-locular</x:v>
      </x:c>
      <x:c r="F541" s="215" t="str">
        <x:v>Strong</x:v>
      </x:c>
      <x:c r="G541" s="215" t="str">
        <x:v>4</x:v>
      </x:c>
      <x:c r="H541" s="215" t="str">
        <x:v>High</x:v>
      </x:c>
      <x:c r="I541" s="215" t="str">
        <x:v>Hand lens or dissection</x:v>
      </x:c>
      <x:c r="J541" s="215" t="str">
        <x:v>Fresh flowers</x:v>
      </x:c>
      <x:c r="K541" s="215" t="str">
        <x:v>The ovary sits above the other parts and is built in five sections.</x:v>
      </x:c>
      <x:c r="L541" s="215" t="str">
        <x:v>Internal locules require dissection.</x:v>
      </x:c>
      <x:c r="M541" s="215" t="str">
        <x:v>Use with the ten stamens and capsule.</x:v>
      </x:c>
      <x:c r="N541" s="215" t="str">
        <x:v>Wild Oxalis is common and readily encountered in Hays lawns, woodlands, prairie openings, and disturbed sites.</x:v>
      </x:c>
      <x:c r="O541" s="215" t="str">
        <x:v>Low</x:v>
      </x:c>
      <x:c r="P541" s="215" t="str">
        <x:v>No</x:v>
      </x:c>
      <x:c r="Q541" s="215" t="str"/>
      <x:c r="R541" s="215" t="str"/>
      <x:c r="S541" s="215" t="str">
        <x:v>APWEB-OXAL; FNA-OXAL; POWO-OXAL; LBJ-HAYS</x:v>
      </x:c>
      <x:c r="T541" s="215" t="str">
        <x:v>https://www.mobot.org/MOBOT/research/APweb/orders/oxalidalesweb.htm</x:v>
      </x:c>
      <x:c r="U541" s="215" t="str">
        <x:v>https://floranorthamerica.org/Oxalidaceae</x:v>
      </x:c>
      <x:c r="V541" s="215" t="str">
        <x:v>https://powo.science.kew.org/taxon/urn:lsid:ipni.org:names:77126611-1/general-information</x:v>
      </x:c>
      <x:c r="W541" s="215" t="str">
        <x:v>https://www.mobot.org/MOBOT/research/APweb/orders/oxalidalesweb.htm
https://floranorthamerica.org/Oxalidaceae
https://powo.science.kew.org/taxon/urn:lsid:ipni.org:names:77126611-1/general-information
https://www.wildflower.org/collections/collection.php?collection=hays</x:v>
      </x:c>
      <x:c r="X541" s="215" t="str">
        <x:v>No — retain qualifiers and exceptions</x:v>
      </x:c>
      <x:c r="Y541" s="215" t="str">
        <x:v>Yes</x:v>
      </x:c>
      <x:c r="Z541" s="215" t="str">
        <x:v>Source-backed draft</x:v>
      </x:c>
    </x:row>
    <x:row r="542" ht="42" customHeight="1">
      <x:c r="A542" s="215" t="str">
        <x:v>Oxalidaceae</x:v>
      </x:c>
      <x:c r="B542" s="215" t="str">
        <x:v>OXA-FRUIT</x:v>
      </x:c>
      <x:c r="C542" s="215" t="str">
        <x:v>Family character</x:v>
      </x:c>
      <x:c r="D542" s="215" t="str">
        <x:v>Fruit</x:v>
      </x:c>
      <x:c r="E542" s="215" t="str">
        <x:v>Fruit usually a 5-angled or cylindric capsule, often opening elastically and ejecting seeds</x:v>
      </x:c>
      <x:c r="F542" s="215" t="str">
        <x:v>Strong</x:v>
      </x:c>
      <x:c r="G542" s="215" t="str">
        <x:v>5</x:v>
      </x:c>
      <x:c r="H542" s="215" t="str">
        <x:v>High</x:v>
      </x:c>
      <x:c r="I542" s="215" t="str">
        <x:v>Naked eye or hand lens</x:v>
      </x:c>
      <x:c r="J542" s="215" t="str">
        <x:v>Mature fruit</x:v>
      </x:c>
      <x:c r="K542" s="215" t="str">
        <x:v>Mature wood-sorrel pods can spring open when touched.</x:v>
      </x:c>
      <x:c r="L542" s="215" t="str">
        <x:v>Explosive opening requires mature fruit and should not be provoked into eyes.</x:v>
      </x:c>
      <x:c r="M542" s="215" t="str">
        <x:v>Use capsule shape and dehiscence to separate from legumes and beaked schizocarps.</x:v>
      </x:c>
      <x:c r="N542" s="215" t="str">
        <x:v>Wild Oxalis is common and readily encountered in Hays lawns, woodlands, prairie openings, and disturbed sites.</x:v>
      </x:c>
      <x:c r="O542" s="215" t="str">
        <x:v>Low</x:v>
      </x:c>
      <x:c r="P542" s="215" t="str">
        <x:v>No</x:v>
      </x:c>
      <x:c r="Q542" s="215" t="str"/>
      <x:c r="R542" s="215" t="str">
        <x:v>OXA-LK01; OXA-LK02</x:v>
      </x:c>
      <x:c r="S542" s="215" t="str">
        <x:v>APWEB-OXAL; FNA-OXAL; POWO-OXAL; LBJ-HAYS</x:v>
      </x:c>
      <x:c r="T542" s="215" t="str">
        <x:v>https://www.mobot.org/MOBOT/research/APweb/orders/oxalidalesweb.htm</x:v>
      </x:c>
      <x:c r="U542" s="215" t="str">
        <x:v>https://floranorthamerica.org/Oxalidaceae</x:v>
      </x:c>
      <x:c r="V542" s="215" t="str">
        <x:v>https://powo.science.kew.org/taxon/urn:lsid:ipni.org:names:77126611-1/general-information</x:v>
      </x:c>
      <x:c r="W542" s="215" t="str">
        <x:v>https://www.mobot.org/MOBOT/research/APweb/orders/oxalidalesweb.htm
https://floranorthamerica.org/Oxalidaceae
https://powo.science.kew.org/taxon/urn:lsid:ipni.org:names:77126611-1/general-information
https://www.wildflower.org/collections/collection.php?collection=hays</x:v>
      </x:c>
      <x:c r="X542" s="215" t="str">
        <x:v>No — retain qualifiers and exceptions</x:v>
      </x:c>
      <x:c r="Y542" s="215" t="str">
        <x:v>Yes</x:v>
      </x:c>
      <x:c r="Z542" s="215" t="str">
        <x:v>Source-backed draft</x:v>
      </x:c>
    </x:row>
    <x:row r="543" ht="42" customHeight="1">
      <x:c r="A543" s="215" t="str">
        <x:v>Oxalidaceae</x:v>
      </x:c>
      <x:c r="B543" s="215" t="str">
        <x:v>OXA-LK01</x:v>
      </x:c>
      <x:c r="C543" s="215" t="str">
        <x:v>Lookalike comparison</x:v>
      </x:c>
      <x:c r="D543" s="215" t="str">
        <x:v>Lookalike</x:v>
      </x:c>
      <x:c r="E543" s="215" t="str">
        <x:v>Versus Fabaceae clovers: 5 regular petals and a capsule favor Oxalidaceae; a bilaterally symmetric pea flower and legume favor Fabaceae</x:v>
      </x:c>
      <x:c r="F543" s="215" t="str">
        <x:v>Lookalike</x:v>
      </x:c>
      <x:c r="G543" s="215" t="str">
        <x:v>5</x:v>
      </x:c>
      <x:c r="H543" s="215" t="str">
        <x:v>High</x:v>
      </x:c>
      <x:c r="I543" s="215" t="str">
        <x:v>Naked eye or hand lens</x:v>
      </x:c>
      <x:c r="J543" s="215" t="str">
        <x:v>Flowers or mature fruit</x:v>
      </x:c>
      <x:c r="K543" s="215" t="str">
        <x:v>Three leaflets create the strongest vegetative confusion.</x:v>
      </x:c>
      <x:c r="L543" s="215" t="str">
        <x:v>Sterile plants remain ambiguous unless leaflet details and stipules are clear.</x:v>
      </x:c>
      <x:c r="M543" s="215" t="str">
        <x:v>Use flower symmetry first and mature fruit second.</x:v>
      </x:c>
      <x:c r="N543" s="215" t="str">
        <x:v>Wild Oxalis is common and readily encountered in Hays lawns, woodlands, prairie openings, and disturbed sites.</x:v>
      </x:c>
      <x:c r="O543" s="215" t="str">
        <x:v>Low</x:v>
      </x:c>
      <x:c r="P543" s="215" t="str">
        <x:v>No</x:v>
      </x:c>
      <x:c r="Q543" s="215" t="str"/>
      <x:c r="R543" s="215" t="str">
        <x:v>OXA-LEAVES; OXA-FLOWER; OXA-FRUIT</x:v>
      </x:c>
      <x:c r="S543" s="215" t="str">
        <x:v>APWEB-OXAL; FNA-OXAL; POWO-OXAL; LBJ-HAYS</x:v>
      </x:c>
      <x:c r="T543" s="215" t="str">
        <x:v>https://www.mobot.org/MOBOT/research/APweb/orders/oxalidalesweb.htm</x:v>
      </x:c>
      <x:c r="U543" s="215" t="str">
        <x:v>https://floranorthamerica.org/Oxalidaceae</x:v>
      </x:c>
      <x:c r="V543" s="215" t="str">
        <x:v>https://powo.science.kew.org/taxon/urn:lsid:ipni.org:names:77126611-1/general-information</x:v>
      </x:c>
      <x:c r="W543" s="215" t="str">
        <x:v>https://www.mobot.org/MOBOT/research/APweb/orders/oxalidalesweb.htm
https://floranorthamerica.org/Oxalidaceae
https://powo.science.kew.org/taxon/urn:lsid:ipni.org:names:77126611-1/general-information
https://www.wildflower.org/collections/collection.php?collection=hays</x:v>
      </x:c>
      <x:c r="X543" s="215" t="str">
        <x:v>No — retain qualifiers and exceptions</x:v>
      </x:c>
      <x:c r="Y543" s="215" t="str">
        <x:v>Yes</x:v>
      </x:c>
      <x:c r="Z543" s="215" t="str">
        <x:v>Source-backed draft</x:v>
      </x:c>
    </x:row>
    <x:row r="544" ht="42" customHeight="1">
      <x:c r="A544" s="215" t="str">
        <x:v>Oxalidaceae</x:v>
      </x:c>
      <x:c r="B544" s="215" t="str">
        <x:v>OXA-LK02</x:v>
      </x:c>
      <x:c r="C544" s="215" t="str">
        <x:v>Lookalike comparison</x:v>
      </x:c>
      <x:c r="D544" s="215" t="str">
        <x:v>Lookalike</x:v>
      </x:c>
      <x:c r="E544" s="215" t="str">
        <x:v>Versus Geraniaceae: trifoliolate shamrock leaves and a non-beaked capsule favor local Oxalidaceae; palmately lobed leaves and a long-beaked schizocarp favor many Geraniaceae</x:v>
      </x:c>
      <x:c r="F544" s="215" t="str">
        <x:v>Lookalike</x:v>
      </x:c>
      <x:c r="G544" s="215" t="str">
        <x:v>5</x:v>
      </x:c>
      <x:c r="H544" s="215" t="str">
        <x:v>High</x:v>
      </x:c>
      <x:c r="I544" s="215" t="str">
        <x:v>Naked eye or hand lens</x:v>
      </x:c>
      <x:c r="J544" s="215" t="str">
        <x:v>Flowers and mature fruit</x:v>
      </x:c>
      <x:c r="K544" s="215" t="str">
        <x:v>Both have 5-merous flowers and often 10 stamens.</x:v>
      </x:c>
      <x:c r="L544" s="215" t="str">
        <x:v>Geraniaceae lacks completed reciprocal family rows in the current master.</x:v>
      </x:c>
      <x:c r="M544" s="215" t="str">
        <x:v>Keep this comparison provisional until Geraniaceae receives first-pass coverage.</x:v>
      </x:c>
      <x:c r="N544" s="215" t="str">
        <x:v>Wild Oxalis is common and readily encountered in Hays lawns, woodlands, prairie openings, and disturbed sites.</x:v>
      </x:c>
      <x:c r="O544" s="215" t="str">
        <x:v>Medium</x:v>
      </x:c>
      <x:c r="P544" s="215" t="str">
        <x:v>Yes</x:v>
      </x:c>
      <x:c r="Q544" s="215" t="str">
        <x:v>Reciprocal Geraniaceae family and lookalike rows are not yet in the working master.</x:v>
      </x:c>
      <x:c r="R544" s="215" t="str">
        <x:v>OXA-LEAVES; OXA-FLOWER; OXA-STAMENS; OXA-FRUIT</x:v>
      </x:c>
      <x:c r="S544" s="215" t="str">
        <x:v>APWEB-OXAL; FNA-OXAL; POWO-OXAL; LBJ-HAYS</x:v>
      </x:c>
      <x:c r="T544" s="215" t="str">
        <x:v>https://www.mobot.org/MOBOT/research/APweb/orders/oxalidalesweb.htm</x:v>
      </x:c>
      <x:c r="U544" s="215" t="str">
        <x:v>https://floranorthamerica.org/Oxalidaceae</x:v>
      </x:c>
      <x:c r="V544" s="215" t="str">
        <x:v>https://powo.science.kew.org/taxon/urn:lsid:ipni.org:names:77126611-1/general-information</x:v>
      </x:c>
      <x:c r="W544" s="215" t="str">
        <x:v>https://www.mobot.org/MOBOT/research/APweb/orders/oxalidalesweb.htm
https://floranorthamerica.org/Oxalidaceae
https://powo.science.kew.org/taxon/urn:lsid:ipni.org:names:77126611-1/general-information
https://www.wildflower.org/collections/collection.php?collection=hays</x:v>
      </x:c>
      <x:c r="X544" s="215" t="str">
        <x:v>No — retain qualifiers and exceptions</x:v>
      </x:c>
      <x:c r="Y544" s="215" t="str">
        <x:v>Yes</x:v>
      </x:c>
      <x:c r="Z544" s="215" t="str">
        <x:v>Human review required</x:v>
      </x:c>
    </x:row>
    <x:row r="545" ht="42" customHeight="1">
      <x:c r="A545" s="215" t="str">
        <x:v>Geraniaceae</x:v>
      </x:c>
      <x:c r="B545" s="215" t="str">
        <x:v>GER-HABIT</x:v>
      </x:c>
      <x:c r="C545" s="215" t="str">
        <x:v>Family character</x:v>
      </x:c>
      <x:c r="D545" s="215" t="str">
        <x:v>Habit</x:v>
      </x:c>
      <x:c r="E545" s="215" t="str">
        <x:v>Annual or perennial herbs, less often subshrubs</x:v>
      </x:c>
      <x:c r="F545" s="215" t="str">
        <x:v>Strong</x:v>
      </x:c>
      <x:c r="G545" s="215" t="str">
        <x:v>2</x:v>
      </x:c>
      <x:c r="H545" s="215" t="str">
        <x:v>High</x:v>
      </x:c>
      <x:c r="I545" s="215" t="str">
        <x:v>Naked eye or hand lens</x:v>
      </x:c>
      <x:c r="J545" s="215" t="str">
        <x:v>Any active growth</x:v>
      </x:c>
      <x:c r="K545" s="215" t="str">
        <x:v>Most local family members are soft-stemmed herbs.</x:v>
      </x:c>
      <x:c r="L545" s="215" t="str">
        <x:v>The family includes succulent or woody forms outside the regional flora.</x:v>
      </x:c>
      <x:c r="M545" s="215" t="str">
        <x:v>Use habit only to enter the floral and fruit suite.</x:v>
      </x:c>
      <x:c r="N545" s="215" t="str">
        <x:v>Wild Geranium and Erodium-type herbs occur in Central Texas lawns, roadsides, prairies, and open woodlands; cultivated Pelargonium should not establish Hays nativity.</x:v>
      </x:c>
      <x:c r="O545" s="215" t="str">
        <x:v>Low</x:v>
      </x:c>
      <x:c r="P545" s="215" t="str">
        <x:v>No</x:v>
      </x:c>
      <x:c r="Q545" s="215" t="str"/>
      <x:c r="R545" s="215" t="str"/>
      <x:c r="S545" s="215" t="str">
        <x:v>APWEB-GERA; POWO-GERA; LBJ-HAYS</x:v>
      </x:c>
      <x:c r="T545" s="215" t="str">
        <x:v>https://www.mobot.org/MOBOT/research/APweb/orders/geranialesweb.htm</x:v>
      </x:c>
      <x:c r="U545" s="215" t="str">
        <x:v>https://powo.science.kew.org/taxon/urn:lsid:ipni.org:names:30001521-2/general-information</x:v>
      </x:c>
      <x:c r="V545" s="215" t="str">
        <x:v>https://powo.science.kew.org/taxon/urn:lsid:ipni.org:names:30001521-2/general-information</x:v>
      </x:c>
      <x:c r="W545"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45" s="215" t="str">
        <x:v>No — retain qualifiers and exceptions</x:v>
      </x:c>
      <x:c r="Y545" s="215" t="str">
        <x:v>Yes</x:v>
      </x:c>
      <x:c r="Z545" s="215" t="str">
        <x:v>Source-backed draft</x:v>
      </x:c>
    </x:row>
    <x:row r="546" ht="42" customHeight="1">
      <x:c r="A546" s="215" t="str">
        <x:v>Geraniaceae</x:v>
      </x:c>
      <x:c r="B546" s="215" t="str">
        <x:v>GER-LEAVES</x:v>
      </x:c>
      <x:c r="C546" s="215" t="str">
        <x:v>Family character</x:v>
      </x:c>
      <x:c r="D546" s="215" t="str">
        <x:v>Leaves / stipules</x:v>
      </x:c>
      <x:c r="E546" s="215" t="str">
        <x:v>Leaves alternate or opposite, usually stipulate, commonly lobed or divided</x:v>
      </x:c>
      <x:c r="F546" s="215" t="str">
        <x:v>Strong</x:v>
      </x:c>
      <x:c r="G546" s="215" t="str">
        <x:v>3</x:v>
      </x:c>
      <x:c r="H546" s="215" t="str">
        <x:v>High</x:v>
      </x:c>
      <x:c r="I546" s="215" t="str">
        <x:v>Naked eye or hand lens</x:v>
      </x:c>
      <x:c r="J546" s="215" t="str">
        <x:v>Leafy shoots</x:v>
      </x:c>
      <x:c r="K546" s="215" t="str">
        <x:v>Lobed, veined leaves with small stipules are common in cranesbills and storksbills.</x:v>
      </x:c>
      <x:c r="L546" s="215" t="str">
        <x:v>Leaf division and arrangement vary; sterile plants overlap many families.</x:v>
      </x:c>
      <x:c r="M546" s="215" t="str">
        <x:v>Inspect several nodes and confirm with flowers or the beaked fruit.</x:v>
      </x:c>
      <x:c r="N546" s="215" t="str">
        <x:v>Wild Geranium and Erodium-type herbs occur in Central Texas lawns, roadsides, prairies, and open woodlands; cultivated Pelargonium should not establish Hays nativity.</x:v>
      </x:c>
      <x:c r="O546" s="215" t="str">
        <x:v>Low</x:v>
      </x:c>
      <x:c r="P546" s="215" t="str">
        <x:v>No</x:v>
      </x:c>
      <x:c r="Q546" s="215" t="str"/>
      <x:c r="R546" s="215" t="str">
        <x:v>GER-LK01; GER-LK02</x:v>
      </x:c>
      <x:c r="S546" s="215" t="str">
        <x:v>APWEB-GERA; POWO-GERA; LBJ-HAYS</x:v>
      </x:c>
      <x:c r="T546" s="215" t="str">
        <x:v>https://www.mobot.org/MOBOT/research/APweb/orders/geranialesweb.htm</x:v>
      </x:c>
      <x:c r="U546" s="215" t="str">
        <x:v>https://powo.science.kew.org/taxon/urn:lsid:ipni.org:names:30001521-2/general-information</x:v>
      </x:c>
      <x:c r="V546" s="215" t="str">
        <x:v>https://powo.science.kew.org/taxon/urn:lsid:ipni.org:names:30001521-2/general-information</x:v>
      </x:c>
      <x:c r="W546"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46" s="215" t="str">
        <x:v>No — retain qualifiers and exceptions</x:v>
      </x:c>
      <x:c r="Y546" s="215" t="str">
        <x:v>Yes</x:v>
      </x:c>
      <x:c r="Z546" s="215" t="str">
        <x:v>Source-backed draft</x:v>
      </x:c>
    </x:row>
    <x:row r="547" ht="42" customHeight="1">
      <x:c r="A547" s="215" t="str">
        <x:v>Geraniaceae</x:v>
      </x:c>
      <x:c r="B547" s="215" t="str">
        <x:v>GER-FLOWER</x:v>
      </x:c>
      <x:c r="C547" s="215" t="str">
        <x:v>Family character</x:v>
      </x:c>
      <x:c r="D547" s="215" t="str">
        <x:v>Flowers</x:v>
      </x:c>
      <x:c r="E547" s="215" t="str">
        <x:v>Flowers usually bisexual, 5-merous, radially symmetric to weakly bilateral</x:v>
      </x:c>
      <x:c r="F547" s="215" t="str">
        <x:v>Strong</x:v>
      </x:c>
      <x:c r="G547" s="215" t="str">
        <x:v>4</x:v>
      </x:c>
      <x:c r="H547" s="215" t="str">
        <x:v>High</x:v>
      </x:c>
      <x:c r="I547" s="215" t="str">
        <x:v>Naked eye or hand lens</x:v>
      </x:c>
      <x:c r="J547" s="215" t="str">
        <x:v>Fresh flowers</x:v>
      </x:c>
      <x:c r="K547" s="215" t="str">
        <x:v>Five sepals and five petals form the common family pattern.</x:v>
      </x:c>
      <x:c r="L547" s="215" t="str">
        <x:v>Pelargonium can be strongly bilateral and petals may fall.</x:v>
      </x:c>
      <x:c r="M547" s="215" t="str">
        <x:v>Use merosity with stamen number and fruit architecture.</x:v>
      </x:c>
      <x:c r="N547" s="215" t="str">
        <x:v>Wild Geranium and Erodium-type herbs occur in Central Texas lawns, roadsides, prairies, and open woodlands; cultivated Pelargonium should not establish Hays nativity.</x:v>
      </x:c>
      <x:c r="O547" s="215" t="str">
        <x:v>Low</x:v>
      </x:c>
      <x:c r="P547" s="215" t="str">
        <x:v>No</x:v>
      </x:c>
      <x:c r="Q547" s="215" t="str"/>
      <x:c r="R547" s="215" t="str"/>
      <x:c r="S547" s="215" t="str">
        <x:v>APWEB-GERA; POWO-GERA; LBJ-HAYS</x:v>
      </x:c>
      <x:c r="T547" s="215" t="str">
        <x:v>https://www.mobot.org/MOBOT/research/APweb/orders/geranialesweb.htm</x:v>
      </x:c>
      <x:c r="U547" s="215" t="str">
        <x:v>https://powo.science.kew.org/taxon/urn:lsid:ipni.org:names:30001521-2/general-information</x:v>
      </x:c>
      <x:c r="V547" s="215" t="str">
        <x:v>https://powo.science.kew.org/taxon/urn:lsid:ipni.org:names:30001521-2/general-information</x:v>
      </x:c>
      <x:c r="W547"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47" s="215" t="str">
        <x:v>No — retain qualifiers and exceptions</x:v>
      </x:c>
      <x:c r="Y547" s="215" t="str">
        <x:v>Yes</x:v>
      </x:c>
      <x:c r="Z547" s="215" t="str">
        <x:v>Source-backed draft</x:v>
      </x:c>
    </x:row>
    <x:row r="548" ht="42" customHeight="1">
      <x:c r="A548" s="215" t="str">
        <x:v>Geraniaceae</x:v>
      </x:c>
      <x:c r="B548" s="215" t="str">
        <x:v>GER-SEPALS</x:v>
      </x:c>
      <x:c r="C548" s="215" t="str">
        <x:v>Family character</x:v>
      </x:c>
      <x:c r="D548" s="215" t="str">
        <x:v>Calyx</x:v>
      </x:c>
      <x:c r="E548" s="215" t="str">
        <x:v>Sepals 5, usually distinct and persistent; some have a terminal awn</x:v>
      </x:c>
      <x:c r="F548" s="215" t="str">
        <x:v>Moderate</x:v>
      </x:c>
      <x:c r="G548" s="215" t="str">
        <x:v>3</x:v>
      </x:c>
      <x:c r="H548" s="215" t="str">
        <x:v>High</x:v>
      </x:c>
      <x:c r="I548" s="215" t="str">
        <x:v>Naked eye or hand lens</x:v>
      </x:c>
      <x:c r="J548" s="215" t="str">
        <x:v>Flowers or young fruit</x:v>
      </x:c>
      <x:c r="K548" s="215" t="str">
        <x:v>The calyx often remains beneath the developing beaked fruit.</x:v>
      </x:c>
      <x:c r="L548" s="215" t="str">
        <x:v>Awns are not present in every genus and sepals can be obscured by maturity.</x:v>
      </x:c>
      <x:c r="M548" s="215" t="str">
        <x:v>Count intact sepals and note persistence.</x:v>
      </x:c>
      <x:c r="N548" s="215" t="str">
        <x:v>Wild Geranium and Erodium-type herbs occur in Central Texas lawns, roadsides, prairies, and open woodlands; cultivated Pelargonium should not establish Hays nativity.</x:v>
      </x:c>
      <x:c r="O548" s="215" t="str">
        <x:v>Low</x:v>
      </x:c>
      <x:c r="P548" s="215" t="str">
        <x:v>No</x:v>
      </x:c>
      <x:c r="Q548" s="215" t="str"/>
      <x:c r="R548" s="215" t="str"/>
      <x:c r="S548" s="215" t="str">
        <x:v>APWEB-GERA; POWO-GERA; LBJ-HAYS</x:v>
      </x:c>
      <x:c r="T548" s="215" t="str">
        <x:v>https://www.mobot.org/MOBOT/research/APweb/orders/geranialesweb.htm</x:v>
      </x:c>
      <x:c r="U548" s="215" t="str">
        <x:v>https://powo.science.kew.org/taxon/urn:lsid:ipni.org:names:30001521-2/general-information</x:v>
      </x:c>
      <x:c r="V548" s="215" t="str">
        <x:v>https://powo.science.kew.org/taxon/urn:lsid:ipni.org:names:30001521-2/general-information</x:v>
      </x:c>
      <x:c r="W548"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48" s="215" t="str">
        <x:v>No — retain qualifiers and exceptions</x:v>
      </x:c>
      <x:c r="Y548" s="215" t="str">
        <x:v>Yes</x:v>
      </x:c>
      <x:c r="Z548" s="215" t="str">
        <x:v>Source-backed draft</x:v>
      </x:c>
    </x:row>
    <x:row r="549" ht="42" customHeight="1">
      <x:c r="A549" s="215" t="str">
        <x:v>Geraniaceae</x:v>
      </x:c>
      <x:c r="B549" s="215" t="str">
        <x:v>GER-STAMENS</x:v>
      </x:c>
      <x:c r="C549" s="215" t="str">
        <x:v>Family character</x:v>
      </x:c>
      <x:c r="D549" s="215" t="str">
        <x:v>Stamens</x:v>
      </x:c>
      <x:c r="E549" s="215" t="str">
        <x:v>Stamens commonly 10 in two whorls, with some reduced to staminodes in certain genera</x:v>
      </x:c>
      <x:c r="F549" s="215" t="str">
        <x:v>Strong</x:v>
      </x:c>
      <x:c r="G549" s="215" t="str">
        <x:v>4</x:v>
      </x:c>
      <x:c r="H549" s="215" t="str">
        <x:v>High</x:v>
      </x:c>
      <x:c r="I549" s="215" t="str">
        <x:v>Hand lens</x:v>
      </x:c>
      <x:c r="J549" s="215" t="str">
        <x:v>Fresh intact flowers</x:v>
      </x:c>
      <x:c r="K549" s="215" t="str">
        <x:v>Ten positions around a five-parted flower support Geraniaceae.</x:v>
      </x:c>
      <x:c r="L549" s="215" t="str">
        <x:v>Fertile stamen number varies, especially in Erodium and Pelargonium lineages.</x:v>
      </x:c>
      <x:c r="M549" s="215" t="str">
        <x:v>Count both fertile anthers and staminodes; retain genus-level exceptions.</x:v>
      </x:c>
      <x:c r="N549" s="215" t="str">
        <x:v>Wild Geranium and Erodium-type herbs occur in Central Texas lawns, roadsides, prairies, and open woodlands; cultivated Pelargonium should not establish Hays nativity.</x:v>
      </x:c>
      <x:c r="O549" s="215" t="str">
        <x:v>Low</x:v>
      </x:c>
      <x:c r="P549" s="215" t="str">
        <x:v>No</x:v>
      </x:c>
      <x:c r="Q549" s="215" t="str"/>
      <x:c r="R549" s="215" t="str">
        <x:v>GER-LK01; GER-LK02</x:v>
      </x:c>
      <x:c r="S549" s="215" t="str">
        <x:v>APWEB-GERA; POWO-GERA; LBJ-HAYS</x:v>
      </x:c>
      <x:c r="T549" s="215" t="str">
        <x:v>https://www.mobot.org/MOBOT/research/APweb/orders/geranialesweb.htm</x:v>
      </x:c>
      <x:c r="U549" s="215" t="str">
        <x:v>https://powo.science.kew.org/taxon/urn:lsid:ipni.org:names:30001521-2/general-information</x:v>
      </x:c>
      <x:c r="V549" s="215" t="str">
        <x:v>https://powo.science.kew.org/taxon/urn:lsid:ipni.org:names:30001521-2/general-information</x:v>
      </x:c>
      <x:c r="W549"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49" s="215" t="str">
        <x:v>No — retain qualifiers and exceptions</x:v>
      </x:c>
      <x:c r="Y549" s="215" t="str">
        <x:v>Yes</x:v>
      </x:c>
      <x:c r="Z549" s="215" t="str">
        <x:v>Source-backed draft</x:v>
      </x:c>
    </x:row>
    <x:row r="550" ht="42" customHeight="1">
      <x:c r="A550" s="215" t="str">
        <x:v>Geraniaceae</x:v>
      </x:c>
      <x:c r="B550" s="215" t="str">
        <x:v>GER-OVARY</x:v>
      </x:c>
      <x:c r="C550" s="215" t="str">
        <x:v>Family character</x:v>
      </x:c>
      <x:c r="D550" s="215" t="str">
        <x:v>Gynoecium</x:v>
      </x:c>
      <x:c r="E550" s="215" t="str">
        <x:v>Ovary superior, typically 5-locular and 5-carpellate around a central column</x:v>
      </x:c>
      <x:c r="F550" s="215" t="str">
        <x:v>Strong</x:v>
      </x:c>
      <x:c r="G550" s="215" t="str">
        <x:v>4</x:v>
      </x:c>
      <x:c r="H550" s="215" t="str">
        <x:v>High</x:v>
      </x:c>
      <x:c r="I550" s="215" t="str">
        <x:v>Hand lens or dissection</x:v>
      </x:c>
      <x:c r="J550" s="215" t="str">
        <x:v>Fresh flowers</x:v>
      </x:c>
      <x:c r="K550" s="215" t="str">
        <x:v>The ovary is divided into five units that later separate from a central beak.</x:v>
      </x:c>
      <x:c r="L550" s="215" t="str">
        <x:v>Internal locules require dissection before fruiting.</x:v>
      </x:c>
      <x:c r="M550" s="215" t="str">
        <x:v>Use the mature schizocarp when ovary structure is hidden.</x:v>
      </x:c>
      <x:c r="N550" s="215" t="str">
        <x:v>Wild Geranium and Erodium-type herbs occur in Central Texas lawns, roadsides, prairies, and open woodlands; cultivated Pelargonium should not establish Hays nativity.</x:v>
      </x:c>
      <x:c r="O550" s="215" t="str">
        <x:v>Low</x:v>
      </x:c>
      <x:c r="P550" s="215" t="str">
        <x:v>No</x:v>
      </x:c>
      <x:c r="Q550" s="215" t="str"/>
      <x:c r="R550" s="215" t="str"/>
      <x:c r="S550" s="215" t="str">
        <x:v>APWEB-GERA; POWO-GERA; LBJ-HAYS</x:v>
      </x:c>
      <x:c r="T550" s="215" t="str">
        <x:v>https://www.mobot.org/MOBOT/research/APweb/orders/geranialesweb.htm</x:v>
      </x:c>
      <x:c r="U550" s="215" t="str">
        <x:v>https://powo.science.kew.org/taxon/urn:lsid:ipni.org:names:30001521-2/general-information</x:v>
      </x:c>
      <x:c r="V550" s="215" t="str">
        <x:v>https://powo.science.kew.org/taxon/urn:lsid:ipni.org:names:30001521-2/general-information</x:v>
      </x:c>
      <x:c r="W550"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0" s="215" t="str">
        <x:v>No — retain qualifiers and exceptions</x:v>
      </x:c>
      <x:c r="Y550" s="215" t="str">
        <x:v>Yes</x:v>
      </x:c>
      <x:c r="Z550" s="215" t="str">
        <x:v>Source-backed draft</x:v>
      </x:c>
    </x:row>
    <x:row r="551" ht="42" customHeight="1">
      <x:c r="A551" s="215" t="str">
        <x:v>Geraniaceae</x:v>
      </x:c>
      <x:c r="B551" s="215" t="str">
        <x:v>GER-STYLE</x:v>
      </x:c>
      <x:c r="C551" s="215" t="str">
        <x:v>Family character</x:v>
      </x:c>
      <x:c r="D551" s="215" t="str">
        <x:v>Gynoecium</x:v>
      </x:c>
      <x:c r="E551" s="215" t="str">
        <x:v>Five style branches or stigmas associated with an elongating central column</x:v>
      </x:c>
      <x:c r="F551" s="215" t="str">
        <x:v>Strong</x:v>
      </x:c>
      <x:c r="G551" s="215" t="str">
        <x:v>4</x:v>
      </x:c>
      <x:c r="H551" s="215" t="str">
        <x:v>High</x:v>
      </x:c>
      <x:c r="I551" s="215" t="str">
        <x:v>Naked eye or hand lens</x:v>
      </x:c>
      <x:c r="J551" s="215" t="str">
        <x:v>Flowers through young fruit</x:v>
      </x:c>
      <x:c r="K551" s="215" t="str">
        <x:v>The styles contribute to the long beak above the fruitlets.</x:v>
      </x:c>
      <x:c r="L551" s="215" t="str">
        <x:v>Young flowers may not show the final elongation.</x:v>
      </x:c>
      <x:c r="M551" s="215" t="str">
        <x:v>Trace the style column into the developing fruit.</x:v>
      </x:c>
      <x:c r="N551" s="215" t="str">
        <x:v>Wild Geranium and Erodium-type herbs occur in Central Texas lawns, roadsides, prairies, and open woodlands; cultivated Pelargonium should not establish Hays nativity.</x:v>
      </x:c>
      <x:c r="O551" s="215" t="str">
        <x:v>Low</x:v>
      </x:c>
      <x:c r="P551" s="215" t="str">
        <x:v>No</x:v>
      </x:c>
      <x:c r="Q551" s="215" t="str"/>
      <x:c r="R551" s="215" t="str"/>
      <x:c r="S551" s="215" t="str">
        <x:v>APWEB-GERA; POWO-GERA; LBJ-HAYS</x:v>
      </x:c>
      <x:c r="T551" s="215" t="str">
        <x:v>https://www.mobot.org/MOBOT/research/APweb/orders/geranialesweb.htm</x:v>
      </x:c>
      <x:c r="U551" s="215" t="str">
        <x:v>https://powo.science.kew.org/taxon/urn:lsid:ipni.org:names:30001521-2/general-information</x:v>
      </x:c>
      <x:c r="V551" s="215" t="str">
        <x:v>https://powo.science.kew.org/taxon/urn:lsid:ipni.org:names:30001521-2/general-information</x:v>
      </x:c>
      <x:c r="W551"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1" s="215" t="str">
        <x:v>No — retain qualifiers and exceptions</x:v>
      </x:c>
      <x:c r="Y551" s="215" t="str">
        <x:v>Yes</x:v>
      </x:c>
      <x:c r="Z551" s="215" t="str">
        <x:v>Source-backed draft</x:v>
      </x:c>
    </x:row>
    <x:row r="552" ht="42" customHeight="1">
      <x:c r="A552" s="215" t="str">
        <x:v>Geraniaceae</x:v>
      </x:c>
      <x:c r="B552" s="215" t="str">
        <x:v>GER-FRUIT</x:v>
      </x:c>
      <x:c r="C552" s="215" t="str">
        <x:v>Family character</x:v>
      </x:c>
      <x:c r="D552" s="215" t="str">
        <x:v>Fruit</x:v>
      </x:c>
      <x:c r="E552" s="215" t="str">
        <x:v>Fruit a beaked schizocarp splitting into usually 5 one-seeded mericarps</x:v>
      </x:c>
      <x:c r="F552" s="215" t="str">
        <x:v>Strong</x:v>
      </x:c>
      <x:c r="G552" s="215" t="str">
        <x:v>5</x:v>
      </x:c>
      <x:c r="H552" s="215" t="str">
        <x:v>High</x:v>
      </x:c>
      <x:c r="I552" s="215" t="str">
        <x:v>Naked eye or hand lens</x:v>
      </x:c>
      <x:c r="J552" s="215" t="str">
        <x:v>Mature fruit</x:v>
      </x:c>
      <x:c r="K552" s="215" t="str">
        <x:v>The long crane- or stork-bill fruit is the strongest family clue.</x:v>
      </x:c>
      <x:c r="L552" s="215" t="str">
        <x:v>Beaks coil, twist, or spring differently among genera; immature fruits may be short.</x:v>
      </x:c>
      <x:c r="M552" s="215" t="str">
        <x:v>Prioritize mature fruit and count mericarps.</x:v>
      </x:c>
      <x:c r="N552" s="215" t="str">
        <x:v>Wild Geranium and Erodium-type herbs occur in Central Texas lawns, roadsides, prairies, and open woodlands; cultivated Pelargonium should not establish Hays nativity.</x:v>
      </x:c>
      <x:c r="O552" s="215" t="str">
        <x:v>Low</x:v>
      </x:c>
      <x:c r="P552" s="215" t="str">
        <x:v>No</x:v>
      </x:c>
      <x:c r="Q552" s="215" t="str"/>
      <x:c r="R552" s="215" t="str">
        <x:v>GER-LK01; GER-LK02</x:v>
      </x:c>
      <x:c r="S552" s="215" t="str">
        <x:v>APWEB-GERA; POWO-GERA; LBJ-HAYS</x:v>
      </x:c>
      <x:c r="T552" s="215" t="str">
        <x:v>https://www.mobot.org/MOBOT/research/APweb/orders/geranialesweb.htm</x:v>
      </x:c>
      <x:c r="U552" s="215" t="str">
        <x:v>https://powo.science.kew.org/taxon/urn:lsid:ipni.org:names:30001521-2/general-information</x:v>
      </x:c>
      <x:c r="V552" s="215" t="str">
        <x:v>https://powo.science.kew.org/taxon/urn:lsid:ipni.org:names:30001521-2/general-information</x:v>
      </x:c>
      <x:c r="W552"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2" s="215" t="str">
        <x:v>No — retain qualifiers and exceptions</x:v>
      </x:c>
      <x:c r="Y552" s="215" t="str">
        <x:v>Yes</x:v>
      </x:c>
      <x:c r="Z552" s="215" t="str">
        <x:v>Source-backed draft</x:v>
      </x:c>
    </x:row>
    <x:row r="553" ht="42" customHeight="1">
      <x:c r="A553" s="215" t="str">
        <x:v>Geraniaceae</x:v>
      </x:c>
      <x:c r="B553" s="215" t="str">
        <x:v>GER-SEEDS</x:v>
      </x:c>
      <x:c r="C553" s="215" t="str">
        <x:v>Family character</x:v>
      </x:c>
      <x:c r="D553" s="215" t="str">
        <x:v>Seeds / dispersal</x:v>
      </x:c>
      <x:c r="E553" s="215" t="str">
        <x:v>Each mericarp usually contains one seed and separates elastically or by hygroscopic awns</x:v>
      </x:c>
      <x:c r="F553" s="215" t="str">
        <x:v>Supporting</x:v>
      </x:c>
      <x:c r="G553" s="215" t="str">
        <x:v>2</x:v>
      </x:c>
      <x:c r="H553" s="215" t="str">
        <x:v>High</x:v>
      </x:c>
      <x:c r="I553" s="215" t="str">
        <x:v>Naked eye or hand lens</x:v>
      </x:c>
      <x:c r="J553" s="215" t="str">
        <x:v>Mature dry fruit</x:v>
      </x:c>
      <x:c r="K553" s="215" t="str">
        <x:v>The five fruitlets disperse separately from the central column.</x:v>
      </x:c>
      <x:c r="L553" s="215" t="str">
        <x:v>Dispersal mechanism is not equally visible in all genera.</x:v>
      </x:c>
      <x:c r="M553" s="215" t="str">
        <x:v>Use fruitlets as confirmation, not as a stand-alone vegetative test.</x:v>
      </x:c>
      <x:c r="N553" s="215" t="str">
        <x:v>Wild Geranium and Erodium-type herbs occur in Central Texas lawns, roadsides, prairies, and open woodlands; cultivated Pelargonium should not establish Hays nativity.</x:v>
      </x:c>
      <x:c r="O553" s="215" t="str">
        <x:v>Low</x:v>
      </x:c>
      <x:c r="P553" s="215" t="str">
        <x:v>No</x:v>
      </x:c>
      <x:c r="Q553" s="215" t="str"/>
      <x:c r="R553" s="215" t="str"/>
      <x:c r="S553" s="215" t="str">
        <x:v>APWEB-GERA; POWO-GERA; LBJ-HAYS</x:v>
      </x:c>
      <x:c r="T553" s="215" t="str">
        <x:v>https://www.mobot.org/MOBOT/research/APweb/orders/geranialesweb.htm</x:v>
      </x:c>
      <x:c r="U553" s="215" t="str">
        <x:v>https://powo.science.kew.org/taxon/urn:lsid:ipni.org:names:30001521-2/general-information</x:v>
      </x:c>
      <x:c r="V553" s="215" t="str">
        <x:v>https://powo.science.kew.org/taxon/urn:lsid:ipni.org:names:30001521-2/general-information</x:v>
      </x:c>
      <x:c r="W553"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3" s="215" t="str">
        <x:v>No — retain qualifiers and exceptions</x:v>
      </x:c>
      <x:c r="Y553" s="215" t="str">
        <x:v>Yes</x:v>
      </x:c>
      <x:c r="Z553" s="215" t="str">
        <x:v>Source-backed draft</x:v>
      </x:c>
    </x:row>
    <x:row r="554" ht="42" customHeight="1">
      <x:c r="A554" s="215" t="str">
        <x:v>Geraniaceae</x:v>
      </x:c>
      <x:c r="B554" s="215" t="str">
        <x:v>GER-LK01</x:v>
      </x:c>
      <x:c r="C554" s="215" t="str">
        <x:v>Lookalike comparison</x:v>
      </x:c>
      <x:c r="D554" s="215" t="str">
        <x:v>Lookalike</x:v>
      </x:c>
      <x:c r="E554" s="215" t="str">
        <x:v>Versus Oxalidaceae: a long-beaked 5-parted schizocarp favors Geraniaceae; a non-beaked capsule and commonly trifoliolate shamrock leaves favor Oxalidaceae</x:v>
      </x:c>
      <x:c r="F554" s="215" t="str">
        <x:v>Lookalike</x:v>
      </x:c>
      <x:c r="G554" s="215" t="str">
        <x:v>5</x:v>
      </x:c>
      <x:c r="H554" s="215" t="str">
        <x:v>High</x:v>
      </x:c>
      <x:c r="I554" s="215" t="str">
        <x:v>Naked eye or hand lens</x:v>
      </x:c>
      <x:c r="J554" s="215" t="str">
        <x:v>Flowers and mature fruit</x:v>
      </x:c>
      <x:c r="K554" s="215" t="str">
        <x:v>Both can have five petals and ten stamens.</x:v>
      </x:c>
      <x:c r="L554" s="215" t="str">
        <x:v>Sterile or flowering-only plants require leaf and ovary details.</x:v>
      </x:c>
      <x:c r="M554" s="215" t="str">
        <x:v>Use mature fruit whenever possible; this supplies the reciprocal comparison for OXA-LK02.</x:v>
      </x:c>
      <x:c r="N554" s="215" t="str">
        <x:v>Wild Geranium and Erodium-type herbs occur in Central Texas lawns, roadsides, prairies, and open woodlands; cultivated Pelargonium should not establish Hays nativity.</x:v>
      </x:c>
      <x:c r="O554" s="215" t="str">
        <x:v>Low</x:v>
      </x:c>
      <x:c r="P554" s="215" t="str">
        <x:v>No</x:v>
      </x:c>
      <x:c r="Q554" s="215" t="str"/>
      <x:c r="R554" s="215" t="str">
        <x:v>GER-LEAVES; GER-STAMENS; GER-FRUIT</x:v>
      </x:c>
      <x:c r="S554" s="215" t="str">
        <x:v>APWEB-GERA; POWO-GERA; LBJ-HAYS</x:v>
      </x:c>
      <x:c r="T554" s="215" t="str">
        <x:v>https://www.mobot.org/MOBOT/research/APweb/orders/geranialesweb.htm</x:v>
      </x:c>
      <x:c r="U554" s="215" t="str">
        <x:v>https://powo.science.kew.org/taxon/urn:lsid:ipni.org:names:30001521-2/general-information</x:v>
      </x:c>
      <x:c r="V554" s="215" t="str">
        <x:v>https://powo.science.kew.org/taxon/urn:lsid:ipni.org:names:30001521-2/general-information</x:v>
      </x:c>
      <x:c r="W554"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4" s="215" t="str">
        <x:v>No — retain qualifiers and exceptions</x:v>
      </x:c>
      <x:c r="Y554" s="215" t="str">
        <x:v>Yes</x:v>
      </x:c>
      <x:c r="Z554" s="215" t="str">
        <x:v>Source-backed draft</x:v>
      </x:c>
    </x:row>
    <x:row r="555" ht="42" customHeight="1">
      <x:c r="A555" s="215" t="str">
        <x:v>Geraniaceae</x:v>
      </x:c>
      <x:c r="B555" s="215" t="str">
        <x:v>GER-LK02</x:v>
      </x:c>
      <x:c r="C555" s="215" t="str">
        <x:v>Lookalike comparison</x:v>
      </x:c>
      <x:c r="D555" s="215" t="str">
        <x:v>Lookalike</x:v>
      </x:c>
      <x:c r="E555" s="215" t="str">
        <x:v>Versus Malvaceae: a beaked schizocarp and separate stamens favor Geraniaceae; a staminal column plus stellate hairs or mucilage favors many Malvaceae</x:v>
      </x:c>
      <x:c r="F555" s="215" t="str">
        <x:v>Lookalike</x:v>
      </x:c>
      <x:c r="G555" s="215" t="str">
        <x:v>5</x:v>
      </x:c>
      <x:c r="H555" s="215" t="str">
        <x:v>High</x:v>
      </x:c>
      <x:c r="I555" s="215" t="str">
        <x:v>Naked eye or hand lens</x:v>
      </x:c>
      <x:c r="J555" s="215" t="str">
        <x:v>Fresh flowers or mature fruit</x:v>
      </x:c>
      <x:c r="K555" s="215" t="str">
        <x:v>Both may be stipulate herbs with five petals and divided leaves.</x:v>
      </x:c>
      <x:c r="L555" s="215" t="str">
        <x:v>Some Malvaceae lack obvious stellate hairs and fruit forms vary.</x:v>
      </x:c>
      <x:c r="M555" s="215" t="str">
        <x:v>Inspect the stamen bases and mature fruit.</x:v>
      </x:c>
      <x:c r="N555" s="215" t="str">
        <x:v>Wild Geranium and Erodium-type herbs occur in Central Texas lawns, roadsides, prairies, and open woodlands; cultivated Pelargonium should not establish Hays nativity.</x:v>
      </x:c>
      <x:c r="O555" s="215" t="str">
        <x:v>Low</x:v>
      </x:c>
      <x:c r="P555" s="215" t="str">
        <x:v>No</x:v>
      </x:c>
      <x:c r="Q555" s="215" t="str"/>
      <x:c r="R555" s="215" t="str">
        <x:v>GER-LEAVES; GER-STAMENS; GER-FRUIT</x:v>
      </x:c>
      <x:c r="S555" s="215" t="str">
        <x:v>APWEB-GERA; POWO-GERA; LBJ-HAYS</x:v>
      </x:c>
      <x:c r="T555" s="215" t="str">
        <x:v>https://www.mobot.org/MOBOT/research/APweb/orders/geranialesweb.htm</x:v>
      </x:c>
      <x:c r="U555" s="215" t="str">
        <x:v>https://powo.science.kew.org/taxon/urn:lsid:ipni.org:names:30001521-2/general-information</x:v>
      </x:c>
      <x:c r="V555" s="215" t="str">
        <x:v>https://powo.science.kew.org/taxon/urn:lsid:ipni.org:names:30001521-2/general-information</x:v>
      </x:c>
      <x:c r="W555"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5" s="215" t="str">
        <x:v>No — retain qualifiers and exceptions</x:v>
      </x:c>
      <x:c r="Y555" s="215" t="str">
        <x:v>Yes</x:v>
      </x:c>
      <x:c r="Z555" s="215" t="str">
        <x:v>Source-backed draft</x:v>
      </x:c>
    </x:row>
    <x:row r="556" ht="42" customHeight="1">
      <x:c r="A556" s="215" t="str">
        <x:v>Vitaceae</x:v>
      </x:c>
      <x:c r="B556" s="215" t="str">
        <x:v>VIT-HABIT</x:v>
      </x:c>
      <x:c r="C556" s="215" t="str">
        <x:v>Family character</x:v>
      </x:c>
      <x:c r="D556" s="215" t="str">
        <x:v>Habit</x:v>
      </x:c>
      <x:c r="E556" s="215" t="str">
        <x:v>Woody or herbaceous vines, sometimes shrubs, commonly climbing by tendrils</x:v>
      </x:c>
      <x:c r="F556" s="215" t="str">
        <x:v>Strong</x:v>
      </x:c>
      <x:c r="G556" s="215" t="str">
        <x:v>3</x:v>
      </x:c>
      <x:c r="H556" s="215" t="str">
        <x:v>High</x:v>
      </x:c>
      <x:c r="I556" s="215" t="str">
        <x:v>Naked eye or hand lens</x:v>
      </x:c>
      <x:c r="J556" s="215" t="str">
        <x:v>Any active growth</x:v>
      </x:c>
      <x:c r="K556" s="215" t="str">
        <x:v>A vine with true tendrils is the usual regional presentation.</x:v>
      </x:c>
      <x:c r="L556" s="215" t="str">
        <x:v>Some species sprawl or have reduced tendrils.</x:v>
      </x:c>
      <x:c r="M556" s="215" t="str">
        <x:v>Use habit together with node position and fruit.</x:v>
      </x:c>
      <x:c r="N556" s="215" t="str">
        <x:v>Native grapes and related vines are conspicuous in Hays riparian corridors, thickets, fence lines, and woodland edges.</x:v>
      </x:c>
      <x:c r="O556" s="215" t="str">
        <x:v>Low</x:v>
      </x:c>
      <x:c r="P556" s="215" t="str">
        <x:v>No</x:v>
      </x:c>
      <x:c r="Q556" s="215" t="str"/>
      <x:c r="R556" s="215" t="str"/>
      <x:c r="S556" s="215" t="str">
        <x:v>APWEB-VITA; FNA-VITA; POWO-VITA; LBJ-HAYS</x:v>
      </x:c>
      <x:c r="T556" s="215" t="str">
        <x:v>https://www.mobot.org/MOBOT/research/APweb/orders/vitalesweb.htm</x:v>
      </x:c>
      <x:c r="U556" s="215" t="str">
        <x:v>https://floranorthamerica.org/Vitaceae</x:v>
      </x:c>
      <x:c r="V556" s="215" t="str">
        <x:v>https://powo.science.kew.org/taxon/urn:lsid:ipni.org:names:30000067-2/general-information</x:v>
      </x:c>
      <x:c r="W556" s="215" t="str">
        <x:v>https://www.mobot.org/MOBOT/research/APweb/orders/vitalesweb.htm
https://floranorthamerica.org/Vitaceae
https://powo.science.kew.org/taxon/urn:lsid:ipni.org:names:30000067-2/general-information
https://www.wildflower.org/collections/collection.php?collection=hays</x:v>
      </x:c>
      <x:c r="X556" s="215" t="str">
        <x:v>No — retain qualifiers and exceptions</x:v>
      </x:c>
      <x:c r="Y556" s="215" t="str">
        <x:v>Yes</x:v>
      </x:c>
      <x:c r="Z556" s="215" t="str">
        <x:v>Source-backed draft</x:v>
      </x:c>
    </x:row>
    <x:row r="557" ht="42" customHeight="1">
      <x:c r="A557" s="215" t="str">
        <x:v>Vitaceae</x:v>
      </x:c>
      <x:c r="B557" s="215" t="str">
        <x:v>VIT-TENDRILS</x:v>
      </x:c>
      <x:c r="C557" s="215" t="str">
        <x:v>Family character</x:v>
      </x:c>
      <x:c r="D557" s="215" t="str">
        <x:v>Stems / tendrils</x:v>
      </x:c>
      <x:c r="E557" s="215" t="str">
        <x:v>Tendrils arise opposite leaves and may be simple, branched, or adhesive-tipped</x:v>
      </x:c>
      <x:c r="F557" s="215" t="str">
        <x:v>Strong</x:v>
      </x:c>
      <x:c r="G557" s="215" t="str">
        <x:v>5</x:v>
      </x:c>
      <x:c r="H557" s="215" t="str">
        <x:v>High</x:v>
      </x:c>
      <x:c r="I557" s="215" t="str">
        <x:v>Naked eye or hand lens</x:v>
      </x:c>
      <x:c r="J557" s="215" t="str">
        <x:v>Actively growing shoots</x:v>
      </x:c>
      <x:c r="K557" s="215" t="str">
        <x:v>Leaf-opposed tendrils are one of the best grape-family clues.</x:v>
      </x:c>
      <x:c r="L557" s="215" t="str">
        <x:v>Tendrils can be absent at some nodes or in some taxa.</x:v>
      </x:c>
      <x:c r="M557" s="215" t="str">
        <x:v>Follow several nodes and distinguish tendrils from axillary shoots.</x:v>
      </x:c>
      <x:c r="N557" s="215" t="str">
        <x:v>Native grapes and related vines are conspicuous in Hays riparian corridors, thickets, fence lines, and woodland edges.</x:v>
      </x:c>
      <x:c r="O557" s="215" t="str">
        <x:v>Low</x:v>
      </x:c>
      <x:c r="P557" s="215" t="str">
        <x:v>No</x:v>
      </x:c>
      <x:c r="Q557" s="215" t="str"/>
      <x:c r="R557" s="215" t="str">
        <x:v>VIT-LK01; VIT-LK02</x:v>
      </x:c>
      <x:c r="S557" s="215" t="str">
        <x:v>APWEB-VITA; FNA-VITA; POWO-VITA; LBJ-HAYS</x:v>
      </x:c>
      <x:c r="T557" s="215" t="str">
        <x:v>https://www.mobot.org/MOBOT/research/APweb/orders/vitalesweb.htm</x:v>
      </x:c>
      <x:c r="U557" s="215" t="str">
        <x:v>https://floranorthamerica.org/Vitaceae</x:v>
      </x:c>
      <x:c r="V557" s="215" t="str">
        <x:v>https://powo.science.kew.org/taxon/urn:lsid:ipni.org:names:30000067-2/general-information</x:v>
      </x:c>
      <x:c r="W557" s="215" t="str">
        <x:v>https://www.mobot.org/MOBOT/research/APweb/orders/vitalesweb.htm
https://floranorthamerica.org/Vitaceae
https://powo.science.kew.org/taxon/urn:lsid:ipni.org:names:30000067-2/general-information
https://www.wildflower.org/collections/collection.php?collection=hays</x:v>
      </x:c>
      <x:c r="X557" s="215" t="str">
        <x:v>No — retain qualifiers and exceptions</x:v>
      </x:c>
      <x:c r="Y557" s="215" t="str">
        <x:v>Yes</x:v>
      </x:c>
      <x:c r="Z557" s="215" t="str">
        <x:v>Source-backed draft</x:v>
      </x:c>
    </x:row>
    <x:row r="558" ht="42" customHeight="1">
      <x:c r="A558" s="215" t="str">
        <x:v>Vitaceae</x:v>
      </x:c>
      <x:c r="B558" s="215" t="str">
        <x:v>VIT-LEAVES</x:v>
      </x:c>
      <x:c r="C558" s="215" t="str">
        <x:v>Family character</x:v>
      </x:c>
      <x:c r="D558" s="215" t="str">
        <x:v>Leaves / stipules</x:v>
      </x:c>
      <x:c r="E558" s="215" t="str">
        <x:v>Leaves alternate, usually stipulate, simple or compound, often palmately veined or lobed</x:v>
      </x:c>
      <x:c r="F558" s="215" t="str">
        <x:v>Strong</x:v>
      </x:c>
      <x:c r="G558" s="215" t="str">
        <x:v>3</x:v>
      </x:c>
      <x:c r="H558" s="215" t="str">
        <x:v>High</x:v>
      </x:c>
      <x:c r="I558" s="215" t="str">
        <x:v>Naked eye or hand lens</x:v>
      </x:c>
      <x:c r="J558" s="215" t="str">
        <x:v>Leafy shoots</x:v>
      </x:c>
      <x:c r="K558" s="215" t="str">
        <x:v>Grape-family foliage is variable but usually alternates along tendrilled stems.</x:v>
      </x:c>
      <x:c r="L558" s="215" t="str">
        <x:v>Leaf form alone is unreliable and stipules may fall.</x:v>
      </x:c>
      <x:c r="M558" s="215" t="str">
        <x:v>Use leaf arrangement only with tendril and inflorescence position.</x:v>
      </x:c>
      <x:c r="N558" s="215" t="str">
        <x:v>Native grapes and related vines are conspicuous in Hays riparian corridors, thickets, fence lines, and woodland edges.</x:v>
      </x:c>
      <x:c r="O558" s="215" t="str">
        <x:v>Low</x:v>
      </x:c>
      <x:c r="P558" s="215" t="str">
        <x:v>No</x:v>
      </x:c>
      <x:c r="Q558" s="215" t="str"/>
      <x:c r="R558" s="215" t="str"/>
      <x:c r="S558" s="215" t="str">
        <x:v>APWEB-VITA; FNA-VITA; POWO-VITA; LBJ-HAYS</x:v>
      </x:c>
      <x:c r="T558" s="215" t="str">
        <x:v>https://www.mobot.org/MOBOT/research/APweb/orders/vitalesweb.htm</x:v>
      </x:c>
      <x:c r="U558" s="215" t="str">
        <x:v>https://floranorthamerica.org/Vitaceae</x:v>
      </x:c>
      <x:c r="V558" s="215" t="str">
        <x:v>https://powo.science.kew.org/taxon/urn:lsid:ipni.org:names:30000067-2/general-information</x:v>
      </x:c>
      <x:c r="W558" s="215" t="str">
        <x:v>https://www.mobot.org/MOBOT/research/APweb/orders/vitalesweb.htm
https://floranorthamerica.org/Vitaceae
https://powo.science.kew.org/taxon/urn:lsid:ipni.org:names:30000067-2/general-information
https://www.wildflower.org/collections/collection.php?collection=hays</x:v>
      </x:c>
      <x:c r="X558" s="215" t="str">
        <x:v>No — retain qualifiers and exceptions</x:v>
      </x:c>
      <x:c r="Y558" s="215" t="str">
        <x:v>Yes</x:v>
      </x:c>
      <x:c r="Z558" s="215" t="str">
        <x:v>Source-backed draft</x:v>
      </x:c>
    </x:row>
    <x:row r="559" ht="42" customHeight="1">
      <x:c r="A559" s="215" t="str">
        <x:v>Vitaceae</x:v>
      </x:c>
      <x:c r="B559" s="215" t="str">
        <x:v>VIT-INFLO</x:v>
      </x:c>
      <x:c r="C559" s="215" t="str">
        <x:v>Family character</x:v>
      </x:c>
      <x:c r="D559" s="215" t="str">
        <x:v>Inflorescence</x:v>
      </x:c>
      <x:c r="E559" s="215" t="str">
        <x:v>Inflorescences commonly arise opposite leaves, like the tendrils</x:v>
      </x:c>
      <x:c r="F559" s="215" t="str">
        <x:v>Strong</x:v>
      </x:c>
      <x:c r="G559" s="215" t="str">
        <x:v>5</x:v>
      </x:c>
      <x:c r="H559" s="215" t="str">
        <x:v>High</x:v>
      </x:c>
      <x:c r="I559" s="215" t="str">
        <x:v>Naked eye or hand lens</x:v>
      </x:c>
      <x:c r="J559" s="215" t="str">
        <x:v>Flowering or fruiting shoots</x:v>
      </x:c>
      <x:c r="K559" s="215" t="str">
        <x:v>Flower clusters occupy the same characteristic nodal position as tendrils.</x:v>
      </x:c>
      <x:c r="L559" s="215" t="str">
        <x:v>Position can be obscured on crowded or damaged shoots.</x:v>
      </x:c>
      <x:c r="M559" s="215" t="str">
        <x:v>Trace the cluster stalk back to the node.</x:v>
      </x:c>
      <x:c r="N559" s="215" t="str">
        <x:v>Native grapes and related vines are conspicuous in Hays riparian corridors, thickets, fence lines, and woodland edges.</x:v>
      </x:c>
      <x:c r="O559" s="215" t="str">
        <x:v>Low</x:v>
      </x:c>
      <x:c r="P559" s="215" t="str">
        <x:v>No</x:v>
      </x:c>
      <x:c r="Q559" s="215" t="str"/>
      <x:c r="R559" s="215" t="str">
        <x:v>VIT-LK01</x:v>
      </x:c>
      <x:c r="S559" s="215" t="str">
        <x:v>APWEB-VITA; FNA-VITA; POWO-VITA; LBJ-HAYS</x:v>
      </x:c>
      <x:c r="T559" s="215" t="str">
        <x:v>https://www.mobot.org/MOBOT/research/APweb/orders/vitalesweb.htm</x:v>
      </x:c>
      <x:c r="U559" s="215" t="str">
        <x:v>https://floranorthamerica.org/Vitaceae</x:v>
      </x:c>
      <x:c r="V559" s="215" t="str">
        <x:v>https://powo.science.kew.org/taxon/urn:lsid:ipni.org:names:30000067-2/general-information</x:v>
      </x:c>
      <x:c r="W559" s="215" t="str">
        <x:v>https://www.mobot.org/MOBOT/research/APweb/orders/vitalesweb.htm
https://floranorthamerica.org/Vitaceae
https://powo.science.kew.org/taxon/urn:lsid:ipni.org:names:30000067-2/general-information
https://www.wildflower.org/collections/collection.php?collection=hays</x:v>
      </x:c>
      <x:c r="X559" s="215" t="str">
        <x:v>No — retain qualifiers and exceptions</x:v>
      </x:c>
      <x:c r="Y559" s="215" t="str">
        <x:v>Yes</x:v>
      </x:c>
      <x:c r="Z559" s="215" t="str">
        <x:v>Source-backed draft</x:v>
      </x:c>
    </x:row>
    <x:row r="560" ht="42" customHeight="1">
      <x:c r="A560" s="215" t="str">
        <x:v>Vitaceae</x:v>
      </x:c>
      <x:c r="B560" s="215" t="str">
        <x:v>VIT-FLOWER</x:v>
      </x:c>
      <x:c r="C560" s="215" t="str">
        <x:v>Family character</x:v>
      </x:c>
      <x:c r="D560" s="215" t="str">
        <x:v>Flowers</x:v>
      </x:c>
      <x:c r="E560" s="215" t="str">
        <x:v>Flowers small, usually 4- or 5-merous, radial, bisexual or functionally unisexual</x:v>
      </x:c>
      <x:c r="F560" s="215" t="str">
        <x:v>Strong</x:v>
      </x:c>
      <x:c r="G560" s="215" t="str">
        <x:v>3</x:v>
      </x:c>
      <x:c r="H560" s="215" t="str">
        <x:v>High</x:v>
      </x:c>
      <x:c r="I560" s="215" t="str">
        <x:v>Hand lens</x:v>
      </x:c>
      <x:c r="J560" s="215" t="str">
        <x:v>Fresh flowers</x:v>
      </x:c>
      <x:c r="K560" s="215" t="str">
        <x:v>The flowers are tiny and regular rather than showy vine flowers.</x:v>
      </x:c>
      <x:c r="L560" s="215" t="str">
        <x:v>Sex expression and part number vary among genera.</x:v>
      </x:c>
      <x:c r="M560" s="215" t="str">
        <x:v>Count parts under a hand lens and combine with the disc.</x:v>
      </x:c>
      <x:c r="N560" s="215" t="str">
        <x:v>Native grapes and related vines are conspicuous in Hays riparian corridors, thickets, fence lines, and woodland edges.</x:v>
      </x:c>
      <x:c r="O560" s="215" t="str">
        <x:v>Low</x:v>
      </x:c>
      <x:c r="P560" s="215" t="str">
        <x:v>No</x:v>
      </x:c>
      <x:c r="Q560" s="215" t="str"/>
      <x:c r="R560" s="215" t="str"/>
      <x:c r="S560" s="215" t="str">
        <x:v>APWEB-VITA; FNA-VITA; POWO-VITA; LBJ-HAYS</x:v>
      </x:c>
      <x:c r="T560" s="215" t="str">
        <x:v>https://www.mobot.org/MOBOT/research/APweb/orders/vitalesweb.htm</x:v>
      </x:c>
      <x:c r="U560" s="215" t="str">
        <x:v>https://floranorthamerica.org/Vitaceae</x:v>
      </x:c>
      <x:c r="V560" s="215" t="str">
        <x:v>https://powo.science.kew.org/taxon/urn:lsid:ipni.org:names:30000067-2/general-information</x:v>
      </x:c>
      <x:c r="W560" s="215" t="str">
        <x:v>https://www.mobot.org/MOBOT/research/APweb/orders/vitalesweb.htm
https://floranorthamerica.org/Vitaceae
https://powo.science.kew.org/taxon/urn:lsid:ipni.org:names:30000067-2/general-information
https://www.wildflower.org/collections/collection.php?collection=hays</x:v>
      </x:c>
      <x:c r="X560" s="215" t="str">
        <x:v>No — retain qualifiers and exceptions</x:v>
      </x:c>
      <x:c r="Y560" s="215" t="str">
        <x:v>Yes</x:v>
      </x:c>
      <x:c r="Z560" s="215" t="str">
        <x:v>Source-backed draft</x:v>
      </x:c>
    </x:row>
    <x:row r="561" ht="42" customHeight="1">
      <x:c r="A561" s="215" t="str">
        <x:v>Vitaceae</x:v>
      </x:c>
      <x:c r="B561" s="215" t="str">
        <x:v>VIT-PETALS</x:v>
      </x:c>
      <x:c r="C561" s="215" t="str">
        <x:v>Family character with genus-level qualifier</x:v>
      </x:c>
      <x:c r="D561" s="215" t="str">
        <x:v>Corolla</x:v>
      </x:c>
      <x:c r="E561" s="215" t="str">
        <x:v>Petals separate or joined; in Vitis they detach together as a cap</x:v>
      </x:c>
      <x:c r="F561" s="215" t="str">
        <x:v>Strong</x:v>
      </x:c>
      <x:c r="G561" s="215" t="str">
        <x:v>3</x:v>
      </x:c>
      <x:c r="H561" s="215" t="str">
        <x:v>High</x:v>
      </x:c>
      <x:c r="I561" s="215" t="str">
        <x:v>Hand lens</x:v>
      </x:c>
      <x:c r="J561" s="215" t="str">
        <x:v>Fresh flowers at anthesis</x:v>
      </x:c>
      <x:c r="K561" s="215" t="str">
        <x:v>Wild grape flowers shed a small petal cap rather than opening into a broad corolla.</x:v>
      </x:c>
      <x:c r="L561" s="215" t="str">
        <x:v>The calyptra is diagnostic for Vitis, not universal across Vitaceae.</x:v>
      </x:c>
      <x:c r="M561" s="215" t="str">
        <x:v>Apply this as a genus-supporting character within the family suite.</x:v>
      </x:c>
      <x:c r="N561" s="215" t="str">
        <x:v>Native grapes and related vines are conspicuous in Hays riparian corridors, thickets, fence lines, and woodland edges.</x:v>
      </x:c>
      <x:c r="O561" s="215" t="str">
        <x:v>Low</x:v>
      </x:c>
      <x:c r="P561" s="215" t="str">
        <x:v>No</x:v>
      </x:c>
      <x:c r="Q561" s="215" t="str"/>
      <x:c r="R561" s="215" t="str"/>
      <x:c r="S561" s="215" t="str">
        <x:v>APWEB-VITA; FNA-VITA; POWO-VITA; LBJ-HAYS</x:v>
      </x:c>
      <x:c r="T561" s="215" t="str">
        <x:v>https://www.mobot.org/MOBOT/research/APweb/orders/vitalesweb.htm</x:v>
      </x:c>
      <x:c r="U561" s="215" t="str">
        <x:v>https://floranorthamerica.org/Vitaceae</x:v>
      </x:c>
      <x:c r="V561" s="215" t="str">
        <x:v>https://powo.science.kew.org/taxon/urn:lsid:ipni.org:names:30000067-2/general-information</x:v>
      </x:c>
      <x:c r="W561" s="215" t="str">
        <x:v>https://www.mobot.org/MOBOT/research/APweb/orders/vitalesweb.htm
https://floranorthamerica.org/Vitaceae
https://powo.science.kew.org/taxon/urn:lsid:ipni.org:names:30000067-2/general-information
https://www.wildflower.org/collections/collection.php?collection=hays</x:v>
      </x:c>
      <x:c r="X561" s="215" t="str">
        <x:v>No — retain qualifiers and exceptions</x:v>
      </x:c>
      <x:c r="Y561" s="215" t="str">
        <x:v>Yes</x:v>
      </x:c>
      <x:c r="Z561" s="215" t="str">
        <x:v>Source-backed draft</x:v>
      </x:c>
    </x:row>
    <x:row r="562" ht="42" customHeight="1">
      <x:c r="A562" s="215" t="str">
        <x:v>Vitaceae</x:v>
      </x:c>
      <x:c r="B562" s="215" t="str">
        <x:v>VIT-DISC</x:v>
      </x:c>
      <x:c r="C562" s="215" t="str">
        <x:v>Family character</x:v>
      </x:c>
      <x:c r="D562" s="215" t="str">
        <x:v>Flowers / nectar disc</x:v>
      </x:c>
      <x:c r="E562" s="215" t="str">
        <x:v>A conspicuous nectar disc is present around the ovary, often with 4–5 lobes or glands</x:v>
      </x:c>
      <x:c r="F562" s="215" t="str">
        <x:v>Strong</x:v>
      </x:c>
      <x:c r="G562" s="215" t="str">
        <x:v>4</x:v>
      </x:c>
      <x:c r="H562" s="215" t="str">
        <x:v>High</x:v>
      </x:c>
      <x:c r="I562" s="215" t="str">
        <x:v>Hand lens</x:v>
      </x:c>
      <x:c r="J562" s="215" t="str">
        <x:v>Fresh flowers</x:v>
      </x:c>
      <x:c r="K562" s="215" t="str">
        <x:v>The floral center usually has a fleshy nectar-producing ring.</x:v>
      </x:c>
      <x:c r="L562" s="215" t="str">
        <x:v>Disc form varies and tiny flowers require magnification.</x:v>
      </x:c>
      <x:c r="M562" s="215" t="str">
        <x:v>Use disc shape with petal and stamen counts.</x:v>
      </x:c>
      <x:c r="N562" s="215" t="str">
        <x:v>Native grapes and related vines are conspicuous in Hays riparian corridors, thickets, fence lines, and woodland edges.</x:v>
      </x:c>
      <x:c r="O562" s="215" t="str">
        <x:v>Low</x:v>
      </x:c>
      <x:c r="P562" s="215" t="str">
        <x:v>No</x:v>
      </x:c>
      <x:c r="Q562" s="215" t="str"/>
      <x:c r="R562" s="215" t="str"/>
      <x:c r="S562" s="215" t="str">
        <x:v>APWEB-VITA; FNA-VITA; POWO-VITA; LBJ-HAYS</x:v>
      </x:c>
      <x:c r="T562" s="215" t="str">
        <x:v>https://www.mobot.org/MOBOT/research/APweb/orders/vitalesweb.htm</x:v>
      </x:c>
      <x:c r="U562" s="215" t="str">
        <x:v>https://floranorthamerica.org/Vitaceae</x:v>
      </x:c>
      <x:c r="V562" s="215" t="str">
        <x:v>https://powo.science.kew.org/taxon/urn:lsid:ipni.org:names:30000067-2/general-information</x:v>
      </x:c>
      <x:c r="W562" s="215" t="str">
        <x:v>https://www.mobot.org/MOBOT/research/APweb/orders/vitalesweb.htm
https://floranorthamerica.org/Vitaceae
https://powo.science.kew.org/taxon/urn:lsid:ipni.org:names:30000067-2/general-information
https://www.wildflower.org/collections/collection.php?collection=hays</x:v>
      </x:c>
      <x:c r="X562" s="215" t="str">
        <x:v>No — retain qualifiers and exceptions</x:v>
      </x:c>
      <x:c r="Y562" s="215" t="str">
        <x:v>Yes</x:v>
      </x:c>
      <x:c r="Z562" s="215" t="str">
        <x:v>Source-backed draft</x:v>
      </x:c>
    </x:row>
    <x:row r="563" ht="42" customHeight="1">
      <x:c r="A563" s="215" t="str">
        <x:v>Vitaceae</x:v>
      </x:c>
      <x:c r="B563" s="215" t="str">
        <x:v>VIT-OVARY</x:v>
      </x:c>
      <x:c r="C563" s="215" t="str">
        <x:v>Family character</x:v>
      </x:c>
      <x:c r="D563" s="215" t="str">
        <x:v>Gynoecium</x:v>
      </x:c>
      <x:c r="E563" s="215" t="str">
        <x:v>Ovary superior, usually 2-locular with typically 2 ovules per locule</x:v>
      </x:c>
      <x:c r="F563" s="215" t="str">
        <x:v>Strong</x:v>
      </x:c>
      <x:c r="G563" s="215" t="str">
        <x:v>3</x:v>
      </x:c>
      <x:c r="H563" s="215" t="str">
        <x:v>High</x:v>
      </x:c>
      <x:c r="I563" s="215" t="str">
        <x:v>Hand lens or dissection</x:v>
      </x:c>
      <x:c r="J563" s="215" t="str">
        <x:v>Fresh flowers</x:v>
      </x:c>
      <x:c r="K563" s="215" t="str">
        <x:v>The berry begins from a small superior ovary with few ovules.</x:v>
      </x:c>
      <x:c r="L563" s="215" t="str">
        <x:v>Locules are not field-visible without dissection.</x:v>
      </x:c>
      <x:c r="M563" s="215" t="str">
        <x:v>Use mature seed number as a practical proxy.</x:v>
      </x:c>
      <x:c r="N563" s="215" t="str">
        <x:v>Native grapes and related vines are conspicuous in Hays riparian corridors, thickets, fence lines, and woodland edges.</x:v>
      </x:c>
      <x:c r="O563" s="215" t="str">
        <x:v>Low</x:v>
      </x:c>
      <x:c r="P563" s="215" t="str">
        <x:v>No</x:v>
      </x:c>
      <x:c r="Q563" s="215" t="str"/>
      <x:c r="R563" s="215" t="str"/>
      <x:c r="S563" s="215" t="str">
        <x:v>APWEB-VITA; FNA-VITA; POWO-VITA; LBJ-HAYS</x:v>
      </x:c>
      <x:c r="T563" s="215" t="str">
        <x:v>https://www.mobot.org/MOBOT/research/APweb/orders/vitalesweb.htm</x:v>
      </x:c>
      <x:c r="U563" s="215" t="str">
        <x:v>https://floranorthamerica.org/Vitaceae</x:v>
      </x:c>
      <x:c r="V563" s="215" t="str">
        <x:v>https://powo.science.kew.org/taxon/urn:lsid:ipni.org:names:30000067-2/general-information</x:v>
      </x:c>
      <x:c r="W563" s="215" t="str">
        <x:v>https://www.mobot.org/MOBOT/research/APweb/orders/vitalesweb.htm
https://floranorthamerica.org/Vitaceae
https://powo.science.kew.org/taxon/urn:lsid:ipni.org:names:30000067-2/general-information
https://www.wildflower.org/collections/collection.php?collection=hays</x:v>
      </x:c>
      <x:c r="X563" s="215" t="str">
        <x:v>No — retain qualifiers and exceptions</x:v>
      </x:c>
      <x:c r="Y563" s="215" t="str">
        <x:v>Yes</x:v>
      </x:c>
      <x:c r="Z563" s="215" t="str">
        <x:v>Source-backed draft</x:v>
      </x:c>
    </x:row>
    <x:row r="564" ht="42" customHeight="1">
      <x:c r="A564" s="215" t="str">
        <x:v>Vitaceae</x:v>
      </x:c>
      <x:c r="B564" s="215" t="str">
        <x:v>VIT-FRUIT</x:v>
      </x:c>
      <x:c r="C564" s="215" t="str">
        <x:v>Family character</x:v>
      </x:c>
      <x:c r="D564" s="215" t="str">
        <x:v>Fruit / seeds</x:v>
      </x:c>
      <x:c r="E564" s="215" t="str">
        <x:v>Fruit a berry, commonly with 1–4 hard, often pear-shaped seeds</x:v>
      </x:c>
      <x:c r="F564" s="215" t="str">
        <x:v>Strong</x:v>
      </x:c>
      <x:c r="G564" s="215" t="str">
        <x:v>5</x:v>
      </x:c>
      <x:c r="H564" s="215" t="str">
        <x:v>High</x:v>
      </x:c>
      <x:c r="I564" s="215" t="str">
        <x:v>Naked eye or hand lens</x:v>
      </x:c>
      <x:c r="J564" s="215" t="str">
        <x:v>Mature fruit</x:v>
      </x:c>
      <x:c r="K564" s="215" t="str">
        <x:v>A grape-like berry with a few hard seeds confirms the family on a tendrilled vine.</x:v>
      </x:c>
      <x:c r="L564" s="215" t="str">
        <x:v>Berry color and size vary; unrelated vines also bear berries.</x:v>
      </x:c>
      <x:c r="M564" s="215" t="str">
        <x:v>Use berry plus leaf-opposed tendrils or clusters.</x:v>
      </x:c>
      <x:c r="N564" s="215" t="str">
        <x:v>Native grapes and related vines are conspicuous in Hays riparian corridors, thickets, fence lines, and woodland edges.</x:v>
      </x:c>
      <x:c r="O564" s="215" t="str">
        <x:v>Low</x:v>
      </x:c>
      <x:c r="P564" s="215" t="str">
        <x:v>No</x:v>
      </x:c>
      <x:c r="Q564" s="215" t="str"/>
      <x:c r="R564" s="215" t="str">
        <x:v>VIT-LK01; VIT-LK02</x:v>
      </x:c>
      <x:c r="S564" s="215" t="str">
        <x:v>APWEB-VITA; FNA-VITA; POWO-VITA; LBJ-HAYS</x:v>
      </x:c>
      <x:c r="T564" s="215" t="str">
        <x:v>https://www.mobot.org/MOBOT/research/APweb/orders/vitalesweb.htm</x:v>
      </x:c>
      <x:c r="U564" s="215" t="str">
        <x:v>https://floranorthamerica.org/Vitaceae</x:v>
      </x:c>
      <x:c r="V564" s="215" t="str">
        <x:v>https://powo.science.kew.org/taxon/urn:lsid:ipni.org:names:30000067-2/general-information</x:v>
      </x:c>
      <x:c r="W564" s="215" t="str">
        <x:v>https://www.mobot.org/MOBOT/research/APweb/orders/vitalesweb.htm
https://floranorthamerica.org/Vitaceae
https://powo.science.kew.org/taxon/urn:lsid:ipni.org:names:30000067-2/general-information
https://www.wildflower.org/collections/collection.php?collection=hays</x:v>
      </x:c>
      <x:c r="X564" s="215" t="str">
        <x:v>No — retain qualifiers and exceptions</x:v>
      </x:c>
      <x:c r="Y564" s="215" t="str">
        <x:v>Yes</x:v>
      </x:c>
      <x:c r="Z564" s="215" t="str">
        <x:v>Source-backed draft</x:v>
      </x:c>
    </x:row>
    <x:row r="565" ht="42" customHeight="1">
      <x:c r="A565" s="215" t="str">
        <x:v>Vitaceae</x:v>
      </x:c>
      <x:c r="B565" s="215" t="str">
        <x:v>VIT-LK01</x:v>
      </x:c>
      <x:c r="C565" s="215" t="str">
        <x:v>Lookalike comparison</x:v>
      </x:c>
      <x:c r="D565" s="215" t="str">
        <x:v>Lookalike</x:v>
      </x:c>
      <x:c r="E565" s="215" t="str">
        <x:v>Versus Rhamnaceae vines: leaf-opposed tendrils and berry clusters favor Vitaceae; thorns plus stamens opposite petals and a rhamnaceous disc favor Rhamnaceae</x:v>
      </x:c>
      <x:c r="F565" s="215" t="str">
        <x:v>Lookalike</x:v>
      </x:c>
      <x:c r="G565" s="215" t="str">
        <x:v>5</x:v>
      </x:c>
      <x:c r="H565" s="215" t="str">
        <x:v>High</x:v>
      </x:c>
      <x:c r="I565" s="215" t="str">
        <x:v>Naked eye or hand lens</x:v>
      </x:c>
      <x:c r="J565" s="215" t="str">
        <x:v>Leafy flowering material</x:v>
      </x:c>
      <x:c r="K565" s="215" t="str">
        <x:v>Both can be woody vines with small green flowers.</x:v>
      </x:c>
      <x:c r="L565" s="215" t="str">
        <x:v>Sterile vines require careful node inspection.</x:v>
      </x:c>
      <x:c r="M565" s="215" t="str">
        <x:v>Use tendril position first and floral stamen position second; this supplies the reciprocal comparison for RHA-LK02.</x:v>
      </x:c>
      <x:c r="N565" s="215" t="str">
        <x:v>Native grapes and related vines are conspicuous in Hays riparian corridors, thickets, fence lines, and woodland edges.</x:v>
      </x:c>
      <x:c r="O565" s="215" t="str">
        <x:v>Low</x:v>
      </x:c>
      <x:c r="P565" s="215" t="str">
        <x:v>No</x:v>
      </x:c>
      <x:c r="Q565" s="215" t="str"/>
      <x:c r="R565" s="215" t="str">
        <x:v>VIT-TENDRILS; VIT-INFLO; VIT-DISC</x:v>
      </x:c>
      <x:c r="S565" s="215" t="str">
        <x:v>APWEB-VITA; FNA-VITA; POWO-VITA; LBJ-HAYS</x:v>
      </x:c>
      <x:c r="T565" s="215" t="str">
        <x:v>https://www.mobot.org/MOBOT/research/APweb/orders/vitalesweb.htm</x:v>
      </x:c>
      <x:c r="U565" s="215" t="str">
        <x:v>https://floranorthamerica.org/Vitaceae</x:v>
      </x:c>
      <x:c r="V565" s="215" t="str">
        <x:v>https://powo.science.kew.org/taxon/urn:lsid:ipni.org:names:30000067-2/general-information</x:v>
      </x:c>
      <x:c r="W565" s="215" t="str">
        <x:v>https://www.mobot.org/MOBOT/research/APweb/orders/vitalesweb.htm
https://floranorthamerica.org/Vitaceae
https://powo.science.kew.org/taxon/urn:lsid:ipni.org:names:30000067-2/general-information
https://www.wildflower.org/collections/collection.php?collection=hays</x:v>
      </x:c>
      <x:c r="X565" s="215" t="str">
        <x:v>No — retain qualifiers and exceptions</x:v>
      </x:c>
      <x:c r="Y565" s="215" t="str">
        <x:v>Yes</x:v>
      </x:c>
      <x:c r="Z565" s="215" t="str">
        <x:v>Source-backed draft</x:v>
      </x:c>
    </x:row>
    <x:row r="566" ht="42" customHeight="1">
      <x:c r="A566" s="215" t="str">
        <x:v>Vitaceae</x:v>
      </x:c>
      <x:c r="B566" s="215" t="str">
        <x:v>VIT-LK02</x:v>
      </x:c>
      <x:c r="C566" s="215" t="str">
        <x:v>Lookalike comparison</x:v>
      </x:c>
      <x:c r="D566" s="215" t="str">
        <x:v>Lookalike</x:v>
      </x:c>
      <x:c r="E566" s="215" t="str">
        <x:v>Versus Convolvulaceae: true tendrils and small clustered flowers favor Vitaceae; twining stems without tendrils and a large funnel corolla favor Convolvulaceae</x:v>
      </x:c>
      <x:c r="F566" s="215" t="str">
        <x:v>Lookalike</x:v>
      </x:c>
      <x:c r="G566" s="215" t="str">
        <x:v>5</x:v>
      </x:c>
      <x:c r="H566" s="215" t="str">
        <x:v>High</x:v>
      </x:c>
      <x:c r="I566" s="215" t="str">
        <x:v>Naked eye or hand lens</x:v>
      </x:c>
      <x:c r="J566" s="215" t="str">
        <x:v>Actively growing flowering shoots</x:v>
      </x:c>
      <x:c r="K566" s="215" t="str">
        <x:v>Both climb through thickets and can have cordate leaves.</x:v>
      </x:c>
      <x:c r="L566" s="215" t="str">
        <x:v>Nonflowering, tendril-poor shoots may remain uncertain.</x:v>
      </x:c>
      <x:c r="M566" s="215" t="str">
        <x:v>Verify whether the climbing organ is a tendril or the main stem.</x:v>
      </x:c>
      <x:c r="N566" s="215" t="str">
        <x:v>Native grapes and related vines are conspicuous in Hays riparian corridors, thickets, fence lines, and woodland edges.</x:v>
      </x:c>
      <x:c r="O566" s="215" t="str">
        <x:v>Low</x:v>
      </x:c>
      <x:c r="P566" s="215" t="str">
        <x:v>No</x:v>
      </x:c>
      <x:c r="Q566" s="215" t="str"/>
      <x:c r="R566" s="215" t="str">
        <x:v>VIT-HABIT; VIT-TENDRILS; VIT-FLOWER</x:v>
      </x:c>
      <x:c r="S566" s="215" t="str">
        <x:v>APWEB-VITA; FNA-VITA; POWO-VITA; LBJ-HAYS</x:v>
      </x:c>
      <x:c r="T566" s="215" t="str">
        <x:v>https://www.mobot.org/MOBOT/research/APweb/orders/vitalesweb.htm</x:v>
      </x:c>
      <x:c r="U566" s="215" t="str">
        <x:v>https://floranorthamerica.org/Vitaceae</x:v>
      </x:c>
      <x:c r="V566" s="215" t="str">
        <x:v>https://powo.science.kew.org/taxon/urn:lsid:ipni.org:names:30000067-2/general-information</x:v>
      </x:c>
      <x:c r="W566" s="215" t="str">
        <x:v>https://www.mobot.org/MOBOT/research/APweb/orders/vitalesweb.htm
https://floranorthamerica.org/Vitaceae
https://powo.science.kew.org/taxon/urn:lsid:ipni.org:names:30000067-2/general-information
https://www.wildflower.org/collections/collection.php?collection=hays</x:v>
      </x:c>
      <x:c r="X566" s="215" t="str">
        <x:v>No — retain qualifiers and exceptions</x:v>
      </x:c>
      <x:c r="Y566" s="215" t="str">
        <x:v>Yes</x:v>
      </x:c>
      <x:c r="Z566" s="215" t="str">
        <x:v>Source-backed draft</x:v>
      </x:c>
    </x:row>
    <x:row r="567" ht="42" customHeight="1">
      <x:c r="A567" s="215" t="str">
        <x:v>Celastraceae</x:v>
      </x:c>
      <x:c r="B567" s="215" t="str">
        <x:v>CEL-HABIT</x:v>
      </x:c>
      <x:c r="C567" s="215" t="str">
        <x:v>Family character</x:v>
      </x:c>
      <x:c r="D567" s="215" t="str">
        <x:v>Habit</x:v>
      </x:c>
      <x:c r="E567" s="215" t="str">
        <x:v>Herbs, shrubs, trees, or vines; local woody forms are most field-relevant</x:v>
      </x:c>
      <x:c r="F567" s="215" t="str">
        <x:v>Strong</x:v>
      </x:c>
      <x:c r="G567" s="215" t="str">
        <x:v>1</x:v>
      </x:c>
      <x:c r="H567" s="215" t="str">
        <x:v>High</x:v>
      </x:c>
      <x:c r="I567" s="215" t="str">
        <x:v>Naked eye or hand lens</x:v>
      </x:c>
      <x:c r="J567" s="215" t="str">
        <x:v>Any material</x:v>
      </x:c>
      <x:c r="K567" s="215" t="str">
        <x:v>The family has no single habit, though staff-tree relatives are often woody.</x:v>
      </x:c>
      <x:c r="L567" s="215" t="str">
        <x:v>Broad family circumscription also includes unusual herbaceous lineages.</x:v>
      </x:c>
      <x:c r="M567" s="215" t="str">
        <x:v>Do not identify from habit alone.</x:v>
      </x:c>
      <x:c r="N567" s="215" t="str">
        <x:v>Staff-tree relatives are locally less obvious than grapes or walnuts, so reproductive characters and authoritative county records are especially important.</x:v>
      </x:c>
      <x:c r="O567" s="215" t="str">
        <x:v>Low</x:v>
      </x:c>
      <x:c r="P567" s="215" t="str">
        <x:v>No</x:v>
      </x:c>
      <x:c r="Q567" s="215" t="str"/>
      <x:c r="R567" s="215" t="str"/>
      <x:c r="S567" s="215" t="str">
        <x:v>APWEB-CELA; FNA-CELA; POWO-CELA; LBJ-HAYS</x:v>
      </x:c>
      <x:c r="T567" s="215" t="str">
        <x:v>https://www.mobot.org/MOBOT/research/APweb/orders/celastralesweb.htm</x:v>
      </x:c>
      <x:c r="U567" s="215" t="str">
        <x:v>https://floranorthamerica.org/Celastraceae</x:v>
      </x:c>
      <x:c r="V567" s="215" t="str">
        <x:v>https://powo.science.kew.org/taxon/urn:lsid:ipni.org:names:30000478-2/general-information</x:v>
      </x:c>
      <x:c r="W567" s="215" t="str">
        <x:v>https://www.mobot.org/MOBOT/research/APweb/orders/celastralesweb.htm
https://floranorthamerica.org/Celastraceae
https://powo.science.kew.org/taxon/urn:lsid:ipni.org:names:30000478-2/general-information
https://www.wildflower.org/collections/collection.php?collection=hays</x:v>
      </x:c>
      <x:c r="X567" s="215" t="str">
        <x:v>No — retain qualifiers and exceptions</x:v>
      </x:c>
      <x:c r="Y567" s="215" t="str">
        <x:v>Yes</x:v>
      </x:c>
      <x:c r="Z567" s="215" t="str">
        <x:v>Source-backed draft</x:v>
      </x:c>
    </x:row>
    <x:row r="568" ht="42" customHeight="1">
      <x:c r="A568" s="215" t="str">
        <x:v>Celastraceae</x:v>
      </x:c>
      <x:c r="B568" s="215" t="str">
        <x:v>CEL-LEAVES</x:v>
      </x:c>
      <x:c r="C568" s="215" t="str">
        <x:v>Family character</x:v>
      </x:c>
      <x:c r="D568" s="215" t="str">
        <x:v>Leaves / stipules</x:v>
      </x:c>
      <x:c r="E568" s="215" t="str">
        <x:v>Leaves simple, alternate, opposite, whorled, or fascicled; stipules present or absent</x:v>
      </x:c>
      <x:c r="F568" s="215" t="str">
        <x:v>Caution</x:v>
      </x:c>
      <x:c r="G568" s="215" t="str">
        <x:v>1</x:v>
      </x:c>
      <x:c r="H568" s="215" t="str">
        <x:v>High</x:v>
      </x:c>
      <x:c r="I568" s="215" t="str">
        <x:v>Naked eye or hand lens</x:v>
      </x:c>
      <x:c r="J568" s="215" t="str">
        <x:v>Leafy shoots</x:v>
      </x:c>
      <x:c r="K568" s="215" t="str">
        <x:v>Leaf construction is simple but arrangement is highly variable.</x:v>
      </x:c>
      <x:c r="L568" s="215" t="str">
        <x:v>This is explicitly not a universal arrangement character.</x:v>
      </x:c>
      <x:c r="M568" s="215" t="str">
        <x:v>Use foliage only to support reproductive evidence.</x:v>
      </x:c>
      <x:c r="N568" s="215" t="str">
        <x:v>Staff-tree relatives are locally less obvious than grapes or walnuts, so reproductive characters and authoritative county records are especially important.</x:v>
      </x:c>
      <x:c r="O568" s="215" t="str">
        <x:v>Low</x:v>
      </x:c>
      <x:c r="P568" s="215" t="str">
        <x:v>No</x:v>
      </x:c>
      <x:c r="Q568" s="215" t="str"/>
      <x:c r="R568" s="215" t="str"/>
      <x:c r="S568" s="215" t="str">
        <x:v>APWEB-CELA; FNA-CELA; POWO-CELA; LBJ-HAYS</x:v>
      </x:c>
      <x:c r="T568" s="215" t="str">
        <x:v>https://www.mobot.org/MOBOT/research/APweb/orders/celastralesweb.htm</x:v>
      </x:c>
      <x:c r="U568" s="215" t="str">
        <x:v>https://floranorthamerica.org/Celastraceae</x:v>
      </x:c>
      <x:c r="V568" s="215" t="str">
        <x:v>https://powo.science.kew.org/taxon/urn:lsid:ipni.org:names:30000478-2/general-information</x:v>
      </x:c>
      <x:c r="W568" s="215" t="str">
        <x:v>https://www.mobot.org/MOBOT/research/APweb/orders/celastralesweb.htm
https://floranorthamerica.org/Celastraceae
https://powo.science.kew.org/taxon/urn:lsid:ipni.org:names:30000478-2/general-information
https://www.wildflower.org/collections/collection.php?collection=hays</x:v>
      </x:c>
      <x:c r="X568" s="215" t="str">
        <x:v>No — retain qualifiers and exceptions</x:v>
      </x:c>
      <x:c r="Y568" s="215" t="str">
        <x:v>Yes</x:v>
      </x:c>
      <x:c r="Z568" s="215" t="str">
        <x:v>Source-backed draft</x:v>
      </x:c>
    </x:row>
    <x:row r="569" ht="42" customHeight="1">
      <x:c r="A569" s="215" t="str">
        <x:v>Celastraceae</x:v>
      </x:c>
      <x:c r="B569" s="215" t="str">
        <x:v>CEL-FLOWER</x:v>
      </x:c>
      <x:c r="C569" s="215" t="str">
        <x:v>Family character</x:v>
      </x:c>
      <x:c r="D569" s="215" t="str">
        <x:v>Flowers</x:v>
      </x:c>
      <x:c r="E569" s="215" t="str">
        <x:v>Flowers small, usually radial and 4- or 5-merous, bisexual or unisexual</x:v>
      </x:c>
      <x:c r="F569" s="215" t="str">
        <x:v>Strong</x:v>
      </x:c>
      <x:c r="G569" s="215" t="str">
        <x:v>3</x:v>
      </x:c>
      <x:c r="H569" s="215" t="str">
        <x:v>High</x:v>
      </x:c>
      <x:c r="I569" s="215" t="str">
        <x:v>Naked eye or hand lens</x:v>
      </x:c>
      <x:c r="J569" s="215" t="str">
        <x:v>Fresh flowers</x:v>
      </x:c>
      <x:c r="K569" s="215" t="str">
        <x:v>Small greenish or pale flowers commonly have four or five parts.</x:v>
      </x:c>
      <x:c r="L569" s="215" t="str">
        <x:v>Part number, sexuality, and symmetry vary in the broad family.</x:v>
      </x:c>
      <x:c r="M569" s="215" t="str">
        <x:v>Combine with the nectar disc and fruit.</x:v>
      </x:c>
      <x:c r="N569" s="215" t="str">
        <x:v>Staff-tree relatives are locally less obvious than grapes or walnuts, so reproductive characters and authoritative county records are especially important.</x:v>
      </x:c>
      <x:c r="O569" s="215" t="str">
        <x:v>Low</x:v>
      </x:c>
      <x:c r="P569" s="215" t="str">
        <x:v>No</x:v>
      </x:c>
      <x:c r="Q569" s="215" t="str"/>
      <x:c r="R569" s="215" t="str"/>
      <x:c r="S569" s="215" t="str">
        <x:v>APWEB-CELA; FNA-CELA; POWO-CELA; LBJ-HAYS</x:v>
      </x:c>
      <x:c r="T569" s="215" t="str">
        <x:v>https://www.mobot.org/MOBOT/research/APweb/orders/celastralesweb.htm</x:v>
      </x:c>
      <x:c r="U569" s="215" t="str">
        <x:v>https://floranorthamerica.org/Celastraceae</x:v>
      </x:c>
      <x:c r="V569" s="215" t="str">
        <x:v>https://powo.science.kew.org/taxon/urn:lsid:ipni.org:names:30000478-2/general-information</x:v>
      </x:c>
      <x:c r="W569" s="215" t="str">
        <x:v>https://www.mobot.org/MOBOT/research/APweb/orders/celastralesweb.htm
https://floranorthamerica.org/Celastraceae
https://powo.science.kew.org/taxon/urn:lsid:ipni.org:names:30000478-2/general-information
https://www.wildflower.org/collections/collection.php?collection=hays</x:v>
      </x:c>
      <x:c r="X569" s="215" t="str">
        <x:v>No — retain qualifiers and exceptions</x:v>
      </x:c>
      <x:c r="Y569" s="215" t="str">
        <x:v>Yes</x:v>
      </x:c>
      <x:c r="Z569" s="215" t="str">
        <x:v>Source-backed draft</x:v>
      </x:c>
    </x:row>
    <x:row r="570" ht="42" customHeight="1">
      <x:c r="A570" s="215" t="str">
        <x:v>Celastraceae</x:v>
      </x:c>
      <x:c r="B570" s="215" t="str">
        <x:v>CEL-DISC</x:v>
      </x:c>
      <x:c r="C570" s="215" t="str">
        <x:v>Family character</x:v>
      </x:c>
      <x:c r="D570" s="215" t="str">
        <x:v>Flowers / nectar disc</x:v>
      </x:c>
      <x:c r="E570" s="215" t="str">
        <x:v>Nectary disc commonly present and associated closely with the stamens and ovary</x:v>
      </x:c>
      <x:c r="F570" s="215" t="str">
        <x:v>Strong</x:v>
      </x:c>
      <x:c r="G570" s="215" t="str">
        <x:v>4</x:v>
      </x:c>
      <x:c r="H570" s="215" t="str">
        <x:v>High</x:v>
      </x:c>
      <x:c r="I570" s="215" t="str">
        <x:v>Hand lens</x:v>
      </x:c>
      <x:c r="J570" s="215" t="str">
        <x:v>Fresh flowers</x:v>
      </x:c>
      <x:c r="K570" s="215" t="str">
        <x:v>A fleshy floral disc is a frequent high-value clue.</x:v>
      </x:c>
      <x:c r="L570" s="215" t="str">
        <x:v>The disc can be reduced or absent in some lineages.</x:v>
      </x:c>
      <x:c r="M570" s="215" t="str">
        <x:v>Use only where clearly visible and retain broad-family exceptions.</x:v>
      </x:c>
      <x:c r="N570" s="215" t="str">
        <x:v>Staff-tree relatives are locally less obvious than grapes or walnuts, so reproductive characters and authoritative county records are especially important.</x:v>
      </x:c>
      <x:c r="O570" s="215" t="str">
        <x:v>Low</x:v>
      </x:c>
      <x:c r="P570" s="215" t="str">
        <x:v>No</x:v>
      </x:c>
      <x:c r="Q570" s="215" t="str"/>
      <x:c r="R570" s="215" t="str">
        <x:v>CEL-LK01; CEL-LK02</x:v>
      </x:c>
      <x:c r="S570" s="215" t="str">
        <x:v>APWEB-CELA; FNA-CELA; POWO-CELA; LBJ-HAYS</x:v>
      </x:c>
      <x:c r="T570" s="215" t="str">
        <x:v>https://www.mobot.org/MOBOT/research/APweb/orders/celastralesweb.htm</x:v>
      </x:c>
      <x:c r="U570" s="215" t="str">
        <x:v>https://floranorthamerica.org/Celastraceae</x:v>
      </x:c>
      <x:c r="V570" s="215" t="str">
        <x:v>https://powo.science.kew.org/taxon/urn:lsid:ipni.org:names:30000478-2/general-information</x:v>
      </x:c>
      <x:c r="W570" s="215" t="str">
        <x:v>https://www.mobot.org/MOBOT/research/APweb/orders/celastralesweb.htm
https://floranorthamerica.org/Celastraceae
https://powo.science.kew.org/taxon/urn:lsid:ipni.org:names:30000478-2/general-information
https://www.wildflower.org/collections/collection.php?collection=hays</x:v>
      </x:c>
      <x:c r="X570" s="215" t="str">
        <x:v>No — retain qualifiers and exceptions</x:v>
      </x:c>
      <x:c r="Y570" s="215" t="str">
        <x:v>Yes</x:v>
      </x:c>
      <x:c r="Z570" s="215" t="str">
        <x:v>Source-backed draft</x:v>
      </x:c>
    </x:row>
    <x:row r="571" ht="42" customHeight="1">
      <x:c r="A571" s="215" t="str">
        <x:v>Celastraceae</x:v>
      </x:c>
      <x:c r="B571" s="215" t="str">
        <x:v>CEL-STAMENS</x:v>
      </x:c>
      <x:c r="C571" s="215" t="str">
        <x:v>Regional/practical family character</x:v>
      </x:c>
      <x:c r="D571" s="215" t="str">
        <x:v>Stamens</x:v>
      </x:c>
      <x:c r="E571" s="215" t="str">
        <x:v>Stamens commonly 4–5, free or attached to the disc; in many woody taxa they alternate with petals</x:v>
      </x:c>
      <x:c r="F571" s="215" t="str">
        <x:v>Strong</x:v>
      </x:c>
      <x:c r="G571" s="215" t="str">
        <x:v>4</x:v>
      </x:c>
      <x:c r="H571" s="215" t="str">
        <x:v>High</x:v>
      </x:c>
      <x:c r="I571" s="215" t="str">
        <x:v>Hand lens</x:v>
      </x:c>
      <x:c r="J571" s="215" t="str">
        <x:v>Fresh flowers</x:v>
      </x:c>
      <x:c r="K571" s="215" t="str">
        <x:v>Stamen position on or around the disc helps separate similar small flowers.</x:v>
      </x:c>
      <x:c r="L571" s="215" t="str">
        <x:v>The broad family includes different stamen positions and numbers.</x:v>
      </x:c>
      <x:c r="M571" s="215" t="str">
        <x:v>Apply the alternate-petal contrast to relevant woody local taxa, not universally.</x:v>
      </x:c>
      <x:c r="N571" s="215" t="str">
        <x:v>Staff-tree relatives are locally less obvious than grapes or walnuts, so reproductive characters and authoritative county records are especially important.</x:v>
      </x:c>
      <x:c r="O571" s="215" t="str">
        <x:v>Low</x:v>
      </x:c>
      <x:c r="P571" s="215" t="str">
        <x:v>No</x:v>
      </x:c>
      <x:c r="Q571" s="215" t="str"/>
      <x:c r="R571" s="215" t="str">
        <x:v>CEL-LK01</x:v>
      </x:c>
      <x:c r="S571" s="215" t="str">
        <x:v>APWEB-CELA; FNA-CELA; POWO-CELA; LBJ-HAYS</x:v>
      </x:c>
      <x:c r="T571" s="215" t="str">
        <x:v>https://www.mobot.org/MOBOT/research/APweb/orders/celastralesweb.htm</x:v>
      </x:c>
      <x:c r="U571" s="215" t="str">
        <x:v>https://floranorthamerica.org/Celastraceae</x:v>
      </x:c>
      <x:c r="V571" s="215" t="str">
        <x:v>https://powo.science.kew.org/taxon/urn:lsid:ipni.org:names:30000478-2/general-information</x:v>
      </x:c>
      <x:c r="W571" s="215" t="str">
        <x:v>https://www.mobot.org/MOBOT/research/APweb/orders/celastralesweb.htm
https://floranorthamerica.org/Celastraceae
https://powo.science.kew.org/taxon/urn:lsid:ipni.org:names:30000478-2/general-information
https://www.wildflower.org/collections/collection.php?collection=hays</x:v>
      </x:c>
      <x:c r="X571" s="215" t="str">
        <x:v>No — retain qualifiers and exceptions</x:v>
      </x:c>
      <x:c r="Y571" s="215" t="str">
        <x:v>Yes</x:v>
      </x:c>
      <x:c r="Z571" s="215" t="str">
        <x:v>Source-backed draft</x:v>
      </x:c>
    </x:row>
    <x:row r="572" ht="42" customHeight="1">
      <x:c r="A572" s="215" t="str">
        <x:v>Celastraceae</x:v>
      </x:c>
      <x:c r="B572" s="215" t="str">
        <x:v>CEL-OVARY</x:v>
      </x:c>
      <x:c r="C572" s="215" t="str">
        <x:v>Family character</x:v>
      </x:c>
      <x:c r="D572" s="215" t="str">
        <x:v>Gynoecium</x:v>
      </x:c>
      <x:c r="E572" s="215" t="str">
        <x:v>Ovary superior to partly inferior, commonly 2–5-locular and often embedded in the disc</x:v>
      </x:c>
      <x:c r="F572" s="215" t="str">
        <x:v>Caution</x:v>
      </x:c>
      <x:c r="G572" s="215" t="str">
        <x:v>2</x:v>
      </x:c>
      <x:c r="H572" s="215" t="str">
        <x:v>High</x:v>
      </x:c>
      <x:c r="I572" s="215" t="str">
        <x:v>Hand lens or dissection</x:v>
      </x:c>
      <x:c r="J572" s="215" t="str">
        <x:v>Fresh flowers</x:v>
      </x:c>
      <x:c r="K572" s="215" t="str">
        <x:v>The ovary-disc relationship is useful but not fixed across all lineages.</x:v>
      </x:c>
      <x:c r="L572" s="215" t="str">
        <x:v>Broad Celastraceae contains major variation in ovary position and ovule number.</x:v>
      </x:c>
      <x:c r="M572" s="215" t="str">
        <x:v>Describe the observed genus rather than forcing one universal state.</x:v>
      </x:c>
      <x:c r="N572" s="215" t="str">
        <x:v>Staff-tree relatives are locally less obvious than grapes or walnuts, so reproductive characters and authoritative county records are especially important.</x:v>
      </x:c>
      <x:c r="O572" s="215" t="str">
        <x:v>Medium</x:v>
      </x:c>
      <x:c r="P572" s="215" t="str">
        <x:v>No</x:v>
      </x:c>
      <x:c r="Q572" s="215" t="str"/>
      <x:c r="R572" s="215" t="str"/>
      <x:c r="S572" s="215" t="str">
        <x:v>APWEB-CELA; FNA-CELA; POWO-CELA; LBJ-HAYS</x:v>
      </x:c>
      <x:c r="T572" s="215" t="str">
        <x:v>https://www.mobot.org/MOBOT/research/APweb/orders/celastralesweb.htm</x:v>
      </x:c>
      <x:c r="U572" s="215" t="str">
        <x:v>https://floranorthamerica.org/Celastraceae</x:v>
      </x:c>
      <x:c r="V572" s="215" t="str">
        <x:v>https://powo.science.kew.org/taxon/urn:lsid:ipni.org:names:30000478-2/general-information</x:v>
      </x:c>
      <x:c r="W572" s="215" t="str">
        <x:v>https://www.mobot.org/MOBOT/research/APweb/orders/celastralesweb.htm
https://floranorthamerica.org/Celastraceae
https://powo.science.kew.org/taxon/urn:lsid:ipni.org:names:30000478-2/general-information
https://www.wildflower.org/collections/collection.php?collection=hays</x:v>
      </x:c>
      <x:c r="X572" s="215" t="str">
        <x:v>No — retain qualifiers and exceptions</x:v>
      </x:c>
      <x:c r="Y572" s="215" t="str">
        <x:v>Yes</x:v>
      </x:c>
      <x:c r="Z572" s="215" t="str">
        <x:v>Source-backed draft</x:v>
      </x:c>
    </x:row>
    <x:row r="573" ht="42" customHeight="1">
      <x:c r="A573" s="215" t="str">
        <x:v>Celastraceae</x:v>
      </x:c>
      <x:c r="B573" s="215" t="str">
        <x:v>CEL-FRUIT</x:v>
      </x:c>
      <x:c r="C573" s="215" t="str">
        <x:v>Family character</x:v>
      </x:c>
      <x:c r="D573" s="215" t="str">
        <x:v>Fruit</x:v>
      </x:c>
      <x:c r="E573" s="215" t="str">
        <x:v>Fruit a capsule, drupe, nutlike body, berry, or samara depending on lineage</x:v>
      </x:c>
      <x:c r="F573" s="215" t="str">
        <x:v>Strong</x:v>
      </x:c>
      <x:c r="G573" s="215" t="str">
        <x:v>3</x:v>
      </x:c>
      <x:c r="H573" s="215" t="str">
        <x:v>High</x:v>
      </x:c>
      <x:c r="I573" s="215" t="str">
        <x:v>Naked eye or hand lens</x:v>
      </x:c>
      <x:c r="J573" s="215" t="str">
        <x:v>Mature fruit</x:v>
      </x:c>
      <x:c r="K573" s="215" t="str">
        <x:v>Fruit type is diverse, but capsules exposing arillate seeds are conspicuous in several woody genera.</x:v>
      </x:c>
      <x:c r="L573" s="215" t="str">
        <x:v>No single fruit type identifies the family.</x:v>
      </x:c>
      <x:c r="M573" s="215" t="str">
        <x:v>Use fruit architecture to reach genus after disc characters establish the family.</x:v>
      </x:c>
      <x:c r="N573" s="215" t="str">
        <x:v>Staff-tree relatives are locally less obvious than grapes or walnuts, so reproductive characters and authoritative county records are especially important.</x:v>
      </x:c>
      <x:c r="O573" s="215" t="str">
        <x:v>Low</x:v>
      </x:c>
      <x:c r="P573" s="215" t="str">
        <x:v>No</x:v>
      </x:c>
      <x:c r="Q573" s="215" t="str"/>
      <x:c r="R573" s="215" t="str"/>
      <x:c r="S573" s="215" t="str">
        <x:v>APWEB-CELA; FNA-CELA; POWO-CELA; LBJ-HAYS</x:v>
      </x:c>
      <x:c r="T573" s="215" t="str">
        <x:v>https://www.mobot.org/MOBOT/research/APweb/orders/celastralesweb.htm</x:v>
      </x:c>
      <x:c r="U573" s="215" t="str">
        <x:v>https://floranorthamerica.org/Celastraceae</x:v>
      </x:c>
      <x:c r="V573" s="215" t="str">
        <x:v>https://powo.science.kew.org/taxon/urn:lsid:ipni.org:names:30000478-2/general-information</x:v>
      </x:c>
      <x:c r="W573" s="215" t="str">
        <x:v>https://www.mobot.org/MOBOT/research/APweb/orders/celastralesweb.htm
https://floranorthamerica.org/Celastraceae
https://powo.science.kew.org/taxon/urn:lsid:ipni.org:names:30000478-2/general-information
https://www.wildflower.org/collections/collection.php?collection=hays</x:v>
      </x:c>
      <x:c r="X573" s="215" t="str">
        <x:v>No — retain qualifiers and exceptions</x:v>
      </x:c>
      <x:c r="Y573" s="215" t="str">
        <x:v>Yes</x:v>
      </x:c>
      <x:c r="Z573" s="215" t="str">
        <x:v>Source-backed draft</x:v>
      </x:c>
    </x:row>
    <x:row r="574" ht="42" customHeight="1">
      <x:c r="A574" s="215" t="str">
        <x:v>Celastraceae</x:v>
      </x:c>
      <x:c r="B574" s="215" t="str">
        <x:v>CEL-ARIL</x:v>
      </x:c>
      <x:c r="C574" s="215" t="str">
        <x:v>Family character</x:v>
      </x:c>
      <x:c r="D574" s="215" t="str">
        <x:v>Seeds</x:v>
      </x:c>
      <x:c r="E574" s="215" t="str">
        <x:v>Seeds often winged or covered by a brightly colored fleshy aril</x:v>
      </x:c>
      <x:c r="F574" s="215" t="str">
        <x:v>Strong</x:v>
      </x:c>
      <x:c r="G574" s="215" t="str">
        <x:v>4</x:v>
      </x:c>
      <x:c r="H574" s="215" t="str">
        <x:v>High</x:v>
      </x:c>
      <x:c r="I574" s="215" t="str">
        <x:v>Naked eye or hand lens</x:v>
      </x:c>
      <x:c r="J574" s="215" t="str">
        <x:v>Mature open fruit</x:v>
      </x:c>
      <x:c r="K574" s="215" t="str">
        <x:v>Orange, red, or yellow arils exposed by a splitting capsule are a strong field clue.</x:v>
      </x:c>
      <x:c r="L574" s="215" t="str">
        <x:v>Arils are absent in some genera, and seed number varies greatly.</x:v>
      </x:c>
      <x:c r="M574" s="215" t="str">
        <x:v>Use arils as high-value positive evidence but allow absence.</x:v>
      </x:c>
      <x:c r="N574" s="215" t="str">
        <x:v>Staff-tree relatives are locally less obvious than grapes or walnuts, so reproductive characters and authoritative county records are especially important.</x:v>
      </x:c>
      <x:c r="O574" s="215" t="str">
        <x:v>Low</x:v>
      </x:c>
      <x:c r="P574" s="215" t="str">
        <x:v>No</x:v>
      </x:c>
      <x:c r="Q574" s="215" t="str"/>
      <x:c r="R574" s="215" t="str">
        <x:v>CEL-LK02</x:v>
      </x:c>
      <x:c r="S574" s="215" t="str">
        <x:v>APWEB-CELA; FNA-CELA; POWO-CELA; LBJ-HAYS</x:v>
      </x:c>
      <x:c r="T574" s="215" t="str">
        <x:v>https://www.mobot.org/MOBOT/research/APweb/orders/celastralesweb.htm</x:v>
      </x:c>
      <x:c r="U574" s="215" t="str">
        <x:v>https://floranorthamerica.org/Celastraceae</x:v>
      </x:c>
      <x:c r="V574" s="215" t="str">
        <x:v>https://powo.science.kew.org/taxon/urn:lsid:ipni.org:names:30000478-2/general-information</x:v>
      </x:c>
      <x:c r="W574" s="215" t="str">
        <x:v>https://www.mobot.org/MOBOT/research/APweb/orders/celastralesweb.htm
https://floranorthamerica.org/Celastraceae
https://powo.science.kew.org/taxon/urn:lsid:ipni.org:names:30000478-2/general-information
https://www.wildflower.org/collections/collection.php?collection=hays</x:v>
      </x:c>
      <x:c r="X574" s="215" t="str">
        <x:v>No — retain qualifiers and exceptions</x:v>
      </x:c>
      <x:c r="Y574" s="215" t="str">
        <x:v>Yes</x:v>
      </x:c>
      <x:c r="Z574" s="215" t="str">
        <x:v>Source-backed draft</x:v>
      </x:c>
    </x:row>
    <x:row r="575" ht="42" customHeight="1">
      <x:c r="A575" s="215" t="str">
        <x:v>Celastraceae</x:v>
      </x:c>
      <x:c r="B575" s="215" t="str">
        <x:v>CEL-SEX</x:v>
      </x:c>
      <x:c r="C575" s="215" t="str">
        <x:v>Family character</x:v>
      </x:c>
      <x:c r="D575" s="215" t="str">
        <x:v>Flowers / reproductive system</x:v>
      </x:c>
      <x:c r="E575" s="215" t="str">
        <x:v>Flowers may be bisexual, unisexual, or mixed among plants</x:v>
      </x:c>
      <x:c r="F575" s="215" t="str">
        <x:v>Supporting</x:v>
      </x:c>
      <x:c r="G575" s="215" t="str">
        <x:v>1</x:v>
      </x:c>
      <x:c r="H575" s="215" t="str">
        <x:v>High</x:v>
      </x:c>
      <x:c r="I575" s="215" t="str">
        <x:v>Naked eye or hand lens</x:v>
      </x:c>
      <x:c r="J575" s="215" t="str">
        <x:v>Several flowering plants</x:v>
      </x:c>
      <x:c r="K575" s="215" t="str">
        <x:v>Sex expression varies even among woody members.</x:v>
      </x:c>
      <x:c r="L575" s="215" t="str">
        <x:v>A single plant may not display all flower types.</x:v>
      </x:c>
      <x:c r="M575" s="215" t="str">
        <x:v>Record observed sex rather than assuming a universal family state.</x:v>
      </x:c>
      <x:c r="N575" s="215" t="str">
        <x:v>Staff-tree relatives are locally less obvious than grapes or walnuts, so reproductive characters and authoritative county records are especially important.</x:v>
      </x:c>
      <x:c r="O575" s="215" t="str">
        <x:v>Low</x:v>
      </x:c>
      <x:c r="P575" s="215" t="str">
        <x:v>No</x:v>
      </x:c>
      <x:c r="Q575" s="215" t="str"/>
      <x:c r="R575" s="215" t="str"/>
      <x:c r="S575" s="215" t="str">
        <x:v>APWEB-CELA; FNA-CELA; POWO-CELA; LBJ-HAYS</x:v>
      </x:c>
      <x:c r="T575" s="215" t="str">
        <x:v>https://www.mobot.org/MOBOT/research/APweb/orders/celastralesweb.htm</x:v>
      </x:c>
      <x:c r="U575" s="215" t="str">
        <x:v>https://floranorthamerica.org/Celastraceae</x:v>
      </x:c>
      <x:c r="V575" s="215" t="str">
        <x:v>https://powo.science.kew.org/taxon/urn:lsid:ipni.org:names:30000478-2/general-information</x:v>
      </x:c>
      <x:c r="W575" s="215" t="str">
        <x:v>https://www.mobot.org/MOBOT/research/APweb/orders/celastralesweb.htm
https://floranorthamerica.org/Celastraceae
https://powo.science.kew.org/taxon/urn:lsid:ipni.org:names:30000478-2/general-information
https://www.wildflower.org/collections/collection.php?collection=hays</x:v>
      </x:c>
      <x:c r="X575" s="215" t="str">
        <x:v>No — retain qualifiers and exceptions</x:v>
      </x:c>
      <x:c r="Y575" s="215" t="str">
        <x:v>Yes</x:v>
      </x:c>
      <x:c r="Z575" s="215" t="str">
        <x:v>Source-backed draft</x:v>
      </x:c>
    </x:row>
    <x:row r="576" ht="42" customHeight="1">
      <x:c r="A576" s="215" t="str">
        <x:v>Celastraceae</x:v>
      </x:c>
      <x:c r="B576" s="215" t="str">
        <x:v>CEL-LK01</x:v>
      </x:c>
      <x:c r="C576" s="215" t="str">
        <x:v>Lookalike comparison</x:v>
      </x:c>
      <x:c r="D576" s="215" t="str">
        <x:v>Lookalike</x:v>
      </x:c>
      <x:c r="E576" s="215" t="str">
        <x:v>Versus Rhamnaceae: stamens commonly alternating with petals on a disc favor woody Celastraceae; stamens opposite petals favor Rhamnaceae</x:v>
      </x:c>
      <x:c r="F576" s="215" t="str">
        <x:v>Lookalike</x:v>
      </x:c>
      <x:c r="G576" s="215" t="str">
        <x:v>5</x:v>
      </x:c>
      <x:c r="H576" s="215" t="str">
        <x:v>High</x:v>
      </x:c>
      <x:c r="I576" s="215" t="str">
        <x:v>Naked eye or hand lens</x:v>
      </x:c>
      <x:c r="J576" s="215" t="str">
        <x:v>Fresh flowers</x:v>
      </x:c>
      <x:c r="K576" s="215" t="str">
        <x:v>Both may be small-flowered woody plants with a conspicuous disc.</x:v>
      </x:c>
      <x:c r="L576" s="215" t="str">
        <x:v>Broad Celastraceae includes exceptions, so apply this to the relevant local woody lineages.</x:v>
      </x:c>
      <x:c r="M576" s="215" t="str">
        <x:v>Use intact flowers under magnification and then confirm fruit.</x:v>
      </x:c>
      <x:c r="N576" s="215" t="str">
        <x:v>Staff-tree relatives are locally less obvious than grapes or walnuts, so reproductive characters and authoritative county records are especially important.</x:v>
      </x:c>
      <x:c r="O576" s="215" t="str">
        <x:v>Low</x:v>
      </x:c>
      <x:c r="P576" s="215" t="str">
        <x:v>No</x:v>
      </x:c>
      <x:c r="Q576" s="215" t="str"/>
      <x:c r="R576" s="215" t="str">
        <x:v>CEL-DISC; CEL-STAMENS</x:v>
      </x:c>
      <x:c r="S576" s="215" t="str">
        <x:v>APWEB-CELA; FNA-CELA; POWO-CELA; LBJ-HAYS</x:v>
      </x:c>
      <x:c r="T576" s="215" t="str">
        <x:v>https://www.mobot.org/MOBOT/research/APweb/orders/celastralesweb.htm</x:v>
      </x:c>
      <x:c r="U576" s="215" t="str">
        <x:v>https://floranorthamerica.org/Celastraceae</x:v>
      </x:c>
      <x:c r="V576" s="215" t="str">
        <x:v>https://powo.science.kew.org/taxon/urn:lsid:ipni.org:names:30000478-2/general-information</x:v>
      </x:c>
      <x:c r="W576" s="215" t="str">
        <x:v>https://www.mobot.org/MOBOT/research/APweb/orders/celastralesweb.htm
https://floranorthamerica.org/Celastraceae
https://powo.science.kew.org/taxon/urn:lsid:ipni.org:names:30000478-2/general-information
https://www.wildflower.org/collections/collection.php?collection=hays</x:v>
      </x:c>
      <x:c r="X576" s="215" t="str">
        <x:v>No — retain qualifiers and exceptions</x:v>
      </x:c>
      <x:c r="Y576" s="215" t="str">
        <x:v>Yes</x:v>
      </x:c>
      <x:c r="Z576" s="215" t="str">
        <x:v>Source-backed draft</x:v>
      </x:c>
    </x:row>
    <x:row r="577" ht="42" customHeight="1">
      <x:c r="A577" s="215" t="str">
        <x:v>Celastraceae</x:v>
      </x:c>
      <x:c r="B577" s="215" t="str">
        <x:v>CEL-LK02</x:v>
      </x:c>
      <x:c r="C577" s="215" t="str">
        <x:v>Lookalike comparison</x:v>
      </x:c>
      <x:c r="D577" s="215" t="str">
        <x:v>Lookalike</x:v>
      </x:c>
      <x:c r="E577" s="215" t="str">
        <x:v>Versus Sapindaceae: simple leaves and capsules exposing arillate seeds favor many Celastraceae; compound leaves and samaras, capsules, or berries favor many local Sapindaceae</x:v>
      </x:c>
      <x:c r="F577" s="215" t="str">
        <x:v>Lookalike</x:v>
      </x:c>
      <x:c r="G577" s="215" t="str">
        <x:v>5</x:v>
      </x:c>
      <x:c r="H577" s="215" t="str">
        <x:v>High</x:v>
      </x:c>
      <x:c r="I577" s="215" t="str">
        <x:v>Naked eye or hand lens</x:v>
      </x:c>
      <x:c r="J577" s="215" t="str">
        <x:v>Leafy flowering or fruiting material</x:v>
      </x:c>
      <x:c r="K577" s="215" t="str">
        <x:v>Both can have floral discs and colorful or winged seeds.</x:v>
      </x:c>
      <x:c r="L577" s="215" t="str">
        <x:v>Both families are diverse and the simplified contrast is not universal.</x:v>
      </x:c>
      <x:c r="M577" s="215" t="str">
        <x:v>Treat leaf division, disc position, and fruit construction as a weighted suite.</x:v>
      </x:c>
      <x:c r="N577" s="215" t="str">
        <x:v>Staff-tree relatives are locally less obvious than grapes or walnuts, so reproductive characters and authoritative county records are especially important.</x:v>
      </x:c>
      <x:c r="O577" s="215" t="str">
        <x:v>Low</x:v>
      </x:c>
      <x:c r="P577" s="215" t="str">
        <x:v>No</x:v>
      </x:c>
      <x:c r="Q577" s="215" t="str"/>
      <x:c r="R577" s="215" t="str">
        <x:v>CEL-LEAVES; CEL-DISC; CEL-FRUIT; CEL-ARIL</x:v>
      </x:c>
      <x:c r="S577" s="215" t="str">
        <x:v>APWEB-CELA; FNA-CELA; POWO-CELA; LBJ-HAYS</x:v>
      </x:c>
      <x:c r="T577" s="215" t="str">
        <x:v>https://www.mobot.org/MOBOT/research/APweb/orders/celastralesweb.htm</x:v>
      </x:c>
      <x:c r="U577" s="215" t="str">
        <x:v>https://floranorthamerica.org/Celastraceae</x:v>
      </x:c>
      <x:c r="V577" s="215" t="str">
        <x:v>https://powo.science.kew.org/taxon/urn:lsid:ipni.org:names:30000478-2/general-information</x:v>
      </x:c>
      <x:c r="W577" s="215" t="str">
        <x:v>https://www.mobot.org/MOBOT/research/APweb/orders/celastralesweb.htm
https://floranorthamerica.org/Celastraceae
https://powo.science.kew.org/taxon/urn:lsid:ipni.org:names:30000478-2/general-information
https://www.wildflower.org/collections/collection.php?collection=hays</x:v>
      </x:c>
      <x:c r="X577" s="215" t="str">
        <x:v>No — retain qualifiers and exceptions</x:v>
      </x:c>
      <x:c r="Y577" s="215" t="str">
        <x:v>Yes</x:v>
      </x:c>
      <x:c r="Z577" s="215" t="str">
        <x:v>Source-backed draft</x:v>
      </x:c>
    </x:row>
    <x:row r="578" ht="42" customHeight="1">
      <x:c r="A578" s="215" t="str">
        <x:v>Juglandaceae</x:v>
      </x:c>
      <x:c r="B578" s="215" t="str">
        <x:v>JUG-HABIT</x:v>
      </x:c>
      <x:c r="C578" s="215" t="str">
        <x:v>Family character</x:v>
      </x:c>
      <x:c r="D578" s="215" t="str">
        <x:v>Habit</x:v>
      </x:c>
      <x:c r="E578" s="215" t="str">
        <x:v>Deciduous trees, rarely shrubs</x:v>
      </x:c>
      <x:c r="F578" s="215" t="str">
        <x:v>Strong</x:v>
      </x:c>
      <x:c r="G578" s="215" t="str">
        <x:v>2</x:v>
      </x:c>
      <x:c r="H578" s="215" t="str">
        <x:v>High</x:v>
      </x:c>
      <x:c r="I578" s="215" t="str">
        <x:v>Naked eye or hand lens</x:v>
      </x:c>
      <x:c r="J578" s="215" t="str">
        <x:v>Any leafy material</x:v>
      </x:c>
      <x:c r="K578" s="215" t="str">
        <x:v>Walnut-family plants in Hays are substantial woody plants.</x:v>
      </x:c>
      <x:c r="L578" s="215" t="str">
        <x:v>Habit overlaps many riparian and woodland trees.</x:v>
      </x:c>
      <x:c r="M578" s="215" t="str">
        <x:v>Use with aromatic compound leaves and reproductive structures.</x:v>
      </x:c>
      <x:c r="N578" s="215" t="str">
        <x:v>Pecan, hickory, and walnut relatives are ecologically important Hays trees, especially along creeks, floodplains, and deeper soils.</x:v>
      </x:c>
      <x:c r="O578" s="215" t="str">
        <x:v>Low</x:v>
      </x:c>
      <x:c r="P578" s="215" t="str">
        <x:v>No</x:v>
      </x:c>
      <x:c r="Q578" s="215" t="str"/>
      <x:c r="R578" s="215" t="str"/>
      <x:c r="S578" s="215" t="str">
        <x:v>APWEB-JUGL; FNA-JUGL; POWO-JUGL; LBJ-HAYS</x:v>
      </x:c>
      <x:c r="T578" s="215" t="str">
        <x:v>https://www.mobot.org/MOBOT/research/APweb/orders/fagalesweb.htm</x:v>
      </x:c>
      <x:c r="U578" s="215" t="str">
        <x:v>https://floranorthamerica.org/Juglandaceae</x:v>
      </x:c>
      <x:c r="V578" s="215" t="str">
        <x:v>https://powo.science.kew.org/taxon/urn:lsid:ipni.org:names:77126720-1/general-information</x:v>
      </x:c>
      <x:c r="W578" s="215" t="str">
        <x:v>https://www.mobot.org/MOBOT/research/APweb/orders/fagalesweb.htm
https://floranorthamerica.org/Juglandaceae
https://powo.science.kew.org/taxon/urn:lsid:ipni.org:names:77126720-1/general-information
https://www.wildflower.org/collections/collection.php?collection=hays</x:v>
      </x:c>
      <x:c r="X578" s="215" t="str">
        <x:v>No — retain qualifiers and exceptions</x:v>
      </x:c>
      <x:c r="Y578" s="215" t="str">
        <x:v>Yes</x:v>
      </x:c>
      <x:c r="Z578" s="215" t="str">
        <x:v>Source-backed draft</x:v>
      </x:c>
    </x:row>
    <x:row r="579" ht="42" customHeight="1">
      <x:c r="A579" s="215" t="str">
        <x:v>Juglandaceae</x:v>
      </x:c>
      <x:c r="B579" s="215" t="str">
        <x:v>JUG-BUDS</x:v>
      </x:c>
      <x:c r="C579" s="215" t="str">
        <x:v>Family character</x:v>
      </x:c>
      <x:c r="D579" s="215" t="str">
        <x:v>Stems / buds</x:v>
      </x:c>
      <x:c r="E579" s="215" t="str">
        <x:v>Terminal buds typically larger than lateral buds</x:v>
      </x:c>
      <x:c r="F579" s="215" t="str">
        <x:v>Supporting</x:v>
      </x:c>
      <x:c r="G579" s="215" t="str">
        <x:v>2</x:v>
      </x:c>
      <x:c r="H579" s="215" t="str">
        <x:v>High</x:v>
      </x:c>
      <x:c r="I579" s="215" t="str">
        <x:v>Naked eye or hand lens</x:v>
      </x:c>
      <x:c r="J579" s="215" t="str">
        <x:v>Dormant or intact terminal shoots</x:v>
      </x:c>
      <x:c r="K579" s="215" t="str">
        <x:v>A prominent terminal bud supports Juglandaceae on dormant or leafy twigs.</x:v>
      </x:c>
      <x:c r="L579" s="215" t="str">
        <x:v>Bud size varies by genus and season.</x:v>
      </x:c>
      <x:c r="M579" s="215" t="str">
        <x:v>Compare terminal and lateral buds on the same shoot.</x:v>
      </x:c>
      <x:c r="N579" s="215" t="str">
        <x:v>Pecan, hickory, and walnut relatives are ecologically important Hays trees, especially along creeks, floodplains, and deeper soils.</x:v>
      </x:c>
      <x:c r="O579" s="215" t="str">
        <x:v>Low</x:v>
      </x:c>
      <x:c r="P579" s="215" t="str">
        <x:v>No</x:v>
      </x:c>
      <x:c r="Q579" s="215" t="str"/>
      <x:c r="R579" s="215" t="str"/>
      <x:c r="S579" s="215" t="str">
        <x:v>APWEB-JUGL; FNA-JUGL; POWO-JUGL; LBJ-HAYS</x:v>
      </x:c>
      <x:c r="T579" s="215" t="str">
        <x:v>https://www.mobot.org/MOBOT/research/APweb/orders/fagalesweb.htm</x:v>
      </x:c>
      <x:c r="U579" s="215" t="str">
        <x:v>https://floranorthamerica.org/Juglandaceae</x:v>
      </x:c>
      <x:c r="V579" s="215" t="str">
        <x:v>https://powo.science.kew.org/taxon/urn:lsid:ipni.org:names:77126720-1/general-information</x:v>
      </x:c>
      <x:c r="W579" s="215" t="str">
        <x:v>https://www.mobot.org/MOBOT/research/APweb/orders/fagalesweb.htm
https://floranorthamerica.org/Juglandaceae
https://powo.science.kew.org/taxon/urn:lsid:ipni.org:names:77126720-1/general-information
https://www.wildflower.org/collections/collection.php?collection=hays</x:v>
      </x:c>
      <x:c r="X579" s="215" t="str">
        <x:v>No — retain qualifiers and exceptions</x:v>
      </x:c>
      <x:c r="Y579" s="215" t="str">
        <x:v>Yes</x:v>
      </x:c>
      <x:c r="Z579" s="215" t="str">
        <x:v>Source-backed draft</x:v>
      </x:c>
    </x:row>
    <x:row r="580" ht="42" customHeight="1">
      <x:c r="A580" s="215" t="str">
        <x:v>Juglandaceae</x:v>
      </x:c>
      <x:c r="B580" s="215" t="str">
        <x:v>JUG-LEAVES</x:v>
      </x:c>
      <x:c r="C580" s="215" t="str">
        <x:v>Family character</x:v>
      </x:c>
      <x:c r="D580" s="215" t="str">
        <x:v>Leaves / stipules</x:v>
      </x:c>
      <x:c r="E580" s="215" t="str">
        <x:v>Leaves alternate, aromatic, usually odd-pinnately compound, without stipules</x:v>
      </x:c>
      <x:c r="F580" s="215" t="str">
        <x:v>Strong</x:v>
      </x:c>
      <x:c r="G580" s="215" t="str">
        <x:v>5</x:v>
      </x:c>
      <x:c r="H580" s="215" t="str">
        <x:v>High</x:v>
      </x:c>
      <x:c r="I580" s="215" t="str">
        <x:v>Naked eye or hand lens</x:v>
      </x:c>
      <x:c r="J580" s="215" t="str">
        <x:v>Leafy shoots</x:v>
      </x:c>
      <x:c r="K580" s="215" t="str">
        <x:v>Crushed walnut or pecan foliage is aromatic and divided into multiple leaflets.</x:v>
      </x:c>
      <x:c r="L580" s="215" t="str">
        <x:v>Even-pinnate leaves and weak odor occur in some taxa; crushing should be minimal.</x:v>
      </x:c>
      <x:c r="M580" s="215" t="str">
        <x:v>Confirm leaflet arrangement and lack of stipules, then seek fruit.</x:v>
      </x:c>
      <x:c r="N580" s="215" t="str">
        <x:v>Pecan, hickory, and walnut relatives are ecologically important Hays trees, especially along creeks, floodplains, and deeper soils.</x:v>
      </x:c>
      <x:c r="O580" s="215" t="str">
        <x:v>Low</x:v>
      </x:c>
      <x:c r="P580" s="215" t="str">
        <x:v>No</x:v>
      </x:c>
      <x:c r="Q580" s="215" t="str"/>
      <x:c r="R580" s="215" t="str">
        <x:v>JUG-LK01; JUG-LK02</x:v>
      </x:c>
      <x:c r="S580" s="215" t="str">
        <x:v>APWEB-JUGL; FNA-JUGL; POWO-JUGL; LBJ-HAYS</x:v>
      </x:c>
      <x:c r="T580" s="215" t="str">
        <x:v>https://www.mobot.org/MOBOT/research/APweb/orders/fagalesweb.htm</x:v>
      </x:c>
      <x:c r="U580" s="215" t="str">
        <x:v>https://floranorthamerica.org/Juglandaceae</x:v>
      </x:c>
      <x:c r="V580" s="215" t="str">
        <x:v>https://powo.science.kew.org/taxon/urn:lsid:ipni.org:names:77126720-1/general-information</x:v>
      </x:c>
      <x:c r="W580" s="215" t="str">
        <x:v>https://www.mobot.org/MOBOT/research/APweb/orders/fagalesweb.htm
https://floranorthamerica.org/Juglandaceae
https://powo.science.kew.org/taxon/urn:lsid:ipni.org:names:77126720-1/general-information
https://www.wildflower.org/collections/collection.php?collection=hays</x:v>
      </x:c>
      <x:c r="X580" s="215" t="str">
        <x:v>No — retain qualifiers and exceptions</x:v>
      </x:c>
      <x:c r="Y580" s="215" t="str">
        <x:v>Yes</x:v>
      </x:c>
      <x:c r="Z580" s="215" t="str">
        <x:v>Source-backed draft</x:v>
      </x:c>
    </x:row>
    <x:row r="581" ht="42" customHeight="1">
      <x:c r="A581" s="215" t="str">
        <x:v>Juglandaceae</x:v>
      </x:c>
      <x:c r="B581" s="215" t="str">
        <x:v>JUG-CATKINS</x:v>
      </x:c>
      <x:c r="C581" s="215" t="str">
        <x:v>Family character</x:v>
      </x:c>
      <x:c r="D581" s="215" t="str">
        <x:v>Inflorescence</x:v>
      </x:c>
      <x:c r="E581" s="215" t="str">
        <x:v>Staminate flowers in long pendulous catkins; pistillate flowers solitary or in short spikes</x:v>
      </x:c>
      <x:c r="F581" s="215" t="str">
        <x:v>Strong</x:v>
      </x:c>
      <x:c r="G581" s="215" t="str">
        <x:v>4</x:v>
      </x:c>
      <x:c r="H581" s="215" t="str">
        <x:v>High</x:v>
      </x:c>
      <x:c r="I581" s="215" t="str">
        <x:v>Naked eye or hand lens</x:v>
      </x:c>
      <x:c r="J581" s="215" t="str">
        <x:v>Spring flowering shoots</x:v>
      </x:c>
      <x:c r="K581" s="215" t="str">
        <x:v>The same tree bears dangling male catkins and small female clusters.</x:v>
      </x:c>
      <x:c r="L581" s="215" t="str">
        <x:v>Timing differs and one sex may not be visible simultaneously.</x:v>
      </x:c>
      <x:c r="M581" s="215" t="str">
        <x:v>Look on previous- and current-season growth as appropriate.</x:v>
      </x:c>
      <x:c r="N581" s="215" t="str">
        <x:v>Pecan, hickory, and walnut relatives are ecologically important Hays trees, especially along creeks, floodplains, and deeper soils.</x:v>
      </x:c>
      <x:c r="O581" s="215" t="str">
        <x:v>Low</x:v>
      </x:c>
      <x:c r="P581" s="215" t="str">
        <x:v>No</x:v>
      </x:c>
      <x:c r="Q581" s="215" t="str"/>
      <x:c r="R581" s="215" t="str"/>
      <x:c r="S581" s="215" t="str">
        <x:v>APWEB-JUGL; FNA-JUGL; POWO-JUGL; LBJ-HAYS</x:v>
      </x:c>
      <x:c r="T581" s="215" t="str">
        <x:v>https://www.mobot.org/MOBOT/research/APweb/orders/fagalesweb.htm</x:v>
      </x:c>
      <x:c r="U581" s="215" t="str">
        <x:v>https://floranorthamerica.org/Juglandaceae</x:v>
      </x:c>
      <x:c r="V581" s="215" t="str">
        <x:v>https://powo.science.kew.org/taxon/urn:lsid:ipni.org:names:77126720-1/general-information</x:v>
      </x:c>
      <x:c r="W581" s="215" t="str">
        <x:v>https://www.mobot.org/MOBOT/research/APweb/orders/fagalesweb.htm
https://floranorthamerica.org/Juglandaceae
https://powo.science.kew.org/taxon/urn:lsid:ipni.org:names:77126720-1/general-information
https://www.wildflower.org/collections/collection.php?collection=hays</x:v>
      </x:c>
      <x:c r="X581" s="215" t="str">
        <x:v>No — retain qualifiers and exceptions</x:v>
      </x:c>
      <x:c r="Y581" s="215" t="str">
        <x:v>Yes</x:v>
      </x:c>
      <x:c r="Z581" s="215" t="str">
        <x:v>Source-backed draft</x:v>
      </x:c>
    </x:row>
    <x:row r="582" ht="42" customHeight="1">
      <x:c r="A582" s="215" t="str">
        <x:v>Juglandaceae</x:v>
      </x:c>
      <x:c r="B582" s="215" t="str">
        <x:v>JUG-FLOWER</x:v>
      </x:c>
      <x:c r="C582" s="215" t="str">
        <x:v>Family character</x:v>
      </x:c>
      <x:c r="D582" s="215" t="str">
        <x:v>Flowers</x:v>
      </x:c>
      <x:c r="E582" s="215" t="str">
        <x:v>Flowers unisexual on the same plant, petals absent, perianth reduced</x:v>
      </x:c>
      <x:c r="F582" s="215" t="str">
        <x:v>Strong</x:v>
      </x:c>
      <x:c r="G582" s="215" t="str">
        <x:v>3</x:v>
      </x:c>
      <x:c r="H582" s="215" t="str">
        <x:v>High</x:v>
      </x:c>
      <x:c r="I582" s="215" t="str">
        <x:v>Naked eye or hand lens</x:v>
      </x:c>
      <x:c r="J582" s="215" t="str">
        <x:v>Fresh flowers</x:v>
      </x:c>
      <x:c r="K582" s="215" t="str">
        <x:v>Showy petals are absent; wind-pollinated structures dominate.</x:v>
      </x:c>
      <x:c r="L582" s="215" t="str">
        <x:v>Reduced flowers overlap other catkin-bearing trees.</x:v>
      </x:c>
      <x:c r="M582" s="215" t="str">
        <x:v>Use compound leaves and husked nuts to confirm.</x:v>
      </x:c>
      <x:c r="N582" s="215" t="str">
        <x:v>Pecan, hickory, and walnut relatives are ecologically important Hays trees, especially along creeks, floodplains, and deeper soils.</x:v>
      </x:c>
      <x:c r="O582" s="215" t="str">
        <x:v>Low</x:v>
      </x:c>
      <x:c r="P582" s="215" t="str">
        <x:v>No</x:v>
      </x:c>
      <x:c r="Q582" s="215" t="str"/>
      <x:c r="R582" s="215" t="str"/>
      <x:c r="S582" s="215" t="str">
        <x:v>APWEB-JUGL; FNA-JUGL; POWO-JUGL; LBJ-HAYS</x:v>
      </x:c>
      <x:c r="T582" s="215" t="str">
        <x:v>https://www.mobot.org/MOBOT/research/APweb/orders/fagalesweb.htm</x:v>
      </x:c>
      <x:c r="U582" s="215" t="str">
        <x:v>https://floranorthamerica.org/Juglandaceae</x:v>
      </x:c>
      <x:c r="V582" s="215" t="str">
        <x:v>https://powo.science.kew.org/taxon/urn:lsid:ipni.org:names:77126720-1/general-information</x:v>
      </x:c>
      <x:c r="W582" s="215" t="str">
        <x:v>https://www.mobot.org/MOBOT/research/APweb/orders/fagalesweb.htm
https://floranorthamerica.org/Juglandaceae
https://powo.science.kew.org/taxon/urn:lsid:ipni.org:names:77126720-1/general-information
https://www.wildflower.org/collections/collection.php?collection=hays</x:v>
      </x:c>
      <x:c r="X582" s="215" t="str">
        <x:v>No — retain qualifiers and exceptions</x:v>
      </x:c>
      <x:c r="Y582" s="215" t="str">
        <x:v>Yes</x:v>
      </x:c>
      <x:c r="Z582" s="215" t="str">
        <x:v>Source-backed draft</x:v>
      </x:c>
    </x:row>
    <x:row r="583" ht="42" customHeight="1">
      <x:c r="A583" s="215" t="str">
        <x:v>Juglandaceae</x:v>
      </x:c>
      <x:c r="B583" s="215" t="str">
        <x:v>JUG-STAMENS</x:v>
      </x:c>
      <x:c r="C583" s="215" t="str">
        <x:v>Family character</x:v>
      </x:c>
      <x:c r="D583" s="215" t="str">
        <x:v>Stamens</x:v>
      </x:c>
      <x:c r="E583" s="215" t="str">
        <x:v>Staminate flowers bear several to many stamens, commonly 3–50 across the family</x:v>
      </x:c>
      <x:c r="F583" s="215" t="str">
        <x:v>Supporting</x:v>
      </x:c>
      <x:c r="G583" s="215" t="str">
        <x:v>1</x:v>
      </x:c>
      <x:c r="H583" s="215" t="str">
        <x:v>High</x:v>
      </x:c>
      <x:c r="I583" s="215" t="str">
        <x:v>Hand lens</x:v>
      </x:c>
      <x:c r="J583" s="215" t="str">
        <x:v>Fresh staminate catkins</x:v>
      </x:c>
      <x:c r="K583" s="215" t="str">
        <x:v>Male catkins contain numerous exposed pollen-producing anthers.</x:v>
      </x:c>
      <x:c r="L583" s="215" t="str">
        <x:v>Counts vary strongly between Carya and Juglans.</x:v>
      </x:c>
      <x:c r="M583" s="215" t="str">
        <x:v>Do not use a fixed stamen count above family level.</x:v>
      </x:c>
      <x:c r="N583" s="215" t="str">
        <x:v>Pecan, hickory, and walnut relatives are ecologically important Hays trees, especially along creeks, floodplains, and deeper soils.</x:v>
      </x:c>
      <x:c r="O583" s="215" t="str">
        <x:v>Low</x:v>
      </x:c>
      <x:c r="P583" s="215" t="str">
        <x:v>No</x:v>
      </x:c>
      <x:c r="Q583" s="215" t="str"/>
      <x:c r="R583" s="215" t="str"/>
      <x:c r="S583" s="215" t="str">
        <x:v>APWEB-JUGL; FNA-JUGL; POWO-JUGL; LBJ-HAYS</x:v>
      </x:c>
      <x:c r="T583" s="215" t="str">
        <x:v>https://www.mobot.org/MOBOT/research/APweb/orders/fagalesweb.htm</x:v>
      </x:c>
      <x:c r="U583" s="215" t="str">
        <x:v>https://floranorthamerica.org/Juglandaceae</x:v>
      </x:c>
      <x:c r="V583" s="215" t="str">
        <x:v>https://powo.science.kew.org/taxon/urn:lsid:ipni.org:names:77126720-1/general-information</x:v>
      </x:c>
      <x:c r="W583" s="215" t="str">
        <x:v>https://www.mobot.org/MOBOT/research/APweb/orders/fagalesweb.htm
https://floranorthamerica.org/Juglandaceae
https://powo.science.kew.org/taxon/urn:lsid:ipni.org:names:77126720-1/general-information
https://www.wildflower.org/collections/collection.php?collection=hays</x:v>
      </x:c>
      <x:c r="X583" s="215" t="str">
        <x:v>No — retain qualifiers and exceptions</x:v>
      </x:c>
      <x:c r="Y583" s="215" t="str">
        <x:v>Yes</x:v>
      </x:c>
      <x:c r="Z583" s="215" t="str">
        <x:v>Source-backed draft</x:v>
      </x:c>
    </x:row>
    <x:row r="584" ht="42" customHeight="1">
      <x:c r="A584" s="215" t="str">
        <x:v>Juglandaceae</x:v>
      </x:c>
      <x:c r="B584" s="215" t="str">
        <x:v>JUG-OVARY</x:v>
      </x:c>
      <x:c r="C584" s="215" t="str">
        <x:v>Family character</x:v>
      </x:c>
      <x:c r="D584" s="215" t="str">
        <x:v>Gynoecium</x:v>
      </x:c>
      <x:c r="E584" s="215" t="str">
        <x:v>Ovary inferior, usually 2-carpellate, with one functional ovule and two stigmas</x:v>
      </x:c>
      <x:c r="F584" s="215" t="str">
        <x:v>Strong</x:v>
      </x:c>
      <x:c r="G584" s="215" t="str">
        <x:v>4</x:v>
      </x:c>
      <x:c r="H584" s="215" t="str">
        <x:v>High</x:v>
      </x:c>
      <x:c r="I584" s="215" t="str">
        <x:v>Hand lens or dissection</x:v>
      </x:c>
      <x:c r="J584" s="215" t="str">
        <x:v>Fresh pistillate flowers</x:v>
      </x:c>
      <x:c r="K584" s="215" t="str">
        <x:v>The female flower matures into a single-seeded nut beneath the perianth and involucre.</x:v>
      </x:c>
      <x:c r="L584" s="215" t="str">
        <x:v>Dissection is difficult and immature husks obscure insertion.</x:v>
      </x:c>
      <x:c r="M584" s="215" t="str">
        <x:v>Use mature fruit construction as the practical expression.</x:v>
      </x:c>
      <x:c r="N584" s="215" t="str">
        <x:v>Pecan, hickory, and walnut relatives are ecologically important Hays trees, especially along creeks, floodplains, and deeper soils.</x:v>
      </x:c>
      <x:c r="O584" s="215" t="str">
        <x:v>Low</x:v>
      </x:c>
      <x:c r="P584" s="215" t="str">
        <x:v>No</x:v>
      </x:c>
      <x:c r="Q584" s="215" t="str"/>
      <x:c r="R584" s="215" t="str"/>
      <x:c r="S584" s="215" t="str">
        <x:v>APWEB-JUGL; FNA-JUGL; POWO-JUGL; LBJ-HAYS</x:v>
      </x:c>
      <x:c r="T584" s="215" t="str">
        <x:v>https://www.mobot.org/MOBOT/research/APweb/orders/fagalesweb.htm</x:v>
      </x:c>
      <x:c r="U584" s="215" t="str">
        <x:v>https://floranorthamerica.org/Juglandaceae</x:v>
      </x:c>
      <x:c r="V584" s="215" t="str">
        <x:v>https://powo.science.kew.org/taxon/urn:lsid:ipni.org:names:77126720-1/general-information</x:v>
      </x:c>
      <x:c r="W584" s="215" t="str">
        <x:v>https://www.mobot.org/MOBOT/research/APweb/orders/fagalesweb.htm
https://floranorthamerica.org/Juglandaceae
https://powo.science.kew.org/taxon/urn:lsid:ipni.org:names:77126720-1/general-information
https://www.wildflower.org/collections/collection.php?collection=hays</x:v>
      </x:c>
      <x:c r="X584" s="215" t="str">
        <x:v>No — retain qualifiers and exceptions</x:v>
      </x:c>
      <x:c r="Y584" s="215" t="str">
        <x:v>Yes</x:v>
      </x:c>
      <x:c r="Z584" s="215" t="str">
        <x:v>Source-backed draft</x:v>
      </x:c>
    </x:row>
    <x:row r="585" ht="42" customHeight="1">
      <x:c r="A585" s="215" t="str">
        <x:v>Juglandaceae</x:v>
      </x:c>
      <x:c r="B585" s="215" t="str">
        <x:v>JUG-FRUIT</x:v>
      </x:c>
      <x:c r="C585" s="215" t="str">
        <x:v>Family character</x:v>
      </x:c>
      <x:c r="D585" s="215" t="str">
        <x:v>Fruit / involucre</x:v>
      </x:c>
      <x:c r="E585" s="215" t="str">
        <x:v>Fruit a large one-seeded nut enclosed by a fibrous-fleshy or hard husk derived partly from involucre and calyx</x:v>
      </x:c>
      <x:c r="F585" s="215" t="str">
        <x:v>Strong</x:v>
      </x:c>
      <x:c r="G585" s="215" t="str">
        <x:v>5</x:v>
      </x:c>
      <x:c r="H585" s="215" t="str">
        <x:v>High</x:v>
      </x:c>
      <x:c r="I585" s="215" t="str">
        <x:v>Naked eye or hand lens</x:v>
      </x:c>
      <x:c r="J585" s="215" t="str">
        <x:v>Mature fruit</x:v>
      </x:c>
      <x:c r="K585" s="215" t="str">
        <x:v>Pecans, hickories, and walnuts are true nuts surrounded by husks, not botanical drupes.</x:v>
      </x:c>
      <x:c r="L585" s="215" t="str">
        <x:v>Husks split in Carya but are commonly indehiscent in Juglans; fruit size varies.</x:v>
      </x:c>
      <x:c r="M585" s="215" t="str">
        <x:v>Use husk behavior and nut surface for genus-level follow-up.</x:v>
      </x:c>
      <x:c r="N585" s="215" t="str">
        <x:v>Pecan, hickory, and walnut relatives are ecologically important Hays trees, especially along creeks, floodplains, and deeper soils.</x:v>
      </x:c>
      <x:c r="O585" s="215" t="str">
        <x:v>Low</x:v>
      </x:c>
      <x:c r="P585" s="215" t="str">
        <x:v>No</x:v>
      </x:c>
      <x:c r="Q585" s="215" t="str"/>
      <x:c r="R585" s="215" t="str">
        <x:v>JUG-LK01; JUG-LK02</x:v>
      </x:c>
      <x:c r="S585" s="215" t="str">
        <x:v>APWEB-JUGL; FNA-JUGL; POWO-JUGL; LBJ-HAYS</x:v>
      </x:c>
      <x:c r="T585" s="215" t="str">
        <x:v>https://www.mobot.org/MOBOT/research/APweb/orders/fagalesweb.htm</x:v>
      </x:c>
      <x:c r="U585" s="215" t="str">
        <x:v>https://floranorthamerica.org/Juglandaceae</x:v>
      </x:c>
      <x:c r="V585" s="215" t="str">
        <x:v>https://powo.science.kew.org/taxon/urn:lsid:ipni.org:names:77126720-1/general-information</x:v>
      </x:c>
      <x:c r="W585" s="215" t="str">
        <x:v>https://www.mobot.org/MOBOT/research/APweb/orders/fagalesweb.htm
https://floranorthamerica.org/Juglandaceae
https://powo.science.kew.org/taxon/urn:lsid:ipni.org:names:77126720-1/general-information
https://www.wildflower.org/collections/collection.php?collection=hays</x:v>
      </x:c>
      <x:c r="X585" s="215" t="str">
        <x:v>No — retain qualifiers and exceptions</x:v>
      </x:c>
      <x:c r="Y585" s="215" t="str">
        <x:v>Yes</x:v>
      </x:c>
      <x:c r="Z585" s="215" t="str">
        <x:v>Source-backed draft</x:v>
      </x:c>
    </x:row>
    <x:row r="586" ht="42" customHeight="1">
      <x:c r="A586" s="215" t="str">
        <x:v>Juglandaceae</x:v>
      </x:c>
      <x:c r="B586" s="215" t="str">
        <x:v>JUG-SEED</x:v>
      </x:c>
      <x:c r="C586" s="215" t="str">
        <x:v>Family character</x:v>
      </x:c>
      <x:c r="D586" s="215" t="str">
        <x:v>Seeds</x:v>
      </x:c>
      <x:c r="E586" s="215" t="str">
        <x:v>One seed with fleshy oily, deeply lobed cotyledons and little or no endosperm</x:v>
      </x:c>
      <x:c r="F586" s="215" t="str">
        <x:v>Supporting</x:v>
      </x:c>
      <x:c r="G586" s="215" t="str">
        <x:v>2</x:v>
      </x:c>
      <x:c r="H586" s="215" t="str">
        <x:v>High</x:v>
      </x:c>
      <x:c r="I586" s="215" t="str">
        <x:v>Naked eye or hand lens</x:v>
      </x:c>
      <x:c r="J586" s="215" t="str">
        <x:v>Mature opened nuts</x:v>
      </x:c>
      <x:c r="K586" s="215" t="str">
        <x:v>The edible kernel is mainly the embryo’s thick folded cotyledons.</x:v>
      </x:c>
      <x:c r="L586" s="215" t="str">
        <x:v>Seed characters require opening the hard nut.</x:v>
      </x:c>
      <x:c r="M586" s="215" t="str">
        <x:v>Use only as mature-fruit confirmation.</x:v>
      </x:c>
      <x:c r="N586" s="215" t="str">
        <x:v>Pecan, hickory, and walnut relatives are ecologically important Hays trees, especially along creeks, floodplains, and deeper soils.</x:v>
      </x:c>
      <x:c r="O586" s="215" t="str">
        <x:v>Low</x:v>
      </x:c>
      <x:c r="P586" s="215" t="str">
        <x:v>No</x:v>
      </x:c>
      <x:c r="Q586" s="215" t="str"/>
      <x:c r="R586" s="215" t="str"/>
      <x:c r="S586" s="215" t="str">
        <x:v>APWEB-JUGL; FNA-JUGL; POWO-JUGL; LBJ-HAYS</x:v>
      </x:c>
      <x:c r="T586" s="215" t="str">
        <x:v>https://www.mobot.org/MOBOT/research/APweb/orders/fagalesweb.htm</x:v>
      </x:c>
      <x:c r="U586" s="215" t="str">
        <x:v>https://floranorthamerica.org/Juglandaceae</x:v>
      </x:c>
      <x:c r="V586" s="215" t="str">
        <x:v>https://powo.science.kew.org/taxon/urn:lsid:ipni.org:names:77126720-1/general-information</x:v>
      </x:c>
      <x:c r="W586" s="215" t="str">
        <x:v>https://www.mobot.org/MOBOT/research/APweb/orders/fagalesweb.htm
https://floranorthamerica.org/Juglandaceae
https://powo.science.kew.org/taxon/urn:lsid:ipni.org:names:77126720-1/general-information
https://www.wildflower.org/collections/collection.php?collection=hays</x:v>
      </x:c>
      <x:c r="X586" s="215" t="str">
        <x:v>No — retain qualifiers and exceptions</x:v>
      </x:c>
      <x:c r="Y586" s="215" t="str">
        <x:v>Yes</x:v>
      </x:c>
      <x:c r="Z586" s="215" t="str">
        <x:v>Source-backed draft</x:v>
      </x:c>
    </x:row>
    <x:row r="587" ht="42" customHeight="1">
      <x:c r="A587" s="215" t="str">
        <x:v>Juglandaceae</x:v>
      </x:c>
      <x:c r="B587" s="215" t="str">
        <x:v>JUG-LK01</x:v>
      </x:c>
      <x:c r="C587" s="215" t="str">
        <x:v>Lookalike comparison</x:v>
      </x:c>
      <x:c r="D587" s="215" t="str">
        <x:v>Lookalike</x:v>
      </x:c>
      <x:c r="E587" s="215" t="str">
        <x:v>Versus Sapindaceae: aromatic alternate pinnate leaves plus a husked nut favor Juglandaceae; opposite leaves or winged samaras and non-husked fruits favor common local Sapindaceae</x:v>
      </x:c>
      <x:c r="F587" s="215" t="str">
        <x:v>Lookalike</x:v>
      </x:c>
      <x:c r="G587" s="215" t="str">
        <x:v>5</x:v>
      </x:c>
      <x:c r="H587" s="215" t="str">
        <x:v>High</x:v>
      </x:c>
      <x:c r="I587" s="215" t="str">
        <x:v>Naked eye or hand lens</x:v>
      </x:c>
      <x:c r="J587" s="215" t="str">
        <x:v>Leafy fruiting material</x:v>
      </x:c>
      <x:c r="K587" s="215" t="str">
        <x:v>Compound leaves can cause sterile confusion.</x:v>
      </x:c>
      <x:c r="L587" s="215" t="str">
        <x:v>Sapindaceae leaf arrangement and fruit types are diverse.</x:v>
      </x:c>
      <x:c r="M587" s="215" t="str">
        <x:v>Use mature fruit first, leaf arrangement and odor second.</x:v>
      </x:c>
      <x:c r="N587" s="215" t="str">
        <x:v>Pecan, hickory, and walnut relatives are ecologically important Hays trees, especially along creeks, floodplains, and deeper soils.</x:v>
      </x:c>
      <x:c r="O587" s="215" t="str">
        <x:v>Low</x:v>
      </x:c>
      <x:c r="P587" s="215" t="str">
        <x:v>No</x:v>
      </x:c>
      <x:c r="Q587" s="215" t="str"/>
      <x:c r="R587" s="215" t="str">
        <x:v>JUG-LEAVES; JUG-FRUIT</x:v>
      </x:c>
      <x:c r="S587" s="215" t="str">
        <x:v>APWEB-JUGL; FNA-JUGL; POWO-JUGL; LBJ-HAYS</x:v>
      </x:c>
      <x:c r="T587" s="215" t="str">
        <x:v>https://www.mobot.org/MOBOT/research/APweb/orders/fagalesweb.htm</x:v>
      </x:c>
      <x:c r="U587" s="215" t="str">
        <x:v>https://floranorthamerica.org/Juglandaceae</x:v>
      </x:c>
      <x:c r="V587" s="215" t="str">
        <x:v>https://powo.science.kew.org/taxon/urn:lsid:ipni.org:names:77126720-1/general-information</x:v>
      </x:c>
      <x:c r="W587" s="215" t="str">
        <x:v>https://www.mobot.org/MOBOT/research/APweb/orders/fagalesweb.htm
https://floranorthamerica.org/Juglandaceae
https://powo.science.kew.org/taxon/urn:lsid:ipni.org:names:77126720-1/general-information
https://www.wildflower.org/collections/collection.php?collection=hays</x:v>
      </x:c>
      <x:c r="X587" s="215" t="str">
        <x:v>No — retain qualifiers and exceptions</x:v>
      </x:c>
      <x:c r="Y587" s="215" t="str">
        <x:v>Yes</x:v>
      </x:c>
      <x:c r="Z587" s="215" t="str">
        <x:v>Source-backed draft</x:v>
      </x:c>
    </x:row>
    <x:row r="588" ht="42" customHeight="1">
      <x:c r="A588" s="215" t="str">
        <x:v>Juglandaceae</x:v>
      </x:c>
      <x:c r="B588" s="215" t="str">
        <x:v>JUG-LK02</x:v>
      </x:c>
      <x:c r="C588" s="215" t="str">
        <x:v>Lookalike comparison</x:v>
      </x:c>
      <x:c r="D588" s="215" t="str">
        <x:v>Lookalike</x:v>
      </x:c>
      <x:c r="E588" s="215" t="str">
        <x:v>Versus Betulaceae: aromatic pinnately compound leaves and large husked nuts favor Juglandaceae; simple leaves and small bracted nutlets favor Betulaceae</x:v>
      </x:c>
      <x:c r="F588" s="215" t="str">
        <x:v>Lookalike</x:v>
      </x:c>
      <x:c r="G588" s="215" t="str">
        <x:v>5</x:v>
      </x:c>
      <x:c r="H588" s="215" t="str">
        <x:v>High</x:v>
      </x:c>
      <x:c r="I588" s="215" t="str">
        <x:v>Naked eye or hand lens</x:v>
      </x:c>
      <x:c r="J588" s="215" t="str">
        <x:v>Leafy shoots or mature fruit</x:v>
      </x:c>
      <x:c r="K588" s="215" t="str">
        <x:v>Both are wind-pollinated catkin-bearing trees.</x:v>
      </x:c>
      <x:c r="L588" s="215" t="str">
        <x:v>Male catkins alone can be misleading.</x:v>
      </x:c>
      <x:c r="M588" s="215" t="str">
        <x:v>Use leaf division and mature female fruit structures.</x:v>
      </x:c>
      <x:c r="N588" s="215" t="str">
        <x:v>Pecan, hickory, and walnut relatives are ecologically important Hays trees, especially along creeks, floodplains, and deeper soils.</x:v>
      </x:c>
      <x:c r="O588" s="215" t="str">
        <x:v>Low</x:v>
      </x:c>
      <x:c r="P588" s="215" t="str">
        <x:v>No</x:v>
      </x:c>
      <x:c r="Q588" s="215" t="str"/>
      <x:c r="R588" s="215" t="str">
        <x:v>JUG-LEAVES; JUG-CATKINS; JUG-FRUIT</x:v>
      </x:c>
      <x:c r="S588" s="215" t="str">
        <x:v>APWEB-JUGL; FNA-JUGL; POWO-JUGL; LBJ-HAYS</x:v>
      </x:c>
      <x:c r="T588" s="215" t="str">
        <x:v>https://www.mobot.org/MOBOT/research/APweb/orders/fagalesweb.htm</x:v>
      </x:c>
      <x:c r="U588" s="215" t="str">
        <x:v>https://floranorthamerica.org/Juglandaceae</x:v>
      </x:c>
      <x:c r="V588" s="215" t="str">
        <x:v>https://powo.science.kew.org/taxon/urn:lsid:ipni.org:names:77126720-1/general-information</x:v>
      </x:c>
      <x:c r="W588" s="215" t="str">
        <x:v>https://www.mobot.org/MOBOT/research/APweb/orders/fagalesweb.htm
https://floranorthamerica.org/Juglandaceae
https://powo.science.kew.org/taxon/urn:lsid:ipni.org:names:77126720-1/general-information
https://www.wildflower.org/collections/collection.php?collection=hays</x:v>
      </x:c>
      <x:c r="X588" s="215" t="str">
        <x:v>No — retain qualifiers and exceptions</x:v>
      </x:c>
      <x:c r="Y588" s="215" t="str">
        <x:v>Yes</x:v>
      </x:c>
      <x:c r="Z588" s="215" t="str">
        <x:v>Source-backed draft</x:v>
      </x:c>
    </x:row>
    <x:row r="589" ht="42" customHeight="1">
      <x:c r="A589" s="215" t="str">
        <x:v>Moraceae</x:v>
      </x:c>
      <x:c r="B589" s="215" t="str">
        <x:v>MOR-HABIT</x:v>
      </x:c>
      <x:c r="C589" s="215" t="str">
        <x:v>Family character</x:v>
      </x:c>
      <x:c r="D589" s="215" t="str">
        <x:v>Habit</x:v>
      </x:c>
      <x:c r="E589" s="215" t="str">
        <x:v>Trees, shrubs, herbs, or vines; regional representatives are chiefly woody</x:v>
      </x:c>
      <x:c r="F589" s="215" t="str">
        <x:v>Strong</x:v>
      </x:c>
      <x:c r="G589" s="215" t="str">
        <x:v>1</x:v>
      </x:c>
      <x:c r="H589" s="215" t="str">
        <x:v>High</x:v>
      </x:c>
      <x:c r="I589" s="215" t="str">
        <x:v>Naked eye or hand lens</x:v>
      </x:c>
      <x:c r="J589" s="215" t="str">
        <x:v>Any material</x:v>
      </x:c>
      <x:c r="K589" s="215" t="str">
        <x:v>Mulberry-family plants range widely in habit.</x:v>
      </x:c>
      <x:c r="L589" s="215" t="str">
        <x:v>The family is not universally woody.</x:v>
      </x:c>
      <x:c r="M589" s="215" t="str">
        <x:v>Use habit only as background to latex, flowers, and multiple fruits.</x:v>
      </x:c>
      <x:c r="N589" s="215" t="str">
        <x:v>Mulberries, bois d'arc, and fig relatives make latex, stipules, and multiple-fruit construction practical Central Texas characters.</x:v>
      </x:c>
      <x:c r="O589" s="215" t="str">
        <x:v>Low</x:v>
      </x:c>
      <x:c r="P589" s="215" t="str">
        <x:v>No</x:v>
      </x:c>
      <x:c r="Q589" s="215" t="str"/>
      <x:c r="R589" s="215" t="str"/>
      <x:c r="S589" s="215" t="str">
        <x:v>APWEB-MORA; FNA-MORA; POWO-MORA; LBJ-HAYS</x:v>
      </x:c>
      <x:c r="T589" s="215" t="str">
        <x:v>https://www.mobot.org/MOBOT/research/APweb/orders/rosalesweb.htm</x:v>
      </x:c>
      <x:c r="U589" s="215" t="str">
        <x:v>https://floranorthamerica.org/Moraceae</x:v>
      </x:c>
      <x:c r="V589" s="215" t="str">
        <x:v>https://powo.science.kew.org/taxon/urn:lsid:ipni.org:names:30000043-2/general-information</x:v>
      </x:c>
      <x:c r="W589" s="215" t="str">
        <x:v>https://www.mobot.org/MOBOT/research/APweb/orders/rosalesweb.htm
https://floranorthamerica.org/Moraceae
https://powo.science.kew.org/taxon/urn:lsid:ipni.org:names:30000043-2/general-information
https://www.wildflower.org/collections/collection.php?collection=hays</x:v>
      </x:c>
      <x:c r="X589" s="215" t="str">
        <x:v>No — retain qualifiers and exceptions</x:v>
      </x:c>
      <x:c r="Y589" s="215" t="str">
        <x:v>Yes</x:v>
      </x:c>
      <x:c r="Z589" s="215" t="str">
        <x:v>Source-backed draft</x:v>
      </x:c>
    </x:row>
    <x:row r="590" ht="42" customHeight="1">
      <x:c r="A590" s="215" t="str">
        <x:v>Moraceae</x:v>
      </x:c>
      <x:c r="B590" s="215" t="str">
        <x:v>MOR-SAP</x:v>
      </x:c>
      <x:c r="C590" s="215" t="str">
        <x:v>Family character</x:v>
      </x:c>
      <x:c r="D590" s="215" t="str">
        <x:v>Stems / sap</x:v>
      </x:c>
      <x:c r="E590" s="215" t="str">
        <x:v>Milky latex frequently present</x:v>
      </x:c>
      <x:c r="F590" s="215" t="str">
        <x:v>Strong</x:v>
      </x:c>
      <x:c r="G590" s="215" t="str">
        <x:v>4</x:v>
      </x:c>
      <x:c r="H590" s="215" t="str">
        <x:v>High</x:v>
      </x:c>
      <x:c r="I590" s="215" t="str">
        <x:v>Naked eye or hand lens</x:v>
      </x:c>
      <x:c r="J590" s="215" t="str">
        <x:v>Fresh leafy shoots</x:v>
      </x:c>
      <x:c r="K590" s="215" t="str">
        <x:v>White sap from a broken petiole or twig is a strong clue in many members.</x:v>
      </x:c>
      <x:c r="L590" s="215" t="str">
        <x:v>Latex can be sparse or absent, and other families also have milky sap; avoid unnecessary damage.</x:v>
      </x:c>
      <x:c r="M590" s="215" t="str">
        <x:v>Use as supporting evidence with stipules and fruit construction.</x:v>
      </x:c>
      <x:c r="N590" s="215" t="str">
        <x:v>Mulberries, bois d'arc, and fig relatives make latex, stipules, and multiple-fruit construction practical Central Texas characters.</x:v>
      </x:c>
      <x:c r="O590" s="215" t="str">
        <x:v>Low</x:v>
      </x:c>
      <x:c r="P590" s="215" t="str">
        <x:v>No</x:v>
      </x:c>
      <x:c r="Q590" s="215" t="str"/>
      <x:c r="R590" s="215" t="str">
        <x:v>MOR-LK01; MOR-LK02</x:v>
      </x:c>
      <x:c r="S590" s="215" t="str">
        <x:v>APWEB-MORA; FNA-MORA; POWO-MORA; LBJ-HAYS</x:v>
      </x:c>
      <x:c r="T590" s="215" t="str">
        <x:v>https://www.mobot.org/MOBOT/research/APweb/orders/rosalesweb.htm</x:v>
      </x:c>
      <x:c r="U590" s="215" t="str">
        <x:v>https://floranorthamerica.org/Moraceae</x:v>
      </x:c>
      <x:c r="V590" s="215" t="str">
        <x:v>https://powo.science.kew.org/taxon/urn:lsid:ipni.org:names:30000043-2/general-information</x:v>
      </x:c>
      <x:c r="W590" s="215" t="str">
        <x:v>https://www.mobot.org/MOBOT/research/APweb/orders/rosalesweb.htm
https://floranorthamerica.org/Moraceae
https://powo.science.kew.org/taxon/urn:lsid:ipni.org:names:30000043-2/general-information
https://www.wildflower.org/collections/collection.php?collection=hays</x:v>
      </x:c>
      <x:c r="X590" s="215" t="str">
        <x:v>No — retain qualifiers and exceptions</x:v>
      </x:c>
      <x:c r="Y590" s="215" t="str">
        <x:v>Yes</x:v>
      </x:c>
      <x:c r="Z590" s="215" t="str">
        <x:v>Source-backed draft</x:v>
      </x:c>
    </x:row>
    <x:row r="591" ht="42" customHeight="1">
      <x:c r="A591" s="215" t="str">
        <x:v>Moraceae</x:v>
      </x:c>
      <x:c r="B591" s="215" t="str">
        <x:v>MOR-LEAVES</x:v>
      </x:c>
      <x:c r="C591" s="215" t="str">
        <x:v>Family character</x:v>
      </x:c>
      <x:c r="D591" s="215" t="str">
        <x:v>Leaves / stipules</x:v>
      </x:c>
      <x:c r="E591" s="215" t="str">
        <x:v>Leaves usually alternate and simple, with stipules that may persist or fall; blades entire, toothed, or lobed</x:v>
      </x:c>
      <x:c r="F591" s="215" t="str">
        <x:v>Strong</x:v>
      </x:c>
      <x:c r="G591" s="215" t="str">
        <x:v>3</x:v>
      </x:c>
      <x:c r="H591" s="215" t="str">
        <x:v>High</x:v>
      </x:c>
      <x:c r="I591" s="215" t="str">
        <x:v>Naked eye or hand lens</x:v>
      </x:c>
      <x:c r="J591" s="215" t="str">
        <x:v>Leafy shoots</x:v>
      </x:c>
      <x:c r="K591" s="215" t="str">
        <x:v>Stipules often wrap the young shoot and leave ringlike or paired scars.</x:v>
      </x:c>
      <x:c r="L591" s="215" t="str">
        <x:v>Rare arrangements occur, and stipules may be gone.</x:v>
      </x:c>
      <x:c r="M591" s="215" t="str">
        <x:v>Inspect young nodes and several mature leaves.</x:v>
      </x:c>
      <x:c r="N591" s="215" t="str">
        <x:v>Mulberries, bois d'arc, and fig relatives make latex, stipules, and multiple-fruit construction practical Central Texas characters.</x:v>
      </x:c>
      <x:c r="O591" s="215" t="str">
        <x:v>Low</x:v>
      </x:c>
      <x:c r="P591" s="215" t="str">
        <x:v>No</x:v>
      </x:c>
      <x:c r="Q591" s="215" t="str"/>
      <x:c r="R591" s="215" t="str"/>
      <x:c r="S591" s="215" t="str">
        <x:v>APWEB-MORA; FNA-MORA; POWO-MORA; LBJ-HAYS</x:v>
      </x:c>
      <x:c r="T591" s="215" t="str">
        <x:v>https://www.mobot.org/MOBOT/research/APweb/orders/rosalesweb.htm</x:v>
      </x:c>
      <x:c r="U591" s="215" t="str">
        <x:v>https://floranorthamerica.org/Moraceae</x:v>
      </x:c>
      <x:c r="V591" s="215" t="str">
        <x:v>https://powo.science.kew.org/taxon/urn:lsid:ipni.org:names:30000043-2/general-information</x:v>
      </x:c>
      <x:c r="W591" s="215" t="str">
        <x:v>https://www.mobot.org/MOBOT/research/APweb/orders/rosalesweb.htm
https://floranorthamerica.org/Moraceae
https://powo.science.kew.org/taxon/urn:lsid:ipni.org:names:30000043-2/general-information
https://www.wildflower.org/collections/collection.php?collection=hays</x:v>
      </x:c>
      <x:c r="X591" s="215" t="str">
        <x:v>No — retain qualifiers and exceptions</x:v>
      </x:c>
      <x:c r="Y591" s="215" t="str">
        <x:v>Yes</x:v>
      </x:c>
      <x:c r="Z591" s="215" t="str">
        <x:v>Source-backed draft</x:v>
      </x:c>
    </x:row>
    <x:row r="592" ht="42" customHeight="1">
      <x:c r="A592" s="215" t="str">
        <x:v>Moraceae</x:v>
      </x:c>
      <x:c r="B592" s="215" t="str">
        <x:v>MOR-INFLO</x:v>
      </x:c>
      <x:c r="C592" s="215" t="str">
        <x:v>Family character</x:v>
      </x:c>
      <x:c r="D592" s="215" t="str">
        <x:v>Inflorescence</x:v>
      </x:c>
      <x:c r="E592" s="215" t="str">
        <x:v>Flowers crowded in racemes, heads, flattened receptacles, or enclosed syconia</x:v>
      </x:c>
      <x:c r="F592" s="215" t="str">
        <x:v>Strong</x:v>
      </x:c>
      <x:c r="G592" s="215" t="str">
        <x:v>4</x:v>
      </x:c>
      <x:c r="H592" s="215" t="str">
        <x:v>High</x:v>
      </x:c>
      <x:c r="I592" s="215" t="str">
        <x:v>Naked eye or hand lens</x:v>
      </x:c>
      <x:c r="J592" s="215" t="str">
        <x:v>Flowering or young fruit</x:v>
      </x:c>
      <x:c r="K592" s="215" t="str">
        <x:v>Many tiny flowers are packed into a structure that later becomes a multiple fruit.</x:v>
      </x:c>
      <x:c r="L592" s="215" t="str">
        <x:v>Inflorescence form differs sharply among mulberry, osage-orange, and fig lineages.</x:v>
      </x:c>
      <x:c r="M592" s="215" t="str">
        <x:v>Identify the cluster architecture before interpreting the fruit.</x:v>
      </x:c>
      <x:c r="N592" s="215" t="str">
        <x:v>Mulberries, bois d'arc, and fig relatives make latex, stipules, and multiple-fruit construction practical Central Texas characters.</x:v>
      </x:c>
      <x:c r="O592" s="215" t="str">
        <x:v>Low</x:v>
      </x:c>
      <x:c r="P592" s="215" t="str">
        <x:v>No</x:v>
      </x:c>
      <x:c r="Q592" s="215" t="str"/>
      <x:c r="R592" s="215" t="str"/>
      <x:c r="S592" s="215" t="str">
        <x:v>APWEB-MORA; FNA-MORA; POWO-MORA; LBJ-HAYS</x:v>
      </x:c>
      <x:c r="T592" s="215" t="str">
        <x:v>https://www.mobot.org/MOBOT/research/APweb/orders/rosalesweb.htm</x:v>
      </x:c>
      <x:c r="U592" s="215" t="str">
        <x:v>https://floranorthamerica.org/Moraceae</x:v>
      </x:c>
      <x:c r="V592" s="215" t="str">
        <x:v>https://powo.science.kew.org/taxon/urn:lsid:ipni.org:names:30000043-2/general-information</x:v>
      </x:c>
      <x:c r="W592" s="215" t="str">
        <x:v>https://www.mobot.org/MOBOT/research/APweb/orders/rosalesweb.htm
https://floranorthamerica.org/Moraceae
https://powo.science.kew.org/taxon/urn:lsid:ipni.org:names:30000043-2/general-information
https://www.wildflower.org/collections/collection.php?collection=hays</x:v>
      </x:c>
      <x:c r="X592" s="215" t="str">
        <x:v>No — retain qualifiers and exceptions</x:v>
      </x:c>
      <x:c r="Y592" s="215" t="str">
        <x:v>Yes</x:v>
      </x:c>
      <x:c r="Z592" s="215" t="str">
        <x:v>Source-backed draft</x:v>
      </x:c>
    </x:row>
    <x:row r="593" ht="42" customHeight="1">
      <x:c r="A593" s="215" t="str">
        <x:v>Moraceae</x:v>
      </x:c>
      <x:c r="B593" s="215" t="str">
        <x:v>MOR-FLOWER</x:v>
      </x:c>
      <x:c r="C593" s="215" t="str">
        <x:v>Family character</x:v>
      </x:c>
      <x:c r="D593" s="215" t="str">
        <x:v>Flowers</x:v>
      </x:c>
      <x:c r="E593" s="215" t="str">
        <x:v>Flowers small and unisexual, on the same or different plants; petals absent</x:v>
      </x:c>
      <x:c r="F593" s="215" t="str">
        <x:v>Strong</x:v>
      </x:c>
      <x:c r="G593" s="215" t="str">
        <x:v>3</x:v>
      </x:c>
      <x:c r="H593" s="215" t="str">
        <x:v>High</x:v>
      </x:c>
      <x:c r="I593" s="215" t="str">
        <x:v>Hand lens</x:v>
      </x:c>
      <x:c r="J593" s="215" t="str">
        <x:v>Fresh inflorescences</x:v>
      </x:c>
      <x:c r="K593" s="215" t="str">
        <x:v>Individual flowers are inconspicuous and reduced.</x:v>
      </x:c>
      <x:c r="L593" s="215" t="str">
        <x:v>Sex arrangement and receptacle form vary.</x:v>
      </x:c>
      <x:c r="M593" s="215" t="str">
        <x:v>Use hand-lens flower details only with the cluster structure.</x:v>
      </x:c>
      <x:c r="N593" s="215" t="str">
        <x:v>Mulberries, bois d'arc, and fig relatives make latex, stipules, and multiple-fruit construction practical Central Texas characters.</x:v>
      </x:c>
      <x:c r="O593" s="215" t="str">
        <x:v>Low</x:v>
      </x:c>
      <x:c r="P593" s="215" t="str">
        <x:v>No</x:v>
      </x:c>
      <x:c r="Q593" s="215" t="str"/>
      <x:c r="R593" s="215" t="str"/>
      <x:c r="S593" s="215" t="str">
        <x:v>APWEB-MORA; FNA-MORA; POWO-MORA; LBJ-HAYS</x:v>
      </x:c>
      <x:c r="T593" s="215" t="str">
        <x:v>https://www.mobot.org/MOBOT/research/APweb/orders/rosalesweb.htm</x:v>
      </x:c>
      <x:c r="U593" s="215" t="str">
        <x:v>https://floranorthamerica.org/Moraceae</x:v>
      </x:c>
      <x:c r="V593" s="215" t="str">
        <x:v>https://powo.science.kew.org/taxon/urn:lsid:ipni.org:names:30000043-2/general-information</x:v>
      </x:c>
      <x:c r="W593" s="215" t="str">
        <x:v>https://www.mobot.org/MOBOT/research/APweb/orders/rosalesweb.htm
https://floranorthamerica.org/Moraceae
https://powo.science.kew.org/taxon/urn:lsid:ipni.org:names:30000043-2/general-information
https://www.wildflower.org/collections/collection.php?collection=hays</x:v>
      </x:c>
      <x:c r="X593" s="215" t="str">
        <x:v>No — retain qualifiers and exceptions</x:v>
      </x:c>
      <x:c r="Y593" s="215" t="str">
        <x:v>Yes</x:v>
      </x:c>
      <x:c r="Z593" s="215" t="str">
        <x:v>Source-backed draft</x:v>
      </x:c>
    </x:row>
    <x:row r="594" ht="42" customHeight="1">
      <x:c r="A594" s="215" t="str">
        <x:v>Moraceae</x:v>
      </x:c>
      <x:c r="B594" s="215" t="str">
        <x:v>MOR-STAMENS</x:v>
      </x:c>
      <x:c r="C594" s="215" t="str">
        <x:v>Family character</x:v>
      </x:c>
      <x:c r="D594" s="215" t="str">
        <x:v>Stamens</x:v>
      </x:c>
      <x:c r="E594" s="215" t="str">
        <x:v>Stamens usually equal in number to and opposite the sepals; filaments straight or inflexed</x:v>
      </x:c>
      <x:c r="F594" s="215" t="str">
        <x:v>Supporting</x:v>
      </x:c>
      <x:c r="G594" s="215" t="str">
        <x:v>2</x:v>
      </x:c>
      <x:c r="H594" s="215" t="str">
        <x:v>High</x:v>
      </x:c>
      <x:c r="I594" s="215" t="str">
        <x:v>Hand lens or dissection</x:v>
      </x:c>
      <x:c r="J594" s="215" t="str">
        <x:v>Fresh staminate flowers</x:v>
      </x:c>
      <x:c r="K594" s="215" t="str">
        <x:v>The stamen-perianth relationship supports Moraceae under magnification.</x:v>
      </x:c>
      <x:c r="L594" s="215" t="str">
        <x:v>Counts and filament posture vary by genus.</x:v>
      </x:c>
      <x:c r="M594" s="215" t="str">
        <x:v>Treat as a supporting microscopic character.</x:v>
      </x:c>
      <x:c r="N594" s="215" t="str">
        <x:v>Mulberries, bois d'arc, and fig relatives make latex, stipules, and multiple-fruit construction practical Central Texas characters.</x:v>
      </x:c>
      <x:c r="O594" s="215" t="str">
        <x:v>Low</x:v>
      </x:c>
      <x:c r="P594" s="215" t="str">
        <x:v>No</x:v>
      </x:c>
      <x:c r="Q594" s="215" t="str"/>
      <x:c r="R594" s="215" t="str"/>
      <x:c r="S594" s="215" t="str">
        <x:v>APWEB-MORA; FNA-MORA; POWO-MORA; LBJ-HAYS</x:v>
      </x:c>
      <x:c r="T594" s="215" t="str">
        <x:v>https://www.mobot.org/MOBOT/research/APweb/orders/rosalesweb.htm</x:v>
      </x:c>
      <x:c r="U594" s="215" t="str">
        <x:v>https://floranorthamerica.org/Moraceae</x:v>
      </x:c>
      <x:c r="V594" s="215" t="str">
        <x:v>https://powo.science.kew.org/taxon/urn:lsid:ipni.org:names:30000043-2/general-information</x:v>
      </x:c>
      <x:c r="W594" s="215" t="str">
        <x:v>https://www.mobot.org/MOBOT/research/APweb/orders/rosalesweb.htm
https://floranorthamerica.org/Moraceae
https://powo.science.kew.org/taxon/urn:lsid:ipni.org:names:30000043-2/general-information
https://www.wildflower.org/collections/collection.php?collection=hays</x:v>
      </x:c>
      <x:c r="X594" s="215" t="str">
        <x:v>No — retain qualifiers and exceptions</x:v>
      </x:c>
      <x:c r="Y594" s="215" t="str">
        <x:v>Yes</x:v>
      </x:c>
      <x:c r="Z594" s="215" t="str">
        <x:v>Source-backed draft</x:v>
      </x:c>
    </x:row>
    <x:row r="595" ht="42" customHeight="1">
      <x:c r="A595" s="215" t="str">
        <x:v>Moraceae</x:v>
      </x:c>
      <x:c r="B595" s="215" t="str">
        <x:v>MOR-OVARY</x:v>
      </x:c>
      <x:c r="C595" s="215" t="str">
        <x:v>Family character</x:v>
      </x:c>
      <x:c r="D595" s="215" t="str">
        <x:v>Gynoecium</x:v>
      </x:c>
      <x:c r="E595" s="215" t="str">
        <x:v>Ovary superior or inferior, usually 1-locular with one ovule; one or two style branches</x:v>
      </x:c>
      <x:c r="F595" s="215" t="str">
        <x:v>Moderate</x:v>
      </x:c>
      <x:c r="G595" s="215" t="str">
        <x:v>3</x:v>
      </x:c>
      <x:c r="H595" s="215" t="str">
        <x:v>High</x:v>
      </x:c>
      <x:c r="I595" s="215" t="str">
        <x:v>Hand lens or dissection</x:v>
      </x:c>
      <x:c r="J595" s="215" t="str">
        <x:v>Fresh pistillate flowers</x:v>
      </x:c>
      <x:c r="K595" s="215" t="str">
        <x:v>Each tiny female flower normally forms one achene or drupelet.</x:v>
      </x:c>
      <x:c r="L595" s="215" t="str">
        <x:v>Ovary position varies, so it cannot be coded universally.</x:v>
      </x:c>
      <x:c r="M595" s="215" t="str">
        <x:v>Use the one-seeded unit within a multiple fruit.</x:v>
      </x:c>
      <x:c r="N595" s="215" t="str">
        <x:v>Mulberries, bois d'arc, and fig relatives make latex, stipules, and multiple-fruit construction practical Central Texas characters.</x:v>
      </x:c>
      <x:c r="O595" s="215" t="str">
        <x:v>Low</x:v>
      </x:c>
      <x:c r="P595" s="215" t="str">
        <x:v>No</x:v>
      </x:c>
      <x:c r="Q595" s="215" t="str"/>
      <x:c r="R595" s="215" t="str"/>
      <x:c r="S595" s="215" t="str">
        <x:v>APWEB-MORA; FNA-MORA; POWO-MORA; LBJ-HAYS</x:v>
      </x:c>
      <x:c r="T595" s="215" t="str">
        <x:v>https://www.mobot.org/MOBOT/research/APweb/orders/rosalesweb.htm</x:v>
      </x:c>
      <x:c r="U595" s="215" t="str">
        <x:v>https://floranorthamerica.org/Moraceae</x:v>
      </x:c>
      <x:c r="V595" s="215" t="str">
        <x:v>https://powo.science.kew.org/taxon/urn:lsid:ipni.org:names:30000043-2/general-information</x:v>
      </x:c>
      <x:c r="W595" s="215" t="str">
        <x:v>https://www.mobot.org/MOBOT/research/APweb/orders/rosalesweb.htm
https://floranorthamerica.org/Moraceae
https://powo.science.kew.org/taxon/urn:lsid:ipni.org:names:30000043-2/general-information
https://www.wildflower.org/collections/collection.php?collection=hays</x:v>
      </x:c>
      <x:c r="X595" s="215" t="str">
        <x:v>No — retain qualifiers and exceptions</x:v>
      </x:c>
      <x:c r="Y595" s="215" t="str">
        <x:v>Yes</x:v>
      </x:c>
      <x:c r="Z595" s="215" t="str">
        <x:v>Source-backed draft</x:v>
      </x:c>
    </x:row>
    <x:row r="596" ht="42" customHeight="1">
      <x:c r="A596" s="215" t="str">
        <x:v>Moraceae</x:v>
      </x:c>
      <x:c r="B596" s="215" t="str">
        <x:v>MOR-FRUIT</x:v>
      </x:c>
      <x:c r="C596" s="215" t="str">
        <x:v>Family character</x:v>
      </x:c>
      <x:c r="D596" s="215" t="str">
        <x:v>Fruit</x:v>
      </x:c>
      <x:c r="E596" s="215" t="str">
        <x:v>Fruit multiple: many achenes or drupelets united or enclosed by enlarged calyces or a common receptacle</x:v>
      </x:c>
      <x:c r="F596" s="215" t="str">
        <x:v>Strong</x:v>
      </x:c>
      <x:c r="G596" s="215" t="str">
        <x:v>5</x:v>
      </x:c>
      <x:c r="H596" s="215" t="str">
        <x:v>High</x:v>
      </x:c>
      <x:c r="I596" s="215" t="str">
        <x:v>Naked eye or hand lens</x:v>
      </x:c>
      <x:c r="J596" s="215" t="str">
        <x:v>Mature fruit</x:v>
      </x:c>
      <x:c r="K596" s="215" t="str">
        <x:v>A mulberry, osage-orange ball, or fig is built from many flowers, not one ovary.</x:v>
      </x:c>
      <x:c r="L596" s="215" t="str">
        <x:v>Multiple-fruit appearance varies drastically across genera.</x:v>
      </x:c>
      <x:c r="M596" s="215" t="str">
        <x:v>Look for repeated one-seeded units or the enclosing receptacle.</x:v>
      </x:c>
      <x:c r="N596" s="215" t="str">
        <x:v>Mulberries, bois d'arc, and fig relatives make latex, stipules, and multiple-fruit construction practical Central Texas characters.</x:v>
      </x:c>
      <x:c r="O596" s="215" t="str">
        <x:v>Low</x:v>
      </x:c>
      <x:c r="P596" s="215" t="str">
        <x:v>No</x:v>
      </x:c>
      <x:c r="Q596" s="215" t="str"/>
      <x:c r="R596" s="215" t="str">
        <x:v>MOR-LK01; MOR-LK02</x:v>
      </x:c>
      <x:c r="S596" s="215" t="str">
        <x:v>APWEB-MORA; FNA-MORA; POWO-MORA; LBJ-HAYS</x:v>
      </x:c>
      <x:c r="T596" s="215" t="str">
        <x:v>https://www.mobot.org/MOBOT/research/APweb/orders/rosalesweb.htm</x:v>
      </x:c>
      <x:c r="U596" s="215" t="str">
        <x:v>https://floranorthamerica.org/Moraceae</x:v>
      </x:c>
      <x:c r="V596" s="215" t="str">
        <x:v>https://powo.science.kew.org/taxon/urn:lsid:ipni.org:names:30000043-2/general-information</x:v>
      </x:c>
      <x:c r="W596" s="215" t="str">
        <x:v>https://www.mobot.org/MOBOT/research/APweb/orders/rosalesweb.htm
https://floranorthamerica.org/Moraceae
https://powo.science.kew.org/taxon/urn:lsid:ipni.org:names:30000043-2/general-information
https://www.wildflower.org/collections/collection.php?collection=hays</x:v>
      </x:c>
      <x:c r="X596" s="215" t="str">
        <x:v>No — retain qualifiers and exceptions</x:v>
      </x:c>
      <x:c r="Y596" s="215" t="str">
        <x:v>Yes</x:v>
      </x:c>
      <x:c r="Z596" s="215" t="str">
        <x:v>Source-backed draft</x:v>
      </x:c>
    </x:row>
    <x:row r="597" ht="42" customHeight="1">
      <x:c r="A597" s="215" t="str">
        <x:v>Moraceae</x:v>
      </x:c>
      <x:c r="B597" s="215" t="str">
        <x:v>MOR-CYSTOLITH</x:v>
      </x:c>
      <x:c r="C597" s="215" t="str">
        <x:v>Family character</x:v>
      </x:c>
      <x:c r="D597" s="215" t="str">
        <x:v>Leaves / anatomy</x:v>
      </x:c>
      <x:c r="E597" s="215" t="str">
        <x:v>Cystolith mineral bodies often occur in epidermal cells</x:v>
      </x:c>
      <x:c r="F597" s="215" t="str">
        <x:v>Supporting</x:v>
      </x:c>
      <x:c r="G597" s="215" t="str">
        <x:v>1</x:v>
      </x:c>
      <x:c r="H597" s="215" t="str">
        <x:v>High</x:v>
      </x:c>
      <x:c r="I597" s="215" t="str">
        <x:v>High magnification</x:v>
      </x:c>
      <x:c r="J597" s="215" t="str">
        <x:v>Mature leaves</x:v>
      </x:c>
      <x:c r="K597" s="215" t="str">
        <x:v>Mineral deposits can create roughness or pale dots in some leaves.</x:v>
      </x:c>
      <x:c r="L597" s="215" t="str">
        <x:v>This usually requires magnification and is not universal or practical alone.</x:v>
      </x:c>
      <x:c r="M597" s="215" t="str">
        <x:v>Use only as laboratory or high-magnification support.</x:v>
      </x:c>
      <x:c r="N597" s="215" t="str">
        <x:v>Mulberries, bois d'arc, and fig relatives make latex, stipules, and multiple-fruit construction practical Central Texas characters.</x:v>
      </x:c>
      <x:c r="O597" s="215" t="str">
        <x:v>Low</x:v>
      </x:c>
      <x:c r="P597" s="215" t="str">
        <x:v>No</x:v>
      </x:c>
      <x:c r="Q597" s="215" t="str"/>
      <x:c r="R597" s="215" t="str"/>
      <x:c r="S597" s="215" t="str">
        <x:v>APWEB-MORA; FNA-MORA; POWO-MORA; LBJ-HAYS</x:v>
      </x:c>
      <x:c r="T597" s="215" t="str">
        <x:v>https://www.mobot.org/MOBOT/research/APweb/orders/rosalesweb.htm</x:v>
      </x:c>
      <x:c r="U597" s="215" t="str">
        <x:v>https://floranorthamerica.org/Moraceae</x:v>
      </x:c>
      <x:c r="V597" s="215" t="str">
        <x:v>https://powo.science.kew.org/taxon/urn:lsid:ipni.org:names:30000043-2/general-information</x:v>
      </x:c>
      <x:c r="W597" s="215" t="str">
        <x:v>https://www.mobot.org/MOBOT/research/APweb/orders/rosalesweb.htm
https://floranorthamerica.org/Moraceae
https://powo.science.kew.org/taxon/urn:lsid:ipni.org:names:30000043-2/general-information
https://www.wildflower.org/collections/collection.php?collection=hays</x:v>
      </x:c>
      <x:c r="X597" s="215" t="str">
        <x:v>No — retain qualifiers and exceptions</x:v>
      </x:c>
      <x:c r="Y597" s="215" t="str">
        <x:v>Yes</x:v>
      </x:c>
      <x:c r="Z597" s="215" t="str">
        <x:v>Source-backed draft</x:v>
      </x:c>
    </x:row>
    <x:row r="598" ht="42" customHeight="1">
      <x:c r="A598" s="215" t="str">
        <x:v>Moraceae</x:v>
      </x:c>
      <x:c r="B598" s="215" t="str">
        <x:v>MOR-LK01</x:v>
      </x:c>
      <x:c r="C598" s="215" t="str">
        <x:v>Lookalike comparison</x:v>
      </x:c>
      <x:c r="D598" s="215" t="str">
        <x:v>Lookalike</x:v>
      </x:c>
      <x:c r="E598" s="215" t="str">
        <x:v>Versus Urticaceae: frequent milky sap and fleshy multiple fruits favor Moraceae; stinging hairs and dry achene clusters favor many Urticaceae</x:v>
      </x:c>
      <x:c r="F598" s="215" t="str">
        <x:v>Lookalike</x:v>
      </x:c>
      <x:c r="G598" s="215" t="str">
        <x:v>5</x:v>
      </x:c>
      <x:c r="H598" s="215" t="str">
        <x:v>High</x:v>
      </x:c>
      <x:c r="I598" s="215" t="str">
        <x:v>Naked eye or hand lens</x:v>
      </x:c>
      <x:c r="J598" s="215" t="str">
        <x:v>Leafy fruiting material</x:v>
      </x:c>
      <x:c r="K598" s="215" t="str">
        <x:v>The families are close relatives and share small flowers, stipules, and cystoliths.</x:v>
      </x:c>
      <x:c r="L598" s="215" t="str">
        <x:v>Not all nettles sting and not all Moraceae show obvious latex.</x:v>
      </x:c>
      <x:c r="M598" s="215" t="str">
        <x:v>Use fruit construction and hairs as a suite; retain for reciprocal review.</x:v>
      </x:c>
      <x:c r="N598" s="215" t="str">
        <x:v>Mulberries, bois d'arc, and fig relatives make latex, stipules, and multiple-fruit construction practical Central Texas characters.</x:v>
      </x:c>
      <x:c r="O598" s="215" t="str">
        <x:v>Medium</x:v>
      </x:c>
      <x:c r="P598" s="215" t="str">
        <x:v>Yes</x:v>
      </x:c>
      <x:c r="Q598" s="215" t="str">
        <x:v>Reciprocal Urticaceae family and lookalike rows are not yet in the working master.</x:v>
      </x:c>
      <x:c r="R598" s="215" t="str">
        <x:v>MOR-SAP; MOR-INFLO; MOR-FRUIT</x:v>
      </x:c>
      <x:c r="S598" s="215" t="str">
        <x:v>APWEB-MORA; FNA-MORA; POWO-MORA; LBJ-HAYS</x:v>
      </x:c>
      <x:c r="T598" s="215" t="str">
        <x:v>https://www.mobot.org/MOBOT/research/APweb/orders/rosalesweb.htm</x:v>
      </x:c>
      <x:c r="U598" s="215" t="str">
        <x:v>https://floranorthamerica.org/Moraceae</x:v>
      </x:c>
      <x:c r="V598" s="215" t="str">
        <x:v>https://powo.science.kew.org/taxon/urn:lsid:ipni.org:names:30000043-2/general-information</x:v>
      </x:c>
      <x:c r="W598" s="215" t="str">
        <x:v>https://www.mobot.org/MOBOT/research/APweb/orders/rosalesweb.htm
https://floranorthamerica.org/Moraceae
https://powo.science.kew.org/taxon/urn:lsid:ipni.org:names:30000043-2/general-information
https://www.wildflower.org/collections/collection.php?collection=hays</x:v>
      </x:c>
      <x:c r="X598" s="215" t="str">
        <x:v>No — retain qualifiers and exceptions</x:v>
      </x:c>
      <x:c r="Y598" s="215" t="str">
        <x:v>Yes</x:v>
      </x:c>
      <x:c r="Z598" s="215" t="str">
        <x:v>Human review required</x:v>
      </x:c>
    </x:row>
    <x:row r="599" ht="42" customHeight="1">
      <x:c r="A599" s="215" t="str">
        <x:v>Moraceae</x:v>
      </x:c>
      <x:c r="B599" s="215" t="str">
        <x:v>MOR-LK02</x:v>
      </x:c>
      <x:c r="C599" s="215" t="str">
        <x:v>Lookalike comparison</x:v>
      </x:c>
      <x:c r="D599" s="215" t="str">
        <x:v>Lookalike</x:v>
      </x:c>
      <x:c r="E599" s="215" t="str">
        <x:v>Versus modern Ulmaceae: milky sap and multiple fruits favor Moraceae; watery sap with individual samaras favors elms</x:v>
      </x:c>
      <x:c r="F599" s="215" t="str">
        <x:v>Lookalike</x:v>
      </x:c>
      <x:c r="G599" s="215" t="str">
        <x:v>5</x:v>
      </x:c>
      <x:c r="H599" s="215" t="str">
        <x:v>High</x:v>
      </x:c>
      <x:c r="I599" s="215" t="str">
        <x:v>Naked eye or hand lens</x:v>
      </x:c>
      <x:c r="J599" s="215" t="str">
        <x:v>Mature fruit</x:v>
      </x:c>
      <x:c r="K599" s="215" t="str">
        <x:v>Both are rosid trees with alternate stipulate simple leaves.</x:v>
      </x:c>
      <x:c r="L599" s="215" t="str">
        <x:v>Hackberries belong in Cannabaceae under modern taxonomy and should not be used to broaden Ulmaceae fruit states.</x:v>
      </x:c>
      <x:c r="M599" s="215" t="str">
        <x:v>Use sap cautiously and prioritize whether the fruit comes from one flower or an entire inflorescence.</x:v>
      </x:c>
      <x:c r="N599" s="215" t="str">
        <x:v>Mulberries, bois d'arc, and fig relatives make latex, stipules, and multiple-fruit construction practical Central Texas characters.</x:v>
      </x:c>
      <x:c r="O599" s="215" t="str">
        <x:v>Low</x:v>
      </x:c>
      <x:c r="P599" s="215" t="str">
        <x:v>No</x:v>
      </x:c>
      <x:c r="Q599" s="215" t="str"/>
      <x:c r="R599" s="215" t="str">
        <x:v>MOR-SAP; MOR-FRUIT</x:v>
      </x:c>
      <x:c r="S599" s="215" t="str">
        <x:v>APWEB-MORA; FNA-MORA; POWO-MORA; LBJ-HAYS</x:v>
      </x:c>
      <x:c r="T599" s="215" t="str">
        <x:v>https://www.mobot.org/MOBOT/research/APweb/orders/rosalesweb.htm</x:v>
      </x:c>
      <x:c r="U599" s="215" t="str">
        <x:v>https://floranorthamerica.org/Moraceae</x:v>
      </x:c>
      <x:c r="V599" s="215" t="str">
        <x:v>https://powo.science.kew.org/taxon/urn:lsid:ipni.org:names:30000043-2/general-information</x:v>
      </x:c>
      <x:c r="W599" s="215" t="str">
        <x:v>https://www.mobot.org/MOBOT/research/APweb/orders/rosalesweb.htm
https://floranorthamerica.org/Moraceae
https://powo.science.kew.org/taxon/urn:lsid:ipni.org:names:30000043-2/general-information
https://www.wildflower.org/collections/collection.php?collection=hays</x:v>
      </x:c>
      <x:c r="X599" s="215" t="str">
        <x:v>No — retain qualifiers and exceptions</x:v>
      </x:c>
      <x:c r="Y599" s="215" t="str">
        <x:v>Yes</x:v>
      </x:c>
      <x:c r="Z599" s="215" t="str">
        <x:v>Source-backed draft</x:v>
      </x:c>
    </x:row>
    <x:row r="600" ht="42" customHeight="1">
      <x:c r="A600" s="215" t="str">
        <x:v>Ulmaceae</x:v>
      </x:c>
      <x:c r="B600" s="215" t="str">
        <x:v>ULM-HABIT</x:v>
      </x:c>
      <x:c r="C600" s="215" t="str">
        <x:v>Modern family character</x:v>
      </x:c>
      <x:c r="D600" s="215" t="str">
        <x:v>Habit</x:v>
      </x:c>
      <x:c r="E600" s="215" t="str">
        <x:v>Deciduous trees or shrubs with watery sap</x:v>
      </x:c>
      <x:c r="F600" s="215" t="str">
        <x:v>Strong</x:v>
      </x:c>
      <x:c r="G600" s="215" t="str">
        <x:v>2</x:v>
      </x:c>
      <x:c r="H600" s="215" t="str">
        <x:v>High</x:v>
      </x:c>
      <x:c r="I600" s="215" t="str">
        <x:v>Naked eye or hand lens</x:v>
      </x:c>
      <x:c r="J600" s="215" t="str">
        <x:v>Any leafy material</x:v>
      </x:c>
      <x:c r="K600" s="215" t="str">
        <x:v>Modern Ulmaceae in the regional flora is chiefly represented by elms.</x:v>
      </x:c>
      <x:c r="L600" s="215" t="str">
        <x:v>Older floras included hackberries, broadening the family appearance.</x:v>
      </x:c>
      <x:c r="M600" s="215" t="str">
        <x:v>Use with the explicit taxonomy scope row.</x:v>
      </x:c>
      <x:c r="N600" s="215" t="str">
        <x:v>Elms are common Hays woodland and riparian trees; hackberries require modern Cannabaceae treatment rather than the older broad Ulmaceae concept.</x:v>
      </x:c>
      <x:c r="O600" s="215" t="str">
        <x:v>Low</x:v>
      </x:c>
      <x:c r="P600" s="215" t="str">
        <x:v>No</x:v>
      </x:c>
      <x:c r="Q600" s="215" t="str"/>
      <x:c r="R600" s="215" t="str"/>
      <x:c r="S600" s="215" t="str">
        <x:v>APWEB-ULMA; FNA-ULMA; POWO-ULMA; LBJ-HAYS</x:v>
      </x:c>
      <x:c r="T600" s="215" t="str">
        <x:v>https://www.mobot.org/MOBOT/research/APweb/orders/rosalesweb.htm</x:v>
      </x:c>
      <x:c r="U600" s="215" t="str">
        <x:v>https://efloras.org/florataxon.aspx?flora_id=1&amp;taxon_id=10928</x:v>
      </x:c>
      <x:c r="V600" s="215" t="str">
        <x:v>https://powo.science.kew.org/taxon/urn:lsid:ipni.org:names:77126716-1/general-information</x:v>
      </x:c>
      <x:c r="W600" s="215" t="str">
        <x:v>https://www.mobot.org/MOBOT/research/APweb/orders/rosalesweb.htm
https://efloras.org/florataxon.aspx?flora_id=1&amp;taxon_id=10928
https://powo.science.kew.org/taxon/urn:lsid:ipni.org:names:77126716-1/general-information
https://www.wildflower.org/collections/collection.php?collection=hays</x:v>
      </x:c>
      <x:c r="X600" s="215" t="str">
        <x:v>No — retain qualifiers and exceptions</x:v>
      </x:c>
      <x:c r="Y600" s="215" t="str">
        <x:v>Yes</x:v>
      </x:c>
      <x:c r="Z600" s="215" t="str">
        <x:v>Source-backed draft</x:v>
      </x:c>
    </x:row>
    <x:row r="601" ht="42" customHeight="1">
      <x:c r="A601" s="215" t="str">
        <x:v>Ulmaceae</x:v>
      </x:c>
      <x:c r="B601" s="215" t="str">
        <x:v>ULM-LEAVES</x:v>
      </x:c>
      <x:c r="C601" s="215" t="str">
        <x:v>Modern/regional family character</x:v>
      </x:c>
      <x:c r="D601" s="215" t="str">
        <x:v>Leaves / stipules</x:v>
      </x:c>
      <x:c r="E601" s="215" t="str">
        <x:v>Leaves alternate, often two-ranked, simple, stipulate, with a commonly oblique base and serrate margin</x:v>
      </x:c>
      <x:c r="F601" s="215" t="str">
        <x:v>Strong</x:v>
      </x:c>
      <x:c r="G601" s="215" t="str">
        <x:v>4</x:v>
      </x:c>
      <x:c r="H601" s="215" t="str">
        <x:v>High</x:v>
      </x:c>
      <x:c r="I601" s="215" t="str">
        <x:v>Naked eye or hand lens</x:v>
      </x:c>
      <x:c r="J601" s="215" t="str">
        <x:v>Leafy shoots</x:v>
      </x:c>
      <x:c r="K601" s="215" t="str">
        <x:v>An uneven leaf base and strong parallel side veins are classic elm clues.</x:v>
      </x:c>
      <x:c r="L601" s="215" t="str">
        <x:v>Obliqueness varies and stipules fall early; hackberry-like leaves require Cannabaceae consideration.</x:v>
      </x:c>
      <x:c r="M601" s="215" t="str">
        <x:v>Inspect several mature leaves and twig nodes.</x:v>
      </x:c>
      <x:c r="N601" s="215" t="str">
        <x:v>Elms are common Hays woodland and riparian trees; hackberries require modern Cannabaceae treatment rather than the older broad Ulmaceae concept.</x:v>
      </x:c>
      <x:c r="O601" s="215" t="str">
        <x:v>Low</x:v>
      </x:c>
      <x:c r="P601" s="215" t="str">
        <x:v>No</x:v>
      </x:c>
      <x:c r="Q601" s="215" t="str"/>
      <x:c r="R601" s="215" t="str">
        <x:v>ULM-LK01; ULM-LK02</x:v>
      </x:c>
      <x:c r="S601" s="215" t="str">
        <x:v>APWEB-ULMA; FNA-ULMA; POWO-ULMA; LBJ-HAYS</x:v>
      </x:c>
      <x:c r="T601" s="215" t="str">
        <x:v>https://www.mobot.org/MOBOT/research/APweb/orders/rosalesweb.htm</x:v>
      </x:c>
      <x:c r="U601" s="215" t="str">
        <x:v>https://efloras.org/florataxon.aspx?flora_id=1&amp;taxon_id=10928</x:v>
      </x:c>
      <x:c r="V601" s="215" t="str">
        <x:v>https://powo.science.kew.org/taxon/urn:lsid:ipni.org:names:77126716-1/general-information</x:v>
      </x:c>
      <x:c r="W601" s="215" t="str">
        <x:v>https://www.mobot.org/MOBOT/research/APweb/orders/rosalesweb.htm
https://efloras.org/florataxon.aspx?flora_id=1&amp;taxon_id=10928
https://powo.science.kew.org/taxon/urn:lsid:ipni.org:names:77126716-1/general-information
https://www.wildflower.org/collections/collection.php?collection=hays</x:v>
      </x:c>
      <x:c r="X601" s="215" t="str">
        <x:v>No — retain qualifiers and exceptions</x:v>
      </x:c>
      <x:c r="Y601" s="215" t="str">
        <x:v>Yes</x:v>
      </x:c>
      <x:c r="Z601" s="215" t="str">
        <x:v>Source-backed draft</x:v>
      </x:c>
    </x:row>
    <x:row r="602" ht="42" customHeight="1">
      <x:c r="A602" s="215" t="str">
        <x:v>Ulmaceae</x:v>
      </x:c>
      <x:c r="B602" s="215" t="str">
        <x:v>ULM-FLOWER</x:v>
      </x:c>
      <x:c r="C602" s="215" t="str">
        <x:v>Modern/regional family character</x:v>
      </x:c>
      <x:c r="D602" s="215" t="str">
        <x:v>Flowers</x:v>
      </x:c>
      <x:c r="E602" s="215" t="str">
        <x:v>Flowers small, petals absent, with a persistent 4–9-lobed calyx; usually bisexual in Ulmus</x:v>
      </x:c>
      <x:c r="F602" s="215" t="str">
        <x:v>Strong</x:v>
      </x:c>
      <x:c r="G602" s="215" t="str">
        <x:v>3</x:v>
      </x:c>
      <x:c r="H602" s="215" t="str">
        <x:v>High</x:v>
      </x:c>
      <x:c r="I602" s="215" t="str">
        <x:v>Naked eye or hand lens</x:v>
      </x:c>
      <x:c r="J602" s="215" t="str">
        <x:v>Fresh flowers</x:v>
      </x:c>
      <x:c r="K602" s="215" t="str">
        <x:v>Elm flowers are reduced and wind-pollinated, often appearing before leaves.</x:v>
      </x:c>
      <x:c r="L602" s="215" t="str">
        <x:v>Flower sexuality and timing vary across the broader historical treatment.</x:v>
      </x:c>
      <x:c r="M602" s="215" t="str">
        <x:v>Use on intact seasonal material and retain modern scope.</x:v>
      </x:c>
      <x:c r="N602" s="215" t="str">
        <x:v>Elms are common Hays woodland and riparian trees; hackberries require modern Cannabaceae treatment rather than the older broad Ulmaceae concept.</x:v>
      </x:c>
      <x:c r="O602" s="215" t="str">
        <x:v>Low</x:v>
      </x:c>
      <x:c r="P602" s="215" t="str">
        <x:v>No</x:v>
      </x:c>
      <x:c r="Q602" s="215" t="str"/>
      <x:c r="R602" s="215" t="str"/>
      <x:c r="S602" s="215" t="str">
        <x:v>APWEB-ULMA; FNA-ULMA; POWO-ULMA; LBJ-HAYS</x:v>
      </x:c>
      <x:c r="T602" s="215" t="str">
        <x:v>https://www.mobot.org/MOBOT/research/APweb/orders/rosalesweb.htm</x:v>
      </x:c>
      <x:c r="U602" s="215" t="str">
        <x:v>https://efloras.org/florataxon.aspx?flora_id=1&amp;taxon_id=10928</x:v>
      </x:c>
      <x:c r="V602" s="215" t="str">
        <x:v>https://powo.science.kew.org/taxon/urn:lsid:ipni.org:names:77126716-1/general-information</x:v>
      </x:c>
      <x:c r="W602" s="215" t="str">
        <x:v>https://www.mobot.org/MOBOT/research/APweb/orders/rosalesweb.htm
https://efloras.org/florataxon.aspx?flora_id=1&amp;taxon_id=10928
https://powo.science.kew.org/taxon/urn:lsid:ipni.org:names:77126716-1/general-information
https://www.wildflower.org/collections/collection.php?collection=hays</x:v>
      </x:c>
      <x:c r="X602" s="215" t="str">
        <x:v>No — retain qualifiers and exceptions</x:v>
      </x:c>
      <x:c r="Y602" s="215" t="str">
        <x:v>Yes</x:v>
      </x:c>
      <x:c r="Z602" s="215" t="str">
        <x:v>Source-backed draft</x:v>
      </x:c>
    </x:row>
    <x:row r="603" ht="42" customHeight="1">
      <x:c r="A603" s="215" t="str">
        <x:v>Ulmaceae</x:v>
      </x:c>
      <x:c r="B603" s="215" t="str">
        <x:v>ULM-STAMENS</x:v>
      </x:c>
      <x:c r="C603" s="215" t="str">
        <x:v>Modern/regional family character</x:v>
      </x:c>
      <x:c r="D603" s="215" t="str">
        <x:v>Stamens</x:v>
      </x:c>
      <x:c r="E603" s="215" t="str">
        <x:v>Stamens usually equal in number to and opposite the calyx lobes</x:v>
      </x:c>
      <x:c r="F603" s="215" t="str">
        <x:v>Strong</x:v>
      </x:c>
      <x:c r="G603" s="215" t="str">
        <x:v>3</x:v>
      </x:c>
      <x:c r="H603" s="215" t="str">
        <x:v>High</x:v>
      </x:c>
      <x:c r="I603" s="215" t="str">
        <x:v>Hand lens</x:v>
      </x:c>
      <x:c r="J603" s="215" t="str">
        <x:v>Fresh flowers</x:v>
      </x:c>
      <x:c r="K603" s="215" t="str">
        <x:v>The stamens align with the reduced perianth segments.</x:v>
      </x:c>
      <x:c r="L603" s="215" t="str">
        <x:v>Counts vary with calyx lobe number.</x:v>
      </x:c>
      <x:c r="M603" s="215" t="str">
        <x:v>Count under magnification only as supporting evidence.</x:v>
      </x:c>
      <x:c r="N603" s="215" t="str">
        <x:v>Elms are common Hays woodland and riparian trees; hackberries require modern Cannabaceae treatment rather than the older broad Ulmaceae concept.</x:v>
      </x:c>
      <x:c r="O603" s="215" t="str">
        <x:v>Low</x:v>
      </x:c>
      <x:c r="P603" s="215" t="str">
        <x:v>No</x:v>
      </x:c>
      <x:c r="Q603" s="215" t="str"/>
      <x:c r="R603" s="215" t="str"/>
      <x:c r="S603" s="215" t="str">
        <x:v>APWEB-ULMA; FNA-ULMA; POWO-ULMA; LBJ-HAYS</x:v>
      </x:c>
      <x:c r="T603" s="215" t="str">
        <x:v>https://www.mobot.org/MOBOT/research/APweb/orders/rosalesweb.htm</x:v>
      </x:c>
      <x:c r="U603" s="215" t="str">
        <x:v>https://efloras.org/florataxon.aspx?flora_id=1&amp;taxon_id=10928</x:v>
      </x:c>
      <x:c r="V603" s="215" t="str">
        <x:v>https://powo.science.kew.org/taxon/urn:lsid:ipni.org:names:77126716-1/general-information</x:v>
      </x:c>
      <x:c r="W603" s="215" t="str">
        <x:v>https://www.mobot.org/MOBOT/research/APweb/orders/rosalesweb.htm
https://efloras.org/florataxon.aspx?flora_id=1&amp;taxon_id=10928
https://powo.science.kew.org/taxon/urn:lsid:ipni.org:names:77126716-1/general-information
https://www.wildflower.org/collections/collection.php?collection=hays</x:v>
      </x:c>
      <x:c r="X603" s="215" t="str">
        <x:v>No — retain qualifiers and exceptions</x:v>
      </x:c>
      <x:c r="Y603" s="215" t="str">
        <x:v>Yes</x:v>
      </x:c>
      <x:c r="Z603" s="215" t="str">
        <x:v>Source-backed draft</x:v>
      </x:c>
    </x:row>
    <x:row r="604" ht="42" customHeight="1">
      <x:c r="A604" s="215" t="str">
        <x:v>Ulmaceae</x:v>
      </x:c>
      <x:c r="B604" s="215" t="str">
        <x:v>ULM-OVARY</x:v>
      </x:c>
      <x:c r="C604" s="215" t="str">
        <x:v>Modern/regional family character</x:v>
      </x:c>
      <x:c r="D604" s="215" t="str">
        <x:v>Gynoecium</x:v>
      </x:c>
      <x:c r="E604" s="215" t="str">
        <x:v>Ovary superior, 1–2-locular, with one pendulous ovule per locule and two style branches</x:v>
      </x:c>
      <x:c r="F604" s="215" t="str">
        <x:v>Strong</x:v>
      </x:c>
      <x:c r="G604" s="215" t="str">
        <x:v>3</x:v>
      </x:c>
      <x:c r="H604" s="215" t="str">
        <x:v>High</x:v>
      </x:c>
      <x:c r="I604" s="215" t="str">
        <x:v>Hand lens or dissection</x:v>
      </x:c>
      <x:c r="J604" s="215" t="str">
        <x:v>Fresh flowers</x:v>
      </x:c>
      <x:c r="K604" s="215" t="str">
        <x:v>The tiny ovary develops into a one-seeded winged fruit in elms.</x:v>
      </x:c>
      <x:c r="L604" s="215" t="str">
        <x:v>Internal locules are not practical without dissection.</x:v>
      </x:c>
      <x:c r="M604" s="215" t="str">
        <x:v>Use mature samara and persistent style notch instead.</x:v>
      </x:c>
      <x:c r="N604" s="215" t="str">
        <x:v>Elms are common Hays woodland and riparian trees; hackberries require modern Cannabaceae treatment rather than the older broad Ulmaceae concept.</x:v>
      </x:c>
      <x:c r="O604" s="215" t="str">
        <x:v>Low</x:v>
      </x:c>
      <x:c r="P604" s="215" t="str">
        <x:v>No</x:v>
      </x:c>
      <x:c r="Q604" s="215" t="str"/>
      <x:c r="R604" s="215" t="str"/>
      <x:c r="S604" s="215" t="str">
        <x:v>APWEB-ULMA; FNA-ULMA; POWO-ULMA; LBJ-HAYS</x:v>
      </x:c>
      <x:c r="T604" s="215" t="str">
        <x:v>https://www.mobot.org/MOBOT/research/APweb/orders/rosalesweb.htm</x:v>
      </x:c>
      <x:c r="U604" s="215" t="str">
        <x:v>https://efloras.org/florataxon.aspx?flora_id=1&amp;taxon_id=10928</x:v>
      </x:c>
      <x:c r="V604" s="215" t="str">
        <x:v>https://powo.science.kew.org/taxon/urn:lsid:ipni.org:names:77126716-1/general-information</x:v>
      </x:c>
      <x:c r="W604" s="215" t="str">
        <x:v>https://www.mobot.org/MOBOT/research/APweb/orders/rosalesweb.htm
https://efloras.org/florataxon.aspx?flora_id=1&amp;taxon_id=10928
https://powo.science.kew.org/taxon/urn:lsid:ipni.org:names:77126716-1/general-information
https://www.wildflower.org/collections/collection.php?collection=hays</x:v>
      </x:c>
      <x:c r="X604" s="215" t="str">
        <x:v>No — retain qualifiers and exceptions</x:v>
      </x:c>
      <x:c r="Y604" s="215" t="str">
        <x:v>Yes</x:v>
      </x:c>
      <x:c r="Z604" s="215" t="str">
        <x:v>Source-backed draft</x:v>
      </x:c>
    </x:row>
    <x:row r="605" ht="42" customHeight="1">
      <x:c r="A605" s="215" t="str">
        <x:v>Ulmaceae</x:v>
      </x:c>
      <x:c r="B605" s="215" t="str">
        <x:v>ULM-FRUIT</x:v>
      </x:c>
      <x:c r="C605" s="215" t="str">
        <x:v>Modern/regional family character</x:v>
      </x:c>
      <x:c r="D605" s="215" t="str">
        <x:v>Fruit</x:v>
      </x:c>
      <x:c r="E605" s="215" t="str">
        <x:v>Fruit a one-seeded, flattened, membranously winged samara in regional Ulmus</x:v>
      </x:c>
      <x:c r="F605" s="215" t="str">
        <x:v>Strong</x:v>
      </x:c>
      <x:c r="G605" s="215" t="str">
        <x:v>5</x:v>
      </x:c>
      <x:c r="H605" s="215" t="str">
        <x:v>High</x:v>
      </x:c>
      <x:c r="I605" s="215" t="str">
        <x:v>Naked eye or hand lens</x:v>
      </x:c>
      <x:c r="J605" s="215" t="str">
        <x:v>Mature spring or fall fruit</x:v>
      </x:c>
      <x:c r="K605" s="215" t="str">
        <x:v>Elm fruits are papery discs or ovals with the seed enclosed by a wing.</x:v>
      </x:c>
      <x:c r="L605" s="215" t="str">
        <x:v>The historical broad family also included drupe-bearing Celtis, now generally Cannabaceae.</x:v>
      </x:c>
      <x:c r="M605" s="215" t="str">
        <x:v>Apply this state to modern Hays Ulmaceae/Ulmus, not obsolete broad Ulmaceae.</x:v>
      </x:c>
      <x:c r="N605" s="215" t="str">
        <x:v>Elms are common Hays woodland and riparian trees; hackberries require modern Cannabaceae treatment rather than the older broad Ulmaceae concept.</x:v>
      </x:c>
      <x:c r="O605" s="215" t="str">
        <x:v>Low</x:v>
      </x:c>
      <x:c r="P605" s="215" t="str">
        <x:v>No</x:v>
      </x:c>
      <x:c r="Q605" s="215" t="str"/>
      <x:c r="R605" s="215" t="str">
        <x:v>ULM-LK01; ULM-LK02</x:v>
      </x:c>
      <x:c r="S605" s="215" t="str">
        <x:v>APWEB-ULMA; FNA-ULMA; POWO-ULMA; LBJ-HAYS</x:v>
      </x:c>
      <x:c r="T605" s="215" t="str">
        <x:v>https://www.mobot.org/MOBOT/research/APweb/orders/rosalesweb.htm</x:v>
      </x:c>
      <x:c r="U605" s="215" t="str">
        <x:v>https://efloras.org/florataxon.aspx?flora_id=1&amp;taxon_id=10928</x:v>
      </x:c>
      <x:c r="V605" s="215" t="str">
        <x:v>https://powo.science.kew.org/taxon/urn:lsid:ipni.org:names:77126716-1/general-information</x:v>
      </x:c>
      <x:c r="W605" s="215" t="str">
        <x:v>https://www.mobot.org/MOBOT/research/APweb/orders/rosalesweb.htm
https://efloras.org/florataxon.aspx?flora_id=1&amp;taxon_id=10928
https://powo.science.kew.org/taxon/urn:lsid:ipni.org:names:77126716-1/general-information
https://www.wildflower.org/collections/collection.php?collection=hays</x:v>
      </x:c>
      <x:c r="X605" s="215" t="str">
        <x:v>No — retain qualifiers and exceptions</x:v>
      </x:c>
      <x:c r="Y605" s="215" t="str">
        <x:v>Yes</x:v>
      </x:c>
      <x:c r="Z605" s="215" t="str">
        <x:v>Source-backed draft</x:v>
      </x:c>
    </x:row>
    <x:row r="606" ht="42" customHeight="1">
      <x:c r="A606" s="215" t="str">
        <x:v>Ulmaceae</x:v>
      </x:c>
      <x:c r="B606" s="215" t="str">
        <x:v>ULM-SEED</x:v>
      </x:c>
      <x:c r="C606" s="215" t="str">
        <x:v>Modern/regional family character</x:v>
      </x:c>
      <x:c r="D606" s="215" t="str">
        <x:v>Seeds</x:v>
      </x:c>
      <x:c r="E606" s="215" t="str">
        <x:v>One seed per samara, with little or no endosperm</x:v>
      </x:c>
      <x:c r="F606" s="215" t="str">
        <x:v>Supporting</x:v>
      </x:c>
      <x:c r="G606" s="215" t="str">
        <x:v>2</x:v>
      </x:c>
      <x:c r="H606" s="215" t="str">
        <x:v>High</x:v>
      </x:c>
      <x:c r="I606" s="215" t="str">
        <x:v>Naked eye or hand lens</x:v>
      </x:c>
      <x:c r="J606" s="215" t="str">
        <x:v>Mature fruit</x:v>
      </x:c>
      <x:c r="K606" s="215" t="str">
        <x:v>Each papery elm samara contains a single seed.</x:v>
      </x:c>
      <x:c r="L606" s="215" t="str">
        <x:v>Opening mature fruit may be required to confirm fill.</x:v>
      </x:c>
      <x:c r="M606" s="215" t="str">
        <x:v>Use only as fruit confirmation.</x:v>
      </x:c>
      <x:c r="N606" s="215" t="str">
        <x:v>Elms are common Hays woodland and riparian trees; hackberries require modern Cannabaceae treatment rather than the older broad Ulmaceae concept.</x:v>
      </x:c>
      <x:c r="O606" s="215" t="str">
        <x:v>Low</x:v>
      </x:c>
      <x:c r="P606" s="215" t="str">
        <x:v>No</x:v>
      </x:c>
      <x:c r="Q606" s="215" t="str"/>
      <x:c r="R606" s="215" t="str"/>
      <x:c r="S606" s="215" t="str">
        <x:v>APWEB-ULMA; FNA-ULMA; POWO-ULMA; LBJ-HAYS</x:v>
      </x:c>
      <x:c r="T606" s="215" t="str">
        <x:v>https://www.mobot.org/MOBOT/research/APweb/orders/rosalesweb.htm</x:v>
      </x:c>
      <x:c r="U606" s="215" t="str">
        <x:v>https://efloras.org/florataxon.aspx?flora_id=1&amp;taxon_id=10928</x:v>
      </x:c>
      <x:c r="V606" s="215" t="str">
        <x:v>https://powo.science.kew.org/taxon/urn:lsid:ipni.org:names:77126716-1/general-information</x:v>
      </x:c>
      <x:c r="W606" s="215" t="str">
        <x:v>https://www.mobot.org/MOBOT/research/APweb/orders/rosalesweb.htm
https://efloras.org/florataxon.aspx?flora_id=1&amp;taxon_id=10928
https://powo.science.kew.org/taxon/urn:lsid:ipni.org:names:77126716-1/general-information
https://www.wildflower.org/collections/collection.php?collection=hays</x:v>
      </x:c>
      <x:c r="X606" s="215" t="str">
        <x:v>No — retain qualifiers and exceptions</x:v>
      </x:c>
      <x:c r="Y606" s="215" t="str">
        <x:v>Yes</x:v>
      </x:c>
      <x:c r="Z606" s="215" t="str">
        <x:v>Source-backed draft</x:v>
      </x:c>
    </x:row>
    <x:row r="607" ht="42" customHeight="1">
      <x:c r="A607" s="215" t="str">
        <x:v>Ulmaceae</x:v>
      </x:c>
      <x:c r="B607" s="215" t="str">
        <x:v>ULM-POLLINATION</x:v>
      </x:c>
      <x:c r="C607" s="215" t="str">
        <x:v>Modern/regional family character</x:v>
      </x:c>
      <x:c r="D607" s="215" t="str">
        <x:v>Pollination</x:v>
      </x:c>
      <x:c r="E607" s="215" t="str">
        <x:v>Flowers wind-pollinated, often presented before or apart from full leaf expansion</x:v>
      </x:c>
      <x:c r="F607" s="215" t="str">
        <x:v>Supporting</x:v>
      </x:c>
      <x:c r="G607" s="215" t="str">
        <x:v>1</x:v>
      </x:c>
      <x:c r="H607" s="215" t="str">
        <x:v>High</x:v>
      </x:c>
      <x:c r="I607" s="215" t="str">
        <x:v>Naked eye or hand lens</x:v>
      </x:c>
      <x:c r="J607" s="215" t="str">
        <x:v>Flowering branches</x:v>
      </x:c>
      <x:c r="K607" s="215" t="str">
        <x:v>Small exposed flowers and early samaras fit wind pollination.</x:v>
      </x:c>
      <x:c r="L607" s="215" t="str">
        <x:v>Season differs among elm species, including fall-flowering taxa.</x:v>
      </x:c>
      <x:c r="M607" s="215" t="str">
        <x:v>Use as ecological support, not a stand-alone character.</x:v>
      </x:c>
      <x:c r="N607" s="215" t="str">
        <x:v>Elms are common Hays woodland and riparian trees; hackberries require modern Cannabaceae treatment rather than the older broad Ulmaceae concept.</x:v>
      </x:c>
      <x:c r="O607" s="215" t="str">
        <x:v>Low</x:v>
      </x:c>
      <x:c r="P607" s="215" t="str">
        <x:v>No</x:v>
      </x:c>
      <x:c r="Q607" s="215" t="str"/>
      <x:c r="R607" s="215" t="str"/>
      <x:c r="S607" s="215" t="str">
        <x:v>APWEB-ULMA; FNA-ULMA; POWO-ULMA; LBJ-HAYS</x:v>
      </x:c>
      <x:c r="T607" s="215" t="str">
        <x:v>https://www.mobot.org/MOBOT/research/APweb/orders/rosalesweb.htm</x:v>
      </x:c>
      <x:c r="U607" s="215" t="str">
        <x:v>https://efloras.org/florataxon.aspx?flora_id=1&amp;taxon_id=10928</x:v>
      </x:c>
      <x:c r="V607" s="215" t="str">
        <x:v>https://powo.science.kew.org/taxon/urn:lsid:ipni.org:names:77126716-1/general-information</x:v>
      </x:c>
      <x:c r="W607" s="215" t="str">
        <x:v>https://www.mobot.org/MOBOT/research/APweb/orders/rosalesweb.htm
https://efloras.org/florataxon.aspx?flora_id=1&amp;taxon_id=10928
https://powo.science.kew.org/taxon/urn:lsid:ipni.org:names:77126716-1/general-information
https://www.wildflower.org/collections/collection.php?collection=hays</x:v>
      </x:c>
      <x:c r="X607" s="215" t="str">
        <x:v>No — retain qualifiers and exceptions</x:v>
      </x:c>
      <x:c r="Y607" s="215" t="str">
        <x:v>Yes</x:v>
      </x:c>
      <x:c r="Z607" s="215" t="str">
        <x:v>Source-backed draft</x:v>
      </x:c>
    </x:row>
    <x:row r="608" ht="42" customHeight="1">
      <x:c r="A608" s="215" t="str">
        <x:v>Ulmaceae</x:v>
      </x:c>
      <x:c r="B608" s="215" t="str">
        <x:v>ULM-TAXON</x:v>
      </x:c>
      <x:c r="C608" s="215" t="str">
        <x:v>Taxonomy / source reconciliation</x:v>
      </x:c>
      <x:c r="D608" s="215" t="str">
        <x:v>Taxonomy / source reconciliation</x:v>
      </x:c>
      <x:c r="E608" s="215" t="str">
        <x:v>FNA's older broad Ulmaceae includes Celtis and Trema, while current POWO/APG-style taxonomy places them in Cannabaceae</x:v>
      </x:c>
      <x:c r="F608" s="215" t="str">
        <x:v>Caution</x:v>
      </x:c>
      <x:c r="G608" s="215" t="str">
        <x:v>0</x:v>
      </x:c>
      <x:c r="H608" s="215" t="str">
        <x:v>High</x:v>
      </x:c>
      <x:c r="I608" s="215" t="str">
        <x:v>Not field-visible</x:v>
      </x:c>
      <x:c r="J608" s="215" t="str">
        <x:v>Any material</x:v>
      </x:c>
      <x:c r="K608" s="215" t="str">
        <x:v>Hackberry drupes must not be coded as modern Ulmaceae family fruit evidence.</x:v>
      </x:c>
      <x:c r="L608" s="215" t="str">
        <x:v>Legacy sources and local lists may retain the older family boundary.</x:v>
      </x:c>
      <x:c r="M608" s="215" t="str">
        <x:v>Reconcile every carried Hays genus before declaring family-level universals.</x:v>
      </x:c>
      <x:c r="N608" s="215" t="str">
        <x:v>Elms are common Hays woodland and riparian trees; hackberries require modern Cannabaceae treatment rather than the older broad Ulmaceae concept.</x:v>
      </x:c>
      <x:c r="O608" s="215" t="str">
        <x:v>Medium</x:v>
      </x:c>
      <x:c r="P608" s="215" t="str">
        <x:v>Yes</x:v>
      </x:c>
      <x:c r="Q608" s="215" t="str">
        <x:v>The practical FNA treatment uses a broader historical Ulmaceae than current POWO; local genera must be reconciled with Cannabaceae.</x:v>
      </x:c>
      <x:c r="R608" s="215" t="str">
        <x:v>ULM-LK02</x:v>
      </x:c>
      <x:c r="S608" s="215" t="str">
        <x:v>APWEB-ULMA; FNA-ULMA; POWO-ULMA; LBJ-HAYS</x:v>
      </x:c>
      <x:c r="T608" s="215" t="str">
        <x:v>https://www.mobot.org/MOBOT/research/APweb/orders/rosalesweb.htm</x:v>
      </x:c>
      <x:c r="U608" s="215" t="str">
        <x:v>https://efloras.org/florataxon.aspx?flora_id=1&amp;taxon_id=10928</x:v>
      </x:c>
      <x:c r="V608" s="215" t="str">
        <x:v>https://powo.science.kew.org/taxon/urn:lsid:ipni.org:names:77126716-1/general-information</x:v>
      </x:c>
      <x:c r="W608" s="215" t="str">
        <x:v>https://www.mobot.org/MOBOT/research/APweb/orders/rosalesweb.htm
https://efloras.org/florataxon.aspx?flora_id=1&amp;taxon_id=10928
https://powo.science.kew.org/taxon/urn:lsid:ipni.org:names:77126716-1/general-information
https://www.wildflower.org/collections/collection.php?collection=hays</x:v>
      </x:c>
      <x:c r="X608" s="215" t="str">
        <x:v>No — retain qualifiers and exceptions</x:v>
      </x:c>
      <x:c r="Y608" s="215" t="str">
        <x:v>Yes</x:v>
      </x:c>
      <x:c r="Z608" s="215" t="str">
        <x:v>Human review required</x:v>
      </x:c>
    </x:row>
    <x:row r="609" ht="42" customHeight="1">
      <x:c r="A609" s="215" t="str">
        <x:v>Ulmaceae</x:v>
      </x:c>
      <x:c r="B609" s="215" t="str">
        <x:v>ULM-LK01</x:v>
      </x:c>
      <x:c r="C609" s="215" t="str">
        <x:v>Modern/regional lookalike comparison</x:v>
      </x:c>
      <x:c r="D609" s="215" t="str">
        <x:v>Lookalike</x:v>
      </x:c>
      <x:c r="E609" s="215" t="str">
        <x:v>Versus Moraceae: watery sap and individual papery samaras favor modern Ulmaceae; milky sap and multiple fruits favor Moraceae</x:v>
      </x:c>
      <x:c r="F609" s="215" t="str">
        <x:v>Lookalike</x:v>
      </x:c>
      <x:c r="G609" s="215" t="str">
        <x:v>5</x:v>
      </x:c>
      <x:c r="H609" s="215" t="str">
        <x:v>High</x:v>
      </x:c>
      <x:c r="I609" s="215" t="str">
        <x:v>Naked eye or hand lens</x:v>
      </x:c>
      <x:c r="J609" s="215" t="str">
        <x:v>Mature fruit</x:v>
      </x:c>
      <x:c r="K609" s="215" t="str">
        <x:v>Both can be alternate-leaved stipulate trees with toothed or lobed blades.</x:v>
      </x:c>
      <x:c r="L609" s="215" t="str">
        <x:v>Sap may be weak and fruit is seasonal.</x:v>
      </x:c>
      <x:c r="M609" s="215" t="str">
        <x:v>Prioritize mature fruit construction; this supplies the reciprocal comparison for MOR-LK02.</x:v>
      </x:c>
      <x:c r="N609" s="215" t="str">
        <x:v>Elms are common Hays woodland and riparian trees; hackberries require modern Cannabaceae treatment rather than the older broad Ulmaceae concept.</x:v>
      </x:c>
      <x:c r="O609" s="215" t="str">
        <x:v>Low</x:v>
      </x:c>
      <x:c r="P609" s="215" t="str">
        <x:v>No</x:v>
      </x:c>
      <x:c r="Q609" s="215" t="str"/>
      <x:c r="R609" s="215" t="str">
        <x:v>ULM-LEAVES; ULM-FRUIT</x:v>
      </x:c>
      <x:c r="S609" s="215" t="str">
        <x:v>APWEB-ULMA; FNA-ULMA; POWO-ULMA; LBJ-HAYS</x:v>
      </x:c>
      <x:c r="T609" s="215" t="str">
        <x:v>https://www.mobot.org/MOBOT/research/APweb/orders/rosalesweb.htm</x:v>
      </x:c>
      <x:c r="U609" s="215" t="str">
        <x:v>https://efloras.org/florataxon.aspx?flora_id=1&amp;taxon_id=10928</x:v>
      </x:c>
      <x:c r="V609" s="215" t="str">
        <x:v>https://powo.science.kew.org/taxon/urn:lsid:ipni.org:names:77126716-1/general-information</x:v>
      </x:c>
      <x:c r="W609" s="215" t="str">
        <x:v>https://www.mobot.org/MOBOT/research/APweb/orders/rosalesweb.htm
https://efloras.org/florataxon.aspx?flora_id=1&amp;taxon_id=10928
https://powo.science.kew.org/taxon/urn:lsid:ipni.org:names:77126716-1/general-information
https://www.wildflower.org/collections/collection.php?collection=hays</x:v>
      </x:c>
      <x:c r="X609" s="215" t="str">
        <x:v>No — retain qualifiers and exceptions</x:v>
      </x:c>
      <x:c r="Y609" s="215" t="str">
        <x:v>Yes</x:v>
      </x:c>
      <x:c r="Z609" s="215" t="str">
        <x:v>Source-backed draft</x:v>
      </x:c>
    </x:row>
    <x:row r="610" ht="42" customHeight="1">
      <x:c r="A610" s="215" t="str">
        <x:v>Ulmaceae</x:v>
      </x:c>
      <x:c r="B610" s="215" t="str">
        <x:v>ULM-LK02</x:v>
      </x:c>
      <x:c r="C610" s="215" t="str">
        <x:v>Modern/regional lookalike comparison</x:v>
      </x:c>
      <x:c r="D610" s="215" t="str">
        <x:v>Lookalike</x:v>
      </x:c>
      <x:c r="E610" s="215" t="str">
        <x:v>Versus Cannabaceae hackberries: papery samaras favor modern Ulmaceae/Ulmus; fleshy one-seeded drupes favor Celtis in Cannabaceae</x:v>
      </x:c>
      <x:c r="F610" s="215" t="str">
        <x:v>Lookalike</x:v>
      </x:c>
      <x:c r="G610" s="215" t="str">
        <x:v>5</x:v>
      </x:c>
      <x:c r="H610" s="215" t="str">
        <x:v>High</x:v>
      </x:c>
      <x:c r="I610" s="215" t="str">
        <x:v>Naked eye or hand lens</x:v>
      </x:c>
      <x:c r="J610" s="215" t="str">
        <x:v>Mature fruit</x:v>
      </x:c>
      <x:c r="K610" s="215" t="str">
        <x:v>Oblique serrate leaves and small flowers make sterile material confusing.</x:v>
      </x:c>
      <x:c r="L610" s="215" t="str">
        <x:v>Cannabaceae lacks completed reciprocal family rows in the current master, and older floras place Celtis in Ulmaceae.</x:v>
      </x:c>
      <x:c r="M610" s="215" t="str">
        <x:v>Keep the comparison provisional until Cannabaceae receives first-pass coverage.</x:v>
      </x:c>
      <x:c r="N610" s="215" t="str">
        <x:v>Elms are common Hays woodland and riparian trees; hackberries require modern Cannabaceae treatment rather than the older broad Ulmaceae concept.</x:v>
      </x:c>
      <x:c r="O610" s="215" t="str">
        <x:v>Medium</x:v>
      </x:c>
      <x:c r="P610" s="215" t="str">
        <x:v>Yes</x:v>
      </x:c>
      <x:c r="Q610" s="215" t="str">
        <x:v>Reciprocal Cannabaceae coverage is absent, and older FNA family boundaries conflict with current POWO placement.</x:v>
      </x:c>
      <x:c r="R610" s="215" t="str">
        <x:v>ULM-LEAVES; ULM-FRUIT; ULM-TAXON</x:v>
      </x:c>
      <x:c r="S610" s="215" t="str">
        <x:v>APWEB-ULMA; FNA-ULMA; POWO-ULMA; LBJ-HAYS</x:v>
      </x:c>
      <x:c r="T610" s="215" t="str">
        <x:v>https://www.mobot.org/MOBOT/research/APweb/orders/rosalesweb.htm</x:v>
      </x:c>
      <x:c r="U610" s="215" t="str">
        <x:v>https://efloras.org/florataxon.aspx?flora_id=1&amp;taxon_id=10928</x:v>
      </x:c>
      <x:c r="V610" s="215" t="str">
        <x:v>https://powo.science.kew.org/taxon/urn:lsid:ipni.org:names:77126716-1/general-information</x:v>
      </x:c>
      <x:c r="W610" s="215" t="str">
        <x:v>https://www.mobot.org/MOBOT/research/APweb/orders/rosalesweb.htm
https://efloras.org/florataxon.aspx?flora_id=1&amp;taxon_id=10928
https://powo.science.kew.org/taxon/urn:lsid:ipni.org:names:77126716-1/general-information
https://www.wildflower.org/collections/collection.php?collection=hays</x:v>
      </x:c>
      <x:c r="X610" s="215" t="str">
        <x:v>No — retain qualifiers and exceptions</x:v>
      </x:c>
      <x:c r="Y610" s="215" t="str">
        <x:v>Yes</x:v>
      </x:c>
      <x:c r="Z610" s="215" t="str">
        <x:v>Human review required</x:v>
      </x:c>
    </x:row>
    <x:row r="611" ht="42" customHeight="1">
      <x:c r="A611" s="215" t="str">
        <x:v>Urticaceae</x:v>
      </x:c>
      <x:c r="B611" s="215" t="str">
        <x:v>URT-HABIT</x:v>
      </x:c>
      <x:c r="C611" s="215" t="str">
        <x:v>Family character</x:v>
      </x:c>
      <x:c r="D611" s="215" t="str">
        <x:v>Habit</x:v>
      </x:c>
      <x:c r="E611" s="215" t="str">
        <x:v>Annual or perennial herbs, less often small shrubs or woody plants</x:v>
      </x:c>
      <x:c r="F611" s="215" t="str">
        <x:v>Strong</x:v>
      </x:c>
      <x:c r="G611" s="215" t="str">
        <x:v>2</x:v>
      </x:c>
      <x:c r="H611" s="215" t="str">
        <x:v>High</x:v>
      </x:c>
      <x:c r="I611" s="215" t="str">
        <x:v>Naked eye or hand lens</x:v>
      </x:c>
      <x:c r="J611" s="215" t="str">
        <x:v>Any active growth</x:v>
      </x:c>
      <x:c r="K611" s="215" t="str">
        <x:v>Local nettle-family plants are usually herbs.</x:v>
      </x:c>
      <x:c r="L611" s="215" t="str">
        <x:v>The global family includes lianas and trees.</x:v>
      </x:c>
      <x:c r="M611" s="215" t="str">
        <x:v>Use habit only as the first filter.</x:v>
      </x:c>
      <x:c r="N611" s="215" t="str">
        <x:v>Nettles, pellitories, and related herbs are relevant in Hays riparian, shaded, disturbed, and moist microsites; never test stinging hairs by touch.</x:v>
      </x:c>
      <x:c r="O611" s="215" t="str">
        <x:v>Low</x:v>
      </x:c>
      <x:c r="P611" s="215" t="str">
        <x:v>No</x:v>
      </x:c>
      <x:c r="Q611" s="215" t="str"/>
      <x:c r="R611" s="215" t="str"/>
      <x:c r="S611" s="215" t="str">
        <x:v>APWEB-URTI; FNA-URTI; POWO-URTI; LBJ-HAYS</x:v>
      </x:c>
      <x:c r="T611" s="215" t="str">
        <x:v>https://www.mobot.org/MOBOT/research/APweb/orders/rosalesweb.htm</x:v>
      </x:c>
      <x:c r="U611" s="215" t="str">
        <x:v>https://floranorthamerica.org/Urticaceae</x:v>
      </x:c>
      <x:c r="V611" s="215" t="str">
        <x:v>https://powo.science.kew.org/taxon/urn:lsid:ipni.org:names:30000535-2/general-information</x:v>
      </x:c>
      <x:c r="W611" s="215" t="str">
        <x:v>https://www.mobot.org/MOBOT/research/APweb/orders/rosalesweb.htm
https://floranorthamerica.org/Urticaceae
https://powo.science.kew.org/taxon/urn:lsid:ipni.org:names:30000535-2/general-information
https://www.wildflower.org/collections/collection.php?collection=hays</x:v>
      </x:c>
      <x:c r="X611" s="215" t="str">
        <x:v>No — retain qualifiers and exceptions</x:v>
      </x:c>
      <x:c r="Y611" s="215" t="str">
        <x:v>Yes</x:v>
      </x:c>
      <x:c r="Z611" s="215" t="str">
        <x:v>Source-backed draft</x:v>
      </x:c>
    </x:row>
    <x:row r="612" ht="42" customHeight="1">
      <x:c r="A612" s="215" t="str">
        <x:v>Urticaceae</x:v>
      </x:c>
      <x:c r="B612" s="215" t="str">
        <x:v>URT-HAIRS</x:v>
      </x:c>
      <x:c r="C612" s="215" t="str">
        <x:v>Family character</x:v>
      </x:c>
      <x:c r="D612" s="215" t="str">
        <x:v>Hairs</x:v>
      </x:c>
      <x:c r="E612" s="215" t="str">
        <x:v>Stinging hairs present in some genera, with a swollen base and stiff translucent tip; other family members lack them</x:v>
      </x:c>
      <x:c r="F612" s="215" t="str">
        <x:v>Strong</x:v>
      </x:c>
      <x:c r="G612" s="215" t="str">
        <x:v>4</x:v>
      </x:c>
      <x:c r="H612" s="215" t="str">
        <x:v>High</x:v>
      </x:c>
      <x:c r="I612" s="215" t="str">
        <x:v>Naked eye or hand lens</x:v>
      </x:c>
      <x:c r="J612" s="215" t="str">
        <x:v>Fresh stems and leaves</x:v>
      </x:c>
      <x:c r="K612" s="215" t="str">
        <x:v>True nettle hairs are brittle injection-like structures rather than ordinary soft pubescence.</x:v>
      </x:c>
      <x:c r="L612" s="215" t="str">
        <x:v>Stinging hairs are not universal and must never be tested by touch.</x:v>
      </x:c>
      <x:c r="M612" s="215" t="str">
        <x:v>Inspect visually or with magnification and retain absence as unknown.</x:v>
      </x:c>
      <x:c r="N612" s="215" t="str">
        <x:v>Nettles, pellitories, and related herbs are relevant in Hays riparian, shaded, disturbed, and moist microsites; never test stinging hairs by touch.</x:v>
      </x:c>
      <x:c r="O612" s="215" t="str">
        <x:v>Low</x:v>
      </x:c>
      <x:c r="P612" s="215" t="str">
        <x:v>No</x:v>
      </x:c>
      <x:c r="Q612" s="215" t="str"/>
      <x:c r="R612" s="215" t="str">
        <x:v>URT-LK01; URT-LK02</x:v>
      </x:c>
      <x:c r="S612" s="215" t="str">
        <x:v>APWEB-URTI; FNA-URTI; POWO-URTI; LBJ-HAYS</x:v>
      </x:c>
      <x:c r="T612" s="215" t="str">
        <x:v>https://www.mobot.org/MOBOT/research/APweb/orders/rosalesweb.htm</x:v>
      </x:c>
      <x:c r="U612" s="215" t="str">
        <x:v>https://floranorthamerica.org/Urticaceae</x:v>
      </x:c>
      <x:c r="V612" s="215" t="str">
        <x:v>https://powo.science.kew.org/taxon/urn:lsid:ipni.org:names:30000535-2/general-information</x:v>
      </x:c>
      <x:c r="W612" s="215" t="str">
        <x:v>https://www.mobot.org/MOBOT/research/APweb/orders/rosalesweb.htm
https://floranorthamerica.org/Urticaceae
https://powo.science.kew.org/taxon/urn:lsid:ipni.org:names:30000535-2/general-information
https://www.wildflower.org/collections/collection.php?collection=hays</x:v>
      </x:c>
      <x:c r="X612" s="215" t="str">
        <x:v>No — retain qualifiers and exceptions</x:v>
      </x:c>
      <x:c r="Y612" s="215" t="str">
        <x:v>Yes</x:v>
      </x:c>
      <x:c r="Z612" s="215" t="str">
        <x:v>Source-backed draft</x:v>
      </x:c>
    </x:row>
    <x:row r="613" ht="42" customHeight="1">
      <x:c r="A613" s="215" t="str">
        <x:v>Urticaceae</x:v>
      </x:c>
      <x:c r="B613" s="215" t="str">
        <x:v>URT-LEAVES</x:v>
      </x:c>
      <x:c r="C613" s="215" t="str">
        <x:v>Family character</x:v>
      </x:c>
      <x:c r="D613" s="215" t="str">
        <x:v>Leaves / stipules</x:v>
      </x:c>
      <x:c r="E613" s="215" t="str">
        <x:v>Leaves simple, opposite or alternate; stipules present or absent; cystolith marks often visible</x:v>
      </x:c>
      <x:c r="F613" s="215" t="str">
        <x:v>Strong</x:v>
      </x:c>
      <x:c r="G613" s="215" t="str">
        <x:v>3</x:v>
      </x:c>
      <x:c r="H613" s="215" t="str">
        <x:v>High</x:v>
      </x:c>
      <x:c r="I613" s="215" t="str">
        <x:v>Naked eye or hand lens</x:v>
      </x:c>
      <x:c r="J613" s="215" t="str">
        <x:v>Mature leaves</x:v>
      </x:c>
      <x:c r="K613" s="215" t="str">
        <x:v>Nettle-family leaves frequently show pale linear or dotlike mineral patterns.</x:v>
      </x:c>
      <x:c r="L613" s="215" t="str">
        <x:v>Arrangement and stipules vary, and cystoliths may need magnification.</x:v>
      </x:c>
      <x:c r="M613" s="215" t="str">
        <x:v>Combine node, hair, and flower characters.</x:v>
      </x:c>
      <x:c r="N613" s="215" t="str">
        <x:v>Nettles, pellitories, and related herbs are relevant in Hays riparian, shaded, disturbed, and moist microsites; never test stinging hairs by touch.</x:v>
      </x:c>
      <x:c r="O613" s="215" t="str">
        <x:v>Low</x:v>
      </x:c>
      <x:c r="P613" s="215" t="str">
        <x:v>No</x:v>
      </x:c>
      <x:c r="Q613" s="215" t="str"/>
      <x:c r="R613" s="215" t="str"/>
      <x:c r="S613" s="215" t="str">
        <x:v>APWEB-URTI; FNA-URTI; POWO-URTI; LBJ-HAYS</x:v>
      </x:c>
      <x:c r="T613" s="215" t="str">
        <x:v>https://www.mobot.org/MOBOT/research/APweb/orders/rosalesweb.htm</x:v>
      </x:c>
      <x:c r="U613" s="215" t="str">
        <x:v>https://floranorthamerica.org/Urticaceae</x:v>
      </x:c>
      <x:c r="V613" s="215" t="str">
        <x:v>https://powo.science.kew.org/taxon/urn:lsid:ipni.org:names:30000535-2/general-information</x:v>
      </x:c>
      <x:c r="W613" s="215" t="str">
        <x:v>https://www.mobot.org/MOBOT/research/APweb/orders/rosalesweb.htm
https://floranorthamerica.org/Urticaceae
https://powo.science.kew.org/taxon/urn:lsid:ipni.org:names:30000535-2/general-information
https://www.wildflower.org/collections/collection.php?collection=hays</x:v>
      </x:c>
      <x:c r="X613" s="215" t="str">
        <x:v>No — retain qualifiers and exceptions</x:v>
      </x:c>
      <x:c r="Y613" s="215" t="str">
        <x:v>Yes</x:v>
      </x:c>
      <x:c r="Z613" s="215" t="str">
        <x:v>Source-backed draft</x:v>
      </x:c>
    </x:row>
    <x:row r="614" ht="42" customHeight="1">
      <x:c r="A614" s="215" t="str">
        <x:v>Urticaceae</x:v>
      </x:c>
      <x:c r="B614" s="215" t="str">
        <x:v>URT-CYSTOLITH</x:v>
      </x:c>
      <x:c r="C614" s="215" t="str">
        <x:v>Family character</x:v>
      </x:c>
      <x:c r="D614" s="215" t="str">
        <x:v>Leaf anatomy</x:v>
      </x:c>
      <x:c r="E614" s="215" t="str">
        <x:v>Calcium-carbonate cystoliths form linear or rounded epidermal marks</x:v>
      </x:c>
      <x:c r="F614" s="215" t="str">
        <x:v>Supporting</x:v>
      </x:c>
      <x:c r="G614" s="215" t="str">
        <x:v>2</x:v>
      </x:c>
      <x:c r="H614" s="215" t="str">
        <x:v>High</x:v>
      </x:c>
      <x:c r="I614" s="215" t="str">
        <x:v>Hand lens to high magnification</x:v>
      </x:c>
      <x:c r="J614" s="215" t="str">
        <x:v>Mature leaves</x:v>
      </x:c>
      <x:c r="K614" s="215" t="str">
        <x:v>Cystolith shape can separate genera and support family placement.</x:v>
      </x:c>
      <x:c r="L614" s="215" t="str">
        <x:v>Cystoliths also occur in Cannabaceae and Moraceae and are not always visible.</x:v>
      </x:c>
      <x:c r="M614" s="215" t="str">
        <x:v>Use as magnified support, never as a sole family character.</x:v>
      </x:c>
      <x:c r="N614" s="215" t="str">
        <x:v>Nettles, pellitories, and related herbs are relevant in Hays riparian, shaded, disturbed, and moist microsites; never test stinging hairs by touch.</x:v>
      </x:c>
      <x:c r="O614" s="215" t="str">
        <x:v>Low</x:v>
      </x:c>
      <x:c r="P614" s="215" t="str">
        <x:v>No</x:v>
      </x:c>
      <x:c r="Q614" s="215" t="str"/>
      <x:c r="R614" s="215" t="str"/>
      <x:c r="S614" s="215" t="str">
        <x:v>APWEB-URTI; FNA-URTI; POWO-URTI; LBJ-HAYS</x:v>
      </x:c>
      <x:c r="T614" s="215" t="str">
        <x:v>https://www.mobot.org/MOBOT/research/APweb/orders/rosalesweb.htm</x:v>
      </x:c>
      <x:c r="U614" s="215" t="str">
        <x:v>https://floranorthamerica.org/Urticaceae</x:v>
      </x:c>
      <x:c r="V614" s="215" t="str">
        <x:v>https://powo.science.kew.org/taxon/urn:lsid:ipni.org:names:30000535-2/general-information</x:v>
      </x:c>
      <x:c r="W614" s="215" t="str">
        <x:v>https://www.mobot.org/MOBOT/research/APweb/orders/rosalesweb.htm
https://floranorthamerica.org/Urticaceae
https://powo.science.kew.org/taxon/urn:lsid:ipni.org:names:30000535-2/general-information
https://www.wildflower.org/collections/collection.php?collection=hays</x:v>
      </x:c>
      <x:c r="X614" s="215" t="str">
        <x:v>No — retain qualifiers and exceptions</x:v>
      </x:c>
      <x:c r="Y614" s="215" t="str">
        <x:v>Yes</x:v>
      </x:c>
      <x:c r="Z614" s="215" t="str">
        <x:v>Source-backed draft</x:v>
      </x:c>
    </x:row>
    <x:row r="615" ht="42" customHeight="1">
      <x:c r="A615" s="215" t="str">
        <x:v>Urticaceae</x:v>
      </x:c>
      <x:c r="B615" s="215" t="str">
        <x:v>URT-FLOWER</x:v>
      </x:c>
      <x:c r="C615" s="215" t="str">
        <x:v>Family character</x:v>
      </x:c>
      <x:c r="D615" s="215" t="str">
        <x:v>Flowers</x:v>
      </x:c>
      <x:c r="E615" s="215" t="str">
        <x:v>Flowers tiny, greenish, bisexual or unisexual, commonly with 4–5 tepals in staminate flowers</x:v>
      </x:c>
      <x:c r="F615" s="215" t="str">
        <x:v>Strong</x:v>
      </x:c>
      <x:c r="G615" s="215" t="str">
        <x:v>3</x:v>
      </x:c>
      <x:c r="H615" s="215" t="str">
        <x:v>High</x:v>
      </x:c>
      <x:c r="I615" s="215" t="str">
        <x:v>Naked eye or hand lens</x:v>
      </x:c>
      <x:c r="J615" s="215" t="str">
        <x:v>Fresh inflorescences</x:v>
      </x:c>
      <x:c r="K615" s="215" t="str">
        <x:v>The family lacks a showy corolla and often forms inconspicuous clusters.</x:v>
      </x:c>
      <x:c r="L615" s="215" t="str">
        <x:v>Sex and tepal number vary among genera.</x:v>
      </x:c>
      <x:c r="M615" s="215" t="str">
        <x:v>Use flower structure with fruit and hairs.</x:v>
      </x:c>
      <x:c r="N615" s="215" t="str">
        <x:v>Nettles, pellitories, and related herbs are relevant in Hays riparian, shaded, disturbed, and moist microsites; never test stinging hairs by touch.</x:v>
      </x:c>
      <x:c r="O615" s="215" t="str">
        <x:v>Low</x:v>
      </x:c>
      <x:c r="P615" s="215" t="str">
        <x:v>No</x:v>
      </x:c>
      <x:c r="Q615" s="215" t="str"/>
      <x:c r="R615" s="215" t="str"/>
      <x:c r="S615" s="215" t="str">
        <x:v>APWEB-URTI; FNA-URTI; POWO-URTI; LBJ-HAYS</x:v>
      </x:c>
      <x:c r="T615" s="215" t="str">
        <x:v>https://www.mobot.org/MOBOT/research/APweb/orders/rosalesweb.htm</x:v>
      </x:c>
      <x:c r="U615" s="215" t="str">
        <x:v>https://floranorthamerica.org/Urticaceae</x:v>
      </x:c>
      <x:c r="V615" s="215" t="str">
        <x:v>https://powo.science.kew.org/taxon/urn:lsid:ipni.org:names:30000535-2/general-information</x:v>
      </x:c>
      <x:c r="W615" s="215" t="str">
        <x:v>https://www.mobot.org/MOBOT/research/APweb/orders/rosalesweb.htm
https://floranorthamerica.org/Urticaceae
https://powo.science.kew.org/taxon/urn:lsid:ipni.org:names:30000535-2/general-information
https://www.wildflower.org/collections/collection.php?collection=hays</x:v>
      </x:c>
      <x:c r="X615" s="215" t="str">
        <x:v>No — retain qualifiers and exceptions</x:v>
      </x:c>
      <x:c r="Y615" s="215" t="str">
        <x:v>Yes</x:v>
      </x:c>
      <x:c r="Z615" s="215" t="str">
        <x:v>Source-backed draft</x:v>
      </x:c>
    </x:row>
    <x:row r="616" ht="42" customHeight="1">
      <x:c r="A616" s="215" t="str">
        <x:v>Urticaceae</x:v>
      </x:c>
      <x:c r="B616" s="215" t="str">
        <x:v>URT-STAMENS</x:v>
      </x:c>
      <x:c r="C616" s="215" t="str">
        <x:v>Family character</x:v>
      </x:c>
      <x:c r="D616" s="215" t="str">
        <x:v>Stamens / pollination</x:v>
      </x:c>
      <x:c r="E616" s="215" t="str">
        <x:v>Stamens usually equal tepals in number; filaments often inflexed in bud and spring outward to eject pollen</x:v>
      </x:c>
      <x:c r="F616" s="215" t="str">
        <x:v>Strong</x:v>
      </x:c>
      <x:c r="G616" s="215" t="str">
        <x:v>4</x:v>
      </x:c>
      <x:c r="H616" s="215" t="str">
        <x:v>High</x:v>
      </x:c>
      <x:c r="I616" s="215" t="str">
        <x:v>Hand lens</x:v>
      </x:c>
      <x:c r="J616" s="215" t="str">
        <x:v>Fresh staminate flowers</x:v>
      </x:c>
      <x:c r="K616" s="215" t="str">
        <x:v>Pollen may be released explosively when the tiny male flowers open.</x:v>
      </x:c>
      <x:c r="L616" s="215" t="str">
        <x:v>The spring mechanism is not equally obvious in every lineage.</x:v>
      </x:c>
      <x:c r="M616" s="215" t="str">
        <x:v>Observe open flowers under magnification; do not force closed flowers.</x:v>
      </x:c>
      <x:c r="N616" s="215" t="str">
        <x:v>Nettles, pellitories, and related herbs are relevant in Hays riparian, shaded, disturbed, and moist microsites; never test stinging hairs by touch.</x:v>
      </x:c>
      <x:c r="O616" s="215" t="str">
        <x:v>Low</x:v>
      </x:c>
      <x:c r="P616" s="215" t="str">
        <x:v>No</x:v>
      </x:c>
      <x:c r="Q616" s="215" t="str"/>
      <x:c r="R616" s="215" t="str"/>
      <x:c r="S616" s="215" t="str">
        <x:v>APWEB-URTI; FNA-URTI; POWO-URTI; LBJ-HAYS</x:v>
      </x:c>
      <x:c r="T616" s="215" t="str">
        <x:v>https://www.mobot.org/MOBOT/research/APweb/orders/rosalesweb.htm</x:v>
      </x:c>
      <x:c r="U616" s="215" t="str">
        <x:v>https://floranorthamerica.org/Urticaceae</x:v>
      </x:c>
      <x:c r="V616" s="215" t="str">
        <x:v>https://powo.science.kew.org/taxon/urn:lsid:ipni.org:names:30000535-2/general-information</x:v>
      </x:c>
      <x:c r="W616" s="215" t="str">
        <x:v>https://www.mobot.org/MOBOT/research/APweb/orders/rosalesweb.htm
https://floranorthamerica.org/Urticaceae
https://powo.science.kew.org/taxon/urn:lsid:ipni.org:names:30000535-2/general-information
https://www.wildflower.org/collections/collection.php?collection=hays</x:v>
      </x:c>
      <x:c r="X616" s="215" t="str">
        <x:v>No — retain qualifiers and exceptions</x:v>
      </x:c>
      <x:c r="Y616" s="215" t="str">
        <x:v>Yes</x:v>
      </x:c>
      <x:c r="Z616" s="215" t="str">
        <x:v>Source-backed draft</x:v>
      </x:c>
    </x:row>
    <x:row r="617" ht="42" customHeight="1">
      <x:c r="A617" s="215" t="str">
        <x:v>Urticaceae</x:v>
      </x:c>
      <x:c r="B617" s="215" t="str">
        <x:v>URT-OVARY</x:v>
      </x:c>
      <x:c r="C617" s="215" t="str">
        <x:v>Family character</x:v>
      </x:c>
      <x:c r="D617" s="215" t="str">
        <x:v>Gynoecium</x:v>
      </x:c>
      <x:c r="E617" s="215" t="str">
        <x:v>Pistil 1, ovary 1-locular with one basal ovule and a linear or capitate stigma</x:v>
      </x:c>
      <x:c r="F617" s="215" t="str">
        <x:v>Strong</x:v>
      </x:c>
      <x:c r="G617" s="215" t="str">
        <x:v>4</x:v>
      </x:c>
      <x:c r="H617" s="215" t="str">
        <x:v>High</x:v>
      </x:c>
      <x:c r="I617" s="215" t="str">
        <x:v>Hand lens or dissection</x:v>
      </x:c>
      <x:c r="J617" s="215" t="str">
        <x:v>Fresh pistillate flowers</x:v>
      </x:c>
      <x:c r="K617" s="215" t="str">
        <x:v>Each female flower makes one small dry fruit.</x:v>
      </x:c>
      <x:c r="L617" s="215" t="str">
        <x:v>Internal structure is difficult before fruiting.</x:v>
      </x:c>
      <x:c r="M617" s="215" t="str">
        <x:v>Use the single achene as the practical expression.</x:v>
      </x:c>
      <x:c r="N617" s="215" t="str">
        <x:v>Nettles, pellitories, and related herbs are relevant in Hays riparian, shaded, disturbed, and moist microsites; never test stinging hairs by touch.</x:v>
      </x:c>
      <x:c r="O617" s="215" t="str">
        <x:v>Low</x:v>
      </x:c>
      <x:c r="P617" s="215" t="str">
        <x:v>No</x:v>
      </x:c>
      <x:c r="Q617" s="215" t="str"/>
      <x:c r="R617" s="215" t="str"/>
      <x:c r="S617" s="215" t="str">
        <x:v>APWEB-URTI; FNA-URTI; POWO-URTI; LBJ-HAYS</x:v>
      </x:c>
      <x:c r="T617" s="215" t="str">
        <x:v>https://www.mobot.org/MOBOT/research/APweb/orders/rosalesweb.htm</x:v>
      </x:c>
      <x:c r="U617" s="215" t="str">
        <x:v>https://floranorthamerica.org/Urticaceae</x:v>
      </x:c>
      <x:c r="V617" s="215" t="str">
        <x:v>https://powo.science.kew.org/taxon/urn:lsid:ipni.org:names:30000535-2/general-information</x:v>
      </x:c>
      <x:c r="W617" s="215" t="str">
        <x:v>https://www.mobot.org/MOBOT/research/APweb/orders/rosalesweb.htm
https://floranorthamerica.org/Urticaceae
https://powo.science.kew.org/taxon/urn:lsid:ipni.org:names:30000535-2/general-information
https://www.wildflower.org/collections/collection.php?collection=hays</x:v>
      </x:c>
      <x:c r="X617" s="215" t="str">
        <x:v>No — retain qualifiers and exceptions</x:v>
      </x:c>
      <x:c r="Y617" s="215" t="str">
        <x:v>Yes</x:v>
      </x:c>
      <x:c r="Z617" s="215" t="str">
        <x:v>Source-backed draft</x:v>
      </x:c>
    </x:row>
    <x:row r="618" ht="42" customHeight="1">
      <x:c r="A618" s="215" t="str">
        <x:v>Urticaceae</x:v>
      </x:c>
      <x:c r="B618" s="215" t="str">
        <x:v>URT-FRUIT</x:v>
      </x:c>
      <x:c r="C618" s="215" t="str">
        <x:v>Family character</x:v>
      </x:c>
      <x:c r="D618" s="215" t="str">
        <x:v>Fruit</x:v>
      </x:c>
      <x:c r="E618" s="215" t="str">
        <x:v>Fruit an achene, free or enclosed by persistent and sometimes enlarging perianth</x:v>
      </x:c>
      <x:c r="F618" s="215" t="str">
        <x:v>Strong</x:v>
      </x:c>
      <x:c r="G618" s="215" t="str">
        <x:v>5</x:v>
      </x:c>
      <x:c r="H618" s="215" t="str">
        <x:v>High</x:v>
      </x:c>
      <x:c r="I618" s="215" t="str">
        <x:v>Naked eye or hand lens</x:v>
      </x:c>
      <x:c r="J618" s="215" t="str">
        <x:v>Mature fruit</x:v>
      </x:c>
      <x:c r="K618" s="215" t="str">
        <x:v>Clusters break into many individual one-seeded dry fruits.</x:v>
      </x:c>
      <x:c r="L618" s="215" t="str">
        <x:v>Perianth enclosure varies among genera.</x:v>
      </x:c>
      <x:c r="M618" s="215" t="str">
        <x:v>Confirm one achene per flower rather than a multiple fleshy fruit.</x:v>
      </x:c>
      <x:c r="N618" s="215" t="str">
        <x:v>Nettles, pellitories, and related herbs are relevant in Hays riparian, shaded, disturbed, and moist microsites; never test stinging hairs by touch.</x:v>
      </x:c>
      <x:c r="O618" s="215" t="str">
        <x:v>Low</x:v>
      </x:c>
      <x:c r="P618" s="215" t="str">
        <x:v>No</x:v>
      </x:c>
      <x:c r="Q618" s="215" t="str"/>
      <x:c r="R618" s="215" t="str">
        <x:v>URT-LK01; URT-LK02</x:v>
      </x:c>
      <x:c r="S618" s="215" t="str">
        <x:v>APWEB-URTI; FNA-URTI; POWO-URTI; LBJ-HAYS</x:v>
      </x:c>
      <x:c r="T618" s="215" t="str">
        <x:v>https://www.mobot.org/MOBOT/research/APweb/orders/rosalesweb.htm</x:v>
      </x:c>
      <x:c r="U618" s="215" t="str">
        <x:v>https://floranorthamerica.org/Urticaceae</x:v>
      </x:c>
      <x:c r="V618" s="215" t="str">
        <x:v>https://powo.science.kew.org/taxon/urn:lsid:ipni.org:names:30000535-2/general-information</x:v>
      </x:c>
      <x:c r="W618" s="215" t="str">
        <x:v>https://www.mobot.org/MOBOT/research/APweb/orders/rosalesweb.htm
https://floranorthamerica.org/Urticaceae
https://powo.science.kew.org/taxon/urn:lsid:ipni.org:names:30000535-2/general-information
https://www.wildflower.org/collections/collection.php?collection=hays</x:v>
      </x:c>
      <x:c r="X618" s="215" t="str">
        <x:v>No — retain qualifiers and exceptions</x:v>
      </x:c>
      <x:c r="Y618" s="215" t="str">
        <x:v>Yes</x:v>
      </x:c>
      <x:c r="Z618" s="215" t="str">
        <x:v>Source-backed draft</x:v>
      </x:c>
    </x:row>
    <x:row r="619" ht="42" customHeight="1">
      <x:c r="A619" s="215" t="str">
        <x:v>Urticaceae</x:v>
      </x:c>
      <x:c r="B619" s="215" t="str">
        <x:v>URT-SAP</x:v>
      </x:c>
      <x:c r="C619" s="215" t="str">
        <x:v>Family character</x:v>
      </x:c>
      <x:c r="D619" s="215" t="str">
        <x:v>Sap</x:v>
      </x:c>
      <x:c r="E619" s="215" t="str">
        <x:v>Sap generally watery rather than conspicuously milky in the practical regional comparison</x:v>
      </x:c>
      <x:c r="F619" s="215" t="str">
        <x:v>Supporting</x:v>
      </x:c>
      <x:c r="G619" s="215" t="str">
        <x:v>2</x:v>
      </x:c>
      <x:c r="H619" s="215" t="str">
        <x:v>High</x:v>
      </x:c>
      <x:c r="I619" s="215" t="str">
        <x:v>Naked eye or hand lens</x:v>
      </x:c>
      <x:c r="J619" s="215" t="str">
        <x:v>Fresh material</x:v>
      </x:c>
      <x:c r="K619" s="215" t="str">
        <x:v>Watery sap helps separate nettles from many mulberry-family plants.</x:v>
      </x:c>
      <x:c r="L619" s="215" t="str">
        <x:v>Sap is not a safe universal and cutting plants is unnecessary when fruit is present.</x:v>
      </x:c>
      <x:c r="M619" s="215" t="str">
        <x:v>Use cautiously and avoid contact with stinging taxa.</x:v>
      </x:c>
      <x:c r="N619" s="215" t="str">
        <x:v>Nettles, pellitories, and related herbs are relevant in Hays riparian, shaded, disturbed, and moist microsites; never test stinging hairs by touch.</x:v>
      </x:c>
      <x:c r="O619" s="215" t="str">
        <x:v>Low</x:v>
      </x:c>
      <x:c r="P619" s="215" t="str">
        <x:v>No</x:v>
      </x:c>
      <x:c r="Q619" s="215" t="str"/>
      <x:c r="R619" s="215" t="str"/>
      <x:c r="S619" s="215" t="str">
        <x:v>APWEB-URTI; FNA-URTI; POWO-URTI; LBJ-HAYS</x:v>
      </x:c>
      <x:c r="T619" s="215" t="str">
        <x:v>https://www.mobot.org/MOBOT/research/APweb/orders/rosalesweb.htm</x:v>
      </x:c>
      <x:c r="U619" s="215" t="str">
        <x:v>https://floranorthamerica.org/Urticaceae</x:v>
      </x:c>
      <x:c r="V619" s="215" t="str">
        <x:v>https://powo.science.kew.org/taxon/urn:lsid:ipni.org:names:30000535-2/general-information</x:v>
      </x:c>
      <x:c r="W619" s="215" t="str">
        <x:v>https://www.mobot.org/MOBOT/research/APweb/orders/rosalesweb.htm
https://floranorthamerica.org/Urticaceae
https://powo.science.kew.org/taxon/urn:lsid:ipni.org:names:30000535-2/general-information
https://www.wildflower.org/collections/collection.php?collection=hays</x:v>
      </x:c>
      <x:c r="X619" s="215" t="str">
        <x:v>No — retain qualifiers and exceptions</x:v>
      </x:c>
      <x:c r="Y619" s="215" t="str">
        <x:v>Yes</x:v>
      </x:c>
      <x:c r="Z619" s="215" t="str">
        <x:v>Source-backed draft</x:v>
      </x:c>
    </x:row>
    <x:row r="620" ht="42" customHeight="1">
      <x:c r="A620" s="215" t="str">
        <x:v>Urticaceae</x:v>
      </x:c>
      <x:c r="B620" s="215" t="str">
        <x:v>URT-LK01</x:v>
      </x:c>
      <x:c r="C620" s="215" t="str">
        <x:v>Lookalike comparison</x:v>
      </x:c>
      <x:c r="D620" s="215" t="str">
        <x:v>Lookalike</x:v>
      </x:c>
      <x:c r="E620" s="215" t="str">
        <x:v>Versus Moraceae: dry achenes and often stinging hairs favor Urticaceae; milky sap and fleshy multiple fruits favor Moraceae</x:v>
      </x:c>
      <x:c r="F620" s="215" t="str">
        <x:v>Lookalike</x:v>
      </x:c>
      <x:c r="G620" s="215" t="str">
        <x:v>5</x:v>
      </x:c>
      <x:c r="H620" s="215" t="str">
        <x:v>High</x:v>
      </x:c>
      <x:c r="I620" s="215" t="str">
        <x:v>Naked eye or hand lens</x:v>
      </x:c>
      <x:c r="J620" s="215" t="str">
        <x:v>Leafy fruiting material</x:v>
      </x:c>
      <x:c r="K620" s="215" t="str">
        <x:v>The two families share stipules, cystoliths, and tiny unisexual flowers.</x:v>
      </x:c>
      <x:c r="L620" s="215" t="str">
        <x:v>Not all nettles sting and not all Moraceae exude obvious latex.</x:v>
      </x:c>
      <x:c r="M620" s="215" t="str">
        <x:v>Prioritize mature fruit construction; this supplies the reciprocal comparison for MOR-LK01.</x:v>
      </x:c>
      <x:c r="N620" s="215" t="str">
        <x:v>Nettles, pellitories, and related herbs are relevant in Hays riparian, shaded, disturbed, and moist microsites; never test stinging hairs by touch.</x:v>
      </x:c>
      <x:c r="O620" s="215" t="str">
        <x:v>Low</x:v>
      </x:c>
      <x:c r="P620" s="215" t="str">
        <x:v>No</x:v>
      </x:c>
      <x:c r="Q620" s="215" t="str"/>
      <x:c r="R620" s="215" t="str">
        <x:v>URT-HAIRS; URT-FRUIT; URT-SAP</x:v>
      </x:c>
      <x:c r="S620" s="215" t="str">
        <x:v>APWEB-URTI; FNA-URTI; POWO-URTI; LBJ-HAYS</x:v>
      </x:c>
      <x:c r="T620" s="215" t="str">
        <x:v>https://www.mobot.org/MOBOT/research/APweb/orders/rosalesweb.htm</x:v>
      </x:c>
      <x:c r="U620" s="215" t="str">
        <x:v>https://floranorthamerica.org/Urticaceae</x:v>
      </x:c>
      <x:c r="V620" s="215" t="str">
        <x:v>https://powo.science.kew.org/taxon/urn:lsid:ipni.org:names:30000535-2/general-information</x:v>
      </x:c>
      <x:c r="W620" s="215" t="str">
        <x:v>https://www.mobot.org/MOBOT/research/APweb/orders/rosalesweb.htm
https://floranorthamerica.org/Urticaceae
https://powo.science.kew.org/taxon/urn:lsid:ipni.org:names:30000535-2/general-information
https://www.wildflower.org/collections/collection.php?collection=hays</x:v>
      </x:c>
      <x:c r="X620" s="215" t="str">
        <x:v>No — retain qualifiers and exceptions</x:v>
      </x:c>
      <x:c r="Y620" s="215" t="str">
        <x:v>Yes</x:v>
      </x:c>
      <x:c r="Z620" s="215" t="str">
        <x:v>Source-backed draft</x:v>
      </x:c>
    </x:row>
    <x:row r="621" ht="42" customHeight="1">
      <x:c r="A621" s="215" t="str">
        <x:v>Urticaceae</x:v>
      </x:c>
      <x:c r="B621" s="215" t="str">
        <x:v>URT-LK02</x:v>
      </x:c>
      <x:c r="C621" s="215" t="str">
        <x:v>Lookalike comparison</x:v>
      </x:c>
      <x:c r="D621" s="215" t="str">
        <x:v>Lookalike</x:v>
      </x:c>
      <x:c r="E621" s="215" t="str">
        <x:v>Versus Cannabaceae: stinging hairs or nettle-type achene clusters favor Urticaceae; hackberry drupes or hemp/hop bracteate fruits favor Cannabaceae</x:v>
      </x:c>
      <x:c r="F621" s="215" t="str">
        <x:v>Lookalike</x:v>
      </x:c>
      <x:c r="G621" s="215" t="str">
        <x:v>5</x:v>
      </x:c>
      <x:c r="H621" s="215" t="str">
        <x:v>High</x:v>
      </x:c>
      <x:c r="I621" s="215" t="str">
        <x:v>Naked eye or hand lens</x:v>
      </x:c>
      <x:c r="J621" s="215" t="str">
        <x:v>Mature fruit</x:v>
      </x:c>
      <x:c r="K621" s="215" t="str">
        <x:v>Both can show cystoliths, stipules, small flowers, and achenes.</x:v>
      </x:c>
      <x:c r="L621" s="215" t="str">
        <x:v>Modern Cannabaceae is broad and includes woody Celtis as well as herbs and vines.</x:v>
      </x:c>
      <x:c r="M621" s="215" t="str">
        <x:v>Use habit plus mature fruit and do not rely on cystoliths alone.</x:v>
      </x:c>
      <x:c r="N621" s="215" t="str">
        <x:v>Nettles, pellitories, and related herbs are relevant in Hays riparian, shaded, disturbed, and moist microsites; never test stinging hairs by touch.</x:v>
      </x:c>
      <x:c r="O621" s="215" t="str">
        <x:v>Low</x:v>
      </x:c>
      <x:c r="P621" s="215" t="str">
        <x:v>No</x:v>
      </x:c>
      <x:c r="Q621" s="215" t="str"/>
      <x:c r="R621" s="215" t="str">
        <x:v>URT-HAIRS; URT-CYSTOLITH; URT-FRUIT</x:v>
      </x:c>
      <x:c r="S621" s="215" t="str">
        <x:v>APWEB-URTI; FNA-URTI; POWO-URTI; LBJ-HAYS</x:v>
      </x:c>
      <x:c r="T621" s="215" t="str">
        <x:v>https://www.mobot.org/MOBOT/research/APweb/orders/rosalesweb.htm</x:v>
      </x:c>
      <x:c r="U621" s="215" t="str">
        <x:v>https://floranorthamerica.org/Urticaceae</x:v>
      </x:c>
      <x:c r="V621" s="215" t="str">
        <x:v>https://powo.science.kew.org/taxon/urn:lsid:ipni.org:names:30000535-2/general-information</x:v>
      </x:c>
      <x:c r="W621" s="215" t="str">
        <x:v>https://www.mobot.org/MOBOT/research/APweb/orders/rosalesweb.htm
https://floranorthamerica.org/Urticaceae
https://powo.science.kew.org/taxon/urn:lsid:ipni.org:names:30000535-2/general-information
https://www.wildflower.org/collections/collection.php?collection=hays</x:v>
      </x:c>
      <x:c r="X621" s="215" t="str">
        <x:v>No — retain qualifiers and exceptions</x:v>
      </x:c>
      <x:c r="Y621" s="215" t="str">
        <x:v>Yes</x:v>
      </x:c>
      <x:c r="Z621" s="215" t="str">
        <x:v>Source-backed draft</x:v>
      </x:c>
    </x:row>
    <x:row r="622" ht="42" customHeight="1">
      <x:c r="A622" s="215" t="str">
        <x:v>Cannabaceae</x:v>
      </x:c>
      <x:c r="B622" s="215" t="str">
        <x:v>CAN-TAXON</x:v>
      </x:c>
      <x:c r="C622" s="215" t="str">
        <x:v>Taxonomy / source reconciliation</x:v>
      </x:c>
      <x:c r="D622" s="215" t="str">
        <x:v>Taxonomy / source reconciliation</x:v>
      </x:c>
      <x:c r="E622" s="215" t="str">
        <x:v>Current POWO Cannabaceae includes Celtis and relatives, while the older FNA treatment covers only Cannabis and Humulus</x:v>
      </x:c>
      <x:c r="F622" s="215" t="str">
        <x:v>Caution</x:v>
      </x:c>
      <x:c r="G622" s="215" t="str">
        <x:v>0</x:v>
      </x:c>
      <x:c r="H622" s="215" t="str">
        <x:v>High</x:v>
      </x:c>
      <x:c r="I622" s="215" t="str">
        <x:v>Not field-visible</x:v>
      </x:c>
      <x:c r="J622" s="215" t="str">
        <x:v>Any material</x:v>
      </x:c>
      <x:c r="K622" s="215" t="str">
        <x:v>Hackberries belong in modern Cannabaceae even though their drupes and woody habit are absent from FNA's narrow family description.</x:v>
      </x:c>
      <x:c r="L622" s="215" t="str">
        <x:v>Legacy floras may place Celtis in Ulmaceae, creating contradictory family characters.</x:v>
      </x:c>
      <x:c r="M622" s="215" t="str">
        <x:v>Scope every character to the lineage and reconcile Hays genera before universal use.</x:v>
      </x:c>
      <x:c r="N622" s="215" t="str">
        <x:v>Hackberries are common and ecologically important Hays trees; Cannabis and Humulus records must not be assumed native from cultivation or ruderal occurrence.</x:v>
      </x:c>
      <x:c r="O622" s="215" t="str">
        <x:v>Medium</x:v>
      </x:c>
      <x:c r="P622" s="215" t="str">
        <x:v>Yes</x:v>
      </x:c>
      <x:c r="Q622" s="215" t="str">
        <x:v>FNA uses narrow Cannabaceae and broad Ulmaceae, whereas current POWO places Celtis in broad Cannabaceae.</x:v>
      </x:c>
      <x:c r="R622" s="215" t="str">
        <x:v>CAN-LK01</x:v>
      </x:c>
      <x:c r="S622" s="215" t="str">
        <x:v>APWEB-CANN; FNA-CANN; POWO-CANN; LBJ-HAYS</x:v>
      </x:c>
      <x:c r="T622" s="215" t="str">
        <x:v>https://www.mobot.org/MOBOT/research/APweb/orders/rosalesweb.htm</x:v>
      </x:c>
      <x:c r="U622" s="215" t="str">
        <x:v>https://floranorthamerica.org/Cannabaceae</x:v>
      </x:c>
      <x:c r="V622" s="215" t="str">
        <x:v>https://powo.science.kew.org/taxon/urn:lsid:ipni.org:names:77126717-1/general-information</x:v>
      </x:c>
      <x:c r="W622" s="215" t="str">
        <x:v>https://www.mobot.org/MOBOT/research/APweb/orders/rosalesweb.htm
https://floranorthamerica.org/Cannabaceae
https://powo.science.kew.org/taxon/urn:lsid:ipni.org:names:77126717-1/general-information
https://www.wildflower.org/collections/collection.php?collection=hays</x:v>
      </x:c>
      <x:c r="X622" s="215" t="str">
        <x:v>No — retain qualifiers and exceptions</x:v>
      </x:c>
      <x:c r="Y622" s="215" t="str">
        <x:v>Yes</x:v>
      </x:c>
      <x:c r="Z622" s="215" t="str">
        <x:v>Human review required</x:v>
      </x:c>
    </x:row>
    <x:row r="623" ht="42" customHeight="1">
      <x:c r="A623" s="215" t="str">
        <x:v>Cannabaceae</x:v>
      </x:c>
      <x:c r="B623" s="215" t="str">
        <x:v>CAN-HABIT</x:v>
      </x:c>
      <x:c r="C623" s="215" t="str">
        <x:v>Modern broad-family character</x:v>
      </x:c>
      <x:c r="D623" s="215" t="str">
        <x:v>Habit</x:v>
      </x:c>
      <x:c r="E623" s="215" t="str">
        <x:v>Herbs, twining vines, shrubs, or trees under the modern broad family</x:v>
      </x:c>
      <x:c r="F623" s="215" t="str">
        <x:v>Strong</x:v>
      </x:c>
      <x:c r="G623" s="215" t="str">
        <x:v>1</x:v>
      </x:c>
      <x:c r="H623" s="215" t="str">
        <x:v>High</x:v>
      </x:c>
      <x:c r="I623" s="215" t="str">
        <x:v>Naked eye or hand lens</x:v>
      </x:c>
      <x:c r="J623" s="215" t="str">
        <x:v>Any material</x:v>
      </x:c>
      <x:c r="K623" s="215" t="str">
        <x:v>Modern Cannabaceae spans hemp/hops and hackberries.</x:v>
      </x:c>
      <x:c r="L623" s="215" t="str">
        <x:v>No single habit is family-wide.</x:v>
      </x:c>
      <x:c r="M623" s="215" t="str">
        <x:v>Start by identifying the local lineage, then use its reproductive suite.</x:v>
      </x:c>
      <x:c r="N623" s="215" t="str">
        <x:v>Hackberries are common and ecologically important Hays trees; Cannabis and Humulus records must not be assumed native from cultivation or ruderal occurrence.</x:v>
      </x:c>
      <x:c r="O623" s="215" t="str">
        <x:v>Low</x:v>
      </x:c>
      <x:c r="P623" s="215" t="str">
        <x:v>No</x:v>
      </x:c>
      <x:c r="Q623" s="215" t="str"/>
      <x:c r="R623" s="215" t="str"/>
      <x:c r="S623" s="215" t="str">
        <x:v>APWEB-CANN; FNA-CANN; POWO-CANN; LBJ-HAYS</x:v>
      </x:c>
      <x:c r="T623" s="215" t="str">
        <x:v>https://www.mobot.org/MOBOT/research/APweb/orders/rosalesweb.htm</x:v>
      </x:c>
      <x:c r="U623" s="215" t="str">
        <x:v>https://floranorthamerica.org/Cannabaceae</x:v>
      </x:c>
      <x:c r="V623" s="215" t="str">
        <x:v>https://powo.science.kew.org/taxon/urn:lsid:ipni.org:names:77126717-1/general-information</x:v>
      </x:c>
      <x:c r="W623" s="215" t="str">
        <x:v>https://www.mobot.org/MOBOT/research/APweb/orders/rosalesweb.htm
https://floranorthamerica.org/Cannabaceae
https://powo.science.kew.org/taxon/urn:lsid:ipni.org:names:77126717-1/general-information
https://www.wildflower.org/collections/collection.php?collection=hays</x:v>
      </x:c>
      <x:c r="X623" s="215" t="str">
        <x:v>No — retain qualifiers and exceptions</x:v>
      </x:c>
      <x:c r="Y623" s="215" t="str">
        <x:v>Yes</x:v>
      </x:c>
      <x:c r="Z623" s="215" t="str">
        <x:v>Source-backed draft</x:v>
      </x:c>
    </x:row>
    <x:row r="624" ht="42" customHeight="1">
      <x:c r="A624" s="215" t="str">
        <x:v>Cannabaceae</x:v>
      </x:c>
      <x:c r="B624" s="215" t="str">
        <x:v>CAN-LEAVES</x:v>
      </x:c>
      <x:c r="C624" s="215" t="str">
        <x:v>Modern broad-family character</x:v>
      </x:c>
      <x:c r="D624" s="215" t="str">
        <x:v>Leaves / stipules</x:v>
      </x:c>
      <x:c r="E624" s="215" t="str">
        <x:v>Leaves alternate or opposite, simple, lobed, or palmately compound, commonly serrate and stipulate</x:v>
      </x:c>
      <x:c r="F624" s="215" t="str">
        <x:v>Strong</x:v>
      </x:c>
      <x:c r="G624" s="215" t="str">
        <x:v>2</x:v>
      </x:c>
      <x:c r="H624" s="215" t="str">
        <x:v>High</x:v>
      </x:c>
      <x:c r="I624" s="215" t="str">
        <x:v>Naked eye or hand lens</x:v>
      </x:c>
      <x:c r="J624" s="215" t="str">
        <x:v>Leafy shoots</x:v>
      </x:c>
      <x:c r="K624" s="215" t="str">
        <x:v>Hackberry leaves and hemp/hop leaves look different but share serration and stipules within the broad family.</x:v>
      </x:c>
      <x:c r="L624" s="215" t="str">
        <x:v>Arrangement and division are too variable for a universal field rule.</x:v>
      </x:c>
      <x:c r="M624" s="215" t="str">
        <x:v>Use leaf form only with habit, flowers, and fruit.</x:v>
      </x:c>
      <x:c r="N624" s="215" t="str">
        <x:v>Hackberries are common and ecologically important Hays trees; Cannabis and Humulus records must not be assumed native from cultivation or ruderal occurrence.</x:v>
      </x:c>
      <x:c r="O624" s="215" t="str">
        <x:v>Low</x:v>
      </x:c>
      <x:c r="P624" s="215" t="str">
        <x:v>No</x:v>
      </x:c>
      <x:c r="Q624" s="215" t="str"/>
      <x:c r="R624" s="215" t="str">
        <x:v>CAN-LK01; CAN-LK02</x:v>
      </x:c>
      <x:c r="S624" s="215" t="str">
        <x:v>APWEB-CANN; FNA-CANN; POWO-CANN; LBJ-HAYS</x:v>
      </x:c>
      <x:c r="T624" s="215" t="str">
        <x:v>https://www.mobot.org/MOBOT/research/APweb/orders/rosalesweb.htm</x:v>
      </x:c>
      <x:c r="U624" s="215" t="str">
        <x:v>https://floranorthamerica.org/Cannabaceae</x:v>
      </x:c>
      <x:c r="V624" s="215" t="str">
        <x:v>https://powo.science.kew.org/taxon/urn:lsid:ipni.org:names:77126717-1/general-information</x:v>
      </x:c>
      <x:c r="W624" s="215" t="str">
        <x:v>https://www.mobot.org/MOBOT/research/APweb/orders/rosalesweb.htm
https://floranorthamerica.org/Cannabaceae
https://powo.science.kew.org/taxon/urn:lsid:ipni.org:names:77126717-1/general-information
https://www.wildflower.org/collections/collection.php?collection=hays</x:v>
      </x:c>
      <x:c r="X624" s="215" t="str">
        <x:v>No — retain qualifiers and exceptions</x:v>
      </x:c>
      <x:c r="Y624" s="215" t="str">
        <x:v>Yes</x:v>
      </x:c>
      <x:c r="Z624" s="215" t="str">
        <x:v>Source-backed draft</x:v>
      </x:c>
    </x:row>
    <x:row r="625" ht="42" customHeight="1">
      <x:c r="A625" s="215" t="str">
        <x:v>Cannabaceae</x:v>
      </x:c>
      <x:c r="B625" s="215" t="str">
        <x:v>CAN-CYSTOLITH</x:v>
      </x:c>
      <x:c r="C625" s="215" t="str">
        <x:v>Modern broad-family character</x:v>
      </x:c>
      <x:c r="D625" s="215" t="str">
        <x:v>Leaf anatomy</x:v>
      </x:c>
      <x:c r="E625" s="215" t="str">
        <x:v>Cystoliths commonly present in hairs or epidermal cells</x:v>
      </x:c>
      <x:c r="F625" s="215" t="str">
        <x:v>Supporting</x:v>
      </x:c>
      <x:c r="G625" s="215" t="str">
        <x:v>1</x:v>
      </x:c>
      <x:c r="H625" s="215" t="str">
        <x:v>High</x:v>
      </x:c>
      <x:c r="I625" s="215" t="str">
        <x:v>Hand lens to high magnification</x:v>
      </x:c>
      <x:c r="J625" s="215" t="str">
        <x:v>Mature leaves</x:v>
      </x:c>
      <x:c r="K625" s="215" t="str">
        <x:v>Mineral bodies can support placement within the rosid nettle alliance.</x:v>
      </x:c>
      <x:c r="L625" s="215" t="str">
        <x:v>They overlap Urticaceae and Moraceae and may require microscopy.</x:v>
      </x:c>
      <x:c r="M625" s="215" t="str">
        <x:v>Use as supporting evidence only.</x:v>
      </x:c>
      <x:c r="N625" s="215" t="str">
        <x:v>Hackberries are common and ecologically important Hays trees; Cannabis and Humulus records must not be assumed native from cultivation or ruderal occurrence.</x:v>
      </x:c>
      <x:c r="O625" s="215" t="str">
        <x:v>Low</x:v>
      </x:c>
      <x:c r="P625" s="215" t="str">
        <x:v>No</x:v>
      </x:c>
      <x:c r="Q625" s="215" t="str"/>
      <x:c r="R625" s="215" t="str"/>
      <x:c r="S625" s="215" t="str">
        <x:v>APWEB-CANN; FNA-CANN; POWO-CANN; LBJ-HAYS</x:v>
      </x:c>
      <x:c r="T625" s="215" t="str">
        <x:v>https://www.mobot.org/MOBOT/research/APweb/orders/rosalesweb.htm</x:v>
      </x:c>
      <x:c r="U625" s="215" t="str">
        <x:v>https://floranorthamerica.org/Cannabaceae</x:v>
      </x:c>
      <x:c r="V625" s="215" t="str">
        <x:v>https://powo.science.kew.org/taxon/urn:lsid:ipni.org:names:77126717-1/general-information</x:v>
      </x:c>
      <x:c r="W625" s="215" t="str">
        <x:v>https://www.mobot.org/MOBOT/research/APweb/orders/rosalesweb.htm
https://floranorthamerica.org/Cannabaceae
https://powo.science.kew.org/taxon/urn:lsid:ipni.org:names:77126717-1/general-information
https://www.wildflower.org/collections/collection.php?collection=hays</x:v>
      </x:c>
      <x:c r="X625" s="215" t="str">
        <x:v>No — retain qualifiers and exceptions</x:v>
      </x:c>
      <x:c r="Y625" s="215" t="str">
        <x:v>Yes</x:v>
      </x:c>
      <x:c r="Z625" s="215" t="str">
        <x:v>Source-backed draft</x:v>
      </x:c>
    </x:row>
    <x:row r="626" ht="42" customHeight="1">
      <x:c r="A626" s="215" t="str">
        <x:v>Cannabaceae</x:v>
      </x:c>
      <x:c r="B626" s="215" t="str">
        <x:v>CAN-FLOWER</x:v>
      </x:c>
      <x:c r="C626" s="215" t="str">
        <x:v>Modern broad-family character</x:v>
      </x:c>
      <x:c r="D626" s="215" t="str">
        <x:v>Flowers</x:v>
      </x:c>
      <x:c r="E626" s="215" t="str">
        <x:v>Flowers small, usually unisexual, with a reduced green perianth; plants monoecious or dioecious</x:v>
      </x:c>
      <x:c r="F626" s="215" t="str">
        <x:v>Strong</x:v>
      </x:c>
      <x:c r="G626" s="215" t="str">
        <x:v>3</x:v>
      </x:c>
      <x:c r="H626" s="215" t="str">
        <x:v>High</x:v>
      </x:c>
      <x:c r="I626" s="215" t="str">
        <x:v>Naked eye or hand lens</x:v>
      </x:c>
      <x:c r="J626" s="215" t="str">
        <x:v>Fresh flowers</x:v>
      </x:c>
      <x:c r="K626" s="215" t="str">
        <x:v>Showy petals are absent and sexes may occur on separate plants.</x:v>
      </x:c>
      <x:c r="L626" s="215" t="str">
        <x:v>Flower structure differs between Celtis and Cannabis/Humulus lineages.</x:v>
      </x:c>
      <x:c r="M626" s="215" t="str">
        <x:v>Record the observed genus or growth form before applying floral details.</x:v>
      </x:c>
      <x:c r="N626" s="215" t="str">
        <x:v>Hackberries are common and ecologically important Hays trees; Cannabis and Humulus records must not be assumed native from cultivation or ruderal occurrence.</x:v>
      </x:c>
      <x:c r="O626" s="215" t="str">
        <x:v>Low</x:v>
      </x:c>
      <x:c r="P626" s="215" t="str">
        <x:v>No</x:v>
      </x:c>
      <x:c r="Q626" s="215" t="str"/>
      <x:c r="R626" s="215" t="str"/>
      <x:c r="S626" s="215" t="str">
        <x:v>APWEB-CANN; FNA-CANN; POWO-CANN; LBJ-HAYS</x:v>
      </x:c>
      <x:c r="T626" s="215" t="str">
        <x:v>https://www.mobot.org/MOBOT/research/APweb/orders/rosalesweb.htm</x:v>
      </x:c>
      <x:c r="U626" s="215" t="str">
        <x:v>https://floranorthamerica.org/Cannabaceae</x:v>
      </x:c>
      <x:c r="V626" s="215" t="str">
        <x:v>https://powo.science.kew.org/taxon/urn:lsid:ipni.org:names:77126717-1/general-information</x:v>
      </x:c>
      <x:c r="W626" s="215" t="str">
        <x:v>https://www.mobot.org/MOBOT/research/APweb/orders/rosalesweb.htm
https://floranorthamerica.org/Cannabaceae
https://powo.science.kew.org/taxon/urn:lsid:ipni.org:names:77126717-1/general-information
https://www.wildflower.org/collections/collection.php?collection=hays</x:v>
      </x:c>
      <x:c r="X626" s="215" t="str">
        <x:v>No — retain qualifiers and exceptions</x:v>
      </x:c>
      <x:c r="Y626" s="215" t="str">
        <x:v>Yes</x:v>
      </x:c>
      <x:c r="Z626" s="215" t="str">
        <x:v>Source-backed draft</x:v>
      </x:c>
    </x:row>
    <x:row r="627" ht="42" customHeight="1">
      <x:c r="A627" s="215" t="str">
        <x:v>Cannabaceae</x:v>
      </x:c>
      <x:c r="B627" s="215" t="str">
        <x:v>CAN-STAMENS</x:v>
      </x:c>
      <x:c r="C627" s="215" t="str">
        <x:v>Modern broad-family character</x:v>
      </x:c>
      <x:c r="D627" s="215" t="str">
        <x:v>Stamens</x:v>
      </x:c>
      <x:c r="E627" s="215" t="str">
        <x:v>Staminate flowers commonly have 4–5 stamens opposite the tepals</x:v>
      </x:c>
      <x:c r="F627" s="215" t="str">
        <x:v>Strong</x:v>
      </x:c>
      <x:c r="G627" s="215" t="str">
        <x:v>3</x:v>
      </x:c>
      <x:c r="H627" s="215" t="str">
        <x:v>High</x:v>
      </x:c>
      <x:c r="I627" s="215" t="str">
        <x:v>Hand lens</x:v>
      </x:c>
      <x:c r="J627" s="215" t="str">
        <x:v>Fresh staminate flowers</x:v>
      </x:c>
      <x:c r="K627" s="215" t="str">
        <x:v>Small male flowers expose a short ring of stamens.</x:v>
      </x:c>
      <x:c r="L627" s="215" t="str">
        <x:v>Counts vary within the broad family and flowers are tiny.</x:v>
      </x:c>
      <x:c r="M627" s="215" t="str">
        <x:v>Use under magnification as supporting evidence.</x:v>
      </x:c>
      <x:c r="N627" s="215" t="str">
        <x:v>Hackberries are common and ecologically important Hays trees; Cannabis and Humulus records must not be assumed native from cultivation or ruderal occurrence.</x:v>
      </x:c>
      <x:c r="O627" s="215" t="str">
        <x:v>Low</x:v>
      </x:c>
      <x:c r="P627" s="215" t="str">
        <x:v>No</x:v>
      </x:c>
      <x:c r="Q627" s="215" t="str"/>
      <x:c r="R627" s="215" t="str"/>
      <x:c r="S627" s="215" t="str">
        <x:v>APWEB-CANN; FNA-CANN; POWO-CANN; LBJ-HAYS</x:v>
      </x:c>
      <x:c r="T627" s="215" t="str">
        <x:v>https://www.mobot.org/MOBOT/research/APweb/orders/rosalesweb.htm</x:v>
      </x:c>
      <x:c r="U627" s="215" t="str">
        <x:v>https://floranorthamerica.org/Cannabaceae</x:v>
      </x:c>
      <x:c r="V627" s="215" t="str">
        <x:v>https://powo.science.kew.org/taxon/urn:lsid:ipni.org:names:77126717-1/general-information</x:v>
      </x:c>
      <x:c r="W627" s="215" t="str">
        <x:v>https://www.mobot.org/MOBOT/research/APweb/orders/rosalesweb.htm
https://floranorthamerica.org/Cannabaceae
https://powo.science.kew.org/taxon/urn:lsid:ipni.org:names:77126717-1/general-information
https://www.wildflower.org/collections/collection.php?collection=hays</x:v>
      </x:c>
      <x:c r="X627" s="215" t="str">
        <x:v>No — retain qualifiers and exceptions</x:v>
      </x:c>
      <x:c r="Y627" s="215" t="str">
        <x:v>Yes</x:v>
      </x:c>
      <x:c r="Z627" s="215" t="str">
        <x:v>Source-backed draft</x:v>
      </x:c>
    </x:row>
    <x:row r="628" ht="42" customHeight="1">
      <x:c r="A628" s="215" t="str">
        <x:v>Cannabaceae</x:v>
      </x:c>
      <x:c r="B628" s="215" t="str">
        <x:v>CAN-OVARY</x:v>
      </x:c>
      <x:c r="C628" s="215" t="str">
        <x:v>Modern broad-family character</x:v>
      </x:c>
      <x:c r="D628" s="215" t="str">
        <x:v>Gynoecium</x:v>
      </x:c>
      <x:c r="E628" s="215" t="str">
        <x:v>Ovary superior, usually 1-locular with one ovule; two style or stigma branches common</x:v>
      </x:c>
      <x:c r="F628" s="215" t="str">
        <x:v>Strong</x:v>
      </x:c>
      <x:c r="G628" s="215" t="str">
        <x:v>4</x:v>
      </x:c>
      <x:c r="H628" s="215" t="str">
        <x:v>High</x:v>
      </x:c>
      <x:c r="I628" s="215" t="str">
        <x:v>Hand lens or dissection</x:v>
      </x:c>
      <x:c r="J628" s="215" t="str">
        <x:v>Fresh pistillate flowers</x:v>
      </x:c>
      <x:c r="K628" s="215" t="str">
        <x:v>Each female flower normally makes one one-seeded fruit.</x:v>
      </x:c>
      <x:c r="L628" s="215" t="str">
        <x:v>Details are hard to see before fruiting and vary in stigma length.</x:v>
      </x:c>
      <x:c r="M628" s="215" t="str">
        <x:v>Use mature fruit type to separate lineages.</x:v>
      </x:c>
      <x:c r="N628" s="215" t="str">
        <x:v>Hackberries are common and ecologically important Hays trees; Cannabis and Humulus records must not be assumed native from cultivation or ruderal occurrence.</x:v>
      </x:c>
      <x:c r="O628" s="215" t="str">
        <x:v>Low</x:v>
      </x:c>
      <x:c r="P628" s="215" t="str">
        <x:v>No</x:v>
      </x:c>
      <x:c r="Q628" s="215" t="str"/>
      <x:c r="R628" s="215" t="str"/>
      <x:c r="S628" s="215" t="str">
        <x:v>APWEB-CANN; FNA-CANN; POWO-CANN; LBJ-HAYS</x:v>
      </x:c>
      <x:c r="T628" s="215" t="str">
        <x:v>https://www.mobot.org/MOBOT/research/APweb/orders/rosalesweb.htm</x:v>
      </x:c>
      <x:c r="U628" s="215" t="str">
        <x:v>https://floranorthamerica.org/Cannabaceae</x:v>
      </x:c>
      <x:c r="V628" s="215" t="str">
        <x:v>https://powo.science.kew.org/taxon/urn:lsid:ipni.org:names:77126717-1/general-information</x:v>
      </x:c>
      <x:c r="W628" s="215" t="str">
        <x:v>https://www.mobot.org/MOBOT/research/APweb/orders/rosalesweb.htm
https://floranorthamerica.org/Cannabaceae
https://powo.science.kew.org/taxon/urn:lsid:ipni.org:names:77126717-1/general-information
https://www.wildflower.org/collections/collection.php?collection=hays</x:v>
      </x:c>
      <x:c r="X628" s="215" t="str">
        <x:v>No — retain qualifiers and exceptions</x:v>
      </x:c>
      <x:c r="Y628" s="215" t="str">
        <x:v>Yes</x:v>
      </x:c>
      <x:c r="Z628" s="215" t="str">
        <x:v>Source-backed draft</x:v>
      </x:c>
    </x:row>
    <x:row r="629" ht="42" customHeight="1">
      <x:c r="A629" s="215" t="str">
        <x:v>Cannabaceae</x:v>
      </x:c>
      <x:c r="B629" s="215" t="str">
        <x:v>CAN-FRUIT</x:v>
      </x:c>
      <x:c r="C629" s="215" t="str">
        <x:v>Modern broad-family character</x:v>
      </x:c>
      <x:c r="D629" s="215" t="str">
        <x:v>Fruit</x:v>
      </x:c>
      <x:c r="E629" s="215" t="str">
        <x:v>Fruit one-seeded: an achene in Cannabis/Humulus lineages or a fleshy drupe in Celtis lineages</x:v>
      </x:c>
      <x:c r="F629" s="215" t="str">
        <x:v>Strong</x:v>
      </x:c>
      <x:c r="G629" s="215" t="str">
        <x:v>5</x:v>
      </x:c>
      <x:c r="H629" s="215" t="str">
        <x:v>High</x:v>
      </x:c>
      <x:c r="I629" s="215" t="str">
        <x:v>Naked eye or hand lens</x:v>
      </x:c>
      <x:c r="J629" s="215" t="str">
        <x:v>Mature fruit</x:v>
      </x:c>
      <x:c r="K629" s="215" t="str">
        <x:v>Modern Cannabaceae contains both hemp/hop dry fruits and hackberry drupes.</x:v>
      </x:c>
      <x:c r="L629" s="215" t="str">
        <x:v>This variation reflects the broadened family and must not be flattened.</x:v>
      </x:c>
      <x:c r="M629" s="215" t="str">
        <x:v>Use fruit to identify the lineage, then apply lineage-specific characters.</x:v>
      </x:c>
      <x:c r="N629" s="215" t="str">
        <x:v>Hackberries are common and ecologically important Hays trees; Cannabis and Humulus records must not be assumed native from cultivation or ruderal occurrence.</x:v>
      </x:c>
      <x:c r="O629" s="215" t="str">
        <x:v>Low</x:v>
      </x:c>
      <x:c r="P629" s="215" t="str">
        <x:v>No</x:v>
      </x:c>
      <x:c r="Q629" s="215" t="str"/>
      <x:c r="R629" s="215" t="str">
        <x:v>CAN-LK01; CAN-LK02</x:v>
      </x:c>
      <x:c r="S629" s="215" t="str">
        <x:v>APWEB-CANN; FNA-CANN; POWO-CANN; LBJ-HAYS</x:v>
      </x:c>
      <x:c r="T629" s="215" t="str">
        <x:v>https://www.mobot.org/MOBOT/research/APweb/orders/rosalesweb.htm</x:v>
      </x:c>
      <x:c r="U629" s="215" t="str">
        <x:v>https://floranorthamerica.org/Cannabaceae</x:v>
      </x:c>
      <x:c r="V629" s="215" t="str">
        <x:v>https://powo.science.kew.org/taxon/urn:lsid:ipni.org:names:77126717-1/general-information</x:v>
      </x:c>
      <x:c r="W629" s="215" t="str">
        <x:v>https://www.mobot.org/MOBOT/research/APweb/orders/rosalesweb.htm
https://floranorthamerica.org/Cannabaceae
https://powo.science.kew.org/taxon/urn:lsid:ipni.org:names:77126717-1/general-information
https://www.wildflower.org/collections/collection.php?collection=hays</x:v>
      </x:c>
      <x:c r="X629" s="215" t="str">
        <x:v>No — retain qualifiers and exceptions</x:v>
      </x:c>
      <x:c r="Y629" s="215" t="str">
        <x:v>Yes</x:v>
      </x:c>
      <x:c r="Z629" s="215" t="str">
        <x:v>Source-backed draft</x:v>
      </x:c>
    </x:row>
    <x:row r="630" ht="42" customHeight="1">
      <x:c r="A630" s="215" t="str">
        <x:v>Cannabaceae</x:v>
      </x:c>
      <x:c r="B630" s="215" t="str">
        <x:v>CAN-POLLEN</x:v>
      </x:c>
      <x:c r="C630" s="215" t="str">
        <x:v>Modern broad-family character</x:v>
      </x:c>
      <x:c r="D630" s="215" t="str">
        <x:v>Pollination</x:v>
      </x:c>
      <x:c r="E630" s="215" t="str">
        <x:v>Flowers commonly wind-pollinated, especially in hemp, hops, and hackberry lineages</x:v>
      </x:c>
      <x:c r="F630" s="215" t="str">
        <x:v>Supporting</x:v>
      </x:c>
      <x:c r="G630" s="215" t="str">
        <x:v>1</x:v>
      </x:c>
      <x:c r="H630" s="215" t="str">
        <x:v>High</x:v>
      </x:c>
      <x:c r="I630" s="215" t="str">
        <x:v>Naked eye or hand lens</x:v>
      </x:c>
      <x:c r="J630" s="215" t="str">
        <x:v>Anthesis</x:v>
      </x:c>
      <x:c r="K630" s="215" t="str">
        <x:v>Reduced flowers release or receive airborne pollen.</x:v>
      </x:c>
      <x:c r="L630" s="215" t="str">
        <x:v>Pollination biology is not a stand-alone identification character.</x:v>
      </x:c>
      <x:c r="M630" s="215" t="str">
        <x:v>Use as ecological support only.</x:v>
      </x:c>
      <x:c r="N630" s="215" t="str">
        <x:v>Hackberries are common and ecologically important Hays trees; Cannabis and Humulus records must not be assumed native from cultivation or ruderal occurrence.</x:v>
      </x:c>
      <x:c r="O630" s="215" t="str">
        <x:v>Low</x:v>
      </x:c>
      <x:c r="P630" s="215" t="str">
        <x:v>No</x:v>
      </x:c>
      <x:c r="Q630" s="215" t="str"/>
      <x:c r="R630" s="215" t="str"/>
      <x:c r="S630" s="215" t="str">
        <x:v>APWEB-CANN; FNA-CANN; POWO-CANN; LBJ-HAYS</x:v>
      </x:c>
      <x:c r="T630" s="215" t="str">
        <x:v>https://www.mobot.org/MOBOT/research/APweb/orders/rosalesweb.htm</x:v>
      </x:c>
      <x:c r="U630" s="215" t="str">
        <x:v>https://floranorthamerica.org/Cannabaceae</x:v>
      </x:c>
      <x:c r="V630" s="215" t="str">
        <x:v>https://powo.science.kew.org/taxon/urn:lsid:ipni.org:names:77126717-1/general-information</x:v>
      </x:c>
      <x:c r="W630" s="215" t="str">
        <x:v>https://www.mobot.org/MOBOT/research/APweb/orders/rosalesweb.htm
https://floranorthamerica.org/Cannabaceae
https://powo.science.kew.org/taxon/urn:lsid:ipni.org:names:77126717-1/general-information
https://www.wildflower.org/collections/collection.php?collection=hays</x:v>
      </x:c>
      <x:c r="X630" s="215" t="str">
        <x:v>No — retain qualifiers and exceptions</x:v>
      </x:c>
      <x:c r="Y630" s="215" t="str">
        <x:v>Yes</x:v>
      </x:c>
      <x:c r="Z630" s="215" t="str">
        <x:v>Source-backed draft</x:v>
      </x:c>
    </x:row>
    <x:row r="631" ht="42" customHeight="1">
      <x:c r="A631" s="215" t="str">
        <x:v>Cannabaceae</x:v>
      </x:c>
      <x:c r="B631" s="215" t="str">
        <x:v>CAN-LK01</x:v>
      </x:c>
      <x:c r="C631" s="215" t="str">
        <x:v>Modern taxonomy lookalike comparison</x:v>
      </x:c>
      <x:c r="D631" s="215" t="str">
        <x:v>Lookalike</x:v>
      </x:c>
      <x:c r="E631" s="215" t="str">
        <x:v>Versus modern Ulmaceae: fleshy one-seeded hackberry drupes favor Cannabaceae/Celtis; flattened papery samaras favor Ulmaceae/Ulmus</x:v>
      </x:c>
      <x:c r="F631" s="215" t="str">
        <x:v>Lookalike</x:v>
      </x:c>
      <x:c r="G631" s="215" t="str">
        <x:v>5</x:v>
      </x:c>
      <x:c r="H631" s="215" t="str">
        <x:v>High</x:v>
      </x:c>
      <x:c r="I631" s="215" t="str">
        <x:v>Naked eye or hand lens</x:v>
      </x:c>
      <x:c r="J631" s="215" t="str">
        <x:v>Mature fruit</x:v>
      </x:c>
      <x:c r="K631" s="215" t="str">
        <x:v>Oblique serrate leaves and reduced flowers overlap strongly.</x:v>
      </x:c>
      <x:c r="L631" s="215" t="str">
        <x:v>Older FNA treatments place Celtis in Ulmaceae, so taxonomy must be checked.</x:v>
      </x:c>
      <x:c r="M631" s="215" t="str">
        <x:v>Use mature fruit and current family circumscription; this supplies the reciprocal comparison for ULM-LK02.</x:v>
      </x:c>
      <x:c r="N631" s="215" t="str">
        <x:v>Hackberries are common and ecologically important Hays trees; Cannabis and Humulus records must not be assumed native from cultivation or ruderal occurrence.</x:v>
      </x:c>
      <x:c r="O631" s="215" t="str">
        <x:v>Low</x:v>
      </x:c>
      <x:c r="P631" s="215" t="str">
        <x:v>No</x:v>
      </x:c>
      <x:c r="Q631" s="215" t="str"/>
      <x:c r="R631" s="215" t="str">
        <x:v>CAN-TAXON; CAN-LEAVES; CAN-FRUIT</x:v>
      </x:c>
      <x:c r="S631" s="215" t="str">
        <x:v>APWEB-CANN; FNA-CANN; POWO-CANN; LBJ-HAYS</x:v>
      </x:c>
      <x:c r="T631" s="215" t="str">
        <x:v>https://www.mobot.org/MOBOT/research/APweb/orders/rosalesweb.htm</x:v>
      </x:c>
      <x:c r="U631" s="215" t="str">
        <x:v>https://floranorthamerica.org/Cannabaceae</x:v>
      </x:c>
      <x:c r="V631" s="215" t="str">
        <x:v>https://powo.science.kew.org/taxon/urn:lsid:ipni.org:names:77126717-1/general-information</x:v>
      </x:c>
      <x:c r="W631" s="215" t="str">
        <x:v>https://www.mobot.org/MOBOT/research/APweb/orders/rosalesweb.htm
https://floranorthamerica.org/Cannabaceae
https://powo.science.kew.org/taxon/urn:lsid:ipni.org:names:77126717-1/general-information
https://www.wildflower.org/collections/collection.php?collection=hays</x:v>
      </x:c>
      <x:c r="X631" s="215" t="str">
        <x:v>No — retain qualifiers and exceptions</x:v>
      </x:c>
      <x:c r="Y631" s="215" t="str">
        <x:v>Yes</x:v>
      </x:c>
      <x:c r="Z631" s="215" t="str">
        <x:v>Source-backed draft</x:v>
      </x:c>
    </x:row>
    <x:row r="632" ht="42" customHeight="1">
      <x:c r="A632" s="215" t="str">
        <x:v>Cannabaceae</x:v>
      </x:c>
      <x:c r="B632" s="215" t="str">
        <x:v>CAN-LK02</x:v>
      </x:c>
      <x:c r="C632" s="215" t="str">
        <x:v>Modern taxonomy lookalike comparison</x:v>
      </x:c>
      <x:c r="D632" s="215" t="str">
        <x:v>Lookalike</x:v>
      </x:c>
      <x:c r="E632" s="215" t="str">
        <x:v>Versus Urticaceae: hackberry drupes or hemp/hop bracteate fruits favor Cannabaceae; stinging hairs and nettle-type achene clusters favor Urticaceae</x:v>
      </x:c>
      <x:c r="F632" s="215" t="str">
        <x:v>Lookalike</x:v>
      </x:c>
      <x:c r="G632" s="215" t="str">
        <x:v>5</x:v>
      </x:c>
      <x:c r="H632" s="215" t="str">
        <x:v>High</x:v>
      </x:c>
      <x:c r="I632" s="215" t="str">
        <x:v>Naked eye or hand lens</x:v>
      </x:c>
      <x:c r="J632" s="215" t="str">
        <x:v>Mature fruit</x:v>
      </x:c>
      <x:c r="K632" s="215" t="str">
        <x:v>Cystoliths and tiny unisexual flowers overlap.</x:v>
      </x:c>
      <x:c r="L632" s="215" t="str">
        <x:v>Not all Urticaceae sting, and dry Cannabis/Humulus fruits require lineage context.</x:v>
      </x:c>
      <x:c r="M632" s="215" t="str">
        <x:v>Use habit and mature fruit rather than cystoliths alone.</x:v>
      </x:c>
      <x:c r="N632" s="215" t="str">
        <x:v>Hackberries are common and ecologically important Hays trees; Cannabis and Humulus records must not be assumed native from cultivation or ruderal occurrence.</x:v>
      </x:c>
      <x:c r="O632" s="215" t="str">
        <x:v>Low</x:v>
      </x:c>
      <x:c r="P632" s="215" t="str">
        <x:v>No</x:v>
      </x:c>
      <x:c r="Q632" s="215" t="str"/>
      <x:c r="R632" s="215" t="str">
        <x:v>CAN-HABIT; CAN-CYSTOLITH; CAN-FRUIT</x:v>
      </x:c>
      <x:c r="S632" s="215" t="str">
        <x:v>APWEB-CANN; FNA-CANN; POWO-CANN; LBJ-HAYS</x:v>
      </x:c>
      <x:c r="T632" s="215" t="str">
        <x:v>https://www.mobot.org/MOBOT/research/APweb/orders/rosalesweb.htm</x:v>
      </x:c>
      <x:c r="U632" s="215" t="str">
        <x:v>https://floranorthamerica.org/Cannabaceae</x:v>
      </x:c>
      <x:c r="V632" s="215" t="str">
        <x:v>https://powo.science.kew.org/taxon/urn:lsid:ipni.org:names:77126717-1/general-information</x:v>
      </x:c>
      <x:c r="W632" s="215" t="str">
        <x:v>https://www.mobot.org/MOBOT/research/APweb/orders/rosalesweb.htm
https://floranorthamerica.org/Cannabaceae
https://powo.science.kew.org/taxon/urn:lsid:ipni.org:names:77126717-1/general-information
https://www.wildflower.org/collections/collection.php?collection=hays</x:v>
      </x:c>
      <x:c r="X632" s="215" t="str">
        <x:v>No — retain qualifiers and exceptions</x:v>
      </x:c>
      <x:c r="Y632" s="215" t="str">
        <x:v>Yes</x:v>
      </x:c>
      <x:c r="Z632" s="215" t="str">
        <x:v>Source-backed draft</x:v>
      </x:c>
    </x:row>
    <x:row r="633" ht="42" customHeight="1">
      <x:c r="A633" s="215" t="str">
        <x:v>Cucurbitaceae</x:v>
      </x:c>
      <x:c r="B633" s="215" t="str">
        <x:v>CUC-HABIT</x:v>
      </x:c>
      <x:c r="C633" s="215" t="str">
        <x:v>Family character</x:v>
      </x:c>
      <x:c r="D633" s="215" t="str">
        <x:v>Habit / tendrils</x:v>
      </x:c>
      <x:c r="E633" s="215" t="str">
        <x:v>Usually trailing or climbing vines with simple or branched tendrils</x:v>
      </x:c>
      <x:c r="F633" s="215" t="str">
        <x:v>Strong</x:v>
      </x:c>
      <x:c r="G633" s="215" t="str">
        <x:v>4</x:v>
      </x:c>
      <x:c r="H633" s="215" t="str">
        <x:v>High</x:v>
      </x:c>
      <x:c r="I633" s="215" t="str">
        <x:v>Naked eye or hand lens</x:v>
      </x:c>
      <x:c r="J633" s="215" t="str">
        <x:v>Active growth</x:v>
      </x:c>
      <x:c r="K633" s="215" t="str">
        <x:v>A rough vine bearing coiled tendrils is the usual regional form.</x:v>
      </x:c>
      <x:c r="L633" s="215" t="str">
        <x:v>Some members are shrublike or lack obvious tendrils.</x:v>
      </x:c>
      <x:c r="M633" s="215" t="str">
        <x:v>Use with alternate leaves and unisexual flowers.</x:v>
      </x:c>
      <x:c r="N633" s="215" t="str">
        <x:v>Wild gourds and cucumber-family vines occur in Hays fields, thickets, roadsides, and rocky openings; cultivated cucurbits do not prove wild family records.</x:v>
      </x:c>
      <x:c r="O633" s="215" t="str">
        <x:v>Low</x:v>
      </x:c>
      <x:c r="P633" s="215" t="str">
        <x:v>No</x:v>
      </x:c>
      <x:c r="Q633" s="215" t="str"/>
      <x:c r="R633" s="215" t="str">
        <x:v>CUC-LK01; CUC-LK02</x:v>
      </x:c>
      <x:c r="S633" s="215" t="str">
        <x:v>APWEB-CUCU; FNA-CUCU; POWO-CUCU; LBJ-HAYS</x:v>
      </x:c>
      <x:c r="T633" s="215" t="str">
        <x:v>https://www.mobot.org/MOBOT/research/APweb/orders/cucurbitalesweb.htm</x:v>
      </x:c>
      <x:c r="U633" s="215" t="str">
        <x:v>https://floranorthamerica.org/Cucurbitaceae</x:v>
      </x:c>
      <x:c r="V633" s="215" t="str">
        <x:v>https://powo.science.kew.org/taxon/urn:lsid:ipni.org:names:30000781-2/general-information</x:v>
      </x:c>
      <x:c r="W633" s="215" t="str">
        <x:v>https://www.mobot.org/MOBOT/research/APweb/orders/cucurbitalesweb.htm
https://floranorthamerica.org/Cucurbitaceae
https://powo.science.kew.org/taxon/urn:lsid:ipni.org:names:30000781-2/general-information
https://www.wildflower.org/collections/collection.php?collection=hays</x:v>
      </x:c>
      <x:c r="X633" s="215" t="str">
        <x:v>No — retain qualifiers and exceptions</x:v>
      </x:c>
      <x:c r="Y633" s="215" t="str">
        <x:v>Yes</x:v>
      </x:c>
      <x:c r="Z633" s="215" t="str">
        <x:v>Source-backed draft</x:v>
      </x:c>
    </x:row>
    <x:row r="634" ht="42" customHeight="1">
      <x:c r="A634" s="215" t="str">
        <x:v>Cucurbitaceae</x:v>
      </x:c>
      <x:c r="B634" s="215" t="str">
        <x:v>CUC-LEAVES</x:v>
      </x:c>
      <x:c r="C634" s="215" t="str">
        <x:v>Family character</x:v>
      </x:c>
      <x:c r="D634" s="215" t="str">
        <x:v>Leaves / stipules</x:v>
      </x:c>
      <x:c r="E634" s="215" t="str">
        <x:v>Leaves alternate, usually simple and palmately lobed or veined, without stipules</x:v>
      </x:c>
      <x:c r="F634" s="215" t="str">
        <x:v>Strong</x:v>
      </x:c>
      <x:c r="G634" s="215" t="str">
        <x:v>4</x:v>
      </x:c>
      <x:c r="H634" s="215" t="str">
        <x:v>High</x:v>
      </x:c>
      <x:c r="I634" s="215" t="str">
        <x:v>Naked eye or hand lens</x:v>
      </x:c>
      <x:c r="J634" s="215" t="str">
        <x:v>Leafy shoots</x:v>
      </x:c>
      <x:c r="K634" s="215" t="str">
        <x:v>Gourd vines typically carry one broad leaf at each node and no stipules.</x:v>
      </x:c>
      <x:c r="L634" s="215" t="str">
        <x:v>Compound leaves occur in a few genera and lobing varies.</x:v>
      </x:c>
      <x:c r="M634" s="215" t="str">
        <x:v>Inspect several nodes and confirm tendril position.</x:v>
      </x:c>
      <x:c r="N634" s="215" t="str">
        <x:v>Wild gourds and cucumber-family vines occur in Hays fields, thickets, roadsides, and rocky openings; cultivated cucurbits do not prove wild family records.</x:v>
      </x:c>
      <x:c r="O634" s="215" t="str">
        <x:v>Low</x:v>
      </x:c>
      <x:c r="P634" s="215" t="str">
        <x:v>No</x:v>
      </x:c>
      <x:c r="Q634" s="215" t="str"/>
      <x:c r="R634" s="215" t="str"/>
      <x:c r="S634" s="215" t="str">
        <x:v>APWEB-CUCU; FNA-CUCU; POWO-CUCU; LBJ-HAYS</x:v>
      </x:c>
      <x:c r="T634" s="215" t="str">
        <x:v>https://www.mobot.org/MOBOT/research/APweb/orders/cucurbitalesweb.htm</x:v>
      </x:c>
      <x:c r="U634" s="215" t="str">
        <x:v>https://floranorthamerica.org/Cucurbitaceae</x:v>
      </x:c>
      <x:c r="V634" s="215" t="str">
        <x:v>https://powo.science.kew.org/taxon/urn:lsid:ipni.org:names:30000781-2/general-information</x:v>
      </x:c>
      <x:c r="W634" s="215" t="str">
        <x:v>https://www.mobot.org/MOBOT/research/APweb/orders/cucurbitalesweb.htm
https://floranorthamerica.org/Cucurbitaceae
https://powo.science.kew.org/taxon/urn:lsid:ipni.org:names:30000781-2/general-information
https://www.wildflower.org/collections/collection.php?collection=hays</x:v>
      </x:c>
      <x:c r="X634" s="215" t="str">
        <x:v>No — retain qualifiers and exceptions</x:v>
      </x:c>
      <x:c r="Y634" s="215" t="str">
        <x:v>Yes</x:v>
      </x:c>
      <x:c r="Z634" s="215" t="str">
        <x:v>Source-backed draft</x:v>
      </x:c>
    </x:row>
    <x:row r="635" ht="42" customHeight="1">
      <x:c r="A635" s="215" t="str">
        <x:v>Cucurbitaceae</x:v>
      </x:c>
      <x:c r="B635" s="215" t="str">
        <x:v>CUC-FLOWER</x:v>
      </x:c>
      <x:c r="C635" s="215" t="str">
        <x:v>Family character</x:v>
      </x:c>
      <x:c r="D635" s="215" t="str">
        <x:v>Flowers</x:v>
      </x:c>
      <x:c r="E635" s="215" t="str">
        <x:v>Flowers usually unisexual, 5-merous, with yellow, orange, white, or greenish corollas</x:v>
      </x:c>
      <x:c r="F635" s="215" t="str">
        <x:v>Strong</x:v>
      </x:c>
      <x:c r="G635" s="215" t="str">
        <x:v>4</x:v>
      </x:c>
      <x:c r="H635" s="215" t="str">
        <x:v>High</x:v>
      </x:c>
      <x:c r="I635" s="215" t="str">
        <x:v>Naked eye or hand lens</x:v>
      </x:c>
      <x:c r="J635" s="215" t="str">
        <x:v>Fresh flowers</x:v>
      </x:c>
      <x:c r="K635" s="215" t="str">
        <x:v>Male and female flowers often occur separately on the same vine or on different plants.</x:v>
      </x:c>
      <x:c r="L635" s="215" t="str">
        <x:v>Bisexual or mixed systems occur rarely.</x:v>
      </x:c>
      <x:c r="M635" s="215" t="str">
        <x:v>Determine flower sex and look for the ovary below female flowers.</x:v>
      </x:c>
      <x:c r="N635" s="215" t="str">
        <x:v>Wild gourds and cucumber-family vines occur in Hays fields, thickets, roadsides, and rocky openings; cultivated cucurbits do not prove wild family records.</x:v>
      </x:c>
      <x:c r="O635" s="215" t="str">
        <x:v>Low</x:v>
      </x:c>
      <x:c r="P635" s="215" t="str">
        <x:v>No</x:v>
      </x:c>
      <x:c r="Q635" s="215" t="str"/>
      <x:c r="R635" s="215" t="str"/>
      <x:c r="S635" s="215" t="str">
        <x:v>APWEB-CUCU; FNA-CUCU; POWO-CUCU; LBJ-HAYS</x:v>
      </x:c>
      <x:c r="T635" s="215" t="str">
        <x:v>https://www.mobot.org/MOBOT/research/APweb/orders/cucurbitalesweb.htm</x:v>
      </x:c>
      <x:c r="U635" s="215" t="str">
        <x:v>https://floranorthamerica.org/Cucurbitaceae</x:v>
      </x:c>
      <x:c r="V635" s="215" t="str">
        <x:v>https://powo.science.kew.org/taxon/urn:lsid:ipni.org:names:30000781-2/general-information</x:v>
      </x:c>
      <x:c r="W635" s="215" t="str">
        <x:v>https://www.mobot.org/MOBOT/research/APweb/orders/cucurbitalesweb.htm
https://floranorthamerica.org/Cucurbitaceae
https://powo.science.kew.org/taxon/urn:lsid:ipni.org:names:30000781-2/general-information
https://www.wildflower.org/collections/collection.php?collection=hays</x:v>
      </x:c>
      <x:c r="X635" s="215" t="str">
        <x:v>No — retain qualifiers and exceptions</x:v>
      </x:c>
      <x:c r="Y635" s="215" t="str">
        <x:v>Yes</x:v>
      </x:c>
      <x:c r="Z635" s="215" t="str">
        <x:v>Source-backed draft</x:v>
      </x:c>
    </x:row>
    <x:row r="636" ht="42" customHeight="1">
      <x:c r="A636" s="215" t="str">
        <x:v>Cucurbitaceae</x:v>
      </x:c>
      <x:c r="B636" s="215" t="str">
        <x:v>CUC-HYPANTH</x:v>
      </x:c>
      <x:c r="C636" s="215" t="str">
        <x:v>Family character</x:v>
      </x:c>
      <x:c r="D636" s="215" t="str">
        <x:v>Flowers / hypanthium</x:v>
      </x:c>
      <x:c r="E636" s="215" t="str">
        <x:v>Sepals and petals commonly fused basally into a hypanthium above the ovary</x:v>
      </x:c>
      <x:c r="F636" s="215" t="str">
        <x:v>Strong</x:v>
      </x:c>
      <x:c r="G636" s="215" t="str">
        <x:v>4</x:v>
      </x:c>
      <x:c r="H636" s="215" t="str">
        <x:v>High</x:v>
      </x:c>
      <x:c r="I636" s="215" t="str">
        <x:v>Naked eye or hand lens</x:v>
      </x:c>
      <x:c r="J636" s="215" t="str">
        <x:v>Fresh pistillate flowers</x:v>
      </x:c>
      <x:c r="K636" s="215" t="str">
        <x:v>The flower parts form a cup or tube on top of the developing fruit.</x:v>
      </x:c>
      <x:c r="L636" s="215" t="str">
        <x:v>Hypanthium depth and corolla fusion vary.</x:v>
      </x:c>
      <x:c r="M636" s="215" t="str">
        <x:v>Use insertion position to confirm an inferior ovary.</x:v>
      </x:c>
      <x:c r="N636" s="215" t="str">
        <x:v>Wild gourds and cucumber-family vines occur in Hays fields, thickets, roadsides, and rocky openings; cultivated cucurbits do not prove wild family records.</x:v>
      </x:c>
      <x:c r="O636" s="215" t="str">
        <x:v>Low</x:v>
      </x:c>
      <x:c r="P636" s="215" t="str">
        <x:v>No</x:v>
      </x:c>
      <x:c r="Q636" s="215" t="str"/>
      <x:c r="R636" s="215" t="str"/>
      <x:c r="S636" s="215" t="str">
        <x:v>APWEB-CUCU; FNA-CUCU; POWO-CUCU; LBJ-HAYS</x:v>
      </x:c>
      <x:c r="T636" s="215" t="str">
        <x:v>https://www.mobot.org/MOBOT/research/APweb/orders/cucurbitalesweb.htm</x:v>
      </x:c>
      <x:c r="U636" s="215" t="str">
        <x:v>https://floranorthamerica.org/Cucurbitaceae</x:v>
      </x:c>
      <x:c r="V636" s="215" t="str">
        <x:v>https://powo.science.kew.org/taxon/urn:lsid:ipni.org:names:30000781-2/general-information</x:v>
      </x:c>
      <x:c r="W636" s="215" t="str">
        <x:v>https://www.mobot.org/MOBOT/research/APweb/orders/cucurbitalesweb.htm
https://floranorthamerica.org/Cucurbitaceae
https://powo.science.kew.org/taxon/urn:lsid:ipni.org:names:30000781-2/general-information
https://www.wildflower.org/collections/collection.php?collection=hays</x:v>
      </x:c>
      <x:c r="X636" s="215" t="str">
        <x:v>No — retain qualifiers and exceptions</x:v>
      </x:c>
      <x:c r="Y636" s="215" t="str">
        <x:v>Yes</x:v>
      </x:c>
      <x:c r="Z636" s="215" t="str">
        <x:v>Source-backed draft</x:v>
      </x:c>
    </x:row>
    <x:row r="637" ht="42" customHeight="1">
      <x:c r="A637" s="215" t="str">
        <x:v>Cucurbitaceae</x:v>
      </x:c>
      <x:c r="B637" s="215" t="str">
        <x:v>CUC-STAMENS</x:v>
      </x:c>
      <x:c r="C637" s="215" t="str">
        <x:v>Family character</x:v>
      </x:c>
      <x:c r="D637" s="215" t="str">
        <x:v>Stamens</x:v>
      </x:c>
      <x:c r="E637" s="215" t="str">
        <x:v>Stamens structurally 3–5 but commonly fused or paired so they appear as 1–3 complex stamens</x:v>
      </x:c>
      <x:c r="F637" s="215" t="str">
        <x:v>Strong</x:v>
      </x:c>
      <x:c r="G637" s="215" t="str">
        <x:v>4</x:v>
      </x:c>
      <x:c r="H637" s="215" t="str">
        <x:v>High</x:v>
      </x:c>
      <x:c r="I637" s="215" t="str">
        <x:v>Hand lens</x:v>
      </x:c>
      <x:c r="J637" s="215" t="str">
        <x:v>Fresh staminate flowers</x:v>
      </x:c>
      <x:c r="K637" s="215" t="str">
        <x:v>Gourd-family anthers often look twisted or grouped rather than like five separate stamens.</x:v>
      </x:c>
      <x:c r="L637" s="215" t="str">
        <x:v>Fusion patterns vary by genus and require intact male flowers.</x:v>
      </x:c>
      <x:c r="M637" s="215" t="str">
        <x:v>Count anther units cautiously under magnification.</x:v>
      </x:c>
      <x:c r="N637" s="215" t="str">
        <x:v>Wild gourds and cucumber-family vines occur in Hays fields, thickets, roadsides, and rocky openings; cultivated cucurbits do not prove wild family records.</x:v>
      </x:c>
      <x:c r="O637" s="215" t="str">
        <x:v>Low</x:v>
      </x:c>
      <x:c r="P637" s="215" t="str">
        <x:v>No</x:v>
      </x:c>
      <x:c r="Q637" s="215" t="str"/>
      <x:c r="R637" s="215" t="str"/>
      <x:c r="S637" s="215" t="str">
        <x:v>APWEB-CUCU; FNA-CUCU; POWO-CUCU; LBJ-HAYS</x:v>
      </x:c>
      <x:c r="T637" s="215" t="str">
        <x:v>https://www.mobot.org/MOBOT/research/APweb/orders/cucurbitalesweb.htm</x:v>
      </x:c>
      <x:c r="U637" s="215" t="str">
        <x:v>https://floranorthamerica.org/Cucurbitaceae</x:v>
      </x:c>
      <x:c r="V637" s="215" t="str">
        <x:v>https://powo.science.kew.org/taxon/urn:lsid:ipni.org:names:30000781-2/general-information</x:v>
      </x:c>
      <x:c r="W637" s="215" t="str">
        <x:v>https://www.mobot.org/MOBOT/research/APweb/orders/cucurbitalesweb.htm
https://floranorthamerica.org/Cucurbitaceae
https://powo.science.kew.org/taxon/urn:lsid:ipni.org:names:30000781-2/general-information
https://www.wildflower.org/collections/collection.php?collection=hays</x:v>
      </x:c>
      <x:c r="X637" s="215" t="str">
        <x:v>No — retain qualifiers and exceptions</x:v>
      </x:c>
      <x:c r="Y637" s="215" t="str">
        <x:v>Yes</x:v>
      </x:c>
      <x:c r="Z637" s="215" t="str">
        <x:v>Source-backed draft</x:v>
      </x:c>
    </x:row>
    <x:row r="638" ht="42" customHeight="1">
      <x:c r="A638" s="215" t="str">
        <x:v>Cucurbitaceae</x:v>
      </x:c>
      <x:c r="B638" s="215" t="str">
        <x:v>CUC-OVARY</x:v>
      </x:c>
      <x:c r="C638" s="215" t="str">
        <x:v>Family character</x:v>
      </x:c>
      <x:c r="D638" s="215" t="str">
        <x:v>Gynoecium</x:v>
      </x:c>
      <x:c r="E638" s="215" t="str">
        <x:v>Ovary inferior, commonly 3-carpellate with parietal placentation and many ovules</x:v>
      </x:c>
      <x:c r="F638" s="215" t="str">
        <x:v>Strong</x:v>
      </x:c>
      <x:c r="G638" s="215" t="str">
        <x:v>5</x:v>
      </x:c>
      <x:c r="H638" s="215" t="str">
        <x:v>High</x:v>
      </x:c>
      <x:c r="I638" s="215" t="str">
        <x:v>Naked eye or hand lens</x:v>
      </x:c>
      <x:c r="J638" s="215" t="str">
        <x:v>Fresh pistillate flowers</x:v>
      </x:c>
      <x:c r="K638" s="215" t="str">
        <x:v>The young gourd sits below the petals in a female flower.</x:v>
      </x:c>
      <x:c r="L638" s="215" t="str">
        <x:v>Some genera have fewer ovules or unusual locule appearances.</x:v>
      </x:c>
      <x:c r="M638" s="215" t="str">
        <x:v>This is a high-value separator from many other tendrilled vines.</x:v>
      </x:c>
      <x:c r="N638" s="215" t="str">
        <x:v>Wild gourds and cucumber-family vines occur in Hays fields, thickets, roadsides, and rocky openings; cultivated cucurbits do not prove wild family records.</x:v>
      </x:c>
      <x:c r="O638" s="215" t="str">
        <x:v>Low</x:v>
      </x:c>
      <x:c r="P638" s="215" t="str">
        <x:v>No</x:v>
      </x:c>
      <x:c r="Q638" s="215" t="str"/>
      <x:c r="R638" s="215" t="str">
        <x:v>CUC-LK01; CUC-LK02</x:v>
      </x:c>
      <x:c r="S638" s="215" t="str">
        <x:v>APWEB-CUCU; FNA-CUCU; POWO-CUCU; LBJ-HAYS</x:v>
      </x:c>
      <x:c r="T638" s="215" t="str">
        <x:v>https://www.mobot.org/MOBOT/research/APweb/orders/cucurbitalesweb.htm</x:v>
      </x:c>
      <x:c r="U638" s="215" t="str">
        <x:v>https://floranorthamerica.org/Cucurbitaceae</x:v>
      </x:c>
      <x:c r="V638" s="215" t="str">
        <x:v>https://powo.science.kew.org/taxon/urn:lsid:ipni.org:names:30000781-2/general-information</x:v>
      </x:c>
      <x:c r="W638" s="215" t="str">
        <x:v>https://www.mobot.org/MOBOT/research/APweb/orders/cucurbitalesweb.htm
https://floranorthamerica.org/Cucurbitaceae
https://powo.science.kew.org/taxon/urn:lsid:ipni.org:names:30000781-2/general-information
https://www.wildflower.org/collections/collection.php?collection=hays</x:v>
      </x:c>
      <x:c r="X638" s="215" t="str">
        <x:v>No — retain qualifiers and exceptions</x:v>
      </x:c>
      <x:c r="Y638" s="215" t="str">
        <x:v>Yes</x:v>
      </x:c>
      <x:c r="Z638" s="215" t="str">
        <x:v>Source-backed draft</x:v>
      </x:c>
    </x:row>
    <x:row r="639" ht="42" customHeight="1">
      <x:c r="A639" s="215" t="str">
        <x:v>Cucurbitaceae</x:v>
      </x:c>
      <x:c r="B639" s="215" t="str">
        <x:v>CUC-FRUIT</x:v>
      </x:c>
      <x:c r="C639" s="215" t="str">
        <x:v>Family character</x:v>
      </x:c>
      <x:c r="D639" s="215" t="str">
        <x:v>Fruit</x:v>
      </x:c>
      <x:c r="E639" s="215" t="str">
        <x:v>Fruit usually a pepo: a berry with a firm or hardened outer wall; occasionally capsular or berrylike</x:v>
      </x:c>
      <x:c r="F639" s="215" t="str">
        <x:v>Strong</x:v>
      </x:c>
      <x:c r="G639" s="215" t="str">
        <x:v>5</x:v>
      </x:c>
      <x:c r="H639" s="215" t="str">
        <x:v>High</x:v>
      </x:c>
      <x:c r="I639" s="215" t="str">
        <x:v>Naked eye or hand lens</x:v>
      </x:c>
      <x:c r="J639" s="215" t="str">
        <x:v>Mature fruit</x:v>
      </x:c>
      <x:c r="K639" s="215" t="str">
        <x:v>The mature fruit is a gourd, melon, cucumber, or related hard-walled berry.</x:v>
      </x:c>
      <x:c r="L639" s="215" t="str">
        <x:v>Fruit texture, dehiscence, and armature vary greatly.</x:v>
      </x:c>
      <x:c r="M639" s="215" t="str">
        <x:v>Use pepo construction with vine and flower characters.</x:v>
      </x:c>
      <x:c r="N639" s="215" t="str">
        <x:v>Wild gourds and cucumber-family vines occur in Hays fields, thickets, roadsides, and rocky openings; cultivated cucurbits do not prove wild family records.</x:v>
      </x:c>
      <x:c r="O639" s="215" t="str">
        <x:v>Low</x:v>
      </x:c>
      <x:c r="P639" s="215" t="str">
        <x:v>No</x:v>
      </x:c>
      <x:c r="Q639" s="215" t="str"/>
      <x:c r="R639" s="215" t="str"/>
      <x:c r="S639" s="215" t="str">
        <x:v>APWEB-CUCU; FNA-CUCU; POWO-CUCU; LBJ-HAYS</x:v>
      </x:c>
      <x:c r="T639" s="215" t="str">
        <x:v>https://www.mobot.org/MOBOT/research/APweb/orders/cucurbitalesweb.htm</x:v>
      </x:c>
      <x:c r="U639" s="215" t="str">
        <x:v>https://floranorthamerica.org/Cucurbitaceae</x:v>
      </x:c>
      <x:c r="V639" s="215" t="str">
        <x:v>https://powo.science.kew.org/taxon/urn:lsid:ipni.org:names:30000781-2/general-information</x:v>
      </x:c>
      <x:c r="W639" s="215" t="str">
        <x:v>https://www.mobot.org/MOBOT/research/APweb/orders/cucurbitalesweb.htm
https://floranorthamerica.org/Cucurbitaceae
https://powo.science.kew.org/taxon/urn:lsid:ipni.org:names:30000781-2/general-information
https://www.wildflower.org/collections/collection.php?collection=hays</x:v>
      </x:c>
      <x:c r="X639" s="215" t="str">
        <x:v>No — retain qualifiers and exceptions</x:v>
      </x:c>
      <x:c r="Y639" s="215" t="str">
        <x:v>Yes</x:v>
      </x:c>
      <x:c r="Z639" s="215" t="str">
        <x:v>Source-backed draft</x:v>
      </x:c>
    </x:row>
    <x:row r="640" ht="42" customHeight="1">
      <x:c r="A640" s="215" t="str">
        <x:v>Cucurbitaceae</x:v>
      </x:c>
      <x:c r="B640" s="215" t="str">
        <x:v>CUC-SEEDS</x:v>
      </x:c>
      <x:c r="C640" s="215" t="str">
        <x:v>Family character</x:v>
      </x:c>
      <x:c r="D640" s="215" t="str">
        <x:v>Seeds</x:v>
      </x:c>
      <x:c r="E640" s="215" t="str">
        <x:v>Seeds usually numerous, flattened, and without endosperm</x:v>
      </x:c>
      <x:c r="F640" s="215" t="str">
        <x:v>Strong</x:v>
      </x:c>
      <x:c r="G640" s="215" t="str">
        <x:v>3</x:v>
      </x:c>
      <x:c r="H640" s="215" t="str">
        <x:v>High</x:v>
      </x:c>
      <x:c r="I640" s="215" t="str">
        <x:v>Naked eye or hand lens</x:v>
      </x:c>
      <x:c r="J640" s="215" t="str">
        <x:v>Mature opened fruit</x:v>
      </x:c>
      <x:c r="K640" s="215" t="str">
        <x:v>Cut fruits reveal many flat seeds surrounding a fleshy or fibrous interior.</x:v>
      </x:c>
      <x:c r="L640" s="215" t="str">
        <x:v>Some seeds are winged or arillate and seed number varies.</x:v>
      </x:c>
      <x:c r="M640" s="215" t="str">
        <x:v>Use as mature-fruit confirmation.</x:v>
      </x:c>
      <x:c r="N640" s="215" t="str">
        <x:v>Wild gourds and cucumber-family vines occur in Hays fields, thickets, roadsides, and rocky openings; cultivated cucurbits do not prove wild family records.</x:v>
      </x:c>
      <x:c r="O640" s="215" t="str">
        <x:v>Low</x:v>
      </x:c>
      <x:c r="P640" s="215" t="str">
        <x:v>No</x:v>
      </x:c>
      <x:c r="Q640" s="215" t="str"/>
      <x:c r="R640" s="215" t="str"/>
      <x:c r="S640" s="215" t="str">
        <x:v>APWEB-CUCU; FNA-CUCU; POWO-CUCU; LBJ-HAYS</x:v>
      </x:c>
      <x:c r="T640" s="215" t="str">
        <x:v>https://www.mobot.org/MOBOT/research/APweb/orders/cucurbitalesweb.htm</x:v>
      </x:c>
      <x:c r="U640" s="215" t="str">
        <x:v>https://floranorthamerica.org/Cucurbitaceae</x:v>
      </x:c>
      <x:c r="V640" s="215" t="str">
        <x:v>https://powo.science.kew.org/taxon/urn:lsid:ipni.org:names:30000781-2/general-information</x:v>
      </x:c>
      <x:c r="W640" s="215" t="str">
        <x:v>https://www.mobot.org/MOBOT/research/APweb/orders/cucurbitalesweb.htm
https://floranorthamerica.org/Cucurbitaceae
https://powo.science.kew.org/taxon/urn:lsid:ipni.org:names:30000781-2/general-information
https://www.wildflower.org/collections/collection.php?collection=hays</x:v>
      </x:c>
      <x:c r="X640" s="215" t="str">
        <x:v>No — retain qualifiers and exceptions</x:v>
      </x:c>
      <x:c r="Y640" s="215" t="str">
        <x:v>Yes</x:v>
      </x:c>
      <x:c r="Z640" s="215" t="str">
        <x:v>Source-backed draft</x:v>
      </x:c>
    </x:row>
    <x:row r="641" ht="42" customHeight="1">
      <x:c r="A641" s="215" t="str">
        <x:v>Cucurbitaceae</x:v>
      </x:c>
      <x:c r="B641" s="215" t="str">
        <x:v>CUC-SEX</x:v>
      </x:c>
      <x:c r="C641" s="215" t="str">
        <x:v>Family character</x:v>
      </x:c>
      <x:c r="D641" s="215" t="str">
        <x:v>Reproductive system</x:v>
      </x:c>
      <x:c r="E641" s="215" t="str">
        <x:v>Plants commonly monoecious or dioecious; male and female flowers differ visibly</x:v>
      </x:c>
      <x:c r="F641" s="215" t="str">
        <x:v>Supporting</x:v>
      </x:c>
      <x:c r="G641" s="215" t="str">
        <x:v>2</x:v>
      </x:c>
      <x:c r="H641" s="215" t="str">
        <x:v>High</x:v>
      </x:c>
      <x:c r="I641" s="215" t="str">
        <x:v>Naked eye or hand lens</x:v>
      </x:c>
      <x:c r="J641" s="215" t="str">
        <x:v>Multiple fresh flowers</x:v>
      </x:c>
      <x:c r="K641" s="215" t="str">
        <x:v>A vine may bear pollen flowers and fruit-bearing flowers separately.</x:v>
      </x:c>
      <x:c r="L641" s="215" t="str">
        <x:v>Sex expression can vary by species, cultivar, or population.</x:v>
      </x:c>
      <x:c r="M641" s="215" t="str">
        <x:v>Inspect several flowers before deciding a plant lacks one sex.</x:v>
      </x:c>
      <x:c r="N641" s="215" t="str">
        <x:v>Wild gourds and cucumber-family vines occur in Hays fields, thickets, roadsides, and rocky openings; cultivated cucurbits do not prove wild family records.</x:v>
      </x:c>
      <x:c r="O641" s="215" t="str">
        <x:v>Low</x:v>
      </x:c>
      <x:c r="P641" s="215" t="str">
        <x:v>No</x:v>
      </x:c>
      <x:c r="Q641" s="215" t="str"/>
      <x:c r="R641" s="215" t="str"/>
      <x:c r="S641" s="215" t="str">
        <x:v>APWEB-CUCU; FNA-CUCU; POWO-CUCU; LBJ-HAYS</x:v>
      </x:c>
      <x:c r="T641" s="215" t="str">
        <x:v>https://www.mobot.org/MOBOT/research/APweb/orders/cucurbitalesweb.htm</x:v>
      </x:c>
      <x:c r="U641" s="215" t="str">
        <x:v>https://floranorthamerica.org/Cucurbitaceae</x:v>
      </x:c>
      <x:c r="V641" s="215" t="str">
        <x:v>https://powo.science.kew.org/taxon/urn:lsid:ipni.org:names:30000781-2/general-information</x:v>
      </x:c>
      <x:c r="W641" s="215" t="str">
        <x:v>https://www.mobot.org/MOBOT/research/APweb/orders/cucurbitalesweb.htm
https://floranorthamerica.org/Cucurbitaceae
https://powo.science.kew.org/taxon/urn:lsid:ipni.org:names:30000781-2/general-information
https://www.wildflower.org/collections/collection.php?collection=hays</x:v>
      </x:c>
      <x:c r="X641" s="215" t="str">
        <x:v>No — retain qualifiers and exceptions</x:v>
      </x:c>
      <x:c r="Y641" s="215" t="str">
        <x:v>Yes</x:v>
      </x:c>
      <x:c r="Z641" s="215" t="str">
        <x:v>Source-backed draft</x:v>
      </x:c>
    </x:row>
    <x:row r="642" ht="42" customHeight="1">
      <x:c r="A642" s="215" t="str">
        <x:v>Cucurbitaceae</x:v>
      </x:c>
      <x:c r="B642" s="215" t="str">
        <x:v>CUC-LK01</x:v>
      </x:c>
      <x:c r="C642" s="215" t="str">
        <x:v>Lookalike comparison</x:v>
      </x:c>
      <x:c r="D642" s="215" t="str">
        <x:v>Lookalike</x:v>
      </x:c>
      <x:c r="E642" s="215" t="str">
        <x:v>Versus Vitaceae: inferior ovaries, unisexual 5-parted flowers, and pepos favor Cucurbitaceae; leaf-opposed tendrils or clusters and grape berries favor Vitaceae</x:v>
      </x:c>
      <x:c r="F642" s="215" t="str">
        <x:v>Lookalike</x:v>
      </x:c>
      <x:c r="G642" s="215" t="str">
        <x:v>5</x:v>
      </x:c>
      <x:c r="H642" s="215" t="str">
        <x:v>High</x:v>
      </x:c>
      <x:c r="I642" s="215" t="str">
        <x:v>Naked eye or hand lens</x:v>
      </x:c>
      <x:c r="J642" s="215" t="str">
        <x:v>Flowers or mature fruit</x:v>
      </x:c>
      <x:c r="K642" s="215" t="str">
        <x:v>Both are tendrilled vines with broad leaves.</x:v>
      </x:c>
      <x:c r="L642" s="215" t="str">
        <x:v>Sterile vines can remain ambiguous.</x:v>
      </x:c>
      <x:c r="M642" s="215" t="str">
        <x:v>Use female flower insertion and mature fruit.</x:v>
      </x:c>
      <x:c r="N642" s="215" t="str">
        <x:v>Wild gourds and cucumber-family vines occur in Hays fields, thickets, roadsides, and rocky openings; cultivated cucurbits do not prove wild family records.</x:v>
      </x:c>
      <x:c r="O642" s="215" t="str">
        <x:v>Low</x:v>
      </x:c>
      <x:c r="P642" s="215" t="str">
        <x:v>No</x:v>
      </x:c>
      <x:c r="Q642" s="215" t="str"/>
      <x:c r="R642" s="215" t="str">
        <x:v>CUC-HABIT; CUC-OVARY; CUC-FRUIT</x:v>
      </x:c>
      <x:c r="S642" s="215" t="str">
        <x:v>APWEB-CUCU; FNA-CUCU; POWO-CUCU; LBJ-HAYS</x:v>
      </x:c>
      <x:c r="T642" s="215" t="str">
        <x:v>https://www.mobot.org/MOBOT/research/APweb/orders/cucurbitalesweb.htm</x:v>
      </x:c>
      <x:c r="U642" s="215" t="str">
        <x:v>https://floranorthamerica.org/Cucurbitaceae</x:v>
      </x:c>
      <x:c r="V642" s="215" t="str">
        <x:v>https://powo.science.kew.org/taxon/urn:lsid:ipni.org:names:30000781-2/general-information</x:v>
      </x:c>
      <x:c r="W642" s="215" t="str">
        <x:v>https://www.mobot.org/MOBOT/research/APweb/orders/cucurbitalesweb.htm
https://floranorthamerica.org/Cucurbitaceae
https://powo.science.kew.org/taxon/urn:lsid:ipni.org:names:30000781-2/general-information
https://www.wildflower.org/collections/collection.php?collection=hays</x:v>
      </x:c>
      <x:c r="X642" s="215" t="str">
        <x:v>No — retain qualifiers and exceptions</x:v>
      </x:c>
      <x:c r="Y642" s="215" t="str">
        <x:v>Yes</x:v>
      </x:c>
      <x:c r="Z642" s="215" t="str">
        <x:v>Source-backed draft</x:v>
      </x:c>
    </x:row>
    <x:row r="643" ht="42" customHeight="1">
      <x:c r="A643" s="215" t="str">
        <x:v>Cucurbitaceae</x:v>
      </x:c>
      <x:c r="B643" s="215" t="str">
        <x:v>CUC-LK02</x:v>
      </x:c>
      <x:c r="C643" s="215" t="str">
        <x:v>Lookalike comparison</x:v>
      </x:c>
      <x:c r="D643" s="215" t="str">
        <x:v>Lookalike</x:v>
      </x:c>
      <x:c r="E643" s="215" t="str">
        <x:v>Versus Convolvulaceae: tendrils, unisexual flowers, and an inferior ovary favor Cucurbitaceae; twining stems without tendrils and bisexual funnel flowers favor Convolvulaceae</x:v>
      </x:c>
      <x:c r="F643" s="215" t="str">
        <x:v>Lookalike</x:v>
      </x:c>
      <x:c r="G643" s="215" t="str">
        <x:v>5</x:v>
      </x:c>
      <x:c r="H643" s="215" t="str">
        <x:v>High</x:v>
      </x:c>
      <x:c r="I643" s="215" t="str">
        <x:v>Naked eye or hand lens</x:v>
      </x:c>
      <x:c r="J643" s="215" t="str">
        <x:v>Active flowering shoots</x:v>
      </x:c>
      <x:c r="K643" s="215" t="str">
        <x:v>Both can form sprawling vines with broad leaves.</x:v>
      </x:c>
      <x:c r="L643" s="215" t="str">
        <x:v>Tendrils can be reduced and corollas may both appear funnel-shaped.</x:v>
      </x:c>
      <x:c r="M643" s="215" t="str">
        <x:v>Trace the climbing organ and examine a female flower.</x:v>
      </x:c>
      <x:c r="N643" s="215" t="str">
        <x:v>Wild gourds and cucumber-family vines occur in Hays fields, thickets, roadsides, and rocky openings; cultivated cucurbits do not prove wild family records.</x:v>
      </x:c>
      <x:c r="O643" s="215" t="str">
        <x:v>Low</x:v>
      </x:c>
      <x:c r="P643" s="215" t="str">
        <x:v>No</x:v>
      </x:c>
      <x:c r="Q643" s="215" t="str"/>
      <x:c r="R643" s="215" t="str">
        <x:v>CUC-HABIT; CUC-FLOWER; CUC-OVARY</x:v>
      </x:c>
      <x:c r="S643" s="215" t="str">
        <x:v>APWEB-CUCU; FNA-CUCU; POWO-CUCU; LBJ-HAYS</x:v>
      </x:c>
      <x:c r="T643" s="215" t="str">
        <x:v>https://www.mobot.org/MOBOT/research/APweb/orders/cucurbitalesweb.htm</x:v>
      </x:c>
      <x:c r="U643" s="215" t="str">
        <x:v>https://floranorthamerica.org/Cucurbitaceae</x:v>
      </x:c>
      <x:c r="V643" s="215" t="str">
        <x:v>https://powo.science.kew.org/taxon/urn:lsid:ipni.org:names:30000781-2/general-information</x:v>
      </x:c>
      <x:c r="W643" s="215" t="str">
        <x:v>https://www.mobot.org/MOBOT/research/APweb/orders/cucurbitalesweb.htm
https://floranorthamerica.org/Cucurbitaceae
https://powo.science.kew.org/taxon/urn:lsid:ipni.org:names:30000781-2/general-information
https://www.wildflower.org/collections/collection.php?collection=hays</x:v>
      </x:c>
      <x:c r="X643" s="215" t="str">
        <x:v>No — retain qualifiers and exceptions</x:v>
      </x:c>
      <x:c r="Y643" s="215" t="str">
        <x:v>Yes</x:v>
      </x:c>
      <x:c r="Z643" s="215" t="str">
        <x:v>Source-backed draft</x:v>
      </x:c>
    </x:row>
    <x:row r="644" ht="42" customHeight="1">
      <x:c r="A644" s="215" t="str">
        <x:v>Bignoniaceae</x:v>
      </x:c>
      <x:c r="B644" s="215" t="str">
        <x:v>BIG-HABIT</x:v>
      </x:c>
      <x:c r="C644" s="215" t="str">
        <x:v>Family character</x:v>
      </x:c>
      <x:c r="D644" s="215" t="str">
        <x:v>Habit</x:v>
      </x:c>
      <x:c r="E644" s="215" t="str">
        <x:v>Mostly trees, shrubs, or woody vines; rarely herbs</x:v>
      </x:c>
      <x:c r="F644" s="215" t="str">
        <x:v>Strong</x:v>
      </x:c>
      <x:c r="G644" s="215" t="str">
        <x:v>2</x:v>
      </x:c>
      <x:c r="H644" s="215" t="str">
        <x:v>High</x:v>
      </x:c>
      <x:c r="I644" s="215" t="str">
        <x:v>Naked eye or hand lens</x:v>
      </x:c>
      <x:c r="J644" s="215" t="str">
        <x:v>Any material</x:v>
      </x:c>
      <x:c r="K644" s="215" t="str">
        <x:v>The family is predominantly woody in Central Texas.</x:v>
      </x:c>
      <x:c r="L644" s="215" t="str">
        <x:v>Habit alone overlaps many Lamiales families.</x:v>
      </x:c>
      <x:c r="M644" s="215" t="str">
        <x:v>Use with leaves, trumpet flowers, and capsule fruit.</x:v>
      </x:c>
      <x:c r="N644" s="215" t="str">
        <x:v>Crossvine, trumpet-creeper relatives, catalpa-type trees, and other trumpet-flowered woody plants make this family practical in Central Texas.</x:v>
      </x:c>
      <x:c r="O644" s="215" t="str">
        <x:v>Low</x:v>
      </x:c>
      <x:c r="P644" s="215" t="str">
        <x:v>No</x:v>
      </x:c>
      <x:c r="Q644" s="215" t="str"/>
      <x:c r="R644" s="215" t="str"/>
      <x:c r="S644" s="215" t="str">
        <x:v>APWEB-BIGN; POWO-BIGN; LBJ-HAYS</x:v>
      </x:c>
      <x:c r="T644" s="215" t="str">
        <x:v>https://www.mobot.org/MOBOT/research/APweb/orders/lamialesweb.htm</x:v>
      </x:c>
      <x:c r="U644" s="215" t="str">
        <x:v>https://powo.science.kew.org/taxon/urn:lsid:ipni.org:names:30000204-2/general-information</x:v>
      </x:c>
      <x:c r="V644" s="215" t="str">
        <x:v>https://powo.science.kew.org/taxon/urn:lsid:ipni.org:names:30000204-2/general-information</x:v>
      </x:c>
      <x:c r="W644"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44" s="215" t="str">
        <x:v>No — retain qualifiers and exceptions</x:v>
      </x:c>
      <x:c r="Y644" s="215" t="str">
        <x:v>Yes</x:v>
      </x:c>
      <x:c r="Z644" s="215" t="str">
        <x:v>Source-backed draft</x:v>
      </x:c>
    </x:row>
    <x:row r="645" ht="42" customHeight="1">
      <x:c r="A645" s="215" t="str">
        <x:v>Bignoniaceae</x:v>
      </x:c>
      <x:c r="B645" s="215" t="str">
        <x:v>BIG-LEAVES</x:v>
      </x:c>
      <x:c r="C645" s="215" t="str">
        <x:v>Family character</x:v>
      </x:c>
      <x:c r="D645" s="215" t="str">
        <x:v>Leaves / stipules</x:v>
      </x:c>
      <x:c r="E645" s="215" t="str">
        <x:v>Leaves usually opposite and compound, without true stipules; vines may replace a terminal leaflet with a tendril</x:v>
      </x:c>
      <x:c r="F645" s="215" t="str">
        <x:v>Strong</x:v>
      </x:c>
      <x:c r="G645" s="215" t="str">
        <x:v>4</x:v>
      </x:c>
      <x:c r="H645" s="215" t="str">
        <x:v>High</x:v>
      </x:c>
      <x:c r="I645" s="215" t="str">
        <x:v>Naked eye or hand lens</x:v>
      </x:c>
      <x:c r="J645" s="215" t="str">
        <x:v>Leafy shoots</x:v>
      </x:c>
      <x:c r="K645" s="215" t="str">
        <x:v>Opposite compound leaves are a strong regional clue.</x:v>
      </x:c>
      <x:c r="L645" s="215" t="str">
        <x:v>Simple or whorled leaves occur, and bud scales can mimic stipules.</x:v>
      </x:c>
      <x:c r="M645" s="215" t="str">
        <x:v>Check multiple nodes and flowering material.</x:v>
      </x:c>
      <x:c r="N645" s="215" t="str">
        <x:v>Crossvine, trumpet-creeper relatives, catalpa-type trees, and other trumpet-flowered woody plants make this family practical in Central Texas.</x:v>
      </x:c>
      <x:c r="O645" s="215" t="str">
        <x:v>Low</x:v>
      </x:c>
      <x:c r="P645" s="215" t="str">
        <x:v>No</x:v>
      </x:c>
      <x:c r="Q645" s="215" t="str"/>
      <x:c r="R645" s="215" t="str">
        <x:v>BIG-LK01; BIG-LK02</x:v>
      </x:c>
      <x:c r="S645" s="215" t="str">
        <x:v>APWEB-BIGN; POWO-BIGN; LBJ-HAYS</x:v>
      </x:c>
      <x:c r="T645" s="215" t="str">
        <x:v>https://www.mobot.org/MOBOT/research/APweb/orders/lamialesweb.htm</x:v>
      </x:c>
      <x:c r="U645" s="215" t="str">
        <x:v>https://powo.science.kew.org/taxon/urn:lsid:ipni.org:names:30000204-2/general-information</x:v>
      </x:c>
      <x:c r="V645" s="215" t="str">
        <x:v>https://powo.science.kew.org/taxon/urn:lsid:ipni.org:names:30000204-2/general-information</x:v>
      </x:c>
      <x:c r="W645"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45" s="215" t="str">
        <x:v>No — retain qualifiers and exceptions</x:v>
      </x:c>
      <x:c r="Y645" s="215" t="str">
        <x:v>Yes</x:v>
      </x:c>
      <x:c r="Z645" s="215" t="str">
        <x:v>Source-backed draft</x:v>
      </x:c>
    </x:row>
    <x:row r="646" ht="42" customHeight="1">
      <x:c r="A646" s="215" t="str">
        <x:v>Bignoniaceae</x:v>
      </x:c>
      <x:c r="B646" s="215" t="str">
        <x:v>BIG-COROLLA</x:v>
      </x:c>
      <x:c r="C646" s="215" t="str">
        <x:v>Family character</x:v>
      </x:c>
      <x:c r="D646" s="215" t="str">
        <x:v>Flowers</x:v>
      </x:c>
      <x:c r="E646" s="215" t="str">
        <x:v>Corolla of 5 fused petals, usually large, tubular or bell-shaped, and bilaterally symmetric</x:v>
      </x:c>
      <x:c r="F646" s="215" t="str">
        <x:v>Strong</x:v>
      </x:c>
      <x:c r="G646" s="215" t="str">
        <x:v>5</x:v>
      </x:c>
      <x:c r="H646" s="215" t="str">
        <x:v>High</x:v>
      </x:c>
      <x:c r="I646" s="215" t="str">
        <x:v>Naked eye or hand lens</x:v>
      </x:c>
      <x:c r="J646" s="215" t="str">
        <x:v>Fresh flowers</x:v>
      </x:c>
      <x:c r="K646" s="215" t="str">
        <x:v>The familiar trumpet flower is the clearest family signal.</x:v>
      </x:c>
      <x:c r="L646" s="215" t="str">
        <x:v>Some flowers are smaller or less bilateral.</x:v>
      </x:c>
      <x:c r="M646" s="215" t="str">
        <x:v>Use corolla form with didynamous stamens.</x:v>
      </x:c>
      <x:c r="N646" s="215" t="str">
        <x:v>Crossvine, trumpet-creeper relatives, catalpa-type trees, and other trumpet-flowered woody plants make this family practical in Central Texas.</x:v>
      </x:c>
      <x:c r="O646" s="215" t="str">
        <x:v>Low</x:v>
      </x:c>
      <x:c r="P646" s="215" t="str">
        <x:v>No</x:v>
      </x:c>
      <x:c r="Q646" s="215" t="str"/>
      <x:c r="R646" s="215" t="str"/>
      <x:c r="S646" s="215" t="str">
        <x:v>APWEB-BIGN; POWO-BIGN; LBJ-HAYS</x:v>
      </x:c>
      <x:c r="T646" s="215" t="str">
        <x:v>https://www.mobot.org/MOBOT/research/APweb/orders/lamialesweb.htm</x:v>
      </x:c>
      <x:c r="U646" s="215" t="str">
        <x:v>https://powo.science.kew.org/taxon/urn:lsid:ipni.org:names:30000204-2/general-information</x:v>
      </x:c>
      <x:c r="V646" s="215" t="str">
        <x:v>https://powo.science.kew.org/taxon/urn:lsid:ipni.org:names:30000204-2/general-information</x:v>
      </x:c>
      <x:c r="W646"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46" s="215" t="str">
        <x:v>No — retain qualifiers and exceptions</x:v>
      </x:c>
      <x:c r="Y646" s="215" t="str">
        <x:v>Yes</x:v>
      </x:c>
      <x:c r="Z646" s="215" t="str">
        <x:v>Source-backed draft</x:v>
      </x:c>
    </x:row>
    <x:row r="647" ht="42" customHeight="1">
      <x:c r="A647" s="215" t="str">
        <x:v>Bignoniaceae</x:v>
      </x:c>
      <x:c r="B647" s="215" t="str">
        <x:v>BIG-CALYX</x:v>
      </x:c>
      <x:c r="C647" s="215" t="str">
        <x:v>Family character</x:v>
      </x:c>
      <x:c r="D647" s="215" t="str">
        <x:v>Calyx</x:v>
      </x:c>
      <x:c r="E647" s="215" t="str">
        <x:v>Calyx usually 5-lobed or truncate and fused into a cup or tube</x:v>
      </x:c>
      <x:c r="F647" s="215" t="str">
        <x:v>Strong</x:v>
      </x:c>
      <x:c r="G647" s="215" t="str">
        <x:v>3</x:v>
      </x:c>
      <x:c r="H647" s="215" t="str">
        <x:v>High</x:v>
      </x:c>
      <x:c r="I647" s="215" t="str">
        <x:v>Naked eye or hand lens</x:v>
      </x:c>
      <x:c r="J647" s="215" t="str">
        <x:v>Flowers or young fruit</x:v>
      </x:c>
      <x:c r="K647" s="215" t="str">
        <x:v>A fused calyx surrounds the base of the trumpet corolla.</x:v>
      </x:c>
      <x:c r="L647" s="215" t="str">
        <x:v>Calyx shape and lobe number vary.</x:v>
      </x:c>
      <x:c r="M647" s="215" t="str">
        <x:v>Use as support, especially after corolla fall.</x:v>
      </x:c>
      <x:c r="N647" s="215" t="str">
        <x:v>Crossvine, trumpet-creeper relatives, catalpa-type trees, and other trumpet-flowered woody plants make this family practical in Central Texas.</x:v>
      </x:c>
      <x:c r="O647" s="215" t="str">
        <x:v>Low</x:v>
      </x:c>
      <x:c r="P647" s="215" t="str">
        <x:v>No</x:v>
      </x:c>
      <x:c r="Q647" s="215" t="str"/>
      <x:c r="R647" s="215" t="str"/>
      <x:c r="S647" s="215" t="str">
        <x:v>APWEB-BIGN; POWO-BIGN; LBJ-HAYS</x:v>
      </x:c>
      <x:c r="T647" s="215" t="str">
        <x:v>https://www.mobot.org/MOBOT/research/APweb/orders/lamialesweb.htm</x:v>
      </x:c>
      <x:c r="U647" s="215" t="str">
        <x:v>https://powo.science.kew.org/taxon/urn:lsid:ipni.org:names:30000204-2/general-information</x:v>
      </x:c>
      <x:c r="V647" s="215" t="str">
        <x:v>https://powo.science.kew.org/taxon/urn:lsid:ipni.org:names:30000204-2/general-information</x:v>
      </x:c>
      <x:c r="W647"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47" s="215" t="str">
        <x:v>No — retain qualifiers and exceptions</x:v>
      </x:c>
      <x:c r="Y647" s="215" t="str">
        <x:v>Yes</x:v>
      </x:c>
      <x:c r="Z647" s="215" t="str">
        <x:v>Source-backed draft</x:v>
      </x:c>
    </x:row>
    <x:row r="648" ht="42" customHeight="1">
      <x:c r="A648" s="215" t="str">
        <x:v>Bignoniaceae</x:v>
      </x:c>
      <x:c r="B648" s="215" t="str">
        <x:v>BIG-STAMENS</x:v>
      </x:c>
      <x:c r="C648" s="215" t="str">
        <x:v>Family character</x:v>
      </x:c>
      <x:c r="D648" s="215" t="str">
        <x:v>Stamens</x:v>
      </x:c>
      <x:c r="E648" s="215" t="str">
        <x:v>Usually 4 fertile didynamous stamens, two long and two short, plus a reduced fifth staminode</x:v>
      </x:c>
      <x:c r="F648" s="215" t="str">
        <x:v>Strong</x:v>
      </x:c>
      <x:c r="G648" s="215" t="str">
        <x:v>5</x:v>
      </x:c>
      <x:c r="H648" s="215" t="str">
        <x:v>High</x:v>
      </x:c>
      <x:c r="I648" s="215" t="str">
        <x:v>Hand lens</x:v>
      </x:c>
      <x:c r="J648" s="215" t="str">
        <x:v>Fresh intact flowers</x:v>
      </x:c>
      <x:c r="K648" s="215" t="str">
        <x:v>Four unequal stamens inside a trumpet flower strongly support Bignoniaceae.</x:v>
      </x:c>
      <x:c r="L648" s="215" t="str">
        <x:v>Some lineages have 2 or 5 fertile stamens.</x:v>
      </x:c>
      <x:c r="M648" s="215" t="str">
        <x:v>Count intact flowers and retain exceptions.</x:v>
      </x:c>
      <x:c r="N648" s="215" t="str">
        <x:v>Crossvine, trumpet-creeper relatives, catalpa-type trees, and other trumpet-flowered woody plants make this family practical in Central Texas.</x:v>
      </x:c>
      <x:c r="O648" s="215" t="str">
        <x:v>Low</x:v>
      </x:c>
      <x:c r="P648" s="215" t="str">
        <x:v>No</x:v>
      </x:c>
      <x:c r="Q648" s="215" t="str"/>
      <x:c r="R648" s="215" t="str">
        <x:v>BIG-LK01; BIG-LK02</x:v>
      </x:c>
      <x:c r="S648" s="215" t="str">
        <x:v>APWEB-BIGN; POWO-BIGN; LBJ-HAYS</x:v>
      </x:c>
      <x:c r="T648" s="215" t="str">
        <x:v>https://www.mobot.org/MOBOT/research/APweb/orders/lamialesweb.htm</x:v>
      </x:c>
      <x:c r="U648" s="215" t="str">
        <x:v>https://powo.science.kew.org/taxon/urn:lsid:ipni.org:names:30000204-2/general-information</x:v>
      </x:c>
      <x:c r="V648" s="215" t="str">
        <x:v>https://powo.science.kew.org/taxon/urn:lsid:ipni.org:names:30000204-2/general-information</x:v>
      </x:c>
      <x:c r="W648"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48" s="215" t="str">
        <x:v>No — retain qualifiers and exceptions</x:v>
      </x:c>
      <x:c r="Y648" s="215" t="str">
        <x:v>Yes</x:v>
      </x:c>
      <x:c r="Z648" s="215" t="str">
        <x:v>Source-backed draft</x:v>
      </x:c>
    </x:row>
    <x:row r="649" ht="42" customHeight="1">
      <x:c r="A649" s="215" t="str">
        <x:v>Bignoniaceae</x:v>
      </x:c>
      <x:c r="B649" s="215" t="str">
        <x:v>BIG-OVARY</x:v>
      </x:c>
      <x:c r="C649" s="215" t="str">
        <x:v>Family character</x:v>
      </x:c>
      <x:c r="D649" s="215" t="str">
        <x:v>Gynoecium / disc</x:v>
      </x:c>
      <x:c r="E649" s="215" t="str">
        <x:v>Ovary superior, usually 2-locular with many ovules, commonly surrounded by a nectar disc</x:v>
      </x:c>
      <x:c r="F649" s="215" t="str">
        <x:v>Strong</x:v>
      </x:c>
      <x:c r="G649" s="215" t="str">
        <x:v>4</x:v>
      </x:c>
      <x:c r="H649" s="215" t="str">
        <x:v>High</x:v>
      </x:c>
      <x:c r="I649" s="215" t="str">
        <x:v>Hand lens or dissection</x:v>
      </x:c>
      <x:c r="J649" s="215" t="str">
        <x:v>Fresh flowers</x:v>
      </x:c>
      <x:c r="K649" s="215" t="str">
        <x:v>The fruit begins above the other floral parts and contains many developing seeds.</x:v>
      </x:c>
      <x:c r="L649" s="215" t="str">
        <x:v>Locule number and disc visibility vary.</x:v>
      </x:c>
      <x:c r="M649" s="215" t="str">
        <x:v>Use with fruit and seed architecture.</x:v>
      </x:c>
      <x:c r="N649" s="215" t="str">
        <x:v>Crossvine, trumpet-creeper relatives, catalpa-type trees, and other trumpet-flowered woody plants make this family practical in Central Texas.</x:v>
      </x:c>
      <x:c r="O649" s="215" t="str">
        <x:v>Low</x:v>
      </x:c>
      <x:c r="P649" s="215" t="str">
        <x:v>No</x:v>
      </x:c>
      <x:c r="Q649" s="215" t="str"/>
      <x:c r="R649" s="215" t="str"/>
      <x:c r="S649" s="215" t="str">
        <x:v>APWEB-BIGN; POWO-BIGN; LBJ-HAYS</x:v>
      </x:c>
      <x:c r="T649" s="215" t="str">
        <x:v>https://www.mobot.org/MOBOT/research/APweb/orders/lamialesweb.htm</x:v>
      </x:c>
      <x:c r="U649" s="215" t="str">
        <x:v>https://powo.science.kew.org/taxon/urn:lsid:ipni.org:names:30000204-2/general-information</x:v>
      </x:c>
      <x:c r="V649" s="215" t="str">
        <x:v>https://powo.science.kew.org/taxon/urn:lsid:ipni.org:names:30000204-2/general-information</x:v>
      </x:c>
      <x:c r="W649"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49" s="215" t="str">
        <x:v>No — retain qualifiers and exceptions</x:v>
      </x:c>
      <x:c r="Y649" s="215" t="str">
        <x:v>Yes</x:v>
      </x:c>
      <x:c r="Z649" s="215" t="str">
        <x:v>Source-backed draft</x:v>
      </x:c>
    </x:row>
    <x:row r="650" ht="42" customHeight="1">
      <x:c r="A650" s="215" t="str">
        <x:v>Bignoniaceae</x:v>
      </x:c>
      <x:c r="B650" s="215" t="str">
        <x:v>BIG-STIGMA</x:v>
      </x:c>
      <x:c r="C650" s="215" t="str">
        <x:v>Family character</x:v>
      </x:c>
      <x:c r="D650" s="215" t="str">
        <x:v>Gynoecium</x:v>
      </x:c>
      <x:c r="E650" s="215" t="str">
        <x:v>Stigma commonly 2-lobed and sometimes touch-sensitive</x:v>
      </x:c>
      <x:c r="F650" s="215" t="str">
        <x:v>Supporting</x:v>
      </x:c>
      <x:c r="G650" s="215" t="str">
        <x:v>2</x:v>
      </x:c>
      <x:c r="H650" s="215" t="str">
        <x:v>High</x:v>
      </x:c>
      <x:c r="I650" s="215" t="str">
        <x:v>Hand lens</x:v>
      </x:c>
      <x:c r="J650" s="215" t="str">
        <x:v>Fresh open flowers</x:v>
      </x:c>
      <x:c r="K650" s="215" t="str">
        <x:v>The two stigma lobes may close after contact.</x:v>
      </x:c>
      <x:c r="L650" s="215" t="str">
        <x:v>Sensitivity is not universal and should not be tested repeatedly.</x:v>
      </x:c>
      <x:c r="M650" s="215" t="str">
        <x:v>Use only as supporting observation.</x:v>
      </x:c>
      <x:c r="N650" s="215" t="str">
        <x:v>Crossvine, trumpet-creeper relatives, catalpa-type trees, and other trumpet-flowered woody plants make this family practical in Central Texas.</x:v>
      </x:c>
      <x:c r="O650" s="215" t="str">
        <x:v>Low</x:v>
      </x:c>
      <x:c r="P650" s="215" t="str">
        <x:v>No</x:v>
      </x:c>
      <x:c r="Q650" s="215" t="str"/>
      <x:c r="R650" s="215" t="str"/>
      <x:c r="S650" s="215" t="str">
        <x:v>APWEB-BIGN; POWO-BIGN; LBJ-HAYS</x:v>
      </x:c>
      <x:c r="T650" s="215" t="str">
        <x:v>https://www.mobot.org/MOBOT/research/APweb/orders/lamialesweb.htm</x:v>
      </x:c>
      <x:c r="U650" s="215" t="str">
        <x:v>https://powo.science.kew.org/taxon/urn:lsid:ipni.org:names:30000204-2/general-information</x:v>
      </x:c>
      <x:c r="V650" s="215" t="str">
        <x:v>https://powo.science.kew.org/taxon/urn:lsid:ipni.org:names:30000204-2/general-information</x:v>
      </x:c>
      <x:c r="W650"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50" s="215" t="str">
        <x:v>No — retain qualifiers and exceptions</x:v>
      </x:c>
      <x:c r="Y650" s="215" t="str">
        <x:v>Yes</x:v>
      </x:c>
      <x:c r="Z650" s="215" t="str">
        <x:v>Source-backed draft</x:v>
      </x:c>
    </x:row>
    <x:row r="651" ht="42" customHeight="1">
      <x:c r="A651" s="215" t="str">
        <x:v>Bignoniaceae</x:v>
      </x:c>
      <x:c r="B651" s="215" t="str">
        <x:v>BIG-FRUIT</x:v>
      </x:c>
      <x:c r="C651" s="215" t="str">
        <x:v>Family character</x:v>
      </x:c>
      <x:c r="D651" s="215" t="str">
        <x:v>Fruit</x:v>
      </x:c>
      <x:c r="E651" s="215" t="str">
        <x:v>Fruit usually an elongated or flattened 2-valved capsule</x:v>
      </x:c>
      <x:c r="F651" s="215" t="str">
        <x:v>Strong</x:v>
      </x:c>
      <x:c r="G651" s="215" t="str">
        <x:v>5</x:v>
      </x:c>
      <x:c r="H651" s="215" t="str">
        <x:v>High</x:v>
      </x:c>
      <x:c r="I651" s="215" t="str">
        <x:v>Naked eye or hand lens</x:v>
      </x:c>
      <x:c r="J651" s="215" t="str">
        <x:v>Mature fruit</x:v>
      </x:c>
      <x:c r="K651" s="215" t="str">
        <x:v>Mature fruits often resemble long pods but split to expose many seeds.</x:v>
      </x:c>
      <x:c r="L651" s="215" t="str">
        <x:v>A few tropical lineages have fleshy indehiscent fruits.</x:v>
      </x:c>
      <x:c r="M651" s="215" t="str">
        <x:v>In Hays material, verify capsule valves before calling it a legume.</x:v>
      </x:c>
      <x:c r="N651" s="215" t="str">
        <x:v>Crossvine, trumpet-creeper relatives, catalpa-type trees, and other trumpet-flowered woody plants make this family practical in Central Texas.</x:v>
      </x:c>
      <x:c r="O651" s="215" t="str">
        <x:v>Low</x:v>
      </x:c>
      <x:c r="P651" s="215" t="str">
        <x:v>No</x:v>
      </x:c>
      <x:c r="Q651" s="215" t="str"/>
      <x:c r="R651" s="215" t="str">
        <x:v>BIG-LK01; BIG-LK02</x:v>
      </x:c>
      <x:c r="S651" s="215" t="str">
        <x:v>APWEB-BIGN; POWO-BIGN; LBJ-HAYS</x:v>
      </x:c>
      <x:c r="T651" s="215" t="str">
        <x:v>https://www.mobot.org/MOBOT/research/APweb/orders/lamialesweb.htm</x:v>
      </x:c>
      <x:c r="U651" s="215" t="str">
        <x:v>https://powo.science.kew.org/taxon/urn:lsid:ipni.org:names:30000204-2/general-information</x:v>
      </x:c>
      <x:c r="V651" s="215" t="str">
        <x:v>https://powo.science.kew.org/taxon/urn:lsid:ipni.org:names:30000204-2/general-information</x:v>
      </x:c>
      <x:c r="W651"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51" s="215" t="str">
        <x:v>No — retain qualifiers and exceptions</x:v>
      </x:c>
      <x:c r="Y651" s="215" t="str">
        <x:v>Yes</x:v>
      </x:c>
      <x:c r="Z651" s="215" t="str">
        <x:v>Source-backed draft</x:v>
      </x:c>
    </x:row>
    <x:row r="652" ht="42" customHeight="1">
      <x:c r="A652" s="215" t="str">
        <x:v>Bignoniaceae</x:v>
      </x:c>
      <x:c r="B652" s="215" t="str">
        <x:v>BIG-SEEDS</x:v>
      </x:c>
      <x:c r="C652" s="215" t="str">
        <x:v>Family character</x:v>
      </x:c>
      <x:c r="D652" s="215" t="str">
        <x:v>Seeds</x:v>
      </x:c>
      <x:c r="E652" s="215" t="str">
        <x:v>Seeds usually numerous, flat, and broadly winged</x:v>
      </x:c>
      <x:c r="F652" s="215" t="str">
        <x:v>Strong</x:v>
      </x:c>
      <x:c r="G652" s="215" t="str">
        <x:v>5</x:v>
      </x:c>
      <x:c r="H652" s="215" t="str">
        <x:v>High</x:v>
      </x:c>
      <x:c r="I652" s="215" t="str">
        <x:v>Naked eye or hand lens</x:v>
      </x:c>
      <x:c r="J652" s="215" t="str">
        <x:v>Mature open capsules</x:v>
      </x:c>
      <x:c r="K652" s="215" t="str">
        <x:v>Opening capsules release papery winged seeds adapted to wind dispersal.</x:v>
      </x:c>
      <x:c r="L652" s="215" t="str">
        <x:v>Seeds are unwinged in fleshy-fruited exceptions.</x:v>
      </x:c>
      <x:c r="M652" s="215" t="str">
        <x:v>Use with a 2-valved capsule for strong confirmation.</x:v>
      </x:c>
      <x:c r="N652" s="215" t="str">
        <x:v>Crossvine, trumpet-creeper relatives, catalpa-type trees, and other trumpet-flowered woody plants make this family practical in Central Texas.</x:v>
      </x:c>
      <x:c r="O652" s="215" t="str">
        <x:v>Low</x:v>
      </x:c>
      <x:c r="P652" s="215" t="str">
        <x:v>No</x:v>
      </x:c>
      <x:c r="Q652" s="215" t="str"/>
      <x:c r="R652" s="215" t="str"/>
      <x:c r="S652" s="215" t="str">
        <x:v>APWEB-BIGN; POWO-BIGN; LBJ-HAYS</x:v>
      </x:c>
      <x:c r="T652" s="215" t="str">
        <x:v>https://www.mobot.org/MOBOT/research/APweb/orders/lamialesweb.htm</x:v>
      </x:c>
      <x:c r="U652" s="215" t="str">
        <x:v>https://powo.science.kew.org/taxon/urn:lsid:ipni.org:names:30000204-2/general-information</x:v>
      </x:c>
      <x:c r="V652" s="215" t="str">
        <x:v>https://powo.science.kew.org/taxon/urn:lsid:ipni.org:names:30000204-2/general-information</x:v>
      </x:c>
      <x:c r="W652"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52" s="215" t="str">
        <x:v>No — retain qualifiers and exceptions</x:v>
      </x:c>
      <x:c r="Y652" s="215" t="str">
        <x:v>Yes</x:v>
      </x:c>
      <x:c r="Z652" s="215" t="str">
        <x:v>Source-backed draft</x:v>
      </x:c>
    </x:row>
    <x:row r="653" ht="42" customHeight="1">
      <x:c r="A653" s="215" t="str">
        <x:v>Bignoniaceae</x:v>
      </x:c>
      <x:c r="B653" s="215" t="str">
        <x:v>BIG-LK01</x:v>
      </x:c>
      <x:c r="C653" s="215" t="str">
        <x:v>Lookalike comparison</x:v>
      </x:c>
      <x:c r="D653" s="215" t="str">
        <x:v>Lookalike</x:v>
      </x:c>
      <x:c r="E653" s="215" t="str">
        <x:v>Versus Lamiaceae: woody habit, compound leaves, and a many-seeded capsule favor Bignoniaceae; aromatic square stems and four nutlets favor many Lamiaceae</x:v>
      </x:c>
      <x:c r="F653" s="215" t="str">
        <x:v>Lookalike</x:v>
      </x:c>
      <x:c r="G653" s="215" t="str">
        <x:v>5</x:v>
      </x:c>
      <x:c r="H653" s="215" t="str">
        <x:v>High</x:v>
      </x:c>
      <x:c r="I653" s="215" t="str">
        <x:v>Naked eye or hand lens</x:v>
      </x:c>
      <x:c r="J653" s="215" t="str">
        <x:v>Flowers or mature fruit</x:v>
      </x:c>
      <x:c r="K653" s="215" t="str">
        <x:v>Both can have opposite leaves and bilabiate corollas with four stamens.</x:v>
      </x:c>
      <x:c r="L653" s="215" t="str">
        <x:v>Woody Lamiaceae and simple-leaved Bignoniaceae require fruit evidence.</x:v>
      </x:c>
      <x:c r="M653" s="215" t="str">
        <x:v>Use mature fruit and seed number.</x:v>
      </x:c>
      <x:c r="N653" s="215" t="str">
        <x:v>Crossvine, trumpet-creeper relatives, catalpa-type trees, and other trumpet-flowered woody plants make this family practical in Central Texas.</x:v>
      </x:c>
      <x:c r="O653" s="215" t="str">
        <x:v>Low</x:v>
      </x:c>
      <x:c r="P653" s="215" t="str">
        <x:v>No</x:v>
      </x:c>
      <x:c r="Q653" s="215" t="str"/>
      <x:c r="R653" s="215" t="str">
        <x:v>BIG-LEAVES; BIG-STAMENS; BIG-FRUIT</x:v>
      </x:c>
      <x:c r="S653" s="215" t="str">
        <x:v>APWEB-BIGN; POWO-BIGN; LBJ-HAYS</x:v>
      </x:c>
      <x:c r="T653" s="215" t="str">
        <x:v>https://www.mobot.org/MOBOT/research/APweb/orders/lamialesweb.htm</x:v>
      </x:c>
      <x:c r="U653" s="215" t="str">
        <x:v>https://powo.science.kew.org/taxon/urn:lsid:ipni.org:names:30000204-2/general-information</x:v>
      </x:c>
      <x:c r="V653" s="215" t="str">
        <x:v>https://powo.science.kew.org/taxon/urn:lsid:ipni.org:names:30000204-2/general-information</x:v>
      </x:c>
      <x:c r="W653"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53" s="215" t="str">
        <x:v>No — retain qualifiers and exceptions</x:v>
      </x:c>
      <x:c r="Y653" s="215" t="str">
        <x:v>Yes</x:v>
      </x:c>
      <x:c r="Z653" s="215" t="str">
        <x:v>Source-backed draft</x:v>
      </x:c>
    </x:row>
    <x:row r="654" ht="42" customHeight="1">
      <x:c r="A654" s="215" t="str">
        <x:v>Bignoniaceae</x:v>
      </x:c>
      <x:c r="B654" s="215" t="str">
        <x:v>BIG-LK02</x:v>
      </x:c>
      <x:c r="C654" s="215" t="str">
        <x:v>Lookalike comparison</x:v>
      </x:c>
      <x:c r="D654" s="215" t="str">
        <x:v>Lookalike</x:v>
      </x:c>
      <x:c r="E654" s="215" t="str">
        <x:v>Versus Apocynaceae: four didynamous stamens and a wing-seeded capsule favor Bignoniaceae; five stamens, latex, and paired follicles favor many Apocynaceae</x:v>
      </x:c>
      <x:c r="F654" s="215" t="str">
        <x:v>Lookalike</x:v>
      </x:c>
      <x:c r="G654" s="215" t="str">
        <x:v>5</x:v>
      </x:c>
      <x:c r="H654" s="215" t="str">
        <x:v>High</x:v>
      </x:c>
      <x:c r="I654" s="215" t="str">
        <x:v>Naked eye or hand lens</x:v>
      </x:c>
      <x:c r="J654" s="215" t="str">
        <x:v>Fresh flowers or mature fruit</x:v>
      </x:c>
      <x:c r="K654" s="215" t="str">
        <x:v>Both can be woody vines with large tubular flowers.</x:v>
      </x:c>
      <x:c r="L654" s="215" t="str">
        <x:v>Apocynaceae fruits and latex vary, and not all Bignoniaceae seeds are available.</x:v>
      </x:c>
      <x:c r="M654" s="215" t="str">
        <x:v>Count stamens and examine mature fruit.</x:v>
      </x:c>
      <x:c r="N654" s="215" t="str">
        <x:v>Crossvine, trumpet-creeper relatives, catalpa-type trees, and other trumpet-flowered woody plants make this family practical in Central Texas.</x:v>
      </x:c>
      <x:c r="O654" s="215" t="str">
        <x:v>Low</x:v>
      </x:c>
      <x:c r="P654" s="215" t="str">
        <x:v>No</x:v>
      </x:c>
      <x:c r="Q654" s="215" t="str"/>
      <x:c r="R654" s="215" t="str">
        <x:v>BIG-COROLLA; BIG-STAMENS; BIG-FRUIT; BIG-SEEDS</x:v>
      </x:c>
      <x:c r="S654" s="215" t="str">
        <x:v>APWEB-BIGN; POWO-BIGN; LBJ-HAYS</x:v>
      </x:c>
      <x:c r="T654" s="215" t="str">
        <x:v>https://www.mobot.org/MOBOT/research/APweb/orders/lamialesweb.htm</x:v>
      </x:c>
      <x:c r="U654" s="215" t="str">
        <x:v>https://powo.science.kew.org/taxon/urn:lsid:ipni.org:names:30000204-2/general-information</x:v>
      </x:c>
      <x:c r="V654" s="215" t="str">
        <x:v>https://powo.science.kew.org/taxon/urn:lsid:ipni.org:names:30000204-2/general-information</x:v>
      </x:c>
      <x:c r="W654"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54" s="215" t="str">
        <x:v>No — retain qualifiers and exceptions</x:v>
      </x:c>
      <x:c r="Y654" s="215" t="str">
        <x:v>Yes</x:v>
      </x:c>
      <x:c r="Z654" s="215" t="str">
        <x:v>Source-backed draft</x:v>
      </x:c>
    </x:row>
    <x:row r="655" ht="42" customHeight="1">
      <x:c r="A655" s="215" t="str">
        <x:v>Violaceae</x:v>
      </x:c>
      <x:c r="B655" s="215" t="str">
        <x:v>VIO-HABIT</x:v>
      </x:c>
      <x:c r="C655" s="215" t="str">
        <x:v>Regional family character</x:v>
      </x:c>
      <x:c r="D655" s="215" t="str">
        <x:v>Habit</x:v>
      </x:c>
      <x:c r="E655" s="215" t="str">
        <x:v>Annual or perennial herbs, less often shrubs or woody plants</x:v>
      </x:c>
      <x:c r="F655" s="215" t="str">
        <x:v>Strong</x:v>
      </x:c>
      <x:c r="G655" s="215" t="str">
        <x:v>2</x:v>
      </x:c>
      <x:c r="H655" s="215" t="str">
        <x:v>High</x:v>
      </x:c>
      <x:c r="I655" s="215" t="str">
        <x:v>Naked eye or hand lens</x:v>
      </x:c>
      <x:c r="J655" s="215" t="str">
        <x:v>Any active growth</x:v>
      </x:c>
      <x:c r="K655" s="215" t="str">
        <x:v>Local violets are usually low herbs.</x:v>
      </x:c>
      <x:c r="L655" s="215" t="str">
        <x:v>The global family includes woody forms.</x:v>
      </x:c>
      <x:c r="M655" s="215" t="str">
        <x:v>Use habit only within the regional flora.</x:v>
      </x:c>
      <x:c r="N655" s="215" t="str">
        <x:v>Native violets occur in Central Texas lawns, seeps, woodland openings, and shaded soils, often with flowers and fruit at different times.</x:v>
      </x:c>
      <x:c r="O655" s="215" t="str">
        <x:v>Low</x:v>
      </x:c>
      <x:c r="P655" s="215" t="str">
        <x:v>No</x:v>
      </x:c>
      <x:c r="Q655" s="215" t="str"/>
      <x:c r="R655" s="215" t="str"/>
      <x:c r="S655" s="215" t="str">
        <x:v>APWEB-VIOL; FNA-VIOL; POWO-VIOL; LBJ-HAYS</x:v>
      </x:c>
      <x:c r="T655" s="215" t="str">
        <x:v>https://www.mobot.org/MOBOT/research/APweb/orders/malpighialesweb.htm</x:v>
      </x:c>
      <x:c r="U655" s="215" t="str">
        <x:v>https://floranorthamerica.org/Violaceae</x:v>
      </x:c>
      <x:c r="V655" s="215" t="str">
        <x:v>https://powo.science.kew.org/taxon/urn:lsid:ipni.org:names:30000541-2/general-information</x:v>
      </x:c>
      <x:c r="W655" s="215" t="str">
        <x:v>https://www.mobot.org/MOBOT/research/APweb/orders/malpighialesweb.htm
https://floranorthamerica.org/Violaceae
https://powo.science.kew.org/taxon/urn:lsid:ipni.org:names:30000541-2/general-information
https://www.wildflower.org/collections/collection.php?collection=hays</x:v>
      </x:c>
      <x:c r="X655" s="215" t="str">
        <x:v>No — retain qualifiers and exceptions</x:v>
      </x:c>
      <x:c r="Y655" s="215" t="str">
        <x:v>Yes</x:v>
      </x:c>
      <x:c r="Z655" s="215" t="str">
        <x:v>Source-backed draft</x:v>
      </x:c>
    </x:row>
    <x:row r="656" ht="42" customHeight="1">
      <x:c r="A656" s="215" t="str">
        <x:v>Violaceae</x:v>
      </x:c>
      <x:c r="B656" s="215" t="str">
        <x:v>VIO-LEAVES</x:v>
      </x:c>
      <x:c r="C656" s="215" t="str">
        <x:v>Family character</x:v>
      </x:c>
      <x:c r="D656" s="215" t="str">
        <x:v>Leaves / stipules</x:v>
      </x:c>
      <x:c r="E656" s="215" t="str">
        <x:v>Leaves simple, alternate or basal, usually stipulate; blades entire, toothed, or divided</x:v>
      </x:c>
      <x:c r="F656" s="215" t="str">
        <x:v>Strong</x:v>
      </x:c>
      <x:c r="G656" s="215" t="str">
        <x:v>3</x:v>
      </x:c>
      <x:c r="H656" s="215" t="str">
        <x:v>High</x:v>
      </x:c>
      <x:c r="I656" s="215" t="str">
        <x:v>Naked eye or hand lens</x:v>
      </x:c>
      <x:c r="J656" s="215" t="str">
        <x:v>Leafy shoots</x:v>
      </x:c>
      <x:c r="K656" s="215" t="str">
        <x:v>Violets often form basal rosettes or alternate leafy stems with obvious stipules.</x:v>
      </x:c>
      <x:c r="L656" s="215" t="str">
        <x:v>Leaf form is highly variable and sterile rosettes overlap other herbs.</x:v>
      </x:c>
      <x:c r="M656" s="215" t="str">
        <x:v>Confirm with flower or capsule.</x:v>
      </x:c>
      <x:c r="N656" s="215" t="str">
        <x:v>Native violets occur in Central Texas lawns, seeps, woodland openings, and shaded soils, often with flowers and fruit at different times.</x:v>
      </x:c>
      <x:c r="O656" s="215" t="str">
        <x:v>Low</x:v>
      </x:c>
      <x:c r="P656" s="215" t="str">
        <x:v>No</x:v>
      </x:c>
      <x:c r="Q656" s="215" t="str"/>
      <x:c r="R656" s="215" t="str"/>
      <x:c r="S656" s="215" t="str">
        <x:v>APWEB-VIOL; FNA-VIOL; POWO-VIOL; LBJ-HAYS</x:v>
      </x:c>
      <x:c r="T656" s="215" t="str">
        <x:v>https://www.mobot.org/MOBOT/research/APweb/orders/malpighialesweb.htm</x:v>
      </x:c>
      <x:c r="U656" s="215" t="str">
        <x:v>https://floranorthamerica.org/Violaceae</x:v>
      </x:c>
      <x:c r="V656" s="215" t="str">
        <x:v>https://powo.science.kew.org/taxon/urn:lsid:ipni.org:names:30000541-2/general-information</x:v>
      </x:c>
      <x:c r="W656" s="215" t="str">
        <x:v>https://www.mobot.org/MOBOT/research/APweb/orders/malpighialesweb.htm
https://floranorthamerica.org/Violaceae
https://powo.science.kew.org/taxon/urn:lsid:ipni.org:names:30000541-2/general-information
https://www.wildflower.org/collections/collection.php?collection=hays</x:v>
      </x:c>
      <x:c r="X656" s="215" t="str">
        <x:v>No — retain qualifiers and exceptions</x:v>
      </x:c>
      <x:c r="Y656" s="215" t="str">
        <x:v>Yes</x:v>
      </x:c>
      <x:c r="Z656" s="215" t="str">
        <x:v>Source-backed draft</x:v>
      </x:c>
    </x:row>
    <x:row r="657" ht="42" customHeight="1">
      <x:c r="A657" s="215" t="str">
        <x:v>Violaceae</x:v>
      </x:c>
      <x:c r="B657" s="215" t="str">
        <x:v>VIO-FLOWER</x:v>
      </x:c>
      <x:c r="C657" s="215" t="str">
        <x:v>Family character</x:v>
      </x:c>
      <x:c r="D657" s="215" t="str">
        <x:v>Flowers</x:v>
      </x:c>
      <x:c r="E657" s="215" t="str">
        <x:v>Flowers usually bisexual and bilaterally symmetric with 5 sepals and 5 unequal petals</x:v>
      </x:c>
      <x:c r="F657" s="215" t="str">
        <x:v>Strong</x:v>
      </x:c>
      <x:c r="G657" s="215" t="str">
        <x:v>5</x:v>
      </x:c>
      <x:c r="H657" s="215" t="str">
        <x:v>High</x:v>
      </x:c>
      <x:c r="I657" s="215" t="str">
        <x:v>Naked eye or hand lens</x:v>
      </x:c>
      <x:c r="J657" s="215" t="str">
        <x:v>Fresh showy flowers</x:v>
      </x:c>
      <x:c r="K657" s="215" t="str">
        <x:v>The flower has a clear top and bottom rather than radial symmetry.</x:v>
      </x:c>
      <x:c r="L657" s="215" t="str">
        <x:v>Small cleistogamous flowers look very different.</x:v>
      </x:c>
      <x:c r="M657" s="215" t="str">
        <x:v>Apply to showy chasmogamous flowers only.</x:v>
      </x:c>
      <x:c r="N657" s="215" t="str">
        <x:v>Native violets occur in Central Texas lawns, seeps, woodland openings, and shaded soils, often with flowers and fruit at different times.</x:v>
      </x:c>
      <x:c r="O657" s="215" t="str">
        <x:v>Low</x:v>
      </x:c>
      <x:c r="P657" s="215" t="str">
        <x:v>No</x:v>
      </x:c>
      <x:c r="Q657" s="215" t="str"/>
      <x:c r="R657" s="215" t="str">
        <x:v>VIO-LK01; VIO-LK02</x:v>
      </x:c>
      <x:c r="S657" s="215" t="str">
        <x:v>APWEB-VIOL; FNA-VIOL; POWO-VIOL; LBJ-HAYS</x:v>
      </x:c>
      <x:c r="T657" s="215" t="str">
        <x:v>https://www.mobot.org/MOBOT/research/APweb/orders/malpighialesweb.htm</x:v>
      </x:c>
      <x:c r="U657" s="215" t="str">
        <x:v>https://floranorthamerica.org/Violaceae</x:v>
      </x:c>
      <x:c r="V657" s="215" t="str">
        <x:v>https://powo.science.kew.org/taxon/urn:lsid:ipni.org:names:30000541-2/general-information</x:v>
      </x:c>
      <x:c r="W657" s="215" t="str">
        <x:v>https://www.mobot.org/MOBOT/research/APweb/orders/malpighialesweb.htm
https://floranorthamerica.org/Violaceae
https://powo.science.kew.org/taxon/urn:lsid:ipni.org:names:30000541-2/general-information
https://www.wildflower.org/collections/collection.php?collection=hays</x:v>
      </x:c>
      <x:c r="X657" s="215" t="str">
        <x:v>No — retain qualifiers and exceptions</x:v>
      </x:c>
      <x:c r="Y657" s="215" t="str">
        <x:v>Yes</x:v>
      </x:c>
      <x:c r="Z657" s="215" t="str">
        <x:v>Source-backed draft</x:v>
      </x:c>
    </x:row>
    <x:row r="658" ht="42" customHeight="1">
      <x:c r="A658" s="215" t="str">
        <x:v>Violaceae</x:v>
      </x:c>
      <x:c r="B658" s="215" t="str">
        <x:v>VIO-SPUR</x:v>
      </x:c>
      <x:c r="C658" s="215" t="str">
        <x:v>Family character</x:v>
      </x:c>
      <x:c r="D658" s="215" t="str">
        <x:v>Corolla</x:v>
      </x:c>
      <x:c r="E658" s="215" t="str">
        <x:v>Lowest petal commonly enlarged and spurred or pouched at the base</x:v>
      </x:c>
      <x:c r="F658" s="215" t="str">
        <x:v>Strong</x:v>
      </x:c>
      <x:c r="G658" s="215" t="str">
        <x:v>5</x:v>
      </x:c>
      <x:c r="H658" s="215" t="str">
        <x:v>High</x:v>
      </x:c>
      <x:c r="I658" s="215" t="str">
        <x:v>Naked eye or hand lens</x:v>
      </x:c>
      <x:c r="J658" s="215" t="str">
        <x:v>Fresh flowers</x:v>
      </x:c>
      <x:c r="K658" s="215" t="str">
        <x:v>The lower petal forms a nectar spur behind the flower.</x:v>
      </x:c>
      <x:c r="L658" s="215" t="str">
        <x:v>Spur size varies and may be short or absent in some family lineages.</x:v>
      </x:c>
      <x:c r="M658" s="215" t="str">
        <x:v>Use with five stamens and a 3-valved capsule.</x:v>
      </x:c>
      <x:c r="N658" s="215" t="str">
        <x:v>Native violets occur in Central Texas lawns, seeps, woodland openings, and shaded soils, often with flowers and fruit at different times.</x:v>
      </x:c>
      <x:c r="O658" s="215" t="str">
        <x:v>Low</x:v>
      </x:c>
      <x:c r="P658" s="215" t="str">
        <x:v>No</x:v>
      </x:c>
      <x:c r="Q658" s="215" t="str"/>
      <x:c r="R658" s="215" t="str"/>
      <x:c r="S658" s="215" t="str">
        <x:v>APWEB-VIOL; FNA-VIOL; POWO-VIOL; LBJ-HAYS</x:v>
      </x:c>
      <x:c r="T658" s="215" t="str">
        <x:v>https://www.mobot.org/MOBOT/research/APweb/orders/malpighialesweb.htm</x:v>
      </x:c>
      <x:c r="U658" s="215" t="str">
        <x:v>https://floranorthamerica.org/Violaceae</x:v>
      </x:c>
      <x:c r="V658" s="215" t="str">
        <x:v>https://powo.science.kew.org/taxon/urn:lsid:ipni.org:names:30000541-2/general-information</x:v>
      </x:c>
      <x:c r="W658" s="215" t="str">
        <x:v>https://www.mobot.org/MOBOT/research/APweb/orders/malpighialesweb.htm
https://floranorthamerica.org/Violaceae
https://powo.science.kew.org/taxon/urn:lsid:ipni.org:names:30000541-2/general-information
https://www.wildflower.org/collections/collection.php?collection=hays</x:v>
      </x:c>
      <x:c r="X658" s="215" t="str">
        <x:v>No — retain qualifiers and exceptions</x:v>
      </x:c>
      <x:c r="Y658" s="215" t="str">
        <x:v>Yes</x:v>
      </x:c>
      <x:c r="Z658" s="215" t="str">
        <x:v>Source-backed draft</x:v>
      </x:c>
    </x:row>
    <x:row r="659" ht="42" customHeight="1">
      <x:c r="A659" s="215" t="str">
        <x:v>Violaceae</x:v>
      </x:c>
      <x:c r="B659" s="215" t="str">
        <x:v>VIO-STAMENS</x:v>
      </x:c>
      <x:c r="C659" s="215" t="str">
        <x:v>Family character</x:v>
      </x:c>
      <x:c r="D659" s="215" t="str">
        <x:v>Stamens</x:v>
      </x:c>
      <x:c r="E659" s="215" t="str">
        <x:v>Five stamens with anthers closely surrounding the style; connective appendages and nectar spurs may be present</x:v>
      </x:c>
      <x:c r="F659" s="215" t="str">
        <x:v>Strong</x:v>
      </x:c>
      <x:c r="G659" s="215" t="str">
        <x:v>4</x:v>
      </x:c>
      <x:c r="H659" s="215" t="str">
        <x:v>High</x:v>
      </x:c>
      <x:c r="I659" s="215" t="str">
        <x:v>Hand lens</x:v>
      </x:c>
      <x:c r="J659" s="215" t="str">
        <x:v>Fresh intact flowers</x:v>
      </x:c>
      <x:c r="K659" s="215" t="str">
        <x:v>The anthers form a tight cone around the flower center.</x:v>
      </x:c>
      <x:c r="L659" s="215" t="str">
        <x:v>Details require magnification and differ among genera.</x:v>
      </x:c>
      <x:c r="M659" s="215" t="str">
        <x:v>Count five anthers and inspect their enclosure of the style.</x:v>
      </x:c>
      <x:c r="N659" s="215" t="str">
        <x:v>Native violets occur in Central Texas lawns, seeps, woodland openings, and shaded soils, often with flowers and fruit at different times.</x:v>
      </x:c>
      <x:c r="O659" s="215" t="str">
        <x:v>Low</x:v>
      </x:c>
      <x:c r="P659" s="215" t="str">
        <x:v>No</x:v>
      </x:c>
      <x:c r="Q659" s="215" t="str"/>
      <x:c r="R659" s="215" t="str"/>
      <x:c r="S659" s="215" t="str">
        <x:v>APWEB-VIOL; FNA-VIOL; POWO-VIOL; LBJ-HAYS</x:v>
      </x:c>
      <x:c r="T659" s="215" t="str">
        <x:v>https://www.mobot.org/MOBOT/research/APweb/orders/malpighialesweb.htm</x:v>
      </x:c>
      <x:c r="U659" s="215" t="str">
        <x:v>https://floranorthamerica.org/Violaceae</x:v>
      </x:c>
      <x:c r="V659" s="215" t="str">
        <x:v>https://powo.science.kew.org/taxon/urn:lsid:ipni.org:names:30000541-2/general-information</x:v>
      </x:c>
      <x:c r="W659" s="215" t="str">
        <x:v>https://www.mobot.org/MOBOT/research/APweb/orders/malpighialesweb.htm
https://floranorthamerica.org/Violaceae
https://powo.science.kew.org/taxon/urn:lsid:ipni.org:names:30000541-2/general-information
https://www.wildflower.org/collections/collection.php?collection=hays</x:v>
      </x:c>
      <x:c r="X659" s="215" t="str">
        <x:v>No — retain qualifiers and exceptions</x:v>
      </x:c>
      <x:c r="Y659" s="215" t="str">
        <x:v>Yes</x:v>
      </x:c>
      <x:c r="Z659" s="215" t="str">
        <x:v>Source-backed draft</x:v>
      </x:c>
    </x:row>
    <x:row r="660" ht="42" customHeight="1">
      <x:c r="A660" s="215" t="str">
        <x:v>Violaceae</x:v>
      </x:c>
      <x:c r="B660" s="215" t="str">
        <x:v>VIO-OVARY</x:v>
      </x:c>
      <x:c r="C660" s="215" t="str">
        <x:v>Family character</x:v>
      </x:c>
      <x:c r="D660" s="215" t="str">
        <x:v>Gynoecium</x:v>
      </x:c>
      <x:c r="E660" s="215" t="str">
        <x:v>Ovary superior, 3-carpellate but 1-locular, with parietal placentation</x:v>
      </x:c>
      <x:c r="F660" s="215" t="str">
        <x:v>Strong</x:v>
      </x:c>
      <x:c r="G660" s="215" t="str">
        <x:v>4</x:v>
      </x:c>
      <x:c r="H660" s="215" t="str">
        <x:v>High</x:v>
      </x:c>
      <x:c r="I660" s="215" t="str">
        <x:v>Hand lens or dissection</x:v>
      </x:c>
      <x:c r="J660" s="215" t="str">
        <x:v>Flowers or young fruit</x:v>
      </x:c>
      <x:c r="K660" s="215" t="str">
        <x:v>Seeds attach to three lines along the ovary wall.</x:v>
      </x:c>
      <x:c r="L660" s="215" t="str">
        <x:v>Internal placentation is easiest to see in an opening capsule.</x:v>
      </x:c>
      <x:c r="M660" s="215" t="str">
        <x:v>Use mature 3-valved fruit as the practical expression.</x:v>
      </x:c>
      <x:c r="N660" s="215" t="str">
        <x:v>Native violets occur in Central Texas lawns, seeps, woodland openings, and shaded soils, often with flowers and fruit at different times.</x:v>
      </x:c>
      <x:c r="O660" s="215" t="str">
        <x:v>Low</x:v>
      </x:c>
      <x:c r="P660" s="215" t="str">
        <x:v>No</x:v>
      </x:c>
      <x:c r="Q660" s="215" t="str"/>
      <x:c r="R660" s="215" t="str"/>
      <x:c r="S660" s="215" t="str">
        <x:v>APWEB-VIOL; FNA-VIOL; POWO-VIOL; LBJ-HAYS</x:v>
      </x:c>
      <x:c r="T660" s="215" t="str">
        <x:v>https://www.mobot.org/MOBOT/research/APweb/orders/malpighialesweb.htm</x:v>
      </x:c>
      <x:c r="U660" s="215" t="str">
        <x:v>https://floranorthamerica.org/Violaceae</x:v>
      </x:c>
      <x:c r="V660" s="215" t="str">
        <x:v>https://powo.science.kew.org/taxon/urn:lsid:ipni.org:names:30000541-2/general-information</x:v>
      </x:c>
      <x:c r="W660" s="215" t="str">
        <x:v>https://www.mobot.org/MOBOT/research/APweb/orders/malpighialesweb.htm
https://floranorthamerica.org/Violaceae
https://powo.science.kew.org/taxon/urn:lsid:ipni.org:names:30000541-2/general-information
https://www.wildflower.org/collections/collection.php?collection=hays</x:v>
      </x:c>
      <x:c r="X660" s="215" t="str">
        <x:v>No — retain qualifiers and exceptions</x:v>
      </x:c>
      <x:c r="Y660" s="215" t="str">
        <x:v>Yes</x:v>
      </x:c>
      <x:c r="Z660" s="215" t="str">
        <x:v>Source-backed draft</x:v>
      </x:c>
    </x:row>
    <x:row r="661" ht="42" customHeight="1">
      <x:c r="A661" s="215" t="str">
        <x:v>Violaceae</x:v>
      </x:c>
      <x:c r="B661" s="215" t="str">
        <x:v>VIO-FRUIT</x:v>
      </x:c>
      <x:c r="C661" s="215" t="str">
        <x:v>Regional family character</x:v>
      </x:c>
      <x:c r="D661" s="215" t="str">
        <x:v>Fruit</x:v>
      </x:c>
      <x:c r="E661" s="215" t="str">
        <x:v>Fruit usually a capsule opening into 3 valves</x:v>
      </x:c>
      <x:c r="F661" s="215" t="str">
        <x:v>Strong</x:v>
      </x:c>
      <x:c r="G661" s="215" t="str">
        <x:v>5</x:v>
      </x:c>
      <x:c r="H661" s="215" t="str">
        <x:v>High</x:v>
      </x:c>
      <x:c r="I661" s="215" t="str">
        <x:v>Naked eye or hand lens</x:v>
      </x:c>
      <x:c r="J661" s="215" t="str">
        <x:v>Mature fruit</x:v>
      </x:c>
      <x:c r="K661" s="215" t="str">
        <x:v>Violet capsules split into three boatlike sections.</x:v>
      </x:c>
      <x:c r="L661" s="215" t="str">
        <x:v>Some tropical family members have other fruit types.</x:v>
      </x:c>
      <x:c r="M661" s="215" t="str">
        <x:v>For local Viola, three valves are a strong confirmation.</x:v>
      </x:c>
      <x:c r="N661" s="215" t="str">
        <x:v>Native violets occur in Central Texas lawns, seeps, woodland openings, and shaded soils, often with flowers and fruit at different times.</x:v>
      </x:c>
      <x:c r="O661" s="215" t="str">
        <x:v>Low</x:v>
      </x:c>
      <x:c r="P661" s="215" t="str">
        <x:v>No</x:v>
      </x:c>
      <x:c r="Q661" s="215" t="str"/>
      <x:c r="R661" s="215" t="str">
        <x:v>VIO-LK01; VIO-LK02</x:v>
      </x:c>
      <x:c r="S661" s="215" t="str">
        <x:v>APWEB-VIOL; FNA-VIOL; POWO-VIOL; LBJ-HAYS</x:v>
      </x:c>
      <x:c r="T661" s="215" t="str">
        <x:v>https://www.mobot.org/MOBOT/research/APweb/orders/malpighialesweb.htm</x:v>
      </x:c>
      <x:c r="U661" s="215" t="str">
        <x:v>https://floranorthamerica.org/Violaceae</x:v>
      </x:c>
      <x:c r="V661" s="215" t="str">
        <x:v>https://powo.science.kew.org/taxon/urn:lsid:ipni.org:names:30000541-2/general-information</x:v>
      </x:c>
      <x:c r="W661" s="215" t="str">
        <x:v>https://www.mobot.org/MOBOT/research/APweb/orders/malpighialesweb.htm
https://floranorthamerica.org/Violaceae
https://powo.science.kew.org/taxon/urn:lsid:ipni.org:names:30000541-2/general-information
https://www.wildflower.org/collections/collection.php?collection=hays</x:v>
      </x:c>
      <x:c r="X661" s="215" t="str">
        <x:v>No — retain qualifiers and exceptions</x:v>
      </x:c>
      <x:c r="Y661" s="215" t="str">
        <x:v>Yes</x:v>
      </x:c>
      <x:c r="Z661" s="215" t="str">
        <x:v>Source-backed draft</x:v>
      </x:c>
    </x:row>
    <x:row r="662" ht="42" customHeight="1">
      <x:c r="A662" s="215" t="str">
        <x:v>Violaceae</x:v>
      </x:c>
      <x:c r="B662" s="215" t="str">
        <x:v>VIO-SEEDS</x:v>
      </x:c>
      <x:c r="C662" s="215" t="str">
        <x:v>Family character</x:v>
      </x:c>
      <x:c r="D662" s="215" t="str">
        <x:v>Seeds / dispersal</x:v>
      </x:c>
      <x:c r="E662" s="215" t="str">
        <x:v>Seeds often forcibly expelled as drying capsule valves squeeze inward; elaiosomes may attract ants</x:v>
      </x:c>
      <x:c r="F662" s="215" t="str">
        <x:v>Supporting</x:v>
      </x:c>
      <x:c r="G662" s="215" t="str">
        <x:v>2</x:v>
      </x:c>
      <x:c r="H662" s="215" t="str">
        <x:v>High</x:v>
      </x:c>
      <x:c r="I662" s="215" t="str">
        <x:v>Naked eye or hand lens</x:v>
      </x:c>
      <x:c r="J662" s="215" t="str">
        <x:v>Mature drying fruit</x:v>
      </x:c>
      <x:c r="K662" s="215" t="str">
        <x:v>Violet fruits can scatter seeds away from the parent and ants may move them farther.</x:v>
      </x:c>
      <x:c r="L662" s="215" t="str">
        <x:v>Ballistic dispersal and elaiosomes vary by species and maturity.</x:v>
      </x:c>
      <x:c r="M662" s="215" t="str">
        <x:v>Use as ecological support after capsule identification.</x:v>
      </x:c>
      <x:c r="N662" s="215" t="str">
        <x:v>Native violets occur in Central Texas lawns, seeps, woodland openings, and shaded soils, often with flowers and fruit at different times.</x:v>
      </x:c>
      <x:c r="O662" s="215" t="str">
        <x:v>Low</x:v>
      </x:c>
      <x:c r="P662" s="215" t="str">
        <x:v>No</x:v>
      </x:c>
      <x:c r="Q662" s="215" t="str"/>
      <x:c r="R662" s="215" t="str"/>
      <x:c r="S662" s="215" t="str">
        <x:v>APWEB-VIOL; FNA-VIOL; POWO-VIOL; LBJ-HAYS</x:v>
      </x:c>
      <x:c r="T662" s="215" t="str">
        <x:v>https://www.mobot.org/MOBOT/research/APweb/orders/malpighialesweb.htm</x:v>
      </x:c>
      <x:c r="U662" s="215" t="str">
        <x:v>https://floranorthamerica.org/Violaceae</x:v>
      </x:c>
      <x:c r="V662" s="215" t="str">
        <x:v>https://powo.science.kew.org/taxon/urn:lsid:ipni.org:names:30000541-2/general-information</x:v>
      </x:c>
      <x:c r="W662" s="215" t="str">
        <x:v>https://www.mobot.org/MOBOT/research/APweb/orders/malpighialesweb.htm
https://floranorthamerica.org/Violaceae
https://powo.science.kew.org/taxon/urn:lsid:ipni.org:names:30000541-2/general-information
https://www.wildflower.org/collections/collection.php?collection=hays</x:v>
      </x:c>
      <x:c r="X662" s="215" t="str">
        <x:v>No — retain qualifiers and exceptions</x:v>
      </x:c>
      <x:c r="Y662" s="215" t="str">
        <x:v>Yes</x:v>
      </x:c>
      <x:c r="Z662" s="215" t="str">
        <x:v>Source-backed draft</x:v>
      </x:c>
    </x:row>
    <x:row r="663" ht="42" customHeight="1">
      <x:c r="A663" s="215" t="str">
        <x:v>Violaceae</x:v>
      </x:c>
      <x:c r="B663" s="215" t="str">
        <x:v>VIO-CLEIST</x:v>
      </x:c>
      <x:c r="C663" s="215" t="str">
        <x:v>Regional/genus-weighted character</x:v>
      </x:c>
      <x:c r="D663" s="215" t="str">
        <x:v>Flowers</x:v>
      </x:c>
      <x:c r="E663" s="215" t="str">
        <x:v>Cleistogamous self-pollinating flowers commonly occur in Viola and may produce fruit without showy petals</x:v>
      </x:c>
      <x:c r="F663" s="215" t="str">
        <x:v>Supporting</x:v>
      </x:c>
      <x:c r="G663" s="215" t="str">
        <x:v>2</x:v>
      </x:c>
      <x:c r="H663" s="215" t="str">
        <x:v>High</x:v>
      </x:c>
      <x:c r="I663" s="215" t="str">
        <x:v>Naked eye or hand lens</x:v>
      </x:c>
      <x:c r="J663" s="215" t="str">
        <x:v>Post-showy flowering season</x:v>
      </x:c>
      <x:c r="K663" s="215" t="str">
        <x:v>A violet can set capsules even when no normal flower is visible.</x:v>
      </x:c>
      <x:c r="L663" s="215" t="str">
        <x:v>This is primarily a Viola character, not universal across all Violaceae.</x:v>
      </x:c>
      <x:c r="M663" s="215" t="str">
        <x:v>Do not reject a sterile-looking violet when hidden reduced flowers are present.</x:v>
      </x:c>
      <x:c r="N663" s="215" t="str">
        <x:v>Native violets occur in Central Texas lawns, seeps, woodland openings, and shaded soils, often with flowers and fruit at different times.</x:v>
      </x:c>
      <x:c r="O663" s="215" t="str">
        <x:v>Low</x:v>
      </x:c>
      <x:c r="P663" s="215" t="str">
        <x:v>No</x:v>
      </x:c>
      <x:c r="Q663" s="215" t="str"/>
      <x:c r="R663" s="215" t="str"/>
      <x:c r="S663" s="215" t="str">
        <x:v>APWEB-VIOL; FNA-VIOL; POWO-VIOL; LBJ-HAYS</x:v>
      </x:c>
      <x:c r="T663" s="215" t="str">
        <x:v>https://www.mobot.org/MOBOT/research/APweb/orders/malpighialesweb.htm</x:v>
      </x:c>
      <x:c r="U663" s="215" t="str">
        <x:v>https://floranorthamerica.org/Violaceae</x:v>
      </x:c>
      <x:c r="V663" s="215" t="str">
        <x:v>https://powo.science.kew.org/taxon/urn:lsid:ipni.org:names:30000541-2/general-information</x:v>
      </x:c>
      <x:c r="W663" s="215" t="str">
        <x:v>https://www.mobot.org/MOBOT/research/APweb/orders/malpighialesweb.htm
https://floranorthamerica.org/Violaceae
https://powo.science.kew.org/taxon/urn:lsid:ipni.org:names:30000541-2/general-information
https://www.wildflower.org/collections/collection.php?collection=hays</x:v>
      </x:c>
      <x:c r="X663" s="215" t="str">
        <x:v>No — retain qualifiers and exceptions</x:v>
      </x:c>
      <x:c r="Y663" s="215" t="str">
        <x:v>Yes</x:v>
      </x:c>
      <x:c r="Z663" s="215" t="str">
        <x:v>Source-backed draft</x:v>
      </x:c>
    </x:row>
    <x:row r="664" ht="42" customHeight="1">
      <x:c r="A664" s="215" t="str">
        <x:v>Violaceae</x:v>
      </x:c>
      <x:c r="B664" s="215" t="str">
        <x:v>VIO-LK01</x:v>
      </x:c>
      <x:c r="C664" s="215" t="str">
        <x:v>Lookalike comparison</x:v>
      </x:c>
      <x:c r="D664" s="215" t="str">
        <x:v>Lookalike</x:v>
      </x:c>
      <x:c r="E664" s="215" t="str">
        <x:v>Versus Fabaceae: a spurred lower petal, five stamens, and a 3-valved capsule favor Violaceae; banner-wing-keel petals and a legume favor Fabaceae</x:v>
      </x:c>
      <x:c r="F664" s="215" t="str">
        <x:v>Lookalike</x:v>
      </x:c>
      <x:c r="G664" s="215" t="str">
        <x:v>5</x:v>
      </x:c>
      <x:c r="H664" s="215" t="str">
        <x:v>High</x:v>
      </x:c>
      <x:c r="I664" s="215" t="str">
        <x:v>Naked eye or hand lens</x:v>
      </x:c>
      <x:c r="J664" s="215" t="str">
        <x:v>Flowers or mature fruit</x:v>
      </x:c>
      <x:c r="K664" s="215" t="str">
        <x:v>Both can have strongly bilateral flowers.</x:v>
      </x:c>
      <x:c r="L664" s="215" t="str">
        <x:v>Tiny flowers or immature fruit can obscure architecture.</x:v>
      </x:c>
      <x:c r="M664" s="215" t="str">
        <x:v>Count stamens and examine the mature fruit.</x:v>
      </x:c>
      <x:c r="N664" s="215" t="str">
        <x:v>Native violets occur in Central Texas lawns, seeps, woodland openings, and shaded soils, often with flowers and fruit at different times.</x:v>
      </x:c>
      <x:c r="O664" s="215" t="str">
        <x:v>Low</x:v>
      </x:c>
      <x:c r="P664" s="215" t="str">
        <x:v>No</x:v>
      </x:c>
      <x:c r="Q664" s="215" t="str"/>
      <x:c r="R664" s="215" t="str">
        <x:v>VIO-FLOWER; VIO-SPUR; VIO-STAMENS; VIO-FRUIT</x:v>
      </x:c>
      <x:c r="S664" s="215" t="str">
        <x:v>APWEB-VIOL; FNA-VIOL; POWO-VIOL; LBJ-HAYS</x:v>
      </x:c>
      <x:c r="T664" s="215" t="str">
        <x:v>https://www.mobot.org/MOBOT/research/APweb/orders/malpighialesweb.htm</x:v>
      </x:c>
      <x:c r="U664" s="215" t="str">
        <x:v>https://floranorthamerica.org/Violaceae</x:v>
      </x:c>
      <x:c r="V664" s="215" t="str">
        <x:v>https://powo.science.kew.org/taxon/urn:lsid:ipni.org:names:30000541-2/general-information</x:v>
      </x:c>
      <x:c r="W664" s="215" t="str">
        <x:v>https://www.mobot.org/MOBOT/research/APweb/orders/malpighialesweb.htm
https://floranorthamerica.org/Violaceae
https://powo.science.kew.org/taxon/urn:lsid:ipni.org:names:30000541-2/general-information
https://www.wildflower.org/collections/collection.php?collection=hays</x:v>
      </x:c>
      <x:c r="X664" s="215" t="str">
        <x:v>No — retain qualifiers and exceptions</x:v>
      </x:c>
      <x:c r="Y664" s="215" t="str">
        <x:v>Yes</x:v>
      </x:c>
      <x:c r="Z664" s="215" t="str">
        <x:v>Source-backed draft</x:v>
      </x:c>
    </x:row>
    <x:row r="665" ht="42" customHeight="1">
      <x:c r="A665" s="215" t="str">
        <x:v>Violaceae</x:v>
      </x:c>
      <x:c r="B665" s="215" t="str">
        <x:v>VIO-LK02</x:v>
      </x:c>
      <x:c r="C665" s="215" t="str">
        <x:v>Lookalike comparison</x:v>
      </x:c>
      <x:c r="D665" s="215" t="str">
        <x:v>Lookalike</x:v>
      </x:c>
      <x:c r="E665" s="215" t="str">
        <x:v>Versus Ranunculaceae: five stamens tightly surrounding one style and a 3-valved capsule favor Violaceae; numerous free stamens and separate carpels favor many Ranunculaceae</x:v>
      </x:c>
      <x:c r="F665" s="215" t="str">
        <x:v>Lookalike</x:v>
      </x:c>
      <x:c r="G665" s="215" t="str">
        <x:v>5</x:v>
      </x:c>
      <x:c r="H665" s="215" t="str">
        <x:v>High</x:v>
      </x:c>
      <x:c r="I665" s="215" t="str">
        <x:v>Naked eye or hand lens</x:v>
      </x:c>
      <x:c r="J665" s="215" t="str">
        <x:v>Fresh flowers or mature fruit</x:v>
      </x:c>
      <x:c r="K665" s="215" t="str">
        <x:v>Spurred petals and divided leaves can create superficial similarity.</x:v>
      </x:c>
      <x:c r="L665" s="215" t="str">
        <x:v>Ranunculaceae is diverse and flowers may lose parts.</x:v>
      </x:c>
      <x:c r="M665" s="215" t="str">
        <x:v>Use stamen number and ovary/fruit construction.</x:v>
      </x:c>
      <x:c r="N665" s="215" t="str">
        <x:v>Native violets occur in Central Texas lawns, seeps, woodland openings, and shaded soils, often with flowers and fruit at different times.</x:v>
      </x:c>
      <x:c r="O665" s="215" t="str">
        <x:v>Low</x:v>
      </x:c>
      <x:c r="P665" s="215" t="str">
        <x:v>No</x:v>
      </x:c>
      <x:c r="Q665" s="215" t="str"/>
      <x:c r="R665" s="215" t="str">
        <x:v>VIO-SPUR; VIO-STAMENS; VIO-OVARY; VIO-FRUIT</x:v>
      </x:c>
      <x:c r="S665" s="215" t="str">
        <x:v>APWEB-VIOL; FNA-VIOL; POWO-VIOL; LBJ-HAYS</x:v>
      </x:c>
      <x:c r="T665" s="215" t="str">
        <x:v>https://www.mobot.org/MOBOT/research/APweb/orders/malpighialesweb.htm</x:v>
      </x:c>
      <x:c r="U665" s="215" t="str">
        <x:v>https://floranorthamerica.org/Violaceae</x:v>
      </x:c>
      <x:c r="V665" s="215" t="str">
        <x:v>https://powo.science.kew.org/taxon/urn:lsid:ipni.org:names:30000541-2/general-information</x:v>
      </x:c>
      <x:c r="W665" s="215" t="str">
        <x:v>https://www.mobot.org/MOBOT/research/APweb/orders/malpighialesweb.htm
https://floranorthamerica.org/Violaceae
https://powo.science.kew.org/taxon/urn:lsid:ipni.org:names:30000541-2/general-information
https://www.wildflower.org/collections/collection.php?collection=hays</x:v>
      </x:c>
      <x:c r="X665" s="215" t="str">
        <x:v>No — retain qualifiers and exceptions</x:v>
      </x:c>
      <x:c r="Y665" s="215" t="str">
        <x:v>Yes</x:v>
      </x:c>
      <x:c r="Z665" s="215" t="str">
        <x:v>Source-backed draft</x:v>
      </x:c>
    </x:row>
    <x:row r="666" ht="42" customHeight="1">
      <x:c r="A666" s="215" t="str">
        <x:v>Ericaceae</x:v>
      </x:c>
      <x:c r="B666" s="215" t="str">
        <x:v>ERI-HABIT</x:v>
      </x:c>
      <x:c r="C666" s="215" t="str">
        <x:v>Family character</x:v>
      </x:c>
      <x:c r="D666" s="215" t="str">
        <x:v>Habit</x:v>
      </x:c>
      <x:c r="E666" s="215" t="str">
        <x:v>Mostly shrubs, subshrubs, or small trees; some herbs are fully or partly mycoheterotrophic</x:v>
      </x:c>
      <x:c r="F666" s="215" t="str">
        <x:v>Strong</x:v>
      </x:c>
      <x:c r="G666" s="215" t="str">
        <x:v>2</x:v>
      </x:c>
      <x:c r="H666" s="215" t="str">
        <x:v>High</x:v>
      </x:c>
      <x:c r="I666" s="215" t="str">
        <x:v>Naked eye or hand lens</x:v>
      </x:c>
      <x:c r="J666" s="215" t="str">
        <x:v>Any material</x:v>
      </x:c>
      <x:c r="K666" s="215" t="str">
        <x:v>Heath-family plants range from woody shrubs to leafless fungal-dependent herbs.</x:v>
      </x:c>
      <x:c r="L666" s="215" t="str">
        <x:v>The broad modern family includes former Monotropaceae and Pyrolaceae.</x:v>
      </x:c>
      <x:c r="M666" s="215" t="str">
        <x:v>Identify the lineage before applying habit-specific characters.</x:v>
      </x:c>
      <x:c r="N666" s="215" t="str">
        <x:v>Ericaceae appears species-poor and localized in the Hays inventory; exact county genera and records need explicit reconciliation before local claims are generalized.</x:v>
      </x:c>
      <x:c r="O666" s="215" t="str">
        <x:v>Low</x:v>
      </x:c>
      <x:c r="P666" s="215" t="str">
        <x:v>No</x:v>
      </x:c>
      <x:c r="Q666" s="215" t="str"/>
      <x:c r="R666" s="215" t="str"/>
      <x:c r="S666" s="215" t="str">
        <x:v>APWEB-ERIC; FNA-ERIC; POWO-ERIC; LBJ-HAYS</x:v>
      </x:c>
      <x:c r="T666" s="215" t="str">
        <x:v>https://www.mobot.org/MOBOT/research/APweb/orders/ericalesweb.htm</x:v>
      </x:c>
      <x:c r="U666" s="215" t="str">
        <x:v>https://floranorthamerica.org/Ericaceae</x:v>
      </x:c>
      <x:c r="V666" s="215" t="str">
        <x:v>https://powo.science.kew.org/taxon/urn:lsid:ipni.org:names:30000402-2/general-information</x:v>
      </x:c>
      <x:c r="W666" s="215" t="str">
        <x:v>https://www.mobot.org/MOBOT/research/APweb/orders/ericalesweb.htm
https://floranorthamerica.org/Ericaceae
https://powo.science.kew.org/taxon/urn:lsid:ipni.org:names:30000402-2/general-information
https://www.wildflower.org/collections/collection.php?collection=hays</x:v>
      </x:c>
      <x:c r="X666" s="215" t="str">
        <x:v>No — retain qualifiers and exceptions</x:v>
      </x:c>
      <x:c r="Y666" s="215" t="str">
        <x:v>Yes</x:v>
      </x:c>
      <x:c r="Z666" s="215" t="str">
        <x:v>Source-backed draft</x:v>
      </x:c>
    </x:row>
    <x:row r="667" ht="42" customHeight="1">
      <x:c r="A667" s="215" t="str">
        <x:v>Ericaceae</x:v>
      </x:c>
      <x:c r="B667" s="215" t="str">
        <x:v>ERI-LEAVES</x:v>
      </x:c>
      <x:c r="C667" s="215" t="str">
        <x:v>Family character</x:v>
      </x:c>
      <x:c r="D667" s="215" t="str">
        <x:v>Leaves / stipules</x:v>
      </x:c>
      <x:c r="E667" s="215" t="str">
        <x:v>Leaves usually simple and without stipules, often alternate, evergreen, leathery, or small</x:v>
      </x:c>
      <x:c r="F667" s="215" t="str">
        <x:v>Strong</x:v>
      </x:c>
      <x:c r="G667" s="215" t="str">
        <x:v>3</x:v>
      </x:c>
      <x:c r="H667" s="215" t="str">
        <x:v>High</x:v>
      </x:c>
      <x:c r="I667" s="215" t="str">
        <x:v>Naked eye or hand lens</x:v>
      </x:c>
      <x:c r="J667" s="215" t="str">
        <x:v>Leafy shoots</x:v>
      </x:c>
      <x:c r="K667" s="215" t="str">
        <x:v>Many heaths have tough exstipulate leaves adapted to nutrient-poor sites.</x:v>
      </x:c>
      <x:c r="L667" s="215" t="str">
        <x:v>Leafless mycoheterotrophs and broader leaves are important exceptions.</x:v>
      </x:c>
      <x:c r="M667" s="215" t="str">
        <x:v>Use leaves only with flowers and anthers.</x:v>
      </x:c>
      <x:c r="N667" s="215" t="str">
        <x:v>Ericaceae appears species-poor and localized in the Hays inventory; exact county genera and records need explicit reconciliation before local claims are generalized.</x:v>
      </x:c>
      <x:c r="O667" s="215" t="str">
        <x:v>Low</x:v>
      </x:c>
      <x:c r="P667" s="215" t="str">
        <x:v>No</x:v>
      </x:c>
      <x:c r="Q667" s="215" t="str"/>
      <x:c r="R667" s="215" t="str"/>
      <x:c r="S667" s="215" t="str">
        <x:v>APWEB-ERIC; FNA-ERIC; POWO-ERIC; LBJ-HAYS</x:v>
      </x:c>
      <x:c r="T667" s="215" t="str">
        <x:v>https://www.mobot.org/MOBOT/research/APweb/orders/ericalesweb.htm</x:v>
      </x:c>
      <x:c r="U667" s="215" t="str">
        <x:v>https://floranorthamerica.org/Ericaceae</x:v>
      </x:c>
      <x:c r="V667" s="215" t="str">
        <x:v>https://powo.science.kew.org/taxon/urn:lsid:ipni.org:names:30000402-2/general-information</x:v>
      </x:c>
      <x:c r="W667" s="215" t="str">
        <x:v>https://www.mobot.org/MOBOT/research/APweb/orders/ericalesweb.htm
https://floranorthamerica.org/Ericaceae
https://powo.science.kew.org/taxon/urn:lsid:ipni.org:names:30000402-2/general-information
https://www.wildflower.org/collections/collection.php?collection=hays</x:v>
      </x:c>
      <x:c r="X667" s="215" t="str">
        <x:v>No — retain qualifiers and exceptions</x:v>
      </x:c>
      <x:c r="Y667" s="215" t="str">
        <x:v>Yes</x:v>
      </x:c>
      <x:c r="Z667" s="215" t="str">
        <x:v>Source-backed draft</x:v>
      </x:c>
    </x:row>
    <x:row r="668" ht="42" customHeight="1">
      <x:c r="A668" s="215" t="str">
        <x:v>Ericaceae</x:v>
      </x:c>
      <x:c r="B668" s="215" t="str">
        <x:v>ERI-MYCORRHIZA</x:v>
      </x:c>
      <x:c r="C668" s="215" t="str">
        <x:v>Family character</x:v>
      </x:c>
      <x:c r="D668" s="215" t="str">
        <x:v>Roots / ecology</x:v>
      </x:c>
      <x:c r="E668" s="215" t="str">
        <x:v>Strong mycorrhizal associations are characteristic; some lineages obtain much or all carbon through fungi</x:v>
      </x:c>
      <x:c r="F668" s="215" t="str">
        <x:v>Supporting</x:v>
      </x:c>
      <x:c r="G668" s="215" t="str">
        <x:v>0</x:v>
      </x:c>
      <x:c r="H668" s="215" t="str">
        <x:v>High</x:v>
      </x:c>
      <x:c r="I668" s="215" t="str">
        <x:v>Not field-visible</x:v>
      </x:c>
      <x:c r="J668" s="215" t="str">
        <x:v>Any material</x:v>
      </x:c>
      <x:c r="K668" s="215" t="str">
        <x:v>Fungal partnerships help the family occupy nutrient-poor soils.</x:v>
      </x:c>
      <x:c r="L668" s="215" t="str">
        <x:v>This is rarely visible in the field and must not justify excavation.</x:v>
      </x:c>
      <x:c r="M668" s="215" t="str">
        <x:v>Treat as ecological context, not a direct identification test.</x:v>
      </x:c>
      <x:c r="N668" s="215" t="str">
        <x:v>Ericaceae appears species-poor and localized in the Hays inventory; exact county genera and records need explicit reconciliation before local claims are generalized.</x:v>
      </x:c>
      <x:c r="O668" s="215" t="str">
        <x:v>Low</x:v>
      </x:c>
      <x:c r="P668" s="215" t="str">
        <x:v>No</x:v>
      </x:c>
      <x:c r="Q668" s="215" t="str"/>
      <x:c r="R668" s="215" t="str"/>
      <x:c r="S668" s="215" t="str">
        <x:v>APWEB-ERIC; FNA-ERIC; POWO-ERIC; LBJ-HAYS</x:v>
      </x:c>
      <x:c r="T668" s="215" t="str">
        <x:v>https://www.mobot.org/MOBOT/research/APweb/orders/ericalesweb.htm</x:v>
      </x:c>
      <x:c r="U668" s="215" t="str">
        <x:v>https://floranorthamerica.org/Ericaceae</x:v>
      </x:c>
      <x:c r="V668" s="215" t="str">
        <x:v>https://powo.science.kew.org/taxon/urn:lsid:ipni.org:names:30000402-2/general-information</x:v>
      </x:c>
      <x:c r="W668" s="215" t="str">
        <x:v>https://www.mobot.org/MOBOT/research/APweb/orders/ericalesweb.htm
https://floranorthamerica.org/Ericaceae
https://powo.science.kew.org/taxon/urn:lsid:ipni.org:names:30000402-2/general-information
https://www.wildflower.org/collections/collection.php?collection=hays</x:v>
      </x:c>
      <x:c r="X668" s="215" t="str">
        <x:v>No — retain qualifiers and exceptions</x:v>
      </x:c>
      <x:c r="Y668" s="215" t="str">
        <x:v>Yes</x:v>
      </x:c>
      <x:c r="Z668" s="215" t="str">
        <x:v>Source-backed draft</x:v>
      </x:c>
    </x:row>
    <x:row r="669" ht="42" customHeight="1">
      <x:c r="A669" s="215" t="str">
        <x:v>Ericaceae</x:v>
      </x:c>
      <x:c r="B669" s="215" t="str">
        <x:v>ERI-COROLLA</x:v>
      </x:c>
      <x:c r="C669" s="215" t="str">
        <x:v>Family character</x:v>
      </x:c>
      <x:c r="D669" s="215" t="str">
        <x:v>Flowers</x:v>
      </x:c>
      <x:c r="E669" s="215" t="str">
        <x:v>Corolla usually 4- or 5-lobed with fused petals, often urn-, bell-, or tube-shaped</x:v>
      </x:c>
      <x:c r="F669" s="215" t="str">
        <x:v>Strong</x:v>
      </x:c>
      <x:c r="G669" s="215" t="str">
        <x:v>4</x:v>
      </x:c>
      <x:c r="H669" s="215" t="str">
        <x:v>High</x:v>
      </x:c>
      <x:c r="I669" s="215" t="str">
        <x:v>Naked eye or hand lens</x:v>
      </x:c>
      <x:c r="J669" s="215" t="str">
        <x:v>Fresh flowers</x:v>
      </x:c>
      <x:c r="K669" s="215" t="str">
        <x:v>Many heath flowers look like small bells or urns.</x:v>
      </x:c>
      <x:c r="L669" s="215" t="str">
        <x:v>Petals may be separate or reduced in some lineages, and symmetry can be weakly bilateral.</x:v>
      </x:c>
      <x:c r="M669" s="215" t="str">
        <x:v>Use with anther opening and stamen count.</x:v>
      </x:c>
      <x:c r="N669" s="215" t="str">
        <x:v>Ericaceae appears species-poor and localized in the Hays inventory; exact county genera and records need explicit reconciliation before local claims are generalized.</x:v>
      </x:c>
      <x:c r="O669" s="215" t="str">
        <x:v>Low</x:v>
      </x:c>
      <x:c r="P669" s="215" t="str">
        <x:v>No</x:v>
      </x:c>
      <x:c r="Q669" s="215" t="str"/>
      <x:c r="R669" s="215" t="str">
        <x:v>ERI-LK01; ERI-LK02</x:v>
      </x:c>
      <x:c r="S669" s="215" t="str">
        <x:v>APWEB-ERIC; FNA-ERIC; POWO-ERIC; LBJ-HAYS</x:v>
      </x:c>
      <x:c r="T669" s="215" t="str">
        <x:v>https://www.mobot.org/MOBOT/research/APweb/orders/ericalesweb.htm</x:v>
      </x:c>
      <x:c r="U669" s="215" t="str">
        <x:v>https://floranorthamerica.org/Ericaceae</x:v>
      </x:c>
      <x:c r="V669" s="215" t="str">
        <x:v>https://powo.science.kew.org/taxon/urn:lsid:ipni.org:names:30000402-2/general-information</x:v>
      </x:c>
      <x:c r="W669" s="215" t="str">
        <x:v>https://www.mobot.org/MOBOT/research/APweb/orders/ericalesweb.htm
https://floranorthamerica.org/Ericaceae
https://powo.science.kew.org/taxon/urn:lsid:ipni.org:names:30000402-2/general-information
https://www.wildflower.org/collections/collection.php?collection=hays</x:v>
      </x:c>
      <x:c r="X669" s="215" t="str">
        <x:v>No — retain qualifiers and exceptions</x:v>
      </x:c>
      <x:c r="Y669" s="215" t="str">
        <x:v>Yes</x:v>
      </x:c>
      <x:c r="Z669" s="215" t="str">
        <x:v>Source-backed draft</x:v>
      </x:c>
    </x:row>
    <x:row r="670" ht="42" customHeight="1">
      <x:c r="A670" s="215" t="str">
        <x:v>Ericaceae</x:v>
      </x:c>
      <x:c r="B670" s="215" t="str">
        <x:v>ERI-STAMENS</x:v>
      </x:c>
      <x:c r="C670" s="215" t="str">
        <x:v>Family character</x:v>
      </x:c>
      <x:c r="D670" s="215" t="str">
        <x:v>Stamens</x:v>
      </x:c>
      <x:c r="E670" s="215" t="str">
        <x:v>Stamens commonly twice the number of corolla lobes, often 8 or 10</x:v>
      </x:c>
      <x:c r="F670" s="215" t="str">
        <x:v>Strong</x:v>
      </x:c>
      <x:c r="G670" s="215" t="str">
        <x:v>4</x:v>
      </x:c>
      <x:c r="H670" s="215" t="str">
        <x:v>High</x:v>
      </x:c>
      <x:c r="I670" s="215" t="str">
        <x:v>Hand lens</x:v>
      </x:c>
      <x:c r="J670" s="215" t="str">
        <x:v>Fresh intact flowers</x:v>
      </x:c>
      <x:c r="K670" s="215" t="str">
        <x:v>A five-lobed flower with ten stamens strongly supports Ericaceae.</x:v>
      </x:c>
      <x:c r="L670" s="215" t="str">
        <x:v>Wind-pollinated or reduced lineages may have fewer stamens.</x:v>
      </x:c>
      <x:c r="M670" s="215" t="str">
        <x:v>Count intact anthers and retain exceptions.</x:v>
      </x:c>
      <x:c r="N670" s="215" t="str">
        <x:v>Ericaceae appears species-poor and localized in the Hays inventory; exact county genera and records need explicit reconciliation before local claims are generalized.</x:v>
      </x:c>
      <x:c r="O670" s="215" t="str">
        <x:v>Low</x:v>
      </x:c>
      <x:c r="P670" s="215" t="str">
        <x:v>No</x:v>
      </x:c>
      <x:c r="Q670" s="215" t="str"/>
      <x:c r="R670" s="215" t="str">
        <x:v>ERI-LK01; ERI-LK02</x:v>
      </x:c>
      <x:c r="S670" s="215" t="str">
        <x:v>APWEB-ERIC; FNA-ERIC; POWO-ERIC; LBJ-HAYS</x:v>
      </x:c>
      <x:c r="T670" s="215" t="str">
        <x:v>https://www.mobot.org/MOBOT/research/APweb/orders/ericalesweb.htm</x:v>
      </x:c>
      <x:c r="U670" s="215" t="str">
        <x:v>https://floranorthamerica.org/Ericaceae</x:v>
      </x:c>
      <x:c r="V670" s="215" t="str">
        <x:v>https://powo.science.kew.org/taxon/urn:lsid:ipni.org:names:30000402-2/general-information</x:v>
      </x:c>
      <x:c r="W670" s="215" t="str">
        <x:v>https://www.mobot.org/MOBOT/research/APweb/orders/ericalesweb.htm
https://floranorthamerica.org/Ericaceae
https://powo.science.kew.org/taxon/urn:lsid:ipni.org:names:30000402-2/general-information
https://www.wildflower.org/collections/collection.php?collection=hays</x:v>
      </x:c>
      <x:c r="X670" s="215" t="str">
        <x:v>No — retain qualifiers and exceptions</x:v>
      </x:c>
      <x:c r="Y670" s="215" t="str">
        <x:v>Yes</x:v>
      </x:c>
      <x:c r="Z670" s="215" t="str">
        <x:v>Source-backed draft</x:v>
      </x:c>
    </x:row>
    <x:row r="671" ht="42" customHeight="1">
      <x:c r="A671" s="215" t="str">
        <x:v>Ericaceae</x:v>
      </x:c>
      <x:c r="B671" s="215" t="str">
        <x:v>ERI-ANTHERS</x:v>
      </x:c>
      <x:c r="C671" s="215" t="str">
        <x:v>Family character</x:v>
      </x:c>
      <x:c r="D671" s="215" t="str">
        <x:v>Anthers</x:v>
      </x:c>
      <x:c r="E671" s="215" t="str">
        <x:v>Anthers commonly invert during development and open by apical pores, often with awns or tubules</x:v>
      </x:c>
      <x:c r="F671" s="215" t="str">
        <x:v>Strong</x:v>
      </x:c>
      <x:c r="G671" s="215" t="str">
        <x:v>5</x:v>
      </x:c>
      <x:c r="H671" s="215" t="str">
        <x:v>High</x:v>
      </x:c>
      <x:c r="I671" s="215" t="str">
        <x:v>Hand lens</x:v>
      </x:c>
      <x:c r="J671" s="215" t="str">
        <x:v>Fresh flowers</x:v>
      </x:c>
      <x:c r="K671" s="215" t="str">
        <x:v>Pollen exits through small holes at the anther tips rather than long slits.</x:v>
      </x:c>
      <x:c r="L671" s="215" t="str">
        <x:v>Not every lineage has obvious pores or appendages.</x:v>
      </x:c>
      <x:c r="M671" s="215" t="str">
        <x:v>This is among the strongest floral characters when visible.</x:v>
      </x:c>
      <x:c r="N671" s="215" t="str">
        <x:v>Ericaceae appears species-poor and localized in the Hays inventory; exact county genera and records need explicit reconciliation before local claims are generalized.</x:v>
      </x:c>
      <x:c r="O671" s="215" t="str">
        <x:v>Low</x:v>
      </x:c>
      <x:c r="P671" s="215" t="str">
        <x:v>No</x:v>
      </x:c>
      <x:c r="Q671" s="215" t="str"/>
      <x:c r="R671" s="215" t="str"/>
      <x:c r="S671" s="215" t="str">
        <x:v>APWEB-ERIC; FNA-ERIC; POWO-ERIC; LBJ-HAYS</x:v>
      </x:c>
      <x:c r="T671" s="215" t="str">
        <x:v>https://www.mobot.org/MOBOT/research/APweb/orders/ericalesweb.htm</x:v>
      </x:c>
      <x:c r="U671" s="215" t="str">
        <x:v>https://floranorthamerica.org/Ericaceae</x:v>
      </x:c>
      <x:c r="V671" s="215" t="str">
        <x:v>https://powo.science.kew.org/taxon/urn:lsid:ipni.org:names:30000402-2/general-information</x:v>
      </x:c>
      <x:c r="W671" s="215" t="str">
        <x:v>https://www.mobot.org/MOBOT/research/APweb/orders/ericalesweb.htm
https://floranorthamerica.org/Ericaceae
https://powo.science.kew.org/taxon/urn:lsid:ipni.org:names:30000402-2/general-information
https://www.wildflower.org/collections/collection.php?collection=hays</x:v>
      </x:c>
      <x:c r="X671" s="215" t="str">
        <x:v>No — retain qualifiers and exceptions</x:v>
      </x:c>
      <x:c r="Y671" s="215" t="str">
        <x:v>Yes</x:v>
      </x:c>
      <x:c r="Z671" s="215" t="str">
        <x:v>Source-backed draft</x:v>
      </x:c>
    </x:row>
    <x:row r="672" ht="42" customHeight="1">
      <x:c r="A672" s="215" t="str">
        <x:v>Ericaceae</x:v>
      </x:c>
      <x:c r="B672" s="215" t="str">
        <x:v>ERI-OVARY</x:v>
      </x:c>
      <x:c r="C672" s="215" t="str">
        <x:v>Family character</x:v>
      </x:c>
      <x:c r="D672" s="215" t="str">
        <x:v>Gynoecium</x:v>
      </x:c>
      <x:c r="E672" s="215" t="str">
        <x:v>Ovary superior to inferior, commonly 4–5-locular with axile or deeply intruded parietal placentation</x:v>
      </x:c>
      <x:c r="F672" s="215" t="str">
        <x:v>Caution</x:v>
      </x:c>
      <x:c r="G672" s="215" t="str">
        <x:v>2</x:v>
      </x:c>
      <x:c r="H672" s="215" t="str">
        <x:v>High</x:v>
      </x:c>
      <x:c r="I672" s="215" t="str">
        <x:v>Hand lens or dissection</x:v>
      </x:c>
      <x:c r="J672" s="215" t="str">
        <x:v>Fresh flowers</x:v>
      </x:c>
      <x:c r="K672" s="215" t="str">
        <x:v>Ovary position varies across subfamilies and helps reach genus.</x:v>
      </x:c>
      <x:c r="L672" s="215" t="str">
        <x:v>It cannot be coded as universally superior or inferior.</x:v>
      </x:c>
      <x:c r="M672" s="215" t="str">
        <x:v>Record the local lineage and combine with fruit type.</x:v>
      </x:c>
      <x:c r="N672" s="215" t="str">
        <x:v>Ericaceae appears species-poor and localized in the Hays inventory; exact county genera and records need explicit reconciliation before local claims are generalized.</x:v>
      </x:c>
      <x:c r="O672" s="215" t="str">
        <x:v>Medium</x:v>
      </x:c>
      <x:c r="P672" s="215" t="str">
        <x:v>No</x:v>
      </x:c>
      <x:c r="Q672" s="215" t="str"/>
      <x:c r="R672" s="215" t="str"/>
      <x:c r="S672" s="215" t="str">
        <x:v>APWEB-ERIC; FNA-ERIC; POWO-ERIC; LBJ-HAYS</x:v>
      </x:c>
      <x:c r="T672" s="215" t="str">
        <x:v>https://www.mobot.org/MOBOT/research/APweb/orders/ericalesweb.htm</x:v>
      </x:c>
      <x:c r="U672" s="215" t="str">
        <x:v>https://floranorthamerica.org/Ericaceae</x:v>
      </x:c>
      <x:c r="V672" s="215" t="str">
        <x:v>https://powo.science.kew.org/taxon/urn:lsid:ipni.org:names:30000402-2/general-information</x:v>
      </x:c>
      <x:c r="W672" s="215" t="str">
        <x:v>https://www.mobot.org/MOBOT/research/APweb/orders/ericalesweb.htm
https://floranorthamerica.org/Ericaceae
https://powo.science.kew.org/taxon/urn:lsid:ipni.org:names:30000402-2/general-information
https://www.wildflower.org/collections/collection.php?collection=hays</x:v>
      </x:c>
      <x:c r="X672" s="215" t="str">
        <x:v>No — retain qualifiers and exceptions</x:v>
      </x:c>
      <x:c r="Y672" s="215" t="str">
        <x:v>Yes</x:v>
      </x:c>
      <x:c r="Z672" s="215" t="str">
        <x:v>Source-backed draft</x:v>
      </x:c>
    </x:row>
    <x:row r="673" ht="42" customHeight="1">
      <x:c r="A673" s="215" t="str">
        <x:v>Ericaceae</x:v>
      </x:c>
      <x:c r="B673" s="215" t="str">
        <x:v>ERI-FRUIT</x:v>
      </x:c>
      <x:c r="C673" s="215" t="str">
        <x:v>Family character</x:v>
      </x:c>
      <x:c r="D673" s="215" t="str">
        <x:v>Fruit</x:v>
      </x:c>
      <x:c r="E673" s="215" t="str">
        <x:v>Fruit a capsule, berry, or drupe depending on lineage</x:v>
      </x:c>
      <x:c r="F673" s="215" t="str">
        <x:v>Strong</x:v>
      </x:c>
      <x:c r="G673" s="215" t="str">
        <x:v>3</x:v>
      </x:c>
      <x:c r="H673" s="215" t="str">
        <x:v>High</x:v>
      </x:c>
      <x:c r="I673" s="215" t="str">
        <x:v>Naked eye or hand lens</x:v>
      </x:c>
      <x:c r="J673" s="215" t="str">
        <x:v>Mature fruit</x:v>
      </x:c>
      <x:c r="K673" s="215" t="str">
        <x:v>Blueberries and dry-capsuled heaths belong to the same broad family.</x:v>
      </x:c>
      <x:c r="L673" s="215" t="str">
        <x:v>Fruit type is lineage-specific, not family-universal.</x:v>
      </x:c>
      <x:c r="M673" s="215" t="str">
        <x:v>Use fruit to refine the genus after anther characters establish the family.</x:v>
      </x:c>
      <x:c r="N673" s="215" t="str">
        <x:v>Ericaceae appears species-poor and localized in the Hays inventory; exact county genera and records need explicit reconciliation before local claims are generalized.</x:v>
      </x:c>
      <x:c r="O673" s="215" t="str">
        <x:v>Low</x:v>
      </x:c>
      <x:c r="P673" s="215" t="str">
        <x:v>No</x:v>
      </x:c>
      <x:c r="Q673" s="215" t="str"/>
      <x:c r="R673" s="215" t="str"/>
      <x:c r="S673" s="215" t="str">
        <x:v>APWEB-ERIC; FNA-ERIC; POWO-ERIC; LBJ-HAYS</x:v>
      </x:c>
      <x:c r="T673" s="215" t="str">
        <x:v>https://www.mobot.org/MOBOT/research/APweb/orders/ericalesweb.htm</x:v>
      </x:c>
      <x:c r="U673" s="215" t="str">
        <x:v>https://floranorthamerica.org/Ericaceae</x:v>
      </x:c>
      <x:c r="V673" s="215" t="str">
        <x:v>https://powo.science.kew.org/taxon/urn:lsid:ipni.org:names:30000402-2/general-information</x:v>
      </x:c>
      <x:c r="W673" s="215" t="str">
        <x:v>https://www.mobot.org/MOBOT/research/APweb/orders/ericalesweb.htm
https://floranorthamerica.org/Ericaceae
https://powo.science.kew.org/taxon/urn:lsid:ipni.org:names:30000402-2/general-information
https://www.wildflower.org/collections/collection.php?collection=hays</x:v>
      </x:c>
      <x:c r="X673" s="215" t="str">
        <x:v>No — retain qualifiers and exceptions</x:v>
      </x:c>
      <x:c r="Y673" s="215" t="str">
        <x:v>Yes</x:v>
      </x:c>
      <x:c r="Z673" s="215" t="str">
        <x:v>Source-backed draft</x:v>
      </x:c>
    </x:row>
    <x:row r="674" ht="42" customHeight="1">
      <x:c r="A674" s="215" t="str">
        <x:v>Ericaceae</x:v>
      </x:c>
      <x:c r="B674" s="215" t="str">
        <x:v>ERI-POLLEN</x:v>
      </x:c>
      <x:c r="C674" s="215" t="str">
        <x:v>Family character</x:v>
      </x:c>
      <x:c r="D674" s="215" t="str">
        <x:v>Pollen</x:v>
      </x:c>
      <x:c r="E674" s="215" t="str">
        <x:v>Pollen grains commonly shed in tetrads and may be linked by viscin threads</x:v>
      </x:c>
      <x:c r="F674" s="215" t="str">
        <x:v>Supporting</x:v>
      </x:c>
      <x:c r="G674" s="215" t="str">
        <x:v>1</x:v>
      </x:c>
      <x:c r="H674" s="215" t="str">
        <x:v>High</x:v>
      </x:c>
      <x:c r="I674" s="215" t="str">
        <x:v>Microscope</x:v>
      </x:c>
      <x:c r="J674" s="215" t="str">
        <x:v>Fresh anthers</x:v>
      </x:c>
      <x:c r="K674" s="215" t="str">
        <x:v>Pollen often travels in groups of four rather than single grains.</x:v>
      </x:c>
      <x:c r="L674" s="215" t="str">
        <x:v>This requires microscopy and is not universal.</x:v>
      </x:c>
      <x:c r="M674" s="215" t="str">
        <x:v>Use only as laboratory confirmation.</x:v>
      </x:c>
      <x:c r="N674" s="215" t="str">
        <x:v>Ericaceae appears species-poor and localized in the Hays inventory; exact county genera and records need explicit reconciliation before local claims are generalized.</x:v>
      </x:c>
      <x:c r="O674" s="215" t="str">
        <x:v>Low</x:v>
      </x:c>
      <x:c r="P674" s="215" t="str">
        <x:v>No</x:v>
      </x:c>
      <x:c r="Q674" s="215" t="str"/>
      <x:c r="R674" s="215" t="str"/>
      <x:c r="S674" s="215" t="str">
        <x:v>APWEB-ERIC; FNA-ERIC; POWO-ERIC; LBJ-HAYS</x:v>
      </x:c>
      <x:c r="T674" s="215" t="str">
        <x:v>https://www.mobot.org/MOBOT/research/APweb/orders/ericalesweb.htm</x:v>
      </x:c>
      <x:c r="U674" s="215" t="str">
        <x:v>https://floranorthamerica.org/Ericaceae</x:v>
      </x:c>
      <x:c r="V674" s="215" t="str">
        <x:v>https://powo.science.kew.org/taxon/urn:lsid:ipni.org:names:30000402-2/general-information</x:v>
      </x:c>
      <x:c r="W674" s="215" t="str">
        <x:v>https://www.mobot.org/MOBOT/research/APweb/orders/ericalesweb.htm
https://floranorthamerica.org/Ericaceae
https://powo.science.kew.org/taxon/urn:lsid:ipni.org:names:30000402-2/general-information
https://www.wildflower.org/collections/collection.php?collection=hays</x:v>
      </x:c>
      <x:c r="X674" s="215" t="str">
        <x:v>No — retain qualifiers and exceptions</x:v>
      </x:c>
      <x:c r="Y674" s="215" t="str">
        <x:v>Yes</x:v>
      </x:c>
      <x:c r="Z674" s="215" t="str">
        <x:v>Source-backed draft</x:v>
      </x:c>
    </x:row>
    <x:row r="675" ht="42" customHeight="1">
      <x:c r="A675" s="215" t="str">
        <x:v>Ericaceae</x:v>
      </x:c>
      <x:c r="B675" s="215" t="str">
        <x:v>ERI-LOCAL</x:v>
      </x:c>
      <x:c r="C675" s="215" t="str">
        <x:v>Local inventory reconciliation</x:v>
      </x:c>
      <x:c r="D675" s="215" t="str">
        <x:v>Local occurrence / inventory</x:v>
      </x:c>
      <x:c r="E675" s="215" t="str">
        <x:v>Exact Ericaceae genera demonstrably present in Hays County remain to be reconciled against the carried inventory and county vouchers</x:v>
      </x:c>
      <x:c r="F675" s="215" t="str">
        <x:v>Caution</x:v>
      </x:c>
      <x:c r="G675" s="215" t="str">
        <x:v>0</x:v>
      </x:c>
      <x:c r="H675" s="215" t="str">
        <x:v>High</x:v>
      </x:c>
      <x:c r="I675" s="215" t="str">
        <x:v>Not field-visible</x:v>
      </x:c>
      <x:c r="J675" s="215" t="str">
        <x:v>Any material</x:v>
      </x:c>
      <x:c r="K675" s="215" t="str">
        <x:v>Regional family occurrence does not by itself prove each heath-family lineage in Hays.</x:v>
      </x:c>
      <x:c r="L675" s="215" t="str">
        <x:v>The LBJ Hays endpoint remains difficult to audit automatically and Ericaceae is locally sparse.</x:v>
      </x:c>
      <x:c r="M675" s="215" t="str">
        <x:v>Keep family characters but require genus-level county confirmation before deployment as Hays-specific evidence.</x:v>
      </x:c>
      <x:c r="N675" s="215" t="str">
        <x:v>Ericaceae appears species-poor and localized in the Hays inventory; exact county genera and records need explicit reconciliation before local claims are generalized.</x:v>
      </x:c>
      <x:c r="O675" s="215" t="str">
        <x:v>Medium</x:v>
      </x:c>
      <x:c r="P675" s="215" t="str">
        <x:v>Yes</x:v>
      </x:c>
      <x:c r="Q675" s="215" t="str">
        <x:v>Exact Hays County Ericaceae genera and voucher basis require authoritative inventory reconciliation.</x:v>
      </x:c>
      <x:c r="R675" s="215" t="str"/>
      <x:c r="S675" s="215" t="str">
        <x:v>APWEB-ERIC; FNA-ERIC; POWO-ERIC; LBJ-HAYS</x:v>
      </x:c>
      <x:c r="T675" s="215" t="str">
        <x:v>https://www.mobot.org/MOBOT/research/APweb/orders/ericalesweb.htm</x:v>
      </x:c>
      <x:c r="U675" s="215" t="str">
        <x:v>https://floranorthamerica.org/Ericaceae</x:v>
      </x:c>
      <x:c r="V675" s="215" t="str">
        <x:v>https://powo.science.kew.org/taxon/urn:lsid:ipni.org:names:30000402-2/general-information</x:v>
      </x:c>
      <x:c r="W675" s="215" t="str">
        <x:v>https://www.mobot.org/MOBOT/research/APweb/orders/ericalesweb.htm
https://floranorthamerica.org/Ericaceae
https://powo.science.kew.org/taxon/urn:lsid:ipni.org:names:30000402-2/general-information
https://www.wildflower.org/collections/collection.php?collection=hays</x:v>
      </x:c>
      <x:c r="X675" s="215" t="str">
        <x:v>No — retain qualifiers and exceptions</x:v>
      </x:c>
      <x:c r="Y675" s="215" t="str">
        <x:v>Yes</x:v>
      </x:c>
      <x:c r="Z675" s="215" t="str">
        <x:v>Human review required</x:v>
      </x:c>
    </x:row>
    <x:row r="676" ht="42" customHeight="1">
      <x:c r="A676" s="215" t="str">
        <x:v>Ericaceae</x:v>
      </x:c>
      <x:c r="B676" s="215" t="str">
        <x:v>ERI-LK01</x:v>
      </x:c>
      <x:c r="C676" s="215" t="str">
        <x:v>Lookalike comparison</x:v>
      </x:c>
      <x:c r="D676" s="215" t="str">
        <x:v>Lookalike</x:v>
      </x:c>
      <x:c r="E676" s="215" t="str">
        <x:v>Versus Primulaceae: 8–10 often poricidal stamens favor Ericaceae; five stamens opposite the corolla lobes favor many Primulaceae</x:v>
      </x:c>
      <x:c r="F676" s="215" t="str">
        <x:v>Lookalike</x:v>
      </x:c>
      <x:c r="G676" s="215" t="str">
        <x:v>5</x:v>
      </x:c>
      <x:c r="H676" s="215" t="str">
        <x:v>High</x:v>
      </x:c>
      <x:c r="I676" s="215" t="str">
        <x:v>Naked eye or hand lens</x:v>
      </x:c>
      <x:c r="J676" s="215" t="str">
        <x:v>Fresh flowers</x:v>
      </x:c>
      <x:c r="K676" s="215" t="str">
        <x:v>Both can have fused bell- or wheel-shaped corollas.</x:v>
      </x:c>
      <x:c r="L676" s="215" t="str">
        <x:v>Broad Ericaceae and Primulaceae contain exceptions.</x:v>
      </x:c>
      <x:c r="M676" s="215" t="str">
        <x:v>Count stamens and inspect how anthers open.</x:v>
      </x:c>
      <x:c r="N676" s="215" t="str">
        <x:v>Ericaceae appears species-poor and localized in the Hays inventory; exact county genera and records need explicit reconciliation before local claims are generalized.</x:v>
      </x:c>
      <x:c r="O676" s="215" t="str">
        <x:v>Low</x:v>
      </x:c>
      <x:c r="P676" s="215" t="str">
        <x:v>No</x:v>
      </x:c>
      <x:c r="Q676" s="215" t="str"/>
      <x:c r="R676" s="215" t="str">
        <x:v>ERI-COROLLA; ERI-STAMENS; ERI-ANTHERS</x:v>
      </x:c>
      <x:c r="S676" s="215" t="str">
        <x:v>APWEB-ERIC; FNA-ERIC; POWO-ERIC; LBJ-HAYS</x:v>
      </x:c>
      <x:c r="T676" s="215" t="str">
        <x:v>https://www.mobot.org/MOBOT/research/APweb/orders/ericalesweb.htm</x:v>
      </x:c>
      <x:c r="U676" s="215" t="str">
        <x:v>https://floranorthamerica.org/Ericaceae</x:v>
      </x:c>
      <x:c r="V676" s="215" t="str">
        <x:v>https://powo.science.kew.org/taxon/urn:lsid:ipni.org:names:30000402-2/general-information</x:v>
      </x:c>
      <x:c r="W676" s="215" t="str">
        <x:v>https://www.mobot.org/MOBOT/research/APweb/orders/ericalesweb.htm
https://floranorthamerica.org/Ericaceae
https://powo.science.kew.org/taxon/urn:lsid:ipni.org:names:30000402-2/general-information
https://www.wildflower.org/collections/collection.php?collection=hays</x:v>
      </x:c>
      <x:c r="X676" s="215" t="str">
        <x:v>No — retain qualifiers and exceptions</x:v>
      </x:c>
      <x:c r="Y676" s="215" t="str">
        <x:v>Yes</x:v>
      </x:c>
      <x:c r="Z676" s="215" t="str">
        <x:v>Source-backed draft</x:v>
      </x:c>
    </x:row>
    <x:row r="677" ht="42" customHeight="1">
      <x:c r="A677" s="215" t="str">
        <x:v>Ericaceae</x:v>
      </x:c>
      <x:c r="B677" s="215" t="str">
        <x:v>ERI-LK02</x:v>
      </x:c>
      <x:c r="C677" s="215" t="str">
        <x:v>Lookalike comparison</x:v>
      </x:c>
      <x:c r="D677" s="215" t="str">
        <x:v>Lookalike</x:v>
      </x:c>
      <x:c r="E677" s="215" t="str">
        <x:v>Versus Solanaceae: 8–10 often poricidal stamens and exstipulate woody habit favor many Ericaceae; five stamens alternating with corolla lobes favor Solanaceae</x:v>
      </x:c>
      <x:c r="F677" s="215" t="str">
        <x:v>Lookalike</x:v>
      </x:c>
      <x:c r="G677" s="215" t="str">
        <x:v>5</x:v>
      </x:c>
      <x:c r="H677" s="215" t="str">
        <x:v>High</x:v>
      </x:c>
      <x:c r="I677" s="215" t="str">
        <x:v>Naked eye or hand lens</x:v>
      </x:c>
      <x:c r="J677" s="215" t="str">
        <x:v>Fresh flowers</x:v>
      </x:c>
      <x:c r="K677" s="215" t="str">
        <x:v>Both may have fused corollas, berries, and poricidal anthers in some genera.</x:v>
      </x:c>
      <x:c r="L677" s="215" t="str">
        <x:v>Poricidal anthers also occur in Solanum, so stamen number and habit must be combined.</x:v>
      </x:c>
      <x:c r="M677" s="215" t="str">
        <x:v>Use a weighted flower-and-habit suite, never pores alone.</x:v>
      </x:c>
      <x:c r="N677" s="215" t="str">
        <x:v>Ericaceae appears species-poor and localized in the Hays inventory; exact county genera and records need explicit reconciliation before local claims are generalized.</x:v>
      </x:c>
      <x:c r="O677" s="215" t="str">
        <x:v>Low</x:v>
      </x:c>
      <x:c r="P677" s="215" t="str">
        <x:v>No</x:v>
      </x:c>
      <x:c r="Q677" s="215" t="str"/>
      <x:c r="R677" s="215" t="str">
        <x:v>ERI-HABIT; ERI-COROLLA; ERI-STAMENS; ERI-ANTHERS</x:v>
      </x:c>
      <x:c r="S677" s="215" t="str">
        <x:v>APWEB-ERIC; FNA-ERIC; POWO-ERIC; LBJ-HAYS</x:v>
      </x:c>
      <x:c r="T677" s="215" t="str">
        <x:v>https://www.mobot.org/MOBOT/research/APweb/orders/ericalesweb.htm</x:v>
      </x:c>
      <x:c r="U677" s="215" t="str">
        <x:v>https://floranorthamerica.org/Ericaceae</x:v>
      </x:c>
      <x:c r="V677" s="215" t="str">
        <x:v>https://powo.science.kew.org/taxon/urn:lsid:ipni.org:names:30000402-2/general-information</x:v>
      </x:c>
      <x:c r="W677" s="215" t="str">
        <x:v>https://www.mobot.org/MOBOT/research/APweb/orders/ericalesweb.htm
https://floranorthamerica.org/Ericaceae
https://powo.science.kew.org/taxon/urn:lsid:ipni.org:names:30000402-2/general-information
https://www.wildflower.org/collections/collection.php?collection=hays</x:v>
      </x:c>
      <x:c r="X677" s="215" t="str">
        <x:v>No — retain qualifiers and exceptions</x:v>
      </x:c>
      <x:c r="Y677" s="215" t="str">
        <x:v>Yes</x:v>
      </x:c>
      <x:c r="Z677" s="215" t="str">
        <x:v>Source-backed draft</x:v>
      </x:c>
    </x:row>
    <x:row r="678" ht="42" customHeight="1">
      <x:c r="A678" s="215" t="str">
        <x:v>Cupressaceae</x:v>
      </x:c>
      <x:c r="B678" s="215" t="str">
        <x:v>CUP-HABIT</x:v>
      </x:c>
      <x:c r="C678" s="215" t="str">
        <x:v>Family character</x:v>
      </x:c>
      <x:c r="D678" s="215" t="str">
        <x:v>Habit</x:v>
      </x:c>
      <x:c r="E678" s="215" t="str">
        <x:v>Resinous, aromatic trees or shrubs, usually evergreen</x:v>
      </x:c>
      <x:c r="F678" s="215" t="str">
        <x:v>Strong</x:v>
      </x:c>
      <x:c r="G678" s="215" t="str">
        <x:v>2</x:v>
      </x:c>
      <x:c r="H678" s="215" t="str">
        <x:v>High</x:v>
      </x:c>
      <x:c r="I678" s="215" t="str">
        <x:v>Naked eye</x:v>
      </x:c>
      <x:c r="J678" s="215" t="str">
        <x:v>Any material</x:v>
      </x:c>
      <x:c r="K678" s="215" t="str">
        <x:v>The local family is woody and commonly smells resinous when naturally bruised.</x:v>
      </x:c>
      <x:c r="L678" s="215" t="str">
        <x:v>Taxodium is deciduous and odor strength varies.</x:v>
      </x:c>
      <x:c r="M678" s="215" t="str">
        <x:v>Use woody conifer habit only as an opening filter.</x:v>
      </x:c>
      <x:c r="N678" s="215" t="str">
        <x:v>Ashe juniper and related cypress-family trees are conspicuous components of Hays County limestone uplands and wooded slopes.</x:v>
      </x:c>
      <x:c r="O678" s="215" t="str">
        <x:v>Low</x:v>
      </x:c>
      <x:c r="P678" s="215" t="str">
        <x:v>No</x:v>
      </x:c>
      <x:c r="Q678" s="215" t="str"/>
      <x:c r="R678" s="215" t="str"/>
      <x:c r="S678" s="215" t="str">
        <x:v>APWEB-CUPR; FNA-CUPR; POWO-CUPR; LBJ-HAYS</x:v>
      </x:c>
      <x:c r="T678" s="215" t="str">
        <x:v>https://www.mobot.org/MOBOT/research/APweb/orders/cupressalesweb.html</x:v>
      </x:c>
      <x:c r="U678" s="215" t="str">
        <x:v>https://floranorthamerica.org/Cupressaceae</x:v>
      </x:c>
      <x:c r="V678" s="215" t="str">
        <x:v>https://powo.science.kew.org/taxon/urn:lsid:ipni.org:names:77126767-1/general-information</x:v>
      </x:c>
      <x:c r="W678" s="215" t="str">
        <x:v>https://www.mobot.org/MOBOT/research/APweb/orders/cupressalesweb.html
https://floranorthamerica.org/Cupressaceae
https://powo.science.kew.org/taxon/urn:lsid:ipni.org:names:77126767-1/general-information
https://www.wildflower.org/collections/collection.php?collection=hays</x:v>
      </x:c>
      <x:c r="X678" s="215" t="str">
        <x:v>No — retain qualifiers and exceptions</x:v>
      </x:c>
      <x:c r="Y678" s="215" t="str">
        <x:v>Yes</x:v>
      </x:c>
      <x:c r="Z678" s="215" t="str">
        <x:v>Source-backed draft</x:v>
      </x:c>
    </x:row>
    <x:row r="679" ht="42" customHeight="1">
      <x:c r="A679" s="215" t="str">
        <x:v>Cupressaceae</x:v>
      </x:c>
      <x:c r="B679" s="215" t="str">
        <x:v>CUP-BARK</x:v>
      </x:c>
      <x:c r="C679" s="215" t="str">
        <x:v>Family character</x:v>
      </x:c>
      <x:c r="D679" s="215" t="str">
        <x:v>Stem / bark</x:v>
      </x:c>
      <x:c r="E679" s="215" t="str">
        <x:v>Bark commonly fibrous, furrowed, shredding, or exfoliating in strips or plates</x:v>
      </x:c>
      <x:c r="F679" s="215" t="str">
        <x:v>Supporting</x:v>
      </x:c>
      <x:c r="G679" s="215" t="str">
        <x:v>2</x:v>
      </x:c>
      <x:c r="H679" s="215" t="str">
        <x:v>High</x:v>
      </x:c>
      <x:c r="I679" s="215" t="str">
        <x:v>Naked eye</x:v>
      </x:c>
      <x:c r="J679" s="215" t="str">
        <x:v>Mature stems</x:v>
      </x:c>
      <x:c r="K679" s="215" t="str">
        <x:v>Stringy bark supports a cypress-family identification.</x:v>
      </x:c>
      <x:c r="L679" s="215" t="str">
        <x:v>Young bark and some species are smooth or plate-like.</x:v>
      </x:c>
      <x:c r="M679" s="215" t="str">
        <x:v>Combine bark with foliage and cones.</x:v>
      </x:c>
      <x:c r="N679" s="215" t="str">
        <x:v>Ashe juniper and related cypress-family trees are conspicuous components of Hays County limestone uplands and wooded slopes.</x:v>
      </x:c>
      <x:c r="O679" s="215" t="str">
        <x:v>Low</x:v>
      </x:c>
      <x:c r="P679" s="215" t="str">
        <x:v>No</x:v>
      </x:c>
      <x:c r="Q679" s="215" t="str"/>
      <x:c r="R679" s="215" t="str"/>
      <x:c r="S679" s="215" t="str">
        <x:v>APWEB-CUPR; FNA-CUPR; POWO-CUPR; LBJ-HAYS</x:v>
      </x:c>
      <x:c r="T679" s="215" t="str">
        <x:v>https://www.mobot.org/MOBOT/research/APweb/orders/cupressalesweb.html</x:v>
      </x:c>
      <x:c r="U679" s="215" t="str">
        <x:v>https://floranorthamerica.org/Cupressaceae</x:v>
      </x:c>
      <x:c r="V679" s="215" t="str">
        <x:v>https://powo.science.kew.org/taxon/urn:lsid:ipni.org:names:77126767-1/general-information</x:v>
      </x:c>
      <x:c r="W679" s="215" t="str">
        <x:v>https://www.mobot.org/MOBOT/research/APweb/orders/cupressalesweb.html
https://floranorthamerica.org/Cupressaceae
https://powo.science.kew.org/taxon/urn:lsid:ipni.org:names:77126767-1/general-information
https://www.wildflower.org/collections/collection.php?collection=hays</x:v>
      </x:c>
      <x:c r="X679" s="215" t="str">
        <x:v>No — retain qualifiers and exceptions</x:v>
      </x:c>
      <x:c r="Y679" s="215" t="str">
        <x:v>Yes</x:v>
      </x:c>
      <x:c r="Z679" s="215" t="str">
        <x:v>Source-backed draft</x:v>
      </x:c>
    </x:row>
    <x:row r="680" ht="42" customHeight="1">
      <x:c r="A680" s="215" t="str">
        <x:v>Cupressaceae</x:v>
      </x:c>
      <x:c r="B680" s="215" t="str">
        <x:v>CUP-LEAVES</x:v>
      </x:c>
      <x:c r="C680" s="215" t="str">
        <x:v>Family character</x:v>
      </x:c>
      <x:c r="D680" s="215" t="str">
        <x:v>Leaves</x:v>
      </x:c>
      <x:c r="E680" s="215" t="str">
        <x:v>Leaves simple and 1-veined, usually scale-like, opposite in four ranks or whorled; some lineages have alternate linear leaves</x:v>
      </x:c>
      <x:c r="F680" s="215" t="str">
        <x:v>Strong</x:v>
      </x:c>
      <x:c r="G680" s="215" t="str">
        <x:v>4</x:v>
      </x:c>
      <x:c r="H680" s="215" t="str">
        <x:v>High</x:v>
      </x:c>
      <x:c r="I680" s="215" t="str">
        <x:v>Naked eye or hand lens</x:v>
      </x:c>
      <x:c r="J680" s="215" t="str">
        <x:v>Mature leafy shoots</x:v>
      </x:c>
      <x:c r="K680" s="215" t="str">
        <x:v>Adult juniper-type foliage often forms tight overlapping scales.</x:v>
      </x:c>
      <x:c r="L680" s="215" t="str">
        <x:v>Arrangement varies across the broad family and Taxodium has linear deciduous leaves.</x:v>
      </x:c>
      <x:c r="M680" s="215" t="str">
        <x:v>Record arrangement and shoot form; do not demand scale leaves.</x:v>
      </x:c>
      <x:c r="N680" s="215" t="str">
        <x:v>Ashe juniper and related cypress-family trees are conspicuous components of Hays County limestone uplands and wooded slopes.</x:v>
      </x:c>
      <x:c r="O680" s="215" t="str">
        <x:v>Low</x:v>
      </x:c>
      <x:c r="P680" s="215" t="str">
        <x:v>No</x:v>
      </x:c>
      <x:c r="Q680" s="215" t="str"/>
      <x:c r="R680" s="215" t="str">
        <x:v>CUP-LK01; CUP-LK02</x:v>
      </x:c>
      <x:c r="S680" s="215" t="str">
        <x:v>APWEB-CUPR; FNA-CUPR; POWO-CUPR; LBJ-HAYS</x:v>
      </x:c>
      <x:c r="T680" s="215" t="str">
        <x:v>https://www.mobot.org/MOBOT/research/APweb/orders/cupressalesweb.html</x:v>
      </x:c>
      <x:c r="U680" s="215" t="str">
        <x:v>https://floranorthamerica.org/Cupressaceae</x:v>
      </x:c>
      <x:c r="V680" s="215" t="str">
        <x:v>https://powo.science.kew.org/taxon/urn:lsid:ipni.org:names:77126767-1/general-information</x:v>
      </x:c>
      <x:c r="W680" s="215" t="str">
        <x:v>https://www.mobot.org/MOBOT/research/APweb/orders/cupressalesweb.html
https://floranorthamerica.org/Cupressaceae
https://powo.science.kew.org/taxon/urn:lsid:ipni.org:names:77126767-1/general-information
https://www.wildflower.org/collections/collection.php?collection=hays</x:v>
      </x:c>
      <x:c r="X680" s="215" t="str">
        <x:v>No — retain qualifiers and exceptions</x:v>
      </x:c>
      <x:c r="Y680" s="215" t="str">
        <x:v>Yes</x:v>
      </x:c>
      <x:c r="Z680" s="215" t="str">
        <x:v>Source-backed draft</x:v>
      </x:c>
    </x:row>
    <x:row r="681" ht="42" customHeight="1">
      <x:c r="A681" s="215" t="str">
        <x:v>Cupressaceae</x:v>
      </x:c>
      <x:c r="B681" s="215" t="str">
        <x:v>CUP-JUVENILE</x:v>
      </x:c>
      <x:c r="C681" s="215" t="str">
        <x:v>Family character</x:v>
      </x:c>
      <x:c r="D681" s="215" t="str">
        <x:v>Leaves / development</x:v>
      </x:c>
      <x:c r="E681" s="215" t="str">
        <x:v>Juvenile foliage often linear, flattened, and spreading, differing from adult scale foliage</x:v>
      </x:c>
      <x:c r="F681" s="215" t="str">
        <x:v>Strong</x:v>
      </x:c>
      <x:c r="G681" s="215" t="str">
        <x:v>3</x:v>
      </x:c>
      <x:c r="H681" s="215" t="str">
        <x:v>High</x:v>
      </x:c>
      <x:c r="I681" s="215" t="str">
        <x:v>Naked eye or hand lens</x:v>
      </x:c>
      <x:c r="J681" s="215" t="str">
        <x:v>Juvenile and adult shoots</x:v>
      </x:c>
      <x:c r="K681" s="215" t="str">
        <x:v>One plant can carry needle-like juvenile leaves and scale-like adult leaves.</x:v>
      </x:c>
      <x:c r="L681" s="215" t="str">
        <x:v>Seedlings and vigorous shoots may be impossible to place below family from foliage alone.</x:v>
      </x:c>
      <x:c r="M681" s="215" t="str">
        <x:v>Treat foliage stage as a qualifier, not a contradiction.</x:v>
      </x:c>
      <x:c r="N681" s="215" t="str">
        <x:v>Ashe juniper and related cypress-family trees are conspicuous components of Hays County limestone uplands and wooded slopes.</x:v>
      </x:c>
      <x:c r="O681" s="215" t="str">
        <x:v>Low</x:v>
      </x:c>
      <x:c r="P681" s="215" t="str">
        <x:v>No</x:v>
      </x:c>
      <x:c r="Q681" s="215" t="str"/>
      <x:c r="R681" s="215" t="str"/>
      <x:c r="S681" s="215" t="str">
        <x:v>APWEB-CUPR; FNA-CUPR; POWO-CUPR; LBJ-HAYS</x:v>
      </x:c>
      <x:c r="T681" s="215" t="str">
        <x:v>https://www.mobot.org/MOBOT/research/APweb/orders/cupressalesweb.html</x:v>
      </x:c>
      <x:c r="U681" s="215" t="str">
        <x:v>https://floranorthamerica.org/Cupressaceae</x:v>
      </x:c>
      <x:c r="V681" s="215" t="str">
        <x:v>https://powo.science.kew.org/taxon/urn:lsid:ipni.org:names:77126767-1/general-information</x:v>
      </x:c>
      <x:c r="W681" s="215" t="str">
        <x:v>https://www.mobot.org/MOBOT/research/APweb/orders/cupressalesweb.html
https://floranorthamerica.org/Cupressaceae
https://powo.science.kew.org/taxon/urn:lsid:ipni.org:names:77126767-1/general-information
https://www.wildflower.org/collections/collection.php?collection=hays</x:v>
      </x:c>
      <x:c r="X681" s="215" t="str">
        <x:v>No — retain qualifiers and exceptions</x:v>
      </x:c>
      <x:c r="Y681" s="215" t="str">
        <x:v>Yes</x:v>
      </x:c>
      <x:c r="Z681" s="215" t="str">
        <x:v>Source-backed draft</x:v>
      </x:c>
    </x:row>
    <x:row r="682" ht="42" customHeight="1">
      <x:c r="A682" s="215" t="str">
        <x:v>Cupressaceae</x:v>
      </x:c>
      <x:c r="B682" s="215" t="str">
        <x:v>CUP-POLLEN</x:v>
      </x:c>
      <x:c r="C682" s="215" t="str">
        <x:v>Family character</x:v>
      </x:c>
      <x:c r="D682" s="215" t="str">
        <x:v>Pollen cones</x:v>
      </x:c>
      <x:c r="E682" s="215" t="str">
        <x:v>Pollen cones small, usually solitary and terminal; pollen spherical and unwinged</x:v>
      </x:c>
      <x:c r="F682" s="215" t="str">
        <x:v>Strong</x:v>
      </x:c>
      <x:c r="G682" s="215" t="str">
        <x:v>3</x:v>
      </x:c>
      <x:c r="H682" s="215" t="str">
        <x:v>High</x:v>
      </x:c>
      <x:c r="I682" s="215" t="str">
        <x:v>Hand lens</x:v>
      </x:c>
      <x:c r="J682" s="215" t="str">
        <x:v>Pollen season</x:v>
      </x:c>
      <x:c r="K682" s="215" t="str">
        <x:v>Male cones lack the paired air sacs typical of pine pollen.</x:v>
      </x:c>
      <x:c r="L682" s="215" t="str">
        <x:v>Taxodium pollen cones are commonly arranged in terminal panicles.</x:v>
      </x:c>
      <x:c r="M682" s="215" t="str">
        <x:v>Use pollen-cone placement with seed cones.</x:v>
      </x:c>
      <x:c r="N682" s="215" t="str">
        <x:v>Ashe juniper and related cypress-family trees are conspicuous components of Hays County limestone uplands and wooded slopes.</x:v>
      </x:c>
      <x:c r="O682" s="215" t="str">
        <x:v>Low</x:v>
      </x:c>
      <x:c r="P682" s="215" t="str">
        <x:v>No</x:v>
      </x:c>
      <x:c r="Q682" s="215" t="str"/>
      <x:c r="R682" s="215" t="str">
        <x:v>CUP-LK01</x:v>
      </x:c>
      <x:c r="S682" s="215" t="str">
        <x:v>APWEB-CUPR; FNA-CUPR; POWO-CUPR; LBJ-HAYS</x:v>
      </x:c>
      <x:c r="T682" s="215" t="str">
        <x:v>https://www.mobot.org/MOBOT/research/APweb/orders/cupressalesweb.html</x:v>
      </x:c>
      <x:c r="U682" s="215" t="str">
        <x:v>https://floranorthamerica.org/Cupressaceae</x:v>
      </x:c>
      <x:c r="V682" s="215" t="str">
        <x:v>https://powo.science.kew.org/taxon/urn:lsid:ipni.org:names:77126767-1/general-information</x:v>
      </x:c>
      <x:c r="W682" s="215" t="str">
        <x:v>https://www.mobot.org/MOBOT/research/APweb/orders/cupressalesweb.html
https://floranorthamerica.org/Cupressaceae
https://powo.science.kew.org/taxon/urn:lsid:ipni.org:names:77126767-1/general-information
https://www.wildflower.org/collections/collection.php?collection=hays</x:v>
      </x:c>
      <x:c r="X682" s="215" t="str">
        <x:v>No — retain qualifiers and exceptions</x:v>
      </x:c>
      <x:c r="Y682" s="215" t="str">
        <x:v>Yes</x:v>
      </x:c>
      <x:c r="Z682" s="215" t="str">
        <x:v>Source-backed draft</x:v>
      </x:c>
    </x:row>
    <x:row r="683" ht="42" customHeight="1">
      <x:c r="A683" s="215" t="str">
        <x:v>Cupressaceae</x:v>
      </x:c>
      <x:c r="B683" s="215" t="str">
        <x:v>CUP-CONE</x:v>
      </x:c>
      <x:c r="C683" s="215" t="str">
        <x:v>Family character</x:v>
      </x:c>
      <x:c r="D683" s="215" t="str">
        <x:v>Seed cones</x:v>
      </x:c>
      <x:c r="E683" s="215" t="str">
        <x:v>Seed cones solitary and compound, with overlapping or abutting scales that become woody or fleshy</x:v>
      </x:c>
      <x:c r="F683" s="215" t="str">
        <x:v>Strong</x:v>
      </x:c>
      <x:c r="G683" s="215" t="str">
        <x:v>5</x:v>
      </x:c>
      <x:c r="H683" s="215" t="str">
        <x:v>High</x:v>
      </x:c>
      <x:c r="I683" s="215" t="str">
        <x:v>Naked eye or hand lens</x:v>
      </x:c>
      <x:c r="J683" s="215" t="str">
        <x:v>Mature cones</x:v>
      </x:c>
      <x:c r="K683" s="215" t="str">
        <x:v>Cypress-family cones range from woody balls to fleshy juniper berries.</x:v>
      </x:c>
      <x:c r="L683" s="215" t="str">
        <x:v>Fleshy Juniperus cones look berry-like but remain modified cones.</x:v>
      </x:c>
      <x:c r="M683" s="215" t="str">
        <x:v>Confirm scale construction rather than judging texture alone.</x:v>
      </x:c>
      <x:c r="N683" s="215" t="str">
        <x:v>Ashe juniper and related cypress-family trees are conspicuous components of Hays County limestone uplands and wooded slopes.</x:v>
      </x:c>
      <x:c r="O683" s="215" t="str">
        <x:v>Low</x:v>
      </x:c>
      <x:c r="P683" s="215" t="str">
        <x:v>No</x:v>
      </x:c>
      <x:c r="Q683" s="215" t="str"/>
      <x:c r="R683" s="215" t="str">
        <x:v>CUP-LK01; CUP-LK02</x:v>
      </x:c>
      <x:c r="S683" s="215" t="str">
        <x:v>APWEB-CUPR; FNA-CUPR; POWO-CUPR; LBJ-HAYS</x:v>
      </x:c>
      <x:c r="T683" s="215" t="str">
        <x:v>https://www.mobot.org/MOBOT/research/APweb/orders/cupressalesweb.html</x:v>
      </x:c>
      <x:c r="U683" s="215" t="str">
        <x:v>https://floranorthamerica.org/Cupressaceae</x:v>
      </x:c>
      <x:c r="V683" s="215" t="str">
        <x:v>https://powo.science.kew.org/taxon/urn:lsid:ipni.org:names:77126767-1/general-information</x:v>
      </x:c>
      <x:c r="W683" s="215" t="str">
        <x:v>https://www.mobot.org/MOBOT/research/APweb/orders/cupressalesweb.html
https://floranorthamerica.org/Cupressaceae
https://powo.science.kew.org/taxon/urn:lsid:ipni.org:names:77126767-1/general-information
https://www.wildflower.org/collections/collection.php?collection=hays</x:v>
      </x:c>
      <x:c r="X683" s="215" t="str">
        <x:v>No — retain qualifiers and exceptions</x:v>
      </x:c>
      <x:c r="Y683" s="215" t="str">
        <x:v>Yes</x:v>
      </x:c>
      <x:c r="Z683" s="215" t="str">
        <x:v>Source-backed draft</x:v>
      </x:c>
    </x:row>
    <x:row r="684" ht="42" customHeight="1">
      <x:c r="A684" s="215" t="str">
        <x:v>Cupressaceae</x:v>
      </x:c>
      <x:c r="B684" s="215" t="str">
        <x:v>CUP-SCALE</x:v>
      </x:c>
      <x:c r="C684" s="215" t="str">
        <x:v>Family character</x:v>
      </x:c>
      <x:c r="D684" s="215" t="str">
        <x:v>Cone scale / ovules</x:v>
      </x:c>
      <x:c r="E684" s="215" t="str">
        <x:v>Ovuliferous scale and subtending bract intimately fused; each scale-bract complex bears 1–20 initially erect ovules</x:v>
      </x:c>
      <x:c r="F684" s="215" t="str">
        <x:v>Strong</x:v>
      </x:c>
      <x:c r="G684" s="215" t="str">
        <x:v>5</x:v>
      </x:c>
      <x:c r="H684" s="215" t="str">
        <x:v>High</x:v>
      </x:c>
      <x:c r="I684" s="215" t="str">
        <x:v>Hand lens or dissection</x:v>
      </x:c>
      <x:c r="J684" s="215" t="str">
        <x:v>Developing or mature cones</x:v>
      </x:c>
      <x:c r="K684" s="215" t="str">
        <x:v>The mature cone scale is a fused unit, a key family feature.</x:v>
      </x:c>
      <x:c r="L684" s="215" t="str">
        <x:v>Ovule number and mature scale form vary greatly.</x:v>
      </x:c>
      <x:c r="M684" s="215" t="str">
        <x:v>Use intact cones; internal ovules may be unavailable out of season.</x:v>
      </x:c>
      <x:c r="N684" s="215" t="str">
        <x:v>Ashe juniper and related cypress-family trees are conspicuous components of Hays County limestone uplands and wooded slopes.</x:v>
      </x:c>
      <x:c r="O684" s="215" t="str">
        <x:v>Low</x:v>
      </x:c>
      <x:c r="P684" s="215" t="str">
        <x:v>No</x:v>
      </x:c>
      <x:c r="Q684" s="215" t="str"/>
      <x:c r="R684" s="215" t="str"/>
      <x:c r="S684" s="215" t="str">
        <x:v>APWEB-CUPR; FNA-CUPR; POWO-CUPR; LBJ-HAYS</x:v>
      </x:c>
      <x:c r="T684" s="215" t="str">
        <x:v>https://www.mobot.org/MOBOT/research/APweb/orders/cupressalesweb.html</x:v>
      </x:c>
      <x:c r="U684" s="215" t="str">
        <x:v>https://floranorthamerica.org/Cupressaceae</x:v>
      </x:c>
      <x:c r="V684" s="215" t="str">
        <x:v>https://powo.science.kew.org/taxon/urn:lsid:ipni.org:names:77126767-1/general-information</x:v>
      </x:c>
      <x:c r="W684" s="215" t="str">
        <x:v>https://www.mobot.org/MOBOT/research/APweb/orders/cupressalesweb.html
https://floranorthamerica.org/Cupressaceae
https://powo.science.kew.org/taxon/urn:lsid:ipni.org:names:77126767-1/general-information
https://www.wildflower.org/collections/collection.php?collection=hays</x:v>
      </x:c>
      <x:c r="X684" s="215" t="str">
        <x:v>No — retain qualifiers and exceptions</x:v>
      </x:c>
      <x:c r="Y684" s="215" t="str">
        <x:v>Yes</x:v>
      </x:c>
      <x:c r="Z684" s="215" t="str">
        <x:v>Source-backed draft</x:v>
      </x:c>
    </x:row>
    <x:row r="685" ht="42" customHeight="1">
      <x:c r="A685" s="215" t="str">
        <x:v>Cupressaceae</x:v>
      </x:c>
      <x:c r="B685" s="215" t="str">
        <x:v>CUP-SEED</x:v>
      </x:c>
      <x:c r="C685" s="215" t="str">
        <x:v>Family character</x:v>
      </x:c>
      <x:c r="D685" s="215" t="str">
        <x:v>Seeds</x:v>
      </x:c>
      <x:c r="E685" s="215" t="str">
        <x:v>Seeds 1–20 per cone scale, wingless or with 2–3 wings; aril absent</x:v>
      </x:c>
      <x:c r="F685" s="215" t="str">
        <x:v>Strong</x:v>
      </x:c>
      <x:c r="G685" s="215" t="str">
        <x:v>3</x:v>
      </x:c>
      <x:c r="H685" s="215" t="str">
        <x:v>High</x:v>
      </x:c>
      <x:c r="I685" s="215" t="str">
        <x:v>Hand lens</x:v>
      </x:c>
      <x:c r="J685" s="215" t="str">
        <x:v>Mature open cones</x:v>
      </x:c>
      <x:c r="K685" s="215" t="str">
        <x:v>Seeds may be winged, but they do not sit in the red cup-like aril of yews.</x:v>
      </x:c>
      <x:c r="L685" s="215" t="str">
        <x:v>Juniper seeds are enclosed by fleshy cone scales and are usually not visible until opened.</x:v>
      </x:c>
      <x:c r="M685" s="215" t="str">
        <x:v>Use mature seed presentation to separate close conifer families.</x:v>
      </x:c>
      <x:c r="N685" s="215" t="str">
        <x:v>Ashe juniper and related cypress-family trees are conspicuous components of Hays County limestone uplands and wooded slopes.</x:v>
      </x:c>
      <x:c r="O685" s="215" t="str">
        <x:v>Low</x:v>
      </x:c>
      <x:c r="P685" s="215" t="str">
        <x:v>No</x:v>
      </x:c>
      <x:c r="Q685" s="215" t="str"/>
      <x:c r="R685" s="215" t="str">
        <x:v>CUP-LK02</x:v>
      </x:c>
      <x:c r="S685" s="215" t="str">
        <x:v>APWEB-CUPR; FNA-CUPR; POWO-CUPR; LBJ-HAYS</x:v>
      </x:c>
      <x:c r="T685" s="215" t="str">
        <x:v>https://www.mobot.org/MOBOT/research/APweb/orders/cupressalesweb.html</x:v>
      </x:c>
      <x:c r="U685" s="215" t="str">
        <x:v>https://floranorthamerica.org/Cupressaceae</x:v>
      </x:c>
      <x:c r="V685" s="215" t="str">
        <x:v>https://powo.science.kew.org/taxon/urn:lsid:ipni.org:names:77126767-1/general-information</x:v>
      </x:c>
      <x:c r="W685" s="215" t="str">
        <x:v>https://www.mobot.org/MOBOT/research/APweb/orders/cupressalesweb.html
https://floranorthamerica.org/Cupressaceae
https://powo.science.kew.org/taxon/urn:lsid:ipni.org:names:77126767-1/general-information
https://www.wildflower.org/collections/collection.php?collection=hays</x:v>
      </x:c>
      <x:c r="X685" s="215" t="str">
        <x:v>No — retain qualifiers and exceptions</x:v>
      </x:c>
      <x:c r="Y685" s="215" t="str">
        <x:v>Yes</x:v>
      </x:c>
      <x:c r="Z685" s="215" t="str">
        <x:v>Source-backed draft</x:v>
      </x:c>
    </x:row>
    <x:row r="686" ht="42" customHeight="1">
      <x:c r="A686" s="215" t="str">
        <x:v>Cupressaceae</x:v>
      </x:c>
      <x:c r="B686" s="215" t="str">
        <x:v>CUP-LOCAL</x:v>
      </x:c>
      <x:c r="C686" s="215" t="str">
        <x:v>Local inventory reconciliation</x:v>
      </x:c>
      <x:c r="D686" s="215" t="str">
        <x:v>Local occurrence / ecology</x:v>
      </x:c>
      <x:c r="E686" s="215" t="str">
        <x:v>Ashe juniper provides a strong Hays County anchor for Cupressaceae on calcareous uplands</x:v>
      </x:c>
      <x:c r="F686" s="215" t="str">
        <x:v>Strong</x:v>
      </x:c>
      <x:c r="G686" s="215" t="str">
        <x:v>0</x:v>
      </x:c>
      <x:c r="H686" s="215" t="str">
        <x:v>High</x:v>
      </x:c>
      <x:c r="I686" s="215" t="str">
        <x:v>Naked eye</x:v>
      </x:c>
      <x:c r="J686" s="215" t="str">
        <x:v>Any season</x:v>
      </x:c>
      <x:c r="K686" s="215" t="str">
        <x:v>This family is a major local woody lineage rather than a marginal regional record.</x:v>
      </x:c>
      <x:c r="L686" s="215" t="str">
        <x:v>Cultivated cypresses and arborvitae should not be counted as wild county evidence.</x:v>
      </x:c>
      <x:c r="M686" s="215" t="str">
        <x:v>Keep wild Juniperus evidence separate from planted conifers.</x:v>
      </x:c>
      <x:c r="N686" s="215" t="str">
        <x:v>Ashe juniper and related cypress-family trees are conspicuous components of Hays County limestone uplands and wooded slopes.</x:v>
      </x:c>
      <x:c r="O686" s="215" t="str">
        <x:v>Low</x:v>
      </x:c>
      <x:c r="P686" s="215" t="str">
        <x:v>No</x:v>
      </x:c>
      <x:c r="Q686" s="215" t="str"/>
      <x:c r="R686" s="215" t="str"/>
      <x:c r="S686" s="215" t="str">
        <x:v>APWEB-CUPR; FNA-CUPR; POWO-CUPR; LBJ-HAYS</x:v>
      </x:c>
      <x:c r="T686" s="215" t="str">
        <x:v>https://www.mobot.org/MOBOT/research/APweb/orders/cupressalesweb.html</x:v>
      </x:c>
      <x:c r="U686" s="215" t="str">
        <x:v>https://floranorthamerica.org/Cupressaceae</x:v>
      </x:c>
      <x:c r="V686" s="215" t="str">
        <x:v>https://powo.science.kew.org/taxon/urn:lsid:ipni.org:names:77126767-1/general-information</x:v>
      </x:c>
      <x:c r="W686" s="215" t="str">
        <x:v>https://www.mobot.org/MOBOT/research/APweb/orders/cupressalesweb.html
https://floranorthamerica.org/Cupressaceae
https://powo.science.kew.org/taxon/urn:lsid:ipni.org:names:77126767-1/general-information
https://www.wildflower.org/collections/collection.php?collection=hays</x:v>
      </x:c>
      <x:c r="X686" s="215" t="str">
        <x:v>No — retain qualifiers and exceptions</x:v>
      </x:c>
      <x:c r="Y686" s="215" t="str">
        <x:v>Yes</x:v>
      </x:c>
      <x:c r="Z686" s="215" t="str">
        <x:v>Source-backed draft</x:v>
      </x:c>
    </x:row>
    <x:row r="687" ht="42" customHeight="1">
      <x:c r="A687" s="215" t="str">
        <x:v>Cupressaceae</x:v>
      </x:c>
      <x:c r="B687" s="215" t="str">
        <x:v>CUP-LK01</x:v>
      </x:c>
      <x:c r="C687" s="215" t="str">
        <x:v>Lookalike comparison</x:v>
      </x:c>
      <x:c r="D687" s="215" t="str">
        <x:v>Lookalike</x:v>
      </x:c>
      <x:c r="E687" s="215" t="str">
        <x:v>Versus Pinaceae: opposite or whorled scale leaves and fused cone-scale complexes favor Cupressaceae; fascicled needles and separate woody cone scales favor Pinaceae</x:v>
      </x:c>
      <x:c r="F687" s="215" t="str">
        <x:v>Lookalike</x:v>
      </x:c>
      <x:c r="G687" s="215" t="str">
        <x:v>5</x:v>
      </x:c>
      <x:c r="H687" s="215" t="str">
        <x:v>High</x:v>
      </x:c>
      <x:c r="I687" s="215" t="str">
        <x:v>Naked eye or hand lens</x:v>
      </x:c>
      <x:c r="J687" s="215" t="str">
        <x:v>Mature foliage and cones</x:v>
      </x:c>
      <x:c r="K687" s="215" t="str">
        <x:v>Junipers are not pines even when juvenile leaves look needle-like.</x:v>
      </x:c>
      <x:c r="L687" s="215" t="str">
        <x:v>Taxodium foliage can resemble other deciduous conifers.</x:v>
      </x:c>
      <x:c r="M687" s="215" t="str">
        <x:v>Prioritize leaf arrangement and mature cone construction.</x:v>
      </x:c>
      <x:c r="N687" s="215" t="str">
        <x:v>Ashe juniper and related cypress-family trees are conspicuous components of Hays County limestone uplands and wooded slopes.</x:v>
      </x:c>
      <x:c r="O687" s="215" t="str">
        <x:v>Low</x:v>
      </x:c>
      <x:c r="P687" s="215" t="str">
        <x:v>No</x:v>
      </x:c>
      <x:c r="Q687" s="215" t="str"/>
      <x:c r="R687" s="215" t="str">
        <x:v>CUP-LEAVES; CUP-POLLEN; CUP-CONE</x:v>
      </x:c>
      <x:c r="S687" s="215" t="str">
        <x:v>APWEB-CUPR; FNA-CUPR; POWO-CUPR; LBJ-HAYS</x:v>
      </x:c>
      <x:c r="T687" s="215" t="str">
        <x:v>https://www.mobot.org/MOBOT/research/APweb/orders/cupressalesweb.html</x:v>
      </x:c>
      <x:c r="U687" s="215" t="str">
        <x:v>https://floranorthamerica.org/Cupressaceae</x:v>
      </x:c>
      <x:c r="V687" s="215" t="str">
        <x:v>https://powo.science.kew.org/taxon/urn:lsid:ipni.org:names:77126767-1/general-information</x:v>
      </x:c>
      <x:c r="W687" s="215" t="str">
        <x:v>https://www.mobot.org/MOBOT/research/APweb/orders/cupressalesweb.html
https://floranorthamerica.org/Cupressaceae
https://powo.science.kew.org/taxon/urn:lsid:ipni.org:names:77126767-1/general-information
https://www.wildflower.org/collections/collection.php?collection=hays</x:v>
      </x:c>
      <x:c r="X687" s="215" t="str">
        <x:v>No — retain qualifiers and exceptions</x:v>
      </x:c>
      <x:c r="Y687" s="215" t="str">
        <x:v>Yes</x:v>
      </x:c>
      <x:c r="Z687" s="215" t="str">
        <x:v>Source-backed draft</x:v>
      </x:c>
    </x:row>
    <x:row r="688" ht="42" customHeight="1">
      <x:c r="A688" s="215" t="str">
        <x:v>Cupressaceae</x:v>
      </x:c>
      <x:c r="B688" s="215" t="str">
        <x:v>CUP-LK02</x:v>
      </x:c>
      <x:c r="C688" s="215" t="str">
        <x:v>Lookalike comparison</x:v>
      </x:c>
      <x:c r="D688" s="215" t="str">
        <x:v>Lookalike</x:v>
      </x:c>
      <x:c r="E688" s="215" t="str">
        <x:v>Versus Taxaceae: a multi-scaled woody or fleshy cone favors Cupressaceae; a single exposed seed partly surrounded by a fleshy aril favors Taxaceae</x:v>
      </x:c>
      <x:c r="F688" s="215" t="str">
        <x:v>Lookalike</x:v>
      </x:c>
      <x:c r="G688" s="215" t="str">
        <x:v>5</x:v>
      </x:c>
      <x:c r="H688" s="215" t="str">
        <x:v>High</x:v>
      </x:c>
      <x:c r="I688" s="215" t="str">
        <x:v>Naked eye or hand lens</x:v>
      </x:c>
      <x:c r="J688" s="215" t="str">
        <x:v>Mature seed structures</x:v>
      </x:c>
      <x:c r="K688" s="215" t="str">
        <x:v>Juniper berries contain several fused cone scales, unlike a yew aril.</x:v>
      </x:c>
      <x:c r="L688" s="215" t="str">
        <x:v>Immature reproductive structures can be misleading.</x:v>
      </x:c>
      <x:c r="M688" s="215" t="str">
        <x:v>Use mature seed structures, not foliage alone.</x:v>
      </x:c>
      <x:c r="N688" s="215" t="str">
        <x:v>Ashe juniper and related cypress-family trees are conspicuous components of Hays County limestone uplands and wooded slopes.</x:v>
      </x:c>
      <x:c r="O688" s="215" t="str">
        <x:v>Low</x:v>
      </x:c>
      <x:c r="P688" s="215" t="str">
        <x:v>No</x:v>
      </x:c>
      <x:c r="Q688" s="215" t="str"/>
      <x:c r="R688" s="215" t="str">
        <x:v>CUP-LEAVES; CUP-CONE; CUP-SEED</x:v>
      </x:c>
      <x:c r="S688" s="215" t="str">
        <x:v>APWEB-CUPR; FNA-CUPR; POWO-CUPR; LBJ-HAYS</x:v>
      </x:c>
      <x:c r="T688" s="215" t="str">
        <x:v>https://www.mobot.org/MOBOT/research/APweb/orders/cupressalesweb.html</x:v>
      </x:c>
      <x:c r="U688" s="215" t="str">
        <x:v>https://floranorthamerica.org/Cupressaceae</x:v>
      </x:c>
      <x:c r="V688" s="215" t="str">
        <x:v>https://powo.science.kew.org/taxon/urn:lsid:ipni.org:names:77126767-1/general-information</x:v>
      </x:c>
      <x:c r="W688" s="215" t="str">
        <x:v>https://www.mobot.org/MOBOT/research/APweb/orders/cupressalesweb.html
https://floranorthamerica.org/Cupressaceae
https://powo.science.kew.org/taxon/urn:lsid:ipni.org:names:77126767-1/general-information
https://www.wildflower.org/collections/collection.php?collection=hays</x:v>
      </x:c>
      <x:c r="X688" s="215" t="str">
        <x:v>No — retain qualifiers and exceptions</x:v>
      </x:c>
      <x:c r="Y688" s="215" t="str">
        <x:v>Yes</x:v>
      </x:c>
      <x:c r="Z688" s="215" t="str">
        <x:v>Source-backed draft</x:v>
      </x:c>
    </x:row>
    <x:row r="689" ht="42" customHeight="1">
      <x:c r="A689" s="215" t="str">
        <x:v>Araceae</x:v>
      </x:c>
      <x:c r="B689" s="215" t="str">
        <x:v>ARA-HABIT</x:v>
      </x:c>
      <x:c r="C689" s="215" t="str">
        <x:v>Family character</x:v>
      </x:c>
      <x:c r="D689" s="215" t="str">
        <x:v>Habit</x:v>
      </x:c>
      <x:c r="E689" s="215" t="str">
        <x:v>Mostly perennial terrestrial, wetland, emergent, floating, epiphytic, or climbing herbs</x:v>
      </x:c>
      <x:c r="F689" s="215" t="str">
        <x:v>Strong</x:v>
      </x:c>
      <x:c r="G689" s="215" t="str">
        <x:v>2</x:v>
      </x:c>
      <x:c r="H689" s="215" t="str">
        <x:v>High</x:v>
      </x:c>
      <x:c r="I689" s="215" t="str">
        <x:v>Naked eye</x:v>
      </x:c>
      <x:c r="J689" s="215" t="str">
        <x:v>Active growth</x:v>
      </x:c>
      <x:c r="K689" s="215" t="str">
        <x:v>Aroids are herbaceous and often tied to moist habitats or storage organs.</x:v>
      </x:c>
      <x:c r="L689" s="215" t="str">
        <x:v>The modern family includes tiny free-floating duckweeds that depart radically from the usual aroid form.</x:v>
      </x:c>
      <x:c r="M689" s="215" t="str">
        <x:v>Split conventional aroids from Lemnoideae before applying field characters.</x:v>
      </x:c>
      <x:c r="N689" s="215" t="str">
        <x:v>Aroids and duckweed-lineage plants are regionally relevant in Hays wetlands, seeps, ponds, and shaded riparian microsites; exact county genera should be voucher-checked.</x:v>
      </x:c>
      <x:c r="O689" s="215" t="str">
        <x:v>Medium</x:v>
      </x:c>
      <x:c r="P689" s="215" t="str">
        <x:v>No</x:v>
      </x:c>
      <x:c r="Q689" s="215" t="str"/>
      <x:c r="R689" s="215" t="str">
        <x:v>ARA-LK01; ARA-LK02</x:v>
      </x:c>
      <x:c r="S689" s="215" t="str">
        <x:v>APWEB-ARAC; FNA-ARAC; POWO-ARAC; LBJ-HAYS</x:v>
      </x:c>
      <x:c r="T689" s="215" t="str">
        <x:v>https://www.mobot.org/MOBOT/research/APweb/orders/alismatalesweb.htm</x:v>
      </x:c>
      <x:c r="U689" s="215" t="str">
        <x:v>https://floranorthamerica.org/Araceae</x:v>
      </x:c>
      <x:c r="V689" s="215" t="str">
        <x:v>https://powo.science.kew.org/taxon/urn:lsid:ipni.org:names:30000216-2/general-information</x:v>
      </x:c>
      <x:c r="W689" s="215" t="str">
        <x:v>https://www.mobot.org/MOBOT/research/APweb/orders/alismatalesweb.htm
https://floranorthamerica.org/Araceae
https://powo.science.kew.org/taxon/urn:lsid:ipni.org:names:30000216-2/general-information
https://www.wildflower.org/collections/collection.php?collection=hays</x:v>
      </x:c>
      <x:c r="X689" s="215" t="str">
        <x:v>No — retain qualifiers and exceptions</x:v>
      </x:c>
      <x:c r="Y689" s="215" t="str">
        <x:v>Yes</x:v>
      </x:c>
      <x:c r="Z689" s="215" t="str">
        <x:v>Source-backed draft</x:v>
      </x:c>
    </x:row>
    <x:row r="690" ht="42" customHeight="1">
      <x:c r="A690" s="215" t="str">
        <x:v>Araceae</x:v>
      </x:c>
      <x:c r="B690" s="215" t="str">
        <x:v>ARA-STORAGE</x:v>
      </x:c>
      <x:c r="C690" s="215" t="str">
        <x:v>Family character</x:v>
      </x:c>
      <x:c r="D690" s="215" t="str">
        <x:v>Stem / storage organs</x:v>
      </x:c>
      <x:c r="E690" s="215" t="str">
        <x:v>Rhizomes, corms, or stolons commonly present; petiole bases often sheath the stem</x:v>
      </x:c>
      <x:c r="F690" s="215" t="str">
        <x:v>Strong</x:v>
      </x:c>
      <x:c r="G690" s="215" t="str">
        <x:v>3</x:v>
      </x:c>
      <x:c r="H690" s="215" t="str">
        <x:v>High</x:v>
      </x:c>
      <x:c r="I690" s="215" t="str">
        <x:v>Naked eye</x:v>
      </x:c>
      <x:c r="J690" s="215" t="str">
        <x:v>Complete plant when ethically available</x:v>
      </x:c>
      <x:c r="K690" s="215" t="str">
        <x:v>Many aroids arise from a thick underground or creeping axis.</x:v>
      </x:c>
      <x:c r="L690" s="215" t="str">
        <x:v>Tiny floating Lemnoideae and some climbers do not show the conventional storage-organ habit.</x:v>
      </x:c>
      <x:c r="M690" s="215" t="str">
        <x:v>Use only visible structures; do not excavate protected plants.</x:v>
      </x:c>
      <x:c r="N690" s="215" t="str">
        <x:v>Aroids and duckweed-lineage plants are regionally relevant in Hays wetlands, seeps, ponds, and shaded riparian microsites; exact county genera should be voucher-checked.</x:v>
      </x:c>
      <x:c r="O690" s="215" t="str">
        <x:v>Low</x:v>
      </x:c>
      <x:c r="P690" s="215" t="str">
        <x:v>No</x:v>
      </x:c>
      <x:c r="Q690" s="215" t="str"/>
      <x:c r="R690" s="215" t="str"/>
      <x:c r="S690" s="215" t="str">
        <x:v>APWEB-ARAC; FNA-ARAC; POWO-ARAC; LBJ-HAYS</x:v>
      </x:c>
      <x:c r="T690" s="215" t="str">
        <x:v>https://www.mobot.org/MOBOT/research/APweb/orders/alismatalesweb.htm</x:v>
      </x:c>
      <x:c r="U690" s="215" t="str">
        <x:v>https://floranorthamerica.org/Araceae</x:v>
      </x:c>
      <x:c r="V690" s="215" t="str">
        <x:v>https://powo.science.kew.org/taxon/urn:lsid:ipni.org:names:30000216-2/general-information</x:v>
      </x:c>
      <x:c r="W690" s="215" t="str">
        <x:v>https://www.mobot.org/MOBOT/research/APweb/orders/alismatalesweb.htm
https://floranorthamerica.org/Araceae
https://powo.science.kew.org/taxon/urn:lsid:ipni.org:names:30000216-2/general-information
https://www.wildflower.org/collections/collection.php?collection=hays</x:v>
      </x:c>
      <x:c r="X690" s="215" t="str">
        <x:v>No — retain qualifiers and exceptions</x:v>
      </x:c>
      <x:c r="Y690" s="215" t="str">
        <x:v>Yes</x:v>
      </x:c>
      <x:c r="Z690" s="215" t="str">
        <x:v>Source-backed draft</x:v>
      </x:c>
    </x:row>
    <x:row r="691" ht="42" customHeight="1">
      <x:c r="A691" s="215" t="str">
        <x:v>Araceae</x:v>
      </x:c>
      <x:c r="B691" s="215" t="str">
        <x:v>ARA-LEAVES</x:v>
      </x:c>
      <x:c r="C691" s="215" t="str">
        <x:v>Family character</x:v>
      </x:c>
      <x:c r="D691" s="215" t="str">
        <x:v>Leaves</x:v>
      </x:c>
      <x:c r="E691" s="215" t="str">
        <x:v>Leaves alternate or clustered, petiolate with sheathing bases; blades simple or compound with parallel, pinnate-netted, or palmate-netted venation</x:v>
      </x:c>
      <x:c r="F691" s="215" t="str">
        <x:v>Strong</x:v>
      </x:c>
      <x:c r="G691" s="215" t="str">
        <x:v>3</x:v>
      </x:c>
      <x:c r="H691" s="215" t="str">
        <x:v>High</x:v>
      </x:c>
      <x:c r="I691" s="215" t="str">
        <x:v>Naked eye</x:v>
      </x:c>
      <x:c r="J691" s="215" t="str">
        <x:v>Mature leaves</x:v>
      </x:c>
      <x:c r="K691" s="215" t="str">
        <x:v>Leaf shape varies widely, but the sheathing petiole base is useful.</x:v>
      </x:c>
      <x:c r="L691" s="215" t="str">
        <x:v>Duckweeds are extremely reduced; leaf venation alone is not diagnostic.</x:v>
      </x:c>
      <x:c r="M691" s="215" t="str">
        <x:v>Combine leaf base with inflorescence.</x:v>
      </x:c>
      <x:c r="N691" s="215" t="str">
        <x:v>Aroids and duckweed-lineage plants are regionally relevant in Hays wetlands, seeps, ponds, and shaded riparian microsites; exact county genera should be voucher-checked.</x:v>
      </x:c>
      <x:c r="O691" s="215" t="str">
        <x:v>Low</x:v>
      </x:c>
      <x:c r="P691" s="215" t="str">
        <x:v>No</x:v>
      </x:c>
      <x:c r="Q691" s="215" t="str"/>
      <x:c r="R691" s="215" t="str"/>
      <x:c r="S691" s="215" t="str">
        <x:v>APWEB-ARAC; FNA-ARAC; POWO-ARAC; LBJ-HAYS</x:v>
      </x:c>
      <x:c r="T691" s="215" t="str">
        <x:v>https://www.mobot.org/MOBOT/research/APweb/orders/alismatalesweb.htm</x:v>
      </x:c>
      <x:c r="U691" s="215" t="str">
        <x:v>https://floranorthamerica.org/Araceae</x:v>
      </x:c>
      <x:c r="V691" s="215" t="str">
        <x:v>https://powo.science.kew.org/taxon/urn:lsid:ipni.org:names:30000216-2/general-information</x:v>
      </x:c>
      <x:c r="W691" s="215" t="str">
        <x:v>https://www.mobot.org/MOBOT/research/APweb/orders/alismatalesweb.htm
https://floranorthamerica.org/Araceae
https://powo.science.kew.org/taxon/urn:lsid:ipni.org:names:30000216-2/general-information
https://www.wildflower.org/collections/collection.php?collection=hays</x:v>
      </x:c>
      <x:c r="X691" s="215" t="str">
        <x:v>No — retain qualifiers and exceptions</x:v>
      </x:c>
      <x:c r="Y691" s="215" t="str">
        <x:v>Yes</x:v>
      </x:c>
      <x:c r="Z691" s="215" t="str">
        <x:v>Source-backed draft</x:v>
      </x:c>
    </x:row>
    <x:row r="692" ht="42" customHeight="1">
      <x:c r="A692" s="215" t="str">
        <x:v>Araceae</x:v>
      </x:c>
      <x:c r="B692" s="215" t="str">
        <x:v>ARA-SPADIX</x:v>
      </x:c>
      <x:c r="C692" s="215" t="str">
        <x:v>Family character</x:v>
      </x:c>
      <x:c r="D692" s="215" t="str">
        <x:v>Inflorescence</x:v>
      </x:c>
      <x:c r="E692" s="215" t="str">
        <x:v>Flowers usually sessile and densely grouped on a fleshy unbranched spadix</x:v>
      </x:c>
      <x:c r="F692" s="215" t="str">
        <x:v>Strong</x:v>
      </x:c>
      <x:c r="G692" s="215" t="str">
        <x:v>5</x:v>
      </x:c>
      <x:c r="H692" s="215" t="str">
        <x:v>High</x:v>
      </x:c>
      <x:c r="I692" s="215" t="str">
        <x:v>Naked eye or hand lens</x:v>
      </x:c>
      <x:c r="J692" s="215" t="str">
        <x:v>Fresh inflorescence</x:v>
      </x:c>
      <x:c r="K692" s="215" t="str">
        <x:v>The flower cluster is a fleshy club or cylinder rather than a normal branched spike.</x:v>
      </x:c>
      <x:c r="L692" s="215" t="str">
        <x:v>Spadix structure is extremely reduced in Lemnoideae and unusual in some basal genera.</x:v>
      </x:c>
      <x:c r="M692" s="215" t="str">
        <x:v>This is the strongest conventional aroid field character.</x:v>
      </x:c>
      <x:c r="N692" s="215" t="str">
        <x:v>Aroids and duckweed-lineage plants are regionally relevant in Hays wetlands, seeps, ponds, and shaded riparian microsites; exact county genera should be voucher-checked.</x:v>
      </x:c>
      <x:c r="O692" s="215" t="str">
        <x:v>Low</x:v>
      </x:c>
      <x:c r="P692" s="215" t="str">
        <x:v>No</x:v>
      </x:c>
      <x:c r="Q692" s="215" t="str"/>
      <x:c r="R692" s="215" t="str">
        <x:v>ARA-LK01; ARA-LK02</x:v>
      </x:c>
      <x:c r="S692" s="215" t="str">
        <x:v>APWEB-ARAC; FNA-ARAC; POWO-ARAC; LBJ-HAYS</x:v>
      </x:c>
      <x:c r="T692" s="215" t="str">
        <x:v>https://www.mobot.org/MOBOT/research/APweb/orders/alismatalesweb.htm</x:v>
      </x:c>
      <x:c r="U692" s="215" t="str">
        <x:v>https://floranorthamerica.org/Araceae</x:v>
      </x:c>
      <x:c r="V692" s="215" t="str">
        <x:v>https://powo.science.kew.org/taxon/urn:lsid:ipni.org:names:30000216-2/general-information</x:v>
      </x:c>
      <x:c r="W692" s="215" t="str">
        <x:v>https://www.mobot.org/MOBOT/research/APweb/orders/alismatalesweb.htm
https://floranorthamerica.org/Araceae
https://powo.science.kew.org/taxon/urn:lsid:ipni.org:names:30000216-2/general-information
https://www.wildflower.org/collections/collection.php?collection=hays</x:v>
      </x:c>
      <x:c r="X692" s="215" t="str">
        <x:v>No — retain qualifiers and exceptions</x:v>
      </x:c>
      <x:c r="Y692" s="215" t="str">
        <x:v>Yes</x:v>
      </x:c>
      <x:c r="Z692" s="215" t="str">
        <x:v>Source-backed draft</x:v>
      </x:c>
    </x:row>
    <x:row r="693" ht="42" customHeight="1">
      <x:c r="A693" s="215" t="str">
        <x:v>Araceae</x:v>
      </x:c>
      <x:c r="B693" s="215" t="str">
        <x:v>ARA-SPATHE</x:v>
      </x:c>
      <x:c r="C693" s="215" t="str">
        <x:v>Family character</x:v>
      </x:c>
      <x:c r="D693" s="215" t="str">
        <x:v>Inflorescence bract</x:v>
      </x:c>
      <x:c r="E693" s="215" t="str">
        <x:v>Spadix usually subtended or partly surrounded by a spathe that may be colored, green, persistent, or deciduous</x:v>
      </x:c>
      <x:c r="F693" s="215" t="str">
        <x:v>Strong</x:v>
      </x:c>
      <x:c r="G693" s="215" t="str">
        <x:v>5</x:v>
      </x:c>
      <x:c r="H693" s="215" t="str">
        <x:v>High</x:v>
      </x:c>
      <x:c r="I693" s="215" t="str">
        <x:v>Naked eye</x:v>
      </x:c>
      <x:c r="J693" s="215" t="str">
        <x:v>Fresh inflorescence</x:v>
      </x:c>
      <x:c r="K693" s="215" t="str">
        <x:v>A single specialized bract wraps or backs the fleshy flower axis.</x:v>
      </x:c>
      <x:c r="L693" s="215" t="str">
        <x:v>True spathes are absent in Orontium and reduced or modified in some lineages.</x:v>
      </x:c>
      <x:c r="M693" s="215" t="str">
        <x:v>Do not reject Araceae solely because the spathe is absent.</x:v>
      </x:c>
      <x:c r="N693" s="215" t="str">
        <x:v>Aroids and duckweed-lineage plants are regionally relevant in Hays wetlands, seeps, ponds, and shaded riparian microsites; exact county genera should be voucher-checked.</x:v>
      </x:c>
      <x:c r="O693" s="215" t="str">
        <x:v>Low</x:v>
      </x:c>
      <x:c r="P693" s="215" t="str">
        <x:v>No</x:v>
      </x:c>
      <x:c r="Q693" s="215" t="str"/>
      <x:c r="R693" s="215" t="str">
        <x:v>ARA-LK01; ARA-LK02</x:v>
      </x:c>
      <x:c r="S693" s="215" t="str">
        <x:v>APWEB-ARAC; FNA-ARAC; POWO-ARAC; LBJ-HAYS</x:v>
      </x:c>
      <x:c r="T693" s="215" t="str">
        <x:v>https://www.mobot.org/MOBOT/research/APweb/orders/alismatalesweb.htm</x:v>
      </x:c>
      <x:c r="U693" s="215" t="str">
        <x:v>https://floranorthamerica.org/Araceae</x:v>
      </x:c>
      <x:c r="V693" s="215" t="str">
        <x:v>https://powo.science.kew.org/taxon/urn:lsid:ipni.org:names:30000216-2/general-information</x:v>
      </x:c>
      <x:c r="W693" s="215" t="str">
        <x:v>https://www.mobot.org/MOBOT/research/APweb/orders/alismatalesweb.htm
https://floranorthamerica.org/Araceae
https://powo.science.kew.org/taxon/urn:lsid:ipni.org:names:30000216-2/general-information
https://www.wildflower.org/collections/collection.php?collection=hays</x:v>
      </x:c>
      <x:c r="X693" s="215" t="str">
        <x:v>No — retain qualifiers and exceptions</x:v>
      </x:c>
      <x:c r="Y693" s="215" t="str">
        <x:v>Yes</x:v>
      </x:c>
      <x:c r="Z693" s="215" t="str">
        <x:v>Source-backed draft</x:v>
      </x:c>
    </x:row>
    <x:row r="694" ht="42" customHeight="1">
      <x:c r="A694" s="215" t="str">
        <x:v>Araceae</x:v>
      </x:c>
      <x:c r="B694" s="215" t="str">
        <x:v>ARA-FLOWER</x:v>
      </x:c>
      <x:c r="C694" s="215" t="str">
        <x:v>Family character</x:v>
      </x:c>
      <x:c r="D694" s="215" t="str">
        <x:v>Flowers</x:v>
      </x:c>
      <x:c r="E694" s="215" t="str">
        <x:v>Flowers tiny, bisexual or unisexual; perianth present or absent; unisexual spadices often place staminate flowers above pistillate flowers</x:v>
      </x:c>
      <x:c r="F694" s="215" t="str">
        <x:v>Strong</x:v>
      </x:c>
      <x:c r="G694" s="215" t="str">
        <x:v>4</x:v>
      </x:c>
      <x:c r="H694" s="215" t="str">
        <x:v>High</x:v>
      </x:c>
      <x:c r="I694" s="215" t="str">
        <x:v>Hand lens</x:v>
      </x:c>
      <x:c r="J694" s="215" t="str">
        <x:v>Fresh intact spadix</x:v>
      </x:c>
      <x:c r="K694" s="215" t="str">
        <x:v>Individual flowers are minute and often lack showy petals.</x:v>
      </x:c>
      <x:c r="L694" s="215" t="str">
        <x:v>Sex arrangement and perianth vary among subfamilies.</x:v>
      </x:c>
      <x:c r="M694" s="215" t="str">
        <x:v>Inspect zones on the spadix rather than expecting one flower form.</x:v>
      </x:c>
      <x:c r="N694" s="215" t="str">
        <x:v>Aroids and duckweed-lineage plants are regionally relevant in Hays wetlands, seeps, ponds, and shaded riparian microsites; exact county genera should be voucher-checked.</x:v>
      </x:c>
      <x:c r="O694" s="215" t="str">
        <x:v>Low</x:v>
      </x:c>
      <x:c r="P694" s="215" t="str">
        <x:v>No</x:v>
      </x:c>
      <x:c r="Q694" s="215" t="str"/>
      <x:c r="R694" s="215" t="str"/>
      <x:c r="S694" s="215" t="str">
        <x:v>APWEB-ARAC; FNA-ARAC; POWO-ARAC; LBJ-HAYS</x:v>
      </x:c>
      <x:c r="T694" s="215" t="str">
        <x:v>https://www.mobot.org/MOBOT/research/APweb/orders/alismatalesweb.htm</x:v>
      </x:c>
      <x:c r="U694" s="215" t="str">
        <x:v>https://floranorthamerica.org/Araceae</x:v>
      </x:c>
      <x:c r="V694" s="215" t="str">
        <x:v>https://powo.science.kew.org/taxon/urn:lsid:ipni.org:names:30000216-2/general-information</x:v>
      </x:c>
      <x:c r="W694" s="215" t="str">
        <x:v>https://www.mobot.org/MOBOT/research/APweb/orders/alismatalesweb.htm
https://floranorthamerica.org/Araceae
https://powo.science.kew.org/taxon/urn:lsid:ipni.org:names:30000216-2/general-information
https://www.wildflower.org/collections/collection.php?collection=hays</x:v>
      </x:c>
      <x:c r="X694" s="215" t="str">
        <x:v>No — retain qualifiers and exceptions</x:v>
      </x:c>
      <x:c r="Y694" s="215" t="str">
        <x:v>Yes</x:v>
      </x:c>
      <x:c r="Z694" s="215" t="str">
        <x:v>Source-backed draft</x:v>
      </x:c>
    </x:row>
    <x:row r="695" ht="42" customHeight="1">
      <x:c r="A695" s="215" t="str">
        <x:v>Araceae</x:v>
      </x:c>
      <x:c r="B695" s="215" t="str">
        <x:v>ARA-OVARY</x:v>
      </x:c>
      <x:c r="C695" s="215" t="str">
        <x:v>Family character</x:v>
      </x:c>
      <x:c r="D695" s="215" t="str">
        <x:v>Gynoecium</x:v>
      </x:c>
      <x:c r="E695" s="215" t="str">
        <x:v>Ovary single, sessile or embedded in the spadix, commonly 1–3-locular with one style</x:v>
      </x:c>
      <x:c r="F695" s="215" t="str">
        <x:v>Strong</x:v>
      </x:c>
      <x:c r="G695" s="215" t="str">
        <x:v>3</x:v>
      </x:c>
      <x:c r="H695" s="215" t="str">
        <x:v>High</x:v>
      </x:c>
      <x:c r="I695" s="215" t="str">
        <x:v>Hand lens or dissection</x:v>
      </x:c>
      <x:c r="J695" s="215" t="str">
        <x:v>Fresh pistillate flowers</x:v>
      </x:c>
      <x:c r="K695" s="215" t="str">
        <x:v>Each pistillate flower becomes an individual berry.</x:v>
      </x:c>
      <x:c r="L695" s="215" t="str">
        <x:v>Locule and ovule counts vary widely.</x:v>
      </x:c>
      <x:c r="M695" s="215" t="str">
        <x:v>Use fruit development as the practical expression.</x:v>
      </x:c>
      <x:c r="N695" s="215" t="str">
        <x:v>Aroids and duckweed-lineage plants are regionally relevant in Hays wetlands, seeps, ponds, and shaded riparian microsites; exact county genera should be voucher-checked.</x:v>
      </x:c>
      <x:c r="O695" s="215" t="str">
        <x:v>Low</x:v>
      </x:c>
      <x:c r="P695" s="215" t="str">
        <x:v>No</x:v>
      </x:c>
      <x:c r="Q695" s="215" t="str"/>
      <x:c r="R695" s="215" t="str"/>
      <x:c r="S695" s="215" t="str">
        <x:v>APWEB-ARAC; FNA-ARAC; POWO-ARAC; LBJ-HAYS</x:v>
      </x:c>
      <x:c r="T695" s="215" t="str">
        <x:v>https://www.mobot.org/MOBOT/research/APweb/orders/alismatalesweb.htm</x:v>
      </x:c>
      <x:c r="U695" s="215" t="str">
        <x:v>https://floranorthamerica.org/Araceae</x:v>
      </x:c>
      <x:c r="V695" s="215" t="str">
        <x:v>https://powo.science.kew.org/taxon/urn:lsid:ipni.org:names:30000216-2/general-information</x:v>
      </x:c>
      <x:c r="W695" s="215" t="str">
        <x:v>https://www.mobot.org/MOBOT/research/APweb/orders/alismatalesweb.htm
https://floranorthamerica.org/Araceae
https://powo.science.kew.org/taxon/urn:lsid:ipni.org:names:30000216-2/general-information
https://www.wildflower.org/collections/collection.php?collection=hays</x:v>
      </x:c>
      <x:c r="X695" s="215" t="str">
        <x:v>No — retain qualifiers and exceptions</x:v>
      </x:c>
      <x:c r="Y695" s="215" t="str">
        <x:v>Yes</x:v>
      </x:c>
      <x:c r="Z695" s="215" t="str">
        <x:v>Source-backed draft</x:v>
      </x:c>
    </x:row>
    <x:row r="696" ht="42" customHeight="1">
      <x:c r="A696" s="215" t="str">
        <x:v>Araceae</x:v>
      </x:c>
      <x:c r="B696" s="215" t="str">
        <x:v>ARA-FRUIT</x:v>
      </x:c>
      <x:c r="C696" s="215" t="str">
        <x:v>Family character</x:v>
      </x:c>
      <x:c r="D696" s="215" t="str">
        <x:v>Fruit</x:v>
      </x:c>
      <x:c r="E696" s="215" t="str">
        <x:v>Fruits usually berries, distinct or sometimes fused, with one to many seeds</x:v>
      </x:c>
      <x:c r="F696" s="215" t="str">
        <x:v>Strong</x:v>
      </x:c>
      <x:c r="G696" s="215" t="str">
        <x:v>4</x:v>
      </x:c>
      <x:c r="H696" s="215" t="str">
        <x:v>High</x:v>
      </x:c>
      <x:c r="I696" s="215" t="str">
        <x:v>Naked eye or hand lens</x:v>
      </x:c>
      <x:c r="J696" s="215" t="str">
        <x:v>Mature infructescence</x:v>
      </x:c>
      <x:c r="K696" s="215" t="str">
        <x:v>A mature spadix often becomes a cluster of berries.</x:v>
      </x:c>
      <x:c r="L696" s="215" t="str">
        <x:v>Floating Lemnoideae produce very reduced fruits.</x:v>
      </x:c>
      <x:c r="M696" s="215" t="str">
        <x:v>Pair fruit with the spadix/spathe architecture.</x:v>
      </x:c>
      <x:c r="N696" s="215" t="str">
        <x:v>Aroids and duckweed-lineage plants are regionally relevant in Hays wetlands, seeps, ponds, and shaded riparian microsites; exact county genera should be voucher-checked.</x:v>
      </x:c>
      <x:c r="O696" s="215" t="str">
        <x:v>Low</x:v>
      </x:c>
      <x:c r="P696" s="215" t="str">
        <x:v>No</x:v>
      </x:c>
      <x:c r="Q696" s="215" t="str"/>
      <x:c r="R696" s="215" t="str">
        <x:v>ARA-LK01</x:v>
      </x:c>
      <x:c r="S696" s="215" t="str">
        <x:v>APWEB-ARAC; FNA-ARAC; POWO-ARAC; LBJ-HAYS</x:v>
      </x:c>
      <x:c r="T696" s="215" t="str">
        <x:v>https://www.mobot.org/MOBOT/research/APweb/orders/alismatalesweb.htm</x:v>
      </x:c>
      <x:c r="U696" s="215" t="str">
        <x:v>https://floranorthamerica.org/Araceae</x:v>
      </x:c>
      <x:c r="V696" s="215" t="str">
        <x:v>https://powo.science.kew.org/taxon/urn:lsid:ipni.org:names:30000216-2/general-information</x:v>
      </x:c>
      <x:c r="W696" s="215" t="str">
        <x:v>https://www.mobot.org/MOBOT/research/APweb/orders/alismatalesweb.htm
https://floranorthamerica.org/Araceae
https://powo.science.kew.org/taxon/urn:lsid:ipni.org:names:30000216-2/general-information
https://www.wildflower.org/collections/collection.php?collection=hays</x:v>
      </x:c>
      <x:c r="X696" s="215" t="str">
        <x:v>No — retain qualifiers and exceptions</x:v>
      </x:c>
      <x:c r="Y696" s="215" t="str">
        <x:v>Yes</x:v>
      </x:c>
      <x:c r="Z696" s="215" t="str">
        <x:v>Source-backed draft</x:v>
      </x:c>
    </x:row>
    <x:row r="697" ht="42" customHeight="1">
      <x:c r="A697" s="215" t="str">
        <x:v>Araceae</x:v>
      </x:c>
      <x:c r="B697" s="215" t="str">
        <x:v>ARA-RAPHIDES</x:v>
      </x:c>
      <x:c r="C697" s="215" t="str">
        <x:v>Family character</x:v>
      </x:c>
      <x:c r="D697" s="215" t="str">
        <x:v>Crystals / safety</x:v>
      </x:c>
      <x:c r="E697" s="215" t="str">
        <x:v>Calcium-oxalate raphides occur widely and raw tissues of many genera can be intensely irritating</x:v>
      </x:c>
      <x:c r="F697" s="215" t="str">
        <x:v>Supporting</x:v>
      </x:c>
      <x:c r="G697" s="215" t="str">
        <x:v>1</x:v>
      </x:c>
      <x:c r="H697" s="215" t="str">
        <x:v>High</x:v>
      </x:c>
      <x:c r="I697" s="215" t="str">
        <x:v>Not safely field-tested</x:v>
      </x:c>
      <x:c r="J697" s="215" t="str">
        <x:v>Any fresh tissue</x:v>
      </x:c>
      <x:c r="K697" s="215" t="str">
        <x:v>Do not taste or deliberately rub unknown aroid tissue.</x:v>
      </x:c>
      <x:c r="L697" s="215" t="str">
        <x:v>Irritation also involves enzymes or other compounds and is not a family identification test.</x:v>
      </x:c>
      <x:c r="M697" s="215" t="str">
        <x:v>Treat as a safety note, never a touch or taste character.</x:v>
      </x:c>
      <x:c r="N697" s="215" t="str">
        <x:v>Aroids and duckweed-lineage plants are regionally relevant in Hays wetlands, seeps, ponds, and shaded riparian microsites; exact county genera should be voucher-checked.</x:v>
      </x:c>
      <x:c r="O697" s="215" t="str">
        <x:v>Low</x:v>
      </x:c>
      <x:c r="P697" s="215" t="str">
        <x:v>No</x:v>
      </x:c>
      <x:c r="Q697" s="215" t="str"/>
      <x:c r="R697" s="215" t="str"/>
      <x:c r="S697" s="215" t="str">
        <x:v>APWEB-ARAC; FNA-ARAC; POWO-ARAC; LBJ-HAYS</x:v>
      </x:c>
      <x:c r="T697" s="215" t="str">
        <x:v>https://www.mobot.org/MOBOT/research/APweb/orders/alismatalesweb.htm</x:v>
      </x:c>
      <x:c r="U697" s="215" t="str">
        <x:v>https://floranorthamerica.org/Araceae</x:v>
      </x:c>
      <x:c r="V697" s="215" t="str">
        <x:v>https://powo.science.kew.org/taxon/urn:lsid:ipni.org:names:30000216-2/general-information</x:v>
      </x:c>
      <x:c r="W697" s="215" t="str">
        <x:v>https://www.mobot.org/MOBOT/research/APweb/orders/alismatalesweb.htm
https://floranorthamerica.org/Araceae
https://powo.science.kew.org/taxon/urn:lsid:ipni.org:names:30000216-2/general-information
https://www.wildflower.org/collections/collection.php?collection=hays</x:v>
      </x:c>
      <x:c r="X697" s="215" t="str">
        <x:v>No — retain qualifiers and exceptions</x:v>
      </x:c>
      <x:c r="Y697" s="215" t="str">
        <x:v>Yes</x:v>
      </x:c>
      <x:c r="Z697" s="215" t="str">
        <x:v>Source-backed draft</x:v>
      </x:c>
    </x:row>
    <x:row r="698" ht="42" customHeight="1">
      <x:c r="A698" s="215" t="str">
        <x:v>Araceae</x:v>
      </x:c>
      <x:c r="B698" s="215" t="str">
        <x:v>ARA-LK01</x:v>
      </x:c>
      <x:c r="C698" s="215" t="str">
        <x:v>Lookalike comparison</x:v>
      </x:c>
      <x:c r="D698" s="215" t="str">
        <x:v>Lookalike</x:v>
      </x:c>
      <x:c r="E698" s="215" t="str">
        <x:v>Versus Typhaceae: an unbranched fleshy spadix with one associated spathe favors Araceae; dense cylindrical heads without a true spathe and with linear marsh leaves favor Typhaceae</x:v>
      </x:c>
      <x:c r="F698" s="215" t="str">
        <x:v>Lookalike</x:v>
      </x:c>
      <x:c r="G698" s="215" t="str">
        <x:v>5</x:v>
      </x:c>
      <x:c r="H698" s="215" t="str">
        <x:v>High</x:v>
      </x:c>
      <x:c r="I698" s="215" t="str">
        <x:v>Naked eye</x:v>
      </x:c>
      <x:c r="J698" s="215" t="str">
        <x:v>Flowering or fruiting material</x:v>
      </x:c>
      <x:c r="K698" s="215" t="str">
        <x:v>Cattail heads can look spadix-like from a distance.</x:v>
      </x:c>
      <x:c r="L698" s="215" t="str">
        <x:v>Highly reduced floating aroids require a different comparison set.</x:v>
      </x:c>
      <x:c r="M698" s="215" t="str">
        <x:v>Check the subtending bract and individual flower organization.</x:v>
      </x:c>
      <x:c r="N698" s="215" t="str">
        <x:v>Aroids and duckweed-lineage plants are regionally relevant in Hays wetlands, seeps, ponds, and shaded riparian microsites; exact county genera should be voucher-checked.</x:v>
      </x:c>
      <x:c r="O698" s="215" t="str">
        <x:v>Low</x:v>
      </x:c>
      <x:c r="P698" s="215" t="str">
        <x:v>No</x:v>
      </x:c>
      <x:c r="Q698" s="215" t="str"/>
      <x:c r="R698" s="215" t="str">
        <x:v>ARA-SPADIX; ARA-SPATHE; ARA-FRUIT</x:v>
      </x:c>
      <x:c r="S698" s="215" t="str">
        <x:v>APWEB-ARAC; FNA-ARAC; POWO-ARAC; LBJ-HAYS</x:v>
      </x:c>
      <x:c r="T698" s="215" t="str">
        <x:v>https://www.mobot.org/MOBOT/research/APweb/orders/alismatalesweb.htm</x:v>
      </x:c>
      <x:c r="U698" s="215" t="str">
        <x:v>https://floranorthamerica.org/Araceae</x:v>
      </x:c>
      <x:c r="V698" s="215" t="str">
        <x:v>https://powo.science.kew.org/taxon/urn:lsid:ipni.org:names:30000216-2/general-information</x:v>
      </x:c>
      <x:c r="W698" s="215" t="str">
        <x:v>https://www.mobot.org/MOBOT/research/APweb/orders/alismatalesweb.htm
https://floranorthamerica.org/Araceae
https://powo.science.kew.org/taxon/urn:lsid:ipni.org:names:30000216-2/general-information
https://www.wildflower.org/collections/collection.php?collection=hays</x:v>
      </x:c>
      <x:c r="X698" s="215" t="str">
        <x:v>No — retain qualifiers and exceptions</x:v>
      </x:c>
      <x:c r="Y698" s="215" t="str">
        <x:v>Yes</x:v>
      </x:c>
      <x:c r="Z698" s="215" t="str">
        <x:v>Source-backed draft</x:v>
      </x:c>
    </x:row>
    <x:row r="699" ht="42" customHeight="1">
      <x:c r="A699" s="215" t="str">
        <x:v>Araceae</x:v>
      </x:c>
      <x:c r="B699" s="215" t="str">
        <x:v>ARA-LK02</x:v>
      </x:c>
      <x:c r="C699" s="215" t="str">
        <x:v>Lookalike comparison</x:v>
      </x:c>
      <x:c r="D699" s="215" t="str">
        <x:v>Lookalike</x:v>
      </x:c>
      <x:c r="E699" s="215" t="str">
        <x:v>Versus Acoraceae: a conventional aroid usually has a distinct spathe and berry cluster; Acorus has swordlike aromatic leaves and a lateral-looking spadix with a leaflike continuation</x:v>
      </x:c>
      <x:c r="F699" s="215" t="str">
        <x:v>Lookalike</x:v>
      </x:c>
      <x:c r="G699" s="215" t="str">
        <x:v>5</x:v>
      </x:c>
      <x:c r="H699" s="215" t="str">
        <x:v>High</x:v>
      </x:c>
      <x:c r="I699" s="215" t="str">
        <x:v>Naked eye or hand lens</x:v>
      </x:c>
      <x:c r="J699" s="215" t="str">
        <x:v>Flowering material</x:v>
      </x:c>
      <x:c r="K699" s="215" t="str">
        <x:v>Acorus was historically included in Araceae but is now a separate family.</x:v>
      </x:c>
      <x:c r="L699" s="215" t="str">
        <x:v>Some basal aroids also have less showy spathes.</x:v>
      </x:c>
      <x:c r="M699" s="215" t="str">
        <x:v>Use the whole inflorescence and current taxonomy.</x:v>
      </x:c>
      <x:c r="N699" s="215" t="str">
        <x:v>Aroids and duckweed-lineage plants are regionally relevant in Hays wetlands, seeps, ponds, and shaded riparian microsites; exact county genera should be voucher-checked.</x:v>
      </x:c>
      <x:c r="O699" s="215" t="str">
        <x:v>Medium</x:v>
      </x:c>
      <x:c r="P699" s="215" t="str">
        <x:v>Yes</x:v>
      </x:c>
      <x:c r="Q699" s="215" t="str">
        <x:v>Exact Hays County Araceae genera and the role of modern Lemnoideae require voucher-level reconciliation.</x:v>
      </x:c>
      <x:c r="R699" s="215" t="str">
        <x:v>ARA-LEAVES; ARA-SPADIX; ARA-SPATHE</x:v>
      </x:c>
      <x:c r="S699" s="215" t="str">
        <x:v>APWEB-ARAC; FNA-ARAC; POWO-ARAC; LBJ-HAYS</x:v>
      </x:c>
      <x:c r="T699" s="215" t="str">
        <x:v>https://www.mobot.org/MOBOT/research/APweb/orders/alismatalesweb.htm</x:v>
      </x:c>
      <x:c r="U699" s="215" t="str">
        <x:v>https://floranorthamerica.org/Araceae</x:v>
      </x:c>
      <x:c r="V699" s="215" t="str">
        <x:v>https://powo.science.kew.org/taxon/urn:lsid:ipni.org:names:30000216-2/general-information</x:v>
      </x:c>
      <x:c r="W699" s="215" t="str">
        <x:v>https://www.mobot.org/MOBOT/research/APweb/orders/alismatalesweb.htm
https://floranorthamerica.org/Araceae
https://powo.science.kew.org/taxon/urn:lsid:ipni.org:names:30000216-2/general-information
https://www.wildflower.org/collections/collection.php?collection=hays</x:v>
      </x:c>
      <x:c r="X699" s="215" t="str">
        <x:v>No — retain qualifiers and exceptions</x:v>
      </x:c>
      <x:c r="Y699" s="215" t="str">
        <x:v>Yes</x:v>
      </x:c>
      <x:c r="Z699" s="215" t="str">
        <x:v>Human review required</x:v>
      </x:c>
    </x:row>
    <x:row r="700" ht="42" customHeight="1">
      <x:c r="A700" s="215" t="str">
        <x:v>Crassulaceae</x:v>
      </x:c>
      <x:c r="B700" s="215" t="str">
        <x:v>CRA-HABIT</x:v>
      </x:c>
      <x:c r="C700" s="215" t="str">
        <x:v>Family character</x:v>
      </x:c>
      <x:c r="D700" s="215" t="str">
        <x:v>Habit</x:v>
      </x:c>
      <x:c r="E700" s="215" t="str">
        <x:v>Succulent annual or perennial herbs, occasionally soft-stemmed shrubs</x:v>
      </x:c>
      <x:c r="F700" s="215" t="str">
        <x:v>Strong</x:v>
      </x:c>
      <x:c r="G700" s="215" t="str">
        <x:v>3</x:v>
      </x:c>
      <x:c r="H700" s="215" t="str">
        <x:v>High</x:v>
      </x:c>
      <x:c r="I700" s="215" t="str">
        <x:v>Naked eye</x:v>
      </x:c>
      <x:c r="J700" s="215" t="str">
        <x:v>Active growth</x:v>
      </x:c>
      <x:c r="K700" s="215" t="str">
        <x:v>Most family members store water in fleshy shoots or leaves.</x:v>
      </x:c>
      <x:c r="L700" s="215" t="str">
        <x:v>Degree of succulence varies and some annuals are small.</x:v>
      </x:c>
      <x:c r="M700" s="215" t="str">
        <x:v>Use habit with the floral follicle suite.</x:v>
      </x:c>
      <x:c r="N700" s="215" t="str">
        <x:v>Native stonecrops occur on thin soils, rock outcrops, and shallow limestone or granitic microsites in the Central Texas target zone.</x:v>
      </x:c>
      <x:c r="O700" s="215" t="str">
        <x:v>Low</x:v>
      </x:c>
      <x:c r="P700" s="215" t="str">
        <x:v>No</x:v>
      </x:c>
      <x:c r="Q700" s="215" t="str"/>
      <x:c r="R700" s="215" t="str">
        <x:v>CRA-LK01; CRA-LK02</x:v>
      </x:c>
      <x:c r="S700" s="215" t="str">
        <x:v>APWEB-CRAS; FNA-CRAS; POWO-CRAS; LBJ-HAYS</x:v>
      </x:c>
      <x:c r="T700" s="215" t="str">
        <x:v>https://www.mobot.org/MOBOT/research/APweb/orders/saxifragalesweb.htm</x:v>
      </x:c>
      <x:c r="U700" s="215" t="str">
        <x:v>https://floranorthamerica.org/Crassulaceae</x:v>
      </x:c>
      <x:c r="V700" s="215" t="str">
        <x:v>https://powo.science.kew.org/taxon/urn:lsid:ipni.org:names:30000887-2/general-information</x:v>
      </x:c>
      <x:c r="W700" s="215" t="str">
        <x:v>https://www.mobot.org/MOBOT/research/APweb/orders/saxifragalesweb.htm
https://floranorthamerica.org/Crassulaceae
https://powo.science.kew.org/taxon/urn:lsid:ipni.org:names:30000887-2/general-information
https://www.wildflower.org/collections/collection.php?collection=hays</x:v>
      </x:c>
      <x:c r="X700" s="215" t="str">
        <x:v>No — retain qualifiers and exceptions</x:v>
      </x:c>
      <x:c r="Y700" s="215" t="str">
        <x:v>Yes</x:v>
      </x:c>
      <x:c r="Z700" s="215" t="str">
        <x:v>Source-backed draft</x:v>
      </x:c>
    </x:row>
    <x:row r="701" ht="42" customHeight="1">
      <x:c r="A701" s="215" t="str">
        <x:v>Crassulaceae</x:v>
      </x:c>
      <x:c r="B701" s="215" t="str">
        <x:v>CRA-CAM</x:v>
      </x:c>
      <x:c r="C701" s="215" t="str">
        <x:v>Family character</x:v>
      </x:c>
      <x:c r="D701" s="215" t="str">
        <x:v>Physiology</x:v>
      </x:c>
      <x:c r="E701" s="215" t="str">
        <x:v>Crassulacean acid metabolism is common but may be obligate, facultative, or weakly expressed</x:v>
      </x:c>
      <x:c r="F701" s="215" t="str">
        <x:v>Supporting</x:v>
      </x:c>
      <x:c r="G701" s="215" t="str">
        <x:v>0</x:v>
      </x:c>
      <x:c r="H701" s="215" t="str">
        <x:v>High</x:v>
      </x:c>
      <x:c r="I701" s="215" t="str">
        <x:v>Not field-visible</x:v>
      </x:c>
      <x:c r="J701" s="215" t="str">
        <x:v>Any material</x:v>
      </x:c>
      <x:c r="K701" s="215" t="str">
        <x:v>Water-saving night-time carbon fixation is common in the family.</x:v>
      </x:c>
      <x:c r="L701" s="215" t="str">
        <x:v>CAM cannot be inferred reliably from appearance and is not universal in expression.</x:v>
      </x:c>
      <x:c r="M701" s="215" t="str">
        <x:v>Retain as ecological context, not a field test.</x:v>
      </x:c>
      <x:c r="N701" s="215" t="str">
        <x:v>Native stonecrops occur on thin soils, rock outcrops, and shallow limestone or granitic microsites in the Central Texas target zone.</x:v>
      </x:c>
      <x:c r="O701" s="215" t="str">
        <x:v>Medium</x:v>
      </x:c>
      <x:c r="P701" s="215" t="str">
        <x:v>No</x:v>
      </x:c>
      <x:c r="Q701" s="215" t="str"/>
      <x:c r="R701" s="215" t="str"/>
      <x:c r="S701" s="215" t="str">
        <x:v>APWEB-CRAS; FNA-CRAS; POWO-CRAS; LBJ-HAYS</x:v>
      </x:c>
      <x:c r="T701" s="215" t="str">
        <x:v>https://www.mobot.org/MOBOT/research/APweb/orders/saxifragalesweb.htm</x:v>
      </x:c>
      <x:c r="U701" s="215" t="str">
        <x:v>https://floranorthamerica.org/Crassulaceae</x:v>
      </x:c>
      <x:c r="V701" s="215" t="str">
        <x:v>https://powo.science.kew.org/taxon/urn:lsid:ipni.org:names:30000887-2/general-information</x:v>
      </x:c>
      <x:c r="W701" s="215" t="str">
        <x:v>https://www.mobot.org/MOBOT/research/APweb/orders/saxifragalesweb.htm
https://floranorthamerica.org/Crassulaceae
https://powo.science.kew.org/taxon/urn:lsid:ipni.org:names:30000887-2/general-information
https://www.wildflower.org/collections/collection.php?collection=hays</x:v>
      </x:c>
      <x:c r="X701" s="215" t="str">
        <x:v>No — retain qualifiers and exceptions</x:v>
      </x:c>
      <x:c r="Y701" s="215" t="str">
        <x:v>Yes</x:v>
      </x:c>
      <x:c r="Z701" s="215" t="str">
        <x:v>Source-backed draft</x:v>
      </x:c>
    </x:row>
    <x:row r="702" ht="42" customHeight="1">
      <x:c r="A702" s="215" t="str">
        <x:v>Crassulaceae</x:v>
      </x:c>
      <x:c r="B702" s="215" t="str">
        <x:v>CRA-LEAVES</x:v>
      </x:c>
      <x:c r="C702" s="215" t="str">
        <x:v>Family character</x:v>
      </x:c>
      <x:c r="D702" s="215" t="str">
        <x:v>Leaves / stipules</x:v>
      </x:c>
      <x:c r="E702" s="215" t="str">
        <x:v>Leaves simple, usually fleshy and exstipulate, alternate or opposite, sometimes in basal rosettes</x:v>
      </x:c>
      <x:c r="F702" s="215" t="str">
        <x:v>Strong</x:v>
      </x:c>
      <x:c r="G702" s="215" t="str">
        <x:v>4</x:v>
      </x:c>
      <x:c r="H702" s="215" t="str">
        <x:v>High</x:v>
      </x:c>
      <x:c r="I702" s="215" t="str">
        <x:v>Naked eye</x:v>
      </x:c>
      <x:c r="J702" s="215" t="str">
        <x:v>Mature leafy shoots</x:v>
      </x:c>
      <x:c r="K702" s="215" t="str">
        <x:v>Fleshy leaves without stipules strongly support stonecrops when paired with flowers.</x:v>
      </x:c>
      <x:c r="L702" s="215" t="str">
        <x:v>Some leaves are thin, toothed, lobed, or compound in cultivated lineages.</x:v>
      </x:c>
      <x:c r="M702" s="215" t="str">
        <x:v>Record arrangement and succulence without making either universal.</x:v>
      </x:c>
      <x:c r="N702" s="215" t="str">
        <x:v>Native stonecrops occur on thin soils, rock outcrops, and shallow limestone or granitic microsites in the Central Texas target zone.</x:v>
      </x:c>
      <x:c r="O702" s="215" t="str">
        <x:v>Low</x:v>
      </x:c>
      <x:c r="P702" s="215" t="str">
        <x:v>No</x:v>
      </x:c>
      <x:c r="Q702" s="215" t="str"/>
      <x:c r="R702" s="215" t="str">
        <x:v>CRA-LK01; CRA-LK02</x:v>
      </x:c>
      <x:c r="S702" s="215" t="str">
        <x:v>APWEB-CRAS; FNA-CRAS; POWO-CRAS; LBJ-HAYS</x:v>
      </x:c>
      <x:c r="T702" s="215" t="str">
        <x:v>https://www.mobot.org/MOBOT/research/APweb/orders/saxifragalesweb.htm</x:v>
      </x:c>
      <x:c r="U702" s="215" t="str">
        <x:v>https://floranorthamerica.org/Crassulaceae</x:v>
      </x:c>
      <x:c r="V702" s="215" t="str">
        <x:v>https://powo.science.kew.org/taxon/urn:lsid:ipni.org:names:30000887-2/general-information</x:v>
      </x:c>
      <x:c r="W702" s="215" t="str">
        <x:v>https://www.mobot.org/MOBOT/research/APweb/orders/saxifragalesweb.htm
https://floranorthamerica.org/Crassulaceae
https://powo.science.kew.org/taxon/urn:lsid:ipni.org:names:30000887-2/general-information
https://www.wildflower.org/collections/collection.php?collection=hays</x:v>
      </x:c>
      <x:c r="X702" s="215" t="str">
        <x:v>No — retain qualifiers and exceptions</x:v>
      </x:c>
      <x:c r="Y702" s="215" t="str">
        <x:v>Yes</x:v>
      </x:c>
      <x:c r="Z702" s="215" t="str">
        <x:v>Source-backed draft</x:v>
      </x:c>
    </x:row>
    <x:row r="703" ht="42" customHeight="1">
      <x:c r="A703" s="215" t="str">
        <x:v>Crassulaceae</x:v>
      </x:c>
      <x:c r="B703" s="215" t="str">
        <x:v>CRA-INFLO</x:v>
      </x:c>
      <x:c r="C703" s="215" t="str">
        <x:v>Family character</x:v>
      </x:c>
      <x:c r="D703" s="215" t="str">
        <x:v>Inflorescence</x:v>
      </x:c>
      <x:c r="E703" s="215" t="str">
        <x:v>Inflorescences commonly terminal and cymose, sometimes racemose, spicate, or reduced to solitary flowers</x:v>
      </x:c>
      <x:c r="F703" s="215" t="str">
        <x:v>Strong</x:v>
      </x:c>
      <x:c r="G703" s="215" t="str">
        <x:v>3</x:v>
      </x:c>
      <x:c r="H703" s="215" t="str">
        <x:v>High</x:v>
      </x:c>
      <x:c r="I703" s="215" t="str">
        <x:v>Naked eye</x:v>
      </x:c>
      <x:c r="J703" s="215" t="str">
        <x:v>Flowering material</x:v>
      </x:c>
      <x:c r="K703" s="215" t="str">
        <x:v>Flower clusters often branch in a flat or rounded cyme.</x:v>
      </x:c>
      <x:c r="L703" s="215" t="str">
        <x:v>Architecture is variable.</x:v>
      </x:c>
      <x:c r="M703" s="215" t="str">
        <x:v>Use as supporting structure only.</x:v>
      </x:c>
      <x:c r="N703" s="215" t="str">
        <x:v>Native stonecrops occur on thin soils, rock outcrops, and shallow limestone or granitic microsites in the Central Texas target zone.</x:v>
      </x:c>
      <x:c r="O703" s="215" t="str">
        <x:v>Low</x:v>
      </x:c>
      <x:c r="P703" s="215" t="str">
        <x:v>No</x:v>
      </x:c>
      <x:c r="Q703" s="215" t="str"/>
      <x:c r="R703" s="215" t="str"/>
      <x:c r="S703" s="215" t="str">
        <x:v>APWEB-CRAS; FNA-CRAS; POWO-CRAS; LBJ-HAYS</x:v>
      </x:c>
      <x:c r="T703" s="215" t="str">
        <x:v>https://www.mobot.org/MOBOT/research/APweb/orders/saxifragalesweb.htm</x:v>
      </x:c>
      <x:c r="U703" s="215" t="str">
        <x:v>https://floranorthamerica.org/Crassulaceae</x:v>
      </x:c>
      <x:c r="V703" s="215" t="str">
        <x:v>https://powo.science.kew.org/taxon/urn:lsid:ipni.org:names:30000887-2/general-information</x:v>
      </x:c>
      <x:c r="W703" s="215" t="str">
        <x:v>https://www.mobot.org/MOBOT/research/APweb/orders/saxifragalesweb.htm
https://floranorthamerica.org/Crassulaceae
https://powo.science.kew.org/taxon/urn:lsid:ipni.org:names:30000887-2/general-information
https://www.wildflower.org/collections/collection.php?collection=hays</x:v>
      </x:c>
      <x:c r="X703" s="215" t="str">
        <x:v>No — retain qualifiers and exceptions</x:v>
      </x:c>
      <x:c r="Y703" s="215" t="str">
        <x:v>Yes</x:v>
      </x:c>
      <x:c r="Z703" s="215" t="str">
        <x:v>Source-backed draft</x:v>
      </x:c>
    </x:row>
    <x:row r="704" ht="42" customHeight="1">
      <x:c r="A704" s="215" t="str">
        <x:v>Crassulaceae</x:v>
      </x:c>
      <x:c r="B704" s="215" t="str">
        <x:v>CRA-FLOWER</x:v>
      </x:c>
      <x:c r="C704" s="215" t="str">
        <x:v>Family character</x:v>
      </x:c>
      <x:c r="D704" s="215" t="str">
        <x:v>Flowers</x:v>
      </x:c>
      <x:c r="E704" s="215" t="str">
        <x:v>Flowers usually bisexual, radially symmetric, and commonly 4- or 5-merous</x:v>
      </x:c>
      <x:c r="F704" s="215" t="str">
        <x:v>Strong</x:v>
      </x:c>
      <x:c r="G704" s="215" t="str">
        <x:v>4</x:v>
      </x:c>
      <x:c r="H704" s="215" t="str">
        <x:v>High</x:v>
      </x:c>
      <x:c r="I704" s="215" t="str">
        <x:v>Naked eye or hand lens</x:v>
      </x:c>
      <x:c r="J704" s="215" t="str">
        <x:v>Fresh flowers</x:v>
      </x:c>
      <x:c r="K704" s="215" t="str">
        <x:v>Sepals, petals, stamens, and carpels often repeat the same basic number.</x:v>
      </x:c>
      <x:c r="L704" s="215" t="str">
        <x:v>Merism can vary and petals may be fused or separate.</x:v>
      </x:c>
      <x:c r="M704" s="215" t="str">
        <x:v>Count several intact flowers.</x:v>
      </x:c>
      <x:c r="N704" s="215" t="str">
        <x:v>Native stonecrops occur on thin soils, rock outcrops, and shallow limestone or granitic microsites in the Central Texas target zone.</x:v>
      </x:c>
      <x:c r="O704" s="215" t="str">
        <x:v>Low</x:v>
      </x:c>
      <x:c r="P704" s="215" t="str">
        <x:v>No</x:v>
      </x:c>
      <x:c r="Q704" s="215" t="str"/>
      <x:c r="R704" s="215" t="str">
        <x:v>CRA-LK01; CRA-LK02</x:v>
      </x:c>
      <x:c r="S704" s="215" t="str">
        <x:v>APWEB-CRAS; FNA-CRAS; POWO-CRAS; LBJ-HAYS</x:v>
      </x:c>
      <x:c r="T704" s="215" t="str">
        <x:v>https://www.mobot.org/MOBOT/research/APweb/orders/saxifragalesweb.htm</x:v>
      </x:c>
      <x:c r="U704" s="215" t="str">
        <x:v>https://floranorthamerica.org/Crassulaceae</x:v>
      </x:c>
      <x:c r="V704" s="215" t="str">
        <x:v>https://powo.science.kew.org/taxon/urn:lsid:ipni.org:names:30000887-2/general-information</x:v>
      </x:c>
      <x:c r="W704" s="215" t="str">
        <x:v>https://www.mobot.org/MOBOT/research/APweb/orders/saxifragalesweb.htm
https://floranorthamerica.org/Crassulaceae
https://powo.science.kew.org/taxon/urn:lsid:ipni.org:names:30000887-2/general-information
https://www.wildflower.org/collections/collection.php?collection=hays</x:v>
      </x:c>
      <x:c r="X704" s="215" t="str">
        <x:v>No — retain qualifiers and exceptions</x:v>
      </x:c>
      <x:c r="Y704" s="215" t="str">
        <x:v>Yes</x:v>
      </x:c>
      <x:c r="Z704" s="215" t="str">
        <x:v>Source-backed draft</x:v>
      </x:c>
    </x:row>
    <x:row r="705" ht="42" customHeight="1">
      <x:c r="A705" s="215" t="str">
        <x:v>Crassulaceae</x:v>
      </x:c>
      <x:c r="B705" s="215" t="str">
        <x:v>CRA-STAMENS</x:v>
      </x:c>
      <x:c r="C705" s="215" t="str">
        <x:v>Family character</x:v>
      </x:c>
      <x:c r="D705" s="215" t="str">
        <x:v>Stamens</x:v>
      </x:c>
      <x:c r="E705" s="215" t="str">
        <x:v>Stamens commonly equal to or twice the number of petals and often occur in two whorls</x:v>
      </x:c>
      <x:c r="F705" s="215" t="str">
        <x:v>Strong</x:v>
      </x:c>
      <x:c r="G705" s="215" t="str">
        <x:v>4</x:v>
      </x:c>
      <x:c r="H705" s="215" t="str">
        <x:v>High</x:v>
      </x:c>
      <x:c r="I705" s="215" t="str">
        <x:v>Hand lens</x:v>
      </x:c>
      <x:c r="J705" s="215" t="str">
        <x:v>Fresh flowers</x:v>
      </x:c>
      <x:c r="K705" s="215" t="str">
        <x:v>Five petals with five or ten stamens is a common pattern.</x:v>
      </x:c>
      <x:c r="L705" s="215" t="str">
        <x:v>Stamen number and fusion vary among genera.</x:v>
      </x:c>
      <x:c r="M705" s="215" t="str">
        <x:v>Use with free carpels and nectary scales.</x:v>
      </x:c>
      <x:c r="N705" s="215" t="str">
        <x:v>Native stonecrops occur on thin soils, rock outcrops, and shallow limestone or granitic microsites in the Central Texas target zone.</x:v>
      </x:c>
      <x:c r="O705" s="215" t="str">
        <x:v>Low</x:v>
      </x:c>
      <x:c r="P705" s="215" t="str">
        <x:v>No</x:v>
      </x:c>
      <x:c r="Q705" s="215" t="str"/>
      <x:c r="R705" s="215" t="str"/>
      <x:c r="S705" s="215" t="str">
        <x:v>APWEB-CRAS; FNA-CRAS; POWO-CRAS; LBJ-HAYS</x:v>
      </x:c>
      <x:c r="T705" s="215" t="str">
        <x:v>https://www.mobot.org/MOBOT/research/APweb/orders/saxifragalesweb.htm</x:v>
      </x:c>
      <x:c r="U705" s="215" t="str">
        <x:v>https://floranorthamerica.org/Crassulaceae</x:v>
      </x:c>
      <x:c r="V705" s="215" t="str">
        <x:v>https://powo.science.kew.org/taxon/urn:lsid:ipni.org:names:30000887-2/general-information</x:v>
      </x:c>
      <x:c r="W705" s="215" t="str">
        <x:v>https://www.mobot.org/MOBOT/research/APweb/orders/saxifragalesweb.htm
https://floranorthamerica.org/Crassulaceae
https://powo.science.kew.org/taxon/urn:lsid:ipni.org:names:30000887-2/general-information
https://www.wildflower.org/collections/collection.php?collection=hays</x:v>
      </x:c>
      <x:c r="X705" s="215" t="str">
        <x:v>No — retain qualifiers and exceptions</x:v>
      </x:c>
      <x:c r="Y705" s="215" t="str">
        <x:v>Yes</x:v>
      </x:c>
      <x:c r="Z705" s="215" t="str">
        <x:v>Source-backed draft</x:v>
      </x:c>
    </x:row>
    <x:row r="706" ht="42" customHeight="1">
      <x:c r="A706" s="215" t="str">
        <x:v>Crassulaceae</x:v>
      </x:c>
      <x:c r="B706" s="215" t="str">
        <x:v>CRA-NECTARY</x:v>
      </x:c>
      <x:c r="C706" s="215" t="str">
        <x:v>Family character</x:v>
      </x:c>
      <x:c r="D706" s="215" t="str">
        <x:v>Nectaries</x:v>
      </x:c>
      <x:c r="E706" s="215" t="str">
        <x:v>A scale-like nectary commonly occurs at or near the base of each carpel</x:v>
      </x:c>
      <x:c r="F706" s="215" t="str">
        <x:v>Strong</x:v>
      </x:c>
      <x:c r="G706" s="215" t="str">
        <x:v>5</x:v>
      </x:c>
      <x:c r="H706" s="215" t="str">
        <x:v>High</x:v>
      </x:c>
      <x:c r="I706" s="215" t="str">
        <x:v>Hand lens or dissection</x:v>
      </x:c>
      <x:c r="J706" s="215" t="str">
        <x:v>Fresh flowers</x:v>
      </x:c>
      <x:c r="K706" s="215" t="str">
        <x:v>Each ovary segment often has its own tiny nectar scale.</x:v>
      </x:c>
      <x:c r="L706" s="215" t="str">
        <x:v>Nectaries may be inconspicuous or hard to see in dried material.</x:v>
      </x:c>
      <x:c r="M706" s="215" t="str">
        <x:v>This is a high-value close-up character.</x:v>
      </x:c>
      <x:c r="N706" s="215" t="str">
        <x:v>Native stonecrops occur on thin soils, rock outcrops, and shallow limestone or granitic microsites in the Central Texas target zone.</x:v>
      </x:c>
      <x:c r="O706" s="215" t="str">
        <x:v>Low</x:v>
      </x:c>
      <x:c r="P706" s="215" t="str">
        <x:v>No</x:v>
      </x:c>
      <x:c r="Q706" s="215" t="str"/>
      <x:c r="R706" s="215" t="str">
        <x:v>CRA-LK01</x:v>
      </x:c>
      <x:c r="S706" s="215" t="str">
        <x:v>APWEB-CRAS; FNA-CRAS; POWO-CRAS; LBJ-HAYS</x:v>
      </x:c>
      <x:c r="T706" s="215" t="str">
        <x:v>https://www.mobot.org/MOBOT/research/APweb/orders/saxifragalesweb.htm</x:v>
      </x:c>
      <x:c r="U706" s="215" t="str">
        <x:v>https://floranorthamerica.org/Crassulaceae</x:v>
      </x:c>
      <x:c r="V706" s="215" t="str">
        <x:v>https://powo.science.kew.org/taxon/urn:lsid:ipni.org:names:30000887-2/general-information</x:v>
      </x:c>
      <x:c r="W706" s="215" t="str">
        <x:v>https://www.mobot.org/MOBOT/research/APweb/orders/saxifragalesweb.htm
https://floranorthamerica.org/Crassulaceae
https://powo.science.kew.org/taxon/urn:lsid:ipni.org:names:30000887-2/general-information
https://www.wildflower.org/collections/collection.php?collection=hays</x:v>
      </x:c>
      <x:c r="X706" s="215" t="str">
        <x:v>No — retain qualifiers and exceptions</x:v>
      </x:c>
      <x:c r="Y706" s="215" t="str">
        <x:v>Yes</x:v>
      </x:c>
      <x:c r="Z706" s="215" t="str">
        <x:v>Source-backed draft</x:v>
      </x:c>
    </x:row>
    <x:row r="707" ht="42" customHeight="1">
      <x:c r="A707" s="215" t="str">
        <x:v>Crassulaceae</x:v>
      </x:c>
      <x:c r="B707" s="215" t="str">
        <x:v>CRA-OVARY</x:v>
      </x:c>
      <x:c r="C707" s="215" t="str">
        <x:v>Family character</x:v>
      </x:c>
      <x:c r="D707" s="215" t="str">
        <x:v>Gynoecium</x:v>
      </x:c>
      <x:c r="E707" s="215" t="str">
        <x:v>Ovary superior; carpels usually equal sepals in number and distinct or only partly united, each with many ovules</x:v>
      </x:c>
      <x:c r="F707" s="215" t="str">
        <x:v>Strong</x:v>
      </x:c>
      <x:c r="G707" s="215" t="str">
        <x:v>5</x:v>
      </x:c>
      <x:c r="H707" s="215" t="str">
        <x:v>High</x:v>
      </x:c>
      <x:c r="I707" s="215" t="str">
        <x:v>Hand lens or dissection</x:v>
      </x:c>
      <x:c r="J707" s="215" t="str">
        <x:v>Fresh flowers or young fruit</x:v>
      </x:c>
      <x:c r="K707" s="215" t="str">
        <x:v>The flower contains a ring of separate pointed ovaries rather than one solid ovary.</x:v>
      </x:c>
      <x:c r="L707" s="215" t="str">
        <x:v>Carpels can be partly fused and counts vary.</x:v>
      </x:c>
      <x:c r="M707" s="215" t="str">
        <x:v>Confirm with developing fruit when dissection is impractical.</x:v>
      </x:c>
      <x:c r="N707" s="215" t="str">
        <x:v>Native stonecrops occur on thin soils, rock outcrops, and shallow limestone or granitic microsites in the Central Texas target zone.</x:v>
      </x:c>
      <x:c r="O707" s="215" t="str">
        <x:v>Low</x:v>
      </x:c>
      <x:c r="P707" s="215" t="str">
        <x:v>No</x:v>
      </x:c>
      <x:c r="Q707" s="215" t="str"/>
      <x:c r="R707" s="215" t="str">
        <x:v>CRA-LK01; CRA-LK02</x:v>
      </x:c>
      <x:c r="S707" s="215" t="str">
        <x:v>APWEB-CRAS; FNA-CRAS; POWO-CRAS; LBJ-HAYS</x:v>
      </x:c>
      <x:c r="T707" s="215" t="str">
        <x:v>https://www.mobot.org/MOBOT/research/APweb/orders/saxifragalesweb.htm</x:v>
      </x:c>
      <x:c r="U707" s="215" t="str">
        <x:v>https://floranorthamerica.org/Crassulaceae</x:v>
      </x:c>
      <x:c r="V707" s="215" t="str">
        <x:v>https://powo.science.kew.org/taxon/urn:lsid:ipni.org:names:30000887-2/general-information</x:v>
      </x:c>
      <x:c r="W707" s="215" t="str">
        <x:v>https://www.mobot.org/MOBOT/research/APweb/orders/saxifragalesweb.htm
https://floranorthamerica.org/Crassulaceae
https://powo.science.kew.org/taxon/urn:lsid:ipni.org:names:30000887-2/general-information
https://www.wildflower.org/collections/collection.php?collection=hays</x:v>
      </x:c>
      <x:c r="X707" s="215" t="str">
        <x:v>No — retain qualifiers and exceptions</x:v>
      </x:c>
      <x:c r="Y707" s="215" t="str">
        <x:v>Yes</x:v>
      </x:c>
      <x:c r="Z707" s="215" t="str">
        <x:v>Source-backed draft</x:v>
      </x:c>
    </x:row>
    <x:row r="708" ht="42" customHeight="1">
      <x:c r="A708" s="215" t="str">
        <x:v>Crassulaceae</x:v>
      </x:c>
      <x:c r="B708" s="215" t="str">
        <x:v>CRA-FRUIT</x:v>
      </x:c>
      <x:c r="C708" s="215" t="str">
        <x:v>Family character</x:v>
      </x:c>
      <x:c r="D708" s="215" t="str">
        <x:v>Fruit / seeds</x:v>
      </x:c>
      <x:c r="E708" s="215" t="str">
        <x:v>Fruit usually a cluster of follicles opening along one side; seeds numerous and small</x:v>
      </x:c>
      <x:c r="F708" s="215" t="str">
        <x:v>Strong</x:v>
      </x:c>
      <x:c r="G708" s="215" t="str">
        <x:v>5</x:v>
      </x:c>
      <x:c r="H708" s="215" t="str">
        <x:v>High</x:v>
      </x:c>
      <x:c r="I708" s="215" t="str">
        <x:v>Naked eye or hand lens</x:v>
      </x:c>
      <x:c r="J708" s="215" t="str">
        <x:v>Mature dry fruit</x:v>
      </x:c>
      <x:c r="K708" s="215" t="str">
        <x:v>Several dry pods open together from one flower.</x:v>
      </x:c>
      <x:c r="L708" s="215" t="str">
        <x:v>Some lineages have fewer seeds or different degrees of carpel fusion.</x:v>
      </x:c>
      <x:c r="M708" s="215" t="str">
        <x:v>Mature follicles are among the best family characters.</x:v>
      </x:c>
      <x:c r="N708" s="215" t="str">
        <x:v>Native stonecrops occur on thin soils, rock outcrops, and shallow limestone or granitic microsites in the Central Texas target zone.</x:v>
      </x:c>
      <x:c r="O708" s="215" t="str">
        <x:v>Low</x:v>
      </x:c>
      <x:c r="P708" s="215" t="str">
        <x:v>No</x:v>
      </x:c>
      <x:c r="Q708" s="215" t="str"/>
      <x:c r="R708" s="215" t="str">
        <x:v>CRA-LK01; CRA-LK02</x:v>
      </x:c>
      <x:c r="S708" s="215" t="str">
        <x:v>APWEB-CRAS; FNA-CRAS; POWO-CRAS; LBJ-HAYS</x:v>
      </x:c>
      <x:c r="T708" s="215" t="str">
        <x:v>https://www.mobot.org/MOBOT/research/APweb/orders/saxifragalesweb.htm</x:v>
      </x:c>
      <x:c r="U708" s="215" t="str">
        <x:v>https://floranorthamerica.org/Crassulaceae</x:v>
      </x:c>
      <x:c r="V708" s="215" t="str">
        <x:v>https://powo.science.kew.org/taxon/urn:lsid:ipni.org:names:30000887-2/general-information</x:v>
      </x:c>
      <x:c r="W708" s="215" t="str">
        <x:v>https://www.mobot.org/MOBOT/research/APweb/orders/saxifragalesweb.htm
https://floranorthamerica.org/Crassulaceae
https://powo.science.kew.org/taxon/urn:lsid:ipni.org:names:30000887-2/general-information
https://www.wildflower.org/collections/collection.php?collection=hays</x:v>
      </x:c>
      <x:c r="X708" s="215" t="str">
        <x:v>No — retain qualifiers and exceptions</x:v>
      </x:c>
      <x:c r="Y708" s="215" t="str">
        <x:v>Yes</x:v>
      </x:c>
      <x:c r="Z708" s="215" t="str">
        <x:v>Source-backed draft</x:v>
      </x:c>
    </x:row>
    <x:row r="709" ht="42" customHeight="1">
      <x:c r="A709" s="215" t="str">
        <x:v>Crassulaceae</x:v>
      </x:c>
      <x:c r="B709" s="215" t="str">
        <x:v>CRA-LK01</x:v>
      </x:c>
      <x:c r="C709" s="215" t="str">
        <x:v>Lookalike comparison</x:v>
      </x:c>
      <x:c r="D709" s="215" t="str">
        <x:v>Lookalike</x:v>
      </x:c>
      <x:c r="E709" s="215" t="str">
        <x:v>Versus Saxifragaceae: succulent exstipulate leaves plus several superior free follicles and one nectary scale per carpel favor Crassulaceae; a commonly inferior or partly inferior 2-carpellate ovary favors Saxifragaceae</x:v>
      </x:c>
      <x:c r="F709" s="215" t="str">
        <x:v>Lookalike</x:v>
      </x:c>
      <x:c r="G709" s="215" t="str">
        <x:v>5</x:v>
      </x:c>
      <x:c r="H709" s="215" t="str">
        <x:v>High</x:v>
      </x:c>
      <x:c r="I709" s="215" t="str">
        <x:v>Naked eye or hand lens</x:v>
      </x:c>
      <x:c r="J709" s="215" t="str">
        <x:v>Flowering or fruiting material</x:v>
      </x:c>
      <x:c r="K709" s="215" t="str">
        <x:v>Both families can have 5-merous flowers and follicular capsules.</x:v>
      </x:c>
      <x:c r="L709" s="215" t="str">
        <x:v>Ovary position and carpel number vary in Saxifragaceae.</x:v>
      </x:c>
      <x:c r="M709" s="215" t="str">
        <x:v>Prioritize gynoecium and nectary scales over habit alone.</x:v>
      </x:c>
      <x:c r="N709" s="215" t="str">
        <x:v>Native stonecrops occur on thin soils, rock outcrops, and shallow limestone or granitic microsites in the Central Texas target zone.</x:v>
      </x:c>
      <x:c r="O709" s="215" t="str">
        <x:v>Low</x:v>
      </x:c>
      <x:c r="P709" s="215" t="str">
        <x:v>No</x:v>
      </x:c>
      <x:c r="Q709" s="215" t="str"/>
      <x:c r="R709" s="215" t="str">
        <x:v>CRA-LEAVES; CRA-NECTARY; CRA-OVARY; CRA-FRUIT</x:v>
      </x:c>
      <x:c r="S709" s="215" t="str">
        <x:v>APWEB-CRAS; FNA-CRAS; POWO-CRAS; LBJ-HAYS</x:v>
      </x:c>
      <x:c r="T709" s="215" t="str">
        <x:v>https://www.mobot.org/MOBOT/research/APweb/orders/saxifragalesweb.htm</x:v>
      </x:c>
      <x:c r="U709" s="215" t="str">
        <x:v>https://floranorthamerica.org/Crassulaceae</x:v>
      </x:c>
      <x:c r="V709" s="215" t="str">
        <x:v>https://powo.science.kew.org/taxon/urn:lsid:ipni.org:names:30000887-2/general-information</x:v>
      </x:c>
      <x:c r="W709" s="215" t="str">
        <x:v>https://www.mobot.org/MOBOT/research/APweb/orders/saxifragalesweb.htm
https://floranorthamerica.org/Crassulaceae
https://powo.science.kew.org/taxon/urn:lsid:ipni.org:names:30000887-2/general-information
https://www.wildflower.org/collections/collection.php?collection=hays</x:v>
      </x:c>
      <x:c r="X709" s="215" t="str">
        <x:v>No — retain qualifiers and exceptions</x:v>
      </x:c>
      <x:c r="Y709" s="215" t="str">
        <x:v>Yes</x:v>
      </x:c>
      <x:c r="Z709" s="215" t="str">
        <x:v>Source-backed draft</x:v>
      </x:c>
    </x:row>
    <x:row r="710" ht="42" customHeight="1">
      <x:c r="A710" s="215" t="str">
        <x:v>Crassulaceae</x:v>
      </x:c>
      <x:c r="B710" s="215" t="str">
        <x:v>CRA-LK02</x:v>
      </x:c>
      <x:c r="C710" s="215" t="str">
        <x:v>Lookalike comparison</x:v>
      </x:c>
      <x:c r="D710" s="215" t="str">
        <x:v>Lookalike</x:v>
      </x:c>
      <x:c r="E710" s="215" t="str">
        <x:v>Versus Portulacaceae: several separate follicles favor Crassulaceae; a single ovary producing a circumscissile capsule favors Portulaca</x:v>
      </x:c>
      <x:c r="F710" s="215" t="str">
        <x:v>Lookalike</x:v>
      </x:c>
      <x:c r="G710" s="215" t="str">
        <x:v>5</x:v>
      </x:c>
      <x:c r="H710" s="215" t="str">
        <x:v>High</x:v>
      </x:c>
      <x:c r="I710" s="215" t="str">
        <x:v>Naked eye or hand lens</x:v>
      </x:c>
      <x:c r="J710" s="215" t="str">
        <x:v>Mature fruit</x:v>
      </x:c>
      <x:c r="K710" s="215" t="str">
        <x:v>Both can be small succulent herbs with bright 4–5-parted flowers.</x:v>
      </x:c>
      <x:c r="L710" s="215" t="str">
        <x:v>Vegetative plants may remain ambiguous.</x:v>
      </x:c>
      <x:c r="M710" s="215" t="str">
        <x:v>Use mature fruit construction.</x:v>
      </x:c>
      <x:c r="N710" s="215" t="str">
        <x:v>Native stonecrops occur on thin soils, rock outcrops, and shallow limestone or granitic microsites in the Central Texas target zone.</x:v>
      </x:c>
      <x:c r="O710" s="215" t="str">
        <x:v>Low</x:v>
      </x:c>
      <x:c r="P710" s="215" t="str">
        <x:v>No</x:v>
      </x:c>
      <x:c r="Q710" s="215" t="str"/>
      <x:c r="R710" s="215" t="str">
        <x:v>CRA-HABIT; CRA-FLOWER; CRA-OVARY; CRA-FRUIT</x:v>
      </x:c>
      <x:c r="S710" s="215" t="str">
        <x:v>APWEB-CRAS; FNA-CRAS; POWO-CRAS; LBJ-HAYS</x:v>
      </x:c>
      <x:c r="T710" s="215" t="str">
        <x:v>https://www.mobot.org/MOBOT/research/APweb/orders/saxifragalesweb.htm</x:v>
      </x:c>
      <x:c r="U710" s="215" t="str">
        <x:v>https://floranorthamerica.org/Crassulaceae</x:v>
      </x:c>
      <x:c r="V710" s="215" t="str">
        <x:v>https://powo.science.kew.org/taxon/urn:lsid:ipni.org:names:30000887-2/general-information</x:v>
      </x:c>
      <x:c r="W710" s="215" t="str">
        <x:v>https://www.mobot.org/MOBOT/research/APweb/orders/saxifragalesweb.htm
https://floranorthamerica.org/Crassulaceae
https://powo.science.kew.org/taxon/urn:lsid:ipni.org:names:30000887-2/general-information
https://www.wildflower.org/collections/collection.php?collection=hays</x:v>
      </x:c>
      <x:c r="X710" s="215" t="str">
        <x:v>No — retain qualifiers and exceptions</x:v>
      </x:c>
      <x:c r="Y710" s="215" t="str">
        <x:v>Yes</x:v>
      </x:c>
      <x:c r="Z710" s="215" t="str">
        <x:v>Source-backed draft</x:v>
      </x:c>
    </x:row>
    <x:row r="711" ht="42" customHeight="1">
      <x:c r="A711" s="215" t="str">
        <x:v>Passifloraceae</x:v>
      </x:c>
      <x:c r="B711" s="215" t="str">
        <x:v>PAS-HABIT</x:v>
      </x:c>
      <x:c r="C711" s="215" t="str">
        <x:v>Family character</x:v>
      </x:c>
      <x:c r="D711" s="215" t="str">
        <x:v>Habit</x:v>
      </x:c>
      <x:c r="E711" s="215" t="str">
        <x:v>Herbs, shrubs, or trees; local Passiflora are usually tendril-bearing vines</x:v>
      </x:c>
      <x:c r="F711" s="215" t="str">
        <x:v>Strong</x:v>
      </x:c>
      <x:c r="G711" s="215" t="str">
        <x:v>3</x:v>
      </x:c>
      <x:c r="H711" s="215" t="str">
        <x:v>High</x:v>
      </x:c>
      <x:c r="I711" s="215" t="str">
        <x:v>Naked eye</x:v>
      </x:c>
      <x:c r="J711" s="215" t="str">
        <x:v>Active growth</x:v>
      </x:c>
      <x:c r="K711" s="215" t="str">
        <x:v>Central Texas passionflowers are climbing herbs or vines.</x:v>
      </x:c>
      <x:c r="L711" s="215" t="str">
        <x:v>The broad family includes nonclimbing shrubs and trees, including former Turneraceae.</x:v>
      </x:c>
      <x:c r="M711" s="215" t="str">
        <x:v>Use local vine habit with floral evidence, not as a global universal.</x:v>
      </x:c>
      <x:c r="N711" s="215" t="str">
        <x:v>Native Passiflora vines occur in Hays and adjacent Central Texas in thickets, woodland edges, fencerows, and disturbed openings.</x:v>
      </x:c>
      <x:c r="O711" s="215" t="str">
        <x:v>Low</x:v>
      </x:c>
      <x:c r="P711" s="215" t="str">
        <x:v>No</x:v>
      </x:c>
      <x:c r="Q711" s="215" t="str"/>
      <x:c r="R711" s="215" t="str">
        <x:v>PAS-LK01; PAS-LK02</x:v>
      </x:c>
      <x:c r="S711" s="215" t="str">
        <x:v>APWEB-PASS; FNA-PASS; POWO-PASS; LBJ-HAYS</x:v>
      </x:c>
      <x:c r="T711" s="215" t="str">
        <x:v>https://www.mobot.org/MOBOT/research/APweb/orders/malpighialesweb.htm</x:v>
      </x:c>
      <x:c r="U711" s="215" t="str">
        <x:v>https://floranorthamerica.org/Passifloraceae</x:v>
      </x:c>
      <x:c r="V711" s="215" t="str">
        <x:v>https://powo.science.kew.org/taxon/urn:lsid:ipni.org:names:30003386-2/general-information</x:v>
      </x:c>
      <x:c r="W711" s="215" t="str">
        <x:v>https://www.mobot.org/MOBOT/research/APweb/orders/malpighialesweb.htm
https://floranorthamerica.org/Passifloraceae
https://powo.science.kew.org/taxon/urn:lsid:ipni.org:names:30003386-2/general-information
https://www.wildflower.org/collections/collection.php?collection=hays</x:v>
      </x:c>
      <x:c r="X711" s="215" t="str">
        <x:v>No — retain qualifiers and exceptions</x:v>
      </x:c>
      <x:c r="Y711" s="215" t="str">
        <x:v>Yes</x:v>
      </x:c>
      <x:c r="Z711" s="215" t="str">
        <x:v>Source-backed draft</x:v>
      </x:c>
    </x:row>
    <x:row r="712" ht="42" customHeight="1">
      <x:c r="A712" s="215" t="str">
        <x:v>Passifloraceae</x:v>
      </x:c>
      <x:c r="B712" s="215" t="str">
        <x:v>PAS-TENDRILS</x:v>
      </x:c>
      <x:c r="C712" s="215" t="str">
        <x:v>Family character</x:v>
      </x:c>
      <x:c r="D712" s="215" t="str">
        <x:v>Stems / tendrils</x:v>
      </x:c>
      <x:c r="E712" s="215" t="str">
        <x:v>Passiflora commonly bears solitary axillary tendrils derived from the inflorescence system</x:v>
      </x:c>
      <x:c r="F712" s="215" t="str">
        <x:v>Strong</x:v>
      </x:c>
      <x:c r="G712" s="215" t="str">
        <x:v>4</x:v>
      </x:c>
      <x:c r="H712" s="215" t="str">
        <x:v>High</x:v>
      </x:c>
      <x:c r="I712" s="215" t="str">
        <x:v>Naked eye</x:v>
      </x:c>
      <x:c r="J712" s="215" t="str">
        <x:v>Vegetative shoots</x:v>
      </x:c>
      <x:c r="K712" s="215" t="str">
        <x:v>A tendril usually arises beside the leaf at a node.</x:v>
      </x:c>
      <x:c r="L712" s="215" t="str">
        <x:v>Tendrils are absent from many non-Passiflora family members and may be missing on short shoots.</x:v>
      </x:c>
      <x:c r="M712" s="215" t="str">
        <x:v>Combine node structure with flowers or fruit.</x:v>
      </x:c>
      <x:c r="N712" s="215" t="str">
        <x:v>Native Passiflora vines occur in Hays and adjacent Central Texas in thickets, woodland edges, fencerows, and disturbed openings.</x:v>
      </x:c>
      <x:c r="O712" s="215" t="str">
        <x:v>Low</x:v>
      </x:c>
      <x:c r="P712" s="215" t="str">
        <x:v>No</x:v>
      </x:c>
      <x:c r="Q712" s="215" t="str"/>
      <x:c r="R712" s="215" t="str">
        <x:v>PAS-LK01; PAS-LK02</x:v>
      </x:c>
      <x:c r="S712" s="215" t="str">
        <x:v>APWEB-PASS; FNA-PASS; POWO-PASS; LBJ-HAYS</x:v>
      </x:c>
      <x:c r="T712" s="215" t="str">
        <x:v>https://www.mobot.org/MOBOT/research/APweb/orders/malpighialesweb.htm</x:v>
      </x:c>
      <x:c r="U712" s="215" t="str">
        <x:v>https://floranorthamerica.org/Passifloraceae</x:v>
      </x:c>
      <x:c r="V712" s="215" t="str">
        <x:v>https://powo.science.kew.org/taxon/urn:lsid:ipni.org:names:30003386-2/general-information</x:v>
      </x:c>
      <x:c r="W712" s="215" t="str">
        <x:v>https://www.mobot.org/MOBOT/research/APweb/orders/malpighialesweb.htm
https://floranorthamerica.org/Passifloraceae
https://powo.science.kew.org/taxon/urn:lsid:ipni.org:names:30003386-2/general-information
https://www.wildflower.org/collections/collection.php?collection=hays</x:v>
      </x:c>
      <x:c r="X712" s="215" t="str">
        <x:v>No — retain qualifiers and exceptions</x:v>
      </x:c>
      <x:c r="Y712" s="215" t="str">
        <x:v>Yes</x:v>
      </x:c>
      <x:c r="Z712" s="215" t="str">
        <x:v>Source-backed draft</x:v>
      </x:c>
    </x:row>
    <x:row r="713" ht="42" customHeight="1">
      <x:c r="A713" s="215" t="str">
        <x:v>Passifloraceae</x:v>
      </x:c>
      <x:c r="B713" s="215" t="str">
        <x:v>PAS-LEAVES</x:v>
      </x:c>
      <x:c r="C713" s="215" t="str">
        <x:v>Family character</x:v>
      </x:c>
      <x:c r="D713" s="215" t="str">
        <x:v>Leaves / stipules</x:v>
      </x:c>
      <x:c r="E713" s="215" t="str">
        <x:v>Leaves alternate, simple or lobed, commonly stipulate; petiole or blade glands may be present</x:v>
      </x:c>
      <x:c r="F713" s="215" t="str">
        <x:v>Strong</x:v>
      </x:c>
      <x:c r="G713" s="215" t="str">
        <x:v>3</x:v>
      </x:c>
      <x:c r="H713" s="215" t="str">
        <x:v>High</x:v>
      </x:c>
      <x:c r="I713" s="215" t="str">
        <x:v>Naked eye or hand lens</x:v>
      </x:c>
      <x:c r="J713" s="215" t="str">
        <x:v>Mature leaves</x:v>
      </x:c>
      <x:c r="K713" s="215" t="str">
        <x:v>Passionflower leaves often have conspicuous lobes and paired stipules.</x:v>
      </x:c>
      <x:c r="L713" s="215" t="str">
        <x:v>Leaf shape is highly variable even within a genus.</x:v>
      </x:c>
      <x:c r="M713" s="215" t="str">
        <x:v>Use glands and node structure, not lobe count alone.</x:v>
      </x:c>
      <x:c r="N713" s="215" t="str">
        <x:v>Native Passiflora vines occur in Hays and adjacent Central Texas in thickets, woodland edges, fencerows, and disturbed openings.</x:v>
      </x:c>
      <x:c r="O713" s="215" t="str">
        <x:v>Low</x:v>
      </x:c>
      <x:c r="P713" s="215" t="str">
        <x:v>No</x:v>
      </x:c>
      <x:c r="Q713" s="215" t="str"/>
      <x:c r="R713" s="215" t="str"/>
      <x:c r="S713" s="215" t="str">
        <x:v>APWEB-PASS; FNA-PASS; POWO-PASS; LBJ-HAYS</x:v>
      </x:c>
      <x:c r="T713" s="215" t="str">
        <x:v>https://www.mobot.org/MOBOT/research/APweb/orders/malpighialesweb.htm</x:v>
      </x:c>
      <x:c r="U713" s="215" t="str">
        <x:v>https://floranorthamerica.org/Passifloraceae</x:v>
      </x:c>
      <x:c r="V713" s="215" t="str">
        <x:v>https://powo.science.kew.org/taxon/urn:lsid:ipni.org:names:30003386-2/general-information</x:v>
      </x:c>
      <x:c r="W713" s="215" t="str">
        <x:v>https://www.mobot.org/MOBOT/research/APweb/orders/malpighialesweb.htm
https://floranorthamerica.org/Passifloraceae
https://powo.science.kew.org/taxon/urn:lsid:ipni.org:names:30003386-2/general-information
https://www.wildflower.org/collections/collection.php?collection=hays</x:v>
      </x:c>
      <x:c r="X713" s="215" t="str">
        <x:v>No — retain qualifiers and exceptions</x:v>
      </x:c>
      <x:c r="Y713" s="215" t="str">
        <x:v>Yes</x:v>
      </x:c>
      <x:c r="Z713" s="215" t="str">
        <x:v>Source-backed draft</x:v>
      </x:c>
    </x:row>
    <x:row r="714" ht="42" customHeight="1">
      <x:c r="A714" s="215" t="str">
        <x:v>Passifloraceae</x:v>
      </x:c>
      <x:c r="B714" s="215" t="str">
        <x:v>PAS-GLANDS</x:v>
      </x:c>
      <x:c r="C714" s="215" t="str">
        <x:v>Family character</x:v>
      </x:c>
      <x:c r="D714" s="215" t="str">
        <x:v>Extrafloral nectaries</x:v>
      </x:c>
      <x:c r="E714" s="215" t="str">
        <x:v>Glandular nectaries commonly occur on petioles, leaf blades, bracts, or stipules</x:v>
      </x:c>
      <x:c r="F714" s="215" t="str">
        <x:v>Strong</x:v>
      </x:c>
      <x:c r="G714" s="215" t="str">
        <x:v>4</x:v>
      </x:c>
      <x:c r="H714" s="215" t="str">
        <x:v>High</x:v>
      </x:c>
      <x:c r="I714" s="215" t="str">
        <x:v>Naked eye or hand lens</x:v>
      </x:c>
      <x:c r="J714" s="215" t="str">
        <x:v>Fresh leafy shoots</x:v>
      </x:c>
      <x:c r="K714" s="215" t="str">
        <x:v>Small raised glands near the leaf can be a strong Passiflora clue.</x:v>
      </x:c>
      <x:c r="L714" s="215" t="str">
        <x:v>Gland position and presence vary; insect damage can mimic glands.</x:v>
      </x:c>
      <x:c r="M714" s="215" t="str">
        <x:v>Inspect several nodes and link to flowers.</x:v>
      </x:c>
      <x:c r="N714" s="215" t="str">
        <x:v>Native Passiflora vines occur in Hays and adjacent Central Texas in thickets, woodland edges, fencerows, and disturbed openings.</x:v>
      </x:c>
      <x:c r="O714" s="215" t="str">
        <x:v>Low</x:v>
      </x:c>
      <x:c r="P714" s="215" t="str">
        <x:v>No</x:v>
      </x:c>
      <x:c r="Q714" s="215" t="str"/>
      <x:c r="R714" s="215" t="str">
        <x:v>PAS-LK02</x:v>
      </x:c>
      <x:c r="S714" s="215" t="str">
        <x:v>APWEB-PASS; FNA-PASS; POWO-PASS; LBJ-HAYS</x:v>
      </x:c>
      <x:c r="T714" s="215" t="str">
        <x:v>https://www.mobot.org/MOBOT/research/APweb/orders/malpighialesweb.htm</x:v>
      </x:c>
      <x:c r="U714" s="215" t="str">
        <x:v>https://floranorthamerica.org/Passifloraceae</x:v>
      </x:c>
      <x:c r="V714" s="215" t="str">
        <x:v>https://powo.science.kew.org/taxon/urn:lsid:ipni.org:names:30003386-2/general-information</x:v>
      </x:c>
      <x:c r="W714" s="215" t="str">
        <x:v>https://www.mobot.org/MOBOT/research/APweb/orders/malpighialesweb.htm
https://floranorthamerica.org/Passifloraceae
https://powo.science.kew.org/taxon/urn:lsid:ipni.org:names:30003386-2/general-information
https://www.wildflower.org/collections/collection.php?collection=hays</x:v>
      </x:c>
      <x:c r="X714" s="215" t="str">
        <x:v>No — retain qualifiers and exceptions</x:v>
      </x:c>
      <x:c r="Y714" s="215" t="str">
        <x:v>Yes</x:v>
      </x:c>
      <x:c r="Z714" s="215" t="str">
        <x:v>Source-backed draft</x:v>
      </x:c>
    </x:row>
    <x:row r="715" ht="42" customHeight="1">
      <x:c r="A715" s="215" t="str">
        <x:v>Passifloraceae</x:v>
      </x:c>
      <x:c r="B715" s="215" t="str">
        <x:v>PAS-FLOWER</x:v>
      </x:c>
      <x:c r="C715" s="215" t="str">
        <x:v>Family character</x:v>
      </x:c>
      <x:c r="D715" s="215" t="str">
        <x:v>Flowers</x:v>
      </x:c>
      <x:c r="E715" s="215" t="str">
        <x:v>Flowers usually bisexual, radially symmetric, commonly 5-merous, with sepals and petals surrounding a complex center</x:v>
      </x:c>
      <x:c r="F715" s="215" t="str">
        <x:v>Strong</x:v>
      </x:c>
      <x:c r="G715" s="215" t="str">
        <x:v>4</x:v>
      </x:c>
      <x:c r="H715" s="215" t="str">
        <x:v>High</x:v>
      </x:c>
      <x:c r="I715" s="215" t="str">
        <x:v>Naked eye</x:v>
      </x:c>
      <x:c r="J715" s="215" t="str">
        <x:v>Fresh flowers</x:v>
      </x:c>
      <x:c r="K715" s="215" t="str">
        <x:v>The flower has five main parts in each outer whorl and a distinctive central structure.</x:v>
      </x:c>
      <x:c r="L715" s="215" t="str">
        <x:v>Petals can be absent in some species and the broad family is morphologically diverse.</x:v>
      </x:c>
      <x:c r="M715" s="215" t="str">
        <x:v>Use the corona and reproductive column for confirmation.</x:v>
      </x:c>
      <x:c r="N715" s="215" t="str">
        <x:v>Native Passiflora vines occur in Hays and adjacent Central Texas in thickets, woodland edges, fencerows, and disturbed openings.</x:v>
      </x:c>
      <x:c r="O715" s="215" t="str">
        <x:v>Low</x:v>
      </x:c>
      <x:c r="P715" s="215" t="str">
        <x:v>No</x:v>
      </x:c>
      <x:c r="Q715" s="215" t="str"/>
      <x:c r="R715" s="215" t="str">
        <x:v>PAS-LK01; PAS-LK02</x:v>
      </x:c>
      <x:c r="S715" s="215" t="str">
        <x:v>APWEB-PASS; FNA-PASS; POWO-PASS; LBJ-HAYS</x:v>
      </x:c>
      <x:c r="T715" s="215" t="str">
        <x:v>https://www.mobot.org/MOBOT/research/APweb/orders/malpighialesweb.htm</x:v>
      </x:c>
      <x:c r="U715" s="215" t="str">
        <x:v>https://floranorthamerica.org/Passifloraceae</x:v>
      </x:c>
      <x:c r="V715" s="215" t="str">
        <x:v>https://powo.science.kew.org/taxon/urn:lsid:ipni.org:names:30003386-2/general-information</x:v>
      </x:c>
      <x:c r="W715" s="215" t="str">
        <x:v>https://www.mobot.org/MOBOT/research/APweb/orders/malpighialesweb.htm
https://floranorthamerica.org/Passifloraceae
https://powo.science.kew.org/taxon/urn:lsid:ipni.org:names:30003386-2/general-information
https://www.wildflower.org/collections/collection.php?collection=hays</x:v>
      </x:c>
      <x:c r="X715" s="215" t="str">
        <x:v>No — retain qualifiers and exceptions</x:v>
      </x:c>
      <x:c r="Y715" s="215" t="str">
        <x:v>Yes</x:v>
      </x:c>
      <x:c r="Z715" s="215" t="str">
        <x:v>Source-backed draft</x:v>
      </x:c>
    </x:row>
    <x:row r="716" ht="42" customHeight="1">
      <x:c r="A716" s="215" t="str">
        <x:v>Passifloraceae</x:v>
      </x:c>
      <x:c r="B716" s="215" t="str">
        <x:v>PAS-CORONA</x:v>
      </x:c>
      <x:c r="C716" s="215" t="str">
        <x:v>Family character</x:v>
      </x:c>
      <x:c r="D716" s="215" t="str">
        <x:v>Corona</x:v>
      </x:c>
      <x:c r="E716" s="215" t="str">
        <x:v>One or more rings of filaments, scales, or membranes form a conspicuous corona between the perianth and stamens in Passiflora</x:v>
      </x:c>
      <x:c r="F716" s="215" t="str">
        <x:v>Strong</x:v>
      </x:c>
      <x:c r="G716" s="215" t="str">
        <x:v>5</x:v>
      </x:c>
      <x:c r="H716" s="215" t="str">
        <x:v>High</x:v>
      </x:c>
      <x:c r="I716" s="215" t="str">
        <x:v>Naked eye or hand lens</x:v>
      </x:c>
      <x:c r="J716" s="215" t="str">
        <x:v>Fresh flowers</x:v>
      </x:c>
      <x:c r="K716" s="215" t="str">
        <x:v>The showy fringe inside the petals is the classic passionflower feature.</x:v>
      </x:c>
      <x:c r="L716" s="215" t="str">
        <x:v>Corona form ranges from prominent filaments to reduced structures in the broad family.</x:v>
      </x:c>
      <x:c r="M716" s="215" t="str">
        <x:v>Treat a well-developed Passiflora corona as high-value evidence.</x:v>
      </x:c>
      <x:c r="N716" s="215" t="str">
        <x:v>Native Passiflora vines occur in Hays and adjacent Central Texas in thickets, woodland edges, fencerows, and disturbed openings.</x:v>
      </x:c>
      <x:c r="O716" s="215" t="str">
        <x:v>Low</x:v>
      </x:c>
      <x:c r="P716" s="215" t="str">
        <x:v>No</x:v>
      </x:c>
      <x:c r="Q716" s="215" t="str"/>
      <x:c r="R716" s="215" t="str">
        <x:v>PAS-LK01</x:v>
      </x:c>
      <x:c r="S716" s="215" t="str">
        <x:v>APWEB-PASS; FNA-PASS; POWO-PASS; LBJ-HAYS</x:v>
      </x:c>
      <x:c r="T716" s="215" t="str">
        <x:v>https://www.mobot.org/MOBOT/research/APweb/orders/malpighialesweb.htm</x:v>
      </x:c>
      <x:c r="U716" s="215" t="str">
        <x:v>https://floranorthamerica.org/Passifloraceae</x:v>
      </x:c>
      <x:c r="V716" s="215" t="str">
        <x:v>https://powo.science.kew.org/taxon/urn:lsid:ipni.org:names:30003386-2/general-information</x:v>
      </x:c>
      <x:c r="W716" s="215" t="str">
        <x:v>https://www.mobot.org/MOBOT/research/APweb/orders/malpighialesweb.htm
https://floranorthamerica.org/Passifloraceae
https://powo.science.kew.org/taxon/urn:lsid:ipni.org:names:30003386-2/general-information
https://www.wildflower.org/collections/collection.php?collection=hays</x:v>
      </x:c>
      <x:c r="X716" s="215" t="str">
        <x:v>No — retain qualifiers and exceptions</x:v>
      </x:c>
      <x:c r="Y716" s="215" t="str">
        <x:v>Yes</x:v>
      </x:c>
      <x:c r="Z716" s="215" t="str">
        <x:v>Source-backed draft</x:v>
      </x:c>
    </x:row>
    <x:row r="717" ht="42" customHeight="1">
      <x:c r="A717" s="215" t="str">
        <x:v>Passifloraceae</x:v>
      </x:c>
      <x:c r="B717" s="215" t="str">
        <x:v>PAS-COLUMN</x:v>
      </x:c>
      <x:c r="C717" s="215" t="str">
        <x:v>Family character</x:v>
      </x:c>
      <x:c r="D717" s="215" t="str">
        <x:v>Androecium / gynoecium</x:v>
      </x:c>
      <x:c r="E717" s="215" t="str">
        <x:v>Stamens and ovary are elevated on an androgynophore in Passiflora; commonly five stamens surround a 3-carpellate ovary</x:v>
      </x:c>
      <x:c r="F717" s="215" t="str">
        <x:v>Strong</x:v>
      </x:c>
      <x:c r="G717" s="215" t="str">
        <x:v>5</x:v>
      </x:c>
      <x:c r="H717" s="215" t="str">
        <x:v>High</x:v>
      </x:c>
      <x:c r="I717" s="215" t="str">
        <x:v>Naked eye or hand lens</x:v>
      </x:c>
      <x:c r="J717" s="215" t="str">
        <x:v>Fresh flowers</x:v>
      </x:c>
      <x:c r="K717" s="215" t="str">
        <x:v>The stamens and ovary sit together on a raised central stalk.</x:v>
      </x:c>
      <x:c r="L717" s="215" t="str">
        <x:v>The broad family includes lineages without the same conspicuous column.</x:v>
      </x:c>
      <x:c r="M717" s="215" t="str">
        <x:v>Use with corona and tendrils for local material.</x:v>
      </x:c>
      <x:c r="N717" s="215" t="str">
        <x:v>Native Passiflora vines occur in Hays and adjacent Central Texas in thickets, woodland edges, fencerows, and disturbed openings.</x:v>
      </x:c>
      <x:c r="O717" s="215" t="str">
        <x:v>Low</x:v>
      </x:c>
      <x:c r="P717" s="215" t="str">
        <x:v>No</x:v>
      </x:c>
      <x:c r="Q717" s="215" t="str"/>
      <x:c r="R717" s="215" t="str">
        <x:v>PAS-LK01; PAS-LK02</x:v>
      </x:c>
      <x:c r="S717" s="215" t="str">
        <x:v>APWEB-PASS; FNA-PASS; POWO-PASS; LBJ-HAYS</x:v>
      </x:c>
      <x:c r="T717" s="215" t="str">
        <x:v>https://www.mobot.org/MOBOT/research/APweb/orders/malpighialesweb.htm</x:v>
      </x:c>
      <x:c r="U717" s="215" t="str">
        <x:v>https://floranorthamerica.org/Passifloraceae</x:v>
      </x:c>
      <x:c r="V717" s="215" t="str">
        <x:v>https://powo.science.kew.org/taxon/urn:lsid:ipni.org:names:30003386-2/general-information</x:v>
      </x:c>
      <x:c r="W717" s="215" t="str">
        <x:v>https://www.mobot.org/MOBOT/research/APweb/orders/malpighialesweb.htm
https://floranorthamerica.org/Passifloraceae
https://powo.science.kew.org/taxon/urn:lsid:ipni.org:names:30003386-2/general-information
https://www.wildflower.org/collections/collection.php?collection=hays</x:v>
      </x:c>
      <x:c r="X717" s="215" t="str">
        <x:v>No — retain qualifiers and exceptions</x:v>
      </x:c>
      <x:c r="Y717" s="215" t="str">
        <x:v>Yes</x:v>
      </x:c>
      <x:c r="Z717" s="215" t="str">
        <x:v>Source-backed draft</x:v>
      </x:c>
    </x:row>
    <x:row r="718" ht="42" customHeight="1">
      <x:c r="A718" s="215" t="str">
        <x:v>Passifloraceae</x:v>
      </x:c>
      <x:c r="B718" s="215" t="str">
        <x:v>PAS-OVARY</x:v>
      </x:c>
      <x:c r="C718" s="215" t="str">
        <x:v>Family character</x:v>
      </x:c>
      <x:c r="D718" s="215" t="str">
        <x:v>Gynoecium</x:v>
      </x:c>
      <x:c r="E718" s="215" t="str">
        <x:v>Ovary superior, commonly 3-carpellate and 1-locular with parietal placentation in Passiflora</x:v>
      </x:c>
      <x:c r="F718" s="215" t="str">
        <x:v>Strong</x:v>
      </x:c>
      <x:c r="G718" s="215" t="str">
        <x:v>4</x:v>
      </x:c>
      <x:c r="H718" s="215" t="str">
        <x:v>High</x:v>
      </x:c>
      <x:c r="I718" s="215" t="str">
        <x:v>Hand lens or dissection</x:v>
      </x:c>
      <x:c r="J718" s="215" t="str">
        <x:v>Fresh flowers or young fruit</x:v>
      </x:c>
      <x:c r="K718" s="215" t="str">
        <x:v>Ovules attach to the outer walls of a single chamber.</x:v>
      </x:c>
      <x:c r="L718" s="215" t="str">
        <x:v>Carpel number and placentation vary across the expanded family.</x:v>
      </x:c>
      <x:c r="M718" s="215" t="str">
        <x:v>Confirm through fruit and current genus placement.</x:v>
      </x:c>
      <x:c r="N718" s="215" t="str">
        <x:v>Native Passiflora vines occur in Hays and adjacent Central Texas in thickets, woodland edges, fencerows, and disturbed openings.</x:v>
      </x:c>
      <x:c r="O718" s="215" t="str">
        <x:v>Low</x:v>
      </x:c>
      <x:c r="P718" s="215" t="str">
        <x:v>No</x:v>
      </x:c>
      <x:c r="Q718" s="215" t="str"/>
      <x:c r="R718" s="215" t="str"/>
      <x:c r="S718" s="215" t="str">
        <x:v>APWEB-PASS; FNA-PASS; POWO-PASS; LBJ-HAYS</x:v>
      </x:c>
      <x:c r="T718" s="215" t="str">
        <x:v>https://www.mobot.org/MOBOT/research/APweb/orders/malpighialesweb.htm</x:v>
      </x:c>
      <x:c r="U718" s="215" t="str">
        <x:v>https://floranorthamerica.org/Passifloraceae</x:v>
      </x:c>
      <x:c r="V718" s="215" t="str">
        <x:v>https://powo.science.kew.org/taxon/urn:lsid:ipni.org:names:30003386-2/general-information</x:v>
      </x:c>
      <x:c r="W718" s="215" t="str">
        <x:v>https://www.mobot.org/MOBOT/research/APweb/orders/malpighialesweb.htm
https://floranorthamerica.org/Passifloraceae
https://powo.science.kew.org/taxon/urn:lsid:ipni.org:names:30003386-2/general-information
https://www.wildflower.org/collections/collection.php?collection=hays</x:v>
      </x:c>
      <x:c r="X718" s="215" t="str">
        <x:v>No — retain qualifiers and exceptions</x:v>
      </x:c>
      <x:c r="Y718" s="215" t="str">
        <x:v>Yes</x:v>
      </x:c>
      <x:c r="Z718" s="215" t="str">
        <x:v>Source-backed draft</x:v>
      </x:c>
    </x:row>
    <x:row r="719" ht="42" customHeight="1">
      <x:c r="A719" s="215" t="str">
        <x:v>Passifloraceae</x:v>
      </x:c>
      <x:c r="B719" s="215" t="str">
        <x:v>PAS-FRUIT</x:v>
      </x:c>
      <x:c r="C719" s="215" t="str">
        <x:v>Family character</x:v>
      </x:c>
      <x:c r="D719" s="215" t="str">
        <x:v>Fruit / seeds</x:v>
      </x:c>
      <x:c r="E719" s="215" t="str">
        <x:v>Fruit commonly a berry in Passiflora, with many seeds surrounded by fleshy arils</x:v>
      </x:c>
      <x:c r="F719" s="215" t="str">
        <x:v>Strong</x:v>
      </x:c>
      <x:c r="G719" s="215" t="str">
        <x:v>4</x:v>
      </x:c>
      <x:c r="H719" s="215" t="str">
        <x:v>High</x:v>
      </x:c>
      <x:c r="I719" s="215" t="str">
        <x:v>Naked eye</x:v>
      </x:c>
      <x:c r="J719" s="215" t="str">
        <x:v>Mature fruit</x:v>
      </x:c>
      <x:c r="K719" s="215" t="str">
        <x:v>Passionfruits contain many individually arillate seeds.</x:v>
      </x:c>
      <x:c r="L719" s="215" t="str">
        <x:v>Other Passifloraceae lineages may have capsules rather than berries.</x:v>
      </x:c>
      <x:c r="M719" s="215" t="str">
        <x:v>Use fruit only after recognizing the local Passiflora suite.</x:v>
      </x:c>
      <x:c r="N719" s="215" t="str">
        <x:v>Native Passiflora vines occur in Hays and adjacent Central Texas in thickets, woodland edges, fencerows, and disturbed openings.</x:v>
      </x:c>
      <x:c r="O719" s="215" t="str">
        <x:v>Low</x:v>
      </x:c>
      <x:c r="P719" s="215" t="str">
        <x:v>No</x:v>
      </x:c>
      <x:c r="Q719" s="215" t="str"/>
      <x:c r="R719" s="215" t="str">
        <x:v>PAS-LK01; PAS-LK02</x:v>
      </x:c>
      <x:c r="S719" s="215" t="str">
        <x:v>APWEB-PASS; FNA-PASS; POWO-PASS; LBJ-HAYS</x:v>
      </x:c>
      <x:c r="T719" s="215" t="str">
        <x:v>https://www.mobot.org/MOBOT/research/APweb/orders/malpighialesweb.htm</x:v>
      </x:c>
      <x:c r="U719" s="215" t="str">
        <x:v>https://floranorthamerica.org/Passifloraceae</x:v>
      </x:c>
      <x:c r="V719" s="215" t="str">
        <x:v>https://powo.science.kew.org/taxon/urn:lsid:ipni.org:names:30003386-2/general-information</x:v>
      </x:c>
      <x:c r="W719" s="215" t="str">
        <x:v>https://www.mobot.org/MOBOT/research/APweb/orders/malpighialesweb.htm
https://floranorthamerica.org/Passifloraceae
https://powo.science.kew.org/taxon/urn:lsid:ipni.org:names:30003386-2/general-information
https://www.wildflower.org/collections/collection.php?collection=hays</x:v>
      </x:c>
      <x:c r="X719" s="215" t="str">
        <x:v>No — retain qualifiers and exceptions</x:v>
      </x:c>
      <x:c r="Y719" s="215" t="str">
        <x:v>Yes</x:v>
      </x:c>
      <x:c r="Z719" s="215" t="str">
        <x:v>Source-backed draft</x:v>
      </x:c>
    </x:row>
    <x:row r="720" ht="42" customHeight="1">
      <x:c r="A720" s="215" t="str">
        <x:v>Passifloraceae</x:v>
      </x:c>
      <x:c r="B720" s="215" t="str">
        <x:v>PAS-LK01</x:v>
      </x:c>
      <x:c r="C720" s="215" t="str">
        <x:v>Lookalike comparison</x:v>
      </x:c>
      <x:c r="D720" s="215" t="str">
        <x:v>Lookalike</x:v>
      </x:c>
      <x:c r="E720" s="215" t="str">
        <x:v>Versus Cucurbitaceae: axillary tendrils plus a showy corona and superior ovary favor Passiflora; unisexual flowers and an inferior ovary producing a pepo favor Cucurbitaceae</x:v>
      </x:c>
      <x:c r="F720" s="215" t="str">
        <x:v>Lookalike</x:v>
      </x:c>
      <x:c r="G720" s="215" t="str">
        <x:v>5</x:v>
      </x:c>
      <x:c r="H720" s="215" t="str">
        <x:v>High</x:v>
      </x:c>
      <x:c r="I720" s="215" t="str">
        <x:v>Naked eye or hand lens</x:v>
      </x:c>
      <x:c r="J720" s="215" t="str">
        <x:v>Flowering or fruiting material</x:v>
      </x:c>
      <x:c r="K720" s="215" t="str">
        <x:v>Both are often herbaceous vines with tendrils and lobed leaves.</x:v>
      </x:c>
      <x:c r="L720" s="215" t="str">
        <x:v>Without flowers, node glands and tendril position may only be suggestive.</x:v>
      </x:c>
      <x:c r="M720" s="215" t="str">
        <x:v>Prioritize ovary position, sex, corona, and mature fruit.</x:v>
      </x:c>
      <x:c r="N720" s="215" t="str">
        <x:v>Native Passiflora vines occur in Hays and adjacent Central Texas in thickets, woodland edges, fencerows, and disturbed openings.</x:v>
      </x:c>
      <x:c r="O720" s="215" t="str">
        <x:v>Low</x:v>
      </x:c>
      <x:c r="P720" s="215" t="str">
        <x:v>No</x:v>
      </x:c>
      <x:c r="Q720" s="215" t="str"/>
      <x:c r="R720" s="215" t="str">
        <x:v>PAS-TENDRILS; PAS-FLOWER; PAS-CORONA; PAS-OVARY; PAS-FRUIT</x:v>
      </x:c>
      <x:c r="S720" s="215" t="str">
        <x:v>APWEB-PASS; FNA-PASS; POWO-PASS; LBJ-HAYS</x:v>
      </x:c>
      <x:c r="T720" s="215" t="str">
        <x:v>https://www.mobot.org/MOBOT/research/APweb/orders/malpighialesweb.htm</x:v>
      </x:c>
      <x:c r="U720" s="215" t="str">
        <x:v>https://floranorthamerica.org/Passifloraceae</x:v>
      </x:c>
      <x:c r="V720" s="215" t="str">
        <x:v>https://powo.science.kew.org/taxon/urn:lsid:ipni.org:names:30003386-2/general-information</x:v>
      </x:c>
      <x:c r="W720" s="215" t="str">
        <x:v>https://www.mobot.org/MOBOT/research/APweb/orders/malpighialesweb.htm
https://floranorthamerica.org/Passifloraceae
https://powo.science.kew.org/taxon/urn:lsid:ipni.org:names:30003386-2/general-information
https://www.wildflower.org/collections/collection.php?collection=hays</x:v>
      </x:c>
      <x:c r="X720" s="215" t="str">
        <x:v>No — retain qualifiers and exceptions</x:v>
      </x:c>
      <x:c r="Y720" s="215" t="str">
        <x:v>Yes</x:v>
      </x:c>
      <x:c r="Z720" s="215" t="str">
        <x:v>Source-backed draft</x:v>
      </x:c>
    </x:row>
    <x:row r="721" ht="42" customHeight="1">
      <x:c r="A721" s="215" t="str">
        <x:v>Passifloraceae</x:v>
      </x:c>
      <x:c r="B721" s="215" t="str">
        <x:v>PAS-LK02</x:v>
      </x:c>
      <x:c r="C721" s="215" t="str">
        <x:v>Lookalike comparison</x:v>
      </x:c>
      <x:c r="D721" s="215" t="str">
        <x:v>Lookalike</x:v>
      </x:c>
      <x:c r="E721" s="215" t="str">
        <x:v>Versus Vitaceae: a corona and raised central reproductive column favor Passiflora; branched tendrils opposite leaves and clustered small flowers that become grapes favor Vitaceae</x:v>
      </x:c>
      <x:c r="F721" s="215" t="str">
        <x:v>Lookalike</x:v>
      </x:c>
      <x:c r="G721" s="215" t="str">
        <x:v>5</x:v>
      </x:c>
      <x:c r="H721" s="215" t="str">
        <x:v>High</x:v>
      </x:c>
      <x:c r="I721" s="215" t="str">
        <x:v>Naked eye or hand lens</x:v>
      </x:c>
      <x:c r="J721" s="215" t="str">
        <x:v>Flowering or fruiting material</x:v>
      </x:c>
      <x:c r="K721" s="215" t="str">
        <x:v>Both are tendril-bearing vines with alternate leaves.</x:v>
      </x:c>
      <x:c r="L721" s="215" t="str">
        <x:v>Sterile vines can remain uncertain.</x:v>
      </x:c>
      <x:c r="M721" s="215" t="str">
        <x:v>Use tendril position plus floral center and fruit.</x:v>
      </x:c>
      <x:c r="N721" s="215" t="str">
        <x:v>Native Passiflora vines occur in Hays and adjacent Central Texas in thickets, woodland edges, fencerows, and disturbed openings.</x:v>
      </x:c>
      <x:c r="O721" s="215" t="str">
        <x:v>Low</x:v>
      </x:c>
      <x:c r="P721" s="215" t="str">
        <x:v>No</x:v>
      </x:c>
      <x:c r="Q721" s="215" t="str"/>
      <x:c r="R721" s="215" t="str">
        <x:v>PAS-TENDRILS; PAS-GLANDS; PAS-CORONA; PAS-COLUMN; PAS-FRUIT</x:v>
      </x:c>
      <x:c r="S721" s="215" t="str">
        <x:v>APWEB-PASS; FNA-PASS; POWO-PASS; LBJ-HAYS</x:v>
      </x:c>
      <x:c r="T721" s="215" t="str">
        <x:v>https://www.mobot.org/MOBOT/research/APweb/orders/malpighialesweb.htm</x:v>
      </x:c>
      <x:c r="U721" s="215" t="str">
        <x:v>https://floranorthamerica.org/Passifloraceae</x:v>
      </x:c>
      <x:c r="V721" s="215" t="str">
        <x:v>https://powo.science.kew.org/taxon/urn:lsid:ipni.org:names:30003386-2/general-information</x:v>
      </x:c>
      <x:c r="W721" s="215" t="str">
        <x:v>https://www.mobot.org/MOBOT/research/APweb/orders/malpighialesweb.htm
https://floranorthamerica.org/Passifloraceae
https://powo.science.kew.org/taxon/urn:lsid:ipni.org:names:30003386-2/general-information
https://www.wildflower.org/collections/collection.php?collection=hays</x:v>
      </x:c>
      <x:c r="X721" s="215" t="str">
        <x:v>No — retain qualifiers and exceptions</x:v>
      </x:c>
      <x:c r="Y721" s="215" t="str">
        <x:v>Yes</x:v>
      </x:c>
      <x:c r="Z721" s="215" t="str">
        <x:v>Source-backed draft</x:v>
      </x:c>
    </x:row>
    <x:row r="722" ht="42" customHeight="1">
      <x:c r="A722" s="215" t="str">
        <x:v>Loasaceae</x:v>
      </x:c>
      <x:c r="B722" s="215" t="str">
        <x:v>LOA-HABIT</x:v>
      </x:c>
      <x:c r="C722" s="215" t="str">
        <x:v>Family character</x:v>
      </x:c>
      <x:c r="D722" s="215" t="str">
        <x:v>Habit</x:v>
      </x:c>
      <x:c r="E722" s="215" t="str">
        <x:v>Annual, biennial, or perennial herbs, subshrubs, shrubs, or rarely trees; surfaces usually rough</x:v>
      </x:c>
      <x:c r="F722" s="215" t="str">
        <x:v>Strong</x:v>
      </x:c>
      <x:c r="G722" s="215" t="str">
        <x:v>3</x:v>
      </x:c>
      <x:c r="H722" s="215" t="str">
        <x:v>High</x:v>
      </x:c>
      <x:c r="I722" s="215" t="str">
        <x:v>Naked eye</x:v>
      </x:c>
      <x:c r="J722" s="215" t="str">
        <x:v>Active growth</x:v>
      </x:c>
      <x:c r="K722" s="215" t="str">
        <x:v>Local stickleaf relatives are generally rough-textured herbs.</x:v>
      </x:c>
      <x:c r="L722" s="215" t="str">
        <x:v>The global family includes woody and evergreen forms.</x:v>
      </x:c>
      <x:c r="M722" s="215" t="str">
        <x:v>Use texture with hair type and flowers.</x:v>
      </x:c>
      <x:c r="N722" s="215" t="str">
        <x:v>Mentzelia-type stickleaf plants are regionally plausible on dry, rocky, sandy, or disturbed sites; exact Hays taxa and vouchers require reconciliation.</x:v>
      </x:c>
      <x:c r="O722" s="215" t="str">
        <x:v>Low</x:v>
      </x:c>
      <x:c r="P722" s="215" t="str">
        <x:v>No</x:v>
      </x:c>
      <x:c r="Q722" s="215" t="str"/>
      <x:c r="R722" s="215" t="str">
        <x:v>LOA-LK01; LOA-LK02</x:v>
      </x:c>
      <x:c r="S722" s="215" t="str">
        <x:v>APWEB-LOAS; FNA-LOAS; POWO-LOAS; LBJ-HAYS</x:v>
      </x:c>
      <x:c r="T722" s="215" t="str">
        <x:v>https://www.mobot.org/MOBOT/research/APweb/orders/cornalesweb.htm</x:v>
      </x:c>
      <x:c r="U722" s="215" t="str">
        <x:v>https://www.efloras.org/florataxon.aspx?flora_id=1&amp;taxon_id=10513</x:v>
      </x:c>
      <x:c r="V722" s="215" t="str">
        <x:v>https://powo.science.kew.org/taxon/urn:lsid:ipni.org:names:30000160-2/general-information</x:v>
      </x:c>
      <x:c r="W722" s="215" t="str">
        <x:v>https://www.mobot.org/MOBOT/research/APweb/orders/cornalesweb.htm
https://www.efloras.org/florataxon.aspx?flora_id=1&amp;taxon_id=10513
https://powo.science.kew.org/taxon/urn:lsid:ipni.org:names:30000160-2/general-information
https://www.wildflower.org/collections/collection.php?collection=hays</x:v>
      </x:c>
      <x:c r="X722" s="215" t="str">
        <x:v>No — retain qualifiers and exceptions</x:v>
      </x:c>
      <x:c r="Y722" s="215" t="str">
        <x:v>Yes</x:v>
      </x:c>
      <x:c r="Z722" s="215" t="str">
        <x:v>Source-backed draft</x:v>
      </x:c>
    </x:row>
    <x:row r="723" ht="42" customHeight="1">
      <x:c r="A723" s="215" t="str">
        <x:v>Loasaceae</x:v>
      </x:c>
      <x:c r="B723" s="215" t="str">
        <x:v>LOA-HAIRS</x:v>
      </x:c>
      <x:c r="C723" s="215" t="str">
        <x:v>Family character</x:v>
      </x:c>
      <x:c r="D723" s="215" t="str">
        <x:v>Hairs</x:v>
      </x:c>
      <x:c r="E723" s="215" t="str">
        <x:v>Indumentum may combine unbranched rough or barbed hairs, dendritic hairs, and stinging hairs</x:v>
      </x:c>
      <x:c r="F723" s="215" t="str">
        <x:v>Strong</x:v>
      </x:c>
      <x:c r="G723" s="215" t="str">
        <x:v>5</x:v>
      </x:c>
      <x:c r="H723" s="215" t="str">
        <x:v>High</x:v>
      </x:c>
      <x:c r="I723" s="215" t="str">
        <x:v>Hand lens; avoid touch</x:v>
      </x:c>
      <x:c r="J723" s="215" t="str">
        <x:v>Fresh stems and leaves</x:v>
      </x:c>
      <x:c r="K723" s="215" t="str">
        <x:v>Barbed stickleaf hairs can catch clothing and skin; some lineages sting.</x:v>
      </x:c>
      <x:c r="L723" s="215" t="str">
        <x:v>Hair complements vary and must never be tested by rubbing bare skin.</x:v>
      </x:c>
      <x:c r="M723" s="215" t="str">
        <x:v>Inspect visually with magnification and handle cautiously.</x:v>
      </x:c>
      <x:c r="N723" s="215" t="str">
        <x:v>Mentzelia-type stickleaf plants are regionally plausible on dry, rocky, sandy, or disturbed sites; exact Hays taxa and vouchers require reconciliation.</x:v>
      </x:c>
      <x:c r="O723" s="215" t="str">
        <x:v>Low</x:v>
      </x:c>
      <x:c r="P723" s="215" t="str">
        <x:v>No</x:v>
      </x:c>
      <x:c r="Q723" s="215" t="str"/>
      <x:c r="R723" s="215" t="str">
        <x:v>LOA-LK01; LOA-LK02</x:v>
      </x:c>
      <x:c r="S723" s="215" t="str">
        <x:v>APWEB-LOAS; FNA-LOAS; POWO-LOAS; LBJ-HAYS</x:v>
      </x:c>
      <x:c r="T723" s="215" t="str">
        <x:v>https://www.mobot.org/MOBOT/research/APweb/orders/cornalesweb.htm</x:v>
      </x:c>
      <x:c r="U723" s="215" t="str">
        <x:v>https://www.efloras.org/florataxon.aspx?flora_id=1&amp;taxon_id=10513</x:v>
      </x:c>
      <x:c r="V723" s="215" t="str">
        <x:v>https://powo.science.kew.org/taxon/urn:lsid:ipni.org:names:30000160-2/general-information</x:v>
      </x:c>
      <x:c r="W723" s="215" t="str">
        <x:v>https://www.mobot.org/MOBOT/research/APweb/orders/cornalesweb.htm
https://www.efloras.org/florataxon.aspx?flora_id=1&amp;taxon_id=10513
https://powo.science.kew.org/taxon/urn:lsid:ipni.org:names:30000160-2/general-information
https://www.wildflower.org/collections/collection.php?collection=hays</x:v>
      </x:c>
      <x:c r="X723" s="215" t="str">
        <x:v>No — retain qualifiers and exceptions</x:v>
      </x:c>
      <x:c r="Y723" s="215" t="str">
        <x:v>Yes</x:v>
      </x:c>
      <x:c r="Z723" s="215" t="str">
        <x:v>Source-backed draft</x:v>
      </x:c>
    </x:row>
    <x:row r="724" ht="42" customHeight="1">
      <x:c r="A724" s="215" t="str">
        <x:v>Loasaceae</x:v>
      </x:c>
      <x:c r="B724" s="215" t="str">
        <x:v>LOA-LEAVES</x:v>
      </x:c>
      <x:c r="C724" s="215" t="str">
        <x:v>Family character</x:v>
      </x:c>
      <x:c r="D724" s="215" t="str">
        <x:v>Leaves / stipules</x:v>
      </x:c>
      <x:c r="E724" s="215" t="str">
        <x:v>Leaves usually alternate, simple, exstipulate, and entire to deeply lobed or toothed</x:v>
      </x:c>
      <x:c r="F724" s="215" t="str">
        <x:v>Strong</x:v>
      </x:c>
      <x:c r="G724" s="215" t="str">
        <x:v>3</x:v>
      </x:c>
      <x:c r="H724" s="215" t="str">
        <x:v>High</x:v>
      </x:c>
      <x:c r="I724" s="215" t="str">
        <x:v>Naked eye</x:v>
      </x:c>
      <x:c r="J724" s="215" t="str">
        <x:v>Mature leaves</x:v>
      </x:c>
      <x:c r="K724" s="215" t="str">
        <x:v>Rough alternate leaves without stipules fit many Mentzelia-type plants.</x:v>
      </x:c>
      <x:c r="L724" s="215" t="str">
        <x:v>Opposite leaves occur in some nonlocal lineages and margins are variable.</x:v>
      </x:c>
      <x:c r="M724" s="215" t="str">
        <x:v>Combine node and hair evidence.</x:v>
      </x:c>
      <x:c r="N724" s="215" t="str">
        <x:v>Mentzelia-type stickleaf plants are regionally plausible on dry, rocky, sandy, or disturbed sites; exact Hays taxa and vouchers require reconciliation.</x:v>
      </x:c>
      <x:c r="O724" s="215" t="str">
        <x:v>Low</x:v>
      </x:c>
      <x:c r="P724" s="215" t="str">
        <x:v>No</x:v>
      </x:c>
      <x:c r="Q724" s="215" t="str"/>
      <x:c r="R724" s="215" t="str"/>
      <x:c r="S724" s="215" t="str">
        <x:v>APWEB-LOAS; FNA-LOAS; POWO-LOAS; LBJ-HAYS</x:v>
      </x:c>
      <x:c r="T724" s="215" t="str">
        <x:v>https://www.mobot.org/MOBOT/research/APweb/orders/cornalesweb.htm</x:v>
      </x:c>
      <x:c r="U724" s="215" t="str">
        <x:v>https://www.efloras.org/florataxon.aspx?flora_id=1&amp;taxon_id=10513</x:v>
      </x:c>
      <x:c r="V724" s="215" t="str">
        <x:v>https://powo.science.kew.org/taxon/urn:lsid:ipni.org:names:30000160-2/general-information</x:v>
      </x:c>
      <x:c r="W724" s="215" t="str">
        <x:v>https://www.mobot.org/MOBOT/research/APweb/orders/cornalesweb.htm
https://www.efloras.org/florataxon.aspx?flora_id=1&amp;taxon_id=10513
https://powo.science.kew.org/taxon/urn:lsid:ipni.org:names:30000160-2/general-information
https://www.wildflower.org/collections/collection.php?collection=hays</x:v>
      </x:c>
      <x:c r="X724" s="215" t="str">
        <x:v>No — retain qualifiers and exceptions</x:v>
      </x:c>
      <x:c r="Y724" s="215" t="str">
        <x:v>Yes</x:v>
      </x:c>
      <x:c r="Z724" s="215" t="str">
        <x:v>Source-backed draft</x:v>
      </x:c>
    </x:row>
    <x:row r="725" ht="42" customHeight="1">
      <x:c r="A725" s="215" t="str">
        <x:v>Loasaceae</x:v>
      </x:c>
      <x:c r="B725" s="215" t="str">
        <x:v>LOA-FLOWER</x:v>
      </x:c>
      <x:c r="C725" s="215" t="str">
        <x:v>Family character</x:v>
      </x:c>
      <x:c r="D725" s="215" t="str">
        <x:v>Flowers</x:v>
      </x:c>
      <x:c r="E725" s="215" t="str">
        <x:v>Flowers bisexual and usually radially symmetric, commonly with 5 persistent sepals and 5 petals</x:v>
      </x:c>
      <x:c r="F725" s="215" t="str">
        <x:v>Strong</x:v>
      </x:c>
      <x:c r="G725" s="215" t="str">
        <x:v>4</x:v>
      </x:c>
      <x:c r="H725" s="215" t="str">
        <x:v>High</x:v>
      </x:c>
      <x:c r="I725" s="215" t="str">
        <x:v>Naked eye or hand lens</x:v>
      </x:c>
      <x:c r="J725" s="215" t="str">
        <x:v>Fresh flowers</x:v>
      </x:c>
      <x:c r="K725" s="215" t="str">
        <x:v>Starry 5-parted flowers arise above a rough plant.</x:v>
      </x:c>
      <x:c r="L725" s="215" t="str">
        <x:v>Merism can vary and petals may be connate basally.</x:v>
      </x:c>
      <x:c r="M725" s="215" t="str">
        <x:v>Use the stamens and inferior ovary for confirmation.</x:v>
      </x:c>
      <x:c r="N725" s="215" t="str">
        <x:v>Mentzelia-type stickleaf plants are regionally plausible on dry, rocky, sandy, or disturbed sites; exact Hays taxa and vouchers require reconciliation.</x:v>
      </x:c>
      <x:c r="O725" s="215" t="str">
        <x:v>Low</x:v>
      </x:c>
      <x:c r="P725" s="215" t="str">
        <x:v>No</x:v>
      </x:c>
      <x:c r="Q725" s="215" t="str"/>
      <x:c r="R725" s="215" t="str">
        <x:v>LOA-LK01; LOA-LK02</x:v>
      </x:c>
      <x:c r="S725" s="215" t="str">
        <x:v>APWEB-LOAS; FNA-LOAS; POWO-LOAS; LBJ-HAYS</x:v>
      </x:c>
      <x:c r="T725" s="215" t="str">
        <x:v>https://www.mobot.org/MOBOT/research/APweb/orders/cornalesweb.htm</x:v>
      </x:c>
      <x:c r="U725" s="215" t="str">
        <x:v>https://www.efloras.org/florataxon.aspx?flora_id=1&amp;taxon_id=10513</x:v>
      </x:c>
      <x:c r="V725" s="215" t="str">
        <x:v>https://powo.science.kew.org/taxon/urn:lsid:ipni.org:names:30000160-2/general-information</x:v>
      </x:c>
      <x:c r="W725" s="215" t="str">
        <x:v>https://www.mobot.org/MOBOT/research/APweb/orders/cornalesweb.htm
https://www.efloras.org/florataxon.aspx?flora_id=1&amp;taxon_id=10513
https://powo.science.kew.org/taxon/urn:lsid:ipni.org:names:30000160-2/general-information
https://www.wildflower.org/collections/collection.php?collection=hays</x:v>
      </x:c>
      <x:c r="X725" s="215" t="str">
        <x:v>No — retain qualifiers and exceptions</x:v>
      </x:c>
      <x:c r="Y725" s="215" t="str">
        <x:v>Yes</x:v>
      </x:c>
      <x:c r="Z725" s="215" t="str">
        <x:v>Source-backed draft</x:v>
      </x:c>
    </x:row>
    <x:row r="726" ht="42" customHeight="1">
      <x:c r="A726" s="215" t="str">
        <x:v>Loasaceae</x:v>
      </x:c>
      <x:c r="B726" s="215" t="str">
        <x:v>LOA-STAMENS</x:v>
      </x:c>
      <x:c r="C726" s="215" t="str">
        <x:v>Family character</x:v>
      </x:c>
      <x:c r="D726" s="215" t="str">
        <x:v>Stamens</x:v>
      </x:c>
      <x:c r="E726" s="215" t="str">
        <x:v>Stamens 5 to 50 or more, often numerous in Mentzelia and related lineages</x:v>
      </x:c>
      <x:c r="F726" s="215" t="str">
        <x:v>Strong</x:v>
      </x:c>
      <x:c r="G726" s="215" t="str">
        <x:v>4</x:v>
      </x:c>
      <x:c r="H726" s="215" t="str">
        <x:v>High</x:v>
      </x:c>
      <x:c r="I726" s="215" t="str">
        <x:v>Naked eye or hand lens</x:v>
      </x:c>
      <x:c r="J726" s="215" t="str">
        <x:v>Fresh flowers</x:v>
      </x:c>
      <x:c r="K726" s="215" t="str">
        <x:v>Many local stickleaf flowers have a conspicuous mass of stamens.</x:v>
      </x:c>
      <x:c r="L726" s="215" t="str">
        <x:v>Some genera have only five or eight stamens.</x:v>
      </x:c>
      <x:c r="M726" s="215" t="str">
        <x:v>Count broadly and retain genus-level exceptions.</x:v>
      </x:c>
      <x:c r="N726" s="215" t="str">
        <x:v>Mentzelia-type stickleaf plants are regionally plausible on dry, rocky, sandy, or disturbed sites; exact Hays taxa and vouchers require reconciliation.</x:v>
      </x:c>
      <x:c r="O726" s="215" t="str">
        <x:v>Low</x:v>
      </x:c>
      <x:c r="P726" s="215" t="str">
        <x:v>No</x:v>
      </x:c>
      <x:c r="Q726" s="215" t="str"/>
      <x:c r="R726" s="215" t="str">
        <x:v>LOA-LK01</x:v>
      </x:c>
      <x:c r="S726" s="215" t="str">
        <x:v>APWEB-LOAS; FNA-LOAS; POWO-LOAS; LBJ-HAYS</x:v>
      </x:c>
      <x:c r="T726" s="215" t="str">
        <x:v>https://www.mobot.org/MOBOT/research/APweb/orders/cornalesweb.htm</x:v>
      </x:c>
      <x:c r="U726" s="215" t="str">
        <x:v>https://www.efloras.org/florataxon.aspx?flora_id=1&amp;taxon_id=10513</x:v>
      </x:c>
      <x:c r="V726" s="215" t="str">
        <x:v>https://powo.science.kew.org/taxon/urn:lsid:ipni.org:names:30000160-2/general-information</x:v>
      </x:c>
      <x:c r="W726" s="215" t="str">
        <x:v>https://www.mobot.org/MOBOT/research/APweb/orders/cornalesweb.htm
https://www.efloras.org/florataxon.aspx?flora_id=1&amp;taxon_id=10513
https://powo.science.kew.org/taxon/urn:lsid:ipni.org:names:30000160-2/general-information
https://www.wildflower.org/collections/collection.php?collection=hays</x:v>
      </x:c>
      <x:c r="X726" s="215" t="str">
        <x:v>No — retain qualifiers and exceptions</x:v>
      </x:c>
      <x:c r="Y726" s="215" t="str">
        <x:v>Yes</x:v>
      </x:c>
      <x:c r="Z726" s="215" t="str">
        <x:v>Source-backed draft</x:v>
      </x:c>
    </x:row>
    <x:row r="727" ht="42" customHeight="1">
      <x:c r="A727" s="215" t="str">
        <x:v>Loasaceae</x:v>
      </x:c>
      <x:c r="B727" s="215" t="str">
        <x:v>LOA-FILAMENTS</x:v>
      </x:c>
      <x:c r="C727" s="215" t="str">
        <x:v>Family character</x:v>
      </x:c>
      <x:c r="D727" s="215" t="str">
        <x:v>Stamen filaments</x:v>
      </x:c>
      <x:c r="E727" s="215" t="str">
        <x:v>Outermost stamens may have broadened, flattened, or petal-like filaments distinct from inner filiform stamens</x:v>
      </x:c>
      <x:c r="F727" s="215" t="str">
        <x:v>Strong</x:v>
      </x:c>
      <x:c r="G727" s="215" t="str">
        <x:v>4</x:v>
      </x:c>
      <x:c r="H727" s="215" t="str">
        <x:v>High</x:v>
      </x:c>
      <x:c r="I727" s="215" t="str">
        <x:v>Hand lens</x:v>
      </x:c>
      <x:c r="J727" s="215" t="str">
        <x:v>Fresh flowers</x:v>
      </x:c>
      <x:c r="K727" s="215" t="str">
        <x:v>Some apparent extra petals are actually modified sterile or fertile stamens.</x:v>
      </x:c>
      <x:c r="L727" s="215" t="str">
        <x:v>Not all Loasaceae have strongly differentiated filaments.</x:v>
      </x:c>
      <x:c r="M727" s="215" t="str">
        <x:v>Use as a close-up genus and family support character.</x:v>
      </x:c>
      <x:c r="N727" s="215" t="str">
        <x:v>Mentzelia-type stickleaf plants are regionally plausible on dry, rocky, sandy, or disturbed sites; exact Hays taxa and vouchers require reconciliation.</x:v>
      </x:c>
      <x:c r="O727" s="215" t="str">
        <x:v>Low</x:v>
      </x:c>
      <x:c r="P727" s="215" t="str">
        <x:v>No</x:v>
      </x:c>
      <x:c r="Q727" s="215" t="str"/>
      <x:c r="R727" s="215" t="str"/>
      <x:c r="S727" s="215" t="str">
        <x:v>APWEB-LOAS; FNA-LOAS; POWO-LOAS; LBJ-HAYS</x:v>
      </x:c>
      <x:c r="T727" s="215" t="str">
        <x:v>https://www.mobot.org/MOBOT/research/APweb/orders/cornalesweb.htm</x:v>
      </x:c>
      <x:c r="U727" s="215" t="str">
        <x:v>https://www.efloras.org/florataxon.aspx?flora_id=1&amp;taxon_id=10513</x:v>
      </x:c>
      <x:c r="V727" s="215" t="str">
        <x:v>https://powo.science.kew.org/taxon/urn:lsid:ipni.org:names:30000160-2/general-information</x:v>
      </x:c>
      <x:c r="W727" s="215" t="str">
        <x:v>https://www.mobot.org/MOBOT/research/APweb/orders/cornalesweb.htm
https://www.efloras.org/florataxon.aspx?flora_id=1&amp;taxon_id=10513
https://powo.science.kew.org/taxon/urn:lsid:ipni.org:names:30000160-2/general-information
https://www.wildflower.org/collections/collection.php?collection=hays</x:v>
      </x:c>
      <x:c r="X727" s="215" t="str">
        <x:v>No — retain qualifiers and exceptions</x:v>
      </x:c>
      <x:c r="Y727" s="215" t="str">
        <x:v>Yes</x:v>
      </x:c>
      <x:c r="Z727" s="215" t="str">
        <x:v>Source-backed draft</x:v>
      </x:c>
    </x:row>
    <x:row r="728" ht="42" customHeight="1">
      <x:c r="A728" s="215" t="str">
        <x:v>Loasaceae</x:v>
      </x:c>
      <x:c r="B728" s="215" t="str">
        <x:v>LOA-OVARY</x:v>
      </x:c>
      <x:c r="C728" s="215" t="str">
        <x:v>Family character</x:v>
      </x:c>
      <x:c r="D728" s="215" t="str">
        <x:v>Gynoecium</x:v>
      </x:c>
      <x:c r="E728" s="215" t="str">
        <x:v>Ovary usually inferior or partly inferior, commonly 3–5-carpellate with one style and a lobed stigma</x:v>
      </x:c>
      <x:c r="F728" s="215" t="str">
        <x:v>Strong</x:v>
      </x:c>
      <x:c r="G728" s="215" t="str">
        <x:v>4</x:v>
      </x:c>
      <x:c r="H728" s="215" t="str">
        <x:v>High</x:v>
      </x:c>
      <x:c r="I728" s="215" t="str">
        <x:v>Hand lens or dissection</x:v>
      </x:c>
      <x:c r="J728" s="215" t="str">
        <x:v>Fresh flowers or young fruit</x:v>
      </x:c>
      <x:c r="K728" s="215" t="str">
        <x:v>The floral cup is attached around or above the ovary.</x:v>
      </x:c>
      <x:c r="L728" s="215" t="str">
        <x:v>Ovary adnation and carpel number vary across subfamilies.</x:v>
      </x:c>
      <x:c r="M728" s="215" t="str">
        <x:v>Confirm by following the ovary into fruit.</x:v>
      </x:c>
      <x:c r="N728" s="215" t="str">
        <x:v>Mentzelia-type stickleaf plants are regionally plausible on dry, rocky, sandy, or disturbed sites; exact Hays taxa and vouchers require reconciliation.</x:v>
      </x:c>
      <x:c r="O728" s="215" t="str">
        <x:v>Low</x:v>
      </x:c>
      <x:c r="P728" s="215" t="str">
        <x:v>No</x:v>
      </x:c>
      <x:c r="Q728" s="215" t="str"/>
      <x:c r="R728" s="215" t="str">
        <x:v>LOA-LK01</x:v>
      </x:c>
      <x:c r="S728" s="215" t="str">
        <x:v>APWEB-LOAS; FNA-LOAS; POWO-LOAS; LBJ-HAYS</x:v>
      </x:c>
      <x:c r="T728" s="215" t="str">
        <x:v>https://www.mobot.org/MOBOT/research/APweb/orders/cornalesweb.htm</x:v>
      </x:c>
      <x:c r="U728" s="215" t="str">
        <x:v>https://www.efloras.org/florataxon.aspx?flora_id=1&amp;taxon_id=10513</x:v>
      </x:c>
      <x:c r="V728" s="215" t="str">
        <x:v>https://powo.science.kew.org/taxon/urn:lsid:ipni.org:names:30000160-2/general-information</x:v>
      </x:c>
      <x:c r="W728" s="215" t="str">
        <x:v>https://www.mobot.org/MOBOT/research/APweb/orders/cornalesweb.htm
https://www.efloras.org/florataxon.aspx?flora_id=1&amp;taxon_id=10513
https://powo.science.kew.org/taxon/urn:lsid:ipni.org:names:30000160-2/general-information
https://www.wildflower.org/collections/collection.php?collection=hays</x:v>
      </x:c>
      <x:c r="X728" s="215" t="str">
        <x:v>No — retain qualifiers and exceptions</x:v>
      </x:c>
      <x:c r="Y728" s="215" t="str">
        <x:v>Yes</x:v>
      </x:c>
      <x:c r="Z728" s="215" t="str">
        <x:v>Source-backed draft</x:v>
      </x:c>
    </x:row>
    <x:row r="729" ht="42" customHeight="1">
      <x:c r="A729" s="215" t="str">
        <x:v>Loasaceae</x:v>
      </x:c>
      <x:c r="B729" s="215" t="str">
        <x:v>LOA-FRUIT</x:v>
      </x:c>
      <x:c r="C729" s="215" t="str">
        <x:v>Family character</x:v>
      </x:c>
      <x:c r="D729" s="215" t="str">
        <x:v>Fruit / seeds</x:v>
      </x:c>
      <x:c r="E729" s="215" t="str">
        <x:v>Fruit usually a capsule opening by apical valves, less often a one-seeded cypsela; sepals or the whole perianth often persist</x:v>
      </x:c>
      <x:c r="F729" s="215" t="str">
        <x:v>Strong</x:v>
      </x:c>
      <x:c r="G729" s="215" t="str">
        <x:v>5</x:v>
      </x:c>
      <x:c r="H729" s="215" t="str">
        <x:v>High</x:v>
      </x:c>
      <x:c r="I729" s="215" t="str">
        <x:v>Naked eye or hand lens</x:v>
      </x:c>
      <x:c r="J729" s="215" t="str">
        <x:v>Mature fruit</x:v>
      </x:c>
      <x:c r="K729" s="215" t="str">
        <x:v>A rough plant produces a dry capsule capped by persistent floral parts.</x:v>
      </x:c>
      <x:c r="L729" s="215" t="str">
        <x:v>Fruit type differs sharply in Gronovioideae.</x:v>
      </x:c>
      <x:c r="M729" s="215" t="str">
        <x:v>Use mature fruit with hair architecture.</x:v>
      </x:c>
      <x:c r="N729" s="215" t="str">
        <x:v>Mentzelia-type stickleaf plants are regionally plausible on dry, rocky, sandy, or disturbed sites; exact Hays taxa and vouchers require reconciliation.</x:v>
      </x:c>
      <x:c r="O729" s="215" t="str">
        <x:v>Low</x:v>
      </x:c>
      <x:c r="P729" s="215" t="str">
        <x:v>No</x:v>
      </x:c>
      <x:c r="Q729" s="215" t="str"/>
      <x:c r="R729" s="215" t="str">
        <x:v>LOA-LK01; LOA-LK02</x:v>
      </x:c>
      <x:c r="S729" s="215" t="str">
        <x:v>APWEB-LOAS; FNA-LOAS; POWO-LOAS; LBJ-HAYS</x:v>
      </x:c>
      <x:c r="T729" s="215" t="str">
        <x:v>https://www.mobot.org/MOBOT/research/APweb/orders/cornalesweb.htm</x:v>
      </x:c>
      <x:c r="U729" s="215" t="str">
        <x:v>https://www.efloras.org/florataxon.aspx?flora_id=1&amp;taxon_id=10513</x:v>
      </x:c>
      <x:c r="V729" s="215" t="str">
        <x:v>https://powo.science.kew.org/taxon/urn:lsid:ipni.org:names:30000160-2/general-information</x:v>
      </x:c>
      <x:c r="W729" s="215" t="str">
        <x:v>https://www.mobot.org/MOBOT/research/APweb/orders/cornalesweb.htm
https://www.efloras.org/florataxon.aspx?flora_id=1&amp;taxon_id=10513
https://powo.science.kew.org/taxon/urn:lsid:ipni.org:names:30000160-2/general-information
https://www.wildflower.org/collections/collection.php?collection=hays</x:v>
      </x:c>
      <x:c r="X729" s="215" t="str">
        <x:v>No — retain qualifiers and exceptions</x:v>
      </x:c>
      <x:c r="Y729" s="215" t="str">
        <x:v>Yes</x:v>
      </x:c>
      <x:c r="Z729" s="215" t="str">
        <x:v>Source-backed draft</x:v>
      </x:c>
    </x:row>
    <x:row r="730" ht="42" customHeight="1">
      <x:c r="A730" s="215" t="str">
        <x:v>Loasaceae</x:v>
      </x:c>
      <x:c r="B730" s="215" t="str">
        <x:v>LOA-LOCAL</x:v>
      </x:c>
      <x:c r="C730" s="215" t="str">
        <x:v>Local inventory reconciliation</x:v>
      </x:c>
      <x:c r="D730" s="215" t="str">
        <x:v>Local occurrence / inventory</x:v>
      </x:c>
      <x:c r="E730" s="215" t="str">
        <x:v>Exact Mentzelia or other Loasaceae taxa demonstrably present in Hays County remain to be reconciled against authoritative county vouchers</x:v>
      </x:c>
      <x:c r="F730" s="215" t="str">
        <x:v>Caution</x:v>
      </x:c>
      <x:c r="G730" s="215" t="str">
        <x:v>0</x:v>
      </x:c>
      <x:c r="H730" s="215" t="str">
        <x:v>High</x:v>
      </x:c>
      <x:c r="I730" s="215" t="str">
        <x:v>Not field-visible</x:v>
      </x:c>
      <x:c r="J730" s="215" t="str">
        <x:v>Any material</x:v>
      </x:c>
      <x:c r="K730" s="215" t="str">
        <x:v>Regional plausibility does not substitute for a Hays voucher.</x:v>
      </x:c>
      <x:c r="L730" s="215" t="str">
        <x:v>The family is well represented farther west and locally suitable habitats occur, but the county basis is not yet machine-auditable.</x:v>
      </x:c>
      <x:c r="M730" s="215" t="str">
        <x:v>Retain family characters while requiring explicit Hays occurrence confirmation.</x:v>
      </x:c>
      <x:c r="N730" s="215" t="str">
        <x:v>Mentzelia-type stickleaf plants are regionally plausible on dry, rocky, sandy, or disturbed sites; exact Hays taxa and vouchers require reconciliation.</x:v>
      </x:c>
      <x:c r="O730" s="215" t="str">
        <x:v>Medium</x:v>
      </x:c>
      <x:c r="P730" s="215" t="str">
        <x:v>Yes</x:v>
      </x:c>
      <x:c r="Q730" s="215" t="str">
        <x:v>Exact Hays County Loasaceae taxa and voucher basis require authoritative inventory reconciliation.</x:v>
      </x:c>
      <x:c r="R730" s="215" t="str"/>
      <x:c r="S730" s="215" t="str">
        <x:v>APWEB-LOAS; FNA-LOAS; POWO-LOAS; LBJ-HAYS</x:v>
      </x:c>
      <x:c r="T730" s="215" t="str">
        <x:v>https://www.mobot.org/MOBOT/research/APweb/orders/cornalesweb.htm</x:v>
      </x:c>
      <x:c r="U730" s="215" t="str">
        <x:v>https://www.efloras.org/florataxon.aspx?flora_id=1&amp;taxon_id=10513</x:v>
      </x:c>
      <x:c r="V730" s="215" t="str">
        <x:v>https://powo.science.kew.org/taxon/urn:lsid:ipni.org:names:30000160-2/general-information</x:v>
      </x:c>
      <x:c r="W730" s="215" t="str">
        <x:v>https://www.mobot.org/MOBOT/research/APweb/orders/cornalesweb.htm
https://www.efloras.org/florataxon.aspx?flora_id=1&amp;taxon_id=10513
https://powo.science.kew.org/taxon/urn:lsid:ipni.org:names:30000160-2/general-information
https://www.wildflower.org/collections/collection.php?collection=hays</x:v>
      </x:c>
      <x:c r="X730" s="215" t="str">
        <x:v>No — retain qualifiers and exceptions</x:v>
      </x:c>
      <x:c r="Y730" s="215" t="str">
        <x:v>Yes</x:v>
      </x:c>
      <x:c r="Z730" s="215" t="str">
        <x:v>Human review required</x:v>
      </x:c>
    </x:row>
    <x:row r="731" ht="42" customHeight="1">
      <x:c r="A731" s="215" t="str">
        <x:v>Loasaceae</x:v>
      </x:c>
      <x:c r="B731" s="215" t="str">
        <x:v>LOA-LK01</x:v>
      </x:c>
      <x:c r="C731" s="215" t="str">
        <x:v>Lookalike comparison</x:v>
      </x:c>
      <x:c r="D731" s="215" t="str">
        <x:v>Lookalike</x:v>
      </x:c>
      <x:c r="E731" s="215" t="str">
        <x:v>Versus Hydrangeaceae: herbaceous plants with barbed or stinging hairs and often numerous differentiated stamens favor Loasaceae; woody plants with opposite leaves and showy sterile marginal flowers favor many Hydrangeaceae</x:v>
      </x:c>
      <x:c r="F731" s="215" t="str">
        <x:v>Lookalike</x:v>
      </x:c>
      <x:c r="G731" s="215" t="str">
        <x:v>5</x:v>
      </x:c>
      <x:c r="H731" s="215" t="str">
        <x:v>High</x:v>
      </x:c>
      <x:c r="I731" s="215" t="str">
        <x:v>Naked eye or hand lens</x:v>
      </x:c>
      <x:c r="J731" s="215" t="str">
        <x:v>Flowering or fruiting material</x:v>
      </x:c>
      <x:c r="K731" s="215" t="str">
        <x:v>The families are close relatives and share inferior ovaries and capsular fruits.</x:v>
      </x:c>
      <x:c r="L731" s="215" t="str">
        <x:v>Hydrangeaceae includes herbs and Loasaceae includes woody forms globally.</x:v>
      </x:c>
      <x:c r="M731" s="215" t="str">
        <x:v>Prioritize hair architecture and local habit, then floral details.</x:v>
      </x:c>
      <x:c r="N731" s="215" t="str">
        <x:v>Mentzelia-type stickleaf plants are regionally plausible on dry, rocky, sandy, or disturbed sites; exact Hays taxa and vouchers require reconciliation.</x:v>
      </x:c>
      <x:c r="O731" s="215" t="str">
        <x:v>Low</x:v>
      </x:c>
      <x:c r="P731" s="215" t="str">
        <x:v>No</x:v>
      </x:c>
      <x:c r="Q731" s="215" t="str"/>
      <x:c r="R731" s="215" t="str">
        <x:v>LOA-HAIRS; LOA-STAMENS; LOA-OVARY; LOA-FRUIT</x:v>
      </x:c>
      <x:c r="S731" s="215" t="str">
        <x:v>APWEB-LOAS; FNA-LOAS; POWO-LOAS; LBJ-HAYS</x:v>
      </x:c>
      <x:c r="T731" s="215" t="str">
        <x:v>https://www.mobot.org/MOBOT/research/APweb/orders/cornalesweb.htm</x:v>
      </x:c>
      <x:c r="U731" s="215" t="str">
        <x:v>https://www.efloras.org/florataxon.aspx?flora_id=1&amp;taxon_id=10513</x:v>
      </x:c>
      <x:c r="V731" s="215" t="str">
        <x:v>https://powo.science.kew.org/taxon/urn:lsid:ipni.org:names:30000160-2/general-information</x:v>
      </x:c>
      <x:c r="W731" s="215" t="str">
        <x:v>https://www.mobot.org/MOBOT/research/APweb/orders/cornalesweb.htm
https://www.efloras.org/florataxon.aspx?flora_id=1&amp;taxon_id=10513
https://powo.science.kew.org/taxon/urn:lsid:ipni.org:names:30000160-2/general-information
https://www.wildflower.org/collections/collection.php?collection=hays</x:v>
      </x:c>
      <x:c r="X731" s="215" t="str">
        <x:v>No — retain qualifiers and exceptions</x:v>
      </x:c>
      <x:c r="Y731" s="215" t="str">
        <x:v>Yes</x:v>
      </x:c>
      <x:c r="Z731" s="215" t="str">
        <x:v>Source-backed draft</x:v>
      </x:c>
    </x:row>
    <x:row r="732" ht="42" customHeight="1">
      <x:c r="A732" s="215" t="str">
        <x:v>Loasaceae</x:v>
      </x:c>
      <x:c r="B732" s="215" t="str">
        <x:v>LOA-LK02</x:v>
      </x:c>
      <x:c r="C732" s="215" t="str">
        <x:v>Lookalike comparison</x:v>
      </x:c>
      <x:c r="D732" s="215" t="str">
        <x:v>Lookalike</x:v>
      </x:c>
      <x:c r="E732" s="215" t="str">
        <x:v>Versus Boraginaceae: barbed stickleaf hairs plus a 3–5-carpellate inferior ovary and capsule favor Loasaceae; scorpioid cymes and a deeply 4-lobed superior ovary producing four nutlets favor many Boraginaceae</x:v>
      </x:c>
      <x:c r="F732" s="215" t="str">
        <x:v>Lookalike</x:v>
      </x:c>
      <x:c r="G732" s="215" t="str">
        <x:v>5</x:v>
      </x:c>
      <x:c r="H732" s="215" t="str">
        <x:v>High</x:v>
      </x:c>
      <x:c r="I732" s="215" t="str">
        <x:v>Naked eye or hand lens</x:v>
      </x:c>
      <x:c r="J732" s="215" t="str">
        <x:v>Flowering or fruiting material</x:v>
      </x:c>
      <x:c r="K732" s="215" t="str">
        <x:v>Both can be very rough, bristly herbs.</x:v>
      </x:c>
      <x:c r="L732" s="215" t="str">
        <x:v>Boraginaceae fruit and ovary characters vary under broad family concepts.</x:v>
      </x:c>
      <x:c r="M732" s="215" t="str">
        <x:v>Use ovary position and mature fruit rather than roughness alone.</x:v>
      </x:c>
      <x:c r="N732" s="215" t="str">
        <x:v>Mentzelia-type stickleaf plants are regionally plausible on dry, rocky, sandy, or disturbed sites; exact Hays taxa and vouchers require reconciliation.</x:v>
      </x:c>
      <x:c r="O732" s="215" t="str">
        <x:v>Low</x:v>
      </x:c>
      <x:c r="P732" s="215" t="str">
        <x:v>No</x:v>
      </x:c>
      <x:c r="Q732" s="215" t="str"/>
      <x:c r="R732" s="215" t="str">
        <x:v>LOA-HAIRS; LOA-FLOWER; LOA-OVARY; LOA-FRUIT</x:v>
      </x:c>
      <x:c r="S732" s="215" t="str">
        <x:v>APWEB-LOAS; FNA-LOAS; POWO-LOAS; LBJ-HAYS</x:v>
      </x:c>
      <x:c r="T732" s="215" t="str">
        <x:v>https://www.mobot.org/MOBOT/research/APweb/orders/cornalesweb.htm</x:v>
      </x:c>
      <x:c r="U732" s="215" t="str">
        <x:v>https://www.efloras.org/florataxon.aspx?flora_id=1&amp;taxon_id=10513</x:v>
      </x:c>
      <x:c r="V732" s="215" t="str">
        <x:v>https://powo.science.kew.org/taxon/urn:lsid:ipni.org:names:30000160-2/general-information</x:v>
      </x:c>
      <x:c r="W732" s="215" t="str">
        <x:v>https://www.mobot.org/MOBOT/research/APweb/orders/cornalesweb.htm
https://www.efloras.org/florataxon.aspx?flora_id=1&amp;taxon_id=10513
https://powo.science.kew.org/taxon/urn:lsid:ipni.org:names:30000160-2/general-information
https://www.wildflower.org/collections/collection.php?collection=hays</x:v>
      </x:c>
      <x:c r="X732" s="215" t="str">
        <x:v>No — retain qualifiers and exceptions</x:v>
      </x:c>
      <x:c r="Y732" s="215" t="str">
        <x:v>Yes</x:v>
      </x:c>
      <x:c r="Z732" s="215" t="str">
        <x:v>Source-backed draft</x:v>
      </x:c>
    </x:row>
    <x:row r="733" ht="42" customHeight="1">
      <x:c r="A733" s="215" t="str">
        <x:v>Portulacaceae</x:v>
      </x:c>
      <x:c r="B733" s="215" t="str">
        <x:v>POR-HABIT</x:v>
      </x:c>
      <x:c r="C733" s="215" t="str">
        <x:v>Family character</x:v>
      </x:c>
      <x:c r="D733" s="215" t="str">
        <x:v>Habit</x:v>
      </x:c>
      <x:c r="E733" s="215" t="str">
        <x:v>Succulent annual or perennial herbs, occasionally subshrubs, often prostrate or spreading</x:v>
      </x:c>
      <x:c r="F733" s="215" t="str">
        <x:v>Strong</x:v>
      </x:c>
      <x:c r="G733" s="215" t="str">
        <x:v>3</x:v>
      </x:c>
      <x:c r="H733" s="215" t="str">
        <x:v>High</x:v>
      </x:c>
      <x:c r="I733" s="215" t="str">
        <x:v>Naked eye</x:v>
      </x:c>
      <x:c r="J733" s="215" t="str">
        <x:v>Active growth</x:v>
      </x:c>
      <x:c r="K733" s="215" t="str">
        <x:v>Purslanes are fleshy herbs adapted to open or seasonally dry ground.</x:v>
      </x:c>
      <x:c r="L733" s="215" t="str">
        <x:v>Succulence and posture vary.</x:v>
      </x:c>
      <x:c r="M733" s="215" t="str">
        <x:v>Use with the two-part outer floral covering and capsule.</x:v>
      </x:c>
      <x:c r="N733" s="215" t="str">
        <x:v>Native and introduced Portulaca occur in Hays and surrounding Central Texas on open, rocky, sandy, and disturbed ground.</x:v>
      </x:c>
      <x:c r="O733" s="215" t="str">
        <x:v>Low</x:v>
      </x:c>
      <x:c r="P733" s="215" t="str">
        <x:v>No</x:v>
      </x:c>
      <x:c r="Q733" s="215" t="str"/>
      <x:c r="R733" s="215" t="str">
        <x:v>POR-LK01; POR-LK02</x:v>
      </x:c>
      <x:c r="S733" s="215" t="str">
        <x:v>APWEB-PORT; FNA-PORT; POWO-PORT; LBJ-HAYS</x:v>
      </x:c>
      <x:c r="T733" s="215" t="str">
        <x:v>https://www.mobot.org/MOBOT/research/APweb/orders/caryophyllalesweb.htm</x:v>
      </x:c>
      <x:c r="U733" s="215" t="str">
        <x:v>https://floranorthamerica.org/Portulacaceae</x:v>
      </x:c>
      <x:c r="V733" s="215" t="str">
        <x:v>https://powo.science.kew.org/taxon/urn:lsid:ipni.org:names:30000177-2/general-information</x:v>
      </x:c>
      <x:c r="W733" s="215" t="str">
        <x:v>https://www.mobot.org/MOBOT/research/APweb/orders/caryophyllalesweb.htm
https://floranorthamerica.org/Portulacaceae
https://powo.science.kew.org/taxon/urn:lsid:ipni.org:names:30000177-2/general-information
https://www.wildflower.org/collections/collection.php?collection=hays</x:v>
      </x:c>
      <x:c r="X733" s="215" t="str">
        <x:v>No — retain qualifiers and exceptions</x:v>
      </x:c>
      <x:c r="Y733" s="215" t="str">
        <x:v>Yes</x:v>
      </x:c>
      <x:c r="Z733" s="215" t="str">
        <x:v>Source-backed draft</x:v>
      </x:c>
    </x:row>
    <x:row r="734" ht="42" customHeight="1">
      <x:c r="A734" s="215" t="str">
        <x:v>Portulacaceae</x:v>
      </x:c>
      <x:c r="B734" s="215" t="str">
        <x:v>POR-LEAVES</x:v>
      </x:c>
      <x:c r="C734" s="215" t="str">
        <x:v>Family character</x:v>
      </x:c>
      <x:c r="D734" s="215" t="str">
        <x:v>Leaves / stipules</x:v>
      </x:c>
      <x:c r="E734" s="215" t="str">
        <x:v>Leaves simple, entire, fleshy, alternate, opposite, or clustered; stipules absent but axillary hairs may be present</x:v>
      </x:c>
      <x:c r="F734" s="215" t="str">
        <x:v>Strong</x:v>
      </x:c>
      <x:c r="G734" s="215" t="str">
        <x:v>4</x:v>
      </x:c>
      <x:c r="H734" s="215" t="str">
        <x:v>High</x:v>
      </x:c>
      <x:c r="I734" s="215" t="str">
        <x:v>Naked eye or hand lens</x:v>
      </x:c>
      <x:c r="J734" s="215" t="str">
        <x:v>Mature leafy shoots</x:v>
      </x:c>
      <x:c r="K734" s="215" t="str">
        <x:v>Smooth entire succulent leaves fit Portulaca, sometimes with a tuft of hairs at the node.</x:v>
      </x:c>
      <x:c r="L734" s="215" t="str">
        <x:v>Arrangement and hair presence vary among species.</x:v>
      </x:c>
      <x:c r="M734" s="215" t="str">
        <x:v>Combine node structure with flowers and fruit.</x:v>
      </x:c>
      <x:c r="N734" s="215" t="str">
        <x:v>Native and introduced Portulaca occur in Hays and surrounding Central Texas on open, rocky, sandy, and disturbed ground.</x:v>
      </x:c>
      <x:c r="O734" s="215" t="str">
        <x:v>Low</x:v>
      </x:c>
      <x:c r="P734" s="215" t="str">
        <x:v>No</x:v>
      </x:c>
      <x:c r="Q734" s="215" t="str"/>
      <x:c r="R734" s="215" t="str">
        <x:v>POR-LK01; POR-LK02</x:v>
      </x:c>
      <x:c r="S734" s="215" t="str">
        <x:v>APWEB-PORT; FNA-PORT; POWO-PORT; LBJ-HAYS</x:v>
      </x:c>
      <x:c r="T734" s="215" t="str">
        <x:v>https://www.mobot.org/MOBOT/research/APweb/orders/caryophyllalesweb.htm</x:v>
      </x:c>
      <x:c r="U734" s="215" t="str">
        <x:v>https://floranorthamerica.org/Portulacaceae</x:v>
      </x:c>
      <x:c r="V734" s="215" t="str">
        <x:v>https://powo.science.kew.org/taxon/urn:lsid:ipni.org:names:30000177-2/general-information</x:v>
      </x:c>
      <x:c r="W734" s="215" t="str">
        <x:v>https://www.mobot.org/MOBOT/research/APweb/orders/caryophyllalesweb.htm
https://floranorthamerica.org/Portulacaceae
https://powo.science.kew.org/taxon/urn:lsid:ipni.org:names:30000177-2/general-information
https://www.wildflower.org/collections/collection.php?collection=hays</x:v>
      </x:c>
      <x:c r="X734" s="215" t="str">
        <x:v>No — retain qualifiers and exceptions</x:v>
      </x:c>
      <x:c r="Y734" s="215" t="str">
        <x:v>Yes</x:v>
      </x:c>
      <x:c r="Z734" s="215" t="str">
        <x:v>Source-backed draft</x:v>
      </x:c>
    </x:row>
    <x:row r="735" ht="42" customHeight="1">
      <x:c r="A735" s="215" t="str">
        <x:v>Portulacaceae</x:v>
      </x:c>
      <x:c r="B735" s="215" t="str">
        <x:v>POR-HAIRS</x:v>
      </x:c>
      <x:c r="C735" s="215" t="str">
        <x:v>Family character</x:v>
      </x:c>
      <x:c r="D735" s="215" t="str">
        <x:v>Axillary hairs</x:v>
      </x:c>
      <x:c r="E735" s="215" t="str">
        <x:v>Tufts of hairs may occur in leaf axils, ranging from sparse to conspicuous</x:v>
      </x:c>
      <x:c r="F735" s="215" t="str">
        <x:v>Supporting</x:v>
      </x:c>
      <x:c r="G735" s="215" t="str">
        <x:v>3</x:v>
      </x:c>
      <x:c r="H735" s="215" t="str">
        <x:v>High</x:v>
      </x:c>
      <x:c r="I735" s="215" t="str">
        <x:v>Hand lens</x:v>
      </x:c>
      <x:c r="J735" s="215" t="str">
        <x:v>Fresh nodes</x:v>
      </x:c>
      <x:c r="K735" s="215" t="str">
        <x:v>Hairy nodes can strongly support some purslanes.</x:v>
      </x:c>
      <x:c r="L735" s="215" t="str">
        <x:v>Many species are glabrous or only sparsely hairy.</x:v>
      </x:c>
      <x:c r="M735" s="215" t="str">
        <x:v>Absence must remain unknown, not negative.</x:v>
      </x:c>
      <x:c r="N735" s="215" t="str">
        <x:v>Native and introduced Portulaca occur in Hays and surrounding Central Texas on open, rocky, sandy, and disturbed ground.</x:v>
      </x:c>
      <x:c r="O735" s="215" t="str">
        <x:v>Low</x:v>
      </x:c>
      <x:c r="P735" s="215" t="str">
        <x:v>No</x:v>
      </x:c>
      <x:c r="Q735" s="215" t="str"/>
      <x:c r="R735" s="215" t="str"/>
      <x:c r="S735" s="215" t="str">
        <x:v>APWEB-PORT; FNA-PORT; POWO-PORT; LBJ-HAYS</x:v>
      </x:c>
      <x:c r="T735" s="215" t="str">
        <x:v>https://www.mobot.org/MOBOT/research/APweb/orders/caryophyllalesweb.htm</x:v>
      </x:c>
      <x:c r="U735" s="215" t="str">
        <x:v>https://floranorthamerica.org/Portulacaceae</x:v>
      </x:c>
      <x:c r="V735" s="215" t="str">
        <x:v>https://powo.science.kew.org/taxon/urn:lsid:ipni.org:names:30000177-2/general-information</x:v>
      </x:c>
      <x:c r="W735" s="215" t="str">
        <x:v>https://www.mobot.org/MOBOT/research/APweb/orders/caryophyllalesweb.htm
https://floranorthamerica.org/Portulacaceae
https://powo.science.kew.org/taxon/urn:lsid:ipni.org:names:30000177-2/general-information
https://www.wildflower.org/collections/collection.php?collection=hays</x:v>
      </x:c>
      <x:c r="X735" s="215" t="str">
        <x:v>No — retain qualifiers and exceptions</x:v>
      </x:c>
      <x:c r="Y735" s="215" t="str">
        <x:v>Yes</x:v>
      </x:c>
      <x:c r="Z735" s="215" t="str">
        <x:v>Source-backed draft</x:v>
      </x:c>
    </x:row>
    <x:row r="736" ht="42" customHeight="1">
      <x:c r="A736" s="215" t="str">
        <x:v>Portulacaceae</x:v>
      </x:c>
      <x:c r="B736" s="215" t="str">
        <x:v>POR-FLOWER</x:v>
      </x:c>
      <x:c r="C736" s="215" t="str">
        <x:v>Family character</x:v>
      </x:c>
      <x:c r="D736" s="215" t="str">
        <x:v>Flowers</x:v>
      </x:c>
      <x:c r="E736" s="215" t="str">
        <x:v>Flowers bisexual, radially symmetric, often short-lived and opening in bright light</x:v>
      </x:c>
      <x:c r="F736" s="215" t="str">
        <x:v>Strong</x:v>
      </x:c>
      <x:c r="G736" s="215" t="str">
        <x:v>3</x:v>
      </x:c>
      <x:c r="H736" s="215" t="str">
        <x:v>High</x:v>
      </x:c>
      <x:c r="I736" s="215" t="str">
        <x:v>Naked eye</x:v>
      </x:c>
      <x:c r="J736" s="215" t="str">
        <x:v>Fresh open flowers</x:v>
      </x:c>
      <x:c r="K736" s="215" t="str">
        <x:v>Purslane flowers may close quickly when light or moisture changes.</x:v>
      </x:c>
      <x:c r="L736" s="215" t="str">
        <x:v>Opening behavior is weather-dependent and not universal.</x:v>
      </x:c>
      <x:c r="M736" s="215" t="str">
        <x:v>Use structure, not opening time, for identification.</x:v>
      </x:c>
      <x:c r="N736" s="215" t="str">
        <x:v>Native and introduced Portulaca occur in Hays and surrounding Central Texas on open, rocky, sandy, and disturbed ground.</x:v>
      </x:c>
      <x:c r="O736" s="215" t="str">
        <x:v>Low</x:v>
      </x:c>
      <x:c r="P736" s="215" t="str">
        <x:v>No</x:v>
      </x:c>
      <x:c r="Q736" s="215" t="str"/>
      <x:c r="R736" s="215" t="str">
        <x:v>POR-LK01; POR-LK02</x:v>
      </x:c>
      <x:c r="S736" s="215" t="str">
        <x:v>APWEB-PORT; FNA-PORT; POWO-PORT; LBJ-HAYS</x:v>
      </x:c>
      <x:c r="T736" s="215" t="str">
        <x:v>https://www.mobot.org/MOBOT/research/APweb/orders/caryophyllalesweb.htm</x:v>
      </x:c>
      <x:c r="U736" s="215" t="str">
        <x:v>https://floranorthamerica.org/Portulacaceae</x:v>
      </x:c>
      <x:c r="V736" s="215" t="str">
        <x:v>https://powo.science.kew.org/taxon/urn:lsid:ipni.org:names:30000177-2/general-information</x:v>
      </x:c>
      <x:c r="W736" s="215" t="str">
        <x:v>https://www.mobot.org/MOBOT/research/APweb/orders/caryophyllalesweb.htm
https://floranorthamerica.org/Portulacaceae
https://powo.science.kew.org/taxon/urn:lsid:ipni.org:names:30000177-2/general-information
https://www.wildflower.org/collections/collection.php?collection=hays</x:v>
      </x:c>
      <x:c r="X736" s="215" t="str">
        <x:v>No — retain qualifiers and exceptions</x:v>
      </x:c>
      <x:c r="Y736" s="215" t="str">
        <x:v>Yes</x:v>
      </x:c>
      <x:c r="Z736" s="215" t="str">
        <x:v>Source-backed draft</x:v>
      </x:c>
    </x:row>
    <x:row r="737" ht="42" customHeight="1">
      <x:c r="A737" s="215" t="str">
        <x:v>Portulacaceae</x:v>
      </x:c>
      <x:c r="B737" s="215" t="str">
        <x:v>POR-PERIANTH</x:v>
      </x:c>
      <x:c r="C737" s="215" t="str">
        <x:v>Family character</x:v>
      </x:c>
      <x:c r="D737" s="215" t="str">
        <x:v>Flowers / perianth</x:v>
      </x:c>
      <x:c r="E737" s="215" t="str">
        <x:v>Two outer sepal-like structures surround 4–6, commonly 5, brightly colored petals</x:v>
      </x:c>
      <x:c r="F737" s="215" t="str">
        <x:v>Strong</x:v>
      </x:c>
      <x:c r="G737" s="215" t="str">
        <x:v>5</x:v>
      </x:c>
      <x:c r="H737" s="215" t="str">
        <x:v>High</x:v>
      </x:c>
      <x:c r="I737" s="215" t="str">
        <x:v>Naked eye or hand lens</x:v>
      </x:c>
      <x:c r="J737" s="215" t="str">
        <x:v>Fresh flowers</x:v>
      </x:c>
      <x:c r="K737" s="215" t="str">
        <x:v>The flower usually has two green outer pieces and five colored petals.</x:v>
      </x:c>
      <x:c r="L737" s="215" t="str">
        <x:v>Interpretation as sepals versus bracteoles is morphologically debated, and counts vary.</x:v>
      </x:c>
      <x:c r="M737" s="215" t="str">
        <x:v>Record visible parts without overclaiming homology.</x:v>
      </x:c>
      <x:c r="N737" s="215" t="str">
        <x:v>Native and introduced Portulaca occur in Hays and surrounding Central Texas on open, rocky, sandy, and disturbed ground.</x:v>
      </x:c>
      <x:c r="O737" s="215" t="str">
        <x:v>Low</x:v>
      </x:c>
      <x:c r="P737" s="215" t="str">
        <x:v>No</x:v>
      </x:c>
      <x:c r="Q737" s="215" t="str"/>
      <x:c r="R737" s="215" t="str">
        <x:v>POR-LK01; POR-LK02</x:v>
      </x:c>
      <x:c r="S737" s="215" t="str">
        <x:v>APWEB-PORT; FNA-PORT; POWO-PORT; LBJ-HAYS</x:v>
      </x:c>
      <x:c r="T737" s="215" t="str">
        <x:v>https://www.mobot.org/MOBOT/research/APweb/orders/caryophyllalesweb.htm</x:v>
      </x:c>
      <x:c r="U737" s="215" t="str">
        <x:v>https://floranorthamerica.org/Portulacaceae</x:v>
      </x:c>
      <x:c r="V737" s="215" t="str">
        <x:v>https://powo.science.kew.org/taxon/urn:lsid:ipni.org:names:30000177-2/general-information</x:v>
      </x:c>
      <x:c r="W737" s="215" t="str">
        <x:v>https://www.mobot.org/MOBOT/research/APweb/orders/caryophyllalesweb.htm
https://floranorthamerica.org/Portulacaceae
https://powo.science.kew.org/taxon/urn:lsid:ipni.org:names:30000177-2/general-information
https://www.wildflower.org/collections/collection.php?collection=hays</x:v>
      </x:c>
      <x:c r="X737" s="215" t="str">
        <x:v>No — retain qualifiers and exceptions</x:v>
      </x:c>
      <x:c r="Y737" s="215" t="str">
        <x:v>Yes</x:v>
      </x:c>
      <x:c r="Z737" s="215" t="str">
        <x:v>Source-backed draft</x:v>
      </x:c>
    </x:row>
    <x:row r="738" ht="42" customHeight="1">
      <x:c r="A738" s="215" t="str">
        <x:v>Portulacaceae</x:v>
      </x:c>
      <x:c r="B738" s="215" t="str">
        <x:v>POR-STAMENS</x:v>
      </x:c>
      <x:c r="C738" s="215" t="str">
        <x:v>Family character</x:v>
      </x:c>
      <x:c r="D738" s="215" t="str">
        <x:v>Stamens</x:v>
      </x:c>
      <x:c r="E738" s="215" t="str">
        <x:v>Stamens may be 4 to numerous, often sensitive to touch in open flowers</x:v>
      </x:c>
      <x:c r="F738" s="215" t="str">
        <x:v>Strong</x:v>
      </x:c>
      <x:c r="G738" s="215" t="str">
        <x:v>3</x:v>
      </x:c>
      <x:c r="H738" s="215" t="str">
        <x:v>High</x:v>
      </x:c>
      <x:c r="I738" s="215" t="str">
        <x:v>Naked eye or hand lens</x:v>
      </x:c>
      <x:c r="J738" s="215" t="str">
        <x:v>Fresh open flowers</x:v>
      </x:c>
      <x:c r="K738" s="215" t="str">
        <x:v>The flower center can contain many stamens.</x:v>
      </x:c>
      <x:c r="L738" s="215" t="str">
        <x:v>Stamen number varies widely and movement is not a safe diagnostic test.</x:v>
      </x:c>
      <x:c r="M738" s="215" t="str">
        <x:v>Count visually without touching.</x:v>
      </x:c>
      <x:c r="N738" s="215" t="str">
        <x:v>Native and introduced Portulaca occur in Hays and surrounding Central Texas on open, rocky, sandy, and disturbed ground.</x:v>
      </x:c>
      <x:c r="O738" s="215" t="str">
        <x:v>Low</x:v>
      </x:c>
      <x:c r="P738" s="215" t="str">
        <x:v>No</x:v>
      </x:c>
      <x:c r="Q738" s="215" t="str"/>
      <x:c r="R738" s="215" t="str"/>
      <x:c r="S738" s="215" t="str">
        <x:v>APWEB-PORT; FNA-PORT; POWO-PORT; LBJ-HAYS</x:v>
      </x:c>
      <x:c r="T738" s="215" t="str">
        <x:v>https://www.mobot.org/MOBOT/research/APweb/orders/caryophyllalesweb.htm</x:v>
      </x:c>
      <x:c r="U738" s="215" t="str">
        <x:v>https://floranorthamerica.org/Portulacaceae</x:v>
      </x:c>
      <x:c r="V738" s="215" t="str">
        <x:v>https://powo.science.kew.org/taxon/urn:lsid:ipni.org:names:30000177-2/general-information</x:v>
      </x:c>
      <x:c r="W738" s="215" t="str">
        <x:v>https://www.mobot.org/MOBOT/research/APweb/orders/caryophyllalesweb.htm
https://floranorthamerica.org/Portulacaceae
https://powo.science.kew.org/taxon/urn:lsid:ipni.org:names:30000177-2/general-information
https://www.wildflower.org/collections/collection.php?collection=hays</x:v>
      </x:c>
      <x:c r="X738" s="215" t="str">
        <x:v>No — retain qualifiers and exceptions</x:v>
      </x:c>
      <x:c r="Y738" s="215" t="str">
        <x:v>Yes</x:v>
      </x:c>
      <x:c r="Z738" s="215" t="str">
        <x:v>Source-backed draft</x:v>
      </x:c>
    </x:row>
    <x:row r="739" ht="42" customHeight="1">
      <x:c r="A739" s="215" t="str">
        <x:v>Portulacaceae</x:v>
      </x:c>
      <x:c r="B739" s="215" t="str">
        <x:v>POR-OVARY</x:v>
      </x:c>
      <x:c r="C739" s="215" t="str">
        <x:v>Family character</x:v>
      </x:c>
      <x:c r="D739" s="215" t="str">
        <x:v>Gynoecium</x:v>
      </x:c>
      <x:c r="E739" s="215" t="str">
        <x:v>Ovary superior to partly inferior, 1-locular with free-central to basal placentation and one style divided distally</x:v>
      </x:c>
      <x:c r="F739" s="215" t="str">
        <x:v>Strong</x:v>
      </x:c>
      <x:c r="G739" s="215" t="str">
        <x:v>4</x:v>
      </x:c>
      <x:c r="H739" s="215" t="str">
        <x:v>High</x:v>
      </x:c>
      <x:c r="I739" s="215" t="str">
        <x:v>Hand lens or dissection</x:v>
      </x:c>
      <x:c r="J739" s="215" t="str">
        <x:v>Fresh flowers or young fruit</x:v>
      </x:c>
      <x:c r="K739" s="215" t="str">
        <x:v>Many ovules sit on a central column inside one chamber.</x:v>
      </x:c>
      <x:c r="L739" s="215" t="str">
        <x:v>Ovary position and style branch number vary.</x:v>
      </x:c>
      <x:c r="M739" s="215" t="str">
        <x:v>Use fruit dehiscence as the easier field expression.</x:v>
      </x:c>
      <x:c r="N739" s="215" t="str">
        <x:v>Native and introduced Portulaca occur in Hays and surrounding Central Texas on open, rocky, sandy, and disturbed ground.</x:v>
      </x:c>
      <x:c r="O739" s="215" t="str">
        <x:v>Low</x:v>
      </x:c>
      <x:c r="P739" s="215" t="str">
        <x:v>No</x:v>
      </x:c>
      <x:c r="Q739" s="215" t="str"/>
      <x:c r="R739" s="215" t="str"/>
      <x:c r="S739" s="215" t="str">
        <x:v>APWEB-PORT; FNA-PORT; POWO-PORT; LBJ-HAYS</x:v>
      </x:c>
      <x:c r="T739" s="215" t="str">
        <x:v>https://www.mobot.org/MOBOT/research/APweb/orders/caryophyllalesweb.htm</x:v>
      </x:c>
      <x:c r="U739" s="215" t="str">
        <x:v>https://floranorthamerica.org/Portulacaceae</x:v>
      </x:c>
      <x:c r="V739" s="215" t="str">
        <x:v>https://powo.science.kew.org/taxon/urn:lsid:ipni.org:names:30000177-2/general-information</x:v>
      </x:c>
      <x:c r="W739" s="215" t="str">
        <x:v>https://www.mobot.org/MOBOT/research/APweb/orders/caryophyllalesweb.htm
https://floranorthamerica.org/Portulacaceae
https://powo.science.kew.org/taxon/urn:lsid:ipni.org:names:30000177-2/general-information
https://www.wildflower.org/collections/collection.php?collection=hays</x:v>
      </x:c>
      <x:c r="X739" s="215" t="str">
        <x:v>No — retain qualifiers and exceptions</x:v>
      </x:c>
      <x:c r="Y739" s="215" t="str">
        <x:v>Yes</x:v>
      </x:c>
      <x:c r="Z739" s="215" t="str">
        <x:v>Source-backed draft</x:v>
      </x:c>
    </x:row>
    <x:row r="740" ht="42" customHeight="1">
      <x:c r="A740" s="215" t="str">
        <x:v>Portulacaceae</x:v>
      </x:c>
      <x:c r="B740" s="215" t="str">
        <x:v>POR-FRUIT</x:v>
      </x:c>
      <x:c r="C740" s="215" t="str">
        <x:v>Family character</x:v>
      </x:c>
      <x:c r="D740" s="215" t="str">
        <x:v>Fruit / seeds</x:v>
      </x:c>
      <x:c r="E740" s="215" t="str">
        <x:v>Fruit a many-seeded capsule, characteristically opening circumscissile in Portulaca; seeds small and often sculptured</x:v>
      </x:c>
      <x:c r="F740" s="215" t="str">
        <x:v>Strong</x:v>
      </x:c>
      <x:c r="G740" s="215" t="str">
        <x:v>5</x:v>
      </x:c>
      <x:c r="H740" s="215" t="str">
        <x:v>High</x:v>
      </x:c>
      <x:c r="I740" s="215" t="str">
        <x:v>Naked eye or hand lens</x:v>
      </x:c>
      <x:c r="J740" s="215" t="str">
        <x:v>Mature fruit</x:v>
      </x:c>
      <x:c r="K740" s="215" t="str">
        <x:v>The capsule opens around its middle like a lid.</x:v>
      </x:c>
      <x:c r="L740" s="215" t="str">
        <x:v>Immature capsules do not show the opening line; seed sculpture needs magnification.</x:v>
      </x:c>
      <x:c r="M740" s="215" t="str">
        <x:v>This is the strongest practical Portulaca character.</x:v>
      </x:c>
      <x:c r="N740" s="215" t="str">
        <x:v>Native and introduced Portulaca occur in Hays and surrounding Central Texas on open, rocky, sandy, and disturbed ground.</x:v>
      </x:c>
      <x:c r="O740" s="215" t="str">
        <x:v>Low</x:v>
      </x:c>
      <x:c r="P740" s="215" t="str">
        <x:v>No</x:v>
      </x:c>
      <x:c r="Q740" s="215" t="str"/>
      <x:c r="R740" s="215" t="str">
        <x:v>POR-LK01; POR-LK02</x:v>
      </x:c>
      <x:c r="S740" s="215" t="str">
        <x:v>APWEB-PORT; FNA-PORT; POWO-PORT; LBJ-HAYS</x:v>
      </x:c>
      <x:c r="T740" s="215" t="str">
        <x:v>https://www.mobot.org/MOBOT/research/APweb/orders/caryophyllalesweb.htm</x:v>
      </x:c>
      <x:c r="U740" s="215" t="str">
        <x:v>https://floranorthamerica.org/Portulacaceae</x:v>
      </x:c>
      <x:c r="V740" s="215" t="str">
        <x:v>https://powo.science.kew.org/taxon/urn:lsid:ipni.org:names:30000177-2/general-information</x:v>
      </x:c>
      <x:c r="W740" s="215" t="str">
        <x:v>https://www.mobot.org/MOBOT/research/APweb/orders/caryophyllalesweb.htm
https://floranorthamerica.org/Portulacaceae
https://powo.science.kew.org/taxon/urn:lsid:ipni.org:names:30000177-2/general-information
https://www.wildflower.org/collections/collection.php?collection=hays</x:v>
      </x:c>
      <x:c r="X740" s="215" t="str">
        <x:v>No — retain qualifiers and exceptions</x:v>
      </x:c>
      <x:c r="Y740" s="215" t="str">
        <x:v>Yes</x:v>
      </x:c>
      <x:c r="Z740" s="215" t="str">
        <x:v>Source-backed draft</x:v>
      </x:c>
    </x:row>
    <x:row r="741" ht="42" customHeight="1">
      <x:c r="A741" s="215" t="str">
        <x:v>Portulacaceae</x:v>
      </x:c>
      <x:c r="B741" s="215" t="str">
        <x:v>POR-TAXON</x:v>
      </x:c>
      <x:c r="C741" s="215" t="str">
        <x:v>Taxonomic scope</x:v>
      </x:c>
      <x:c r="D741" s="215" t="str">
        <x:v>Taxonomy / family boundary</x:v>
      </x:c>
      <x:c r="E741" s="215" t="str">
        <x:v>Modern Portulacaceae is narrow and centered on Portulaca; many genera in older broad Portulacaceae are now Montiaceae, Talinaceae, or Anacampserotaceae</x:v>
      </x:c>
      <x:c r="F741" s="215" t="str">
        <x:v>Caution</x:v>
      </x:c>
      <x:c r="G741" s="215" t="str">
        <x:v>0</x:v>
      </x:c>
      <x:c r="H741" s="215" t="str">
        <x:v>High</x:v>
      </x:c>
      <x:c r="I741" s="215" t="str">
        <x:v>Not field-visible</x:v>
      </x:c>
      <x:c r="J741" s="215" t="str">
        <x:v>Any material</x:v>
      </x:c>
      <x:c r="K741" s="215" t="str">
        <x:v>Old floras may use Portulacaceae for plants no longer placed there.</x:v>
      </x:c>
      <x:c r="L741" s="215" t="str">
        <x:v>The FNA treatment follows a broader legacy boundary than current APweb and POWO concepts.</x:v>
      </x:c>
      <x:c r="M741" s="215" t="str">
        <x:v>Apply core rows to Portulaca and reconcile non-Portulaca names before family assignment.</x:v>
      </x:c>
      <x:c r="N741" s="215" t="str">
        <x:v>Native and introduced Portulaca occur in Hays and surrounding Central Texas on open, rocky, sandy, and disturbed ground.</x:v>
      </x:c>
      <x:c r="O741" s="215" t="str">
        <x:v>Medium</x:v>
      </x:c>
      <x:c r="P741" s="215" t="str">
        <x:v>No</x:v>
      </x:c>
      <x:c r="Q741" s="215" t="str"/>
      <x:c r="R741" s="215" t="str"/>
      <x:c r="S741" s="215" t="str">
        <x:v>APWEB-PORT; FNA-PORT; POWO-PORT; LBJ-HAYS</x:v>
      </x:c>
      <x:c r="T741" s="215" t="str">
        <x:v>https://www.mobot.org/MOBOT/research/APweb/orders/caryophyllalesweb.htm</x:v>
      </x:c>
      <x:c r="U741" s="215" t="str">
        <x:v>https://floranorthamerica.org/Portulacaceae</x:v>
      </x:c>
      <x:c r="V741" s="215" t="str">
        <x:v>https://powo.science.kew.org/taxon/urn:lsid:ipni.org:names:30000177-2/general-information</x:v>
      </x:c>
      <x:c r="W741" s="215" t="str">
        <x:v>https://www.mobot.org/MOBOT/research/APweb/orders/caryophyllalesweb.htm
https://floranorthamerica.org/Portulacaceae
https://powo.science.kew.org/taxon/urn:lsid:ipni.org:names:30000177-2/general-information
https://www.wildflower.org/collections/collection.php?collection=hays</x:v>
      </x:c>
      <x:c r="X741" s="215" t="str">
        <x:v>No — retain qualifiers and exceptions</x:v>
      </x:c>
      <x:c r="Y741" s="215" t="str">
        <x:v>Yes</x:v>
      </x:c>
      <x:c r="Z741" s="215" t="str">
        <x:v>Source-backed draft</x:v>
      </x:c>
    </x:row>
    <x:row r="742" ht="42" customHeight="1">
      <x:c r="A742" s="215" t="str">
        <x:v>Portulacaceae</x:v>
      </x:c>
      <x:c r="B742" s="215" t="str">
        <x:v>POR-LK01</x:v>
      </x:c>
      <x:c r="C742" s="215" t="str">
        <x:v>Lookalike comparison</x:v>
      </x:c>
      <x:c r="D742" s="215" t="str">
        <x:v>Lookalike</x:v>
      </x:c>
      <x:c r="E742" s="215" t="str">
        <x:v>Versus Cactaceae: ordinary leafy succulent stems and a circumscissile capsule favor Portulaca; areoles with spines or glochids and an inferior ovary producing a berry favor Cactaceae</x:v>
      </x:c>
      <x:c r="F742" s="215" t="str">
        <x:v>Lookalike</x:v>
      </x:c>
      <x:c r="G742" s="215" t="str">
        <x:v>5</x:v>
      </x:c>
      <x:c r="H742" s="215" t="str">
        <x:v>High</x:v>
      </x:c>
      <x:c r="I742" s="215" t="str">
        <x:v>Naked eye or hand lens</x:v>
      </x:c>
      <x:c r="J742" s="215" t="str">
        <x:v>Flowering or fruiting material</x:v>
      </x:c>
      <x:c r="K742" s="215" t="str">
        <x:v>Both can be low succulents with many stamens and bright flowers.</x:v>
      </x:c>
      <x:c r="L742" s="215" t="str">
        <x:v>Some cacti have leaves and some Portulaca nodes are hairy.</x:v>
      </x:c>
      <x:c r="M742" s="215" t="str">
        <x:v>Prioritize areoles, ovary position, and mature fruit.</x:v>
      </x:c>
      <x:c r="N742" s="215" t="str">
        <x:v>Native and introduced Portulaca occur in Hays and surrounding Central Texas on open, rocky, sandy, and disturbed ground.</x:v>
      </x:c>
      <x:c r="O742" s="215" t="str">
        <x:v>Low</x:v>
      </x:c>
      <x:c r="P742" s="215" t="str">
        <x:v>No</x:v>
      </x:c>
      <x:c r="Q742" s="215" t="str"/>
      <x:c r="R742" s="215" t="str">
        <x:v>POR-HABIT; POR-LEAVES; POR-PERIANTH; POR-OVARY; POR-FRUIT</x:v>
      </x:c>
      <x:c r="S742" s="215" t="str">
        <x:v>APWEB-PORT; FNA-PORT; POWO-PORT; LBJ-HAYS</x:v>
      </x:c>
      <x:c r="T742" s="215" t="str">
        <x:v>https://www.mobot.org/MOBOT/research/APweb/orders/caryophyllalesweb.htm</x:v>
      </x:c>
      <x:c r="U742" s="215" t="str">
        <x:v>https://floranorthamerica.org/Portulacaceae</x:v>
      </x:c>
      <x:c r="V742" s="215" t="str">
        <x:v>https://powo.science.kew.org/taxon/urn:lsid:ipni.org:names:30000177-2/general-information</x:v>
      </x:c>
      <x:c r="W742" s="215" t="str">
        <x:v>https://www.mobot.org/MOBOT/research/APweb/orders/caryophyllalesweb.htm
https://floranorthamerica.org/Portulacaceae
https://powo.science.kew.org/taxon/urn:lsid:ipni.org:names:30000177-2/general-information
https://www.wildflower.org/collections/collection.php?collection=hays</x:v>
      </x:c>
      <x:c r="X742" s="215" t="str">
        <x:v>No — retain qualifiers and exceptions</x:v>
      </x:c>
      <x:c r="Y742" s="215" t="str">
        <x:v>Yes</x:v>
      </x:c>
      <x:c r="Z742" s="215" t="str">
        <x:v>Source-backed draft</x:v>
      </x:c>
    </x:row>
    <x:row r="743" ht="42" customHeight="1">
      <x:c r="A743" s="215" t="str">
        <x:v>Portulacaceae</x:v>
      </x:c>
      <x:c r="B743" s="215" t="str">
        <x:v>POR-LK02</x:v>
      </x:c>
      <x:c r="C743" s="215" t="str">
        <x:v>Lookalike comparison</x:v>
      </x:c>
      <x:c r="D743" s="215" t="str">
        <x:v>Lookalike</x:v>
      </x:c>
      <x:c r="E743" s="215" t="str">
        <x:v>Versus Crassulaceae: a single circumscissile capsule favors Portulaca; several separate follicles with one nectary scale per carpel favor Crassulaceae</x:v>
      </x:c>
      <x:c r="F743" s="215" t="str">
        <x:v>Lookalike</x:v>
      </x:c>
      <x:c r="G743" s="215" t="str">
        <x:v>5</x:v>
      </x:c>
      <x:c r="H743" s="215" t="str">
        <x:v>High</x:v>
      </x:c>
      <x:c r="I743" s="215" t="str">
        <x:v>Naked eye or hand lens</x:v>
      </x:c>
      <x:c r="J743" s="215" t="str">
        <x:v>Mature flowers and fruit</x:v>
      </x:c>
      <x:c r="K743" s="215" t="str">
        <x:v>Both are often small succulent herbs with radially symmetric flowers.</x:v>
      </x:c>
      <x:c r="L743" s="215" t="str">
        <x:v>Sterile plants may remain unresolved.</x:v>
      </x:c>
      <x:c r="M743" s="215" t="str">
        <x:v>Use carpel construction and mature fruit.</x:v>
      </x:c>
      <x:c r="N743" s="215" t="str">
        <x:v>Native and introduced Portulaca occur in Hays and surrounding Central Texas on open, rocky, sandy, and disturbed ground.</x:v>
      </x:c>
      <x:c r="O743" s="215" t="str">
        <x:v>Low</x:v>
      </x:c>
      <x:c r="P743" s="215" t="str">
        <x:v>No</x:v>
      </x:c>
      <x:c r="Q743" s="215" t="str"/>
      <x:c r="R743" s="215" t="str">
        <x:v>POR-LEAVES; POR-PERIANTH; POR-OVARY; POR-FRUIT</x:v>
      </x:c>
      <x:c r="S743" s="215" t="str">
        <x:v>APWEB-PORT; FNA-PORT; POWO-PORT; LBJ-HAYS</x:v>
      </x:c>
      <x:c r="T743" s="215" t="str">
        <x:v>https://www.mobot.org/MOBOT/research/APweb/orders/caryophyllalesweb.htm</x:v>
      </x:c>
      <x:c r="U743" s="215" t="str">
        <x:v>https://floranorthamerica.org/Portulacaceae</x:v>
      </x:c>
      <x:c r="V743" s="215" t="str">
        <x:v>https://powo.science.kew.org/taxon/urn:lsid:ipni.org:names:30000177-2/general-information</x:v>
      </x:c>
      <x:c r="W743" s="215" t="str">
        <x:v>https://www.mobot.org/MOBOT/research/APweb/orders/caryophyllalesweb.htm
https://floranorthamerica.org/Portulacaceae
https://powo.science.kew.org/taxon/urn:lsid:ipni.org:names:30000177-2/general-information
https://www.wildflower.org/collections/collection.php?collection=hays</x:v>
      </x:c>
      <x:c r="X743" s="215" t="str">
        <x:v>No — retain qualifiers and exceptions</x:v>
      </x:c>
      <x:c r="Y743" s="215" t="str">
        <x:v>Yes</x:v>
      </x:c>
      <x:c r="Z743" s="215" t="str">
        <x:v>Source-backed draft</x:v>
      </x:c>
    </x:row>
  </x:sheetData>
  <x:conditionalFormatting sqref="P2:P743">
    <x:cfRule type="containsText" dxfId="17" priority="1" operator="containsText" text="Yes"/>
  </x:conditionalFormatting>
  <x:conditionalFormatting sqref="O2:O743">
    <x:cfRule type="containsText" dxfId="18" priority="2" operator="containsText" text="High"/>
  </x:conditionalFormatting>
  <x:conditionalFormatting sqref="G2:G743">
    <x:cfRule type="colorScale" priority="3">
      <x:colorScale>
        <x:cfvo type="min"/>
        <x:cfvo type="percentile" val="50"/>
        <x:cfvo type="max"/>
        <x:color rgb="FFF1F4F2"/>
        <x:color rgb="FFD9EAD3"/>
        <x:color rgb="FF6AA84F"/>
      </x:colorScale>
    </x:cfRule>
  </x:conditionalFormatting>
  <x:pageMargins left="0.7" right="0.7" top="0.75" bottom="0.75" header="0.3" footer="0.3"/>
  <x:tableParts count="1">
    <x:tablePart xmlns:r="http://schemas.openxmlformats.org/officeDocument/2006/relationships" r:id="R78b4eacd740c42a2"/>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18" hidden="0" customWidth="1"/>
    <x:col min="5" max="5" width="44" hidden="0" customWidth="1"/>
    <x:col min="6" max="6" width="18" hidden="0" customWidth="1"/>
    <x:col min="7" max="7" width="11" hidden="0" customWidth="1"/>
    <x:col min="8" max="8" width="28" hidden="0" customWidth="1"/>
    <x:col min="9" max="9" width="28" hidden="0" customWidth="1"/>
    <x:col min="10" max="10" width="25" hidden="0" customWidth="1"/>
    <x:col min="11" max="11" width="48" hidden="0" customWidth="1"/>
    <x:col min="12" max="12" width="48" hidden="0" customWidth="1"/>
    <x:col min="13" max="13" width="54" hidden="0" customWidth="1"/>
    <x:col min="14" max="14" width="42" hidden="0" customWidth="1"/>
    <x:col min="15" max="15" width="14" hidden="0" customWidth="1"/>
    <x:col min="16" max="16" width="14" hidden="0" customWidth="1"/>
    <x:col min="17" max="17" width="38" hidden="0" customWidth="1"/>
    <x:col min="18" max="18" width="28" hidden="0" customWidth="1"/>
    <x:col min="19" max="19" width="28" hidden="0" customWidth="1"/>
    <x:col min="20" max="20" width="32" hidden="0" customWidth="1"/>
    <x:col min="21" max="21" width="38" hidden="0" customWidth="1"/>
    <x:col min="22" max="22" width="32" hidden="0" customWidth="1"/>
    <x:col min="23" max="23" width="48" hidden="0" customWidth="1"/>
    <x:col min="24" max="24" width="32" hidden="0" customWidth="1"/>
    <x:col min="25" max="25" width="18" hidden="0" customWidth="1"/>
    <x:col min="26" max="26" width="26" hidden="0" customWidth="1"/>
    <x:col min="27" max="27" width="24" hidden="0" customWidth="1"/>
    <x:col min="28" max="28" width="24" hidden="0" customWidth="1"/>
    <x:col min="29" max="29" width="18" hidden="0" customWidth="1"/>
    <x:col min="30" max="30" width="20" hidden="0" customWidth="1"/>
    <x:col min="31" max="31" width="18" hidden="0" customWidth="1"/>
    <x:col min="32" max="32" width="24" hidden="0" customWidth="1"/>
    <x:col min="33" max="33" width="24" hidden="0" customWidth="1"/>
    <x:col min="34" max="34" width="22" hidden="0" customWidth="1"/>
  </x:cols>
  <x:sheetData>
    <x:row r="1">
      <x:c r="A1" s="217" t="str">
        <x:v>Family Evidence — Model-Ready Working View</x:v>
      </x:c>
      <x:c r="B1" s="217"/>
      <x:c r="C1" s="217"/>
      <x:c r="D1" s="217"/>
      <x:c r="E1" s="217"/>
      <x:c r="F1" s="217"/>
      <x:c r="G1" s="217"/>
      <x:c r="H1" s="217"/>
      <x:c r="I1" s="217"/>
      <x:c r="J1" s="217"/>
      <x:c r="K1" s="217"/>
      <x:c r="L1" s="217"/>
      <x:c r="M1" s="217"/>
      <x:c r="N1" s="217"/>
      <x:c r="O1" s="217"/>
      <x:c r="P1" s="217"/>
      <x:c r="Q1" s="217"/>
      <x:c r="R1" s="217"/>
      <x:c r="S1" s="217"/>
      <x:c r="T1" s="217"/>
      <x:c r="U1" s="217"/>
      <x:c r="V1" s="217"/>
      <x:c r="W1" s="217"/>
      <x:c r="X1" s="217"/>
      <x:c r="Y1" s="217"/>
      <x:c r="Z1" s="217"/>
      <x:c r="AA1" s="217"/>
      <x:c r="AB1" s="217"/>
      <x:c r="AC1" s="217"/>
      <x:c r="AD1" s="217"/>
      <x:c r="AE1" s="217"/>
      <x:c r="AF1" s="217"/>
      <x:c r="AG1" s="217"/>
      <x:c r="AH1" s="217"/>
    </x:row>
    <x:row r="2">
      <x:c r="A2" s="164" t="str">
        <x:v>The first 26 columns preserve the automation output. The eight final columns normalize the variable wording for filtering, field-guide logic, and later AI feature engineering without discarding the botanical nuance.</x:v>
      </x:c>
      <x:c r="B2" s="164"/>
      <x:c r="C2" s="164"/>
      <x:c r="D2" s="164"/>
      <x:c r="E2" s="164"/>
      <x:c r="F2" s="164"/>
      <x:c r="G2" s="164"/>
      <x:c r="H2" s="164"/>
      <x:c r="I2" s="164"/>
      <x:c r="J2" s="164"/>
      <x:c r="K2" s="164"/>
      <x:c r="L2" s="164"/>
      <x:c r="M2" s="164"/>
      <x:c r="N2" s="164"/>
      <x:c r="O2" s="164"/>
      <x:c r="P2" s="164"/>
      <x:c r="Q2" s="164"/>
      <x:c r="R2" s="164"/>
      <x:c r="S2" s="164"/>
      <x:c r="T2" s="164"/>
      <x:c r="U2" s="164"/>
      <x:c r="V2" s="164"/>
      <x:c r="W2" s="164"/>
      <x:c r="X2" s="164"/>
      <x:c r="Y2" s="164"/>
      <x:c r="Z2" s="164"/>
      <x:c r="AA2" s="164"/>
      <x:c r="AB2" s="164"/>
      <x:c r="AC2" s="164"/>
      <x:c r="AD2" s="164"/>
      <x:c r="AE2" s="164"/>
      <x:c r="AF2" s="164"/>
      <x:c r="AG2" s="164"/>
      <x:c r="AH2" s="164"/>
    </x:row>
    <x:row r="4" ht="40" customHeight="1">
      <x:c r="A4" s="212" t="str">
        <x:v>Family</x:v>
      </x:c>
      <x:c r="B4" s="212" t="str">
        <x:v>Character Code</x:v>
      </x:c>
      <x:c r="C4" s="212" t="str">
        <x:v>Scope</x:v>
      </x:c>
      <x:c r="D4" s="212" t="str">
        <x:v>Organ System</x:v>
      </x:c>
      <x:c r="E4" s="212" t="str">
        <x:v>Character State</x:v>
      </x:c>
      <x:c r="F4" s="212" t="str">
        <x:v>Evidence Strength</x:v>
      </x:c>
      <x:c r="G4" s="212" t="str">
        <x:v>Suggested Weight</x:v>
      </x:c>
      <x:c r="H4" s="212" t="str">
        <x:v>Reliability</x:v>
      </x:c>
      <x:c r="I4" s="212" t="str">
        <x:v>Field Visibility</x:v>
      </x:c>
      <x:c r="J4" s="212" t="str">
        <x:v>Best Season / Material</x:v>
      </x:c>
      <x:c r="K4" s="212" t="str">
        <x:v>Plain-language Meaning</x:v>
      </x:c>
      <x:c r="L4" s="212" t="str">
        <x:v>Exceptions / Limits</x:v>
      </x:c>
      <x:c r="M4" s="212" t="str">
        <x:v>What It Separates / How to Use</x:v>
      </x:c>
      <x:c r="N4" s="212" t="str">
        <x:v>Local Hays Relevance</x:v>
      </x:c>
      <x:c r="O4" s="212" t="str">
        <x:v>Uncertainty</x:v>
      </x:c>
      <x:c r="P4" s="212" t="str">
        <x:v>Human Review?</x:v>
      </x:c>
      <x:c r="Q4" s="212" t="str">
        <x:v>Review Reason</x:v>
      </x:c>
      <x:c r="R4" s="212" t="str">
        <x:v>Related Lookalike IDs</x:v>
      </x:c>
      <x:c r="S4" s="212" t="str">
        <x:v>Source IDs</x:v>
      </x:c>
      <x:c r="T4" s="212" t="str">
        <x:v>APweb Direct URL</x:v>
      </x:c>
      <x:c r="U4" s="212" t="str">
        <x:v>Practical Flora Direct URL(s)</x:v>
      </x:c>
      <x:c r="V4" s="212" t="str">
        <x:v>POWO/WCVP Direct URL</x:v>
      </x:c>
      <x:c r="W4" s="212" t="str">
        <x:v>All Direct Citation URLs</x:v>
      </x:c>
      <x:c r="X4" s="212" t="str">
        <x:v>Universal Claim Permitted?</x:v>
      </x:c>
      <x:c r="Y4" s="212" t="str">
        <x:v>Unknown Allowed?</x:v>
      </x:c>
      <x:c r="Z4" s="212" t="str">
        <x:v>Review Status</x:v>
      </x:c>
      <x:c r="AA4" s="212" t="str">
        <x:v>Scope Class</x:v>
      </x:c>
      <x:c r="AB4" s="212" t="str">
        <x:v>Evidence Function</x:v>
      </x:c>
      <x:c r="AC4" s="212" t="str">
        <x:v>Reliability Class</x:v>
      </x:c>
      <x:c r="AD4" s="212" t="str">
        <x:v>Visibility Class</x:v>
      </x:c>
      <x:c r="AE4" s="212" t="str">
        <x:v>Uncertainty Class</x:v>
      </x:c>
      <x:c r="AF4" s="212" t="str">
        <x:v>Field Use Class</x:v>
      </x:c>
      <x:c r="AG4" s="212" t="str">
        <x:v>Review Priority</x:v>
      </x:c>
      <x:c r="AH4" s="212" t="str">
        <x:v>Inventory Scope</x:v>
      </x:c>
    </x:row>
    <x:row r="5" ht="42" customHeight="1">
      <x:c r="A5" s="215" t="str">
        <x:v>Onagraceae</x:v>
      </x:c>
      <x:c r="B5" s="215" t="str">
        <x:v>ONA-OVARY</x:v>
      </x:c>
      <x:c r="C5" s="215" t="str">
        <x:v>Family-wide</x:v>
      </x:c>
      <x:c r="D5" s="215" t="str">
        <x:v>Gynoecium</x:v>
      </x:c>
      <x:c r="E5" s="215" t="str">
        <x:v>Ovary inferior or largely inferior</x:v>
      </x:c>
      <x:c r="F5" s="215" t="str">
        <x:v>Core</x:v>
      </x:c>
      <x:c r="G5" s="215" t="str">
        <x:v>5</x:v>
      </x:c>
      <x:c r="H5" s="215" t="str">
        <x:v>High</x:v>
      </x:c>
      <x:c r="I5" s="215" t="str">
        <x:v>Hand lens or side view</x:v>
      </x:c>
      <x:c r="J5" s="215" t="str">
        <x:v>Flowering</x:v>
      </x:c>
      <x:c r="K5" s="215" t="str">
        <x:v>The sepals, petals, and stamens arise above the ovary rather than beneath it.</x:v>
      </x:c>
      <x:c r="L5" s="215" t="str">
        <x:v>The boundary can be hard to see when the floral tube is long or the flower is very small; ovary position alone also occurs in unrelated families.</x:v>
      </x:c>
      <x:c r="M5" s="215" t="str">
        <x:v>Confirm with floral merosity and pollen or fruit characters; useful against most superficially similar 4-petaled flowers with superior ovaries.</x:v>
      </x:c>
      <x:c r="N5" s="215" t="str">
        <x:v>Strong in both local genera, Ludwigia and Oenothera.</x:v>
      </x:c>
      <x:c r="O5" s="215" t="str">
        <x:v>Low</x:v>
      </x:c>
      <x:c r="P5" s="215" t="str">
        <x:v>No</x:v>
      </x:c>
      <x:c r="Q5" s="215" t="str"/>
      <x:c r="R5" s="215" t="str">
        <x:v>ONA-LK01; ONA-LK02</x:v>
      </x:c>
      <x:c r="S5" s="215" t="str">
        <x:v>APWEB-ONAGR; FNA-ONAGR; POWO-ONAGR</x:v>
      </x:c>
      <x:c r="T5" s="215" t="str">
        <x:v>https://www.mobot.org/MOBOT/research/APweb/orders/myrtalesweb2.htm</x:v>
      </x:c>
      <x:c r="U5" s="215" t="str">
        <x:v>https://floranorthamerica.org/Onagraceae</x:v>
      </x:c>
      <x:c r="V5" s="215" t="str">
        <x:v>https://powo.science.kew.org/taxon/urn:lsid:ipni.org:names:30000053-2</x:v>
      </x:c>
      <x:c r="W5" s="215" t="str">
        <x:v>https://www.mobot.org/MOBOT/research/APweb/orders/myrtalesweb2.htm
https://floranorthamerica.org/Onagraceae
https://powo.science.kew.org/taxon/urn:lsid:ipni.org:names:30000053-2</x:v>
      </x:c>
      <x:c r="X5" s="215" t="str">
        <x:v>No — retain qualifiers and exceptions</x:v>
      </x:c>
      <x:c r="Y5" s="215" t="str">
        <x:v>Yes</x:v>
      </x:c>
      <x:c r="Z5" s="215" t="str">
        <x:v>Source-backed draft</x:v>
      </x:c>
      <x:c r="AA5" s="215" t="str">
        <x:v>Family pattern</x:v>
      </x:c>
      <x:c r="AB5" s="215" t="str">
        <x:v>Positive diagnostic</x:v>
      </x:c>
      <x:c r="AC5" s="215" t="str">
        <x:v>High</x:v>
      </x:c>
      <x:c r="AD5" s="215" t="str">
        <x:v>Hand lens / macro</x:v>
      </x:c>
      <x:c r="AE5" s="215" t="str">
        <x:v>Low</x:v>
      </x:c>
      <x:c r="AF5" s="215" t="str">
        <x:v>Field-ready draft</x:v>
      </x:c>
      <x:c r="AG5" s="215" t="str">
        <x:v>2 — Field-photo priority</x:v>
      </x:c>
      <x:c r="AH5" s="215" t="str">
        <x:v>Current master inventory</x:v>
      </x:c>
    </x:row>
    <x:row r="6" ht="42" customHeight="1">
      <x:c r="A6" s="215" t="str">
        <x:v>Onagraceae</x:v>
      </x:c>
      <x:c r="B6" s="215" t="str">
        <x:v>ONA-MEROSITY</x:v>
      </x:c>
      <x:c r="C6" s="215" t="str">
        <x:v>Family-wide</x:v>
      </x:c>
      <x:c r="D6" s="215" t="str">
        <x:v>Flower</x:v>
      </x:c>
      <x:c r="E6" s="215" t="str">
        <x:v>Flowers usually 4-merous</x:v>
      </x:c>
      <x:c r="F6" s="215" t="str">
        <x:v>Strong</x:v>
      </x:c>
      <x:c r="G6" s="215" t="str">
        <x:v>4</x:v>
      </x:c>
      <x:c r="H6" s="215" t="str">
        <x:v>High</x:v>
      </x:c>
      <x:c r="I6" s="215" t="str">
        <x:v>Naked eye</x:v>
      </x:c>
      <x:c r="J6" s="215" t="str">
        <x:v>Flowering</x:v>
      </x:c>
      <x:c r="K6" s="215" t="str">
        <x:v>Most family members have four sepals and four petals.</x:v>
      </x:c>
      <x:c r="L6" s="215" t="str">
        <x:v>FNA records 2-, 5-, and 7-merous exceptions; Ludwigia may be 4-5-merous and petals may be absent in some nonlocal lineages.</x:v>
      </x:c>
      <x:c r="M6" s="215" t="str">
        <x:v>Use as part of a suite, never as a stand-alone rule.</x:v>
      </x:c>
      <x:c r="N6" s="215" t="str">
        <x:v>Most local material will be 4-merous, but Ludwigia variation must remain allowed.</x:v>
      </x:c>
      <x:c r="O6" s="215" t="str">
        <x:v>Low</x:v>
      </x:c>
      <x:c r="P6" s="215" t="str">
        <x:v>No</x:v>
      </x:c>
      <x:c r="Q6" s="215" t="str"/>
      <x:c r="R6" s="215" t="str">
        <x:v>ONA-LK01</x:v>
      </x:c>
      <x:c r="S6" s="215" t="str">
        <x:v>APWEB-ONAGR; FNA-ONAGR; POWO-ONAGR</x:v>
      </x:c>
      <x:c r="T6" s="215" t="str">
        <x:v>https://www.mobot.org/MOBOT/research/APweb/orders/myrtalesweb2.htm</x:v>
      </x:c>
      <x:c r="U6" s="215" t="str">
        <x:v>https://floranorthamerica.org/Onagraceae</x:v>
      </x:c>
      <x:c r="V6" s="215" t="str">
        <x:v>https://powo.science.kew.org/taxon/urn:lsid:ipni.org:names:30000053-2</x:v>
      </x:c>
      <x:c r="W6" s="215" t="str">
        <x:v>https://www.mobot.org/MOBOT/research/APweb/orders/myrtalesweb2.htm
https://floranorthamerica.org/Onagraceae
https://powo.science.kew.org/taxon/urn:lsid:ipni.org:names:30000053-2</x:v>
      </x:c>
      <x:c r="X6" s="215" t="str">
        <x:v>No — retain qualifiers and exceptions</x:v>
      </x:c>
      <x:c r="Y6" s="215" t="str">
        <x:v>Yes</x:v>
      </x:c>
      <x:c r="Z6" s="215" t="str">
        <x:v>Source-backed draft</x:v>
      </x:c>
      <x:c r="AA6" s="215" t="str">
        <x:v>Family pattern</x:v>
      </x:c>
      <x:c r="AB6" s="215" t="str">
        <x:v>Positive diagnostic</x:v>
      </x:c>
      <x:c r="AC6" s="215" t="str">
        <x:v>High</x:v>
      </x:c>
      <x:c r="AD6" s="215" t="str">
        <x:v>Naked eye / field</x:v>
      </x:c>
      <x:c r="AE6" s="215" t="str">
        <x:v>Low</x:v>
      </x:c>
      <x:c r="AF6" s="215" t="str">
        <x:v>Field-ready draft</x:v>
      </x:c>
      <x:c r="AG6" s="215" t="str">
        <x:v>2 — Field-photo priority</x:v>
      </x:c>
      <x:c r="AH6" s="215" t="str">
        <x:v>Current master inventory</x:v>
      </x:c>
    </x:row>
    <x:row r="7" ht="42" customHeight="1">
      <x:c r="A7" s="215" t="str">
        <x:v>Onagraceae</x:v>
      </x:c>
      <x:c r="B7" s="215" t="str">
        <x:v>ONA-FLORALTUBE</x:v>
      </x:c>
      <x:c r="C7" s="215" t="str">
        <x:v>Family-wide, variable</x:v>
      </x:c>
      <x:c r="D7" s="215" t="str">
        <x:v>Flower</x:v>
      </x:c>
      <x:c r="E7" s="215" t="str">
        <x:v>Floral tube or hypanthium commonly present</x:v>
      </x:c>
      <x:c r="F7" s="215" t="str">
        <x:v>Supporting</x:v>
      </x:c>
      <x:c r="G7" s="215" t="str">
        <x:v>3</x:v>
      </x:c>
      <x:c r="H7" s="215" t="str">
        <x:v>Variable</x:v>
      </x:c>
      <x:c r="I7" s="215" t="str">
        <x:v>Naked eye or hand lens</x:v>
      </x:c>
      <x:c r="J7" s="215" t="str">
        <x:v>Flowering</x:v>
      </x:c>
      <x:c r="K7" s="215" t="str">
        <x:v>A tube of floral tissue may extend above the ovary and hold the perianth and stamens.</x:v>
      </x:c>
      <x:c r="L7" s="215" t="str">
        <x:v>FNA explicitly states that the tube is present or absent in Ludwigia and some other lineages; it is usually present in Onagroideae.</x:v>
      </x:c>
      <x:c r="M7" s="215" t="str">
        <x:v>Useful with an inferior ovary, but absence does not reject the family.</x:v>
      </x:c>
      <x:c r="N7" s="215" t="str">
        <x:v>Highly useful for Oenothera; unreliable as a requirement for local Ludwigia.</x:v>
      </x:c>
      <x:c r="O7" s="215" t="str">
        <x:v>Low</x:v>
      </x:c>
      <x:c r="P7" s="215" t="str">
        <x:v>No</x:v>
      </x:c>
      <x:c r="Q7" s="215" t="str"/>
      <x:c r="R7" s="215" t="str">
        <x:v>ONA-LK01</x:v>
      </x:c>
      <x:c r="S7" s="215" t="str">
        <x:v>APWEB-ONAGR; FNA-ONAGR; POWO-ONAGR</x:v>
      </x:c>
      <x:c r="T7" s="215" t="str">
        <x:v>https://www.mobot.org/MOBOT/research/APweb/orders/myrtalesweb2.htm</x:v>
      </x:c>
      <x:c r="U7" s="215" t="str">
        <x:v>https://floranorthamerica.org/Onagraceae</x:v>
      </x:c>
      <x:c r="V7" s="215" t="str">
        <x:v>https://powo.science.kew.org/taxon/urn:lsid:ipni.org:names:30000053-2</x:v>
      </x:c>
      <x:c r="W7" s="215" t="str">
        <x:v>https://www.mobot.org/MOBOT/research/APweb/orders/myrtalesweb2.htm
https://floranorthamerica.org/Onagraceae
https://powo.science.kew.org/taxon/urn:lsid:ipni.org:names:30000053-2</x:v>
      </x:c>
      <x:c r="X7" s="215" t="str">
        <x:v>No — retain qualifiers and exceptions</x:v>
      </x:c>
      <x:c r="Y7" s="215" t="str">
        <x:v>Yes</x:v>
      </x:c>
      <x:c r="Z7" s="215" t="str">
        <x:v>Source-backed draft</x:v>
      </x:c>
      <x:c r="AA7" s="215" t="str">
        <x:v>Family pattern</x:v>
      </x:c>
      <x:c r="AB7" s="215" t="str">
        <x:v>Supporting / route</x:v>
      </x:c>
      <x:c r="AC7" s="215" t="str">
        <x:v>Variable</x:v>
      </x:c>
      <x:c r="AD7" s="215" t="str">
        <x:v>Hand lens / macro</x:v>
      </x:c>
      <x:c r="AE7" s="215" t="str">
        <x:v>Low</x:v>
      </x:c>
      <x:c r="AF7" s="215" t="str">
        <x:v>Field-ready draft</x:v>
      </x:c>
      <x:c r="AG7" s="215" t="str">
        <x:v>3 — Reference support</x:v>
      </x:c>
      <x:c r="AH7" s="215" t="str">
        <x:v>Current master inventory</x:v>
      </x:c>
    </x:row>
    <x:row r="8" ht="42" customHeight="1">
      <x:c r="A8" s="215" t="str">
        <x:v>Onagraceae</x:v>
      </x:c>
      <x:c r="B8" s="215" t="str">
        <x:v>ONA-STAMENS</x:v>
      </x:c>
      <x:c r="C8" s="215" t="str">
        <x:v>Family-wide, variable</x:v>
      </x:c>
      <x:c r="D8" s="215" t="str">
        <x:v>Androecium</x:v>
      </x:c>
      <x:c r="E8" s="215" t="str">
        <x:v>Stamens often twice as many as sepals, commonly 8 with 4-merous flowers</x:v>
      </x:c>
      <x:c r="F8" s="215" t="str">
        <x:v>Strong</x:v>
      </x:c>
      <x:c r="G8" s="215" t="str">
        <x:v>4</x:v>
      </x:c>
      <x:c r="H8" s="215" t="str">
        <x:v>Moderate</x:v>
      </x:c>
      <x:c r="I8" s="215" t="str">
        <x:v>Hand lens</x:v>
      </x:c>
      <x:c r="J8" s="215" t="str">
        <x:v>Flowering</x:v>
      </x:c>
      <x:c r="K8" s="215" t="str">
        <x:v>Many flowers show two stamen series, often four longer and four shorter.</x:v>
      </x:c>
      <x:c r="L8" s="215" t="str">
        <x:v>Some taxa have stamens equal to the sepal number; Ludwigia may vary and reduced-flower lineages depart strongly.</x:v>
      </x:c>
      <x:c r="M8" s="215" t="str">
        <x:v>Count only on an intact flower and pair with inferior ovary and perianth count.</x:v>
      </x:c>
      <x:c r="N8" s="215" t="str">
        <x:v>Often useful in Oenothera and many Ludwigia specimens.</x:v>
      </x:c>
      <x:c r="O8" s="215" t="str">
        <x:v>Low</x:v>
      </x:c>
      <x:c r="P8" s="215" t="str">
        <x:v>No</x:v>
      </x:c>
      <x:c r="Q8" s="215" t="str"/>
      <x:c r="R8" s="215" t="str">
        <x:v>ONA-LK01</x:v>
      </x:c>
      <x:c r="S8" s="215" t="str">
        <x:v>FNA-ONAGR; APWEB-ONAGR; POWO-ONAGR</x:v>
      </x:c>
      <x:c r="T8" s="215" t="str">
        <x:v>https://www.mobot.org/MOBOT/research/APweb/orders/myrtalesweb2.htm</x:v>
      </x:c>
      <x:c r="U8" s="215" t="str">
        <x:v>https://floranorthamerica.org/Onagraceae</x:v>
      </x:c>
      <x:c r="V8" s="215" t="str">
        <x:v>https://powo.science.kew.org/taxon/urn:lsid:ipni.org:names:30000053-2</x:v>
      </x:c>
      <x:c r="W8" s="215" t="str">
        <x:v>https://floranorthamerica.org/Onagraceae
https://www.mobot.org/MOBOT/research/APweb/orders/myrtalesweb2.htm
https://powo.science.kew.org/taxon/urn:lsid:ipni.org:names:30000053-2</x:v>
      </x:c>
      <x:c r="X8" s="215" t="str">
        <x:v>No — retain qualifiers and exceptions</x:v>
      </x:c>
      <x:c r="Y8" s="215" t="str">
        <x:v>Yes</x:v>
      </x:c>
      <x:c r="Z8" s="215" t="str">
        <x:v>Source-backed draft</x:v>
      </x:c>
      <x:c r="AA8" s="215" t="str">
        <x:v>Family pattern</x:v>
      </x:c>
      <x:c r="AB8" s="215" t="str">
        <x:v>Positive diagnostic</x:v>
      </x:c>
      <x:c r="AC8" s="215" t="str">
        <x:v>Moderate</x:v>
      </x:c>
      <x:c r="AD8" s="215" t="str">
        <x:v>Hand lens / macro</x:v>
      </x:c>
      <x:c r="AE8" s="215" t="str">
        <x:v>Low</x:v>
      </x:c>
      <x:c r="AF8" s="215" t="str">
        <x:v>Field-ready draft</x:v>
      </x:c>
      <x:c r="AG8" s="215" t="str">
        <x:v>2 — Field-photo priority</x:v>
      </x:c>
      <x:c r="AH8" s="215" t="str">
        <x:v>Current master inventory</x:v>
      </x:c>
    </x:row>
    <x:row r="9" ht="42" customHeight="1">
      <x:c r="A9" s="215" t="str">
        <x:v>Onagraceae</x:v>
      </x:c>
      <x:c r="B9" s="215" t="str">
        <x:v>ONA-VISCIN</x:v>
      </x:c>
      <x:c r="C9" s="215" t="str">
        <x:v>Family-wide</x:v>
      </x:c>
      <x:c r="D9" s="215" t="str">
        <x:v>Pollen</x:v>
      </x:c>
      <x:c r="E9" s="215" t="str">
        <x:v>Pollen grains connected by viscin threads</x:v>
      </x:c>
      <x:c r="F9" s="215" t="str">
        <x:v>Core</x:v>
      </x:c>
      <x:c r="G9" s="215" t="str">
        <x:v>5</x:v>
      </x:c>
      <x:c r="H9" s="215" t="str">
        <x:v>High when examined</x:v>
      </x:c>
      <x:c r="I9" s="215" t="str">
        <x:v>Hand lens to microscope</x:v>
      </x:c>
      <x:c r="J9" s="215" t="str">
        <x:v>Fresh flowering material</x:v>
      </x:c>
      <x:c r="K9" s="215" t="str">
        <x:v>Sticky threads connect pollen grains and are among the strongest family characters.</x:v>
      </x:c>
      <x:c r="L9" s="215" t="str">
        <x:v>Usually not visible without magnification and may be missed on weathered flowers; not practical as the first field character.</x:v>
      </x:c>
      <x:c r="M9" s="215" t="str">
        <x:v>Use as a confirmation when flower structure remains ambiguous.</x:v>
      </x:c>
      <x:c r="N9" s="215" t="str">
        <x:v>Potentially diagnostic across the two local genera, but requires close examination.</x:v>
      </x:c>
      <x:c r="O9" s="215" t="str">
        <x:v>Low</x:v>
      </x:c>
      <x:c r="P9" s="215" t="str">
        <x:v>No</x:v>
      </x:c>
      <x:c r="Q9" s="215" t="str"/>
      <x:c r="R9" s="215" t="str">
        <x:v>ONA-LK01; ONA-LK02</x:v>
      </x:c>
      <x:c r="S9" s="215" t="str">
        <x:v>APWEB-ONAGR; FNA-ONAGR; POWO-ONAGR</x:v>
      </x:c>
      <x:c r="T9" s="215" t="str">
        <x:v>https://www.mobot.org/MOBOT/research/APweb/orders/myrtalesweb2.htm</x:v>
      </x:c>
      <x:c r="U9" s="215" t="str">
        <x:v>https://floranorthamerica.org/Onagraceae</x:v>
      </x:c>
      <x:c r="V9" s="215" t="str">
        <x:v>https://powo.science.kew.org/taxon/urn:lsid:ipni.org:names:30000053-2</x:v>
      </x:c>
      <x:c r="W9" s="215" t="str">
        <x:v>https://www.mobot.org/MOBOT/research/APweb/orders/myrtalesweb2.htm
https://floranorthamerica.org/Onagraceae
https://powo.science.kew.org/taxon/urn:lsid:ipni.org:names:30000053-2</x:v>
      </x:c>
      <x:c r="X9" s="215" t="str">
        <x:v>No — retain qualifiers and exceptions</x:v>
      </x:c>
      <x:c r="Y9" s="215" t="str">
        <x:v>Yes</x:v>
      </x:c>
      <x:c r="Z9" s="215" t="str">
        <x:v>Source-backed draft</x:v>
      </x:c>
      <x:c r="AA9" s="215" t="str">
        <x:v>Family pattern</x:v>
      </x:c>
      <x:c r="AB9" s="215" t="str">
        <x:v>Positive diagnostic</x:v>
      </x:c>
      <x:c r="AC9" s="215" t="str">
        <x:v>High</x:v>
      </x:c>
      <x:c r="AD9" s="215" t="str">
        <x:v>Microscope</x:v>
      </x:c>
      <x:c r="AE9" s="215" t="str">
        <x:v>Low</x:v>
      </x:c>
      <x:c r="AF9" s="215" t="str">
        <x:v>Specialist / reference</x:v>
      </x:c>
      <x:c r="AG9" s="215" t="str">
        <x:v>3 — Reference support</x:v>
      </x:c>
      <x:c r="AH9" s="215" t="str">
        <x:v>Current master inventory</x:v>
      </x:c>
    </x:row>
    <x:row r="10" ht="42" customHeight="1">
      <x:c r="A10" s="215" t="str">
        <x:v>Onagraceae</x:v>
      </x:c>
      <x:c r="B10" s="215" t="str">
        <x:v>ONA-FRUIT</x:v>
      </x:c>
      <x:c r="C10" s="215" t="str">
        <x:v>Family-wide, variable</x:v>
      </x:c>
      <x:c r="D10" s="215" t="str">
        <x:v>Fruit</x:v>
      </x:c>
      <x:c r="E10" s="215" t="str">
        <x:v>Usually a loculicidal capsule; some lineages indehiscent</x:v>
      </x:c>
      <x:c r="F10" s="215" t="str">
        <x:v>Strong</x:v>
      </x:c>
      <x:c r="G10" s="215" t="str">
        <x:v>4</x:v>
      </x:c>
      <x:c r="H10" s="215" t="str">
        <x:v>High</x:v>
      </x:c>
      <x:c r="I10" s="215" t="str">
        <x:v>Naked eye or hand lens</x:v>
      </x:c>
      <x:c r="J10" s="215" t="str">
        <x:v>Mature fruit</x:v>
      </x:c>
      <x:c r="K10" s="215" t="str">
        <x:v>Most local plants produce a multi-locular capsule opening lengthwise.</x:v>
      </x:c>
      <x:c r="L10" s="215" t="str">
        <x:v>The family also includes berries and nutlike indehiscent fruits; immature capsules may not reveal dehiscence.</x:v>
      </x:c>
      <x:c r="M10" s="215" t="str">
        <x:v>Mature fruit strongly confirms family placement and supports genus separation.</x:v>
      </x:c>
      <x:c r="N10" s="215" t="str">
        <x:v>Capsules are expected in the local Ludwigia and Oenothera routes.</x:v>
      </x:c>
      <x:c r="O10" s="215" t="str">
        <x:v>Low</x:v>
      </x:c>
      <x:c r="P10" s="215" t="str">
        <x:v>No</x:v>
      </x:c>
      <x:c r="Q10" s="215" t="str"/>
      <x:c r="R10" s="215" t="str">
        <x:v>ONA-LK01</x:v>
      </x:c>
      <x:c r="S10" s="215" t="str">
        <x:v>FNA-ONAGR; APWEB-ONAGR; POWO-ONAGR</x:v>
      </x:c>
      <x:c r="T10" s="215" t="str">
        <x:v>https://www.mobot.org/MOBOT/research/APweb/orders/myrtalesweb2.htm</x:v>
      </x:c>
      <x:c r="U10" s="215" t="str">
        <x:v>https://floranorthamerica.org/Onagraceae</x:v>
      </x:c>
      <x:c r="V10" s="215" t="str">
        <x:v>https://powo.science.kew.org/taxon/urn:lsid:ipni.org:names:30000053-2</x:v>
      </x:c>
      <x:c r="W10" s="215" t="str">
        <x:v>https://floranorthamerica.org/Onagraceae
https://www.mobot.org/MOBOT/research/APweb/orders/myrtalesweb2.htm
https://powo.science.kew.org/taxon/urn:lsid:ipni.org:names:30000053-2</x:v>
      </x:c>
      <x:c r="X10" s="215" t="str">
        <x:v>No — retain qualifiers and exceptions</x:v>
      </x:c>
      <x:c r="Y10" s="215" t="str">
        <x:v>Yes</x:v>
      </x:c>
      <x:c r="Z10" s="215" t="str">
        <x:v>Source-backed draft</x:v>
      </x:c>
      <x:c r="AA10" s="215" t="str">
        <x:v>Family pattern</x:v>
      </x:c>
      <x:c r="AB10" s="215" t="str">
        <x:v>Positive diagnostic</x:v>
      </x:c>
      <x:c r="AC10" s="215" t="str">
        <x:v>High</x:v>
      </x:c>
      <x:c r="AD10" s="215" t="str">
        <x:v>Hand lens / macro</x:v>
      </x:c>
      <x:c r="AE10" s="215" t="str">
        <x:v>Low</x:v>
      </x:c>
      <x:c r="AF10" s="215" t="str">
        <x:v>Field-ready draft</x:v>
      </x:c>
      <x:c r="AG10" s="215" t="str">
        <x:v>2 — Field-photo priority</x:v>
      </x:c>
      <x:c r="AH10" s="215" t="str">
        <x:v>Current master inventory</x:v>
      </x:c>
    </x:row>
    <x:row r="11" ht="42" customHeight="1">
      <x:c r="A11" s="215" t="str">
        <x:v>Onagraceae</x:v>
      </x:c>
      <x:c r="B11" s="215" t="str">
        <x:v>ONA-LEAFVAR</x:v>
      </x:c>
      <x:c r="C11" s="215" t="str">
        <x:v>Family-wide</x:v>
      </x:c>
      <x:c r="D11" s="215" t="str">
        <x:v>Leaf</x:v>
      </x:c>
      <x:c r="E11" s="215" t="str">
        <x:v>Leaves simple, but arrangement and margins variable</x:v>
      </x:c>
      <x:c r="F11" s="215" t="str">
        <x:v>Caution</x:v>
      </x:c>
      <x:c r="G11" s="215" t="str">
        <x:v>0</x:v>
      </x:c>
      <x:c r="H11" s="215" t="str">
        <x:v>High</x:v>
      </x:c>
      <x:c r="I11" s="215" t="str">
        <x:v>Naked eye</x:v>
      </x:c>
      <x:c r="J11" s="215" t="str">
        <x:v>Vegetative</x:v>
      </x:c>
      <x:c r="K11" s="215" t="str">
        <x:v>Leaves may be alternate, opposite, or occasionally whorled and can be entire, toothed, or lobed.</x:v>
      </x:c>
      <x:c r="L11" s="215" t="str">
        <x:v>No leaf arrangement or shape is universal enough to identify the family.</x:v>
      </x:c>
      <x:c r="M11" s="215" t="str">
        <x:v>Prevents overconfidence from vegetation alone.</x:v>
      </x:c>
      <x:c r="N11" s="215" t="str">
        <x:v>Important because local Ludwigia often appears opposite-leaved while Oenothera is commonly alternate or rosetted.</x:v>
      </x:c>
      <x:c r="O11" s="215" t="str">
        <x:v>Low</x:v>
      </x:c>
      <x:c r="P11" s="215" t="str">
        <x:v>No</x:v>
      </x:c>
      <x:c r="Q11" s="215" t="str"/>
      <x:c r="R11" s="215" t="str">
        <x:v>ONA-LK02</x:v>
      </x:c>
      <x:c r="S11" s="215" t="str">
        <x:v>FNA-ONAGR; APWEB-ONAGR; POWO-ONAGR</x:v>
      </x:c>
      <x:c r="T11" s="215" t="str">
        <x:v>https://www.mobot.org/MOBOT/research/APweb/orders/myrtalesweb2.htm</x:v>
      </x:c>
      <x:c r="U11" s="215" t="str">
        <x:v>https://floranorthamerica.org/Onagraceae</x:v>
      </x:c>
      <x:c r="V11" s="215" t="str">
        <x:v>https://powo.science.kew.org/taxon/urn:lsid:ipni.org:names:30000053-2</x:v>
      </x:c>
      <x:c r="W11" s="215" t="str">
        <x:v>https://floranorthamerica.org/Onagraceae
https://www.mobot.org/MOBOT/research/APweb/orders/myrtalesweb2.htm
https://powo.science.kew.org/taxon/urn:lsid:ipni.org:names:30000053-2</x:v>
      </x:c>
      <x:c r="X11" s="215" t="str">
        <x:v>No — retain qualifiers and exceptions</x:v>
      </x:c>
      <x:c r="Y11" s="215" t="str">
        <x:v>Yes</x:v>
      </x:c>
      <x:c r="Z11" s="215" t="str">
        <x:v>Source-backed draft</x:v>
      </x:c>
      <x:c r="AA11" s="215" t="str">
        <x:v>Family pattern</x:v>
      </x:c>
      <x:c r="AB11" s="215" t="str">
        <x:v>Caution / negative rule</x:v>
      </x:c>
      <x:c r="AC11" s="215" t="str">
        <x:v>High</x:v>
      </x:c>
      <x:c r="AD11" s="215" t="str">
        <x:v>Naked eye / field</x:v>
      </x:c>
      <x:c r="AE11" s="215" t="str">
        <x:v>Low</x:v>
      </x:c>
      <x:c r="AF11" s="215" t="str">
        <x:v>Field-ready draft</x:v>
      </x:c>
      <x:c r="AG11" s="215" t="str">
        <x:v>4 — Context / caution</x:v>
      </x:c>
      <x:c r="AH11" s="215" t="str">
        <x:v>Current master inventory</x:v>
      </x:c>
    </x:row>
    <x:row r="12" ht="42" customHeight="1">
      <x:c r="A12" s="215" t="str">
        <x:v>Onagraceae</x:v>
      </x:c>
      <x:c r="B12" s="215" t="str">
        <x:v>ONA-LUDWIGIA</x:v>
      </x:c>
      <x:c r="C12" s="215" t="str">
        <x:v>Local subgroup: Ludwigia</x:v>
      </x:c>
      <x:c r="D12" s="215" t="str">
        <x:v>Flower</x:v>
      </x:c>
      <x:c r="E12" s="215" t="str">
        <x:v>Floral tube absent; sepals often persist after flowering</x:v>
      </x:c>
      <x:c r="F12" s="215" t="str">
        <x:v>Subgroup</x:v>
      </x:c>
      <x:c r="G12" s="215" t="str">
        <x:v>5</x:v>
      </x:c>
      <x:c r="H12" s="215" t="str">
        <x:v>High within local Ludwigia</x:v>
      </x:c>
      <x:c r="I12" s="215" t="str">
        <x:v>Naked eye</x:v>
      </x:c>
      <x:c r="J12" s="215" t="str">
        <x:v>Flowering through fruiting</x:v>
      </x:c>
      <x:c r="K12" s="215" t="str">
        <x:v>Ludwigia follows a distinct family route with the flower seated on the ovary and the sepals often remaining on young fruit.</x:v>
      </x:c>
      <x:c r="L12" s="215" t="str">
        <x:v>Not a family-wide trait and not every specimen retains clean sepals; merosity may be 4 or 5.</x:v>
      </x:c>
      <x:c r="M12" s="215" t="str">
        <x:v>Separates local Ludwigia from the usual long-tubed Oenothera route.</x:v>
      </x:c>
      <x:c r="N12" s="215" t="str">
        <x:v>Five local Ludwigia taxa make this a high-priority training split.</x:v>
      </x:c>
      <x:c r="O12" s="215" t="str">
        <x:v>Low</x:v>
      </x:c>
      <x:c r="P12" s="215" t="str">
        <x:v>No</x:v>
      </x:c>
      <x:c r="Q12" s="215" t="str"/>
      <x:c r="R12" s="215" t="str">
        <x:v>ONA-LK01</x:v>
      </x:c>
      <x:c r="S12" s="215" t="str">
        <x:v>FNA-ONAGR; APWEB-ONAGR; POWO-ONAGR</x:v>
      </x:c>
      <x:c r="T12" s="215" t="str">
        <x:v>https://www.mobot.org/MOBOT/research/APweb/orders/myrtalesweb2.htm</x:v>
      </x:c>
      <x:c r="U12" s="215" t="str">
        <x:v>https://floranorthamerica.org/Onagraceae</x:v>
      </x:c>
      <x:c r="V12" s="215" t="str">
        <x:v>https://powo.science.kew.org/taxon/urn:lsid:ipni.org:names:30000053-2</x:v>
      </x:c>
      <x:c r="W12" s="215" t="str">
        <x:v>https://floranorthamerica.org/Onagraceae
https://www.mobot.org/MOBOT/research/APweb/orders/myrtalesweb2.htm
https://powo.science.kew.org/taxon/urn:lsid:ipni.org:names:30000053-2</x:v>
      </x:c>
      <x:c r="X12" s="215" t="str">
        <x:v>No — retain qualifiers and exceptions</x:v>
      </x:c>
      <x:c r="Y12" s="215" t="str">
        <x:v>Yes</x:v>
      </x:c>
      <x:c r="Z12" s="215" t="str">
        <x:v>Source-backed draft</x:v>
      </x:c>
      <x:c r="AA12" s="215" t="str">
        <x:v>Local subgroup / route</x:v>
      </x:c>
      <x:c r="AB12" s="215" t="str">
        <x:v>Supporting / route</x:v>
      </x:c>
      <x:c r="AC12" s="215" t="str">
        <x:v>High</x:v>
      </x:c>
      <x:c r="AD12" s="215" t="str">
        <x:v>Naked eye / field</x:v>
      </x:c>
      <x:c r="AE12" s="215" t="str">
        <x:v>Low</x:v>
      </x:c>
      <x:c r="AF12" s="215" t="str">
        <x:v>Field-ready draft</x:v>
      </x:c>
      <x:c r="AG12" s="215" t="str">
        <x:v>2 — Field-photo priority</x:v>
      </x:c>
      <x:c r="AH12" s="215" t="str">
        <x:v>Current master inventory</x:v>
      </x:c>
    </x:row>
    <x:row r="13" ht="42" customHeight="1">
      <x:c r="A13" s="215" t="str">
        <x:v>Onagraceae</x:v>
      </x:c>
      <x:c r="B13" s="215" t="str">
        <x:v>ONA-OENOTHERA</x:v>
      </x:c>
      <x:c r="C13" s="215" t="str">
        <x:v>Local subgroup: Oenothera</x:v>
      </x:c>
      <x:c r="D13" s="215" t="str">
        <x:v>Flower</x:v>
      </x:c>
      <x:c r="E13" s="215" t="str">
        <x:v>Usually 4-merous flower with a distinct floral tube and deciduous perianth</x:v>
      </x:c>
      <x:c r="F13" s="215" t="str">
        <x:v>Subgroup</x:v>
      </x:c>
      <x:c r="G13" s="215" t="str">
        <x:v>5</x:v>
      </x:c>
      <x:c r="H13" s="215" t="str">
        <x:v>High within local Oenothera</x:v>
      </x:c>
      <x:c r="I13" s="215" t="str">
        <x:v>Naked eye</x:v>
      </x:c>
      <x:c r="J13" s="215" t="str">
        <x:v>Fresh flowering</x:v>
      </x:c>
      <x:c r="K13" s="215" t="str">
        <x:v>The perianth and stamens stand above a recognizable tube, and the showy parts generally fall after flowering.</x:v>
      </x:c>
      <x:c r="L13" s="215" t="str">
        <x:v>Tube length and flower size vary; some Oenothera flowers are not yellow or evening-opening.</x:v>
      </x:c>
      <x:c r="M13" s="215" t="str">
        <x:v>Directs a Hays specimen toward Oenothera after family placement.</x:v>
      </x:c>
      <x:c r="N13" s="215" t="str">
        <x:v>Oenothera is the largest local family route, with 14 accepted-family rows in the working master.</x:v>
      </x:c>
      <x:c r="O13" s="215" t="str">
        <x:v>Low</x:v>
      </x:c>
      <x:c r="P13" s="215" t="str">
        <x:v>No</x:v>
      </x:c>
      <x:c r="Q13" s="215" t="str"/>
      <x:c r="R13" s="215" t="str">
        <x:v>ONA-LK01</x:v>
      </x:c>
      <x:c r="S13" s="215" t="str">
        <x:v>FNA-ONAGR; APWEB-ONAGR; POWO-ONAGR</x:v>
      </x:c>
      <x:c r="T13" s="215" t="str">
        <x:v>https://www.mobot.org/MOBOT/research/APweb/orders/myrtalesweb2.htm</x:v>
      </x:c>
      <x:c r="U13" s="215" t="str">
        <x:v>https://floranorthamerica.org/Onagraceae</x:v>
      </x:c>
      <x:c r="V13" s="215" t="str">
        <x:v>https://powo.science.kew.org/taxon/urn:lsid:ipni.org:names:30000053-2</x:v>
      </x:c>
      <x:c r="W13" s="215" t="str">
        <x:v>https://floranorthamerica.org/Onagraceae
https://www.mobot.org/MOBOT/research/APweb/orders/myrtalesweb2.htm
https://powo.science.kew.org/taxon/urn:lsid:ipni.org:names:30000053-2</x:v>
      </x:c>
      <x:c r="X13" s="215" t="str">
        <x:v>No — retain qualifiers and exceptions</x:v>
      </x:c>
      <x:c r="Y13" s="215" t="str">
        <x:v>Yes</x:v>
      </x:c>
      <x:c r="Z13" s="215" t="str">
        <x:v>Source-backed draft</x:v>
      </x:c>
      <x:c r="AA13" s="215" t="str">
        <x:v>Local subgroup / route</x:v>
      </x:c>
      <x:c r="AB13" s="215" t="str">
        <x:v>Supporting / route</x:v>
      </x:c>
      <x:c r="AC13" s="215" t="str">
        <x:v>High</x:v>
      </x:c>
      <x:c r="AD13" s="215" t="str">
        <x:v>Naked eye / field</x:v>
      </x:c>
      <x:c r="AE13" s="215" t="str">
        <x:v>Low</x:v>
      </x:c>
      <x:c r="AF13" s="215" t="str">
        <x:v>Field-ready draft</x:v>
      </x:c>
      <x:c r="AG13" s="215" t="str">
        <x:v>2 — Field-photo priority</x:v>
      </x:c>
      <x:c r="AH13" s="215" t="str">
        <x:v>Current master inventory</x:v>
      </x:c>
    </x:row>
    <x:row r="14" ht="42" customHeight="1">
      <x:c r="A14" s="215" t="str">
        <x:v>Onagraceae</x:v>
      </x:c>
      <x:c r="B14" s="215" t="str">
        <x:v>ONA-EVENING</x:v>
      </x:c>
      <x:c r="C14" s="215" t="str">
        <x:v>Shortcut warning</x:v>
      </x:c>
      <x:c r="D14" s="215" t="str">
        <x:v>Phenology and flower</x:v>
      </x:c>
      <x:c r="E14" s="215" t="str">
        <x:v>Evening opening or yellow petals are not family requirements</x:v>
      </x:c>
      <x:c r="F14" s="215" t="str">
        <x:v>Caution</x:v>
      </x:c>
      <x:c r="G14" s="215" t="str">
        <x:v>0</x:v>
      </x:c>
      <x:c r="H14" s="215" t="str">
        <x:v>High as a warning</x:v>
      </x:c>
      <x:c r="I14" s="215" t="str">
        <x:v>Naked eye</x:v>
      </x:c>
      <x:c r="J14" s="215" t="str">
        <x:v>Flowering</x:v>
      </x:c>
      <x:c r="K14" s="215" t="str">
        <x:v>The common name “evening primrose” can create a false rule: family members may flower at different times and in several colors.</x:v>
      </x:c>
      <x:c r="L14" s="215" t="str">
        <x:v>Many Oenothera are vespertine, but others are diurnal; Ludwigia commonly has yellow diurnal flowers.</x:v>
      </x:c>
      <x:c r="M14" s="215" t="str">
        <x:v>Do not accept or reject Onagraceae from color or opening time.</x:v>
      </x:c>
      <x:c r="N14" s="215" t="str">
        <x:v>Directly prevents misidentification of local Ludwigia and day-flowering Oenothera.</x:v>
      </x:c>
      <x:c r="O14" s="215" t="str">
        <x:v>Low</x:v>
      </x:c>
      <x:c r="P14" s="215" t="str">
        <x:v>No</x:v>
      </x:c>
      <x:c r="Q14" s="215" t="str"/>
      <x:c r="R14" s="215" t="str">
        <x:v>ONA-LK01</x:v>
      </x:c>
      <x:c r="S14" s="215" t="str">
        <x:v>FNA-ONAGR; POWO-ONAGR</x:v>
      </x:c>
      <x:c r="T14" s="215" t="str">
        <x:v>https://www.mobot.org/MOBOT/research/APweb/orders/myrtalesweb2.htm</x:v>
      </x:c>
      <x:c r="U14" s="215" t="str">
        <x:v>https://floranorthamerica.org/Onagraceae</x:v>
      </x:c>
      <x:c r="V14" s="215" t="str">
        <x:v>https://powo.science.kew.org/taxon/urn:lsid:ipni.org:names:30000053-2</x:v>
      </x:c>
      <x:c r="W14" s="215" t="str">
        <x:v>https://floranorthamerica.org/Onagraceae
https://powo.science.kew.org/taxon/urn:lsid:ipni.org:names:30000053-2
https://www.mobot.org/MOBOT/research/APweb/orders/myrtalesweb2.htm</x:v>
      </x:c>
      <x:c r="X14" s="215" t="str">
        <x:v>No — retain qualifiers and exceptions</x:v>
      </x:c>
      <x:c r="Y14" s="215" t="str">
        <x:v>Yes</x:v>
      </x:c>
      <x:c r="Z14" s="215" t="str">
        <x:v>Source-backed draft</x:v>
      </x:c>
      <x:c r="AA14" s="215" t="str">
        <x:v>Caution / method</x:v>
      </x:c>
      <x:c r="AB14" s="215" t="str">
        <x:v>Caution / negative rule</x:v>
      </x:c>
      <x:c r="AC14" s="215" t="str">
        <x:v>High</x:v>
      </x:c>
      <x:c r="AD14" s="215" t="str">
        <x:v>Naked eye / field</x:v>
      </x:c>
      <x:c r="AE14" s="215" t="str">
        <x:v>Low</x:v>
      </x:c>
      <x:c r="AF14" s="215" t="str">
        <x:v>Field-ready draft</x:v>
      </x:c>
      <x:c r="AG14" s="215" t="str">
        <x:v>4 — Context / caution</x:v>
      </x:c>
      <x:c r="AH14" s="215" t="str">
        <x:v>Current master inventory</x:v>
      </x:c>
    </x:row>
    <x:row r="15" ht="42" customHeight="1">
      <x:c r="A15" s="215" t="str">
        <x:v>Malvaceae</x:v>
      </x:c>
      <x:c r="B15" s="215" t="str">
        <x:v>MAL-HAIRS</x:v>
      </x:c>
      <x:c r="C15" s="215" t="str">
        <x:v>Family-wide, common</x:v>
      </x:c>
      <x:c r="D15" s="215" t="str">
        <x:v>Indumentum</x:v>
      </x:c>
      <x:c r="E15" s="215" t="str">
        <x:v>Stellate, branched, or lepidote hairs common</x:v>
      </x:c>
      <x:c r="F15" s="215" t="str">
        <x:v>Strong</x:v>
      </x:c>
      <x:c r="G15" s="215" t="str">
        <x:v>4</x:v>
      </x:c>
      <x:c r="H15" s="215" t="str">
        <x:v>Moderate</x:v>
      </x:c>
      <x:c r="I15" s="215" t="str">
        <x:v>Naked eye or hand lens</x:v>
      </x:c>
      <x:c r="J15" s="215" t="str">
        <x:v>Vegetative</x:v>
      </x:c>
      <x:c r="K15" s="215" t="str">
        <x:v>Many mallows carry star-shaped or scale-like hairs, often giving leaves or stems a pale or felted look.</x:v>
      </x:c>
      <x:c r="L15" s="215" t="str">
        <x:v>Some taxa are sparsely hairy or glabrous, and stellate hairs occur in unrelated families.</x:v>
      </x:c>
      <x:c r="M15" s="215" t="str">
        <x:v>A strong clue when combined with stipulate, palmately veined leaves and malvaceous flowers or fruit.</x:v>
      </x:c>
      <x:c r="N15" s="215" t="str">
        <x:v>Common and practical across many local herb and shrub genera, but not safe as a universal rule.</x:v>
      </x:c>
      <x:c r="O15" s="215" t="str">
        <x:v>Low</x:v>
      </x:c>
      <x:c r="P15" s="215" t="str">
        <x:v>No</x:v>
      </x:c>
      <x:c r="Q15" s="215" t="str"/>
      <x:c r="R15" s="215" t="str">
        <x:v>MAL-LK01; MAL-LK02</x:v>
      </x:c>
      <x:c r="S15" s="215" t="str">
        <x:v>APWEB-MALV; FNA-MALV; POWO-MALV</x:v>
      </x:c>
      <x:c r="T15" s="215" t="str">
        <x:v>https://www.mobot.org/mobot/research/APWeb/orders/malvalesweb.htm</x:v>
      </x:c>
      <x:c r="U15" s="215" t="str">
        <x:v>https://floranorthamerica.org/Malvaceae</x:v>
      </x:c>
      <x:c r="V15" s="215" t="str">
        <x:v>https://powo.science.kew.org/taxon/urn:lsid:ipni.org:names:30000208-2</x:v>
      </x:c>
      <x:c r="W15" s="215" t="str">
        <x:v>https://www.mobot.org/mobot/research/APWeb/orders/malvalesweb.htm
https://floranorthamerica.org/Malvaceae
https://powo.science.kew.org/taxon/urn:lsid:ipni.org:names:30000208-2</x:v>
      </x:c>
      <x:c r="X15" s="215" t="str">
        <x:v>No — retain qualifiers and exceptions</x:v>
      </x:c>
      <x:c r="Y15" s="215" t="str">
        <x:v>Yes</x:v>
      </x:c>
      <x:c r="Z15" s="215" t="str">
        <x:v>Source-backed draft</x:v>
      </x:c>
      <x:c r="AA15" s="215" t="str">
        <x:v>Family pattern</x:v>
      </x:c>
      <x:c r="AB15" s="215" t="str">
        <x:v>Positive diagnostic</x:v>
      </x:c>
      <x:c r="AC15" s="215" t="str">
        <x:v>Moderate</x:v>
      </x:c>
      <x:c r="AD15" s="215" t="str">
        <x:v>Hand lens / macro</x:v>
      </x:c>
      <x:c r="AE15" s="215" t="str">
        <x:v>Low</x:v>
      </x:c>
      <x:c r="AF15" s="215" t="str">
        <x:v>Field-ready draft</x:v>
      </x:c>
      <x:c r="AG15" s="215" t="str">
        <x:v>2 — Field-photo priority</x:v>
      </x:c>
      <x:c r="AH15" s="215" t="str">
        <x:v>Current master inventory</x:v>
      </x:c>
    </x:row>
    <x:row r="16" ht="42" customHeight="1">
      <x:c r="A16" s="215" t="str">
        <x:v>Malvaceae</x:v>
      </x:c>
      <x:c r="B16" s="215" t="str">
        <x:v>MAL-LEAF</x:v>
      </x:c>
      <x:c r="C16" s="215" t="str">
        <x:v>Family-wide, common</x:v>
      </x:c>
      <x:c r="D16" s="215" t="str">
        <x:v>Leaf</x:v>
      </x:c>
      <x:c r="E16" s="215" t="str">
        <x:v>Leaves usually alternate and stipulate</x:v>
      </x:c>
      <x:c r="F16" s="215" t="str">
        <x:v>Strong</x:v>
      </x:c>
      <x:c r="G16" s="215" t="str">
        <x:v>4</x:v>
      </x:c>
      <x:c r="H16" s="215" t="str">
        <x:v>High</x:v>
      </x:c>
      <x:c r="I16" s="215" t="str">
        <x:v>Naked eye</x:v>
      </x:c>
      <x:c r="J16" s="215" t="str">
        <x:v>Vegetative</x:v>
      </x:c>
      <x:c r="K16" s="215" t="str">
        <x:v>Most members have one leaf per node and a pair of stipules at the leaf base.</x:v>
      </x:c>
      <x:c r="L16" s="215" t="str">
        <x:v>FNA notes variation in leaf insertion and stipule development; stipules can be early-deciduous or hard to see.</x:v>
      </x:c>
      <x:c r="M16" s="215" t="str">
        <x:v>Use with hair type and venation; alternate leaves alone are weak evidence.</x:v>
      </x:c>
      <x:c r="N16" s="215" t="str">
        <x:v>Useful for most local Malvoideae and Tilia, with careful inspection for lost stipules.</x:v>
      </x:c>
      <x:c r="O16" s="215" t="str">
        <x:v>Low</x:v>
      </x:c>
      <x:c r="P16" s="215" t="str">
        <x:v>No</x:v>
      </x:c>
      <x:c r="Q16" s="215" t="str"/>
      <x:c r="R16" s="215" t="str">
        <x:v>MAL-LK01; MAL-LK02</x:v>
      </x:c>
      <x:c r="S16" s="215" t="str">
        <x:v>APWEB-MALV; FNA-MALV; POWO-MALV</x:v>
      </x:c>
      <x:c r="T16" s="215" t="str">
        <x:v>https://www.mobot.org/mobot/research/APWeb/orders/malvalesweb.htm</x:v>
      </x:c>
      <x:c r="U16" s="215" t="str">
        <x:v>https://floranorthamerica.org/Malvaceae</x:v>
      </x:c>
      <x:c r="V16" s="215" t="str">
        <x:v>https://powo.science.kew.org/taxon/urn:lsid:ipni.org:names:30000208-2</x:v>
      </x:c>
      <x:c r="W16" s="215" t="str">
        <x:v>https://www.mobot.org/mobot/research/APWeb/orders/malvalesweb.htm
https://floranorthamerica.org/Malvaceae
https://powo.science.kew.org/taxon/urn:lsid:ipni.org:names:30000208-2</x:v>
      </x:c>
      <x:c r="X16" s="215" t="str">
        <x:v>No — retain qualifiers and exceptions</x:v>
      </x:c>
      <x:c r="Y16" s="215" t="str">
        <x:v>Yes</x:v>
      </x:c>
      <x:c r="Z16" s="215" t="str">
        <x:v>Source-backed draft</x:v>
      </x:c>
      <x:c r="AA16" s="215" t="str">
        <x:v>Family pattern</x:v>
      </x:c>
      <x:c r="AB16" s="215" t="str">
        <x:v>Positive diagnostic</x:v>
      </x:c>
      <x:c r="AC16" s="215" t="str">
        <x:v>High</x:v>
      </x:c>
      <x:c r="AD16" s="215" t="str">
        <x:v>Naked eye / field</x:v>
      </x:c>
      <x:c r="AE16" s="215" t="str">
        <x:v>Low</x:v>
      </x:c>
      <x:c r="AF16" s="215" t="str">
        <x:v>Field-ready draft</x:v>
      </x:c>
      <x:c r="AG16" s="215" t="str">
        <x:v>2 — Field-photo priority</x:v>
      </x:c>
      <x:c r="AH16" s="215" t="str">
        <x:v>Current master inventory</x:v>
      </x:c>
    </x:row>
    <x:row r="17" ht="42" customHeight="1">
      <x:c r="A17" s="215" t="str">
        <x:v>Malvaceae</x:v>
      </x:c>
      <x:c r="B17" s="215" t="str">
        <x:v>MAL-VENATION</x:v>
      </x:c>
      <x:c r="C17" s="215" t="str">
        <x:v>Family-wide, common</x:v>
      </x:c>
      <x:c r="D17" s="215" t="str">
        <x:v>Leaf</x:v>
      </x:c>
      <x:c r="E17" s="215" t="str">
        <x:v>Venation often palmate and blades often lobed or toothed</x:v>
      </x:c>
      <x:c r="F17" s="215" t="str">
        <x:v>Supporting</x:v>
      </x:c>
      <x:c r="G17" s="215" t="str">
        <x:v>3</x:v>
      </x:c>
      <x:c r="H17" s="215" t="str">
        <x:v>Moderate</x:v>
      </x:c>
      <x:c r="I17" s="215" t="str">
        <x:v>Naked eye</x:v>
      </x:c>
      <x:c r="J17" s="215" t="str">
        <x:v>Vegetative</x:v>
      </x:c>
      <x:c r="K17" s="215" t="str">
        <x:v>Several major veins commonly spread from near the petiole attachment.</x:v>
      </x:c>
      <x:c r="L17" s="215" t="str">
        <x:v>Unlobed and non-palmately veined leaves occur, especially across the broad modern family; many unrelated plants also have palmate venation.</x:v>
      </x:c>
      <x:c r="M17" s="215" t="str">
        <x:v>Supports a Malvaceae hypothesis but never proves it.</x:v>
      </x:c>
      <x:c r="N17" s="215" t="str">
        <x:v>Very useful in Callirhoe, Sida relatives, Sphaeralcea, Pavonia, and several other local routes.</x:v>
      </x:c>
      <x:c r="O17" s="215" t="str">
        <x:v>Low</x:v>
      </x:c>
      <x:c r="P17" s="215" t="str">
        <x:v>No</x:v>
      </x:c>
      <x:c r="Q17" s="215" t="str"/>
      <x:c r="R17" s="215" t="str">
        <x:v>MAL-LK02</x:v>
      </x:c>
      <x:c r="S17" s="215" t="str">
        <x:v>APWEB-MALV; FNA-MALV; POWO-MALV</x:v>
      </x:c>
      <x:c r="T17" s="215" t="str">
        <x:v>https://www.mobot.org/mobot/research/APWeb/orders/malvalesweb.htm</x:v>
      </x:c>
      <x:c r="U17" s="215" t="str">
        <x:v>https://floranorthamerica.org/Malvaceae</x:v>
      </x:c>
      <x:c r="V17" s="215" t="str">
        <x:v>https://powo.science.kew.org/taxon/urn:lsid:ipni.org:names:30000208-2</x:v>
      </x:c>
      <x:c r="W17" s="215" t="str">
        <x:v>https://www.mobot.org/mobot/research/APWeb/orders/malvalesweb.htm
https://floranorthamerica.org/Malvaceae
https://powo.science.kew.org/taxon/urn:lsid:ipni.org:names:30000208-2</x:v>
      </x:c>
      <x:c r="X17" s="215" t="str">
        <x:v>No — retain qualifiers and exceptions</x:v>
      </x:c>
      <x:c r="Y17" s="215" t="str">
        <x:v>Yes</x:v>
      </x:c>
      <x:c r="Z17" s="215" t="str">
        <x:v>Source-backed draft</x:v>
      </x:c>
      <x:c r="AA17" s="215" t="str">
        <x:v>Family pattern</x:v>
      </x:c>
      <x:c r="AB17" s="215" t="str">
        <x:v>Supporting / route</x:v>
      </x:c>
      <x:c r="AC17" s="215" t="str">
        <x:v>Moderate</x:v>
      </x:c>
      <x:c r="AD17" s="215" t="str">
        <x:v>Naked eye / field</x:v>
      </x:c>
      <x:c r="AE17" s="215" t="str">
        <x:v>Low</x:v>
      </x:c>
      <x:c r="AF17" s="215" t="str">
        <x:v>Field-ready draft</x:v>
      </x:c>
      <x:c r="AG17" s="215" t="str">
        <x:v>3 — Reference support</x:v>
      </x:c>
      <x:c r="AH17" s="215" t="str">
        <x:v>Current master inventory</x:v>
      </x:c>
    </x:row>
    <x:row r="18" ht="42" customHeight="1">
      <x:c r="A18" s="215" t="str">
        <x:v>Malvaceae</x:v>
      </x:c>
      <x:c r="B18" s="215" t="str">
        <x:v>MAL-BARKMUC</x:v>
      </x:c>
      <x:c r="C18" s="215" t="str">
        <x:v>Family-wide, common</x:v>
      </x:c>
      <x:c r="D18" s="215" t="str">
        <x:v>Stem and tissue</x:v>
      </x:c>
      <x:c r="E18" s="215" t="str">
        <x:v>Fibrous bark and mucilage common</x:v>
      </x:c>
      <x:c r="F18" s="215" t="str">
        <x:v>Supporting</x:v>
      </x:c>
      <x:c r="G18" s="215" t="str">
        <x:v>2</x:v>
      </x:c>
      <x:c r="H18" s="215" t="str">
        <x:v>Variable</x:v>
      </x:c>
      <x:c r="I18" s="215" t="str">
        <x:v>Touch or damaged material</x:v>
      </x:c>
      <x:c r="J18" s="215" t="str">
        <x:v>Vegetative</x:v>
      </x:c>
      <x:c r="K18" s="215" t="str">
        <x:v>Stems or bark may be stringy, and tissues may feel mucilaginous when already broken or wet.</x:v>
      </x:c>
      <x:c r="L18" s="215" t="str">
        <x:v>Neither condition occurs in every taxon, and deliberate damage is not required for identification.</x:v>
      </x:c>
      <x:c r="M18" s="215" t="str">
        <x:v>Use only as supporting evidence after observing ordinary visible characters.</x:v>
      </x:c>
      <x:c r="N18" s="215" t="str">
        <x:v>Potentially helpful in robust local herbs and Tilia, but unsuitable as a required or destructive test.</x:v>
      </x:c>
      <x:c r="O18" s="215" t="str">
        <x:v>Moderate</x:v>
      </x:c>
      <x:c r="P18" s="215" t="str">
        <x:v>No</x:v>
      </x:c>
      <x:c r="Q18" s="215" t="str"/>
      <x:c r="R18" s="215" t="str">
        <x:v>MAL-LK01</x:v>
      </x:c>
      <x:c r="S18" s="215" t="str">
        <x:v>APWEB-MALV; FNA-MALV; POWO-MALV</x:v>
      </x:c>
      <x:c r="T18" s="215" t="str">
        <x:v>https://www.mobot.org/mobot/research/APWeb/orders/malvalesweb.htm</x:v>
      </x:c>
      <x:c r="U18" s="215" t="str">
        <x:v>https://floranorthamerica.org/Malvaceae</x:v>
      </x:c>
      <x:c r="V18" s="215" t="str">
        <x:v>https://powo.science.kew.org/taxon/urn:lsid:ipni.org:names:30000208-2</x:v>
      </x:c>
      <x:c r="W18" s="215" t="str">
        <x:v>https://www.mobot.org/mobot/research/APWeb/orders/malvalesweb.htm
https://floranorthamerica.org/Malvaceae
https://powo.science.kew.org/taxon/urn:lsid:ipni.org:names:30000208-2</x:v>
      </x:c>
      <x:c r="X18" s="215" t="str">
        <x:v>No — retain qualifiers and exceptions</x:v>
      </x:c>
      <x:c r="Y18" s="215" t="str">
        <x:v>Yes</x:v>
      </x:c>
      <x:c r="Z18" s="215" t="str">
        <x:v>Source-backed draft</x:v>
      </x:c>
      <x:c r="AA18" s="215" t="str">
        <x:v>Family pattern</x:v>
      </x:c>
      <x:c r="AB18" s="215" t="str">
        <x:v>Supporting / route</x:v>
      </x:c>
      <x:c r="AC18" s="215" t="str">
        <x:v>Variable</x:v>
      </x:c>
      <x:c r="AD18" s="215" t="str">
        <x:v>Special handling</x:v>
      </x:c>
      <x:c r="AE18" s="215" t="str">
        <x:v>Moderate</x:v>
      </x:c>
      <x:c r="AF18" s="215" t="str">
        <x:v>Field-ready draft</x:v>
      </x:c>
      <x:c r="AG18" s="215" t="str">
        <x:v>4 — Context / caution</x:v>
      </x:c>
      <x:c r="AH18" s="215" t="str">
        <x:v>Current master inventory</x:v>
      </x:c>
    </x:row>
    <x:row r="19" ht="42" customHeight="1">
      <x:c r="A19" s="215" t="str">
        <x:v>Malvaceae</x:v>
      </x:c>
      <x:c r="B19" s="215" t="str">
        <x:v>MAL-CALYX</x:v>
      </x:c>
      <x:c r="C19" s="215" t="str">
        <x:v>Family-wide, common</x:v>
      </x:c>
      <x:c r="D19" s="215" t="str">
        <x:v>Flower</x:v>
      </x:c>
      <x:c r="E19" s="215" t="str">
        <x:v>Calyx usually 5-parted and often basally connate</x:v>
      </x:c>
      <x:c r="F19" s="215" t="str">
        <x:v>Strong</x:v>
      </x:c>
      <x:c r="G19" s="215" t="str">
        <x:v>4</x:v>
      </x:c>
      <x:c r="H19" s="215" t="str">
        <x:v>Moderate</x:v>
      </x:c>
      <x:c r="I19" s="215" t="str">
        <x:v>Naked eye or hand lens</x:v>
      </x:c>
      <x:c r="J19" s="215" t="str">
        <x:v>Flowering</x:v>
      </x:c>
      <x:c r="K19" s="215" t="str">
        <x:v>Most flowers have about five sepals forming a cup or lobed calyx.</x:v>
      </x:c>
      <x:c r="L19" s="215" t="str">
        <x:v>FNA records 4-8 sepals and broad variation among subfamilies; petals may also be absent in some lineages.</x:v>
      </x:c>
      <x:c r="M19" s="215" t="str">
        <x:v>Combine calyx structure with stamen organization and indumentum.</x:v>
      </x:c>
      <x:c r="N19" s="215" t="str">
        <x:v>Applicable to most local taxa, but the broad-family exceptions must remain allowed.</x:v>
      </x:c>
      <x:c r="O19" s="215" t="str">
        <x:v>Low</x:v>
      </x:c>
      <x:c r="P19" s="215" t="str">
        <x:v>No</x:v>
      </x:c>
      <x:c r="Q19" s="215" t="str"/>
      <x:c r="R19" s="215" t="str">
        <x:v>MAL-LK01; MAL-LK02</x:v>
      </x:c>
      <x:c r="S19" s="215" t="str">
        <x:v>APWEB-MALV; FNA-MALV; POWO-MALV</x:v>
      </x:c>
      <x:c r="T19" s="215" t="str">
        <x:v>https://www.mobot.org/mobot/research/APWeb/orders/malvalesweb.htm</x:v>
      </x:c>
      <x:c r="U19" s="215" t="str">
        <x:v>https://floranorthamerica.org/Malvaceae</x:v>
      </x:c>
      <x:c r="V19" s="215" t="str">
        <x:v>https://powo.science.kew.org/taxon/urn:lsid:ipni.org:names:30000208-2</x:v>
      </x:c>
      <x:c r="W19" s="215" t="str">
        <x:v>https://www.mobot.org/mobot/research/APWeb/orders/malvalesweb.htm
https://floranorthamerica.org/Malvaceae
https://powo.science.kew.org/taxon/urn:lsid:ipni.org:names:30000208-2</x:v>
      </x:c>
      <x:c r="X19" s="215" t="str">
        <x:v>No — retain qualifiers and exceptions</x:v>
      </x:c>
      <x:c r="Y19" s="215" t="str">
        <x:v>Yes</x:v>
      </x:c>
      <x:c r="Z19" s="215" t="str">
        <x:v>Source-backed draft</x:v>
      </x:c>
      <x:c r="AA19" s="215" t="str">
        <x:v>Family pattern</x:v>
      </x:c>
      <x:c r="AB19" s="215" t="str">
        <x:v>Positive diagnostic</x:v>
      </x:c>
      <x:c r="AC19" s="215" t="str">
        <x:v>Moderate</x:v>
      </x:c>
      <x:c r="AD19" s="215" t="str">
        <x:v>Hand lens / macro</x:v>
      </x:c>
      <x:c r="AE19" s="215" t="str">
        <x:v>Low</x:v>
      </x:c>
      <x:c r="AF19" s="215" t="str">
        <x:v>Field-ready draft</x:v>
      </x:c>
      <x:c r="AG19" s="215" t="str">
        <x:v>2 — Field-photo priority</x:v>
      </x:c>
      <x:c r="AH19" s="215" t="str">
        <x:v>Current master inventory</x:v>
      </x:c>
    </x:row>
    <x:row r="20" ht="42" customHeight="1">
      <x:c r="A20" s="215" t="str">
        <x:v>Malvaceae</x:v>
      </x:c>
      <x:c r="B20" s="215" t="str">
        <x:v>MAL-STAMENS</x:v>
      </x:c>
      <x:c r="C20" s="215" t="str">
        <x:v>Family-wide, variable</x:v>
      </x:c>
      <x:c r="D20" s="215" t="str">
        <x:v>Androecium</x:v>
      </x:c>
      <x:c r="E20" s="215" t="str">
        <x:v>Stamens 5 to many, often connate or arranged in antipetalous groups</x:v>
      </x:c>
      <x:c r="F20" s="215" t="str">
        <x:v>Core</x:v>
      </x:c>
      <x:c r="G20" s="215" t="str">
        <x:v>5</x:v>
      </x:c>
      <x:c r="H20" s="215" t="str">
        <x:v>Moderate</x:v>
      </x:c>
      <x:c r="I20" s="215" t="str">
        <x:v>Naked eye or hand lens</x:v>
      </x:c>
      <x:c r="J20" s="215" t="str">
        <x:v>Flowering</x:v>
      </x:c>
      <x:c r="K20" s="215" t="str">
        <x:v>Stamens are frequently numerous and joined into groups or a tube, producing a distinctive flower center.</x:v>
      </x:c>
      <x:c r="L20" s="215" t="str">
        <x:v>Some broad-family members have only a few stamens or an androgynophore; the classic column is not family-wide.</x:v>
      </x:c>
      <x:c r="M20" s="215" t="str">
        <x:v>A strong floral confirmation when interpreted at the correct subfamily level.</x:v>
      </x:c>
      <x:c r="N20" s="215" t="str">
        <x:v>Most local herbaceous mallows show the classic pattern; Tilia and Melochia require the broader interpretation.</x:v>
      </x:c>
      <x:c r="O20" s="215" t="str">
        <x:v>Low</x:v>
      </x:c>
      <x:c r="P20" s="215" t="str">
        <x:v>No</x:v>
      </x:c>
      <x:c r="Q20" s="215" t="str"/>
      <x:c r="R20" s="215" t="str">
        <x:v>MAL-LK01; MAL-LK02</x:v>
      </x:c>
      <x:c r="S20" s="215" t="str">
        <x:v>APWEB-MALV; FNA-MALV; POWO-MALV</x:v>
      </x:c>
      <x:c r="T20" s="215" t="str">
        <x:v>https://www.mobot.org/mobot/research/APWeb/orders/malvalesweb.htm</x:v>
      </x:c>
      <x:c r="U20" s="215" t="str">
        <x:v>https://floranorthamerica.org/Malvaceae</x:v>
      </x:c>
      <x:c r="V20" s="215" t="str">
        <x:v>https://powo.science.kew.org/taxon/urn:lsid:ipni.org:names:30000208-2</x:v>
      </x:c>
      <x:c r="W20" s="215" t="str">
        <x:v>https://www.mobot.org/mobot/research/APWeb/orders/malvalesweb.htm
https://floranorthamerica.org/Malvaceae
https://powo.science.kew.org/taxon/urn:lsid:ipni.org:names:30000208-2</x:v>
      </x:c>
      <x:c r="X20" s="215" t="str">
        <x:v>No — retain qualifiers and exceptions</x:v>
      </x:c>
      <x:c r="Y20" s="215" t="str">
        <x:v>Yes</x:v>
      </x:c>
      <x:c r="Z20" s="215" t="str">
        <x:v>Source-backed draft</x:v>
      </x:c>
      <x:c r="AA20" s="215" t="str">
        <x:v>Family pattern</x:v>
      </x:c>
      <x:c r="AB20" s="215" t="str">
        <x:v>Positive diagnostic</x:v>
      </x:c>
      <x:c r="AC20" s="215" t="str">
        <x:v>Moderate</x:v>
      </x:c>
      <x:c r="AD20" s="215" t="str">
        <x:v>Hand lens / macro</x:v>
      </x:c>
      <x:c r="AE20" s="215" t="str">
        <x:v>Low</x:v>
      </x:c>
      <x:c r="AF20" s="215" t="str">
        <x:v>Field-ready draft</x:v>
      </x:c>
      <x:c r="AG20" s="215" t="str">
        <x:v>2 — Field-photo priority</x:v>
      </x:c>
      <x:c r="AH20" s="215" t="str">
        <x:v>Current master inventory</x:v>
      </x:c>
    </x:row>
    <x:row r="21" ht="42" customHeight="1">
      <x:c r="A21" s="215" t="str">
        <x:v>Malvaceae</x:v>
      </x:c>
      <x:c r="B21" s="215" t="str">
        <x:v>MAL-COLUMN</x:v>
      </x:c>
      <x:c r="C21" s="215" t="str">
        <x:v>Subgroup: Malvoideae</x:v>
      </x:c>
      <x:c r="D21" s="215" t="str">
        <x:v>Androecium</x:v>
      </x:c>
      <x:c r="E21" s="215" t="str">
        <x:v>Staminal column surrounding the style</x:v>
      </x:c>
      <x:c r="F21" s="215" t="str">
        <x:v>Subgroup</x:v>
      </x:c>
      <x:c r="G21" s="215" t="str">
        <x:v>5</x:v>
      </x:c>
      <x:c r="H21" s="215" t="str">
        <x:v>High within Malvoideae</x:v>
      </x:c>
      <x:c r="I21" s="215" t="str">
        <x:v>Naked eye or hand lens</x:v>
      </x:c>
      <x:c r="J21" s="215" t="str">
        <x:v>Flowering</x:v>
      </x:c>
      <x:c r="K21" s="215" t="str">
        <x:v>Filaments are fused into a tube or column with anthers borne along or near it.</x:v>
      </x:c>
      <x:c r="L21" s="215" t="str">
        <x:v>This is characteristic of the classic mallow subgroup, not all modern Malvaceae.</x:v>
      </x:c>
      <x:c r="M21" s="215" t="str">
        <x:v>Quickly confirms most local Abutilon, Callirhoe, Sida allies, Pavonia, Malvaviscus, and Sphaeralcea.</x:v>
      </x:c>
      <x:c r="N21" s="215" t="str">
        <x:v>The dominant local route, but should not be used to exclude Tilia or Melochia from Malvaceae.</x:v>
      </x:c>
      <x:c r="O21" s="215" t="str">
        <x:v>Low</x:v>
      </x:c>
      <x:c r="P21" s="215" t="str">
        <x:v>No</x:v>
      </x:c>
      <x:c r="Q21" s="215" t="str"/>
      <x:c r="R21" s="215" t="str">
        <x:v>MAL-LK01</x:v>
      </x:c>
      <x:c r="S21" s="215" t="str">
        <x:v>APWEB-MALV; FNA-MALV; POWO-MALV</x:v>
      </x:c>
      <x:c r="T21" s="215" t="str">
        <x:v>https://www.mobot.org/mobot/research/APWeb/orders/malvalesweb.htm</x:v>
      </x:c>
      <x:c r="U21" s="215" t="str">
        <x:v>https://floranorthamerica.org/Malvaceae</x:v>
      </x:c>
      <x:c r="V21" s="215" t="str">
        <x:v>https://powo.science.kew.org/taxon/urn:lsid:ipni.org:names:30000208-2</x:v>
      </x:c>
      <x:c r="W21" s="215" t="str">
        <x:v>https://www.mobot.org/mobot/research/APWeb/orders/malvalesweb.htm
https://floranorthamerica.org/Malvaceae
https://powo.science.kew.org/taxon/urn:lsid:ipni.org:names:30000208-2</x:v>
      </x:c>
      <x:c r="X21" s="215" t="str">
        <x:v>No — retain qualifiers and exceptions</x:v>
      </x:c>
      <x:c r="Y21" s="215" t="str">
        <x:v>Yes</x:v>
      </x:c>
      <x:c r="Z21" s="215" t="str">
        <x:v>Source-backed draft</x:v>
      </x:c>
      <x:c r="AA21" s="215" t="str">
        <x:v>Local subgroup / route</x:v>
      </x:c>
      <x:c r="AB21" s="215" t="str">
        <x:v>Supporting / route</x:v>
      </x:c>
      <x:c r="AC21" s="215" t="str">
        <x:v>High</x:v>
      </x:c>
      <x:c r="AD21" s="215" t="str">
        <x:v>Hand lens / macro</x:v>
      </x:c>
      <x:c r="AE21" s="215" t="str">
        <x:v>Low</x:v>
      </x:c>
      <x:c r="AF21" s="215" t="str">
        <x:v>Field-ready draft</x:v>
      </x:c>
      <x:c r="AG21" s="215" t="str">
        <x:v>2 — Field-photo priority</x:v>
      </x:c>
      <x:c r="AH21" s="215" t="str">
        <x:v>Current master inventory</x:v>
      </x:c>
    </x:row>
    <x:row r="22" ht="42" customHeight="1">
      <x:c r="A22" s="215" t="str">
        <x:v>Malvaceae</x:v>
      </x:c>
      <x:c r="B22" s="215" t="str">
        <x:v>MAL-ANTHER</x:v>
      </x:c>
      <x:c r="C22" s="215" t="str">
        <x:v>Subgroup: Malvoideae</x:v>
      </x:c>
      <x:c r="D22" s="215" t="str">
        <x:v>Anther</x:v>
      </x:c>
      <x:c r="E22" s="215" t="str">
        <x:v>Anthers commonly one-theca in Malvoideae</x:v>
      </x:c>
      <x:c r="F22" s="215" t="str">
        <x:v>Subgroup</x:v>
      </x:c>
      <x:c r="G22" s="215" t="str">
        <x:v>4</x:v>
      </x:c>
      <x:c r="H22" s="215" t="str">
        <x:v>High with magnification</x:v>
      </x:c>
      <x:c r="I22" s="215" t="str">
        <x:v>Hand lens</x:v>
      </x:c>
      <x:c r="J22" s="215" t="str">
        <x:v>Flowering</x:v>
      </x:c>
      <x:c r="K22" s="215" t="str">
        <x:v>Each small anther commonly appears single-celled rather than two-lobed.</x:v>
      </x:c>
      <x:c r="L22" s="215" t="str">
        <x:v>FNA uses this mainly to separate Malvoideae from other subfamilies; it is not a broad-family character.</x:v>
      </x:c>
      <x:c r="M22" s="215" t="str">
        <x:v>Useful after finding a staminal column and for separating local mallow-like subgroups.</x:v>
      </x:c>
      <x:c r="N22" s="215" t="str">
        <x:v>Relevant to most local herbaceous genera; requires a hand lens and intact anthers.</x:v>
      </x:c>
      <x:c r="O22" s="215" t="str">
        <x:v>Low</x:v>
      </x:c>
      <x:c r="P22" s="215" t="str">
        <x:v>No</x:v>
      </x:c>
      <x:c r="Q22" s="215" t="str"/>
      <x:c r="R22" s="215" t="str">
        <x:v>MAL-LK01</x:v>
      </x:c>
      <x:c r="S22" s="215" t="str">
        <x:v>FNA-MALV; APWEB-MALV; POWO-MALV</x:v>
      </x:c>
      <x:c r="T22" s="215" t="str">
        <x:v>https://www.mobot.org/mobot/research/APWeb/orders/malvalesweb.htm</x:v>
      </x:c>
      <x:c r="U22" s="215" t="str">
        <x:v>https://floranorthamerica.org/Malvaceae</x:v>
      </x:c>
      <x:c r="V22" s="215" t="str">
        <x:v>https://powo.science.kew.org/taxon/urn:lsid:ipni.org:names:30000208-2</x:v>
      </x:c>
      <x:c r="W22" s="215" t="str">
        <x:v>https://floranorthamerica.org/Malvaceae
https://www.mobot.org/mobot/research/APWeb/orders/malvalesweb.htm
https://powo.science.kew.org/taxon/urn:lsid:ipni.org:names:30000208-2</x:v>
      </x:c>
      <x:c r="X22" s="215" t="str">
        <x:v>No — retain qualifiers and exceptions</x:v>
      </x:c>
      <x:c r="Y22" s="215" t="str">
        <x:v>Yes</x:v>
      </x:c>
      <x:c r="Z22" s="215" t="str">
        <x:v>Source-backed draft</x:v>
      </x:c>
      <x:c r="AA22" s="215" t="str">
        <x:v>Local subgroup / route</x:v>
      </x:c>
      <x:c r="AB22" s="215" t="str">
        <x:v>Supporting / route</x:v>
      </x:c>
      <x:c r="AC22" s="215" t="str">
        <x:v>High</x:v>
      </x:c>
      <x:c r="AD22" s="215" t="str">
        <x:v>Hand lens / macro</x:v>
      </x:c>
      <x:c r="AE22" s="215" t="str">
        <x:v>Low</x:v>
      </x:c>
      <x:c r="AF22" s="215" t="str">
        <x:v>Field-ready draft</x:v>
      </x:c>
      <x:c r="AG22" s="215" t="str">
        <x:v>2 — Field-photo priority</x:v>
      </x:c>
      <x:c r="AH22" s="215" t="str">
        <x:v>Current master inventory</x:v>
      </x:c>
    </x:row>
    <x:row r="23" ht="42" customHeight="1">
      <x:c r="A23" s="215" t="str">
        <x:v>Malvaceae</x:v>
      </x:c>
      <x:c r="B23" s="215" t="str">
        <x:v>MAL-EPICALYX</x:v>
      </x:c>
      <x:c r="C23" s="215" t="str">
        <x:v>Family-wide, variable</x:v>
      </x:c>
      <x:c r="D23" s="215" t="str">
        <x:v>Flower</x:v>
      </x:c>
      <x:c r="E23" s="215" t="str">
        <x:v>Epicalyx or involucel sometimes present</x:v>
      </x:c>
      <x:c r="F23" s="215" t="str">
        <x:v>Supporting</x:v>
      </x:c>
      <x:c r="G23" s="215" t="str">
        <x:v>2</x:v>
      </x:c>
      <x:c r="H23" s="215" t="str">
        <x:v>Variable</x:v>
      </x:c>
      <x:c r="I23" s="215" t="str">
        <x:v>Naked eye</x:v>
      </x:c>
      <x:c r="J23" s="215" t="str">
        <x:v>Flowering</x:v>
      </x:c>
      <x:c r="K23" s="215" t="str">
        <x:v>A second whorl of bract-like parts may sit immediately below the calyx.</x:v>
      </x:c>
      <x:c r="L23" s="215" t="str">
        <x:v>It is absent in many taxa, variable in number, and sometimes deciduous.</x:v>
      </x:c>
      <x:c r="M23" s="215" t="str">
        <x:v>Presence supports some Malvoideae or Hibisceae routes; absence is not evidence against the family.</x:v>
      </x:c>
      <x:c r="N23" s="215" t="str">
        <x:v>Useful in Callirhoe, Pavonia, Malvaviscus, and related local taxa where present.</x:v>
      </x:c>
      <x:c r="O23" s="215" t="str">
        <x:v>Low</x:v>
      </x:c>
      <x:c r="P23" s="215" t="str">
        <x:v>No</x:v>
      </x:c>
      <x:c r="Q23" s="215" t="str"/>
      <x:c r="R23" s="215" t="str">
        <x:v>MAL-LK02</x:v>
      </x:c>
      <x:c r="S23" s="215" t="str">
        <x:v>FNA-MALV; APWEB-MALV; POWO-MALV</x:v>
      </x:c>
      <x:c r="T23" s="215" t="str">
        <x:v>https://www.mobot.org/mobot/research/APWeb/orders/malvalesweb.htm</x:v>
      </x:c>
      <x:c r="U23" s="215" t="str">
        <x:v>https://floranorthamerica.org/Malvaceae</x:v>
      </x:c>
      <x:c r="V23" s="215" t="str">
        <x:v>https://powo.science.kew.org/taxon/urn:lsid:ipni.org:names:30000208-2</x:v>
      </x:c>
      <x:c r="W23" s="215" t="str">
        <x:v>https://floranorthamerica.org/Malvaceae
https://www.mobot.org/mobot/research/APWeb/orders/malvalesweb.htm
https://powo.science.kew.org/taxon/urn:lsid:ipni.org:names:30000208-2</x:v>
      </x:c>
      <x:c r="X23" s="215" t="str">
        <x:v>No — retain qualifiers and exceptions</x:v>
      </x:c>
      <x:c r="Y23" s="215" t="str">
        <x:v>Yes</x:v>
      </x:c>
      <x:c r="Z23" s="215" t="str">
        <x:v>Source-backed draft</x:v>
      </x:c>
      <x:c r="AA23" s="215" t="str">
        <x:v>Family pattern</x:v>
      </x:c>
      <x:c r="AB23" s="215" t="str">
        <x:v>Supporting / route</x:v>
      </x:c>
      <x:c r="AC23" s="215" t="str">
        <x:v>Variable</x:v>
      </x:c>
      <x:c r="AD23" s="215" t="str">
        <x:v>Naked eye / field</x:v>
      </x:c>
      <x:c r="AE23" s="215" t="str">
        <x:v>Low</x:v>
      </x:c>
      <x:c r="AF23" s="215" t="str">
        <x:v>Field-ready draft</x:v>
      </x:c>
      <x:c r="AG23" s="215" t="str">
        <x:v>4 — Context / caution</x:v>
      </x:c>
      <x:c r="AH23" s="215" t="str">
        <x:v>Current master inventory</x:v>
      </x:c>
    </x:row>
    <x:row r="24" ht="42" customHeight="1">
      <x:c r="A24" s="215" t="str">
        <x:v>Malvaceae</x:v>
      </x:c>
      <x:c r="B24" s="215" t="str">
        <x:v>MAL-OVARY</x:v>
      </x:c>
      <x:c r="C24" s="215" t="str">
        <x:v>Family-wide, variable</x:v>
      </x:c>
      <x:c r="D24" s="215" t="str">
        <x:v>Gynoecium</x:v>
      </x:c>
      <x:c r="E24" s="215" t="str">
        <x:v>Ovary usually superior and composed of several carpels</x:v>
      </x:c>
      <x:c r="F24" s="215" t="str">
        <x:v>Strong</x:v>
      </x:c>
      <x:c r="G24" s="215" t="str">
        <x:v>4</x:v>
      </x:c>
      <x:c r="H24" s="215" t="str">
        <x:v>Moderate</x:v>
      </x:c>
      <x:c r="I24" s="215" t="str">
        <x:v>Hand lens or dissection</x:v>
      </x:c>
      <x:c r="J24" s="215" t="str">
        <x:v>Flowering</x:v>
      </x:c>
      <x:c r="K24" s="215" t="str">
        <x:v>The ovary lies above the attachment of the perianth and commonly has several chambers or carpel units.</x:v>
      </x:c>
      <x:c r="L24" s="215" t="str">
        <x:v>Carpel number and degree of fusion vary widely; some lineages are apocarpous.</x:v>
      </x:c>
      <x:c r="M24" s="215" t="str">
        <x:v>Use with stamen structure and later fruit architecture.</x:v>
      </x:c>
      <x:c r="N24" s="215" t="str">
        <x:v>Strong across most local genera, but mature fruit is often easier than floral dissection.</x:v>
      </x:c>
      <x:c r="O24" s="215" t="str">
        <x:v>Low</x:v>
      </x:c>
      <x:c r="P24" s="215" t="str">
        <x:v>No</x:v>
      </x:c>
      <x:c r="Q24" s="215" t="str"/>
      <x:c r="R24" s="215" t="str">
        <x:v>MAL-LK01</x:v>
      </x:c>
      <x:c r="S24" s="215" t="str">
        <x:v>FNA-MALV; APWEB-MALV; POWO-MALV</x:v>
      </x:c>
      <x:c r="T24" s="215" t="str">
        <x:v>https://www.mobot.org/mobot/research/APWeb/orders/malvalesweb.htm</x:v>
      </x:c>
      <x:c r="U24" s="215" t="str">
        <x:v>https://floranorthamerica.org/Malvaceae</x:v>
      </x:c>
      <x:c r="V24" s="215" t="str">
        <x:v>https://powo.science.kew.org/taxon/urn:lsid:ipni.org:names:30000208-2</x:v>
      </x:c>
      <x:c r="W24" s="215" t="str">
        <x:v>https://floranorthamerica.org/Malvaceae
https://www.mobot.org/mobot/research/APWeb/orders/malvalesweb.htm
https://powo.science.kew.org/taxon/urn:lsid:ipni.org:names:30000208-2</x:v>
      </x:c>
      <x:c r="X24" s="215" t="str">
        <x:v>No — retain qualifiers and exceptions</x:v>
      </x:c>
      <x:c r="Y24" s="215" t="str">
        <x:v>Yes</x:v>
      </x:c>
      <x:c r="Z24" s="215" t="str">
        <x:v>Source-backed draft</x:v>
      </x:c>
      <x:c r="AA24" s="215" t="str">
        <x:v>Family pattern</x:v>
      </x:c>
      <x:c r="AB24" s="215" t="str">
        <x:v>Positive diagnostic</x:v>
      </x:c>
      <x:c r="AC24" s="215" t="str">
        <x:v>Moderate</x:v>
      </x:c>
      <x:c r="AD24" s="215" t="str">
        <x:v>Dissection</x:v>
      </x:c>
      <x:c r="AE24" s="215" t="str">
        <x:v>Low</x:v>
      </x:c>
      <x:c r="AF24" s="215" t="str">
        <x:v>Dissection / close study</x:v>
      </x:c>
      <x:c r="AG24" s="215" t="str">
        <x:v>3 — Reference support</x:v>
      </x:c>
      <x:c r="AH24" s="215" t="str">
        <x:v>Current master inventory</x:v>
      </x:c>
    </x:row>
    <x:row r="25" ht="42" customHeight="1">
      <x:c r="A25" s="215" t="str">
        <x:v>Malvaceae</x:v>
      </x:c>
      <x:c r="B25" s="215" t="str">
        <x:v>MAL-FRUIT</x:v>
      </x:c>
      <x:c r="C25" s="215" t="str">
        <x:v>Family-wide, highly variable</x:v>
      </x:c>
      <x:c r="D25" s="215" t="str">
        <x:v>Fruit</x:v>
      </x:c>
      <x:c r="E25" s="215" t="str">
        <x:v>Capsule, schizocarp, follicle, berry, or nut</x:v>
      </x:c>
      <x:c r="F25" s="215" t="str">
        <x:v>Caution</x:v>
      </x:c>
      <x:c r="G25" s="215" t="str">
        <x:v>1</x:v>
      </x:c>
      <x:c r="H25" s="215" t="str">
        <x:v>High as a warning</x:v>
      </x:c>
      <x:c r="I25" s="215" t="str">
        <x:v>Naked eye</x:v>
      </x:c>
      <x:c r="J25" s="215" t="str">
        <x:v>Mature fruit</x:v>
      </x:c>
      <x:c r="K25" s="215" t="str">
        <x:v>Modern Malvaceae do not share one universal fruit type.</x:v>
      </x:c>
      <x:c r="L25" s="215" t="str">
        <x:v>Classic mallows often form wheel-like schizocarps, but local Tilia has a nutlike fruit and other lineages produce capsules or different forms.</x:v>
      </x:c>
      <x:c r="M25" s="215" t="str">
        <x:v>Use fruit to identify subgroups and genera, not as one family-wide state.</x:v>
      </x:c>
      <x:c r="N25" s="215" t="str">
        <x:v>Critical for local separation of Malvoideae, Melochia, and Tilia.</x:v>
      </x:c>
      <x:c r="O25" s="215" t="str">
        <x:v>Low</x:v>
      </x:c>
      <x:c r="P25" s="215" t="str">
        <x:v>No</x:v>
      </x:c>
      <x:c r="Q25" s="215" t="str"/>
      <x:c r="R25" s="215" t="str">
        <x:v>MAL-LK01; MAL-LK02</x:v>
      </x:c>
      <x:c r="S25" s="215" t="str">
        <x:v>FNA-MALV; APWEB-MALV; POWO-MALV</x:v>
      </x:c>
      <x:c r="T25" s="215" t="str">
        <x:v>https://www.mobot.org/mobot/research/APWeb/orders/malvalesweb.htm</x:v>
      </x:c>
      <x:c r="U25" s="215" t="str">
        <x:v>https://floranorthamerica.org/Malvaceae</x:v>
      </x:c>
      <x:c r="V25" s="215" t="str">
        <x:v>https://powo.science.kew.org/taxon/urn:lsid:ipni.org:names:30000208-2</x:v>
      </x:c>
      <x:c r="W25" s="215" t="str">
        <x:v>https://floranorthamerica.org/Malvaceae
https://www.mobot.org/mobot/research/APWeb/orders/malvalesweb.htm
https://powo.science.kew.org/taxon/urn:lsid:ipni.org:names:30000208-2</x:v>
      </x:c>
      <x:c r="X25" s="215" t="str">
        <x:v>No — retain qualifiers and exceptions</x:v>
      </x:c>
      <x:c r="Y25" s="215" t="str">
        <x:v>Yes</x:v>
      </x:c>
      <x:c r="Z25" s="215" t="str">
        <x:v>Source-backed draft</x:v>
      </x:c>
      <x:c r="AA25" s="215" t="str">
        <x:v>Family pattern</x:v>
      </x:c>
      <x:c r="AB25" s="215" t="str">
        <x:v>Caution / negative rule</x:v>
      </x:c>
      <x:c r="AC25" s="215" t="str">
        <x:v>High</x:v>
      </x:c>
      <x:c r="AD25" s="215" t="str">
        <x:v>Naked eye / field</x:v>
      </x:c>
      <x:c r="AE25" s="215" t="str">
        <x:v>Low</x:v>
      </x:c>
      <x:c r="AF25" s="215" t="str">
        <x:v>Field-ready draft</x:v>
      </x:c>
      <x:c r="AG25" s="215" t="str">
        <x:v>4 — Context / caution</x:v>
      </x:c>
      <x:c r="AH25" s="215" t="str">
        <x:v>Current master inventory</x:v>
      </x:c>
    </x:row>
    <x:row r="26" ht="42" customHeight="1">
      <x:c r="A26" s="215" t="str">
        <x:v>Malvaceae</x:v>
      </x:c>
      <x:c r="B26" s="215" t="str">
        <x:v>MAL-BROAD</x:v>
      </x:c>
      <x:c r="C26" s="215" t="str">
        <x:v>Circumscription warning</x:v>
      </x:c>
      <x:c r="D26" s="215" t="str">
        <x:v>Taxonomy and recognition</x:v>
      </x:c>
      <x:c r="E26" s="215" t="str">
        <x:v>Modern Malvaceae includes former Bombacaceae, Sterculiaceae, and Tiliaceae</x:v>
      </x:c>
      <x:c r="F26" s="215" t="str">
        <x:v>Caution</x:v>
      </x:c>
      <x:c r="G26" s="215" t="str">
        <x:v>0</x:v>
      </x:c>
      <x:c r="H26" s="215" t="str">
        <x:v>High as a warning</x:v>
      </x:c>
      <x:c r="I26" s="215" t="str">
        <x:v>Reference check</x:v>
      </x:c>
      <x:c r="J26" s="215" t="str">
        <x:v>Any</x:v>
      </x:c>
      <x:c r="K26" s="215" t="str">
        <x:v>The accepted family is broader than the traditional “mallow” look.</x:v>
      </x:c>
      <x:c r="L26" s="215" t="str">
        <x:v>Characters that fit Malvoideae well may fail in Tilioideae, Byttnerioideae, and other subfamilies.</x:v>
      </x:c>
      <x:c r="M26" s="215" t="str">
        <x:v>Prevents treating a staminal column, epicalyx, or mallow schizocarp as universal.</x:v>
      </x:c>
      <x:c r="N26" s="215" t="str">
        <x:v>Essential because local Tilia and Melochia broaden the visual range beyond the dominant mallow-like genera.</x:v>
      </x:c>
      <x:c r="O26" s="215" t="str">
        <x:v>Low</x:v>
      </x:c>
      <x:c r="P26" s="215" t="str">
        <x:v>Yes</x:v>
      </x:c>
      <x:c r="Q26" s="215" t="str">
        <x:v>Human reviewer should approve the subfamily routing before these rows are used in an automated key.</x:v>
      </x:c>
      <x:c r="R26" s="215" t="str">
        <x:v>MAL-LK01</x:v>
      </x:c>
      <x:c r="S26" s="215" t="str">
        <x:v>APWEB-MALV; FNA-MALV; POWO-MALV</x:v>
      </x:c>
      <x:c r="T26" s="215" t="str">
        <x:v>https://www.mobot.org/mobot/research/APWeb/orders/malvalesweb.htm</x:v>
      </x:c>
      <x:c r="U26" s="215" t="str">
        <x:v>https://floranorthamerica.org/Malvaceae</x:v>
      </x:c>
      <x:c r="V26" s="215" t="str">
        <x:v>https://powo.science.kew.org/taxon/urn:lsid:ipni.org:names:30000208-2</x:v>
      </x:c>
      <x:c r="W26" s="215" t="str">
        <x:v>https://www.mobot.org/mobot/research/APWeb/orders/malvalesweb.htm
https://floranorthamerica.org/Malvaceae
https://powo.science.kew.org/taxon/urn:lsid:ipni.org:names:30000208-2</x:v>
      </x:c>
      <x:c r="X26" s="215" t="str">
        <x:v>No — retain qualifiers and exceptions</x:v>
      </x:c>
      <x:c r="Y26" s="215" t="str">
        <x:v>Yes</x:v>
      </x:c>
      <x:c r="Z26" s="215" t="str">
        <x:v>Human review required</x:v>
      </x:c>
      <x:c r="AA26" s="215" t="str">
        <x:v>Caution / method</x:v>
      </x:c>
      <x:c r="AB26" s="215" t="str">
        <x:v>Caution / negative rule</x:v>
      </x:c>
      <x:c r="AC26" s="215" t="str">
        <x:v>High</x:v>
      </x:c>
      <x:c r="AD26" s="215" t="str">
        <x:v>Reference / method</x:v>
      </x:c>
      <x:c r="AE26" s="215" t="str">
        <x:v>Low</x:v>
      </x:c>
      <x:c r="AF26" s="215" t="str">
        <x:v>Use only after review</x:v>
      </x:c>
      <x:c r="AG26" s="215" t="str">
        <x:v>1 — Human review now</x:v>
      </x:c>
      <x:c r="AH26" s="215" t="str">
        <x:v>Current master inventory</x:v>
      </x:c>
    </x:row>
    <x:row r="27" ht="42" customHeight="1">
      <x:c r="A27" s="215" t="str">
        <x:v>Apocynaceae</x:v>
      </x:c>
      <x:c r="B27" s="215" t="str">
        <x:v>APO-LATEX</x:v>
      </x:c>
      <x:c r="C27" s="215" t="str">
        <x:v>Family-wide, common</x:v>
      </x:c>
      <x:c r="D27" s="215" t="str">
        <x:v>Exudate</x:v>
      </x:c>
      <x:c r="E27" s="215" t="str">
        <x:v>White latex or milky sap common</x:v>
      </x:c>
      <x:c r="F27" s="215" t="str">
        <x:v>Strong</x:v>
      </x:c>
      <x:c r="G27" s="215" t="str">
        <x:v>4</x:v>
      </x:c>
      <x:c r="H27" s="215" t="str">
        <x:v>Variable</x:v>
      </x:c>
      <x:c r="I27" s="215" t="str">
        <x:v>Naked eye on existing damage</x:v>
      </x:c>
      <x:c r="J27" s="215" t="str">
        <x:v>Vegetative</x:v>
      </x:c>
      <x:c r="K27" s="215" t="str">
        <x:v>Many members release white latex from broken tissue.</x:v>
      </x:c>
      <x:c r="L27" s="215" t="str">
        <x:v>Latex may be scant or absent, and milky sap occurs in unrelated families; do not cut a plant solely to test it.</x:v>
      </x:c>
      <x:c r="M27" s="215" t="str">
        <x:v>Useful only with opposite leaves, sympetalous flowers, and gynoecium or fruit characters.</x:v>
      </x:c>
      <x:c r="N27" s="215" t="str">
        <x:v>Especially conspicuous in local milkweed relatives; less dependable in Amsonia.</x:v>
      </x:c>
      <x:c r="O27" s="215" t="str">
        <x:v>Low</x:v>
      </x:c>
      <x:c r="P27" s="215" t="str">
        <x:v>No</x:v>
      </x:c>
      <x:c r="Q27" s="215" t="str"/>
      <x:c r="R27" s="215" t="str">
        <x:v>APO-LK01; APO-LK02</x:v>
      </x:c>
      <x:c r="S27" s="215" t="str">
        <x:v>APWEB-APOC; FNA-ASCLEPIAS; FNA-AMSONIA; POWO-APOC</x:v>
      </x:c>
      <x:c r="T27" s="215" t="str">
        <x:v>https://www.mobot.org/MOBOT/research/APweb/orders/gentianalesweb.htm</x:v>
      </x:c>
      <x:c r="U27" s="215" t="str">
        <x:v>https://floranorthamerica.org/Asclepias
https://floranorthamerica.org/Amsonia</x:v>
      </x:c>
      <x:c r="V27" s="215" t="str">
        <x:v>https://powo.science.kew.org/taxon/urn:lsid:ipni.org:names:30000008-2</x:v>
      </x:c>
      <x:c r="W27" s="215" t="str">
        <x:v>https://www.mobot.org/MOBOT/research/APweb/orders/gentianalesweb.htm
https://floranorthamerica.org/Asclepias
https://floranorthamerica.org/Amsonia
https://powo.science.kew.org/taxon/urn:lsid:ipni.org:names:30000008-2</x:v>
      </x:c>
      <x:c r="X27" s="215" t="str">
        <x:v>No — retain qualifiers and exceptions</x:v>
      </x:c>
      <x:c r="Y27" s="215" t="str">
        <x:v>Yes</x:v>
      </x:c>
      <x:c r="Z27" s="215" t="str">
        <x:v>Source-backed draft</x:v>
      </x:c>
      <x:c r="AA27" s="215" t="str">
        <x:v>Family pattern</x:v>
      </x:c>
      <x:c r="AB27" s="215" t="str">
        <x:v>Positive diagnostic</x:v>
      </x:c>
      <x:c r="AC27" s="215" t="str">
        <x:v>Variable</x:v>
      </x:c>
      <x:c r="AD27" s="215" t="str">
        <x:v>Naked eye / field</x:v>
      </x:c>
      <x:c r="AE27" s="215" t="str">
        <x:v>Low</x:v>
      </x:c>
      <x:c r="AF27" s="215" t="str">
        <x:v>Field-ready draft</x:v>
      </x:c>
      <x:c r="AG27" s="215" t="str">
        <x:v>2 — Field-photo priority</x:v>
      </x:c>
      <x:c r="AH27" s="215" t="str">
        <x:v>Current master inventory</x:v>
      </x:c>
    </x:row>
    <x:row r="28" ht="42" customHeight="1">
      <x:c r="A28" s="215" t="str">
        <x:v>Apocynaceae</x:v>
      </x:c>
      <x:c r="B28" s="215" t="str">
        <x:v>APO-LEAVES</x:v>
      </x:c>
      <x:c r="C28" s="215" t="str">
        <x:v>Family-wide, common</x:v>
      </x:c>
      <x:c r="D28" s="215" t="str">
        <x:v>Leaf</x:v>
      </x:c>
      <x:c r="E28" s="215" t="str">
        <x:v>Leaves commonly opposite or whorled and usually simple</x:v>
      </x:c>
      <x:c r="F28" s="215" t="str">
        <x:v>Supporting</x:v>
      </x:c>
      <x:c r="G28" s="215" t="str">
        <x:v>3</x:v>
      </x:c>
      <x:c r="H28" s="215" t="str">
        <x:v>Moderate</x:v>
      </x:c>
      <x:c r="I28" s="215" t="str">
        <x:v>Naked eye</x:v>
      </x:c>
      <x:c r="J28" s="215" t="str">
        <x:v>Vegetative</x:v>
      </x:c>
      <x:c r="K28" s="215" t="str">
        <x:v>Paired or whorled simple leaves are frequent in the family.</x:v>
      </x:c>
      <x:c r="L28" s="215" t="str">
        <x:v>Spiral leaves occur in some lineages, and opposite leaves are common in unrelated families.</x:v>
      </x:c>
      <x:c r="M28" s="215" t="str">
        <x:v>Use as an entry clue, then seek colleters, flower structure, or paired fruit.</x:v>
      </x:c>
      <x:c r="N28" s="215" t="str">
        <x:v>Strong across most local Amsonia, Asclepias, Matelea, Funastrum, and Gonolobus routes.</x:v>
      </x:c>
      <x:c r="O28" s="215" t="str">
        <x:v>Low</x:v>
      </x:c>
      <x:c r="P28" s="215" t="str">
        <x:v>No</x:v>
      </x:c>
      <x:c r="Q28" s="215" t="str"/>
      <x:c r="R28" s="215" t="str">
        <x:v>APO-LK01; APO-LK02</x:v>
      </x:c>
      <x:c r="S28" s="215" t="str">
        <x:v>APWEB-APOC; FNA-ASCLEPIAS; FNA-AMSONIA; POWO-APOC</x:v>
      </x:c>
      <x:c r="T28" s="215" t="str">
        <x:v>https://www.mobot.org/MOBOT/research/APweb/orders/gentianalesweb.htm</x:v>
      </x:c>
      <x:c r="U28" s="215" t="str">
        <x:v>https://floranorthamerica.org/Asclepias
https://floranorthamerica.org/Amsonia</x:v>
      </x:c>
      <x:c r="V28" s="215" t="str">
        <x:v>https://powo.science.kew.org/taxon/urn:lsid:ipni.org:names:30000008-2</x:v>
      </x:c>
      <x:c r="W28" s="215" t="str">
        <x:v>https://www.mobot.org/MOBOT/research/APweb/orders/gentianalesweb.htm
https://floranorthamerica.org/Asclepias
https://floranorthamerica.org/Amsonia
https://powo.science.kew.org/taxon/urn:lsid:ipni.org:names:30000008-2</x:v>
      </x:c>
      <x:c r="X28" s="215" t="str">
        <x:v>No — retain qualifiers and exceptions</x:v>
      </x:c>
      <x:c r="Y28" s="215" t="str">
        <x:v>Yes</x:v>
      </x:c>
      <x:c r="Z28" s="215" t="str">
        <x:v>Source-backed draft</x:v>
      </x:c>
      <x:c r="AA28" s="215" t="str">
        <x:v>Family pattern</x:v>
      </x:c>
      <x:c r="AB28" s="215" t="str">
        <x:v>Supporting / route</x:v>
      </x:c>
      <x:c r="AC28" s="215" t="str">
        <x:v>Moderate</x:v>
      </x:c>
      <x:c r="AD28" s="215" t="str">
        <x:v>Naked eye / field</x:v>
      </x:c>
      <x:c r="AE28" s="215" t="str">
        <x:v>Low</x:v>
      </x:c>
      <x:c r="AF28" s="215" t="str">
        <x:v>Field-ready draft</x:v>
      </x:c>
      <x:c r="AG28" s="215" t="str">
        <x:v>3 — Reference support</x:v>
      </x:c>
      <x:c r="AH28" s="215" t="str">
        <x:v>Current master inventory</x:v>
      </x:c>
    </x:row>
    <x:row r="29" ht="42" customHeight="1">
      <x:c r="A29" s="215" t="str">
        <x:v>Apocynaceae</x:v>
      </x:c>
      <x:c r="B29" s="215" t="str">
        <x:v>APO-COLLETERS</x:v>
      </x:c>
      <x:c r="C29" s="215" t="str">
        <x:v>Family-wide, variable</x:v>
      </x:c>
      <x:c r="D29" s="215" t="str">
        <x:v>Leaf base and calyx</x:v>
      </x:c>
      <x:c r="E29" s="215" t="str">
        <x:v>Colleters often present at leaf bases or inside the calyx</x:v>
      </x:c>
      <x:c r="F29" s="215" t="str">
        <x:v>Supporting</x:v>
      </x:c>
      <x:c r="G29" s="215" t="str">
        <x:v>3</x:v>
      </x:c>
      <x:c r="H29" s="215" t="str">
        <x:v>Variable</x:v>
      </x:c>
      <x:c r="I29" s="215" t="str">
        <x:v>Hand lens</x:v>
      </x:c>
      <x:c r="J29" s="215" t="str">
        <x:v>Vegetative or flowering</x:v>
      </x:c>
      <x:c r="K29" s="215" t="str">
        <x:v>Small glandular structures may occur between petiole bases or on the inner calyx.</x:v>
      </x:c>
      <x:c r="L29" s="215" t="str">
        <x:v>Their form and position vary, and they may be minute or absent in particular taxa.</x:v>
      </x:c>
      <x:c r="M29" s="215" t="str">
        <x:v>Helpful against opposite-leaved lookalikes when visible, but never required.</x:v>
      </x:c>
      <x:c r="N29" s="215" t="str">
        <x:v>Potentially useful in local vines and milkweeds; needs deliberate hand-lens training.</x:v>
      </x:c>
      <x:c r="O29" s="215" t="str">
        <x:v>Moderate</x:v>
      </x:c>
      <x:c r="P29" s="215" t="str">
        <x:v>No</x:v>
      </x:c>
      <x:c r="Q29" s="215" t="str"/>
      <x:c r="R29" s="215" t="str">
        <x:v>APO-LK01</x:v>
      </x:c>
      <x:c r="S29" s="215" t="str">
        <x:v>APWEB-APOC; POWO-APOC</x:v>
      </x:c>
      <x:c r="T29" s="215" t="str">
        <x:v>https://www.mobot.org/MOBOT/research/APweb/orders/gentianalesweb.htm</x:v>
      </x:c>
      <x:c r="U29" s="215" t="str">
        <x:v>https://floranorthamerica.org/Amsonia
https://floranorthamerica.org/Asclepias</x:v>
      </x:c>
      <x:c r="V29" s="215" t="str">
        <x:v>https://powo.science.kew.org/taxon/urn:lsid:ipni.org:names:30000008-2</x:v>
      </x:c>
      <x:c r="W29" s="215" t="str">
        <x:v>https://www.mobot.org/MOBOT/research/APweb/orders/gentianalesweb.htm
https://powo.science.kew.org/taxon/urn:lsid:ipni.org:names:30000008-2
https://floranorthamerica.org/Amsonia
https://floranorthamerica.org/Asclepias</x:v>
      </x:c>
      <x:c r="X29" s="215" t="str">
        <x:v>No — retain qualifiers and exceptions</x:v>
      </x:c>
      <x:c r="Y29" s="215" t="str">
        <x:v>Yes</x:v>
      </x:c>
      <x:c r="Z29" s="215" t="str">
        <x:v>Source-backed draft</x:v>
      </x:c>
      <x:c r="AA29" s="215" t="str">
        <x:v>Family pattern</x:v>
      </x:c>
      <x:c r="AB29" s="215" t="str">
        <x:v>Supporting / route</x:v>
      </x:c>
      <x:c r="AC29" s="215" t="str">
        <x:v>Variable</x:v>
      </x:c>
      <x:c r="AD29" s="215" t="str">
        <x:v>Hand lens / macro</x:v>
      </x:c>
      <x:c r="AE29" s="215" t="str">
        <x:v>Moderate</x:v>
      </x:c>
      <x:c r="AF29" s="215" t="str">
        <x:v>Field-ready draft</x:v>
      </x:c>
      <x:c r="AG29" s="215" t="str">
        <x:v>3 — Reference support</x:v>
      </x:c>
      <x:c r="AH29" s="215" t="str">
        <x:v>Current master inventory</x:v>
      </x:c>
    </x:row>
    <x:row r="30" ht="42" customHeight="1">
      <x:c r="A30" s="215" t="str">
        <x:v>Apocynaceae</x:v>
      </x:c>
      <x:c r="B30" s="215" t="str">
        <x:v>APO-COROLLA</x:v>
      </x:c>
      <x:c r="C30" s="215" t="str">
        <x:v>Family-wide, common</x:v>
      </x:c>
      <x:c r="D30" s="215" t="str">
        <x:v>Flower</x:v>
      </x:c>
      <x:c r="E30" s="215" t="str">
        <x:v>Corolla usually 5-lobed and sympetalous</x:v>
      </x:c>
      <x:c r="F30" s="215" t="str">
        <x:v>Strong</x:v>
      </x:c>
      <x:c r="G30" s="215" t="str">
        <x:v>4</x:v>
      </x:c>
      <x:c r="H30" s="215" t="str">
        <x:v>High</x:v>
      </x:c>
      <x:c r="I30" s="215" t="str">
        <x:v>Naked eye</x:v>
      </x:c>
      <x:c r="J30" s="215" t="str">
        <x:v>Flowering</x:v>
      </x:c>
      <x:c r="K30" s="215" t="str">
        <x:v>Five petals are fused into a tube, bell, salver, or wheel-shaped corolla.</x:v>
      </x:c>
      <x:c r="L30" s="215" t="str">
        <x:v>Flower size and symmetry vary; specialized milkweed flowers obscure the basic corolla beneath a corona and gynostegium.</x:v>
      </x:c>
      <x:c r="M30" s="215" t="str">
        <x:v>A strong family clue when combined with the anther-style complex and two-carpel gynoecium.</x:v>
      </x:c>
      <x:c r="N30" s="215" t="str">
        <x:v>Clear in local Amsonia; structurally present but visually specialized in milkweed relatives.</x:v>
      </x:c>
      <x:c r="O30" s="215" t="str">
        <x:v>Low</x:v>
      </x:c>
      <x:c r="P30" s="215" t="str">
        <x:v>No</x:v>
      </x:c>
      <x:c r="Q30" s="215" t="str"/>
      <x:c r="R30" s="215" t="str">
        <x:v>APO-LK01; APO-LK02</x:v>
      </x:c>
      <x:c r="S30" s="215" t="str">
        <x:v>APWEB-APOC; FNA-AMSONIA; FNA-ASCLEPIAS; POWO-APOC</x:v>
      </x:c>
      <x:c r="T30" s="215" t="str">
        <x:v>https://www.mobot.org/MOBOT/research/APweb/orders/gentianalesweb.htm</x:v>
      </x:c>
      <x:c r="U30" s="215" t="str">
        <x:v>https://floranorthamerica.org/Amsonia
https://floranorthamerica.org/Asclepias</x:v>
      </x:c>
      <x:c r="V30" s="215" t="str">
        <x:v>https://powo.science.kew.org/taxon/urn:lsid:ipni.org:names:30000008-2</x:v>
      </x:c>
      <x:c r="W30" s="215" t="str">
        <x:v>https://www.mobot.org/MOBOT/research/APweb/orders/gentianalesweb.htm
https://floranorthamerica.org/Amsonia
https://floranorthamerica.org/Asclepias
https://powo.science.kew.org/taxon/urn:lsid:ipni.org:names:30000008-2</x:v>
      </x:c>
      <x:c r="X30" s="215" t="str">
        <x:v>No — retain qualifiers and exceptions</x:v>
      </x:c>
      <x:c r="Y30" s="215" t="str">
        <x:v>Yes</x:v>
      </x:c>
      <x:c r="Z30" s="215" t="str">
        <x:v>Source-backed draft</x:v>
      </x:c>
      <x:c r="AA30" s="215" t="str">
        <x:v>Family pattern</x:v>
      </x:c>
      <x:c r="AB30" s="215" t="str">
        <x:v>Positive diagnostic</x:v>
      </x:c>
      <x:c r="AC30" s="215" t="str">
        <x:v>High</x:v>
      </x:c>
      <x:c r="AD30" s="215" t="str">
        <x:v>Naked eye / field</x:v>
      </x:c>
      <x:c r="AE30" s="215" t="str">
        <x:v>Low</x:v>
      </x:c>
      <x:c r="AF30" s="215" t="str">
        <x:v>Field-ready draft</x:v>
      </x:c>
      <x:c r="AG30" s="215" t="str">
        <x:v>2 — Field-photo priority</x:v>
      </x:c>
      <x:c r="AH30" s="215" t="str">
        <x:v>Current master inventory</x:v>
      </x:c>
    </x:row>
    <x:row r="31" ht="42" customHeight="1">
      <x:c r="A31" s="215" t="str">
        <x:v>Apocynaceae</x:v>
      </x:c>
      <x:c r="B31" s="215" t="str">
        <x:v>APO-STYLEHEAD</x:v>
      </x:c>
      <x:c r="C31" s="215" t="str">
        <x:v>Family-wide</x:v>
      </x:c>
      <x:c r="D31" s="215" t="str">
        <x:v>Androecium and gynoecium</x:v>
      </x:c>
      <x:c r="E31" s="215" t="str">
        <x:v>Anthers closely associated with a swollen style head</x:v>
      </x:c>
      <x:c r="F31" s="215" t="str">
        <x:v>Core</x:v>
      </x:c>
      <x:c r="G31" s="215" t="str">
        <x:v>5</x:v>
      </x:c>
      <x:c r="H31" s="215" t="str">
        <x:v>High when examined</x:v>
      </x:c>
      <x:c r="I31" s="215" t="str">
        <x:v>Hand lens or dissection</x:v>
      </x:c>
      <x:c r="J31" s="215" t="str">
        <x:v>Flowering</x:v>
      </x:c>
      <x:c r="K31" s="215" t="str">
        <x:v>The anthers converge on or adhere to a specialized style-head region that handles pollen.</x:v>
      </x:c>
      <x:c r="L31" s="215" t="str">
        <x:v>The union ranges from loose contact to the highly fused milkweed gynostegium and may be hidden inside the corolla.</x:v>
      </x:c>
      <x:c r="M31" s="215" t="str">
        <x:v>One of the strongest structural confirmations of Apocynaceae.</x:v>
      </x:c>
      <x:c r="N31" s="215" t="str">
        <x:v>Useful across both local Amsonia-type and asclepiad-type routes, but magnification is often needed.</x:v>
      </x:c>
      <x:c r="O31" s="215" t="str">
        <x:v>Low</x:v>
      </x:c>
      <x:c r="P31" s="215" t="str">
        <x:v>No</x:v>
      </x:c>
      <x:c r="Q31" s="215" t="str"/>
      <x:c r="R31" s="215" t="str">
        <x:v>APO-LK01; APO-LK02</x:v>
      </x:c>
      <x:c r="S31" s="215" t="str">
        <x:v>APWEB-APOC; FNA-ASCLEPIAS; FNA-AMSONIA; POWO-APOC</x:v>
      </x:c>
      <x:c r="T31" s="215" t="str">
        <x:v>https://www.mobot.org/MOBOT/research/APweb/orders/gentianalesweb.htm</x:v>
      </x:c>
      <x:c r="U31" s="215" t="str">
        <x:v>https://floranorthamerica.org/Asclepias
https://floranorthamerica.org/Amsonia</x:v>
      </x:c>
      <x:c r="V31" s="215" t="str">
        <x:v>https://powo.science.kew.org/taxon/urn:lsid:ipni.org:names:30000008-2</x:v>
      </x:c>
      <x:c r="W31" s="215" t="str">
        <x:v>https://www.mobot.org/MOBOT/research/APweb/orders/gentianalesweb.htm
https://floranorthamerica.org/Asclepias
https://floranorthamerica.org/Amsonia
https://powo.science.kew.org/taxon/urn:lsid:ipni.org:names:30000008-2</x:v>
      </x:c>
      <x:c r="X31" s="215" t="str">
        <x:v>No — retain qualifiers and exceptions</x:v>
      </x:c>
      <x:c r="Y31" s="215" t="str">
        <x:v>Yes</x:v>
      </x:c>
      <x:c r="Z31" s="215" t="str">
        <x:v>Source-backed draft</x:v>
      </x:c>
      <x:c r="AA31" s="215" t="str">
        <x:v>Family pattern</x:v>
      </x:c>
      <x:c r="AB31" s="215" t="str">
        <x:v>Positive diagnostic</x:v>
      </x:c>
      <x:c r="AC31" s="215" t="str">
        <x:v>High</x:v>
      </x:c>
      <x:c r="AD31" s="215" t="str">
        <x:v>Dissection</x:v>
      </x:c>
      <x:c r="AE31" s="215" t="str">
        <x:v>Low</x:v>
      </x:c>
      <x:c r="AF31" s="215" t="str">
        <x:v>Dissection / close study</x:v>
      </x:c>
      <x:c r="AG31" s="215" t="str">
        <x:v>3 — Reference support</x:v>
      </x:c>
      <x:c r="AH31" s="215" t="str">
        <x:v>Current master inventory</x:v>
      </x:c>
    </x:row>
    <x:row r="32" ht="42" customHeight="1">
      <x:c r="A32" s="215" t="str">
        <x:v>Apocynaceae</x:v>
      </x:c>
      <x:c r="B32" s="215" t="str">
        <x:v>APO-CARPELS</x:v>
      </x:c>
      <x:c r="C32" s="215" t="str">
        <x:v>Family-wide, common</x:v>
      </x:c>
      <x:c r="D32" s="215" t="str">
        <x:v>Gynoecium</x:v>
      </x:c>
      <x:c r="E32" s="215" t="str">
        <x:v>Two carpels often separate below but joined by the style head</x:v>
      </x:c>
      <x:c r="F32" s="215" t="str">
        <x:v>Core</x:v>
      </x:c>
      <x:c r="G32" s="215" t="str">
        <x:v>5</x:v>
      </x:c>
      <x:c r="H32" s="215" t="str">
        <x:v>High with dissection or fruit</x:v>
      </x:c>
      <x:c r="I32" s="215" t="str">
        <x:v>Hand lens or dissection</x:v>
      </x:c>
      <x:c r="J32" s="215" t="str">
        <x:v>Flowering or early fruit</x:v>
      </x:c>
      <x:c r="K32" s="215" t="str">
        <x:v>The ovary commonly looks like two separate lobes or ovaries that share an upper reproductive structure.</x:v>
      </x:c>
      <x:c r="L32" s="215" t="str">
        <x:v>Some lineages have greater carpel fusion or only one carpel matures.</x:v>
      </x:c>
      <x:c r="M32" s="215" t="str">
        <x:v>Explains why one flower often produces a paired set of fruits.</x:v>
      </x:c>
      <x:c r="N32" s="215" t="str">
        <x:v>Strong in local Amsonia and milkweed relatives; one follicle may abort.</x:v>
      </x:c>
      <x:c r="O32" s="215" t="str">
        <x:v>Low</x:v>
      </x:c>
      <x:c r="P32" s="215" t="str">
        <x:v>No</x:v>
      </x:c>
      <x:c r="Q32" s="215" t="str"/>
      <x:c r="R32" s="215" t="str">
        <x:v>APO-LK01</x:v>
      </x:c>
      <x:c r="S32" s="215" t="str">
        <x:v>APWEB-APOC; FNA-ASCLEPIAS; FNA-AMSONIA; POWO-APOC</x:v>
      </x:c>
      <x:c r="T32" s="215" t="str">
        <x:v>https://www.mobot.org/MOBOT/research/APweb/orders/gentianalesweb.htm</x:v>
      </x:c>
      <x:c r="U32" s="215" t="str">
        <x:v>https://floranorthamerica.org/Asclepias
https://floranorthamerica.org/Amsonia</x:v>
      </x:c>
      <x:c r="V32" s="215" t="str">
        <x:v>https://powo.science.kew.org/taxon/urn:lsid:ipni.org:names:30000008-2</x:v>
      </x:c>
      <x:c r="W32" s="215" t="str">
        <x:v>https://www.mobot.org/MOBOT/research/APweb/orders/gentianalesweb.htm
https://floranorthamerica.org/Asclepias
https://floranorthamerica.org/Amsonia
https://powo.science.kew.org/taxon/urn:lsid:ipni.org:names:30000008-2</x:v>
      </x:c>
      <x:c r="X32" s="215" t="str">
        <x:v>No — retain qualifiers and exceptions</x:v>
      </x:c>
      <x:c r="Y32" s="215" t="str">
        <x:v>Yes</x:v>
      </x:c>
      <x:c r="Z32" s="215" t="str">
        <x:v>Source-backed draft</x:v>
      </x:c>
      <x:c r="AA32" s="215" t="str">
        <x:v>Family pattern</x:v>
      </x:c>
      <x:c r="AB32" s="215" t="str">
        <x:v>Positive diagnostic</x:v>
      </x:c>
      <x:c r="AC32" s="215" t="str">
        <x:v>High</x:v>
      </x:c>
      <x:c r="AD32" s="215" t="str">
        <x:v>Dissection</x:v>
      </x:c>
      <x:c r="AE32" s="215" t="str">
        <x:v>Low</x:v>
      </x:c>
      <x:c r="AF32" s="215" t="str">
        <x:v>Dissection / close study</x:v>
      </x:c>
      <x:c r="AG32" s="215" t="str">
        <x:v>3 — Reference support</x:v>
      </x:c>
      <x:c r="AH32" s="215" t="str">
        <x:v>Current master inventory</x:v>
      </x:c>
    </x:row>
    <x:row r="33" ht="42" customHeight="1">
      <x:c r="A33" s="215" t="str">
        <x:v>Apocynaceae</x:v>
      </x:c>
      <x:c r="B33" s="215" t="str">
        <x:v>APO-FOLLICLES</x:v>
      </x:c>
      <x:c r="C33" s="215" t="str">
        <x:v>Family-wide, common</x:v>
      </x:c>
      <x:c r="D33" s="215" t="str">
        <x:v>Fruit</x:v>
      </x:c>
      <x:c r="E33" s="215" t="str">
        <x:v>One or two follicles, often paired</x:v>
      </x:c>
      <x:c r="F33" s="215" t="str">
        <x:v>Strong</x:v>
      </x:c>
      <x:c r="G33" s="215" t="str">
        <x:v>4</x:v>
      </x:c>
      <x:c r="H33" s="215" t="str">
        <x:v>High</x:v>
      </x:c>
      <x:c r="I33" s="215" t="str">
        <x:v>Naked eye</x:v>
      </x:c>
      <x:c r="J33" s="215" t="str">
        <x:v>Mature fruit</x:v>
      </x:c>
      <x:c r="K33" s="215" t="str">
        <x:v>Each carpel commonly matures as a dry pod opening along one side.</x:v>
      </x:c>
      <x:c r="L33" s="215" t="str">
        <x:v>Only one of the two follicles may develop; some family lineages have berries or drupes.</x:v>
      </x:c>
      <x:c r="M33" s="215" t="str">
        <x:v>Paired or single follicles with the family flower suite are highly informative.</x:v>
      </x:c>
      <x:c r="N33" s="215" t="str">
        <x:v>A major confirmation for local Amsonia, Asclepias, Matelea, Funastrum, and Gonolobus.</x:v>
      </x:c>
      <x:c r="O33" s="215" t="str">
        <x:v>Low</x:v>
      </x:c>
      <x:c r="P33" s="215" t="str">
        <x:v>No</x:v>
      </x:c>
      <x:c r="Q33" s="215" t="str"/>
      <x:c r="R33" s="215" t="str">
        <x:v>APO-LK01</x:v>
      </x:c>
      <x:c r="S33" s="215" t="str">
        <x:v>APWEB-APOC; FNA-ASCLEPIAS; FNA-AMSONIA; POWO-APOC</x:v>
      </x:c>
      <x:c r="T33" s="215" t="str">
        <x:v>https://www.mobot.org/MOBOT/research/APweb/orders/gentianalesweb.htm</x:v>
      </x:c>
      <x:c r="U33" s="215" t="str">
        <x:v>https://floranorthamerica.org/Asclepias
https://floranorthamerica.org/Amsonia</x:v>
      </x:c>
      <x:c r="V33" s="215" t="str">
        <x:v>https://powo.science.kew.org/taxon/urn:lsid:ipni.org:names:30000008-2</x:v>
      </x:c>
      <x:c r="W33" s="215" t="str">
        <x:v>https://www.mobot.org/MOBOT/research/APweb/orders/gentianalesweb.htm
https://floranorthamerica.org/Asclepias
https://floranorthamerica.org/Amsonia
https://powo.science.kew.org/taxon/urn:lsid:ipni.org:names:30000008-2</x:v>
      </x:c>
      <x:c r="X33" s="215" t="str">
        <x:v>No — retain qualifiers and exceptions</x:v>
      </x:c>
      <x:c r="Y33" s="215" t="str">
        <x:v>Yes</x:v>
      </x:c>
      <x:c r="Z33" s="215" t="str">
        <x:v>Source-backed draft</x:v>
      </x:c>
      <x:c r="AA33" s="215" t="str">
        <x:v>Family pattern</x:v>
      </x:c>
      <x:c r="AB33" s="215" t="str">
        <x:v>Positive diagnostic</x:v>
      </x:c>
      <x:c r="AC33" s="215" t="str">
        <x:v>High</x:v>
      </x:c>
      <x:c r="AD33" s="215" t="str">
        <x:v>Naked eye / field</x:v>
      </x:c>
      <x:c r="AE33" s="215" t="str">
        <x:v>Low</x:v>
      </x:c>
      <x:c r="AF33" s="215" t="str">
        <x:v>Field-ready draft</x:v>
      </x:c>
      <x:c r="AG33" s="215" t="str">
        <x:v>2 — Field-photo priority</x:v>
      </x:c>
      <x:c r="AH33" s="215" t="str">
        <x:v>Current master inventory</x:v>
      </x:c>
    </x:row>
    <x:row r="34" ht="42" customHeight="1">
      <x:c r="A34" s="215" t="str">
        <x:v>Apocynaceae</x:v>
      </x:c>
      <x:c r="B34" s="215" t="str">
        <x:v>APO-COMA</x:v>
      </x:c>
      <x:c r="C34" s="215" t="str">
        <x:v>Family-wide, common in local routes</x:v>
      </x:c>
      <x:c r="D34" s="215" t="str">
        <x:v>Seed</x:v>
      </x:c>
      <x:c r="E34" s="215" t="str">
        <x:v>Seeds often bear a terminal coma of silky hairs</x:v>
      </x:c>
      <x:c r="F34" s="215" t="str">
        <x:v>Strong</x:v>
      </x:c>
      <x:c r="G34" s="215" t="str">
        <x:v>4</x:v>
      </x:c>
      <x:c r="H34" s="215" t="str">
        <x:v>High</x:v>
      </x:c>
      <x:c r="I34" s="215" t="str">
        <x:v>Naked eye</x:v>
      </x:c>
      <x:c r="J34" s="215" t="str">
        <x:v>Mature dehiscing fruit</x:v>
      </x:c>
      <x:c r="K34" s="215" t="str">
        <x:v>Flattened seeds frequently carry a tuft of long hairs for wind dispersal.</x:v>
      </x:c>
      <x:c r="L34" s="215" t="str">
        <x:v>Comose seeds are not universal across the entire family, and hairs may detach after release.</x:v>
      </x:c>
      <x:c r="M34" s="215" t="str">
        <x:v>A strong fruiting confirmation for many temperate apocynoids and milkweeds.</x:v>
      </x:c>
      <x:c r="N34" s="215" t="str">
        <x:v>Expected in the principal local genera; best observed before all seeds disperse.</x:v>
      </x:c>
      <x:c r="O34" s="215" t="str">
        <x:v>Low</x:v>
      </x:c>
      <x:c r="P34" s="215" t="str">
        <x:v>No</x:v>
      </x:c>
      <x:c r="Q34" s="215" t="str"/>
      <x:c r="R34" s="215" t="str">
        <x:v>APO-LK01</x:v>
      </x:c>
      <x:c r="S34" s="215" t="str">
        <x:v>APWEB-APOC; FNA-ASCLEPIAS; FNA-AMSONIA; POWO-APOC</x:v>
      </x:c>
      <x:c r="T34" s="215" t="str">
        <x:v>https://www.mobot.org/MOBOT/research/APweb/orders/gentianalesweb.htm</x:v>
      </x:c>
      <x:c r="U34" s="215" t="str">
        <x:v>https://floranorthamerica.org/Asclepias
https://floranorthamerica.org/Amsonia</x:v>
      </x:c>
      <x:c r="V34" s="215" t="str">
        <x:v>https://powo.science.kew.org/taxon/urn:lsid:ipni.org:names:30000008-2</x:v>
      </x:c>
      <x:c r="W34" s="215" t="str">
        <x:v>https://www.mobot.org/MOBOT/research/APweb/orders/gentianalesweb.htm
https://floranorthamerica.org/Asclepias
https://floranorthamerica.org/Amsonia
https://powo.science.kew.org/taxon/urn:lsid:ipni.org:names:30000008-2</x:v>
      </x:c>
      <x:c r="X34" s="215" t="str">
        <x:v>No — retain qualifiers and exceptions</x:v>
      </x:c>
      <x:c r="Y34" s="215" t="str">
        <x:v>Yes</x:v>
      </x:c>
      <x:c r="Z34" s="215" t="str">
        <x:v>Source-backed draft</x:v>
      </x:c>
      <x:c r="AA34" s="215" t="str">
        <x:v>Local subgroup / route</x:v>
      </x:c>
      <x:c r="AB34" s="215" t="str">
        <x:v>Positive diagnostic</x:v>
      </x:c>
      <x:c r="AC34" s="215" t="str">
        <x:v>High</x:v>
      </x:c>
      <x:c r="AD34" s="215" t="str">
        <x:v>Naked eye / field</x:v>
      </x:c>
      <x:c r="AE34" s="215" t="str">
        <x:v>Low</x:v>
      </x:c>
      <x:c r="AF34" s="215" t="str">
        <x:v>Field-ready draft</x:v>
      </x:c>
      <x:c r="AG34" s="215" t="str">
        <x:v>2 — Field-photo priority</x:v>
      </x:c>
      <x:c r="AH34" s="215" t="str">
        <x:v>Current master inventory</x:v>
      </x:c>
    </x:row>
    <x:row r="35" ht="42" customHeight="1">
      <x:c r="A35" s="215" t="str">
        <x:v>Apocynaceae</x:v>
      </x:c>
      <x:c r="B35" s="215" t="str">
        <x:v>APO-INFLO</x:v>
      </x:c>
      <x:c r="C35" s="215" t="str">
        <x:v>Family-wide, common</x:v>
      </x:c>
      <x:c r="D35" s="215" t="str">
        <x:v>Inflorescence</x:v>
      </x:c>
      <x:c r="E35" s="215" t="str">
        <x:v>Inflorescences often terminal, interpetiolar, or extra-axillary</x:v>
      </x:c>
      <x:c r="F35" s="215" t="str">
        <x:v>Supporting</x:v>
      </x:c>
      <x:c r="G35" s="215" t="str">
        <x:v>2</x:v>
      </x:c>
      <x:c r="H35" s="215" t="str">
        <x:v>Variable</x:v>
      </x:c>
      <x:c r="I35" s="215" t="str">
        <x:v>Naked eye</x:v>
      </x:c>
      <x:c r="J35" s="215" t="str">
        <x:v>Flowering</x:v>
      </x:c>
      <x:c r="K35" s="215" t="str">
        <x:v>Flower clusters may appear between opposite petioles or displaced from a leaf axil.</x:v>
      </x:c>
      <x:c r="L35" s="215" t="str">
        <x:v>Position varies substantially and solitary flowers occur; sympodial growth can make placement hard to read.</x:v>
      </x:c>
      <x:c r="M35" s="215" t="str">
        <x:v>Use as a supporting architecture clue only.</x:v>
      </x:c>
      <x:c r="N35" s="215" t="str">
        <x:v>Helpful when comparing local twining genera and milkweed umbels, but not universal.</x:v>
      </x:c>
      <x:c r="O35" s="215" t="str">
        <x:v>Moderate</x:v>
      </x:c>
      <x:c r="P35" s="215" t="str">
        <x:v>No</x:v>
      </x:c>
      <x:c r="Q35" s="215" t="str"/>
      <x:c r="R35" s="215" t="str">
        <x:v>APO-LK01; APO-LK02</x:v>
      </x:c>
      <x:c r="S35" s="215" t="str">
        <x:v>APWEB-APOC; FNA-ASCLEPIAS; FNA-AMSONIA; POWO-APOC</x:v>
      </x:c>
      <x:c r="T35" s="215" t="str">
        <x:v>https://www.mobot.org/MOBOT/research/APweb/orders/gentianalesweb.htm</x:v>
      </x:c>
      <x:c r="U35" s="215" t="str">
        <x:v>https://floranorthamerica.org/Asclepias
https://floranorthamerica.org/Amsonia</x:v>
      </x:c>
      <x:c r="V35" s="215" t="str">
        <x:v>https://powo.science.kew.org/taxon/urn:lsid:ipni.org:names:30000008-2</x:v>
      </x:c>
      <x:c r="W35" s="215" t="str">
        <x:v>https://www.mobot.org/MOBOT/research/APweb/orders/gentianalesweb.htm
https://floranorthamerica.org/Asclepias
https://floranorthamerica.org/Amsonia
https://powo.science.kew.org/taxon/urn:lsid:ipni.org:names:30000008-2</x:v>
      </x:c>
      <x:c r="X35" s="215" t="str">
        <x:v>No — retain qualifiers and exceptions</x:v>
      </x:c>
      <x:c r="Y35" s="215" t="str">
        <x:v>Yes</x:v>
      </x:c>
      <x:c r="Z35" s="215" t="str">
        <x:v>Source-backed draft</x:v>
      </x:c>
      <x:c r="AA35" s="215" t="str">
        <x:v>Family pattern</x:v>
      </x:c>
      <x:c r="AB35" s="215" t="str">
        <x:v>Supporting / route</x:v>
      </x:c>
      <x:c r="AC35" s="215" t="str">
        <x:v>Variable</x:v>
      </x:c>
      <x:c r="AD35" s="215" t="str">
        <x:v>Naked eye / field</x:v>
      </x:c>
      <x:c r="AE35" s="215" t="str">
        <x:v>Moderate</x:v>
      </x:c>
      <x:c r="AF35" s="215" t="str">
        <x:v>Field-ready draft</x:v>
      </x:c>
      <x:c r="AG35" s="215" t="str">
        <x:v>4 — Context / caution</x:v>
      </x:c>
      <x:c r="AH35" s="215" t="str">
        <x:v>Current master inventory</x:v>
      </x:c>
    </x:row>
    <x:row r="36" ht="42" customHeight="1">
      <x:c r="A36" s="215" t="str">
        <x:v>Apocynaceae</x:v>
      </x:c>
      <x:c r="B36" s="215" t="str">
        <x:v>APO-POLLINIA</x:v>
      </x:c>
      <x:c r="C36" s="215" t="str">
        <x:v>Subgroup: Asclepiadoideae</x:v>
      </x:c>
      <x:c r="D36" s="215" t="str">
        <x:v>Pollen and flower</x:v>
      </x:c>
      <x:c r="E36" s="215" t="str">
        <x:v>Pollinia linked to a translator; gynostegium and corona specialized</x:v>
      </x:c>
      <x:c r="F36" s="215" t="str">
        <x:v>Subgroup</x:v>
      </x:c>
      <x:c r="G36" s="215" t="str">
        <x:v>5</x:v>
      </x:c>
      <x:c r="H36" s="215" t="str">
        <x:v>High within subgroup</x:v>
      </x:c>
      <x:c r="I36" s="215" t="str">
        <x:v>Hand lens</x:v>
      </x:c>
      <x:c r="J36" s="215" t="str">
        <x:v>Flowering</x:v>
      </x:c>
      <x:c r="K36" s="215" t="str">
        <x:v>Pollen is packaged into masses connected to a central clip-like structure, and anthers are fused with the style head.</x:v>
      </x:c>
      <x:c r="L36" s="215" t="str">
        <x:v>This is a milkweed-lineage character, not family-wide; flower size may require magnification.</x:v>
      </x:c>
      <x:c r="M36" s="215" t="str">
        <x:v>Directs a specimen to Asclepias, Matelea, Funastrum, Gonolobus, Metastelma, or related local routes.</x:v>
      </x:c>
      <x:c r="N36" s="215" t="str">
        <x:v>Most local Apocynaceae taxa belong to this specialized branch.</x:v>
      </x:c>
      <x:c r="O36" s="215" t="str">
        <x:v>Low</x:v>
      </x:c>
      <x:c r="P36" s="215" t="str">
        <x:v>No</x:v>
      </x:c>
      <x:c r="Q36" s="215" t="str"/>
      <x:c r="R36" s="215" t="str">
        <x:v>APO-LK01</x:v>
      </x:c>
      <x:c r="S36" s="215" t="str">
        <x:v>APWEB-APOC; FNA-ASCLEPIAS; POWO-APOC</x:v>
      </x:c>
      <x:c r="T36" s="215" t="str">
        <x:v>https://www.mobot.org/MOBOT/research/APweb/orders/gentianalesweb.htm</x:v>
      </x:c>
      <x:c r="U36" s="215" t="str">
        <x:v>https://floranorthamerica.org/Asclepias</x:v>
      </x:c>
      <x:c r="V36" s="215" t="str">
        <x:v>https://powo.science.kew.org/taxon/urn:lsid:ipni.org:names:30000008-2</x:v>
      </x:c>
      <x:c r="W36" s="215" t="str">
        <x:v>https://www.mobot.org/MOBOT/research/APweb/orders/gentianalesweb.htm
https://floranorthamerica.org/Asclepias
https://powo.science.kew.org/taxon/urn:lsid:ipni.org:names:30000008-2</x:v>
      </x:c>
      <x:c r="X36" s="215" t="str">
        <x:v>No — retain qualifiers and exceptions</x:v>
      </x:c>
      <x:c r="Y36" s="215" t="str">
        <x:v>Yes</x:v>
      </x:c>
      <x:c r="Z36" s="215" t="str">
        <x:v>Source-backed draft</x:v>
      </x:c>
      <x:c r="AA36" s="215" t="str">
        <x:v>Local subgroup / route</x:v>
      </x:c>
      <x:c r="AB36" s="215" t="str">
        <x:v>Supporting / route</x:v>
      </x:c>
      <x:c r="AC36" s="215" t="str">
        <x:v>High</x:v>
      </x:c>
      <x:c r="AD36" s="215" t="str">
        <x:v>Hand lens / macro</x:v>
      </x:c>
      <x:c r="AE36" s="215" t="str">
        <x:v>Low</x:v>
      </x:c>
      <x:c r="AF36" s="215" t="str">
        <x:v>Field-ready draft</x:v>
      </x:c>
      <x:c r="AG36" s="215" t="str">
        <x:v>2 — Field-photo priority</x:v>
      </x:c>
      <x:c r="AH36" s="215" t="str">
        <x:v>Current master inventory</x:v>
      </x:c>
    </x:row>
    <x:row r="37" ht="42" customHeight="1">
      <x:c r="A37" s="215" t="str">
        <x:v>Apocynaceae</x:v>
      </x:c>
      <x:c r="B37" s="215" t="str">
        <x:v>APO-AMSONIA</x:v>
      </x:c>
      <x:c r="C37" s="215" t="str">
        <x:v>Local subgroup: Amsonia</x:v>
      </x:c>
      <x:c r="D37" s="215" t="str">
        <x:v>Flower and fruit</x:v>
      </x:c>
      <x:c r="E37" s="215" t="str">
        <x:v>Salverform blue or pale flowers; two slender follicles; no milkweed pollinia</x:v>
      </x:c>
      <x:c r="F37" s="215" t="str">
        <x:v>Subgroup</x:v>
      </x:c>
      <x:c r="G37" s="215" t="str">
        <x:v>5</x:v>
      </x:c>
      <x:c r="H37" s="215" t="str">
        <x:v>High within local Amsonia</x:v>
      </x:c>
      <x:c r="I37" s="215" t="str">
        <x:v>Naked eye and hand lens</x:v>
      </x:c>
      <x:c r="J37" s="215" t="str">
        <x:v>Flowering through fruiting</x:v>
      </x:c>
      <x:c r="K37" s="215" t="str">
        <x:v>Amsonia shows the less specialized apocynoid route: a conventional 5-lobed tube and later paired narrow follicles.</x:v>
      </x:c>
      <x:c r="L37" s="215" t="str">
        <x:v>Color is not universal and flowers still require examination of the anther-style association.</x:v>
      </x:c>
      <x:c r="M37" s="215" t="str">
        <x:v>Separates local Amsonia from milkweed-like genera after family placement.</x:v>
      </x:c>
      <x:c r="N37" s="215" t="str">
        <x:v>Three local Amsonia rows make this a necessary second route.</x:v>
      </x:c>
      <x:c r="O37" s="215" t="str">
        <x:v>Low</x:v>
      </x:c>
      <x:c r="P37" s="215" t="str">
        <x:v>No</x:v>
      </x:c>
      <x:c r="Q37" s="215" t="str"/>
      <x:c r="R37" s="215" t="str">
        <x:v>APO-LK02</x:v>
      </x:c>
      <x:c r="S37" s="215" t="str">
        <x:v>FNA-AMSONIA; APWEB-APOC; POWO-APOC</x:v>
      </x:c>
      <x:c r="T37" s="215" t="str">
        <x:v>https://www.mobot.org/MOBOT/research/APweb/orders/gentianalesweb.htm</x:v>
      </x:c>
      <x:c r="U37" s="215" t="str">
        <x:v>https://floranorthamerica.org/Amsonia</x:v>
      </x:c>
      <x:c r="V37" s="215" t="str">
        <x:v>https://powo.science.kew.org/taxon/urn:lsid:ipni.org:names:30000008-2</x:v>
      </x:c>
      <x:c r="W37" s="215" t="str">
        <x:v>https://floranorthamerica.org/Amsonia
https://www.mobot.org/MOBOT/research/APweb/orders/gentianalesweb.htm
https://powo.science.kew.org/taxon/urn:lsid:ipni.org:names:30000008-2</x:v>
      </x:c>
      <x:c r="X37" s="215" t="str">
        <x:v>No — retain qualifiers and exceptions</x:v>
      </x:c>
      <x:c r="Y37" s="215" t="str">
        <x:v>Yes</x:v>
      </x:c>
      <x:c r="Z37" s="215" t="str">
        <x:v>Source-backed draft</x:v>
      </x:c>
      <x:c r="AA37" s="215" t="str">
        <x:v>Local subgroup / route</x:v>
      </x:c>
      <x:c r="AB37" s="215" t="str">
        <x:v>Supporting / route</x:v>
      </x:c>
      <x:c r="AC37" s="215" t="str">
        <x:v>High</x:v>
      </x:c>
      <x:c r="AD37" s="215" t="str">
        <x:v>Hand lens / macro</x:v>
      </x:c>
      <x:c r="AE37" s="215" t="str">
        <x:v>Low</x:v>
      </x:c>
      <x:c r="AF37" s="215" t="str">
        <x:v>Field-ready draft</x:v>
      </x:c>
      <x:c r="AG37" s="215" t="str">
        <x:v>2 — Field-photo priority</x:v>
      </x:c>
      <x:c r="AH37" s="215" t="str">
        <x:v>Current master inventory</x:v>
      </x:c>
    </x:row>
    <x:row r="38" ht="42" customHeight="1">
      <x:c r="A38" s="215" t="str">
        <x:v>Apocynaceae</x:v>
      </x:c>
      <x:c r="B38" s="215" t="str">
        <x:v>APO-MILKWEEDSHORT</x:v>
      </x:c>
      <x:c r="C38" s="215" t="str">
        <x:v>Shortcut warning</x:v>
      </x:c>
      <x:c r="D38" s="215" t="str">
        <x:v>Recognition</x:v>
      </x:c>
      <x:c r="E38" s="215" t="str">
        <x:v>Milky sap or a milkweed-looking flower is not a family-wide definition</x:v>
      </x:c>
      <x:c r="F38" s="215" t="str">
        <x:v>Caution</x:v>
      </x:c>
      <x:c r="G38" s="215" t="str">
        <x:v>0</x:v>
      </x:c>
      <x:c r="H38" s="215" t="str">
        <x:v>High as a warning</x:v>
      </x:c>
      <x:c r="I38" s="215" t="str">
        <x:v>Naked eye</x:v>
      </x:c>
      <x:c r="J38" s="215" t="str">
        <x:v>Any</x:v>
      </x:c>
      <x:c r="K38" s="215" t="str">
        <x:v>Apocynaceae includes ordinary tubular-flowered herbs as well as highly specialized milkweeds and vines.</x:v>
      </x:c>
      <x:c r="L38" s="215" t="str">
        <x:v>Latex occurs outside the family, and Amsonia lacks the obvious milkweed floral construction.</x:v>
      </x:c>
      <x:c r="M38" s="215" t="str">
        <x:v>Require either the anther-style complex, paired-carpel fruit pattern, or subgroup-specific floral evidence.</x:v>
      </x:c>
      <x:c r="N38" s="215" t="str">
        <x:v>Prevents local Amsonia from being missed and unrelated latex-bearing plants from being included.</x:v>
      </x:c>
      <x:c r="O38" s="215" t="str">
        <x:v>Low</x:v>
      </x:c>
      <x:c r="P38" s="215" t="str">
        <x:v>No</x:v>
      </x:c>
      <x:c r="Q38" s="215" t="str"/>
      <x:c r="R38" s="215" t="str">
        <x:v>APO-LK01; APO-LK02</x:v>
      </x:c>
      <x:c r="S38" s="215" t="str">
        <x:v>APWEB-APOC; FNA-ASCLEPIAS; FNA-AMSONIA; POWO-APOC</x:v>
      </x:c>
      <x:c r="T38" s="215" t="str">
        <x:v>https://www.mobot.org/MOBOT/research/APweb/orders/gentianalesweb.htm</x:v>
      </x:c>
      <x:c r="U38" s="215" t="str">
        <x:v>https://floranorthamerica.org/Asclepias
https://floranorthamerica.org/Amsonia</x:v>
      </x:c>
      <x:c r="V38" s="215" t="str">
        <x:v>https://powo.science.kew.org/taxon/urn:lsid:ipni.org:names:30000008-2</x:v>
      </x:c>
      <x:c r="W38" s="215" t="str">
        <x:v>https://www.mobot.org/MOBOT/research/APweb/orders/gentianalesweb.htm
https://floranorthamerica.org/Asclepias
https://floranorthamerica.org/Amsonia
https://powo.science.kew.org/taxon/urn:lsid:ipni.org:names:30000008-2</x:v>
      </x:c>
      <x:c r="X38" s="215" t="str">
        <x:v>No — retain qualifiers and exceptions</x:v>
      </x:c>
      <x:c r="Y38" s="215" t="str">
        <x:v>Yes</x:v>
      </x:c>
      <x:c r="Z38" s="215" t="str">
        <x:v>Source-backed draft</x:v>
      </x:c>
      <x:c r="AA38" s="215" t="str">
        <x:v>Caution / method</x:v>
      </x:c>
      <x:c r="AB38" s="215" t="str">
        <x:v>Caution / negative rule</x:v>
      </x:c>
      <x:c r="AC38" s="215" t="str">
        <x:v>High</x:v>
      </x:c>
      <x:c r="AD38" s="215" t="str">
        <x:v>Naked eye / field</x:v>
      </x:c>
      <x:c r="AE38" s="215" t="str">
        <x:v>Low</x:v>
      </x:c>
      <x:c r="AF38" s="215" t="str">
        <x:v>Field-ready draft</x:v>
      </x:c>
      <x:c r="AG38" s="215" t="str">
        <x:v>4 — Context / caution</x:v>
      </x:c>
      <x:c r="AH38" s="215" t="str">
        <x:v>Current master inventory</x:v>
      </x:c>
    </x:row>
    <x:row r="39" ht="42" customHeight="1">
      <x:c r="A39" s="215" t="str">
        <x:v>Boraginaceae</x:v>
      </x:c>
      <x:c r="B39" s="215" t="str">
        <x:v>BOR-CIRC</x:v>
      </x:c>
      <x:c r="C39" s="215" t="str">
        <x:v>Taxonomic circumscription</x:v>
      </x:c>
      <x:c r="D39" s="215" t="str">
        <x:v>Taxonomy</x:v>
      </x:c>
      <x:c r="E39" s="215" t="str">
        <x:v>POWO/WCVP accepts a broad Boraginaceae, while current APweb recognizes several families within Boraginales</x:v>
      </x:c>
      <x:c r="F39" s="215" t="str">
        <x:v>Caution</x:v>
      </x:c>
      <x:c r="G39" s="215" t="str">
        <x:v>0</x:v>
      </x:c>
      <x:c r="H39" s="215" t="str">
        <x:v>High as a documented conflict</x:v>
      </x:c>
      <x:c r="I39" s="215" t="str">
        <x:v>Reference check</x:v>
      </x:c>
      <x:c r="J39" s="215" t="str">
        <x:v>Any</x:v>
      </x:c>
      <x:c r="K39" s="215" t="str">
        <x:v>The same Hays genera can be treated as one broad family by POWO and as Boraginaceae, Hydrophyllaceae, Ehretiaceae, Heliotropiaceae, or Coldeniaceae by APweb.</x:v>
      </x:c>
      <x:c r="L39" s="215" t="str">
        <x:v>This is not a morphology error; it is a deliberate difference in family rank and circumscription.</x:v>
      </x:c>
      <x:c r="M39" s="215" t="str">
        <x:v>Store the broad POWO family for the name backbone, but route characters by APweb lineage so they are not falsely universalized.</x:v>
      </x:c>
      <x:c r="N39" s="215" t="str">
        <x:v>Critical because the local list includes Lithospermum, Cryptantha, Lappula, Myosotis, Phacelia, Nemophila, Ehretia, Euploca, and Tiquilia.</x:v>
      </x:c>
      <x:c r="O39" s="215" t="str">
        <x:v>High</x:v>
      </x:c>
      <x:c r="P39" s="215" t="str">
        <x:v>Yes</x:v>
      </x:c>
      <x:c r="Q39" s="215" t="str">
        <x:v>Calvin should approve whether the future interface displays one broad family with lineage routes or separate APweb families.</x:v>
      </x:c>
      <x:c r="R39" s="215" t="str">
        <x:v>BOR-LK01; BOR-LK02</x:v>
      </x:c>
      <x:c r="S39" s="215" t="str">
        <x:v>POWO-BORAG; POWO-BORAG-GI; APWEB-BORAG</x:v>
      </x:c>
      <x:c r="T39" s="215" t="str">
        <x:v>https://www.mobot.org/MOBOT/Research/APweb/orders/boraginalesweb.htm</x:v>
      </x:c>
      <x:c r="U39" s="215" t="str">
        <x:v>https://fwbg.org/wp-content/uploads/2025/04/FNCT_0210-0617-Acanth-Euph.pdf
https://ucjeps.berkeley.edu/eflora/eflora_display.php?tid=37455</x:v>
      </x:c>
      <x:c r="V39" s="215" t="str">
        <x:v>https://powo.science.kew.org/taxon/urn:lsid:ipni.org:names:30000135-2
https://powo.science.kew.org/taxon/urn:lsid:ipni.org:names:30000135-2/general-information</x:v>
      </x:c>
      <x:c r="W39" s="215" t="str">
        <x:v>https://powo.science.kew.org/taxon/urn:lsid:ipni.org:names:30000135-2
https://powo.science.kew.org/taxon/urn:lsid:ipni.org:names:30000135-2/general-information
https://www.mobot.org/MOBOT/Research/APweb/orders/boraginalesweb.htm
https://fwbg.org/wp-content/uploads/2025/04/FNCT_0210-0617-Acanth-Euph.pdf
https://ucjeps.berkeley.edu/eflora/eflora_display.php?tid=37455</x:v>
      </x:c>
      <x:c r="X39" s="215" t="str">
        <x:v>No — retain qualifiers and exceptions</x:v>
      </x:c>
      <x:c r="Y39" s="215" t="str">
        <x:v>Yes</x:v>
      </x:c>
      <x:c r="Z39" s="215" t="str">
        <x:v>Human review required</x:v>
      </x:c>
      <x:c r="AA39" s="215" t="str">
        <x:v>Taxonomy</x:v>
      </x:c>
      <x:c r="AB39" s="215" t="str">
        <x:v>Caution / negative rule</x:v>
      </x:c>
      <x:c r="AC39" s="215" t="str">
        <x:v>High</x:v>
      </x:c>
      <x:c r="AD39" s="215" t="str">
        <x:v>Reference / method</x:v>
      </x:c>
      <x:c r="AE39" s="215" t="str">
        <x:v>High</x:v>
      </x:c>
      <x:c r="AF39" s="215" t="str">
        <x:v>Use only after review</x:v>
      </x:c>
      <x:c r="AG39" s="215" t="str">
        <x:v>1 — Human review now</x:v>
      </x:c>
      <x:c r="AH39" s="215" t="str">
        <x:v>Current master inventory</x:v>
      </x:c>
    </x:row>
    <x:row r="40" ht="42" customHeight="1">
      <x:c r="A40" s="215" t="str">
        <x:v>Boraginaceae</x:v>
      </x:c>
      <x:c r="B40" s="215" t="str">
        <x:v>BOR-LEAF</x:v>
      </x:c>
      <x:c r="C40" s="215" t="str">
        <x:v>Broad POWO family, common</x:v>
      </x:c>
      <x:c r="D40" s="215" t="str">
        <x:v>Leaf</x:v>
      </x:c>
      <x:c r="E40" s="215" t="str">
        <x:v>Leaves usually simple, exstipulate, and often alternate</x:v>
      </x:c>
      <x:c r="F40" s="215" t="str">
        <x:v>Supporting</x:v>
      </x:c>
      <x:c r="G40" s="215" t="str">
        <x:v>2</x:v>
      </x:c>
      <x:c r="H40" s="215" t="str">
        <x:v>Variable</x:v>
      </x:c>
      <x:c r="I40" s="215" t="str">
        <x:v>Naked eye</x:v>
      </x:c>
      <x:c r="J40" s="215" t="str">
        <x:v>Vegetative</x:v>
      </x:c>
      <x:c r="K40" s="215" t="str">
        <x:v>Many broad-family members have simple leaves without stipules, commonly one per node.</x:v>
      </x:c>
      <x:c r="L40" s="215" t="str">
        <x:v>Opposite leaves occur in some lineages, and this state is widespread outside Boraginales.</x:v>
      </x:c>
      <x:c r="M40" s="215" t="str">
        <x:v>Use only as an entry clue before lineage-specific flower and fruit characters.</x:v>
      </x:c>
      <x:c r="N40" s="215" t="str">
        <x:v>Common in most local genera, but too weak to unite the broad family alone.</x:v>
      </x:c>
      <x:c r="O40" s="215" t="str">
        <x:v>Moderate</x:v>
      </x:c>
      <x:c r="P40" s="215" t="str">
        <x:v>No</x:v>
      </x:c>
      <x:c r="Q40" s="215" t="str"/>
      <x:c r="R40" s="215" t="str">
        <x:v>BOR-LK01; BOR-LK02</x:v>
      </x:c>
      <x:c r="S40" s="215" t="str">
        <x:v>POWO-BORAG-GI; APWEB-BORAG; POWO-BORAG</x:v>
      </x:c>
      <x:c r="T40" s="215" t="str">
        <x:v>https://www.mobot.org/MOBOT/Research/APweb/orders/boraginalesweb.htm</x:v>
      </x:c>
      <x:c r="U40" s="215" t="str">
        <x:v>https://fwbg.org/wp-content/uploads/2025/04/FNCT_0210-0617-Acanth-Euph.pdf
https://ucjeps.berkeley.edu/eflora/eflora_display.php?tid=37455</x:v>
      </x:c>
      <x:c r="V40" s="215" t="str">
        <x:v>https://powo.science.kew.org/taxon/urn:lsid:ipni.org:names:30000135-2/general-information
https://powo.science.kew.org/taxon/urn:lsid:ipni.org:names:30000135-2</x:v>
      </x:c>
      <x:c r="W40" s="215" t="str">
        <x:v>https://powo.science.kew.org/taxon/urn:lsid:ipni.org:names:30000135-2/general-information
https://www.mobot.org/MOBOT/Research/APweb/orders/boraginalesweb.htm
https://powo.science.kew.org/taxon/urn:lsid:ipni.org:names:30000135-2
https://fwbg.org/wp-content/uploads/2025/04/FNCT_0210-0617-Acanth-Euph.pdf
https://ucjeps.berkeley.edu/eflora/eflora_display.php?tid=37455</x:v>
      </x:c>
      <x:c r="X40" s="215" t="str">
        <x:v>No — retain qualifiers and exceptions</x:v>
      </x:c>
      <x:c r="Y40" s="215" t="str">
        <x:v>Yes</x:v>
      </x:c>
      <x:c r="Z40" s="215" t="str">
        <x:v>Source-backed draft</x:v>
      </x:c>
      <x:c r="AA40" s="215" t="str">
        <x:v>Other qualified pattern</x:v>
      </x:c>
      <x:c r="AB40" s="215" t="str">
        <x:v>Supporting / route</x:v>
      </x:c>
      <x:c r="AC40" s="215" t="str">
        <x:v>Variable</x:v>
      </x:c>
      <x:c r="AD40" s="215" t="str">
        <x:v>Naked eye / field</x:v>
      </x:c>
      <x:c r="AE40" s="215" t="str">
        <x:v>Moderate</x:v>
      </x:c>
      <x:c r="AF40" s="215" t="str">
        <x:v>Field-ready draft</x:v>
      </x:c>
      <x:c r="AG40" s="215" t="str">
        <x:v>4 — Context / caution</x:v>
      </x:c>
      <x:c r="AH40" s="215" t="str">
        <x:v>Current master inventory</x:v>
      </x:c>
    </x:row>
    <x:row r="41" ht="42" customHeight="1">
      <x:c r="A41" s="215" t="str">
        <x:v>Boraginaceae</x:v>
      </x:c>
      <x:c r="B41" s="215" t="str">
        <x:v>BOR-HAIRS</x:v>
      </x:c>
      <x:c r="C41" s="215" t="str">
        <x:v>Boraginaceae sensu stricto, common</x:v>
      </x:c>
      <x:c r="D41" s="215" t="str">
        <x:v>Indumentum</x:v>
      </x:c>
      <x:c r="E41" s="215" t="str">
        <x:v>Stiff or rough hairs, often with pale enlarged bases</x:v>
      </x:c>
      <x:c r="F41" s="215" t="str">
        <x:v>Strong</x:v>
      </x:c>
      <x:c r="G41" s="215" t="str">
        <x:v>4</x:v>
      </x:c>
      <x:c r="H41" s="215" t="str">
        <x:v>Moderate</x:v>
      </x:c>
      <x:c r="I41" s="215" t="str">
        <x:v>Naked eye or hand lens</x:v>
      </x:c>
      <x:c r="J41" s="215" t="str">
        <x:v>Vegetative</x:v>
      </x:c>
      <x:c r="K41" s="215" t="str">
        <x:v>Many true borage-family herbs feel bristly, and individual hairs may rise from conspicuous whitish bases.</x:v>
      </x:c>
      <x:c r="L41" s="215" t="str">
        <x:v>Hair density varies, some taxa are soft-hairy or nearly glabrous, and rough hairs occur in unrelated families.</x:v>
      </x:c>
      <x:c r="M41" s="215" t="str">
        <x:v>Strongly supports the Boraginaceae s.str. route when combined with coiled cymes and a gynobasic style.</x:v>
      </x:c>
      <x:c r="N41" s="215" t="str">
        <x:v>Useful for local Lithospermum, Cryptantha, Lappula, and often Myosotis.</x:v>
      </x:c>
      <x:c r="O41" s="215" t="str">
        <x:v>Low</x:v>
      </x:c>
      <x:c r="P41" s="215" t="str">
        <x:v>No</x:v>
      </x:c>
      <x:c r="Q41" s="215" t="str"/>
      <x:c r="R41" s="215" t="str">
        <x:v>BOR-LK01</x:v>
      </x:c>
      <x:c r="S41" s="215" t="str">
        <x:v>APWEB-BORAG; NCTX-LITHOSPERMUM; NCTX-CRYPTANTHA; NCTX-LAPPULA; POWO-BORAG</x:v>
      </x:c>
      <x:c r="T41" s="215" t="str">
        <x:v>https://www.mobot.org/MOBOT/Research/APweb/orders/boraginalesweb.htm</x:v>
      </x:c>
      <x:c r="U41" s="215" t="str">
        <x:v>https://fwbg.org/wp-content/uploads/2025/04/FNCT_0210-0617-Acanth-Euph.pdf</x:v>
      </x:c>
      <x:c r="V41" s="215" t="str">
        <x:v>https://powo.science.kew.org/taxon/urn:lsid:ipni.org:names:30000135-2</x:v>
      </x:c>
      <x:c r="W41" s="215" t="str">
        <x:v>https://www.mobot.org/MOBOT/Research/APweb/orders/boraginalesweb.htm
https://fwbg.org/wp-content/uploads/2025/04/FNCT_0210-0617-Acanth-Euph.pdf
https://powo.science.kew.org/taxon/urn:lsid:ipni.org:names:30000135-2</x:v>
      </x:c>
      <x:c r="X41" s="215" t="str">
        <x:v>No — retain qualifiers and exceptions</x:v>
      </x:c>
      <x:c r="Y41" s="215" t="str">
        <x:v>Yes</x:v>
      </x:c>
      <x:c r="Z41" s="215" t="str">
        <x:v>Source-backed draft</x:v>
      </x:c>
      <x:c r="AA41" s="215" t="str">
        <x:v>Other qualified pattern</x:v>
      </x:c>
      <x:c r="AB41" s="215" t="str">
        <x:v>Positive diagnostic</x:v>
      </x:c>
      <x:c r="AC41" s="215" t="str">
        <x:v>Moderate</x:v>
      </x:c>
      <x:c r="AD41" s="215" t="str">
        <x:v>Hand lens / macro</x:v>
      </x:c>
      <x:c r="AE41" s="215" t="str">
        <x:v>Low</x:v>
      </x:c>
      <x:c r="AF41" s="215" t="str">
        <x:v>Field-ready draft</x:v>
      </x:c>
      <x:c r="AG41" s="215" t="str">
        <x:v>2 — Field-photo priority</x:v>
      </x:c>
      <x:c r="AH41" s="215" t="str">
        <x:v>Current master inventory</x:v>
      </x:c>
    </x:row>
    <x:row r="42" ht="42" customHeight="1">
      <x:c r="A42" s="215" t="str">
        <x:v>Boraginaceae</x:v>
      </x:c>
      <x:c r="B42" s="215" t="str">
        <x:v>BOR-CYME</x:v>
      </x:c>
      <x:c r="C42" s="215" t="str">
        <x:v>Boraginaceae s.str. and several related lineages</x:v>
      </x:c>
      <x:c r="D42" s="215" t="str">
        <x:v>Inflorescence</x:v>
      </x:c>
      <x:c r="E42" s="215" t="str">
        <x:v>Coiled or scorpioid cymes common</x:v>
      </x:c>
      <x:c r="F42" s="215" t="str">
        <x:v>Strong</x:v>
      </x:c>
      <x:c r="G42" s="215" t="str">
        <x:v>4</x:v>
      </x:c>
      <x:c r="H42" s="215" t="str">
        <x:v>Moderate</x:v>
      </x:c>
      <x:c r="I42" s="215" t="str">
        <x:v>Naked eye</x:v>
      </x:c>
      <x:c r="J42" s="215" t="str">
        <x:v>Flowering</x:v>
      </x:c>
      <x:c r="K42" s="215" t="str">
        <x:v>The flowering axis often begins tightly coiled and unrolls as flowers open.</x:v>
      </x:c>
      <x:c r="L42" s="215" t="str">
        <x:v>Cymes may be weakly coiled, shortened, leafy, or not obvious; coiled cymes occur outside the group.</x:v>
      </x:c>
      <x:c r="M42" s="215" t="str">
        <x:v>Use with rough hairs, 5-lobed fused corolla, and gynoecium or fruit structure.</x:v>
      </x:c>
      <x:c r="N42" s="215" t="str">
        <x:v>A high-value field clue in local Lithospermum, Cryptantha, Lappula, Myosotis, and Phacelia, but not all broad-family genera.</x:v>
      </x:c>
      <x:c r="O42" s="215" t="str">
        <x:v>Low</x:v>
      </x:c>
      <x:c r="P42" s="215" t="str">
        <x:v>No</x:v>
      </x:c>
      <x:c r="Q42" s="215" t="str"/>
      <x:c r="R42" s="215" t="str">
        <x:v>BOR-LK01; BOR-LK02</x:v>
      </x:c>
      <x:c r="S42" s="215" t="str">
        <x:v>APWEB-BORAG; JEPSON-PHACELIA; NCTX-LITHOSPERMUM; POWO-BORAG</x:v>
      </x:c>
      <x:c r="T42" s="215" t="str">
        <x:v>https://www.mobot.org/MOBOT/Research/APweb/orders/boraginalesweb.htm</x:v>
      </x:c>
      <x:c r="U42" s="215" t="str">
        <x:v>https://ucjeps.berkeley.edu/eflora/eflora_display.php?tid=37455
https://fwbg.org/wp-content/uploads/2025/04/FNCT_0210-0617-Acanth-Euph.pdf</x:v>
      </x:c>
      <x:c r="V42" s="215" t="str">
        <x:v>https://powo.science.kew.org/taxon/urn:lsid:ipni.org:names:30000135-2</x:v>
      </x:c>
      <x:c r="W42" s="215" t="str">
        <x:v>https://www.mobot.org/MOBOT/Research/APweb/orders/boraginalesweb.htm
https://ucjeps.berkeley.edu/eflora/eflora_display.php?tid=37455
https://fwbg.org/wp-content/uploads/2025/04/FNCT_0210-0617-Acanth-Euph.pdf
https://powo.science.kew.org/taxon/urn:lsid:ipni.org:names:30000135-2</x:v>
      </x:c>
      <x:c r="X42" s="215" t="str">
        <x:v>No — retain qualifiers and exceptions</x:v>
      </x:c>
      <x:c r="Y42" s="215" t="str">
        <x:v>Yes</x:v>
      </x:c>
      <x:c r="Z42" s="215" t="str">
        <x:v>Source-backed draft</x:v>
      </x:c>
      <x:c r="AA42" s="215" t="str">
        <x:v>Other qualified pattern</x:v>
      </x:c>
      <x:c r="AB42" s="215" t="str">
        <x:v>Positive diagnostic</x:v>
      </x:c>
      <x:c r="AC42" s="215" t="str">
        <x:v>Moderate</x:v>
      </x:c>
      <x:c r="AD42" s="215" t="str">
        <x:v>Naked eye / field</x:v>
      </x:c>
      <x:c r="AE42" s="215" t="str">
        <x:v>Low</x:v>
      </x:c>
      <x:c r="AF42" s="215" t="str">
        <x:v>Field-ready draft</x:v>
      </x:c>
      <x:c r="AG42" s="215" t="str">
        <x:v>2 — Field-photo priority</x:v>
      </x:c>
      <x:c r="AH42" s="215" t="str">
        <x:v>Current master inventory</x:v>
      </x:c>
    </x:row>
    <x:row r="43" ht="42" customHeight="1">
      <x:c r="A43" s="215" t="str">
        <x:v>Boraginaceae</x:v>
      </x:c>
      <x:c r="B43" s="215" t="str">
        <x:v>BOR-COROLLA</x:v>
      </x:c>
      <x:c r="C43" s="215" t="str">
        <x:v>Broad POWO family, common</x:v>
      </x:c>
      <x:c r="D43" s="215" t="str">
        <x:v>Flower</x:v>
      </x:c>
      <x:c r="E43" s="215" t="str">
        <x:v>Corolla usually 5-lobed and sympetalous; stamens commonly 5 and epipetalous</x:v>
      </x:c>
      <x:c r="F43" s="215" t="str">
        <x:v>Strong</x:v>
      </x:c>
      <x:c r="G43" s="215" t="str">
        <x:v>4</x:v>
      </x:c>
      <x:c r="H43" s="215" t="str">
        <x:v>Moderate</x:v>
      </x:c>
      <x:c r="I43" s="215" t="str">
        <x:v>Naked eye or hand lens</x:v>
      </x:c>
      <x:c r="J43" s="215" t="str">
        <x:v>Flowering</x:v>
      </x:c>
      <x:c r="K43" s="215" t="str">
        <x:v>Five petals are fused at least basally, and five stamens commonly attach to the corolla tube.</x:v>
      </x:c>
      <x:c r="L43" s="215" t="str">
        <x:v>Corolla form and symmetry vary; tiny flowers can obscure fusion and some lineages depart from the common pattern.</x:v>
      </x:c>
      <x:c r="M43" s="215" t="str">
        <x:v>Supports Boraginales placement but requires the style, ovary, fruit, or placentation route for family-level interpretation.</x:v>
      </x:c>
      <x:c r="N43" s="215" t="str">
        <x:v>Useful across nearly all local broad-family genera.</x:v>
      </x:c>
      <x:c r="O43" s="215" t="str">
        <x:v>Low</x:v>
      </x:c>
      <x:c r="P43" s="215" t="str">
        <x:v>No</x:v>
      </x:c>
      <x:c r="Q43" s="215" t="str"/>
      <x:c r="R43" s="215" t="str">
        <x:v>BOR-LK01; BOR-LK02</x:v>
      </x:c>
      <x:c r="S43" s="215" t="str">
        <x:v>APWEB-BORAG; POWO-BORAG-GI; POWO-BORAG</x:v>
      </x:c>
      <x:c r="T43" s="215" t="str">
        <x:v>https://www.mobot.org/MOBOT/Research/APweb/orders/boraginalesweb.htm</x:v>
      </x:c>
      <x:c r="U43" s="215" t="str">
        <x:v>https://fwbg.org/wp-content/uploads/2025/04/FNCT_0210-0617-Acanth-Euph.pdf
https://ucjeps.berkeley.edu/eflora/eflora_display.php?tid=37455</x:v>
      </x:c>
      <x:c r="V43" s="215" t="str">
        <x:v>https://powo.science.kew.org/taxon/urn:lsid:ipni.org:names:30000135-2/general-information
https://powo.science.kew.org/taxon/urn:lsid:ipni.org:names:30000135-2</x:v>
      </x:c>
      <x:c r="W43" s="215" t="str">
        <x:v>https://www.mobot.org/MOBOT/Research/APweb/orders/boraginalesweb.htm
https://powo.science.kew.org/taxon/urn:lsid:ipni.org:names:30000135-2/general-information
https://powo.science.kew.org/taxon/urn:lsid:ipni.org:names:30000135-2
https://fwbg.org/wp-content/uploads/2025/04/FNCT_0210-0617-Acanth-Euph.pdf
https://ucjeps.berkeley.edu/eflora/eflora_display.php?tid=37455</x:v>
      </x:c>
      <x:c r="X43" s="215" t="str">
        <x:v>No — retain qualifiers and exceptions</x:v>
      </x:c>
      <x:c r="Y43" s="215" t="str">
        <x:v>Yes</x:v>
      </x:c>
      <x:c r="Z43" s="215" t="str">
        <x:v>Source-backed draft</x:v>
      </x:c>
      <x:c r="AA43" s="215" t="str">
        <x:v>Other qualified pattern</x:v>
      </x:c>
      <x:c r="AB43" s="215" t="str">
        <x:v>Positive diagnostic</x:v>
      </x:c>
      <x:c r="AC43" s="215" t="str">
        <x:v>Moderate</x:v>
      </x:c>
      <x:c r="AD43" s="215" t="str">
        <x:v>Hand lens / macro</x:v>
      </x:c>
      <x:c r="AE43" s="215" t="str">
        <x:v>Low</x:v>
      </x:c>
      <x:c r="AF43" s="215" t="str">
        <x:v>Field-ready draft</x:v>
      </x:c>
      <x:c r="AG43" s="215" t="str">
        <x:v>2 — Field-photo priority</x:v>
      </x:c>
      <x:c r="AH43" s="215" t="str">
        <x:v>Current master inventory</x:v>
      </x:c>
    </x:row>
    <x:row r="44" ht="42" customHeight="1">
      <x:c r="A44" s="215" t="str">
        <x:v>Boraginaceae</x:v>
      </x:c>
      <x:c r="B44" s="215" t="str">
        <x:v>BOR-OVARY</x:v>
      </x:c>
      <x:c r="C44" s="215" t="str">
        <x:v>Broad POWO family</x:v>
      </x:c>
      <x:c r="D44" s="215" t="str">
        <x:v>Gynoecium</x:v>
      </x:c>
      <x:c r="E44" s="215" t="str">
        <x:v>Ovary superior and usually 2-carpellate</x:v>
      </x:c>
      <x:c r="F44" s="215" t="str">
        <x:v>Strong</x:v>
      </x:c>
      <x:c r="G44" s="215" t="str">
        <x:v>4</x:v>
      </x:c>
      <x:c r="H44" s="215" t="str">
        <x:v>Moderate</x:v>
      </x:c>
      <x:c r="I44" s="215" t="str">
        <x:v>Hand lens or dissection</x:v>
      </x:c>
      <x:c r="J44" s="215" t="str">
        <x:v>Flowering</x:v>
      </x:c>
      <x:c r="K44" s="215" t="str">
        <x:v>The ovary lies above the flower-part attachment and is built from two carpels.</x:v>
      </x:c>
      <x:c r="L44" s="215" t="str">
        <x:v>Number of apparent lobes, chambers, and ovules differs sharply among APweb lineages.</x:v>
      </x:c>
      <x:c r="M44" s="215" t="str">
        <x:v>This is the shared starting point; the next step is terminal versus gynobasic style and fruit type.</x:v>
      </x:c>
      <x:c r="N44" s="215" t="str">
        <x:v>Applies to all selected local routes, but is not enough to distinguish them.</x:v>
      </x:c>
      <x:c r="O44" s="215" t="str">
        <x:v>Low</x:v>
      </x:c>
      <x:c r="P44" s="215" t="str">
        <x:v>No</x:v>
      </x:c>
      <x:c r="Q44" s="215" t="str"/>
      <x:c r="R44" s="215" t="str">
        <x:v>BOR-LK01; BOR-LK02</x:v>
      </x:c>
      <x:c r="S44" s="215" t="str">
        <x:v>APWEB-BORAG; POWO-BORAG-GI; POWO-BORAG</x:v>
      </x:c>
      <x:c r="T44" s="215" t="str">
        <x:v>https://www.mobot.org/MOBOT/Research/APweb/orders/boraginalesweb.htm</x:v>
      </x:c>
      <x:c r="U44" s="215" t="str">
        <x:v>https://fwbg.org/wp-content/uploads/2025/04/FNCT_0210-0617-Acanth-Euph.pdf
https://ucjeps.berkeley.edu/eflora/eflora_display.php?tid=37455</x:v>
      </x:c>
      <x:c r="V44" s="215" t="str">
        <x:v>https://powo.science.kew.org/taxon/urn:lsid:ipni.org:names:30000135-2/general-information
https://powo.science.kew.org/taxon/urn:lsid:ipni.org:names:30000135-2</x:v>
      </x:c>
      <x:c r="W44" s="215" t="str">
        <x:v>https://www.mobot.org/MOBOT/Research/APweb/orders/boraginalesweb.htm
https://powo.science.kew.org/taxon/urn:lsid:ipni.org:names:30000135-2/general-information
https://powo.science.kew.org/taxon/urn:lsid:ipni.org:names:30000135-2
https://fwbg.org/wp-content/uploads/2025/04/FNCT_0210-0617-Acanth-Euph.pdf
https://ucjeps.berkeley.edu/eflora/eflora_display.php?tid=37455</x:v>
      </x:c>
      <x:c r="X44" s="215" t="str">
        <x:v>No — retain qualifiers and exceptions</x:v>
      </x:c>
      <x:c r="Y44" s="215" t="str">
        <x:v>Yes</x:v>
      </x:c>
      <x:c r="Z44" s="215" t="str">
        <x:v>Source-backed draft</x:v>
      </x:c>
      <x:c r="AA44" s="215" t="str">
        <x:v>Other qualified pattern</x:v>
      </x:c>
      <x:c r="AB44" s="215" t="str">
        <x:v>Positive diagnostic</x:v>
      </x:c>
      <x:c r="AC44" s="215" t="str">
        <x:v>Moderate</x:v>
      </x:c>
      <x:c r="AD44" s="215" t="str">
        <x:v>Dissection</x:v>
      </x:c>
      <x:c r="AE44" s="215" t="str">
        <x:v>Low</x:v>
      </x:c>
      <x:c r="AF44" s="215" t="str">
        <x:v>Dissection / close study</x:v>
      </x:c>
      <x:c r="AG44" s="215" t="str">
        <x:v>3 — Reference support</x:v>
      </x:c>
      <x:c r="AH44" s="215" t="str">
        <x:v>Current master inventory</x:v>
      </x:c>
    </x:row>
    <x:row r="45" ht="42" customHeight="1">
      <x:c r="A45" s="215" t="str">
        <x:v>Boraginaceae</x:v>
      </x:c>
      <x:c r="B45" s="215" t="str">
        <x:v>BOR-GYNOBASIC</x:v>
      </x:c>
      <x:c r="C45" s="215" t="str">
        <x:v>APweb Boraginaceae sensu stricto</x:v>
      </x:c>
      <x:c r="D45" s="215" t="str">
        <x:v>Gynoecium</x:v>
      </x:c>
      <x:c r="E45" s="215" t="str">
        <x:v>Style gynobasic, arising between four ovary lobes</x:v>
      </x:c>
      <x:c r="F45" s="215" t="str">
        <x:v>Core</x:v>
      </x:c>
      <x:c r="G45" s="215" t="str">
        <x:v>5</x:v>
      </x:c>
      <x:c r="H45" s="215" t="str">
        <x:v>High within s.str.</x:v>
      </x:c>
      <x:c r="I45" s="215" t="str">
        <x:v>Hand lens or dissection</x:v>
      </x:c>
      <x:c r="J45" s="215" t="str">
        <x:v>Flowering</x:v>
      </x:c>
      <x:c r="K45" s="215" t="str">
        <x:v>The style emerges from the central depression between four developing lobes rather than from the ovary tip.</x:v>
      </x:c>
      <x:c r="L45" s="215" t="str">
        <x:v>The feature can be hidden by the corolla and is not shared by Hydrophyllaceae or Ehretiaceae routes; some details vary within s.str.</x:v>
      </x:c>
      <x:c r="M45" s="215" t="str">
        <x:v>The best structural separation of true Boraginaceae s.str. from terminal-styled broad-family lineages.</x:v>
      </x:c>
      <x:c r="N45" s="215" t="str">
        <x:v>Critical for local Lithospermum, Cryptantha, Lappula, and Myosotis.</x:v>
      </x:c>
      <x:c r="O45" s="215" t="str">
        <x:v>Low</x:v>
      </x:c>
      <x:c r="P45" s="215" t="str">
        <x:v>No</x:v>
      </x:c>
      <x:c r="Q45" s="215" t="str"/>
      <x:c r="R45" s="215" t="str">
        <x:v>BOR-LK01; BOR-LK02</x:v>
      </x:c>
      <x:c r="S45" s="215" t="str">
        <x:v>APWEB-BORAG; NCTX-LITHOSPERMUM; NCTX-CRYPTANTHA; POWO-BORAG</x:v>
      </x:c>
      <x:c r="T45" s="215" t="str">
        <x:v>https://www.mobot.org/MOBOT/Research/APweb/orders/boraginalesweb.htm</x:v>
      </x:c>
      <x:c r="U45" s="215" t="str">
        <x:v>https://fwbg.org/wp-content/uploads/2025/04/FNCT_0210-0617-Acanth-Euph.pdf</x:v>
      </x:c>
      <x:c r="V45" s="215" t="str">
        <x:v>https://powo.science.kew.org/taxon/urn:lsid:ipni.org:names:30000135-2</x:v>
      </x:c>
      <x:c r="W45" s="215" t="str">
        <x:v>https://www.mobot.org/MOBOT/Research/APweb/orders/boraginalesweb.htm
https://fwbg.org/wp-content/uploads/2025/04/FNCT_0210-0617-Acanth-Euph.pdf
https://powo.science.kew.org/taxon/urn:lsid:ipni.org:names:30000135-2</x:v>
      </x:c>
      <x:c r="X45" s="215" t="str">
        <x:v>No — retain qualifiers and exceptions</x:v>
      </x:c>
      <x:c r="Y45" s="215" t="str">
        <x:v>Yes</x:v>
      </x:c>
      <x:c r="Z45" s="215" t="str">
        <x:v>Source-backed draft</x:v>
      </x:c>
      <x:c r="AA45" s="215" t="str">
        <x:v>Other qualified pattern</x:v>
      </x:c>
      <x:c r="AB45" s="215" t="str">
        <x:v>Positive diagnostic</x:v>
      </x:c>
      <x:c r="AC45" s="215" t="str">
        <x:v>High</x:v>
      </x:c>
      <x:c r="AD45" s="215" t="str">
        <x:v>Dissection</x:v>
      </x:c>
      <x:c r="AE45" s="215" t="str">
        <x:v>Low</x:v>
      </x:c>
      <x:c r="AF45" s="215" t="str">
        <x:v>Dissection / close study</x:v>
      </x:c>
      <x:c r="AG45" s="215" t="str">
        <x:v>3 — Reference support</x:v>
      </x:c>
      <x:c r="AH45" s="215" t="str">
        <x:v>Current master inventory</x:v>
      </x:c>
    </x:row>
    <x:row r="46" ht="42" customHeight="1">
      <x:c r="A46" s="215" t="str">
        <x:v>Boraginaceae</x:v>
      </x:c>
      <x:c r="B46" s="215" t="str">
        <x:v>BOR-NUTLETS</x:v>
      </x:c>
      <x:c r="C46" s="215" t="str">
        <x:v>APweb Boraginaceae sensu stricto</x:v>
      </x:c>
      <x:c r="D46" s="215" t="str">
        <x:v>Fruit</x:v>
      </x:c>
      <x:c r="E46" s="215" t="str">
        <x:v>Fruit usually separates into four one-seeded nutlets</x:v>
      </x:c>
      <x:c r="F46" s="215" t="str">
        <x:v>Core</x:v>
      </x:c>
      <x:c r="G46" s="215" t="str">
        <x:v>5</x:v>
      </x:c>
      <x:c r="H46" s="215" t="str">
        <x:v>High</x:v>
      </x:c>
      <x:c r="I46" s="215" t="str">
        <x:v>Naked eye or hand lens</x:v>
      </x:c>
      <x:c r="J46" s="215" t="str">
        <x:v>Mature fruit</x:v>
      </x:c>
      <x:c r="K46" s="215" t="str">
        <x:v>The four ovary lobes mature as separate dry units around a central axis.</x:v>
      </x:c>
      <x:c r="L46" s="215" t="str">
        <x:v>One or more nutlets may abort, and nutlet shape or ornament varies; four nutlets also occur in Lamiaceae.</x:v>
      </x:c>
      <x:c r="M46" s="215" t="str">
        <x:v>Use with alternate rough leaves, rounded stems, and a gynobasic style to separate from mints.</x:v>
      </x:c>
      <x:c r="N46" s="215" t="str">
        <x:v>Strong in local Lithospermum, Cryptantha, Lappula, and Myosotis.</x:v>
      </x:c>
      <x:c r="O46" s="215" t="str">
        <x:v>Low</x:v>
      </x:c>
      <x:c r="P46" s="215" t="str">
        <x:v>No</x:v>
      </x:c>
      <x:c r="Q46" s="215" t="str"/>
      <x:c r="R46" s="215" t="str">
        <x:v>BOR-LK01</x:v>
      </x:c>
      <x:c r="S46" s="215" t="str">
        <x:v>APWEB-BORAG; NCTX-CRYPTANTHA; NCTX-LAPPULA; POWO-BORAG</x:v>
      </x:c>
      <x:c r="T46" s="215" t="str">
        <x:v>https://www.mobot.org/MOBOT/Research/APweb/orders/boraginalesweb.htm</x:v>
      </x:c>
      <x:c r="U46" s="215" t="str">
        <x:v>https://fwbg.org/wp-content/uploads/2025/04/FNCT_0210-0617-Acanth-Euph.pdf</x:v>
      </x:c>
      <x:c r="V46" s="215" t="str">
        <x:v>https://powo.science.kew.org/taxon/urn:lsid:ipni.org:names:30000135-2</x:v>
      </x:c>
      <x:c r="W46" s="215" t="str">
        <x:v>https://www.mobot.org/MOBOT/Research/APweb/orders/boraginalesweb.htm
https://fwbg.org/wp-content/uploads/2025/04/FNCT_0210-0617-Acanth-Euph.pdf
https://powo.science.kew.org/taxon/urn:lsid:ipni.org:names:30000135-2</x:v>
      </x:c>
      <x:c r="X46" s="215" t="str">
        <x:v>No — retain qualifiers and exceptions</x:v>
      </x:c>
      <x:c r="Y46" s="215" t="str">
        <x:v>Yes</x:v>
      </x:c>
      <x:c r="Z46" s="215" t="str">
        <x:v>Source-backed draft</x:v>
      </x:c>
      <x:c r="AA46" s="215" t="str">
        <x:v>Other qualified pattern</x:v>
      </x:c>
      <x:c r="AB46" s="215" t="str">
        <x:v>Positive diagnostic</x:v>
      </x:c>
      <x:c r="AC46" s="215" t="str">
        <x:v>High</x:v>
      </x:c>
      <x:c r="AD46" s="215" t="str">
        <x:v>Hand lens / macro</x:v>
      </x:c>
      <x:c r="AE46" s="215" t="str">
        <x:v>Low</x:v>
      </x:c>
      <x:c r="AF46" s="215" t="str">
        <x:v>Field-ready draft</x:v>
      </x:c>
      <x:c r="AG46" s="215" t="str">
        <x:v>2 — Field-photo priority</x:v>
      </x:c>
      <x:c r="AH46" s="215" t="str">
        <x:v>Current master inventory</x:v>
      </x:c>
    </x:row>
    <x:row r="47" ht="42" customHeight="1">
      <x:c r="A47" s="215" t="str">
        <x:v>Boraginaceae</x:v>
      </x:c>
      <x:c r="B47" s="215" t="str">
        <x:v>BOR-HYDROSTYLE</x:v>
      </x:c>
      <x:c r="C47" s="215" t="str">
        <x:v>APweb Hydrophyllaceae route</x:v>
      </x:c>
      <x:c r="D47" s="215" t="str">
        <x:v>Gynoecium</x:v>
      </x:c>
      <x:c r="E47" s="215" t="str">
        <x:v>Style terminal rather than gynobasic</x:v>
      </x:c>
      <x:c r="F47" s="215" t="str">
        <x:v>Subgroup</x:v>
      </x:c>
      <x:c r="G47" s="215" t="str">
        <x:v>5</x:v>
      </x:c>
      <x:c r="H47" s="215" t="str">
        <x:v>High within route</x:v>
      </x:c>
      <x:c r="I47" s="215" t="str">
        <x:v>Hand lens</x:v>
      </x:c>
      <x:c r="J47" s="215" t="str">
        <x:v>Flowering</x:v>
      </x:c>
      <x:c r="K47" s="215" t="str">
        <x:v>The style arises from the ovary apex, unlike the central gynobasic style of Boraginaceae s.str.</x:v>
      </x:c>
      <x:c r="L47" s="215" t="str">
        <x:v>Some flowers are tiny and the point of insertion may be hidden.</x:v>
      </x:c>
      <x:c r="M47" s="215" t="str">
        <x:v>A first decisive split for Phacelia and Nemophila from the four-nutlet borage route.</x:v>
      </x:c>
      <x:c r="N47" s="215" t="str">
        <x:v>Directly relevant to five local rows across Phacelia and Nemophila.</x:v>
      </x:c>
      <x:c r="O47" s="215" t="str">
        <x:v>Low</x:v>
      </x:c>
      <x:c r="P47" s="215" t="str">
        <x:v>No</x:v>
      </x:c>
      <x:c r="Q47" s="215" t="str"/>
      <x:c r="R47" s="215" t="str">
        <x:v>BOR-LK01; BOR-LK02</x:v>
      </x:c>
      <x:c r="S47" s="215" t="str">
        <x:v>APWEB-BORAG; JEPSON-PHACELIA; JEPSON-NEMOPHILA; POWO-BORAG</x:v>
      </x:c>
      <x:c r="T47" s="215" t="str">
        <x:v>https://www.mobot.org/MOBOT/Research/APweb/orders/boraginalesweb.htm</x:v>
      </x:c>
      <x:c r="U47" s="215" t="str">
        <x:v>https://ucjeps.berkeley.edu/eflora/eflora_display.php?tid=37455
https://ucjeps.berkeley.edu/eflora/eflora_display.php?tid=34542</x:v>
      </x:c>
      <x:c r="V47" s="215" t="str">
        <x:v>https://powo.science.kew.org/taxon/urn:lsid:ipni.org:names:30000135-2</x:v>
      </x:c>
      <x:c r="W47" s="215" t="str">
        <x:v>https://www.mobot.org/MOBOT/Research/APweb/orders/boraginalesweb.htm
https://ucjeps.berkeley.edu/eflora/eflora_display.php?tid=37455
https://ucjeps.berkeley.edu/eflora/eflora_display.php?tid=34542
https://powo.science.kew.org/taxon/urn:lsid:ipni.org:names:30000135-2</x:v>
      </x:c>
      <x:c r="X47" s="215" t="str">
        <x:v>No — retain qualifiers and exceptions</x:v>
      </x:c>
      <x:c r="Y47" s="215" t="str">
        <x:v>Yes</x:v>
      </x:c>
      <x:c r="Z47" s="215" t="str">
        <x:v>Source-backed draft</x:v>
      </x:c>
      <x:c r="AA47" s="215" t="str">
        <x:v>Local subgroup / route</x:v>
      </x:c>
      <x:c r="AB47" s="215" t="str">
        <x:v>Supporting / route</x:v>
      </x:c>
      <x:c r="AC47" s="215" t="str">
        <x:v>High</x:v>
      </x:c>
      <x:c r="AD47" s="215" t="str">
        <x:v>Hand lens / macro</x:v>
      </x:c>
      <x:c r="AE47" s="215" t="str">
        <x:v>Low</x:v>
      </x:c>
      <x:c r="AF47" s="215" t="str">
        <x:v>Field-ready draft</x:v>
      </x:c>
      <x:c r="AG47" s="215" t="str">
        <x:v>2 — Field-photo priority</x:v>
      </x:c>
      <x:c r="AH47" s="215" t="str">
        <x:v>Current master inventory</x:v>
      </x:c>
    </x:row>
    <x:row r="48" ht="42" customHeight="1">
      <x:c r="A48" s="215" t="str">
        <x:v>Boraginaceae</x:v>
      </x:c>
      <x:c r="B48" s="215" t="str">
        <x:v>BOR-HYDROPLAC</x:v>
      </x:c>
      <x:c r="C48" s="215" t="str">
        <x:v>APweb Hydrophyllaceae route</x:v>
      </x:c>
      <x:c r="D48" s="215" t="str">
        <x:v>Gynoecium</x:v>
      </x:c>
      <x:c r="E48" s="215" t="str">
        <x:v>Usually parietal placentation with more than four ovules</x:v>
      </x:c>
      <x:c r="F48" s="215" t="str">
        <x:v>Subgroup</x:v>
      </x:c>
      <x:c r="G48" s="215" t="str">
        <x:v>4</x:v>
      </x:c>
      <x:c r="H48" s="215" t="str">
        <x:v>Moderate</x:v>
      </x:c>
      <x:c r="I48" s="215" t="str">
        <x:v>Dissection</x:v>
      </x:c>
      <x:c r="J48" s="215" t="str">
        <x:v>Flowering or young fruit</x:v>
      </x:c>
      <x:c r="K48" s="215" t="str">
        <x:v>Ovules attach to the inner ovary wall rather than to a central axis, and there are commonly several.</x:v>
      </x:c>
      <x:c r="L48" s="215" t="str">
        <x:v>Ovule number and placentation vary within the lineage, and the character usually requires dissection.</x:v>
      </x:c>
      <x:c r="M48" s="215" t="str">
        <x:v>Confirms the Phacelia-Nemophila route when style position or fruit is ambiguous.</x:v>
      </x:c>
      <x:c r="N48" s="215" t="str">
        <x:v>Most useful for technical confirmation, not a first field observation.</x:v>
      </x:c>
      <x:c r="O48" s="215" t="str">
        <x:v>Moderate</x:v>
      </x:c>
      <x:c r="P48" s="215" t="str">
        <x:v>No</x:v>
      </x:c>
      <x:c r="Q48" s="215" t="str"/>
      <x:c r="R48" s="215" t="str">
        <x:v>BOR-LK02</x:v>
      </x:c>
      <x:c r="S48" s="215" t="str">
        <x:v>APWEB-BORAG; JEPSON-PHACELIA; JEPSON-NEMOPHILA; POWO-BORAG</x:v>
      </x:c>
      <x:c r="T48" s="215" t="str">
        <x:v>https://www.mobot.org/MOBOT/Research/APweb/orders/boraginalesweb.htm</x:v>
      </x:c>
      <x:c r="U48" s="215" t="str">
        <x:v>https://ucjeps.berkeley.edu/eflora/eflora_display.php?tid=37455
https://ucjeps.berkeley.edu/eflora/eflora_display.php?tid=34542</x:v>
      </x:c>
      <x:c r="V48" s="215" t="str">
        <x:v>https://powo.science.kew.org/taxon/urn:lsid:ipni.org:names:30000135-2</x:v>
      </x:c>
      <x:c r="W48" s="215" t="str">
        <x:v>https://www.mobot.org/MOBOT/Research/APweb/orders/boraginalesweb.htm
https://ucjeps.berkeley.edu/eflora/eflora_display.php?tid=37455
https://ucjeps.berkeley.edu/eflora/eflora_display.php?tid=34542
https://powo.science.kew.org/taxon/urn:lsid:ipni.org:names:30000135-2</x:v>
      </x:c>
      <x:c r="X48" s="215" t="str">
        <x:v>No — retain qualifiers and exceptions</x:v>
      </x:c>
      <x:c r="Y48" s="215" t="str">
        <x:v>Yes</x:v>
      </x:c>
      <x:c r="Z48" s="215" t="str">
        <x:v>Source-backed draft</x:v>
      </x:c>
      <x:c r="AA48" s="215" t="str">
        <x:v>Local subgroup / route</x:v>
      </x:c>
      <x:c r="AB48" s="215" t="str">
        <x:v>Supporting / route</x:v>
      </x:c>
      <x:c r="AC48" s="215" t="str">
        <x:v>Moderate</x:v>
      </x:c>
      <x:c r="AD48" s="215" t="str">
        <x:v>Dissection</x:v>
      </x:c>
      <x:c r="AE48" s="215" t="str">
        <x:v>Moderate</x:v>
      </x:c>
      <x:c r="AF48" s="215" t="str">
        <x:v>Dissection / close study</x:v>
      </x:c>
      <x:c r="AG48" s="215" t="str">
        <x:v>3 — Reference support</x:v>
      </x:c>
      <x:c r="AH48" s="215" t="str">
        <x:v>Current master inventory</x:v>
      </x:c>
    </x:row>
    <x:row r="49" ht="42" customHeight="1">
      <x:c r="A49" s="215" t="str">
        <x:v>Boraginaceae</x:v>
      </x:c>
      <x:c r="B49" s="215" t="str">
        <x:v>BOR-HYDROCAP</x:v>
      </x:c>
      <x:c r="C49" s="215" t="str">
        <x:v>APweb Hydrophyllaceae route</x:v>
      </x:c>
      <x:c r="D49" s="215" t="str">
        <x:v>Fruit</x:v>
      </x:c>
      <x:c r="E49" s="215" t="str">
        <x:v>Capsule rather than four separate nutlets</x:v>
      </x:c>
      <x:c r="F49" s="215" t="str">
        <x:v>Subgroup</x:v>
      </x:c>
      <x:c r="G49" s="215" t="str">
        <x:v>5</x:v>
      </x:c>
      <x:c r="H49" s="215" t="str">
        <x:v>High</x:v>
      </x:c>
      <x:c r="I49" s="215" t="str">
        <x:v>Naked eye or hand lens</x:v>
      </x:c>
      <x:c r="J49" s="215" t="str">
        <x:v>Mature fruit</x:v>
      </x:c>
      <x:c r="K49" s="215" t="str">
        <x:v>The fruit opens as a capsule containing several seeds.</x:v>
      </x:c>
      <x:c r="L49" s="215" t="str">
        <x:v>Very young capsules can resemble an undivided ovary; seed number varies.</x:v>
      </x:c>
      <x:c r="M49" s="215" t="str">
        <x:v>Separates local Phacelia and Nemophila from Lithospermum-Cryptantha-Lappula-Myosotis routes.</x:v>
      </x:c>
      <x:c r="N49" s="215" t="str">
        <x:v>High-value mature-fruit character for the local hydrophylloid genera.</x:v>
      </x:c>
      <x:c r="O49" s="215" t="str">
        <x:v>Low</x:v>
      </x:c>
      <x:c r="P49" s="215" t="str">
        <x:v>No</x:v>
      </x:c>
      <x:c r="Q49" s="215" t="str"/>
      <x:c r="R49" s="215" t="str">
        <x:v>BOR-LK01; BOR-LK02</x:v>
      </x:c>
      <x:c r="S49" s="215" t="str">
        <x:v>APWEB-BORAG; JEPSON-PHACELIA; JEPSON-NEMOPHILA; POWO-BORAG</x:v>
      </x:c>
      <x:c r="T49" s="215" t="str">
        <x:v>https://www.mobot.org/MOBOT/Research/APweb/orders/boraginalesweb.htm</x:v>
      </x:c>
      <x:c r="U49" s="215" t="str">
        <x:v>https://ucjeps.berkeley.edu/eflora/eflora_display.php?tid=37455
https://ucjeps.berkeley.edu/eflora/eflora_display.php?tid=34542</x:v>
      </x:c>
      <x:c r="V49" s="215" t="str">
        <x:v>https://powo.science.kew.org/taxon/urn:lsid:ipni.org:names:30000135-2</x:v>
      </x:c>
      <x:c r="W49" s="215" t="str">
        <x:v>https://www.mobot.org/MOBOT/Research/APweb/orders/boraginalesweb.htm
https://ucjeps.berkeley.edu/eflora/eflora_display.php?tid=37455
https://ucjeps.berkeley.edu/eflora/eflora_display.php?tid=34542
https://powo.science.kew.org/taxon/urn:lsid:ipni.org:names:30000135-2</x:v>
      </x:c>
      <x:c r="X49" s="215" t="str">
        <x:v>No — retain qualifiers and exceptions</x:v>
      </x:c>
      <x:c r="Y49" s="215" t="str">
        <x:v>Yes</x:v>
      </x:c>
      <x:c r="Z49" s="215" t="str">
        <x:v>Source-backed draft</x:v>
      </x:c>
      <x:c r="AA49" s="215" t="str">
        <x:v>Local subgroup / route</x:v>
      </x:c>
      <x:c r="AB49" s="215" t="str">
        <x:v>Supporting / route</x:v>
      </x:c>
      <x:c r="AC49" s="215" t="str">
        <x:v>High</x:v>
      </x:c>
      <x:c r="AD49" s="215" t="str">
        <x:v>Hand lens / macro</x:v>
      </x:c>
      <x:c r="AE49" s="215" t="str">
        <x:v>Low</x:v>
      </x:c>
      <x:c r="AF49" s="215" t="str">
        <x:v>Field-ready draft</x:v>
      </x:c>
      <x:c r="AG49" s="215" t="str">
        <x:v>2 — Field-photo priority</x:v>
      </x:c>
      <x:c r="AH49" s="215" t="str">
        <x:v>Current master inventory</x:v>
      </x:c>
    </x:row>
    <x:row r="50" ht="42" customHeight="1">
      <x:c r="A50" s="215" t="str">
        <x:v>Boraginaceae</x:v>
      </x:c>
      <x:c r="B50" s="215" t="str">
        <x:v>BOR-EHRETIA</x:v>
      </x:c>
      <x:c r="C50" s="215" t="str">
        <x:v>APweb Ehretiaceae route</x:v>
      </x:c>
      <x:c r="D50" s="215" t="str">
        <x:v>Habit, gynoecium, fruit</x:v>
      </x:c>
      <x:c r="E50" s="215" t="str">
        <x:v>Woody plant with terminal style and fleshy drupaceous fruit</x:v>
      </x:c>
      <x:c r="F50" s="215" t="str">
        <x:v>Subgroup</x:v>
      </x:c>
      <x:c r="G50" s="215" t="str">
        <x:v>5</x:v>
      </x:c>
      <x:c r="H50" s="215" t="str">
        <x:v>High within local Ehretia</x:v>
      </x:c>
      <x:c r="I50" s="215" t="str">
        <x:v>Naked eye and hand lens</x:v>
      </x:c>
      <x:c r="J50" s="215" t="str">
        <x:v>Flowering or fruiting</x:v>
      </x:c>
      <x:c r="K50" s="215" t="str">
        <x:v>Ehretia follows a woody, terminal-styled, fleshy-fruited route rather than the rough four-nutlet herb route.</x:v>
      </x:c>
      <x:c r="L50" s="215" t="str">
        <x:v>These are lineage characters, not broad Boraginaceae requirements; a flower or fruit is still preferred.</x:v>
      </x:c>
      <x:c r="M50" s="215" t="str">
        <x:v>Separates local Ehretia from herbaceous s.str. and hydrophylloid genera.</x:v>
      </x:c>
      <x:c r="N50" s="215" t="str">
        <x:v>One local Ehretia row, but visually distinct enough to deserve its own route.</x:v>
      </x:c>
      <x:c r="O50" s="215" t="str">
        <x:v>Low</x:v>
      </x:c>
      <x:c r="P50" s="215" t="str">
        <x:v>No</x:v>
      </x:c>
      <x:c r="Q50" s="215" t="str"/>
      <x:c r="R50" s="215" t="str">
        <x:v>BOR-LK02</x:v>
      </x:c>
      <x:c r="S50" s="215" t="str">
        <x:v>APWEB-BORAG; NCTX-EHRETIA; POWO-BORAG</x:v>
      </x:c>
      <x:c r="T50" s="215" t="str">
        <x:v>https://www.mobot.org/MOBOT/Research/APweb/orders/boraginalesweb.htm</x:v>
      </x:c>
      <x:c r="U50" s="215" t="str">
        <x:v>https://fwbg.org/wp-content/uploads/2025/04/FNCT_0210-0617-Acanth-Euph.pdf</x:v>
      </x:c>
      <x:c r="V50" s="215" t="str">
        <x:v>https://powo.science.kew.org/taxon/urn:lsid:ipni.org:names:30000135-2</x:v>
      </x:c>
      <x:c r="W50" s="215" t="str">
        <x:v>https://www.mobot.org/MOBOT/Research/APweb/orders/boraginalesweb.htm
https://fwbg.org/wp-content/uploads/2025/04/FNCT_0210-0617-Acanth-Euph.pdf
https://powo.science.kew.org/taxon/urn:lsid:ipni.org:names:30000135-2</x:v>
      </x:c>
      <x:c r="X50" s="215" t="str">
        <x:v>No — retain qualifiers and exceptions</x:v>
      </x:c>
      <x:c r="Y50" s="215" t="str">
        <x:v>Yes</x:v>
      </x:c>
      <x:c r="Z50" s="215" t="str">
        <x:v>Source-backed draft</x:v>
      </x:c>
      <x:c r="AA50" s="215" t="str">
        <x:v>Local subgroup / route</x:v>
      </x:c>
      <x:c r="AB50" s="215" t="str">
        <x:v>Supporting / route</x:v>
      </x:c>
      <x:c r="AC50" s="215" t="str">
        <x:v>High</x:v>
      </x:c>
      <x:c r="AD50" s="215" t="str">
        <x:v>Hand lens / macro</x:v>
      </x:c>
      <x:c r="AE50" s="215" t="str">
        <x:v>Low</x:v>
      </x:c>
      <x:c r="AF50" s="215" t="str">
        <x:v>Field-ready draft</x:v>
      </x:c>
      <x:c r="AG50" s="215" t="str">
        <x:v>2 — Field-photo priority</x:v>
      </x:c>
      <x:c r="AH50" s="215" t="str">
        <x:v>Current master inventory</x:v>
      </x:c>
    </x:row>
    <x:row r="51" ht="42" customHeight="1">
      <x:c r="A51" s="215" t="str">
        <x:v>Boraginaceae</x:v>
      </x:c>
      <x:c r="B51" s="215" t="str">
        <x:v>BOR-HELIOTROPE</x:v>
      </x:c>
      <x:c r="C51" s="215" t="str">
        <x:v>APweb Heliotropiaceae route</x:v>
      </x:c>
      <x:c r="D51" s="215" t="str">
        <x:v>Inflorescence and fruit</x:v>
      </x:c>
      <x:c r="E51" s="215" t="str">
        <x:v>Coiled cymes with terminal style; fruit commonly splitting into nutlets or drupaceous units</x:v>
      </x:c>
      <x:c r="F51" s="215" t="str">
        <x:v>Subgroup</x:v>
      </x:c>
      <x:c r="G51" s="215" t="str">
        <x:v>4</x:v>
      </x:c>
      <x:c r="H51" s="215" t="str">
        <x:v>Moderate</x:v>
      </x:c>
      <x:c r="I51" s="215" t="str">
        <x:v>Hand lens</x:v>
      </x:c>
      <x:c r="J51" s="215" t="str">
        <x:v>Flowering through fruiting</x:v>
      </x:c>
      <x:c r="K51" s="215" t="str">
        <x:v>Heliotropoid genera can look borage-like but retain a terminal style and their own fruit construction.</x:v>
      </x:c>
      <x:c r="L51" s="215" t="str">
        <x:v>Fruit and style states vary; the local Euploca route should be checked at genus level rather than inferred from the broad family.</x:v>
      </x:c>
      <x:c r="M51" s="215" t="str">
        <x:v>Separates Euploca from gynobasic Boraginaceae s.str. despite similar coiled inflorescences.</x:v>
      </x:c>
      <x:c r="N51" s="215" t="str">
        <x:v>Two local Euploca rows make this a needed route.</x:v>
      </x:c>
      <x:c r="O51" s="215" t="str">
        <x:v>Moderate</x:v>
      </x:c>
      <x:c r="P51" s="215" t="str">
        <x:v>Yes</x:v>
      </x:c>
      <x:c r="Q51" s="215" t="str">
        <x:v>Verify the exact local Euploca fruit states against the applicable FNA or regional species treatments before genus-key deployment.</x:v>
      </x:c>
      <x:c r="R51" s="215" t="str">
        <x:v>BOR-LK02</x:v>
      </x:c>
      <x:c r="S51" s="215" t="str">
        <x:v>APWEB-BORAG; NCTX-HELIOTROPIUM; POWO-BORAG</x:v>
      </x:c>
      <x:c r="T51" s="215" t="str">
        <x:v>https://www.mobot.org/MOBOT/Research/APweb/orders/boraginalesweb.htm</x:v>
      </x:c>
      <x:c r="U51" s="215" t="str">
        <x:v>https://fwbg.org/wp-content/uploads/2025/04/FNCT_0210-0617-Acanth-Euph.pdf</x:v>
      </x:c>
      <x:c r="V51" s="215" t="str">
        <x:v>https://powo.science.kew.org/taxon/urn:lsid:ipni.org:names:30000135-2</x:v>
      </x:c>
      <x:c r="W51" s="215" t="str">
        <x:v>https://www.mobot.org/MOBOT/Research/APweb/orders/boraginalesweb.htm
https://fwbg.org/wp-content/uploads/2025/04/FNCT_0210-0617-Acanth-Euph.pdf
https://powo.science.kew.org/taxon/urn:lsid:ipni.org:names:30000135-2</x:v>
      </x:c>
      <x:c r="X51" s="215" t="str">
        <x:v>No — retain qualifiers and exceptions</x:v>
      </x:c>
      <x:c r="Y51" s="215" t="str">
        <x:v>Yes</x:v>
      </x:c>
      <x:c r="Z51" s="215" t="str">
        <x:v>Human review required</x:v>
      </x:c>
      <x:c r="AA51" s="215" t="str">
        <x:v>Local subgroup / route</x:v>
      </x:c>
      <x:c r="AB51" s="215" t="str">
        <x:v>Supporting / route</x:v>
      </x:c>
      <x:c r="AC51" s="215" t="str">
        <x:v>Moderate</x:v>
      </x:c>
      <x:c r="AD51" s="215" t="str">
        <x:v>Hand lens / macro</x:v>
      </x:c>
      <x:c r="AE51" s="215" t="str">
        <x:v>Moderate</x:v>
      </x:c>
      <x:c r="AF51" s="215" t="str">
        <x:v>Use only after review</x:v>
      </x:c>
      <x:c r="AG51" s="215" t="str">
        <x:v>1 — Human review now</x:v>
      </x:c>
      <x:c r="AH51" s="215" t="str">
        <x:v>Current master inventory</x:v>
      </x:c>
    </x:row>
    <x:row r="52" ht="42" customHeight="1">
      <x:c r="A52" s="215" t="str">
        <x:v>Boraginaceae</x:v>
      </x:c>
      <x:c r="B52" s="215" t="str">
        <x:v>BOR-TIQUILIA</x:v>
      </x:c>
      <x:c r="C52" s="215" t="str">
        <x:v>APweb Coldeniaceae route</x:v>
      </x:c>
      <x:c r="D52" s="215" t="str">
        <x:v>Habit, flower, fruit</x:v>
      </x:c>
      <x:c r="E52" s="215" t="str">
        <x:v>Tiquilia requires a separate lineage route</x:v>
      </x:c>
      <x:c r="F52" s="215" t="str">
        <x:v>Subgroup</x:v>
      </x:c>
      <x:c r="G52" s="215" t="str">
        <x:v>3</x:v>
      </x:c>
      <x:c r="H52" s="215" t="str">
        <x:v>Low until local species review</x:v>
      </x:c>
      <x:c r="I52" s="215" t="str">
        <x:v>Hand lens</x:v>
      </x:c>
      <x:c r="J52" s="215" t="str">
        <x:v>Flowering and fruiting</x:v>
      </x:c>
      <x:c r="K52" s="215" t="str">
        <x:v>Tiquilia is included in broad POWO Boraginaceae but not in APweb Boraginaceae s.str.; it should not inherit the four-nutlet borage suite without direct checking.</x:v>
      </x:c>
      <x:c r="L52" s="215" t="str">
        <x:v>Local species-level morphology has not been fully reconciled here, and family limits have changed.</x:v>
      </x:c>
      <x:c r="M52" s="215" t="str">
        <x:v>Prevents silent assignment of Tiquilia to a mismatched character set.</x:v>
      </x:c>
      <x:c r="N52" s="215" t="str">
        <x:v>One local Tiquilia row; retain as an explicit human-review branch.</x:v>
      </x:c>
      <x:c r="O52" s="215" t="str">
        <x:v>High</x:v>
      </x:c>
      <x:c r="P52" s="215" t="str">
        <x:v>Yes</x:v>
      </x:c>
      <x:c r="Q52" s="215" t="str">
        <x:v>Build the Tiquilia route from its FNA genus and species treatment before use in an automated key.</x:v>
      </x:c>
      <x:c r="R52" s="215" t="str">
        <x:v>BOR-LK01; BOR-LK02</x:v>
      </x:c>
      <x:c r="S52" s="215" t="str">
        <x:v>APWEB-BORAG; MONO-TIQUILIA; POWO-BORAG</x:v>
      </x:c>
      <x:c r="T52" s="215" t="str">
        <x:v>https://www.mobot.org/MOBOT/Research/APweb/orders/boraginalesweb.htm</x:v>
      </x:c>
      <x:c r="U52" s="215" t="str">
        <x:v>https://www.biodiversitylibrary.org/part/123219</x:v>
      </x:c>
      <x:c r="V52" s="215" t="str">
        <x:v>https://powo.science.kew.org/taxon/urn:lsid:ipni.org:names:30000135-2</x:v>
      </x:c>
      <x:c r="W52" s="215" t="str">
        <x:v>https://www.mobot.org/MOBOT/Research/APweb/orders/boraginalesweb.htm
https://www.biodiversitylibrary.org/part/123219
https://powo.science.kew.org/taxon/urn:lsid:ipni.org:names:30000135-2</x:v>
      </x:c>
      <x:c r="X52" s="215" t="str">
        <x:v>No — retain qualifiers and exceptions</x:v>
      </x:c>
      <x:c r="Y52" s="215" t="str">
        <x:v>Yes</x:v>
      </x:c>
      <x:c r="Z52" s="215" t="str">
        <x:v>Human review required</x:v>
      </x:c>
      <x:c r="AA52" s="215" t="str">
        <x:v>Local subgroup / route</x:v>
      </x:c>
      <x:c r="AB52" s="215" t="str">
        <x:v>Supporting / route</x:v>
      </x:c>
      <x:c r="AC52" s="215" t="str">
        <x:v>Low</x:v>
      </x:c>
      <x:c r="AD52" s="215" t="str">
        <x:v>Hand lens / macro</x:v>
      </x:c>
      <x:c r="AE52" s="215" t="str">
        <x:v>High</x:v>
      </x:c>
      <x:c r="AF52" s="215" t="str">
        <x:v>Use only after review</x:v>
      </x:c>
      <x:c r="AG52" s="215" t="str">
        <x:v>1 — Human review now</x:v>
      </x:c>
      <x:c r="AH52" s="215" t="str">
        <x:v>Current master inventory</x:v>
      </x:c>
    </x:row>
    <x:row r="53" ht="42" customHeight="1">
      <x:c r="A53" s="215" t="str">
        <x:v>Boraginaceae</x:v>
      </x:c>
      <x:c r="B53" s="215" t="str">
        <x:v>BOR-SCALES</x:v>
      </x:c>
      <x:c r="C53" s="215" t="str">
        <x:v>Boraginales I, variable</x:v>
      </x:c>
      <x:c r="D53" s="215" t="str">
        <x:v>Corolla throat</x:v>
      </x:c>
      <x:c r="E53" s="215" t="str">
        <x:v>Faucal or basal scales may be present</x:v>
      </x:c>
      <x:c r="F53" s="215" t="str">
        <x:v>Supporting</x:v>
      </x:c>
      <x:c r="G53" s="215" t="str">
        <x:v>2</x:v>
      </x:c>
      <x:c r="H53" s="215" t="str">
        <x:v>Variable</x:v>
      </x:c>
      <x:c r="I53" s="215" t="str">
        <x:v>Hand lens</x:v>
      </x:c>
      <x:c r="J53" s="215" t="str">
        <x:v>Flowering</x:v>
      </x:c>
      <x:c r="K53" s="215" t="str">
        <x:v>Small scales or invaginations may partly close or structure the corolla throat.</x:v>
      </x:c>
      <x:c r="L53" s="215" t="str">
        <x:v>Presence, shape, and homology vary among lineages and genera; absence is common in some groups.</x:v>
      </x:c>
      <x:c r="M53" s="215" t="str">
        <x:v>Useful for subgroup and genus work, never a broad-family requirement.</x:v>
      </x:c>
      <x:c r="N53" s="215" t="str">
        <x:v>Potentially useful in Lithospermum and several related local genera after family routing.</x:v>
      </x:c>
      <x:c r="O53" s="215" t="str">
        <x:v>Moderate</x:v>
      </x:c>
      <x:c r="P53" s="215" t="str">
        <x:v>No</x:v>
      </x:c>
      <x:c r="Q53" s="215" t="str"/>
      <x:c r="R53" s="215" t="str">
        <x:v>BOR-LK01</x:v>
      </x:c>
      <x:c r="S53" s="215" t="str">
        <x:v>APWEB-BORAG; NCTX-LITHOSPERMUM; POWO-BORAG</x:v>
      </x:c>
      <x:c r="T53" s="215" t="str">
        <x:v>https://www.mobot.org/MOBOT/Research/APweb/orders/boraginalesweb.htm</x:v>
      </x:c>
      <x:c r="U53" s="215" t="str">
        <x:v>https://fwbg.org/wp-content/uploads/2025/04/FNCT_0210-0617-Acanth-Euph.pdf</x:v>
      </x:c>
      <x:c r="V53" s="215" t="str">
        <x:v>https://powo.science.kew.org/taxon/urn:lsid:ipni.org:names:30000135-2</x:v>
      </x:c>
      <x:c r="W53" s="215" t="str">
        <x:v>https://www.mobot.org/MOBOT/Research/APweb/orders/boraginalesweb.htm
https://fwbg.org/wp-content/uploads/2025/04/FNCT_0210-0617-Acanth-Euph.pdf
https://powo.science.kew.org/taxon/urn:lsid:ipni.org:names:30000135-2</x:v>
      </x:c>
      <x:c r="X53" s="215" t="str">
        <x:v>No — retain qualifiers and exceptions</x:v>
      </x:c>
      <x:c r="Y53" s="215" t="str">
        <x:v>Yes</x:v>
      </x:c>
      <x:c r="Z53" s="215" t="str">
        <x:v>Source-backed draft</x:v>
      </x:c>
      <x:c r="AA53" s="215" t="str">
        <x:v>Other qualified pattern</x:v>
      </x:c>
      <x:c r="AB53" s="215" t="str">
        <x:v>Supporting / route</x:v>
      </x:c>
      <x:c r="AC53" s="215" t="str">
        <x:v>Variable</x:v>
      </x:c>
      <x:c r="AD53" s="215" t="str">
        <x:v>Hand lens / macro</x:v>
      </x:c>
      <x:c r="AE53" s="215" t="str">
        <x:v>Moderate</x:v>
      </x:c>
      <x:c r="AF53" s="215" t="str">
        <x:v>Field-ready draft</x:v>
      </x:c>
      <x:c r="AG53" s="215" t="str">
        <x:v>4 — Context / caution</x:v>
      </x:c>
      <x:c r="AH53" s="215" t="str">
        <x:v>Current master inventory</x:v>
      </x:c>
    </x:row>
    <x:row r="54" ht="42" customHeight="1">
      <x:c r="A54" s="215" t="str">
        <x:v>Boraginaceae</x:v>
      </x:c>
      <x:c r="B54" s="215" t="str">
        <x:v>BOR-FOURNUTSHORT</x:v>
      </x:c>
      <x:c r="C54" s="215" t="str">
        <x:v>Shortcut warning</x:v>
      </x:c>
      <x:c r="D54" s="215" t="str">
        <x:v>Recognition</x:v>
      </x:c>
      <x:c r="E54" s="215" t="str">
        <x:v>Four nutlets plus rough leaves do not cover the broad POWO family</x:v>
      </x:c>
      <x:c r="F54" s="215" t="str">
        <x:v>Caution</x:v>
      </x:c>
      <x:c r="G54" s="215" t="str">
        <x:v>0</x:v>
      </x:c>
      <x:c r="H54" s="215" t="str">
        <x:v>High as a warning</x:v>
      </x:c>
      <x:c r="I54" s="215" t="str">
        <x:v>Reference check</x:v>
      </x:c>
      <x:c r="J54" s="215" t="str">
        <x:v>Any</x:v>
      </x:c>
      <x:c r="K54" s="215" t="str">
        <x:v>That classic combination identifies only the Boraginaceae s.str. route.</x:v>
      </x:c>
      <x:c r="L54" s="215" t="str">
        <x:v>Phacelia and Nemophila have capsules; Ehretia is woody and fleshy-fruited; Euploca and Tiquilia follow other APweb lineages.</x:v>
      </x:c>
      <x:c r="M54" s="215" t="str">
        <x:v>Always route broad-family candidates before applying a family character suite.</x:v>
      </x:c>
      <x:c r="N54" s="215" t="str">
        <x:v>The local genera span at least five APweb lineages, so this warning is essential.</x:v>
      </x:c>
      <x:c r="O54" s="215" t="str">
        <x:v>Low</x:v>
      </x:c>
      <x:c r="P54" s="215" t="str">
        <x:v>No</x:v>
      </x:c>
      <x:c r="Q54" s="215" t="str"/>
      <x:c r="R54" s="215" t="str">
        <x:v>BOR-LK01; BOR-LK02</x:v>
      </x:c>
      <x:c r="S54" s="215" t="str">
        <x:v>POWO-BORAG-GI; APWEB-BORAG; POWO-BORAG</x:v>
      </x:c>
      <x:c r="T54" s="215" t="str">
        <x:v>https://www.mobot.org/MOBOT/Research/APweb/orders/boraginalesweb.htm</x:v>
      </x:c>
      <x:c r="U54" s="215" t="str">
        <x:v>https://fwbg.org/wp-content/uploads/2025/04/FNCT_0210-0617-Acanth-Euph.pdf
https://ucjeps.berkeley.edu/eflora/eflora_display.php?tid=37455</x:v>
      </x:c>
      <x:c r="V54" s="215" t="str">
        <x:v>https://powo.science.kew.org/taxon/urn:lsid:ipni.org:names:30000135-2/general-information
https://powo.science.kew.org/taxon/urn:lsid:ipni.org:names:30000135-2</x:v>
      </x:c>
      <x:c r="W54" s="215" t="str">
        <x:v>https://powo.science.kew.org/taxon/urn:lsid:ipni.org:names:30000135-2/general-information
https://www.mobot.org/MOBOT/Research/APweb/orders/boraginalesweb.htm
https://powo.science.kew.org/taxon/urn:lsid:ipni.org:names:30000135-2
https://fwbg.org/wp-content/uploads/2025/04/FNCT_0210-0617-Acanth-Euph.pdf
https://ucjeps.berkeley.edu/eflora/eflora_display.php?tid=37455</x:v>
      </x:c>
      <x:c r="X54" s="215" t="str">
        <x:v>No — retain qualifiers and exceptions</x:v>
      </x:c>
      <x:c r="Y54" s="215" t="str">
        <x:v>Yes</x:v>
      </x:c>
      <x:c r="Z54" s="215" t="str">
        <x:v>Source-backed draft</x:v>
      </x:c>
      <x:c r="AA54" s="215" t="str">
        <x:v>Caution / method</x:v>
      </x:c>
      <x:c r="AB54" s="215" t="str">
        <x:v>Caution / negative rule</x:v>
      </x:c>
      <x:c r="AC54" s="215" t="str">
        <x:v>High</x:v>
      </x:c>
      <x:c r="AD54" s="215" t="str">
        <x:v>Reference / method</x:v>
      </x:c>
      <x:c r="AE54" s="215" t="str">
        <x:v>Low</x:v>
      </x:c>
      <x:c r="AF54" s="215" t="str">
        <x:v>Specialist / reference</x:v>
      </x:c>
      <x:c r="AG54" s="215" t="str">
        <x:v>4 — Context / caution</x:v>
      </x:c>
      <x:c r="AH54" s="215" t="str">
        <x:v>Current master inventory</x:v>
      </x:c>
    </x:row>
    <x:row r="55" ht="42" customHeight="1">
      <x:c r="A55" s="215" t="str">
        <x:v>Asparagaceae</x:v>
      </x:c>
      <x:c r="B55" s="215" t="str">
        <x:v>ASP-NOAPOM</x:v>
      </x:c>
      <x:c r="C55" s="215" t="str">
        <x:v>Broad family</x:v>
      </x:c>
      <x:c r="D55" s="215" t="str">
        <x:v>Recognition</x:v>
      </x:c>
      <x:c r="E55" s="215" t="str">
        <x:v>No obvious gross-morphological apomorphy for Asparagaceae sensu lato</x:v>
      </x:c>
      <x:c r="F55" s="215" t="str">
        <x:v>Caution</x:v>
      </x:c>
      <x:c r="G55" s="215" t="str">
        <x:v>0</x:v>
      </x:c>
      <x:c r="H55" s="215" t="str">
        <x:v>High as a documented limitation</x:v>
      </x:c>
      <x:c r="I55" s="215" t="str">
        <x:v>Reference check</x:v>
      </x:c>
      <x:c r="J55" s="215" t="str">
        <x:v>Any</x:v>
      </x:c>
      <x:c r="K55" s="215" t="str">
        <x:v>APweb explicitly notes that the broad accepted family lacks an obvious field-visible defining character.</x:v>
      </x:c>
      <x:c r="L55" s="215" t="str">
        <x:v>The family contains seven subfamilies and several former families with very different habits and organs.</x:v>
      </x:c>
      <x:c r="M55" s="215" t="str">
        <x:v>Use a subgroup-first key rather than forcing one universal visual signature.</x:v>
      </x:c>
      <x:c r="N55" s="215" t="str">
        <x:v>Essential because the local genera span agavoid, nolinioid, and bulbous geophyte forms.</x:v>
      </x:c>
      <x:c r="O55" s="215" t="str">
        <x:v>Low</x:v>
      </x:c>
      <x:c r="P55" s="215" t="str">
        <x:v>Yes</x:v>
      </x:c>
      <x:c r="Q55" s="215" t="str">
        <x:v>Approve a subgroup-first interface and block any model from scoring one rosette or flower state as universal.</x:v>
      </x:c>
      <x:c r="R55" s="215" t="str">
        <x:v>ASP-LK01; ASP-LK02</x:v>
      </x:c>
      <x:c r="S55" s="215" t="str">
        <x:v>APWEB-ASPAR; POWO-ASPAR</x:v>
      </x:c>
      <x:c r="T55" s="215" t="str">
        <x:v>https://www.mobot.org/MOBOT/research/APweb/orders/asparagalesweb.htm</x:v>
      </x:c>
      <x:c r="U55" s="215" t="str">
        <x:v>https://floranorthamerica.org/Yucca
https://floranorthamerica.org/Agave
https://floranorthamerica.org/Camassia</x:v>
      </x:c>
      <x:c r="V55" s="215" t="str">
        <x:v>https://powo.science.kew.org/taxon/urn:lsid:ipni.org:names:30275682-2</x:v>
      </x:c>
      <x:c r="W55" s="215" t="str">
        <x:v>https://www.mobot.org/MOBOT/research/APweb/orders/asparagalesweb.htm
https://powo.science.kew.org/taxon/urn:lsid:ipni.org:names:30275682-2
https://floranorthamerica.org/Yucca
https://floranorthamerica.org/Agave
https://floranorthamerica.org/Camassia</x:v>
      </x:c>
      <x:c r="X55" s="215" t="str">
        <x:v>No — retain qualifiers and exceptions</x:v>
      </x:c>
      <x:c r="Y55" s="215" t="str">
        <x:v>Yes</x:v>
      </x:c>
      <x:c r="Z55" s="215" t="str">
        <x:v>Human review required</x:v>
      </x:c>
      <x:c r="AA55" s="215" t="str">
        <x:v>Family pattern</x:v>
      </x:c>
      <x:c r="AB55" s="215" t="str">
        <x:v>Caution / negative rule</x:v>
      </x:c>
      <x:c r="AC55" s="215" t="str">
        <x:v>High</x:v>
      </x:c>
      <x:c r="AD55" s="215" t="str">
        <x:v>Reference / method</x:v>
      </x:c>
      <x:c r="AE55" s="215" t="str">
        <x:v>Low</x:v>
      </x:c>
      <x:c r="AF55" s="215" t="str">
        <x:v>Use only after review</x:v>
      </x:c>
      <x:c r="AG55" s="215" t="str">
        <x:v>1 — Human review now</x:v>
      </x:c>
      <x:c r="AH55" s="215" t="str">
        <x:v>Current master inventory</x:v>
      </x:c>
    </x:row>
    <x:row r="56" ht="42" customHeight="1">
      <x:c r="A56" s="215" t="str">
        <x:v>Asparagaceae</x:v>
      </x:c>
      <x:c r="B56" s="215" t="str">
        <x:v>ASP-MONOCOT</x:v>
      </x:c>
      <x:c r="C56" s="215" t="str">
        <x:v>Broad family</x:v>
      </x:c>
      <x:c r="D56" s="215" t="str">
        <x:v>Vegetative and flower</x:v>
      </x:c>
      <x:c r="E56" s="215" t="str">
        <x:v>Monocot construction: parallel-veined leaves and flowers commonly in threes</x:v>
      </x:c>
      <x:c r="F56" s="215" t="str">
        <x:v>Supporting</x:v>
      </x:c>
      <x:c r="G56" s="215" t="str">
        <x:v>2</x:v>
      </x:c>
      <x:c r="H56" s="215" t="str">
        <x:v>Variable</x:v>
      </x:c>
      <x:c r="I56" s="215" t="str">
        <x:v>Naked eye</x:v>
      </x:c>
      <x:c r="J56" s="215" t="str">
        <x:v>Vegetative or flowering</x:v>
      </x:c>
      <x:c r="K56" s="215" t="str">
        <x:v>Most local members show straplike or linear leaves with parallel veins and flowers based on two whorls of three tepals.</x:v>
      </x:c>
      <x:c r="L56" s="215" t="str">
        <x:v>Parallel venation and 3-merous flowers occur widely across monocots; leaves can be reduced, broad, or succulent.</x:v>
      </x:c>
      <x:c r="M56" s="215" t="str">
        <x:v>Places a plant in a broad monocot search space but does not identify Asparagaceae.</x:v>
      </x:c>
      <x:c r="N56" s="215" t="str">
        <x:v>Useful across the selected local genera only as a starting clue.</x:v>
      </x:c>
      <x:c r="O56" s="215" t="str">
        <x:v>Low</x:v>
      </x:c>
      <x:c r="P56" s="215" t="str">
        <x:v>No</x:v>
      </x:c>
      <x:c r="Q56" s="215" t="str"/>
      <x:c r="R56" s="215" t="str">
        <x:v>ASP-LK01; ASP-LK02</x:v>
      </x:c>
      <x:c r="S56" s="215" t="str">
        <x:v>APWEB-ASPAR; POWO-ASPAR</x:v>
      </x:c>
      <x:c r="T56" s="215" t="str">
        <x:v>https://www.mobot.org/MOBOT/research/APweb/orders/asparagalesweb.htm</x:v>
      </x:c>
      <x:c r="U56" s="215" t="str">
        <x:v>https://floranorthamerica.org/Yucca
https://floranorthamerica.org/Agave
https://floranorthamerica.org/Camassia</x:v>
      </x:c>
      <x:c r="V56" s="215" t="str">
        <x:v>https://powo.science.kew.org/taxon/urn:lsid:ipni.org:names:30275682-2</x:v>
      </x:c>
      <x:c r="W56" s="215" t="str">
        <x:v>https://www.mobot.org/MOBOT/research/APweb/orders/asparagalesweb.htm
https://powo.science.kew.org/taxon/urn:lsid:ipni.org:names:30275682-2
https://floranorthamerica.org/Yucca
https://floranorthamerica.org/Agave
https://floranorthamerica.org/Camassia</x:v>
      </x:c>
      <x:c r="X56" s="215" t="str">
        <x:v>No — retain qualifiers and exceptions</x:v>
      </x:c>
      <x:c r="Y56" s="215" t="str">
        <x:v>Yes</x:v>
      </x:c>
      <x:c r="Z56" s="215" t="str">
        <x:v>Source-backed draft</x:v>
      </x:c>
      <x:c r="AA56" s="215" t="str">
        <x:v>Family pattern</x:v>
      </x:c>
      <x:c r="AB56" s="215" t="str">
        <x:v>Supporting / route</x:v>
      </x:c>
      <x:c r="AC56" s="215" t="str">
        <x:v>Variable</x:v>
      </x:c>
      <x:c r="AD56" s="215" t="str">
        <x:v>Naked eye / field</x:v>
      </x:c>
      <x:c r="AE56" s="215" t="str">
        <x:v>Low</x:v>
      </x:c>
      <x:c r="AF56" s="215" t="str">
        <x:v>Field-ready draft</x:v>
      </x:c>
      <x:c r="AG56" s="215" t="str">
        <x:v>4 — Context / caution</x:v>
      </x:c>
      <x:c r="AH56" s="215" t="str">
        <x:v>Current master inventory</x:v>
      </x:c>
    </x:row>
    <x:row r="57" ht="42" customHeight="1">
      <x:c r="A57" s="215" t="str">
        <x:v>Asparagaceae</x:v>
      </x:c>
      <x:c r="B57" s="215" t="str">
        <x:v>ASP-TEPALS</x:v>
      </x:c>
      <x:c r="C57" s="215" t="str">
        <x:v>Broad family, common</x:v>
      </x:c>
      <x:c r="D57" s="215" t="str">
        <x:v>Perianth</x:v>
      </x:c>
      <x:c r="E57" s="215" t="str">
        <x:v>Usually six tepals in two whorls</x:v>
      </x:c>
      <x:c r="F57" s="215" t="str">
        <x:v>Supporting</x:v>
      </x:c>
      <x:c r="G57" s="215" t="str">
        <x:v>3</x:v>
      </x:c>
      <x:c r="H57" s="215" t="str">
        <x:v>Moderate</x:v>
      </x:c>
      <x:c r="I57" s="215" t="str">
        <x:v>Naked eye</x:v>
      </x:c>
      <x:c r="J57" s="215" t="str">
        <x:v>Flowering</x:v>
      </x:c>
      <x:c r="K57" s="215" t="str">
        <x:v>Most local flowers have three outer and three inner petal-like parts.</x:v>
      </x:c>
      <x:c r="L57" s="215" t="str">
        <x:v>Tepals may be fused, reduced, inconspicuous, or difficult to count; the state is shared by many other monocot families.</x:v>
      </x:c>
      <x:c r="M57" s="215" t="str">
        <x:v>Combine with ovary position, stamen number, inflorescence, and subgroup architecture.</x:v>
      </x:c>
      <x:c r="N57" s="215" t="str">
        <x:v>Useful in Yucca, Agave, Hesperaloe, Camassia, Androstephium, Nolina, and Dasylirion when flowers are intact.</x:v>
      </x:c>
      <x:c r="O57" s="215" t="str">
        <x:v>Low</x:v>
      </x:c>
      <x:c r="P57" s="215" t="str">
        <x:v>No</x:v>
      </x:c>
      <x:c r="Q57" s="215" t="str"/>
      <x:c r="R57" s="215" t="str">
        <x:v>ASP-LK01; ASP-LK02</x:v>
      </x:c>
      <x:c r="S57" s="215" t="str">
        <x:v>APWEB-ASPAR; FNA-YUCCA; FNA-AGAVE; POWO-ASPAR</x:v>
      </x:c>
      <x:c r="T57" s="215" t="str">
        <x:v>https://www.mobot.org/MOBOT/research/APweb/orders/asparagalesweb.htm</x:v>
      </x:c>
      <x:c r="U57" s="215" t="str">
        <x:v>https://floranorthamerica.org/Yucca
https://floranorthamerica.org/Agave</x:v>
      </x:c>
      <x:c r="V57" s="215" t="str">
        <x:v>https://powo.science.kew.org/taxon/urn:lsid:ipni.org:names:30275682-2</x:v>
      </x:c>
      <x:c r="W57" s="215" t="str">
        <x:v>https://www.mobot.org/MOBOT/research/APweb/orders/asparagalesweb.htm
https://floranorthamerica.org/Yucca
https://floranorthamerica.org/Agave
https://powo.science.kew.org/taxon/urn:lsid:ipni.org:names:30275682-2</x:v>
      </x:c>
      <x:c r="X57" s="215" t="str">
        <x:v>No — retain qualifiers and exceptions</x:v>
      </x:c>
      <x:c r="Y57" s="215" t="str">
        <x:v>Yes</x:v>
      </x:c>
      <x:c r="Z57" s="215" t="str">
        <x:v>Source-backed draft</x:v>
      </x:c>
      <x:c r="AA57" s="215" t="str">
        <x:v>Family pattern</x:v>
      </x:c>
      <x:c r="AB57" s="215" t="str">
        <x:v>Supporting / route</x:v>
      </x:c>
      <x:c r="AC57" s="215" t="str">
        <x:v>Moderate</x:v>
      </x:c>
      <x:c r="AD57" s="215" t="str">
        <x:v>Naked eye / field</x:v>
      </x:c>
      <x:c r="AE57" s="215" t="str">
        <x:v>Low</x:v>
      </x:c>
      <x:c r="AF57" s="215" t="str">
        <x:v>Field-ready draft</x:v>
      </x:c>
      <x:c r="AG57" s="215" t="str">
        <x:v>3 — Reference support</x:v>
      </x:c>
      <x:c r="AH57" s="215" t="str">
        <x:v>Current master inventory</x:v>
      </x:c>
    </x:row>
    <x:row r="58" ht="42" customHeight="1">
      <x:c r="A58" s="215" t="str">
        <x:v>Asparagaceae</x:v>
      </x:c>
      <x:c r="B58" s="215" t="str">
        <x:v>ASP-STAMENS</x:v>
      </x:c>
      <x:c r="C58" s="215" t="str">
        <x:v>Broad family, common</x:v>
      </x:c>
      <x:c r="D58" s="215" t="str">
        <x:v>Androecium</x:v>
      </x:c>
      <x:c r="E58" s="215" t="str">
        <x:v>Usually six stamens, one opposite each tepal</x:v>
      </x:c>
      <x:c r="F58" s="215" t="str">
        <x:v>Supporting</x:v>
      </x:c>
      <x:c r="G58" s="215" t="str">
        <x:v>3</x:v>
      </x:c>
      <x:c r="H58" s="215" t="str">
        <x:v>Moderate</x:v>
      </x:c>
      <x:c r="I58" s="215" t="str">
        <x:v>Hand lens</x:v>
      </x:c>
      <x:c r="J58" s="215" t="str">
        <x:v>Flowering</x:v>
      </x:c>
      <x:c r="K58" s="215" t="str">
        <x:v>A common floral plan has six stamens arranged in two whorls.</x:v>
      </x:c>
      <x:c r="L58" s="215" t="str">
        <x:v>Stamen number and visibility vary, and six stamens occur in many other monocots.</x:v>
      </x:c>
      <x:c r="M58" s="215" t="str">
        <x:v>Use only as part of a route that also considers the ovary and plant architecture.</x:v>
      </x:c>
      <x:c r="N58" s="215" t="str">
        <x:v>Common across the selected local genera but not diagnostic alone.</x:v>
      </x:c>
      <x:c r="O58" s="215" t="str">
        <x:v>Low</x:v>
      </x:c>
      <x:c r="P58" s="215" t="str">
        <x:v>No</x:v>
      </x:c>
      <x:c r="Q58" s="215" t="str"/>
      <x:c r="R58" s="215" t="str">
        <x:v>ASP-LK01; ASP-LK02</x:v>
      </x:c>
      <x:c r="S58" s="215" t="str">
        <x:v>APWEB-ASPAR; FNA-YUCCA; FNA-CAMASSIA; POWO-ASPAR</x:v>
      </x:c>
      <x:c r="T58" s="215" t="str">
        <x:v>https://www.mobot.org/MOBOT/research/APweb/orders/asparagalesweb.htm</x:v>
      </x:c>
      <x:c r="U58" s="215" t="str">
        <x:v>https://floranorthamerica.org/Yucca
https://floranorthamerica.org/Camassia</x:v>
      </x:c>
      <x:c r="V58" s="215" t="str">
        <x:v>https://powo.science.kew.org/taxon/urn:lsid:ipni.org:names:30275682-2</x:v>
      </x:c>
      <x:c r="W58" s="215" t="str">
        <x:v>https://www.mobot.org/MOBOT/research/APweb/orders/asparagalesweb.htm
https://floranorthamerica.org/Yucca
https://floranorthamerica.org/Camassia
https://powo.science.kew.org/taxon/urn:lsid:ipni.org:names:30275682-2</x:v>
      </x:c>
      <x:c r="X58" s="215" t="str">
        <x:v>No — retain qualifiers and exceptions</x:v>
      </x:c>
      <x:c r="Y58" s="215" t="str">
        <x:v>Yes</x:v>
      </x:c>
      <x:c r="Z58" s="215" t="str">
        <x:v>Source-backed draft</x:v>
      </x:c>
      <x:c r="AA58" s="215" t="str">
        <x:v>Family pattern</x:v>
      </x:c>
      <x:c r="AB58" s="215" t="str">
        <x:v>Supporting / route</x:v>
      </x:c>
      <x:c r="AC58" s="215" t="str">
        <x:v>Moderate</x:v>
      </x:c>
      <x:c r="AD58" s="215" t="str">
        <x:v>Hand lens / macro</x:v>
      </x:c>
      <x:c r="AE58" s="215" t="str">
        <x:v>Low</x:v>
      </x:c>
      <x:c r="AF58" s="215" t="str">
        <x:v>Field-ready draft</x:v>
      </x:c>
      <x:c r="AG58" s="215" t="str">
        <x:v>3 — Reference support</x:v>
      </x:c>
      <x:c r="AH58" s="215" t="str">
        <x:v>Current master inventory</x:v>
      </x:c>
    </x:row>
    <x:row r="59" ht="42" customHeight="1">
      <x:c r="A59" s="215" t="str">
        <x:v>Asparagaceae</x:v>
      </x:c>
      <x:c r="B59" s="215" t="str">
        <x:v>ASP-OVARY</x:v>
      </x:c>
      <x:c r="C59" s="215" t="str">
        <x:v>Broad family, variable</x:v>
      </x:c>
      <x:c r="D59" s="215" t="str">
        <x:v>Gynoecium</x:v>
      </x:c>
      <x:c r="E59" s="215" t="str">
        <x:v>Three-carpellate ovary, usually 3-locular; position varies among subgroups</x:v>
      </x:c>
      <x:c r="F59" s="215" t="str">
        <x:v>Strong</x:v>
      </x:c>
      <x:c r="G59" s="215" t="str">
        <x:v>4</x:v>
      </x:c>
      <x:c r="H59" s="215" t="str">
        <x:v>Moderate</x:v>
      </x:c>
      <x:c r="I59" s="215" t="str">
        <x:v>Hand lens or side view</x:v>
      </x:c>
      <x:c r="J59" s="215" t="str">
        <x:v>Flowering</x:v>
      </x:c>
      <x:c r="K59" s="215" t="str">
        <x:v>The ovary is built from three carpels and commonly has three chambers.</x:v>
      </x:c>
      <x:c r="L59" s="215" t="str">
        <x:v>Ovary position is not uniform across the broad family; unrelated monocots share the same basic construction.</x:v>
      </x:c>
      <x:c r="M59" s="215" t="str">
        <x:v>A useful confirmation only after selecting the appropriate subgroup route.</x:v>
      </x:c>
      <x:c r="N59" s="215" t="str">
        <x:v>Important for separating local asparagoids from Iridaceae or Amaryllidaceae only when interpreted with other characters.</x:v>
      </x:c>
      <x:c r="O59" s="215" t="str">
        <x:v>Moderate</x:v>
      </x:c>
      <x:c r="P59" s="215" t="str">
        <x:v>No</x:v>
      </x:c>
      <x:c r="Q59" s="215" t="str"/>
      <x:c r="R59" s="215" t="str">
        <x:v>ASP-LK01; ASP-LK02</x:v>
      </x:c>
      <x:c r="S59" s="215" t="str">
        <x:v>APWEB-ASPAR; POWO-ASPAR</x:v>
      </x:c>
      <x:c r="T59" s="215" t="str">
        <x:v>https://www.mobot.org/MOBOT/research/APweb/orders/asparagalesweb.htm</x:v>
      </x:c>
      <x:c r="U59" s="215" t="str">
        <x:v>https://floranorthamerica.org/Yucca
https://floranorthamerica.org/Agave
https://floranorthamerica.org/Camassia</x:v>
      </x:c>
      <x:c r="V59" s="215" t="str">
        <x:v>https://powo.science.kew.org/taxon/urn:lsid:ipni.org:names:30275682-2</x:v>
      </x:c>
      <x:c r="W59" s="215" t="str">
        <x:v>https://www.mobot.org/MOBOT/research/APweb/orders/asparagalesweb.htm
https://powo.science.kew.org/taxon/urn:lsid:ipni.org:names:30275682-2
https://floranorthamerica.org/Yucca
https://floranorthamerica.org/Agave
https://floranorthamerica.org/Camassia</x:v>
      </x:c>
      <x:c r="X59" s="215" t="str">
        <x:v>No — retain qualifiers and exceptions</x:v>
      </x:c>
      <x:c r="Y59" s="215" t="str">
        <x:v>Yes</x:v>
      </x:c>
      <x:c r="Z59" s="215" t="str">
        <x:v>Source-backed draft</x:v>
      </x:c>
      <x:c r="AA59" s="215" t="str">
        <x:v>Family pattern</x:v>
      </x:c>
      <x:c r="AB59" s="215" t="str">
        <x:v>Positive diagnostic</x:v>
      </x:c>
      <x:c r="AC59" s="215" t="str">
        <x:v>Moderate</x:v>
      </x:c>
      <x:c r="AD59" s="215" t="str">
        <x:v>Hand lens / macro</x:v>
      </x:c>
      <x:c r="AE59" s="215" t="str">
        <x:v>Moderate</x:v>
      </x:c>
      <x:c r="AF59" s="215" t="str">
        <x:v>Field-ready draft</x:v>
      </x:c>
      <x:c r="AG59" s="215" t="str">
        <x:v>2 — Field-photo priority</x:v>
      </x:c>
      <x:c r="AH59" s="215" t="str">
        <x:v>Current master inventory</x:v>
      </x:c>
    </x:row>
    <x:row r="60" ht="42" customHeight="1">
      <x:c r="A60" s="215" t="str">
        <x:v>Asparagaceae</x:v>
      </x:c>
      <x:c r="B60" s="215" t="str">
        <x:v>ASP-FRUIT</x:v>
      </x:c>
      <x:c r="C60" s="215" t="str">
        <x:v>Broad family, variable</x:v>
      </x:c>
      <x:c r="D60" s="215" t="str">
        <x:v>Fruit</x:v>
      </x:c>
      <x:c r="E60" s="215" t="str">
        <x:v>Fruit a capsule or berry depending on lineage</x:v>
      </x:c>
      <x:c r="F60" s="215" t="str">
        <x:v>Caution</x:v>
      </x:c>
      <x:c r="G60" s="215" t="str">
        <x:v>1</x:v>
      </x:c>
      <x:c r="H60" s="215" t="str">
        <x:v>High as a warning</x:v>
      </x:c>
      <x:c r="I60" s="215" t="str">
        <x:v>Naked eye</x:v>
      </x:c>
      <x:c r="J60" s="215" t="str">
        <x:v>Mature fruit</x:v>
      </x:c>
      <x:c r="K60" s="215" t="str">
        <x:v>The broad family has no single fruit type.</x:v>
      </x:c>
      <x:c r="L60" s="215" t="str">
        <x:v>Most selected local genera produce capsules, but broad Asparagaceae also includes berry-fruited lineages.</x:v>
      </x:c>
      <x:c r="M60" s="215" t="str">
        <x:v>Use fruit to confirm a subgroup or genus, not the entire family.</x:v>
      </x:c>
      <x:c r="N60" s="215" t="str">
        <x:v>Local routes are mostly dry-fruited, yet the broad-family key must permit berries.</x:v>
      </x:c>
      <x:c r="O60" s="215" t="str">
        <x:v>Low</x:v>
      </x:c>
      <x:c r="P60" s="215" t="str">
        <x:v>No</x:v>
      </x:c>
      <x:c r="Q60" s="215" t="str"/>
      <x:c r="R60" s="215" t="str">
        <x:v>ASP-LK01; ASP-LK02</x:v>
      </x:c>
      <x:c r="S60" s="215" t="str">
        <x:v>APWEB-ASPAR; POWO-ASPAR</x:v>
      </x:c>
      <x:c r="T60" s="215" t="str">
        <x:v>https://www.mobot.org/MOBOT/research/APweb/orders/asparagalesweb.htm</x:v>
      </x:c>
      <x:c r="U60" s="215" t="str">
        <x:v>https://floranorthamerica.org/Yucca
https://floranorthamerica.org/Agave
https://floranorthamerica.org/Camassia</x:v>
      </x:c>
      <x:c r="V60" s="215" t="str">
        <x:v>https://powo.science.kew.org/taxon/urn:lsid:ipni.org:names:30275682-2</x:v>
      </x:c>
      <x:c r="W60" s="215" t="str">
        <x:v>https://www.mobot.org/MOBOT/research/APweb/orders/asparagalesweb.htm
https://powo.science.kew.org/taxon/urn:lsid:ipni.org:names:30275682-2
https://floranorthamerica.org/Yucca
https://floranorthamerica.org/Agave
https://floranorthamerica.org/Camassia</x:v>
      </x:c>
      <x:c r="X60" s="215" t="str">
        <x:v>No — retain qualifiers and exceptions</x:v>
      </x:c>
      <x:c r="Y60" s="215" t="str">
        <x:v>Yes</x:v>
      </x:c>
      <x:c r="Z60" s="215" t="str">
        <x:v>Source-backed draft</x:v>
      </x:c>
      <x:c r="AA60" s="215" t="str">
        <x:v>Family pattern</x:v>
      </x:c>
      <x:c r="AB60" s="215" t="str">
        <x:v>Caution / negative rule</x:v>
      </x:c>
      <x:c r="AC60" s="215" t="str">
        <x:v>High</x:v>
      </x:c>
      <x:c r="AD60" s="215" t="str">
        <x:v>Naked eye / field</x:v>
      </x:c>
      <x:c r="AE60" s="215" t="str">
        <x:v>Low</x:v>
      </x:c>
      <x:c r="AF60" s="215" t="str">
        <x:v>Field-ready draft</x:v>
      </x:c>
      <x:c r="AG60" s="215" t="str">
        <x:v>4 — Context / caution</x:v>
      </x:c>
      <x:c r="AH60" s="215" t="str">
        <x:v>Current master inventory</x:v>
      </x:c>
    </x:row>
    <x:row r="61" ht="42" customHeight="1">
      <x:c r="A61" s="215" t="str">
        <x:v>Asparagaceae</x:v>
      </x:c>
      <x:c r="B61" s="215" t="str">
        <x:v>ASP-AGAVOID</x:v>
      </x:c>
      <x:c r="C61" s="215" t="str">
        <x:v>Local subgroup: Agavoideae</x:v>
      </x:c>
      <x:c r="D61" s="215" t="str">
        <x:v>Habit and leaves</x:v>
      </x:c>
      <x:c r="E61" s="215" t="str">
        <x:v>Basal rosette of fibrous, often stiff or succulent leaves; tall many-flowered stalk common</x:v>
      </x:c>
      <x:c r="F61" s="215" t="str">
        <x:v>Subgroup</x:v>
      </x:c>
      <x:c r="G61" s="215" t="str">
        <x:v>4</x:v>
      </x:c>
      <x:c r="H61" s="215" t="str">
        <x:v>Moderate</x:v>
      </x:c>
      <x:c r="I61" s="215" t="str">
        <x:v>Naked eye</x:v>
      </x:c>
      <x:c r="J61" s="215" t="str">
        <x:v>Vegetative through flowering</x:v>
      </x:c>
      <x:c r="K61" s="215" t="str">
        <x:v>Agave, Yucca, Hesperaloe, Manfreda, and some relatives commonly form conspicuous rosettes and send up a tall inflorescence.</x:v>
      </x:c>
      <x:c r="L61" s="215" t="str">
        <x:v>Rosettes and fibrous leaves occur in other monocots; not every agavoid is massive, spiny, or succulent.</x:v>
      </x:c>
      <x:c r="M61" s="215" t="str">
        <x:v>Use as a route into the agavoid group, then separate by leaf texture, inflorescence, flower, and fruit.</x:v>
      </x:c>
      <x:c r="N61" s="215" t="str">
        <x:v>Covers most local Asparagaceae taxa but not Nolina, Dasylirion, Camassia, or Androstephium in the same way.</x:v>
      </x:c>
      <x:c r="O61" s="215" t="str">
        <x:v>Low</x:v>
      </x:c>
      <x:c r="P61" s="215" t="str">
        <x:v>No</x:v>
      </x:c>
      <x:c r="Q61" s="215" t="str"/>
      <x:c r="R61" s="215" t="str">
        <x:v>ASP-LK01; ASP-LK02</x:v>
      </x:c>
      <x:c r="S61" s="215" t="str">
        <x:v>APWEB-ASPAR; FNA-AGAVE; FNA-YUCCA; FNA-HESPERALOE; POWO-ASPAR</x:v>
      </x:c>
      <x:c r="T61" s="215" t="str">
        <x:v>https://www.mobot.org/MOBOT/research/APweb/orders/asparagalesweb.htm</x:v>
      </x:c>
      <x:c r="U61" s="215" t="str">
        <x:v>https://floranorthamerica.org/Agave
https://floranorthamerica.org/Yucca
https://floranorthamerica.org/Hesperaloe</x:v>
      </x:c>
      <x:c r="V61" s="215" t="str">
        <x:v>https://powo.science.kew.org/taxon/urn:lsid:ipni.org:names:30275682-2</x:v>
      </x:c>
      <x:c r="W61" s="215" t="str">
        <x:v>https://www.mobot.org/MOBOT/research/APweb/orders/asparagalesweb.htm
https://floranorthamerica.org/Agave
https://floranorthamerica.org/Yucca
https://floranorthamerica.org/Hesperaloe
https://powo.science.kew.org/taxon/urn:lsid:ipni.org:names:30275682-2</x:v>
      </x:c>
      <x:c r="X61" s="215" t="str">
        <x:v>No — retain qualifiers and exceptions</x:v>
      </x:c>
      <x:c r="Y61" s="215" t="str">
        <x:v>Yes</x:v>
      </x:c>
      <x:c r="Z61" s="215" t="str">
        <x:v>Source-backed draft</x:v>
      </x:c>
      <x:c r="AA61" s="215" t="str">
        <x:v>Local subgroup / route</x:v>
      </x:c>
      <x:c r="AB61" s="215" t="str">
        <x:v>Supporting / route</x:v>
      </x:c>
      <x:c r="AC61" s="215" t="str">
        <x:v>Moderate</x:v>
      </x:c>
      <x:c r="AD61" s="215" t="str">
        <x:v>Naked eye / field</x:v>
      </x:c>
      <x:c r="AE61" s="215" t="str">
        <x:v>Low</x:v>
      </x:c>
      <x:c r="AF61" s="215" t="str">
        <x:v>Field-ready draft</x:v>
      </x:c>
      <x:c r="AG61" s="215" t="str">
        <x:v>2 — Field-photo priority</x:v>
      </x:c>
      <x:c r="AH61" s="215" t="str">
        <x:v>Current master inventory</x:v>
      </x:c>
    </x:row>
    <x:row r="62" ht="42" customHeight="1">
      <x:c r="A62" s="215" t="str">
        <x:v>Asparagaceae</x:v>
      </x:c>
      <x:c r="B62" s="215" t="str">
        <x:v>ASP-AGAVE</x:v>
      </x:c>
      <x:c r="C62" s="215" t="str">
        <x:v>Local subgroup: Agave</x:v>
      </x:c>
      <x:c r="D62" s="215" t="str">
        <x:v>Habit, leaf, flower</x:v>
      </x:c>
      <x:c r="E62" s="215" t="str">
        <x:v>Succulent rosette with thick leaves, terminal spine common, and large paniculate or spicate flowering stalk</x:v>
      </x:c>
      <x:c r="F62" s="215" t="str">
        <x:v>Subgroup</x:v>
      </x:c>
      <x:c r="G62" s="215" t="str">
        <x:v>5</x:v>
      </x:c>
      <x:c r="H62" s="215" t="str">
        <x:v>High within local Agave route</x:v>
      </x:c>
      <x:c r="I62" s="215" t="str">
        <x:v>Naked eye</x:v>
      </x:c>
      <x:c r="J62" s="215" t="str">
        <x:v>Vegetative or flowering</x:v>
      </x:c>
      <x:c r="K62" s="215" t="str">
        <x:v>Agave combines a usually stemless succulent rosette with robust flowering architecture.</x:v>
      </x:c>
      <x:c r="L62" s="215" t="str">
        <x:v>Spines vary, some leaves are less succulent, and the former genus Manfreda has historically altered the visual limits of Agave in some classifications.</x:v>
      </x:c>
      <x:c r="M62" s="215" t="str">
        <x:v>Separates Agave-like plants from non-succulent Yucca, Hesperaloe, Nolina, and bulbous genera.</x:v>
      </x:c>
      <x:c r="N62" s="215" t="str">
        <x:v>One accepted local Agave row plus a separate Manfreda working row require explicit taxonomic review.</x:v>
      </x:c>
      <x:c r="O62" s="215" t="str">
        <x:v>Moderate</x:v>
      </x:c>
      <x:c r="P62" s="215" t="str">
        <x:v>Yes</x:v>
      </x:c>
      <x:c r="Q62" s="215" t="str">
        <x:v>Confirm whether the project will retain the submitted Manfreda working name or display its current POWO accepted placement without overwriting the master.</x:v>
      </x:c>
      <x:c r="R62" s="215" t="str">
        <x:v>ASP-LK01; ASP-LK02</x:v>
      </x:c>
      <x:c r="S62" s="215" t="str">
        <x:v>FNA-AGAVE; FNA-MANFREDA; APWEB-ASPAR; POWO-ASPAR</x:v>
      </x:c>
      <x:c r="T62" s="215" t="str">
        <x:v>https://www.mobot.org/MOBOT/research/APweb/orders/asparagalesweb.htm</x:v>
      </x:c>
      <x:c r="U62" s="215" t="str">
        <x:v>https://floranorthamerica.org/Agave
https://floranorthamerica.org/Manfreda</x:v>
      </x:c>
      <x:c r="V62" s="215" t="str">
        <x:v>https://powo.science.kew.org/taxon/urn:lsid:ipni.org:names:30275682-2</x:v>
      </x:c>
      <x:c r="W62" s="215" t="str">
        <x:v>https://floranorthamerica.org/Agave
https://floranorthamerica.org/Manfreda
https://www.mobot.org/MOBOT/research/APweb/orders/asparagalesweb.htm
https://powo.science.kew.org/taxon/urn:lsid:ipni.org:names:30275682-2</x:v>
      </x:c>
      <x:c r="X62" s="215" t="str">
        <x:v>No — retain qualifiers and exceptions</x:v>
      </x:c>
      <x:c r="Y62" s="215" t="str">
        <x:v>Yes</x:v>
      </x:c>
      <x:c r="Z62" s="215" t="str">
        <x:v>Human review required</x:v>
      </x:c>
      <x:c r="AA62" s="215" t="str">
        <x:v>Local subgroup / route</x:v>
      </x:c>
      <x:c r="AB62" s="215" t="str">
        <x:v>Supporting / route</x:v>
      </x:c>
      <x:c r="AC62" s="215" t="str">
        <x:v>High</x:v>
      </x:c>
      <x:c r="AD62" s="215" t="str">
        <x:v>Naked eye / field</x:v>
      </x:c>
      <x:c r="AE62" s="215" t="str">
        <x:v>Moderate</x:v>
      </x:c>
      <x:c r="AF62" s="215" t="str">
        <x:v>Use only after review</x:v>
      </x:c>
      <x:c r="AG62" s="215" t="str">
        <x:v>1 — Human review now</x:v>
      </x:c>
      <x:c r="AH62" s="215" t="str">
        <x:v>Current master inventory</x:v>
      </x:c>
    </x:row>
    <x:row r="63" ht="42" customHeight="1">
      <x:c r="A63" s="215" t="str">
        <x:v>Asparagaceae</x:v>
      </x:c>
      <x:c r="B63" s="215" t="str">
        <x:v>ASP-YUCCA</x:v>
      </x:c>
      <x:c r="C63" s="215" t="str">
        <x:v>Local subgroup: Yucca</x:v>
      </x:c>
      <x:c r="D63" s="215" t="str">
        <x:v>Habit, leaf, flower</x:v>
      </x:c>
      <x:c r="E63" s="215" t="str">
        <x:v>Rosette or woody crown with tough fibrous leaves and large pendent or spreading whitish flowers</x:v>
      </x:c>
      <x:c r="F63" s="215" t="str">
        <x:v>Subgroup</x:v>
      </x:c>
      <x:c r="G63" s="215" t="str">
        <x:v>5</x:v>
      </x:c>
      <x:c r="H63" s="215" t="str">
        <x:v>High within local Yucca</x:v>
      </x:c>
      <x:c r="I63" s="215" t="str">
        <x:v>Naked eye</x:v>
      </x:c>
      <x:c r="J63" s="215" t="str">
        <x:v>Vegetative or flowering</x:v>
      </x:c>
      <x:c r="K63" s="215" t="str">
        <x:v>Yucca usually has firm swordlike leaves and large six-tepaled flowers borne on a branched stalk.</x:v>
      </x:c>
      <x:c r="L63" s="215" t="str">
        <x:v>Leaf filaments, trunk formation, flower orientation, and fruit type vary among species; juvenile rosettes can resemble other genera.</x:v>
      </x:c>
      <x:c r="M63" s="215" t="str">
        <x:v>Use large fleshy tepals and Yucca architecture to separate from Nolina, Dasylirion, and Hesperaloe.</x:v>
      </x:c>
      <x:c r="N63" s="215" t="str">
        <x:v>Yucca is the largest local family route, with five accepted-family rows plus one unresolved submitted name.</x:v>
      </x:c>
      <x:c r="O63" s="215" t="str">
        <x:v>Low</x:v>
      </x:c>
      <x:c r="P63" s="215" t="str">
        <x:v>No</x:v>
      </x:c>
      <x:c r="Q63" s="215" t="str"/>
      <x:c r="R63" s="215" t="str">
        <x:v>ASP-LK01; ASP-LK02</x:v>
      </x:c>
      <x:c r="S63" s="215" t="str">
        <x:v>FNA-YUCCA; APWEB-ASPAR; POWO-ASPAR</x:v>
      </x:c>
      <x:c r="T63" s="215" t="str">
        <x:v>https://www.mobot.org/MOBOT/research/APweb/orders/asparagalesweb.htm</x:v>
      </x:c>
      <x:c r="U63" s="215" t="str">
        <x:v>https://floranorthamerica.org/Yucca</x:v>
      </x:c>
      <x:c r="V63" s="215" t="str">
        <x:v>https://powo.science.kew.org/taxon/urn:lsid:ipni.org:names:30275682-2</x:v>
      </x:c>
      <x:c r="W63" s="215" t="str">
        <x:v>https://floranorthamerica.org/Yucca
https://www.mobot.org/MOBOT/research/APweb/orders/asparagalesweb.htm
https://powo.science.kew.org/taxon/urn:lsid:ipni.org:names:30275682-2</x:v>
      </x:c>
      <x:c r="X63" s="215" t="str">
        <x:v>No — retain qualifiers and exceptions</x:v>
      </x:c>
      <x:c r="Y63" s="215" t="str">
        <x:v>Yes</x:v>
      </x:c>
      <x:c r="Z63" s="215" t="str">
        <x:v>Source-backed draft</x:v>
      </x:c>
      <x:c r="AA63" s="215" t="str">
        <x:v>Local subgroup / route</x:v>
      </x:c>
      <x:c r="AB63" s="215" t="str">
        <x:v>Supporting / route</x:v>
      </x:c>
      <x:c r="AC63" s="215" t="str">
        <x:v>High</x:v>
      </x:c>
      <x:c r="AD63" s="215" t="str">
        <x:v>Naked eye / field</x:v>
      </x:c>
      <x:c r="AE63" s="215" t="str">
        <x:v>Low</x:v>
      </x:c>
      <x:c r="AF63" s="215" t="str">
        <x:v>Field-ready draft</x:v>
      </x:c>
      <x:c r="AG63" s="215" t="str">
        <x:v>2 — Field-photo priority</x:v>
      </x:c>
      <x:c r="AH63" s="215" t="str">
        <x:v>Current master inventory</x:v>
      </x:c>
    </x:row>
    <x:row r="64" ht="42" customHeight="1">
      <x:c r="A64" s="215" t="str">
        <x:v>Asparagaceae</x:v>
      </x:c>
      <x:c r="B64" s="215" t="str">
        <x:v>ASP-NOLINA</x:v>
      </x:c>
      <x:c r="C64" s="215" t="str">
        <x:v>Local subgroup: Nolina</x:v>
      </x:c>
      <x:c r="D64" s="215" t="str">
        <x:v>Habit, leaf, flower</x:v>
      </x:c>
      <x:c r="E64" s="215" t="str">
        <x:v>Dense rosette of narrow fibrous leaves; very small unisexual or functionally unisexual flowers in a branched panicle</x:v>
      </x:c>
      <x:c r="F64" s="215" t="str">
        <x:v>Subgroup</x:v>
      </x:c>
      <x:c r="G64" s="215" t="str">
        <x:v>5</x:v>
      </x:c>
      <x:c r="H64" s="215" t="str">
        <x:v>High within local Nolina</x:v>
      </x:c>
      <x:c r="I64" s="215" t="str">
        <x:v>Naked eye and hand lens</x:v>
      </x:c>
      <x:c r="J64" s="215" t="str">
        <x:v>Flowering</x:v>
      </x:c>
      <x:c r="K64" s="215" t="str">
        <x:v>Nolina differs from the showy agavoids by tiny clustered flowers and grasslike to straplike leaves.</x:v>
      </x:c>
      <x:c r="L64" s="215" t="str">
        <x:v>Flower sexuality and trunk development vary; sterile plants may resemble Dasylirion or juvenile Yucca.</x:v>
      </x:c>
      <x:c r="M64" s="215" t="str">
        <x:v>Flower size and panicle structure separate Nolina from Yucca and Hesperaloe; leaf margins help against Dasylirion.</x:v>
      </x:c>
      <x:c r="N64" s="215" t="str">
        <x:v>Two local Nolina rows make this a practical route.</x:v>
      </x:c>
      <x:c r="O64" s="215" t="str">
        <x:v>Low</x:v>
      </x:c>
      <x:c r="P64" s="215" t="str">
        <x:v>No</x:v>
      </x:c>
      <x:c r="Q64" s="215" t="str"/>
      <x:c r="R64" s="215" t="str">
        <x:v>ASP-LK01</x:v>
      </x:c>
      <x:c r="S64" s="215" t="str">
        <x:v>FNA-NOLINA; APWEB-ASPAR; POWO-ASPAR</x:v>
      </x:c>
      <x:c r="T64" s="215" t="str">
        <x:v>https://www.mobot.org/MOBOT/research/APweb/orders/asparagalesweb.htm</x:v>
      </x:c>
      <x:c r="U64" s="215" t="str">
        <x:v>https://floranorthamerica.org/Nolina</x:v>
      </x:c>
      <x:c r="V64" s="215" t="str">
        <x:v>https://powo.science.kew.org/taxon/urn:lsid:ipni.org:names:30275682-2</x:v>
      </x:c>
      <x:c r="W64" s="215" t="str">
        <x:v>https://floranorthamerica.org/Nolina
https://www.mobot.org/MOBOT/research/APweb/orders/asparagalesweb.htm
https://powo.science.kew.org/taxon/urn:lsid:ipni.org:names:30275682-2</x:v>
      </x:c>
      <x:c r="X64" s="215" t="str">
        <x:v>No — retain qualifiers and exceptions</x:v>
      </x:c>
      <x:c r="Y64" s="215" t="str">
        <x:v>Yes</x:v>
      </x:c>
      <x:c r="Z64" s="215" t="str">
        <x:v>Source-backed draft</x:v>
      </x:c>
      <x:c r="AA64" s="215" t="str">
        <x:v>Local subgroup / route</x:v>
      </x:c>
      <x:c r="AB64" s="215" t="str">
        <x:v>Supporting / route</x:v>
      </x:c>
      <x:c r="AC64" s="215" t="str">
        <x:v>High</x:v>
      </x:c>
      <x:c r="AD64" s="215" t="str">
        <x:v>Hand lens / macro</x:v>
      </x:c>
      <x:c r="AE64" s="215" t="str">
        <x:v>Low</x:v>
      </x:c>
      <x:c r="AF64" s="215" t="str">
        <x:v>Field-ready draft</x:v>
      </x:c>
      <x:c r="AG64" s="215" t="str">
        <x:v>2 — Field-photo priority</x:v>
      </x:c>
      <x:c r="AH64" s="215" t="str">
        <x:v>Current master inventory</x:v>
      </x:c>
    </x:row>
    <x:row r="65" ht="42" customHeight="1">
      <x:c r="A65" s="215" t="str">
        <x:v>Asparagaceae</x:v>
      </x:c>
      <x:c r="B65" s="215" t="str">
        <x:v>ASP-DASYLIRION</x:v>
      </x:c>
      <x:c r="C65" s="215" t="str">
        <x:v>Local subgroup: Dasylirion</x:v>
      </x:c>
      <x:c r="D65" s="215" t="str">
        <x:v>Habit and leaf</x:v>
      </x:c>
      <x:c r="E65" s="215" t="str">
        <x:v>Rosette of many narrow leaves, margins commonly armed with backward-curving teeth</x:v>
      </x:c>
      <x:c r="F65" s="215" t="str">
        <x:v>Subgroup</x:v>
      </x:c>
      <x:c r="G65" s="215" t="str">
        <x:v>5</x:v>
      </x:c>
      <x:c r="H65" s="215" t="str">
        <x:v>High within local Dasylirion</x:v>
      </x:c>
      <x:c r="I65" s="215" t="str">
        <x:v>Naked eye</x:v>
      </x:c>
      <x:c r="J65" s="215" t="str">
        <x:v>Vegetative</x:v>
      </x:c>
      <x:c r="K65" s="215" t="str">
        <x:v>Dasylirion often forms a dense spherical rosette whose narrow leaves have conspicuous marginal teeth.</x:v>
      </x:c>
      <x:c r="L65" s="215" t="str">
        <x:v>Tooth size varies and worn leaves can lose obvious armature; rosette form overlaps Nolina.</x:v>
      </x:c>
      <x:c r="M65" s="215" t="str">
        <x:v>Marginal armature is the fastest local separation from usually smoother-edged Nolina.</x:v>
      </x:c>
      <x:c r="N65" s="215" t="str">
        <x:v>One local Dasylirion row, but the plant is visually distinctive and common in cultivation.</x:v>
      </x:c>
      <x:c r="O65" s="215" t="str">
        <x:v>Low</x:v>
      </x:c>
      <x:c r="P65" s="215" t="str">
        <x:v>No</x:v>
      </x:c>
      <x:c r="Q65" s="215" t="str"/>
      <x:c r="R65" s="215" t="str">
        <x:v>ASP-LK01</x:v>
      </x:c>
      <x:c r="S65" s="215" t="str">
        <x:v>FNA-DASYLIRION; APWEB-ASPAR; POWO-ASPAR</x:v>
      </x:c>
      <x:c r="T65" s="215" t="str">
        <x:v>https://www.mobot.org/MOBOT/research/APweb/orders/asparagalesweb.htm</x:v>
      </x:c>
      <x:c r="U65" s="215" t="str">
        <x:v>https://floranorthamerica.org/Dasylirion</x:v>
      </x:c>
      <x:c r="V65" s="215" t="str">
        <x:v>https://powo.science.kew.org/taxon/urn:lsid:ipni.org:names:30275682-2</x:v>
      </x:c>
      <x:c r="W65" s="215" t="str">
        <x:v>https://floranorthamerica.org/Dasylirion
https://www.mobot.org/MOBOT/research/APweb/orders/asparagalesweb.htm
https://powo.science.kew.org/taxon/urn:lsid:ipni.org:names:30275682-2</x:v>
      </x:c>
      <x:c r="X65" s="215" t="str">
        <x:v>No — retain qualifiers and exceptions</x:v>
      </x:c>
      <x:c r="Y65" s="215" t="str">
        <x:v>Yes</x:v>
      </x:c>
      <x:c r="Z65" s="215" t="str">
        <x:v>Source-backed draft</x:v>
      </x:c>
      <x:c r="AA65" s="215" t="str">
        <x:v>Local subgroup / route</x:v>
      </x:c>
      <x:c r="AB65" s="215" t="str">
        <x:v>Supporting / route</x:v>
      </x:c>
      <x:c r="AC65" s="215" t="str">
        <x:v>High</x:v>
      </x:c>
      <x:c r="AD65" s="215" t="str">
        <x:v>Naked eye / field</x:v>
      </x:c>
      <x:c r="AE65" s="215" t="str">
        <x:v>Low</x:v>
      </x:c>
      <x:c r="AF65" s="215" t="str">
        <x:v>Field-ready draft</x:v>
      </x:c>
      <x:c r="AG65" s="215" t="str">
        <x:v>2 — Field-photo priority</x:v>
      </x:c>
      <x:c r="AH65" s="215" t="str">
        <x:v>Current master inventory</x:v>
      </x:c>
    </x:row>
    <x:row r="66" ht="42" customHeight="1">
      <x:c r="A66" s="215" t="str">
        <x:v>Asparagaceae</x:v>
      </x:c>
      <x:c r="B66" s="215" t="str">
        <x:v>ASP-HESPERALOE</x:v>
      </x:c>
      <x:c r="C66" s="215" t="str">
        <x:v>Local subgroup: Hesperaloe</x:v>
      </x:c>
      <x:c r="D66" s="215" t="str">
        <x:v>Habit, leaf, flower</x:v>
      </x:c>
      <x:c r="E66" s="215" t="str">
        <x:v>Non-succulent fibrous rosette; tubular to campanulate flowers on tall stalks</x:v>
      </x:c>
      <x:c r="F66" s="215" t="str">
        <x:v>Subgroup</x:v>
      </x:c>
      <x:c r="G66" s="215" t="str">
        <x:v>5</x:v>
      </x:c>
      <x:c r="H66" s="215" t="str">
        <x:v>High within local Hesperaloe</x:v>
      </x:c>
      <x:c r="I66" s="215" t="str">
        <x:v>Naked eye</x:v>
      </x:c>
      <x:c r="J66" s="215" t="str">
        <x:v>Flowering</x:v>
      </x:c>
      <x:c r="K66" s="215" t="str">
        <x:v>Hesperaloe has arching straplike leaves and showy tubular flowers rather than the large separate-tepaled Yucca look.</x:v>
      </x:c>
      <x:c r="L66" s="215" t="str">
        <x:v>Leaf fibers and flower colors vary, and sterile rosettes can resemble Yucca or Nolina.</x:v>
      </x:c>
      <x:c r="M66" s="215" t="str">
        <x:v>Tubular flower form and flexible leaves separate Hesperaloe from local Yucca and Agave routes.</x:v>
      </x:c>
      <x:c r="N66" s="215" t="str">
        <x:v>One local Hesperaloe row; high value for field and landscape identification.</x:v>
      </x:c>
      <x:c r="O66" s="215" t="str">
        <x:v>Low</x:v>
      </x:c>
      <x:c r="P66" s="215" t="str">
        <x:v>No</x:v>
      </x:c>
      <x:c r="Q66" s="215" t="str"/>
      <x:c r="R66" s="215" t="str">
        <x:v>ASP-LK01; ASP-LK02</x:v>
      </x:c>
      <x:c r="S66" s="215" t="str">
        <x:v>FNA-HESPERALOE; APWEB-ASPAR; POWO-ASPAR</x:v>
      </x:c>
      <x:c r="T66" s="215" t="str">
        <x:v>https://www.mobot.org/MOBOT/research/APweb/orders/asparagalesweb.htm</x:v>
      </x:c>
      <x:c r="U66" s="215" t="str">
        <x:v>https://floranorthamerica.org/Hesperaloe</x:v>
      </x:c>
      <x:c r="V66" s="215" t="str">
        <x:v>https://powo.science.kew.org/taxon/urn:lsid:ipni.org:names:30275682-2</x:v>
      </x:c>
      <x:c r="W66" s="215" t="str">
        <x:v>https://floranorthamerica.org/Hesperaloe
https://www.mobot.org/MOBOT/research/APweb/orders/asparagalesweb.htm
https://powo.science.kew.org/taxon/urn:lsid:ipni.org:names:30275682-2</x:v>
      </x:c>
      <x:c r="X66" s="215" t="str">
        <x:v>No — retain qualifiers and exceptions</x:v>
      </x:c>
      <x:c r="Y66" s="215" t="str">
        <x:v>Yes</x:v>
      </x:c>
      <x:c r="Z66" s="215" t="str">
        <x:v>Source-backed draft</x:v>
      </x:c>
      <x:c r="AA66" s="215" t="str">
        <x:v>Local subgroup / route</x:v>
      </x:c>
      <x:c r="AB66" s="215" t="str">
        <x:v>Supporting / route</x:v>
      </x:c>
      <x:c r="AC66" s="215" t="str">
        <x:v>High</x:v>
      </x:c>
      <x:c r="AD66" s="215" t="str">
        <x:v>Naked eye / field</x:v>
      </x:c>
      <x:c r="AE66" s="215" t="str">
        <x:v>Low</x:v>
      </x:c>
      <x:c r="AF66" s="215" t="str">
        <x:v>Field-ready draft</x:v>
      </x:c>
      <x:c r="AG66" s="215" t="str">
        <x:v>2 — Field-photo priority</x:v>
      </x:c>
      <x:c r="AH66" s="215" t="str">
        <x:v>Current master inventory</x:v>
      </x:c>
    </x:row>
    <x:row r="67" ht="42" customHeight="1">
      <x:c r="A67" s="215" t="str">
        <x:v>Asparagaceae</x:v>
      </x:c>
      <x:c r="B67" s="215" t="str">
        <x:v>ASP-CAMASSIA</x:v>
      </x:c>
      <x:c r="C67" s="215" t="str">
        <x:v>Local subgroup: Camassia</x:v>
      </x:c>
      <x:c r="D67" s="215" t="str">
        <x:v>Geophyte and flower</x:v>
      </x:c>
      <x:c r="E67" s="215" t="str">
        <x:v>Bulbous herb with basal leaves and raceme of star-shaped flowers; ovary superior</x:v>
      </x:c>
      <x:c r="F67" s="215" t="str">
        <x:v>Subgroup</x:v>
      </x:c>
      <x:c r="G67" s="215" t="str">
        <x:v>5</x:v>
      </x:c>
      <x:c r="H67" s="215" t="str">
        <x:v>High within local Camassia</x:v>
      </x:c>
      <x:c r="I67" s="215" t="str">
        <x:v>Naked eye</x:v>
      </x:c>
      <x:c r="J67" s="215" t="str">
        <x:v>Flowering</x:v>
      </x:c>
      <x:c r="K67" s="215" t="str">
        <x:v>Camassia is a spring geophyte with a leafless flowering stalk and open six-tepaled flowers.</x:v>
      </x:c>
      <x:c r="L67" s="215" t="str">
        <x:v>Flowers and leaves are seasonal; sterile bulbs cannot be identified from aboveground traits.</x:v>
      </x:c>
      <x:c r="M67" s="215" t="str">
        <x:v>Separates the bulbous Camassia route from rosette-forming woody or fibrous-leaved genera and from inferior-ovary Iridaceae.</x:v>
      </x:c>
      <x:c r="N67" s="215" t="str">
        <x:v>One local Camassia row; only seasonally visible.</x:v>
      </x:c>
      <x:c r="O67" s="215" t="str">
        <x:v>Low</x:v>
      </x:c>
      <x:c r="P67" s="215" t="str">
        <x:v>No</x:v>
      </x:c>
      <x:c r="Q67" s="215" t="str"/>
      <x:c r="R67" s="215" t="str">
        <x:v>ASP-LK01; ASP-LK02</x:v>
      </x:c>
      <x:c r="S67" s="215" t="str">
        <x:v>FNA-CAMASSIA; APWEB-ASPAR; POWO-ASPAR</x:v>
      </x:c>
      <x:c r="T67" s="215" t="str">
        <x:v>https://www.mobot.org/MOBOT/research/APweb/orders/asparagalesweb.htm</x:v>
      </x:c>
      <x:c r="U67" s="215" t="str">
        <x:v>https://floranorthamerica.org/Camassia</x:v>
      </x:c>
      <x:c r="V67" s="215" t="str">
        <x:v>https://powo.science.kew.org/taxon/urn:lsid:ipni.org:names:30275682-2</x:v>
      </x:c>
      <x:c r="W67" s="215" t="str">
        <x:v>https://floranorthamerica.org/Camassia
https://www.mobot.org/MOBOT/research/APweb/orders/asparagalesweb.htm
https://powo.science.kew.org/taxon/urn:lsid:ipni.org:names:30275682-2</x:v>
      </x:c>
      <x:c r="X67" s="215" t="str">
        <x:v>No — retain qualifiers and exceptions</x:v>
      </x:c>
      <x:c r="Y67" s="215" t="str">
        <x:v>Yes</x:v>
      </x:c>
      <x:c r="Z67" s="215" t="str">
        <x:v>Source-backed draft</x:v>
      </x:c>
      <x:c r="AA67" s="215" t="str">
        <x:v>Local subgroup / route</x:v>
      </x:c>
      <x:c r="AB67" s="215" t="str">
        <x:v>Supporting / route</x:v>
      </x:c>
      <x:c r="AC67" s="215" t="str">
        <x:v>High</x:v>
      </x:c>
      <x:c r="AD67" s="215" t="str">
        <x:v>Naked eye / field</x:v>
      </x:c>
      <x:c r="AE67" s="215" t="str">
        <x:v>Low</x:v>
      </x:c>
      <x:c r="AF67" s="215" t="str">
        <x:v>Field-ready draft</x:v>
      </x:c>
      <x:c r="AG67" s="215" t="str">
        <x:v>2 — Field-photo priority</x:v>
      </x:c>
      <x:c r="AH67" s="215" t="str">
        <x:v>Current master inventory</x:v>
      </x:c>
    </x:row>
    <x:row r="68" ht="42" customHeight="1">
      <x:c r="A68" s="215" t="str">
        <x:v>Asparagaceae</x:v>
      </x:c>
      <x:c r="B68" s="215" t="str">
        <x:v>ASP-ANDROSTEPHIUM</x:v>
      </x:c>
      <x:c r="C68" s="215" t="str">
        <x:v>Local subgroup: Androstephium</x:v>
      </x:c>
      <x:c r="D68" s="215" t="str">
        <x:v>Geophyte and flower</x:v>
      </x:c>
      <x:c r="E68" s="215" t="str">
        <x:v>Cormous or bulbous herb with a conspicuous staminal tube or crown</x:v>
      </x:c>
      <x:c r="F68" s="215" t="str">
        <x:v>Subgroup</x:v>
      </x:c>
      <x:c r="G68" s="215" t="str">
        <x:v>5</x:v>
      </x:c>
      <x:c r="H68" s="215" t="str">
        <x:v>High within local Androstephium</x:v>
      </x:c>
      <x:c r="I68" s="215" t="str">
        <x:v>Naked eye or hand lens</x:v>
      </x:c>
      <x:c r="J68" s="215" t="str">
        <x:v>Flowering</x:v>
      </x:c>
      <x:c r="K68" s="215" t="str">
        <x:v>The filaments are united into a distinct tube or crown inside the six-tepaled flower.</x:v>
      </x:c>
      <x:c r="L68" s="215" t="str">
        <x:v>The plant is seasonal and small; nonflowering material is not reliably separable.</x:v>
      </x:c>
      <x:c r="M68" s="215" t="str">
        <x:v>The staminal crown sharply separates Androstephium from Camassia and most other local monocots.</x:v>
      </x:c>
      <x:c r="N68" s="215" t="str">
        <x:v>One local Androstephium row; flower-dependent.</x:v>
      </x:c>
      <x:c r="O68" s="215" t="str">
        <x:v>Low</x:v>
      </x:c>
      <x:c r="P68" s="215" t="str">
        <x:v>No</x:v>
      </x:c>
      <x:c r="Q68" s="215" t="str"/>
      <x:c r="R68" s="215" t="str">
        <x:v>ASP-LK02</x:v>
      </x:c>
      <x:c r="S68" s="215" t="str">
        <x:v>FNA-ANDROSTEPHIUM; APWEB-ASPAR; POWO-ASPAR</x:v>
      </x:c>
      <x:c r="T68" s="215" t="str">
        <x:v>https://www.mobot.org/MOBOT/research/APweb/orders/asparagalesweb.htm</x:v>
      </x:c>
      <x:c r="U68" s="215" t="str">
        <x:v>https://floranorthamerica.org/Androstephium</x:v>
      </x:c>
      <x:c r="V68" s="215" t="str">
        <x:v>https://powo.science.kew.org/taxon/urn:lsid:ipni.org:names:30275682-2</x:v>
      </x:c>
      <x:c r="W68" s="215" t="str">
        <x:v>https://floranorthamerica.org/Androstephium
https://www.mobot.org/MOBOT/research/APweb/orders/asparagalesweb.htm
https://powo.science.kew.org/taxon/urn:lsid:ipni.org:names:30275682-2</x:v>
      </x:c>
      <x:c r="X68" s="215" t="str">
        <x:v>No — retain qualifiers and exceptions</x:v>
      </x:c>
      <x:c r="Y68" s="215" t="str">
        <x:v>Yes</x:v>
      </x:c>
      <x:c r="Z68" s="215" t="str">
        <x:v>Source-backed draft</x:v>
      </x:c>
      <x:c r="AA68" s="215" t="str">
        <x:v>Local subgroup / route</x:v>
      </x:c>
      <x:c r="AB68" s="215" t="str">
        <x:v>Supporting / route</x:v>
      </x:c>
      <x:c r="AC68" s="215" t="str">
        <x:v>High</x:v>
      </x:c>
      <x:c r="AD68" s="215" t="str">
        <x:v>Hand lens / macro</x:v>
      </x:c>
      <x:c r="AE68" s="215" t="str">
        <x:v>Low</x:v>
      </x:c>
      <x:c r="AF68" s="215" t="str">
        <x:v>Field-ready draft</x:v>
      </x:c>
      <x:c r="AG68" s="215" t="str">
        <x:v>2 — Field-photo priority</x:v>
      </x:c>
      <x:c r="AH68" s="215" t="str">
        <x:v>Current master inventory</x:v>
      </x:c>
    </x:row>
    <x:row r="69" ht="42" customHeight="1">
      <x:c r="A69" s="215" t="str">
        <x:v>Asparagaceae</x:v>
      </x:c>
      <x:c r="B69" s="215" t="str">
        <x:v>ASP-LEGACY</x:v>
      </x:c>
      <x:c r="C69" s="215" t="str">
        <x:v>Taxonomy and naming</x:v>
      </x:c>
      <x:c r="D69" s="215" t="str">
        <x:v>Taxonomy</x:v>
      </x:c>
      <x:c r="E69" s="215" t="str">
        <x:v>Former family names such as Agavaceae, Nolinaceae, Hyacinthaceae, and Themidaceae may appear in floras and labels</x:v>
      </x:c>
      <x:c r="F69" s="215" t="str">
        <x:v>Caution</x:v>
      </x:c>
      <x:c r="G69" s="215" t="str">
        <x:v>0</x:v>
      </x:c>
      <x:c r="H69" s="215" t="str">
        <x:v>High as a documented naming issue</x:v>
      </x:c>
      <x:c r="I69" s="215" t="str">
        <x:v>Reference check</x:v>
      </x:c>
      <x:c r="J69" s="215" t="str">
        <x:v>Any</x:v>
      </x:c>
      <x:c r="K69" s="215" t="str">
        <x:v>Broad modern Asparagaceae combines groups that older sources treated as separate families.</x:v>
      </x:c>
      <x:c r="L69" s="215" t="str">
        <x:v>Older labels can still be morphologically useful, but they do not match the selected POWO family rank.</x:v>
      </x:c>
      <x:c r="M69" s="215" t="str">
        <x:v>Preserve old family labels as synonyms or subgroup cues, not as silent replacements for accepted taxonomy.</x:v>
      </x:c>
      <x:c r="N69" s="215" t="str">
        <x:v>Highly relevant to local Agave-Yucca-Nolina-Dasylirion and bulbous genera.</x:v>
      </x:c>
      <x:c r="O69" s="215" t="str">
        <x:v>Low</x:v>
      </x:c>
      <x:c r="P69" s="215" t="str">
        <x:v>Yes</x:v>
      </x:c>
      <x:c r="Q69" s="215" t="str">
        <x:v>Human reviewer should approve synonym display and ensure search accepts legacy family names without changing stored master values.</x:v>
      </x:c>
      <x:c r="R69" s="215" t="str">
        <x:v>ASP-LK01; ASP-LK02</x:v>
      </x:c>
      <x:c r="S69" s="215" t="str">
        <x:v>POWO-ASPAR; APWEB-ASPAR</x:v>
      </x:c>
      <x:c r="T69" s="215" t="str">
        <x:v>https://www.mobot.org/MOBOT/research/APweb/orders/asparagalesweb.htm</x:v>
      </x:c>
      <x:c r="U69" s="215" t="str">
        <x:v>https://floranorthamerica.org/Yucca
https://floranorthamerica.org/Agave
https://floranorthamerica.org/Camassia</x:v>
      </x:c>
      <x:c r="V69" s="215" t="str">
        <x:v>https://powo.science.kew.org/taxon/urn:lsid:ipni.org:names:30275682-2</x:v>
      </x:c>
      <x:c r="W69" s="215" t="str">
        <x:v>https://powo.science.kew.org/taxon/urn:lsid:ipni.org:names:30275682-2
https://www.mobot.org/MOBOT/research/APweb/orders/asparagalesweb.htm
https://floranorthamerica.org/Yucca
https://floranorthamerica.org/Agave
https://floranorthamerica.org/Camassia</x:v>
      </x:c>
      <x:c r="X69" s="215" t="str">
        <x:v>No — retain qualifiers and exceptions</x:v>
      </x:c>
      <x:c r="Y69" s="215" t="str">
        <x:v>Yes</x:v>
      </x:c>
      <x:c r="Z69" s="215" t="str">
        <x:v>Human review required</x:v>
      </x:c>
      <x:c r="AA69" s="215" t="str">
        <x:v>Taxonomy</x:v>
      </x:c>
      <x:c r="AB69" s="215" t="str">
        <x:v>Caution / negative rule</x:v>
      </x:c>
      <x:c r="AC69" s="215" t="str">
        <x:v>High</x:v>
      </x:c>
      <x:c r="AD69" s="215" t="str">
        <x:v>Reference / method</x:v>
      </x:c>
      <x:c r="AE69" s="215" t="str">
        <x:v>Low</x:v>
      </x:c>
      <x:c r="AF69" s="215" t="str">
        <x:v>Use only after review</x:v>
      </x:c>
      <x:c r="AG69" s="215" t="str">
        <x:v>1 — Human review now</x:v>
      </x:c>
      <x:c r="AH69" s="215" t="str">
        <x:v>Current master inventory</x:v>
      </x:c>
    </x:row>
    <x:row r="70" ht="42" customHeight="1">
      <x:c r="A70" s="215" t="str">
        <x:v>Solanaceae</x:v>
      </x:c>
      <x:c r="B70" s="215" t="str">
        <x:v>SOL-SYMPODIAL</x:v>
      </x:c>
      <x:c r="C70" s="215" t="str">
        <x:v>Family-wide, common</x:v>
      </x:c>
      <x:c r="D70" s="215" t="str">
        <x:v>Architecture</x:v>
      </x:c>
      <x:c r="E70" s="215" t="str">
        <x:v>Sympodial branching creates displaced leaves and extra-axillary flowers</x:v>
      </x:c>
      <x:c r="F70" s="215" t="str">
        <x:v>Strong</x:v>
      </x:c>
      <x:c r="G70" s="215" t="str">
        <x:v>4</x:v>
      </x:c>
      <x:c r="H70" s="215" t="str">
        <x:v>Moderate</x:v>
      </x:c>
      <x:c r="I70" s="215" t="str">
        <x:v>Naked eye</x:v>
      </x:c>
      <x:c r="J70" s="215" t="str">
        <x:v>Vegetative or flowering</x:v>
      </x:c>
      <x:c r="K70" s="215" t="str">
        <x:v>A shoot segment ends and growth continues from a side bud, so leaves, branches, and flowers can appear oddly paired or displaced.</x:v>
      </x:c>
      <x:c r="L70" s="215" t="str">
        <x:v>The pattern is not always obvious on short, damaged, or densely branched plants and occurs outside the family.</x:v>
      </x:c>
      <x:c r="M70" s="215" t="str">
        <x:v>Useful architecture clue when paired with the flower and ovary suite.</x:v>
      </x:c>
      <x:c r="N70" s="215" t="str">
        <x:v>Especially helpful in local Solanum, Chamaesaracha, Physalis, Datura, Capsicum, and Nicotiana.</x:v>
      </x:c>
      <x:c r="O70" s="215" t="str">
        <x:v>Low</x:v>
      </x:c>
      <x:c r="P70" s="215" t="str">
        <x:v>No</x:v>
      </x:c>
      <x:c r="Q70" s="215" t="str"/>
      <x:c r="R70" s="215" t="str">
        <x:v>SOL-LK01; SOL-LK02</x:v>
      </x:c>
      <x:c r="S70" s="215" t="str">
        <x:v>APWEB-SOLAN; FNA-SOLAN; POWO-SOLAN</x:v>
      </x:c>
      <x:c r="T70" s="215" t="str">
        <x:v>https://www.mobot.org/MOBOT/research/APweb/orders/solanalesweb.htm</x:v>
      </x:c>
      <x:c r="U70" s="215" t="str">
        <x:v>https://floranorthamerica.org/Solanaceae</x:v>
      </x:c>
      <x:c r="V70" s="215" t="str">
        <x:v>https://powo.science.kew.org/taxon/urn:lsid:ipni.org:names:30000631-2</x:v>
      </x:c>
      <x:c r="W70" s="215" t="str">
        <x:v>https://www.mobot.org/MOBOT/research/APweb/orders/solanalesweb.htm
https://floranorthamerica.org/Solanaceae
https://powo.science.kew.org/taxon/urn:lsid:ipni.org:names:30000631-2</x:v>
      </x:c>
      <x:c r="X70" s="215" t="str">
        <x:v>No — retain qualifiers and exceptions</x:v>
      </x:c>
      <x:c r="Y70" s="215" t="str">
        <x:v>Yes</x:v>
      </x:c>
      <x:c r="Z70" s="215" t="str">
        <x:v>Source-backed draft</x:v>
      </x:c>
      <x:c r="AA70" s="215" t="str">
        <x:v>Family pattern</x:v>
      </x:c>
      <x:c r="AB70" s="215" t="str">
        <x:v>Positive diagnostic</x:v>
      </x:c>
      <x:c r="AC70" s="215" t="str">
        <x:v>Moderate</x:v>
      </x:c>
      <x:c r="AD70" s="215" t="str">
        <x:v>Naked eye / field</x:v>
      </x:c>
      <x:c r="AE70" s="215" t="str">
        <x:v>Low</x:v>
      </x:c>
      <x:c r="AF70" s="215" t="str">
        <x:v>Field-ready draft</x:v>
      </x:c>
      <x:c r="AG70" s="215" t="str">
        <x:v>2 — Field-photo priority</x:v>
      </x:c>
      <x:c r="AH70" s="215" t="str">
        <x:v>Current master inventory</x:v>
      </x:c>
    </x:row>
    <x:row r="71" ht="42" customHeight="1">
      <x:c r="A71" s="215" t="str">
        <x:v>Solanaceae</x:v>
      </x:c>
      <x:c r="B71" s="215" t="str">
        <x:v>SOL-LEAVES</x:v>
      </x:c>
      <x:c r="C71" s="215" t="str">
        <x:v>Family-wide, common</x:v>
      </x:c>
      <x:c r="D71" s="215" t="str">
        <x:v>Leaf</x:v>
      </x:c>
      <x:c r="E71" s="215" t="str">
        <x:v>Leaves alternate or unequally paired, usually simple and without stipules</x:v>
      </x:c>
      <x:c r="F71" s="215" t="str">
        <x:v>Supporting</x:v>
      </x:c>
      <x:c r="G71" s="215" t="str">
        <x:v>3</x:v>
      </x:c>
      <x:c r="H71" s="215" t="str">
        <x:v>Moderate</x:v>
      </x:c>
      <x:c r="I71" s="215" t="str">
        <x:v>Naked eye</x:v>
      </x:c>
      <x:c r="J71" s="215" t="str">
        <x:v>Vegetative</x:v>
      </x:c>
      <x:c r="K71" s="215" t="str">
        <x:v>Leaves commonly occur singly or as unequal pairs near a branch fork and lack stipules.</x:v>
      </x:c>
      <x:c r="L71" s="215" t="str">
        <x:v>Compound, lobed, spiny, or unusual leaves occur, and the state is common in other families.</x:v>
      </x:c>
      <x:c r="M71" s="215" t="str">
        <x:v>Use as a supporting clue, not proof.</x:v>
      </x:c>
      <x:c r="N71" s="215" t="str">
        <x:v>Strongly relevant to all local genera but variable within Solanum and Datura.</x:v>
      </x:c>
      <x:c r="O71" s="215" t="str">
        <x:v>Low</x:v>
      </x:c>
      <x:c r="P71" s="215" t="str">
        <x:v>No</x:v>
      </x:c>
      <x:c r="Q71" s="215" t="str"/>
      <x:c r="R71" s="215" t="str">
        <x:v>SOL-LK01; SOL-LK02</x:v>
      </x:c>
      <x:c r="S71" s="215" t="str">
        <x:v>FNA-SOLAN; APWEB-SOLAN; POWO-SOLAN</x:v>
      </x:c>
      <x:c r="T71" s="215" t="str">
        <x:v>https://www.mobot.org/MOBOT/research/APweb/orders/solanalesweb.htm</x:v>
      </x:c>
      <x:c r="U71" s="215" t="str">
        <x:v>https://floranorthamerica.org/Solanaceae</x:v>
      </x:c>
      <x:c r="V71" s="215" t="str">
        <x:v>https://powo.science.kew.org/taxon/urn:lsid:ipni.org:names:30000631-2</x:v>
      </x:c>
      <x:c r="W71" s="215" t="str">
        <x:v>https://floranorthamerica.org/Solanaceae
https://www.mobot.org/MOBOT/research/APweb/orders/solanalesweb.htm
https://powo.science.kew.org/taxon/urn:lsid:ipni.org:names:30000631-2</x:v>
      </x:c>
      <x:c r="X71" s="215" t="str">
        <x:v>No — retain qualifiers and exceptions</x:v>
      </x:c>
      <x:c r="Y71" s="215" t="str">
        <x:v>Yes</x:v>
      </x:c>
      <x:c r="Z71" s="215" t="str">
        <x:v>Source-backed draft</x:v>
      </x:c>
      <x:c r="AA71" s="215" t="str">
        <x:v>Family pattern</x:v>
      </x:c>
      <x:c r="AB71" s="215" t="str">
        <x:v>Supporting / route</x:v>
      </x:c>
      <x:c r="AC71" s="215" t="str">
        <x:v>Moderate</x:v>
      </x:c>
      <x:c r="AD71" s="215" t="str">
        <x:v>Naked eye / field</x:v>
      </x:c>
      <x:c r="AE71" s="215" t="str">
        <x:v>Low</x:v>
      </x:c>
      <x:c r="AF71" s="215" t="str">
        <x:v>Field-ready draft</x:v>
      </x:c>
      <x:c r="AG71" s="215" t="str">
        <x:v>3 — Reference support</x:v>
      </x:c>
      <x:c r="AH71" s="215" t="str">
        <x:v>Current master inventory</x:v>
      </x:c>
    </x:row>
    <x:row r="72" ht="42" customHeight="1">
      <x:c r="A72" s="215" t="str">
        <x:v>Solanaceae</x:v>
      </x:c>
      <x:c r="B72" s="215" t="str">
        <x:v>SOL-CALYX</x:v>
      </x:c>
      <x:c r="C72" s="215" t="str">
        <x:v>Family-wide, common</x:v>
      </x:c>
      <x:c r="D72" s="215" t="str">
        <x:v>Calyx</x:v>
      </x:c>
      <x:c r="E72" s="215" t="str">
        <x:v>Usually five connate sepals; calyx persistent and often enlarging in fruit</x:v>
      </x:c>
      <x:c r="F72" s="215" t="str">
        <x:v>Strong</x:v>
      </x:c>
      <x:c r="G72" s="215" t="str">
        <x:v>4</x:v>
      </x:c>
      <x:c r="H72" s="215" t="str">
        <x:v>High</x:v>
      </x:c>
      <x:c r="I72" s="215" t="str">
        <x:v>Naked eye</x:v>
      </x:c>
      <x:c r="J72" s="215" t="str">
        <x:v>Flowering through fruiting</x:v>
      </x:c>
      <x:c r="K72" s="215" t="str">
        <x:v>The calyx forms a toothed or lobed cup that commonly remains under or around the fruit.</x:v>
      </x:c>
      <x:c r="L72" s="215" t="str">
        <x:v>Sepal number and degree of fusion vary; enlargement ranges from slight to fully inflated.</x:v>
      </x:c>
      <x:c r="M72" s="215" t="str">
        <x:v>Persistent calyx plus sympetalous corolla and berry or capsule strongly supports the family.</x:v>
      </x:c>
      <x:c r="N72" s="215" t="str">
        <x:v>Highly useful in Physalis and Chamaesaracha and still informative in Solanum, Datura, Capsicum, Nicotiana, and Bouchetia.</x:v>
      </x:c>
      <x:c r="O72" s="215" t="str">
        <x:v>Low</x:v>
      </x:c>
      <x:c r="P72" s="215" t="str">
        <x:v>No</x:v>
      </x:c>
      <x:c r="Q72" s="215" t="str"/>
      <x:c r="R72" s="215" t="str">
        <x:v>SOL-LK01; SOL-LK02</x:v>
      </x:c>
      <x:c r="S72" s="215" t="str">
        <x:v>FNA-SOLAN; APWEB-SOLAN; POWO-SOLAN</x:v>
      </x:c>
      <x:c r="T72" s="215" t="str">
        <x:v>https://www.mobot.org/MOBOT/research/APweb/orders/solanalesweb.htm</x:v>
      </x:c>
      <x:c r="U72" s="215" t="str">
        <x:v>https://floranorthamerica.org/Solanaceae</x:v>
      </x:c>
      <x:c r="V72" s="215" t="str">
        <x:v>https://powo.science.kew.org/taxon/urn:lsid:ipni.org:names:30000631-2</x:v>
      </x:c>
      <x:c r="W72" s="215" t="str">
        <x:v>https://floranorthamerica.org/Solanaceae
https://www.mobot.org/MOBOT/research/APweb/orders/solanalesweb.htm
https://powo.science.kew.org/taxon/urn:lsid:ipni.org:names:30000631-2</x:v>
      </x:c>
      <x:c r="X72" s="215" t="str">
        <x:v>No — retain qualifiers and exceptions</x:v>
      </x:c>
      <x:c r="Y72" s="215" t="str">
        <x:v>Yes</x:v>
      </x:c>
      <x:c r="Z72" s="215" t="str">
        <x:v>Source-backed draft</x:v>
      </x:c>
      <x:c r="AA72" s="215" t="str">
        <x:v>Family pattern</x:v>
      </x:c>
      <x:c r="AB72" s="215" t="str">
        <x:v>Positive diagnostic</x:v>
      </x:c>
      <x:c r="AC72" s="215" t="str">
        <x:v>High</x:v>
      </x:c>
      <x:c r="AD72" s="215" t="str">
        <x:v>Naked eye / field</x:v>
      </x:c>
      <x:c r="AE72" s="215" t="str">
        <x:v>Low</x:v>
      </x:c>
      <x:c r="AF72" s="215" t="str">
        <x:v>Field-ready draft</x:v>
      </x:c>
      <x:c r="AG72" s="215" t="str">
        <x:v>2 — Field-photo priority</x:v>
      </x:c>
      <x:c r="AH72" s="215" t="str">
        <x:v>Current master inventory</x:v>
      </x:c>
    </x:row>
    <x:row r="73" ht="42" customHeight="1">
      <x:c r="A73" s="215" t="str">
        <x:v>Solanaceae</x:v>
      </x:c>
      <x:c r="B73" s="215" t="str">
        <x:v>SOL-COROLLA</x:v>
      </x:c>
      <x:c r="C73" s="215" t="str">
        <x:v>Family-wide, common</x:v>
      </x:c>
      <x:c r="D73" s="215" t="str">
        <x:v>Corolla</x:v>
      </x:c>
      <x:c r="E73" s="215" t="str">
        <x:v>Usually five petals fused into rotate, bell-shaped, funnel-shaped, salverform, or tubular corolla</x:v>
      </x:c>
      <x:c r="F73" s="215" t="str">
        <x:v>Strong</x:v>
      </x:c>
      <x:c r="G73" s="215" t="str">
        <x:v>4</x:v>
      </x:c>
      <x:c r="H73" s="215" t="str">
        <x:v>High</x:v>
      </x:c>
      <x:c r="I73" s="215" t="str">
        <x:v>Naked eye</x:v>
      </x:c>
      <x:c r="J73" s="215" t="str">
        <x:v>Flowering</x:v>
      </x:c>
      <x:c r="K73" s="215" t="str">
        <x:v>The petal bases are united and the limb commonly shows five lobes or angles.</x:v>
      </x:c>
      <x:c r="L73" s="215" t="str">
        <x:v>Flower symmetry and tube length vary; very shallow fusion can look like separate petals.</x:v>
      </x:c>
      <x:c r="M73" s="215" t="str">
        <x:v>Use with five epipetalous stamens and a superior ovary.</x:v>
      </x:c>
      <x:c r="N73" s="215" t="str">
        <x:v>Clear across local genera, though forms range from star-shaped Solanum to tubular Nicotiana and large Datura.</x:v>
      </x:c>
      <x:c r="O73" s="215" t="str">
        <x:v>Low</x:v>
      </x:c>
      <x:c r="P73" s="215" t="str">
        <x:v>No</x:v>
      </x:c>
      <x:c r="Q73" s="215" t="str"/>
      <x:c r="R73" s="215" t="str">
        <x:v>SOL-LK01; SOL-LK02</x:v>
      </x:c>
      <x:c r="S73" s="215" t="str">
        <x:v>FNA-SOLAN; APWEB-SOLAN; POWO-SOLAN</x:v>
      </x:c>
      <x:c r="T73" s="215" t="str">
        <x:v>https://www.mobot.org/MOBOT/research/APweb/orders/solanalesweb.htm</x:v>
      </x:c>
      <x:c r="U73" s="215" t="str">
        <x:v>https://floranorthamerica.org/Solanaceae</x:v>
      </x:c>
      <x:c r="V73" s="215" t="str">
        <x:v>https://powo.science.kew.org/taxon/urn:lsid:ipni.org:names:30000631-2</x:v>
      </x:c>
      <x:c r="W73" s="215" t="str">
        <x:v>https://floranorthamerica.org/Solanaceae
https://www.mobot.org/MOBOT/research/APweb/orders/solanalesweb.htm
https://powo.science.kew.org/taxon/urn:lsid:ipni.org:names:30000631-2</x:v>
      </x:c>
      <x:c r="X73" s="215" t="str">
        <x:v>No — retain qualifiers and exceptions</x:v>
      </x:c>
      <x:c r="Y73" s="215" t="str">
        <x:v>Yes</x:v>
      </x:c>
      <x:c r="Z73" s="215" t="str">
        <x:v>Source-backed draft</x:v>
      </x:c>
      <x:c r="AA73" s="215" t="str">
        <x:v>Family pattern</x:v>
      </x:c>
      <x:c r="AB73" s="215" t="str">
        <x:v>Positive diagnostic</x:v>
      </x:c>
      <x:c r="AC73" s="215" t="str">
        <x:v>High</x:v>
      </x:c>
      <x:c r="AD73" s="215" t="str">
        <x:v>Naked eye / field</x:v>
      </x:c>
      <x:c r="AE73" s="215" t="str">
        <x:v>Low</x:v>
      </x:c>
      <x:c r="AF73" s="215" t="str">
        <x:v>Field-ready draft</x:v>
      </x:c>
      <x:c r="AG73" s="215" t="str">
        <x:v>2 — Field-photo priority</x:v>
      </x:c>
      <x:c r="AH73" s="215" t="str">
        <x:v>Current master inventory</x:v>
      </x:c>
    </x:row>
    <x:row r="74" ht="42" customHeight="1">
      <x:c r="A74" s="215" t="str">
        <x:v>Solanaceae</x:v>
      </x:c>
      <x:c r="B74" s="215" t="str">
        <x:v>SOL-STAMENS</x:v>
      </x:c>
      <x:c r="C74" s="215" t="str">
        <x:v>Family-wide, common</x:v>
      </x:c>
      <x:c r="D74" s="215" t="str">
        <x:v>Androecium</x:v>
      </x:c>
      <x:c r="E74" s="215" t="str">
        <x:v>Usually five stamens attached to the corolla</x:v>
      </x:c>
      <x:c r="F74" s="215" t="str">
        <x:v>Strong</x:v>
      </x:c>
      <x:c r="G74" s="215" t="str">
        <x:v>4</x:v>
      </x:c>
      <x:c r="H74" s="215" t="str">
        <x:v>Moderate</x:v>
      </x:c>
      <x:c r="I74" s="215" t="str">
        <x:v>Hand lens</x:v>
      </x:c>
      <x:c r="J74" s="215" t="str">
        <x:v>Flowering</x:v>
      </x:c>
      <x:c r="K74" s="215" t="str">
        <x:v>Stamens arise from the corolla tube and usually alternate with its lobes.</x:v>
      </x:c>
      <x:c r="L74" s="215" t="str">
        <x:v>Some taxa have reduced stamen numbers, unequal stamens, connivent anthers, or poricidal opening.</x:v>
      </x:c>
      <x:c r="M74" s="215" t="str">
        <x:v>Confirm with calyx, corolla, and ovary rather than counting alone.</x:v>
      </x:c>
      <x:c r="N74" s="215" t="str">
        <x:v>Useful across all local genera; anther details are especially informative within Solanum and Bouchetia.</x:v>
      </x:c>
      <x:c r="O74" s="215" t="str">
        <x:v>Low</x:v>
      </x:c>
      <x:c r="P74" s="215" t="str">
        <x:v>No</x:v>
      </x:c>
      <x:c r="Q74" s="215" t="str"/>
      <x:c r="R74" s="215" t="str">
        <x:v>SOL-LK01; SOL-LK02</x:v>
      </x:c>
      <x:c r="S74" s="215" t="str">
        <x:v>FNA-SOLAN; APWEB-SOLAN; POWO-SOLAN</x:v>
      </x:c>
      <x:c r="T74" s="215" t="str">
        <x:v>https://www.mobot.org/MOBOT/research/APweb/orders/solanalesweb.htm</x:v>
      </x:c>
      <x:c r="U74" s="215" t="str">
        <x:v>https://floranorthamerica.org/Solanaceae</x:v>
      </x:c>
      <x:c r="V74" s="215" t="str">
        <x:v>https://powo.science.kew.org/taxon/urn:lsid:ipni.org:names:30000631-2</x:v>
      </x:c>
      <x:c r="W74" s="215" t="str">
        <x:v>https://floranorthamerica.org/Solanaceae
https://www.mobot.org/MOBOT/research/APweb/orders/solanalesweb.htm
https://powo.science.kew.org/taxon/urn:lsid:ipni.org:names:30000631-2</x:v>
      </x:c>
      <x:c r="X74" s="215" t="str">
        <x:v>No — retain qualifiers and exceptions</x:v>
      </x:c>
      <x:c r="Y74" s="215" t="str">
        <x:v>Yes</x:v>
      </x:c>
      <x:c r="Z74" s="215" t="str">
        <x:v>Source-backed draft</x:v>
      </x:c>
      <x:c r="AA74" s="215" t="str">
        <x:v>Family pattern</x:v>
      </x:c>
      <x:c r="AB74" s="215" t="str">
        <x:v>Positive diagnostic</x:v>
      </x:c>
      <x:c r="AC74" s="215" t="str">
        <x:v>Moderate</x:v>
      </x:c>
      <x:c r="AD74" s="215" t="str">
        <x:v>Hand lens / macro</x:v>
      </x:c>
      <x:c r="AE74" s="215" t="str">
        <x:v>Low</x:v>
      </x:c>
      <x:c r="AF74" s="215" t="str">
        <x:v>Field-ready draft</x:v>
      </x:c>
      <x:c r="AG74" s="215" t="str">
        <x:v>2 — Field-photo priority</x:v>
      </x:c>
      <x:c r="AH74" s="215" t="str">
        <x:v>Current master inventory</x:v>
      </x:c>
    </x:row>
    <x:row r="75" ht="42" customHeight="1">
      <x:c r="A75" s="215" t="str">
        <x:v>Solanaceae</x:v>
      </x:c>
      <x:c r="B75" s="215" t="str">
        <x:v>SOL-OVARY</x:v>
      </x:c>
      <x:c r="C75" s="215" t="str">
        <x:v>Family-wide</x:v>
      </x:c>
      <x:c r="D75" s="215" t="str">
        <x:v>Gynoecium</x:v>
      </x:c>
      <x:c r="E75" s="215" t="str">
        <x:v>Ovary superior, usually two-carpellate and two-locular with axile placentation and several ovules</x:v>
      </x:c>
      <x:c r="F75" s="215" t="str">
        <x:v>Core</x:v>
      </x:c>
      <x:c r="G75" s="215" t="str">
        <x:v>5</x:v>
      </x:c>
      <x:c r="H75" s="215" t="str">
        <x:v>High with examination</x:v>
      </x:c>
      <x:c r="I75" s="215" t="str">
        <x:v>Hand lens or dissection</x:v>
      </x:c>
      <x:c r="J75" s="215" t="str">
        <x:v>Flowering</x:v>
      </x:c>
      <x:c r="K75" s="215" t="str">
        <x:v>Flower parts attach below the ovary, whose chambers usually contain many ovules on a central axis.</x:v>
      </x:c>
      <x:c r="L75" s="215" t="str">
        <x:v>Locule number can increase, and some taxa have few ovules; sectioning may be needed.</x:v>
      </x:c>
      <x:c r="M75" s="215" t="str">
        <x:v>A strong separation from families with inferior ovaries or one-ovule carpels.</x:v>
      </x:c>
      <x:c r="N75" s="215" t="str">
        <x:v>Applies broadly to the local genera and is especially useful when fruit is available.</x:v>
      </x:c>
      <x:c r="O75" s="215" t="str">
        <x:v>Low</x:v>
      </x:c>
      <x:c r="P75" s="215" t="str">
        <x:v>No</x:v>
      </x:c>
      <x:c r="Q75" s="215" t="str"/>
      <x:c r="R75" s="215" t="str">
        <x:v>SOL-LK01; SOL-LK02</x:v>
      </x:c>
      <x:c r="S75" s="215" t="str">
        <x:v>FNA-SOLAN; APWEB-SOLAN; POWO-SOLAN</x:v>
      </x:c>
      <x:c r="T75" s="215" t="str">
        <x:v>https://www.mobot.org/MOBOT/research/APweb/orders/solanalesweb.htm</x:v>
      </x:c>
      <x:c r="U75" s="215" t="str">
        <x:v>https://floranorthamerica.org/Solanaceae</x:v>
      </x:c>
      <x:c r="V75" s="215" t="str">
        <x:v>https://powo.science.kew.org/taxon/urn:lsid:ipni.org:names:30000631-2</x:v>
      </x:c>
      <x:c r="W75" s="215" t="str">
        <x:v>https://floranorthamerica.org/Solanaceae
https://www.mobot.org/MOBOT/research/APweb/orders/solanalesweb.htm
https://powo.science.kew.org/taxon/urn:lsid:ipni.org:names:30000631-2</x:v>
      </x:c>
      <x:c r="X75" s="215" t="str">
        <x:v>No — retain qualifiers and exceptions</x:v>
      </x:c>
      <x:c r="Y75" s="215" t="str">
        <x:v>Yes</x:v>
      </x:c>
      <x:c r="Z75" s="215" t="str">
        <x:v>Source-backed draft</x:v>
      </x:c>
      <x:c r="AA75" s="215" t="str">
        <x:v>Family pattern</x:v>
      </x:c>
      <x:c r="AB75" s="215" t="str">
        <x:v>Positive diagnostic</x:v>
      </x:c>
      <x:c r="AC75" s="215" t="str">
        <x:v>High</x:v>
      </x:c>
      <x:c r="AD75" s="215" t="str">
        <x:v>Dissection</x:v>
      </x:c>
      <x:c r="AE75" s="215" t="str">
        <x:v>Low</x:v>
      </x:c>
      <x:c r="AF75" s="215" t="str">
        <x:v>Dissection / close study</x:v>
      </x:c>
      <x:c r="AG75" s="215" t="str">
        <x:v>3 — Reference support</x:v>
      </x:c>
      <x:c r="AH75" s="215" t="str">
        <x:v>Current master inventory</x:v>
      </x:c>
    </x:row>
    <x:row r="76" ht="42" customHeight="1">
      <x:c r="A76" s="215" t="str">
        <x:v>Solanaceae</x:v>
      </x:c>
      <x:c r="B76" s="215" t="str">
        <x:v>SOL-FRUIT</x:v>
      </x:c>
      <x:c r="C76" s="215" t="str">
        <x:v>Family-wide, variable</x:v>
      </x:c>
      <x:c r="D76" s="215" t="str">
        <x:v>Fruit</x:v>
      </x:c>
      <x:c r="E76" s="215" t="str">
        <x:v>Usually a berry or capsule</x:v>
      </x:c>
      <x:c r="F76" s="215" t="str">
        <x:v>Strong</x:v>
      </x:c>
      <x:c r="G76" s="215" t="str">
        <x:v>4</x:v>
      </x:c>
      <x:c r="H76" s="215" t="str">
        <x:v>High</x:v>
      </x:c>
      <x:c r="I76" s="215" t="str">
        <x:v>Naked eye</x:v>
      </x:c>
      <x:c r="J76" s="215" t="str">
        <x:v>Mature fruit</x:v>
      </x:c>
      <x:c r="K76" s="215" t="str">
        <x:v>Most family members mature a many-seeded berry or a dry capsule.</x:v>
      </x:c>
      <x:c r="L76" s="215" t="str">
        <x:v>Some Lycium are drupaceous and other global lineages vary; berry versus capsule is a subgroup character, not a family constant.</x:v>
      </x:c>
      <x:c r="M76" s="215" t="str">
        <x:v>Use with persistent calyx and seed number.</x:v>
      </x:c>
      <x:c r="N76" s="215" t="str">
        <x:v>Local Capsicum, Physalis, Chamaesaracha, and Solanum are berry routes; Datura and Nicotiana are capsule routes.</x:v>
      </x:c>
      <x:c r="O76" s="215" t="str">
        <x:v>Low</x:v>
      </x:c>
      <x:c r="P76" s="215" t="str">
        <x:v>No</x:v>
      </x:c>
      <x:c r="Q76" s="215" t="str"/>
      <x:c r="R76" s="215" t="str">
        <x:v>SOL-LK01; SOL-LK02</x:v>
      </x:c>
      <x:c r="S76" s="215" t="str">
        <x:v>FNA-SOLAN; APWEB-SOLAN; POWO-SOLAN</x:v>
      </x:c>
      <x:c r="T76" s="215" t="str">
        <x:v>https://www.mobot.org/MOBOT/research/APweb/orders/solanalesweb.htm</x:v>
      </x:c>
      <x:c r="U76" s="215" t="str">
        <x:v>https://floranorthamerica.org/Solanaceae</x:v>
      </x:c>
      <x:c r="V76" s="215" t="str">
        <x:v>https://powo.science.kew.org/taxon/urn:lsid:ipni.org:names:30000631-2</x:v>
      </x:c>
      <x:c r="W76" s="215" t="str">
        <x:v>https://floranorthamerica.org/Solanaceae
https://www.mobot.org/MOBOT/research/APweb/orders/solanalesweb.htm
https://powo.science.kew.org/taxon/urn:lsid:ipni.org:names:30000631-2</x:v>
      </x:c>
      <x:c r="X76" s="215" t="str">
        <x:v>No — retain qualifiers and exceptions</x:v>
      </x:c>
      <x:c r="Y76" s="215" t="str">
        <x:v>Yes</x:v>
      </x:c>
      <x:c r="Z76" s="215" t="str">
        <x:v>Source-backed draft</x:v>
      </x:c>
      <x:c r="AA76" s="215" t="str">
        <x:v>Family pattern</x:v>
      </x:c>
      <x:c r="AB76" s="215" t="str">
        <x:v>Positive diagnostic</x:v>
      </x:c>
      <x:c r="AC76" s="215" t="str">
        <x:v>High</x:v>
      </x:c>
      <x:c r="AD76" s="215" t="str">
        <x:v>Naked eye / field</x:v>
      </x:c>
      <x:c r="AE76" s="215" t="str">
        <x:v>Low</x:v>
      </x:c>
      <x:c r="AF76" s="215" t="str">
        <x:v>Field-ready draft</x:v>
      </x:c>
      <x:c r="AG76" s="215" t="str">
        <x:v>2 — Field-photo priority</x:v>
      </x:c>
      <x:c r="AH76" s="215" t="str">
        <x:v>Current master inventory</x:v>
      </x:c>
    </x:row>
    <x:row r="77" ht="42" customHeight="1">
      <x:c r="A77" s="215" t="str">
        <x:v>Solanaceae</x:v>
      </x:c>
      <x:c r="B77" s="215" t="str">
        <x:v>SOL-SEEDS</x:v>
      </x:c>
      <x:c r="C77" s="215" t="str">
        <x:v>Family-wide, common</x:v>
      </x:c>
      <x:c r="D77" s="215" t="str">
        <x:v>Seed</x:v>
      </x:c>
      <x:c r="E77" s="215" t="str">
        <x:v>Seeds often numerous, flattened, discoid or kidney-shaped</x:v>
      </x:c>
      <x:c r="F77" s="215" t="str">
        <x:v>Supporting</x:v>
      </x:c>
      <x:c r="G77" s="215" t="str">
        <x:v>3</x:v>
      </x:c>
      <x:c r="H77" s="215" t="str">
        <x:v>Moderate</x:v>
      </x:c>
      <x:c r="I77" s="215" t="str">
        <x:v>Hand lens</x:v>
      </x:c>
      <x:c r="J77" s="215" t="str">
        <x:v>Mature fruit</x:v>
      </x:c>
      <x:c r="K77" s="215" t="str">
        <x:v>A berry or capsule commonly contains many small flattened seeds.</x:v>
      </x:c>
      <x:c r="L77" s="215" t="str">
        <x:v>Seed shape and number vary; some fruits contain sclerotic granules or differently shaped seeds.</x:v>
      </x:c>
      <x:c r="M77" s="215" t="str">
        <x:v>Supports family placement and helps distinguish fruit types after opening naturally mature material.</x:v>
      </x:c>
      <x:c r="N77" s="215" t="str">
        <x:v>Useful in all local routes, especially Physalis, Chamaesaracha, Solanum, Datura, and Nicotiana.</x:v>
      </x:c>
      <x:c r="O77" s="215" t="str">
        <x:v>Low</x:v>
      </x:c>
      <x:c r="P77" s="215" t="str">
        <x:v>No</x:v>
      </x:c>
      <x:c r="Q77" s="215" t="str"/>
      <x:c r="R77" s="215" t="str">
        <x:v>SOL-LK01</x:v>
      </x:c>
      <x:c r="S77" s="215" t="str">
        <x:v>FNA-SOLAN; POWO-SOLAN</x:v>
      </x:c>
      <x:c r="T77" s="215" t="str">
        <x:v>https://www.mobot.org/MOBOT/research/APweb/orders/solanalesweb.htm</x:v>
      </x:c>
      <x:c r="U77" s="215" t="str">
        <x:v>https://floranorthamerica.org/Solanaceae</x:v>
      </x:c>
      <x:c r="V77" s="215" t="str">
        <x:v>https://powo.science.kew.org/taxon/urn:lsid:ipni.org:names:30000631-2</x:v>
      </x:c>
      <x:c r="W77" s="215" t="str">
        <x:v>https://floranorthamerica.org/Solanaceae
https://powo.science.kew.org/taxon/urn:lsid:ipni.org:names:30000631-2
https://www.mobot.org/MOBOT/research/APweb/orders/solanalesweb.htm</x:v>
      </x:c>
      <x:c r="X77" s="215" t="str">
        <x:v>No — retain qualifiers and exceptions</x:v>
      </x:c>
      <x:c r="Y77" s="215" t="str">
        <x:v>Yes</x:v>
      </x:c>
      <x:c r="Z77" s="215" t="str">
        <x:v>Source-backed draft</x:v>
      </x:c>
      <x:c r="AA77" s="215" t="str">
        <x:v>Family pattern</x:v>
      </x:c>
      <x:c r="AB77" s="215" t="str">
        <x:v>Supporting / route</x:v>
      </x:c>
      <x:c r="AC77" s="215" t="str">
        <x:v>Moderate</x:v>
      </x:c>
      <x:c r="AD77" s="215" t="str">
        <x:v>Hand lens / macro</x:v>
      </x:c>
      <x:c r="AE77" s="215" t="str">
        <x:v>Low</x:v>
      </x:c>
      <x:c r="AF77" s="215" t="str">
        <x:v>Field-ready draft</x:v>
      </x:c>
      <x:c r="AG77" s="215" t="str">
        <x:v>3 — Reference support</x:v>
      </x:c>
      <x:c r="AH77" s="215" t="str">
        <x:v>Current master inventory</x:v>
      </x:c>
    </x:row>
    <x:row r="78" ht="42" customHeight="1">
      <x:c r="A78" s="215" t="str">
        <x:v>Solanaceae</x:v>
      </x:c>
      <x:c r="B78" s="215" t="str">
        <x:v>SOL-PHYSALIS</x:v>
      </x:c>
      <x:c r="C78" s="215" t="str">
        <x:v>Local subgroup: Physalis</x:v>
      </x:c>
      <x:c r="D78" s="215" t="str">
        <x:v>Calyx and fruit</x:v>
      </x:c>
      <x:c r="E78" s="215" t="str">
        <x:v>Fruiting calyx inflated and completely enclosing a berry</x:v>
      </x:c>
      <x:c r="F78" s="215" t="str">
        <x:v>Subgroup</x:v>
      </x:c>
      <x:c r="G78" s="215" t="str">
        <x:v>5</x:v>
      </x:c>
      <x:c r="H78" s="215" t="str">
        <x:v>High within Physalis</x:v>
      </x:c>
      <x:c r="I78" s="215" t="str">
        <x:v>Naked eye</x:v>
      </x:c>
      <x:c r="J78" s="215" t="str">
        <x:v>Fruiting</x:v>
      </x:c>
      <x:c r="K78" s="215" t="str">
        <x:v>The calyx expands into a papery bladder around the berry.</x:v>
      </x:c>
      <x:c r="L78" s="215" t="str">
        <x:v>Other solanaceous genera can have enlarged or partly enclosing calyces; inflation must be interpreted with flower placement and calyx form.</x:v>
      </x:c>
      <x:c r="M78" s="215" t="str">
        <x:v>Directs a local specimen to Physalis rather than Chamaesaracha, Capsicum, or Solanum.</x:v>
      </x:c>
      <x:c r="N78" s="215" t="str">
        <x:v>One local Physalis row, but this is a familiar and highly visible route.</x:v>
      </x:c>
      <x:c r="O78" s="215" t="str">
        <x:v>Low</x:v>
      </x:c>
      <x:c r="P78" s="215" t="str">
        <x:v>No</x:v>
      </x:c>
      <x:c r="Q78" s="215" t="str"/>
      <x:c r="R78" s="215" t="str">
        <x:v>SOL-LK01</x:v>
      </x:c>
      <x:c r="S78" s="215" t="str">
        <x:v>FNA-SOLAN; FNA-PHYSALIS; POWO-SOLAN</x:v>
      </x:c>
      <x:c r="T78" s="215" t="str">
        <x:v>https://www.mobot.org/MOBOT/research/APweb/orders/solanalesweb.htm</x:v>
      </x:c>
      <x:c r="U78" s="215" t="str">
        <x:v>https://floranorthamerica.org/Solanaceae
https://floranorthamerica.org/Physalis</x:v>
      </x:c>
      <x:c r="V78" s="215" t="str">
        <x:v>https://powo.science.kew.org/taxon/urn:lsid:ipni.org:names:30000631-2</x:v>
      </x:c>
      <x:c r="W78" s="215" t="str">
        <x:v>https://floranorthamerica.org/Solanaceae
https://floranorthamerica.org/Physalis
https://powo.science.kew.org/taxon/urn:lsid:ipni.org:names:30000631-2
https://www.mobot.org/MOBOT/research/APweb/orders/solanalesweb.htm</x:v>
      </x:c>
      <x:c r="X78" s="215" t="str">
        <x:v>No — retain qualifiers and exceptions</x:v>
      </x:c>
      <x:c r="Y78" s="215" t="str">
        <x:v>Yes</x:v>
      </x:c>
      <x:c r="Z78" s="215" t="str">
        <x:v>Source-backed draft</x:v>
      </x:c>
      <x:c r="AA78" s="215" t="str">
        <x:v>Local subgroup / route</x:v>
      </x:c>
      <x:c r="AB78" s="215" t="str">
        <x:v>Supporting / route</x:v>
      </x:c>
      <x:c r="AC78" s="215" t="str">
        <x:v>High</x:v>
      </x:c>
      <x:c r="AD78" s="215" t="str">
        <x:v>Naked eye / field</x:v>
      </x:c>
      <x:c r="AE78" s="215" t="str">
        <x:v>Low</x:v>
      </x:c>
      <x:c r="AF78" s="215" t="str">
        <x:v>Field-ready draft</x:v>
      </x:c>
      <x:c r="AG78" s="215" t="str">
        <x:v>2 — Field-photo priority</x:v>
      </x:c>
      <x:c r="AH78" s="215" t="str">
        <x:v>Current master inventory</x:v>
      </x:c>
    </x:row>
    <x:row r="79" ht="42" customHeight="1">
      <x:c r="A79" s="215" t="str">
        <x:v>Solanaceae</x:v>
      </x:c>
      <x:c r="B79" s="215" t="str">
        <x:v>SOL-SOLANUM</x:v>
      </x:c>
      <x:c r="C79" s="215" t="str">
        <x:v>Local subgroup: Solanum</x:v>
      </x:c>
      <x:c r="D79" s="215" t="str">
        <x:v>Anther</x:v>
      </x:c>
      <x:c r="E79" s="215" t="str">
        <x:v>Anthers usually converge and open by terminal pores</x:v>
      </x:c>
      <x:c r="F79" s="215" t="str">
        <x:v>Subgroup</x:v>
      </x:c>
      <x:c r="G79" s="215" t="str">
        <x:v>5</x:v>
      </x:c>
      <x:c r="H79" s="215" t="str">
        <x:v>High within local Solanum</x:v>
      </x:c>
      <x:c r="I79" s="215" t="str">
        <x:v>Naked eye or hand lens</x:v>
      </x:c>
      <x:c r="J79" s="215" t="str">
        <x:v>Flowering</x:v>
      </x:c>
      <x:c r="K79" s="215" t="str">
        <x:v>The five anthers often form a cone around the style and release pollen through pores.</x:v>
      </x:c>
      <x:c r="L79" s="215" t="str">
        <x:v>Pores may lengthen into slits with age, and not every Solanaceae genus shares this feature.</x:v>
      </x:c>
      <x:c r="M79" s="215" t="str">
        <x:v>Separates most local Solanum from Physalis, Chamaesaracha, Datura, Capsicum, and Nicotiana.</x:v>
      </x:c>
      <x:c r="N79" s="215" t="str">
        <x:v>Five accepted-family Solanum rows make this the largest local route.</x:v>
      </x:c>
      <x:c r="O79" s="215" t="str">
        <x:v>Low</x:v>
      </x:c>
      <x:c r="P79" s="215" t="str">
        <x:v>No</x:v>
      </x:c>
      <x:c r="Q79" s="215" t="str"/>
      <x:c r="R79" s="215" t="str">
        <x:v>SOL-LK02</x:v>
      </x:c>
      <x:c r="S79" s="215" t="str">
        <x:v>FNA-SOLAN; FNA-SOLANUM; POWO-SOLAN</x:v>
      </x:c>
      <x:c r="T79" s="215" t="str">
        <x:v>https://www.mobot.org/MOBOT/research/APweb/orders/solanalesweb.htm</x:v>
      </x:c>
      <x:c r="U79" s="215" t="str">
        <x:v>https://floranorthamerica.org/Solanaceae
https://floranorthamerica.org/Solanum</x:v>
      </x:c>
      <x:c r="V79" s="215" t="str">
        <x:v>https://powo.science.kew.org/taxon/urn:lsid:ipni.org:names:30000631-2</x:v>
      </x:c>
      <x:c r="W79" s="215" t="str">
        <x:v>https://floranorthamerica.org/Solanaceae
https://floranorthamerica.org/Solanum
https://powo.science.kew.org/taxon/urn:lsid:ipni.org:names:30000631-2
https://www.mobot.org/MOBOT/research/APweb/orders/solanalesweb.htm</x:v>
      </x:c>
      <x:c r="X79" s="215" t="str">
        <x:v>No — retain qualifiers and exceptions</x:v>
      </x:c>
      <x:c r="Y79" s="215" t="str">
        <x:v>Yes</x:v>
      </x:c>
      <x:c r="Z79" s="215" t="str">
        <x:v>Source-backed draft</x:v>
      </x:c>
      <x:c r="AA79" s="215" t="str">
        <x:v>Local subgroup / route</x:v>
      </x:c>
      <x:c r="AB79" s="215" t="str">
        <x:v>Supporting / route</x:v>
      </x:c>
      <x:c r="AC79" s="215" t="str">
        <x:v>High</x:v>
      </x:c>
      <x:c r="AD79" s="215" t="str">
        <x:v>Hand lens / macro</x:v>
      </x:c>
      <x:c r="AE79" s="215" t="str">
        <x:v>Low</x:v>
      </x:c>
      <x:c r="AF79" s="215" t="str">
        <x:v>Field-ready draft</x:v>
      </x:c>
      <x:c r="AG79" s="215" t="str">
        <x:v>2 — Field-photo priority</x:v>
      </x:c>
      <x:c r="AH79" s="215" t="str">
        <x:v>Current master inventory</x:v>
      </x:c>
    </x:row>
    <x:row r="80" ht="42" customHeight="1">
      <x:c r="A80" s="215" t="str">
        <x:v>Solanaceae</x:v>
      </x:c>
      <x:c r="B80" s="215" t="str">
        <x:v>SOL-DATURA</x:v>
      </x:c>
      <x:c r="C80" s="215" t="str">
        <x:v>Local subgroup: Datura</x:v>
      </x:c>
      <x:c r="D80" s="215" t="str">
        <x:v>Flower and fruit</x:v>
      </x:c>
      <x:c r="E80" s="215" t="str">
        <x:v>Large funnel-shaped flower and spiny or otherwise robust capsule</x:v>
      </x:c>
      <x:c r="F80" s="215" t="str">
        <x:v>Subgroup</x:v>
      </x:c>
      <x:c r="G80" s="215" t="str">
        <x:v>5</x:v>
      </x:c>
      <x:c r="H80" s="215" t="str">
        <x:v>High within local Datura</x:v>
      </x:c>
      <x:c r="I80" s="215" t="str">
        <x:v>Naked eye</x:v>
      </x:c>
      <x:c r="J80" s="215" t="str">
        <x:v>Flowering or fruiting</x:v>
      </x:c>
      <x:c r="K80" s="215" t="str">
        <x:v>Datura combines very large flowers with a dry capsule, often armed, rather than a berry.</x:v>
      </x:c>
      <x:c r="L80" s="215" t="str">
        <x:v>Capsule armature and calyx persistence vary, and horticultural plants can complicate appearance.</x:v>
      </x:c>
      <x:c r="M80" s="215" t="str">
        <x:v>Separates Datura from local berry-fruited nightshades and tubular Nicotiana.</x:v>
      </x:c>
      <x:c r="N80" s="215" t="str">
        <x:v>One local Datura row; easy when reproductive material is present.</x:v>
      </x:c>
      <x:c r="O80" s="215" t="str">
        <x:v>Low</x:v>
      </x:c>
      <x:c r="P80" s="215" t="str">
        <x:v>No</x:v>
      </x:c>
      <x:c r="Q80" s="215" t="str"/>
      <x:c r="R80" s="215" t="str">
        <x:v>SOL-LK01</x:v>
      </x:c>
      <x:c r="S80" s="215" t="str">
        <x:v>FNA-SOLAN; FNA-DATURA; APWEB-SOLAN; POWO-SOLAN</x:v>
      </x:c>
      <x:c r="T80" s="215" t="str">
        <x:v>https://www.mobot.org/MOBOT/research/APweb/orders/solanalesweb.htm</x:v>
      </x:c>
      <x:c r="U80" s="215" t="str">
        <x:v>https://floranorthamerica.org/Solanaceae
https://floranorthamerica.org/Datura</x:v>
      </x:c>
      <x:c r="V80" s="215" t="str">
        <x:v>https://powo.science.kew.org/taxon/urn:lsid:ipni.org:names:30000631-2</x:v>
      </x:c>
      <x:c r="W80" s="215" t="str">
        <x:v>https://floranorthamerica.org/Solanaceae
https://floranorthamerica.org/Datura
https://www.mobot.org/MOBOT/research/APweb/orders/solanalesweb.htm
https://powo.science.kew.org/taxon/urn:lsid:ipni.org:names:30000631-2</x:v>
      </x:c>
      <x:c r="X80" s="215" t="str">
        <x:v>No — retain qualifiers and exceptions</x:v>
      </x:c>
      <x:c r="Y80" s="215" t="str">
        <x:v>Yes</x:v>
      </x:c>
      <x:c r="Z80" s="215" t="str">
        <x:v>Source-backed draft</x:v>
      </x:c>
      <x:c r="AA80" s="215" t="str">
        <x:v>Local subgroup / route</x:v>
      </x:c>
      <x:c r="AB80" s="215" t="str">
        <x:v>Supporting / route</x:v>
      </x:c>
      <x:c r="AC80" s="215" t="str">
        <x:v>High</x:v>
      </x:c>
      <x:c r="AD80" s="215" t="str">
        <x:v>Naked eye / field</x:v>
      </x:c>
      <x:c r="AE80" s="215" t="str">
        <x:v>Low</x:v>
      </x:c>
      <x:c r="AF80" s="215" t="str">
        <x:v>Field-ready draft</x:v>
      </x:c>
      <x:c r="AG80" s="215" t="str">
        <x:v>2 — Field-photo priority</x:v>
      </x:c>
      <x:c r="AH80" s="215" t="str">
        <x:v>Current master inventory</x:v>
      </x:c>
    </x:row>
    <x:row r="81" ht="42" customHeight="1">
      <x:c r="A81" s="215" t="str">
        <x:v>Solanaceae</x:v>
      </x:c>
      <x:c r="B81" s="215" t="str">
        <x:v>SOL-ODOR</x:v>
      </x:c>
      <x:c r="C81" s="215" t="str">
        <x:v>Shortcut and safety warning</x:v>
      </x:c>
      <x:c r="D81" s="215" t="str">
        <x:v>Odor and chemistry</x:v>
      </x:c>
      <x:c r="E81" s="215" t="str">
        <x:v>Fetid or tomato-like odor and toxicity are common but not diagnostic</x:v>
      </x:c>
      <x:c r="F81" s="215" t="str">
        <x:v>Caution</x:v>
      </x:c>
      <x:c r="G81" s="215" t="str">
        <x:v>0</x:v>
      </x:c>
      <x:c r="H81" s="215" t="str">
        <x:v>High as a warning</x:v>
      </x:c>
      <x:c r="I81" s="215" t="str">
        <x:v>Smell without tasting</x:v>
      </x:c>
      <x:c r="J81" s="215" t="str">
        <x:v>Vegetative</x:v>
      </x:c>
      <x:c r="K81" s="215" t="str">
        <x:v>Some foliage has a pungent nightshade odor and many vegetative parts contain toxic alkaloids.</x:v>
      </x:c>
      <x:c r="L81" s="215" t="str">
        <x:v>Odor can be weak or absent, occurs elsewhere, and toxicity cannot be safely tested in the field.</x:v>
      </x:c>
      <x:c r="M81" s="215" t="str">
        <x:v>Never taste; use odor only as supporting context after visible morphology.</x:v>
      </x:c>
      <x:c r="N81" s="215" t="str">
        <x:v>Relevant across local nightshades, especially Solanum and Datura, but not required.</x:v>
      </x:c>
      <x:c r="O81" s="215" t="str">
        <x:v>Low</x:v>
      </x:c>
      <x:c r="P81" s="215" t="str">
        <x:v>No</x:v>
      </x:c>
      <x:c r="Q81" s="215" t="str"/>
      <x:c r="R81" s="215" t="str">
        <x:v>SOL-LK01; SOL-LK02</x:v>
      </x:c>
      <x:c r="S81" s="215" t="str">
        <x:v>FNA-SOLAN; APWEB-SOLAN; POWO-SOLAN</x:v>
      </x:c>
      <x:c r="T81" s="215" t="str">
        <x:v>https://www.mobot.org/MOBOT/research/APweb/orders/solanalesweb.htm</x:v>
      </x:c>
      <x:c r="U81" s="215" t="str">
        <x:v>https://floranorthamerica.org/Solanaceae</x:v>
      </x:c>
      <x:c r="V81" s="215" t="str">
        <x:v>https://powo.science.kew.org/taxon/urn:lsid:ipni.org:names:30000631-2</x:v>
      </x:c>
      <x:c r="W81" s="215" t="str">
        <x:v>https://floranorthamerica.org/Solanaceae
https://www.mobot.org/MOBOT/research/APweb/orders/solanalesweb.htm
https://powo.science.kew.org/taxon/urn:lsid:ipni.org:names:30000631-2</x:v>
      </x:c>
      <x:c r="X81" s="215" t="str">
        <x:v>No — retain qualifiers and exceptions</x:v>
      </x:c>
      <x:c r="Y81" s="215" t="str">
        <x:v>Yes</x:v>
      </x:c>
      <x:c r="Z81" s="215" t="str">
        <x:v>Source-backed draft</x:v>
      </x:c>
      <x:c r="AA81" s="215" t="str">
        <x:v>Caution / method</x:v>
      </x:c>
      <x:c r="AB81" s="215" t="str">
        <x:v>Caution / negative rule</x:v>
      </x:c>
      <x:c r="AC81" s="215" t="str">
        <x:v>High</x:v>
      </x:c>
      <x:c r="AD81" s="215" t="str">
        <x:v>Special handling</x:v>
      </x:c>
      <x:c r="AE81" s="215" t="str">
        <x:v>Low</x:v>
      </x:c>
      <x:c r="AF81" s="215" t="str">
        <x:v>Field-ready draft</x:v>
      </x:c>
      <x:c r="AG81" s="215" t="str">
        <x:v>4 — Context / caution</x:v>
      </x:c>
      <x:c r="AH81" s="215" t="str">
        <x:v>Current master inventory</x:v>
      </x:c>
    </x:row>
    <x:row r="82" ht="42" customHeight="1">
      <x:c r="A82" s="215" t="str">
        <x:v>Brassicaceae</x:v>
      </x:c>
      <x:c r="B82" s="215" t="str">
        <x:v>BRA-SEPALS</x:v>
      </x:c>
      <x:c r="C82" s="215" t="str">
        <x:v>Family-wide, common</x:v>
      </x:c>
      <x:c r="D82" s="215" t="str">
        <x:v>Calyx</x:v>
      </x:c>
      <x:c r="E82" s="215" t="str">
        <x:v>Four sepals in two decussate pairs</x:v>
      </x:c>
      <x:c r="F82" s="215" t="str">
        <x:v>Core</x:v>
      </x:c>
      <x:c r="G82" s="215" t="str">
        <x:v>5</x:v>
      </x:c>
      <x:c r="H82" s="215" t="str">
        <x:v>High</x:v>
      </x:c>
      <x:c r="I82" s="215" t="str">
        <x:v>Naked eye or hand lens</x:v>
      </x:c>
      <x:c r="J82" s="215" t="str">
        <x:v>Flowering</x:v>
      </x:c>
      <x:c r="K82" s="215" t="str">
        <x:v>Two lateral and two median sepals form the characteristic four-part calyx.</x:v>
      </x:c>
      <x:c r="L82" s="215" t="str">
        <x:v>Sepals may be saccate, unequal, connate, or soon shed, and tiny flowers can be difficult to count.</x:v>
      </x:c>
      <x:c r="M82" s="215" t="str">
        <x:v>Use with petal, stamen, and fruit characters; the paired arrangement is more informative than “four sepals” alone.</x:v>
      </x:c>
      <x:c r="N82" s="215" t="str">
        <x:v>Strong across the selected local genera, including Physaria, Lepidium, Descurainia, Paysonia, Planodes, Streptanthus, and Tomostima.</x:v>
      </x:c>
      <x:c r="O82" s="215" t="str">
        <x:v>Low</x:v>
      </x:c>
      <x:c r="P82" s="215" t="str">
        <x:v>No</x:v>
      </x:c>
      <x:c r="Q82" s="215" t="str"/>
      <x:c r="R82" s="215" t="str">
        <x:v>BRA-LK01; BRA-LK02</x:v>
      </x:c>
      <x:c r="S82" s="215" t="str">
        <x:v>APWEB-BRASS; FNA-BRASS; POWO-BRASS</x:v>
      </x:c>
      <x:c r="T82" s="215" t="str">
        <x:v>https://www.mobot.org/MOBOT/research/APweb/orders/brassicalesweb.htm</x:v>
      </x:c>
      <x:c r="U82" s="215" t="str">
        <x:v>https://floranorthamerica.org/Brassicaceae</x:v>
      </x:c>
      <x:c r="V82" s="215" t="str">
        <x:v>https://powo.science.kew.org/taxon/urn:lsid:ipni.org:names:30000087-2</x:v>
      </x:c>
      <x:c r="W82" s="215" t="str">
        <x:v>https://www.mobot.org/MOBOT/research/APweb/orders/brassicalesweb.htm
https://floranorthamerica.org/Brassicaceae
https://powo.science.kew.org/taxon/urn:lsid:ipni.org:names:30000087-2</x:v>
      </x:c>
      <x:c r="X82" s="215" t="str">
        <x:v>No — retain qualifiers and exceptions</x:v>
      </x:c>
      <x:c r="Y82" s="215" t="str">
        <x:v>Yes</x:v>
      </x:c>
      <x:c r="Z82" s="215" t="str">
        <x:v>Source-backed draft</x:v>
      </x:c>
      <x:c r="AA82" s="215" t="str">
        <x:v>Family pattern</x:v>
      </x:c>
      <x:c r="AB82" s="215" t="str">
        <x:v>Positive diagnostic</x:v>
      </x:c>
      <x:c r="AC82" s="215" t="str">
        <x:v>High</x:v>
      </x:c>
      <x:c r="AD82" s="215" t="str">
        <x:v>Hand lens / macro</x:v>
      </x:c>
      <x:c r="AE82" s="215" t="str">
        <x:v>Low</x:v>
      </x:c>
      <x:c r="AF82" s="215" t="str">
        <x:v>Field-ready draft</x:v>
      </x:c>
      <x:c r="AG82" s="215" t="str">
        <x:v>2 — Field-photo priority</x:v>
      </x:c>
      <x:c r="AH82" s="215" t="str">
        <x:v>Current master inventory</x:v>
      </x:c>
    </x:row>
    <x:row r="83" ht="42" customHeight="1">
      <x:c r="A83" s="215" t="str">
        <x:v>Brassicaceae</x:v>
      </x:c>
      <x:c r="B83" s="215" t="str">
        <x:v>BRA-PETALS</x:v>
      </x:c>
      <x:c r="C83" s="215" t="str">
        <x:v>Family-wide, common</x:v>
      </x:c>
      <x:c r="D83" s="215" t="str">
        <x:v>Corolla</x:v>
      </x:c>
      <x:c r="E83" s="215" t="str">
        <x:v>Usually four petals alternating with sepals, often cross-shaped</x:v>
      </x:c>
      <x:c r="F83" s="215" t="str">
        <x:v>Strong</x:v>
      </x:c>
      <x:c r="G83" s="215" t="str">
        <x:v>4</x:v>
      </x:c>
      <x:c r="H83" s="215" t="str">
        <x:v>High</x:v>
      </x:c>
      <x:c r="I83" s="215" t="str">
        <x:v>Naked eye</x:v>
      </x:c>
      <x:c r="J83" s="215" t="str">
        <x:v>Flowering</x:v>
      </x:c>
      <x:c r="K83" s="215" t="str">
        <x:v>Four petals commonly form the familiar cruciform flower.</x:v>
      </x:c>
      <x:c r="L83" s="215" t="str">
        <x:v>Petals can be unequal, reduced, narrow, or absent; some flowers are weakly bilateral.</x:v>
      </x:c>
      <x:c r="M83" s="215" t="str">
        <x:v>A useful first clue, but must be confirmed with tetradynamous stamens or mustard fruit structure.</x:v>
      </x:c>
      <x:c r="N83" s="215" t="str">
        <x:v>Most local taxa show four petals, but the key must allow reduced or atypical flowers.</x:v>
      </x:c>
      <x:c r="O83" s="215" t="str">
        <x:v>Low</x:v>
      </x:c>
      <x:c r="P83" s="215" t="str">
        <x:v>No</x:v>
      </x:c>
      <x:c r="Q83" s="215" t="str"/>
      <x:c r="R83" s="215" t="str">
        <x:v>BRA-LK01; BRA-LK02</x:v>
      </x:c>
      <x:c r="S83" s="215" t="str">
        <x:v>FNA-BRASS; APWEB-BRASS; POWO-BRASS</x:v>
      </x:c>
      <x:c r="T83" s="215" t="str">
        <x:v>https://www.mobot.org/MOBOT/research/APweb/orders/brassicalesweb.htm</x:v>
      </x:c>
      <x:c r="U83" s="215" t="str">
        <x:v>https://floranorthamerica.org/Brassicaceae</x:v>
      </x:c>
      <x:c r="V83" s="215" t="str">
        <x:v>https://powo.science.kew.org/taxon/urn:lsid:ipni.org:names:30000087-2</x:v>
      </x:c>
      <x:c r="W83" s="215" t="str">
        <x:v>https://floranorthamerica.org/Brassicaceae
https://www.mobot.org/MOBOT/research/APweb/orders/brassicalesweb.htm
https://powo.science.kew.org/taxon/urn:lsid:ipni.org:names:30000087-2</x:v>
      </x:c>
      <x:c r="X83" s="215" t="str">
        <x:v>No — retain qualifiers and exceptions</x:v>
      </x:c>
      <x:c r="Y83" s="215" t="str">
        <x:v>Yes</x:v>
      </x:c>
      <x:c r="Z83" s="215" t="str">
        <x:v>Source-backed draft</x:v>
      </x:c>
      <x:c r="AA83" s="215" t="str">
        <x:v>Family pattern</x:v>
      </x:c>
      <x:c r="AB83" s="215" t="str">
        <x:v>Positive diagnostic</x:v>
      </x:c>
      <x:c r="AC83" s="215" t="str">
        <x:v>High</x:v>
      </x:c>
      <x:c r="AD83" s="215" t="str">
        <x:v>Naked eye / field</x:v>
      </x:c>
      <x:c r="AE83" s="215" t="str">
        <x:v>Low</x:v>
      </x:c>
      <x:c r="AF83" s="215" t="str">
        <x:v>Field-ready draft</x:v>
      </x:c>
      <x:c r="AG83" s="215" t="str">
        <x:v>2 — Field-photo priority</x:v>
      </x:c>
      <x:c r="AH83" s="215" t="str">
        <x:v>Current master inventory</x:v>
      </x:c>
    </x:row>
    <x:row r="84" ht="42" customHeight="1">
      <x:c r="A84" s="215" t="str">
        <x:v>Brassicaceae</x:v>
      </x:c>
      <x:c r="B84" s="215" t="str">
        <x:v>BRA-TETRADYN</x:v>
      </x:c>
      <x:c r="C84" s="215" t="str">
        <x:v>Family-wide, common</x:v>
      </x:c>
      <x:c r="D84" s="215" t="str">
        <x:v>Androecium</x:v>
      </x:c>
      <x:c r="E84" s="215" t="str">
        <x:v>Usually six stamens: four long inner and two short outer</x:v>
      </x:c>
      <x:c r="F84" s="215" t="str">
        <x:v>Core</x:v>
      </x:c>
      <x:c r="G84" s="215" t="str">
        <x:v>5</x:v>
      </x:c>
      <x:c r="H84" s="215" t="str">
        <x:v>High</x:v>
      </x:c>
      <x:c r="I84" s="215" t="str">
        <x:v>Naked eye or hand lens</x:v>
      </x:c>
      <x:c r="J84" s="215" t="str">
        <x:v>Flowering</x:v>
      </x:c>
      <x:c r="K84" s="215" t="str">
        <x:v>The four inner stamens exceed the two lateral stamens, producing a tetradynamous arrangement.</x:v>
      </x:c>
      <x:c r="L84" s="215" t="str">
        <x:v>FNA records 2, 4, 6, or more stamens and occasional equal lengths; damage can remove the short pair.</x:v>
      </x:c>
      <x:c r="M84" s="215" t="str">
        <x:v>One of the fastest confirmations of a typical mustard flower.</x:v>
      </x:c>
      <x:c r="N84" s="215" t="str">
        <x:v>Expected in most selected local genera, but exceptions must remain possible.</x:v>
      </x:c>
      <x:c r="O84" s="215" t="str">
        <x:v>Low</x:v>
      </x:c>
      <x:c r="P84" s="215" t="str">
        <x:v>No</x:v>
      </x:c>
      <x:c r="Q84" s="215" t="str"/>
      <x:c r="R84" s="215" t="str">
        <x:v>BRA-LK01</x:v>
      </x:c>
      <x:c r="S84" s="215" t="str">
        <x:v>APWEB-BRASS; FNA-BRASS; POWO-BRASS</x:v>
      </x:c>
      <x:c r="T84" s="215" t="str">
        <x:v>https://www.mobot.org/MOBOT/research/APweb/orders/brassicalesweb.htm</x:v>
      </x:c>
      <x:c r="U84" s="215" t="str">
        <x:v>https://floranorthamerica.org/Brassicaceae</x:v>
      </x:c>
      <x:c r="V84" s="215" t="str">
        <x:v>https://powo.science.kew.org/taxon/urn:lsid:ipni.org:names:30000087-2</x:v>
      </x:c>
      <x:c r="W84" s="215" t="str">
        <x:v>https://www.mobot.org/MOBOT/research/APweb/orders/brassicalesweb.htm
https://floranorthamerica.org/Brassicaceae
https://powo.science.kew.org/taxon/urn:lsid:ipni.org:names:30000087-2</x:v>
      </x:c>
      <x:c r="X84" s="215" t="str">
        <x:v>No — retain qualifiers and exceptions</x:v>
      </x:c>
      <x:c r="Y84" s="215" t="str">
        <x:v>Yes</x:v>
      </x:c>
      <x:c r="Z84" s="215" t="str">
        <x:v>Source-backed draft</x:v>
      </x:c>
      <x:c r="AA84" s="215" t="str">
        <x:v>Family pattern</x:v>
      </x:c>
      <x:c r="AB84" s="215" t="str">
        <x:v>Positive diagnostic</x:v>
      </x:c>
      <x:c r="AC84" s="215" t="str">
        <x:v>High</x:v>
      </x:c>
      <x:c r="AD84" s="215" t="str">
        <x:v>Hand lens / macro</x:v>
      </x:c>
      <x:c r="AE84" s="215" t="str">
        <x:v>Low</x:v>
      </x:c>
      <x:c r="AF84" s="215" t="str">
        <x:v>Field-ready draft</x:v>
      </x:c>
      <x:c r="AG84" s="215" t="str">
        <x:v>2 — Field-photo priority</x:v>
      </x:c>
      <x:c r="AH84" s="215" t="str">
        <x:v>Current master inventory</x:v>
      </x:c>
    </x:row>
    <x:row r="85" ht="42" customHeight="1">
      <x:c r="A85" s="215" t="str">
        <x:v>Brassicaceae</x:v>
      </x:c>
      <x:c r="B85" s="215" t="str">
        <x:v>BRA-OVARY</x:v>
      </x:c>
      <x:c r="C85" s="215" t="str">
        <x:v>Family-wide</x:v>
      </x:c>
      <x:c r="D85" s="215" t="str">
        <x:v>Gynoecium</x:v>
      </x:c>
      <x:c r="E85" s="215" t="str">
        <x:v>Superior, two-carpellate ovary with parietal placentation</x:v>
      </x:c>
      <x:c r="F85" s="215" t="str">
        <x:v>Core</x:v>
      </x:c>
      <x:c r="G85" s="215" t="str">
        <x:v>5</x:v>
      </x:c>
      <x:c r="H85" s="215" t="str">
        <x:v>High with examination</x:v>
      </x:c>
      <x:c r="I85" s="215" t="str">
        <x:v>Hand lens or dissection</x:v>
      </x:c>
      <x:c r="J85" s="215" t="str">
        <x:v>Flowering</x:v>
      </x:c>
      <x:c r="K85" s="215" t="str">
        <x:v>Flower parts attach below a single ovary formed from two carpels; ovules lie along two marginal placentae.</x:v>
      </x:c>
      <x:c r="L85" s="215" t="str">
        <x:v>The apparent chambers are usually created by a false septum, not the original carpel walls; rare eseptate fruits occur.</x:v>
      </x:c>
      <x:c r="M85" s="215" t="str">
        <x:v>Explains the mustard fruit and separates it from superficially similar four-petaled flowers with different ovaries.</x:v>
      </x:c>
      <x:c r="N85" s="215" t="str">
        <x:v>Strong across the local genera.</x:v>
      </x:c>
      <x:c r="O85" s="215" t="str">
        <x:v>Low</x:v>
      </x:c>
      <x:c r="P85" s="215" t="str">
        <x:v>No</x:v>
      </x:c>
      <x:c r="Q85" s="215" t="str"/>
      <x:c r="R85" s="215" t="str">
        <x:v>BRA-LK01; BRA-LK02</x:v>
      </x:c>
      <x:c r="S85" s="215" t="str">
        <x:v>APWEB-BRASS; FNA-BRASS; POWO-BRASS</x:v>
      </x:c>
      <x:c r="T85" s="215" t="str">
        <x:v>https://www.mobot.org/MOBOT/research/APweb/orders/brassicalesweb.htm</x:v>
      </x:c>
      <x:c r="U85" s="215" t="str">
        <x:v>https://floranorthamerica.org/Brassicaceae</x:v>
      </x:c>
      <x:c r="V85" s="215" t="str">
        <x:v>https://powo.science.kew.org/taxon/urn:lsid:ipni.org:names:30000087-2</x:v>
      </x:c>
      <x:c r="W85" s="215" t="str">
        <x:v>https://www.mobot.org/MOBOT/research/APweb/orders/brassicalesweb.htm
https://floranorthamerica.org/Brassicaceae
https://powo.science.kew.org/taxon/urn:lsid:ipni.org:names:30000087-2</x:v>
      </x:c>
      <x:c r="X85" s="215" t="str">
        <x:v>No — retain qualifiers and exceptions</x:v>
      </x:c>
      <x:c r="Y85" s="215" t="str">
        <x:v>Yes</x:v>
      </x:c>
      <x:c r="Z85" s="215" t="str">
        <x:v>Source-backed draft</x:v>
      </x:c>
      <x:c r="AA85" s="215" t="str">
        <x:v>Family pattern</x:v>
      </x:c>
      <x:c r="AB85" s="215" t="str">
        <x:v>Positive diagnostic</x:v>
      </x:c>
      <x:c r="AC85" s="215" t="str">
        <x:v>High</x:v>
      </x:c>
      <x:c r="AD85" s="215" t="str">
        <x:v>Dissection</x:v>
      </x:c>
      <x:c r="AE85" s="215" t="str">
        <x:v>Low</x:v>
      </x:c>
      <x:c r="AF85" s="215" t="str">
        <x:v>Dissection / close study</x:v>
      </x:c>
      <x:c r="AG85" s="215" t="str">
        <x:v>3 — Reference support</x:v>
      </x:c>
      <x:c r="AH85" s="215" t="str">
        <x:v>Current master inventory</x:v>
      </x:c>
    </x:row>
    <x:row r="86" ht="42" customHeight="1">
      <x:c r="A86" s="215" t="str">
        <x:v>Brassicaceae</x:v>
      </x:c>
      <x:c r="B86" s="215" t="str">
        <x:v>BRA-SEPTUM</x:v>
      </x:c>
      <x:c r="C86" s="215" t="str">
        <x:v>Family-wide, common</x:v>
      </x:c>
      <x:c r="D86" s="215" t="str">
        <x:v>Fruit and gynoecium</x:v>
      </x:c>
      <x:c r="E86" s="215" t="str">
        <x:v>False septum dividing the fruit into two apparent locules</x:v>
      </x:c>
      <x:c r="F86" s="215" t="str">
        <x:v>Core</x:v>
      </x:c>
      <x:c r="G86" s="215" t="str">
        <x:v>5</x:v>
      </x:c>
      <x:c r="H86" s="215" t="str">
        <x:v>High</x:v>
      </x:c>
      <x:c r="I86" s="215" t="str">
        <x:v>Hand lens</x:v>
      </x:c>
      <x:c r="J86" s="215" t="str">
        <x:v>Developing or mature fruit</x:v>
      </x:c>
      <x:c r="K86" s="215" t="str">
        <x:v>A thin partition usually stretches between the two placentae and remains after the valves fall.</x:v>
      </x:c>
      <x:c r="L86" s="215" t="str">
        <x:v>The septum can be incomplete, perforated, reduced, or absent in some genera.</x:v>
      </x:c>
      <x:c r="M86" s="215" t="str">
        <x:v>A powerful confirmation when a mature fruit opens or is viewed against light.</x:v>
      </x:c>
      <x:c r="N86" s="215" t="str">
        <x:v>Very useful for local Physaria, Lepidium, Descurainia, Paysonia, Planodes, Streptanthus, and Tomostima.</x:v>
      </x:c>
      <x:c r="O86" s="215" t="str">
        <x:v>Low</x:v>
      </x:c>
      <x:c r="P86" s="215" t="str">
        <x:v>No</x:v>
      </x:c>
      <x:c r="Q86" s="215" t="str"/>
      <x:c r="R86" s="215" t="str">
        <x:v>BRA-LK01</x:v>
      </x:c>
      <x:c r="S86" s="215" t="str">
        <x:v>APWEB-BRASS; FNA-BRASS; POWO-BRASS</x:v>
      </x:c>
      <x:c r="T86" s="215" t="str">
        <x:v>https://www.mobot.org/MOBOT/research/APweb/orders/brassicalesweb.htm</x:v>
      </x:c>
      <x:c r="U86" s="215" t="str">
        <x:v>https://floranorthamerica.org/Brassicaceae</x:v>
      </x:c>
      <x:c r="V86" s="215" t="str">
        <x:v>https://powo.science.kew.org/taxon/urn:lsid:ipni.org:names:30000087-2</x:v>
      </x:c>
      <x:c r="W86" s="215" t="str">
        <x:v>https://www.mobot.org/MOBOT/research/APweb/orders/brassicalesweb.htm
https://floranorthamerica.org/Brassicaceae
https://powo.science.kew.org/taxon/urn:lsid:ipni.org:names:30000087-2</x:v>
      </x:c>
      <x:c r="X86" s="215" t="str">
        <x:v>No — retain qualifiers and exceptions</x:v>
      </x:c>
      <x:c r="Y86" s="215" t="str">
        <x:v>Yes</x:v>
      </x:c>
      <x:c r="Z86" s="215" t="str">
        <x:v>Source-backed draft</x:v>
      </x:c>
      <x:c r="AA86" s="215" t="str">
        <x:v>Family pattern</x:v>
      </x:c>
      <x:c r="AB86" s="215" t="str">
        <x:v>Positive diagnostic</x:v>
      </x:c>
      <x:c r="AC86" s="215" t="str">
        <x:v>High</x:v>
      </x:c>
      <x:c r="AD86" s="215" t="str">
        <x:v>Hand lens / macro</x:v>
      </x:c>
      <x:c r="AE86" s="215" t="str">
        <x:v>Low</x:v>
      </x:c>
      <x:c r="AF86" s="215" t="str">
        <x:v>Field-ready draft</x:v>
      </x:c>
      <x:c r="AG86" s="215" t="str">
        <x:v>2 — Field-photo priority</x:v>
      </x:c>
      <x:c r="AH86" s="215" t="str">
        <x:v>Current master inventory</x:v>
      </x:c>
    </x:row>
    <x:row r="87" ht="42" customHeight="1">
      <x:c r="A87" s="215" t="str">
        <x:v>Brassicaceae</x:v>
      </x:c>
      <x:c r="B87" s="215" t="str">
        <x:v>BRA-FRUIT</x:v>
      </x:c>
      <x:c r="C87" s="215" t="str">
        <x:v>Family-wide, common</x:v>
      </x:c>
      <x:c r="D87" s="215" t="str">
        <x:v>Fruit</x:v>
      </x:c>
      <x:c r="E87" s="215" t="str">
        <x:v>Usually a two-valved silique or silicle</x:v>
      </x:c>
      <x:c r="F87" s="215" t="str">
        <x:v>Core</x:v>
      </x:c>
      <x:c r="G87" s="215" t="str">
        <x:v>5</x:v>
      </x:c>
      <x:c r="H87" s="215" t="str">
        <x:v>High</x:v>
      </x:c>
      <x:c r="I87" s="215" t="str">
        <x:v>Naked eye or hand lens</x:v>
      </x:c>
      <x:c r="J87" s="215" t="str">
        <x:v>Mature fruit</x:v>
      </x:c>
      <x:c r="K87" s="215" t="str">
        <x:v>Dry fruits commonly open by two valves and leave a central frame with the septum and seeds.</x:v>
      </x:c>
      <x:c r="L87" s="215" t="str">
        <x:v>Some fruits are indehiscent, segmented, winged, nutletlike, or otherwise modified.</x:v>
      </x:c>
      <x:c r="M87" s="215" t="str">
        <x:v>Mature fruit is often more reliable than flowers for genus-level identification.</x:v>
      </x:c>
      <x:c r="N87" s="215" t="str">
        <x:v>Essential for all selected local genera, especially species-rich Physaria and Lepidium.</x:v>
      </x:c>
      <x:c r="O87" s="215" t="str">
        <x:v>Low</x:v>
      </x:c>
      <x:c r="P87" s="215" t="str">
        <x:v>No</x:v>
      </x:c>
      <x:c r="Q87" s="215" t="str"/>
      <x:c r="R87" s="215" t="str">
        <x:v>BRA-LK01; BRA-LK02</x:v>
      </x:c>
      <x:c r="S87" s="215" t="str">
        <x:v>APWEB-BRASS; FNA-BRASS; POWO-BRASS</x:v>
      </x:c>
      <x:c r="T87" s="215" t="str">
        <x:v>https://www.mobot.org/MOBOT/research/APweb/orders/brassicalesweb.htm</x:v>
      </x:c>
      <x:c r="U87" s="215" t="str">
        <x:v>https://floranorthamerica.org/Brassicaceae</x:v>
      </x:c>
      <x:c r="V87" s="215" t="str">
        <x:v>https://powo.science.kew.org/taxon/urn:lsid:ipni.org:names:30000087-2</x:v>
      </x:c>
      <x:c r="W87" s="215" t="str">
        <x:v>https://www.mobot.org/MOBOT/research/APweb/orders/brassicalesweb.htm
https://floranorthamerica.org/Brassicaceae
https://powo.science.kew.org/taxon/urn:lsid:ipni.org:names:30000087-2</x:v>
      </x:c>
      <x:c r="X87" s="215" t="str">
        <x:v>No — retain qualifiers and exceptions</x:v>
      </x:c>
      <x:c r="Y87" s="215" t="str">
        <x:v>Yes</x:v>
      </x:c>
      <x:c r="Z87" s="215" t="str">
        <x:v>Source-backed draft</x:v>
      </x:c>
      <x:c r="AA87" s="215" t="str">
        <x:v>Family pattern</x:v>
      </x:c>
      <x:c r="AB87" s="215" t="str">
        <x:v>Positive diagnostic</x:v>
      </x:c>
      <x:c r="AC87" s="215" t="str">
        <x:v>High</x:v>
      </x:c>
      <x:c r="AD87" s="215" t="str">
        <x:v>Hand lens / macro</x:v>
      </x:c>
      <x:c r="AE87" s="215" t="str">
        <x:v>Low</x:v>
      </x:c>
      <x:c r="AF87" s="215" t="str">
        <x:v>Field-ready draft</x:v>
      </x:c>
      <x:c r="AG87" s="215" t="str">
        <x:v>2 — Field-photo priority</x:v>
      </x:c>
      <x:c r="AH87" s="215" t="str">
        <x:v>Current master inventory</x:v>
      </x:c>
    </x:row>
    <x:row r="88" ht="42" customHeight="1">
      <x:c r="A88" s="215" t="str">
        <x:v>Brassicaceae</x:v>
      </x:c>
      <x:c r="B88" s="215" t="str">
        <x:v>BRA-REPLUM</x:v>
      </x:c>
      <x:c r="C88" s="215" t="str">
        <x:v>Family-wide, common</x:v>
      </x:c>
      <x:c r="D88" s="215" t="str">
        <x:v>Fruit</x:v>
      </x:c>
      <x:c r="E88" s="215" t="str">
        <x:v>Persistent replum remains after valves detach</x:v>
      </x:c>
      <x:c r="F88" s="215" t="str">
        <x:v>Strong</x:v>
      </x:c>
      <x:c r="G88" s="215" t="str">
        <x:v>4</x:v>
      </x:c>
      <x:c r="H88" s="215" t="str">
        <x:v>High</x:v>
      </x:c>
      <x:c r="I88" s="215" t="str">
        <x:v>Hand lens</x:v>
      </x:c>
      <x:c r="J88" s="215" t="str">
        <x:v>Mature dehiscing fruit</x:v>
      </x:c>
      <x:c r="K88" s="215" t="str">
        <x:v>The seed-bearing placental frame stays attached to the stalk after the two valves fall away.</x:v>
      </x:c>
      <x:c r="L88" s="215" t="str">
        <x:v>The replum can be narrow, obscure, perforated, or reduced in modified fruits.</x:v>
      </x:c>
      <x:c r="M88" s="215" t="str">
        <x:v>Confirms a true mustard fruit when petals are gone.</x:v>
      </x:c>
      <x:c r="N88" s="215" t="str">
        <x:v>High-value field character in mature local fruiting material.</x:v>
      </x:c>
      <x:c r="O88" s="215" t="str">
        <x:v>Low</x:v>
      </x:c>
      <x:c r="P88" s="215" t="str">
        <x:v>No</x:v>
      </x:c>
      <x:c r="Q88" s="215" t="str"/>
      <x:c r="R88" s="215" t="str">
        <x:v>BRA-LK01</x:v>
      </x:c>
      <x:c r="S88" s="215" t="str">
        <x:v>FNA-BRASS; APWEB-BRASS; POWO-BRASS</x:v>
      </x:c>
      <x:c r="T88" s="215" t="str">
        <x:v>https://www.mobot.org/MOBOT/research/APweb/orders/brassicalesweb.htm</x:v>
      </x:c>
      <x:c r="U88" s="215" t="str">
        <x:v>https://floranorthamerica.org/Brassicaceae</x:v>
      </x:c>
      <x:c r="V88" s="215" t="str">
        <x:v>https://powo.science.kew.org/taxon/urn:lsid:ipni.org:names:30000087-2</x:v>
      </x:c>
      <x:c r="W88" s="215" t="str">
        <x:v>https://floranorthamerica.org/Brassicaceae
https://www.mobot.org/MOBOT/research/APweb/orders/brassicalesweb.htm
https://powo.science.kew.org/taxon/urn:lsid:ipni.org:names:30000087-2</x:v>
      </x:c>
      <x:c r="X88" s="215" t="str">
        <x:v>No — retain qualifiers and exceptions</x:v>
      </x:c>
      <x:c r="Y88" s="215" t="str">
        <x:v>Yes</x:v>
      </x:c>
      <x:c r="Z88" s="215" t="str">
        <x:v>Source-backed draft</x:v>
      </x:c>
      <x:c r="AA88" s="215" t="str">
        <x:v>Family pattern</x:v>
      </x:c>
      <x:c r="AB88" s="215" t="str">
        <x:v>Positive diagnostic</x:v>
      </x:c>
      <x:c r="AC88" s="215" t="str">
        <x:v>High</x:v>
      </x:c>
      <x:c r="AD88" s="215" t="str">
        <x:v>Hand lens / macro</x:v>
      </x:c>
      <x:c r="AE88" s="215" t="str">
        <x:v>Low</x:v>
      </x:c>
      <x:c r="AF88" s="215" t="str">
        <x:v>Field-ready draft</x:v>
      </x:c>
      <x:c r="AG88" s="215" t="str">
        <x:v>2 — Field-photo priority</x:v>
      </x:c>
      <x:c r="AH88" s="215" t="str">
        <x:v>Current master inventory</x:v>
      </x:c>
    </x:row>
    <x:row r="89" ht="42" customHeight="1">
      <x:c r="A89" s="215" t="str">
        <x:v>Brassicaceae</x:v>
      </x:c>
      <x:c r="B89" s="215" t="str">
        <x:v>BRA-RACEME</x:v>
      </x:c>
      <x:c r="C89" s="215" t="str">
        <x:v>Family-wide, common</x:v>
      </x:c>
      <x:c r="D89" s="215" t="str">
        <x:v>Inflorescence</x:v>
      </x:c>
      <x:c r="E89" s="215" t="str">
        <x:v>Usually a raceme without subtending bracts</x:v>
      </x:c>
      <x:c r="F89" s="215" t="str">
        <x:v>Supporting</x:v>
      </x:c>
      <x:c r="G89" s="215" t="str">
        <x:v>3</x:v>
      </x:c>
      <x:c r="H89" s="215" t="str">
        <x:v>Moderate</x:v>
      </x:c>
      <x:c r="I89" s="215" t="str">
        <x:v>Naked eye</x:v>
      </x:c>
      <x:c r="J89" s="215" t="str">
        <x:v>Flowering or fruiting</x:v>
      </x:c>
      <x:c r="K89" s="215" t="str">
        <x:v>Flowers and later fruits commonly line an elongating central axis, usually without a leaflike bract beneath each pedicel.</x:v>
      </x:c>
      <x:c r="L89" s="215" t="str">
        <x:v>Bracts occur in some taxa, flowers may be solitary, and racemes occur in many other families.</x:v>
      </x:c>
      <x:c r="M89" s="215" t="str">
        <x:v>Supports the flower-and-fruit suite but never proves the family.</x:v>
      </x:c>
      <x:c r="N89" s="215" t="str">
        <x:v>Common in the selected local genera and often easiest to read in fruit.</x:v>
      </x:c>
      <x:c r="O89" s="215" t="str">
        <x:v>Low</x:v>
      </x:c>
      <x:c r="P89" s="215" t="str">
        <x:v>No</x:v>
      </x:c>
      <x:c r="Q89" s="215" t="str"/>
      <x:c r="R89" s="215" t="str">
        <x:v>BRA-LK01; BRA-LK02</x:v>
      </x:c>
      <x:c r="S89" s="215" t="str">
        <x:v>FNA-BRASS; APWEB-BRASS; POWO-BRASS</x:v>
      </x:c>
      <x:c r="T89" s="215" t="str">
        <x:v>https://www.mobot.org/MOBOT/research/APweb/orders/brassicalesweb.htm</x:v>
      </x:c>
      <x:c r="U89" s="215" t="str">
        <x:v>https://floranorthamerica.org/Brassicaceae</x:v>
      </x:c>
      <x:c r="V89" s="215" t="str">
        <x:v>https://powo.science.kew.org/taxon/urn:lsid:ipni.org:names:30000087-2</x:v>
      </x:c>
      <x:c r="W89" s="215" t="str">
        <x:v>https://floranorthamerica.org/Brassicaceae
https://www.mobot.org/MOBOT/research/APweb/orders/brassicalesweb.htm
https://powo.science.kew.org/taxon/urn:lsid:ipni.org:names:30000087-2</x:v>
      </x:c>
      <x:c r="X89" s="215" t="str">
        <x:v>No — retain qualifiers and exceptions</x:v>
      </x:c>
      <x:c r="Y89" s="215" t="str">
        <x:v>Yes</x:v>
      </x:c>
      <x:c r="Z89" s="215" t="str">
        <x:v>Source-backed draft</x:v>
      </x:c>
      <x:c r="AA89" s="215" t="str">
        <x:v>Family pattern</x:v>
      </x:c>
      <x:c r="AB89" s="215" t="str">
        <x:v>Supporting / route</x:v>
      </x:c>
      <x:c r="AC89" s="215" t="str">
        <x:v>Moderate</x:v>
      </x:c>
      <x:c r="AD89" s="215" t="str">
        <x:v>Naked eye / field</x:v>
      </x:c>
      <x:c r="AE89" s="215" t="str">
        <x:v>Low</x:v>
      </x:c>
      <x:c r="AF89" s="215" t="str">
        <x:v>Field-ready draft</x:v>
      </x:c>
      <x:c r="AG89" s="215" t="str">
        <x:v>3 — Reference support</x:v>
      </x:c>
      <x:c r="AH89" s="215" t="str">
        <x:v>Current master inventory</x:v>
      </x:c>
    </x:row>
    <x:row r="90" ht="42" customHeight="1">
      <x:c r="A90" s="215" t="str">
        <x:v>Brassicaceae</x:v>
      </x:c>
      <x:c r="B90" s="215" t="str">
        <x:v>BRA-LEAVES</x:v>
      </x:c>
      <x:c r="C90" s="215" t="str">
        <x:v>Family-wide, common</x:v>
      </x:c>
      <x:c r="D90" s="215" t="str">
        <x:v>Leaf</x:v>
      </x:c>
      <x:c r="E90" s="215" t="str">
        <x:v>Leaves usually alternate, exstipulate, and often basal plus cauline</x:v>
      </x:c>
      <x:c r="F90" s="215" t="str">
        <x:v>Supporting</x:v>
      </x:c>
      <x:c r="G90" s="215" t="str">
        <x:v>2</x:v>
      </x:c>
      <x:c r="H90" s="215" t="str">
        <x:v>Variable</x:v>
      </x:c>
      <x:c r="I90" s="215" t="str">
        <x:v>Naked eye</x:v>
      </x:c>
      <x:c r="J90" s="215" t="str">
        <x:v>Vegetative</x:v>
      </x:c>
      <x:c r="K90" s="215" t="str">
        <x:v>Mustards commonly have a basal rosette and alternate stem leaves without stipules.</x:v>
      </x:c>
      <x:c r="L90" s="215" t="str">
        <x:v>Opposite or whorled leaves occur in exceptions, and leaf shape ranges from entire to deeply divided.</x:v>
      </x:c>
      <x:c r="M90" s="215" t="str">
        <x:v>Use only as supporting architecture before reproductive characters.</x:v>
      </x:c>
      <x:c r="N90" s="215" t="str">
        <x:v>Useful in local spring annuals and Physaria, but insufficient for family placement alone.</x:v>
      </x:c>
      <x:c r="O90" s="215" t="str">
        <x:v>Low</x:v>
      </x:c>
      <x:c r="P90" s="215" t="str">
        <x:v>No</x:v>
      </x:c>
      <x:c r="Q90" s="215" t="str"/>
      <x:c r="R90" s="215" t="str">
        <x:v>BRA-LK02</x:v>
      </x:c>
      <x:c r="S90" s="215" t="str">
        <x:v>FNA-BRASS; APWEB-BRASS; POWO-BRASS</x:v>
      </x:c>
      <x:c r="T90" s="215" t="str">
        <x:v>https://www.mobot.org/MOBOT/research/APweb/orders/brassicalesweb.htm</x:v>
      </x:c>
      <x:c r="U90" s="215" t="str">
        <x:v>https://floranorthamerica.org/Brassicaceae</x:v>
      </x:c>
      <x:c r="V90" s="215" t="str">
        <x:v>https://powo.science.kew.org/taxon/urn:lsid:ipni.org:names:30000087-2</x:v>
      </x:c>
      <x:c r="W90" s="215" t="str">
        <x:v>https://floranorthamerica.org/Brassicaceae
https://www.mobot.org/MOBOT/research/APweb/orders/brassicalesweb.htm
https://powo.science.kew.org/taxon/urn:lsid:ipni.org:names:30000087-2</x:v>
      </x:c>
      <x:c r="X90" s="215" t="str">
        <x:v>No — retain qualifiers and exceptions</x:v>
      </x:c>
      <x:c r="Y90" s="215" t="str">
        <x:v>Yes</x:v>
      </x:c>
      <x:c r="Z90" s="215" t="str">
        <x:v>Source-backed draft</x:v>
      </x:c>
      <x:c r="AA90" s="215" t="str">
        <x:v>Family pattern</x:v>
      </x:c>
      <x:c r="AB90" s="215" t="str">
        <x:v>Supporting / route</x:v>
      </x:c>
      <x:c r="AC90" s="215" t="str">
        <x:v>Variable</x:v>
      </x:c>
      <x:c r="AD90" s="215" t="str">
        <x:v>Naked eye / field</x:v>
      </x:c>
      <x:c r="AE90" s="215" t="str">
        <x:v>Low</x:v>
      </x:c>
      <x:c r="AF90" s="215" t="str">
        <x:v>Field-ready draft</x:v>
      </x:c>
      <x:c r="AG90" s="215" t="str">
        <x:v>4 — Context / caution</x:v>
      </x:c>
      <x:c r="AH90" s="215" t="str">
        <x:v>Current master inventory</x:v>
      </x:c>
    </x:row>
    <x:row r="91" ht="42" customHeight="1">
      <x:c r="A91" s="215" t="str">
        <x:v>Brassicaceae</x:v>
      </x:c>
      <x:c r="B91" s="215" t="str">
        <x:v>BRA-HAIRS</x:v>
      </x:c>
      <x:c r="C91" s="215" t="str">
        <x:v>Family-wide, variable</x:v>
      </x:c>
      <x:c r="D91" s="215" t="str">
        <x:v>Indumentum</x:v>
      </x:c>
      <x:c r="E91" s="215" t="str">
        <x:v>Unicellular simple, forked, stellate, dendritic, or peltate hairs</x:v>
      </x:c>
      <x:c r="F91" s="215" t="str">
        <x:v>Supporting</x:v>
      </x:c>
      <x:c r="G91" s="215" t="str">
        <x:v>3</x:v>
      </x:c>
      <x:c r="H91" s="215" t="str">
        <x:v>Variable</x:v>
      </x:c>
      <x:c r="I91" s="215" t="str">
        <x:v>Hand lens</x:v>
      </x:c>
      <x:c r="J91" s="215" t="str">
        <x:v>Vegetative</x:v>
      </x:c>
      <x:c r="K91" s="215" t="str">
        <x:v>Hair branching patterns are unusually useful in mustard keys.</x:v>
      </x:c>
      <x:c r="L91" s="215" t="str">
        <x:v>Plants may be glabrous, and hair types vary by genus and species; similar hairs occur elsewhere.</x:v>
      </x:c>
      <x:c r="M91" s="215" t="str">
        <x:v>Use mainly after family placement for tribe, genus, and species separation.</x:v>
      </x:c>
      <x:c r="N91" s="215" t="str">
        <x:v>Especially important in Physaria, Descurainia, and several small local annuals.</x:v>
      </x:c>
      <x:c r="O91" s="215" t="str">
        <x:v>Low</x:v>
      </x:c>
      <x:c r="P91" s="215" t="str">
        <x:v>No</x:v>
      </x:c>
      <x:c r="Q91" s="215" t="str"/>
      <x:c r="R91" s="215" t="str">
        <x:v>BRA-LK01</x:v>
      </x:c>
      <x:c r="S91" s="215" t="str">
        <x:v>FNA-BRASS; POWO-BRASS</x:v>
      </x:c>
      <x:c r="T91" s="215" t="str">
        <x:v>https://www.mobot.org/MOBOT/research/APweb/orders/brassicalesweb.htm</x:v>
      </x:c>
      <x:c r="U91" s="215" t="str">
        <x:v>https://floranorthamerica.org/Brassicaceae</x:v>
      </x:c>
      <x:c r="V91" s="215" t="str">
        <x:v>https://powo.science.kew.org/taxon/urn:lsid:ipni.org:names:30000087-2</x:v>
      </x:c>
      <x:c r="W91" s="215" t="str">
        <x:v>https://floranorthamerica.org/Brassicaceae
https://powo.science.kew.org/taxon/urn:lsid:ipni.org:names:30000087-2
https://www.mobot.org/MOBOT/research/APweb/orders/brassicalesweb.htm</x:v>
      </x:c>
      <x:c r="X91" s="215" t="str">
        <x:v>No — retain qualifiers and exceptions</x:v>
      </x:c>
      <x:c r="Y91" s="215" t="str">
        <x:v>Yes</x:v>
      </x:c>
      <x:c r="Z91" s="215" t="str">
        <x:v>Source-backed draft</x:v>
      </x:c>
      <x:c r="AA91" s="215" t="str">
        <x:v>Family pattern</x:v>
      </x:c>
      <x:c r="AB91" s="215" t="str">
        <x:v>Supporting / route</x:v>
      </x:c>
      <x:c r="AC91" s="215" t="str">
        <x:v>Variable</x:v>
      </x:c>
      <x:c r="AD91" s="215" t="str">
        <x:v>Hand lens / macro</x:v>
      </x:c>
      <x:c r="AE91" s="215" t="str">
        <x:v>Low</x:v>
      </x:c>
      <x:c r="AF91" s="215" t="str">
        <x:v>Field-ready draft</x:v>
      </x:c>
      <x:c r="AG91" s="215" t="str">
        <x:v>3 — Reference support</x:v>
      </x:c>
      <x:c r="AH91" s="215" t="str">
        <x:v>Current master inventory</x:v>
      </x:c>
    </x:row>
    <x:row r="92" ht="42" customHeight="1">
      <x:c r="A92" s="215" t="str">
        <x:v>Brassicaceae</x:v>
      </x:c>
      <x:c r="B92" s="215" t="str">
        <x:v>BRA-PUNGENT</x:v>
      </x:c>
      <x:c r="C92" s="215" t="str">
        <x:v>Family-wide, common</x:v>
      </x:c>
      <x:c r="D92" s="215" t="str">
        <x:v>Exudate and chemistry</x:v>
      </x:c>
      <x:c r="E92" s="215" t="str">
        <x:v>Pungent watery juice or mustard odor common</x:v>
      </x:c>
      <x:c r="F92" s="215" t="str">
        <x:v>Supporting</x:v>
      </x:c>
      <x:c r="G92" s="215" t="str">
        <x:v>1</x:v>
      </x:c>
      <x:c r="H92" s="215" t="str">
        <x:v>Variable</x:v>
      </x:c>
      <x:c r="I92" s="215" t="str">
        <x:v>Smell only on already damaged tissue</x:v>
      </x:c>
      <x:c r="J92" s="215" t="str">
        <x:v>Vegetative</x:v>
      </x:c>
      <x:c r="K92" s="215" t="str">
        <x:v>Glucosinolates can produce a sharp mustard-like odor.</x:v>
      </x:c>
      <x:c r="L92" s="215" t="str">
        <x:v>Odor may be weak, absent, or shared with other Brassicales; tasting is unnecessary and unsafe.</x:v>
      </x:c>
      <x:c r="M92" s="215" t="str">
        <x:v>Use only as secondary context, never as a required diagnostic test.</x:v>
      </x:c>
      <x:c r="N92" s="215" t="str">
        <x:v>May support local identifications but should not be part of an automatic required path.</x:v>
      </x:c>
      <x:c r="O92" s="215" t="str">
        <x:v>Low</x:v>
      </x:c>
      <x:c r="P92" s="215" t="str">
        <x:v>No</x:v>
      </x:c>
      <x:c r="Q92" s="215" t="str"/>
      <x:c r="R92" s="215" t="str">
        <x:v>BRA-LK01</x:v>
      </x:c>
      <x:c r="S92" s="215" t="str">
        <x:v>FNA-BRASS; APWEB-BRASS; POWO-BRASS</x:v>
      </x:c>
      <x:c r="T92" s="215" t="str">
        <x:v>https://www.mobot.org/MOBOT/research/APweb/orders/brassicalesweb.htm</x:v>
      </x:c>
      <x:c r="U92" s="215" t="str">
        <x:v>https://floranorthamerica.org/Brassicaceae</x:v>
      </x:c>
      <x:c r="V92" s="215" t="str">
        <x:v>https://powo.science.kew.org/taxon/urn:lsid:ipni.org:names:30000087-2</x:v>
      </x:c>
      <x:c r="W92" s="215" t="str">
        <x:v>https://floranorthamerica.org/Brassicaceae
https://www.mobot.org/MOBOT/research/APweb/orders/brassicalesweb.htm
https://powo.science.kew.org/taxon/urn:lsid:ipni.org:names:30000087-2</x:v>
      </x:c>
      <x:c r="X92" s="215" t="str">
        <x:v>No — retain qualifiers and exceptions</x:v>
      </x:c>
      <x:c r="Y92" s="215" t="str">
        <x:v>Yes</x:v>
      </x:c>
      <x:c r="Z92" s="215" t="str">
        <x:v>Source-backed draft</x:v>
      </x:c>
      <x:c r="AA92" s="215" t="str">
        <x:v>Family pattern</x:v>
      </x:c>
      <x:c r="AB92" s="215" t="str">
        <x:v>Supporting / route</x:v>
      </x:c>
      <x:c r="AC92" s="215" t="str">
        <x:v>Variable</x:v>
      </x:c>
      <x:c r="AD92" s="215" t="str">
        <x:v>Special handling</x:v>
      </x:c>
      <x:c r="AE92" s="215" t="str">
        <x:v>Low</x:v>
      </x:c>
      <x:c r="AF92" s="215" t="str">
        <x:v>Field-ready draft</x:v>
      </x:c>
      <x:c r="AG92" s="215" t="str">
        <x:v>4 — Context / caution</x:v>
      </x:c>
      <x:c r="AH92" s="215" t="str">
        <x:v>Current master inventory</x:v>
      </x:c>
    </x:row>
    <x:row r="93" ht="42" customHeight="1">
      <x:c r="A93" s="215" t="str">
        <x:v>Brassicaceae</x:v>
      </x:c>
      <x:c r="B93" s="215" t="str">
        <x:v>BRA-FOURPETAL</x:v>
      </x:c>
      <x:c r="C93" s="215" t="str">
        <x:v>Shortcut warning</x:v>
      </x:c>
      <x:c r="D93" s="215" t="str">
        <x:v>Recognition</x:v>
      </x:c>
      <x:c r="E93" s="215" t="str">
        <x:v>Four petals alone do not identify Brassicaceae</x:v>
      </x:c>
      <x:c r="F93" s="215" t="str">
        <x:v>Caution</x:v>
      </x:c>
      <x:c r="G93" s="215" t="str">
        <x:v>0</x:v>
      </x:c>
      <x:c r="H93" s="215" t="str">
        <x:v>High as a warning</x:v>
      </x:c>
      <x:c r="I93" s="215" t="str">
        <x:v>Naked eye</x:v>
      </x:c>
      <x:c r="J93" s="215" t="str">
        <x:v>Flowering</x:v>
      </x:c>
      <x:c r="K93" s="215" t="str">
        <x:v>Many unrelated families have four-petaled flowers.</x:v>
      </x:c>
      <x:c r="L93" s="215" t="str">
        <x:v>Mustards are confirmed by the two-paired sepals, tetradynamous stamens, and two-valved fruit with replum and false septum.</x:v>
      </x:c>
      <x:c r="M93" s="215" t="str">
        <x:v>Prevents false positives from Onagraceae and other four-petaled plants.</x:v>
      </x:c>
      <x:c r="N93" s="215" t="str">
        <x:v>Important in Hays County, where several common families produce four-petaled flowers.</x:v>
      </x:c>
      <x:c r="O93" s="215" t="str">
        <x:v>Low</x:v>
      </x:c>
      <x:c r="P93" s="215" t="str">
        <x:v>No</x:v>
      </x:c>
      <x:c r="Q93" s="215" t="str"/>
      <x:c r="R93" s="215" t="str">
        <x:v>BRA-LK01; BRA-LK02</x:v>
      </x:c>
      <x:c r="S93" s="215" t="str">
        <x:v>FNA-BRASS; APWEB-BRASS; POWO-BRASS</x:v>
      </x:c>
      <x:c r="T93" s="215" t="str">
        <x:v>https://www.mobot.org/MOBOT/research/APweb/orders/brassicalesweb.htm</x:v>
      </x:c>
      <x:c r="U93" s="215" t="str">
        <x:v>https://floranorthamerica.org/Brassicaceae</x:v>
      </x:c>
      <x:c r="V93" s="215" t="str">
        <x:v>https://powo.science.kew.org/taxon/urn:lsid:ipni.org:names:30000087-2</x:v>
      </x:c>
      <x:c r="W93" s="215" t="str">
        <x:v>https://floranorthamerica.org/Brassicaceae
https://www.mobot.org/MOBOT/research/APweb/orders/brassicalesweb.htm
https://powo.science.kew.org/taxon/urn:lsid:ipni.org:names:30000087-2</x:v>
      </x:c>
      <x:c r="X93" s="215" t="str">
        <x:v>No — retain qualifiers and exceptions</x:v>
      </x:c>
      <x:c r="Y93" s="215" t="str">
        <x:v>Yes</x:v>
      </x:c>
      <x:c r="Z93" s="215" t="str">
        <x:v>Source-backed draft</x:v>
      </x:c>
      <x:c r="AA93" s="215" t="str">
        <x:v>Caution / method</x:v>
      </x:c>
      <x:c r="AB93" s="215" t="str">
        <x:v>Caution / negative rule</x:v>
      </x:c>
      <x:c r="AC93" s="215" t="str">
        <x:v>High</x:v>
      </x:c>
      <x:c r="AD93" s="215" t="str">
        <x:v>Naked eye / field</x:v>
      </x:c>
      <x:c r="AE93" s="215" t="str">
        <x:v>Low</x:v>
      </x:c>
      <x:c r="AF93" s="215" t="str">
        <x:v>Field-ready draft</x:v>
      </x:c>
      <x:c r="AG93" s="215" t="str">
        <x:v>4 — Context / caution</x:v>
      </x:c>
      <x:c r="AH93" s="215" t="str">
        <x:v>Current master inventory</x:v>
      </x:c>
    </x:row>
    <x:row r="94" ht="42" customHeight="1">
      <x:c r="A94" s="215" t="str">
        <x:v>Brassicaceae</x:v>
      </x:c>
      <x:c r="B94" s="215" t="str">
        <x:v>BRA-FRUITSHAPE</x:v>
      </x:c>
      <x:c r="C94" s="215" t="str">
        <x:v>Genus-level direction</x:v>
      </x:c>
      <x:c r="D94" s="215" t="str">
        <x:v>Fruit</x:v>
      </x:c>
      <x:c r="E94" s="215" t="str">
        <x:v>Fruit length, compression, winging, segmentation, and septum orientation are primary genus characters</x:v>
      </x:c>
      <x:c r="F94" s="215" t="str">
        <x:v>Subgroup</x:v>
      </x:c>
      <x:c r="G94" s="215" t="str">
        <x:v>4</x:v>
      </x:c>
      <x:c r="H94" s="215" t="str">
        <x:v>High with mature fruit</x:v>
      </x:c>
      <x:c r="I94" s="215" t="str">
        <x:v>Naked eye or hand lens</x:v>
      </x:c>
      <x:c r="J94" s="215" t="str">
        <x:v>Mature fruit</x:v>
      </x:c>
      <x:c r="K94" s="215" t="str">
        <x:v>Long siliques, short silicles, inflated pods, flat winged fruits, and seed arrangement direct identification to different mustard genera.</x:v>
      </x:c>
      <x:c r="L94" s="215" t="str">
        <x:v>Fruit terminology can be misapplied before maturity, and convergent shapes occur in unrelated genera.</x:v>
      </x:c>
      <x:c r="M94" s="215" t="str">
        <x:v>Require mature fruit for confident separation of Physaria, Lepidium, Paysonia, Planodes, Streptanthus, and Tomostima.</x:v>
      </x:c>
      <x:c r="N94" s="215" t="str">
        <x:v>This is the main practical next step after family recognition in the selected local flora.</x:v>
      </x:c>
      <x:c r="O94" s="215" t="str">
        <x:v>Low</x:v>
      </x:c>
      <x:c r="P94" s="215" t="str">
        <x:v>No</x:v>
      </x:c>
      <x:c r="Q94" s="215" t="str"/>
      <x:c r="R94" s="215" t="str">
        <x:v>BRA-LK01</x:v>
      </x:c>
      <x:c r="S94" s="215" t="str">
        <x:v>FNA-BRASS; POWO-BRASS</x:v>
      </x:c>
      <x:c r="T94" s="215" t="str">
        <x:v>https://www.mobot.org/MOBOT/research/APweb/orders/brassicalesweb.htm</x:v>
      </x:c>
      <x:c r="U94" s="215" t="str">
        <x:v>https://floranorthamerica.org/Brassicaceae</x:v>
      </x:c>
      <x:c r="V94" s="215" t="str">
        <x:v>https://powo.science.kew.org/taxon/urn:lsid:ipni.org:names:30000087-2</x:v>
      </x:c>
      <x:c r="W94" s="215" t="str">
        <x:v>https://floranorthamerica.org/Brassicaceae
https://powo.science.kew.org/taxon/urn:lsid:ipni.org:names:30000087-2
https://www.mobot.org/MOBOT/research/APweb/orders/brassicalesweb.htm</x:v>
      </x:c>
      <x:c r="X94" s="215" t="str">
        <x:v>No — retain qualifiers and exceptions</x:v>
      </x:c>
      <x:c r="Y94" s="215" t="str">
        <x:v>Yes</x:v>
      </x:c>
      <x:c r="Z94" s="215" t="str">
        <x:v>Source-backed draft</x:v>
      </x:c>
      <x:c r="AA94" s="215" t="str">
        <x:v>Local subgroup / route</x:v>
      </x:c>
      <x:c r="AB94" s="215" t="str">
        <x:v>Supporting / route</x:v>
      </x:c>
      <x:c r="AC94" s="215" t="str">
        <x:v>High</x:v>
      </x:c>
      <x:c r="AD94" s="215" t="str">
        <x:v>Hand lens / macro</x:v>
      </x:c>
      <x:c r="AE94" s="215" t="str">
        <x:v>Low</x:v>
      </x:c>
      <x:c r="AF94" s="215" t="str">
        <x:v>Field-ready draft</x:v>
      </x:c>
      <x:c r="AG94" s="215" t="str">
        <x:v>2 — Field-photo priority</x:v>
      </x:c>
      <x:c r="AH94" s="215" t="str">
        <x:v>Current master inventory</x:v>
      </x:c>
    </x:row>
    <x:row r="95" ht="42" customHeight="1">
      <x:c r="A95" s="215" t="str">
        <x:v>Ranunculaceae</x:v>
      </x:c>
      <x:c r="B95" s="215" t="str">
        <x:v>RAN-OUTERPERI</x:v>
      </x:c>
      <x:c r="C95" s="215" t="str">
        <x:v>Family-wide, common</x:v>
      </x:c>
      <x:c r="D95" s="215" t="str">
        <x:v>Perianth</x:v>
      </x:c>
      <x:c r="E95" s="215" t="str">
        <x:v>Outer perianth parts often petal-like and usually free</x:v>
      </x:c>
      <x:c r="F95" s="215" t="str">
        <x:v>Strong</x:v>
      </x:c>
      <x:c r="G95" s="215" t="str">
        <x:v>4</x:v>
      </x:c>
      <x:c r="H95" s="215" t="str">
        <x:v>Moderate</x:v>
      </x:c>
      <x:c r="I95" s="215" t="str">
        <x:v>Naked eye</x:v>
      </x:c>
      <x:c r="J95" s="215" t="str">
        <x:v>Fresh flowering</x:v>
      </x:c>
      <x:c r="K95" s="215" t="str">
        <x:v>The showy outer parts commonly function visually like petals even when described as sepals or tepals.</x:v>
      </x:c>
      <x:c r="L95" s="215" t="str">
        <x:v>Number, color, persistence, and interpretation vary; Delphinium and Aquilegia have specialized forms, and some flowers are inconspicuous.</x:v>
      </x:c>
      <x:c r="M95" s="215" t="str">
        <x:v>Use neutral perianth language until the genus route is known.</x:v>
      </x:c>
      <x:c r="N95" s="215" t="str">
        <x:v>Relevant across local Clematis, Ranunculus, Anemone, Delphinium, and Aquilegia.</x:v>
      </x:c>
      <x:c r="O95" s="215" t="str">
        <x:v>Moderate</x:v>
      </x:c>
      <x:c r="P95" s="215" t="str">
        <x:v>No</x:v>
      </x:c>
      <x:c r="Q95" s="215" t="str"/>
      <x:c r="R95" s="215" t="str">
        <x:v>RAN-LK01; RAN-LK02</x:v>
      </x:c>
      <x:c r="S95" s="215" t="str">
        <x:v>APWEB-RANUNC; FNA-RANUNC; POWO-RANUNC</x:v>
      </x:c>
      <x:c r="T95" s="215" t="str">
        <x:v>https://www.mobot.org/MOBOT/research/APweb/orders/ranunculalesweb.htm</x:v>
      </x:c>
      <x:c r="U95" s="215" t="str">
        <x:v>https://floranorthamerica.org/Ranunculaceae</x:v>
      </x:c>
      <x:c r="V95" s="215" t="str">
        <x:v>https://powo.science.kew.org/taxon/urn:lsid:ipni.org:names:30000277-2</x:v>
      </x:c>
      <x:c r="W95" s="215" t="str">
        <x:v>https://www.mobot.org/MOBOT/research/APweb/orders/ranunculalesweb.htm
https://floranorthamerica.org/Ranunculaceae
https://powo.science.kew.org/taxon/urn:lsid:ipni.org:names:30000277-2</x:v>
      </x:c>
      <x:c r="X95" s="215" t="str">
        <x:v>No — retain qualifiers and exceptions</x:v>
      </x:c>
      <x:c r="Y95" s="215" t="str">
        <x:v>Yes</x:v>
      </x:c>
      <x:c r="Z95" s="215" t="str">
        <x:v>Source-backed draft</x:v>
      </x:c>
      <x:c r="AA95" s="215" t="str">
        <x:v>Family pattern</x:v>
      </x:c>
      <x:c r="AB95" s="215" t="str">
        <x:v>Positive diagnostic</x:v>
      </x:c>
      <x:c r="AC95" s="215" t="str">
        <x:v>Moderate</x:v>
      </x:c>
      <x:c r="AD95" s="215" t="str">
        <x:v>Naked eye / field</x:v>
      </x:c>
      <x:c r="AE95" s="215" t="str">
        <x:v>Moderate</x:v>
      </x:c>
      <x:c r="AF95" s="215" t="str">
        <x:v>Field-ready draft</x:v>
      </x:c>
      <x:c r="AG95" s="215" t="str">
        <x:v>2 — Field-photo priority</x:v>
      </x:c>
      <x:c r="AH95" s="215" t="str">
        <x:v>Current master inventory</x:v>
      </x:c>
    </x:row>
    <x:row r="96" ht="42" customHeight="1">
      <x:c r="A96" s="215" t="str">
        <x:v>Ranunculaceae</x:v>
      </x:c>
      <x:c r="B96" s="215" t="str">
        <x:v>RAN-PETALVAR</x:v>
      </x:c>
      <x:c r="C96" s="215" t="str">
        <x:v>Family-wide, highly variable</x:v>
      </x:c>
      <x:c r="D96" s="215" t="str">
        <x:v>Inner perianth and nectaries</x:v>
      </x:c>
      <x:c r="E96" s="215" t="str">
        <x:v>Petals may be showy, reduced to nectary-bearing organs, or absent</x:v>
      </x:c>
      <x:c r="F96" s="215" t="str">
        <x:v>Caution</x:v>
      </x:c>
      <x:c r="G96" s="215" t="str">
        <x:v>0</x:v>
      </x:c>
      <x:c r="H96" s="215" t="str">
        <x:v>High as a warning</x:v>
      </x:c>
      <x:c r="I96" s="215" t="str">
        <x:v>Naked eye or hand lens</x:v>
      </x:c>
      <x:c r="J96" s="215" t="str">
        <x:v>Fresh flowering</x:v>
      </x:c>
      <x:c r="K96" s="215" t="str">
        <x:v>The inner floral organs vary so much that “five petals” is not a family rule.</x:v>
      </x:c>
      <x:c r="L96" s="215" t="str">
        <x:v>Clematis and Anemone lack ordinary petals; Aquilegia has spurred nectar-bearing petals; Delphinium has complex petal-sepal relationships.</x:v>
      </x:c>
      <x:c r="M96" s="215" t="str">
        <x:v>Do not count petal-like parts before identifying which whorl they belong to.</x:v>
      </x:c>
      <x:c r="N96" s="215" t="str">
        <x:v>Essential for all five selected local genus routes.</x:v>
      </x:c>
      <x:c r="O96" s="215" t="str">
        <x:v>Low</x:v>
      </x:c>
      <x:c r="P96" s="215" t="str">
        <x:v>No</x:v>
      </x:c>
      <x:c r="Q96" s="215" t="str"/>
      <x:c r="R96" s="215" t="str">
        <x:v>RAN-LK01; RAN-LK02</x:v>
      </x:c>
      <x:c r="S96" s="215" t="str">
        <x:v>APWEB-RANUNC; FNA-RANUNC; FNA-CLEMATIS; FNA-AQUILEGIA; FNA-DELPHINIUM; POWO-RANUNC</x:v>
      </x:c>
      <x:c r="T96" s="215" t="str">
        <x:v>https://www.mobot.org/MOBOT/research/APweb/orders/ranunculalesweb.htm</x:v>
      </x:c>
      <x:c r="U96" s="215" t="str">
        <x:v>https://floranorthamerica.org/Ranunculaceae
https://floranorthamerica.org/Clematis
https://floranorthamerica.org/Aquilegia
https://floranorthamerica.org/Delphinium</x:v>
      </x:c>
      <x:c r="V96" s="215" t="str">
        <x:v>https://powo.science.kew.org/taxon/urn:lsid:ipni.org:names:30000277-2</x:v>
      </x:c>
      <x:c r="W96" s="215" t="str">
        <x:v>https://www.mobot.org/MOBOT/research/APweb/orders/ranunculalesweb.htm
https://floranorthamerica.org/Ranunculaceae
https://floranorthamerica.org/Clematis
https://floranorthamerica.org/Aquilegia
https://floranorthamerica.org/Delphinium
https://powo.science.kew.org/taxon/urn:lsid:ipni.org:names:30000277-2</x:v>
      </x:c>
      <x:c r="X96" s="215" t="str">
        <x:v>No — retain qualifiers and exceptions</x:v>
      </x:c>
      <x:c r="Y96" s="215" t="str">
        <x:v>Yes</x:v>
      </x:c>
      <x:c r="Z96" s="215" t="str">
        <x:v>Source-backed draft</x:v>
      </x:c>
      <x:c r="AA96" s="215" t="str">
        <x:v>Family pattern</x:v>
      </x:c>
      <x:c r="AB96" s="215" t="str">
        <x:v>Caution / negative rule</x:v>
      </x:c>
      <x:c r="AC96" s="215" t="str">
        <x:v>High</x:v>
      </x:c>
      <x:c r="AD96" s="215" t="str">
        <x:v>Hand lens / macro</x:v>
      </x:c>
      <x:c r="AE96" s="215" t="str">
        <x:v>Low</x:v>
      </x:c>
      <x:c r="AF96" s="215" t="str">
        <x:v>Field-ready draft</x:v>
      </x:c>
      <x:c r="AG96" s="215" t="str">
        <x:v>4 — Context / caution</x:v>
      </x:c>
      <x:c r="AH96" s="215" t="str">
        <x:v>Current master inventory</x:v>
      </x:c>
    </x:row>
    <x:row r="97" ht="42" customHeight="1">
      <x:c r="A97" s="215" t="str">
        <x:v>Ranunculaceae</x:v>
      </x:c>
      <x:c r="B97" s="215" t="str">
        <x:v>RAN-STAMENS</x:v>
      </x:c>
      <x:c r="C97" s="215" t="str">
        <x:v>Family-wide, common</x:v>
      </x:c>
      <x:c r="D97" s="215" t="str">
        <x:v>Androecium</x:v>
      </x:c>
      <x:c r="E97" s="215" t="str">
        <x:v>Stamens usually numerous, free, and spirally arranged</x:v>
      </x:c>
      <x:c r="F97" s="215" t="str">
        <x:v>Core</x:v>
      </x:c>
      <x:c r="G97" s="215" t="str">
        <x:v>5</x:v>
      </x:c>
      <x:c r="H97" s="215" t="str">
        <x:v>High</x:v>
      </x:c>
      <x:c r="I97" s="215" t="str">
        <x:v>Naked eye or hand lens</x:v>
      </x:c>
      <x:c r="J97" s="215" t="str">
        <x:v>Flowering</x:v>
      </x:c>
      <x:c r="K97" s="215" t="str">
        <x:v>Many separate stamens form a conspicuous ring or mound around the carpels.</x:v>
      </x:c>
      <x:c r="L97" s="215" t="str">
        <x:v>Stamen number can be reduced in some lineages, and dense centers can obscure individual insertion.</x:v>
      </x:c>
      <x:c r="M97" s="215" t="str">
        <x:v>A major family clue when combined with free superior carpels.</x:v>
      </x:c>
      <x:c r="N97" s="215" t="str">
        <x:v>Strong across the selected local genera.</x:v>
      </x:c>
      <x:c r="O97" s="215" t="str">
        <x:v>Low</x:v>
      </x:c>
      <x:c r="P97" s="215" t="str">
        <x:v>No</x:v>
      </x:c>
      <x:c r="Q97" s="215" t="str"/>
      <x:c r="R97" s="215" t="str">
        <x:v>RAN-LK01; RAN-LK02</x:v>
      </x:c>
      <x:c r="S97" s="215" t="str">
        <x:v>APWEB-RANUNC; FNA-RANUNC; POWO-RANUNC</x:v>
      </x:c>
      <x:c r="T97" s="215" t="str">
        <x:v>https://www.mobot.org/MOBOT/research/APweb/orders/ranunculalesweb.htm</x:v>
      </x:c>
      <x:c r="U97" s="215" t="str">
        <x:v>https://floranorthamerica.org/Ranunculaceae</x:v>
      </x:c>
      <x:c r="V97" s="215" t="str">
        <x:v>https://powo.science.kew.org/taxon/urn:lsid:ipni.org:names:30000277-2</x:v>
      </x:c>
      <x:c r="W97" s="215" t="str">
        <x:v>https://www.mobot.org/MOBOT/research/APweb/orders/ranunculalesweb.htm
https://floranorthamerica.org/Ranunculaceae
https://powo.science.kew.org/taxon/urn:lsid:ipni.org:names:30000277-2</x:v>
      </x:c>
      <x:c r="X97" s="215" t="str">
        <x:v>No — retain qualifiers and exceptions</x:v>
      </x:c>
      <x:c r="Y97" s="215" t="str">
        <x:v>Yes</x:v>
      </x:c>
      <x:c r="Z97" s="215" t="str">
        <x:v>Source-backed draft</x:v>
      </x:c>
      <x:c r="AA97" s="215" t="str">
        <x:v>Family pattern</x:v>
      </x:c>
      <x:c r="AB97" s="215" t="str">
        <x:v>Positive diagnostic</x:v>
      </x:c>
      <x:c r="AC97" s="215" t="str">
        <x:v>High</x:v>
      </x:c>
      <x:c r="AD97" s="215" t="str">
        <x:v>Hand lens / macro</x:v>
      </x:c>
      <x:c r="AE97" s="215" t="str">
        <x:v>Low</x:v>
      </x:c>
      <x:c r="AF97" s="215" t="str">
        <x:v>Field-ready draft</x:v>
      </x:c>
      <x:c r="AG97" s="215" t="str">
        <x:v>2 — Field-photo priority</x:v>
      </x:c>
      <x:c r="AH97" s="215" t="str">
        <x:v>Current master inventory</x:v>
      </x:c>
    </x:row>
    <x:row r="98" ht="42" customHeight="1">
      <x:c r="A98" s="215" t="str">
        <x:v>Ranunculaceae</x:v>
      </x:c>
      <x:c r="B98" s="215" t="str">
        <x:v>RAN-CARPELS</x:v>
      </x:c>
      <x:c r="C98" s="215" t="str">
        <x:v>Family-wide, common</x:v>
      </x:c>
      <x:c r="D98" s="215" t="str">
        <x:v>Gynoecium</x:v>
      </x:c>
      <x:c r="E98" s="215" t="str">
        <x:v>One to many separate superior carpels</x:v>
      </x:c>
      <x:c r="F98" s="215" t="str">
        <x:v>Core</x:v>
      </x:c>
      <x:c r="G98" s="215" t="str">
        <x:v>5</x:v>
      </x:c>
      <x:c r="H98" s="215" t="str">
        <x:v>High</x:v>
      </x:c>
      <x:c r="I98" s="215" t="str">
        <x:v>Naked eye or hand lens</x:v>
      </x:c>
      <x:c r="J98" s="215" t="str">
        <x:v>Flowering or fruiting</x:v>
      </x:c>
      <x:c r="K98" s="215" t="str">
        <x:v>The flower center usually contains multiple unfused ovaries, each capable of becoming a separate fruit unit.</x:v>
      </x:c>
      <x:c r="L98" s="215" t="str">
        <x:v>Some genera have few or one carpel, and tightly packed carpels may look fused without magnification.</x:v>
      </x:c>
      <x:c r="M98" s="215" t="str">
        <x:v>Separates most buttercup-family flowers from syncarpous lookalikes.</x:v>
      </x:c>
      <x:c r="N98" s="215" t="str">
        <x:v>Highly useful in local Ranunculus, Anemone, Clematis, Aquilegia, and Delphinium.</x:v>
      </x:c>
      <x:c r="O98" s="215" t="str">
        <x:v>Low</x:v>
      </x:c>
      <x:c r="P98" s="215" t="str">
        <x:v>No</x:v>
      </x:c>
      <x:c r="Q98" s="215" t="str"/>
      <x:c r="R98" s="215" t="str">
        <x:v>RAN-LK01; RAN-LK02</x:v>
      </x:c>
      <x:c r="S98" s="215" t="str">
        <x:v>APWEB-RANUNC; FNA-RANUNC; POWO-RANUNC</x:v>
      </x:c>
      <x:c r="T98" s="215" t="str">
        <x:v>https://www.mobot.org/MOBOT/research/APweb/orders/ranunculalesweb.htm</x:v>
      </x:c>
      <x:c r="U98" s="215" t="str">
        <x:v>https://floranorthamerica.org/Ranunculaceae</x:v>
      </x:c>
      <x:c r="V98" s="215" t="str">
        <x:v>https://powo.science.kew.org/taxon/urn:lsid:ipni.org:names:30000277-2</x:v>
      </x:c>
      <x:c r="W98" s="215" t="str">
        <x:v>https://www.mobot.org/MOBOT/research/APweb/orders/ranunculalesweb.htm
https://floranorthamerica.org/Ranunculaceae
https://powo.science.kew.org/taxon/urn:lsid:ipni.org:names:30000277-2</x:v>
      </x:c>
      <x:c r="X98" s="215" t="str">
        <x:v>No — retain qualifiers and exceptions</x:v>
      </x:c>
      <x:c r="Y98" s="215" t="str">
        <x:v>Yes</x:v>
      </x:c>
      <x:c r="Z98" s="215" t="str">
        <x:v>Source-backed draft</x:v>
      </x:c>
      <x:c r="AA98" s="215" t="str">
        <x:v>Family pattern</x:v>
      </x:c>
      <x:c r="AB98" s="215" t="str">
        <x:v>Positive diagnostic</x:v>
      </x:c>
      <x:c r="AC98" s="215" t="str">
        <x:v>High</x:v>
      </x:c>
      <x:c r="AD98" s="215" t="str">
        <x:v>Hand lens / macro</x:v>
      </x:c>
      <x:c r="AE98" s="215" t="str">
        <x:v>Low</x:v>
      </x:c>
      <x:c r="AF98" s="215" t="str">
        <x:v>Field-ready draft</x:v>
      </x:c>
      <x:c r="AG98" s="215" t="str">
        <x:v>2 — Field-photo priority</x:v>
      </x:c>
      <x:c r="AH98" s="215" t="str">
        <x:v>Current master inventory</x:v>
      </x:c>
    </x:row>
    <x:row r="99" ht="42" customHeight="1">
      <x:c r="A99" s="215" t="str">
        <x:v>Ranunculaceae</x:v>
      </x:c>
      <x:c r="B99" s="215" t="str">
        <x:v>RAN-FRUIT</x:v>
      </x:c>
      <x:c r="C99" s="215" t="str">
        <x:v>Family-wide, common</x:v>
      </x:c>
      <x:c r="D99" s="215" t="str">
        <x:v>Fruit</x:v>
      </x:c>
      <x:c r="E99" s="215" t="str">
        <x:v>Aggregate of achenes or follicles</x:v>
      </x:c>
      <x:c r="F99" s="215" t="str">
        <x:v>Strong</x:v>
      </x:c>
      <x:c r="G99" s="215" t="str">
        <x:v>4</x:v>
      </x:c>
      <x:c r="H99" s="215" t="str">
        <x:v>High</x:v>
      </x:c>
      <x:c r="I99" s="215" t="str">
        <x:v>Naked eye or hand lens</x:v>
      </x:c>
      <x:c r="J99" s="215" t="str">
        <x:v>Mature fruit</x:v>
      </x:c>
      <x:c r="K99" s="215" t="str">
        <x:v>Each free carpel matures as its own dry fruit, creating a cluster of achenes or follicles.</x:v>
      </x:c>
      <x:c r="L99" s="215" t="str">
        <x:v>Some family lineages have berry-like fruits; fruit type differs by genus and should not be treated as one universal state.</x:v>
      </x:c>
      <x:c r="M99" s="215" t="str">
        <x:v>Use achene versus follicle to route local genera after family placement.</x:v>
      </x:c>
      <x:c r="N99" s="215" t="str">
        <x:v>Ranunculus, Anemone, and Clematis are achene routes; Aquilegia and Delphinium are follicle routes.</x:v>
      </x:c>
      <x:c r="O99" s="215" t="str">
        <x:v>Low</x:v>
      </x:c>
      <x:c r="P99" s="215" t="str">
        <x:v>No</x:v>
      </x:c>
      <x:c r="Q99" s="215" t="str"/>
      <x:c r="R99" s="215" t="str">
        <x:v>RAN-LK01; RAN-LK02</x:v>
      </x:c>
      <x:c r="S99" s="215" t="str">
        <x:v>APWEB-RANUNC; FNA-RANUNC; POWO-RANUNC</x:v>
      </x:c>
      <x:c r="T99" s="215" t="str">
        <x:v>https://www.mobot.org/MOBOT/research/APweb/orders/ranunculalesweb.htm</x:v>
      </x:c>
      <x:c r="U99" s="215" t="str">
        <x:v>https://floranorthamerica.org/Ranunculaceae</x:v>
      </x:c>
      <x:c r="V99" s="215" t="str">
        <x:v>https://powo.science.kew.org/taxon/urn:lsid:ipni.org:names:30000277-2</x:v>
      </x:c>
      <x:c r="W99" s="215" t="str">
        <x:v>https://www.mobot.org/MOBOT/research/APweb/orders/ranunculalesweb.htm
https://floranorthamerica.org/Ranunculaceae
https://powo.science.kew.org/taxon/urn:lsid:ipni.org:names:30000277-2</x:v>
      </x:c>
      <x:c r="X99" s="215" t="str">
        <x:v>No — retain qualifiers and exceptions</x:v>
      </x:c>
      <x:c r="Y99" s="215" t="str">
        <x:v>Yes</x:v>
      </x:c>
      <x:c r="Z99" s="215" t="str">
        <x:v>Source-backed draft</x:v>
      </x:c>
      <x:c r="AA99" s="215" t="str">
        <x:v>Family pattern</x:v>
      </x:c>
      <x:c r="AB99" s="215" t="str">
        <x:v>Positive diagnostic</x:v>
      </x:c>
      <x:c r="AC99" s="215" t="str">
        <x:v>High</x:v>
      </x:c>
      <x:c r="AD99" s="215" t="str">
        <x:v>Hand lens / macro</x:v>
      </x:c>
      <x:c r="AE99" s="215" t="str">
        <x:v>Low</x:v>
      </x:c>
      <x:c r="AF99" s="215" t="str">
        <x:v>Field-ready draft</x:v>
      </x:c>
      <x:c r="AG99" s="215" t="str">
        <x:v>2 — Field-photo priority</x:v>
      </x:c>
      <x:c r="AH99" s="215" t="str">
        <x:v>Current master inventory</x:v>
      </x:c>
    </x:row>
    <x:row r="100" ht="42" customHeight="1">
      <x:c r="A100" s="215" t="str">
        <x:v>Ranunculaceae</x:v>
      </x:c>
      <x:c r="B100" s="215" t="str">
        <x:v>RAN-LEAFVAR</x:v>
      </x:c>
      <x:c r="C100" s="215" t="str">
        <x:v>Family-wide</x:v>
      </x:c>
      <x:c r="D100" s="215" t="str">
        <x:v>Leaf</x:v>
      </x:c>
      <x:c r="E100" s="215" t="str">
        <x:v>Leaves often dissected or compound, but arrangement and shape highly variable</x:v>
      </x:c>
      <x:c r="F100" s="215" t="str">
        <x:v>Caution</x:v>
      </x:c>
      <x:c r="G100" s="215" t="str">
        <x:v>1</x:v>
      </x:c>
      <x:c r="H100" s="215" t="str">
        <x:v>High as a warning</x:v>
      </x:c>
      <x:c r="I100" s="215" t="str">
        <x:v>Naked eye</x:v>
      </x:c>
      <x:c r="J100" s="215" t="str">
        <x:v>Vegetative</x:v>
      </x:c>
      <x:c r="K100" s="215" t="str">
        <x:v>Many species have divided leaves with sheathing or expanded petiole bases.</x:v>
      </x:c>
      <x:c r="L100" s="215" t="str">
        <x:v>Leaves may be simple, opposite in Clematis, basal, alternate, or highly modified; similar leaves occur in many families.</x:v>
      </x:c>
      <x:c r="M100" s="215" t="str">
        <x:v>Use vegetation only to choose a likely genus route, not to prove the family.</x:v>
      </x:c>
      <x:c r="N100" s="215" t="str">
        <x:v>Critical because local Clematis breaks the common alternate-leaf expectation.</x:v>
      </x:c>
      <x:c r="O100" s="215" t="str">
        <x:v>Low</x:v>
      </x:c>
      <x:c r="P100" s="215" t="str">
        <x:v>No</x:v>
      </x:c>
      <x:c r="Q100" s="215" t="str"/>
      <x:c r="R100" s="215" t="str">
        <x:v>RAN-LK01; RAN-LK02</x:v>
      </x:c>
      <x:c r="S100" s="215" t="str">
        <x:v>FNA-RANUNC; APWEB-RANUNC; POWO-RANUNC</x:v>
      </x:c>
      <x:c r="T100" s="215" t="str">
        <x:v>https://www.mobot.org/MOBOT/research/APweb/orders/ranunculalesweb.htm</x:v>
      </x:c>
      <x:c r="U100" s="215" t="str">
        <x:v>https://floranorthamerica.org/Ranunculaceae</x:v>
      </x:c>
      <x:c r="V100" s="215" t="str">
        <x:v>https://powo.science.kew.org/taxon/urn:lsid:ipni.org:names:30000277-2</x:v>
      </x:c>
      <x:c r="W100" s="215" t="str">
        <x:v>https://floranorthamerica.org/Ranunculaceae
https://www.mobot.org/MOBOT/research/APweb/orders/ranunculalesweb.htm
https://powo.science.kew.org/taxon/urn:lsid:ipni.org:names:30000277-2</x:v>
      </x:c>
      <x:c r="X100" s="215" t="str">
        <x:v>No — retain qualifiers and exceptions</x:v>
      </x:c>
      <x:c r="Y100" s="215" t="str">
        <x:v>Yes</x:v>
      </x:c>
      <x:c r="Z100" s="215" t="str">
        <x:v>Source-backed draft</x:v>
      </x:c>
      <x:c r="AA100" s="215" t="str">
        <x:v>Family pattern</x:v>
      </x:c>
      <x:c r="AB100" s="215" t="str">
        <x:v>Caution / negative rule</x:v>
      </x:c>
      <x:c r="AC100" s="215" t="str">
        <x:v>High</x:v>
      </x:c>
      <x:c r="AD100" s="215" t="str">
        <x:v>Naked eye / field</x:v>
      </x:c>
      <x:c r="AE100" s="215" t="str">
        <x:v>Low</x:v>
      </x:c>
      <x:c r="AF100" s="215" t="str">
        <x:v>Field-ready draft</x:v>
      </x:c>
      <x:c r="AG100" s="215" t="str">
        <x:v>4 — Context / caution</x:v>
      </x:c>
      <x:c r="AH100" s="215" t="str">
        <x:v>Current master inventory</x:v>
      </x:c>
    </x:row>
    <x:row r="101" ht="42" customHeight="1">
      <x:c r="A101" s="215" t="str">
        <x:v>Ranunculaceae</x:v>
      </x:c>
      <x:c r="B101" s="215" t="str">
        <x:v>RAN-CLEMATIS</x:v>
      </x:c>
      <x:c r="C101" s="215" t="str">
        <x:v>Local subgroup: Clematis</x:v>
      </x:c>
      <x:c r="D101" s="215" t="str">
        <x:v>Habit, leaf, fruit</x:v>
      </x:c>
      <x:c r="E101" s="215" t="str">
        <x:v>Climbing or trailing plant, opposite leaves, petal-like sepals, and achenes often with persistent feathery styles</x:v>
      </x:c>
      <x:c r="F101" s="215" t="str">
        <x:v>Subgroup</x:v>
      </x:c>
      <x:c r="G101" s="215" t="str">
        <x:v>5</x:v>
      </x:c>
      <x:c r="H101" s="215" t="str">
        <x:v>High within local Clematis</x:v>
      </x:c>
      <x:c r="I101" s="215" t="str">
        <x:v>Naked eye</x:v>
      </x:c>
      <x:c r="J101" s="215" t="str">
        <x:v>Flowering or fruiting</x:v>
      </x:c>
      <x:c r="K101" s="215" t="str">
        <x:v>Clematis combines opposite leaves with a petal-less flower whose showy sepals surround many stamens and carpels.</x:v>
      </x:c>
      <x:c r="L101" s="215" t="str">
        <x:v>Not every species climbs strongly, and the fruit tails vary in length or hairiness.</x:v>
      </x:c>
      <x:c r="M101" s="215" t="str">
        <x:v>Separates local Clematis from the usually nonclimbing, alternate- or basal-leaved family routes.</x:v>
      </x:c>
      <x:c r="N101" s="215" t="str">
        <x:v>Four local Clematis rows make this the largest selected Ranunculaceae route.</x:v>
      </x:c>
      <x:c r="O101" s="215" t="str">
        <x:v>Low</x:v>
      </x:c>
      <x:c r="P101" s="215" t="str">
        <x:v>No</x:v>
      </x:c>
      <x:c r="Q101" s="215" t="str"/>
      <x:c r="R101" s="215" t="str">
        <x:v>RAN-LK01</x:v>
      </x:c>
      <x:c r="S101" s="215" t="str">
        <x:v>FNA-CLEMATIS; FNA-RANUNC; APWEB-RANUNC; POWO-RANUNC</x:v>
      </x:c>
      <x:c r="T101" s="215" t="str">
        <x:v>https://www.mobot.org/MOBOT/research/APweb/orders/ranunculalesweb.htm</x:v>
      </x:c>
      <x:c r="U101" s="215" t="str">
        <x:v>https://floranorthamerica.org/Clematis
https://floranorthamerica.org/Ranunculaceae</x:v>
      </x:c>
      <x:c r="V101" s="215" t="str">
        <x:v>https://powo.science.kew.org/taxon/urn:lsid:ipni.org:names:30000277-2</x:v>
      </x:c>
      <x:c r="W101" s="215" t="str">
        <x:v>https://floranorthamerica.org/Clematis
https://floranorthamerica.org/Ranunculaceae
https://www.mobot.org/MOBOT/research/APweb/orders/ranunculalesweb.htm
https://powo.science.kew.org/taxon/urn:lsid:ipni.org:names:30000277-2</x:v>
      </x:c>
      <x:c r="X101" s="215" t="str">
        <x:v>No — retain qualifiers and exceptions</x:v>
      </x:c>
      <x:c r="Y101" s="215" t="str">
        <x:v>Yes</x:v>
      </x:c>
      <x:c r="Z101" s="215" t="str">
        <x:v>Source-backed draft</x:v>
      </x:c>
      <x:c r="AA101" s="215" t="str">
        <x:v>Local subgroup / route</x:v>
      </x:c>
      <x:c r="AB101" s="215" t="str">
        <x:v>Supporting / route</x:v>
      </x:c>
      <x:c r="AC101" s="215" t="str">
        <x:v>High</x:v>
      </x:c>
      <x:c r="AD101" s="215" t="str">
        <x:v>Naked eye / field</x:v>
      </x:c>
      <x:c r="AE101" s="215" t="str">
        <x:v>Low</x:v>
      </x:c>
      <x:c r="AF101" s="215" t="str">
        <x:v>Field-ready draft</x:v>
      </x:c>
      <x:c r="AG101" s="215" t="str">
        <x:v>2 — Field-photo priority</x:v>
      </x:c>
      <x:c r="AH101" s="215" t="str">
        <x:v>Current master inventory</x:v>
      </x:c>
    </x:row>
    <x:row r="102" ht="42" customHeight="1">
      <x:c r="A102" s="215" t="str">
        <x:v>Ranunculaceae</x:v>
      </x:c>
      <x:c r="B102" s="215" t="str">
        <x:v>RAN-AQUILEGIA</x:v>
      </x:c>
      <x:c r="C102" s="215" t="str">
        <x:v>Local subgroup: Aquilegia</x:v>
      </x:c>
      <x:c r="D102" s="215" t="str">
        <x:v>Flower and fruit</x:v>
      </x:c>
      <x:c r="E102" s="215" t="str">
        <x:v>Five petal-like sepals plus five backward-spurred nectar petals; fruit of follicles</x:v>
      </x:c>
      <x:c r="F102" s="215" t="str">
        <x:v>Subgroup</x:v>
      </x:c>
      <x:c r="G102" s="215" t="str">
        <x:v>5</x:v>
      </x:c>
      <x:c r="H102" s="215" t="str">
        <x:v>High within local Aquilegia</x:v>
      </x:c>
      <x:c r="I102" s="215" t="str">
        <x:v>Naked eye</x:v>
      </x:c>
      <x:c r="J102" s="215" t="str">
        <x:v>Flowering or fruiting</x:v>
      </x:c>
      <x:c r="K102" s="215" t="str">
        <x:v>Each flower has five conspicuous spurs formed by the inner petal whorl.</x:v>
      </x:c>
      <x:c r="L102" s="215" t="str">
        <x:v>Spur length and orientation vary, and counting the two perianth whorls requires an intact flower.</x:v>
      </x:c>
      <x:c r="M102" s="215" t="str">
        <x:v>The five nectar spurs identify Aquilegia among local Ranunculaceae.</x:v>
      </x:c>
      <x:c r="N102" s="215" t="str">
        <x:v>One local Aquilegia row; reproductive material is decisive.</x:v>
      </x:c>
      <x:c r="O102" s="215" t="str">
        <x:v>Low</x:v>
      </x:c>
      <x:c r="P102" s="215" t="str">
        <x:v>No</x:v>
      </x:c>
      <x:c r="Q102" s="215" t="str"/>
      <x:c r="R102" s="215" t="str">
        <x:v>RAN-LK02</x:v>
      </x:c>
      <x:c r="S102" s="215" t="str">
        <x:v>FNA-AQUILEGIA; FNA-RANUNC; APWEB-RANUNC; POWO-RANUNC</x:v>
      </x:c>
      <x:c r="T102" s="215" t="str">
        <x:v>https://www.mobot.org/MOBOT/research/APweb/orders/ranunculalesweb.htm</x:v>
      </x:c>
      <x:c r="U102" s="215" t="str">
        <x:v>https://floranorthamerica.org/Aquilegia
https://floranorthamerica.org/Ranunculaceae</x:v>
      </x:c>
      <x:c r="V102" s="215" t="str">
        <x:v>https://powo.science.kew.org/taxon/urn:lsid:ipni.org:names:30000277-2</x:v>
      </x:c>
      <x:c r="W102" s="215" t="str">
        <x:v>https://floranorthamerica.org/Aquilegia
https://floranorthamerica.org/Ranunculaceae
https://www.mobot.org/MOBOT/research/APweb/orders/ranunculalesweb.htm
https://powo.science.kew.org/taxon/urn:lsid:ipni.org:names:30000277-2</x:v>
      </x:c>
      <x:c r="X102" s="215" t="str">
        <x:v>No — retain qualifiers and exceptions</x:v>
      </x:c>
      <x:c r="Y102" s="215" t="str">
        <x:v>Yes</x:v>
      </x:c>
      <x:c r="Z102" s="215" t="str">
        <x:v>Source-backed draft</x:v>
      </x:c>
      <x:c r="AA102" s="215" t="str">
        <x:v>Local subgroup / route</x:v>
      </x:c>
      <x:c r="AB102" s="215" t="str">
        <x:v>Supporting / route</x:v>
      </x:c>
      <x:c r="AC102" s="215" t="str">
        <x:v>High</x:v>
      </x:c>
      <x:c r="AD102" s="215" t="str">
        <x:v>Naked eye / field</x:v>
      </x:c>
      <x:c r="AE102" s="215" t="str">
        <x:v>Low</x:v>
      </x:c>
      <x:c r="AF102" s="215" t="str">
        <x:v>Field-ready draft</x:v>
      </x:c>
      <x:c r="AG102" s="215" t="str">
        <x:v>2 — Field-photo priority</x:v>
      </x:c>
      <x:c r="AH102" s="215" t="str">
        <x:v>Current master inventory</x:v>
      </x:c>
    </x:row>
    <x:row r="103" ht="42" customHeight="1">
      <x:c r="A103" s="215" t="str">
        <x:v>Ranunculaceae</x:v>
      </x:c>
      <x:c r="B103" s="215" t="str">
        <x:v>RAN-DELPHINIUM</x:v>
      </x:c>
      <x:c r="C103" s="215" t="str">
        <x:v>Local subgroup: Delphinium</x:v>
      </x:c>
      <x:c r="D103" s="215" t="str">
        <x:v>Flower and fruit</x:v>
      </x:c>
      <x:c r="E103" s="215" t="str">
        <x:v>Bilaterally symmetric flower with one conspicuous sepal spur; fruit of follicles</x:v>
      </x:c>
      <x:c r="F103" s="215" t="str">
        <x:v>Subgroup</x:v>
      </x:c>
      <x:c r="G103" s="215" t="str">
        <x:v>5</x:v>
      </x:c>
      <x:c r="H103" s="215" t="str">
        <x:v>High within local Delphinium</x:v>
      </x:c>
      <x:c r="I103" s="215" t="str">
        <x:v>Naked eye</x:v>
      </x:c>
      <x:c r="J103" s="215" t="str">
        <x:v>Flowering or fruiting</x:v>
      </x:c>
      <x:c r="K103" s="215" t="str">
        <x:v>A single rearward spur formed by the upper sepal and a complex inner petal arrangement create the larkspur shape.</x:v>
      </x:c>
      <x:c r="L103" s="215" t="str">
        <x:v>Flower color and the number or fusion of follicles vary; damaged flowers can hide the smaller inner parts.</x:v>
      </x:c>
      <x:c r="M103" s="215" t="str">
        <x:v>Separates local Delphinium from radially symmetric buttercups and five-spurred Aquilegia.</x:v>
      </x:c>
      <x:c r="N103" s="215" t="str">
        <x:v>Two local Delphinium rows; flower-dependent but highly reliable.</x:v>
      </x:c>
      <x:c r="O103" s="215" t="str">
        <x:v>Low</x:v>
      </x:c>
      <x:c r="P103" s="215" t="str">
        <x:v>No</x:v>
      </x:c>
      <x:c r="Q103" s="215" t="str"/>
      <x:c r="R103" s="215" t="str">
        <x:v>RAN-LK02</x:v>
      </x:c>
      <x:c r="S103" s="215" t="str">
        <x:v>FNA-DELPHINIUM; FNA-RANUNC; APWEB-RANUNC; POWO-RANUNC</x:v>
      </x:c>
      <x:c r="T103" s="215" t="str">
        <x:v>https://www.mobot.org/MOBOT/research/APweb/orders/ranunculalesweb.htm</x:v>
      </x:c>
      <x:c r="U103" s="215" t="str">
        <x:v>https://floranorthamerica.org/Delphinium
https://floranorthamerica.org/Ranunculaceae</x:v>
      </x:c>
      <x:c r="V103" s="215" t="str">
        <x:v>https://powo.science.kew.org/taxon/urn:lsid:ipni.org:names:30000277-2</x:v>
      </x:c>
      <x:c r="W103" s="215" t="str">
        <x:v>https://floranorthamerica.org/Delphinium
https://floranorthamerica.org/Ranunculaceae
https://www.mobot.org/MOBOT/research/APweb/orders/ranunculalesweb.htm
https://powo.science.kew.org/taxon/urn:lsid:ipni.org:names:30000277-2</x:v>
      </x:c>
      <x:c r="X103" s="215" t="str">
        <x:v>No — retain qualifiers and exceptions</x:v>
      </x:c>
      <x:c r="Y103" s="215" t="str">
        <x:v>Yes</x:v>
      </x:c>
      <x:c r="Z103" s="215" t="str">
        <x:v>Source-backed draft</x:v>
      </x:c>
      <x:c r="AA103" s="215" t="str">
        <x:v>Local subgroup / route</x:v>
      </x:c>
      <x:c r="AB103" s="215" t="str">
        <x:v>Supporting / route</x:v>
      </x:c>
      <x:c r="AC103" s="215" t="str">
        <x:v>High</x:v>
      </x:c>
      <x:c r="AD103" s="215" t="str">
        <x:v>Naked eye / field</x:v>
      </x:c>
      <x:c r="AE103" s="215" t="str">
        <x:v>Low</x:v>
      </x:c>
      <x:c r="AF103" s="215" t="str">
        <x:v>Field-ready draft</x:v>
      </x:c>
      <x:c r="AG103" s="215" t="str">
        <x:v>2 — Field-photo priority</x:v>
      </x:c>
      <x:c r="AH103" s="215" t="str">
        <x:v>Current master inventory</x:v>
      </x:c>
    </x:row>
    <x:row r="104" ht="42" customHeight="1">
      <x:c r="A104" s="215" t="str">
        <x:v>Ranunculaceae</x:v>
      </x:c>
      <x:c r="B104" s="215" t="str">
        <x:v>RAN-RANUNCULUS</x:v>
      </x:c>
      <x:c r="C104" s="215" t="str">
        <x:v>Local subgroup: Ranunculus</x:v>
      </x:c>
      <x:c r="D104" s="215" t="str">
        <x:v>Flower and fruit</x:v>
      </x:c>
      <x:c r="E104" s="215" t="str">
        <x:v>Usually five glossy petals with basal nectary and a head of many achenes</x:v>
      </x:c>
      <x:c r="F104" s="215" t="str">
        <x:v>Subgroup</x:v>
      </x:c>
      <x:c r="G104" s="215" t="str">
        <x:v>5</x:v>
      </x:c>
      <x:c r="H104" s="215" t="str">
        <x:v>High within local Ranunculus</x:v>
      </x:c>
      <x:c r="I104" s="215" t="str">
        <x:v>Naked eye or hand lens</x:v>
      </x:c>
      <x:c r="J104" s="215" t="str">
        <x:v>Flowering or fruiting</x:v>
      </x:c>
      <x:c r="K104" s="215" t="str">
        <x:v>Typical buttercups have separate yellow petals, many stamens, and many one-seeded achenes.</x:v>
      </x:c>
      <x:c r="L104" s="215" t="str">
        <x:v>Petal number and color vary, some species are aquatic or reduced, and glossy yellow is not universal.</x:v>
      </x:c>
      <x:c r="M104" s="215" t="str">
        <x:v>Separates local Ranunculus from petal-less Anemone and Clematis and follicle-fruited genera.</x:v>
      </x:c>
      <x:c r="N104" s="215" t="str">
        <x:v>Three local Ranunculus rows; reliable when mature flowers and fruits are available.</x:v>
      </x:c>
      <x:c r="O104" s="215" t="str">
        <x:v>Low</x:v>
      </x:c>
      <x:c r="P104" s="215" t="str">
        <x:v>No</x:v>
      </x:c>
      <x:c r="Q104" s="215" t="str"/>
      <x:c r="R104" s="215" t="str">
        <x:v>RAN-LK01</x:v>
      </x:c>
      <x:c r="S104" s="215" t="str">
        <x:v>FNA-RANUNCULUS; FNA-RANUNC; APWEB-RANUNC; POWO-RANUNC</x:v>
      </x:c>
      <x:c r="T104" s="215" t="str">
        <x:v>https://www.mobot.org/MOBOT/research/APweb/orders/ranunculalesweb.htm</x:v>
      </x:c>
      <x:c r="U104" s="215" t="str">
        <x:v>https://floranorthamerica.org/Ranunculus
https://floranorthamerica.org/Ranunculaceae</x:v>
      </x:c>
      <x:c r="V104" s="215" t="str">
        <x:v>https://powo.science.kew.org/taxon/urn:lsid:ipni.org:names:30000277-2</x:v>
      </x:c>
      <x:c r="W104" s="215" t="str">
        <x:v>https://floranorthamerica.org/Ranunculus
https://floranorthamerica.org/Ranunculaceae
https://www.mobot.org/MOBOT/research/APweb/orders/ranunculalesweb.htm
https://powo.science.kew.org/taxon/urn:lsid:ipni.org:names:30000277-2</x:v>
      </x:c>
      <x:c r="X104" s="215" t="str">
        <x:v>No — retain qualifiers and exceptions</x:v>
      </x:c>
      <x:c r="Y104" s="215" t="str">
        <x:v>Yes</x:v>
      </x:c>
      <x:c r="Z104" s="215" t="str">
        <x:v>Source-backed draft</x:v>
      </x:c>
      <x:c r="AA104" s="215" t="str">
        <x:v>Local subgroup / route</x:v>
      </x:c>
      <x:c r="AB104" s="215" t="str">
        <x:v>Supporting / route</x:v>
      </x:c>
      <x:c r="AC104" s="215" t="str">
        <x:v>High</x:v>
      </x:c>
      <x:c r="AD104" s="215" t="str">
        <x:v>Hand lens / macro</x:v>
      </x:c>
      <x:c r="AE104" s="215" t="str">
        <x:v>Low</x:v>
      </x:c>
      <x:c r="AF104" s="215" t="str">
        <x:v>Field-ready draft</x:v>
      </x:c>
      <x:c r="AG104" s="215" t="str">
        <x:v>2 — Field-photo priority</x:v>
      </x:c>
      <x:c r="AH104" s="215" t="str">
        <x:v>Current master inventory</x:v>
      </x:c>
    </x:row>
    <x:row r="105" ht="42" customHeight="1">
      <x:c r="A105" s="215" t="str">
        <x:v>Ranunculaceae</x:v>
      </x:c>
      <x:c r="B105" s="215" t="str">
        <x:v>RAN-ANEMONE</x:v>
      </x:c>
      <x:c r="C105" s="215" t="str">
        <x:v>Local subgroup: Anemone</x:v>
      </x:c>
      <x:c r="D105" s="215" t="str">
        <x:v>Flower and fruit</x:v>
      </x:c>
      <x:c r="E105" s="215" t="str">
        <x:v>Petals absent; showy sepals surround many stamens and an aggregate of achenes</x:v>
      </x:c>
      <x:c r="F105" s="215" t="str">
        <x:v>Subgroup</x:v>
      </x:c>
      <x:c r="G105" s="215" t="str">
        <x:v>5</x:v>
      </x:c>
      <x:c r="H105" s="215" t="str">
        <x:v>High within local Anemone</x:v>
      </x:c>
      <x:c r="I105" s="215" t="str">
        <x:v>Naked eye</x:v>
      </x:c>
      <x:c r="J105" s="215" t="str">
        <x:v>Flowering or fruiting</x:v>
      </x:c>
      <x:c r="K105" s="215" t="str">
        <x:v>Anemone flowers look petaled, but the showy parts belong to one perianth whorl and the center matures into many achenes.</x:v>
      </x:c>
      <x:c r="L105" s="215" t="str">
        <x:v>Involucral leaves and achene hairiness vary; submitted infraspecific names may require taxonomic review.</x:v>
      </x:c>
      <x:c r="M105" s="215" t="str">
        <x:v>Separates local Anemone from true petal-bearing Ranunculus and from opposite-leaved Clematis.</x:v>
      </x:c>
      <x:c r="N105" s="215" t="str">
        <x:v>Two accepted-family rows plus one unresolved submitted Anemone name require separate handling.</x:v>
      </x:c>
      <x:c r="O105" s="215" t="str">
        <x:v>Moderate</x:v>
      </x:c>
      <x:c r="P105" s="215" t="str">
        <x:v>Yes</x:v>
      </x:c>
      <x:c r="Q105" s="215" t="str">
        <x:v>Do not apply this profile to the unresolved Anemone edwardsiana var. edwardsiana record until the taxon name is reviewed.</x:v>
      </x:c>
      <x:c r="R105" s="215" t="str">
        <x:v>RAN-LK01</x:v>
      </x:c>
      <x:c r="S105" s="215" t="str">
        <x:v>FNA-ANEMONE; FNA-RANUNC; APWEB-RANUNC; POWO-RANUNC</x:v>
      </x:c>
      <x:c r="T105" s="215" t="str">
        <x:v>https://www.mobot.org/MOBOT/research/APweb/orders/ranunculalesweb.htm</x:v>
      </x:c>
      <x:c r="U105" s="215" t="str">
        <x:v>https://floranorthamerica.org/Anemone
https://floranorthamerica.org/Ranunculaceae</x:v>
      </x:c>
      <x:c r="V105" s="215" t="str">
        <x:v>https://powo.science.kew.org/taxon/urn:lsid:ipni.org:names:30000277-2</x:v>
      </x:c>
      <x:c r="W105" s="215" t="str">
        <x:v>https://floranorthamerica.org/Anemone
https://floranorthamerica.org/Ranunculaceae
https://www.mobot.org/MOBOT/research/APweb/orders/ranunculalesweb.htm
https://powo.science.kew.org/taxon/urn:lsid:ipni.org:names:30000277-2</x:v>
      </x:c>
      <x:c r="X105" s="215" t="str">
        <x:v>No — retain qualifiers and exceptions</x:v>
      </x:c>
      <x:c r="Y105" s="215" t="str">
        <x:v>Yes</x:v>
      </x:c>
      <x:c r="Z105" s="215" t="str">
        <x:v>Human review required</x:v>
      </x:c>
      <x:c r="AA105" s="215" t="str">
        <x:v>Local subgroup / route</x:v>
      </x:c>
      <x:c r="AB105" s="215" t="str">
        <x:v>Supporting / route</x:v>
      </x:c>
      <x:c r="AC105" s="215" t="str">
        <x:v>High</x:v>
      </x:c>
      <x:c r="AD105" s="215" t="str">
        <x:v>Naked eye / field</x:v>
      </x:c>
      <x:c r="AE105" s="215" t="str">
        <x:v>Moderate</x:v>
      </x:c>
      <x:c r="AF105" s="215" t="str">
        <x:v>Use only after review</x:v>
      </x:c>
      <x:c r="AG105" s="215" t="str">
        <x:v>1 — Human review now</x:v>
      </x:c>
      <x:c r="AH105" s="215" t="str">
        <x:v>Current master inventory</x:v>
      </x:c>
    </x:row>
    <x:row r="106" ht="42" customHeight="1">
      <x:c r="A106" s="215" t="str">
        <x:v>Ranunculaceae</x:v>
      </x:c>
      <x:c r="B106" s="215" t="str">
        <x:v>RAN-MATUREFLOWER</x:v>
      </x:c>
      <x:c r="C106" s="215" t="str">
        <x:v>Method warning</x:v>
      </x:c>
      <x:c r="D106" s="215" t="str">
        <x:v>Flower</x:v>
      </x:c>
      <x:c r="E106" s="215" t="str">
        <x:v>Use mature, fully open flowers for perianth and nectary interpretation</x:v>
      </x:c>
      <x:c r="F106" s="215" t="str">
        <x:v>Caution</x:v>
      </x:c>
      <x:c r="G106" s="215" t="str">
        <x:v>0</x:v>
      </x:c>
      <x:c r="H106" s="215" t="str">
        <x:v>High as a method rule</x:v>
      </x:c>
      <x:c r="I106" s="215" t="str">
        <x:v>Naked eye and hand lens</x:v>
      </x:c>
      <x:c r="J106" s="215" t="str">
        <x:v>Fresh fully open flowering</x:v>
      </x:c>
      <x:c r="K106" s="215" t="str">
        <x:v>Bud stages and partly open flowers can hide small nectar petals or make sepals and petals appear fused or absent.</x:v>
      </x:c>
      <x:c r="L106" s="215" t="str">
        <x:v>Weathered flowers may lose inner organs; fruits alone may require a different key route.</x:v>
      </x:c>
      <x:c r="M106" s="215" t="str">
        <x:v>Record “unknown” rather than forcing a petal count from unsuitable material.</x:v>
      </x:c>
      <x:c r="N106" s="215" t="str">
        <x:v>Especially important for Aquilegia, Delphinium, Ranunculus, and small-flowered material.</x:v>
      </x:c>
      <x:c r="O106" s="215" t="str">
        <x:v>Low</x:v>
      </x:c>
      <x:c r="P106" s="215" t="str">
        <x:v>No</x:v>
      </x:c>
      <x:c r="Q106" s="215" t="str"/>
      <x:c r="R106" s="215" t="str">
        <x:v>RAN-LK01; RAN-LK02</x:v>
      </x:c>
      <x:c r="S106" s="215" t="str">
        <x:v>FNA-RANUNC; APWEB-RANUNC; POWO-RANUNC</x:v>
      </x:c>
      <x:c r="T106" s="215" t="str">
        <x:v>https://www.mobot.org/MOBOT/research/APweb/orders/ranunculalesweb.htm</x:v>
      </x:c>
      <x:c r="U106" s="215" t="str">
        <x:v>https://floranorthamerica.org/Ranunculaceae</x:v>
      </x:c>
      <x:c r="V106" s="215" t="str">
        <x:v>https://powo.science.kew.org/taxon/urn:lsid:ipni.org:names:30000277-2</x:v>
      </x:c>
      <x:c r="W106" s="215" t="str">
        <x:v>https://floranorthamerica.org/Ranunculaceae
https://www.mobot.org/MOBOT/research/APweb/orders/ranunculalesweb.htm
https://powo.science.kew.org/taxon/urn:lsid:ipni.org:names:30000277-2</x:v>
      </x:c>
      <x:c r="X106" s="215" t="str">
        <x:v>No — retain qualifiers and exceptions</x:v>
      </x:c>
      <x:c r="Y106" s="215" t="str">
        <x:v>Yes</x:v>
      </x:c>
      <x:c r="Z106" s="215" t="str">
        <x:v>Source-backed draft</x:v>
      </x:c>
      <x:c r="AA106" s="215" t="str">
        <x:v>Caution / method</x:v>
      </x:c>
      <x:c r="AB106" s="215" t="str">
        <x:v>Caution / negative rule</x:v>
      </x:c>
      <x:c r="AC106" s="215" t="str">
        <x:v>High</x:v>
      </x:c>
      <x:c r="AD106" s="215" t="str">
        <x:v>Hand lens / macro</x:v>
      </x:c>
      <x:c r="AE106" s="215" t="str">
        <x:v>Low</x:v>
      </x:c>
      <x:c r="AF106" s="215" t="str">
        <x:v>Field-ready draft</x:v>
      </x:c>
      <x:c r="AG106" s="215" t="str">
        <x:v>4 — Context / caution</x:v>
      </x:c>
      <x:c r="AH106" s="215" t="str">
        <x:v>Current master inventory</x:v>
      </x:c>
    </x:row>
    <x:row r="107" ht="42" customHeight="1">
      <x:c r="A107" s="215" t="str">
        <x:v>Ranunculaceae</x:v>
      </x:c>
      <x:c r="B107" s="215" t="str">
        <x:v>RAN-TERMS</x:v>
      </x:c>
      <x:c r="C107" s="215" t="str">
        <x:v>Terminology warning</x:v>
      </x:c>
      <x:c r="D107" s="215" t="str">
        <x:v>Data interpretation</x:v>
      </x:c>
      <x:c r="E107" s="215" t="str">
        <x:v>Sepal, petal, tepal, and nectary terminology differs among authorities</x:v>
      </x:c>
      <x:c r="F107" s="215" t="str">
        <x:v>Caution</x:v>
      </x:c>
      <x:c r="G107" s="215" t="str">
        <x:v>0</x:v>
      </x:c>
      <x:c r="H107" s="215" t="str">
        <x:v>High as a documented limitation</x:v>
      </x:c>
      <x:c r="I107" s="215" t="str">
        <x:v>Reference check</x:v>
      </x:c>
      <x:c r="J107" s="215" t="str">
        <x:v>Flowering</x:v>
      </x:c>
      <x:c r="K107" s="215" t="str">
        <x:v>Authorities may use different names for the showy outer parts and specialized inner nectar organs.</x:v>
      </x:c>
      <x:c r="L107" s="215" t="str">
        <x:v>The disagreement reflects floral evolution and descriptive convention, not necessarily conflicting observations.</x:v>
      </x:c>
      <x:c r="M107" s="215" t="str">
        <x:v>Store the observed organ position and function, and preserve the source’s terminology in notes.</x:v>
      </x:c>
      <x:c r="N107" s="215" t="str">
        <x:v>Needed to prevent false conflicts across all local genus routes.</x:v>
      </x:c>
      <x:c r="O107" s="215" t="str">
        <x:v>High</x:v>
      </x:c>
      <x:c r="P107" s="215" t="str">
        <x:v>Yes</x:v>
      </x:c>
      <x:c r="Q107" s="215" t="str">
        <x:v>Human reviewer should approve controlled vocabulary for outer perianth, inner nectar organ, spur, and petal fields.</x:v>
      </x:c>
      <x:c r="R107" s="215" t="str">
        <x:v>RAN-LK02</x:v>
      </x:c>
      <x:c r="S107" s="215" t="str">
        <x:v>APWEB-RANUNC; FNA-RANUNC; POWO-RANUNC</x:v>
      </x:c>
      <x:c r="T107" s="215" t="str">
        <x:v>https://www.mobot.org/MOBOT/research/APweb/orders/ranunculalesweb.htm</x:v>
      </x:c>
      <x:c r="U107" s="215" t="str">
        <x:v>https://floranorthamerica.org/Ranunculaceae</x:v>
      </x:c>
      <x:c r="V107" s="215" t="str">
        <x:v>https://powo.science.kew.org/taxon/urn:lsid:ipni.org:names:30000277-2</x:v>
      </x:c>
      <x:c r="W107" s="215" t="str">
        <x:v>https://www.mobot.org/MOBOT/research/APweb/orders/ranunculalesweb.htm
https://floranorthamerica.org/Ranunculaceae
https://powo.science.kew.org/taxon/urn:lsid:ipni.org:names:30000277-2</x:v>
      </x:c>
      <x:c r="X107" s="215" t="str">
        <x:v>No — retain qualifiers and exceptions</x:v>
      </x:c>
      <x:c r="Y107" s="215" t="str">
        <x:v>Yes</x:v>
      </x:c>
      <x:c r="Z107" s="215" t="str">
        <x:v>Human review required</x:v>
      </x:c>
      <x:c r="AA107" s="215" t="str">
        <x:v>Caution / method</x:v>
      </x:c>
      <x:c r="AB107" s="215" t="str">
        <x:v>Caution / negative rule</x:v>
      </x:c>
      <x:c r="AC107" s="215" t="str">
        <x:v>High</x:v>
      </x:c>
      <x:c r="AD107" s="215" t="str">
        <x:v>Reference / method</x:v>
      </x:c>
      <x:c r="AE107" s="215" t="str">
        <x:v>High</x:v>
      </x:c>
      <x:c r="AF107" s="215" t="str">
        <x:v>Use only after review</x:v>
      </x:c>
      <x:c r="AG107" s="215" t="str">
        <x:v>1 — Human review now</x:v>
      </x:c>
      <x:c r="AH107" s="215" t="str">
        <x:v>Current master inventory</x:v>
      </x:c>
    </x:row>
    <x:row r="108" ht="42" customHeight="1">
      <x:c r="A108" s="215" t="str">
        <x:v>Ranunculaceae</x:v>
      </x:c>
      <x:c r="B108" s="215" t="str">
        <x:v>RAN-TOXIC</x:v>
      </x:c>
      <x:c r="C108" s="215" t="str">
        <x:v>Safety warning</x:v>
      </x:c>
      <x:c r="D108" s="215" t="str">
        <x:v>Chemistry</x:v>
      </x:c>
      <x:c r="E108" s="215" t="str">
        <x:v>Many members contain irritating or toxic compounds</x:v>
      </x:c>
      <x:c r="F108" s="215" t="str">
        <x:v>Caution</x:v>
      </x:c>
      <x:c r="G108" s="215" t="str">
        <x:v>0</x:v>
      </x:c>
      <x:c r="H108" s="215" t="str">
        <x:v>High as a safety rule</x:v>
      </x:c>
      <x:c r="I108" s="215" t="str">
        <x:v>Observe only</x:v>
      </x:c>
      <x:c r="J108" s="215" t="str">
        <x:v>Any</x:v>
      </x:c>
      <x:c r="K108" s="215" t="str">
        <x:v>Buttercup-family plants should not be tasted, and sap contact should be minimized.</x:v>
      </x:c>
      <x:c r="L108" s="215" t="str">
        <x:v>Toxicity and irritancy vary by taxon and plant part and are not identification characters.</x:v>
      </x:c>
      <x:c r="M108" s="215" t="str">
        <x:v>Safety instruction only; never score it as evidence for family placement.</x:v>
      </x:c>
      <x:c r="N108" s="215" t="str">
        <x:v>Relevant to local Delphinium and other family members.</x:v>
      </x:c>
      <x:c r="O108" s="215" t="str">
        <x:v>Low</x:v>
      </x:c>
      <x:c r="P108" s="215" t="str">
        <x:v>No</x:v>
      </x:c>
      <x:c r="Q108" s="215" t="str"/>
      <x:c r="R108" s="215" t="str">
        <x:v>RAN-LK01; RAN-LK02</x:v>
      </x:c>
      <x:c r="S108" s="215" t="str">
        <x:v>APWEB-RANUNC; FNA-RANUNC; POWO-RANUNC</x:v>
      </x:c>
      <x:c r="T108" s="215" t="str">
        <x:v>https://www.mobot.org/MOBOT/research/APweb/orders/ranunculalesweb.htm</x:v>
      </x:c>
      <x:c r="U108" s="215" t="str">
        <x:v>https://floranorthamerica.org/Ranunculaceae</x:v>
      </x:c>
      <x:c r="V108" s="215" t="str">
        <x:v>https://powo.science.kew.org/taxon/urn:lsid:ipni.org:names:30000277-2</x:v>
      </x:c>
      <x:c r="W108" s="215" t="str">
        <x:v>https://www.mobot.org/MOBOT/research/APweb/orders/ranunculalesweb.htm
https://floranorthamerica.org/Ranunculaceae
https://powo.science.kew.org/taxon/urn:lsid:ipni.org:names:30000277-2</x:v>
      </x:c>
      <x:c r="X108" s="215" t="str">
        <x:v>No — retain qualifiers and exceptions</x:v>
      </x:c>
      <x:c r="Y108" s="215" t="str">
        <x:v>Yes</x:v>
      </x:c>
      <x:c r="Z108" s="215" t="str">
        <x:v>Source-backed draft</x:v>
      </x:c>
      <x:c r="AA108" s="215" t="str">
        <x:v>Caution / method</x:v>
      </x:c>
      <x:c r="AB108" s="215" t="str">
        <x:v>Caution / negative rule</x:v>
      </x:c>
      <x:c r="AC108" s="215" t="str">
        <x:v>High</x:v>
      </x:c>
      <x:c r="AD108" s="215" t="str">
        <x:v>Naked eye / field</x:v>
      </x:c>
      <x:c r="AE108" s="215" t="str">
        <x:v>Low</x:v>
      </x:c>
      <x:c r="AF108" s="215" t="str">
        <x:v>Field-ready draft</x:v>
      </x:c>
      <x:c r="AG108" s="215" t="str">
        <x:v>4 — Context / caution</x:v>
      </x:c>
      <x:c r="AH108" s="215" t="str">
        <x:v>Current master inventory</x:v>
      </x:c>
    </x:row>
    <x:row r="109" ht="42" customHeight="1">
      <x:c r="A109" s="215" t="str">
        <x:v>Apiaceae</x:v>
      </x:c>
      <x:c r="B109" s="215" t="str">
        <x:v>API-HABIT</x:v>
      </x:c>
      <x:c r="C109" s="215" t="str">
        <x:v>Family-wide tendency</x:v>
      </x:c>
      <x:c r="D109" s="215" t="str">
        <x:v>Habit</x:v>
      </x:c>
      <x:c r="E109" s="215" t="str">
        <x:v>Predominantly herbaceous</x:v>
      </x:c>
      <x:c r="F109" s="215" t="str">
        <x:v>Supporting</x:v>
      </x:c>
      <x:c r="G109" s="215" t="str">
        <x:v>2</x:v>
      </x:c>
      <x:c r="H109" s="215" t="str">
        <x:v>Variable</x:v>
      </x:c>
      <x:c r="I109" s="215" t="str">
        <x:v>Naked eye</x:v>
      </x:c>
      <x:c r="J109" s="215" t="str">
        <x:v>Any</x:v>
      </x:c>
      <x:c r="K109" s="215" t="str">
        <x:v>Most members encountered locally are annual or perennial herbs.</x:v>
      </x:c>
      <x:c r="L109" s="215" t="str">
        <x:v>Shrubs, cushion plants, creepers, and rare trees occur in the family; habit cannot confirm or reject it.</x:v>
      </x:c>
      <x:c r="M109" s="215" t="str">
        <x:v>Use only as an early clue, especially against mostly woody Araliaceae.</x:v>
      </x:c>
      <x:c r="N109" s="215" t="str">
        <x:v>All 11 current Hays rows are herbaceous.</x:v>
      </x:c>
      <x:c r="O109" s="215" t="str">
        <x:v>Low</x:v>
      </x:c>
      <x:c r="P109" s="215" t="str">
        <x:v>No</x:v>
      </x:c>
      <x:c r="Q109" s="215" t="str"/>
      <x:c r="R109" s="215" t="str">
        <x:v>API-LK01</x:v>
      </x:c>
      <x:c r="S109" s="215" t="str">
        <x:v>APWEB-API; KEW-API-GI; POWO-API</x:v>
      </x:c>
      <x:c r="T109" s="215" t="str">
        <x:v>https://www.mobot.org/MOBOT/research/apweb/orders/apialesweb.htm</x:v>
      </x:c>
      <x:c r="U109" s="215" t="str">
        <x:v>https://powo.science.kew.org/taxon/urn:lsid:ipni.org:names:30000180-2/general-information</x:v>
      </x:c>
      <x:c r="V109" s="215" t="str">
        <x:v>https://powo.science.kew.org/taxon/urn:lsid:ipni.org:names:30000180-2</x:v>
      </x:c>
      <x:c r="W109" s="215" t="str">
        <x:v>https://www.mobot.org/MOBOT/research/apweb/orders/apialesweb.htm
https://powo.science.kew.org/taxon/urn:lsid:ipni.org:names:30000180-2/general-information
https://powo.science.kew.org/taxon/urn:lsid:ipni.org:names:30000180-2</x:v>
      </x:c>
      <x:c r="X109" s="215" t="str">
        <x:v>No - retain qualifiers and exceptions</x:v>
      </x:c>
      <x:c r="Y109" s="215" t="str">
        <x:v>Yes</x:v>
      </x:c>
      <x:c r="Z109" s="215" t="str">
        <x:v>Source-backed draft</x:v>
      </x:c>
      <x:c r="AA109" s="215" t="str">
        <x:v>Family pattern</x:v>
      </x:c>
      <x:c r="AB109" s="215" t="str">
        <x:v>Supporting / route</x:v>
      </x:c>
      <x:c r="AC109" s="215" t="str">
        <x:v>Variable</x:v>
      </x:c>
      <x:c r="AD109" s="215" t="str">
        <x:v>Naked eye / field</x:v>
      </x:c>
      <x:c r="AE109" s="215" t="str">
        <x:v>Low</x:v>
      </x:c>
      <x:c r="AF109" s="215" t="str">
        <x:v>Field-ready draft</x:v>
      </x:c>
      <x:c r="AG109" s="215" t="str">
        <x:v>4 — Context / caution</x:v>
      </x:c>
      <x:c r="AH109" s="215" t="str">
        <x:v>Current master inventory</x:v>
      </x:c>
    </x:row>
    <x:row r="110" ht="42" customHeight="1">
      <x:c r="A110" s="215" t="str">
        <x:v>Apiaceae</x:v>
      </x:c>
      <x:c r="B110" s="215" t="str">
        <x:v>API-SHEATH</x:v>
      </x:c>
      <x:c r="C110" s="215" t="str">
        <x:v>Broad family tendency</x:v>
      </x:c>
      <x:c r="D110" s="215" t="str">
        <x:v>Leaf base</x:v>
      </x:c>
      <x:c r="E110" s="215" t="str">
        <x:v>Petiole base commonly widened or sheathing</x:v>
      </x:c>
      <x:c r="F110" s="215" t="str">
        <x:v>Strong</x:v>
      </x:c>
      <x:c r="G110" s="215" t="str">
        <x:v>4</x:v>
      </x:c>
      <x:c r="H110" s="215" t="str">
        <x:v>Moderate</x:v>
      </x:c>
      <x:c r="I110" s="215" t="str">
        <x:v>Naked eye</x:v>
      </x:c>
      <x:c r="J110" s="215" t="str">
        <x:v>Vegetative</x:v>
      </x:c>
      <x:c r="K110" s="215" t="str">
        <x:v>The leaf stalk often wraps partly around the stem as a sheath.</x:v>
      </x:c>
      <x:c r="L110" s="215" t="str">
        <x:v>The sheath may be weak, hidden, or absent; leaves may be sessile, especially in unusual forms.</x:v>
      </x:c>
      <x:c r="M110" s="215" t="str">
        <x:v>Combine with umbel and fruit characters; useful against many finely divided non-apiaceous herbs.</x:v>
      </x:c>
      <x:c r="N110" s="215" t="str">
        <x:v>Useful in Daucus, Chaerophyllum, Polytaenia, Daucosma, and Vesper; less obvious in some Eryngium and Centella.</x:v>
      </x:c>
      <x:c r="O110" s="215" t="str">
        <x:v>Moderate</x:v>
      </x:c>
      <x:c r="P110" s="215" t="str">
        <x:v>No</x:v>
      </x:c>
      <x:c r="Q110" s="215" t="str"/>
      <x:c r="R110" s="215" t="str">
        <x:v>API-LK01; API-LK03</x:v>
      </x:c>
      <x:c r="S110" s="215" t="str">
        <x:v>KEW-API-GI; APWEB-API; POWO-API</x:v>
      </x:c>
      <x:c r="T110" s="215" t="str">
        <x:v>https://www.mobot.org/MOBOT/research/apweb/orders/apialesweb.htm</x:v>
      </x:c>
      <x:c r="U110" s="215" t="str">
        <x:v>https://powo.science.kew.org/taxon/urn:lsid:ipni.org:names:30000180-2/general-information</x:v>
      </x:c>
      <x:c r="V110" s="215" t="str">
        <x:v>https://powo.science.kew.org/taxon/urn:lsid:ipni.org:names:30000180-2</x:v>
      </x:c>
      <x:c r="W110" s="215" t="str">
        <x:v>https://powo.science.kew.org/taxon/urn:lsid:ipni.org:names:30000180-2/general-information
https://www.mobot.org/MOBOT/research/apweb/orders/apialesweb.htm
https://powo.science.kew.org/taxon/urn:lsid:ipni.org:names:30000180-2</x:v>
      </x:c>
      <x:c r="X110" s="215" t="str">
        <x:v>No - retain qualifiers and exceptions</x:v>
      </x:c>
      <x:c r="Y110" s="215" t="str">
        <x:v>Yes</x:v>
      </x:c>
      <x:c r="Z110" s="215" t="str">
        <x:v>Source-backed draft</x:v>
      </x:c>
      <x:c r="AA110" s="215" t="str">
        <x:v>Family pattern</x:v>
      </x:c>
      <x:c r="AB110" s="215" t="str">
        <x:v>Positive diagnostic</x:v>
      </x:c>
      <x:c r="AC110" s="215" t="str">
        <x:v>Moderate</x:v>
      </x:c>
      <x:c r="AD110" s="215" t="str">
        <x:v>Naked eye / field</x:v>
      </x:c>
      <x:c r="AE110" s="215" t="str">
        <x:v>Moderate</x:v>
      </x:c>
      <x:c r="AF110" s="215" t="str">
        <x:v>Field-ready draft</x:v>
      </x:c>
      <x:c r="AG110" s="215" t="str">
        <x:v>2 — Field-photo priority</x:v>
      </x:c>
      <x:c r="AH110" s="215" t="str">
        <x:v>Current master inventory</x:v>
      </x:c>
    </x:row>
    <x:row r="111" ht="42" customHeight="1">
      <x:c r="A111" s="215" t="str">
        <x:v>Apiaceae</x:v>
      </x:c>
      <x:c r="B111" s="215" t="str">
        <x:v>API-LEAFDIV</x:v>
      </x:c>
      <x:c r="C111" s="215" t="str">
        <x:v>Common, not family-wide</x:v>
      </x:c>
      <x:c r="D111" s="215" t="str">
        <x:v>Leaf</x:v>
      </x:c>
      <x:c r="E111" s="215" t="str">
        <x:v>Leaves often compound or deeply divided</x:v>
      </x:c>
      <x:c r="F111" s="215" t="str">
        <x:v>Caution</x:v>
      </x:c>
      <x:c r="G111" s="215" t="str">
        <x:v>0</x:v>
      </x:c>
      <x:c r="H111" s="215" t="str">
        <x:v>Variable</x:v>
      </x:c>
      <x:c r="I111" s="215" t="str">
        <x:v>Naked eye</x:v>
      </x:c>
      <x:c r="J111" s="215" t="str">
        <x:v>Vegetative</x:v>
      </x:c>
      <x:c r="K111" s="215" t="str">
        <x:v>Many members have fernlike, pinnate, ternate, or palmately divided blades.</x:v>
      </x:c>
      <x:c r="L111" s="215" t="str">
        <x:v>Centella has simple rounded leaves; Eryngium may have simple straplike or spiny blades; simple leaves occur elsewhere in the family.</x:v>
      </x:c>
      <x:c r="M111" s="215" t="str">
        <x:v>Never require divided leaves and never identify Apiaceae from this trait alone.</x:v>
      </x:c>
      <x:c r="N111" s="215" t="str">
        <x:v>Local taxa intentionally include both finely divided and simple-leaved routes.</x:v>
      </x:c>
      <x:c r="O111" s="215" t="str">
        <x:v>Low</x:v>
      </x:c>
      <x:c r="P111" s="215" t="str">
        <x:v>No</x:v>
      </x:c>
      <x:c r="Q111" s="215" t="str"/>
      <x:c r="R111" s="215" t="str">
        <x:v>API-LK01; API-LK03</x:v>
      </x:c>
      <x:c r="S111" s="215" t="str">
        <x:v>KEW-API-GI; APWEB-API; POWO-API</x:v>
      </x:c>
      <x:c r="T111" s="215" t="str">
        <x:v>https://www.mobot.org/MOBOT/research/apweb/orders/apialesweb.htm</x:v>
      </x:c>
      <x:c r="U111" s="215" t="str">
        <x:v>https://powo.science.kew.org/taxon/urn:lsid:ipni.org:names:30000180-2/general-information</x:v>
      </x:c>
      <x:c r="V111" s="215" t="str">
        <x:v>https://powo.science.kew.org/taxon/urn:lsid:ipni.org:names:30000180-2</x:v>
      </x:c>
      <x:c r="W111" s="215" t="str">
        <x:v>https://powo.science.kew.org/taxon/urn:lsid:ipni.org:names:30000180-2/general-information
https://www.mobot.org/MOBOT/research/apweb/orders/apialesweb.htm
https://powo.science.kew.org/taxon/urn:lsid:ipni.org:names:30000180-2</x:v>
      </x:c>
      <x:c r="X111" s="215" t="str">
        <x:v>No - retain qualifiers and exceptions</x:v>
      </x:c>
      <x:c r="Y111" s="215" t="str">
        <x:v>Yes</x:v>
      </x:c>
      <x:c r="Z111" s="215" t="str">
        <x:v>Source-backed draft</x:v>
      </x:c>
      <x:c r="AA111" s="215" t="str">
        <x:v>Family pattern</x:v>
      </x:c>
      <x:c r="AB111" s="215" t="str">
        <x:v>Caution / negative rule</x:v>
      </x:c>
      <x:c r="AC111" s="215" t="str">
        <x:v>Variable</x:v>
      </x:c>
      <x:c r="AD111" s="215" t="str">
        <x:v>Naked eye / field</x:v>
      </x:c>
      <x:c r="AE111" s="215" t="str">
        <x:v>Low</x:v>
      </x:c>
      <x:c r="AF111" s="215" t="str">
        <x:v>Field-ready draft</x:v>
      </x:c>
      <x:c r="AG111" s="215" t="str">
        <x:v>4 — Context / caution</x:v>
      </x:c>
      <x:c r="AH111" s="215" t="str">
        <x:v>Current master inventory</x:v>
      </x:c>
    </x:row>
    <x:row r="112" ht="42" customHeight="1">
      <x:c r="A112" s="215" t="str">
        <x:v>Apiaceae</x:v>
      </x:c>
      <x:c r="B112" s="215" t="str">
        <x:v>API-UMBEL</x:v>
      </x:c>
      <x:c r="C112" s="215" t="str">
        <x:v>Broad family tendency</x:v>
      </x:c>
      <x:c r="D112" s="215" t="str">
        <x:v>Inflorescence</x:v>
      </x:c>
      <x:c r="E112" s="215" t="str">
        <x:v>Flowers usually in simple or compound umbels</x:v>
      </x:c>
      <x:c r="F112" s="215" t="str">
        <x:v>Strong</x:v>
      </x:c>
      <x:c r="G112" s="215" t="str">
        <x:v>4</x:v>
      </x:c>
      <x:c r="H112" s="215" t="str">
        <x:v>High in typical forms</x:v>
      </x:c>
      <x:c r="I112" s="215" t="str">
        <x:v>Naked eye</x:v>
      </x:c>
      <x:c r="J112" s="215" t="str">
        <x:v>Flowering</x:v>
      </x:c>
      <x:c r="K112" s="215" t="str">
        <x:v>Flower stalks commonly spread from a shared point, and compound umbels repeat this pattern in smaller umbellets.</x:v>
      </x:c>
      <x:c r="L112" s="215" t="str">
        <x:v>Eryngium and some Sanicula forms can be condensed into heads; reduced cymes occur elsewhere. An umbel also occurs in unrelated families.</x:v>
      </x:c>
      <x:c r="M112" s="215" t="str">
        <x:v>Use as the first structural clue, then confirm inferior ovary and two-mericarps fruit.</x:v>
      </x:c>
      <x:c r="N112" s="215" t="str">
        <x:v>Typical in most local genera; Eryngium and Sanicula require the head-like exception route.</x:v>
      </x:c>
      <x:c r="O112" s="215" t="str">
        <x:v>Low</x:v>
      </x:c>
      <x:c r="P112" s="215" t="str">
        <x:v>No</x:v>
      </x:c>
      <x:c r="Q112" s="215" t="str"/>
      <x:c r="R112" s="215" t="str">
        <x:v>API-LK01; API-LK02; API-LK03</x:v>
      </x:c>
      <x:c r="S112" s="215" t="str">
        <x:v>APWEB-API; KEW-API-GI; POWO-API</x:v>
      </x:c>
      <x:c r="T112" s="215" t="str">
        <x:v>https://www.mobot.org/MOBOT/research/apweb/orders/apialesweb.htm</x:v>
      </x:c>
      <x:c r="U112" s="215" t="str">
        <x:v>https://powo.science.kew.org/taxon/urn:lsid:ipni.org:names:30000180-2/general-information</x:v>
      </x:c>
      <x:c r="V112" s="215" t="str">
        <x:v>https://powo.science.kew.org/taxon/urn:lsid:ipni.org:names:30000180-2</x:v>
      </x:c>
      <x:c r="W112" s="215" t="str">
        <x:v>https://www.mobot.org/MOBOT/research/apweb/orders/apialesweb.htm
https://powo.science.kew.org/taxon/urn:lsid:ipni.org:names:30000180-2/general-information
https://powo.science.kew.org/taxon/urn:lsid:ipni.org:names:30000180-2</x:v>
      </x:c>
      <x:c r="X112" s="215" t="str">
        <x:v>No - retain qualifiers and exceptions</x:v>
      </x:c>
      <x:c r="Y112" s="215" t="str">
        <x:v>Yes</x:v>
      </x:c>
      <x:c r="Z112" s="215" t="str">
        <x:v>Source-backed draft</x:v>
      </x:c>
      <x:c r="AA112" s="215" t="str">
        <x:v>Family pattern</x:v>
      </x:c>
      <x:c r="AB112" s="215" t="str">
        <x:v>Positive diagnostic</x:v>
      </x:c>
      <x:c r="AC112" s="215" t="str">
        <x:v>High</x:v>
      </x:c>
      <x:c r="AD112" s="215" t="str">
        <x:v>Naked eye / field</x:v>
      </x:c>
      <x:c r="AE112" s="215" t="str">
        <x:v>Low</x:v>
      </x:c>
      <x:c r="AF112" s="215" t="str">
        <x:v>Field-ready draft</x:v>
      </x:c>
      <x:c r="AG112" s="215" t="str">
        <x:v>2 — Field-photo priority</x:v>
      </x:c>
      <x:c r="AH112" s="215" t="str">
        <x:v>Current master inventory</x:v>
      </x:c>
    </x:row>
    <x:row r="113" ht="42" customHeight="1">
      <x:c r="A113" s="215" t="str">
        <x:v>Apiaceae</x:v>
      </x:c>
      <x:c r="B113" s="215" t="str">
        <x:v>API-INVOL</x:v>
      </x:c>
      <x:c r="C113" s="215" t="str">
        <x:v>Common, variable</x:v>
      </x:c>
      <x:c r="D113" s="215" t="str">
        <x:v>Inflorescence</x:v>
      </x:c>
      <x:c r="E113" s="215" t="str">
        <x:v>Involucre and/or involucel bracts often subtend umbels</x:v>
      </x:c>
      <x:c r="F113" s="215" t="str">
        <x:v>Supporting</x:v>
      </x:c>
      <x:c r="G113" s="215" t="str">
        <x:v>2</x:v>
      </x:c>
      <x:c r="H113" s="215" t="str">
        <x:v>Variable</x:v>
      </x:c>
      <x:c r="I113" s="215" t="str">
        <x:v>Naked eye or hand lens</x:v>
      </x:c>
      <x:c r="J113" s="215" t="str">
        <x:v>Flowering</x:v>
      </x:c>
      <x:c r="K113" s="215" t="str">
        <x:v>One or more bracts may sit below the whole umbel and bracteoles below each umbellet.</x:v>
      </x:c>
      <x:c r="L113" s="215" t="str">
        <x:v>Either set may be absent, reduced, or deeply divided; head-like genera organize bracts differently.</x:v>
      </x:c>
      <x:c r="M113" s="215" t="str">
        <x:v>Useful after an umbel is recognized, mainly for genus-level sorting.</x:v>
      </x:c>
      <x:c r="N113" s="215" t="str">
        <x:v>Likely useful in Daucus, Polytaenia, Daucosma, and related local material.</x:v>
      </x:c>
      <x:c r="O113" s="215" t="str">
        <x:v>Low</x:v>
      </x:c>
      <x:c r="P113" s="215" t="str">
        <x:v>No</x:v>
      </x:c>
      <x:c r="Q113" s="215" t="str"/>
      <x:c r="R113" s="215" t="str"/>
      <x:c r="S113" s="215" t="str">
        <x:v>KEW-API-GI; APWEB-API; POWO-API</x:v>
      </x:c>
      <x:c r="T113" s="215" t="str">
        <x:v>https://www.mobot.org/MOBOT/research/apweb/orders/apialesweb.htm</x:v>
      </x:c>
      <x:c r="U113" s="215" t="str">
        <x:v>https://powo.science.kew.org/taxon/urn:lsid:ipni.org:names:30000180-2/general-information</x:v>
      </x:c>
      <x:c r="V113" s="215" t="str">
        <x:v>https://powo.science.kew.org/taxon/urn:lsid:ipni.org:names:30000180-2</x:v>
      </x:c>
      <x:c r="W113" s="215" t="str">
        <x:v>https://powo.science.kew.org/taxon/urn:lsid:ipni.org:names:30000180-2/general-information
https://www.mobot.org/MOBOT/research/apweb/orders/apialesweb.htm
https://powo.science.kew.org/taxon/urn:lsid:ipni.org:names:30000180-2</x:v>
      </x:c>
      <x:c r="X113" s="215" t="str">
        <x:v>No - retain qualifiers and exceptions</x:v>
      </x:c>
      <x:c r="Y113" s="215" t="str">
        <x:v>Yes</x:v>
      </x:c>
      <x:c r="Z113" s="215" t="str">
        <x:v>Source-backed draft</x:v>
      </x:c>
      <x:c r="AA113" s="215" t="str">
        <x:v>Other qualified pattern</x:v>
      </x:c>
      <x:c r="AB113" s="215" t="str">
        <x:v>Supporting / route</x:v>
      </x:c>
      <x:c r="AC113" s="215" t="str">
        <x:v>Variable</x:v>
      </x:c>
      <x:c r="AD113" s="215" t="str">
        <x:v>Hand lens / macro</x:v>
      </x:c>
      <x:c r="AE113" s="215" t="str">
        <x:v>Low</x:v>
      </x:c>
      <x:c r="AF113" s="215" t="str">
        <x:v>Field-ready draft</x:v>
      </x:c>
      <x:c r="AG113" s="215" t="str">
        <x:v>4 — Context / caution</x:v>
      </x:c>
      <x:c r="AH113" s="215" t="str">
        <x:v>Current master inventory</x:v>
      </x:c>
    </x:row>
    <x:row r="114" ht="42" customHeight="1">
      <x:c r="A114" s="215" t="str">
        <x:v>Apiaceae</x:v>
      </x:c>
      <x:c r="B114" s="215" t="str">
        <x:v>API-FIVE</x:v>
      </x:c>
      <x:c r="C114" s="215" t="str">
        <x:v>Broad family tendency</x:v>
      </x:c>
      <x:c r="D114" s="215" t="str">
        <x:v>Flower</x:v>
      </x:c>
      <x:c r="E114" s="215" t="str">
        <x:v>Flowers usually 5-merous with 5 stamens</x:v>
      </x:c>
      <x:c r="F114" s="215" t="str">
        <x:v>Supporting</x:v>
      </x:c>
      <x:c r="G114" s="215" t="str">
        <x:v>3</x:v>
      </x:c>
      <x:c r="H114" s="215" t="str">
        <x:v>High</x:v>
      </x:c>
      <x:c r="I114" s="215" t="str">
        <x:v>Hand lens</x:v>
      </x:c>
      <x:c r="J114" s="215" t="str">
        <x:v>Flowering</x:v>
      </x:c>
      <x:c r="K114" s="215" t="str">
        <x:v>Most flowers have five petals and five stamens; the calyx is often reduced to minute teeth.</x:v>
      </x:c>
      <x:c r="L114" s="215" t="str">
        <x:v>Outer flowers can be irregular; calyx teeth may be conspicuous in Eryngium or nearly absent elsewhere; reduced flowers occur.</x:v>
      </x:c>
      <x:c r="M114" s="215" t="str">
        <x:v>Use only with ovary position, styles, and fruit.</x:v>
      </x:c>
      <x:c r="N114" s="215" t="str">
        <x:v>Applicable to all local routes, but Eryngium often makes the calyx easier to see.</x:v>
      </x:c>
      <x:c r="O114" s="215" t="str">
        <x:v>Low</x:v>
      </x:c>
      <x:c r="P114" s="215" t="str">
        <x:v>No</x:v>
      </x:c>
      <x:c r="Q114" s="215" t="str"/>
      <x:c r="R114" s="215" t="str">
        <x:v>API-LK02; API-LK03</x:v>
      </x:c>
      <x:c r="S114" s="215" t="str">
        <x:v>APWEB-API; KEW-API-GI; POWO-API</x:v>
      </x:c>
      <x:c r="T114" s="215" t="str">
        <x:v>https://www.mobot.org/MOBOT/research/apweb/orders/apialesweb.htm</x:v>
      </x:c>
      <x:c r="U114" s="215" t="str">
        <x:v>https://powo.science.kew.org/taxon/urn:lsid:ipni.org:names:30000180-2/general-information</x:v>
      </x:c>
      <x:c r="V114" s="215" t="str">
        <x:v>https://powo.science.kew.org/taxon/urn:lsid:ipni.org:names:30000180-2</x:v>
      </x:c>
      <x:c r="W114" s="215" t="str">
        <x:v>https://www.mobot.org/MOBOT/research/apweb/orders/apialesweb.htm
https://powo.science.kew.org/taxon/urn:lsid:ipni.org:names:30000180-2/general-information
https://powo.science.kew.org/taxon/urn:lsid:ipni.org:names:30000180-2</x:v>
      </x:c>
      <x:c r="X114" s="215" t="str">
        <x:v>No - retain qualifiers and exceptions</x:v>
      </x:c>
      <x:c r="Y114" s="215" t="str">
        <x:v>Yes</x:v>
      </x:c>
      <x:c r="Z114" s="215" t="str">
        <x:v>Source-backed draft</x:v>
      </x:c>
      <x:c r="AA114" s="215" t="str">
        <x:v>Family pattern</x:v>
      </x:c>
      <x:c r="AB114" s="215" t="str">
        <x:v>Supporting / route</x:v>
      </x:c>
      <x:c r="AC114" s="215" t="str">
        <x:v>High</x:v>
      </x:c>
      <x:c r="AD114" s="215" t="str">
        <x:v>Hand lens / macro</x:v>
      </x:c>
      <x:c r="AE114" s="215" t="str">
        <x:v>Low</x:v>
      </x:c>
      <x:c r="AF114" s="215" t="str">
        <x:v>Field-ready draft</x:v>
      </x:c>
      <x:c r="AG114" s="215" t="str">
        <x:v>3 — Reference support</x:v>
      </x:c>
      <x:c r="AH114" s="215" t="str">
        <x:v>Current master inventory</x:v>
      </x:c>
    </x:row>
    <x:row r="115" ht="42" customHeight="1">
      <x:c r="A115" s="215" t="str">
        <x:v>Apiaceae</x:v>
      </x:c>
      <x:c r="B115" s="215" t="str">
        <x:v>API-INFERIOR</x:v>
      </x:c>
      <x:c r="C115" s="215" t="str">
        <x:v>Broad family suite</x:v>
      </x:c>
      <x:c r="D115" s="215" t="str">
        <x:v>Gynoecium</x:v>
      </x:c>
      <x:c r="E115" s="215" t="str">
        <x:v>Ovary inferior and usually 2-carpellate, 2-locular</x:v>
      </x:c>
      <x:c r="F115" s="215" t="str">
        <x:v>Core</x:v>
      </x:c>
      <x:c r="G115" s="215" t="str">
        <x:v>5</x:v>
      </x:c>
      <x:c r="H115" s="215" t="str">
        <x:v>High</x:v>
      </x:c>
      <x:c r="I115" s="215" t="str">
        <x:v>Hand lens or side view</x:v>
      </x:c>
      <x:c r="J115" s="215" t="str">
        <x:v>Flowering to young fruit</x:v>
      </x:c>
      <x:c r="K115" s="215" t="str">
        <x:v>Petals and stamens arise above an ovary built from two carpels, normally with one ovule in each locule.</x:v>
      </x:c>
      <x:c r="L115" s="215" t="str">
        <x:v>Very small flowers can obscure the boundary; a few unusual lineages depart from the standard construction.</x:v>
      </x:c>
      <x:c r="M115" s="215" t="str">
        <x:v>This is a major confirmation after an umbel or head is recognized.</x:v>
      </x:c>
      <x:c r="N115" s="215" t="str">
        <x:v>Expected across the current local family snapshot.</x:v>
      </x:c>
      <x:c r="O115" s="215" t="str">
        <x:v>Low</x:v>
      </x:c>
      <x:c r="P115" s="215" t="str">
        <x:v>No</x:v>
      </x:c>
      <x:c r="Q115" s="215" t="str"/>
      <x:c r="R115" s="215" t="str">
        <x:v>API-LK01; API-LK02; API-LK03</x:v>
      </x:c>
      <x:c r="S115" s="215" t="str">
        <x:v>KEW-API-GI; APWEB-API; POWO-API</x:v>
      </x:c>
      <x:c r="T115" s="215" t="str">
        <x:v>https://www.mobot.org/MOBOT/research/apweb/orders/apialesweb.htm</x:v>
      </x:c>
      <x:c r="U115" s="215" t="str">
        <x:v>https://powo.science.kew.org/taxon/urn:lsid:ipni.org:names:30000180-2/general-information</x:v>
      </x:c>
      <x:c r="V115" s="215" t="str">
        <x:v>https://powo.science.kew.org/taxon/urn:lsid:ipni.org:names:30000180-2</x:v>
      </x:c>
      <x:c r="W115" s="215" t="str">
        <x:v>https://powo.science.kew.org/taxon/urn:lsid:ipni.org:names:30000180-2/general-information
https://www.mobot.org/MOBOT/research/apweb/orders/apialesweb.htm
https://powo.science.kew.org/taxon/urn:lsid:ipni.org:names:30000180-2</x:v>
      </x:c>
      <x:c r="X115" s="215" t="str">
        <x:v>No - retain qualifiers and exceptions</x:v>
      </x:c>
      <x:c r="Y115" s="215" t="str">
        <x:v>Yes</x:v>
      </x:c>
      <x:c r="Z115" s="215" t="str">
        <x:v>Source-backed draft</x:v>
      </x:c>
      <x:c r="AA115" s="215" t="str">
        <x:v>Family pattern</x:v>
      </x:c>
      <x:c r="AB115" s="215" t="str">
        <x:v>Positive diagnostic</x:v>
      </x:c>
      <x:c r="AC115" s="215" t="str">
        <x:v>High</x:v>
      </x:c>
      <x:c r="AD115" s="215" t="str">
        <x:v>Hand lens / macro</x:v>
      </x:c>
      <x:c r="AE115" s="215" t="str">
        <x:v>Low</x:v>
      </x:c>
      <x:c r="AF115" s="215" t="str">
        <x:v>Field-ready draft</x:v>
      </x:c>
      <x:c r="AG115" s="215" t="str">
        <x:v>2 — Field-photo priority</x:v>
      </x:c>
      <x:c r="AH115" s="215" t="str">
        <x:v>Current master inventory</x:v>
      </x:c>
    </x:row>
    <x:row r="116" ht="42" customHeight="1">
      <x:c r="A116" s="215" t="str">
        <x:v>Apiaceae</x:v>
      </x:c>
      <x:c r="B116" s="215" t="str">
        <x:v>API-STYLO</x:v>
      </x:c>
      <x:c r="C116" s="215" t="str">
        <x:v>Broad family tendency</x:v>
      </x:c>
      <x:c r="D116" s="215" t="str">
        <x:v>Gynoecium</x:v>
      </x:c>
      <x:c r="E116" s="215" t="str">
        <x:v>Two styles commonly rise from a swollen stylopodium</x:v>
      </x:c>
      <x:c r="F116" s="215" t="str">
        <x:v>Strong</x:v>
      </x:c>
      <x:c r="G116" s="215" t="str">
        <x:v>4</x:v>
      </x:c>
      <x:c r="H116" s="215" t="str">
        <x:v>Moderate to high</x:v>
      </x:c>
      <x:c r="I116" s="215" t="str">
        <x:v>Hand lens</x:v>
      </x:c>
      <x:c r="J116" s="215" t="str">
        <x:v>Flowering to young fruit</x:v>
      </x:c>
      <x:c r="K116" s="215" t="str">
        <x:v>The two style bases often broaden into a nectar-bearing disk on top of the ovary.</x:v>
      </x:c>
      <x:c r="L116" s="215" t="str">
        <x:v>The swelling may be small, styles may be short, or the feature may be obscured in immature or dried material.</x:v>
      </x:c>
      <x:c r="M116" s="215" t="str">
        <x:v>Strongly supports Apiaceae when combined with an inferior ovary.</x:v>
      </x:c>
      <x:c r="N116" s="215" t="str">
        <x:v>Useful across local genera, including Eryngium and Sanicula, but visibility varies.</x:v>
      </x:c>
      <x:c r="O116" s="215" t="str">
        <x:v>Low</x:v>
      </x:c>
      <x:c r="P116" s="215" t="str">
        <x:v>No</x:v>
      </x:c>
      <x:c r="Q116" s="215" t="str"/>
      <x:c r="R116" s="215" t="str">
        <x:v>API-LK01</x:v>
      </x:c>
      <x:c r="S116" s="215" t="str">
        <x:v>KEW-API-GI; APWEB-API; POWO-API</x:v>
      </x:c>
      <x:c r="T116" s="215" t="str">
        <x:v>https://www.mobot.org/MOBOT/research/apweb/orders/apialesweb.htm</x:v>
      </x:c>
      <x:c r="U116" s="215" t="str">
        <x:v>https://powo.science.kew.org/taxon/urn:lsid:ipni.org:names:30000180-2/general-information</x:v>
      </x:c>
      <x:c r="V116" s="215" t="str">
        <x:v>https://powo.science.kew.org/taxon/urn:lsid:ipni.org:names:30000180-2</x:v>
      </x:c>
      <x:c r="W116" s="215" t="str">
        <x:v>https://powo.science.kew.org/taxon/urn:lsid:ipni.org:names:30000180-2/general-information
https://www.mobot.org/MOBOT/research/apweb/orders/apialesweb.htm
https://powo.science.kew.org/taxon/urn:lsid:ipni.org:names:30000180-2</x:v>
      </x:c>
      <x:c r="X116" s="215" t="str">
        <x:v>No - retain qualifiers and exceptions</x:v>
      </x:c>
      <x:c r="Y116" s="215" t="str">
        <x:v>Yes</x:v>
      </x:c>
      <x:c r="Z116" s="215" t="str">
        <x:v>Source-backed draft</x:v>
      </x:c>
      <x:c r="AA116" s="215" t="str">
        <x:v>Family pattern</x:v>
      </x:c>
      <x:c r="AB116" s="215" t="str">
        <x:v>Positive diagnostic</x:v>
      </x:c>
      <x:c r="AC116" s="215" t="str">
        <x:v>Moderate</x:v>
      </x:c>
      <x:c r="AD116" s="215" t="str">
        <x:v>Hand lens / macro</x:v>
      </x:c>
      <x:c r="AE116" s="215" t="str">
        <x:v>Low</x:v>
      </x:c>
      <x:c r="AF116" s="215" t="str">
        <x:v>Field-ready draft</x:v>
      </x:c>
      <x:c r="AG116" s="215" t="str">
        <x:v>2 — Field-photo priority</x:v>
      </x:c>
      <x:c r="AH116" s="215" t="str">
        <x:v>Current master inventory</x:v>
      </x:c>
    </x:row>
    <x:row r="117" ht="42" customHeight="1">
      <x:c r="A117" s="215" t="str">
        <x:v>Apiaceae</x:v>
      </x:c>
      <x:c r="B117" s="215" t="str">
        <x:v>API-SCHIZO</x:v>
      </x:c>
      <x:c r="C117" s="215" t="str">
        <x:v>Broad family suite</x:v>
      </x:c>
      <x:c r="D117" s="215" t="str">
        <x:v>Fruit</x:v>
      </x:c>
      <x:c r="E117" s="215" t="str">
        <x:v>Dry schizocarp usually separates into two one-seeded mericarps</x:v>
      </x:c>
      <x:c r="F117" s="215" t="str">
        <x:v>Core</x:v>
      </x:c>
      <x:c r="G117" s="215" t="str">
        <x:v>5</x:v>
      </x:c>
      <x:c r="H117" s="215" t="str">
        <x:v>High</x:v>
      </x:c>
      <x:c r="I117" s="215" t="str">
        <x:v>Naked eye or hand lens</x:v>
      </x:c>
      <x:c r="J117" s="215" t="str">
        <x:v>Mature fruit</x:v>
      </x:c>
      <x:c r="K117" s="215" t="str">
        <x:v>The fruit splits lengthwise into two dry halves, each normally containing one seed.</x:v>
      </x:c>
      <x:c r="L117" s="215" t="str">
        <x:v>Some fruits remain joined or are atypically fleshy; immature fruit will not show the separation.</x:v>
      </x:c>
      <x:c r="M117" s="215" t="str">
        <x:v>The most dependable family confirmation in local material.</x:v>
      </x:c>
      <x:c r="N117" s="215" t="str">
        <x:v>Critical for every local genus and especially useful when inflorescences are condensed.</x:v>
      </x:c>
      <x:c r="O117" s="215" t="str">
        <x:v>Low</x:v>
      </x:c>
      <x:c r="P117" s="215" t="str">
        <x:v>No</x:v>
      </x:c>
      <x:c r="Q117" s="215" t="str"/>
      <x:c r="R117" s="215" t="str">
        <x:v>API-LK01; API-LK02; API-LK03</x:v>
      </x:c>
      <x:c r="S117" s="215" t="str">
        <x:v>KEW-API-GI; APWEB-API; POWO-API</x:v>
      </x:c>
      <x:c r="T117" s="215" t="str">
        <x:v>https://www.mobot.org/MOBOT/research/apweb/orders/apialesweb.htm</x:v>
      </x:c>
      <x:c r="U117" s="215" t="str">
        <x:v>https://powo.science.kew.org/taxon/urn:lsid:ipni.org:names:30000180-2/general-information</x:v>
      </x:c>
      <x:c r="V117" s="215" t="str">
        <x:v>https://powo.science.kew.org/taxon/urn:lsid:ipni.org:names:30000180-2</x:v>
      </x:c>
      <x:c r="W117" s="215" t="str">
        <x:v>https://powo.science.kew.org/taxon/urn:lsid:ipni.org:names:30000180-2/general-information
https://www.mobot.org/MOBOT/research/apweb/orders/apialesweb.htm
https://powo.science.kew.org/taxon/urn:lsid:ipni.org:names:30000180-2</x:v>
      </x:c>
      <x:c r="X117" s="215" t="str">
        <x:v>No - retain qualifiers and exceptions</x:v>
      </x:c>
      <x:c r="Y117" s="215" t="str">
        <x:v>Yes</x:v>
      </x:c>
      <x:c r="Z117" s="215" t="str">
        <x:v>Source-backed draft</x:v>
      </x:c>
      <x:c r="AA117" s="215" t="str">
        <x:v>Family pattern</x:v>
      </x:c>
      <x:c r="AB117" s="215" t="str">
        <x:v>Positive diagnostic</x:v>
      </x:c>
      <x:c r="AC117" s="215" t="str">
        <x:v>High</x:v>
      </x:c>
      <x:c r="AD117" s="215" t="str">
        <x:v>Hand lens / macro</x:v>
      </x:c>
      <x:c r="AE117" s="215" t="str">
        <x:v>Low</x:v>
      </x:c>
      <x:c r="AF117" s="215" t="str">
        <x:v>Field-ready draft</x:v>
      </x:c>
      <x:c r="AG117" s="215" t="str">
        <x:v>2 — Field-photo priority</x:v>
      </x:c>
      <x:c r="AH117" s="215" t="str">
        <x:v>Current master inventory</x:v>
      </x:c>
    </x:row>
    <x:row r="118" ht="42" customHeight="1">
      <x:c r="A118" s="215" t="str">
        <x:v>Apiaceae</x:v>
      </x:c>
      <x:c r="B118" s="215" t="str">
        <x:v>API-CARPO</x:v>
      </x:c>
      <x:c r="C118" s="215" t="str">
        <x:v>Common, not universal</x:v>
      </x:c>
      <x:c r="D118" s="215" t="str">
        <x:v>Fruit</x:v>
      </x:c>
      <x:c r="E118" s="215" t="str">
        <x:v>Mericarps often hang from a central carpophore</x:v>
      </x:c>
      <x:c r="F118" s="215" t="str">
        <x:v>Strong</x:v>
      </x:c>
      <x:c r="G118" s="215" t="str">
        <x:v>4</x:v>
      </x:c>
      <x:c r="H118" s="215" t="str">
        <x:v>Moderate</x:v>
      </x:c>
      <x:c r="I118" s="215" t="str">
        <x:v>Hand lens</x:v>
      </x:c>
      <x:c r="J118" s="215" t="str">
        <x:v>Fully mature dehiscing fruit</x:v>
      </x:c>
      <x:c r="K118" s="215" t="str">
        <x:v>A slender central stalk may remain and hold the two separating mericarps.</x:v>
      </x:c>
      <x:c r="L118" s="215" t="str">
        <x:v>The carpophore may be entire, forked, reduced, hidden, or absent in some lineages, including parts of the saniculoid route.</x:v>
      </x:c>
      <x:c r="M118" s="215" t="str">
        <x:v>Useful confirmation and a genus-level character; absence must not reject the family.</x:v>
      </x:c>
      <x:c r="N118" s="215" t="str">
        <x:v>Expected to be useful in many apioid local genera; review needed for Eryngium and Sanicula weighting.</x:v>
      </x:c>
      <x:c r="O118" s="215" t="str">
        <x:v>Moderate</x:v>
      </x:c>
      <x:c r="P118" s="215" t="str">
        <x:v>Yes</x:v>
      </x:c>
      <x:c r="Q118" s="215" t="str">
        <x:v>Carpophore expression varies among local lineages; validate genus-by-genus before weighting.</x:v>
      </x:c>
      <x:c r="R118" s="215" t="str"/>
      <x:c r="S118" s="215" t="str">
        <x:v>KEW-API-GI; APWEB-API; POWO-API</x:v>
      </x:c>
      <x:c r="T118" s="215" t="str">
        <x:v>https://www.mobot.org/MOBOT/research/apweb/orders/apialesweb.htm</x:v>
      </x:c>
      <x:c r="U118" s="215" t="str">
        <x:v>https://powo.science.kew.org/taxon/urn:lsid:ipni.org:names:30000180-2/general-information</x:v>
      </x:c>
      <x:c r="V118" s="215" t="str">
        <x:v>https://powo.science.kew.org/taxon/urn:lsid:ipni.org:names:30000180-2</x:v>
      </x:c>
      <x:c r="W118" s="215" t="str">
        <x:v>https://powo.science.kew.org/taxon/urn:lsid:ipni.org:names:30000180-2/general-information
https://www.mobot.org/MOBOT/research/apweb/orders/apialesweb.htm
https://powo.science.kew.org/taxon/urn:lsid:ipni.org:names:30000180-2</x:v>
      </x:c>
      <x:c r="X118" s="215" t="str">
        <x:v>No - retain qualifiers and exceptions</x:v>
      </x:c>
      <x:c r="Y118" s="215" t="str">
        <x:v>Yes</x:v>
      </x:c>
      <x:c r="Z118" s="215" t="str">
        <x:v>Human review required</x:v>
      </x:c>
      <x:c r="AA118" s="215" t="str">
        <x:v>Other qualified pattern</x:v>
      </x:c>
      <x:c r="AB118" s="215" t="str">
        <x:v>Positive diagnostic</x:v>
      </x:c>
      <x:c r="AC118" s="215" t="str">
        <x:v>Moderate</x:v>
      </x:c>
      <x:c r="AD118" s="215" t="str">
        <x:v>Hand lens / macro</x:v>
      </x:c>
      <x:c r="AE118" s="215" t="str">
        <x:v>Moderate</x:v>
      </x:c>
      <x:c r="AF118" s="215" t="str">
        <x:v>Use only after review</x:v>
      </x:c>
      <x:c r="AG118" s="215" t="str">
        <x:v>1 — Human review now</x:v>
      </x:c>
      <x:c r="AH118" s="215" t="str">
        <x:v>Current master inventory</x:v>
      </x:c>
    </x:row>
    <x:row r="119" ht="42" customHeight="1">
      <x:c r="A119" s="215" t="str">
        <x:v>Apiaceae</x:v>
      </x:c>
      <x:c r="B119" s="215" t="str">
        <x:v>API-RIBVIT</x:v>
      </x:c>
      <x:c r="C119" s="215" t="str">
        <x:v>Broad family tendency</x:v>
      </x:c>
      <x:c r="D119" s="215" t="str">
        <x:v>Fruit</x:v>
      </x:c>
      <x:c r="E119" s="215" t="str">
        <x:v>Mericarps commonly ribbed and may contain oil canals (vittae)</x:v>
      </x:c>
      <x:c r="F119" s="215" t="str">
        <x:v>Strong</x:v>
      </x:c>
      <x:c r="G119" s="215" t="str">
        <x:v>4</x:v>
      </x:c>
      <x:c r="H119" s="215" t="str">
        <x:v>Moderate</x:v>
      </x:c>
      <x:c r="I119" s="215" t="str">
        <x:v>Hand lens; section may require microscope</x:v>
      </x:c>
      <x:c r="J119" s="215" t="str">
        <x:v>Mature fruit</x:v>
      </x:c>
      <x:c r="K119" s="215" t="str">
        <x:v>Each fruit half often has five primary ribs, with oil canals between or beneath them.</x:v>
      </x:c>
      <x:c r="L119" s="215" t="str">
        <x:v>Ribs can be obscure, winged, corky, hooked, or spiny; vittae may be absent or visible only in cross-section.</x:v>
      </x:c>
      <x:c r="M119" s="215" t="str">
        <x:v>Excellent for genus and species work after family placement, but not a quick universal field mark.</x:v>
      </x:c>
      <x:c r="N119" s="215" t="str">
        <x:v>Highly relevant to Daucus, Polytaenia, Daucosma, Chaerophyllum, Vesper, and related genera.</x:v>
      </x:c>
      <x:c r="O119" s="215" t="str">
        <x:v>Moderate</x:v>
      </x:c>
      <x:c r="P119" s="215" t="str">
        <x:v>Yes</x:v>
      </x:c>
      <x:c r="Q119" s="215" t="str">
        <x:v>Fruit sections and genus-specific terminology should be reviewed before use in a mobile key.</x:v>
      </x:c>
      <x:c r="R119" s="215" t="str"/>
      <x:c r="S119" s="215" t="str">
        <x:v>KEW-API-GI; APWEB-API; POWO-API</x:v>
      </x:c>
      <x:c r="T119" s="215" t="str">
        <x:v>https://www.mobot.org/MOBOT/research/apweb/orders/apialesweb.htm</x:v>
      </x:c>
      <x:c r="U119" s="215" t="str">
        <x:v>https://powo.science.kew.org/taxon/urn:lsid:ipni.org:names:30000180-2/general-information</x:v>
      </x:c>
      <x:c r="V119" s="215" t="str">
        <x:v>https://powo.science.kew.org/taxon/urn:lsid:ipni.org:names:30000180-2</x:v>
      </x:c>
      <x:c r="W119" s="215" t="str">
        <x:v>https://powo.science.kew.org/taxon/urn:lsid:ipni.org:names:30000180-2/general-information
https://www.mobot.org/MOBOT/research/apweb/orders/apialesweb.htm
https://powo.science.kew.org/taxon/urn:lsid:ipni.org:names:30000180-2</x:v>
      </x:c>
      <x:c r="X119" s="215" t="str">
        <x:v>No - retain qualifiers and exceptions</x:v>
      </x:c>
      <x:c r="Y119" s="215" t="str">
        <x:v>Yes</x:v>
      </x:c>
      <x:c r="Z119" s="215" t="str">
        <x:v>Human review required</x:v>
      </x:c>
      <x:c r="AA119" s="215" t="str">
        <x:v>Family pattern</x:v>
      </x:c>
      <x:c r="AB119" s="215" t="str">
        <x:v>Positive diagnostic</x:v>
      </x:c>
      <x:c r="AC119" s="215" t="str">
        <x:v>Moderate</x:v>
      </x:c>
      <x:c r="AD119" s="215" t="str">
        <x:v>Microscope</x:v>
      </x:c>
      <x:c r="AE119" s="215" t="str">
        <x:v>Moderate</x:v>
      </x:c>
      <x:c r="AF119" s="215" t="str">
        <x:v>Use only after review</x:v>
      </x:c>
      <x:c r="AG119" s="215" t="str">
        <x:v>1 — Human review now</x:v>
      </x:c>
      <x:c r="AH119" s="215" t="str">
        <x:v>Current master inventory</x:v>
      </x:c>
    </x:row>
    <x:row r="120" ht="42" customHeight="1">
      <x:c r="A120" s="215" t="str">
        <x:v>Apiaceae</x:v>
      </x:c>
      <x:c r="B120" s="215" t="str">
        <x:v>API-SANIC</x:v>
      </x:c>
      <x:c r="C120" s="215" t="str">
        <x:v>Local subgroup: Eryngium and Sanicula</x:v>
      </x:c>
      <x:c r="D120" s="215" t="str">
        <x:v>Inflorescence and fruit</x:v>
      </x:c>
      <x:c r="E120" s="215" t="str">
        <x:v>Condensed head-like clusters and specialized bristly or prickly fruit route</x:v>
      </x:c>
      <x:c r="F120" s="215" t="str">
        <x:v>Subgroup</x:v>
      </x:c>
      <x:c r="G120" s="215" t="str">
        <x:v>4</x:v>
      </x:c>
      <x:c r="H120" s="215" t="str">
        <x:v>High within route</x:v>
      </x:c>
      <x:c r="I120" s="215" t="str">
        <x:v>Naked eye plus hand lens</x:v>
      </x:c>
      <x:c r="J120" s="215" t="str">
        <x:v>Flowering and fruiting</x:v>
      </x:c>
      <x:c r="K120" s="215" t="str">
        <x:v>Some local members look unlike a classic parsley umbel because flowers are packed into heads and fruits are armed or roughened.</x:v>
      </x:c>
      <x:c r="L120" s="215" t="str">
        <x:v>These characters do not apply to all Apiaceae and must not be exported to the apioid route.</x:v>
      </x:c>
      <x:c r="M120" s="215" t="str">
        <x:v>Prevents Eryngium and Sanicula from being rejected because a compound umbel is absent.</x:v>
      </x:c>
      <x:c r="N120" s="215" t="str">
        <x:v>Directly relevant to four local rows in Eryngium and Sanicula.</x:v>
      </x:c>
      <x:c r="O120" s="215" t="str">
        <x:v>Moderate</x:v>
      </x:c>
      <x:c r="P120" s="215" t="str">
        <x:v>Yes</x:v>
      </x:c>
      <x:c r="Q120" s="215" t="str">
        <x:v>Validate separate Eryngium and Sanicula character matrices; this row is only a routing rule.</x:v>
      </x:c>
      <x:c r="R120" s="215" t="str">
        <x:v>API-LK02</x:v>
      </x:c>
      <x:c r="S120" s="215" t="str">
        <x:v>KEW-API-GI; APWEB-API; POWO-API</x:v>
      </x:c>
      <x:c r="T120" s="215" t="str">
        <x:v>https://www.mobot.org/MOBOT/research/apweb/orders/apialesweb.htm</x:v>
      </x:c>
      <x:c r="U120" s="215" t="str">
        <x:v>https://powo.science.kew.org/taxon/urn:lsid:ipni.org:names:30000180-2/general-information</x:v>
      </x:c>
      <x:c r="V120" s="215" t="str">
        <x:v>https://powo.science.kew.org/taxon/urn:lsid:ipni.org:names:30000180-2</x:v>
      </x:c>
      <x:c r="W120" s="215" t="str">
        <x:v>https://powo.science.kew.org/taxon/urn:lsid:ipni.org:names:30000180-2/general-information
https://www.mobot.org/MOBOT/research/apweb/orders/apialesweb.htm
https://powo.science.kew.org/taxon/urn:lsid:ipni.org:names:30000180-2</x:v>
      </x:c>
      <x:c r="X120" s="215" t="str">
        <x:v>No - retain qualifiers and exceptions</x:v>
      </x:c>
      <x:c r="Y120" s="215" t="str">
        <x:v>Yes</x:v>
      </x:c>
      <x:c r="Z120" s="215" t="str">
        <x:v>Human review required</x:v>
      </x:c>
      <x:c r="AA120" s="215" t="str">
        <x:v>Local subgroup / route</x:v>
      </x:c>
      <x:c r="AB120" s="215" t="str">
        <x:v>Supporting / route</x:v>
      </x:c>
      <x:c r="AC120" s="215" t="str">
        <x:v>High</x:v>
      </x:c>
      <x:c r="AD120" s="215" t="str">
        <x:v>Hand lens / macro</x:v>
      </x:c>
      <x:c r="AE120" s="215" t="str">
        <x:v>Moderate</x:v>
      </x:c>
      <x:c r="AF120" s="215" t="str">
        <x:v>Use only after review</x:v>
      </x:c>
      <x:c r="AG120" s="215" t="str">
        <x:v>1 — Human review now</x:v>
      </x:c>
      <x:c r="AH120" s="215" t="str">
        <x:v>Current master inventory</x:v>
      </x:c>
    </x:row>
    <x:row r="121" ht="42" customHeight="1">
      <x:c r="A121" s="215" t="str">
        <x:v>Apiaceae</x:v>
      </x:c>
      <x:c r="B121" s="215" t="str">
        <x:v>API-SAFETY</x:v>
      </x:c>
      <x:c r="C121" s="215" t="str">
        <x:v>Observation rule</x:v>
      </x:c>
      <x:c r="D121" s="215" t="str">
        <x:v>Safety</x:v>
      </x:c>
      <x:c r="E121" s="215" t="str">
        <x:v>Do not taste an unknown umbellifer</x:v>
      </x:c>
      <x:c r="F121" s="215" t="str">
        <x:v>Caution</x:v>
      </x:c>
      <x:c r="G121" s="215" t="str">
        <x:v>0</x:v>
      </x:c>
      <x:c r="H121" s="215" t="str">
        <x:v>High</x:v>
      </x:c>
      <x:c r="I121" s="215" t="str">
        <x:v>Behavioral rule</x:v>
      </x:c>
      <x:c r="J121" s="215" t="str">
        <x:v>Any</x:v>
      </x:c>
      <x:c r="K121" s="215" t="str">
        <x:v>The family contains common foods and spices but also highly poisonous plants; taste is not an identification test.</x:v>
      </x:c>
      <x:c r="L121" s="215" t="str">
        <x:v>Risk depends on taxon and plant part, and toxic lookalikes may occur outside the family.</x:v>
      </x:c>
      <x:c r="M121" s="215" t="str">
        <x:v>Protects the user from relying on odor or flavor while keying small white-flowered herbs.</x:v>
      </x:c>
      <x:c r="N121" s="215" t="str">
        <x:v>Important for public and crew-facing field use.</x:v>
      </x:c>
      <x:c r="O121" s="215" t="str">
        <x:v>Low</x:v>
      </x:c>
      <x:c r="P121" s="215" t="str">
        <x:v>No</x:v>
      </x:c>
      <x:c r="Q121" s="215" t="str"/>
      <x:c r="R121" s="215" t="str"/>
      <x:c r="S121" s="215" t="str">
        <x:v>KEW-API-GI; POWO-API</x:v>
      </x:c>
      <x:c r="T121" s="215" t="str">
        <x:v>https://www.mobot.org/MOBOT/research/apweb/orders/apialesweb.htm</x:v>
      </x:c>
      <x:c r="U121" s="215" t="str">
        <x:v>https://powo.science.kew.org/taxon/urn:lsid:ipni.org:names:30000180-2/general-information</x:v>
      </x:c>
      <x:c r="V121" s="215" t="str">
        <x:v>https://powo.science.kew.org/taxon/urn:lsid:ipni.org:names:30000180-2</x:v>
      </x:c>
      <x:c r="W121" s="215" t="str">
        <x:v>https://powo.science.kew.org/taxon/urn:lsid:ipni.org:names:30000180-2/general-information
https://powo.science.kew.org/taxon/urn:lsid:ipni.org:names:30000180-2
https://www.mobot.org/MOBOT/research/apweb/orders/apialesweb.htm</x:v>
      </x:c>
      <x:c r="X121" s="215" t="str">
        <x:v>No - retain qualifiers and exceptions</x:v>
      </x:c>
      <x:c r="Y121" s="215" t="str">
        <x:v>Yes</x:v>
      </x:c>
      <x:c r="Z121" s="215" t="str">
        <x:v>Source-backed draft</x:v>
      </x:c>
      <x:c r="AA121" s="215" t="str">
        <x:v>Caution / method</x:v>
      </x:c>
      <x:c r="AB121" s="215" t="str">
        <x:v>Caution / negative rule</x:v>
      </x:c>
      <x:c r="AC121" s="215" t="str">
        <x:v>High</x:v>
      </x:c>
      <x:c r="AD121" s="215" t="str">
        <x:v>Reference / method</x:v>
      </x:c>
      <x:c r="AE121" s="215" t="str">
        <x:v>Low</x:v>
      </x:c>
      <x:c r="AF121" s="215" t="str">
        <x:v>Specialist / reference</x:v>
      </x:c>
      <x:c r="AG121" s="215" t="str">
        <x:v>4 — Context / caution</x:v>
      </x:c>
      <x:c r="AH121" s="215" t="str">
        <x:v>Current master inventory</x:v>
      </x:c>
    </x:row>
    <x:row r="122" ht="42" customHeight="1">
      <x:c r="A122" s="215" t="str">
        <x:v>Convolvulaceae</x:v>
      </x:c>
      <x:c r="B122" s="215" t="str">
        <x:v>CONV-HABIT</x:v>
      </x:c>
      <x:c r="C122" s="215" t="str">
        <x:v>Family-wide variation</x:v>
      </x:c>
      <x:c r="D122" s="215" t="str">
        <x:v>Habit</x:v>
      </x:c>
      <x:c r="E122" s="215" t="str">
        <x:v>Vines common, but trailing herbs, shrubs, and parasites also occur</x:v>
      </x:c>
      <x:c r="F122" s="215" t="str">
        <x:v>Caution</x:v>
      </x:c>
      <x:c r="G122" s="215" t="str">
        <x:v>0</x:v>
      </x:c>
      <x:c r="H122" s="215" t="str">
        <x:v>High</x:v>
      </x:c>
      <x:c r="I122" s="215" t="str">
        <x:v>Naked eye</x:v>
      </x:c>
      <x:c r="J122" s="215" t="str">
        <x:v>Any</x:v>
      </x:c>
      <x:c r="K122" s="215" t="str">
        <x:v>Many morning glories twine or trail, but the family contains several very different growth forms.</x:v>
      </x:c>
      <x:c r="L122" s="215" t="str">
        <x:v>Dichondra and Evolvulus are low and non-twining; Cuscuta is parasitic; erect or shrubby forms occur.</x:v>
      </x:c>
      <x:c r="M122" s="215" t="str">
        <x:v>Never require a climbing habit.</x:v>
      </x:c>
      <x:c r="N122" s="215" t="str">
        <x:v>All major exceptions occur in the Hays snapshot, so habit must be route-specific.</x:v>
      </x:c>
      <x:c r="O122" s="215" t="str">
        <x:v>Low</x:v>
      </x:c>
      <x:c r="P122" s="215" t="str">
        <x:v>No</x:v>
      </x:c>
      <x:c r="Q122" s="215" t="str"/>
      <x:c r="R122" s="215" t="str">
        <x:v>CONV-LK01; CONV-LK02</x:v>
      </x:c>
      <x:c r="S122" s="215" t="str">
        <x:v>APWEB-CONV; FNA-CONV; POWO-CONV</x:v>
      </x:c>
      <x:c r="T122" s="215" t="str">
        <x:v>https://www.mobot.org/mobot/research/APWeb/orders/solanalesweb.htm</x:v>
      </x:c>
      <x:c r="U122" s="215" t="str">
        <x:v>https://floranorthamerica.org/Convolvulaceae</x:v>
      </x:c>
      <x:c r="V122" s="215" t="str">
        <x:v>https://powo.science.kew.org/taxon/urn:lsid:ipni.org:names:30000547-2</x:v>
      </x:c>
      <x:c r="W122" s="215" t="str">
        <x:v>https://www.mobot.org/mobot/research/APWeb/orders/solanalesweb.htm
https://floranorthamerica.org/Convolvulaceae
https://powo.science.kew.org/taxon/urn:lsid:ipni.org:names:30000547-2</x:v>
      </x:c>
      <x:c r="X122" s="215" t="str">
        <x:v>No - retain qualifiers and exceptions</x:v>
      </x:c>
      <x:c r="Y122" s="215" t="str">
        <x:v>Yes</x:v>
      </x:c>
      <x:c r="Z122" s="215" t="str">
        <x:v>Source-backed draft</x:v>
      </x:c>
      <x:c r="AA122" s="215" t="str">
        <x:v>Family pattern</x:v>
      </x:c>
      <x:c r="AB122" s="215" t="str">
        <x:v>Caution / negative rule</x:v>
      </x:c>
      <x:c r="AC122" s="215" t="str">
        <x:v>High</x:v>
      </x:c>
      <x:c r="AD122" s="215" t="str">
        <x:v>Naked eye / field</x:v>
      </x:c>
      <x:c r="AE122" s="215" t="str">
        <x:v>Low</x:v>
      </x:c>
      <x:c r="AF122" s="215" t="str">
        <x:v>Field-ready draft</x:v>
      </x:c>
      <x:c r="AG122" s="215" t="str">
        <x:v>4 — Context / caution</x:v>
      </x:c>
      <x:c r="AH122" s="215" t="str">
        <x:v>Current master inventory</x:v>
      </x:c>
    </x:row>
    <x:row r="123" ht="42" customHeight="1">
      <x:c r="A123" s="215" t="str">
        <x:v>Convolvulaceae</x:v>
      </x:c>
      <x:c r="B123" s="215" t="str">
        <x:v>CONV-LEAF</x:v>
      </x:c>
      <x:c r="C123" s="215" t="str">
        <x:v>Broad family tendency</x:v>
      </x:c>
      <x:c r="D123" s="215" t="str">
        <x:v>Leaf</x:v>
      </x:c>
      <x:c r="E123" s="215" t="str">
        <x:v>Leaves usually alternate, simple, and without stipules</x:v>
      </x:c>
      <x:c r="F123" s="215" t="str">
        <x:v>Supporting</x:v>
      </x:c>
      <x:c r="G123" s="215" t="str">
        <x:v>2</x:v>
      </x:c>
      <x:c r="H123" s="215" t="str">
        <x:v>Moderate</x:v>
      </x:c>
      <x:c r="I123" s="215" t="str">
        <x:v>Naked eye</x:v>
      </x:c>
      <x:c r="J123" s="215" t="str">
        <x:v>Vegetative</x:v>
      </x:c>
      <x:c r="K123" s="215" t="str">
        <x:v>Typical leaves alternate along the stem and lack stipules at the petiole base.</x:v>
      </x:c>
      <x:c r="L123" s="215" t="str">
        <x:v>Leaves may be compound, deeply lobed, minute, scale-like, or absent in Cuscuta.</x:v>
      </x:c>
      <x:c r="M123" s="215" t="str">
        <x:v>Useful with flowers, not enough by itself.</x:v>
      </x:c>
      <x:c r="N123" s="215" t="str">
        <x:v>Fits Convolvulus, Ipomoea, Distimake, Dichondra, and Evolvulus; not useful for Cuscuta.</x:v>
      </x:c>
      <x:c r="O123" s="215" t="str">
        <x:v>Low</x:v>
      </x:c>
      <x:c r="P123" s="215" t="str">
        <x:v>No</x:v>
      </x:c>
      <x:c r="Q123" s="215" t="str"/>
      <x:c r="R123" s="215" t="str">
        <x:v>CONV-LK01; CONV-LK02</x:v>
      </x:c>
      <x:c r="S123" s="215" t="str">
        <x:v>FNA-CONV; APWEB-CONV; POWO-CONV</x:v>
      </x:c>
      <x:c r="T123" s="215" t="str">
        <x:v>https://www.mobot.org/mobot/research/APWeb/orders/solanalesweb.htm</x:v>
      </x:c>
      <x:c r="U123" s="215" t="str">
        <x:v>https://floranorthamerica.org/Convolvulaceae</x:v>
      </x:c>
      <x:c r="V123" s="215" t="str">
        <x:v>https://powo.science.kew.org/taxon/urn:lsid:ipni.org:names:30000547-2</x:v>
      </x:c>
      <x:c r="W123" s="215" t="str">
        <x:v>https://floranorthamerica.org/Convolvulaceae
https://www.mobot.org/mobot/research/APWeb/orders/solanalesweb.htm
https://powo.science.kew.org/taxon/urn:lsid:ipni.org:names:30000547-2</x:v>
      </x:c>
      <x:c r="X123" s="215" t="str">
        <x:v>No - retain qualifiers and exceptions</x:v>
      </x:c>
      <x:c r="Y123" s="215" t="str">
        <x:v>Yes</x:v>
      </x:c>
      <x:c r="Z123" s="215" t="str">
        <x:v>Source-backed draft</x:v>
      </x:c>
      <x:c r="AA123" s="215" t="str">
        <x:v>Family pattern</x:v>
      </x:c>
      <x:c r="AB123" s="215" t="str">
        <x:v>Supporting / route</x:v>
      </x:c>
      <x:c r="AC123" s="215" t="str">
        <x:v>Moderate</x:v>
      </x:c>
      <x:c r="AD123" s="215" t="str">
        <x:v>Naked eye / field</x:v>
      </x:c>
      <x:c r="AE123" s="215" t="str">
        <x:v>Low</x:v>
      </x:c>
      <x:c r="AF123" s="215" t="str">
        <x:v>Field-ready draft</x:v>
      </x:c>
      <x:c r="AG123" s="215" t="str">
        <x:v>4 — Context / caution</x:v>
      </x:c>
      <x:c r="AH123" s="215" t="str">
        <x:v>Current master inventory</x:v>
      </x:c>
    </x:row>
    <x:row r="124" ht="42" customHeight="1">
      <x:c r="A124" s="215" t="str">
        <x:v>Convolvulaceae</x:v>
      </x:c>
      <x:c r="B124" s="215" t="str">
        <x:v>CONV-LATEX</x:v>
      </x:c>
      <x:c r="C124" s="215" t="str">
        <x:v>Common, not universal</x:v>
      </x:c>
      <x:c r="D124" s="215" t="str">
        <x:v>Exudate</x:v>
      </x:c>
      <x:c r="E124" s="215" t="str">
        <x:v>Milky sap may be present</x:v>
      </x:c>
      <x:c r="F124" s="215" t="str">
        <x:v>Caution</x:v>
      </x:c>
      <x:c r="G124" s="215" t="str">
        <x:v>0</x:v>
      </x:c>
      <x:c r="H124" s="215" t="str">
        <x:v>Variable</x:v>
      </x:c>
      <x:c r="I124" s="215" t="str">
        <x:v>Naked eye on existing damage</x:v>
      </x:c>
      <x:c r="J124" s="215" t="str">
        <x:v>Vegetative</x:v>
      </x:c>
      <x:c r="K124" s="215" t="str">
        <x:v>Some family members release milky latex from damaged tissue.</x:v>
      </x:c>
      <x:c r="L124" s="215" t="str">
        <x:v>Latex is absent or inconspicuous in many members and common in unrelated families; do not cut plants solely to test it.</x:v>
      </x:c>
      <x:c r="M124" s="215" t="str">
        <x:v>A supporting clue only, never proof.</x:v>
      </x:c>
      <x:c r="N124" s="215" t="str">
        <x:v>Potentially helpful in typical local vines but not reliable in Cuscuta, Dichondra, or Evolvulus.</x:v>
      </x:c>
      <x:c r="O124" s="215" t="str">
        <x:v>Low</x:v>
      </x:c>
      <x:c r="P124" s="215" t="str">
        <x:v>No</x:v>
      </x:c>
      <x:c r="Q124" s="215" t="str"/>
      <x:c r="R124" s="215" t="str">
        <x:v>CONV-LK02</x:v>
      </x:c>
      <x:c r="S124" s="215" t="str">
        <x:v>APWEB-CONV; FNA-CONV; POWO-CONV</x:v>
      </x:c>
      <x:c r="T124" s="215" t="str">
        <x:v>https://www.mobot.org/mobot/research/APWeb/orders/solanalesweb.htm</x:v>
      </x:c>
      <x:c r="U124" s="215" t="str">
        <x:v>https://floranorthamerica.org/Convolvulaceae</x:v>
      </x:c>
      <x:c r="V124" s="215" t="str">
        <x:v>https://powo.science.kew.org/taxon/urn:lsid:ipni.org:names:30000547-2</x:v>
      </x:c>
      <x:c r="W124" s="215" t="str">
        <x:v>https://www.mobot.org/mobot/research/APWeb/orders/solanalesweb.htm
https://floranorthamerica.org/Convolvulaceae
https://powo.science.kew.org/taxon/urn:lsid:ipni.org:names:30000547-2</x:v>
      </x:c>
      <x:c r="X124" s="215" t="str">
        <x:v>No - retain qualifiers and exceptions</x:v>
      </x:c>
      <x:c r="Y124" s="215" t="str">
        <x:v>Yes</x:v>
      </x:c>
      <x:c r="Z124" s="215" t="str">
        <x:v>Source-backed draft</x:v>
      </x:c>
      <x:c r="AA124" s="215" t="str">
        <x:v>Other qualified pattern</x:v>
      </x:c>
      <x:c r="AB124" s="215" t="str">
        <x:v>Caution / negative rule</x:v>
      </x:c>
      <x:c r="AC124" s="215" t="str">
        <x:v>Variable</x:v>
      </x:c>
      <x:c r="AD124" s="215" t="str">
        <x:v>Naked eye / field</x:v>
      </x:c>
      <x:c r="AE124" s="215" t="str">
        <x:v>Low</x:v>
      </x:c>
      <x:c r="AF124" s="215" t="str">
        <x:v>Field-ready draft</x:v>
      </x:c>
      <x:c r="AG124" s="215" t="str">
        <x:v>4 — Context / caution</x:v>
      </x:c>
      <x:c r="AH124" s="215" t="str">
        <x:v>Current master inventory</x:v>
      </x:c>
    </x:row>
    <x:row r="125" ht="42" customHeight="1">
      <x:c r="A125" s="215" t="str">
        <x:v>Convolvulaceae</x:v>
      </x:c>
      <x:c r="B125" s="215" t="str">
        <x:v>CONV-CALYX</x:v>
      </x:c>
      <x:c r="C125" s="215" t="str">
        <x:v>Broad family suite</x:v>
      </x:c>
      <x:c r="D125" s="215" t="str">
        <x:v>Flower</x:v>
      </x:c>
      <x:c r="E125" s="215" t="str">
        <x:v>Five usually distinct sepals persist around the fruit</x:v>
      </x:c>
      <x:c r="F125" s="215" t="str">
        <x:v>Strong</x:v>
      </x:c>
      <x:c r="G125" s="215" t="str">
        <x:v>4</x:v>
      </x:c>
      <x:c r="H125" s="215" t="str">
        <x:v>High</x:v>
      </x:c>
      <x:c r="I125" s="215" t="str">
        <x:v>Naked eye or hand lens</x:v>
      </x:c>
      <x:c r="J125" s="215" t="str">
        <x:v>Flowering and fruiting</x:v>
      </x:c>
      <x:c r="K125" s="215" t="str">
        <x:v>The calyx commonly remains after the corolla falls; sepals may become dry, scarious, leathery, or enlarged.</x:v>
      </x:c>
      <x:c r="L125" s="215" t="str">
        <x:v>Sepals can be partly fused or unequal; minute Cuscuta flowers require magnification.</x:v>
      </x:c>
      <x:c r="M125" s="215" t="str">
        <x:v>The persistent separate calyx is a powerful clue when paired with the folded corolla.</x:v>
      </x:c>
      <x:c r="N125" s="215" t="str">
        <x:v>Useful across all local genera, including tiny Cuscuta material.</x:v>
      </x:c>
      <x:c r="O125" s="215" t="str">
        <x:v>Low</x:v>
      </x:c>
      <x:c r="P125" s="215" t="str">
        <x:v>No</x:v>
      </x:c>
      <x:c r="Q125" s="215" t="str"/>
      <x:c r="R125" s="215" t="str">
        <x:v>CONV-LK01; CONV-LK02</x:v>
      </x:c>
      <x:c r="S125" s="215" t="str">
        <x:v>APWEB-CONV; FNA-CONV; POWO-CONV</x:v>
      </x:c>
      <x:c r="T125" s="215" t="str">
        <x:v>https://www.mobot.org/mobot/research/APWeb/orders/solanalesweb.htm</x:v>
      </x:c>
      <x:c r="U125" s="215" t="str">
        <x:v>https://floranorthamerica.org/Convolvulaceae</x:v>
      </x:c>
      <x:c r="V125" s="215" t="str">
        <x:v>https://powo.science.kew.org/taxon/urn:lsid:ipni.org:names:30000547-2</x:v>
      </x:c>
      <x:c r="W125" s="215" t="str">
        <x:v>https://www.mobot.org/mobot/research/APWeb/orders/solanalesweb.htm
https://floranorthamerica.org/Convolvulaceae
https://powo.science.kew.org/taxon/urn:lsid:ipni.org:names:30000547-2</x:v>
      </x:c>
      <x:c r="X125" s="215" t="str">
        <x:v>No - retain qualifiers and exceptions</x:v>
      </x:c>
      <x:c r="Y125" s="215" t="str">
        <x:v>Yes</x:v>
      </x:c>
      <x:c r="Z125" s="215" t="str">
        <x:v>Source-backed draft</x:v>
      </x:c>
      <x:c r="AA125" s="215" t="str">
        <x:v>Family pattern</x:v>
      </x:c>
      <x:c r="AB125" s="215" t="str">
        <x:v>Positive diagnostic</x:v>
      </x:c>
      <x:c r="AC125" s="215" t="str">
        <x:v>High</x:v>
      </x:c>
      <x:c r="AD125" s="215" t="str">
        <x:v>Hand lens / macro</x:v>
      </x:c>
      <x:c r="AE125" s="215" t="str">
        <x:v>Low</x:v>
      </x:c>
      <x:c r="AF125" s="215" t="str">
        <x:v>Field-ready draft</x:v>
      </x:c>
      <x:c r="AG125" s="215" t="str">
        <x:v>2 — Field-photo priority</x:v>
      </x:c>
      <x:c r="AH125" s="215" t="str">
        <x:v>Current master inventory</x:v>
      </x:c>
    </x:row>
    <x:row r="126" ht="42" customHeight="1">
      <x:c r="A126" s="215" t="str">
        <x:v>Convolvulaceae</x:v>
      </x:c>
      <x:c r="B126" s="215" t="str">
        <x:v>CONV-COROLLA</x:v>
      </x:c>
      <x:c r="C126" s="215" t="str">
        <x:v>Broad family suite</x:v>
      </x:c>
      <x:c r="D126" s="215" t="str">
        <x:v>Corolla</x:v>
      </x:c>
      <x:c r="E126" s="215" t="str">
        <x:v>Petals fused into a plicate or induplicate corolla with visible fold bands</x:v>
      </x:c>
      <x:c r="F126" s="215" t="str">
        <x:v>Core</x:v>
      </x:c>
      <x:c r="G126" s="215" t="str">
        <x:v>5</x:v>
      </x:c>
      <x:c r="H126" s="215" t="str">
        <x:v>High</x:v>
      </x:c>
      <x:c r="I126" s="215" t="str">
        <x:v>Naked eye; hand lens for small flowers</x:v>
      </x:c>
      <x:c r="J126" s="215" t="str">
        <x:v>Flowering or mature bud</x:v>
      </x:c>
      <x:c r="K126" s="215" t="str">
        <x:v>The corolla is folded in bud, often leaving five darker or thicker bands down the open funnel, bell, or salver.</x:v>
      </x:c>
      <x:c r="L126" s="215" t="str">
        <x:v>Corolla shape and size vary greatly; Cuscuta flowers are tiny; damaged or old flowers may lose the visible bands.</x:v>
      </x:c>
      <x:c r="M126" s="215" t="str">
        <x:v>One of the fastest reliable family clues when combined with the persistent calyx.</x:v>
      </x:c>
      <x:c r="N126" s="215" t="str">
        <x:v>Strong in Convolvulus, Ipomoea, Distimake, Evolvulus, and Cuscuta; smaller in Dichondra.</x:v>
      </x:c>
      <x:c r="O126" s="215" t="str">
        <x:v>Low</x:v>
      </x:c>
      <x:c r="P126" s="215" t="str">
        <x:v>No</x:v>
      </x:c>
      <x:c r="Q126" s="215" t="str"/>
      <x:c r="R126" s="215" t="str">
        <x:v>CONV-LK01; CONV-LK02</x:v>
      </x:c>
      <x:c r="S126" s="215" t="str">
        <x:v>APWEB-CONV; FNA-CONV; POWO-CONV</x:v>
      </x:c>
      <x:c r="T126" s="215" t="str">
        <x:v>https://www.mobot.org/mobot/research/APWeb/orders/solanalesweb.htm</x:v>
      </x:c>
      <x:c r="U126" s="215" t="str">
        <x:v>https://floranorthamerica.org/Convolvulaceae</x:v>
      </x:c>
      <x:c r="V126" s="215" t="str">
        <x:v>https://powo.science.kew.org/taxon/urn:lsid:ipni.org:names:30000547-2</x:v>
      </x:c>
      <x:c r="W126" s="215" t="str">
        <x:v>https://www.mobot.org/mobot/research/APWeb/orders/solanalesweb.htm
https://floranorthamerica.org/Convolvulaceae
https://powo.science.kew.org/taxon/urn:lsid:ipni.org:names:30000547-2</x:v>
      </x:c>
      <x:c r="X126" s="215" t="str">
        <x:v>No - retain qualifiers and exceptions</x:v>
      </x:c>
      <x:c r="Y126" s="215" t="str">
        <x:v>Yes</x:v>
      </x:c>
      <x:c r="Z126" s="215" t="str">
        <x:v>Source-backed draft</x:v>
      </x:c>
      <x:c r="AA126" s="215" t="str">
        <x:v>Family pattern</x:v>
      </x:c>
      <x:c r="AB126" s="215" t="str">
        <x:v>Positive diagnostic</x:v>
      </x:c>
      <x:c r="AC126" s="215" t="str">
        <x:v>High</x:v>
      </x:c>
      <x:c r="AD126" s="215" t="str">
        <x:v>Hand lens / macro</x:v>
      </x:c>
      <x:c r="AE126" s="215" t="str">
        <x:v>Low</x:v>
      </x:c>
      <x:c r="AF126" s="215" t="str">
        <x:v>Field-ready draft</x:v>
      </x:c>
      <x:c r="AG126" s="215" t="str">
        <x:v>2 — Field-photo priority</x:v>
      </x:c>
      <x:c r="AH126" s="215" t="str">
        <x:v>Current master inventory</x:v>
      </x:c>
    </x:row>
    <x:row r="127" ht="42" customHeight="1">
      <x:c r="A127" s="215" t="str">
        <x:v>Convolvulaceae</x:v>
      </x:c>
      <x:c r="B127" s="215" t="str">
        <x:v>CONV-STAMEN</x:v>
      </x:c>
      <x:c r="C127" s="215" t="str">
        <x:v>Broad family suite</x:v>
      </x:c>
      <x:c r="D127" s="215" t="str">
        <x:v>Androecium</x:v>
      </x:c>
      <x:c r="E127" s="215" t="str">
        <x:v>Usually five stamens attached to the corolla tube</x:v>
      </x:c>
      <x:c r="F127" s="215" t="str">
        <x:v>Strong</x:v>
      </x:c>
      <x:c r="G127" s="215" t="str">
        <x:v>4</x:v>
      </x:c>
      <x:c r="H127" s="215" t="str">
        <x:v>High</x:v>
      </x:c>
      <x:c r="I127" s="215" t="str">
        <x:v>Hand lens</x:v>
      </x:c>
      <x:c r="J127" s="215" t="str">
        <x:v>Flowering</x:v>
      </x:c>
      <x:c r="K127" s="215" t="str">
        <x:v>The filaments arise from the inside of the fused corolla rather than directly from the receptacle.</x:v>
      </x:c>
      <x:c r="L127" s="215" t="str">
        <x:v>FNA records occasional three-stamen flowers; tiny flowers may be difficult to dissect.</x:v>
      </x:c>
      <x:c r="M127" s="215" t="str">
        <x:v>Confirms the corolla-based placement but also occurs in other sympetalous families.</x:v>
      </x:c>
      <x:c r="N127" s="215" t="str">
        <x:v>Applicable across local routes with appropriate magnification.</x:v>
      </x:c>
      <x:c r="O127" s="215" t="str">
        <x:v>Low</x:v>
      </x:c>
      <x:c r="P127" s="215" t="str">
        <x:v>No</x:v>
      </x:c>
      <x:c r="Q127" s="215" t="str"/>
      <x:c r="R127" s="215" t="str">
        <x:v>CONV-LK01; CONV-LK02</x:v>
      </x:c>
      <x:c r="S127" s="215" t="str">
        <x:v>FNA-CONV; APWEB-CONV; POWO-CONV</x:v>
      </x:c>
      <x:c r="T127" s="215" t="str">
        <x:v>https://www.mobot.org/mobot/research/APWeb/orders/solanalesweb.htm</x:v>
      </x:c>
      <x:c r="U127" s="215" t="str">
        <x:v>https://floranorthamerica.org/Convolvulaceae</x:v>
      </x:c>
      <x:c r="V127" s="215" t="str">
        <x:v>https://powo.science.kew.org/taxon/urn:lsid:ipni.org:names:30000547-2</x:v>
      </x:c>
      <x:c r="W127" s="215" t="str">
        <x:v>https://floranorthamerica.org/Convolvulaceae
https://www.mobot.org/mobot/research/APWeb/orders/solanalesweb.htm
https://powo.science.kew.org/taxon/urn:lsid:ipni.org:names:30000547-2</x:v>
      </x:c>
      <x:c r="X127" s="215" t="str">
        <x:v>No - retain qualifiers and exceptions</x:v>
      </x:c>
      <x:c r="Y127" s="215" t="str">
        <x:v>Yes</x:v>
      </x:c>
      <x:c r="Z127" s="215" t="str">
        <x:v>Source-backed draft</x:v>
      </x:c>
      <x:c r="AA127" s="215" t="str">
        <x:v>Family pattern</x:v>
      </x:c>
      <x:c r="AB127" s="215" t="str">
        <x:v>Positive diagnostic</x:v>
      </x:c>
      <x:c r="AC127" s="215" t="str">
        <x:v>High</x:v>
      </x:c>
      <x:c r="AD127" s="215" t="str">
        <x:v>Hand lens / macro</x:v>
      </x:c>
      <x:c r="AE127" s="215" t="str">
        <x:v>Low</x:v>
      </x:c>
      <x:c r="AF127" s="215" t="str">
        <x:v>Field-ready draft</x:v>
      </x:c>
      <x:c r="AG127" s="215" t="str">
        <x:v>2 — Field-photo priority</x:v>
      </x:c>
      <x:c r="AH127" s="215" t="str">
        <x:v>Current master inventory</x:v>
      </x:c>
    </x:row>
    <x:row r="128" ht="42" customHeight="1">
      <x:c r="A128" s="215" t="str">
        <x:v>Convolvulaceae</x:v>
      </x:c>
      <x:c r="B128" s="215" t="str">
        <x:v>CONV-OVARY</x:v>
      </x:c>
      <x:c r="C128" s="215" t="str">
        <x:v>Broad family suite</x:v>
      </x:c>
      <x:c r="D128" s="215" t="str">
        <x:v>Gynoecium</x:v>
      </x:c>
      <x:c r="E128" s="215" t="str">
        <x:v>Ovary superior, usually 1-4 locular</x:v>
      </x:c>
      <x:c r="F128" s="215" t="str">
        <x:v>Strong</x:v>
      </x:c>
      <x:c r="G128" s="215" t="str">
        <x:v>4</x:v>
      </x:c>
      <x:c r="H128" s="215" t="str">
        <x:v>Moderate to high</x:v>
      </x:c>
      <x:c r="I128" s="215" t="str">
        <x:v>Hand lens or dissection</x:v>
      </x:c>
      <x:c r="J128" s="215" t="str">
        <x:v>Flowering to young fruit</x:v>
      </x:c>
      <x:c r="K128" s="215" t="str">
        <x:v>The ovary sits above the attachment of the calyx and corolla and contains a small number of locules and ovules.</x:v>
      </x:c>
      <x:c r="L128" s="215" t="str">
        <x:v>Locule number varies; internal partitions can be difficult to interpret without sectioning.</x:v>
      </x:c>
      <x:c r="M128" s="215" t="str">
        <x:v>Helps separate the family from superficially similar inferior-ovary flowers.</x:v>
      </x:c>
      <x:c r="N128" s="215" t="str">
        <x:v>Useful across local genera but not a stand-alone diagnostic trait.</x:v>
      </x:c>
      <x:c r="O128" s="215" t="str">
        <x:v>Low</x:v>
      </x:c>
      <x:c r="P128" s="215" t="str">
        <x:v>No</x:v>
      </x:c>
      <x:c r="Q128" s="215" t="str"/>
      <x:c r="R128" s="215" t="str">
        <x:v>CONV-LK01</x:v>
      </x:c>
      <x:c r="S128" s="215" t="str">
        <x:v>FNA-CONV; APWEB-CONV; POWO-CONV</x:v>
      </x:c>
      <x:c r="T128" s="215" t="str">
        <x:v>https://www.mobot.org/mobot/research/APWeb/orders/solanalesweb.htm</x:v>
      </x:c>
      <x:c r="U128" s="215" t="str">
        <x:v>https://floranorthamerica.org/Convolvulaceae</x:v>
      </x:c>
      <x:c r="V128" s="215" t="str">
        <x:v>https://powo.science.kew.org/taxon/urn:lsid:ipni.org:names:30000547-2</x:v>
      </x:c>
      <x:c r="W128" s="215" t="str">
        <x:v>https://floranorthamerica.org/Convolvulaceae
https://www.mobot.org/mobot/research/APWeb/orders/solanalesweb.htm
https://powo.science.kew.org/taxon/urn:lsid:ipni.org:names:30000547-2</x:v>
      </x:c>
      <x:c r="X128" s="215" t="str">
        <x:v>No - retain qualifiers and exceptions</x:v>
      </x:c>
      <x:c r="Y128" s="215" t="str">
        <x:v>Yes</x:v>
      </x:c>
      <x:c r="Z128" s="215" t="str">
        <x:v>Source-backed draft</x:v>
      </x:c>
      <x:c r="AA128" s="215" t="str">
        <x:v>Family pattern</x:v>
      </x:c>
      <x:c r="AB128" s="215" t="str">
        <x:v>Positive diagnostic</x:v>
      </x:c>
      <x:c r="AC128" s="215" t="str">
        <x:v>Moderate</x:v>
      </x:c>
      <x:c r="AD128" s="215" t="str">
        <x:v>Dissection</x:v>
      </x:c>
      <x:c r="AE128" s="215" t="str">
        <x:v>Low</x:v>
      </x:c>
      <x:c r="AF128" s="215" t="str">
        <x:v>Dissection / close study</x:v>
      </x:c>
      <x:c r="AG128" s="215" t="str">
        <x:v>3 — Reference support</x:v>
      </x:c>
      <x:c r="AH128" s="215" t="str">
        <x:v>Current master inventory</x:v>
      </x:c>
    </x:row>
    <x:row r="129" ht="42" customHeight="1">
      <x:c r="A129" s="215" t="str">
        <x:v>Convolvulaceae</x:v>
      </x:c>
      <x:c r="B129" s="215" t="str">
        <x:v>CONV-STYLE</x:v>
      </x:c>
      <x:c r="C129" s="215" t="str">
        <x:v>Family-wide variable</x:v>
      </x:c>
      <x:c r="D129" s="215" t="str">
        <x:v>Gynoecium</x:v>
      </x:c>
      <x:c r="E129" s="215" t="str">
        <x:v>One or two styles with variable stigma form</x:v>
      </x:c>
      <x:c r="F129" s="215" t="str">
        <x:v>Supporting</x:v>
      </x:c>
      <x:c r="G129" s="215" t="str">
        <x:v>2</x:v>
      </x:c>
      <x:c r="H129" s="215" t="str">
        <x:v>Variable</x:v>
      </x:c>
      <x:c r="I129" s="215" t="str">
        <x:v>Hand lens</x:v>
      </x:c>
      <x:c r="J129" s="215" t="str">
        <x:v>Flowering</x:v>
      </x:c>
      <x:c r="K129" s="215" t="str">
        <x:v>Style number and stigma shape are important for routing within the family.</x:v>
      </x:c>
      <x:c r="L129" s="215" t="str">
        <x:v>The family is not uniform: Dichondra and Evolvulus differ strongly from typical one-style morning glories.</x:v>
      </x:c>
      <x:c r="M129" s="215" t="str">
        <x:v>Use to select a subgroup, not to define the whole family.</x:v>
      </x:c>
      <x:c r="N129" s="215" t="str">
        <x:v>Essential for separating Dichondra, Evolvulus, Convolvulus, and Ipomoea routes.</x:v>
      </x:c>
      <x:c r="O129" s="215" t="str">
        <x:v>Moderate</x:v>
      </x:c>
      <x:c r="P129" s="215" t="str">
        <x:v>Yes</x:v>
      </x:c>
      <x:c r="Q129" s="215" t="str">
        <x:v>Build a genus matrix before assigning positive or negative weights to style number.</x:v>
      </x:c>
      <x:c r="R129" s="215" t="str"/>
      <x:c r="S129" s="215" t="str">
        <x:v>FNA-CONV; APWEB-CONV; POWO-CONV</x:v>
      </x:c>
      <x:c r="T129" s="215" t="str">
        <x:v>https://www.mobot.org/mobot/research/APWeb/orders/solanalesweb.htm</x:v>
      </x:c>
      <x:c r="U129" s="215" t="str">
        <x:v>https://floranorthamerica.org/Convolvulaceae</x:v>
      </x:c>
      <x:c r="V129" s="215" t="str">
        <x:v>https://powo.science.kew.org/taxon/urn:lsid:ipni.org:names:30000547-2</x:v>
      </x:c>
      <x:c r="W129" s="215" t="str">
        <x:v>https://floranorthamerica.org/Convolvulaceae
https://www.mobot.org/mobot/research/APWeb/orders/solanalesweb.htm
https://powo.science.kew.org/taxon/urn:lsid:ipni.org:names:30000547-2</x:v>
      </x:c>
      <x:c r="X129" s="215" t="str">
        <x:v>No - retain qualifiers and exceptions</x:v>
      </x:c>
      <x:c r="Y129" s="215" t="str">
        <x:v>Yes</x:v>
      </x:c>
      <x:c r="Z129" s="215" t="str">
        <x:v>Human review required</x:v>
      </x:c>
      <x:c r="AA129" s="215" t="str">
        <x:v>Family pattern</x:v>
      </x:c>
      <x:c r="AB129" s="215" t="str">
        <x:v>Supporting / route</x:v>
      </x:c>
      <x:c r="AC129" s="215" t="str">
        <x:v>Variable</x:v>
      </x:c>
      <x:c r="AD129" s="215" t="str">
        <x:v>Hand lens / macro</x:v>
      </x:c>
      <x:c r="AE129" s="215" t="str">
        <x:v>Moderate</x:v>
      </x:c>
      <x:c r="AF129" s="215" t="str">
        <x:v>Use only after review</x:v>
      </x:c>
      <x:c r="AG129" s="215" t="str">
        <x:v>1 — Human review now</x:v>
      </x:c>
      <x:c r="AH129" s="215" t="str">
        <x:v>Current master inventory</x:v>
      </x:c>
    </x:row>
    <x:row r="130" ht="42" customHeight="1">
      <x:c r="A130" s="215" t="str">
        <x:v>Convolvulaceae</x:v>
      </x:c>
      <x:c r="B130" s="215" t="str">
        <x:v>CONV-FRUIT</x:v>
      </x:c>
      <x:c r="C130" s="215" t="str">
        <x:v>Broad family tendency</x:v>
      </x:c>
      <x:c r="D130" s="215" t="str">
        <x:v>Fruit and seed</x:v>
      </x:c>
      <x:c r="E130" s="215" t="str">
        <x:v>Fruit usually a few-seeded capsule with hard-coated seeds</x:v>
      </x:c>
      <x:c r="F130" s="215" t="str">
        <x:v>Strong</x:v>
      </x:c>
      <x:c r="G130" s="215" t="str">
        <x:v>4</x:v>
      </x:c>
      <x:c r="H130" s="215" t="str">
        <x:v>Moderate</x:v>
      </x:c>
      <x:c r="I130" s="215" t="str">
        <x:v>Naked eye or hand lens</x:v>
      </x:c>
      <x:c r="J130" s="215" t="str">
        <x:v>Mature fruit</x:v>
      </x:c>
      <x:c r="K130" s="215" t="str">
        <x:v>Typical fruits contain one to four, occasionally six, relatively large seeds and open by valves or irregularly.</x:v>
      </x:c>
      <x:c r="L130" s="215" t="str">
        <x:v>Dichondra fruits are indehiscent or shatter irregularly; some family fruits are berrylike or nutlike; Cuscuta fruit is small.</x:v>
      </x:c>
      <x:c r="M130" s="215" t="str">
        <x:v>Confirm after using the calyx and corolla suite.</x:v>
      </x:c>
      <x:c r="N130" s="215" t="str">
        <x:v>Relevant to typical morning glories; separate fruit routes are needed for Dichondra and Cuscuta.</x:v>
      </x:c>
      <x:c r="O130" s="215" t="str">
        <x:v>Low</x:v>
      </x:c>
      <x:c r="P130" s="215" t="str">
        <x:v>No</x:v>
      </x:c>
      <x:c r="Q130" s="215" t="str"/>
      <x:c r="R130" s="215" t="str">
        <x:v>CONV-LK01; CONV-LK02</x:v>
      </x:c>
      <x:c r="S130" s="215" t="str">
        <x:v>FNA-CONV; APWEB-CONV; POWO-CONV</x:v>
      </x:c>
      <x:c r="T130" s="215" t="str">
        <x:v>https://www.mobot.org/mobot/research/APWeb/orders/solanalesweb.htm</x:v>
      </x:c>
      <x:c r="U130" s="215" t="str">
        <x:v>https://floranorthamerica.org/Convolvulaceae</x:v>
      </x:c>
      <x:c r="V130" s="215" t="str">
        <x:v>https://powo.science.kew.org/taxon/urn:lsid:ipni.org:names:30000547-2</x:v>
      </x:c>
      <x:c r="W130" s="215" t="str">
        <x:v>https://floranorthamerica.org/Convolvulaceae
https://www.mobot.org/mobot/research/APWeb/orders/solanalesweb.htm
https://powo.science.kew.org/taxon/urn:lsid:ipni.org:names:30000547-2</x:v>
      </x:c>
      <x:c r="X130" s="215" t="str">
        <x:v>No - retain qualifiers and exceptions</x:v>
      </x:c>
      <x:c r="Y130" s="215" t="str">
        <x:v>Yes</x:v>
      </x:c>
      <x:c r="Z130" s="215" t="str">
        <x:v>Source-backed draft</x:v>
      </x:c>
      <x:c r="AA130" s="215" t="str">
        <x:v>Family pattern</x:v>
      </x:c>
      <x:c r="AB130" s="215" t="str">
        <x:v>Positive diagnostic</x:v>
      </x:c>
      <x:c r="AC130" s="215" t="str">
        <x:v>Moderate</x:v>
      </x:c>
      <x:c r="AD130" s="215" t="str">
        <x:v>Hand lens / macro</x:v>
      </x:c>
      <x:c r="AE130" s="215" t="str">
        <x:v>Low</x:v>
      </x:c>
      <x:c r="AF130" s="215" t="str">
        <x:v>Field-ready draft</x:v>
      </x:c>
      <x:c r="AG130" s="215" t="str">
        <x:v>2 — Field-photo priority</x:v>
      </x:c>
      <x:c r="AH130" s="215" t="str">
        <x:v>Current master inventory</x:v>
      </x:c>
    </x:row>
    <x:row r="131" ht="42" customHeight="1">
      <x:c r="A131" s="215" t="str">
        <x:v>Convolvulaceae</x:v>
      </x:c>
      <x:c r="B131" s="215" t="str">
        <x:v>CONV-CUSCUTA</x:v>
      </x:c>
      <x:c r="C131" s="215" t="str">
        <x:v>Local subgroup: Cuscuta</x:v>
      </x:c>
      <x:c r="D131" s="215" t="str">
        <x:v>Whole plant and flower</x:v>
      </x:c>
      <x:c r="E131" s="215" t="str">
        <x:v>Achlorophyllous parasitic twining threads with tiny flowers</x:v>
      </x:c>
      <x:c r="F131" s="215" t="str">
        <x:v>Subgroup</x:v>
      </x:c>
      <x:c r="G131" s="215" t="str">
        <x:v>5</x:v>
      </x:c>
      <x:c r="H131" s="215" t="str">
        <x:v>High</x:v>
      </x:c>
      <x:c r="I131" s="215" t="str">
        <x:v>Naked eye plus hand lens</x:v>
      </x:c>
      <x:c r="J131" s="215" t="str">
        <x:v>Flowering and fruiting</x:v>
      </x:c>
      <x:c r="K131" s="215" t="str">
        <x:v>Dodders are leafless or nearly leafless yellow, orange, or reddish strands attached to a host, bearing clusters of tiny convolvulaceous flowers.</x:v>
      </x:c>
      <x:c r="L131" s="215" t="str">
        <x:v>Vegetative strands alone may be confused with other filamentous material; species identification requires mature flowers and fruit.</x:v>
      </x:c>
      <x:c r="M131" s="215" t="str">
        <x:v>Routes the plant directly to Cuscuta without forcing typical leaf or large-corolla characters.</x:v>
      </x:c>
      <x:c r="N131" s="215" t="str">
        <x:v>Four local Cuscuta species make this a major Hays route.</x:v>
      </x:c>
      <x:c r="O131" s="215" t="str">
        <x:v>Low</x:v>
      </x:c>
      <x:c r="P131" s="215" t="str">
        <x:v>No</x:v>
      </x:c>
      <x:c r="Q131" s="215" t="str"/>
      <x:c r="R131" s="215" t="str"/>
      <x:c r="S131" s="215" t="str">
        <x:v>FNA-CONV; APWEB-CONV; POWO-CONV</x:v>
      </x:c>
      <x:c r="T131" s="215" t="str">
        <x:v>https://www.mobot.org/mobot/research/APWeb/orders/solanalesweb.htm</x:v>
      </x:c>
      <x:c r="U131" s="215" t="str">
        <x:v>https://floranorthamerica.org/Convolvulaceae</x:v>
      </x:c>
      <x:c r="V131" s="215" t="str">
        <x:v>https://powo.science.kew.org/taxon/urn:lsid:ipni.org:names:30000547-2</x:v>
      </x:c>
      <x:c r="W131" s="215" t="str">
        <x:v>https://floranorthamerica.org/Convolvulaceae
https://www.mobot.org/mobot/research/APWeb/orders/solanalesweb.htm
https://powo.science.kew.org/taxon/urn:lsid:ipni.org:names:30000547-2</x:v>
      </x:c>
      <x:c r="X131" s="215" t="str">
        <x:v>No - retain qualifiers and exceptions</x:v>
      </x:c>
      <x:c r="Y131" s="215" t="str">
        <x:v>Yes</x:v>
      </x:c>
      <x:c r="Z131" s="215" t="str">
        <x:v>Source-backed draft</x:v>
      </x:c>
      <x:c r="AA131" s="215" t="str">
        <x:v>Local subgroup / route</x:v>
      </x:c>
      <x:c r="AB131" s="215" t="str">
        <x:v>Supporting / route</x:v>
      </x:c>
      <x:c r="AC131" s="215" t="str">
        <x:v>High</x:v>
      </x:c>
      <x:c r="AD131" s="215" t="str">
        <x:v>Hand lens / macro</x:v>
      </x:c>
      <x:c r="AE131" s="215" t="str">
        <x:v>Low</x:v>
      </x:c>
      <x:c r="AF131" s="215" t="str">
        <x:v>Field-ready draft</x:v>
      </x:c>
      <x:c r="AG131" s="215" t="str">
        <x:v>2 — Field-photo priority</x:v>
      </x:c>
      <x:c r="AH131" s="215" t="str">
        <x:v>Current master inventory</x:v>
      </x:c>
    </x:row>
    <x:row r="132" ht="42" customHeight="1">
      <x:c r="A132" s="215" t="str">
        <x:v>Convolvulaceae</x:v>
      </x:c>
      <x:c r="B132" s="215" t="str">
        <x:v>CONV-DICH</x:v>
      </x:c>
      <x:c r="C132" s="215" t="str">
        <x:v>Local subgroup: Dichondra</x:v>
      </x:c>
      <x:c r="D132" s="215" t="str">
        <x:v>Habit, gynoecium, and fruit</x:v>
      </x:c>
      <x:c r="E132" s="215" t="str">
        <x:v>Creeping herb with two styles and a two-lobed indehiscent or irregularly shattering fruit</x:v>
      </x:c>
      <x:c r="F132" s="215" t="str">
        <x:v>Subgroup</x:v>
      </x:c>
      <x:c r="G132" s="215" t="str">
        <x:v>5</x:v>
      </x:c>
      <x:c r="H132" s="215" t="str">
        <x:v>High with flowers/fruit</x:v>
      </x:c>
      <x:c r="I132" s="215" t="str">
        <x:v>Hand lens</x:v>
      </x:c>
      <x:c r="J132" s="215" t="str">
        <x:v>Flowering and fruiting</x:v>
      </x:c>
      <x:c r="K132" s="215" t="str">
        <x:v>Dichondra forms low mats with small flowers; style insertion and the paired fruit lobes separate it from typical morning glories.</x:v>
      </x:c>
      <x:c r="L132" s="215" t="str">
        <x:v>Leaves alone can resemble unrelated kidney-shaped groundcovers; tiny reproductive parts are required.</x:v>
      </x:c>
      <x:c r="M132" s="215" t="str">
        <x:v>Prevents rejection of a non-twining, small-flowered family member.</x:v>
      </x:c>
      <x:c r="N132" s="215" t="str">
        <x:v>Directly applies to both local Dichondra rows.</x:v>
      </x:c>
      <x:c r="O132" s="215" t="str">
        <x:v>Low</x:v>
      </x:c>
      <x:c r="P132" s="215" t="str">
        <x:v>No</x:v>
      </x:c>
      <x:c r="Q132" s="215" t="str"/>
      <x:c r="R132" s="215" t="str"/>
      <x:c r="S132" s="215" t="str">
        <x:v>FNA-CONV; APWEB-CONV; POWO-CONV</x:v>
      </x:c>
      <x:c r="T132" s="215" t="str">
        <x:v>https://www.mobot.org/mobot/research/APWeb/orders/solanalesweb.htm</x:v>
      </x:c>
      <x:c r="U132" s="215" t="str">
        <x:v>https://floranorthamerica.org/Convolvulaceae</x:v>
      </x:c>
      <x:c r="V132" s="215" t="str">
        <x:v>https://powo.science.kew.org/taxon/urn:lsid:ipni.org:names:30000547-2</x:v>
      </x:c>
      <x:c r="W132" s="215" t="str">
        <x:v>https://floranorthamerica.org/Convolvulaceae
https://www.mobot.org/mobot/research/APWeb/orders/solanalesweb.htm
https://powo.science.kew.org/taxon/urn:lsid:ipni.org:names:30000547-2</x:v>
      </x:c>
      <x:c r="X132" s="215" t="str">
        <x:v>No - retain qualifiers and exceptions</x:v>
      </x:c>
      <x:c r="Y132" s="215" t="str">
        <x:v>Yes</x:v>
      </x:c>
      <x:c r="Z132" s="215" t="str">
        <x:v>Source-backed draft</x:v>
      </x:c>
      <x:c r="AA132" s="215" t="str">
        <x:v>Local subgroup / route</x:v>
      </x:c>
      <x:c r="AB132" s="215" t="str">
        <x:v>Supporting / route</x:v>
      </x:c>
      <x:c r="AC132" s="215" t="str">
        <x:v>Low</x:v>
      </x:c>
      <x:c r="AD132" s="215" t="str">
        <x:v>Hand lens / macro</x:v>
      </x:c>
      <x:c r="AE132" s="215" t="str">
        <x:v>Low</x:v>
      </x:c>
      <x:c r="AF132" s="215" t="str">
        <x:v>Field-ready draft</x:v>
      </x:c>
      <x:c r="AG132" s="215" t="str">
        <x:v>2 — Field-photo priority</x:v>
      </x:c>
      <x:c r="AH132" s="215" t="str">
        <x:v>Current master inventory</x:v>
      </x:c>
    </x:row>
    <x:row r="133" ht="42" customHeight="1">
      <x:c r="A133" s="215" t="str">
        <x:v>Convolvulaceae</x:v>
      </x:c>
      <x:c r="B133" s="215" t="str">
        <x:v>CONV-EVOL</x:v>
      </x:c>
      <x:c r="C133" s="215" t="str">
        <x:v>Local subgroup: Evolvulus</x:v>
      </x:c>
      <x:c r="D133" s="215" t="str">
        <x:v>Habit and gynoecium</x:v>
      </x:c>
      <x:c r="E133" s="215" t="str">
        <x:v>Low non-twining plant with two styles and four narrow stigma lobes</x:v>
      </x:c>
      <x:c r="F133" s="215" t="str">
        <x:v>Subgroup</x:v>
      </x:c>
      <x:c r="G133" s="215" t="str">
        <x:v>5</x:v>
      </x:c>
      <x:c r="H133" s="215" t="str">
        <x:v>High with flowers</x:v>
      </x:c>
      <x:c r="I133" s="215" t="str">
        <x:v>Hand lens</x:v>
      </x:c>
      <x:c r="J133" s="215" t="str">
        <x:v>Flowering</x:v>
      </x:c>
      <x:c r="K133" s="215" t="str">
        <x:v>Evolvulus usually stays low rather than twining and has a bifid style system with narrow stigma lobes.</x:v>
      </x:c>
      <x:c r="L133" s="215" t="str">
        <x:v>Species-level separation still needs hairs, leaf shape, calyx, and flower measurements.</x:v>
      </x:c>
      <x:c r="M133" s="215" t="str">
        <x:v>Separates local Evolvulus from Ipomoea, Convolvulus, and Dichondra.</x:v>
      </x:c>
      <x:c r="N133" s="215" t="str">
        <x:v>Directly applies to two local Evolvulus species.</x:v>
      </x:c>
      <x:c r="O133" s="215" t="str">
        <x:v>Low</x:v>
      </x:c>
      <x:c r="P133" s="215" t="str">
        <x:v>No</x:v>
      </x:c>
      <x:c r="Q133" s="215" t="str"/>
      <x:c r="R133" s="215" t="str"/>
      <x:c r="S133" s="215" t="str">
        <x:v>FNA-CONV; APWEB-CONV; POWO-CONV</x:v>
      </x:c>
      <x:c r="T133" s="215" t="str">
        <x:v>https://www.mobot.org/mobot/research/APWeb/orders/solanalesweb.htm</x:v>
      </x:c>
      <x:c r="U133" s="215" t="str">
        <x:v>https://floranorthamerica.org/Convolvulaceae</x:v>
      </x:c>
      <x:c r="V133" s="215" t="str">
        <x:v>https://powo.science.kew.org/taxon/urn:lsid:ipni.org:names:30000547-2</x:v>
      </x:c>
      <x:c r="W133" s="215" t="str">
        <x:v>https://floranorthamerica.org/Convolvulaceae
https://www.mobot.org/mobot/research/APWeb/orders/solanalesweb.htm
https://powo.science.kew.org/taxon/urn:lsid:ipni.org:names:30000547-2</x:v>
      </x:c>
      <x:c r="X133" s="215" t="str">
        <x:v>No - retain qualifiers and exceptions</x:v>
      </x:c>
      <x:c r="Y133" s="215" t="str">
        <x:v>Yes</x:v>
      </x:c>
      <x:c r="Z133" s="215" t="str">
        <x:v>Source-backed draft</x:v>
      </x:c>
      <x:c r="AA133" s="215" t="str">
        <x:v>Local subgroup / route</x:v>
      </x:c>
      <x:c r="AB133" s="215" t="str">
        <x:v>Supporting / route</x:v>
      </x:c>
      <x:c r="AC133" s="215" t="str">
        <x:v>Low</x:v>
      </x:c>
      <x:c r="AD133" s="215" t="str">
        <x:v>Hand lens / macro</x:v>
      </x:c>
      <x:c r="AE133" s="215" t="str">
        <x:v>Low</x:v>
      </x:c>
      <x:c r="AF133" s="215" t="str">
        <x:v>Field-ready draft</x:v>
      </x:c>
      <x:c r="AG133" s="215" t="str">
        <x:v>2 — Field-photo priority</x:v>
      </x:c>
      <x:c r="AH133" s="215" t="str">
        <x:v>Current master inventory</x:v>
      </x:c>
    </x:row>
    <x:row r="134" ht="42" customHeight="1">
      <x:c r="A134" s="215" t="str">
        <x:v>Convolvulaceae</x:v>
      </x:c>
      <x:c r="B134" s="215" t="str">
        <x:v>CONV-TYPICAL</x:v>
      </x:c>
      <x:c r="C134" s="215" t="str">
        <x:v>Local subgroup: Convolvulus, Ipomoea, Distimake</x:v>
      </x:c>
      <x:c r="D134" s="215" t="str">
        <x:v>Habit and flower</x:v>
      </x:c>
      <x:c r="E134" s="215" t="str">
        <x:v>Usually twining or trailing with a larger funnel- or bell-shaped corolla and one style</x:v>
      </x:c>
      <x:c r="F134" s="215" t="str">
        <x:v>Subgroup</x:v>
      </x:c>
      <x:c r="G134" s="215" t="str">
        <x:v>4</x:v>
      </x:c>
      <x:c r="H134" s="215" t="str">
        <x:v>Moderate to high</x:v>
      </x:c>
      <x:c r="I134" s="215" t="str">
        <x:v>Naked eye plus hand lens</x:v>
      </x:c>
      <x:c r="J134" s="215" t="str">
        <x:v>Flowering</x:v>
      </x:c>
      <x:c r="K134" s="215" t="str">
        <x:v>This route captures the familiar morning-glory form after Cuscuta, Dichondra, and Evolvulus have been excluded.</x:v>
      </x:c>
      <x:c r="L134" s="215" t="str">
        <x:v>Convolvulus can be prostrate; Distimake and Ipomoea vary in leaf and fruit; habit alone is not enough.</x:v>
      </x:c>
      <x:c r="M134" s="215" t="str">
        <x:v>Provides a practical local route, not a universal family definition.</x:v>
      </x:c>
      <x:c r="N134" s="215" t="str">
        <x:v>Applies to Convolvulus equitans, Distimake dissectus, and Ipomoea lindheimeri.</x:v>
      </x:c>
      <x:c r="O134" s="215" t="str">
        <x:v>Low</x:v>
      </x:c>
      <x:c r="P134" s="215" t="str">
        <x:v>No</x:v>
      </x:c>
      <x:c r="Q134" s="215" t="str"/>
      <x:c r="R134" s="215" t="str">
        <x:v>CONV-LK01; CONV-LK02</x:v>
      </x:c>
      <x:c r="S134" s="215" t="str">
        <x:v>FNA-CONV; APWEB-CONV; POWO-CONV</x:v>
      </x:c>
      <x:c r="T134" s="215" t="str">
        <x:v>https://www.mobot.org/mobot/research/APWeb/orders/solanalesweb.htm</x:v>
      </x:c>
      <x:c r="U134" s="215" t="str">
        <x:v>https://floranorthamerica.org/Convolvulaceae</x:v>
      </x:c>
      <x:c r="V134" s="215" t="str">
        <x:v>https://powo.science.kew.org/taxon/urn:lsid:ipni.org:names:30000547-2</x:v>
      </x:c>
      <x:c r="W134" s="215" t="str">
        <x:v>https://floranorthamerica.org/Convolvulaceae
https://www.mobot.org/mobot/research/APWeb/orders/solanalesweb.htm
https://powo.science.kew.org/taxon/urn:lsid:ipni.org:names:30000547-2</x:v>
      </x:c>
      <x:c r="X134" s="215" t="str">
        <x:v>No - retain qualifiers and exceptions</x:v>
      </x:c>
      <x:c r="Y134" s="215" t="str">
        <x:v>Yes</x:v>
      </x:c>
      <x:c r="Z134" s="215" t="str">
        <x:v>Source-backed draft</x:v>
      </x:c>
      <x:c r="AA134" s="215" t="str">
        <x:v>Local subgroup / route</x:v>
      </x:c>
      <x:c r="AB134" s="215" t="str">
        <x:v>Supporting / route</x:v>
      </x:c>
      <x:c r="AC134" s="215" t="str">
        <x:v>Moderate</x:v>
      </x:c>
      <x:c r="AD134" s="215" t="str">
        <x:v>Hand lens / macro</x:v>
      </x:c>
      <x:c r="AE134" s="215" t="str">
        <x:v>Low</x:v>
      </x:c>
      <x:c r="AF134" s="215" t="str">
        <x:v>Field-ready draft</x:v>
      </x:c>
      <x:c r="AG134" s="215" t="str">
        <x:v>2 — Field-photo priority</x:v>
      </x:c>
      <x:c r="AH134" s="215" t="str">
        <x:v>Current master inventory</x:v>
      </x:c>
    </x:row>
    <x:row r="135" ht="42" customHeight="1">
      <x:c r="A135" s="215" t="str">
        <x:v>Convolvulaceae</x:v>
      </x:c>
      <x:c r="B135" s="215" t="str">
        <x:v>CONV-SAFETY</x:v>
      </x:c>
      <x:c r="C135" s="215" t="str">
        <x:v>Observation rule</x:v>
      </x:c>
      <x:c r="D135" s="215" t="str">
        <x:v>Safety</x:v>
      </x:c>
      <x:c r="E135" s="215" t="str">
        <x:v>Do not taste seeds, sap, or roots</x:v>
      </x:c>
      <x:c r="F135" s="215" t="str">
        <x:v>Caution</x:v>
      </x:c>
      <x:c r="G135" s="215" t="str">
        <x:v>0</x:v>
      </x:c>
      <x:c r="H135" s="215" t="str">
        <x:v>High</x:v>
      </x:c>
      <x:c r="I135" s="215" t="str">
        <x:v>Behavioral rule</x:v>
      </x:c>
      <x:c r="J135" s="215" t="str">
        <x:v>Any</x:v>
      </x:c>
      <x:c r="K135" s="215" t="str">
        <x:v>Some family members contain strong bioactive compounds, and taste is not an identification character.</x:v>
      </x:c>
      <x:c r="L135" s="215" t="str">
        <x:v>Chemical content varies widely among taxa and tissues.</x:v>
      </x:c>
      <x:c r="M135" s="215" t="str">
        <x:v>Prevents unsafe confirmation attempts.</x:v>
      </x:c>
      <x:c r="N135" s="215" t="str">
        <x:v>Suitable for public field guidance.</x:v>
      </x:c>
      <x:c r="O135" s="215" t="str">
        <x:v>Low</x:v>
      </x:c>
      <x:c r="P135" s="215" t="str">
        <x:v>No</x:v>
      </x:c>
      <x:c r="Q135" s="215" t="str"/>
      <x:c r="R135" s="215" t="str"/>
      <x:c r="S135" s="215" t="str">
        <x:v>APWEB-CONV; FNA-CONV; POWO-CONV</x:v>
      </x:c>
      <x:c r="T135" s="215" t="str">
        <x:v>https://www.mobot.org/mobot/research/APWeb/orders/solanalesweb.htm</x:v>
      </x:c>
      <x:c r="U135" s="215" t="str">
        <x:v>https://floranorthamerica.org/Convolvulaceae</x:v>
      </x:c>
      <x:c r="V135" s="215" t="str">
        <x:v>https://powo.science.kew.org/taxon/urn:lsid:ipni.org:names:30000547-2</x:v>
      </x:c>
      <x:c r="W135" s="215" t="str">
        <x:v>https://www.mobot.org/mobot/research/APWeb/orders/solanalesweb.htm
https://floranorthamerica.org/Convolvulaceae
https://powo.science.kew.org/taxon/urn:lsid:ipni.org:names:30000547-2</x:v>
      </x:c>
      <x:c r="X135" s="215" t="str">
        <x:v>No - retain qualifiers and exceptions</x:v>
      </x:c>
      <x:c r="Y135" s="215" t="str">
        <x:v>Yes</x:v>
      </x:c>
      <x:c r="Z135" s="215" t="str">
        <x:v>Source-backed draft</x:v>
      </x:c>
      <x:c r="AA135" s="215" t="str">
        <x:v>Caution / method</x:v>
      </x:c>
      <x:c r="AB135" s="215" t="str">
        <x:v>Caution / negative rule</x:v>
      </x:c>
      <x:c r="AC135" s="215" t="str">
        <x:v>High</x:v>
      </x:c>
      <x:c r="AD135" s="215" t="str">
        <x:v>Reference / method</x:v>
      </x:c>
      <x:c r="AE135" s="215" t="str">
        <x:v>Low</x:v>
      </x:c>
      <x:c r="AF135" s="215" t="str">
        <x:v>Specialist / reference</x:v>
      </x:c>
      <x:c r="AG135" s="215" t="str">
        <x:v>4 — Context / caution</x:v>
      </x:c>
      <x:c r="AH135" s="215" t="str">
        <x:v>Current master inventory</x:v>
      </x:c>
    </x:row>
    <x:row r="136" ht="42" customHeight="1">
      <x:c r="A136" s="215" t="str">
        <x:v>Plantaginaceae</x:v>
      </x:c>
      <x:c r="B136" s="215" t="str">
        <x:v>PLANT-HETERO</x:v>
      </x:c>
      <x:c r="C136" s="215" t="str">
        <x:v>Family-wide</x:v>
      </x:c>
      <x:c r="D136" s="215" t="str">
        <x:v>Whole plant</x:v>
      </x:c>
      <x:c r="E136" s="215" t="str">
        <x:v>No single visible character suite covers every member</x:v>
      </x:c>
      <x:c r="F136" s="215" t="str">
        <x:v>Caution</x:v>
      </x:c>
      <x:c r="G136" s="215" t="str">
        <x:v>0</x:v>
      </x:c>
      <x:c r="H136" s="215" t="str">
        <x:v>High</x:v>
      </x:c>
      <x:c r="I136" s="215" t="str">
        <x:v>Naked eye</x:v>
      </x:c>
      <x:c r="J136" s="215" t="str">
        <x:v>Any</x:v>
      </x:c>
      <x:c r="K136" s="215" t="str">
        <x:v>The modern family combines very different plantains, penstemons, speedwells, toadflaxes, and wetland herbs.</x:v>
      </x:c>
      <x:c r="L136" s="215" t="str">
        <x:v>Even flower symmetry, stamen number, ovary position, placentation, and fruit type vary across the full family.</x:v>
      </x:c>
      <x:c r="M136" s="215" t="str">
        <x:v>The key must route by subgroup and may honestly stop at order or family when material is incomplete.</x:v>
      </x:c>
      <x:c r="N136" s="215" t="str">
        <x:v>Every major local lineage looks different, making this warning essential.</x:v>
      </x:c>
      <x:c r="O136" s="215" t="str">
        <x:v>Low</x:v>
      </x:c>
      <x:c r="P136" s="215" t="str">
        <x:v>No</x:v>
      </x:c>
      <x:c r="Q136" s="215" t="str"/>
      <x:c r="R136" s="215" t="str">
        <x:v>PLANT-LK01; PLANT-LK02; PLANT-LK03</x:v>
      </x:c>
      <x:c r="S136" s="215" t="str">
        <x:v>APWEB-LAM; FNA-PLANT; POWO-PLANT</x:v>
      </x:c>
      <x:c r="T136" s="215" t="str">
        <x:v>https://mobot.org/MOBOT/research/APweb/orders/lamialesweb.htm</x:v>
      </x:c>
      <x:c r="U136" s="215" t="str">
        <x:v>https://floranorthamerica.org/Plantaginaceae</x:v>
      </x:c>
      <x:c r="V136" s="215" t="str">
        <x:v>https://powo.science.kew.org/taxon/urn:lsid:ipni.org:names:30001136-2</x:v>
      </x:c>
      <x:c r="W136" s="215" t="str">
        <x:v>https://mobot.org/MOBOT/research/APweb/orders/lamialesweb.htm
https://floranorthamerica.org/Plantaginaceae
https://powo.science.kew.org/taxon/urn:lsid:ipni.org:names:30001136-2</x:v>
      </x:c>
      <x:c r="X136" s="215" t="str">
        <x:v>No - retain qualifiers and exceptions</x:v>
      </x:c>
      <x:c r="Y136" s="215" t="str">
        <x:v>Yes</x:v>
      </x:c>
      <x:c r="Z136" s="215" t="str">
        <x:v>Source-backed draft</x:v>
      </x:c>
      <x:c r="AA136" s="215" t="str">
        <x:v>Family pattern</x:v>
      </x:c>
      <x:c r="AB136" s="215" t="str">
        <x:v>Caution / negative rule</x:v>
      </x:c>
      <x:c r="AC136" s="215" t="str">
        <x:v>High</x:v>
      </x:c>
      <x:c r="AD136" s="215" t="str">
        <x:v>Naked eye / field</x:v>
      </x:c>
      <x:c r="AE136" s="215" t="str">
        <x:v>Low</x:v>
      </x:c>
      <x:c r="AF136" s="215" t="str">
        <x:v>Field-ready draft</x:v>
      </x:c>
      <x:c r="AG136" s="215" t="str">
        <x:v>4 — Context / caution</x:v>
      </x:c>
      <x:c r="AH136" s="215" t="str">
        <x:v>Current master inventory</x:v>
      </x:c>
    </x:row>
    <x:row r="137" ht="42" customHeight="1">
      <x:c r="A137" s="215" t="str">
        <x:v>Plantaginaceae</x:v>
      </x:c>
      <x:c r="B137" s="215" t="str">
        <x:v>PLANT-LEAF</x:v>
      </x:c>
      <x:c r="C137" s="215" t="str">
        <x:v>Broad family tendency</x:v>
      </x:c>
      <x:c r="D137" s="215" t="str">
        <x:v>Leaf</x:v>
      </x:c>
      <x:c r="E137" s="215" t="str">
        <x:v>Leaves simple and without stipules</x:v>
      </x:c>
      <x:c r="F137" s="215" t="str">
        <x:v>Supporting</x:v>
      </x:c>
      <x:c r="G137" s="215" t="str">
        <x:v>2</x:v>
      </x:c>
      <x:c r="H137" s="215" t="str">
        <x:v>Moderate</x:v>
      </x:c>
      <x:c r="I137" s="215" t="str">
        <x:v>Naked eye</x:v>
      </x:c>
      <x:c r="J137" s="215" t="str">
        <x:v>Vegetative</x:v>
      </x:c>
      <x:c r="K137" s="215" t="str">
        <x:v>Most local members have simple leaves and no stipules at the node.</x:v>
      </x:c>
      <x:c r="L137" s="215" t="str">
        <x:v>Leaves may be basal, alternate, opposite, subopposite, or whorled, and shape is highly variable.</x:v>
      </x:c>
      <x:c r="M137" s="215" t="str">
        <x:v>A useful supporting clue only after a subgroup route is suspected.</x:v>
      </x:c>
      <x:c r="N137" s="215" t="str">
        <x:v>Applies broadly across the local snapshot but does little by itself.</x:v>
      </x:c>
      <x:c r="O137" s="215" t="str">
        <x:v>Low</x:v>
      </x:c>
      <x:c r="P137" s="215" t="str">
        <x:v>No</x:v>
      </x:c>
      <x:c r="Q137" s="215" t="str"/>
      <x:c r="R137" s="215" t="str">
        <x:v>PLANT-LK01; PLANT-LK02</x:v>
      </x:c>
      <x:c r="S137" s="215" t="str">
        <x:v>FNA-PLANT; APWEB-LAM; POWO-PLANT</x:v>
      </x:c>
      <x:c r="T137" s="215" t="str">
        <x:v>https://mobot.org/MOBOT/research/APweb/orders/lamialesweb.htm</x:v>
      </x:c>
      <x:c r="U137" s="215" t="str">
        <x:v>https://floranorthamerica.org/Plantaginaceae</x:v>
      </x:c>
      <x:c r="V137" s="215" t="str">
        <x:v>https://powo.science.kew.org/taxon/urn:lsid:ipni.org:names:30001136-2</x:v>
      </x:c>
      <x:c r="W137" s="215" t="str">
        <x:v>https://floranorthamerica.org/Plantaginaceae
https://mobot.org/MOBOT/research/APweb/orders/lamialesweb.htm
https://powo.science.kew.org/taxon/urn:lsid:ipni.org:names:30001136-2</x:v>
      </x:c>
      <x:c r="X137" s="215" t="str">
        <x:v>No - retain qualifiers and exceptions</x:v>
      </x:c>
      <x:c r="Y137" s="215" t="str">
        <x:v>Yes</x:v>
      </x:c>
      <x:c r="Z137" s="215" t="str">
        <x:v>Source-backed draft</x:v>
      </x:c>
      <x:c r="AA137" s="215" t="str">
        <x:v>Family pattern</x:v>
      </x:c>
      <x:c r="AB137" s="215" t="str">
        <x:v>Supporting / route</x:v>
      </x:c>
      <x:c r="AC137" s="215" t="str">
        <x:v>Moderate</x:v>
      </x:c>
      <x:c r="AD137" s="215" t="str">
        <x:v>Naked eye / field</x:v>
      </x:c>
      <x:c r="AE137" s="215" t="str">
        <x:v>Low</x:v>
      </x:c>
      <x:c r="AF137" s="215" t="str">
        <x:v>Field-ready draft</x:v>
      </x:c>
      <x:c r="AG137" s="215" t="str">
        <x:v>4 — Context / caution</x:v>
      </x:c>
      <x:c r="AH137" s="215" t="str">
        <x:v>Current master inventory</x:v>
      </x:c>
    </x:row>
    <x:row r="138" ht="42" customHeight="1">
      <x:c r="A138" s="215" t="str">
        <x:v>Plantaginaceae</x:v>
      </x:c>
      <x:c r="B138" s="215" t="str">
        <x:v>PLANT-COROLLA</x:v>
      </x:c>
      <x:c r="C138" s="215" t="str">
        <x:v>Common, not universal</x:v>
      </x:c>
      <x:c r="D138" s="215" t="str">
        <x:v>Corolla</x:v>
      </x:c>
      <x:c r="E138" s="215" t="str">
        <x:v>Corolla commonly fused, 4- or 5-lobed, radial or bilateral</x:v>
      </x:c>
      <x:c r="F138" s="215" t="str">
        <x:v>Strong</x:v>
      </x:c>
      <x:c r="G138" s="215" t="str">
        <x:v>3</x:v>
      </x:c>
      <x:c r="H138" s="215" t="str">
        <x:v>Variable</x:v>
      </x:c>
      <x:c r="I138" s="215" t="str">
        <x:v>Naked eye or hand lens</x:v>
      </x:c>
      <x:c r="J138" s="215" t="str">
        <x:v>Flowering</x:v>
      </x:c>
      <x:c r="K138" s="215" t="str">
        <x:v>Many local genera have a tube or short fused base ending in four or five lobes.</x:v>
      </x:c>
      <x:c r="L138" s="215" t="str">
        <x:v>Corolla can be absent in other family lineages; symmetry and shape vary from rotate to strongly two-lipped.</x:v>
      </x:c>
      <x:c r="M138" s="215" t="str">
        <x:v>Use to enter a subgroup, not as family proof.</x:v>
      </x:c>
      <x:c r="N138" s="215" t="str">
        <x:v>Strong in Penstemon, Linaria, Maurandella, Veronica, Bacopa, Mecardonia, and Leucospora; Plantago flowers are very different.</x:v>
      </x:c>
      <x:c r="O138" s="215" t="str">
        <x:v>Low</x:v>
      </x:c>
      <x:c r="P138" s="215" t="str">
        <x:v>No</x:v>
      </x:c>
      <x:c r="Q138" s="215" t="str"/>
      <x:c r="R138" s="215" t="str">
        <x:v>PLANT-LK01; PLANT-LK02; PLANT-LK03</x:v>
      </x:c>
      <x:c r="S138" s="215" t="str">
        <x:v>FNA-PLANT; APWEB-LAM; POWO-PLANT</x:v>
      </x:c>
      <x:c r="T138" s="215" t="str">
        <x:v>https://mobot.org/MOBOT/research/APweb/orders/lamialesweb.htm</x:v>
      </x:c>
      <x:c r="U138" s="215" t="str">
        <x:v>https://floranorthamerica.org/Plantaginaceae</x:v>
      </x:c>
      <x:c r="V138" s="215" t="str">
        <x:v>https://powo.science.kew.org/taxon/urn:lsid:ipni.org:names:30001136-2</x:v>
      </x:c>
      <x:c r="W138" s="215" t="str">
        <x:v>https://floranorthamerica.org/Plantaginaceae
https://mobot.org/MOBOT/research/APweb/orders/lamialesweb.htm
https://powo.science.kew.org/taxon/urn:lsid:ipni.org:names:30001136-2</x:v>
      </x:c>
      <x:c r="X138" s="215" t="str">
        <x:v>No - retain qualifiers and exceptions</x:v>
      </x:c>
      <x:c r="Y138" s="215" t="str">
        <x:v>Yes</x:v>
      </x:c>
      <x:c r="Z138" s="215" t="str">
        <x:v>Source-backed draft</x:v>
      </x:c>
      <x:c r="AA138" s="215" t="str">
        <x:v>Other qualified pattern</x:v>
      </x:c>
      <x:c r="AB138" s="215" t="str">
        <x:v>Positive diagnostic</x:v>
      </x:c>
      <x:c r="AC138" s="215" t="str">
        <x:v>Variable</x:v>
      </x:c>
      <x:c r="AD138" s="215" t="str">
        <x:v>Hand lens / macro</x:v>
      </x:c>
      <x:c r="AE138" s="215" t="str">
        <x:v>Low</x:v>
      </x:c>
      <x:c r="AF138" s="215" t="str">
        <x:v>Field-ready draft</x:v>
      </x:c>
      <x:c r="AG138" s="215" t="str">
        <x:v>3 — Reference support</x:v>
      </x:c>
      <x:c r="AH138" s="215" t="str">
        <x:v>Current master inventory</x:v>
      </x:c>
    </x:row>
    <x:row r="139" ht="42" customHeight="1">
      <x:c r="A139" s="215" t="str">
        <x:v>Plantaginaceae</x:v>
      </x:c>
      <x:c r="B139" s="215" t="str">
        <x:v>PLANT-STAMEN</x:v>
      </x:c>
      <x:c r="C139" s="215" t="str">
        <x:v>Broad family variation</x:v>
      </x:c>
      <x:c r="D139" s="215" t="str">
        <x:v>Androecium</x:v>
      </x:c>
      <x:c r="E139" s="215" t="str">
        <x:v>Usually 2-4, sometimes 5, stamens; often attached to corolla</x:v>
      </x:c>
      <x:c r="F139" s="215" t="str">
        <x:v>Supporting</x:v>
      </x:c>
      <x:c r="G139" s="215" t="str">
        <x:v>3</x:v>
      </x:c>
      <x:c r="H139" s="215" t="str">
        <x:v>Variable</x:v>
      </x:c>
      <x:c r="I139" s="215" t="str">
        <x:v>Hand lens</x:v>
      </x:c>
      <x:c r="J139" s="215" t="str">
        <x:v>Flowering</x:v>
      </x:c>
      <x:c r="K139" s="215" t="str">
        <x:v>Stamen number and arrangement are powerful subgroup characters.</x:v>
      </x:c>
      <x:c r="L139" s="215" t="str">
        <x:v>Counts vary across tribes; some flowers have a staminode; noncorollate family members depart from the typical condition.</x:v>
      </x:c>
      <x:c r="M139" s="215" t="str">
        <x:v>Count only after choosing a route.</x:v>
      </x:c>
      <x:c r="N139" s="215" t="str">
        <x:v>Separates Veronica, Penstemon, and Antirrhineae-style local material.</x:v>
      </x:c>
      <x:c r="O139" s="215" t="str">
        <x:v>Moderate</x:v>
      </x:c>
      <x:c r="P139" s="215" t="str">
        <x:v>Yes</x:v>
      </x:c>
      <x:c r="Q139" s="215" t="str">
        <x:v>Weights must be route-specific because the same count cannot diagnose the entire family.</x:v>
      </x:c>
      <x:c r="R139" s="215" t="str"/>
      <x:c r="S139" s="215" t="str">
        <x:v>FNA-PLANT; APWEB-LAM; POWO-PLANT</x:v>
      </x:c>
      <x:c r="T139" s="215" t="str">
        <x:v>https://mobot.org/MOBOT/research/APweb/orders/lamialesweb.htm</x:v>
      </x:c>
      <x:c r="U139" s="215" t="str">
        <x:v>https://floranorthamerica.org/Plantaginaceae</x:v>
      </x:c>
      <x:c r="V139" s="215" t="str">
        <x:v>https://powo.science.kew.org/taxon/urn:lsid:ipni.org:names:30001136-2</x:v>
      </x:c>
      <x:c r="W139" s="215" t="str">
        <x:v>https://floranorthamerica.org/Plantaginaceae
https://mobot.org/MOBOT/research/APweb/orders/lamialesweb.htm
https://powo.science.kew.org/taxon/urn:lsid:ipni.org:names:30001136-2</x:v>
      </x:c>
      <x:c r="X139" s="215" t="str">
        <x:v>No - retain qualifiers and exceptions</x:v>
      </x:c>
      <x:c r="Y139" s="215" t="str">
        <x:v>Yes</x:v>
      </x:c>
      <x:c r="Z139" s="215" t="str">
        <x:v>Human review required</x:v>
      </x:c>
      <x:c r="AA139" s="215" t="str">
        <x:v>Family pattern</x:v>
      </x:c>
      <x:c r="AB139" s="215" t="str">
        <x:v>Supporting / route</x:v>
      </x:c>
      <x:c r="AC139" s="215" t="str">
        <x:v>Variable</x:v>
      </x:c>
      <x:c r="AD139" s="215" t="str">
        <x:v>Hand lens / macro</x:v>
      </x:c>
      <x:c r="AE139" s="215" t="str">
        <x:v>Moderate</x:v>
      </x:c>
      <x:c r="AF139" s="215" t="str">
        <x:v>Use only after review</x:v>
      </x:c>
      <x:c r="AG139" s="215" t="str">
        <x:v>1 — Human review now</x:v>
      </x:c>
      <x:c r="AH139" s="215" t="str">
        <x:v>Current master inventory</x:v>
      </x:c>
    </x:row>
    <x:row r="140" ht="42" customHeight="1">
      <x:c r="A140" s="215" t="str">
        <x:v>Plantaginaceae</x:v>
      </x:c>
      <x:c r="B140" s="215" t="str">
        <x:v>PLANT-OVARY</x:v>
      </x:c>
      <x:c r="C140" s="215" t="str">
        <x:v>Common, not universal</x:v>
      </x:c>
      <x:c r="D140" s="215" t="str">
        <x:v>Gynoecium</x:v>
      </x:c>
      <x:c r="E140" s="215" t="str">
        <x:v>Ovary usually superior and 2-carpellate</x:v>
      </x:c>
      <x:c r="F140" s="215" t="str">
        <x:v>Strong</x:v>
      </x:c>
      <x:c r="G140" s="215" t="str">
        <x:v>3</x:v>
      </x:c>
      <x:c r="H140" s="215" t="str">
        <x:v>Moderate</x:v>
      </x:c>
      <x:c r="I140" s="215" t="str">
        <x:v>Hand lens or dissection</x:v>
      </x:c>
      <x:c r="J140" s="215" t="str">
        <x:v>Flowering to young fruit</x:v>
      </x:c>
      <x:c r="K140" s="215" t="str">
        <x:v>Most local members have a superior ovary built from two carpels.</x:v>
      </x:c>
      <x:c r="L140" s="215" t="str">
        <x:v>FNA documents inferior or highly modified exceptions in other lineages; locule number and placentation vary.</x:v>
      </x:c>
      <x:c r="M140" s="215" t="str">
        <x:v>Supports broad family placement only when the subgroup flower matches.</x:v>
      </x:c>
      <x:c r="N140" s="215" t="str">
        <x:v>Expected in all current local genera, but internal structure differs.</x:v>
      </x:c>
      <x:c r="O140" s="215" t="str">
        <x:v>Low</x:v>
      </x:c>
      <x:c r="P140" s="215" t="str">
        <x:v>No</x:v>
      </x:c>
      <x:c r="Q140" s="215" t="str"/>
      <x:c r="R140" s="215" t="str">
        <x:v>PLANT-LK01; PLANT-LK02</x:v>
      </x:c>
      <x:c r="S140" s="215" t="str">
        <x:v>FNA-PLANT; APWEB-LAM; POWO-PLANT</x:v>
      </x:c>
      <x:c r="T140" s="215" t="str">
        <x:v>https://mobot.org/MOBOT/research/APweb/orders/lamialesweb.htm</x:v>
      </x:c>
      <x:c r="U140" s="215" t="str">
        <x:v>https://floranorthamerica.org/Plantaginaceae</x:v>
      </x:c>
      <x:c r="V140" s="215" t="str">
        <x:v>https://powo.science.kew.org/taxon/urn:lsid:ipni.org:names:30001136-2</x:v>
      </x:c>
      <x:c r="W140" s="215" t="str">
        <x:v>https://floranorthamerica.org/Plantaginaceae
https://mobot.org/MOBOT/research/APweb/orders/lamialesweb.htm
https://powo.science.kew.org/taxon/urn:lsid:ipni.org:names:30001136-2</x:v>
      </x:c>
      <x:c r="X140" s="215" t="str">
        <x:v>No - retain qualifiers and exceptions</x:v>
      </x:c>
      <x:c r="Y140" s="215" t="str">
        <x:v>Yes</x:v>
      </x:c>
      <x:c r="Z140" s="215" t="str">
        <x:v>Source-backed draft</x:v>
      </x:c>
      <x:c r="AA140" s="215" t="str">
        <x:v>Other qualified pattern</x:v>
      </x:c>
      <x:c r="AB140" s="215" t="str">
        <x:v>Positive diagnostic</x:v>
      </x:c>
      <x:c r="AC140" s="215" t="str">
        <x:v>Moderate</x:v>
      </x:c>
      <x:c r="AD140" s="215" t="str">
        <x:v>Dissection</x:v>
      </x:c>
      <x:c r="AE140" s="215" t="str">
        <x:v>Low</x:v>
      </x:c>
      <x:c r="AF140" s="215" t="str">
        <x:v>Dissection / close study</x:v>
      </x:c>
      <x:c r="AG140" s="215" t="str">
        <x:v>3 — Reference support</x:v>
      </x:c>
      <x:c r="AH140" s="215" t="str">
        <x:v>Current master inventory</x:v>
      </x:c>
    </x:row>
    <x:row r="141" ht="42" customHeight="1">
      <x:c r="A141" s="215" t="str">
        <x:v>Plantaginaceae</x:v>
      </x:c>
      <x:c r="B141" s="215" t="str">
        <x:v>PLANT-CAPSULE</x:v>
      </x:c>
      <x:c r="C141" s="215" t="str">
        <x:v>Common, not universal</x:v>
      </x:c>
      <x:c r="D141" s="215" t="str">
        <x:v>Fruit</x:v>
      </x:c>
      <x:c r="E141" s="215" t="str">
        <x:v>Capsule common, with several possible opening modes</x:v>
      </x:c>
      <x:c r="F141" s="215" t="str">
        <x:v>Supporting</x:v>
      </x:c>
      <x:c r="G141" s="215" t="str">
        <x:v>3</x:v>
      </x:c>
      <x:c r="H141" s="215" t="str">
        <x:v>Variable</x:v>
      </x:c>
      <x:c r="I141" s="215" t="str">
        <x:v>Naked eye or hand lens</x:v>
      </x:c>
      <x:c r="J141" s="215" t="str">
        <x:v>Mature fruit</x:v>
      </x:c>
      <x:c r="K141" s="215" t="str">
        <x:v>Many local members form dry capsules that open by locules, septa, pores, or a lid.</x:v>
      </x:c>
      <x:c r="L141" s="215" t="str">
        <x:v>The broad family also includes pyxides, nutlets, schizocarps, drupes, and drupelike fruits.</x:v>
      </x:c>
      <x:c r="M141" s="215" t="str">
        <x:v>Fruit type confirms the selected subgroup but cannot define the whole family.</x:v>
      </x:c>
      <x:c r="N141" s="215" t="str">
        <x:v>All local routes are dry-fruited, but Plantago pyxides differ from most others.</x:v>
      </x:c>
      <x:c r="O141" s="215" t="str">
        <x:v>Low</x:v>
      </x:c>
      <x:c r="P141" s="215" t="str">
        <x:v>No</x:v>
      </x:c>
      <x:c r="Q141" s="215" t="str"/>
      <x:c r="R141" s="215" t="str">
        <x:v>PLANT-LK01; PLANT-LK03</x:v>
      </x:c>
      <x:c r="S141" s="215" t="str">
        <x:v>FNA-PLANT; APWEB-LAM; POWO-PLANT</x:v>
      </x:c>
      <x:c r="T141" s="215" t="str">
        <x:v>https://mobot.org/MOBOT/research/APweb/orders/lamialesweb.htm</x:v>
      </x:c>
      <x:c r="U141" s="215" t="str">
        <x:v>https://floranorthamerica.org/Plantaginaceae</x:v>
      </x:c>
      <x:c r="V141" s="215" t="str">
        <x:v>https://powo.science.kew.org/taxon/urn:lsid:ipni.org:names:30001136-2</x:v>
      </x:c>
      <x:c r="W141" s="215" t="str">
        <x:v>https://floranorthamerica.org/Plantaginaceae
https://mobot.org/MOBOT/research/APweb/orders/lamialesweb.htm
https://powo.science.kew.org/taxon/urn:lsid:ipni.org:names:30001136-2</x:v>
      </x:c>
      <x:c r="X141" s="215" t="str">
        <x:v>No - retain qualifiers and exceptions</x:v>
      </x:c>
      <x:c r="Y141" s="215" t="str">
        <x:v>Yes</x:v>
      </x:c>
      <x:c r="Z141" s="215" t="str">
        <x:v>Source-backed draft</x:v>
      </x:c>
      <x:c r="AA141" s="215" t="str">
        <x:v>Other qualified pattern</x:v>
      </x:c>
      <x:c r="AB141" s="215" t="str">
        <x:v>Supporting / route</x:v>
      </x:c>
      <x:c r="AC141" s="215" t="str">
        <x:v>Variable</x:v>
      </x:c>
      <x:c r="AD141" s="215" t="str">
        <x:v>Hand lens / macro</x:v>
      </x:c>
      <x:c r="AE141" s="215" t="str">
        <x:v>Low</x:v>
      </x:c>
      <x:c r="AF141" s="215" t="str">
        <x:v>Field-ready draft</x:v>
      </x:c>
      <x:c r="AG141" s="215" t="str">
        <x:v>3 — Reference support</x:v>
      </x:c>
      <x:c r="AH141" s="215" t="str">
        <x:v>Current master inventory</x:v>
      </x:c>
    </x:row>
    <x:row r="142" ht="42" customHeight="1">
      <x:c r="A142" s="215" t="str">
        <x:v>Plantaginaceae</x:v>
      </x:c>
      <x:c r="B142" s="215" t="str">
        <x:v>PLANT-PLANTAGO-HAB</x:v>
      </x:c>
      <x:c r="C142" s="215" t="str">
        <x:v>Local subgroup: Plantago</x:v>
      </x:c>
      <x:c r="D142" s="215" t="str">
        <x:v>Habit and inflorescence</x:v>
      </x:c>
      <x:c r="E142" s="215" t="str">
        <x:v>Basal rosette with leafless or nearly leafless flower spikes</x:v>
      </x:c>
      <x:c r="F142" s="215" t="str">
        <x:v>Subgroup</x:v>
      </x:c>
      <x:c r="G142" s="215" t="str">
        <x:v>4</x:v>
      </x:c>
      <x:c r="H142" s="215" t="str">
        <x:v>High</x:v>
      </x:c>
      <x:c r="I142" s="215" t="str">
        <x:v>Naked eye</x:v>
      </x:c>
      <x:c r="J142" s="215" t="str">
        <x:v>Flowering</x:v>
      </x:c>
      <x:c r="K142" s="215" t="str">
        <x:v>Plantago often has all leaves at the base and sends up narrow spikes on stalks.</x:v>
      </x:c>
      <x:c r="L142" s="215" t="str">
        <x:v>Some plantains develop short stems; rosettes occur in many unrelated families.</x:v>
      </x:c>
      <x:c r="M142" s="215" t="str">
        <x:v>Routes to Plantago, then flower and fruit characters must confirm.</x:v>
      </x:c>
      <x:c r="N142" s="215" t="str">
        <x:v>Directly applies to Plantago helleri and P. rhodosperma.</x:v>
      </x:c>
      <x:c r="O142" s="215" t="str">
        <x:v>Low</x:v>
      </x:c>
      <x:c r="P142" s="215" t="str">
        <x:v>No</x:v>
      </x:c>
      <x:c r="Q142" s="215" t="str"/>
      <x:c r="R142" s="215" t="str"/>
      <x:c r="S142" s="215" t="str">
        <x:v>FNA-PLANT; POWO-PLANT</x:v>
      </x:c>
      <x:c r="T142" s="215" t="str">
        <x:v>https://mobot.org/MOBOT/research/APweb/orders/lamialesweb.htm</x:v>
      </x:c>
      <x:c r="U142" s="215" t="str">
        <x:v>https://floranorthamerica.org/Plantaginaceae</x:v>
      </x:c>
      <x:c r="V142" s="215" t="str">
        <x:v>https://powo.science.kew.org/taxon/urn:lsid:ipni.org:names:30001136-2</x:v>
      </x:c>
      <x:c r="W142" s="215" t="str">
        <x:v>https://floranorthamerica.org/Plantaginaceae
https://powo.science.kew.org/taxon/urn:lsid:ipni.org:names:30001136-2
https://mobot.org/MOBOT/research/APweb/orders/lamialesweb.htm</x:v>
      </x:c>
      <x:c r="X142" s="215" t="str">
        <x:v>No - retain qualifiers and exceptions</x:v>
      </x:c>
      <x:c r="Y142" s="215" t="str">
        <x:v>Yes</x:v>
      </x:c>
      <x:c r="Z142" s="215" t="str">
        <x:v>Source-backed draft</x:v>
      </x:c>
      <x:c r="AA142" s="215" t="str">
        <x:v>Local subgroup / route</x:v>
      </x:c>
      <x:c r="AB142" s="215" t="str">
        <x:v>Supporting / route</x:v>
      </x:c>
      <x:c r="AC142" s="215" t="str">
        <x:v>High</x:v>
      </x:c>
      <x:c r="AD142" s="215" t="str">
        <x:v>Naked eye / field</x:v>
      </x:c>
      <x:c r="AE142" s="215" t="str">
        <x:v>Low</x:v>
      </x:c>
      <x:c r="AF142" s="215" t="str">
        <x:v>Field-ready draft</x:v>
      </x:c>
      <x:c r="AG142" s="215" t="str">
        <x:v>2 — Field-photo priority</x:v>
      </x:c>
      <x:c r="AH142" s="215" t="str">
        <x:v>Current master inventory</x:v>
      </x:c>
    </x:row>
    <x:row r="143" ht="42" customHeight="1">
      <x:c r="A143" s="215" t="str">
        <x:v>Plantaginaceae</x:v>
      </x:c>
      <x:c r="B143" s="215" t="str">
        <x:v>PLANT-PLANTAGO-FLOWER</x:v>
      </x:c>
      <x:c r="C143" s="215" t="str">
        <x:v>Local subgroup: Plantago</x:v>
      </x:c>
      <x:c r="D143" s="215" t="str">
        <x:v>Flower</x:v>
      </x:c>
      <x:c r="E143" s="215" t="str">
        <x:v>Small usually 4-merous flowers with scarious corolla and exserted stamens</x:v>
      </x:c>
      <x:c r="F143" s="215" t="str">
        <x:v>Subgroup</x:v>
      </x:c>
      <x:c r="G143" s="215" t="str">
        <x:v>4</x:v>
      </x:c>
      <x:c r="H143" s="215" t="str">
        <x:v>High</x:v>
      </x:c>
      <x:c r="I143" s="215" t="str">
        <x:v>Hand lens</x:v>
      </x:c>
      <x:c r="J143" s="215" t="str">
        <x:v>Flowering</x:v>
      </x:c>
      <x:c r="K143" s="215" t="str">
        <x:v>The tiny flowers differ sharply from showy penstemons and speedwells and often expose their stamens for wind pollination.</x:v>
      </x:c>
      <x:c r="L143" s="215" t="str">
        <x:v>Exact sepal and stamen counts vary among species; immature spikes can be misleading.</x:v>
      </x:c>
      <x:c r="M143" s="215" t="str">
        <x:v>Confirms the Plantago route.</x:v>
      </x:c>
      <x:c r="N143" s="215" t="str">
        <x:v>Useful for both local Plantago species.</x:v>
      </x:c>
      <x:c r="O143" s="215" t="str">
        <x:v>Low</x:v>
      </x:c>
      <x:c r="P143" s="215" t="str">
        <x:v>No</x:v>
      </x:c>
      <x:c r="Q143" s="215" t="str"/>
      <x:c r="R143" s="215" t="str"/>
      <x:c r="S143" s="215" t="str">
        <x:v>FNA-PLANT; POWO-PLANT</x:v>
      </x:c>
      <x:c r="T143" s="215" t="str">
        <x:v>https://mobot.org/MOBOT/research/APweb/orders/lamialesweb.htm</x:v>
      </x:c>
      <x:c r="U143" s="215" t="str">
        <x:v>https://floranorthamerica.org/Plantaginaceae</x:v>
      </x:c>
      <x:c r="V143" s="215" t="str">
        <x:v>https://powo.science.kew.org/taxon/urn:lsid:ipni.org:names:30001136-2</x:v>
      </x:c>
      <x:c r="W143" s="215" t="str">
        <x:v>https://floranorthamerica.org/Plantaginaceae
https://powo.science.kew.org/taxon/urn:lsid:ipni.org:names:30001136-2
https://mobot.org/MOBOT/research/APweb/orders/lamialesweb.htm</x:v>
      </x:c>
      <x:c r="X143" s="215" t="str">
        <x:v>No - retain qualifiers and exceptions</x:v>
      </x:c>
      <x:c r="Y143" s="215" t="str">
        <x:v>Yes</x:v>
      </x:c>
      <x:c r="Z143" s="215" t="str">
        <x:v>Source-backed draft</x:v>
      </x:c>
      <x:c r="AA143" s="215" t="str">
        <x:v>Local subgroup / route</x:v>
      </x:c>
      <x:c r="AB143" s="215" t="str">
        <x:v>Supporting / route</x:v>
      </x:c>
      <x:c r="AC143" s="215" t="str">
        <x:v>High</x:v>
      </x:c>
      <x:c r="AD143" s="215" t="str">
        <x:v>Hand lens / macro</x:v>
      </x:c>
      <x:c r="AE143" s="215" t="str">
        <x:v>Low</x:v>
      </x:c>
      <x:c r="AF143" s="215" t="str">
        <x:v>Field-ready draft</x:v>
      </x:c>
      <x:c r="AG143" s="215" t="str">
        <x:v>2 — Field-photo priority</x:v>
      </x:c>
      <x:c r="AH143" s="215" t="str">
        <x:v>Current master inventory</x:v>
      </x:c>
    </x:row>
    <x:row r="144" ht="42" customHeight="1">
      <x:c r="A144" s="215" t="str">
        <x:v>Plantaginaceae</x:v>
      </x:c>
      <x:c r="B144" s="215" t="str">
        <x:v>PLANT-PLANTAGO-FRUIT</x:v>
      </x:c>
      <x:c r="C144" s="215" t="str">
        <x:v>Local subgroup: Plantago</x:v>
      </x:c>
      <x:c r="D144" s="215" t="str">
        <x:v>Fruit and placentation</x:v>
      </x:c>
      <x:c r="E144" s="215" t="str">
        <x:v>Pyxis opening by a lid; free-central placentation common</x:v>
      </x:c>
      <x:c r="F144" s="215" t="str">
        <x:v>Subgroup</x:v>
      </x:c>
      <x:c r="G144" s="215" t="str">
        <x:v>5</x:v>
      </x:c>
      <x:c r="H144" s="215" t="str">
        <x:v>High</x:v>
      </x:c>
      <x:c r="I144" s="215" t="str">
        <x:v>Hand lens</x:v>
      </x:c>
      <x:c r="J144" s="215" t="str">
        <x:v>Mature fruit</x:v>
      </x:c>
      <x:c r="K144" s="215" t="str">
        <x:v>The capsule opens around its middle like a tiny lidded box, exposing seeds around a central column.</x:v>
      </x:c>
      <x:c r="L144" s="215" t="str">
        <x:v>Some Plantago fruits and seed counts vary; an unopened fruit can resemble an ordinary capsule.</x:v>
      </x:c>
      <x:c r="M144" s="215" t="str">
        <x:v>A highly reliable local subgroup confirmation.</x:v>
      </x:c>
      <x:c r="N144" s="215" t="str">
        <x:v>Critical for Plantago species work.</x:v>
      </x:c>
      <x:c r="O144" s="215" t="str">
        <x:v>Low</x:v>
      </x:c>
      <x:c r="P144" s="215" t="str">
        <x:v>No</x:v>
      </x:c>
      <x:c r="Q144" s="215" t="str"/>
      <x:c r="R144" s="215" t="str"/>
      <x:c r="S144" s="215" t="str">
        <x:v>FNA-PLANT; APWEB-LAM; POWO-PLANT</x:v>
      </x:c>
      <x:c r="T144" s="215" t="str">
        <x:v>https://mobot.org/MOBOT/research/APweb/orders/lamialesweb.htm</x:v>
      </x:c>
      <x:c r="U144" s="215" t="str">
        <x:v>https://floranorthamerica.org/Plantaginaceae</x:v>
      </x:c>
      <x:c r="V144" s="215" t="str">
        <x:v>https://powo.science.kew.org/taxon/urn:lsid:ipni.org:names:30001136-2</x:v>
      </x:c>
      <x:c r="W144" s="215" t="str">
        <x:v>https://floranorthamerica.org/Plantaginaceae
https://mobot.org/MOBOT/research/APweb/orders/lamialesweb.htm
https://powo.science.kew.org/taxon/urn:lsid:ipni.org:names:30001136-2</x:v>
      </x:c>
      <x:c r="X144" s="215" t="str">
        <x:v>No - retain qualifiers and exceptions</x:v>
      </x:c>
      <x:c r="Y144" s="215" t="str">
        <x:v>Yes</x:v>
      </x:c>
      <x:c r="Z144" s="215" t="str">
        <x:v>Source-backed draft</x:v>
      </x:c>
      <x:c r="AA144" s="215" t="str">
        <x:v>Local subgroup / route</x:v>
      </x:c>
      <x:c r="AB144" s="215" t="str">
        <x:v>Supporting / route</x:v>
      </x:c>
      <x:c r="AC144" s="215" t="str">
        <x:v>High</x:v>
      </x:c>
      <x:c r="AD144" s="215" t="str">
        <x:v>Hand lens / macro</x:v>
      </x:c>
      <x:c r="AE144" s="215" t="str">
        <x:v>Low</x:v>
      </x:c>
      <x:c r="AF144" s="215" t="str">
        <x:v>Field-ready draft</x:v>
      </x:c>
      <x:c r="AG144" s="215" t="str">
        <x:v>2 — Field-photo priority</x:v>
      </x:c>
      <x:c r="AH144" s="215" t="str">
        <x:v>Current master inventory</x:v>
      </x:c>
    </x:row>
    <x:row r="145" ht="42" customHeight="1">
      <x:c r="A145" s="215" t="str">
        <x:v>Plantaginaceae</x:v>
      </x:c>
      <x:c r="B145" s="215" t="str">
        <x:v>PLANT-PENSTEMON</x:v>
      </x:c>
      <x:c r="C145" s="215" t="str">
        <x:v>Local subgroup: Penstemon</x:v>
      </x:c>
      <x:c r="D145" s="215" t="str">
        <x:v>Flower</x:v>
      </x:c>
      <x:c r="E145" s="215" t="str">
        <x:v>Bilateral tubular corolla with four didynamous stamens and a conspicuous staminode</x:v>
      </x:c>
      <x:c r="F145" s="215" t="str">
        <x:v>Subgroup</x:v>
      </x:c>
      <x:c r="G145" s="215" t="str">
        <x:v>5</x:v>
      </x:c>
      <x:c r="H145" s="215" t="str">
        <x:v>High</x:v>
      </x:c>
      <x:c r="I145" s="215" t="str">
        <x:v>Naked eye plus hand lens</x:v>
      </x:c>
      <x:c r="J145" s="215" t="str">
        <x:v>Flowering</x:v>
      </x:c>
      <x:c r="K145" s="215" t="str">
        <x:v>Penstemon typically has two long and two shorter fertile stamens plus a sterile fifth filament, often hairy.</x:v>
      </x:c>
      <x:c r="L145" s="215" t="str">
        <x:v>Staminode visibility and hairiness vary; other bilateral-flowered families can have four stamens.</x:v>
      </x:c>
      <x:c r="M145" s="215" t="str">
        <x:v>The full combination strongly routes to Penstemon.</x:v>
      </x:c>
      <x:c r="N145" s="215" t="str">
        <x:v>Directly applies to three local Penstemon species.</x:v>
      </x:c>
      <x:c r="O145" s="215" t="str">
        <x:v>Low</x:v>
      </x:c>
      <x:c r="P145" s="215" t="str">
        <x:v>No</x:v>
      </x:c>
      <x:c r="Q145" s="215" t="str"/>
      <x:c r="R145" s="215" t="str">
        <x:v>PLANT-LK01; PLANT-LK02</x:v>
      </x:c>
      <x:c r="S145" s="215" t="str">
        <x:v>FNA-PLANT; APWEB-LAM; POWO-PLANT</x:v>
      </x:c>
      <x:c r="T145" s="215" t="str">
        <x:v>https://mobot.org/MOBOT/research/APweb/orders/lamialesweb.htm</x:v>
      </x:c>
      <x:c r="U145" s="215" t="str">
        <x:v>https://floranorthamerica.org/Plantaginaceae</x:v>
      </x:c>
      <x:c r="V145" s="215" t="str">
        <x:v>https://powo.science.kew.org/taxon/urn:lsid:ipni.org:names:30001136-2</x:v>
      </x:c>
      <x:c r="W145" s="215" t="str">
        <x:v>https://floranorthamerica.org/Plantaginaceae
https://mobot.org/MOBOT/research/APweb/orders/lamialesweb.htm
https://powo.science.kew.org/taxon/urn:lsid:ipni.org:names:30001136-2</x:v>
      </x:c>
      <x:c r="X145" s="215" t="str">
        <x:v>No - retain qualifiers and exceptions</x:v>
      </x:c>
      <x:c r="Y145" s="215" t="str">
        <x:v>Yes</x:v>
      </x:c>
      <x:c r="Z145" s="215" t="str">
        <x:v>Source-backed draft</x:v>
      </x:c>
      <x:c r="AA145" s="215" t="str">
        <x:v>Local subgroup / route</x:v>
      </x:c>
      <x:c r="AB145" s="215" t="str">
        <x:v>Supporting / route</x:v>
      </x:c>
      <x:c r="AC145" s="215" t="str">
        <x:v>High</x:v>
      </x:c>
      <x:c r="AD145" s="215" t="str">
        <x:v>Hand lens / macro</x:v>
      </x:c>
      <x:c r="AE145" s="215" t="str">
        <x:v>Low</x:v>
      </x:c>
      <x:c r="AF145" s="215" t="str">
        <x:v>Field-ready draft</x:v>
      </x:c>
      <x:c r="AG145" s="215" t="str">
        <x:v>2 — Field-photo priority</x:v>
      </x:c>
      <x:c r="AH145" s="215" t="str">
        <x:v>Current master inventory</x:v>
      </x:c>
    </x:row>
    <x:row r="146" ht="42" customHeight="1">
      <x:c r="A146" s="215" t="str">
        <x:v>Plantaginaceae</x:v>
      </x:c>
      <x:c r="B146" s="215" t="str">
        <x:v>PLANT-ANTIRR</x:v>
      </x:c>
      <x:c r="C146" s="215" t="str">
        <x:v>Local subgroup: Linaria and Maurandella</x:v>
      </x:c>
      <x:c r="D146" s="215" t="str">
        <x:v>Corolla</x:v>
      </x:c>
      <x:c r="E146" s="215" t="str">
        <x:v>Corolla base spurred, saccate, or gibbous</x:v>
      </x:c>
      <x:c r="F146" s="215" t="str">
        <x:v>Subgroup</x:v>
      </x:c>
      <x:c r="G146" s="215" t="str">
        <x:v>5</x:v>
      </x:c>
      <x:c r="H146" s="215" t="str">
        <x:v>High</x:v>
      </x:c>
      <x:c r="I146" s="215" t="str">
        <x:v>Naked eye</x:v>
      </x:c>
      <x:c r="J146" s="215" t="str">
        <x:v>Flowering</x:v>
      </x:c>
      <x:c r="K146" s="215" t="str">
        <x:v>A backward-pointing spur or swollen sac at the base of a bilateral flower signals the antirrhine route.</x:v>
      </x:c>
      <x:c r="L146" s="215" t="str">
        <x:v>The swelling can be small or obscure, and unrelated flowers may also be spurred.</x:v>
      </x:c>
      <x:c r="M146" s="215" t="str">
        <x:v>Use with four stamens and capsule characters.</x:v>
      </x:c>
      <x:c r="N146" s="215" t="str">
        <x:v>Directly relevant to Linaria texana and Maurandella antirrhiniflora.</x:v>
      </x:c>
      <x:c r="O146" s="215" t="str">
        <x:v>Low</x:v>
      </x:c>
      <x:c r="P146" s="215" t="str">
        <x:v>No</x:v>
      </x:c>
      <x:c r="Q146" s="215" t="str"/>
      <x:c r="R146" s="215" t="str">
        <x:v>PLANT-LK03</x:v>
      </x:c>
      <x:c r="S146" s="215" t="str">
        <x:v>FNA-PLANT; APWEB-LAM; POWO-PLANT</x:v>
      </x:c>
      <x:c r="T146" s="215" t="str">
        <x:v>https://mobot.org/MOBOT/research/APweb/orders/lamialesweb.htm</x:v>
      </x:c>
      <x:c r="U146" s="215" t="str">
        <x:v>https://floranorthamerica.org/Plantaginaceae</x:v>
      </x:c>
      <x:c r="V146" s="215" t="str">
        <x:v>https://powo.science.kew.org/taxon/urn:lsid:ipni.org:names:30001136-2</x:v>
      </x:c>
      <x:c r="W146" s="215" t="str">
        <x:v>https://floranorthamerica.org/Plantaginaceae
https://mobot.org/MOBOT/research/APweb/orders/lamialesweb.htm
https://powo.science.kew.org/taxon/urn:lsid:ipni.org:names:30001136-2</x:v>
      </x:c>
      <x:c r="X146" s="215" t="str">
        <x:v>No - retain qualifiers and exceptions</x:v>
      </x:c>
      <x:c r="Y146" s="215" t="str">
        <x:v>Yes</x:v>
      </x:c>
      <x:c r="Z146" s="215" t="str">
        <x:v>Source-backed draft</x:v>
      </x:c>
      <x:c r="AA146" s="215" t="str">
        <x:v>Local subgroup / route</x:v>
      </x:c>
      <x:c r="AB146" s="215" t="str">
        <x:v>Supporting / route</x:v>
      </x:c>
      <x:c r="AC146" s="215" t="str">
        <x:v>High</x:v>
      </x:c>
      <x:c r="AD146" s="215" t="str">
        <x:v>Naked eye / field</x:v>
      </x:c>
      <x:c r="AE146" s="215" t="str">
        <x:v>Low</x:v>
      </x:c>
      <x:c r="AF146" s="215" t="str">
        <x:v>Field-ready draft</x:v>
      </x:c>
      <x:c r="AG146" s="215" t="str">
        <x:v>2 — Field-photo priority</x:v>
      </x:c>
      <x:c r="AH146" s="215" t="str">
        <x:v>Current master inventory</x:v>
      </x:c>
    </x:row>
    <x:row r="147" ht="42" customHeight="1">
      <x:c r="A147" s="215" t="str">
        <x:v>Plantaginaceae</x:v>
      </x:c>
      <x:c r="B147" s="215" t="str">
        <x:v>PLANT-VERONICA</x:v>
      </x:c>
      <x:c r="C147" s="215" t="str">
        <x:v>Local subgroup: Veronica</x:v>
      </x:c>
      <x:c r="D147" s="215" t="str">
        <x:v>Flower</x:v>
      </x:c>
      <x:c r="E147" s="215" t="str">
        <x:v>Rotate or short-tubed 4-lobed corolla with only two stamens</x:v>
      </x:c>
      <x:c r="F147" s="215" t="str">
        <x:v>Subgroup</x:v>
      </x:c>
      <x:c r="G147" s="215" t="str">
        <x:v>5</x:v>
      </x:c>
      <x:c r="H147" s="215" t="str">
        <x:v>High</x:v>
      </x:c>
      <x:c r="I147" s="215" t="str">
        <x:v>Naked eye or hand lens</x:v>
      </x:c>
      <x:c r="J147" s="215" t="str">
        <x:v>Flowering</x:v>
      </x:c>
      <x:c r="K147" s="215" t="str">
        <x:v>Speedwell flowers usually show two obvious stamens on a four-lobed corolla.</x:v>
      </x:c>
      <x:c r="L147" s="215" t="str">
        <x:v>The lowest corolla lobe may differ in size; tiny flowers can close or fall quickly.</x:v>
      </x:c>
      <x:c r="M147" s="215" t="str">
        <x:v>A strong local subgroup route.</x:v>
      </x:c>
      <x:c r="N147" s="215" t="str">
        <x:v>Directly applies to Veronica anagallis-aquatica.</x:v>
      </x:c>
      <x:c r="O147" s="215" t="str">
        <x:v>Low</x:v>
      </x:c>
      <x:c r="P147" s="215" t="str">
        <x:v>No</x:v>
      </x:c>
      <x:c r="Q147" s="215" t="str"/>
      <x:c r="R147" s="215" t="str">
        <x:v>PLANT-LK01</x:v>
      </x:c>
      <x:c r="S147" s="215" t="str">
        <x:v>FNA-PLANT; APWEB-LAM; POWO-PLANT</x:v>
      </x:c>
      <x:c r="T147" s="215" t="str">
        <x:v>https://mobot.org/MOBOT/research/APweb/orders/lamialesweb.htm</x:v>
      </x:c>
      <x:c r="U147" s="215" t="str">
        <x:v>https://floranorthamerica.org/Plantaginaceae</x:v>
      </x:c>
      <x:c r="V147" s="215" t="str">
        <x:v>https://powo.science.kew.org/taxon/urn:lsid:ipni.org:names:30001136-2</x:v>
      </x:c>
      <x:c r="W147" s="215" t="str">
        <x:v>https://floranorthamerica.org/Plantaginaceae
https://mobot.org/MOBOT/research/APweb/orders/lamialesweb.htm
https://powo.science.kew.org/taxon/urn:lsid:ipni.org:names:30001136-2</x:v>
      </x:c>
      <x:c r="X147" s="215" t="str">
        <x:v>No - retain qualifiers and exceptions</x:v>
      </x:c>
      <x:c r="Y147" s="215" t="str">
        <x:v>Yes</x:v>
      </x:c>
      <x:c r="Z147" s="215" t="str">
        <x:v>Source-backed draft</x:v>
      </x:c>
      <x:c r="AA147" s="215" t="str">
        <x:v>Local subgroup / route</x:v>
      </x:c>
      <x:c r="AB147" s="215" t="str">
        <x:v>Supporting / route</x:v>
      </x:c>
      <x:c r="AC147" s="215" t="str">
        <x:v>High</x:v>
      </x:c>
      <x:c r="AD147" s="215" t="str">
        <x:v>Hand lens / macro</x:v>
      </x:c>
      <x:c r="AE147" s="215" t="str">
        <x:v>Low</x:v>
      </x:c>
      <x:c r="AF147" s="215" t="str">
        <x:v>Field-ready draft</x:v>
      </x:c>
      <x:c r="AG147" s="215" t="str">
        <x:v>2 — Field-photo priority</x:v>
      </x:c>
      <x:c r="AH147" s="215" t="str">
        <x:v>Current master inventory</x:v>
      </x:c>
    </x:row>
    <x:row r="148" ht="42" customHeight="1">
      <x:c r="A148" s="215" t="str">
        <x:v>Plantaginaceae</x:v>
      </x:c>
      <x:c r="B148" s="215" t="str">
        <x:v>PLANT-GRATIO</x:v>
      </x:c>
      <x:c r="C148" s="215" t="str">
        <x:v>Local subgroup: Bacopa, Mecardonia, Leucospora</x:v>
      </x:c>
      <x:c r="D148" s="215" t="str">
        <x:v>Habit, flower, and fruit</x:v>
      </x:c>
      <x:c r="E148" s="215" t="str">
        <x:v>Small herbs, often in moist places, with 4-5-lobed corollas and capsules</x:v>
      </x:c>
      <x:c r="F148" s="215" t="str">
        <x:v>Subgroup</x:v>
      </x:c>
      <x:c r="G148" s="215" t="str">
        <x:v>3</x:v>
      </x:c>
      <x:c r="H148" s="215" t="str">
        <x:v>Moderate</x:v>
      </x:c>
      <x:c r="I148" s="215" t="str">
        <x:v>Naked eye plus hand lens</x:v>
      </x:c>
      <x:c r="J148" s="215" t="str">
        <x:v>Flowering and fruiting</x:v>
      </x:c>
      <x:c r="K148" s="215" t="str">
        <x:v>These genera form a practical local route separate from Plantago, Penstemon, antirrhines, and Veronica.</x:v>
      </x:c>
      <x:c r="L148" s="215" t="str">
        <x:v>Moist habitat is not universal and must not be used as proof; flower and capsule details differ by genus.</x:v>
      </x:c>
      <x:c r="M148" s="215" t="str">
        <x:v>A routing bundle only; genus identification needs a dedicated matrix.</x:v>
      </x:c>
      <x:c r="N148" s="215" t="str">
        <x:v>Directly applies to Bacopa, Mecardonia, and Leucospora local rows.</x:v>
      </x:c>
      <x:c r="O148" s="215" t="str">
        <x:v>Moderate</x:v>
      </x:c>
      <x:c r="P148" s="215" t="str">
        <x:v>Yes</x:v>
      </x:c>
      <x:c r="Q148" s="215" t="str">
        <x:v>This broad route needs genus-level validation before deployment.</x:v>
      </x:c>
      <x:c r="R148" s="215" t="str">
        <x:v>PLANT-LK01; PLANT-LK03</x:v>
      </x:c>
      <x:c r="S148" s="215" t="str">
        <x:v>FNA-PLANT; APWEB-LAM; POWO-PLANT</x:v>
      </x:c>
      <x:c r="T148" s="215" t="str">
        <x:v>https://mobot.org/MOBOT/research/APweb/orders/lamialesweb.htm</x:v>
      </x:c>
      <x:c r="U148" s="215" t="str">
        <x:v>https://floranorthamerica.org/Plantaginaceae</x:v>
      </x:c>
      <x:c r="V148" s="215" t="str">
        <x:v>https://powo.science.kew.org/taxon/urn:lsid:ipni.org:names:30001136-2</x:v>
      </x:c>
      <x:c r="W148" s="215" t="str">
        <x:v>https://floranorthamerica.org/Plantaginaceae
https://mobot.org/MOBOT/research/APweb/orders/lamialesweb.htm
https://powo.science.kew.org/taxon/urn:lsid:ipni.org:names:30001136-2</x:v>
      </x:c>
      <x:c r="X148" s="215" t="str">
        <x:v>No - retain qualifiers and exceptions</x:v>
      </x:c>
      <x:c r="Y148" s="215" t="str">
        <x:v>Yes</x:v>
      </x:c>
      <x:c r="Z148" s="215" t="str">
        <x:v>Human review required</x:v>
      </x:c>
      <x:c r="AA148" s="215" t="str">
        <x:v>Local subgroup / route</x:v>
      </x:c>
      <x:c r="AB148" s="215" t="str">
        <x:v>Supporting / route</x:v>
      </x:c>
      <x:c r="AC148" s="215" t="str">
        <x:v>Moderate</x:v>
      </x:c>
      <x:c r="AD148" s="215" t="str">
        <x:v>Hand lens / macro</x:v>
      </x:c>
      <x:c r="AE148" s="215" t="str">
        <x:v>Moderate</x:v>
      </x:c>
      <x:c r="AF148" s="215" t="str">
        <x:v>Use only after review</x:v>
      </x:c>
      <x:c r="AG148" s="215" t="str">
        <x:v>1 — Human review now</x:v>
      </x:c>
      <x:c r="AH148" s="215" t="str">
        <x:v>Current master inventory</x:v>
      </x:c>
    </x:row>
    <x:row r="149" ht="42" customHeight="1">
      <x:c r="A149" s="215" t="str">
        <x:v>Plantaginaceae</x:v>
      </x:c>
      <x:c r="B149" s="215" t="str">
        <x:v>PLANT-OPPOSITE</x:v>
      </x:c>
      <x:c r="C149" s="215" t="str">
        <x:v>Family-wide warning</x:v>
      </x:c>
      <x:c r="D149" s="215" t="str">
        <x:v>Leaf arrangement</x:v>
      </x:c>
      <x:c r="E149" s="215" t="str">
        <x:v>Opposite leaves are common in some routes but not family-wide</x:v>
      </x:c>
      <x:c r="F149" s="215" t="str">
        <x:v>Caution</x:v>
      </x:c>
      <x:c r="G149" s="215" t="str">
        <x:v>0</x:v>
      </x:c>
      <x:c r="H149" s="215" t="str">
        <x:v>High</x:v>
      </x:c>
      <x:c r="I149" s="215" t="str">
        <x:v>Naked eye</x:v>
      </x:c>
      <x:c r="J149" s="215" t="str">
        <x:v>Vegetative</x:v>
      </x:c>
      <x:c r="K149" s="215" t="str">
        <x:v>Several local genera have opposite leaves, which can suggest Acanthaceae, Lamiaceae, or Verbenaceae.</x:v>
      </x:c>
      <x:c r="L149" s="215" t="str">
        <x:v>Plantago is basal-rosetted; other family members can be alternate or whorled.</x:v>
      </x:c>
      <x:c r="M149" s="215" t="str">
        <x:v>Prevents false family assignments from leaf arrangement alone.</x:v>
      </x:c>
      <x:c r="N149" s="215" t="str">
        <x:v>Especially important for Bacopa, Mecardonia, Penstemon, and Veronica.</x:v>
      </x:c>
      <x:c r="O149" s="215" t="str">
        <x:v>Low</x:v>
      </x:c>
      <x:c r="P149" s="215" t="str">
        <x:v>No</x:v>
      </x:c>
      <x:c r="Q149" s="215" t="str"/>
      <x:c r="R149" s="215" t="str">
        <x:v>PLANT-LK01; PLANT-LK02; PLANT-LK03</x:v>
      </x:c>
      <x:c r="S149" s="215" t="str">
        <x:v>FNA-PLANT; APWEB-LAM; POWO-PLANT</x:v>
      </x:c>
      <x:c r="T149" s="215" t="str">
        <x:v>https://mobot.org/MOBOT/research/APweb/orders/lamialesweb.htm</x:v>
      </x:c>
      <x:c r="U149" s="215" t="str">
        <x:v>https://floranorthamerica.org/Plantaginaceae</x:v>
      </x:c>
      <x:c r="V149" s="215" t="str">
        <x:v>https://powo.science.kew.org/taxon/urn:lsid:ipni.org:names:30001136-2</x:v>
      </x:c>
      <x:c r="W149" s="215" t="str">
        <x:v>https://floranorthamerica.org/Plantaginaceae
https://mobot.org/MOBOT/research/APweb/orders/lamialesweb.htm
https://powo.science.kew.org/taxon/urn:lsid:ipni.org:names:30001136-2</x:v>
      </x:c>
      <x:c r="X149" s="215" t="str">
        <x:v>No - retain qualifiers and exceptions</x:v>
      </x:c>
      <x:c r="Y149" s="215" t="str">
        <x:v>Yes</x:v>
      </x:c>
      <x:c r="Z149" s="215" t="str">
        <x:v>Source-backed draft</x:v>
      </x:c>
      <x:c r="AA149" s="215" t="str">
        <x:v>Caution / method</x:v>
      </x:c>
      <x:c r="AB149" s="215" t="str">
        <x:v>Caution / negative rule</x:v>
      </x:c>
      <x:c r="AC149" s="215" t="str">
        <x:v>High</x:v>
      </x:c>
      <x:c r="AD149" s="215" t="str">
        <x:v>Naked eye / field</x:v>
      </x:c>
      <x:c r="AE149" s="215" t="str">
        <x:v>Low</x:v>
      </x:c>
      <x:c r="AF149" s="215" t="str">
        <x:v>Field-ready draft</x:v>
      </x:c>
      <x:c r="AG149" s="215" t="str">
        <x:v>4 — Context / caution</x:v>
      </x:c>
      <x:c r="AH149" s="215" t="str">
        <x:v>Current master inventory</x:v>
      </x:c>
    </x:row>
    <x:row r="150" ht="42" customHeight="1">
      <x:c r="A150" s="215" t="str">
        <x:v>Amaranthaceae</x:v>
      </x:c>
      <x:c r="B150" s="215" t="str">
        <x:v>AMAR-SCOPE</x:v>
      </x:c>
      <x:c r="C150" s="215" t="str">
        <x:v>Family-wide taxonomy</x:v>
      </x:c>
      <x:c r="D150" s="215" t="str">
        <x:v>Taxonomic scope</x:v>
      </x:c>
      <x:c r="E150" s="215" t="str">
        <x:v>Broad modern Amaranthaceae includes former Chenopodiaceae</x:v>
      </x:c>
      <x:c r="F150" s="215" t="str">
        <x:v>Caution</x:v>
      </x:c>
      <x:c r="G150" s="215" t="str">
        <x:v>0</x:v>
      </x:c>
      <x:c r="H150" s="215" t="str">
        <x:v>High</x:v>
      </x:c>
      <x:c r="I150" s="215" t="str">
        <x:v>Reference check</x:v>
      </x:c>
      <x:c r="J150" s="215" t="str">
        <x:v>Any</x:v>
      </x:c>
      <x:c r="K150" s="215" t="str">
        <x:v>The accepted family used here includes both familiar amaranths and chenopod-like saltbushes and goosefoots.</x:v>
      </x:c>
      <x:c r="L150" s="215" t="str">
        <x:v>The FNA family page used for practical morphology treats Amaranthaceae in a narrower traditional sense, so its characters cannot be applied to Atriplex or Blitum without qualification.</x:v>
      </x:c>
      <x:c r="M150" s="215" t="str">
        <x:v>Prevents a false universal family description and requires two practical routes.</x:v>
      </x:c>
      <x:c r="N150" s="215" t="str">
        <x:v>The local snapshot contains both Amaranthus/Froelichia/Celosia and former chenopod taxa such as Atriplex and Blitum.</x:v>
      </x:c>
      <x:c r="O150" s="215" t="str">
        <x:v>Low</x:v>
      </x:c>
      <x:c r="P150" s="215" t="str">
        <x:v>Yes</x:v>
      </x:c>
      <x:c r="Q150" s="215" t="str">
        <x:v>Human review must approve how the future key labels broad Amaranthaceae and the former Chenopodiaceae route.</x:v>
      </x:c>
      <x:c r="R150" s="215" t="str">
        <x:v>AMAR-LK03</x:v>
      </x:c>
      <x:c r="S150" s="215" t="str">
        <x:v>APWEB-CARY; FNA-AMAR; KEW-AMAR-GI; POWO-AMAR</x:v>
      </x:c>
      <x:c r="T150" s="215" t="str">
        <x:v>https://www.mobot.org/Mobot/research/APweb/orders/caryophyllalesweb.htm</x:v>
      </x:c>
      <x:c r="U150" s="215" t="str">
        <x:v>https://floranorthamerica.org/Amaranthaceae
https://powo.science.kew.org/taxon/urn:lsid:ipni.org:names:30000566-2/general-information</x:v>
      </x:c>
      <x:c r="V150" s="215" t="str">
        <x:v>https://powo.science.kew.org/taxon/urn:lsid:ipni.org:names:30000566-2</x:v>
      </x:c>
      <x:c r="W150" s="215" t="str">
        <x:v>https://www.mobot.org/Mobot/research/APweb/orders/caryophyllalesweb.htm
https://floranorthamerica.org/Amaranthaceae
https://powo.science.kew.org/taxon/urn:lsid:ipni.org:names:30000566-2/general-information
https://powo.science.kew.org/taxon/urn:lsid:ipni.org:names:30000566-2</x:v>
      </x:c>
      <x:c r="X150" s="215" t="str">
        <x:v>No - retain qualifiers and exceptions</x:v>
      </x:c>
      <x:c r="Y150" s="215" t="str">
        <x:v>Yes</x:v>
      </x:c>
      <x:c r="Z150" s="215" t="str">
        <x:v>Human review required</x:v>
      </x:c>
      <x:c r="AA150" s="215" t="str">
        <x:v>Taxonomy</x:v>
      </x:c>
      <x:c r="AB150" s="215" t="str">
        <x:v>Caution / negative rule</x:v>
      </x:c>
      <x:c r="AC150" s="215" t="str">
        <x:v>High</x:v>
      </x:c>
      <x:c r="AD150" s="215" t="str">
        <x:v>Reference / method</x:v>
      </x:c>
      <x:c r="AE150" s="215" t="str">
        <x:v>Low</x:v>
      </x:c>
      <x:c r="AF150" s="215" t="str">
        <x:v>Use only after review</x:v>
      </x:c>
      <x:c r="AG150" s="215" t="str">
        <x:v>1 — Human review now</x:v>
      </x:c>
      <x:c r="AH150" s="215" t="str">
        <x:v>Current master inventory</x:v>
      </x:c>
    </x:row>
    <x:row r="151" ht="42" customHeight="1">
      <x:c r="A151" s="215" t="str">
        <x:v>Amaranthaceae</x:v>
      </x:c>
      <x:c r="B151" s="215" t="str">
        <x:v>AMAR-LEAF</x:v>
      </x:c>
      <x:c r="C151" s="215" t="str">
        <x:v>Broad family tendency</x:v>
      </x:c>
      <x:c r="D151" s="215" t="str">
        <x:v>Leaf</x:v>
      </x:c>
      <x:c r="E151" s="215" t="str">
        <x:v>Leaves usually simple and exstipulate, alternate or opposite</x:v>
      </x:c>
      <x:c r="F151" s="215" t="str">
        <x:v>Supporting</x:v>
      </x:c>
      <x:c r="G151" s="215" t="str">
        <x:v>2</x:v>
      </x:c>
      <x:c r="H151" s="215" t="str">
        <x:v>Variable</x:v>
      </x:c>
      <x:c r="I151" s="215" t="str">
        <x:v>Naked eye</x:v>
      </x:c>
      <x:c r="J151" s="215" t="str">
        <x:v>Vegetative</x:v>
      </x:c>
      <x:c r="K151" s="215" t="str">
        <x:v>Most local members have undivided leaves without stipules at the node.</x:v>
      </x:c>
      <x:c r="L151" s="215" t="str">
        <x:v>Leaves may be reduced, scale-like, fleshy, or absent; arrangement varies and unrelated families share this condition.</x:v>
      </x:c>
      <x:c r="M151" s="215" t="str">
        <x:v>Use as a supporting clue only after flower or fruit structures are found.</x:v>
      </x:c>
      <x:c r="N151" s="215" t="str">
        <x:v>Applies broadly to local genera but cannot distinguish the family by itself.</x:v>
      </x:c>
      <x:c r="O151" s="215" t="str">
        <x:v>Low</x:v>
      </x:c>
      <x:c r="P151" s="215" t="str">
        <x:v>No</x:v>
      </x:c>
      <x:c r="Q151" s="215" t="str"/>
      <x:c r="R151" s="215" t="str">
        <x:v>AMAR-LK01; AMAR-LK02</x:v>
      </x:c>
      <x:c r="S151" s="215" t="str">
        <x:v>APWEB-CARY; FNA-AMAR; KEW-AMAR-GI; POWO-AMAR</x:v>
      </x:c>
      <x:c r="T151" s="215" t="str">
        <x:v>https://www.mobot.org/Mobot/research/APweb/orders/caryophyllalesweb.htm</x:v>
      </x:c>
      <x:c r="U151" s="215" t="str">
        <x:v>https://floranorthamerica.org/Amaranthaceae
https://powo.science.kew.org/taxon/urn:lsid:ipni.org:names:30000566-2/general-information</x:v>
      </x:c>
      <x:c r="V151" s="215" t="str">
        <x:v>https://powo.science.kew.org/taxon/urn:lsid:ipni.org:names:30000566-2</x:v>
      </x:c>
      <x:c r="W151" s="215" t="str">
        <x:v>https://www.mobot.org/Mobot/research/APweb/orders/caryophyllalesweb.htm
https://floranorthamerica.org/Amaranthaceae
https://powo.science.kew.org/taxon/urn:lsid:ipni.org:names:30000566-2/general-information
https://powo.science.kew.org/taxon/urn:lsid:ipni.org:names:30000566-2</x:v>
      </x:c>
      <x:c r="X151" s="215" t="str">
        <x:v>No - retain qualifiers and exceptions</x:v>
      </x:c>
      <x:c r="Y151" s="215" t="str">
        <x:v>Yes</x:v>
      </x:c>
      <x:c r="Z151" s="215" t="str">
        <x:v>Source-backed draft</x:v>
      </x:c>
      <x:c r="AA151" s="215" t="str">
        <x:v>Family pattern</x:v>
      </x:c>
      <x:c r="AB151" s="215" t="str">
        <x:v>Supporting / route</x:v>
      </x:c>
      <x:c r="AC151" s="215" t="str">
        <x:v>Variable</x:v>
      </x:c>
      <x:c r="AD151" s="215" t="str">
        <x:v>Naked eye / field</x:v>
      </x:c>
      <x:c r="AE151" s="215" t="str">
        <x:v>Low</x:v>
      </x:c>
      <x:c r="AF151" s="215" t="str">
        <x:v>Field-ready draft</x:v>
      </x:c>
      <x:c r="AG151" s="215" t="str">
        <x:v>4 — Context / caution</x:v>
      </x:c>
      <x:c r="AH151" s="215" t="str">
        <x:v>Current master inventory</x:v>
      </x:c>
    </x:row>
    <x:row r="152" ht="42" customHeight="1">
      <x:c r="A152" s="215" t="str">
        <x:v>Amaranthaceae</x:v>
      </x:c>
      <x:c r="B152" s="215" t="str">
        <x:v>AMAR-CLUSTER</x:v>
      </x:c>
      <x:c r="C152" s="215" t="str">
        <x:v>Broad family tendency</x:v>
      </x:c>
      <x:c r="D152" s="215" t="str">
        <x:v>Inflorescence</x:v>
      </x:c>
      <x:c r="E152" s="215" t="str">
        <x:v>Small flowers commonly crowded in spikes, heads, glomerules, or axillary clusters</x:v>
      </x:c>
      <x:c r="F152" s="215" t="str">
        <x:v>Strong</x:v>
      </x:c>
      <x:c r="G152" s="215" t="str">
        <x:v>3</x:v>
      </x:c>
      <x:c r="H152" s="215" t="str">
        <x:v>Moderate to high</x:v>
      </x:c>
      <x:c r="I152" s="215" t="str">
        <x:v>Naked eye or hand lens</x:v>
      </x:c>
      <x:c r="J152" s="215" t="str">
        <x:v>Flowering</x:v>
      </x:c>
      <x:c r="K152" s="215" t="str">
        <x:v>Many tiny flowers are packed together, often with papery bracts that make the cluster look chaffy.</x:v>
      </x:c>
      <x:c r="L152" s="215" t="str">
        <x:v>Flowers may be solitary or arranged differently; dense clusters also occur in unrelated families.</x:v>
      </x:c>
      <x:c r="M152" s="215" t="str">
        <x:v>A strong first clue when paired with persistent tepals and one-seeded fruit.</x:v>
      </x:c>
      <x:c r="N152" s="215" t="str">
        <x:v>Common in Amaranthus, Froelichia, Celosia, Tidestromia, Atriplex, and Blitum.</x:v>
      </x:c>
      <x:c r="O152" s="215" t="str">
        <x:v>Low</x:v>
      </x:c>
      <x:c r="P152" s="215" t="str">
        <x:v>No</x:v>
      </x:c>
      <x:c r="Q152" s="215" t="str"/>
      <x:c r="R152" s="215" t="str">
        <x:v>AMAR-LK01; AMAR-LK02</x:v>
      </x:c>
      <x:c r="S152" s="215" t="str">
        <x:v>APWEB-CARY; FNA-AMAR; KEW-AMAR-GI; POWO-AMAR</x:v>
      </x:c>
      <x:c r="T152" s="215" t="str">
        <x:v>https://www.mobot.org/Mobot/research/APweb/orders/caryophyllalesweb.htm</x:v>
      </x:c>
      <x:c r="U152" s="215" t="str">
        <x:v>https://floranorthamerica.org/Amaranthaceae
https://powo.science.kew.org/taxon/urn:lsid:ipni.org:names:30000566-2/general-information</x:v>
      </x:c>
      <x:c r="V152" s="215" t="str">
        <x:v>https://powo.science.kew.org/taxon/urn:lsid:ipni.org:names:30000566-2</x:v>
      </x:c>
      <x:c r="W152" s="215" t="str">
        <x:v>https://www.mobot.org/Mobot/research/APweb/orders/caryophyllalesweb.htm
https://floranorthamerica.org/Amaranthaceae
https://powo.science.kew.org/taxon/urn:lsid:ipni.org:names:30000566-2/general-information
https://powo.science.kew.org/taxon/urn:lsid:ipni.org:names:30000566-2</x:v>
      </x:c>
      <x:c r="X152" s="215" t="str">
        <x:v>No - retain qualifiers and exceptions</x:v>
      </x:c>
      <x:c r="Y152" s="215" t="str">
        <x:v>Yes</x:v>
      </x:c>
      <x:c r="Z152" s="215" t="str">
        <x:v>Source-backed draft</x:v>
      </x:c>
      <x:c r="AA152" s="215" t="str">
        <x:v>Family pattern</x:v>
      </x:c>
      <x:c r="AB152" s="215" t="str">
        <x:v>Positive diagnostic</x:v>
      </x:c>
      <x:c r="AC152" s="215" t="str">
        <x:v>Moderate</x:v>
      </x:c>
      <x:c r="AD152" s="215" t="str">
        <x:v>Hand lens / macro</x:v>
      </x:c>
      <x:c r="AE152" s="215" t="str">
        <x:v>Low</x:v>
      </x:c>
      <x:c r="AF152" s="215" t="str">
        <x:v>Field-ready draft</x:v>
      </x:c>
      <x:c r="AG152" s="215" t="str">
        <x:v>3 — Reference support</x:v>
      </x:c>
      <x:c r="AH152" s="215" t="str">
        <x:v>Current master inventory</x:v>
      </x:c>
    </x:row>
    <x:row r="153" ht="42" customHeight="1">
      <x:c r="A153" s="215" t="str">
        <x:v>Amaranthaceae</x:v>
      </x:c>
      <x:c r="B153" s="215" t="str">
        <x:v>AMAR-BRACTS</x:v>
      </x:c>
      <x:c r="C153" s="215" t="str">
        <x:v>Broad family tendency</x:v>
      </x:c>
      <x:c r="D153" s="215" t="str">
        <x:v>Flower</x:v>
      </x:c>
      <x:c r="E153" s="215" t="str">
        <x:v>Each small flower commonly subtended by a bract and often two bracteoles</x:v>
      </x:c>
      <x:c r="F153" s="215" t="str">
        <x:v>Strong</x:v>
      </x:c>
      <x:c r="G153" s="215" t="str">
        <x:v>3</x:v>
      </x:c>
      <x:c r="H153" s="215" t="str">
        <x:v>Moderate</x:v>
      </x:c>
      <x:c r="I153" s="215" t="str">
        <x:v>Hand lens</x:v>
      </x:c>
      <x:c r="J153" s="215" t="str">
        <x:v>Flowering to fruiting</x:v>
      </x:c>
      <x:c r="K153" s="215" t="str">
        <x:v>Papery or firm bracts remain around individual flowers and fruits.</x:v>
      </x:c>
      <x:c r="L153" s="215" t="str">
        <x:v>Bracteoles may be absent in some lineages, reduced, or modified; former chenopod routes can differ strongly.</x:v>
      </x:c>
      <x:c r="M153" s="215" t="str">
        <x:v>Helps separate the flower unit within a dense cluster.</x:v>
      </x:c>
      <x:c r="N153" s="215" t="str">
        <x:v>Especially useful in Amaranthus and Froelichia; Atriplex pistillate bracts are highly modified.</x:v>
      </x:c>
      <x:c r="O153" s="215" t="str">
        <x:v>Moderate</x:v>
      </x:c>
      <x:c r="P153" s="215" t="str">
        <x:v>Yes</x:v>
      </x:c>
      <x:c r="Q153" s="215" t="str">
        <x:v>Route-specific interpretation is needed for former chenopod taxa and unisexual flowers.</x:v>
      </x:c>
      <x:c r="R153" s="215" t="str"/>
      <x:c r="S153" s="215" t="str">
        <x:v>APWEB-CARY; FNA-AMAR; KEW-AMAR-GI; POWO-AMAR</x:v>
      </x:c>
      <x:c r="T153" s="215" t="str">
        <x:v>https://www.mobot.org/Mobot/research/APweb/orders/caryophyllalesweb.htm</x:v>
      </x:c>
      <x:c r="U153" s="215" t="str">
        <x:v>https://floranorthamerica.org/Amaranthaceae
https://powo.science.kew.org/taxon/urn:lsid:ipni.org:names:30000566-2/general-information</x:v>
      </x:c>
      <x:c r="V153" s="215" t="str">
        <x:v>https://powo.science.kew.org/taxon/urn:lsid:ipni.org:names:30000566-2</x:v>
      </x:c>
      <x:c r="W153" s="215" t="str">
        <x:v>https://www.mobot.org/Mobot/research/APweb/orders/caryophyllalesweb.htm
https://floranorthamerica.org/Amaranthaceae
https://powo.science.kew.org/taxon/urn:lsid:ipni.org:names:30000566-2/general-information
https://powo.science.kew.org/taxon/urn:lsid:ipni.org:names:30000566-2</x:v>
      </x:c>
      <x:c r="X153" s="215" t="str">
        <x:v>No - retain qualifiers and exceptions</x:v>
      </x:c>
      <x:c r="Y153" s="215" t="str">
        <x:v>Yes</x:v>
      </x:c>
      <x:c r="Z153" s="215" t="str">
        <x:v>Human review required</x:v>
      </x:c>
      <x:c r="AA153" s="215" t="str">
        <x:v>Family pattern</x:v>
      </x:c>
      <x:c r="AB153" s="215" t="str">
        <x:v>Positive diagnostic</x:v>
      </x:c>
      <x:c r="AC153" s="215" t="str">
        <x:v>Moderate</x:v>
      </x:c>
      <x:c r="AD153" s="215" t="str">
        <x:v>Hand lens / macro</x:v>
      </x:c>
      <x:c r="AE153" s="215" t="str">
        <x:v>Moderate</x:v>
      </x:c>
      <x:c r="AF153" s="215" t="str">
        <x:v>Use only after review</x:v>
      </x:c>
      <x:c r="AG153" s="215" t="str">
        <x:v>1 — Human review now</x:v>
      </x:c>
      <x:c r="AH153" s="215" t="str">
        <x:v>Current master inventory</x:v>
      </x:c>
    </x:row>
    <x:row r="154" ht="42" customHeight="1">
      <x:c r="A154" s="215" t="str">
        <x:v>Amaranthaceae</x:v>
      </x:c>
      <x:c r="B154" s="215" t="str">
        <x:v>AMAR-TEPALS</x:v>
      </x:c>
      <x:c r="C154" s="215" t="str">
        <x:v>Broad family tendency</x:v>
      </x:c>
      <x:c r="D154" s="215" t="str">
        <x:v>Perianth</x:v>
      </x:c>
      <x:c r="E154" s="215" t="str">
        <x:v>Usually 3-5 free or basally joined, dry, persistent tepals</x:v>
      </x:c>
      <x:c r="F154" s="215" t="str">
        <x:v>Strong</x:v>
      </x:c>
      <x:c r="G154" s="215" t="str">
        <x:v>4</x:v>
      </x:c>
      <x:c r="H154" s="215" t="str">
        <x:v>Moderate to high</x:v>
      </x:c>
      <x:c r="I154" s="215" t="str">
        <x:v>Hand lens</x:v>
      </x:c>
      <x:c r="J154" s="215" t="str">
        <x:v>Flowering to fruiting</x:v>
      </x:c>
      <x:c r="K154" s="215" t="str">
        <x:v>The flower usually has small sepallike segments rather than separate green sepals and colorful petals; they often stay around the fruit.</x:v>
      </x:c>
      <x:c r="L154" s="215" t="str">
        <x:v>Number and texture vary; pistillate flowers of some former chenopods may lack a normal perianth or be enclosed by bracts.</x:v>
      </x:c>
      <x:c r="M154" s="215" t="str">
        <x:v>Use with stamen position and one-seeded fruit.</x:v>
      </x:c>
      <x:c r="N154" s="215" t="str">
        <x:v>Useful in Amaranthus, Froelichia, Celosia, and Tidestromia; modified in Atriplex.</x:v>
      </x:c>
      <x:c r="O154" s="215" t="str">
        <x:v>Moderate</x:v>
      </x:c>
      <x:c r="P154" s="215" t="str">
        <x:v>No</x:v>
      </x:c>
      <x:c r="Q154" s="215" t="str"/>
      <x:c r="R154" s="215" t="str">
        <x:v>AMAR-LK01; AMAR-LK02</x:v>
      </x:c>
      <x:c r="S154" s="215" t="str">
        <x:v>APWEB-CARY; FNA-AMAR; KEW-AMAR-GI; POWO-AMAR</x:v>
      </x:c>
      <x:c r="T154" s="215" t="str">
        <x:v>https://www.mobot.org/Mobot/research/APweb/orders/caryophyllalesweb.htm</x:v>
      </x:c>
      <x:c r="U154" s="215" t="str">
        <x:v>https://floranorthamerica.org/Amaranthaceae
https://powo.science.kew.org/taxon/urn:lsid:ipni.org:names:30000566-2/general-information</x:v>
      </x:c>
      <x:c r="V154" s="215" t="str">
        <x:v>https://powo.science.kew.org/taxon/urn:lsid:ipni.org:names:30000566-2</x:v>
      </x:c>
      <x:c r="W154" s="215" t="str">
        <x:v>https://www.mobot.org/Mobot/research/APweb/orders/caryophyllalesweb.htm
https://floranorthamerica.org/Amaranthaceae
https://powo.science.kew.org/taxon/urn:lsid:ipni.org:names:30000566-2/general-information
https://powo.science.kew.org/taxon/urn:lsid:ipni.org:names:30000566-2</x:v>
      </x:c>
      <x:c r="X154" s="215" t="str">
        <x:v>No - retain qualifiers and exceptions</x:v>
      </x:c>
      <x:c r="Y154" s="215" t="str">
        <x:v>Yes</x:v>
      </x:c>
      <x:c r="Z154" s="215" t="str">
        <x:v>Source-backed draft</x:v>
      </x:c>
      <x:c r="AA154" s="215" t="str">
        <x:v>Family pattern</x:v>
      </x:c>
      <x:c r="AB154" s="215" t="str">
        <x:v>Positive diagnostic</x:v>
      </x:c>
      <x:c r="AC154" s="215" t="str">
        <x:v>Moderate</x:v>
      </x:c>
      <x:c r="AD154" s="215" t="str">
        <x:v>Hand lens / macro</x:v>
      </x:c>
      <x:c r="AE154" s="215" t="str">
        <x:v>Moderate</x:v>
      </x:c>
      <x:c r="AF154" s="215" t="str">
        <x:v>Field-ready draft</x:v>
      </x:c>
      <x:c r="AG154" s="215" t="str">
        <x:v>2 — Field-photo priority</x:v>
      </x:c>
      <x:c r="AH154" s="215" t="str">
        <x:v>Current master inventory</x:v>
      </x:c>
    </x:row>
    <x:row r="155" ht="42" customHeight="1">
      <x:c r="A155" s="215" t="str">
        <x:v>Amaranthaceae</x:v>
      </x:c>
      <x:c r="B155" s="215" t="str">
        <x:v>AMAR-STAMEN</x:v>
      </x:c>
      <x:c r="C155" s="215" t="str">
        <x:v>Common, not universal</x:v>
      </x:c>
      <x:c r="D155" s="215" t="str">
        <x:v>Androecium</x:v>
      </x:c>
      <x:c r="E155" s="215" t="str">
        <x:v>Stamens commonly equal to and opposite the tepals</x:v>
      </x:c>
      <x:c r="F155" s="215" t="str">
        <x:v>Supporting</x:v>
      </x:c>
      <x:c r="G155" s="215" t="str">
        <x:v>3</x:v>
      </x:c>
      <x:c r="H155" s="215" t="str">
        <x:v>Variable</x:v>
      </x:c>
      <x:c r="I155" s="215" t="str">
        <x:v>Hand lens</x:v>
      </x:c>
      <x:c r="J155" s="215" t="str">
        <x:v>Flowering</x:v>
      </x:c>
      <x:c r="K155" s="215" t="str">
        <x:v>When five tepals occur, five stamens commonly stand opposite them, sometimes united at the base.</x:v>
      </x:c>
      <x:c r="L155" s="215" t="str">
        <x:v>Stamen number can be fewer; flowers may be unisexual; staminodes and pseudostaminodes occur in some groups.</x:v>
      </x:c>
      <x:c r="M155" s="215" t="str">
        <x:v>A useful internal check after the flower has been isolated.</x:v>
      </x:c>
      <x:c r="N155" s="215" t="str">
        <x:v>Most useful in bisexual-flowered local routes; less direct in Atriplex and some Amaranthus flowers.</x:v>
      </x:c>
      <x:c r="O155" s="215" t="str">
        <x:v>Moderate</x:v>
      </x:c>
      <x:c r="P155" s="215" t="str">
        <x:v>Yes</x:v>
      </x:c>
      <x:c r="Q155" s="215" t="str">
        <x:v>Stamen-based weights must be lineage-specific.</x:v>
      </x:c>
      <x:c r="R155" s="215" t="str"/>
      <x:c r="S155" s="215" t="str">
        <x:v>APWEB-CARY; FNA-AMAR; KEW-AMAR-GI; POWO-AMAR</x:v>
      </x:c>
      <x:c r="T155" s="215" t="str">
        <x:v>https://www.mobot.org/Mobot/research/APweb/orders/caryophyllalesweb.htm</x:v>
      </x:c>
      <x:c r="U155" s="215" t="str">
        <x:v>https://floranorthamerica.org/Amaranthaceae
https://powo.science.kew.org/taxon/urn:lsid:ipni.org:names:30000566-2/general-information</x:v>
      </x:c>
      <x:c r="V155" s="215" t="str">
        <x:v>https://powo.science.kew.org/taxon/urn:lsid:ipni.org:names:30000566-2</x:v>
      </x:c>
      <x:c r="W155" s="215" t="str">
        <x:v>https://www.mobot.org/Mobot/research/APweb/orders/caryophyllalesweb.htm
https://floranorthamerica.org/Amaranthaceae
https://powo.science.kew.org/taxon/urn:lsid:ipni.org:names:30000566-2/general-information
https://powo.science.kew.org/taxon/urn:lsid:ipni.org:names:30000566-2</x:v>
      </x:c>
      <x:c r="X155" s="215" t="str">
        <x:v>No - retain qualifiers and exceptions</x:v>
      </x:c>
      <x:c r="Y155" s="215" t="str">
        <x:v>Yes</x:v>
      </x:c>
      <x:c r="Z155" s="215" t="str">
        <x:v>Human review required</x:v>
      </x:c>
      <x:c r="AA155" s="215" t="str">
        <x:v>Other qualified pattern</x:v>
      </x:c>
      <x:c r="AB155" s="215" t="str">
        <x:v>Supporting / route</x:v>
      </x:c>
      <x:c r="AC155" s="215" t="str">
        <x:v>Variable</x:v>
      </x:c>
      <x:c r="AD155" s="215" t="str">
        <x:v>Hand lens / macro</x:v>
      </x:c>
      <x:c r="AE155" s="215" t="str">
        <x:v>Moderate</x:v>
      </x:c>
      <x:c r="AF155" s="215" t="str">
        <x:v>Use only after review</x:v>
      </x:c>
      <x:c r="AG155" s="215" t="str">
        <x:v>1 — Human review now</x:v>
      </x:c>
      <x:c r="AH155" s="215" t="str">
        <x:v>Current master inventory</x:v>
      </x:c>
    </x:row>
    <x:row r="156" ht="42" customHeight="1">
      <x:c r="A156" s="215" t="str">
        <x:v>Amaranthaceae</x:v>
      </x:c>
      <x:c r="B156" s="215" t="str">
        <x:v>AMAR-OVARY</x:v>
      </x:c>
      <x:c r="C156" s="215" t="str">
        <x:v>Broad family suite</x:v>
      </x:c>
      <x:c r="D156" s="215" t="str">
        <x:v>Gynoecium</x:v>
      </x:c>
      <x:c r="E156" s="215" t="str">
        <x:v>Ovary superior, usually one-locular, with one basal or free-central ovule</x:v>
      </x:c>
      <x:c r="F156" s="215" t="str">
        <x:v>Strong</x:v>
      </x:c>
      <x:c r="G156" s="215" t="str">
        <x:v>4</x:v>
      </x:c>
      <x:c r="H156" s="215" t="str">
        <x:v>Moderate</x:v>
      </x:c>
      <x:c r="I156" s="215" t="str">
        <x:v>Hand lens or dissection</x:v>
      </x:c>
      <x:c r="J156" s="215" t="str">
        <x:v>Flowering to young fruit</x:v>
      </x:c>
      <x:c r="K156" s="215" t="str">
        <x:v>The tiny ovary normally contains a single ovule and later forms a one-seeded fruit.</x:v>
      </x:c>
      <x:c r="L156" s="215" t="str">
        <x:v>Locule interpretation can be difficult in minute flowers; a few lineages have more ovules or different placentation.</x:v>
      </x:c>
      <x:c r="M156" s="215" t="str">
        <x:v>Strong confirmation when paired with persistent tepals and dense clusters.</x:v>
      </x:c>
      <x:c r="N156" s="215" t="str">
        <x:v>Expected across current local routes, although the surrounding bracts differ.</x:v>
      </x:c>
      <x:c r="O156" s="215" t="str">
        <x:v>Low</x:v>
      </x:c>
      <x:c r="P156" s="215" t="str">
        <x:v>No</x:v>
      </x:c>
      <x:c r="Q156" s="215" t="str"/>
      <x:c r="R156" s="215" t="str">
        <x:v>AMAR-LK01; AMAR-LK02</x:v>
      </x:c>
      <x:c r="S156" s="215" t="str">
        <x:v>APWEB-CARY; FNA-AMAR; KEW-AMAR-GI; POWO-AMAR</x:v>
      </x:c>
      <x:c r="T156" s="215" t="str">
        <x:v>https://www.mobot.org/Mobot/research/APweb/orders/caryophyllalesweb.htm</x:v>
      </x:c>
      <x:c r="U156" s="215" t="str">
        <x:v>https://floranorthamerica.org/Amaranthaceae
https://powo.science.kew.org/taxon/urn:lsid:ipni.org:names:30000566-2/general-information</x:v>
      </x:c>
      <x:c r="V156" s="215" t="str">
        <x:v>https://powo.science.kew.org/taxon/urn:lsid:ipni.org:names:30000566-2</x:v>
      </x:c>
      <x:c r="W156" s="215" t="str">
        <x:v>https://www.mobot.org/Mobot/research/APweb/orders/caryophyllalesweb.htm
https://floranorthamerica.org/Amaranthaceae
https://powo.science.kew.org/taxon/urn:lsid:ipni.org:names:30000566-2/general-information
https://powo.science.kew.org/taxon/urn:lsid:ipni.org:names:30000566-2</x:v>
      </x:c>
      <x:c r="X156" s="215" t="str">
        <x:v>No - retain qualifiers and exceptions</x:v>
      </x:c>
      <x:c r="Y156" s="215" t="str">
        <x:v>Yes</x:v>
      </x:c>
      <x:c r="Z156" s="215" t="str">
        <x:v>Source-backed draft</x:v>
      </x:c>
      <x:c r="AA156" s="215" t="str">
        <x:v>Family pattern</x:v>
      </x:c>
      <x:c r="AB156" s="215" t="str">
        <x:v>Positive diagnostic</x:v>
      </x:c>
      <x:c r="AC156" s="215" t="str">
        <x:v>Moderate</x:v>
      </x:c>
      <x:c r="AD156" s="215" t="str">
        <x:v>Dissection</x:v>
      </x:c>
      <x:c r="AE156" s="215" t="str">
        <x:v>Low</x:v>
      </x:c>
      <x:c r="AF156" s="215" t="str">
        <x:v>Dissection / close study</x:v>
      </x:c>
      <x:c r="AG156" s="215" t="str">
        <x:v>3 — Reference support</x:v>
      </x:c>
      <x:c r="AH156" s="215" t="str">
        <x:v>Current master inventory</x:v>
      </x:c>
    </x:row>
    <x:row r="157" ht="42" customHeight="1">
      <x:c r="A157" s="215" t="str">
        <x:v>Amaranthaceae</x:v>
      </x:c>
      <x:c r="B157" s="215" t="str">
        <x:v>AMAR-FRUIT</x:v>
      </x:c>
      <x:c r="C157" s="215" t="str">
        <x:v>Broad family tendency</x:v>
      </x:c>
      <x:c r="D157" s="215" t="str">
        <x:v>Fruit</x:v>
      </x:c>
      <x:c r="E157" s="215" t="str">
        <x:v>Small one-seeded utricle or achene, opening irregularly, by a lid, or not at all</x:v>
      </x:c>
      <x:c r="F157" s="215" t="str">
        <x:v>Strong</x:v>
      </x:c>
      <x:c r="G157" s="215" t="str">
        <x:v>4</x:v>
      </x:c>
      <x:c r="H157" s="215" t="str">
        <x:v>Moderate to high</x:v>
      </x:c>
      <x:c r="I157" s="215" t="str">
        <x:v>Hand lens</x:v>
      </x:c>
      <x:c r="J157" s="215" t="str">
        <x:v>Mature fruit</x:v>
      </x:c>
      <x:c r="K157" s="215" t="str">
        <x:v>Each tiny flower commonly matures into a dry one-seeded fruit, often still wrapped by tepals or bracts.</x:v>
      </x:c>
      <x:c r="L157" s="215" t="str">
        <x:v>Opening mode varies greatly; fruit may be bladdery, crusty, fleshy-looking, or enclosed by accrescent bracts.</x:v>
      </x:c>
      <x:c r="M157" s="215" t="str">
        <x:v>Mature fruit is more dependable than leaf shape for broad family placement.</x:v>
      </x:c>
      <x:c r="N157" s="215" t="str">
        <x:v>Amaranthus often has circumscissile or indehiscent fruits; Atriplex fruit is enclosed by two bracts.</x:v>
      </x:c>
      <x:c r="O157" s="215" t="str">
        <x:v>Moderate</x:v>
      </x:c>
      <x:c r="P157" s="215" t="str">
        <x:v>No</x:v>
      </x:c>
      <x:c r="Q157" s="215" t="str"/>
      <x:c r="R157" s="215" t="str">
        <x:v>AMAR-LK01; AMAR-LK02</x:v>
      </x:c>
      <x:c r="S157" s="215" t="str">
        <x:v>APWEB-CARY; FNA-AMAR; KEW-AMAR-GI; POWO-AMAR</x:v>
      </x:c>
      <x:c r="T157" s="215" t="str">
        <x:v>https://www.mobot.org/Mobot/research/APweb/orders/caryophyllalesweb.htm</x:v>
      </x:c>
      <x:c r="U157" s="215" t="str">
        <x:v>https://floranorthamerica.org/Amaranthaceae
https://powo.science.kew.org/taxon/urn:lsid:ipni.org:names:30000566-2/general-information</x:v>
      </x:c>
      <x:c r="V157" s="215" t="str">
        <x:v>https://powo.science.kew.org/taxon/urn:lsid:ipni.org:names:30000566-2</x:v>
      </x:c>
      <x:c r="W157" s="215" t="str">
        <x:v>https://www.mobot.org/Mobot/research/APweb/orders/caryophyllalesweb.htm
https://floranorthamerica.org/Amaranthaceae
https://powo.science.kew.org/taxon/urn:lsid:ipni.org:names:30000566-2/general-information
https://powo.science.kew.org/taxon/urn:lsid:ipni.org:names:30000566-2</x:v>
      </x:c>
      <x:c r="X157" s="215" t="str">
        <x:v>No - retain qualifiers and exceptions</x:v>
      </x:c>
      <x:c r="Y157" s="215" t="str">
        <x:v>Yes</x:v>
      </x:c>
      <x:c r="Z157" s="215" t="str">
        <x:v>Source-backed draft</x:v>
      </x:c>
      <x:c r="AA157" s="215" t="str">
        <x:v>Family pattern</x:v>
      </x:c>
      <x:c r="AB157" s="215" t="str">
        <x:v>Positive diagnostic</x:v>
      </x:c>
      <x:c r="AC157" s="215" t="str">
        <x:v>Moderate</x:v>
      </x:c>
      <x:c r="AD157" s="215" t="str">
        <x:v>Hand lens / macro</x:v>
      </x:c>
      <x:c r="AE157" s="215" t="str">
        <x:v>Moderate</x:v>
      </x:c>
      <x:c r="AF157" s="215" t="str">
        <x:v>Field-ready draft</x:v>
      </x:c>
      <x:c r="AG157" s="215" t="str">
        <x:v>2 — Field-photo priority</x:v>
      </x:c>
      <x:c r="AH157" s="215" t="str">
        <x:v>Current master inventory</x:v>
      </x:c>
    </x:row>
    <x:row r="158" ht="42" customHeight="1">
      <x:c r="A158" s="215" t="str">
        <x:v>Amaranthaceae</x:v>
      </x:c>
      <x:c r="B158" s="215" t="str">
        <x:v>AMAR-EMBRYO</x:v>
      </x:c>
      <x:c r="C158" s="215" t="str">
        <x:v>Broad family tendency</x:v>
      </x:c>
      <x:c r="D158" s="215" t="str">
        <x:v>Seed</x:v>
      </x:c>
      <x:c r="E158" s="215" t="str">
        <x:v>Embryo often curved around perisperm</x:v>
      </x:c>
      <x:c r="F158" s="215" t="str">
        <x:v>Strong</x:v>
      </x:c>
      <x:c r="G158" s="215" t="str">
        <x:v>3</x:v>
      </x:c>
      <x:c r="H158" s="215" t="str">
        <x:v>High when visible</x:v>
      </x:c>
      <x:c r="I158" s="215" t="str">
        <x:v>Dissection or microscope</x:v>
      </x:c>
      <x:c r="J158" s="215" t="str">
        <x:v>Mature seed</x:v>
      </x:c>
      <x:c r="K158" s="215" t="str">
        <x:v>The embryo commonly bends around a central food-storage tissue rather than lying straight inside the seed.</x:v>
      </x:c>
      <x:c r="L158" s="215" t="str">
        <x:v>Not safely visible in the field and variation occurs; seed preparation may be required.</x:v>
      </x:c>
      <x:c r="M158" s="215" t="str">
        <x:v>Microscopic confirmation for difficult sterile or fragmentary material.</x:v>
      </x:c>
      <x:c r="N158" s="215" t="str">
        <x:v>Potentially useful for voucher verification, not routine public field identification.</x:v>
      </x:c>
      <x:c r="O158" s="215" t="str">
        <x:v>Low</x:v>
      </x:c>
      <x:c r="P158" s="215" t="str">
        <x:v>No</x:v>
      </x:c>
      <x:c r="Q158" s="215" t="str"/>
      <x:c r="R158" s="215" t="str"/>
      <x:c r="S158" s="215" t="str">
        <x:v>APWEB-CARY; FNA-AMAR; KEW-AMAR-GI; POWO-AMAR</x:v>
      </x:c>
      <x:c r="T158" s="215" t="str">
        <x:v>https://www.mobot.org/Mobot/research/APweb/orders/caryophyllalesweb.htm</x:v>
      </x:c>
      <x:c r="U158" s="215" t="str">
        <x:v>https://floranorthamerica.org/Amaranthaceae
https://powo.science.kew.org/taxon/urn:lsid:ipni.org:names:30000566-2/general-information</x:v>
      </x:c>
      <x:c r="V158" s="215" t="str">
        <x:v>https://powo.science.kew.org/taxon/urn:lsid:ipni.org:names:30000566-2</x:v>
      </x:c>
      <x:c r="W158" s="215" t="str">
        <x:v>https://www.mobot.org/Mobot/research/APweb/orders/caryophyllalesweb.htm
https://floranorthamerica.org/Amaranthaceae
https://powo.science.kew.org/taxon/urn:lsid:ipni.org:names:30000566-2/general-information
https://powo.science.kew.org/taxon/urn:lsid:ipni.org:names:30000566-2</x:v>
      </x:c>
      <x:c r="X158" s="215" t="str">
        <x:v>No - retain qualifiers and exceptions</x:v>
      </x:c>
      <x:c r="Y158" s="215" t="str">
        <x:v>Yes</x:v>
      </x:c>
      <x:c r="Z158" s="215" t="str">
        <x:v>Source-backed draft</x:v>
      </x:c>
      <x:c r="AA158" s="215" t="str">
        <x:v>Family pattern</x:v>
      </x:c>
      <x:c r="AB158" s="215" t="str">
        <x:v>Positive diagnostic</x:v>
      </x:c>
      <x:c r="AC158" s="215" t="str">
        <x:v>High</x:v>
      </x:c>
      <x:c r="AD158" s="215" t="str">
        <x:v>Microscope</x:v>
      </x:c>
      <x:c r="AE158" s="215" t="str">
        <x:v>Low</x:v>
      </x:c>
      <x:c r="AF158" s="215" t="str">
        <x:v>Specialist / reference</x:v>
      </x:c>
      <x:c r="AG158" s="215" t="str">
        <x:v>3 — Reference support</x:v>
      </x:c>
      <x:c r="AH158" s="215" t="str">
        <x:v>Current master inventory</x:v>
      </x:c>
    </x:row>
    <x:row r="159" ht="42" customHeight="1">
      <x:c r="A159" s="215" t="str">
        <x:v>Amaranthaceae</x:v>
      </x:c>
      <x:c r="B159" s="215" t="str">
        <x:v>AMAR-AMARANTHUS</x:v>
      </x:c>
      <x:c r="C159" s="215" t="str">
        <x:v>Local subgroup: Amaranthus</x:v>
      </x:c>
      <x:c r="D159" s="215" t="str">
        <x:v>Flower, bracts, fruit</x:v>
      </x:c>
      <x:c r="E159" s="215" t="str">
        <x:v>Unisexual or bisexual clustered flowers with sharp bracts and a one-seeded utricle</x:v>
      </x:c>
      <x:c r="F159" s="215" t="str">
        <x:v>Subgroup</x:v>
      </x:c>
      <x:c r="G159" s="215" t="str">
        <x:v>5</x:v>
      </x:c>
      <x:c r="H159" s="215" t="str">
        <x:v>High with mature material</x:v>
      </x:c>
      <x:c r="I159" s="215" t="str">
        <x:v>Hand lens</x:v>
      </x:c>
      <x:c r="J159" s="215" t="str">
        <x:v>Flowering and fruiting</x:v>
      </x:c>
      <x:c r="K159" s="215" t="str">
        <x:v>Amaranthus combines dense greenish clusters, persistent tepals, bracts, and tiny one-seeded fruits; sex arrangement and fruit opening are important.</x:v>
      </x:c>
      <x:c r="L159" s="215" t="str">
        <x:v>Species can be extremely similar; bract length, tepal number, inflorescence structure, and fruit dehiscence must be checked together.</x:v>
      </x:c>
      <x:c r="M159" s="215" t="str">
        <x:v>Routes to the five local Amaranthus taxa but does not separate them.</x:v>
      </x:c>
      <x:c r="N159" s="215" t="str">
        <x:v>Directly relevant to A. palmeri, A. polygonoides, A. retroflexus, A. scleropoides, and A. spinosus.</x:v>
      </x:c>
      <x:c r="O159" s="215" t="str">
        <x:v>Low</x:v>
      </x:c>
      <x:c r="P159" s="215" t="str">
        <x:v>No</x:v>
      </x:c>
      <x:c r="Q159" s="215" t="str"/>
      <x:c r="R159" s="215" t="str">
        <x:v>AMAR-LK01</x:v>
      </x:c>
      <x:c r="S159" s="215" t="str">
        <x:v>FNA-AMAR; APWEB-CARY; POWO-AMAR</x:v>
      </x:c>
      <x:c r="T159" s="215" t="str">
        <x:v>https://www.mobot.org/Mobot/research/APweb/orders/caryophyllalesweb.htm</x:v>
      </x:c>
      <x:c r="U159" s="215" t="str">
        <x:v>https://floranorthamerica.org/Amaranthaceae
https://powo.science.kew.org/taxon/urn:lsid:ipni.org:names:30000566-2/general-information</x:v>
      </x:c>
      <x:c r="V159" s="215" t="str">
        <x:v>https://powo.science.kew.org/taxon/urn:lsid:ipni.org:names:30000566-2</x:v>
      </x:c>
      <x:c r="W159" s="215" t="str">
        <x:v>https://floranorthamerica.org/Amaranthaceae
https://www.mobot.org/Mobot/research/APweb/orders/caryophyllalesweb.htm
https://powo.science.kew.org/taxon/urn:lsid:ipni.org:names:30000566-2
https://powo.science.kew.org/taxon/urn:lsid:ipni.org:names:30000566-2/general-information</x:v>
      </x:c>
      <x:c r="X159" s="215" t="str">
        <x:v>No - retain qualifiers and exceptions</x:v>
      </x:c>
      <x:c r="Y159" s="215" t="str">
        <x:v>Yes</x:v>
      </x:c>
      <x:c r="Z159" s="215" t="str">
        <x:v>Source-backed draft</x:v>
      </x:c>
      <x:c r="AA159" s="215" t="str">
        <x:v>Local subgroup / route</x:v>
      </x:c>
      <x:c r="AB159" s="215" t="str">
        <x:v>Supporting / route</x:v>
      </x:c>
      <x:c r="AC159" s="215" t="str">
        <x:v>High</x:v>
      </x:c>
      <x:c r="AD159" s="215" t="str">
        <x:v>Hand lens / macro</x:v>
      </x:c>
      <x:c r="AE159" s="215" t="str">
        <x:v>Low</x:v>
      </x:c>
      <x:c r="AF159" s="215" t="str">
        <x:v>Field-ready draft</x:v>
      </x:c>
      <x:c r="AG159" s="215" t="str">
        <x:v>2 — Field-photo priority</x:v>
      </x:c>
      <x:c r="AH159" s="215" t="str">
        <x:v>Current master inventory</x:v>
      </x:c>
    </x:row>
    <x:row r="160" ht="42" customHeight="1">
      <x:c r="A160" s="215" t="str">
        <x:v>Amaranthaceae</x:v>
      </x:c>
      <x:c r="B160" s="215" t="str">
        <x:v>AMAR-CHENOPOD</x:v>
      </x:c>
      <x:c r="C160" s="215" t="str">
        <x:v>Local subgroup: former Chenopodiaceae</x:v>
      </x:c>
      <x:c r="D160" s="215" t="str">
        <x:v>Leaf, flower, fruit</x:v>
      </x:c>
      <x:c r="E160" s="215" t="str">
        <x:v>Mealy, scaly, or salt-adapted appearance with highly reduced flowers</x:v>
      </x:c>
      <x:c r="F160" s="215" t="str">
        <x:v>Subgroup</x:v>
      </x:c>
      <x:c r="G160" s="215" t="str">
        <x:v>4</x:v>
      </x:c>
      <x:c r="H160" s="215" t="str">
        <x:v>Moderate</x:v>
      </x:c>
      <x:c r="I160" s="215" t="str">
        <x:v>Naked eye plus hand lens</x:v>
      </x:c>
      <x:c r="J160" s="215" t="str">
        <x:v>Flowering and fruiting</x:v>
      </x:c>
      <x:c r="K160" s="215" t="str">
        <x:v>Atriplex and Blitum follow the former chenopod route, which often has tiny green flowers and surfaces that look whitish or mealy.</x:v>
      </x:c>
      <x:c r="L160" s="215" t="str">
        <x:v>Mealiness and saline habitat are not universal; some taxa are glabrous and many unrelated plants grow in salty or disturbed sites.</x:v>
      </x:c>
      <x:c r="M160" s="215" t="str">
        <x:v>Directs the user away from the narrow Amaranthus-style description.</x:v>
      </x:c>
      <x:c r="N160" s="215" t="str">
        <x:v>Applies to Atriplex canescens and Blitum nuttallianum.</x:v>
      </x:c>
      <x:c r="O160" s="215" t="str">
        <x:v>Moderate</x:v>
      </x:c>
      <x:c r="P160" s="215" t="str">
        <x:v>Yes</x:v>
      </x:c>
      <x:c r="Q160" s="215" t="str">
        <x:v>Needs genus-level morphology from authoritative treatments before final key weighting.</x:v>
      </x:c>
      <x:c r="R160" s="215" t="str">
        <x:v>AMAR-LK03</x:v>
      </x:c>
      <x:c r="S160" s="215" t="str">
        <x:v>APWEB-CARY; KEW-AMAR-GI; POWO-AMAR</x:v>
      </x:c>
      <x:c r="T160" s="215" t="str">
        <x:v>https://www.mobot.org/Mobot/research/APweb/orders/caryophyllalesweb.htm</x:v>
      </x:c>
      <x:c r="U160" s="215" t="str">
        <x:v>https://powo.science.kew.org/taxon/urn:lsid:ipni.org:names:30000566-2/general-information
https://floranorthamerica.org/Amaranthaceae</x:v>
      </x:c>
      <x:c r="V160" s="215" t="str">
        <x:v>https://powo.science.kew.org/taxon/urn:lsid:ipni.org:names:30000566-2</x:v>
      </x:c>
      <x:c r="W160" s="215" t="str">
        <x:v>https://www.mobot.org/Mobot/research/APweb/orders/caryophyllalesweb.htm
https://powo.science.kew.org/taxon/urn:lsid:ipni.org:names:30000566-2/general-information
https://powo.science.kew.org/taxon/urn:lsid:ipni.org:names:30000566-2
https://floranorthamerica.org/Amaranthaceae</x:v>
      </x:c>
      <x:c r="X160" s="215" t="str">
        <x:v>No - retain qualifiers and exceptions</x:v>
      </x:c>
      <x:c r="Y160" s="215" t="str">
        <x:v>Yes</x:v>
      </x:c>
      <x:c r="Z160" s="215" t="str">
        <x:v>Human review required</x:v>
      </x:c>
      <x:c r="AA160" s="215" t="str">
        <x:v>Local subgroup / route</x:v>
      </x:c>
      <x:c r="AB160" s="215" t="str">
        <x:v>Supporting / route</x:v>
      </x:c>
      <x:c r="AC160" s="215" t="str">
        <x:v>Moderate</x:v>
      </x:c>
      <x:c r="AD160" s="215" t="str">
        <x:v>Hand lens / macro</x:v>
      </x:c>
      <x:c r="AE160" s="215" t="str">
        <x:v>Moderate</x:v>
      </x:c>
      <x:c r="AF160" s="215" t="str">
        <x:v>Use only after review</x:v>
      </x:c>
      <x:c r="AG160" s="215" t="str">
        <x:v>1 — Human review now</x:v>
      </x:c>
      <x:c r="AH160" s="215" t="str">
        <x:v>Current master inventory</x:v>
      </x:c>
    </x:row>
    <x:row r="161" ht="42" customHeight="1">
      <x:c r="A161" s="215" t="str">
        <x:v>Amaranthaceae</x:v>
      </x:c>
      <x:c r="B161" s="215" t="str">
        <x:v>AMAR-ATRIPLEX</x:v>
      </x:c>
      <x:c r="C161" s="215" t="str">
        <x:v>Local subgroup: Atriplex</x:v>
      </x:c>
      <x:c r="D161" s="215" t="str">
        <x:v>Pistillate flower and fruit</x:v>
      </x:c>
      <x:c r="E161" s="215" t="str">
        <x:v>Fruit enclosed by two enlarged bracts, often without a normal perianth</x:v>
      </x:c>
      <x:c r="F161" s="215" t="str">
        <x:v>Subgroup</x:v>
      </x:c>
      <x:c r="G161" s="215" t="str">
        <x:v>5</x:v>
      </x:c>
      <x:c r="H161" s="215" t="str">
        <x:v>High with fruit</x:v>
      </x:c>
      <x:c r="I161" s="215" t="str">
        <x:v>Hand lens</x:v>
      </x:c>
      <x:c r="J161" s="215" t="str">
        <x:v>Fruiting</x:v>
      </x:c>
      <x:c r="K161" s="215" t="str">
        <x:v>The two bracts around a pistillate flower enlarge and form a distinctive envelope around the fruit.</x:v>
      </x:c>
      <x:c r="L161" s="215" t="str">
        <x:v>Bract shape, fusion, and ornament vary by species; male flowers retain a different perianth form.</x:v>
      </x:c>
      <x:c r="M161" s="215" t="str">
        <x:v>A strong route to Atriplex within broad Amaranthaceae.</x:v>
      </x:c>
      <x:c r="N161" s="215" t="str">
        <x:v>Directly relevant to Atriplex canescens.</x:v>
      </x:c>
      <x:c r="O161" s="215" t="str">
        <x:v>Low</x:v>
      </x:c>
      <x:c r="P161" s="215" t="str">
        <x:v>No</x:v>
      </x:c>
      <x:c r="Q161" s="215" t="str"/>
      <x:c r="R161" s="215" t="str">
        <x:v>AMAR-LK03</x:v>
      </x:c>
      <x:c r="S161" s="215" t="str">
        <x:v>KEW-AMAR-GI; APWEB-CARY; POWO-AMAR</x:v>
      </x:c>
      <x:c r="T161" s="215" t="str">
        <x:v>https://www.mobot.org/Mobot/research/APweb/orders/caryophyllalesweb.htm</x:v>
      </x:c>
      <x:c r="U161" s="215" t="str">
        <x:v>https://powo.science.kew.org/taxon/urn:lsid:ipni.org:names:30000566-2/general-information
https://floranorthamerica.org/Amaranthaceae</x:v>
      </x:c>
      <x:c r="V161" s="215" t="str">
        <x:v>https://powo.science.kew.org/taxon/urn:lsid:ipni.org:names:30000566-2</x:v>
      </x:c>
      <x:c r="W161" s="215" t="str">
        <x:v>https://powo.science.kew.org/taxon/urn:lsid:ipni.org:names:30000566-2/general-information
https://www.mobot.org/Mobot/research/APweb/orders/caryophyllalesweb.htm
https://powo.science.kew.org/taxon/urn:lsid:ipni.org:names:30000566-2
https://floranorthamerica.org/Amaranthaceae</x:v>
      </x:c>
      <x:c r="X161" s="215" t="str">
        <x:v>No - retain qualifiers and exceptions</x:v>
      </x:c>
      <x:c r="Y161" s="215" t="str">
        <x:v>Yes</x:v>
      </x:c>
      <x:c r="Z161" s="215" t="str">
        <x:v>Source-backed draft</x:v>
      </x:c>
      <x:c r="AA161" s="215" t="str">
        <x:v>Local subgroup / route</x:v>
      </x:c>
      <x:c r="AB161" s="215" t="str">
        <x:v>Supporting / route</x:v>
      </x:c>
      <x:c r="AC161" s="215" t="str">
        <x:v>High</x:v>
      </x:c>
      <x:c r="AD161" s="215" t="str">
        <x:v>Hand lens / macro</x:v>
      </x:c>
      <x:c r="AE161" s="215" t="str">
        <x:v>Low</x:v>
      </x:c>
      <x:c r="AF161" s="215" t="str">
        <x:v>Field-ready draft</x:v>
      </x:c>
      <x:c r="AG161" s="215" t="str">
        <x:v>2 — Field-photo priority</x:v>
      </x:c>
      <x:c r="AH161" s="215" t="str">
        <x:v>Current master inventory</x:v>
      </x:c>
    </x:row>
    <x:row r="162" ht="42" customHeight="1">
      <x:c r="A162" s="215" t="str">
        <x:v>Amaranthaceae</x:v>
      </x:c>
      <x:c r="B162" s="215" t="str">
        <x:v>AMAR-CELOSIA-FROEL</x:v>
      </x:c>
      <x:c r="C162" s="215" t="str">
        <x:v>Local subgroup: Celosia and Froelichia</x:v>
      </x:c>
      <x:c r="D162" s="215" t="str">
        <x:v>Inflorescence and perianth</x:v>
      </x:c>
      <x:c r="E162" s="215" t="str">
        <x:v>Dense, often conspicuous spikes with persistent papery perianth</x:v>
      </x:c>
      <x:c r="F162" s="215" t="str">
        <x:v>Subgroup</x:v>
      </x:c>
      <x:c r="G162" s="215" t="str">
        <x:v>4</x:v>
      </x:c>
      <x:c r="H162" s="215" t="str">
        <x:v>Moderate to high</x:v>
      </x:c>
      <x:c r="I162" s="215" t="str">
        <x:v>Naked eye plus hand lens</x:v>
      </x:c>
      <x:c r="J162" s="215" t="str">
        <x:v>Flowering and fruiting</x:v>
      </x:c>
      <x:c r="K162" s="215" t="str">
        <x:v>The papery flower parts persist and help make the spike conspicuous after flowering.</x:v>
      </x:c>
      <x:c r="L162" s="215" t="str">
        <x:v>Celosia and Froelichia differ strongly in bracts, hairs, style, and fruit; this is only a local branch point.</x:v>
      </x:c>
      <x:c r="M162" s="215" t="str">
        <x:v>Separates these local genera from many diffuse Amaranthus and former chenopod forms.</x:v>
      </x:c>
      <x:c r="N162" s="215" t="str">
        <x:v>Applies to Celosia nitida and Froelichia gracilis.</x:v>
      </x:c>
      <x:c r="O162" s="215" t="str">
        <x:v>Moderate</x:v>
      </x:c>
      <x:c r="P162" s="215" t="str">
        <x:v>Yes</x:v>
      </x:c>
      <x:c r="Q162" s="215" t="str">
        <x:v>Genus matrix needed before field deployment.</x:v>
      </x:c>
      <x:c r="R162" s="215" t="str"/>
      <x:c r="S162" s="215" t="str">
        <x:v>FNA-AMAR; APWEB-CARY; POWO-AMAR</x:v>
      </x:c>
      <x:c r="T162" s="215" t="str">
        <x:v>https://www.mobot.org/Mobot/research/APweb/orders/caryophyllalesweb.htm</x:v>
      </x:c>
      <x:c r="U162" s="215" t="str">
        <x:v>https://floranorthamerica.org/Amaranthaceae
https://powo.science.kew.org/taxon/urn:lsid:ipni.org:names:30000566-2/general-information</x:v>
      </x:c>
      <x:c r="V162" s="215" t="str">
        <x:v>https://powo.science.kew.org/taxon/urn:lsid:ipni.org:names:30000566-2</x:v>
      </x:c>
      <x:c r="W162" s="215" t="str">
        <x:v>https://floranorthamerica.org/Amaranthaceae
https://www.mobot.org/Mobot/research/APweb/orders/caryophyllalesweb.htm
https://powo.science.kew.org/taxon/urn:lsid:ipni.org:names:30000566-2
https://powo.science.kew.org/taxon/urn:lsid:ipni.org:names:30000566-2/general-information</x:v>
      </x:c>
      <x:c r="X162" s="215" t="str">
        <x:v>No - retain qualifiers and exceptions</x:v>
      </x:c>
      <x:c r="Y162" s="215" t="str">
        <x:v>Yes</x:v>
      </x:c>
      <x:c r="Z162" s="215" t="str">
        <x:v>Human review required</x:v>
      </x:c>
      <x:c r="AA162" s="215" t="str">
        <x:v>Local subgroup / route</x:v>
      </x:c>
      <x:c r="AB162" s="215" t="str">
        <x:v>Supporting / route</x:v>
      </x:c>
      <x:c r="AC162" s="215" t="str">
        <x:v>Moderate</x:v>
      </x:c>
      <x:c r="AD162" s="215" t="str">
        <x:v>Hand lens / macro</x:v>
      </x:c>
      <x:c r="AE162" s="215" t="str">
        <x:v>Moderate</x:v>
      </x:c>
      <x:c r="AF162" s="215" t="str">
        <x:v>Use only after review</x:v>
      </x:c>
      <x:c r="AG162" s="215" t="str">
        <x:v>1 — Human review now</x:v>
      </x:c>
      <x:c r="AH162" s="215" t="str">
        <x:v>Current master inventory</x:v>
      </x:c>
    </x:row>
    <x:row r="163" ht="42" customHeight="1">
      <x:c r="A163" s="215" t="str">
        <x:v>Amaranthaceae</x:v>
      </x:c>
      <x:c r="B163" s="215" t="str">
        <x:v>AMAR-TIDESTROMIA</x:v>
      </x:c>
      <x:c r="C163" s="215" t="str">
        <x:v>Local subgroup: Tidestromia</x:v>
      </x:c>
      <x:c r="D163" s="215" t="str">
        <x:v>Indumentum and habit</x:v>
      </x:c>
      <x:c r="E163" s="215" t="str">
        <x:v>Prostrate or spreading plant with dense branched or stellate hairs</x:v>
      </x:c>
      <x:c r="F163" s="215" t="str">
        <x:v>Subgroup</x:v>
      </x:c>
      <x:c r="G163" s="215" t="str">
        <x:v>4</x:v>
      </x:c>
      <x:c r="H163" s="215" t="str">
        <x:v>Moderate to high</x:v>
      </x:c>
      <x:c r="I163" s="215" t="str">
        <x:v>Hand lens</x:v>
      </x:c>
      <x:c r="J163" s="215" t="str">
        <x:v>Vegetative to fruiting</x:v>
      </x:c>
      <x:c r="K163" s="215" t="str">
        <x:v>The gray-woolly surface comes from branched hairs rather than simple hairs.</x:v>
      </x:c>
      <x:c r="L163" s="215" t="str">
        <x:v>Hair density changes with age and environment; other unrelated plants also have stellate hairs.</x:v>
      </x:c>
      <x:c r="M163" s="215" t="str">
        <x:v>Routes a woolly prostrate local amaranth to Tidestromia when flowers and fruits agree.</x:v>
      </x:c>
      <x:c r="N163" s="215" t="str">
        <x:v>Directly relevant to Tidestromia lanuginosa.</x:v>
      </x:c>
      <x:c r="O163" s="215" t="str">
        <x:v>Low</x:v>
      </x:c>
      <x:c r="P163" s="215" t="str">
        <x:v>No</x:v>
      </x:c>
      <x:c r="Q163" s="215" t="str"/>
      <x:c r="R163" s="215" t="str"/>
      <x:c r="S163" s="215" t="str">
        <x:v>FNA-AMAR; APWEB-CARY; POWO-AMAR</x:v>
      </x:c>
      <x:c r="T163" s="215" t="str">
        <x:v>https://www.mobot.org/Mobot/research/APweb/orders/caryophyllalesweb.htm</x:v>
      </x:c>
      <x:c r="U163" s="215" t="str">
        <x:v>https://floranorthamerica.org/Amaranthaceae
https://powo.science.kew.org/taxon/urn:lsid:ipni.org:names:30000566-2/general-information</x:v>
      </x:c>
      <x:c r="V163" s="215" t="str">
        <x:v>https://powo.science.kew.org/taxon/urn:lsid:ipni.org:names:30000566-2</x:v>
      </x:c>
      <x:c r="W163" s="215" t="str">
        <x:v>https://floranorthamerica.org/Amaranthaceae
https://www.mobot.org/Mobot/research/APweb/orders/caryophyllalesweb.htm
https://powo.science.kew.org/taxon/urn:lsid:ipni.org:names:30000566-2
https://powo.science.kew.org/taxon/urn:lsid:ipni.org:names:30000566-2/general-information</x:v>
      </x:c>
      <x:c r="X163" s="215" t="str">
        <x:v>No - retain qualifiers and exceptions</x:v>
      </x:c>
      <x:c r="Y163" s="215" t="str">
        <x:v>Yes</x:v>
      </x:c>
      <x:c r="Z163" s="215" t="str">
        <x:v>Source-backed draft</x:v>
      </x:c>
      <x:c r="AA163" s="215" t="str">
        <x:v>Local subgroup / route</x:v>
      </x:c>
      <x:c r="AB163" s="215" t="str">
        <x:v>Supporting / route</x:v>
      </x:c>
      <x:c r="AC163" s="215" t="str">
        <x:v>Moderate</x:v>
      </x:c>
      <x:c r="AD163" s="215" t="str">
        <x:v>Hand lens / macro</x:v>
      </x:c>
      <x:c r="AE163" s="215" t="str">
        <x:v>Low</x:v>
      </x:c>
      <x:c r="AF163" s="215" t="str">
        <x:v>Field-ready draft</x:v>
      </x:c>
      <x:c r="AG163" s="215" t="str">
        <x:v>2 — Field-photo priority</x:v>
      </x:c>
      <x:c r="AH163" s="215" t="str">
        <x:v>Current master inventory</x:v>
      </x:c>
    </x:row>
    <x:row r="164" ht="42" customHeight="1">
      <x:c r="A164" s="215" t="str">
        <x:v>Amaranthaceae</x:v>
      </x:c>
      <x:c r="B164" s="215" t="str">
        <x:v>AMAR-PIGMENT</x:v>
      </x:c>
      <x:c r="C164" s="215" t="str">
        <x:v>Family-wide warning</x:v>
      </x:c>
      <x:c r="D164" s="215" t="str">
        <x:v>Chemistry / color</x:v>
      </x:c>
      <x:c r="E164" s="215" t="str">
        <x:v>Betalain pigments may replace anthocyanins</x:v>
      </x:c>
      <x:c r="F164" s="215" t="str">
        <x:v>Caution</x:v>
      </x:c>
      <x:c r="G164" s="215" t="str">
        <x:v>0</x:v>
      </x:c>
      <x:c r="H164" s="215" t="str">
        <x:v>Variable</x:v>
      </x:c>
      <x:c r="I164" s="215" t="str">
        <x:v>Not a safe field test</x:v>
      </x:c>
      <x:c r="J164" s="215" t="str">
        <x:v>Any</x:v>
      </x:c>
      <x:c r="K164" s="215" t="str">
        <x:v>Red or purple color in many family members can come from betalains.</x:v>
      </x:c>
      <x:c r="L164" s="215" t="str">
        <x:v>Pigment presence is not universal, cannot be diagnosed reliably by eye, and similar colors occur in unrelated plants.</x:v>
      </x:c>
      <x:c r="M164" s="215" t="str">
        <x:v>Retain as background biology, never as a field-ID requirement.</x:v>
      </x:c>
      <x:c r="N164" s="215" t="str">
        <x:v>Some local Amaranthus show red coloration, but color is too variable for identification.</x:v>
      </x:c>
      <x:c r="O164" s="215" t="str">
        <x:v>Low</x:v>
      </x:c>
      <x:c r="P164" s="215" t="str">
        <x:v>No</x:v>
      </x:c>
      <x:c r="Q164" s="215" t="str"/>
      <x:c r="R164" s="215" t="str"/>
      <x:c r="S164" s="215" t="str">
        <x:v>APWEB-CARY; KEW-AMAR-GI; POWO-AMAR</x:v>
      </x:c>
      <x:c r="T164" s="215" t="str">
        <x:v>https://www.mobot.org/Mobot/research/APweb/orders/caryophyllalesweb.htm</x:v>
      </x:c>
      <x:c r="U164" s="215" t="str">
        <x:v>https://powo.science.kew.org/taxon/urn:lsid:ipni.org:names:30000566-2/general-information
https://floranorthamerica.org/Amaranthaceae</x:v>
      </x:c>
      <x:c r="V164" s="215" t="str">
        <x:v>https://powo.science.kew.org/taxon/urn:lsid:ipni.org:names:30000566-2</x:v>
      </x:c>
      <x:c r="W164" s="215" t="str">
        <x:v>https://www.mobot.org/Mobot/research/APweb/orders/caryophyllalesweb.htm
https://powo.science.kew.org/taxon/urn:lsid:ipni.org:names:30000566-2/general-information
https://powo.science.kew.org/taxon/urn:lsid:ipni.org:names:30000566-2
https://floranorthamerica.org/Amaranthaceae</x:v>
      </x:c>
      <x:c r="X164" s="215" t="str">
        <x:v>No - retain qualifiers and exceptions</x:v>
      </x:c>
      <x:c r="Y164" s="215" t="str">
        <x:v>Yes</x:v>
      </x:c>
      <x:c r="Z164" s="215" t="str">
        <x:v>Source-backed draft</x:v>
      </x:c>
      <x:c r="AA164" s="215" t="str">
        <x:v>Caution / method</x:v>
      </x:c>
      <x:c r="AB164" s="215" t="str">
        <x:v>Caution / negative rule</x:v>
      </x:c>
      <x:c r="AC164" s="215" t="str">
        <x:v>Variable</x:v>
      </x:c>
      <x:c r="AD164" s="215" t="str">
        <x:v>Other</x:v>
      </x:c>
      <x:c r="AE164" s="215" t="str">
        <x:v>Low</x:v>
      </x:c>
      <x:c r="AF164" s="215" t="str">
        <x:v>Context dependent</x:v>
      </x:c>
      <x:c r="AG164" s="215" t="str">
        <x:v>4 — Context / caution</x:v>
      </x:c>
      <x:c r="AH164" s="215" t="str">
        <x:v>Current master inventory</x:v>
      </x:c>
    </x:row>
    <x:row r="165" ht="42" customHeight="1">
      <x:c r="A165" s="215" t="str">
        <x:v>Cactaceae</x:v>
      </x:c>
      <x:c r="B165" s="215" t="str">
        <x:v>CACT-STEM</x:v>
      </x:c>
      <x:c r="C165" s="215" t="str">
        <x:v>Broad family tendency</x:v>
      </x:c>
      <x:c r="D165" s="215" t="str">
        <x:v>Stem</x:v>
      </x:c>
      <x:c r="E165" s="215" t="str">
        <x:v>Stems commonly succulent and photosynthetic</x:v>
      </x:c>
      <x:c r="F165" s="215" t="str">
        <x:v>Supporting</x:v>
      </x:c>
      <x:c r="G165" s="215" t="str">
        <x:v>3</x:v>
      </x:c>
      <x:c r="H165" s="215" t="str">
        <x:v>High</x:v>
      </x:c>
      <x:c r="I165" s="215" t="str">
        <x:v>Naked eye</x:v>
      </x:c>
      <x:c r="J165" s="215" t="str">
        <x:v>Any</x:v>
      </x:c>
      <x:c r="K165" s="215" t="str">
        <x:v>The water-storing stem often performs most photosynthesis and may be flattened, cylindrical, ribbed, or tuberculate.</x:v>
      </x:c>
      <x:c r="L165" s="215" t="str">
        <x:v>Some cacti are leafy or epiphytic; succulence occurs in many unrelated families.</x:v>
      </x:c>
      <x:c r="M165" s="215" t="str">
        <x:v>Use only as the visual entry point, then find areoles.</x:v>
      </x:c>
      <x:c r="N165" s="215" t="str">
        <x:v>All current Hays taxa have conspicuously succulent stems.</x:v>
      </x:c>
      <x:c r="O165" s="215" t="str">
        <x:v>Low</x:v>
      </x:c>
      <x:c r="P165" s="215" t="str">
        <x:v>No</x:v>
      </x:c>
      <x:c r="Q165" s="215" t="str"/>
      <x:c r="R165" s="215" t="str">
        <x:v>CACT-LK01; CACT-LK02; CACT-LK03</x:v>
      </x:c>
      <x:c r="S165" s="215" t="str">
        <x:v>APWEB-CARY; FNA-CACT; POWO-CACT</x:v>
      </x:c>
      <x:c r="T165" s="215" t="str">
        <x:v>https://www.mobot.org/Mobot/research/APweb/orders/caryophyllalesweb.htm</x:v>
      </x:c>
      <x:c r="U165" s="215" t="str">
        <x:v>https://floranorthamerica.org/Cactaceae</x:v>
      </x:c>
      <x:c r="V165" s="215" t="str">
        <x:v>https://powo.science.kew.org/taxon/urn:lsid:ipni.org:names:30000028-2</x:v>
      </x:c>
      <x:c r="W165" s="215" t="str">
        <x:v>https://www.mobot.org/Mobot/research/APweb/orders/caryophyllalesweb.htm
https://floranorthamerica.org/Cactaceae
https://powo.science.kew.org/taxon/urn:lsid:ipni.org:names:30000028-2</x:v>
      </x:c>
      <x:c r="X165" s="215" t="str">
        <x:v>No - retain qualifiers and exceptions</x:v>
      </x:c>
      <x:c r="Y165" s="215" t="str">
        <x:v>Yes</x:v>
      </x:c>
      <x:c r="Z165" s="215" t="str">
        <x:v>Source-backed draft</x:v>
      </x:c>
      <x:c r="AA165" s="215" t="str">
        <x:v>Family pattern</x:v>
      </x:c>
      <x:c r="AB165" s="215" t="str">
        <x:v>Supporting / route</x:v>
      </x:c>
      <x:c r="AC165" s="215" t="str">
        <x:v>High</x:v>
      </x:c>
      <x:c r="AD165" s="215" t="str">
        <x:v>Naked eye / field</x:v>
      </x:c>
      <x:c r="AE165" s="215" t="str">
        <x:v>Low</x:v>
      </x:c>
      <x:c r="AF165" s="215" t="str">
        <x:v>Field-ready draft</x:v>
      </x:c>
      <x:c r="AG165" s="215" t="str">
        <x:v>3 — Reference support</x:v>
      </x:c>
      <x:c r="AH165" s="215" t="str">
        <x:v>Current master inventory</x:v>
      </x:c>
    </x:row>
    <x:row r="166" ht="42" customHeight="1">
      <x:c r="A166" s="215" t="str">
        <x:v>Cactaceae</x:v>
      </x:c>
      <x:c r="B166" s="215" t="str">
        <x:v>CACT-AREOLE</x:v>
      </x:c>
      <x:c r="C166" s="215" t="str">
        <x:v>Family-wide defining structure</x:v>
      </x:c>
      <x:c r="D166" s="215" t="str">
        <x:v>Shoot system</x:v>
      </x:c>
      <x:c r="E166" s="215" t="str">
        <x:v>Areoles present</x:v>
      </x:c>
      <x:c r="F166" s="215" t="str">
        <x:v>Core</x:v>
      </x:c>
      <x:c r="G166" s="215" t="str">
        <x:v>5</x:v>
      </x:c>
      <x:c r="H166" s="215" t="str">
        <x:v>High</x:v>
      </x:c>
      <x:c r="I166" s="215" t="str">
        <x:v>Naked eye or hand lens</x:v>
      </x:c>
      <x:c r="J166" s="215" t="str">
        <x:v>Any</x:v>
      </x:c>
      <x:c r="K166" s="215" t="str">
        <x:v>An areole is a short-shoot pad or cluster from which spines, hairs, flowers, or new branches arise.</x:v>
      </x:c>
      <x:c r="L166" s="215" t="str">
        <x:v>Areoles can be tiny, woolly, crowded, or nearly spineless, but the structure rather than the spine itself is the key.</x:v>
      </x:c>
      <x:c r="M166" s="215" t="str">
        <x:v>The most reliable visible separation from succulent Euphorbiaceae, Agave, and Portulacaceae.</x:v>
      </x:c>
      <x:c r="N166" s="215" t="str">
        <x:v>Visible in every current local cactus genus.</x:v>
      </x:c>
      <x:c r="O166" s="215" t="str">
        <x:v>Low</x:v>
      </x:c>
      <x:c r="P166" s="215" t="str">
        <x:v>No</x:v>
      </x:c>
      <x:c r="Q166" s="215" t="str"/>
      <x:c r="R166" s="215" t="str">
        <x:v>CACT-LK01; CACT-LK02; CACT-LK03</x:v>
      </x:c>
      <x:c r="S166" s="215" t="str">
        <x:v>APWEB-CARY; FNA-CACT; POWO-CACT</x:v>
      </x:c>
      <x:c r="T166" s="215" t="str">
        <x:v>https://www.mobot.org/Mobot/research/APweb/orders/caryophyllalesweb.htm</x:v>
      </x:c>
      <x:c r="U166" s="215" t="str">
        <x:v>https://floranorthamerica.org/Cactaceae</x:v>
      </x:c>
      <x:c r="V166" s="215" t="str">
        <x:v>https://powo.science.kew.org/taxon/urn:lsid:ipni.org:names:30000028-2</x:v>
      </x:c>
      <x:c r="W166" s="215" t="str">
        <x:v>https://www.mobot.org/Mobot/research/APweb/orders/caryophyllalesweb.htm
https://floranorthamerica.org/Cactaceae
https://powo.science.kew.org/taxon/urn:lsid:ipni.org:names:30000028-2</x:v>
      </x:c>
      <x:c r="X166" s="215" t="str">
        <x:v>No - retain qualifiers and exceptions</x:v>
      </x:c>
      <x:c r="Y166" s="215" t="str">
        <x:v>Yes</x:v>
      </x:c>
      <x:c r="Z166" s="215" t="str">
        <x:v>Source-backed draft</x:v>
      </x:c>
      <x:c r="AA166" s="215" t="str">
        <x:v>Family pattern</x:v>
      </x:c>
      <x:c r="AB166" s="215" t="str">
        <x:v>Positive diagnostic</x:v>
      </x:c>
      <x:c r="AC166" s="215" t="str">
        <x:v>High</x:v>
      </x:c>
      <x:c r="AD166" s="215" t="str">
        <x:v>Hand lens / macro</x:v>
      </x:c>
      <x:c r="AE166" s="215" t="str">
        <x:v>Low</x:v>
      </x:c>
      <x:c r="AF166" s="215" t="str">
        <x:v>Field-ready draft</x:v>
      </x:c>
      <x:c r="AG166" s="215" t="str">
        <x:v>2 — Field-photo priority</x:v>
      </x:c>
      <x:c r="AH166" s="215" t="str">
        <x:v>Current master inventory</x:v>
      </x:c>
    </x:row>
    <x:row r="167" ht="42" customHeight="1">
      <x:c r="A167" s="215" t="str">
        <x:v>Cactaceae</x:v>
      </x:c>
      <x:c r="B167" s="215" t="str">
        <x:v>CACT-SPINES</x:v>
      </x:c>
      <x:c r="C167" s="215" t="str">
        <x:v>Broad family tendency</x:v>
      </x:c>
      <x:c r="D167" s="215" t="str">
        <x:v>Areole / leaf homologue</x:v>
      </x:c>
      <x:c r="E167" s="215" t="str">
        <x:v>Spines, bristles, hairs, or wool commonly arise from areoles</x:v>
      </x:c>
      <x:c r="F167" s="215" t="str">
        <x:v>Strong</x:v>
      </x:c>
      <x:c r="G167" s="215" t="str">
        <x:v>4</x:v>
      </x:c>
      <x:c r="H167" s="215" t="str">
        <x:v>High</x:v>
      </x:c>
      <x:c r="I167" s="215" t="str">
        <x:v>Naked eye or hand lens</x:v>
      </x:c>
      <x:c r="J167" s="215" t="str">
        <x:v>Any</x:v>
      </x:c>
      <x:c r="K167" s="215" t="str">
        <x:v>Protective structures are organized in repeatable areoles instead of arising randomly from the stem surface.</x:v>
      </x:c>
      <x:c r="L167" s="215" t="str">
        <x:v>Some taxa or individuals are weakly spined or spineless; spines alone are not unique to cacti.</x:v>
      </x:c>
      <x:c r="M167" s="215" t="str">
        <x:v>Confirm that every spine cluster is centered on an areole.</x:v>
      </x:c>
      <x:c r="N167" s="215" t="str">
        <x:v>Strong across the local list; spine form is important at genus and species levels.</x:v>
      </x:c>
      <x:c r="O167" s="215" t="str">
        <x:v>Low</x:v>
      </x:c>
      <x:c r="P167" s="215" t="str">
        <x:v>No</x:v>
      </x:c>
      <x:c r="Q167" s="215" t="str"/>
      <x:c r="R167" s="215" t="str">
        <x:v>CACT-LK01; CACT-LK02</x:v>
      </x:c>
      <x:c r="S167" s="215" t="str">
        <x:v>APWEB-CARY; FNA-CACT; POWO-CACT</x:v>
      </x:c>
      <x:c r="T167" s="215" t="str">
        <x:v>https://www.mobot.org/Mobot/research/APweb/orders/caryophyllalesweb.htm</x:v>
      </x:c>
      <x:c r="U167" s="215" t="str">
        <x:v>https://floranorthamerica.org/Cactaceae</x:v>
      </x:c>
      <x:c r="V167" s="215" t="str">
        <x:v>https://powo.science.kew.org/taxon/urn:lsid:ipni.org:names:30000028-2</x:v>
      </x:c>
      <x:c r="W167" s="215" t="str">
        <x:v>https://www.mobot.org/Mobot/research/APweb/orders/caryophyllalesweb.htm
https://floranorthamerica.org/Cactaceae
https://powo.science.kew.org/taxon/urn:lsid:ipni.org:names:30000028-2</x:v>
      </x:c>
      <x:c r="X167" s="215" t="str">
        <x:v>No - retain qualifiers and exceptions</x:v>
      </x:c>
      <x:c r="Y167" s="215" t="str">
        <x:v>Yes</x:v>
      </x:c>
      <x:c r="Z167" s="215" t="str">
        <x:v>Source-backed draft</x:v>
      </x:c>
      <x:c r="AA167" s="215" t="str">
        <x:v>Family pattern</x:v>
      </x:c>
      <x:c r="AB167" s="215" t="str">
        <x:v>Positive diagnostic</x:v>
      </x:c>
      <x:c r="AC167" s="215" t="str">
        <x:v>High</x:v>
      </x:c>
      <x:c r="AD167" s="215" t="str">
        <x:v>Hand lens / macro</x:v>
      </x:c>
      <x:c r="AE167" s="215" t="str">
        <x:v>Low</x:v>
      </x:c>
      <x:c r="AF167" s="215" t="str">
        <x:v>Field-ready draft</x:v>
      </x:c>
      <x:c r="AG167" s="215" t="str">
        <x:v>2 — Field-photo priority</x:v>
      </x:c>
      <x:c r="AH167" s="215" t="str">
        <x:v>Current master inventory</x:v>
      </x:c>
    </x:row>
    <x:row r="168" ht="42" customHeight="1">
      <x:c r="A168" s="215" t="str">
        <x:v>Cactaceae</x:v>
      </x:c>
      <x:c r="B168" s="215" t="str">
        <x:v>CACT-LEAVES</x:v>
      </x:c>
      <x:c r="C168" s="215" t="str">
        <x:v>Broad family tendency</x:v>
      </x:c>
      <x:c r="D168" s="215" t="str">
        <x:v>Leaf</x:v>
      </x:c>
      <x:c r="E168" s="215" t="str">
        <x:v>Ordinary leaves usually absent or rapidly deciduous</x:v>
      </x:c>
      <x:c r="F168" s="215" t="str">
        <x:v>Supporting</x:v>
      </x:c>
      <x:c r="G168" s="215" t="str">
        <x:v>2</x:v>
      </x:c>
      <x:c r="H168" s="215" t="str">
        <x:v>Variable</x:v>
      </x:c>
      <x:c r="I168" s="215" t="str">
        <x:v>Naked eye</x:v>
      </x:c>
      <x:c r="J168" s="215" t="str">
        <x:v>Vegetative</x:v>
      </x:c>
      <x:c r="K168" s="215" t="str">
        <x:v>Most local cacti rely on stems rather than broad leaves.</x:v>
      </x:c>
      <x:c r="L168" s="215" t="str">
        <x:v>Opuntioideae may produce small cylindrical leaves on new growth; leafy cacti occur elsewhere in the family.</x:v>
      </x:c>
      <x:c r="M168" s="215" t="str">
        <x:v>Absence of leaves supports but never proves the family.</x:v>
      </x:c>
      <x:c r="N168" s="215" t="str">
        <x:v>Small early leaves may appear on Opuntia and Cylindropuntia.</x:v>
      </x:c>
      <x:c r="O168" s="215" t="str">
        <x:v>Low</x:v>
      </x:c>
      <x:c r="P168" s="215" t="str">
        <x:v>No</x:v>
      </x:c>
      <x:c r="Q168" s="215" t="str"/>
      <x:c r="R168" s="215" t="str">
        <x:v>CACT-LK02; CACT-LK03</x:v>
      </x:c>
      <x:c r="S168" s="215" t="str">
        <x:v>APWEB-CARY; FNA-CACT; POWO-CACT</x:v>
      </x:c>
      <x:c r="T168" s="215" t="str">
        <x:v>https://www.mobot.org/Mobot/research/APweb/orders/caryophyllalesweb.htm</x:v>
      </x:c>
      <x:c r="U168" s="215" t="str">
        <x:v>https://floranorthamerica.org/Cactaceae</x:v>
      </x:c>
      <x:c r="V168" s="215" t="str">
        <x:v>https://powo.science.kew.org/taxon/urn:lsid:ipni.org:names:30000028-2</x:v>
      </x:c>
      <x:c r="W168" s="215" t="str">
        <x:v>https://www.mobot.org/Mobot/research/APweb/orders/caryophyllalesweb.htm
https://floranorthamerica.org/Cactaceae
https://powo.science.kew.org/taxon/urn:lsid:ipni.org:names:30000028-2</x:v>
      </x:c>
      <x:c r="X168" s="215" t="str">
        <x:v>No - retain qualifiers and exceptions</x:v>
      </x:c>
      <x:c r="Y168" s="215" t="str">
        <x:v>Yes</x:v>
      </x:c>
      <x:c r="Z168" s="215" t="str">
        <x:v>Source-backed draft</x:v>
      </x:c>
      <x:c r="AA168" s="215" t="str">
        <x:v>Family pattern</x:v>
      </x:c>
      <x:c r="AB168" s="215" t="str">
        <x:v>Supporting / route</x:v>
      </x:c>
      <x:c r="AC168" s="215" t="str">
        <x:v>Variable</x:v>
      </x:c>
      <x:c r="AD168" s="215" t="str">
        <x:v>Naked eye / field</x:v>
      </x:c>
      <x:c r="AE168" s="215" t="str">
        <x:v>Low</x:v>
      </x:c>
      <x:c r="AF168" s="215" t="str">
        <x:v>Field-ready draft</x:v>
      </x:c>
      <x:c r="AG168" s="215" t="str">
        <x:v>4 — Context / caution</x:v>
      </x:c>
      <x:c r="AH168" s="215" t="str">
        <x:v>Current master inventory</x:v>
      </x:c>
    </x:row>
    <x:row r="169" ht="42" customHeight="1">
      <x:c r="A169" s="215" t="str">
        <x:v>Cactaceae</x:v>
      </x:c>
      <x:c r="B169" s="215" t="str">
        <x:v>CACT-FLOWER-ORIGIN</x:v>
      </x:c>
      <x:c r="C169" s="215" t="str">
        <x:v>Family-wide</x:v>
      </x:c>
      <x:c r="D169" s="215" t="str">
        <x:v>Flower position</x:v>
      </x:c>
      <x:c r="E169" s="215" t="str">
        <x:v>Flowers arise from areoles or areole-derived structures</x:v>
      </x:c>
      <x:c r="F169" s="215" t="str">
        <x:v>Core</x:v>
      </x:c>
      <x:c r="G169" s="215" t="str">
        <x:v>5</x:v>
      </x:c>
      <x:c r="H169" s="215" t="str">
        <x:v>High</x:v>
      </x:c>
      <x:c r="I169" s="215" t="str">
        <x:v>Naked eye</x:v>
      </x:c>
      <x:c r="J169" s="215" t="str">
        <x:v>Flowering</x:v>
      </x:c>
      <x:c r="K169" s="215" t="str">
        <x:v>The flower is connected to the same specialized short-shoot system that bears spines or wool.</x:v>
      </x:c>
      <x:c r="L169" s="215" t="str">
        <x:v>The areole may be hidden by dense wool or positioned in an axil-like groove.</x:v>
      </x:c>
      <x:c r="M169" s="215" t="str">
        <x:v>Confirms cactus organization even when a plant is nearly spineless.</x:v>
      </x:c>
      <x:c r="N169" s="215" t="str">
        <x:v>Applicable to all current local taxa.</x:v>
      </x:c>
      <x:c r="O169" s="215" t="str">
        <x:v>Low</x:v>
      </x:c>
      <x:c r="P169" s="215" t="str">
        <x:v>No</x:v>
      </x:c>
      <x:c r="Q169" s="215" t="str"/>
      <x:c r="R169" s="215" t="str">
        <x:v>CACT-LK01; CACT-LK02; CACT-LK03</x:v>
      </x:c>
      <x:c r="S169" s="215" t="str">
        <x:v>APWEB-CARY; FNA-CACT; POWO-CACT</x:v>
      </x:c>
      <x:c r="T169" s="215" t="str">
        <x:v>https://www.mobot.org/Mobot/research/APweb/orders/caryophyllalesweb.htm</x:v>
      </x:c>
      <x:c r="U169" s="215" t="str">
        <x:v>https://floranorthamerica.org/Cactaceae</x:v>
      </x:c>
      <x:c r="V169" s="215" t="str">
        <x:v>https://powo.science.kew.org/taxon/urn:lsid:ipni.org:names:30000028-2</x:v>
      </x:c>
      <x:c r="W169" s="215" t="str">
        <x:v>https://www.mobot.org/Mobot/research/APweb/orders/caryophyllalesweb.htm
https://floranorthamerica.org/Cactaceae
https://powo.science.kew.org/taxon/urn:lsid:ipni.org:names:30000028-2</x:v>
      </x:c>
      <x:c r="X169" s="215" t="str">
        <x:v>No - retain qualifiers and exceptions</x:v>
      </x:c>
      <x:c r="Y169" s="215" t="str">
        <x:v>Yes</x:v>
      </x:c>
      <x:c r="Z169" s="215" t="str">
        <x:v>Source-backed draft</x:v>
      </x:c>
      <x:c r="AA169" s="215" t="str">
        <x:v>Family pattern</x:v>
      </x:c>
      <x:c r="AB169" s="215" t="str">
        <x:v>Positive diagnostic</x:v>
      </x:c>
      <x:c r="AC169" s="215" t="str">
        <x:v>High</x:v>
      </x:c>
      <x:c r="AD169" s="215" t="str">
        <x:v>Naked eye / field</x:v>
      </x:c>
      <x:c r="AE169" s="215" t="str">
        <x:v>Low</x:v>
      </x:c>
      <x:c r="AF169" s="215" t="str">
        <x:v>Field-ready draft</x:v>
      </x:c>
      <x:c r="AG169" s="215" t="str">
        <x:v>2 — Field-photo priority</x:v>
      </x:c>
      <x:c r="AH169" s="215" t="str">
        <x:v>Current master inventory</x:v>
      </x:c>
    </x:row>
    <x:row r="170" ht="42" customHeight="1">
      <x:c r="A170" s="215" t="str">
        <x:v>Cactaceae</x:v>
      </x:c>
      <x:c r="B170" s="215" t="str">
        <x:v>CACT-TEPALS</x:v>
      </x:c>
      <x:c r="C170" s="215" t="str">
        <x:v>Broad family suite</x:v>
      </x:c>
      <x:c r="D170" s="215" t="str">
        <x:v>Flower</x:v>
      </x:c>
      <x:c r="E170" s="215" t="str">
        <x:v>Numerous tepals grade from outer sepal-like to inner petal-like segments</x:v>
      </x:c>
      <x:c r="F170" s="215" t="str">
        <x:v>Strong</x:v>
      </x:c>
      <x:c r="G170" s="215" t="str">
        <x:v>4</x:v>
      </x:c>
      <x:c r="H170" s="215" t="str">
        <x:v>High</x:v>
      </x:c>
      <x:c r="I170" s="215" t="str">
        <x:v>Naked eye</x:v>
      </x:c>
      <x:c r="J170" s="215" t="str">
        <x:v>Flowering</x:v>
      </x:c>
      <x:c r="K170" s="215" t="str">
        <x:v>Instead of a clean sepal-versus-petal boundary, the flower often shows a gradual transition through many parts.</x:v>
      </x:c>
      <x:c r="L170" s="215" t="str">
        <x:v>Number and differentiation vary; small flowers can make the transition less obvious.</x:v>
      </x:c>
      <x:c r="M170" s="215" t="str">
        <x:v>Use with numerous stamens and an inferior ovary.</x:v>
      </x:c>
      <x:c r="N170" s="215" t="str">
        <x:v>Strong in all flowering local genera.</x:v>
      </x:c>
      <x:c r="O170" s="215" t="str">
        <x:v>Low</x:v>
      </x:c>
      <x:c r="P170" s="215" t="str">
        <x:v>No</x:v>
      </x:c>
      <x:c r="Q170" s="215" t="str"/>
      <x:c r="R170" s="215" t="str">
        <x:v>CACT-LK01; CACT-LK03</x:v>
      </x:c>
      <x:c r="S170" s="215" t="str">
        <x:v>APWEB-CARY; FNA-CACT; POWO-CACT</x:v>
      </x:c>
      <x:c r="T170" s="215" t="str">
        <x:v>https://www.mobot.org/Mobot/research/APweb/orders/caryophyllalesweb.htm</x:v>
      </x:c>
      <x:c r="U170" s="215" t="str">
        <x:v>https://floranorthamerica.org/Cactaceae</x:v>
      </x:c>
      <x:c r="V170" s="215" t="str">
        <x:v>https://powo.science.kew.org/taxon/urn:lsid:ipni.org:names:30000028-2</x:v>
      </x:c>
      <x:c r="W170" s="215" t="str">
        <x:v>https://www.mobot.org/Mobot/research/APweb/orders/caryophyllalesweb.htm
https://floranorthamerica.org/Cactaceae
https://powo.science.kew.org/taxon/urn:lsid:ipni.org:names:30000028-2</x:v>
      </x:c>
      <x:c r="X170" s="215" t="str">
        <x:v>No - retain qualifiers and exceptions</x:v>
      </x:c>
      <x:c r="Y170" s="215" t="str">
        <x:v>Yes</x:v>
      </x:c>
      <x:c r="Z170" s="215" t="str">
        <x:v>Source-backed draft</x:v>
      </x:c>
      <x:c r="AA170" s="215" t="str">
        <x:v>Family pattern</x:v>
      </x:c>
      <x:c r="AB170" s="215" t="str">
        <x:v>Positive diagnostic</x:v>
      </x:c>
      <x:c r="AC170" s="215" t="str">
        <x:v>High</x:v>
      </x:c>
      <x:c r="AD170" s="215" t="str">
        <x:v>Naked eye / field</x:v>
      </x:c>
      <x:c r="AE170" s="215" t="str">
        <x:v>Low</x:v>
      </x:c>
      <x:c r="AF170" s="215" t="str">
        <x:v>Field-ready draft</x:v>
      </x:c>
      <x:c r="AG170" s="215" t="str">
        <x:v>2 — Field-photo priority</x:v>
      </x:c>
      <x:c r="AH170" s="215" t="str">
        <x:v>Current master inventory</x:v>
      </x:c>
    </x:row>
    <x:row r="171" ht="42" customHeight="1">
      <x:c r="A171" s="215" t="str">
        <x:v>Cactaceae</x:v>
      </x:c>
      <x:c r="B171" s="215" t="str">
        <x:v>CACT-STAMENS</x:v>
      </x:c>
      <x:c r="C171" s="215" t="str">
        <x:v>Broad family suite</x:v>
      </x:c>
      <x:c r="D171" s="215" t="str">
        <x:v>Androecium</x:v>
      </x:c>
      <x:c r="E171" s="215" t="str">
        <x:v>Stamens numerous</x:v>
      </x:c>
      <x:c r="F171" s="215" t="str">
        <x:v>Strong</x:v>
      </x:c>
      <x:c r="G171" s="215" t="str">
        <x:v>4</x:v>
      </x:c>
      <x:c r="H171" s="215" t="str">
        <x:v>High</x:v>
      </x:c>
      <x:c r="I171" s="215" t="str">
        <x:v>Naked eye</x:v>
      </x:c>
      <x:c r="J171" s="215" t="str">
        <x:v>Flowering</x:v>
      </x:c>
      <x:c r="K171" s="215" t="str">
        <x:v>Many stamens form a conspicuous ring or mass inside the flower.</x:v>
      </x:c>
      <x:c r="L171" s="215" t="str">
        <x:v>Numerous stamens also occur in Rosaceae and other families; counts and arrangement vary.</x:v>
      </x:c>
      <x:c r="M171" s="215" t="str">
        <x:v>Only diagnostic when the flower comes from an areole on a succulent stem.</x:v>
      </x:c>
      <x:c r="N171" s="215" t="str">
        <x:v>Strong across local taxa.</x:v>
      </x:c>
      <x:c r="O171" s="215" t="str">
        <x:v>Low</x:v>
      </x:c>
      <x:c r="P171" s="215" t="str">
        <x:v>No</x:v>
      </x:c>
      <x:c r="Q171" s="215" t="str"/>
      <x:c r="R171" s="215" t="str">
        <x:v>CACT-LK03</x:v>
      </x:c>
      <x:c r="S171" s="215" t="str">
        <x:v>APWEB-CARY; FNA-CACT; POWO-CACT</x:v>
      </x:c>
      <x:c r="T171" s="215" t="str">
        <x:v>https://www.mobot.org/Mobot/research/APweb/orders/caryophyllalesweb.htm</x:v>
      </x:c>
      <x:c r="U171" s="215" t="str">
        <x:v>https://floranorthamerica.org/Cactaceae</x:v>
      </x:c>
      <x:c r="V171" s="215" t="str">
        <x:v>https://powo.science.kew.org/taxon/urn:lsid:ipni.org:names:30000028-2</x:v>
      </x:c>
      <x:c r="W171" s="215" t="str">
        <x:v>https://www.mobot.org/Mobot/research/APweb/orders/caryophyllalesweb.htm
https://floranorthamerica.org/Cactaceae
https://powo.science.kew.org/taxon/urn:lsid:ipni.org:names:30000028-2</x:v>
      </x:c>
      <x:c r="X171" s="215" t="str">
        <x:v>No - retain qualifiers and exceptions</x:v>
      </x:c>
      <x:c r="Y171" s="215" t="str">
        <x:v>Yes</x:v>
      </x:c>
      <x:c r="Z171" s="215" t="str">
        <x:v>Source-backed draft</x:v>
      </x:c>
      <x:c r="AA171" s="215" t="str">
        <x:v>Family pattern</x:v>
      </x:c>
      <x:c r="AB171" s="215" t="str">
        <x:v>Positive diagnostic</x:v>
      </x:c>
      <x:c r="AC171" s="215" t="str">
        <x:v>High</x:v>
      </x:c>
      <x:c r="AD171" s="215" t="str">
        <x:v>Naked eye / field</x:v>
      </x:c>
      <x:c r="AE171" s="215" t="str">
        <x:v>Low</x:v>
      </x:c>
      <x:c r="AF171" s="215" t="str">
        <x:v>Field-ready draft</x:v>
      </x:c>
      <x:c r="AG171" s="215" t="str">
        <x:v>2 — Field-photo priority</x:v>
      </x:c>
      <x:c r="AH171" s="215" t="str">
        <x:v>Current master inventory</x:v>
      </x:c>
    </x:row>
    <x:row r="172" ht="42" customHeight="1">
      <x:c r="A172" s="215" t="str">
        <x:v>Cactaceae</x:v>
      </x:c>
      <x:c r="B172" s="215" t="str">
        <x:v>CACT-OVARY</x:v>
      </x:c>
      <x:c r="C172" s="215" t="str">
        <x:v>Broad family suite</x:v>
      </x:c>
      <x:c r="D172" s="215" t="str">
        <x:v>Gynoecium</x:v>
      </x:c>
      <x:c r="E172" s="215" t="str">
        <x:v>Ovary inferior or deeply sunken, usually one-locular with parietal placentation</x:v>
      </x:c>
      <x:c r="F172" s="215" t="str">
        <x:v>Core</x:v>
      </x:c>
      <x:c r="G172" s="215" t="str">
        <x:v>5</x:v>
      </x:c>
      <x:c r="H172" s="215" t="str">
        <x:v>High</x:v>
      </x:c>
      <x:c r="I172" s="215" t="str">
        <x:v>Side view or hand lens</x:v>
      </x:c>
      <x:c r="J172" s="215" t="str">
        <x:v>Flowering to young fruit</x:v>
      </x:c>
      <x:c r="K172" s="215" t="str">
        <x:v>The flower parts arise above a seed-bearing chamber embedded in the stem-like floral base.</x:v>
      </x:c>
      <x:c r="L172" s="215" t="str">
        <x:v>Degree of embedding varies; internal placentation requires dissection.</x:v>
      </x:c>
      <x:c r="M172" s="215" t="str">
        <x:v>A major reproductive confirmation after areoles are found.</x:v>
      </x:c>
      <x:c r="N172" s="215" t="str">
        <x:v>Expected across current local taxa.</x:v>
      </x:c>
      <x:c r="O172" s="215" t="str">
        <x:v>Low</x:v>
      </x:c>
      <x:c r="P172" s="215" t="str">
        <x:v>No</x:v>
      </x:c>
      <x:c r="Q172" s="215" t="str"/>
      <x:c r="R172" s="215" t="str">
        <x:v>CACT-LK01; CACT-LK03</x:v>
      </x:c>
      <x:c r="S172" s="215" t="str">
        <x:v>APWEB-CARY; FNA-CACT; POWO-CACT</x:v>
      </x:c>
      <x:c r="T172" s="215" t="str">
        <x:v>https://www.mobot.org/Mobot/research/APweb/orders/caryophyllalesweb.htm</x:v>
      </x:c>
      <x:c r="U172" s="215" t="str">
        <x:v>https://floranorthamerica.org/Cactaceae</x:v>
      </x:c>
      <x:c r="V172" s="215" t="str">
        <x:v>https://powo.science.kew.org/taxon/urn:lsid:ipni.org:names:30000028-2</x:v>
      </x:c>
      <x:c r="W172" s="215" t="str">
        <x:v>https://www.mobot.org/Mobot/research/APweb/orders/caryophyllalesweb.htm
https://floranorthamerica.org/Cactaceae
https://powo.science.kew.org/taxon/urn:lsid:ipni.org:names:30000028-2</x:v>
      </x:c>
      <x:c r="X172" s="215" t="str">
        <x:v>No - retain qualifiers and exceptions</x:v>
      </x:c>
      <x:c r="Y172" s="215" t="str">
        <x:v>Yes</x:v>
      </x:c>
      <x:c r="Z172" s="215" t="str">
        <x:v>Source-backed draft</x:v>
      </x:c>
      <x:c r="AA172" s="215" t="str">
        <x:v>Family pattern</x:v>
      </x:c>
      <x:c r="AB172" s="215" t="str">
        <x:v>Positive diagnostic</x:v>
      </x:c>
      <x:c r="AC172" s="215" t="str">
        <x:v>High</x:v>
      </x:c>
      <x:c r="AD172" s="215" t="str">
        <x:v>Hand lens / macro</x:v>
      </x:c>
      <x:c r="AE172" s="215" t="str">
        <x:v>Low</x:v>
      </x:c>
      <x:c r="AF172" s="215" t="str">
        <x:v>Field-ready draft</x:v>
      </x:c>
      <x:c r="AG172" s="215" t="str">
        <x:v>2 — Field-photo priority</x:v>
      </x:c>
      <x:c r="AH172" s="215" t="str">
        <x:v>Current master inventory</x:v>
      </x:c>
    </x:row>
    <x:row r="173" ht="42" customHeight="1">
      <x:c r="A173" s="215" t="str">
        <x:v>Cactaceae</x:v>
      </x:c>
      <x:c r="B173" s="215" t="str">
        <x:v>CACT-FRUIT</x:v>
      </x:c>
      <x:c r="C173" s="215" t="str">
        <x:v>Broad family suite</x:v>
      </x:c>
      <x:c r="D173" s="215" t="str">
        <x:v>Fruit</x:v>
      </x:c>
      <x:c r="E173" s="215" t="str">
        <x:v>Berry-like fruit with many seeds</x:v>
      </x:c>
      <x:c r="F173" s="215" t="str">
        <x:v>Strong</x:v>
      </x:c>
      <x:c r="G173" s="215" t="str">
        <x:v>4</x:v>
      </x:c>
      <x:c r="H173" s="215" t="str">
        <x:v>High</x:v>
      </x:c>
      <x:c r="I173" s="215" t="str">
        <x:v>Naked eye</x:v>
      </x:c>
      <x:c r="J173" s="215" t="str">
        <x:v>Fruiting</x:v>
      </x:c>
      <x:c r="K173" s="215" t="str">
        <x:v>The inferior ovary matures into a fleshy or sometimes drying berry containing many seeds.</x:v>
      </x:c>
      <x:c r="L173" s="215" t="str">
        <x:v>Fruit may be dry at maturity, spiny, woolly, or deeply embedded; animals may remove it quickly.</x:v>
      </x:c>
      <x:c r="M173" s="215" t="str">
        <x:v>Useful confirmation when flowers are absent.</x:v>
      </x:c>
      <x:c r="N173" s="215" t="str">
        <x:v>Strong across local taxa, but fruit surface varies greatly.</x:v>
      </x:c>
      <x:c r="O173" s="215" t="str">
        <x:v>Low</x:v>
      </x:c>
      <x:c r="P173" s="215" t="str">
        <x:v>No</x:v>
      </x:c>
      <x:c r="Q173" s="215" t="str"/>
      <x:c r="R173" s="215" t="str">
        <x:v>CACT-LK01; CACT-LK03</x:v>
      </x:c>
      <x:c r="S173" s="215" t="str">
        <x:v>APWEB-CARY; FNA-CACT; POWO-CACT</x:v>
      </x:c>
      <x:c r="T173" s="215" t="str">
        <x:v>https://www.mobot.org/Mobot/research/APweb/orders/caryophyllalesweb.htm</x:v>
      </x:c>
      <x:c r="U173" s="215" t="str">
        <x:v>https://floranorthamerica.org/Cactaceae</x:v>
      </x:c>
      <x:c r="V173" s="215" t="str">
        <x:v>https://powo.science.kew.org/taxon/urn:lsid:ipni.org:names:30000028-2</x:v>
      </x:c>
      <x:c r="W173" s="215" t="str">
        <x:v>https://www.mobot.org/Mobot/research/APweb/orders/caryophyllalesweb.htm
https://floranorthamerica.org/Cactaceae
https://powo.science.kew.org/taxon/urn:lsid:ipni.org:names:30000028-2</x:v>
      </x:c>
      <x:c r="X173" s="215" t="str">
        <x:v>No - retain qualifiers and exceptions</x:v>
      </x:c>
      <x:c r="Y173" s="215" t="str">
        <x:v>Yes</x:v>
      </x:c>
      <x:c r="Z173" s="215" t="str">
        <x:v>Source-backed draft</x:v>
      </x:c>
      <x:c r="AA173" s="215" t="str">
        <x:v>Family pattern</x:v>
      </x:c>
      <x:c r="AB173" s="215" t="str">
        <x:v>Positive diagnostic</x:v>
      </x:c>
      <x:c r="AC173" s="215" t="str">
        <x:v>High</x:v>
      </x:c>
      <x:c r="AD173" s="215" t="str">
        <x:v>Naked eye / field</x:v>
      </x:c>
      <x:c r="AE173" s="215" t="str">
        <x:v>Low</x:v>
      </x:c>
      <x:c r="AF173" s="215" t="str">
        <x:v>Field-ready draft</x:v>
      </x:c>
      <x:c r="AG173" s="215" t="str">
        <x:v>2 — Field-photo priority</x:v>
      </x:c>
      <x:c r="AH173" s="215" t="str">
        <x:v>Current master inventory</x:v>
      </x:c>
    </x:row>
    <x:row r="174" ht="42" customHeight="1">
      <x:c r="A174" s="215" t="str">
        <x:v>Cactaceae</x:v>
      </x:c>
      <x:c r="B174" s="215" t="str">
        <x:v>CACT-OPUNT-GLOCHID</x:v>
      </x:c>
      <x:c r="C174" s="215" t="str">
        <x:v>Local subgroup: Opuntioideae</x:v>
      </x:c>
      <x:c r="D174" s="215" t="str">
        <x:v>Areole</x:v>
      </x:c>
      <x:c r="E174" s="215" t="str">
        <x:v>Glochids present</x:v>
      </x:c>
      <x:c r="F174" s="215" t="str">
        <x:v>Subgroup</x:v>
      </x:c>
      <x:c r="G174" s="215" t="str">
        <x:v>5</x:v>
      </x:c>
      <x:c r="H174" s="215" t="str">
        <x:v>High</x:v>
      </x:c>
      <x:c r="I174" s="215" t="str">
        <x:v>Hand lens; do not touch</x:v>
      </x:c>
      <x:c r="J174" s="215" t="str">
        <x:v>Any</x:v>
      </x:c>
      <x:c r="K174" s="215" t="str">
        <x:v>Glochids are tiny barbed bristles in the areole that detach easily and penetrate skin.</x:v>
      </x:c>
      <x:c r="L174" s="215" t="str">
        <x:v>They may be difficult to see, weathered away, or hidden among longer spines; absence by casual inspection is unsafe.</x:v>
      </x:c>
      <x:c r="M174" s="215" t="str">
        <x:v>Strongly separates Opuntia and Cylindropuntia from local cactoideae genera.</x:v>
      </x:c>
      <x:c r="N174" s="215" t="str">
        <x:v>Applies to all local Opuntia and Cylindropuntia records.</x:v>
      </x:c>
      <x:c r="O174" s="215" t="str">
        <x:v>Low</x:v>
      </x:c>
      <x:c r="P174" s="215" t="str">
        <x:v>No</x:v>
      </x:c>
      <x:c r="Q174" s="215" t="str"/>
      <x:c r="R174" s="215" t="str"/>
      <x:c r="S174" s="215" t="str">
        <x:v>FNA-CACT; APWEB-CARY; POWO-CACT</x:v>
      </x:c>
      <x:c r="T174" s="215" t="str">
        <x:v>https://www.mobot.org/Mobot/research/APweb/orders/caryophyllalesweb.htm</x:v>
      </x:c>
      <x:c r="U174" s="215" t="str">
        <x:v>https://floranorthamerica.org/Cactaceae</x:v>
      </x:c>
      <x:c r="V174" s="215" t="str">
        <x:v>https://powo.science.kew.org/taxon/urn:lsid:ipni.org:names:30000028-2</x:v>
      </x:c>
      <x:c r="W174" s="215" t="str">
        <x:v>https://floranorthamerica.org/Cactaceae
https://www.mobot.org/Mobot/research/APweb/orders/caryophyllalesweb.htm
https://powo.science.kew.org/taxon/urn:lsid:ipni.org:names:30000028-2</x:v>
      </x:c>
      <x:c r="X174" s="215" t="str">
        <x:v>No - retain qualifiers and exceptions</x:v>
      </x:c>
      <x:c r="Y174" s="215" t="str">
        <x:v>Yes</x:v>
      </x:c>
      <x:c r="Z174" s="215" t="str">
        <x:v>Source-backed draft</x:v>
      </x:c>
      <x:c r="AA174" s="215" t="str">
        <x:v>Local subgroup / route</x:v>
      </x:c>
      <x:c r="AB174" s="215" t="str">
        <x:v>Supporting / route</x:v>
      </x:c>
      <x:c r="AC174" s="215" t="str">
        <x:v>High</x:v>
      </x:c>
      <x:c r="AD174" s="215" t="str">
        <x:v>Special handling</x:v>
      </x:c>
      <x:c r="AE174" s="215" t="str">
        <x:v>Low</x:v>
      </x:c>
      <x:c r="AF174" s="215" t="str">
        <x:v>Field-ready draft</x:v>
      </x:c>
      <x:c r="AG174" s="215" t="str">
        <x:v>3 — Reference support</x:v>
      </x:c>
      <x:c r="AH174" s="215" t="str">
        <x:v>Current master inventory</x:v>
      </x:c>
    </x:row>
    <x:row r="175" ht="42" customHeight="1">
      <x:c r="A175" s="215" t="str">
        <x:v>Cactaceae</x:v>
      </x:c>
      <x:c r="B175" s="215" t="str">
        <x:v>CACT-OPUNT-STEM</x:v>
      </x:c>
      <x:c r="C175" s="215" t="str">
        <x:v>Local subgroup: Opuntioideae</x:v>
      </x:c>
      <x:c r="D175" s="215" t="str">
        <x:v>Stem and seed</x:v>
      </x:c>
      <x:c r="E175" s="215" t="str">
        <x:v>Jointed stems; flattened pads in Opuntia or cylindrical joints in Cylindropuntia</x:v>
      </x:c>
      <x:c r="F175" s="215" t="str">
        <x:v>Subgroup</x:v>
      </x:c>
      <x:c r="G175" s="215" t="str">
        <x:v>5</x:v>
      </x:c>
      <x:c r="H175" s="215" t="str">
        <x:v>High</x:v>
      </x:c>
      <x:c r="I175" s="215" t="str">
        <x:v>Naked eye</x:v>
      </x:c>
      <x:c r="J175" s="215" t="str">
        <x:v>Any</x:v>
      </x:c>
      <x:c r="K175" s="215" t="str">
        <x:v>The plant is built from detachable or constricted joints, either broad pads or slender cylinders.</x:v>
      </x:c>
      <x:c r="L175" s="215" t="str">
        <x:v>Young growth may not show a clear joint boundary; damaged cacti can mimic segments.</x:v>
      </x:c>
      <x:c r="M175" s="215" t="str">
        <x:v>Separates local opuntioids and then divides prickly pears from chollas.</x:v>
      </x:c>
      <x:c r="N175" s="215" t="str">
        <x:v>Directly relevant to five Opuntia records and Cylindropuntia leptocaulis.</x:v>
      </x:c>
      <x:c r="O175" s="215" t="str">
        <x:v>Low</x:v>
      </x:c>
      <x:c r="P175" s="215" t="str">
        <x:v>No</x:v>
      </x:c>
      <x:c r="Q175" s="215" t="str"/>
      <x:c r="R175" s="215" t="str"/>
      <x:c r="S175" s="215" t="str">
        <x:v>FNA-CACT; APWEB-CARY; POWO-CACT</x:v>
      </x:c>
      <x:c r="T175" s="215" t="str">
        <x:v>https://www.mobot.org/Mobot/research/APweb/orders/caryophyllalesweb.htm</x:v>
      </x:c>
      <x:c r="U175" s="215" t="str">
        <x:v>https://floranorthamerica.org/Cactaceae</x:v>
      </x:c>
      <x:c r="V175" s="215" t="str">
        <x:v>https://powo.science.kew.org/taxon/urn:lsid:ipni.org:names:30000028-2</x:v>
      </x:c>
      <x:c r="W175" s="215" t="str">
        <x:v>https://floranorthamerica.org/Cactaceae
https://www.mobot.org/Mobot/research/APweb/orders/caryophyllalesweb.htm
https://powo.science.kew.org/taxon/urn:lsid:ipni.org:names:30000028-2</x:v>
      </x:c>
      <x:c r="X175" s="215" t="str">
        <x:v>No - retain qualifiers and exceptions</x:v>
      </x:c>
      <x:c r="Y175" s="215" t="str">
        <x:v>Yes</x:v>
      </x:c>
      <x:c r="Z175" s="215" t="str">
        <x:v>Source-backed draft</x:v>
      </x:c>
      <x:c r="AA175" s="215" t="str">
        <x:v>Local subgroup / route</x:v>
      </x:c>
      <x:c r="AB175" s="215" t="str">
        <x:v>Supporting / route</x:v>
      </x:c>
      <x:c r="AC175" s="215" t="str">
        <x:v>High</x:v>
      </x:c>
      <x:c r="AD175" s="215" t="str">
        <x:v>Naked eye / field</x:v>
      </x:c>
      <x:c r="AE175" s="215" t="str">
        <x:v>Low</x:v>
      </x:c>
      <x:c r="AF175" s="215" t="str">
        <x:v>Field-ready draft</x:v>
      </x:c>
      <x:c r="AG175" s="215" t="str">
        <x:v>2 — Field-photo priority</x:v>
      </x:c>
      <x:c r="AH175" s="215" t="str">
        <x:v>Current master inventory</x:v>
      </x:c>
    </x:row>
    <x:row r="176" ht="42" customHeight="1">
      <x:c r="A176" s="215" t="str">
        <x:v>Cactaceae</x:v>
      </x:c>
      <x:c r="B176" s="215" t="str">
        <x:v>CACT-CACTOIDEAE</x:v>
      </x:c>
      <x:c r="C176" s="215" t="str">
        <x:v>Local subgroup: Cactoideae</x:v>
      </x:c>
      <x:c r="D176" s="215" t="str">
        <x:v>Stem and areole</x:v>
      </x:c>
      <x:c r="E176" s="215" t="str">
        <x:v>Ribbed or tuberculate unjointed stem without glochids</x:v>
      </x:c>
      <x:c r="F176" s="215" t="str">
        <x:v>Subgroup</x:v>
      </x:c>
      <x:c r="G176" s="215" t="str">
        <x:v>5</x:v>
      </x:c>
      <x:c r="H176" s="215" t="str">
        <x:v>High</x:v>
      </x:c>
      <x:c r="I176" s="215" t="str">
        <x:v>Naked eye plus hand lens</x:v>
      </x:c>
      <x:c r="J176" s="215" t="str">
        <x:v>Any</x:v>
      </x:c>
      <x:c r="K176" s="215" t="str">
        <x:v>Barrel, hedgehog, and nipple cacti use ribs or tubercles rather than flat pads or cylindrical detachable joints.</x:v>
      </x:c>
      <x:c r="L176" s="215" t="str">
        <x:v>Some stems branch or cluster; tubercle and rib expression can change with drought.</x:v>
      </x:c>
      <x:c r="M176" s="215" t="str">
        <x:v>Routes to Coryphantha, Echinocereus, Homalocephala, and Thelocactus.</x:v>
      </x:c>
      <x:c r="N176" s="215" t="str">
        <x:v>Applies to the remaining five local cactus taxa.</x:v>
      </x:c>
      <x:c r="O176" s="215" t="str">
        <x:v>Low</x:v>
      </x:c>
      <x:c r="P176" s="215" t="str">
        <x:v>No</x:v>
      </x:c>
      <x:c r="Q176" s="215" t="str"/>
      <x:c r="R176" s="215" t="str"/>
      <x:c r="S176" s="215" t="str">
        <x:v>FNA-CACT; APWEB-CARY; POWO-CACT</x:v>
      </x:c>
      <x:c r="T176" s="215" t="str">
        <x:v>https://www.mobot.org/Mobot/research/APweb/orders/caryophyllalesweb.htm</x:v>
      </x:c>
      <x:c r="U176" s="215" t="str">
        <x:v>https://floranorthamerica.org/Cactaceae</x:v>
      </x:c>
      <x:c r="V176" s="215" t="str">
        <x:v>https://powo.science.kew.org/taxon/urn:lsid:ipni.org:names:30000028-2</x:v>
      </x:c>
      <x:c r="W176" s="215" t="str">
        <x:v>https://floranorthamerica.org/Cactaceae
https://www.mobot.org/Mobot/research/APweb/orders/caryophyllalesweb.htm
https://powo.science.kew.org/taxon/urn:lsid:ipni.org:names:30000028-2</x:v>
      </x:c>
      <x:c r="X176" s="215" t="str">
        <x:v>No - retain qualifiers and exceptions</x:v>
      </x:c>
      <x:c r="Y176" s="215" t="str">
        <x:v>Yes</x:v>
      </x:c>
      <x:c r="Z176" s="215" t="str">
        <x:v>Source-backed draft</x:v>
      </x:c>
      <x:c r="AA176" s="215" t="str">
        <x:v>Local subgroup / route</x:v>
      </x:c>
      <x:c r="AB176" s="215" t="str">
        <x:v>Supporting / route</x:v>
      </x:c>
      <x:c r="AC176" s="215" t="str">
        <x:v>High</x:v>
      </x:c>
      <x:c r="AD176" s="215" t="str">
        <x:v>Hand lens / macro</x:v>
      </x:c>
      <x:c r="AE176" s="215" t="str">
        <x:v>Low</x:v>
      </x:c>
      <x:c r="AF176" s="215" t="str">
        <x:v>Field-ready draft</x:v>
      </x:c>
      <x:c r="AG176" s="215" t="str">
        <x:v>2 — Field-photo priority</x:v>
      </x:c>
      <x:c r="AH176" s="215" t="str">
        <x:v>Current master inventory</x:v>
      </x:c>
    </x:row>
    <x:row r="177" ht="42" customHeight="1">
      <x:c r="A177" s="215" t="str">
        <x:v>Cactaceae</x:v>
      </x:c>
      <x:c r="B177" s="215" t="str">
        <x:v>CACT-SEED</x:v>
      </x:c>
      <x:c r="C177" s="215" t="str">
        <x:v>Broad family tendency</x:v>
      </x:c>
      <x:c r="D177" s="215" t="str">
        <x:v>Seed</x:v>
      </x:c>
      <x:c r="E177" s="215" t="str">
        <x:v>Seeds commonly hard-coated, often dark; hilum-micropyle region specialized</x:v>
      </x:c>
      <x:c r="F177" s="215" t="str">
        <x:v>Supporting</x:v>
      </x:c>
      <x:c r="G177" s="215" t="str">
        <x:v>2</x:v>
      </x:c>
      <x:c r="H177" s="215" t="str">
        <x:v>Moderate</x:v>
      </x:c>
      <x:c r="I177" s="215" t="str">
        <x:v>Hand lens or microscope</x:v>
      </x:c>
      <x:c r="J177" s="215" t="str">
        <x:v>Mature fruit</x:v>
      </x:c>
      <x:c r="K177" s="215" t="str">
        <x:v>Seed shape and surface can confirm genus or species after the fruit route is known.</x:v>
      </x:c>
      <x:c r="L177" s="215" t="str">
        <x:v>Seed characters are too small and variable for first-pass family identification.</x:v>
      </x:c>
      <x:c r="M177" s="215" t="str">
        <x:v>Reserve for voucher or difficult species verification.</x:v>
      </x:c>
      <x:c r="N177" s="215" t="str">
        <x:v>Potentially useful in Opuntia and small cactoideae, but not a public first-line trait.</x:v>
      </x:c>
      <x:c r="O177" s="215" t="str">
        <x:v>Low</x:v>
      </x:c>
      <x:c r="P177" s="215" t="str">
        <x:v>No</x:v>
      </x:c>
      <x:c r="Q177" s="215" t="str"/>
      <x:c r="R177" s="215" t="str"/>
      <x:c r="S177" s="215" t="str">
        <x:v>APWEB-CARY; FNA-CACT; POWO-CACT</x:v>
      </x:c>
      <x:c r="T177" s="215" t="str">
        <x:v>https://www.mobot.org/Mobot/research/APweb/orders/caryophyllalesweb.htm</x:v>
      </x:c>
      <x:c r="U177" s="215" t="str">
        <x:v>https://floranorthamerica.org/Cactaceae</x:v>
      </x:c>
      <x:c r="V177" s="215" t="str">
        <x:v>https://powo.science.kew.org/taxon/urn:lsid:ipni.org:names:30000028-2</x:v>
      </x:c>
      <x:c r="W177" s="215" t="str">
        <x:v>https://www.mobot.org/Mobot/research/APweb/orders/caryophyllalesweb.htm
https://floranorthamerica.org/Cactaceae
https://powo.science.kew.org/taxon/urn:lsid:ipni.org:names:30000028-2</x:v>
      </x:c>
      <x:c r="X177" s="215" t="str">
        <x:v>No - retain qualifiers and exceptions</x:v>
      </x:c>
      <x:c r="Y177" s="215" t="str">
        <x:v>Yes</x:v>
      </x:c>
      <x:c r="Z177" s="215" t="str">
        <x:v>Source-backed draft</x:v>
      </x:c>
      <x:c r="AA177" s="215" t="str">
        <x:v>Family pattern</x:v>
      </x:c>
      <x:c r="AB177" s="215" t="str">
        <x:v>Supporting / route</x:v>
      </x:c>
      <x:c r="AC177" s="215" t="str">
        <x:v>Moderate</x:v>
      </x:c>
      <x:c r="AD177" s="215" t="str">
        <x:v>Microscope</x:v>
      </x:c>
      <x:c r="AE177" s="215" t="str">
        <x:v>Low</x:v>
      </x:c>
      <x:c r="AF177" s="215" t="str">
        <x:v>Specialist / reference</x:v>
      </x:c>
      <x:c r="AG177" s="215" t="str">
        <x:v>4 — Context / caution</x:v>
      </x:c>
      <x:c r="AH177" s="215" t="str">
        <x:v>Current master inventory</x:v>
      </x:c>
    </x:row>
    <x:row r="178" ht="42" customHeight="1">
      <x:c r="A178" s="215" t="str">
        <x:v>Cactaceae</x:v>
      </x:c>
      <x:c r="B178" s="215" t="str">
        <x:v>CACT-SAFETY</x:v>
      </x:c>
      <x:c r="C178" s="215" t="str">
        <x:v>Observation rule</x:v>
      </x:c>
      <x:c r="D178" s="215" t="str">
        <x:v>Safety</x:v>
      </x:c>
      <x:c r="E178" s="215" t="str">
        <x:v>Avoid bare-hand contact with spines and especially glochids</x:v>
      </x:c>
      <x:c r="F178" s="215" t="str">
        <x:v>Caution</x:v>
      </x:c>
      <x:c r="G178" s="215" t="str">
        <x:v>0</x:v>
      </x:c>
      <x:c r="H178" s="215" t="str">
        <x:v>High</x:v>
      </x:c>
      <x:c r="I178" s="215" t="str">
        <x:v>Behavioral rule</x:v>
      </x:c>
      <x:c r="J178" s="215" t="str">
        <x:v>Any</x:v>
      </x:c>
      <x:c r="K178" s="215" t="str">
        <x:v>Use tools, eye protection, and close-focus photographs rather than touching an unknown cactus.</x:v>
      </x:c>
      <x:c r="L178" s="215" t="str">
        <x:v>Nearly spineless plants may still have minute glochids or fragile bristles.</x:v>
      </x:c>
      <x:c r="M178" s="215" t="str">
        <x:v>Prevents injury while collecting diagnostic observations.</x:v>
      </x:c>
      <x:c r="N178" s="215" t="str">
        <x:v>Essential for all local opuntioids and prudent for the entire family.</x:v>
      </x:c>
      <x:c r="O178" s="215" t="str">
        <x:v>Low</x:v>
      </x:c>
      <x:c r="P178" s="215" t="str">
        <x:v>No</x:v>
      </x:c>
      <x:c r="Q178" s="215" t="str"/>
      <x:c r="R178" s="215" t="str"/>
      <x:c r="S178" s="215" t="str">
        <x:v>FNA-CACT; POWO-CACT</x:v>
      </x:c>
      <x:c r="T178" s="215" t="str">
        <x:v>https://www.mobot.org/Mobot/research/APweb/orders/caryophyllalesweb.htm</x:v>
      </x:c>
      <x:c r="U178" s="215" t="str">
        <x:v>https://floranorthamerica.org/Cactaceae</x:v>
      </x:c>
      <x:c r="V178" s="215" t="str">
        <x:v>https://powo.science.kew.org/taxon/urn:lsid:ipni.org:names:30000028-2</x:v>
      </x:c>
      <x:c r="W178" s="215" t="str">
        <x:v>https://floranorthamerica.org/Cactaceae
https://powo.science.kew.org/taxon/urn:lsid:ipni.org:names:30000028-2
https://www.mobot.org/Mobot/research/APweb/orders/caryophyllalesweb.htm</x:v>
      </x:c>
      <x:c r="X178" s="215" t="str">
        <x:v>No - retain qualifiers and exceptions</x:v>
      </x:c>
      <x:c r="Y178" s="215" t="str">
        <x:v>Yes</x:v>
      </x:c>
      <x:c r="Z178" s="215" t="str">
        <x:v>Source-backed draft</x:v>
      </x:c>
      <x:c r="AA178" s="215" t="str">
        <x:v>Caution / method</x:v>
      </x:c>
      <x:c r="AB178" s="215" t="str">
        <x:v>Caution / negative rule</x:v>
      </x:c>
      <x:c r="AC178" s="215" t="str">
        <x:v>High</x:v>
      </x:c>
      <x:c r="AD178" s="215" t="str">
        <x:v>Reference / method</x:v>
      </x:c>
      <x:c r="AE178" s="215" t="str">
        <x:v>Low</x:v>
      </x:c>
      <x:c r="AF178" s="215" t="str">
        <x:v>Specialist / reference</x:v>
      </x:c>
      <x:c r="AG178" s="215" t="str">
        <x:v>4 — Context / caution</x:v>
      </x:c>
      <x:c r="AH178" s="215" t="str">
        <x:v>Current master inventory</x:v>
      </x:c>
    </x:row>
    <x:row r="179" ht="42" customHeight="1">
      <x:c r="A179" s="215" t="str">
        <x:v>Fagaceae</x:v>
      </x:c>
      <x:c r="B179" s="215" t="str">
        <x:v>FAG-HABIT</x:v>
      </x:c>
      <x:c r="C179" s="215" t="str">
        <x:v>Family-wide</x:v>
      </x:c>
      <x:c r="D179" s="215" t="str">
        <x:v>Habit</x:v>
      </x:c>
      <x:c r="E179" s="215" t="str">
        <x:v>Trees or shrubs</x:v>
      </x:c>
      <x:c r="F179" s="215" t="str">
        <x:v>Supporting</x:v>
      </x:c>
      <x:c r="G179" s="215" t="str">
        <x:v>2</x:v>
      </x:c>
      <x:c r="H179" s="215" t="str">
        <x:v>High</x:v>
      </x:c>
      <x:c r="I179" s="215" t="str">
        <x:v>Naked eye</x:v>
      </x:c>
      <x:c r="J179" s="215" t="str">
        <x:v>Any</x:v>
      </x:c>
      <x:c r="K179" s="215" t="str">
        <x:v>Members are woody plants rather than annual or soft-stemmed herbs.</x:v>
      </x:c>
      <x:c r="L179" s="215" t="str">
        <x:v>Habit alone is shared with many families and does not distinguish oaks from unrelated trees.</x:v>
      </x:c>
      <x:c r="M179" s="215" t="str">
        <x:v>Use only as the opening filter.</x:v>
      </x:c>
      <x:c r="N179" s="215" t="str">
        <x:v>All current Hays records are Quercus trees or shrubs.</x:v>
      </x:c>
      <x:c r="O179" s="215" t="str">
        <x:v>Low</x:v>
      </x:c>
      <x:c r="P179" s="215" t="str">
        <x:v>No</x:v>
      </x:c>
      <x:c r="Q179" s="215" t="str"/>
      <x:c r="R179" s="215" t="str">
        <x:v>FAG-LK01; FAG-LK02; FAG-LK03</x:v>
      </x:c>
      <x:c r="S179" s="215" t="str">
        <x:v>APWEB-FAG; FNA-FAG; POWO-FAG</x:v>
      </x:c>
      <x:c r="T179" s="215" t="str">
        <x:v>https://www.mobot.org/MOBOT/research/APWeb/orders/fagalesweb.htm</x:v>
      </x:c>
      <x:c r="U179" s="215" t="str">
        <x:v>https://floranorthamerica.org/Fagaceae</x:v>
      </x:c>
      <x:c r="V179" s="215" t="str">
        <x:v>https://powo.science.kew.org/taxon/urn:lsid:ipni.org:names:30000116-2</x:v>
      </x:c>
      <x:c r="W179" s="215" t="str">
        <x:v>https://www.mobot.org/MOBOT/research/APWeb/orders/fagalesweb.htm
https://floranorthamerica.org/Fagaceae
https://powo.science.kew.org/taxon/urn:lsid:ipni.org:names:30000116-2</x:v>
      </x:c>
      <x:c r="X179" s="215" t="str">
        <x:v>No - retain qualifiers and exceptions</x:v>
      </x:c>
      <x:c r="Y179" s="215" t="str">
        <x:v>Yes</x:v>
      </x:c>
      <x:c r="Z179" s="215" t="str">
        <x:v>Source-backed draft</x:v>
      </x:c>
      <x:c r="AA179" s="215" t="str">
        <x:v>Family pattern</x:v>
      </x:c>
      <x:c r="AB179" s="215" t="str">
        <x:v>Supporting / route</x:v>
      </x:c>
      <x:c r="AC179" s="215" t="str">
        <x:v>High</x:v>
      </x:c>
      <x:c r="AD179" s="215" t="str">
        <x:v>Naked eye / field</x:v>
      </x:c>
      <x:c r="AE179" s="215" t="str">
        <x:v>Low</x:v>
      </x:c>
      <x:c r="AF179" s="215" t="str">
        <x:v>Field-ready draft</x:v>
      </x:c>
      <x:c r="AG179" s="215" t="str">
        <x:v>4 — Context / caution</x:v>
      </x:c>
      <x:c r="AH179" s="215" t="str">
        <x:v>Current master inventory</x:v>
      </x:c>
    </x:row>
    <x:row r="180" ht="42" customHeight="1">
      <x:c r="A180" s="215" t="str">
        <x:v>Fagaceae</x:v>
      </x:c>
      <x:c r="B180" s="215" t="str">
        <x:v>FAG-LEAF</x:v>
      </x:c>
      <x:c r="C180" s="215" t="str">
        <x:v>Broad family tendency</x:v>
      </x:c>
      <x:c r="D180" s="215" t="str">
        <x:v>Leaf</x:v>
      </x:c>
      <x:c r="E180" s="215" t="str">
        <x:v>Leaves simple, alternate, and usually stipulate</x:v>
      </x:c>
      <x:c r="F180" s="215" t="str">
        <x:v>Supporting</x:v>
      </x:c>
      <x:c r="G180" s="215" t="str">
        <x:v>3</x:v>
      </x:c>
      <x:c r="H180" s="215" t="str">
        <x:v>Moderate</x:v>
      </x:c>
      <x:c r="I180" s="215" t="str">
        <x:v>Naked eye</x:v>
      </x:c>
      <x:c r="J180" s="215" t="str">
        <x:v>Vegetative</x:v>
      </x:c>
      <x:c r="K180" s="215" t="str">
        <x:v>A single blade occurs at each alternating node, with stipules that may fall early.</x:v>
      </x:c>
      <x:c r="L180" s="215" t="str">
        <x:v>Leaf margins range from entire to toothed or deeply lobed; stipules often disappear; evergreen and deciduous forms occur.</x:v>
      </x:c>
      <x:c r="M180" s="215" t="str">
        <x:v>A useful suite, never proof without fruit or flowers.</x:v>
      </x:c>
      <x:c r="N180" s="215" t="str">
        <x:v>Applies to local Quercus but leaf diversity is exceptionally high.</x:v>
      </x:c>
      <x:c r="O180" s="215" t="str">
        <x:v>Low</x:v>
      </x:c>
      <x:c r="P180" s="215" t="str">
        <x:v>No</x:v>
      </x:c>
      <x:c r="Q180" s="215" t="str"/>
      <x:c r="R180" s="215" t="str">
        <x:v>FAG-LK01; FAG-LK02; FAG-LK03</x:v>
      </x:c>
      <x:c r="S180" s="215" t="str">
        <x:v>APWEB-FAG; FNA-FAG; POWO-FAG</x:v>
      </x:c>
      <x:c r="T180" s="215" t="str">
        <x:v>https://www.mobot.org/MOBOT/research/APWeb/orders/fagalesweb.htm</x:v>
      </x:c>
      <x:c r="U180" s="215" t="str">
        <x:v>https://floranorthamerica.org/Fagaceae</x:v>
      </x:c>
      <x:c r="V180" s="215" t="str">
        <x:v>https://powo.science.kew.org/taxon/urn:lsid:ipni.org:names:30000116-2</x:v>
      </x:c>
      <x:c r="W180" s="215" t="str">
        <x:v>https://www.mobot.org/MOBOT/research/APWeb/orders/fagalesweb.htm
https://floranorthamerica.org/Fagaceae
https://powo.science.kew.org/taxon/urn:lsid:ipni.org:names:30000116-2</x:v>
      </x:c>
      <x:c r="X180" s="215" t="str">
        <x:v>No - retain qualifiers and exceptions</x:v>
      </x:c>
      <x:c r="Y180" s="215" t="str">
        <x:v>Yes</x:v>
      </x:c>
      <x:c r="Z180" s="215" t="str">
        <x:v>Source-backed draft</x:v>
      </x:c>
      <x:c r="AA180" s="215" t="str">
        <x:v>Family pattern</x:v>
      </x:c>
      <x:c r="AB180" s="215" t="str">
        <x:v>Supporting / route</x:v>
      </x:c>
      <x:c r="AC180" s="215" t="str">
        <x:v>Moderate</x:v>
      </x:c>
      <x:c r="AD180" s="215" t="str">
        <x:v>Naked eye / field</x:v>
      </x:c>
      <x:c r="AE180" s="215" t="str">
        <x:v>Low</x:v>
      </x:c>
      <x:c r="AF180" s="215" t="str">
        <x:v>Field-ready draft</x:v>
      </x:c>
      <x:c r="AG180" s="215" t="str">
        <x:v>3 — Reference support</x:v>
      </x:c>
      <x:c r="AH180" s="215" t="str">
        <x:v>Current master inventory</x:v>
      </x:c>
    </x:row>
    <x:row r="181" ht="42" customHeight="1">
      <x:c r="A181" s="215" t="str">
        <x:v>Fagaceae</x:v>
      </x:c>
      <x:c r="B181" s="215" t="str">
        <x:v>FAG-UNISEX</x:v>
      </x:c>
      <x:c r="C181" s="215" t="str">
        <x:v>Family-wide tendency</x:v>
      </x:c>
      <x:c r="D181" s="215" t="str">
        <x:v>Flower</x:v>
      </x:c>
      <x:c r="E181" s="215" t="str">
        <x:v>Flowers unisexual; plants usually monoecious</x:v>
      </x:c>
      <x:c r="F181" s="215" t="str">
        <x:v>Strong</x:v>
      </x:c>
      <x:c r="G181" s="215" t="str">
        <x:v>3</x:v>
      </x:c>
      <x:c r="H181" s="215" t="str">
        <x:v>Moderate</x:v>
      </x:c>
      <x:c r="I181" s="215" t="str">
        <x:v>Naked eye or hand lens</x:v>
      </x:c>
      <x:c r="J181" s="215" t="str">
        <x:v>Flowering</x:v>
      </x:c>
      <x:c r="K181" s="215" t="str">
        <x:v>Separate pollen-bearing and ovule-bearing flowers occur on the same plant.</x:v>
      </x:c>
      <x:c r="L181" s="215" t="str">
        <x:v>Flowers are small, seasonal, and often overlooked; rare departures occur within the broader family.</x:v>
      </x:c>
      <x:c r="M181" s="215" t="str">
        <x:v>Supports Fagaceae when catkins and cupulate pistillate flowers occur together.</x:v>
      </x:c>
      <x:c r="N181" s="215" t="str">
        <x:v>Expected across all local Quercus.</x:v>
      </x:c>
      <x:c r="O181" s="215" t="str">
        <x:v>Low</x:v>
      </x:c>
      <x:c r="P181" s="215" t="str">
        <x:v>No</x:v>
      </x:c>
      <x:c r="Q181" s="215" t="str"/>
      <x:c r="R181" s="215" t="str">
        <x:v>FAG-LK01; FAG-LK02</x:v>
      </x:c>
      <x:c r="S181" s="215" t="str">
        <x:v>APWEB-FAG; FNA-FAG; POWO-FAG</x:v>
      </x:c>
      <x:c r="T181" s="215" t="str">
        <x:v>https://www.mobot.org/MOBOT/research/APWeb/orders/fagalesweb.htm</x:v>
      </x:c>
      <x:c r="U181" s="215" t="str">
        <x:v>https://floranorthamerica.org/Fagaceae</x:v>
      </x:c>
      <x:c r="V181" s="215" t="str">
        <x:v>https://powo.science.kew.org/taxon/urn:lsid:ipni.org:names:30000116-2</x:v>
      </x:c>
      <x:c r="W181" s="215" t="str">
        <x:v>https://www.mobot.org/MOBOT/research/APWeb/orders/fagalesweb.htm
https://floranorthamerica.org/Fagaceae
https://powo.science.kew.org/taxon/urn:lsid:ipni.org:names:30000116-2</x:v>
      </x:c>
      <x:c r="X181" s="215" t="str">
        <x:v>No - retain qualifiers and exceptions</x:v>
      </x:c>
      <x:c r="Y181" s="215" t="str">
        <x:v>Yes</x:v>
      </x:c>
      <x:c r="Z181" s="215" t="str">
        <x:v>Source-backed draft</x:v>
      </x:c>
      <x:c r="AA181" s="215" t="str">
        <x:v>Family pattern</x:v>
      </x:c>
      <x:c r="AB181" s="215" t="str">
        <x:v>Positive diagnostic</x:v>
      </x:c>
      <x:c r="AC181" s="215" t="str">
        <x:v>Moderate</x:v>
      </x:c>
      <x:c r="AD181" s="215" t="str">
        <x:v>Hand lens / macro</x:v>
      </x:c>
      <x:c r="AE181" s="215" t="str">
        <x:v>Low</x:v>
      </x:c>
      <x:c r="AF181" s="215" t="str">
        <x:v>Field-ready draft</x:v>
      </x:c>
      <x:c r="AG181" s="215" t="str">
        <x:v>3 — Reference support</x:v>
      </x:c>
      <x:c r="AH181" s="215" t="str">
        <x:v>Current master inventory</x:v>
      </x:c>
    </x:row>
    <x:row r="182" ht="42" customHeight="1">
      <x:c r="A182" s="215" t="str">
        <x:v>Fagaceae</x:v>
      </x:c>
      <x:c r="B182" s="215" t="str">
        <x:v>FAG-MALE</x:v>
      </x:c>
      <x:c r="C182" s="215" t="str">
        <x:v>Family-wide tendency</x:v>
      </x:c>
      <x:c r="D182" s="215" t="str">
        <x:v>Staminate inflorescence</x:v>
      </x:c>
      <x:c r="E182" s="215" t="str">
        <x:v>Male flowers in catkins or catkin-like clusters</x:v>
      </x:c>
      <x:c r="F182" s="215" t="str">
        <x:v>Strong</x:v>
      </x:c>
      <x:c r="G182" s="215" t="str">
        <x:v>3</x:v>
      </x:c>
      <x:c r="H182" s="215" t="str">
        <x:v>High in season</x:v>
      </x:c>
      <x:c r="I182" s="215" t="str">
        <x:v>Naked eye or hand lens</x:v>
      </x:c>
      <x:c r="J182" s="215" t="str">
        <x:v>Spring flowering</x:v>
      </x:c>
      <x:c r="K182" s="215" t="str">
        <x:v>Pollen flowers are grouped along dangling or spreading axes.</x:v>
      </x:c>
      <x:c r="L182" s="215" t="str">
        <x:v>Catkins are shared with Juglandaceae and Betulaceae; orientation and branching vary.</x:v>
      </x:c>
      <x:c r="M182" s="215" t="str">
        <x:v>Use with alternate simple leaves and developing cupules, not alone.</x:v>
      </x:c>
      <x:c r="N182" s="215" t="str">
        <x:v>Highly visible in local oaks during flowering.</x:v>
      </x:c>
      <x:c r="O182" s="215" t="str">
        <x:v>Low</x:v>
      </x:c>
      <x:c r="P182" s="215" t="str">
        <x:v>No</x:v>
      </x:c>
      <x:c r="Q182" s="215" t="str"/>
      <x:c r="R182" s="215" t="str">
        <x:v>FAG-LK01; FAG-LK02</x:v>
      </x:c>
      <x:c r="S182" s="215" t="str">
        <x:v>APWEB-FAG; FNA-FAG; POWO-FAG</x:v>
      </x:c>
      <x:c r="T182" s="215" t="str">
        <x:v>https://www.mobot.org/MOBOT/research/APWeb/orders/fagalesweb.htm</x:v>
      </x:c>
      <x:c r="U182" s="215" t="str">
        <x:v>https://floranorthamerica.org/Fagaceae</x:v>
      </x:c>
      <x:c r="V182" s="215" t="str">
        <x:v>https://powo.science.kew.org/taxon/urn:lsid:ipni.org:names:30000116-2</x:v>
      </x:c>
      <x:c r="W182" s="215" t="str">
        <x:v>https://www.mobot.org/MOBOT/research/APWeb/orders/fagalesweb.htm
https://floranorthamerica.org/Fagaceae
https://powo.science.kew.org/taxon/urn:lsid:ipni.org:names:30000116-2</x:v>
      </x:c>
      <x:c r="X182" s="215" t="str">
        <x:v>No - retain qualifiers and exceptions</x:v>
      </x:c>
      <x:c r="Y182" s="215" t="str">
        <x:v>Yes</x:v>
      </x:c>
      <x:c r="Z182" s="215" t="str">
        <x:v>Source-backed draft</x:v>
      </x:c>
      <x:c r="AA182" s="215" t="str">
        <x:v>Family pattern</x:v>
      </x:c>
      <x:c r="AB182" s="215" t="str">
        <x:v>Positive diagnostic</x:v>
      </x:c>
      <x:c r="AC182" s="215" t="str">
        <x:v>High</x:v>
      </x:c>
      <x:c r="AD182" s="215" t="str">
        <x:v>Hand lens / macro</x:v>
      </x:c>
      <x:c r="AE182" s="215" t="str">
        <x:v>Low</x:v>
      </x:c>
      <x:c r="AF182" s="215" t="str">
        <x:v>Field-ready draft</x:v>
      </x:c>
      <x:c r="AG182" s="215" t="str">
        <x:v>3 — Reference support</x:v>
      </x:c>
      <x:c r="AH182" s="215" t="str">
        <x:v>Current master inventory</x:v>
      </x:c>
    </x:row>
    <x:row r="183" ht="42" customHeight="1">
      <x:c r="A183" s="215" t="str">
        <x:v>Fagaceae</x:v>
      </x:c>
      <x:c r="B183" s="215" t="str">
        <x:v>FAG-FEMALE</x:v>
      </x:c>
      <x:c r="C183" s="215" t="str">
        <x:v>Family-wide tendency</x:v>
      </x:c>
      <x:c r="D183" s="215" t="str">
        <x:v>Pistillate flower</x:v>
      </x:c>
      <x:c r="E183" s="215" t="str">
        <x:v>Female flowers solitary or in small groups, surrounded by an involucre that becomes a cupule</x:v>
      </x:c>
      <x:c r="F183" s="215" t="str">
        <x:v>Core</x:v>
      </x:c>
      <x:c r="G183" s="215" t="str">
        <x:v>5</x:v>
      </x:c>
      <x:c r="H183" s="215" t="str">
        <x:v>Moderate to high</x:v>
      </x:c>
      <x:c r="I183" s="215" t="str">
        <x:v>Hand lens</x:v>
      </x:c>
      <x:c r="J183" s="215" t="str">
        <x:v>Flowering to young fruit</x:v>
      </x:c>
      <x:c r="K183" s="215" t="str">
        <x:v>A cluster of bracts below or around the female flower develops into the nut cup or husk.</x:v>
      </x:c>
      <x:c r="L183" s="215" t="str">
        <x:v>Young structures can be minute and hidden among leaves; cupules differ among family genera.</x:v>
      </x:c>
      <x:c r="M183" s="215" t="str">
        <x:v>This developmental link is the key family feature.</x:v>
      </x:c>
      <x:c r="N183" s="215" t="str">
        <x:v>In local Quercus it becomes the acorn cup.</x:v>
      </x:c>
      <x:c r="O183" s="215" t="str">
        <x:v>Low</x:v>
      </x:c>
      <x:c r="P183" s="215" t="str">
        <x:v>No</x:v>
      </x:c>
      <x:c r="Q183" s="215" t="str"/>
      <x:c r="R183" s="215" t="str">
        <x:v>FAG-LK01; FAG-LK02</x:v>
      </x:c>
      <x:c r="S183" s="215" t="str">
        <x:v>APWEB-FAG; FNA-FAG; POWO-FAG</x:v>
      </x:c>
      <x:c r="T183" s="215" t="str">
        <x:v>https://www.mobot.org/MOBOT/research/APWeb/orders/fagalesweb.htm</x:v>
      </x:c>
      <x:c r="U183" s="215" t="str">
        <x:v>https://floranorthamerica.org/Fagaceae</x:v>
      </x:c>
      <x:c r="V183" s="215" t="str">
        <x:v>https://powo.science.kew.org/taxon/urn:lsid:ipni.org:names:30000116-2</x:v>
      </x:c>
      <x:c r="W183" s="215" t="str">
        <x:v>https://www.mobot.org/MOBOT/research/APWeb/orders/fagalesweb.htm
https://floranorthamerica.org/Fagaceae
https://powo.science.kew.org/taxon/urn:lsid:ipni.org:names:30000116-2</x:v>
      </x:c>
      <x:c r="X183" s="215" t="str">
        <x:v>No - retain qualifiers and exceptions</x:v>
      </x:c>
      <x:c r="Y183" s="215" t="str">
        <x:v>Yes</x:v>
      </x:c>
      <x:c r="Z183" s="215" t="str">
        <x:v>Source-backed draft</x:v>
      </x:c>
      <x:c r="AA183" s="215" t="str">
        <x:v>Family pattern</x:v>
      </x:c>
      <x:c r="AB183" s="215" t="str">
        <x:v>Positive diagnostic</x:v>
      </x:c>
      <x:c r="AC183" s="215" t="str">
        <x:v>Moderate</x:v>
      </x:c>
      <x:c r="AD183" s="215" t="str">
        <x:v>Hand lens / macro</x:v>
      </x:c>
      <x:c r="AE183" s="215" t="str">
        <x:v>Low</x:v>
      </x:c>
      <x:c r="AF183" s="215" t="str">
        <x:v>Field-ready draft</x:v>
      </x:c>
      <x:c r="AG183" s="215" t="str">
        <x:v>2 — Field-photo priority</x:v>
      </x:c>
      <x:c r="AH183" s="215" t="str">
        <x:v>Current master inventory</x:v>
      </x:c>
    </x:row>
    <x:row r="184" ht="42" customHeight="1">
      <x:c r="A184" s="215" t="str">
        <x:v>Fagaceae</x:v>
      </x:c>
      <x:c r="B184" s="215" t="str">
        <x:v>FAG-OVARY</x:v>
      </x:c>
      <x:c r="C184" s="215" t="str">
        <x:v>Broad family suite</x:v>
      </x:c>
      <x:c r="D184" s="215" t="str">
        <x:v>Gynoecium</x:v>
      </x:c>
      <x:c r="E184" s="215" t="str">
        <x:v>Ovary inferior, usually with multiple locules and two ovules per locule</x:v>
      </x:c>
      <x:c r="F184" s="215" t="str">
        <x:v>Strong</x:v>
      </x:c>
      <x:c r="G184" s="215" t="str">
        <x:v>4</x:v>
      </x:c>
      <x:c r="H184" s="215" t="str">
        <x:v>High in section</x:v>
      </x:c>
      <x:c r="I184" s="215" t="str">
        <x:v>Dissection or hand lens on young fruit</x:v>
      </x:c>
      <x:c r="J184" s="215" t="str">
        <x:v>Flowering to young fruit</x:v>
      </x:c>
      <x:c r="K184" s="215" t="str">
        <x:v>The flower sits above an ovary divided internally into chambers, even though only one seed normally matures.</x:v>
      </x:c>
      <x:c r="L184" s="215" t="str">
        <x:v>Internal locules and ovules are not practical in routine field work and may collapse as fruit develops.</x:v>
      </x:c>
      <x:c r="M184" s="215" t="str">
        <x:v>An anatomical confirmation, not a first-line field trait.</x:v>
      </x:c>
      <x:c r="N184" s="215" t="str">
        <x:v>Applies to local oaks but should remain optional.</x:v>
      </x:c>
      <x:c r="O184" s="215" t="str">
        <x:v>Low</x:v>
      </x:c>
      <x:c r="P184" s="215" t="str">
        <x:v>No</x:v>
      </x:c>
      <x:c r="Q184" s="215" t="str"/>
      <x:c r="R184" s="215" t="str"/>
      <x:c r="S184" s="215" t="str">
        <x:v>APWEB-FAG; FNA-FAG; POWO-FAG</x:v>
      </x:c>
      <x:c r="T184" s="215" t="str">
        <x:v>https://www.mobot.org/MOBOT/research/APWeb/orders/fagalesweb.htm</x:v>
      </x:c>
      <x:c r="U184" s="215" t="str">
        <x:v>https://floranorthamerica.org/Fagaceae</x:v>
      </x:c>
      <x:c r="V184" s="215" t="str">
        <x:v>https://powo.science.kew.org/taxon/urn:lsid:ipni.org:names:30000116-2</x:v>
      </x:c>
      <x:c r="W184" s="215" t="str">
        <x:v>https://www.mobot.org/MOBOT/research/APWeb/orders/fagalesweb.htm
https://floranorthamerica.org/Fagaceae
https://powo.science.kew.org/taxon/urn:lsid:ipni.org:names:30000116-2</x:v>
      </x:c>
      <x:c r="X184" s="215" t="str">
        <x:v>No - retain qualifiers and exceptions</x:v>
      </x:c>
      <x:c r="Y184" s="215" t="str">
        <x:v>Yes</x:v>
      </x:c>
      <x:c r="Z184" s="215" t="str">
        <x:v>Source-backed draft</x:v>
      </x:c>
      <x:c r="AA184" s="215" t="str">
        <x:v>Family pattern</x:v>
      </x:c>
      <x:c r="AB184" s="215" t="str">
        <x:v>Positive diagnostic</x:v>
      </x:c>
      <x:c r="AC184" s="215" t="str">
        <x:v>High</x:v>
      </x:c>
      <x:c r="AD184" s="215" t="str">
        <x:v>Dissection</x:v>
      </x:c>
      <x:c r="AE184" s="215" t="str">
        <x:v>Low</x:v>
      </x:c>
      <x:c r="AF184" s="215" t="str">
        <x:v>Dissection / close study</x:v>
      </x:c>
      <x:c r="AG184" s="215" t="str">
        <x:v>3 — Reference support</x:v>
      </x:c>
      <x:c r="AH184" s="215" t="str">
        <x:v>Current master inventory</x:v>
      </x:c>
    </x:row>
    <x:row r="185" ht="42" customHeight="1">
      <x:c r="A185" s="215" t="str">
        <x:v>Fagaceae</x:v>
      </x:c>
      <x:c r="B185" s="215" t="str">
        <x:v>FAG-NUT</x:v>
      </x:c>
      <x:c r="C185" s="215" t="str">
        <x:v>Family-wide</x:v>
      </x:c>
      <x:c r="D185" s="215" t="str">
        <x:v>Fruit</x:v>
      </x:c>
      <x:c r="E185" s="215" t="str">
        <x:v>One-seeded nut</x:v>
      </x:c>
      <x:c r="F185" s="215" t="str">
        <x:v>Core</x:v>
      </x:c>
      <x:c r="G185" s="215" t="str">
        <x:v>5</x:v>
      </x:c>
      <x:c r="H185" s="215" t="str">
        <x:v>High</x:v>
      </x:c>
      <x:c r="I185" s="215" t="str">
        <x:v>Naked eye</x:v>
      </x:c>
      <x:c r="J185" s="215" t="str">
        <x:v>Fruiting</x:v>
      </x:c>
      <x:c r="K185" s="215" t="str">
        <x:v>The fruit is a dry, hard-walled nut with one mature seed.</x:v>
      </x:c>
      <x:c r="L185" s="215" t="str">
        <x:v>Young fruits can abort; cupule form differs and more than one nut may share a cupule in nonlocal genera.</x:v>
      </x:c>
      <x:c r="M185" s="215" t="str">
        <x:v>Use together with the cupule for decisive family confirmation.</x:v>
      </x:c>
      <x:c r="N185" s="215" t="str">
        <x:v>All current local taxa produce acorns.</x:v>
      </x:c>
      <x:c r="O185" s="215" t="str">
        <x:v>Low</x:v>
      </x:c>
      <x:c r="P185" s="215" t="str">
        <x:v>No</x:v>
      </x:c>
      <x:c r="Q185" s="215" t="str"/>
      <x:c r="R185" s="215" t="str">
        <x:v>FAG-LK01; FAG-LK02; FAG-LK03</x:v>
      </x:c>
      <x:c r="S185" s="215" t="str">
        <x:v>APWEB-FAG; FNA-FAG; POWO-FAG</x:v>
      </x:c>
      <x:c r="T185" s="215" t="str">
        <x:v>https://www.mobot.org/MOBOT/research/APWeb/orders/fagalesweb.htm</x:v>
      </x:c>
      <x:c r="U185" s="215" t="str">
        <x:v>https://floranorthamerica.org/Fagaceae</x:v>
      </x:c>
      <x:c r="V185" s="215" t="str">
        <x:v>https://powo.science.kew.org/taxon/urn:lsid:ipni.org:names:30000116-2</x:v>
      </x:c>
      <x:c r="W185" s="215" t="str">
        <x:v>https://www.mobot.org/MOBOT/research/APWeb/orders/fagalesweb.htm
https://floranorthamerica.org/Fagaceae
https://powo.science.kew.org/taxon/urn:lsid:ipni.org:names:30000116-2</x:v>
      </x:c>
      <x:c r="X185" s="215" t="str">
        <x:v>No - retain qualifiers and exceptions</x:v>
      </x:c>
      <x:c r="Y185" s="215" t="str">
        <x:v>Yes</x:v>
      </x:c>
      <x:c r="Z185" s="215" t="str">
        <x:v>Source-backed draft</x:v>
      </x:c>
      <x:c r="AA185" s="215" t="str">
        <x:v>Family pattern</x:v>
      </x:c>
      <x:c r="AB185" s="215" t="str">
        <x:v>Positive diagnostic</x:v>
      </x:c>
      <x:c r="AC185" s="215" t="str">
        <x:v>High</x:v>
      </x:c>
      <x:c r="AD185" s="215" t="str">
        <x:v>Naked eye / field</x:v>
      </x:c>
      <x:c r="AE185" s="215" t="str">
        <x:v>Low</x:v>
      </x:c>
      <x:c r="AF185" s="215" t="str">
        <x:v>Field-ready draft</x:v>
      </x:c>
      <x:c r="AG185" s="215" t="str">
        <x:v>2 — Field-photo priority</x:v>
      </x:c>
      <x:c r="AH185" s="215" t="str">
        <x:v>Current master inventory</x:v>
      </x:c>
    </x:row>
    <x:row r="186" ht="42" customHeight="1">
      <x:c r="A186" s="215" t="str">
        <x:v>Fagaceae</x:v>
      </x:c>
      <x:c r="B186" s="215" t="str">
        <x:v>FAG-CUPULE</x:v>
      </x:c>
      <x:c r="C186" s="215" t="str">
        <x:v>Family-wide diagnostic</x:v>
      </x:c>
      <x:c r="D186" s="215" t="str">
        <x:v>Fruit / involucre</x:v>
      </x:c>
      <x:c r="E186" s="215" t="str">
        <x:v>Nut partly or wholly enclosed by a cupule</x:v>
      </x:c>
      <x:c r="F186" s="215" t="str">
        <x:v>Core</x:v>
      </x:c>
      <x:c r="G186" s="215" t="str">
        <x:v>5</x:v>
      </x:c>
      <x:c r="H186" s="215" t="str">
        <x:v>High</x:v>
      </x:c>
      <x:c r="I186" s="215" t="str">
        <x:v>Naked eye</x:v>
      </x:c>
      <x:c r="J186" s="215" t="str">
        <x:v>Fruiting</x:v>
      </x:c>
      <x:c r="K186" s="215" t="str">
        <x:v>A cup, husk, or bur made from fused or clustered bracts surrounds the nut.</x:v>
      </x:c>
      <x:c r="L186" s="215" t="str">
        <x:v>The cupule can be shallow, deep, spiny, or completely enclosing depending on genus; detached nuts lose this clue.</x:v>
      </x:c>
      <x:c r="M186" s="215" t="str">
        <x:v>FNA identifies the cupule as the most diagnostic family feature.</x:v>
      </x:c>
      <x:c r="N186" s="215" t="str">
        <x:v>In local Quercus it is the familiar scaly acorn cup.</x:v>
      </x:c>
      <x:c r="O186" s="215" t="str">
        <x:v>Low</x:v>
      </x:c>
      <x:c r="P186" s="215" t="str">
        <x:v>No</x:v>
      </x:c>
      <x:c r="Q186" s="215" t="str"/>
      <x:c r="R186" s="215" t="str">
        <x:v>FAG-LK01; FAG-LK02; FAG-LK03</x:v>
      </x:c>
      <x:c r="S186" s="215" t="str">
        <x:v>APWEB-FAG; FNA-FAG; POWO-FAG</x:v>
      </x:c>
      <x:c r="T186" s="215" t="str">
        <x:v>https://www.mobot.org/MOBOT/research/APWeb/orders/fagalesweb.htm</x:v>
      </x:c>
      <x:c r="U186" s="215" t="str">
        <x:v>https://floranorthamerica.org/Fagaceae</x:v>
      </x:c>
      <x:c r="V186" s="215" t="str">
        <x:v>https://powo.science.kew.org/taxon/urn:lsid:ipni.org:names:30000116-2</x:v>
      </x:c>
      <x:c r="W186" s="215" t="str">
        <x:v>https://www.mobot.org/MOBOT/research/APWeb/orders/fagalesweb.htm
https://floranorthamerica.org/Fagaceae
https://powo.science.kew.org/taxon/urn:lsid:ipni.org:names:30000116-2</x:v>
      </x:c>
      <x:c r="X186" s="215" t="str">
        <x:v>No - retain qualifiers and exceptions</x:v>
      </x:c>
      <x:c r="Y186" s="215" t="str">
        <x:v>Yes</x:v>
      </x:c>
      <x:c r="Z186" s="215" t="str">
        <x:v>Source-backed draft</x:v>
      </x:c>
      <x:c r="AA186" s="215" t="str">
        <x:v>Family pattern</x:v>
      </x:c>
      <x:c r="AB186" s="215" t="str">
        <x:v>Positive diagnostic</x:v>
      </x:c>
      <x:c r="AC186" s="215" t="str">
        <x:v>High</x:v>
      </x:c>
      <x:c r="AD186" s="215" t="str">
        <x:v>Naked eye / field</x:v>
      </x:c>
      <x:c r="AE186" s="215" t="str">
        <x:v>Low</x:v>
      </x:c>
      <x:c r="AF186" s="215" t="str">
        <x:v>Field-ready draft</x:v>
      </x:c>
      <x:c r="AG186" s="215" t="str">
        <x:v>2 — Field-photo priority</x:v>
      </x:c>
      <x:c r="AH186" s="215" t="str">
        <x:v>Current master inventory</x:v>
      </x:c>
    </x:row>
    <x:row r="187" ht="42" customHeight="1">
      <x:c r="A187" s="215" t="str">
        <x:v>Fagaceae</x:v>
      </x:c>
      <x:c r="B187" s="215" t="str">
        <x:v>FAG-QUERCUS</x:v>
      </x:c>
      <x:c r="C187" s="215" t="str">
        <x:v>Local subgroup: Quercus</x:v>
      </x:c>
      <x:c r="D187" s="215" t="str">
        <x:v>Fruit</x:v>
      </x:c>
      <x:c r="E187" s="215" t="str">
        <x:v>One acorn seated singly in a scaly cup</x:v>
      </x:c>
      <x:c r="F187" s="215" t="str">
        <x:v>Subgroup</x:v>
      </x:c>
      <x:c r="G187" s="215" t="str">
        <x:v>5</x:v>
      </x:c>
      <x:c r="H187" s="215" t="str">
        <x:v>High</x:v>
      </x:c>
      <x:c r="I187" s="215" t="str">
        <x:v>Naked eye</x:v>
      </x:c>
      <x:c r="J187" s="215" t="str">
        <x:v>Fruiting</x:v>
      </x:c>
      <x:c r="K187" s="215" t="str">
        <x:v>Local Fagaceae are oaks, so the cupule is an open scaly cup beneath one nut rather than a closed bur or multi-nut husk.</x:v>
      </x:c>
      <x:c r="L187" s="215" t="str">
        <x:v>Very young or detached acorns may lack a clear cup; malformed fruits occur.</x:v>
      </x:c>
      <x:c r="M187" s="215" t="str">
        <x:v>Routes every current Hays family record to Quercus.</x:v>
      </x:c>
      <x:c r="N187" s="215" t="str">
        <x:v>Applies to all ten local taxa.</x:v>
      </x:c>
      <x:c r="O187" s="215" t="str">
        <x:v>Low</x:v>
      </x:c>
      <x:c r="P187" s="215" t="str">
        <x:v>No</x:v>
      </x:c>
      <x:c r="Q187" s="215" t="str"/>
      <x:c r="R187" s="215" t="str">
        <x:v>FAG-LK01; FAG-LK02; FAG-LK03</x:v>
      </x:c>
      <x:c r="S187" s="215" t="str">
        <x:v>FNA-FAG; APWEB-FAG; POWO-FAG</x:v>
      </x:c>
      <x:c r="T187" s="215" t="str">
        <x:v>https://www.mobot.org/MOBOT/research/APWeb/orders/fagalesweb.htm</x:v>
      </x:c>
      <x:c r="U187" s="215" t="str">
        <x:v>https://floranorthamerica.org/Fagaceae</x:v>
      </x:c>
      <x:c r="V187" s="215" t="str">
        <x:v>https://powo.science.kew.org/taxon/urn:lsid:ipni.org:names:30000116-2</x:v>
      </x:c>
      <x:c r="W187" s="215" t="str">
        <x:v>https://floranorthamerica.org/Fagaceae
https://www.mobot.org/MOBOT/research/APWeb/orders/fagalesweb.htm
https://powo.science.kew.org/taxon/urn:lsid:ipni.org:names:30000116-2</x:v>
      </x:c>
      <x:c r="X187" s="215" t="str">
        <x:v>No - retain qualifiers and exceptions</x:v>
      </x:c>
      <x:c r="Y187" s="215" t="str">
        <x:v>Yes</x:v>
      </x:c>
      <x:c r="Z187" s="215" t="str">
        <x:v>Source-backed draft</x:v>
      </x:c>
      <x:c r="AA187" s="215" t="str">
        <x:v>Local subgroup / route</x:v>
      </x:c>
      <x:c r="AB187" s="215" t="str">
        <x:v>Supporting / route</x:v>
      </x:c>
      <x:c r="AC187" s="215" t="str">
        <x:v>High</x:v>
      </x:c>
      <x:c r="AD187" s="215" t="str">
        <x:v>Naked eye / field</x:v>
      </x:c>
      <x:c r="AE187" s="215" t="str">
        <x:v>Low</x:v>
      </x:c>
      <x:c r="AF187" s="215" t="str">
        <x:v>Field-ready draft</x:v>
      </x:c>
      <x:c r="AG187" s="215" t="str">
        <x:v>2 — Field-photo priority</x:v>
      </x:c>
      <x:c r="AH187" s="215" t="str">
        <x:v>Current master inventory</x:v>
      </x:c>
    </x:row>
    <x:row r="188" ht="42" customHeight="1">
      <x:c r="A188" s="215" t="str">
        <x:v>Fagaceae</x:v>
      </x:c>
      <x:c r="B188" s="215" t="str">
        <x:v>FAG-BUD</x:v>
      </x:c>
      <x:c r="C188" s="215" t="str">
        <x:v>Local subgroup support: Quercus</x:v>
      </x:c>
      <x:c r="D188" s="215" t="str">
        <x:v>Twig and bud</x:v>
      </x:c>
      <x:c r="E188" s="215" t="str">
        <x:v>Clustered terminal buds common</x:v>
      </x:c>
      <x:c r="F188" s="215" t="str">
        <x:v>Supporting</x:v>
      </x:c>
      <x:c r="G188" s="215" t="str">
        <x:v>3</x:v>
      </x:c>
      <x:c r="H188" s="215" t="str">
        <x:v>Moderate</x:v>
      </x:c>
      <x:c r="I188" s="215" t="str">
        <x:v>Naked eye or hand lens</x:v>
      </x:c>
      <x:c r="J188" s="215" t="str">
        <x:v>Dormant twig</x:v>
      </x:c>
      <x:c r="K188" s="215" t="str">
        <x:v>Several buds often crowd at the end of an oak twig, helping when leaves and acorns are absent.</x:v>
      </x:c>
      <x:c r="L188" s="215" t="str">
        <x:v>Bud clustering varies, may be damaged, and occurs in some unrelated woody plants.</x:v>
      </x:c>
      <x:c r="M188" s="215" t="str">
        <x:v>A practical winter clue, never family proof.</x:v>
      </x:c>
      <x:c r="N188" s="215" t="str">
        <x:v>Useful across local Quercus, especially deciduous species.</x:v>
      </x:c>
      <x:c r="O188" s="215" t="str">
        <x:v>Moderate</x:v>
      </x:c>
      <x:c r="P188" s="215" t="str">
        <x:v>Yes</x:v>
      </x:c>
      <x:c r="Q188" s="215" t="str">
        <x:v>Validate reliability across local evergreen live oaks and short shoots before weighting.</x:v>
      </x:c>
      <x:c r="R188" s="215" t="str">
        <x:v>FAG-LK01; FAG-LK03</x:v>
      </x:c>
      <x:c r="S188" s="215" t="str">
        <x:v>FNA-FAG; POWO-FAG</x:v>
      </x:c>
      <x:c r="T188" s="215" t="str">
        <x:v>https://www.mobot.org/MOBOT/research/APWeb/orders/fagalesweb.htm</x:v>
      </x:c>
      <x:c r="U188" s="215" t="str">
        <x:v>https://floranorthamerica.org/Fagaceae</x:v>
      </x:c>
      <x:c r="V188" s="215" t="str">
        <x:v>https://powo.science.kew.org/taxon/urn:lsid:ipni.org:names:30000116-2</x:v>
      </x:c>
      <x:c r="W188" s="215" t="str">
        <x:v>https://floranorthamerica.org/Fagaceae
https://powo.science.kew.org/taxon/urn:lsid:ipni.org:names:30000116-2
https://www.mobot.org/MOBOT/research/APWeb/orders/fagalesweb.htm</x:v>
      </x:c>
      <x:c r="X188" s="215" t="str">
        <x:v>No - retain qualifiers and exceptions</x:v>
      </x:c>
      <x:c r="Y188" s="215" t="str">
        <x:v>Yes</x:v>
      </x:c>
      <x:c r="Z188" s="215" t="str">
        <x:v>Human review required</x:v>
      </x:c>
      <x:c r="AA188" s="215" t="str">
        <x:v>Local subgroup / route</x:v>
      </x:c>
      <x:c r="AB188" s="215" t="str">
        <x:v>Supporting / route</x:v>
      </x:c>
      <x:c r="AC188" s="215" t="str">
        <x:v>Moderate</x:v>
      </x:c>
      <x:c r="AD188" s="215" t="str">
        <x:v>Hand lens / macro</x:v>
      </x:c>
      <x:c r="AE188" s="215" t="str">
        <x:v>Moderate</x:v>
      </x:c>
      <x:c r="AF188" s="215" t="str">
        <x:v>Use only after review</x:v>
      </x:c>
      <x:c r="AG188" s="215" t="str">
        <x:v>1 — Human review now</x:v>
      </x:c>
      <x:c r="AH188" s="215" t="str">
        <x:v>Current master inventory</x:v>
      </x:c>
    </x:row>
    <x:row r="189" ht="42" customHeight="1">
      <x:c r="A189" s="215" t="str">
        <x:v>Fagaceae</x:v>
      </x:c>
      <x:c r="B189" s="215" t="str">
        <x:v>FAG-LEAF-CAUTION</x:v>
      </x:c>
      <x:c r="C189" s="215" t="str">
        <x:v>Local subgroup warning: Quercus</x:v>
      </x:c>
      <x:c r="D189" s="215" t="str">
        <x:v>Leaf</x:v>
      </x:c>
      <x:c r="E189" s="215" t="str">
        <x:v>Leaf lobing, teeth, and evergreen texture are highly variable</x:v>
      </x:c>
      <x:c r="F189" s="215" t="str">
        <x:v>Caution</x:v>
      </x:c>
      <x:c r="G189" s="215" t="str">
        <x:v>0</x:v>
      </x:c>
      <x:c r="H189" s="215" t="str">
        <x:v>High</x:v>
      </x:c>
      <x:c r="I189" s="215" t="str">
        <x:v>Naked eye</x:v>
      </x:c>
      <x:c r="J189" s="215" t="str">
        <x:v>Vegetative</x:v>
      </x:c>
      <x:c r="K189" s="215" t="str">
        <x:v>Oaks can have entire, toothed, bristle-tipped, rounded-lobed, or deeply lobed leaves.</x:v>
      </x:c>
      <x:c r="L189" s="215" t="str">
        <x:v>Juvenile shoots, stump sprouts, drought, shade, and hybridization can change leaf form.</x:v>
      </x:c>
      <x:c r="M189" s="215" t="str">
        <x:v>Never identify an oak species from one leaf without twig, bud, pubescence, and fruit evidence.</x:v>
      </x:c>
      <x:c r="N189" s="215" t="str">
        <x:v>Critical for the ten local oaks, including live-oak and white/red-oak routes.</x:v>
      </x:c>
      <x:c r="O189" s="215" t="str">
        <x:v>Low</x:v>
      </x:c>
      <x:c r="P189" s="215" t="str">
        <x:v>No</x:v>
      </x:c>
      <x:c r="Q189" s="215" t="str"/>
      <x:c r="R189" s="215" t="str">
        <x:v>FAG-LK03</x:v>
      </x:c>
      <x:c r="S189" s="215" t="str">
        <x:v>FNA-FAG; APWEB-FAG; POWO-FAG</x:v>
      </x:c>
      <x:c r="T189" s="215" t="str">
        <x:v>https://www.mobot.org/MOBOT/research/APWeb/orders/fagalesweb.htm</x:v>
      </x:c>
      <x:c r="U189" s="215" t="str">
        <x:v>https://floranorthamerica.org/Fagaceae</x:v>
      </x:c>
      <x:c r="V189" s="215" t="str">
        <x:v>https://powo.science.kew.org/taxon/urn:lsid:ipni.org:names:30000116-2</x:v>
      </x:c>
      <x:c r="W189" s="215" t="str">
        <x:v>https://floranorthamerica.org/Fagaceae
https://www.mobot.org/MOBOT/research/APWeb/orders/fagalesweb.htm
https://powo.science.kew.org/taxon/urn:lsid:ipni.org:names:30000116-2</x:v>
      </x:c>
      <x:c r="X189" s="215" t="str">
        <x:v>No - retain qualifiers and exceptions</x:v>
      </x:c>
      <x:c r="Y189" s="215" t="str">
        <x:v>Yes</x:v>
      </x:c>
      <x:c r="Z189" s="215" t="str">
        <x:v>Source-backed draft</x:v>
      </x:c>
      <x:c r="AA189" s="215" t="str">
        <x:v>Caution / method</x:v>
      </x:c>
      <x:c r="AB189" s="215" t="str">
        <x:v>Caution / negative rule</x:v>
      </x:c>
      <x:c r="AC189" s="215" t="str">
        <x:v>High</x:v>
      </x:c>
      <x:c r="AD189" s="215" t="str">
        <x:v>Naked eye / field</x:v>
      </x:c>
      <x:c r="AE189" s="215" t="str">
        <x:v>Low</x:v>
      </x:c>
      <x:c r="AF189" s="215" t="str">
        <x:v>Field-ready draft</x:v>
      </x:c>
      <x:c r="AG189" s="215" t="str">
        <x:v>4 — Context / caution</x:v>
      </x:c>
      <x:c r="AH189" s="215" t="str">
        <x:v>Current master inventory</x:v>
      </x:c>
    </x:row>
    <x:row r="190" ht="42" customHeight="1">
      <x:c r="A190" s="215" t="str">
        <x:v>Fagaceae</x:v>
      </x:c>
      <x:c r="B190" s="215" t="str">
        <x:v>FAG-MATURITY</x:v>
      </x:c>
      <x:c r="C190" s="215" t="str">
        <x:v>Local subgroup: Quercus</x:v>
      </x:c>
      <x:c r="D190" s="215" t="str">
        <x:v>Fruit phenology</x:v>
      </x:c>
      <x:c r="E190" s="215" t="str">
        <x:v>Acorns mature in one or two seasons depending on lineage</x:v>
      </x:c>
      <x:c r="F190" s="215" t="str">
        <x:v>Subgroup</x:v>
      </x:c>
      <x:c r="G190" s="215" t="str">
        <x:v>4</x:v>
      </x:c>
      <x:c r="H190" s="215" t="str">
        <x:v>Moderate</x:v>
      </x:c>
      <x:c r="I190" s="215" t="str">
        <x:v>Naked eye plus seasonal context</x:v>
      </x:c>
      <x:c r="J190" s="215" t="str">
        <x:v>Fruiting over two seasons</x:v>
      </x:c>
      <x:c r="K190" s="215" t="str">
        <x:v>Presence of current-year versus second-year acorns can help separate major oak lineages.</x:v>
      </x:c>
      <x:c r="L190" s="215" t="str">
        <x:v>Timing can be misread when crops overlap, abort, or are out of season; taxonomic groups and hybrids complicate the rule.</x:v>
      </x:c>
      <x:c r="M190" s="215" t="str">
        <x:v>Use as a lineage clue only, not as a family character.</x:v>
      </x:c>
      <x:c r="N190" s="215" t="str">
        <x:v>Potentially useful for local white-oak versus red-oak routes.</x:v>
      </x:c>
      <x:c r="O190" s="215" t="str">
        <x:v>High</x:v>
      </x:c>
      <x:c r="P190" s="215" t="str">
        <x:v>Yes</x:v>
      </x:c>
      <x:c r="Q190" s="215" t="str">
        <x:v>Requires species-by-species local validation and a phenology protocol before use.</x:v>
      </x:c>
      <x:c r="R190" s="215" t="str"/>
      <x:c r="S190" s="215" t="str">
        <x:v>FNA-FAG; APWEB-FAG; POWO-FAG</x:v>
      </x:c>
      <x:c r="T190" s="215" t="str">
        <x:v>https://www.mobot.org/MOBOT/research/APWeb/orders/fagalesweb.htm</x:v>
      </x:c>
      <x:c r="U190" s="215" t="str">
        <x:v>https://floranorthamerica.org/Fagaceae</x:v>
      </x:c>
      <x:c r="V190" s="215" t="str">
        <x:v>https://powo.science.kew.org/taxon/urn:lsid:ipni.org:names:30000116-2</x:v>
      </x:c>
      <x:c r="W190" s="215" t="str">
        <x:v>https://floranorthamerica.org/Fagaceae
https://www.mobot.org/MOBOT/research/APWeb/orders/fagalesweb.htm
https://powo.science.kew.org/taxon/urn:lsid:ipni.org:names:30000116-2</x:v>
      </x:c>
      <x:c r="X190" s="215" t="str">
        <x:v>No - retain qualifiers and exceptions</x:v>
      </x:c>
      <x:c r="Y190" s="215" t="str">
        <x:v>Yes</x:v>
      </x:c>
      <x:c r="Z190" s="215" t="str">
        <x:v>Human review required</x:v>
      </x:c>
      <x:c r="AA190" s="215" t="str">
        <x:v>Local subgroup / route</x:v>
      </x:c>
      <x:c r="AB190" s="215" t="str">
        <x:v>Supporting / route</x:v>
      </x:c>
      <x:c r="AC190" s="215" t="str">
        <x:v>Moderate</x:v>
      </x:c>
      <x:c r="AD190" s="215" t="str">
        <x:v>Naked eye / field</x:v>
      </x:c>
      <x:c r="AE190" s="215" t="str">
        <x:v>High</x:v>
      </x:c>
      <x:c r="AF190" s="215" t="str">
        <x:v>Use only after review</x:v>
      </x:c>
      <x:c r="AG190" s="215" t="str">
        <x:v>1 — Human review now</x:v>
      </x:c>
      <x:c r="AH190" s="215" t="str">
        <x:v>Current master inventory</x:v>
      </x:c>
    </x:row>
    <x:row r="191" ht="42" customHeight="1">
      <x:c r="A191" s="215" t="str">
        <x:v>Fagaceae</x:v>
      </x:c>
      <x:c r="B191" s="215" t="str">
        <x:v>FAG-HYBRID</x:v>
      </x:c>
      <x:c r="C191" s="215" t="str">
        <x:v>Local subgroup warning: Quercus</x:v>
      </x:c>
      <x:c r="D191" s="215" t="str">
        <x:v>Taxonomy / morphology</x:v>
      </x:c>
      <x:c r="E191" s="215" t="str">
        <x:v>Hybridization and introgression can blur species boundaries</x:v>
      </x:c>
      <x:c r="F191" s="215" t="str">
        <x:v>Caution</x:v>
      </x:c>
      <x:c r="G191" s="215" t="str">
        <x:v>0</x:v>
      </x:c>
      <x:c r="H191" s="215" t="str">
        <x:v>High</x:v>
      </x:c>
      <x:c r="I191" s="215" t="str">
        <x:v>Multiple organs and populations</x:v>
      </x:c>
      <x:c r="J191" s="215" t="str">
        <x:v>Any, preferably fruiting</x:v>
      </x:c>
      <x:c r="K191" s="215" t="str">
        <x:v>Some oaks exchange genes, producing individuals with intermediate leaves, cups, twigs, or pubescence.</x:v>
      </x:c>
      <x:c r="L191" s="215" t="str">
        <x:v>Not every intermediate plant is a hybrid; environmental variation and juvenile growth can mimic intermediacy.</x:v>
      </x:c>
      <x:c r="M191" s="215" t="str">
        <x:v>Allows the tool to stop honestly at Quercus or a species group.</x:v>
      </x:c>
      <x:c r="N191" s="215" t="str">
        <x:v>Important in Central Texas oak identification.</x:v>
      </x:c>
      <x:c r="O191" s="215" t="str">
        <x:v>High</x:v>
      </x:c>
      <x:c r="P191" s="215" t="str">
        <x:v>Yes</x:v>
      </x:c>
      <x:c r="Q191" s="215" t="str">
        <x:v>Hybrid claims require expert and preferably specimen or genetic review.</x:v>
      </x:c>
      <x:c r="R191" s="215" t="str"/>
      <x:c r="S191" s="215" t="str">
        <x:v>FNA-FAG; APWEB-FAG; POWO-FAG</x:v>
      </x:c>
      <x:c r="T191" s="215" t="str">
        <x:v>https://www.mobot.org/MOBOT/research/APWeb/orders/fagalesweb.htm</x:v>
      </x:c>
      <x:c r="U191" s="215" t="str">
        <x:v>https://floranorthamerica.org/Fagaceae</x:v>
      </x:c>
      <x:c r="V191" s="215" t="str">
        <x:v>https://powo.science.kew.org/taxon/urn:lsid:ipni.org:names:30000116-2</x:v>
      </x:c>
      <x:c r="W191" s="215" t="str">
        <x:v>https://floranorthamerica.org/Fagaceae
https://www.mobot.org/MOBOT/research/APWeb/orders/fagalesweb.htm
https://powo.science.kew.org/taxon/urn:lsid:ipni.org:names:30000116-2</x:v>
      </x:c>
      <x:c r="X191" s="215" t="str">
        <x:v>No - retain qualifiers and exceptions</x:v>
      </x:c>
      <x:c r="Y191" s="215" t="str">
        <x:v>Yes</x:v>
      </x:c>
      <x:c r="Z191" s="215" t="str">
        <x:v>Human review required</x:v>
      </x:c>
      <x:c r="AA191" s="215" t="str">
        <x:v>Caution / method</x:v>
      </x:c>
      <x:c r="AB191" s="215" t="str">
        <x:v>Caution / negative rule</x:v>
      </x:c>
      <x:c r="AC191" s="215" t="str">
        <x:v>High</x:v>
      </x:c>
      <x:c r="AD191" s="215" t="str">
        <x:v>Reference / method</x:v>
      </x:c>
      <x:c r="AE191" s="215" t="str">
        <x:v>High</x:v>
      </x:c>
      <x:c r="AF191" s="215" t="str">
        <x:v>Use only after review</x:v>
      </x:c>
      <x:c r="AG191" s="215" t="str">
        <x:v>1 — Human review now</x:v>
      </x:c>
      <x:c r="AH191" s="215" t="str">
        <x:v>Current master inventory</x:v>
      </x:c>
    </x:row>
    <x:row r="192" ht="42" customHeight="1">
      <x:c r="A192" s="215" t="str">
        <x:v>Acanthaceae</x:v>
      </x:c>
      <x:c r="B192" s="215" t="str">
        <x:v>ACANTH-LEAF</x:v>
      </x:c>
      <x:c r="C192" s="215" t="str">
        <x:v>Broad family tendency</x:v>
      </x:c>
      <x:c r="D192" s="215" t="str">
        <x:v>Leaf</x:v>
      </x:c>
      <x:c r="E192" s="215" t="str">
        <x:v>Leaves usually opposite and without stipules</x:v>
      </x:c>
      <x:c r="F192" s="215" t="str">
        <x:v>Supporting</x:v>
      </x:c>
      <x:c r="G192" s="215" t="str">
        <x:v>3</x:v>
      </x:c>
      <x:c r="H192" s="215" t="str">
        <x:v>Moderate</x:v>
      </x:c>
      <x:c r="I192" s="215" t="str">
        <x:v>Naked eye</x:v>
      </x:c>
      <x:c r="J192" s="215" t="str">
        <x:v>Vegetative</x:v>
      </x:c>
      <x:c r="K192" s="215" t="str">
        <x:v>Paired simple leaves are common along the stem, usually without leaf-base stipules.</x:v>
      </x:c>
      <x:c r="L192" s="215" t="str">
        <x:v>Alternate or whorled leaves occur in parts of the family; opposite leaves are widespread in other Lamiales.</x:v>
      </x:c>
      <x:c r="M192" s="215" t="str">
        <x:v>A useful entry clue only.</x:v>
      </x:c>
      <x:c r="N192" s="215" t="str">
        <x:v>Applies to most current local genera.</x:v>
      </x:c>
      <x:c r="O192" s="215" t="str">
        <x:v>Low</x:v>
      </x:c>
      <x:c r="P192" s="215" t="str">
        <x:v>No</x:v>
      </x:c>
      <x:c r="Q192" s="215" t="str"/>
      <x:c r="R192" s="215" t="str">
        <x:v>ACANTH-LK01; ACANTH-LK02; ACANTH-LK03</x:v>
      </x:c>
      <x:c r="S192" s="215" t="str">
        <x:v>APWEB-LAM; KEW-ACANTH-GI; POWO-ACANTH</x:v>
      </x:c>
      <x:c r="T192" s="215" t="str">
        <x:v>https://mobot.org/MOBOT/research/APweb/orders/lamialesweb.htm</x:v>
      </x:c>
      <x:c r="U192" s="215" t="str">
        <x:v>https://powo.science.kew.org/taxon/urn:lsid:ipni.org:names:30000618-2/general-information</x:v>
      </x:c>
      <x:c r="V192" s="215" t="str">
        <x:v>https://powo.science.kew.org/taxon/urn:lsid:ipni.org:names:30000618-2</x:v>
      </x:c>
      <x:c r="W192" s="215" t="str">
        <x:v>https://mobot.org/MOBOT/research/APweb/orders/lamialesweb.htm
https://powo.science.kew.org/taxon/urn:lsid:ipni.org:names:30000618-2/general-information
https://powo.science.kew.org/taxon/urn:lsid:ipni.org:names:30000618-2</x:v>
      </x:c>
      <x:c r="X192" s="215" t="str">
        <x:v>No - retain qualifiers and exceptions</x:v>
      </x:c>
      <x:c r="Y192" s="215" t="str">
        <x:v>Yes</x:v>
      </x:c>
      <x:c r="Z192" s="215" t="str">
        <x:v>Source-backed draft</x:v>
      </x:c>
      <x:c r="AA192" s="215" t="str">
        <x:v>Family pattern</x:v>
      </x:c>
      <x:c r="AB192" s="215" t="str">
        <x:v>Supporting / route</x:v>
      </x:c>
      <x:c r="AC192" s="215" t="str">
        <x:v>Moderate</x:v>
      </x:c>
      <x:c r="AD192" s="215" t="str">
        <x:v>Naked eye / field</x:v>
      </x:c>
      <x:c r="AE192" s="215" t="str">
        <x:v>Low</x:v>
      </x:c>
      <x:c r="AF192" s="215" t="str">
        <x:v>Field-ready draft</x:v>
      </x:c>
      <x:c r="AG192" s="215" t="str">
        <x:v>3 — Reference support</x:v>
      </x:c>
      <x:c r="AH192" s="215" t="str">
        <x:v>Current master inventory</x:v>
      </x:c>
    </x:row>
    <x:row r="193" ht="42" customHeight="1">
      <x:c r="A193" s="215" t="str">
        <x:v>Acanthaceae</x:v>
      </x:c>
      <x:c r="B193" s="215" t="str">
        <x:v>ACANTH-NODE</x:v>
      </x:c>
      <x:c r="C193" s="215" t="str">
        <x:v>Broad family tendency</x:v>
      </x:c>
      <x:c r="D193" s="215" t="str">
        <x:v>Stem node</x:v>
      </x:c>
      <x:c r="E193" s="215" t="str">
        <x:v>Node commonly swollen or joined by a transverse ridge</x:v>
      </x:c>
      <x:c r="F193" s="215" t="str">
        <x:v>Strong</x:v>
      </x:c>
      <x:c r="G193" s="215" t="str">
        <x:v>4</x:v>
      </x:c>
      <x:c r="H193" s="215" t="str">
        <x:v>Moderate to high</x:v>
      </x:c>
      <x:c r="I193" s="215" t="str">
        <x:v>Naked eye or hand lens</x:v>
      </x:c>
      <x:c r="J193" s="215" t="str">
        <x:v>Vegetative</x:v>
      </x:c>
      <x:c r="K193" s="215" t="str">
        <x:v>A raised line or ridge may connect the bases of opposite leaves, and the node can look thickened.</x:v>
      </x:c>
      <x:c r="L193" s="215" t="str">
        <x:v>The ridge may be faint or absent; similar nodal lines occur in other opposite-leaved plants.</x:v>
      </x:c>
      <x:c r="M193" s="215" t="str">
        <x:v>Use with cystoliths and reproductive characters.</x:v>
      </x:c>
      <x:c r="N193" s="215" t="str">
        <x:v>Useful in several local Ruellia, Justicia, and Dicliptera routes.</x:v>
      </x:c>
      <x:c r="O193" s="215" t="str">
        <x:v>Moderate</x:v>
      </x:c>
      <x:c r="P193" s="215" t="str">
        <x:v>Yes</x:v>
      </x:c>
      <x:c r="Q193" s="215" t="str">
        <x:v>Visibility and frequency should be checked across the nine local taxa.</x:v>
      </x:c>
      <x:c r="R193" s="215" t="str">
        <x:v>ACANTH-LK01; ACANTH-LK02; ACANTH-LK03</x:v>
      </x:c>
      <x:c r="S193" s="215" t="str">
        <x:v>KEW-ACANTH-GI; APWEB-LAM; POWO-ACANTH</x:v>
      </x:c>
      <x:c r="T193" s="215" t="str">
        <x:v>https://mobot.org/MOBOT/research/APweb/orders/lamialesweb.htm</x:v>
      </x:c>
      <x:c r="U193" s="215" t="str">
        <x:v>https://powo.science.kew.org/taxon/urn:lsid:ipni.org:names:30000618-2/general-information</x:v>
      </x:c>
      <x:c r="V193" s="215" t="str">
        <x:v>https://powo.science.kew.org/taxon/urn:lsid:ipni.org:names:30000618-2</x:v>
      </x:c>
      <x:c r="W193" s="215" t="str">
        <x:v>https://powo.science.kew.org/taxon/urn:lsid:ipni.org:names:30000618-2/general-information
https://mobot.org/MOBOT/research/APweb/orders/lamialesweb.htm
https://powo.science.kew.org/taxon/urn:lsid:ipni.org:names:30000618-2</x:v>
      </x:c>
      <x:c r="X193" s="215" t="str">
        <x:v>No - retain qualifiers and exceptions</x:v>
      </x:c>
      <x:c r="Y193" s="215" t="str">
        <x:v>Yes</x:v>
      </x:c>
      <x:c r="Z193" s="215" t="str">
        <x:v>Human review required</x:v>
      </x:c>
      <x:c r="AA193" s="215" t="str">
        <x:v>Family pattern</x:v>
      </x:c>
      <x:c r="AB193" s="215" t="str">
        <x:v>Positive diagnostic</x:v>
      </x:c>
      <x:c r="AC193" s="215" t="str">
        <x:v>Moderate</x:v>
      </x:c>
      <x:c r="AD193" s="215" t="str">
        <x:v>Hand lens / macro</x:v>
      </x:c>
      <x:c r="AE193" s="215" t="str">
        <x:v>Moderate</x:v>
      </x:c>
      <x:c r="AF193" s="215" t="str">
        <x:v>Use only after review</x:v>
      </x:c>
      <x:c r="AG193" s="215" t="str">
        <x:v>1 — Human review now</x:v>
      </x:c>
      <x:c r="AH193" s="215" t="str">
        <x:v>Current master inventory</x:v>
      </x:c>
    </x:row>
    <x:row r="194" ht="42" customHeight="1">
      <x:c r="A194" s="215" t="str">
        <x:v>Acanthaceae</x:v>
      </x:c>
      <x:c r="B194" s="215" t="str">
        <x:v>ACANTH-CYSTO</x:v>
      </x:c>
      <x:c r="C194" s="215" t="str">
        <x:v>Broad family tendency</x:v>
      </x:c>
      <x:c r="D194" s="215" t="str">
        <x:v>Leaf / mineral body</x:v>
      </x:c>
      <x:c r="E194" s="215" t="str">
        <x:v>Cystoliths often visible as pale streaks or dots</x:v>
      </x:c>
      <x:c r="F194" s="215" t="str">
        <x:v>Strong</x:v>
      </x:c>
      <x:c r="G194" s="215" t="str">
        <x:v>4</x:v>
      </x:c>
      <x:c r="H194" s="215" t="str">
        <x:v>Moderate</x:v>
      </x:c>
      <x:c r="I194" s="215" t="str">
        <x:v>Hand lens; backlighting helpful</x:v>
      </x:c>
      <x:c r="J194" s="215" t="str">
        <x:v>Vegetative</x:v>
      </x:c>
      <x:c r="K194" s="215" t="str">
        <x:v>Calcium carbonate bodies inside leaf cells may appear as short pale lines, dots, or rods.</x:v>
      </x:c>
      <x:c r="L194" s="215" t="str">
        <x:v>They are absent in some subfamilies and can be hard to see in thick, hairy, or dry leaves; other families may have cystoliths.</x:v>
      </x:c>
      <x:c r="M194" s="215" t="str">
        <x:v>Strong supporting evidence, never an absolute requirement.</x:v>
      </x:c>
      <x:c r="N194" s="215" t="str">
        <x:v>Likely useful in local acanthoid and ruellioid genera; needs direct local testing.</x:v>
      </x:c>
      <x:c r="O194" s="215" t="str">
        <x:v>Moderate</x:v>
      </x:c>
      <x:c r="P194" s="215" t="str">
        <x:v>Yes</x:v>
      </x:c>
      <x:c r="Q194" s="215" t="str">
        <x:v>Confirm which local genera consistently show field-visible cystoliths.</x:v>
      </x:c>
      <x:c r="R194" s="215" t="str">
        <x:v>ACANTH-LK01; ACANTH-LK02; ACANTH-LK03</x:v>
      </x:c>
      <x:c r="S194" s="215" t="str">
        <x:v>KEW-ACANTH-GI; APWEB-LAM; POWO-ACANTH</x:v>
      </x:c>
      <x:c r="T194" s="215" t="str">
        <x:v>https://mobot.org/MOBOT/research/APweb/orders/lamialesweb.htm</x:v>
      </x:c>
      <x:c r="U194" s="215" t="str">
        <x:v>https://powo.science.kew.org/taxon/urn:lsid:ipni.org:names:30000618-2/general-information</x:v>
      </x:c>
      <x:c r="V194" s="215" t="str">
        <x:v>https://powo.science.kew.org/taxon/urn:lsid:ipni.org:names:30000618-2</x:v>
      </x:c>
      <x:c r="W194" s="215" t="str">
        <x:v>https://powo.science.kew.org/taxon/urn:lsid:ipni.org:names:30000618-2/general-information
https://mobot.org/MOBOT/research/APweb/orders/lamialesweb.htm
https://powo.science.kew.org/taxon/urn:lsid:ipni.org:names:30000618-2</x:v>
      </x:c>
      <x:c r="X194" s="215" t="str">
        <x:v>No - retain qualifiers and exceptions</x:v>
      </x:c>
      <x:c r="Y194" s="215" t="str">
        <x:v>Yes</x:v>
      </x:c>
      <x:c r="Z194" s="215" t="str">
        <x:v>Human review required</x:v>
      </x:c>
      <x:c r="AA194" s="215" t="str">
        <x:v>Family pattern</x:v>
      </x:c>
      <x:c r="AB194" s="215" t="str">
        <x:v>Positive diagnostic</x:v>
      </x:c>
      <x:c r="AC194" s="215" t="str">
        <x:v>Moderate</x:v>
      </x:c>
      <x:c r="AD194" s="215" t="str">
        <x:v>Hand lens / macro</x:v>
      </x:c>
      <x:c r="AE194" s="215" t="str">
        <x:v>Moderate</x:v>
      </x:c>
      <x:c r="AF194" s="215" t="str">
        <x:v>Use only after review</x:v>
      </x:c>
      <x:c r="AG194" s="215" t="str">
        <x:v>1 — Human review now</x:v>
      </x:c>
      <x:c r="AH194" s="215" t="str">
        <x:v>Current master inventory</x:v>
      </x:c>
    </x:row>
    <x:row r="195" ht="42" customHeight="1">
      <x:c r="A195" s="215" t="str">
        <x:v>Acanthaceae</x:v>
      </x:c>
      <x:c r="B195" s="215" t="str">
        <x:v>ACANTH-BRACTS</x:v>
      </x:c>
      <x:c r="C195" s="215" t="str">
        <x:v>Broad family tendency</x:v>
      </x:c>
      <x:c r="D195" s="215" t="str">
        <x:v>Inflorescence</x:v>
      </x:c>
      <x:c r="E195" s="215" t="str">
        <x:v>Flowers often subtended by conspicuous bracts and bracteoles</x:v>
      </x:c>
      <x:c r="F195" s="215" t="str">
        <x:v>Strong</x:v>
      </x:c>
      <x:c r="G195" s="215" t="str">
        <x:v>3</x:v>
      </x:c>
      <x:c r="H195" s="215" t="str">
        <x:v>Variable</x:v>
      </x:c>
      <x:c r="I195" s="215" t="str">
        <x:v>Naked eye or hand lens</x:v>
      </x:c>
      <x:c r="J195" s="215" t="str">
        <x:v>Flowering</x:v>
      </x:c>
      <x:c r="K195" s="215" t="str">
        <x:v>Leaflike, colorful, narrow, or overlapping bracts often organize spikes, heads, or small clusters.</x:v>
      </x:c>
      <x:c r="L195" s="215" t="str">
        <x:v>Bracts can be small or inconspicuous; showy bracts occur in unrelated families.</x:v>
      </x:c>
      <x:c r="M195" s="215" t="str">
        <x:v>Helps map the flower unit and later fruit, especially in dense inflorescences.</x:v>
      </x:c>
      <x:c r="N195" s="215" t="str">
        <x:v>Useful across local Anisacanthus, Dicliptera, Justicia, Ruellia, and relatives.</x:v>
      </x:c>
      <x:c r="O195" s="215" t="str">
        <x:v>Low</x:v>
      </x:c>
      <x:c r="P195" s="215" t="str">
        <x:v>No</x:v>
      </x:c>
      <x:c r="Q195" s="215" t="str"/>
      <x:c r="R195" s="215" t="str">
        <x:v>ACANTH-LK02; ACANTH-LK03</x:v>
      </x:c>
      <x:c r="S195" s="215" t="str">
        <x:v>APWEB-LAM; KEW-ACANTH-GI; POWO-ACANTH</x:v>
      </x:c>
      <x:c r="T195" s="215" t="str">
        <x:v>https://mobot.org/MOBOT/research/APweb/orders/lamialesweb.htm</x:v>
      </x:c>
      <x:c r="U195" s="215" t="str">
        <x:v>https://powo.science.kew.org/taxon/urn:lsid:ipni.org:names:30000618-2/general-information</x:v>
      </x:c>
      <x:c r="V195" s="215" t="str">
        <x:v>https://powo.science.kew.org/taxon/urn:lsid:ipni.org:names:30000618-2</x:v>
      </x:c>
      <x:c r="W195" s="215" t="str">
        <x:v>https://mobot.org/MOBOT/research/APweb/orders/lamialesweb.htm
https://powo.science.kew.org/taxon/urn:lsid:ipni.org:names:30000618-2/general-information
https://powo.science.kew.org/taxon/urn:lsid:ipni.org:names:30000618-2</x:v>
      </x:c>
      <x:c r="X195" s="215" t="str">
        <x:v>No - retain qualifiers and exceptions</x:v>
      </x:c>
      <x:c r="Y195" s="215" t="str">
        <x:v>Yes</x:v>
      </x:c>
      <x:c r="Z195" s="215" t="str">
        <x:v>Source-backed draft</x:v>
      </x:c>
      <x:c r="AA195" s="215" t="str">
        <x:v>Family pattern</x:v>
      </x:c>
      <x:c r="AB195" s="215" t="str">
        <x:v>Positive diagnostic</x:v>
      </x:c>
      <x:c r="AC195" s="215" t="str">
        <x:v>Variable</x:v>
      </x:c>
      <x:c r="AD195" s="215" t="str">
        <x:v>Hand lens / macro</x:v>
      </x:c>
      <x:c r="AE195" s="215" t="str">
        <x:v>Low</x:v>
      </x:c>
      <x:c r="AF195" s="215" t="str">
        <x:v>Field-ready draft</x:v>
      </x:c>
      <x:c r="AG195" s="215" t="str">
        <x:v>3 — Reference support</x:v>
      </x:c>
      <x:c r="AH195" s="215" t="str">
        <x:v>Current master inventory</x:v>
      </x:c>
    </x:row>
    <x:row r="196" ht="42" customHeight="1">
      <x:c r="A196" s="215" t="str">
        <x:v>Acanthaceae</x:v>
      </x:c>
      <x:c r="B196" s="215" t="str">
        <x:v>ACANTH-COROLLA</x:v>
      </x:c>
      <x:c r="C196" s="215" t="str">
        <x:v>Broad family tendency</x:v>
      </x:c>
      <x:c r="D196" s="215" t="str">
        <x:v>Corolla</x:v>
      </x:c>
      <x:c r="E196" s="215" t="str">
        <x:v>Corolla fused and usually strongly bilateral</x:v>
      </x:c>
      <x:c r="F196" s="215" t="str">
        <x:v>Strong</x:v>
      </x:c>
      <x:c r="G196" s="215" t="str">
        <x:v>4</x:v>
      </x:c>
      <x:c r="H196" s="215" t="str">
        <x:v>High</x:v>
      </x:c>
      <x:c r="I196" s="215" t="str">
        <x:v>Naked eye</x:v>
      </x:c>
      <x:c r="J196" s="215" t="str">
        <x:v>Flowering</x:v>
      </x:c>
      <x:c r="K196" s="215" t="str">
        <x:v>The petals form a tube with an upper and lower lip or another asymmetric arrangement.</x:v>
      </x:c>
      <x:c r="L196" s="215" t="str">
        <x:v>Nearly radial flowers occur in some lineages; many other Lamiales also have bilateral fused corollas.</x:v>
      </x:c>
      <x:c r="M196" s="215" t="str">
        <x:v>Use with stamen count, capsule, and seed-supporting structures.</x:v>
      </x:c>
      <x:c r="N196" s="215" t="str">
        <x:v>Strong across the local snapshot, though Ruellia can look broadly funnel-shaped.</x:v>
      </x:c>
      <x:c r="O196" s="215" t="str">
        <x:v>Low</x:v>
      </x:c>
      <x:c r="P196" s="215" t="str">
        <x:v>No</x:v>
      </x:c>
      <x:c r="Q196" s="215" t="str"/>
      <x:c r="R196" s="215" t="str">
        <x:v>ACANTH-LK01; ACANTH-LK02; ACANTH-LK03</x:v>
      </x:c>
      <x:c r="S196" s="215" t="str">
        <x:v>APWEB-LAM; KEW-ACANTH-GI; POWO-ACANTH</x:v>
      </x:c>
      <x:c r="T196" s="215" t="str">
        <x:v>https://mobot.org/MOBOT/research/APweb/orders/lamialesweb.htm</x:v>
      </x:c>
      <x:c r="U196" s="215" t="str">
        <x:v>https://powo.science.kew.org/taxon/urn:lsid:ipni.org:names:30000618-2/general-information</x:v>
      </x:c>
      <x:c r="V196" s="215" t="str">
        <x:v>https://powo.science.kew.org/taxon/urn:lsid:ipni.org:names:30000618-2</x:v>
      </x:c>
      <x:c r="W196" s="215" t="str">
        <x:v>https://mobot.org/MOBOT/research/APweb/orders/lamialesweb.htm
https://powo.science.kew.org/taxon/urn:lsid:ipni.org:names:30000618-2/general-information
https://powo.science.kew.org/taxon/urn:lsid:ipni.org:names:30000618-2</x:v>
      </x:c>
      <x:c r="X196" s="215" t="str">
        <x:v>No - retain qualifiers and exceptions</x:v>
      </x:c>
      <x:c r="Y196" s="215" t="str">
        <x:v>Yes</x:v>
      </x:c>
      <x:c r="Z196" s="215" t="str">
        <x:v>Source-backed draft</x:v>
      </x:c>
      <x:c r="AA196" s="215" t="str">
        <x:v>Family pattern</x:v>
      </x:c>
      <x:c r="AB196" s="215" t="str">
        <x:v>Positive diagnostic</x:v>
      </x:c>
      <x:c r="AC196" s="215" t="str">
        <x:v>High</x:v>
      </x:c>
      <x:c r="AD196" s="215" t="str">
        <x:v>Naked eye / field</x:v>
      </x:c>
      <x:c r="AE196" s="215" t="str">
        <x:v>Low</x:v>
      </x:c>
      <x:c r="AF196" s="215" t="str">
        <x:v>Field-ready draft</x:v>
      </x:c>
      <x:c r="AG196" s="215" t="str">
        <x:v>2 — Field-photo priority</x:v>
      </x:c>
      <x:c r="AH196" s="215" t="str">
        <x:v>Current master inventory</x:v>
      </x:c>
    </x:row>
    <x:row r="197" ht="42" customHeight="1">
      <x:c r="A197" s="215" t="str">
        <x:v>Acanthaceae</x:v>
      </x:c>
      <x:c r="B197" s="215" t="str">
        <x:v>ACANTH-STAMEN</x:v>
      </x:c>
      <x:c r="C197" s="215" t="str">
        <x:v>Broad family tendency</x:v>
      </x:c>
      <x:c r="D197" s="215" t="str">
        <x:v>Androecium</x:v>
      </x:c>
      <x:c r="E197" s="215" t="str">
        <x:v>Two or four epipetalous stamens</x:v>
      </x:c>
      <x:c r="F197" s="215" t="str">
        <x:v>Strong</x:v>
      </x:c>
      <x:c r="G197" s="215" t="str">
        <x:v>4</x:v>
      </x:c>
      <x:c r="H197" s="215" t="str">
        <x:v>High</x:v>
      </x:c>
      <x:c r="I197" s="215" t="str">
        <x:v>Hand lens</x:v>
      </x:c>
      <x:c r="J197" s="215" t="str">
        <x:v>Flowering</x:v>
      </x:c>
      <x:c r="K197" s="215" t="str">
        <x:v>Fertile stamens attach to the corolla tube and occur in a small count, often two or four.</x:v>
      </x:c>
      <x:c r="L197" s="215" t="str">
        <x:v>Some lineages differ and staminodes may occur; the same counts appear in related families.</x:v>
      </x:c>
      <x:c r="M197" s="215" t="str">
        <x:v>A route-defining character when combined with capsule and seed traits.</x:v>
      </x:c>
      <x:c r="N197" s="215" t="str">
        <x:v>Two-stamen and four-stamen routes both occur locally.</x:v>
      </x:c>
      <x:c r="O197" s="215" t="str">
        <x:v>Moderate</x:v>
      </x:c>
      <x:c r="P197" s="215" t="str">
        <x:v>Yes</x:v>
      </x:c>
      <x:c r="Q197" s="215" t="str">
        <x:v>Weight must be assigned separately for justicioid and ruellioid local groups.</x:v>
      </x:c>
      <x:c r="R197" s="215" t="str">
        <x:v>ACANTH-LK01; ACANTH-LK02; ACANTH-LK03</x:v>
      </x:c>
      <x:c r="S197" s="215" t="str">
        <x:v>APWEB-LAM; KEW-ACANTH-GI; POWO-ACANTH</x:v>
      </x:c>
      <x:c r="T197" s="215" t="str">
        <x:v>https://mobot.org/MOBOT/research/APweb/orders/lamialesweb.htm</x:v>
      </x:c>
      <x:c r="U197" s="215" t="str">
        <x:v>https://powo.science.kew.org/taxon/urn:lsid:ipni.org:names:30000618-2/general-information</x:v>
      </x:c>
      <x:c r="V197" s="215" t="str">
        <x:v>https://powo.science.kew.org/taxon/urn:lsid:ipni.org:names:30000618-2</x:v>
      </x:c>
      <x:c r="W197" s="215" t="str">
        <x:v>https://mobot.org/MOBOT/research/APweb/orders/lamialesweb.htm
https://powo.science.kew.org/taxon/urn:lsid:ipni.org:names:30000618-2/general-information
https://powo.science.kew.org/taxon/urn:lsid:ipni.org:names:30000618-2</x:v>
      </x:c>
      <x:c r="X197" s="215" t="str">
        <x:v>No - retain qualifiers and exceptions</x:v>
      </x:c>
      <x:c r="Y197" s="215" t="str">
        <x:v>Yes</x:v>
      </x:c>
      <x:c r="Z197" s="215" t="str">
        <x:v>Human review required</x:v>
      </x:c>
      <x:c r="AA197" s="215" t="str">
        <x:v>Family pattern</x:v>
      </x:c>
      <x:c r="AB197" s="215" t="str">
        <x:v>Positive diagnostic</x:v>
      </x:c>
      <x:c r="AC197" s="215" t="str">
        <x:v>High</x:v>
      </x:c>
      <x:c r="AD197" s="215" t="str">
        <x:v>Hand lens / macro</x:v>
      </x:c>
      <x:c r="AE197" s="215" t="str">
        <x:v>Moderate</x:v>
      </x:c>
      <x:c r="AF197" s="215" t="str">
        <x:v>Use only after review</x:v>
      </x:c>
      <x:c r="AG197" s="215" t="str">
        <x:v>1 — Human review now</x:v>
      </x:c>
      <x:c r="AH197" s="215" t="str">
        <x:v>Current master inventory</x:v>
      </x:c>
    </x:row>
    <x:row r="198" ht="42" customHeight="1">
      <x:c r="A198" s="215" t="str">
        <x:v>Acanthaceae</x:v>
      </x:c>
      <x:c r="B198" s="215" t="str">
        <x:v>ACANTH-OVARY</x:v>
      </x:c>
      <x:c r="C198" s="215" t="str">
        <x:v>Broad family suite</x:v>
      </x:c>
      <x:c r="D198" s="215" t="str">
        <x:v>Gynoecium</x:v>
      </x:c>
      <x:c r="E198" s="215" t="str">
        <x:v>Ovary superior, usually two-locular, commonly with few ovules per locule</x:v>
      </x:c>
      <x:c r="F198" s="215" t="str">
        <x:v>Strong</x:v>
      </x:c>
      <x:c r="G198" s="215" t="str">
        <x:v>4</x:v>
      </x:c>
      <x:c r="H198" s="215" t="str">
        <x:v>Moderate</x:v>
      </x:c>
      <x:c r="I198" s="215" t="str">
        <x:v>Hand lens or dissection</x:v>
      </x:c>
      <x:c r="J198" s="215" t="str">
        <x:v>Flowering to young fruit</x:v>
      </x:c>
      <x:c r="K198" s="215" t="str">
        <x:v>The seed chamber sits above the attachment of the corolla and is divided into two locules.</x:v>
      </x:c>
      <x:c r="L198" s="215" t="str">
        <x:v>Ovule number varies from two to many per locule, especially across subfamilies.</x:v>
      </x:c>
      <x:c r="M198" s="215" t="str">
        <x:v>Supports the family after the flower form matches.</x:v>
      </x:c>
      <x:c r="N198" s="215" t="str">
        <x:v>Expected across current local genera.</x:v>
      </x:c>
      <x:c r="O198" s="215" t="str">
        <x:v>Low</x:v>
      </x:c>
      <x:c r="P198" s="215" t="str">
        <x:v>No</x:v>
      </x:c>
      <x:c r="Q198" s="215" t="str"/>
      <x:c r="R198" s="215" t="str">
        <x:v>ACANTH-LK01; ACANTH-LK02</x:v>
      </x:c>
      <x:c r="S198" s="215" t="str">
        <x:v>APWEB-LAM; KEW-ACANTH-GI; POWO-ACANTH</x:v>
      </x:c>
      <x:c r="T198" s="215" t="str">
        <x:v>https://mobot.org/MOBOT/research/APweb/orders/lamialesweb.htm</x:v>
      </x:c>
      <x:c r="U198" s="215" t="str">
        <x:v>https://powo.science.kew.org/taxon/urn:lsid:ipni.org:names:30000618-2/general-information</x:v>
      </x:c>
      <x:c r="V198" s="215" t="str">
        <x:v>https://powo.science.kew.org/taxon/urn:lsid:ipni.org:names:30000618-2</x:v>
      </x:c>
      <x:c r="W198" s="215" t="str">
        <x:v>https://mobot.org/MOBOT/research/APweb/orders/lamialesweb.htm
https://powo.science.kew.org/taxon/urn:lsid:ipni.org:names:30000618-2/general-information
https://powo.science.kew.org/taxon/urn:lsid:ipni.org:names:30000618-2</x:v>
      </x:c>
      <x:c r="X198" s="215" t="str">
        <x:v>No - retain qualifiers and exceptions</x:v>
      </x:c>
      <x:c r="Y198" s="215" t="str">
        <x:v>Yes</x:v>
      </x:c>
      <x:c r="Z198" s="215" t="str">
        <x:v>Source-backed draft</x:v>
      </x:c>
      <x:c r="AA198" s="215" t="str">
        <x:v>Family pattern</x:v>
      </x:c>
      <x:c r="AB198" s="215" t="str">
        <x:v>Positive diagnostic</x:v>
      </x:c>
      <x:c r="AC198" s="215" t="str">
        <x:v>Moderate</x:v>
      </x:c>
      <x:c r="AD198" s="215" t="str">
        <x:v>Dissection</x:v>
      </x:c>
      <x:c r="AE198" s="215" t="str">
        <x:v>Low</x:v>
      </x:c>
      <x:c r="AF198" s="215" t="str">
        <x:v>Dissection / close study</x:v>
      </x:c>
      <x:c r="AG198" s="215" t="str">
        <x:v>3 — Reference support</x:v>
      </x:c>
      <x:c r="AH198" s="215" t="str">
        <x:v>Current master inventory</x:v>
      </x:c>
    </x:row>
    <x:row r="199" ht="42" customHeight="1">
      <x:c r="A199" s="215" t="str">
        <x:v>Acanthaceae</x:v>
      </x:c>
      <x:c r="B199" s="215" t="str">
        <x:v>ACANTH-CAPSULE</x:v>
      </x:c>
      <x:c r="C199" s="215" t="str">
        <x:v>Broad family suite</x:v>
      </x:c>
      <x:c r="D199" s="215" t="str">
        <x:v>Fruit</x:v>
      </x:c>
      <x:c r="E199" s="215" t="str">
        <x:v>Usually a two-valved loculicidal capsule, often explosively dehiscent</x:v>
      </x:c>
      <x:c r="F199" s="215" t="str">
        <x:v>Core</x:v>
      </x:c>
      <x:c r="G199" s="215" t="str">
        <x:v>5</x:v>
      </x:c>
      <x:c r="H199" s="215" t="str">
        <x:v>High</x:v>
      </x:c>
      <x:c r="I199" s="215" t="str">
        <x:v>Naked eye or hand lens</x:v>
      </x:c>
      <x:c r="J199" s="215" t="str">
        <x:v>Mature fruit</x:v>
      </x:c>
      <x:c r="K199" s="215" t="str">
        <x:v>The dry fruit splits into two valves, often suddenly, to throw the seeds.</x:v>
      </x:c>
      <x:c r="L199" s="215" t="str">
        <x:v>Fruit can be immature, already emptied, or nonexplosive in some lineages; capsule shape varies.</x:v>
      </x:c>
      <x:c r="M199" s="215" t="str">
        <x:v>One of the strongest practical family confirmations.</x:v>
      </x:c>
      <x:c r="N199" s="215" t="str">
        <x:v>Strong across current local genera.</x:v>
      </x:c>
      <x:c r="O199" s="215" t="str">
        <x:v>Low</x:v>
      </x:c>
      <x:c r="P199" s="215" t="str">
        <x:v>No</x:v>
      </x:c>
      <x:c r="Q199" s="215" t="str"/>
      <x:c r="R199" s="215" t="str">
        <x:v>ACANTH-LK01; ACANTH-LK02; ACANTH-LK03</x:v>
      </x:c>
      <x:c r="S199" s="215" t="str">
        <x:v>APWEB-LAM; KEW-ACANTH-GI; POWO-ACANTH</x:v>
      </x:c>
      <x:c r="T199" s="215" t="str">
        <x:v>https://mobot.org/MOBOT/research/APweb/orders/lamialesweb.htm</x:v>
      </x:c>
      <x:c r="U199" s="215" t="str">
        <x:v>https://powo.science.kew.org/taxon/urn:lsid:ipni.org:names:30000618-2/general-information</x:v>
      </x:c>
      <x:c r="V199" s="215" t="str">
        <x:v>https://powo.science.kew.org/taxon/urn:lsid:ipni.org:names:30000618-2</x:v>
      </x:c>
      <x:c r="W199" s="215" t="str">
        <x:v>https://mobot.org/MOBOT/research/APweb/orders/lamialesweb.htm
https://powo.science.kew.org/taxon/urn:lsid:ipni.org:names:30000618-2/general-information
https://powo.science.kew.org/taxon/urn:lsid:ipni.org:names:30000618-2</x:v>
      </x:c>
      <x:c r="X199" s="215" t="str">
        <x:v>No - retain qualifiers and exceptions</x:v>
      </x:c>
      <x:c r="Y199" s="215" t="str">
        <x:v>Yes</x:v>
      </x:c>
      <x:c r="Z199" s="215" t="str">
        <x:v>Source-backed draft</x:v>
      </x:c>
      <x:c r="AA199" s="215" t="str">
        <x:v>Family pattern</x:v>
      </x:c>
      <x:c r="AB199" s="215" t="str">
        <x:v>Positive diagnostic</x:v>
      </x:c>
      <x:c r="AC199" s="215" t="str">
        <x:v>High</x:v>
      </x:c>
      <x:c r="AD199" s="215" t="str">
        <x:v>Hand lens / macro</x:v>
      </x:c>
      <x:c r="AE199" s="215" t="str">
        <x:v>Low</x:v>
      </x:c>
      <x:c r="AF199" s="215" t="str">
        <x:v>Field-ready draft</x:v>
      </x:c>
      <x:c r="AG199" s="215" t="str">
        <x:v>2 — Field-photo priority</x:v>
      </x:c>
      <x:c r="AH199" s="215" t="str">
        <x:v>Current master inventory</x:v>
      </x:c>
    </x:row>
    <x:row r="200" ht="42" customHeight="1">
      <x:c r="A200" s="215" t="str">
        <x:v>Acanthaceae</x:v>
      </x:c>
      <x:c r="B200" s="215" t="str">
        <x:v>ACANTH-RETIN</x:v>
      </x:c>
      <x:c r="C200" s="215" t="str">
        <x:v>Acanthoideae tendency, not family-wide</x:v>
      </x:c>
      <x:c r="D200" s="215" t="str">
        <x:v>Fruit / seed support</x:v>
      </x:c>
      <x:c r="E200" s="215" t="str">
        <x:v>Hooklike retinacula or jaculators support and eject seeds</x:v>
      </x:c>
      <x:c r="F200" s="215" t="str">
        <x:v>Core</x:v>
      </x:c>
      <x:c r="G200" s="215" t="str">
        <x:v>5</x:v>
      </x:c>
      <x:c r="H200" s="215" t="str">
        <x:v>High when present</x:v>
      </x:c>
      <x:c r="I200" s="215" t="str">
        <x:v>Hand lens; open capsule</x:v>
      </x:c>
      <x:c r="J200" s="215" t="str">
        <x:v>Mature opened fruit</x:v>
      </x:c>
      <x:c r="K200" s="215" t="str">
        <x:v>Each seed may rest on a hard hook or stalk that springs it outward when the capsule opens.</x:v>
      </x:c>
      <x:c r="L200" s="215" t="str">
        <x:v>Retinacula are absent in major family lineages such as Thunbergioideae and Nelsonioideae; broken or emptied capsules may hide them.</x:v>
      </x:c>
      <x:c r="M200" s="215" t="str">
        <x:v>Decisive evidence for the retinaculate acanthoid route, not a universal family requirement.</x:v>
      </x:c>
      <x:c r="N200" s="215" t="str">
        <x:v>All current local genera are expected to fall in retinaculate Acanthoideae, but this must be verified genus-by-genus.</x:v>
      </x:c>
      <x:c r="O200" s="215" t="str">
        <x:v>Moderate</x:v>
      </x:c>
      <x:c r="P200" s="215" t="str">
        <x:v>Yes</x:v>
      </x:c>
      <x:c r="Q200" s="215" t="str">
        <x:v>Confirm retinacula across every local genus and retain the broad-family exception.</x:v>
      </x:c>
      <x:c r="R200" s="215" t="str">
        <x:v>ACANTH-LK01; ACANTH-LK02; ACANTH-LK03</x:v>
      </x:c>
      <x:c r="S200" s="215" t="str">
        <x:v>KEW-ACANTH-GI; APWEB-LAM; POWO-ACANTH</x:v>
      </x:c>
      <x:c r="T200" s="215" t="str">
        <x:v>https://mobot.org/MOBOT/research/APweb/orders/lamialesweb.htm</x:v>
      </x:c>
      <x:c r="U200" s="215" t="str">
        <x:v>https://powo.science.kew.org/taxon/urn:lsid:ipni.org:names:30000618-2/general-information</x:v>
      </x:c>
      <x:c r="V200" s="215" t="str">
        <x:v>https://powo.science.kew.org/taxon/urn:lsid:ipni.org:names:30000618-2</x:v>
      </x:c>
      <x:c r="W200" s="215" t="str">
        <x:v>https://powo.science.kew.org/taxon/urn:lsid:ipni.org:names:30000618-2/general-information
https://mobot.org/MOBOT/research/APweb/orders/lamialesweb.htm
https://powo.science.kew.org/taxon/urn:lsid:ipni.org:names:30000618-2</x:v>
      </x:c>
      <x:c r="X200" s="215" t="str">
        <x:v>No - retain qualifiers and exceptions</x:v>
      </x:c>
      <x:c r="Y200" s="215" t="str">
        <x:v>Yes</x:v>
      </x:c>
      <x:c r="Z200" s="215" t="str">
        <x:v>Human review required</x:v>
      </x:c>
      <x:c r="AA200" s="215" t="str">
        <x:v>Local subgroup / route</x:v>
      </x:c>
      <x:c r="AB200" s="215" t="str">
        <x:v>Positive diagnostic</x:v>
      </x:c>
      <x:c r="AC200" s="215" t="str">
        <x:v>High</x:v>
      </x:c>
      <x:c r="AD200" s="215" t="str">
        <x:v>Dissection</x:v>
      </x:c>
      <x:c r="AE200" s="215" t="str">
        <x:v>Moderate</x:v>
      </x:c>
      <x:c r="AF200" s="215" t="str">
        <x:v>Use only after review</x:v>
      </x:c>
      <x:c r="AG200" s="215" t="str">
        <x:v>1 — Human review now</x:v>
      </x:c>
      <x:c r="AH200" s="215" t="str">
        <x:v>Current master inventory</x:v>
      </x:c>
    </x:row>
    <x:row r="201" ht="42" customHeight="1">
      <x:c r="A201" s="215" t="str">
        <x:v>Acanthaceae</x:v>
      </x:c>
      <x:c r="B201" s="215" t="str">
        <x:v>ACANTH-SEED</x:v>
      </x:c>
      <x:c r="C201" s="215" t="str">
        <x:v>Broad family tendency</x:v>
      </x:c>
      <x:c r="D201" s="215" t="str">
        <x:v>Seed</x:v>
      </x:c>
      <x:c r="E201" s="215" t="str">
        <x:v>Seeds few to many, commonly flattened, often with hygroscopic hairs or surface structures</x:v>
      </x:c>
      <x:c r="F201" s="215" t="str">
        <x:v>Supporting</x:v>
      </x:c>
      <x:c r="G201" s="215" t="str">
        <x:v>3</x:v>
      </x:c>
      <x:c r="H201" s="215" t="str">
        <x:v>Variable</x:v>
      </x:c>
      <x:c r="I201" s="215" t="str">
        <x:v>Hand lens or microscope</x:v>
      </x:c>
      <x:c r="J201" s="215" t="str">
        <x:v>Mature fruit</x:v>
      </x:c>
      <x:c r="K201" s="215" t="str">
        <x:v>Seed number, flattening, hairs, and surface pattern help separate lineages after the capsule is identified.</x:v>
      </x:c>
      <x:c r="L201" s="215" t="str">
        <x:v>Seed form varies widely and is not a safe first-line family character.</x:v>
      </x:c>
      <x:c r="M201" s="215" t="str">
        <x:v>Reserve for genus or species matrices.</x:v>
      </x:c>
      <x:c r="N201" s="215" t="str">
        <x:v>Potentially important in local Ruellia and Justicia groups.</x:v>
      </x:c>
      <x:c r="O201" s="215" t="str">
        <x:v>Moderate</x:v>
      </x:c>
      <x:c r="P201" s="215" t="str">
        <x:v>Yes</x:v>
      </x:c>
      <x:c r="Q201" s="215" t="str">
        <x:v>Needs authoritative genus treatments before scoring.</x:v>
      </x:c>
      <x:c r="R201" s="215" t="str"/>
      <x:c r="S201" s="215" t="str">
        <x:v>APWEB-LAM; KEW-ACANTH-GI; POWO-ACANTH</x:v>
      </x:c>
      <x:c r="T201" s="215" t="str">
        <x:v>https://mobot.org/MOBOT/research/APweb/orders/lamialesweb.htm</x:v>
      </x:c>
      <x:c r="U201" s="215" t="str">
        <x:v>https://powo.science.kew.org/taxon/urn:lsid:ipni.org:names:30000618-2/general-information</x:v>
      </x:c>
      <x:c r="V201" s="215" t="str">
        <x:v>https://powo.science.kew.org/taxon/urn:lsid:ipni.org:names:30000618-2</x:v>
      </x:c>
      <x:c r="W201" s="215" t="str">
        <x:v>https://mobot.org/MOBOT/research/APweb/orders/lamialesweb.htm
https://powo.science.kew.org/taxon/urn:lsid:ipni.org:names:30000618-2/general-information
https://powo.science.kew.org/taxon/urn:lsid:ipni.org:names:30000618-2</x:v>
      </x:c>
      <x:c r="X201" s="215" t="str">
        <x:v>No - retain qualifiers and exceptions</x:v>
      </x:c>
      <x:c r="Y201" s="215" t="str">
        <x:v>Yes</x:v>
      </x:c>
      <x:c r="Z201" s="215" t="str">
        <x:v>Human review required</x:v>
      </x:c>
      <x:c r="AA201" s="215" t="str">
        <x:v>Family pattern</x:v>
      </x:c>
      <x:c r="AB201" s="215" t="str">
        <x:v>Supporting / route</x:v>
      </x:c>
      <x:c r="AC201" s="215" t="str">
        <x:v>Variable</x:v>
      </x:c>
      <x:c r="AD201" s="215" t="str">
        <x:v>Microscope</x:v>
      </x:c>
      <x:c r="AE201" s="215" t="str">
        <x:v>Moderate</x:v>
      </x:c>
      <x:c r="AF201" s="215" t="str">
        <x:v>Use only after review</x:v>
      </x:c>
      <x:c r="AG201" s="215" t="str">
        <x:v>1 — Human review now</x:v>
      </x:c>
      <x:c r="AH201" s="215" t="str">
        <x:v>Current master inventory</x:v>
      </x:c>
    </x:row>
    <x:row r="202" ht="42" customHeight="1">
      <x:c r="A202" s="215" t="str">
        <x:v>Acanthaceae</x:v>
      </x:c>
      <x:c r="B202" s="215" t="str">
        <x:v>ACANTH-CALYX</x:v>
      </x:c>
      <x:c r="C202" s="215" t="str">
        <x:v>Broad family tendency</x:v>
      </x:c>
      <x:c r="D202" s="215" t="str">
        <x:v>Calyx</x:v>
      </x:c>
      <x:c r="E202" s="215" t="str">
        <x:v>Persistent calyx commonly divided into 4-5 lobes or segments</x:v>
      </x:c>
      <x:c r="F202" s="215" t="str">
        <x:v>Supporting</x:v>
      </x:c>
      <x:c r="G202" s="215" t="str">
        <x:v>3</x:v>
      </x:c>
      <x:c r="H202" s="215" t="str">
        <x:v>Moderate</x:v>
      </x:c>
      <x:c r="I202" s="215" t="str">
        <x:v>Hand lens</x:v>
      </x:c>
      <x:c r="J202" s="215" t="str">
        <x:v>Flowering to fruiting</x:v>
      </x:c>
      <x:c r="K202" s="215" t="str">
        <x:v>The green outer flower parts often remain beneath the developing capsule.</x:v>
      </x:c>
      <x:c r="L202" s="215" t="str">
        <x:v>Segment number and equality vary; calyx can be reduced or deeply divided.</x:v>
      </x:c>
      <x:c r="M202" s="215" t="str">
        <x:v>Useful with capsule form and bracts.</x:v>
      </x:c>
      <x:c r="N202" s="215" t="str">
        <x:v>Visible in most local routes.</x:v>
      </x:c>
      <x:c r="O202" s="215" t="str">
        <x:v>Low</x:v>
      </x:c>
      <x:c r="P202" s="215" t="str">
        <x:v>No</x:v>
      </x:c>
      <x:c r="Q202" s="215" t="str"/>
      <x:c r="R202" s="215" t="str">
        <x:v>ACANTH-LK02</x:v>
      </x:c>
      <x:c r="S202" s="215" t="str">
        <x:v>APWEB-LAM; KEW-ACANTH-GI; POWO-ACANTH</x:v>
      </x:c>
      <x:c r="T202" s="215" t="str">
        <x:v>https://mobot.org/MOBOT/research/APweb/orders/lamialesweb.htm</x:v>
      </x:c>
      <x:c r="U202" s="215" t="str">
        <x:v>https://powo.science.kew.org/taxon/urn:lsid:ipni.org:names:30000618-2/general-information</x:v>
      </x:c>
      <x:c r="V202" s="215" t="str">
        <x:v>https://powo.science.kew.org/taxon/urn:lsid:ipni.org:names:30000618-2</x:v>
      </x:c>
      <x:c r="W202" s="215" t="str">
        <x:v>https://mobot.org/MOBOT/research/APweb/orders/lamialesweb.htm
https://powo.science.kew.org/taxon/urn:lsid:ipni.org:names:30000618-2/general-information
https://powo.science.kew.org/taxon/urn:lsid:ipni.org:names:30000618-2</x:v>
      </x:c>
      <x:c r="X202" s="215" t="str">
        <x:v>No - retain qualifiers and exceptions</x:v>
      </x:c>
      <x:c r="Y202" s="215" t="str">
        <x:v>Yes</x:v>
      </x:c>
      <x:c r="Z202" s="215" t="str">
        <x:v>Source-backed draft</x:v>
      </x:c>
      <x:c r="AA202" s="215" t="str">
        <x:v>Family pattern</x:v>
      </x:c>
      <x:c r="AB202" s="215" t="str">
        <x:v>Supporting / route</x:v>
      </x:c>
      <x:c r="AC202" s="215" t="str">
        <x:v>Moderate</x:v>
      </x:c>
      <x:c r="AD202" s="215" t="str">
        <x:v>Hand lens / macro</x:v>
      </x:c>
      <x:c r="AE202" s="215" t="str">
        <x:v>Low</x:v>
      </x:c>
      <x:c r="AF202" s="215" t="str">
        <x:v>Field-ready draft</x:v>
      </x:c>
      <x:c r="AG202" s="215" t="str">
        <x:v>3 — Reference support</x:v>
      </x:c>
      <x:c r="AH202" s="215" t="str">
        <x:v>Current master inventory</x:v>
      </x:c>
    </x:row>
    <x:row r="203" ht="42" customHeight="1">
      <x:c r="A203" s="215" t="str">
        <x:v>Acanthaceae</x:v>
      </x:c>
      <x:c r="B203" s="215" t="str">
        <x:v>ACANTH-JUSTICIOID</x:v>
      </x:c>
      <x:c r="C203" s="215" t="str">
        <x:v>Local subgroup: Justicia, Dianthera, Dicliptera, Anisacanthus</x:v>
      </x:c>
      <x:c r="D203" s="215" t="str">
        <x:v>Flower and fruit</x:v>
      </x:c>
      <x:c r="E203" s="215" t="str">
        <x:v>Usually two fertile stamens; capsule commonly constricted or differentiated between seed-bearing and sterile portions</x:v>
      </x:c>
      <x:c r="F203" s="215" t="str">
        <x:v>Subgroup</x:v>
      </x:c>
      <x:c r="G203" s="215" t="str">
        <x:v>5</x:v>
      </x:c>
      <x:c r="H203" s="215" t="str">
        <x:v>Moderate to high</x:v>
      </x:c>
      <x:c r="I203" s="215" t="str">
        <x:v>Hand lens</x:v>
      </x:c>
      <x:c r="J203" s="215" t="str">
        <x:v>Flowering and fruiting</x:v>
      </x:c>
      <x:c r="K203" s="215" t="str">
        <x:v>This route captures several local justicioid genera after a bilateral corolla and acanthaceous capsule are established.</x:v>
      </x:c>
      <x:c r="L203" s="215" t="str">
        <x:v>Capsule and anther details differ by genus, and generic boundaries have changed; two stamens also occur elsewhere in Lamiales.</x:v>
      </x:c>
      <x:c r="M203" s="215" t="str">
        <x:v>A local branch point, not a family definition.</x:v>
      </x:c>
      <x:c r="N203" s="215" t="str">
        <x:v>Applies to Anisacanthus, Dianthera, Dicliptera, and Justicia local rows.</x:v>
      </x:c>
      <x:c r="O203" s="215" t="str">
        <x:v>Moderate</x:v>
      </x:c>
      <x:c r="P203" s="215" t="str">
        <x:v>Yes</x:v>
      </x:c>
      <x:c r="Q203" s="215" t="str">
        <x:v>Needs genus matrix and confirmation under current accepted generic limits.</x:v>
      </x:c>
      <x:c r="R203" s="215" t="str">
        <x:v>ACANTH-LK01; ACANTH-LK02</x:v>
      </x:c>
      <x:c r="S203" s="215" t="str">
        <x:v>KEW-ACANTH-GI; APWEB-LAM; POWO-ACANTH</x:v>
      </x:c>
      <x:c r="T203" s="215" t="str">
        <x:v>https://mobot.org/MOBOT/research/APweb/orders/lamialesweb.htm</x:v>
      </x:c>
      <x:c r="U203" s="215" t="str">
        <x:v>https://powo.science.kew.org/taxon/urn:lsid:ipni.org:names:30000618-2/general-information</x:v>
      </x:c>
      <x:c r="V203" s="215" t="str">
        <x:v>https://powo.science.kew.org/taxon/urn:lsid:ipni.org:names:30000618-2</x:v>
      </x:c>
      <x:c r="W203" s="215" t="str">
        <x:v>https://powo.science.kew.org/taxon/urn:lsid:ipni.org:names:30000618-2/general-information
https://mobot.org/MOBOT/research/APweb/orders/lamialesweb.htm
https://powo.science.kew.org/taxon/urn:lsid:ipni.org:names:30000618-2</x:v>
      </x:c>
      <x:c r="X203" s="215" t="str">
        <x:v>No - retain qualifiers and exceptions</x:v>
      </x:c>
      <x:c r="Y203" s="215" t="str">
        <x:v>Yes</x:v>
      </x:c>
      <x:c r="Z203" s="215" t="str">
        <x:v>Human review required</x:v>
      </x:c>
      <x:c r="AA203" s="215" t="str">
        <x:v>Local subgroup / route</x:v>
      </x:c>
      <x:c r="AB203" s="215" t="str">
        <x:v>Supporting / route</x:v>
      </x:c>
      <x:c r="AC203" s="215" t="str">
        <x:v>Moderate</x:v>
      </x:c>
      <x:c r="AD203" s="215" t="str">
        <x:v>Hand lens / macro</x:v>
      </x:c>
      <x:c r="AE203" s="215" t="str">
        <x:v>Moderate</x:v>
      </x:c>
      <x:c r="AF203" s="215" t="str">
        <x:v>Use only after review</x:v>
      </x:c>
      <x:c r="AG203" s="215" t="str">
        <x:v>1 — Human review now</x:v>
      </x:c>
      <x:c r="AH203" s="215" t="str">
        <x:v>Current master inventory</x:v>
      </x:c>
    </x:row>
    <x:row r="204" ht="42" customHeight="1">
      <x:c r="A204" s="215" t="str">
        <x:v>Acanthaceae</x:v>
      </x:c>
      <x:c r="B204" s="215" t="str">
        <x:v>ACANTH-RUELLIOID</x:v>
      </x:c>
      <x:c r="C204" s="215" t="str">
        <x:v>Local subgroup: Ruellia, Dyschoriste, Hygrophila</x:v>
      </x:c>
      <x:c r="D204" s="215" t="str">
        <x:v>Flower and fruit</x:v>
      </x:c>
      <x:c r="E204" s="215" t="str">
        <x:v>Often four didynamous stamens with a multi-seeded explosive capsule</x:v>
      </x:c>
      <x:c r="F204" s="215" t="str">
        <x:v>Subgroup</x:v>
      </x:c>
      <x:c r="G204" s="215" t="str">
        <x:v>5</x:v>
      </x:c>
      <x:c r="H204" s="215" t="str">
        <x:v>Moderate to high</x:v>
      </x:c>
      <x:c r="I204" s="215" t="str">
        <x:v>Hand lens</x:v>
      </x:c>
      <x:c r="J204" s="215" t="str">
        <x:v>Flowering and fruiting</x:v>
      </x:c>
      <x:c r="K204" s="215" t="str">
        <x:v>This route captures the local ruellioid genera, many with showy funnel-shaped flowers and capsules that eject several seeds.</x:v>
      </x:c>
      <x:c r="L204" s="215" t="str">
        <x:v>Stamen number, pollen, capsule, and seed characters vary by genus; flower shape can converge with Plantaginaceae.</x:v>
      </x:c>
      <x:c r="M204" s="215" t="str">
        <x:v>A strong local branch point after family confirmation.</x:v>
      </x:c>
      <x:c r="N204" s="215" t="str">
        <x:v>Applies to Ruellia, Dyschoriste, and Hygrophila local rows.</x:v>
      </x:c>
      <x:c r="O204" s="215" t="str">
        <x:v>Moderate</x:v>
      </x:c>
      <x:c r="P204" s="215" t="str">
        <x:v>Yes</x:v>
      </x:c>
      <x:c r="Q204" s="215" t="str">
        <x:v>Genus-level validation needed, particularly for Hygrophila and Dyschoriste.</x:v>
      </x:c>
      <x:c r="R204" s="215" t="str">
        <x:v>ACANTH-LK02; ACANTH-LK03</x:v>
      </x:c>
      <x:c r="S204" s="215" t="str">
        <x:v>KEW-ACANTH-GI; APWEB-LAM; POWO-ACANTH</x:v>
      </x:c>
      <x:c r="T204" s="215" t="str">
        <x:v>https://mobot.org/MOBOT/research/APweb/orders/lamialesweb.htm</x:v>
      </x:c>
      <x:c r="U204" s="215" t="str">
        <x:v>https://powo.science.kew.org/taxon/urn:lsid:ipni.org:names:30000618-2/general-information</x:v>
      </x:c>
      <x:c r="V204" s="215" t="str">
        <x:v>https://powo.science.kew.org/taxon/urn:lsid:ipni.org:names:30000618-2</x:v>
      </x:c>
      <x:c r="W204" s="215" t="str">
        <x:v>https://powo.science.kew.org/taxon/urn:lsid:ipni.org:names:30000618-2/general-information
https://mobot.org/MOBOT/research/APweb/orders/lamialesweb.htm
https://powo.science.kew.org/taxon/urn:lsid:ipni.org:names:30000618-2</x:v>
      </x:c>
      <x:c r="X204" s="215" t="str">
        <x:v>No - retain qualifiers and exceptions</x:v>
      </x:c>
      <x:c r="Y204" s="215" t="str">
        <x:v>Yes</x:v>
      </x:c>
      <x:c r="Z204" s="215" t="str">
        <x:v>Human review required</x:v>
      </x:c>
      <x:c r="AA204" s="215" t="str">
        <x:v>Local subgroup / route</x:v>
      </x:c>
      <x:c r="AB204" s="215" t="str">
        <x:v>Supporting / route</x:v>
      </x:c>
      <x:c r="AC204" s="215" t="str">
        <x:v>Moderate</x:v>
      </x:c>
      <x:c r="AD204" s="215" t="str">
        <x:v>Hand lens / macro</x:v>
      </x:c>
      <x:c r="AE204" s="215" t="str">
        <x:v>Moderate</x:v>
      </x:c>
      <x:c r="AF204" s="215" t="str">
        <x:v>Use only after review</x:v>
      </x:c>
      <x:c r="AG204" s="215" t="str">
        <x:v>1 — Human review now</x:v>
      </x:c>
      <x:c r="AH204" s="215" t="str">
        <x:v>Current master inventory</x:v>
      </x:c>
    </x:row>
    <x:row r="205" ht="42" customHeight="1">
      <x:c r="A205" s="215" t="str">
        <x:v>Acanthaceae</x:v>
      </x:c>
      <x:c r="B205" s="215" t="str">
        <x:v>ACANTH-WATER</x:v>
      </x:c>
      <x:c r="C205" s="215" t="str">
        <x:v>Local subgroup support: Dianthera and Hygrophila</x:v>
      </x:c>
      <x:c r="D205" s="215" t="str">
        <x:v>Habitat and habit</x:v>
      </x:c>
      <x:c r="E205" s="215" t="str">
        <x:v>Some local genera are aquatic or wetland herbs</x:v>
      </x:c>
      <x:c r="F205" s="215" t="str">
        <x:v>Caution</x:v>
      </x:c>
      <x:c r="G205" s="215" t="str">
        <x:v>0</x:v>
      </x:c>
      <x:c r="H205" s="215" t="str">
        <x:v>Variable</x:v>
      </x:c>
      <x:c r="I205" s="215" t="str">
        <x:v>Naked eye</x:v>
      </x:c>
      <x:c r="J205" s="215" t="str">
        <x:v>Any</x:v>
      </x:c>
      <x:c r="K205" s="215" t="str">
        <x:v>Dianthera americana and Hygrophila can occur in water or saturated soils.</x:v>
      </x:c>
      <x:c r="L205" s="215" t="str">
        <x:v>Habitat is not a family trait; many Acanthaceae are upland and many unrelated plants share wetlands.</x:v>
      </x:c>
      <x:c r="M205" s="215" t="str">
        <x:v>Use habitat only to choose which local genus route to inspect.</x:v>
      </x:c>
      <x:c r="N205" s="215" t="str">
        <x:v>Relevant to two local wetland taxa.</x:v>
      </x:c>
      <x:c r="O205" s="215" t="str">
        <x:v>Low</x:v>
      </x:c>
      <x:c r="P205" s="215" t="str">
        <x:v>No</x:v>
      </x:c>
      <x:c r="Q205" s="215" t="str"/>
      <x:c r="R205" s="215" t="str">
        <x:v>ACANTH-LK02</x:v>
      </x:c>
      <x:c r="S205" s="215" t="str">
        <x:v>KEW-ACANTH-GI; POWO-ACANTH</x:v>
      </x:c>
      <x:c r="T205" s="215" t="str">
        <x:v>https://mobot.org/MOBOT/research/APweb/orders/lamialesweb.htm</x:v>
      </x:c>
      <x:c r="U205" s="215" t="str">
        <x:v>https://powo.science.kew.org/taxon/urn:lsid:ipni.org:names:30000618-2/general-information</x:v>
      </x:c>
      <x:c r="V205" s="215" t="str">
        <x:v>https://powo.science.kew.org/taxon/urn:lsid:ipni.org:names:30000618-2</x:v>
      </x:c>
      <x:c r="W205" s="215" t="str">
        <x:v>https://powo.science.kew.org/taxon/urn:lsid:ipni.org:names:30000618-2/general-information
https://powo.science.kew.org/taxon/urn:lsid:ipni.org:names:30000618-2
https://mobot.org/MOBOT/research/APweb/orders/lamialesweb.htm</x:v>
      </x:c>
      <x:c r="X205" s="215" t="str">
        <x:v>No - retain qualifiers and exceptions</x:v>
      </x:c>
      <x:c r="Y205" s="215" t="str">
        <x:v>Yes</x:v>
      </x:c>
      <x:c r="Z205" s="215" t="str">
        <x:v>Source-backed draft</x:v>
      </x:c>
      <x:c r="AA205" s="215" t="str">
        <x:v>Local subgroup / route</x:v>
      </x:c>
      <x:c r="AB205" s="215" t="str">
        <x:v>Caution / negative rule</x:v>
      </x:c>
      <x:c r="AC205" s="215" t="str">
        <x:v>Variable</x:v>
      </x:c>
      <x:c r="AD205" s="215" t="str">
        <x:v>Naked eye / field</x:v>
      </x:c>
      <x:c r="AE205" s="215" t="str">
        <x:v>Low</x:v>
      </x:c>
      <x:c r="AF205" s="215" t="str">
        <x:v>Field-ready draft</x:v>
      </x:c>
      <x:c r="AG205" s="215" t="str">
        <x:v>4 — Context / caution</x:v>
      </x:c>
      <x:c r="AH205" s="215" t="str">
        <x:v>Current master inventory</x:v>
      </x:c>
    </x:row>
    <x:row r="206" ht="42" customHeight="1">
      <x:c r="A206" s="215" t="str">
        <x:v>Commelinaceae</x:v>
      </x:c>
      <x:c r="B206" s="215" t="str">
        <x:v>COMM-HABIT</x:v>
      </x:c>
      <x:c r="C206" s="215" t="str">
        <x:v>Broad family tendency</x:v>
      </x:c>
      <x:c r="D206" s="215" t="str">
        <x:v>Habit</x:v>
      </x:c>
      <x:c r="E206" s="215" t="str">
        <x:v>Herbaceous monocots, often succulent or watery</x:v>
      </x:c>
      <x:c r="F206" s="215" t="str">
        <x:v>Supporting</x:v>
      </x:c>
      <x:c r="G206" s="215" t="str">
        <x:v>2</x:v>
      </x:c>
      <x:c r="H206" s="215" t="str">
        <x:v>Moderate</x:v>
      </x:c>
      <x:c r="I206" s="215" t="str">
        <x:v>Naked eye</x:v>
      </x:c>
      <x:c r="J206" s="215" t="str">
        <x:v>Any</x:v>
      </x:c>
      <x:c r="K206" s="215" t="str">
        <x:v>Plants are soft-stemmed herbs rather than woody shrubs or grasses with dry culms.</x:v>
      </x:c>
      <x:c r="L206" s="215" t="str">
        <x:v>Texture ranges from delicate to firm; succulence occurs in many unrelated plants.</x:v>
      </x:c>
      <x:c r="M206" s="215" t="str">
        <x:v>Use only as an entry clue.</x:v>
      </x:c>
      <x:c r="N206" s="215" t="str">
        <x:v>All current local taxa are herbaceous.</x:v>
      </x:c>
      <x:c r="O206" s="215" t="str">
        <x:v>Low</x:v>
      </x:c>
      <x:c r="P206" s="215" t="str">
        <x:v>No</x:v>
      </x:c>
      <x:c r="Q206" s="215" t="str"/>
      <x:c r="R206" s="215" t="str">
        <x:v>COMM-LK01; COMM-LK02</x:v>
      </x:c>
      <x:c r="S206" s="215" t="str">
        <x:v>APWEB-COMM; FNA-COMM; POWO-COMM</x:v>
      </x:c>
      <x:c r="T206" s="215" t="str">
        <x:v>https://mobot.org/MOBOT/research/APWeb/orders/commelinalesweb.htm</x:v>
      </x:c>
      <x:c r="U206" s="215" t="str">
        <x:v>https://floranorthamerica.org/Commelinaceae</x:v>
      </x:c>
      <x:c r="V206" s="215" t="str">
        <x:v>https://powo.science.kew.org/taxon/urn:lsid:ipni.org:names:30000225-2</x:v>
      </x:c>
      <x:c r="W206" s="215" t="str">
        <x:v>https://mobot.org/MOBOT/research/APWeb/orders/commelinalesweb.htm
https://floranorthamerica.org/Commelinaceae
https://powo.science.kew.org/taxon/urn:lsid:ipni.org:names:30000225-2</x:v>
      </x:c>
      <x:c r="X206" s="215" t="str">
        <x:v>No - retain qualifiers and exceptions</x:v>
      </x:c>
      <x:c r="Y206" s="215" t="str">
        <x:v>Yes</x:v>
      </x:c>
      <x:c r="Z206" s="215" t="str">
        <x:v>Source-backed draft</x:v>
      </x:c>
      <x:c r="AA206" s="215" t="str">
        <x:v>Family pattern</x:v>
      </x:c>
      <x:c r="AB206" s="215" t="str">
        <x:v>Supporting / route</x:v>
      </x:c>
      <x:c r="AC206" s="215" t="str">
        <x:v>Moderate</x:v>
      </x:c>
      <x:c r="AD206" s="215" t="str">
        <x:v>Naked eye / field</x:v>
      </x:c>
      <x:c r="AE206" s="215" t="str">
        <x:v>Low</x:v>
      </x:c>
      <x:c r="AF206" s="215" t="str">
        <x:v>Field-ready draft</x:v>
      </x:c>
      <x:c r="AG206" s="215" t="str">
        <x:v>4 — Context / caution</x:v>
      </x:c>
      <x:c r="AH206" s="215" t="str">
        <x:v>Current master inventory</x:v>
      </x:c>
    </x:row>
    <x:row r="207" ht="42" customHeight="1">
      <x:c r="A207" s="215" t="str">
        <x:v>Commelinaceae</x:v>
      </x:c>
      <x:c r="B207" s="215" t="str">
        <x:v>COMM-LEAF</x:v>
      </x:c>
      <x:c r="C207" s="215" t="str">
        <x:v>Broad family tendency</x:v>
      </x:c>
      <x:c r="D207" s="215" t="str">
        <x:v>Leaf</x:v>
      </x:c>
      <x:c r="E207" s="215" t="str">
        <x:v>Leaves alternate, parallel-veined, with a sheathing base</x:v>
      </x:c>
      <x:c r="F207" s="215" t="str">
        <x:v>Strong</x:v>
      </x:c>
      <x:c r="G207" s="215" t="str">
        <x:v>3</x:v>
      </x:c>
      <x:c r="H207" s="215" t="str">
        <x:v>Moderate to high</x:v>
      </x:c>
      <x:c r="I207" s="215" t="str">
        <x:v>Naked eye</x:v>
      </x:c>
      <x:c r="J207" s="215" t="str">
        <x:v>Vegetative</x:v>
      </x:c>
      <x:c r="K207" s="215" t="str">
        <x:v>Each blade usually has parallel veins and a base that wraps around the stem.</x:v>
      </x:c>
      <x:c r="L207" s="215" t="str">
        <x:v>Leaves can be broad or narrow; parallel veins and sheaths occur in many monocot families.</x:v>
      </x:c>
      <x:c r="M207" s="215" t="str">
        <x:v>Use with closed sheath, swollen nodes, and flower structure.</x:v>
      </x:c>
      <x:c r="N207" s="215" t="str">
        <x:v>Strong across Commelina, Tinantia, and Tradescantia.</x:v>
      </x:c>
      <x:c r="O207" s="215" t="str">
        <x:v>Low</x:v>
      </x:c>
      <x:c r="P207" s="215" t="str">
        <x:v>No</x:v>
      </x:c>
      <x:c r="Q207" s="215" t="str"/>
      <x:c r="R207" s="215" t="str">
        <x:v>COMM-LK01; COMM-LK02</x:v>
      </x:c>
      <x:c r="S207" s="215" t="str">
        <x:v>APWEB-COMM; FNA-COMM; POWO-COMM</x:v>
      </x:c>
      <x:c r="T207" s="215" t="str">
        <x:v>https://mobot.org/MOBOT/research/APWeb/orders/commelinalesweb.htm</x:v>
      </x:c>
      <x:c r="U207" s="215" t="str">
        <x:v>https://floranorthamerica.org/Commelinaceae</x:v>
      </x:c>
      <x:c r="V207" s="215" t="str">
        <x:v>https://powo.science.kew.org/taxon/urn:lsid:ipni.org:names:30000225-2</x:v>
      </x:c>
      <x:c r="W207" s="215" t="str">
        <x:v>https://mobot.org/MOBOT/research/APWeb/orders/commelinalesweb.htm
https://floranorthamerica.org/Commelinaceae
https://powo.science.kew.org/taxon/urn:lsid:ipni.org:names:30000225-2</x:v>
      </x:c>
      <x:c r="X207" s="215" t="str">
        <x:v>No - retain qualifiers and exceptions</x:v>
      </x:c>
      <x:c r="Y207" s="215" t="str">
        <x:v>Yes</x:v>
      </x:c>
      <x:c r="Z207" s="215" t="str">
        <x:v>Source-backed draft</x:v>
      </x:c>
      <x:c r="AA207" s="215" t="str">
        <x:v>Family pattern</x:v>
      </x:c>
      <x:c r="AB207" s="215" t="str">
        <x:v>Positive diagnostic</x:v>
      </x:c>
      <x:c r="AC207" s="215" t="str">
        <x:v>Moderate</x:v>
      </x:c>
      <x:c r="AD207" s="215" t="str">
        <x:v>Naked eye / field</x:v>
      </x:c>
      <x:c r="AE207" s="215" t="str">
        <x:v>Low</x:v>
      </x:c>
      <x:c r="AF207" s="215" t="str">
        <x:v>Field-ready draft</x:v>
      </x:c>
      <x:c r="AG207" s="215" t="str">
        <x:v>3 — Reference support</x:v>
      </x:c>
      <x:c r="AH207" s="215" t="str">
        <x:v>Current master inventory</x:v>
      </x:c>
    </x:row>
    <x:row r="208" ht="42" customHeight="1">
      <x:c r="A208" s="215" t="str">
        <x:v>Commelinaceae</x:v>
      </x:c>
      <x:c r="B208" s="215" t="str">
        <x:v>COMM-SHEATH</x:v>
      </x:c>
      <x:c r="C208" s="215" t="str">
        <x:v>Broad family tendency</x:v>
      </x:c>
      <x:c r="D208" s="215" t="str">
        <x:v>Leaf base</x:v>
      </x:c>
      <x:c r="E208" s="215" t="str">
        <x:v>Leaf sheath usually closed around the stem</x:v>
      </x:c>
      <x:c r="F208" s="215" t="str">
        <x:v>Strong</x:v>
      </x:c>
      <x:c r="G208" s="215" t="str">
        <x:v>4</x:v>
      </x:c>
      <x:c r="H208" s="215" t="str">
        <x:v>Moderate</x:v>
      </x:c>
      <x:c r="I208" s="215" t="str">
        <x:v>Naked eye or hand lens</x:v>
      </x:c>
      <x:c r="J208" s="215" t="str">
        <x:v>Vegetative</x:v>
      </x:c>
      <x:c r="K208" s="215" t="str">
        <x:v>The two sheath margins are fused into a tube for at least part of their length.</x:v>
      </x:c>
      <x:c r="L208" s="215" t="str">
        <x:v>The seam may split with age or damage, and exact closure varies.</x:v>
      </x:c>
      <x:c r="M208" s="215" t="str">
        <x:v>Helps separate from many grasses with open sheaths.</x:v>
      </x:c>
      <x:c r="N208" s="215" t="str">
        <x:v>Useful across the local family snapshot.</x:v>
      </x:c>
      <x:c r="O208" s="215" t="str">
        <x:v>Low</x:v>
      </x:c>
      <x:c r="P208" s="215" t="str">
        <x:v>No</x:v>
      </x:c>
      <x:c r="Q208" s="215" t="str"/>
      <x:c r="R208" s="215" t="str">
        <x:v>COMM-LK02</x:v>
      </x:c>
      <x:c r="S208" s="215" t="str">
        <x:v>APWEB-COMM; FNA-COMM; POWO-COMM</x:v>
      </x:c>
      <x:c r="T208" s="215" t="str">
        <x:v>https://mobot.org/MOBOT/research/APWeb/orders/commelinalesweb.htm</x:v>
      </x:c>
      <x:c r="U208" s="215" t="str">
        <x:v>https://floranorthamerica.org/Commelinaceae</x:v>
      </x:c>
      <x:c r="V208" s="215" t="str">
        <x:v>https://powo.science.kew.org/taxon/urn:lsid:ipni.org:names:30000225-2</x:v>
      </x:c>
      <x:c r="W208" s="215" t="str">
        <x:v>https://mobot.org/MOBOT/research/APWeb/orders/commelinalesweb.htm
https://floranorthamerica.org/Commelinaceae
https://powo.science.kew.org/taxon/urn:lsid:ipni.org:names:30000225-2</x:v>
      </x:c>
      <x:c r="X208" s="215" t="str">
        <x:v>No - retain qualifiers and exceptions</x:v>
      </x:c>
      <x:c r="Y208" s="215" t="str">
        <x:v>Yes</x:v>
      </x:c>
      <x:c r="Z208" s="215" t="str">
        <x:v>Source-backed draft</x:v>
      </x:c>
      <x:c r="AA208" s="215" t="str">
        <x:v>Family pattern</x:v>
      </x:c>
      <x:c r="AB208" s="215" t="str">
        <x:v>Positive diagnostic</x:v>
      </x:c>
      <x:c r="AC208" s="215" t="str">
        <x:v>Moderate</x:v>
      </x:c>
      <x:c r="AD208" s="215" t="str">
        <x:v>Hand lens / macro</x:v>
      </x:c>
      <x:c r="AE208" s="215" t="str">
        <x:v>Low</x:v>
      </x:c>
      <x:c r="AF208" s="215" t="str">
        <x:v>Field-ready draft</x:v>
      </x:c>
      <x:c r="AG208" s="215" t="str">
        <x:v>2 — Field-photo priority</x:v>
      </x:c>
      <x:c r="AH208" s="215" t="str">
        <x:v>Current master inventory</x:v>
      </x:c>
    </x:row>
    <x:row r="209" ht="42" customHeight="1">
      <x:c r="A209" s="215" t="str">
        <x:v>Commelinaceae</x:v>
      </x:c>
      <x:c r="B209" s="215" t="str">
        <x:v>COMM-NODES</x:v>
      </x:c>
      <x:c r="C209" s="215" t="str">
        <x:v>Broad family tendency</x:v>
      </x:c>
      <x:c r="D209" s="215" t="str">
        <x:v>Stem</x:v>
      </x:c>
      <x:c r="E209" s="215" t="str">
        <x:v>Nodes commonly swollen, stems often fleshy and rooting at nodes</x:v>
      </x:c>
      <x:c r="F209" s="215" t="str">
        <x:v>Strong</x:v>
      </x:c>
      <x:c r="G209" s="215" t="str">
        <x:v>3</x:v>
      </x:c>
      <x:c r="H209" s="215" t="str">
        <x:v>Moderate to high</x:v>
      </x:c>
      <x:c r="I209" s="215" t="str">
        <x:v>Naked eye or touch</x:v>
      </x:c>
      <x:c r="J209" s="215" t="str">
        <x:v>Vegetative</x:v>
      </x:c>
      <x:c r="K209" s="215" t="str">
        <x:v>Distinct thickened joints interrupt the soft stem, and creeping stems may root where they touch soil.</x:v>
      </x:c>
      <x:c r="L209" s="215" t="str">
        <x:v>Not every species creeps or roots at nodes; swollen nodes occur elsewhere.</x:v>
      </x:c>
      <x:c r="M209" s="215" t="str">
        <x:v>Use as part of the leaf-sheath-plus-flower suite.</x:v>
      </x:c>
      <x:c r="N209" s="215" t="str">
        <x:v>Strong in Commelina and many Tradescantia; Tinantia is more upright.</x:v>
      </x:c>
      <x:c r="O209" s="215" t="str">
        <x:v>Low</x:v>
      </x:c>
      <x:c r="P209" s="215" t="str">
        <x:v>No</x:v>
      </x:c>
      <x:c r="Q209" s="215" t="str"/>
      <x:c r="R209" s="215" t="str">
        <x:v>COMM-LK01; COMM-LK02</x:v>
      </x:c>
      <x:c r="S209" s="215" t="str">
        <x:v>APWEB-COMM; FNA-COMM; POWO-COMM</x:v>
      </x:c>
      <x:c r="T209" s="215" t="str">
        <x:v>https://mobot.org/MOBOT/research/APWeb/orders/commelinalesweb.htm</x:v>
      </x:c>
      <x:c r="U209" s="215" t="str">
        <x:v>https://floranorthamerica.org/Commelinaceae</x:v>
      </x:c>
      <x:c r="V209" s="215" t="str">
        <x:v>https://powo.science.kew.org/taxon/urn:lsid:ipni.org:names:30000225-2</x:v>
      </x:c>
      <x:c r="W209" s="215" t="str">
        <x:v>https://mobot.org/MOBOT/research/APWeb/orders/commelinalesweb.htm
https://floranorthamerica.org/Commelinaceae
https://powo.science.kew.org/taxon/urn:lsid:ipni.org:names:30000225-2</x:v>
      </x:c>
      <x:c r="X209" s="215" t="str">
        <x:v>No - retain qualifiers and exceptions</x:v>
      </x:c>
      <x:c r="Y209" s="215" t="str">
        <x:v>Yes</x:v>
      </x:c>
      <x:c r="Z209" s="215" t="str">
        <x:v>Source-backed draft</x:v>
      </x:c>
      <x:c r="AA209" s="215" t="str">
        <x:v>Family pattern</x:v>
      </x:c>
      <x:c r="AB209" s="215" t="str">
        <x:v>Positive diagnostic</x:v>
      </x:c>
      <x:c r="AC209" s="215" t="str">
        <x:v>Moderate</x:v>
      </x:c>
      <x:c r="AD209" s="215" t="str">
        <x:v>Special handling</x:v>
      </x:c>
      <x:c r="AE209" s="215" t="str">
        <x:v>Low</x:v>
      </x:c>
      <x:c r="AF209" s="215" t="str">
        <x:v>Field-ready draft</x:v>
      </x:c>
      <x:c r="AG209" s="215" t="str">
        <x:v>3 — Reference support</x:v>
      </x:c>
      <x:c r="AH209" s="215" t="str">
        <x:v>Current master inventory</x:v>
      </x:c>
    </x:row>
    <x:row r="210" ht="42" customHeight="1">
      <x:c r="A210" s="215" t="str">
        <x:v>Commelinaceae</x:v>
      </x:c>
      <x:c r="B210" s="215" t="str">
        <x:v>COMM-INFLO</x:v>
      </x:c>
      <x:c r="C210" s="215" t="str">
        <x:v>Broad family suite</x:v>
      </x:c>
      <x:c r="D210" s="215" t="str">
        <x:v>Inflorescence</x:v>
      </x:c>
      <x:c r="E210" s="215" t="str">
        <x:v>Flowers in cymes, often scorpioid, enclosed or subtended by bracts or spathes</x:v>
      </x:c>
      <x:c r="F210" s="215" t="str">
        <x:v>Strong</x:v>
      </x:c>
      <x:c r="G210" s="215" t="str">
        <x:v>4</x:v>
      </x:c>
      <x:c r="H210" s="215" t="str">
        <x:v>Moderate to high</x:v>
      </x:c>
      <x:c r="I210" s="215" t="str">
        <x:v>Naked eye</x:v>
      </x:c>
      <x:c r="J210" s="215" t="str">
        <x:v>Flowering</x:v>
      </x:c>
      <x:c r="K210" s="215" t="str">
        <x:v>Branches of the flower cluster may curl or unfold sequentially, often from a folded or leaflike bract.</x:v>
      </x:c>
      <x:c r="L210" s="215" t="str">
        <x:v>Inflorescences can be reduced, paired, or arranged differently; the scorpioid pattern may be hidden in small clusters.</x:v>
      </x:c>
      <x:c r="M210" s="215" t="str">
        <x:v>A strong structural clue before dissecting a flower.</x:v>
      </x:c>
      <x:c r="N210" s="215" t="str">
        <x:v>Commelina has a conspicuous folded spathe; Tradescantia and Tinantia use different bract arrangements.</x:v>
      </x:c>
      <x:c r="O210" s="215" t="str">
        <x:v>Low</x:v>
      </x:c>
      <x:c r="P210" s="215" t="str">
        <x:v>No</x:v>
      </x:c>
      <x:c r="Q210" s="215" t="str"/>
      <x:c r="R210" s="215" t="str">
        <x:v>COMM-LK01</x:v>
      </x:c>
      <x:c r="S210" s="215" t="str">
        <x:v>APWEB-COMM; FNA-COMM; POWO-COMM</x:v>
      </x:c>
      <x:c r="T210" s="215" t="str">
        <x:v>https://mobot.org/MOBOT/research/APWeb/orders/commelinalesweb.htm</x:v>
      </x:c>
      <x:c r="U210" s="215" t="str">
        <x:v>https://floranorthamerica.org/Commelinaceae</x:v>
      </x:c>
      <x:c r="V210" s="215" t="str">
        <x:v>https://powo.science.kew.org/taxon/urn:lsid:ipni.org:names:30000225-2</x:v>
      </x:c>
      <x:c r="W210" s="215" t="str">
        <x:v>https://mobot.org/MOBOT/research/APWeb/orders/commelinalesweb.htm
https://floranorthamerica.org/Commelinaceae
https://powo.science.kew.org/taxon/urn:lsid:ipni.org:names:30000225-2</x:v>
      </x:c>
      <x:c r="X210" s="215" t="str">
        <x:v>No - retain qualifiers and exceptions</x:v>
      </x:c>
      <x:c r="Y210" s="215" t="str">
        <x:v>Yes</x:v>
      </x:c>
      <x:c r="Z210" s="215" t="str">
        <x:v>Source-backed draft</x:v>
      </x:c>
      <x:c r="AA210" s="215" t="str">
        <x:v>Family pattern</x:v>
      </x:c>
      <x:c r="AB210" s="215" t="str">
        <x:v>Positive diagnostic</x:v>
      </x:c>
      <x:c r="AC210" s="215" t="str">
        <x:v>Moderate</x:v>
      </x:c>
      <x:c r="AD210" s="215" t="str">
        <x:v>Naked eye / field</x:v>
      </x:c>
      <x:c r="AE210" s="215" t="str">
        <x:v>Low</x:v>
      </x:c>
      <x:c r="AF210" s="215" t="str">
        <x:v>Field-ready draft</x:v>
      </x:c>
      <x:c r="AG210" s="215" t="str">
        <x:v>2 — Field-photo priority</x:v>
      </x:c>
      <x:c r="AH210" s="215" t="str">
        <x:v>Current master inventory</x:v>
      </x:c>
    </x:row>
    <x:row r="211" ht="42" customHeight="1">
      <x:c r="A211" s="215" t="str">
        <x:v>Commelinaceae</x:v>
      </x:c>
      <x:c r="B211" s="215" t="str">
        <x:v>COMM-3PLUS3</x:v>
      </x:c>
      <x:c r="C211" s="215" t="str">
        <x:v>Broad family suite</x:v>
      </x:c>
      <x:c r="D211" s="215" t="str">
        <x:v>Perianth</x:v>
      </x:c>
      <x:c r="E211" s="215" t="str">
        <x:v>Three sepals and three petals</x:v>
      </x:c>
      <x:c r="F211" s="215" t="str">
        <x:v>Core</x:v>
      </x:c>
      <x:c r="G211" s="215" t="str">
        <x:v>5</x:v>
      </x:c>
      <x:c r="H211" s="215" t="str">
        <x:v>High</x:v>
      </x:c>
      <x:c r="I211" s="215" t="str">
        <x:v>Naked eye or hand lens</x:v>
      </x:c>
      <x:c r="J211" s="215" t="str">
        <x:v>Fresh flowering</x:v>
      </x:c>
      <x:c r="K211" s="215" t="str">
        <x:v>The flower is built in two whorls of three, typical of monocots.</x:v>
      </x:c>
      <x:c r="L211" s="215" t="str">
        <x:v>Petals may be unequal, reduced, fused at the base, or absent in some lineages; flowers collapse quickly.</x:v>
      </x:c>
      <x:c r="M211" s="215" t="str">
        <x:v>Use with six-stamen pattern and capsule.</x:v>
      </x:c>
      <x:c r="N211" s="215" t="str">
        <x:v>Expected across all current local genera.</x:v>
      </x:c>
      <x:c r="O211" s="215" t="str">
        <x:v>Low</x:v>
      </x:c>
      <x:c r="P211" s="215" t="str">
        <x:v>No</x:v>
      </x:c>
      <x:c r="Q211" s="215" t="str"/>
      <x:c r="R211" s="215" t="str">
        <x:v>COMM-LK01; COMM-LK02</x:v>
      </x:c>
      <x:c r="S211" s="215" t="str">
        <x:v>APWEB-COMM; FNA-COMM; POWO-COMM</x:v>
      </x:c>
      <x:c r="T211" s="215" t="str">
        <x:v>https://mobot.org/MOBOT/research/APWeb/orders/commelinalesweb.htm</x:v>
      </x:c>
      <x:c r="U211" s="215" t="str">
        <x:v>https://floranorthamerica.org/Commelinaceae</x:v>
      </x:c>
      <x:c r="V211" s="215" t="str">
        <x:v>https://powo.science.kew.org/taxon/urn:lsid:ipni.org:names:30000225-2</x:v>
      </x:c>
      <x:c r="W211" s="215" t="str">
        <x:v>https://mobot.org/MOBOT/research/APWeb/orders/commelinalesweb.htm
https://floranorthamerica.org/Commelinaceae
https://powo.science.kew.org/taxon/urn:lsid:ipni.org:names:30000225-2</x:v>
      </x:c>
      <x:c r="X211" s="215" t="str">
        <x:v>No - retain qualifiers and exceptions</x:v>
      </x:c>
      <x:c r="Y211" s="215" t="str">
        <x:v>Yes</x:v>
      </x:c>
      <x:c r="Z211" s="215" t="str">
        <x:v>Source-backed draft</x:v>
      </x:c>
      <x:c r="AA211" s="215" t="str">
        <x:v>Family pattern</x:v>
      </x:c>
      <x:c r="AB211" s="215" t="str">
        <x:v>Positive diagnostic</x:v>
      </x:c>
      <x:c r="AC211" s="215" t="str">
        <x:v>High</x:v>
      </x:c>
      <x:c r="AD211" s="215" t="str">
        <x:v>Hand lens / macro</x:v>
      </x:c>
      <x:c r="AE211" s="215" t="str">
        <x:v>Low</x:v>
      </x:c>
      <x:c r="AF211" s="215" t="str">
        <x:v>Field-ready draft</x:v>
      </x:c>
      <x:c r="AG211" s="215" t="str">
        <x:v>2 — Field-photo priority</x:v>
      </x:c>
      <x:c r="AH211" s="215" t="str">
        <x:v>Current master inventory</x:v>
      </x:c>
    </x:row>
    <x:row r="212" ht="42" customHeight="1">
      <x:c r="A212" s="215" t="str">
        <x:v>Commelinaceae</x:v>
      </x:c>
      <x:c r="B212" s="215" t="str">
        <x:v>COMM-EPHEMERAL</x:v>
      </x:c>
      <x:c r="C212" s="215" t="str">
        <x:v>Broad family tendency</x:v>
      </x:c>
      <x:c r="D212" s="215" t="str">
        <x:v>Flower</x:v>
      </x:c>
      <x:c r="E212" s="215" t="str">
        <x:v>Petals delicate, deliquescent, and short-lived</x:v>
      </x:c>
      <x:c r="F212" s="215" t="str">
        <x:v>Strong</x:v>
      </x:c>
      <x:c r="G212" s="215" t="str">
        <x:v>3</x:v>
      </x:c>
      <x:c r="H212" s="215" t="str">
        <x:v>High when observed</x:v>
      </x:c>
      <x:c r="I212" s="215" t="str">
        <x:v>Naked eye</x:v>
      </x:c>
      <x:c r="J212" s="215" t="str">
        <x:v>Fresh morning flowers</x:v>
      </x:c>
      <x:c r="K212" s="215" t="str">
        <x:v>Petals commonly wilt into a soft mass rather than drying as a firm papery corolla.</x:v>
      </x:c>
      <x:c r="L212" s="215" t="str">
        <x:v>Weather, handling, and flower age affect the result; a collapsed flower may provide few characters.</x:v>
      </x:c>
      <x:c r="M212" s="215" t="str">
        <x:v>Explains why fresh material or photographs are needed.</x:v>
      </x:c>
      <x:c r="N212" s="215" t="str">
        <x:v>Highly relevant to local dayflowers and spiderworts.</x:v>
      </x:c>
      <x:c r="O212" s="215" t="str">
        <x:v>Low</x:v>
      </x:c>
      <x:c r="P212" s="215" t="str">
        <x:v>No</x:v>
      </x:c>
      <x:c r="Q212" s="215" t="str"/>
      <x:c r="R212" s="215" t="str">
        <x:v>COMM-LK01</x:v>
      </x:c>
      <x:c r="S212" s="215" t="str">
        <x:v>APWEB-COMM; FNA-COMM; POWO-COMM</x:v>
      </x:c>
      <x:c r="T212" s="215" t="str">
        <x:v>https://mobot.org/MOBOT/research/APWeb/orders/commelinalesweb.htm</x:v>
      </x:c>
      <x:c r="U212" s="215" t="str">
        <x:v>https://floranorthamerica.org/Commelinaceae</x:v>
      </x:c>
      <x:c r="V212" s="215" t="str">
        <x:v>https://powo.science.kew.org/taxon/urn:lsid:ipni.org:names:30000225-2</x:v>
      </x:c>
      <x:c r="W212" s="215" t="str">
        <x:v>https://mobot.org/MOBOT/research/APWeb/orders/commelinalesweb.htm
https://floranorthamerica.org/Commelinaceae
https://powo.science.kew.org/taxon/urn:lsid:ipni.org:names:30000225-2</x:v>
      </x:c>
      <x:c r="X212" s="215" t="str">
        <x:v>No - retain qualifiers and exceptions</x:v>
      </x:c>
      <x:c r="Y212" s="215" t="str">
        <x:v>Yes</x:v>
      </x:c>
      <x:c r="Z212" s="215" t="str">
        <x:v>Source-backed draft</x:v>
      </x:c>
      <x:c r="AA212" s="215" t="str">
        <x:v>Family pattern</x:v>
      </x:c>
      <x:c r="AB212" s="215" t="str">
        <x:v>Positive diagnostic</x:v>
      </x:c>
      <x:c r="AC212" s="215" t="str">
        <x:v>High</x:v>
      </x:c>
      <x:c r="AD212" s="215" t="str">
        <x:v>Naked eye / field</x:v>
      </x:c>
      <x:c r="AE212" s="215" t="str">
        <x:v>Low</x:v>
      </x:c>
      <x:c r="AF212" s="215" t="str">
        <x:v>Field-ready draft</x:v>
      </x:c>
      <x:c r="AG212" s="215" t="str">
        <x:v>3 — Reference support</x:v>
      </x:c>
      <x:c r="AH212" s="215" t="str">
        <x:v>Current master inventory</x:v>
      </x:c>
    </x:row>
    <x:row r="213" ht="42" customHeight="1">
      <x:c r="A213" s="215" t="str">
        <x:v>Commelinaceae</x:v>
      </x:c>
      <x:c r="B213" s="215" t="str">
        <x:v>COMM-STAMENS</x:v>
      </x:c>
      <x:c r="C213" s="215" t="str">
        <x:v>Broad family suite</x:v>
      </x:c>
      <x:c r="D213" s="215" t="str">
        <x:v>Androecium</x:v>
      </x:c>
      <x:c r="E213" s="215" t="str">
        <x:v>Six stamens in two whorls, with some often sterile or unequal</x:v>
      </x:c>
      <x:c r="F213" s="215" t="str">
        <x:v>Strong</x:v>
      </x:c>
      <x:c r="G213" s="215" t="str">
        <x:v>4</x:v>
      </x:c>
      <x:c r="H213" s="215" t="str">
        <x:v>Variable</x:v>
      </x:c>
      <x:c r="I213" s="215" t="str">
        <x:v>Hand lens</x:v>
      </x:c>
      <x:c r="J213" s="215" t="str">
        <x:v>Fresh flowering</x:v>
      </x:c>
      <x:c r="K213" s="215" t="str">
        <x:v>A flower may show a mixture of fertile stamens and staminodes, sometimes with conspicuous hairs or colored anthers.</x:v>
      </x:c>
      <x:c r="L213" s="215" t="str">
        <x:v>Number of fertile stamens varies among genera and can be obscured by collapsed petals.</x:v>
      </x:c>
      <x:c r="M213" s="215" t="str">
        <x:v>A powerful genus-route character after the 3+3 perianth is confirmed.</x:v>
      </x:c>
      <x:c r="N213" s="215" t="str">
        <x:v>Commelina commonly has fertile stamens plus staminodes; Tradescantia usually presents six fertile stamens.</x:v>
      </x:c>
      <x:c r="O213" s="215" t="str">
        <x:v>Low</x:v>
      </x:c>
      <x:c r="P213" s="215" t="str">
        <x:v>No</x:v>
      </x:c>
      <x:c r="Q213" s="215" t="str"/>
      <x:c r="R213" s="215" t="str">
        <x:v>COMM-LK01</x:v>
      </x:c>
      <x:c r="S213" s="215" t="str">
        <x:v>APWEB-COMM; FNA-COMM; POWO-COMM</x:v>
      </x:c>
      <x:c r="T213" s="215" t="str">
        <x:v>https://mobot.org/MOBOT/research/APWeb/orders/commelinalesweb.htm</x:v>
      </x:c>
      <x:c r="U213" s="215" t="str">
        <x:v>https://floranorthamerica.org/Commelinaceae</x:v>
      </x:c>
      <x:c r="V213" s="215" t="str">
        <x:v>https://powo.science.kew.org/taxon/urn:lsid:ipni.org:names:30000225-2</x:v>
      </x:c>
      <x:c r="W213" s="215" t="str">
        <x:v>https://mobot.org/MOBOT/research/APWeb/orders/commelinalesweb.htm
https://floranorthamerica.org/Commelinaceae
https://powo.science.kew.org/taxon/urn:lsid:ipni.org:names:30000225-2</x:v>
      </x:c>
      <x:c r="X213" s="215" t="str">
        <x:v>No - retain qualifiers and exceptions</x:v>
      </x:c>
      <x:c r="Y213" s="215" t="str">
        <x:v>Yes</x:v>
      </x:c>
      <x:c r="Z213" s="215" t="str">
        <x:v>Source-backed draft</x:v>
      </x:c>
      <x:c r="AA213" s="215" t="str">
        <x:v>Family pattern</x:v>
      </x:c>
      <x:c r="AB213" s="215" t="str">
        <x:v>Positive diagnostic</x:v>
      </x:c>
      <x:c r="AC213" s="215" t="str">
        <x:v>Variable</x:v>
      </x:c>
      <x:c r="AD213" s="215" t="str">
        <x:v>Hand lens / macro</x:v>
      </x:c>
      <x:c r="AE213" s="215" t="str">
        <x:v>Low</x:v>
      </x:c>
      <x:c r="AF213" s="215" t="str">
        <x:v>Field-ready draft</x:v>
      </x:c>
      <x:c r="AG213" s="215" t="str">
        <x:v>2 — Field-photo priority</x:v>
      </x:c>
      <x:c r="AH213" s="215" t="str">
        <x:v>Current master inventory</x:v>
      </x:c>
    </x:row>
    <x:row r="214" ht="42" customHeight="1">
      <x:c r="A214" s="215" t="str">
        <x:v>Commelinaceae</x:v>
      </x:c>
      <x:c r="B214" s="215" t="str">
        <x:v>COMM-FILAMENT</x:v>
      </x:c>
      <x:c r="C214" s="215" t="str">
        <x:v>Broad family tendency</x:v>
      </x:c>
      <x:c r="D214" s="215" t="str">
        <x:v>Androecium</x:v>
      </x:c>
      <x:c r="E214" s="215" t="str">
        <x:v>Filaments often hairy or bearded</x:v>
      </x:c>
      <x:c r="F214" s="215" t="str">
        <x:v>Supporting</x:v>
      </x:c>
      <x:c r="G214" s="215" t="str">
        <x:v>3</x:v>
      </x:c>
      <x:c r="H214" s="215" t="str">
        <x:v>Moderate</x:v>
      </x:c>
      <x:c r="I214" s="215" t="str">
        <x:v>Hand lens or macro photograph</x:v>
      </x:c>
      <x:c r="J214" s="215" t="str">
        <x:v>Fresh flowering</x:v>
      </x:c>
      <x:c r="K214" s="215" t="str">
        <x:v>Colored or moniliform hairs may cover the filaments and become conspicuous at close range.</x:v>
      </x:c>
      <x:c r="L214" s="215" t="str">
        <x:v>Hairiness varies and may be absent; water or wilt can mat the hairs.</x:v>
      </x:c>
      <x:c r="M214" s="215" t="str">
        <x:v>Supports Commelinaceae and helps separate local genera.</x:v>
      </x:c>
      <x:c r="N214" s="215" t="str">
        <x:v>Especially visible in Tradescantia and Tinantia.</x:v>
      </x:c>
      <x:c r="O214" s="215" t="str">
        <x:v>Low</x:v>
      </x:c>
      <x:c r="P214" s="215" t="str">
        <x:v>No</x:v>
      </x:c>
      <x:c r="Q214" s="215" t="str"/>
      <x:c r="R214" s="215" t="str">
        <x:v>COMM-LK01</x:v>
      </x:c>
      <x:c r="S214" s="215" t="str">
        <x:v>APWEB-COMM; FNA-COMM; POWO-COMM</x:v>
      </x:c>
      <x:c r="T214" s="215" t="str">
        <x:v>https://mobot.org/MOBOT/research/APWeb/orders/commelinalesweb.htm</x:v>
      </x:c>
      <x:c r="U214" s="215" t="str">
        <x:v>https://floranorthamerica.org/Commelinaceae</x:v>
      </x:c>
      <x:c r="V214" s="215" t="str">
        <x:v>https://powo.science.kew.org/taxon/urn:lsid:ipni.org:names:30000225-2</x:v>
      </x:c>
      <x:c r="W214" s="215" t="str">
        <x:v>https://mobot.org/MOBOT/research/APWeb/orders/commelinalesweb.htm
https://floranorthamerica.org/Commelinaceae
https://powo.science.kew.org/taxon/urn:lsid:ipni.org:names:30000225-2</x:v>
      </x:c>
      <x:c r="X214" s="215" t="str">
        <x:v>No - retain qualifiers and exceptions</x:v>
      </x:c>
      <x:c r="Y214" s="215" t="str">
        <x:v>Yes</x:v>
      </x:c>
      <x:c r="Z214" s="215" t="str">
        <x:v>Source-backed draft</x:v>
      </x:c>
      <x:c r="AA214" s="215" t="str">
        <x:v>Family pattern</x:v>
      </x:c>
      <x:c r="AB214" s="215" t="str">
        <x:v>Supporting / route</x:v>
      </x:c>
      <x:c r="AC214" s="215" t="str">
        <x:v>Moderate</x:v>
      </x:c>
      <x:c r="AD214" s="215" t="str">
        <x:v>Hand lens / macro</x:v>
      </x:c>
      <x:c r="AE214" s="215" t="str">
        <x:v>Low</x:v>
      </x:c>
      <x:c r="AF214" s="215" t="str">
        <x:v>Field-ready draft</x:v>
      </x:c>
      <x:c r="AG214" s="215" t="str">
        <x:v>3 — Reference support</x:v>
      </x:c>
      <x:c r="AH214" s="215" t="str">
        <x:v>Current master inventory</x:v>
      </x:c>
    </x:row>
    <x:row r="215" ht="42" customHeight="1">
      <x:c r="A215" s="215" t="str">
        <x:v>Commelinaceae</x:v>
      </x:c>
      <x:c r="B215" s="215" t="str">
        <x:v>COMM-OVARY</x:v>
      </x:c>
      <x:c r="C215" s="215" t="str">
        <x:v>Broad family suite</x:v>
      </x:c>
      <x:c r="D215" s="215" t="str">
        <x:v>Gynoecium</x:v>
      </x:c>
      <x:c r="E215" s="215" t="str">
        <x:v>Ovary superior, usually 2-3 locular, with axile placentation</x:v>
      </x:c>
      <x:c r="F215" s="215" t="str">
        <x:v>Strong</x:v>
      </x:c>
      <x:c r="G215" s="215" t="str">
        <x:v>4</x:v>
      </x:c>
      <x:c r="H215" s="215" t="str">
        <x:v>Moderate</x:v>
      </x:c>
      <x:c r="I215" s="215" t="str">
        <x:v>Hand lens or dissection</x:v>
      </x:c>
      <x:c r="J215" s="215" t="str">
        <x:v>Flowering to young fruit</x:v>
      </x:c>
      <x:c r="K215" s="215" t="str">
        <x:v>The ovary sits above the flower base and contains two or three seed chambers.</x:v>
      </x:c>
      <x:c r="L215" s="215" t="str">
        <x:v>Locule number, fertility, and ovule number vary; internal structure requires dissection.</x:v>
      </x:c>
      <x:c r="M215" s="215" t="str">
        <x:v>Supports the family after the monocot flower pattern is established.</x:v>
      </x:c>
      <x:c r="N215" s="215" t="str">
        <x:v>Expected across local genera.</x:v>
      </x:c>
      <x:c r="O215" s="215" t="str">
        <x:v>Low</x:v>
      </x:c>
      <x:c r="P215" s="215" t="str">
        <x:v>No</x:v>
      </x:c>
      <x:c r="Q215" s="215" t="str"/>
      <x:c r="R215" s="215" t="str">
        <x:v>COMM-LK01</x:v>
      </x:c>
      <x:c r="S215" s="215" t="str">
        <x:v>APWEB-COMM; FNA-COMM; POWO-COMM</x:v>
      </x:c>
      <x:c r="T215" s="215" t="str">
        <x:v>https://mobot.org/MOBOT/research/APWeb/orders/commelinalesweb.htm</x:v>
      </x:c>
      <x:c r="U215" s="215" t="str">
        <x:v>https://floranorthamerica.org/Commelinaceae</x:v>
      </x:c>
      <x:c r="V215" s="215" t="str">
        <x:v>https://powo.science.kew.org/taxon/urn:lsid:ipni.org:names:30000225-2</x:v>
      </x:c>
      <x:c r="W215" s="215" t="str">
        <x:v>https://mobot.org/MOBOT/research/APWeb/orders/commelinalesweb.htm
https://floranorthamerica.org/Commelinaceae
https://powo.science.kew.org/taxon/urn:lsid:ipni.org:names:30000225-2</x:v>
      </x:c>
      <x:c r="X215" s="215" t="str">
        <x:v>No - retain qualifiers and exceptions</x:v>
      </x:c>
      <x:c r="Y215" s="215" t="str">
        <x:v>Yes</x:v>
      </x:c>
      <x:c r="Z215" s="215" t="str">
        <x:v>Source-backed draft</x:v>
      </x:c>
      <x:c r="AA215" s="215" t="str">
        <x:v>Family pattern</x:v>
      </x:c>
      <x:c r="AB215" s="215" t="str">
        <x:v>Positive diagnostic</x:v>
      </x:c>
      <x:c r="AC215" s="215" t="str">
        <x:v>Moderate</x:v>
      </x:c>
      <x:c r="AD215" s="215" t="str">
        <x:v>Dissection</x:v>
      </x:c>
      <x:c r="AE215" s="215" t="str">
        <x:v>Low</x:v>
      </x:c>
      <x:c r="AF215" s="215" t="str">
        <x:v>Dissection / close study</x:v>
      </x:c>
      <x:c r="AG215" s="215" t="str">
        <x:v>3 — Reference support</x:v>
      </x:c>
      <x:c r="AH215" s="215" t="str">
        <x:v>Current master inventory</x:v>
      </x:c>
    </x:row>
    <x:row r="216" ht="42" customHeight="1">
      <x:c r="A216" s="215" t="str">
        <x:v>Commelinaceae</x:v>
      </x:c>
      <x:c r="B216" s="215" t="str">
        <x:v>COMM-CAPSULE</x:v>
      </x:c>
      <x:c r="C216" s="215" t="str">
        <x:v>Broad family suite</x:v>
      </x:c>
      <x:c r="D216" s="215" t="str">
        <x:v>Fruit</x:v>
      </x:c>
      <x:c r="E216" s="215" t="str">
        <x:v>Loculicidal capsule, usually with a few seeds</x:v>
      </x:c>
      <x:c r="F216" s="215" t="str">
        <x:v>Core</x:v>
      </x:c>
      <x:c r="G216" s="215" t="str">
        <x:v>5</x:v>
      </x:c>
      <x:c r="H216" s="215" t="str">
        <x:v>High</x:v>
      </x:c>
      <x:c r="I216" s="215" t="str">
        <x:v>Hand lens</x:v>
      </x:c>
      <x:c r="J216" s="215" t="str">
        <x:v>Mature fruit</x:v>
      </x:c>
      <x:c r="K216" s="215" t="str">
        <x:v>The dry fruit splits through the backs of its locules into valves.</x:v>
      </x:c>
      <x:c r="L216" s="215" t="str">
        <x:v>Some locules may be sterile or indehiscent; old capsules may already have fallen apart.</x:v>
      </x:c>
      <x:c r="M216" s="215" t="str">
        <x:v>A strong reproductive confirmation.</x:v>
      </x:c>
      <x:c r="N216" s="215" t="str">
        <x:v>Useful across all current local taxa.</x:v>
      </x:c>
      <x:c r="O216" s="215" t="str">
        <x:v>Low</x:v>
      </x:c>
      <x:c r="P216" s="215" t="str">
        <x:v>No</x:v>
      </x:c>
      <x:c r="Q216" s="215" t="str"/>
      <x:c r="R216" s="215" t="str">
        <x:v>COMM-LK01; COMM-LK02</x:v>
      </x:c>
      <x:c r="S216" s="215" t="str">
        <x:v>APWEB-COMM; FNA-COMM; POWO-COMM</x:v>
      </x:c>
      <x:c r="T216" s="215" t="str">
        <x:v>https://mobot.org/MOBOT/research/APWeb/orders/commelinalesweb.htm</x:v>
      </x:c>
      <x:c r="U216" s="215" t="str">
        <x:v>https://floranorthamerica.org/Commelinaceae</x:v>
      </x:c>
      <x:c r="V216" s="215" t="str">
        <x:v>https://powo.science.kew.org/taxon/urn:lsid:ipni.org:names:30000225-2</x:v>
      </x:c>
      <x:c r="W216" s="215" t="str">
        <x:v>https://mobot.org/MOBOT/research/APWeb/orders/commelinalesweb.htm
https://floranorthamerica.org/Commelinaceae
https://powo.science.kew.org/taxon/urn:lsid:ipni.org:names:30000225-2</x:v>
      </x:c>
      <x:c r="X216" s="215" t="str">
        <x:v>No - retain qualifiers and exceptions</x:v>
      </x:c>
      <x:c r="Y216" s="215" t="str">
        <x:v>Yes</x:v>
      </x:c>
      <x:c r="Z216" s="215" t="str">
        <x:v>Source-backed draft</x:v>
      </x:c>
      <x:c r="AA216" s="215" t="str">
        <x:v>Family pattern</x:v>
      </x:c>
      <x:c r="AB216" s="215" t="str">
        <x:v>Positive diagnostic</x:v>
      </x:c>
      <x:c r="AC216" s="215" t="str">
        <x:v>High</x:v>
      </x:c>
      <x:c r="AD216" s="215" t="str">
        <x:v>Hand lens / macro</x:v>
      </x:c>
      <x:c r="AE216" s="215" t="str">
        <x:v>Low</x:v>
      </x:c>
      <x:c r="AF216" s="215" t="str">
        <x:v>Field-ready draft</x:v>
      </x:c>
      <x:c r="AG216" s="215" t="str">
        <x:v>2 — Field-photo priority</x:v>
      </x:c>
      <x:c r="AH216" s="215" t="str">
        <x:v>Current master inventory</x:v>
      </x:c>
    </x:row>
    <x:row r="217" ht="42" customHeight="1">
      <x:c r="A217" s="215" t="str">
        <x:v>Commelinaceae</x:v>
      </x:c>
      <x:c r="B217" s="215" t="str">
        <x:v>COMM-EMBRYOTEGA</x:v>
      </x:c>
      <x:c r="C217" s="215" t="str">
        <x:v>Broad family tendency</x:v>
      </x:c>
      <x:c r="D217" s="215" t="str">
        <x:v>Seed</x:v>
      </x:c>
      <x:c r="E217" s="215" t="str">
        <x:v>Seed with a distinct embryotega or caplike area</x:v>
      </x:c>
      <x:c r="F217" s="215" t="str">
        <x:v>Strong</x:v>
      </x:c>
      <x:c r="G217" s="215" t="str">
        <x:v>3</x:v>
      </x:c>
      <x:c r="H217" s="215" t="str">
        <x:v>High when visible</x:v>
      </x:c>
      <x:c r="I217" s="215" t="str">
        <x:v>Hand lens or microscope</x:v>
      </x:c>
      <x:c r="J217" s="215" t="str">
        <x:v>Mature seed</x:v>
      </x:c>
      <x:c r="K217" s="215" t="str">
        <x:v>A small, often contrasting cap or area marks the position of the embryo on the seed coat.</x:v>
      </x:c>
      <x:c r="L217" s="215" t="str">
        <x:v>It is too small for routine field recognition and surface patterns vary.</x:v>
      </x:c>
      <x:c r="M217" s="215" t="str">
        <x:v>Microscopic confirmation for vouchers or difficult fragments.</x:v>
      </x:c>
      <x:c r="N217" s="215" t="str">
        <x:v>Potentially useful in genus and species matrices.</x:v>
      </x:c>
      <x:c r="O217" s="215" t="str">
        <x:v>Low</x:v>
      </x:c>
      <x:c r="P217" s="215" t="str">
        <x:v>No</x:v>
      </x:c>
      <x:c r="Q217" s="215" t="str"/>
      <x:c r="R217" s="215" t="str"/>
      <x:c r="S217" s="215" t="str">
        <x:v>APWEB-COMM; FNA-COMM; POWO-COMM</x:v>
      </x:c>
      <x:c r="T217" s="215" t="str">
        <x:v>https://mobot.org/MOBOT/research/APWeb/orders/commelinalesweb.htm</x:v>
      </x:c>
      <x:c r="U217" s="215" t="str">
        <x:v>https://floranorthamerica.org/Commelinaceae</x:v>
      </x:c>
      <x:c r="V217" s="215" t="str">
        <x:v>https://powo.science.kew.org/taxon/urn:lsid:ipni.org:names:30000225-2</x:v>
      </x:c>
      <x:c r="W217" s="215" t="str">
        <x:v>https://mobot.org/MOBOT/research/APWeb/orders/commelinalesweb.htm
https://floranorthamerica.org/Commelinaceae
https://powo.science.kew.org/taxon/urn:lsid:ipni.org:names:30000225-2</x:v>
      </x:c>
      <x:c r="X217" s="215" t="str">
        <x:v>No - retain qualifiers and exceptions</x:v>
      </x:c>
      <x:c r="Y217" s="215" t="str">
        <x:v>Yes</x:v>
      </x:c>
      <x:c r="Z217" s="215" t="str">
        <x:v>Source-backed draft</x:v>
      </x:c>
      <x:c r="AA217" s="215" t="str">
        <x:v>Family pattern</x:v>
      </x:c>
      <x:c r="AB217" s="215" t="str">
        <x:v>Positive diagnostic</x:v>
      </x:c>
      <x:c r="AC217" s="215" t="str">
        <x:v>High</x:v>
      </x:c>
      <x:c r="AD217" s="215" t="str">
        <x:v>Microscope</x:v>
      </x:c>
      <x:c r="AE217" s="215" t="str">
        <x:v>Low</x:v>
      </x:c>
      <x:c r="AF217" s="215" t="str">
        <x:v>Specialist / reference</x:v>
      </x:c>
      <x:c r="AG217" s="215" t="str">
        <x:v>3 — Reference support</x:v>
      </x:c>
      <x:c r="AH217" s="215" t="str">
        <x:v>Current master inventory</x:v>
      </x:c>
    </x:row>
    <x:row r="218" ht="42" customHeight="1">
      <x:c r="A218" s="215" t="str">
        <x:v>Commelinaceae</x:v>
      </x:c>
      <x:c r="B218" s="215" t="str">
        <x:v>COMM-COMMELINA</x:v>
      </x:c>
      <x:c r="C218" s="215" t="str">
        <x:v>Local subgroup: Commelina</x:v>
      </x:c>
      <x:c r="D218" s="215" t="str">
        <x:v>Inflorescence and stamens</x:v>
      </x:c>
      <x:c r="E218" s="215" t="str">
        <x:v>Folded spathe enclosing cymes; petals unequal; fertile stamens mixed with staminodes</x:v>
      </x:c>
      <x:c r="F218" s="215" t="str">
        <x:v>Subgroup</x:v>
      </x:c>
      <x:c r="G218" s="215" t="str">
        <x:v>5</x:v>
      </x:c>
      <x:c r="H218" s="215" t="str">
        <x:v>High</x:v>
      </x:c>
      <x:c r="I218" s="215" t="str">
        <x:v>Naked eye plus hand lens</x:v>
      </x:c>
      <x:c r="J218" s="215" t="str">
        <x:v>Fresh flowering</x:v>
      </x:c>
      <x:c r="K218" s="215" t="str">
        <x:v>A boat-shaped or folded bract surrounds the flower cluster, and the flower often has two large colored petals plus a smaller third petal.</x:v>
      </x:c>
      <x:c r="L218" s="215" t="str">
        <x:v>Spathe shape and fusion differ by species; flowers are short-lived.</x:v>
      </x:c>
      <x:c r="M218" s="215" t="str">
        <x:v>Strongly separates local Commelina from Tradescantia and Tinantia.</x:v>
      </x:c>
      <x:c r="N218" s="215" t="str">
        <x:v>Directly relevant to Commelina erecta and its listed infraspecific forms.</x:v>
      </x:c>
      <x:c r="O218" s="215" t="str">
        <x:v>Low</x:v>
      </x:c>
      <x:c r="P218" s="215" t="str">
        <x:v>No</x:v>
      </x:c>
      <x:c r="Q218" s="215" t="str"/>
      <x:c r="R218" s="215" t="str">
        <x:v>COMM-LK01</x:v>
      </x:c>
      <x:c r="S218" s="215" t="str">
        <x:v>FNA-COMM; APWEB-COMM; POWO-COMM</x:v>
      </x:c>
      <x:c r="T218" s="215" t="str">
        <x:v>https://mobot.org/MOBOT/research/APWeb/orders/commelinalesweb.htm</x:v>
      </x:c>
      <x:c r="U218" s="215" t="str">
        <x:v>https://floranorthamerica.org/Commelinaceae</x:v>
      </x:c>
      <x:c r="V218" s="215" t="str">
        <x:v>https://powo.science.kew.org/taxon/urn:lsid:ipni.org:names:30000225-2</x:v>
      </x:c>
      <x:c r="W218" s="215" t="str">
        <x:v>https://floranorthamerica.org/Commelinaceae
https://mobot.org/MOBOT/research/APWeb/orders/commelinalesweb.htm
https://powo.science.kew.org/taxon/urn:lsid:ipni.org:names:30000225-2</x:v>
      </x:c>
      <x:c r="X218" s="215" t="str">
        <x:v>No - retain qualifiers and exceptions</x:v>
      </x:c>
      <x:c r="Y218" s="215" t="str">
        <x:v>Yes</x:v>
      </x:c>
      <x:c r="Z218" s="215" t="str">
        <x:v>Source-backed draft</x:v>
      </x:c>
      <x:c r="AA218" s="215" t="str">
        <x:v>Local subgroup / route</x:v>
      </x:c>
      <x:c r="AB218" s="215" t="str">
        <x:v>Supporting / route</x:v>
      </x:c>
      <x:c r="AC218" s="215" t="str">
        <x:v>High</x:v>
      </x:c>
      <x:c r="AD218" s="215" t="str">
        <x:v>Hand lens / macro</x:v>
      </x:c>
      <x:c r="AE218" s="215" t="str">
        <x:v>Low</x:v>
      </x:c>
      <x:c r="AF218" s="215" t="str">
        <x:v>Field-ready draft</x:v>
      </x:c>
      <x:c r="AG218" s="215" t="str">
        <x:v>2 — Field-photo priority</x:v>
      </x:c>
      <x:c r="AH218" s="215" t="str">
        <x:v>Current master inventory</x:v>
      </x:c>
    </x:row>
    <x:row r="219" ht="42" customHeight="1">
      <x:c r="A219" s="215" t="str">
        <x:v>Commelinaceae</x:v>
      </x:c>
      <x:c r="B219" s="215" t="str">
        <x:v>COMM-TRAD-TIN</x:v>
      </x:c>
      <x:c r="C219" s="215" t="str">
        <x:v>Local subgroup: Tradescantia and Tinantia</x:v>
      </x:c>
      <x:c r="D219" s="215" t="str">
        <x:v>Flower and inflorescence</x:v>
      </x:c>
      <x:c r="E219" s="215" t="str">
        <x:v>Three more similar petals; conspicuous hairy filaments; no enclosing Commelina-type folded spathe</x:v>
      </x:c>
      <x:c r="F219" s="215" t="str">
        <x:v>Subgroup</x:v>
      </x:c>
      <x:c r="G219" s="215" t="str">
        <x:v>5</x:v>
      </x:c>
      <x:c r="H219" s="215" t="str">
        <x:v>Moderate to high</x:v>
      </x:c>
      <x:c r="I219" s="215" t="str">
        <x:v>Naked eye plus hand lens</x:v>
      </x:c>
      <x:c r="J219" s="215" t="str">
        <x:v>Fresh flowering</x:v>
      </x:c>
      <x:c r="K219" s="215" t="str">
        <x:v>These local genera show more open flowers and conspicuous stamen hairs rather than the classic dayflower spathe-and-unequal-petal form.</x:v>
      </x:c>
      <x:c r="L219" s="215" t="str">
        <x:v>Tinantia and Tradescantia still differ in inflorescence, sepal, petal, and stamen details.</x:v>
      </x:c>
      <x:c r="M219" s="215" t="str">
        <x:v>Provides a local branch point; a genus matrix is still required.</x:v>
      </x:c>
      <x:c r="N219" s="215" t="str">
        <x:v>Applies to Tinantia anomala and seven Tradescantia rows.</x:v>
      </x:c>
      <x:c r="O219" s="215" t="str">
        <x:v>Moderate</x:v>
      </x:c>
      <x:c r="P219" s="215" t="str">
        <x:v>Yes</x:v>
      </x:c>
      <x:c r="Q219" s="215" t="str">
        <x:v>Validate the smallest dependable Tinantia-versus-Tradescantia characters.</x:v>
      </x:c>
      <x:c r="R219" s="215" t="str">
        <x:v>COMM-LK01</x:v>
      </x:c>
      <x:c r="S219" s="215" t="str">
        <x:v>FNA-COMM; APWEB-COMM; POWO-COMM</x:v>
      </x:c>
      <x:c r="T219" s="215" t="str">
        <x:v>https://mobot.org/MOBOT/research/APWeb/orders/commelinalesweb.htm</x:v>
      </x:c>
      <x:c r="U219" s="215" t="str">
        <x:v>https://floranorthamerica.org/Commelinaceae</x:v>
      </x:c>
      <x:c r="V219" s="215" t="str">
        <x:v>https://powo.science.kew.org/taxon/urn:lsid:ipni.org:names:30000225-2</x:v>
      </x:c>
      <x:c r="W219" s="215" t="str">
        <x:v>https://floranorthamerica.org/Commelinaceae
https://mobot.org/MOBOT/research/APWeb/orders/commelinalesweb.htm
https://powo.science.kew.org/taxon/urn:lsid:ipni.org:names:30000225-2</x:v>
      </x:c>
      <x:c r="X219" s="215" t="str">
        <x:v>No - retain qualifiers and exceptions</x:v>
      </x:c>
      <x:c r="Y219" s="215" t="str">
        <x:v>Yes</x:v>
      </x:c>
      <x:c r="Z219" s="215" t="str">
        <x:v>Human review required</x:v>
      </x:c>
      <x:c r="AA219" s="215" t="str">
        <x:v>Local subgroup / route</x:v>
      </x:c>
      <x:c r="AB219" s="215" t="str">
        <x:v>Supporting / route</x:v>
      </x:c>
      <x:c r="AC219" s="215" t="str">
        <x:v>Moderate</x:v>
      </x:c>
      <x:c r="AD219" s="215" t="str">
        <x:v>Hand lens / macro</x:v>
      </x:c>
      <x:c r="AE219" s="215" t="str">
        <x:v>Moderate</x:v>
      </x:c>
      <x:c r="AF219" s="215" t="str">
        <x:v>Use only after review</x:v>
      </x:c>
      <x:c r="AG219" s="215" t="str">
        <x:v>1 — Human review now</x:v>
      </x:c>
      <x:c r="AH219" s="215" t="str">
        <x:v>Current master inventory</x:v>
      </x:c>
    </x:row>
    <x:row r="220" ht="42" customHeight="1">
      <x:c r="A220" s="215" t="str">
        <x:v>Rosaceae</x:v>
      </x:c>
      <x:c r="B220" s="215" t="str">
        <x:v>ROS-HETERO</x:v>
      </x:c>
      <x:c r="C220" s="215" t="str">
        <x:v>Family-wide</x:v>
      </x:c>
      <x:c r="D220" s="215" t="str">
        <x:v>Whole plant</x:v>
      </x:c>
      <x:c r="E220" s="215" t="str">
        <x:v>Family morphology is highly heterogeneous</x:v>
      </x:c>
      <x:c r="F220" s="215" t="str">
        <x:v>Caution</x:v>
      </x:c>
      <x:c r="G220" s="215" t="str">
        <x:v>0</x:v>
      </x:c>
      <x:c r="H220" s="215" t="str">
        <x:v>High</x:v>
      </x:c>
      <x:c r="I220" s="215" t="str">
        <x:v>Naked eye</x:v>
      </x:c>
      <x:c r="J220" s="215" t="str">
        <x:v>Any</x:v>
      </x:c>
      <x:c r="K220" s="215" t="str">
        <x:v>Rosaceae includes herbs, shrubs, and trees with drupes, pomes, aggregate fruits, achenes, and follicles.</x:v>
      </x:c>
      <x:c r="L220" s="215" t="str">
        <x:v>No single leaf type, stamen count, carpel count, ovary position, or fruit type covers the whole family.</x:v>
      </x:c>
      <x:c r="M220" s="215" t="str">
        <x:v>The key must use a hypanthium plus a reproductive subgroup route.</x:v>
      </x:c>
      <x:c r="N220" s="215" t="str">
        <x:v>The local snapshot spans Geum, Malus, Prunus, and Rubus, four very different forms.</x:v>
      </x:c>
      <x:c r="O220" s="215" t="str">
        <x:v>Low</x:v>
      </x:c>
      <x:c r="P220" s="215" t="str">
        <x:v>No</x:v>
      </x:c>
      <x:c r="Q220" s="215" t="str"/>
      <x:c r="R220" s="215" t="str">
        <x:v>ROS-LK01; ROS-LK02</x:v>
      </x:c>
      <x:c r="S220" s="215" t="str">
        <x:v>APWEB-ROS; FNA-ROS; POWO-ROS</x:v>
      </x:c>
      <x:c r="T220" s="215" t="str">
        <x:v>https://www.mobot.org/mobot/research/APWeb/orders/rosalesweb.htm</x:v>
      </x:c>
      <x:c r="U220" s="215" t="str">
        <x:v>https://floranorthamerica.org/Rosaceae</x:v>
      </x:c>
      <x:c r="V220" s="215" t="str">
        <x:v>https://powo.science.kew.org/taxon/urn:lsid:ipni.org:names:30000200-2</x:v>
      </x:c>
      <x:c r="W220" s="215" t="str">
        <x:v>https://www.mobot.org/mobot/research/APWeb/orders/rosalesweb.htm
https://floranorthamerica.org/Rosaceae
https://powo.science.kew.org/taxon/urn:lsid:ipni.org:names:30000200-2</x:v>
      </x:c>
      <x:c r="X220" s="215" t="str">
        <x:v>No - retain qualifiers and exceptions</x:v>
      </x:c>
      <x:c r="Y220" s="215" t="str">
        <x:v>Yes</x:v>
      </x:c>
      <x:c r="Z220" s="215" t="str">
        <x:v>Source-backed draft</x:v>
      </x:c>
      <x:c r="AA220" s="215" t="str">
        <x:v>Family pattern</x:v>
      </x:c>
      <x:c r="AB220" s="215" t="str">
        <x:v>Caution / negative rule</x:v>
      </x:c>
      <x:c r="AC220" s="215" t="str">
        <x:v>High</x:v>
      </x:c>
      <x:c r="AD220" s="215" t="str">
        <x:v>Naked eye / field</x:v>
      </x:c>
      <x:c r="AE220" s="215" t="str">
        <x:v>Low</x:v>
      </x:c>
      <x:c r="AF220" s="215" t="str">
        <x:v>Field-ready draft</x:v>
      </x:c>
      <x:c r="AG220" s="215" t="str">
        <x:v>4 — Context / caution</x:v>
      </x:c>
      <x:c r="AH220" s="215" t="str">
        <x:v>Current master inventory</x:v>
      </x:c>
    </x:row>
    <x:row r="221" ht="42" customHeight="1">
      <x:c r="A221" s="215" t="str">
        <x:v>Rosaceae</x:v>
      </x:c>
      <x:c r="B221" s="215" t="str">
        <x:v>ROS-LEAF</x:v>
      </x:c>
      <x:c r="C221" s="215" t="str">
        <x:v>Broad family tendency</x:v>
      </x:c>
      <x:c r="D221" s="215" t="str">
        <x:v>Leaf</x:v>
      </x:c>
      <x:c r="E221" s="215" t="str">
        <x:v>Leaves usually alternate, often toothed, and commonly stipulate</x:v>
      </x:c>
      <x:c r="F221" s="215" t="str">
        <x:v>Supporting</x:v>
      </x:c>
      <x:c r="G221" s="215" t="str">
        <x:v>3</x:v>
      </x:c>
      <x:c r="H221" s="215" t="str">
        <x:v>Variable</x:v>
      </x:c>
      <x:c r="I221" s="215" t="str">
        <x:v>Naked eye or hand lens</x:v>
      </x:c>
      <x:c r="J221" s="215" t="str">
        <x:v>Vegetative</x:v>
      </x:c>
      <x:c r="K221" s="215" t="str">
        <x:v>Many members have one leaf per node, serrated margins, and paired stipules at the leaf base.</x:v>
      </x:c>
      <x:c r="L221" s="215" t="str">
        <x:v>Leaves may be opposite, entire, compound, or stipules may be tiny or fall early; unrelated families share these traits.</x:v>
      </x:c>
      <x:c r="M221" s="215" t="str">
        <x:v>A useful supporting suite only.</x:v>
      </x:c>
      <x:c r="N221" s="215" t="str">
        <x:v>Strong in local Rubus and Geum; stipules may be subtle in Prunus and Malus.</x:v>
      </x:c>
      <x:c r="O221" s="215" t="str">
        <x:v>Low</x:v>
      </x:c>
      <x:c r="P221" s="215" t="str">
        <x:v>No</x:v>
      </x:c>
      <x:c r="Q221" s="215" t="str"/>
      <x:c r="R221" s="215" t="str">
        <x:v>ROS-LK01; ROS-LK02</x:v>
      </x:c>
      <x:c r="S221" s="215" t="str">
        <x:v>APWEB-ROS; FNA-ROS; POWO-ROS</x:v>
      </x:c>
      <x:c r="T221" s="215" t="str">
        <x:v>https://www.mobot.org/mobot/research/APWeb/orders/rosalesweb.htm</x:v>
      </x:c>
      <x:c r="U221" s="215" t="str">
        <x:v>https://floranorthamerica.org/Rosaceae</x:v>
      </x:c>
      <x:c r="V221" s="215" t="str">
        <x:v>https://powo.science.kew.org/taxon/urn:lsid:ipni.org:names:30000200-2</x:v>
      </x:c>
      <x:c r="W221" s="215" t="str">
        <x:v>https://www.mobot.org/mobot/research/APWeb/orders/rosalesweb.htm
https://floranorthamerica.org/Rosaceae
https://powo.science.kew.org/taxon/urn:lsid:ipni.org:names:30000200-2</x:v>
      </x:c>
      <x:c r="X221" s="215" t="str">
        <x:v>No - retain qualifiers and exceptions</x:v>
      </x:c>
      <x:c r="Y221" s="215" t="str">
        <x:v>Yes</x:v>
      </x:c>
      <x:c r="Z221" s="215" t="str">
        <x:v>Source-backed draft</x:v>
      </x:c>
      <x:c r="AA221" s="215" t="str">
        <x:v>Family pattern</x:v>
      </x:c>
      <x:c r="AB221" s="215" t="str">
        <x:v>Supporting / route</x:v>
      </x:c>
      <x:c r="AC221" s="215" t="str">
        <x:v>Variable</x:v>
      </x:c>
      <x:c r="AD221" s="215" t="str">
        <x:v>Hand lens / macro</x:v>
      </x:c>
      <x:c r="AE221" s="215" t="str">
        <x:v>Low</x:v>
      </x:c>
      <x:c r="AF221" s="215" t="str">
        <x:v>Field-ready draft</x:v>
      </x:c>
      <x:c r="AG221" s="215" t="str">
        <x:v>3 — Reference support</x:v>
      </x:c>
      <x:c r="AH221" s="215" t="str">
        <x:v>Current master inventory</x:v>
      </x:c>
    </x:row>
    <x:row r="222" ht="42" customHeight="1">
      <x:c r="A222" s="215" t="str">
        <x:v>Rosaceae</x:v>
      </x:c>
      <x:c r="B222" s="215" t="str">
        <x:v>ROS-HYPANTH</x:v>
      </x:c>
      <x:c r="C222" s="215" t="str">
        <x:v>Broad family suite</x:v>
      </x:c>
      <x:c r="D222" s="215" t="str">
        <x:v>Flower</x:v>
      </x:c>
      <x:c r="E222" s="215" t="str">
        <x:v>Hypanthium or floral cup commonly present</x:v>
      </x:c>
      <x:c r="F222" s="215" t="str">
        <x:v>Core</x:v>
      </x:c>
      <x:c r="G222" s="215" t="str">
        <x:v>5</x:v>
      </x:c>
      <x:c r="H222" s="215" t="str">
        <x:v>Moderate to high</x:v>
      </x:c>
      <x:c r="I222" s="215" t="str">
        <x:v>Naked eye or hand lens; sometimes section</x:v>
      </x:c>
      <x:c r="J222" s="215" t="str">
        <x:v>Flowering</x:v>
      </x:c>
      <x:c r="K222" s="215" t="str">
        <x:v>Sepals, petals, and stamens attach to the rim of a cup, saucer, or tube surrounding or fused to the carpels.</x:v>
      </x:c>
      <x:c r="L222" s="215" t="str">
        <x:v>Shape ranges from shallow to deep and may be fused to an inferior ovary; it can be difficult to see in tiny flowers.</x:v>
      </x:c>
      <x:c r="M222" s="215" t="str">
        <x:v>The most useful unifying family concept when paired with a subgroup fruit route.</x:v>
      </x:c>
      <x:c r="N222" s="215" t="str">
        <x:v>Visible in local Prunus, Rubus, Geum, and Malus, but expressed differently.</x:v>
      </x:c>
      <x:c r="O222" s="215" t="str">
        <x:v>Low</x:v>
      </x:c>
      <x:c r="P222" s="215" t="str">
        <x:v>No</x:v>
      </x:c>
      <x:c r="Q222" s="215" t="str"/>
      <x:c r="R222" s="215" t="str">
        <x:v>ROS-LK01; ROS-LK02</x:v>
      </x:c>
      <x:c r="S222" s="215" t="str">
        <x:v>APWEB-ROS; FNA-ROS; POWO-ROS</x:v>
      </x:c>
      <x:c r="T222" s="215" t="str">
        <x:v>https://www.mobot.org/mobot/research/APWeb/orders/rosalesweb.htm</x:v>
      </x:c>
      <x:c r="U222" s="215" t="str">
        <x:v>https://floranorthamerica.org/Rosaceae</x:v>
      </x:c>
      <x:c r="V222" s="215" t="str">
        <x:v>https://powo.science.kew.org/taxon/urn:lsid:ipni.org:names:30000200-2</x:v>
      </x:c>
      <x:c r="W222" s="215" t="str">
        <x:v>https://www.mobot.org/mobot/research/APWeb/orders/rosalesweb.htm
https://floranorthamerica.org/Rosaceae
https://powo.science.kew.org/taxon/urn:lsid:ipni.org:names:30000200-2</x:v>
      </x:c>
      <x:c r="X222" s="215" t="str">
        <x:v>No - retain qualifiers and exceptions</x:v>
      </x:c>
      <x:c r="Y222" s="215" t="str">
        <x:v>Yes</x:v>
      </x:c>
      <x:c r="Z222" s="215" t="str">
        <x:v>Source-backed draft</x:v>
      </x:c>
      <x:c r="AA222" s="215" t="str">
        <x:v>Family pattern</x:v>
      </x:c>
      <x:c r="AB222" s="215" t="str">
        <x:v>Positive diagnostic</x:v>
      </x:c>
      <x:c r="AC222" s="215" t="str">
        <x:v>Moderate</x:v>
      </x:c>
      <x:c r="AD222" s="215" t="str">
        <x:v>Dissection</x:v>
      </x:c>
      <x:c r="AE222" s="215" t="str">
        <x:v>Low</x:v>
      </x:c>
      <x:c r="AF222" s="215" t="str">
        <x:v>Dissection / close study</x:v>
      </x:c>
      <x:c r="AG222" s="215" t="str">
        <x:v>3 — Reference support</x:v>
      </x:c>
      <x:c r="AH222" s="215" t="str">
        <x:v>Current master inventory</x:v>
      </x:c>
    </x:row>
    <x:row r="223" ht="42" customHeight="1">
      <x:c r="A223" s="215" t="str">
        <x:v>Rosaceae</x:v>
      </x:c>
      <x:c r="B223" s="215" t="str">
        <x:v>ROS-PERIANTH</x:v>
      </x:c>
      <x:c r="C223" s="215" t="str">
        <x:v>Broad family tendency</x:v>
      </x:c>
      <x:c r="D223" s="215" t="str">
        <x:v>Perianth</x:v>
      </x:c>
      <x:c r="E223" s="215" t="str">
        <x:v>Usually 5 sepals and 5 free petals</x:v>
      </x:c>
      <x:c r="F223" s="215" t="str">
        <x:v>Strong</x:v>
      </x:c>
      <x:c r="G223" s="215" t="str">
        <x:v>3</x:v>
      </x:c>
      <x:c r="H223" s="215" t="str">
        <x:v>Variable</x:v>
      </x:c>
      <x:c r="I223" s="215" t="str">
        <x:v>Naked eye</x:v>
      </x:c>
      <x:c r="J223" s="215" t="str">
        <x:v>Flowering</x:v>
      </x:c>
      <x:c r="K223" s="215" t="str">
        <x:v>Many familiar rose-family flowers have a five-part calyx and five separate petals.</x:v>
      </x:c>
      <x:c r="L223" s="215" t="str">
        <x:v>Petals can be absent, fewer, or more; flower parts may differ in some lineages.</x:v>
      </x:c>
      <x:c r="M223" s="215" t="str">
        <x:v>Use only with the hypanthium and reproductive structures.</x:v>
      </x:c>
      <x:c r="N223" s="215" t="str">
        <x:v>Applies well to current local genera, though petal size varies.</x:v>
      </x:c>
      <x:c r="O223" s="215" t="str">
        <x:v>Low</x:v>
      </x:c>
      <x:c r="P223" s="215" t="str">
        <x:v>No</x:v>
      </x:c>
      <x:c r="Q223" s="215" t="str"/>
      <x:c r="R223" s="215" t="str">
        <x:v>ROS-LK01; ROS-LK02</x:v>
      </x:c>
      <x:c r="S223" s="215" t="str">
        <x:v>APWEB-ROS; FNA-ROS; POWO-ROS</x:v>
      </x:c>
      <x:c r="T223" s="215" t="str">
        <x:v>https://www.mobot.org/mobot/research/APWeb/orders/rosalesweb.htm</x:v>
      </x:c>
      <x:c r="U223" s="215" t="str">
        <x:v>https://floranorthamerica.org/Rosaceae</x:v>
      </x:c>
      <x:c r="V223" s="215" t="str">
        <x:v>https://powo.science.kew.org/taxon/urn:lsid:ipni.org:names:30000200-2</x:v>
      </x:c>
      <x:c r="W223" s="215" t="str">
        <x:v>https://www.mobot.org/mobot/research/APWeb/orders/rosalesweb.htm
https://floranorthamerica.org/Rosaceae
https://powo.science.kew.org/taxon/urn:lsid:ipni.org:names:30000200-2</x:v>
      </x:c>
      <x:c r="X223" s="215" t="str">
        <x:v>No - retain qualifiers and exceptions</x:v>
      </x:c>
      <x:c r="Y223" s="215" t="str">
        <x:v>Yes</x:v>
      </x:c>
      <x:c r="Z223" s="215" t="str">
        <x:v>Source-backed draft</x:v>
      </x:c>
      <x:c r="AA223" s="215" t="str">
        <x:v>Family pattern</x:v>
      </x:c>
      <x:c r="AB223" s="215" t="str">
        <x:v>Positive diagnostic</x:v>
      </x:c>
      <x:c r="AC223" s="215" t="str">
        <x:v>Variable</x:v>
      </x:c>
      <x:c r="AD223" s="215" t="str">
        <x:v>Naked eye / field</x:v>
      </x:c>
      <x:c r="AE223" s="215" t="str">
        <x:v>Low</x:v>
      </x:c>
      <x:c r="AF223" s="215" t="str">
        <x:v>Field-ready draft</x:v>
      </x:c>
      <x:c r="AG223" s="215" t="str">
        <x:v>3 — Reference support</x:v>
      </x:c>
      <x:c r="AH223" s="215" t="str">
        <x:v>Current master inventory</x:v>
      </x:c>
    </x:row>
    <x:row r="224" ht="42" customHeight="1">
      <x:c r="A224" s="215" t="str">
        <x:v>Rosaceae</x:v>
      </x:c>
      <x:c r="B224" s="215" t="str">
        <x:v>ROS-STAMENS</x:v>
      </x:c>
      <x:c r="C224" s="215" t="str">
        <x:v>Broad family tendency</x:v>
      </x:c>
      <x:c r="D224" s="215" t="str">
        <x:v>Androecium</x:v>
      </x:c>
      <x:c r="E224" s="215" t="str">
        <x:v>Stamens often numerous and attached to the hypanthium rim</x:v>
      </x:c>
      <x:c r="F224" s="215" t="str">
        <x:v>Strong</x:v>
      </x:c>
      <x:c r="G224" s="215" t="str">
        <x:v>4</x:v>
      </x:c>
      <x:c r="H224" s="215" t="str">
        <x:v>Variable</x:v>
      </x:c>
      <x:c r="I224" s="215" t="str">
        <x:v>Naked eye or hand lens</x:v>
      </x:c>
      <x:c r="J224" s="215" t="str">
        <x:v>Flowering</x:v>
      </x:c>
      <x:c r="K224" s="215" t="str">
        <x:v>A ring of many stamens commonly surrounds the carpels.</x:v>
      </x:c>
      <x:c r="L224" s="215" t="str">
        <x:v>Some lineages have only a few stamens; numerous stamens occur in Ranunculaceae, Cactaceae, and other families.</x:v>
      </x:c>
      <x:c r="M224" s="215" t="str">
        <x:v>The attachment to a hypanthium is more informative than the count alone.</x:v>
      </x:c>
      <x:c r="N224" s="215" t="str">
        <x:v>Strong in local Prunus, Rubus, Geum, and Malus.</x:v>
      </x:c>
      <x:c r="O224" s="215" t="str">
        <x:v>Low</x:v>
      </x:c>
      <x:c r="P224" s="215" t="str">
        <x:v>No</x:v>
      </x:c>
      <x:c r="Q224" s="215" t="str"/>
      <x:c r="R224" s="215" t="str">
        <x:v>ROS-LK01</x:v>
      </x:c>
      <x:c r="S224" s="215" t="str">
        <x:v>APWEB-ROS; FNA-ROS; POWO-ROS</x:v>
      </x:c>
      <x:c r="T224" s="215" t="str">
        <x:v>https://www.mobot.org/mobot/research/APWeb/orders/rosalesweb.htm</x:v>
      </x:c>
      <x:c r="U224" s="215" t="str">
        <x:v>https://floranorthamerica.org/Rosaceae</x:v>
      </x:c>
      <x:c r="V224" s="215" t="str">
        <x:v>https://powo.science.kew.org/taxon/urn:lsid:ipni.org:names:30000200-2</x:v>
      </x:c>
      <x:c r="W224" s="215" t="str">
        <x:v>https://www.mobot.org/mobot/research/APWeb/orders/rosalesweb.htm
https://floranorthamerica.org/Rosaceae
https://powo.science.kew.org/taxon/urn:lsid:ipni.org:names:30000200-2</x:v>
      </x:c>
      <x:c r="X224" s="215" t="str">
        <x:v>No - retain qualifiers and exceptions</x:v>
      </x:c>
      <x:c r="Y224" s="215" t="str">
        <x:v>Yes</x:v>
      </x:c>
      <x:c r="Z224" s="215" t="str">
        <x:v>Source-backed draft</x:v>
      </x:c>
      <x:c r="AA224" s="215" t="str">
        <x:v>Family pattern</x:v>
      </x:c>
      <x:c r="AB224" s="215" t="str">
        <x:v>Positive diagnostic</x:v>
      </x:c>
      <x:c r="AC224" s="215" t="str">
        <x:v>Variable</x:v>
      </x:c>
      <x:c r="AD224" s="215" t="str">
        <x:v>Hand lens / macro</x:v>
      </x:c>
      <x:c r="AE224" s="215" t="str">
        <x:v>Low</x:v>
      </x:c>
      <x:c r="AF224" s="215" t="str">
        <x:v>Field-ready draft</x:v>
      </x:c>
      <x:c r="AG224" s="215" t="str">
        <x:v>2 — Field-photo priority</x:v>
      </x:c>
      <x:c r="AH224" s="215" t="str">
        <x:v>Current master inventory</x:v>
      </x:c>
    </x:row>
    <x:row r="225" ht="42" customHeight="1">
      <x:c r="A225" s="215" t="str">
        <x:v>Rosaceae</x:v>
      </x:c>
      <x:c r="B225" s="215" t="str">
        <x:v>ROS-OVARY</x:v>
      </x:c>
      <x:c r="C225" s="215" t="str">
        <x:v>Family-wide variation</x:v>
      </x:c>
      <x:c r="D225" s="215" t="str">
        <x:v>Gynoecium</x:v>
      </x:c>
      <x:c r="E225" s="215" t="str">
        <x:v>Ovary position ranges from superior to inferior; carpels from one to many</x:v>
      </x:c>
      <x:c r="F225" s="215" t="str">
        <x:v>Caution</x:v>
      </x:c>
      <x:c r="G225" s="215" t="str">
        <x:v>0</x:v>
      </x:c>
      <x:c r="H225" s="215" t="str">
        <x:v>High</x:v>
      </x:c>
      <x:c r="I225" s="215" t="str">
        <x:v>Hand lens or section</x:v>
      </x:c>
      <x:c r="J225" s="215" t="str">
        <x:v>Flowering to young fruit</x:v>
      </x:c>
      <x:c r="K225" s="215" t="str">
        <x:v>Different rosaceous lineages solve the gynoecium in very different ways.</x:v>
      </x:c>
      <x:c r="L225" s="215" t="str">
        <x:v>A single superior or inferior ovary rule will misidentify major portions of the family.</x:v>
      </x:c>
      <x:c r="M225" s="215" t="str">
        <x:v>Use ovary position and carpel number to choose a subgroup, not to accept or reject Rosaceae.</x:v>
      </x:c>
      <x:c r="N225" s="215" t="str">
        <x:v>Local Prunus has one superior carpel; Rubus/Geum many superior carpels; Malus an inferior compound ovary.</x:v>
      </x:c>
      <x:c r="O225" s="215" t="str">
        <x:v>Low</x:v>
      </x:c>
      <x:c r="P225" s="215" t="str">
        <x:v>No</x:v>
      </x:c>
      <x:c r="Q225" s="215" t="str"/>
      <x:c r="R225" s="215" t="str">
        <x:v>ROS-LK01; ROS-LK02</x:v>
      </x:c>
      <x:c r="S225" s="215" t="str">
        <x:v>APWEB-ROS; FNA-ROS; POWO-ROS</x:v>
      </x:c>
      <x:c r="T225" s="215" t="str">
        <x:v>https://www.mobot.org/mobot/research/APWeb/orders/rosalesweb.htm</x:v>
      </x:c>
      <x:c r="U225" s="215" t="str">
        <x:v>https://floranorthamerica.org/Rosaceae</x:v>
      </x:c>
      <x:c r="V225" s="215" t="str">
        <x:v>https://powo.science.kew.org/taxon/urn:lsid:ipni.org:names:30000200-2</x:v>
      </x:c>
      <x:c r="W225" s="215" t="str">
        <x:v>https://www.mobot.org/mobot/research/APWeb/orders/rosalesweb.htm
https://floranorthamerica.org/Rosaceae
https://powo.science.kew.org/taxon/urn:lsid:ipni.org:names:30000200-2</x:v>
      </x:c>
      <x:c r="X225" s="215" t="str">
        <x:v>No - retain qualifiers and exceptions</x:v>
      </x:c>
      <x:c r="Y225" s="215" t="str">
        <x:v>Yes</x:v>
      </x:c>
      <x:c r="Z225" s="215" t="str">
        <x:v>Source-backed draft</x:v>
      </x:c>
      <x:c r="AA225" s="215" t="str">
        <x:v>Family pattern</x:v>
      </x:c>
      <x:c r="AB225" s="215" t="str">
        <x:v>Caution / negative rule</x:v>
      </x:c>
      <x:c r="AC225" s="215" t="str">
        <x:v>High</x:v>
      </x:c>
      <x:c r="AD225" s="215" t="str">
        <x:v>Dissection</x:v>
      </x:c>
      <x:c r="AE225" s="215" t="str">
        <x:v>Low</x:v>
      </x:c>
      <x:c r="AF225" s="215" t="str">
        <x:v>Dissection / close study</x:v>
      </x:c>
      <x:c r="AG225" s="215" t="str">
        <x:v>4 — Context / caution</x:v>
      </x:c>
      <x:c r="AH225" s="215" t="str">
        <x:v>Current master inventory</x:v>
      </x:c>
    </x:row>
    <x:row r="226" ht="42" customHeight="1">
      <x:c r="A226" s="215" t="str">
        <x:v>Rosaceae</x:v>
      </x:c>
      <x:c r="B226" s="215" t="str">
        <x:v>ROS-FRUIT</x:v>
      </x:c>
      <x:c r="C226" s="215" t="str">
        <x:v>Family-wide variation</x:v>
      </x:c>
      <x:c r="D226" s="215" t="str">
        <x:v>Fruit</x:v>
      </x:c>
      <x:c r="E226" s="215" t="str">
        <x:v>Fruit type highly variable</x:v>
      </x:c>
      <x:c r="F226" s="215" t="str">
        <x:v>Caution</x:v>
      </x:c>
      <x:c r="G226" s="215" t="str">
        <x:v>0</x:v>
      </x:c>
      <x:c r="H226" s="215" t="str">
        <x:v>High</x:v>
      </x:c>
      <x:c r="I226" s="215" t="str">
        <x:v>Naked eye</x:v>
      </x:c>
      <x:c r="J226" s="215" t="str">
        <x:v>Fruiting</x:v>
      </x:c>
      <x:c r="K226" s="215" t="str">
        <x:v>The family includes drupes, pomes, aggregate drupelets, aggregate achenes, follicles, and other forms.</x:v>
      </x:c>
      <x:c r="L226" s="215" t="str">
        <x:v>No one fruit type defines the family, and accessory tissue may form much of the visible fruit.</x:v>
      </x:c>
      <x:c r="M226" s="215" t="str">
        <x:v>Fruit should route to a lineage after the hypanthium and flower are considered.</x:v>
      </x:c>
      <x:c r="N226" s="215" t="str">
        <x:v>All four major local genera require separate fruit routes.</x:v>
      </x:c>
      <x:c r="O226" s="215" t="str">
        <x:v>Low</x:v>
      </x:c>
      <x:c r="P226" s="215" t="str">
        <x:v>No</x:v>
      </x:c>
      <x:c r="Q226" s="215" t="str"/>
      <x:c r="R226" s="215" t="str">
        <x:v>ROS-LK01; ROS-LK02</x:v>
      </x:c>
      <x:c r="S226" s="215" t="str">
        <x:v>APWEB-ROS; FNA-ROS; POWO-ROS</x:v>
      </x:c>
      <x:c r="T226" s="215" t="str">
        <x:v>https://www.mobot.org/mobot/research/APWeb/orders/rosalesweb.htm</x:v>
      </x:c>
      <x:c r="U226" s="215" t="str">
        <x:v>https://floranorthamerica.org/Rosaceae</x:v>
      </x:c>
      <x:c r="V226" s="215" t="str">
        <x:v>https://powo.science.kew.org/taxon/urn:lsid:ipni.org:names:30000200-2</x:v>
      </x:c>
      <x:c r="W226" s="215" t="str">
        <x:v>https://www.mobot.org/mobot/research/APWeb/orders/rosalesweb.htm
https://floranorthamerica.org/Rosaceae
https://powo.science.kew.org/taxon/urn:lsid:ipni.org:names:30000200-2</x:v>
      </x:c>
      <x:c r="X226" s="215" t="str">
        <x:v>No - retain qualifiers and exceptions</x:v>
      </x:c>
      <x:c r="Y226" s="215" t="str">
        <x:v>Yes</x:v>
      </x:c>
      <x:c r="Z226" s="215" t="str">
        <x:v>Source-backed draft</x:v>
      </x:c>
      <x:c r="AA226" s="215" t="str">
        <x:v>Family pattern</x:v>
      </x:c>
      <x:c r="AB226" s="215" t="str">
        <x:v>Caution / negative rule</x:v>
      </x:c>
      <x:c r="AC226" s="215" t="str">
        <x:v>High</x:v>
      </x:c>
      <x:c r="AD226" s="215" t="str">
        <x:v>Naked eye / field</x:v>
      </x:c>
      <x:c r="AE226" s="215" t="str">
        <x:v>Low</x:v>
      </x:c>
      <x:c r="AF226" s="215" t="str">
        <x:v>Field-ready draft</x:v>
      </x:c>
      <x:c r="AG226" s="215" t="str">
        <x:v>4 — Context / caution</x:v>
      </x:c>
      <x:c r="AH226" s="215" t="str">
        <x:v>Current master inventory</x:v>
      </x:c>
    </x:row>
    <x:row r="227" ht="42" customHeight="1">
      <x:c r="A227" s="215" t="str">
        <x:v>Rosaceae</x:v>
      </x:c>
      <x:c r="B227" s="215" t="str">
        <x:v>ROS-PRUNUS</x:v>
      </x:c>
      <x:c r="C227" s="215" t="str">
        <x:v>Local subgroup: Prunus</x:v>
      </x:c>
      <x:c r="D227" s="215" t="str">
        <x:v>Flower and fruit</x:v>
      </x:c>
      <x:c r="E227" s="215" t="str">
        <x:v>One superior carpel matures as a drupe with a hard stone</x:v>
      </x:c>
      <x:c r="F227" s="215" t="str">
        <x:v>Subgroup</x:v>
      </x:c>
      <x:c r="G227" s="215" t="str">
        <x:v>5</x:v>
      </x:c>
      <x:c r="H227" s="215" t="str">
        <x:v>High</x:v>
      </x:c>
      <x:c r="I227" s="215" t="str">
        <x:v>Naked eye plus hand lens</x:v>
      </x:c>
      <x:c r="J227" s="215" t="str">
        <x:v>Flowering and fruiting</x:v>
      </x:c>
      <x:c r="K227" s="215" t="str">
        <x:v>The flower has one pistil inside a hypanthium, and the fruit becomes a one-stoned cherry or plum.</x:v>
      </x:c>
      <x:c r="L227" s="215" t="str">
        <x:v>Double fruits, aborted stones, and malformed fruit occur; flowers alone can resemble other Rosaceae.</x:v>
      </x:c>
      <x:c r="M227" s="215" t="str">
        <x:v>Strongly routes local cherries and plums to Prunus.</x:v>
      </x:c>
      <x:c r="N227" s="215" t="str">
        <x:v>Applies to six Prunus rows in the local snapshot.</x:v>
      </x:c>
      <x:c r="O227" s="215" t="str">
        <x:v>Low</x:v>
      </x:c>
      <x:c r="P227" s="215" t="str">
        <x:v>No</x:v>
      </x:c>
      <x:c r="Q227" s="215" t="str"/>
      <x:c r="R227" s="215" t="str">
        <x:v>ROS-LK02</x:v>
      </x:c>
      <x:c r="S227" s="215" t="str">
        <x:v>FNA-ROS; APWEB-ROS; POWO-ROS</x:v>
      </x:c>
      <x:c r="T227" s="215" t="str">
        <x:v>https://www.mobot.org/mobot/research/APWeb/orders/rosalesweb.htm</x:v>
      </x:c>
      <x:c r="U227" s="215" t="str">
        <x:v>https://floranorthamerica.org/Rosaceae</x:v>
      </x:c>
      <x:c r="V227" s="215" t="str">
        <x:v>https://powo.science.kew.org/taxon/urn:lsid:ipni.org:names:30000200-2</x:v>
      </x:c>
      <x:c r="W227" s="215" t="str">
        <x:v>https://floranorthamerica.org/Rosaceae
https://www.mobot.org/mobot/research/APWeb/orders/rosalesweb.htm
https://powo.science.kew.org/taxon/urn:lsid:ipni.org:names:30000200-2</x:v>
      </x:c>
      <x:c r="X227" s="215" t="str">
        <x:v>No - retain qualifiers and exceptions</x:v>
      </x:c>
      <x:c r="Y227" s="215" t="str">
        <x:v>Yes</x:v>
      </x:c>
      <x:c r="Z227" s="215" t="str">
        <x:v>Source-backed draft</x:v>
      </x:c>
      <x:c r="AA227" s="215" t="str">
        <x:v>Local subgroup / route</x:v>
      </x:c>
      <x:c r="AB227" s="215" t="str">
        <x:v>Supporting / route</x:v>
      </x:c>
      <x:c r="AC227" s="215" t="str">
        <x:v>High</x:v>
      </x:c>
      <x:c r="AD227" s="215" t="str">
        <x:v>Hand lens / macro</x:v>
      </x:c>
      <x:c r="AE227" s="215" t="str">
        <x:v>Low</x:v>
      </x:c>
      <x:c r="AF227" s="215" t="str">
        <x:v>Field-ready draft</x:v>
      </x:c>
      <x:c r="AG227" s="215" t="str">
        <x:v>2 — Field-photo priority</x:v>
      </x:c>
      <x:c r="AH227" s="215" t="str">
        <x:v>Current master inventory</x:v>
      </x:c>
    </x:row>
    <x:row r="228" ht="42" customHeight="1">
      <x:c r="A228" s="215" t="str">
        <x:v>Rosaceae</x:v>
      </x:c>
      <x:c r="B228" s="215" t="str">
        <x:v>ROS-PRUNUS-GLAND</x:v>
      </x:c>
      <x:c r="C228" s="215" t="str">
        <x:v>Local subgroup support: Prunus</x:v>
      </x:c>
      <x:c r="D228" s="215" t="str">
        <x:v>Leaf / petiole</x:v>
      </x:c>
      <x:c r="E228" s="215" t="str">
        <x:v>Glands often present on petiole or blade base</x:v>
      </x:c>
      <x:c r="F228" s="215" t="str">
        <x:v>Supporting</x:v>
      </x:c>
      <x:c r="G228" s="215" t="str">
        <x:v>3</x:v>
      </x:c>
      <x:c r="H228" s="215" t="str">
        <x:v>Variable</x:v>
      </x:c>
      <x:c r="I228" s="215" t="str">
        <x:v>Hand lens</x:v>
      </x:c>
      <x:c r="J228" s="215" t="str">
        <x:v>Vegetative</x:v>
      </x:c>
      <x:c r="K228" s="215" t="str">
        <x:v>Small nectar glands may occur near the petiole or lower leaf margin.</x:v>
      </x:c>
      <x:c r="L228" s="215" t="str">
        <x:v>Glands can be absent, minute, seasonal, or variable by species and leaf position.</x:v>
      </x:c>
      <x:c r="M228" s="215" t="str">
        <x:v>Useful only after Prunus is suspected.</x:v>
      </x:c>
      <x:c r="N228" s="215" t="str">
        <x:v>Potentially helpful among local Prunus, but requires a genus matrix.</x:v>
      </x:c>
      <x:c r="O228" s="215" t="str">
        <x:v>Moderate</x:v>
      </x:c>
      <x:c r="P228" s="215" t="str">
        <x:v>Yes</x:v>
      </x:c>
      <x:c r="Q228" s="215" t="str">
        <x:v>Validate gland presence and position species-by-species.</x:v>
      </x:c>
      <x:c r="R228" s="215" t="str"/>
      <x:c r="S228" s="215" t="str">
        <x:v>FNA-ROS; POWO-ROS</x:v>
      </x:c>
      <x:c r="T228" s="215" t="str">
        <x:v>https://www.mobot.org/mobot/research/APWeb/orders/rosalesweb.htm</x:v>
      </x:c>
      <x:c r="U228" s="215" t="str">
        <x:v>https://floranorthamerica.org/Rosaceae</x:v>
      </x:c>
      <x:c r="V228" s="215" t="str">
        <x:v>https://powo.science.kew.org/taxon/urn:lsid:ipni.org:names:30000200-2</x:v>
      </x:c>
      <x:c r="W228" s="215" t="str">
        <x:v>https://floranorthamerica.org/Rosaceae
https://powo.science.kew.org/taxon/urn:lsid:ipni.org:names:30000200-2
https://www.mobot.org/mobot/research/APWeb/orders/rosalesweb.htm</x:v>
      </x:c>
      <x:c r="X228" s="215" t="str">
        <x:v>No - retain qualifiers and exceptions</x:v>
      </x:c>
      <x:c r="Y228" s="215" t="str">
        <x:v>Yes</x:v>
      </x:c>
      <x:c r="Z228" s="215" t="str">
        <x:v>Human review required</x:v>
      </x:c>
      <x:c r="AA228" s="215" t="str">
        <x:v>Local subgroup / route</x:v>
      </x:c>
      <x:c r="AB228" s="215" t="str">
        <x:v>Supporting / route</x:v>
      </x:c>
      <x:c r="AC228" s="215" t="str">
        <x:v>Variable</x:v>
      </x:c>
      <x:c r="AD228" s="215" t="str">
        <x:v>Hand lens / macro</x:v>
      </x:c>
      <x:c r="AE228" s="215" t="str">
        <x:v>Moderate</x:v>
      </x:c>
      <x:c r="AF228" s="215" t="str">
        <x:v>Use only after review</x:v>
      </x:c>
      <x:c r="AG228" s="215" t="str">
        <x:v>1 — Human review now</x:v>
      </x:c>
      <x:c r="AH228" s="215" t="str">
        <x:v>Current master inventory</x:v>
      </x:c>
    </x:row>
    <x:row r="229" ht="42" customHeight="1">
      <x:c r="A229" s="215" t="str">
        <x:v>Rosaceae</x:v>
      </x:c>
      <x:c r="B229" s="215" t="str">
        <x:v>ROS-RUBUS</x:v>
      </x:c>
      <x:c r="C229" s="215" t="str">
        <x:v>Local subgroup: Rubus</x:v>
      </x:c>
      <x:c r="D229" s="215" t="str">
        <x:v>Fruit</x:v>
      </x:c>
      <x:c r="E229" s="215" t="str">
        <x:v>Aggregate of many fleshy drupelets</x:v>
      </x:c>
      <x:c r="F229" s="215" t="str">
        <x:v>Subgroup</x:v>
      </x:c>
      <x:c r="G229" s="215" t="str">
        <x:v>5</x:v>
      </x:c>
      <x:c r="H229" s="215" t="str">
        <x:v>High</x:v>
      </x:c>
      <x:c r="I229" s="215" t="str">
        <x:v>Naked eye</x:v>
      </x:c>
      <x:c r="J229" s="215" t="str">
        <x:v>Fruiting</x:v>
      </x:c>
      <x:c r="K229" s="215" t="str">
        <x:v>Many tiny one-seeded drupelets mature together on one receptacle to form a blackberry-like fruit.</x:v>
      </x:c>
      <x:c r="L229" s="215" t="str">
        <x:v>Unripe fruit can resemble a cluster of ovaries; other aggregate fruits exist outside Rosaceae.</x:v>
      </x:c>
      <x:c r="M229" s="215" t="str">
        <x:v>Strongly routes the local dewberry to Rubus.</x:v>
      </x:c>
      <x:c r="N229" s="215" t="str">
        <x:v>Directly applies to Rubus trivialis.</x:v>
      </x:c>
      <x:c r="O229" s="215" t="str">
        <x:v>Low</x:v>
      </x:c>
      <x:c r="P229" s="215" t="str">
        <x:v>No</x:v>
      </x:c>
      <x:c r="Q229" s="215" t="str"/>
      <x:c r="R229" s="215" t="str">
        <x:v>ROS-LK01</x:v>
      </x:c>
      <x:c r="S229" s="215" t="str">
        <x:v>FNA-ROS; APWEB-ROS; POWO-ROS</x:v>
      </x:c>
      <x:c r="T229" s="215" t="str">
        <x:v>https://www.mobot.org/mobot/research/APWeb/orders/rosalesweb.htm</x:v>
      </x:c>
      <x:c r="U229" s="215" t="str">
        <x:v>https://floranorthamerica.org/Rosaceae</x:v>
      </x:c>
      <x:c r="V229" s="215" t="str">
        <x:v>https://powo.science.kew.org/taxon/urn:lsid:ipni.org:names:30000200-2</x:v>
      </x:c>
      <x:c r="W229" s="215" t="str">
        <x:v>https://floranorthamerica.org/Rosaceae
https://www.mobot.org/mobot/research/APWeb/orders/rosalesweb.htm
https://powo.science.kew.org/taxon/urn:lsid:ipni.org:names:30000200-2</x:v>
      </x:c>
      <x:c r="X229" s="215" t="str">
        <x:v>No - retain qualifiers and exceptions</x:v>
      </x:c>
      <x:c r="Y229" s="215" t="str">
        <x:v>Yes</x:v>
      </x:c>
      <x:c r="Z229" s="215" t="str">
        <x:v>Source-backed draft</x:v>
      </x:c>
      <x:c r="AA229" s="215" t="str">
        <x:v>Local subgroup / route</x:v>
      </x:c>
      <x:c r="AB229" s="215" t="str">
        <x:v>Supporting / route</x:v>
      </x:c>
      <x:c r="AC229" s="215" t="str">
        <x:v>High</x:v>
      </x:c>
      <x:c r="AD229" s="215" t="str">
        <x:v>Naked eye / field</x:v>
      </x:c>
      <x:c r="AE229" s="215" t="str">
        <x:v>Low</x:v>
      </x:c>
      <x:c r="AF229" s="215" t="str">
        <x:v>Field-ready draft</x:v>
      </x:c>
      <x:c r="AG229" s="215" t="str">
        <x:v>2 — Field-photo priority</x:v>
      </x:c>
      <x:c r="AH229" s="215" t="str">
        <x:v>Current master inventory</x:v>
      </x:c>
    </x:row>
    <x:row r="230" ht="42" customHeight="1">
      <x:c r="A230" s="215" t="str">
        <x:v>Rosaceae</x:v>
      </x:c>
      <x:c r="B230" s="215" t="str">
        <x:v>ROS-GEUM</x:v>
      </x:c>
      <x:c r="C230" s="215" t="str">
        <x:v>Local subgroup: Geum</x:v>
      </x:c>
      <x:c r="D230" s="215" t="str">
        <x:v>Fruit and style</x:v>
      </x:c>
      <x:c r="E230" s="215" t="str">
        <x:v>Aggregate of dry achenes, often with elongated or hooked persistent styles</x:v>
      </x:c>
      <x:c r="F230" s="215" t="str">
        <x:v>Subgroup</x:v>
      </x:c>
      <x:c r="G230" s="215" t="str">
        <x:v>5</x:v>
      </x:c>
      <x:c r="H230" s="215" t="str">
        <x:v>High with fruit</x:v>
      </x:c>
      <x:c r="I230" s="215" t="str">
        <x:v>Naked eye plus hand lens</x:v>
      </x:c>
      <x:c r="J230" s="215" t="str">
        <x:v>Fruiting</x:v>
      </x:c>
      <x:c r="K230" s="215" t="str">
        <x:v>Each of many carpels forms a dry achene, and persistent styles can create a bristly or hooked fruit head.</x:v>
      </x:c>
      <x:c r="L230" s="215" t="str">
        <x:v>Style shape and jointing vary by species; dry aggregate fruits also occur in Ranunculaceae.</x:v>
      </x:c>
      <x:c r="M230" s="215" t="str">
        <x:v>Use the hypanthium and stipules to separate from ranunculaceous lookalikes.</x:v>
      </x:c>
      <x:c r="N230" s="215" t="str">
        <x:v>Directly applies to Geum canadense.</x:v>
      </x:c>
      <x:c r="O230" s="215" t="str">
        <x:v>Low</x:v>
      </x:c>
      <x:c r="P230" s="215" t="str">
        <x:v>No</x:v>
      </x:c>
      <x:c r="Q230" s="215" t="str"/>
      <x:c r="R230" s="215" t="str">
        <x:v>ROS-LK01</x:v>
      </x:c>
      <x:c r="S230" s="215" t="str">
        <x:v>FNA-ROS; APWEB-ROS; POWO-ROS</x:v>
      </x:c>
      <x:c r="T230" s="215" t="str">
        <x:v>https://www.mobot.org/mobot/research/APWeb/orders/rosalesweb.htm</x:v>
      </x:c>
      <x:c r="U230" s="215" t="str">
        <x:v>https://floranorthamerica.org/Rosaceae</x:v>
      </x:c>
      <x:c r="V230" s="215" t="str">
        <x:v>https://powo.science.kew.org/taxon/urn:lsid:ipni.org:names:30000200-2</x:v>
      </x:c>
      <x:c r="W230" s="215" t="str">
        <x:v>https://floranorthamerica.org/Rosaceae
https://www.mobot.org/mobot/research/APWeb/orders/rosalesweb.htm
https://powo.science.kew.org/taxon/urn:lsid:ipni.org:names:30000200-2</x:v>
      </x:c>
      <x:c r="X230" s="215" t="str">
        <x:v>No - retain qualifiers and exceptions</x:v>
      </x:c>
      <x:c r="Y230" s="215" t="str">
        <x:v>Yes</x:v>
      </x:c>
      <x:c r="Z230" s="215" t="str">
        <x:v>Source-backed draft</x:v>
      </x:c>
      <x:c r="AA230" s="215" t="str">
        <x:v>Local subgroup / route</x:v>
      </x:c>
      <x:c r="AB230" s="215" t="str">
        <x:v>Supporting / route</x:v>
      </x:c>
      <x:c r="AC230" s="215" t="str">
        <x:v>High</x:v>
      </x:c>
      <x:c r="AD230" s="215" t="str">
        <x:v>Hand lens / macro</x:v>
      </x:c>
      <x:c r="AE230" s="215" t="str">
        <x:v>Low</x:v>
      </x:c>
      <x:c r="AF230" s="215" t="str">
        <x:v>Field-ready draft</x:v>
      </x:c>
      <x:c r="AG230" s="215" t="str">
        <x:v>2 — Field-photo priority</x:v>
      </x:c>
      <x:c r="AH230" s="215" t="str">
        <x:v>Current master inventory</x:v>
      </x:c>
    </x:row>
    <x:row r="231" ht="42" customHeight="1">
      <x:c r="A231" s="215" t="str">
        <x:v>Rosaceae</x:v>
      </x:c>
      <x:c r="B231" s="215" t="str">
        <x:v>ROS-MALUS</x:v>
      </x:c>
      <x:c r="C231" s="215" t="str">
        <x:v>Local subgroup: Malus</x:v>
      </x:c>
      <x:c r="D231" s="215" t="str">
        <x:v>Gynoecium and fruit</x:v>
      </x:c>
      <x:c r="E231" s="215" t="str">
        <x:v>Inferior compound ovary matures as a pome with a papery or cartilaginous core</x:v>
      </x:c>
      <x:c r="F231" s="215" t="str">
        <x:v>Subgroup</x:v>
      </x:c>
      <x:c r="G231" s="215" t="str">
        <x:v>5</x:v>
      </x:c>
      <x:c r="H231" s="215" t="str">
        <x:v>High</x:v>
      </x:c>
      <x:c r="I231" s="215" t="str">
        <x:v>Naked eye; section fruit</x:v>
      </x:c>
      <x:c r="J231" s="215" t="str">
        <x:v>Flowering and fruiting</x:v>
      </x:c>
      <x:c r="K231" s="215" t="str">
        <x:v>The hypanthium and ovary become a fleshy apple-like fruit surrounding several seed chambers.</x:v>
      </x:c>
      <x:c r="L231" s="215" t="str">
        <x:v>Small, damaged, or sterile fruits can obscure the core; other pome genera share the pattern.</x:v>
      </x:c>
      <x:c r="M231" s="215" t="str">
        <x:v>Routes the local crabapple to Malus and its relatives.</x:v>
      </x:c>
      <x:c r="N231" s="215" t="str">
        <x:v>Directly applies to Malus ioensis.</x:v>
      </x:c>
      <x:c r="O231" s="215" t="str">
        <x:v>Low</x:v>
      </x:c>
      <x:c r="P231" s="215" t="str">
        <x:v>No</x:v>
      </x:c>
      <x:c r="Q231" s="215" t="str"/>
      <x:c r="R231" s="215" t="str">
        <x:v>ROS-LK02</x:v>
      </x:c>
      <x:c r="S231" s="215" t="str">
        <x:v>FNA-ROS; APWEB-ROS; POWO-ROS</x:v>
      </x:c>
      <x:c r="T231" s="215" t="str">
        <x:v>https://www.mobot.org/mobot/research/APWeb/orders/rosalesweb.htm</x:v>
      </x:c>
      <x:c r="U231" s="215" t="str">
        <x:v>https://floranorthamerica.org/Rosaceae</x:v>
      </x:c>
      <x:c r="V231" s="215" t="str">
        <x:v>https://powo.science.kew.org/taxon/urn:lsid:ipni.org:names:30000200-2</x:v>
      </x:c>
      <x:c r="W231" s="215" t="str">
        <x:v>https://floranorthamerica.org/Rosaceae
https://www.mobot.org/mobot/research/APWeb/orders/rosalesweb.htm
https://powo.science.kew.org/taxon/urn:lsid:ipni.org:names:30000200-2</x:v>
      </x:c>
      <x:c r="X231" s="215" t="str">
        <x:v>No - retain qualifiers and exceptions</x:v>
      </x:c>
      <x:c r="Y231" s="215" t="str">
        <x:v>Yes</x:v>
      </x:c>
      <x:c r="Z231" s="215" t="str">
        <x:v>Source-backed draft</x:v>
      </x:c>
      <x:c r="AA231" s="215" t="str">
        <x:v>Local subgroup / route</x:v>
      </x:c>
      <x:c r="AB231" s="215" t="str">
        <x:v>Supporting / route</x:v>
      </x:c>
      <x:c r="AC231" s="215" t="str">
        <x:v>High</x:v>
      </x:c>
      <x:c r="AD231" s="215" t="str">
        <x:v>Dissection</x:v>
      </x:c>
      <x:c r="AE231" s="215" t="str">
        <x:v>Low</x:v>
      </x:c>
      <x:c r="AF231" s="215" t="str">
        <x:v>Dissection / close study</x:v>
      </x:c>
      <x:c r="AG231" s="215" t="str">
        <x:v>3 — Reference support</x:v>
      </x:c>
      <x:c r="AH231" s="215" t="str">
        <x:v>Current master inventory</x:v>
      </x:c>
    </x:row>
    <x:row r="232" ht="42" customHeight="1">
      <x:c r="A232" s="215" t="str">
        <x:v>Rosaceae</x:v>
      </x:c>
      <x:c r="B232" s="215" t="str">
        <x:v>ROS-STIPULE</x:v>
      </x:c>
      <x:c r="C232" s="215" t="str">
        <x:v>Broad family tendency</x:v>
      </x:c>
      <x:c r="D232" s="215" t="str">
        <x:v>Leaf base</x:v>
      </x:c>
      <x:c r="E232" s="215" t="str">
        <x:v>Stipules common but sometimes early-deciduous</x:v>
      </x:c>
      <x:c r="F232" s="215" t="str">
        <x:v>Supporting</x:v>
      </x:c>
      <x:c r="G232" s="215" t="str">
        <x:v>3</x:v>
      </x:c>
      <x:c r="H232" s="215" t="str">
        <x:v>Variable</x:v>
      </x:c>
      <x:c r="I232" s="215" t="str">
        <x:v>Hand lens</x:v>
      </x:c>
      <x:c r="J232" s="215" t="str">
        <x:v>Young vegetative growth</x:v>
      </x:c>
      <x:c r="K232" s="215" t="str">
        <x:v>Paired appendages may occur at the base of the petiole or fuse partly to it.</x:v>
      </x:c>
      <x:c r="L232" s="215" t="str">
        <x:v>They can be tiny, transformed, or lost before observation; stipules occur in many other families.</x:v>
      </x:c>
      <x:c r="M232" s="215" t="str">
        <x:v>Supports a suspected Rosaceae, especially with a hypanthium.</x:v>
      </x:c>
      <x:c r="N232" s="215" t="str">
        <x:v>Useful in Geum, Rubus, and Malus; less obvious on mature Prunus twigs.</x:v>
      </x:c>
      <x:c r="O232" s="215" t="str">
        <x:v>Low</x:v>
      </x:c>
      <x:c r="P232" s="215" t="str">
        <x:v>No</x:v>
      </x:c>
      <x:c r="Q232" s="215" t="str"/>
      <x:c r="R232" s="215" t="str">
        <x:v>ROS-LK02</x:v>
      </x:c>
      <x:c r="S232" s="215" t="str">
        <x:v>APWEB-ROS; FNA-ROS; POWO-ROS</x:v>
      </x:c>
      <x:c r="T232" s="215" t="str">
        <x:v>https://www.mobot.org/mobot/research/APWeb/orders/rosalesweb.htm</x:v>
      </x:c>
      <x:c r="U232" s="215" t="str">
        <x:v>https://floranorthamerica.org/Rosaceae</x:v>
      </x:c>
      <x:c r="V232" s="215" t="str">
        <x:v>https://powo.science.kew.org/taxon/urn:lsid:ipni.org:names:30000200-2</x:v>
      </x:c>
      <x:c r="W232" s="215" t="str">
        <x:v>https://www.mobot.org/mobot/research/APWeb/orders/rosalesweb.htm
https://floranorthamerica.org/Rosaceae
https://powo.science.kew.org/taxon/urn:lsid:ipni.org:names:30000200-2</x:v>
      </x:c>
      <x:c r="X232" s="215" t="str">
        <x:v>No - retain qualifiers and exceptions</x:v>
      </x:c>
      <x:c r="Y232" s="215" t="str">
        <x:v>Yes</x:v>
      </x:c>
      <x:c r="Z232" s="215" t="str">
        <x:v>Source-backed draft</x:v>
      </x:c>
      <x:c r="AA232" s="215" t="str">
        <x:v>Family pattern</x:v>
      </x:c>
      <x:c r="AB232" s="215" t="str">
        <x:v>Supporting / route</x:v>
      </x:c>
      <x:c r="AC232" s="215" t="str">
        <x:v>Variable</x:v>
      </x:c>
      <x:c r="AD232" s="215" t="str">
        <x:v>Hand lens / macro</x:v>
      </x:c>
      <x:c r="AE232" s="215" t="str">
        <x:v>Low</x:v>
      </x:c>
      <x:c r="AF232" s="215" t="str">
        <x:v>Field-ready draft</x:v>
      </x:c>
      <x:c r="AG232" s="215" t="str">
        <x:v>3 — Reference support</x:v>
      </x:c>
      <x:c r="AH232" s="215" t="str">
        <x:v>Current master inventory</x:v>
      </x:c>
    </x:row>
    <x:row r="233" ht="42" customHeight="1">
      <x:c r="A233" s="215" t="str">
        <x:v>Rosaceae</x:v>
      </x:c>
      <x:c r="B233" s="215" t="str">
        <x:v>ROS-SAFETY</x:v>
      </x:c>
      <x:c r="C233" s="215" t="str">
        <x:v>Observation rule</x:v>
      </x:c>
      <x:c r="D233" s="215" t="str">
        <x:v>Safety</x:v>
      </x:c>
      <x:c r="E233" s="215" t="str">
        <x:v>Do not taste unknown seeds, pits, wilted leaves, or bark</x:v>
      </x:c>
      <x:c r="F233" s="215" t="str">
        <x:v>Caution</x:v>
      </x:c>
      <x:c r="G233" s="215" t="str">
        <x:v>0</x:v>
      </x:c>
      <x:c r="H233" s="215" t="str">
        <x:v>High</x:v>
      </x:c>
      <x:c r="I233" s="215" t="str">
        <x:v>Behavioral rule</x:v>
      </x:c>
      <x:c r="J233" s="215" t="str">
        <x:v>Any</x:v>
      </x:c>
      <x:c r="K233" s="215" t="str">
        <x:v>Some Rosaceae, especially Prunus tissues and seeds, contain cyanogenic compounds.</x:v>
      </x:c>
      <x:c r="L233" s="215" t="str">
        <x:v>Chemical content varies by species, tissue, maturity, and processing.</x:v>
      </x:c>
      <x:c r="M233" s="215" t="str">
        <x:v>Prevents taste-based identification and unsafe handling.</x:v>
      </x:c>
      <x:c r="N233" s="215" t="str">
        <x:v>Especially important for the six local Prunus records.</x:v>
      </x:c>
      <x:c r="O233" s="215" t="str">
        <x:v>Low</x:v>
      </x:c>
      <x:c r="P233" s="215" t="str">
        <x:v>No</x:v>
      </x:c>
      <x:c r="Q233" s="215" t="str"/>
      <x:c r="R233" s="215" t="str"/>
      <x:c r="S233" s="215" t="str">
        <x:v>APWEB-ROS; FNA-ROS; POWO-ROS</x:v>
      </x:c>
      <x:c r="T233" s="215" t="str">
        <x:v>https://www.mobot.org/mobot/research/APWeb/orders/rosalesweb.htm</x:v>
      </x:c>
      <x:c r="U233" s="215" t="str">
        <x:v>https://floranorthamerica.org/Rosaceae</x:v>
      </x:c>
      <x:c r="V233" s="215" t="str">
        <x:v>https://powo.science.kew.org/taxon/urn:lsid:ipni.org:names:30000200-2</x:v>
      </x:c>
      <x:c r="W233" s="215" t="str">
        <x:v>https://www.mobot.org/mobot/research/APWeb/orders/rosalesweb.htm
https://floranorthamerica.org/Rosaceae
https://powo.science.kew.org/taxon/urn:lsid:ipni.org:names:30000200-2</x:v>
      </x:c>
      <x:c r="X233" s="215" t="str">
        <x:v>No - retain qualifiers and exceptions</x:v>
      </x:c>
      <x:c r="Y233" s="215" t="str">
        <x:v>Yes</x:v>
      </x:c>
      <x:c r="Z233" s="215" t="str">
        <x:v>Source-backed draft</x:v>
      </x:c>
      <x:c r="AA233" s="215" t="str">
        <x:v>Caution / method</x:v>
      </x:c>
      <x:c r="AB233" s="215" t="str">
        <x:v>Caution / negative rule</x:v>
      </x:c>
      <x:c r="AC233" s="215" t="str">
        <x:v>High</x:v>
      </x:c>
      <x:c r="AD233" s="215" t="str">
        <x:v>Reference / method</x:v>
      </x:c>
      <x:c r="AE233" s="215" t="str">
        <x:v>Low</x:v>
      </x:c>
      <x:c r="AF233" s="215" t="str">
        <x:v>Specialist / reference</x:v>
      </x:c>
      <x:c r="AG233" s="215" t="str">
        <x:v>4 — Context / caution</x:v>
      </x:c>
      <x:c r="AH233" s="215" t="str">
        <x:v>Current master inventory</x:v>
      </x:c>
    </x:row>
    <x:row r="234" ht="42" customHeight="1">
      <x:c r="A234" s="215" t="str">
        <x:v>Verbenaceae</x:v>
      </x:c>
      <x:c r="B234" s="215" t="str">
        <x:v>VERB-SCOPE</x:v>
      </x:c>
      <x:c r="C234" s="215" t="str">
        <x:v>Family-wide taxonomy</x:v>
      </x:c>
      <x:c r="D234" s="215" t="str">
        <x:v>Taxonomic scope</x:v>
      </x:c>
      <x:c r="E234" s="215" t="str">
        <x:v>Use narrow modern Verbenaceae, not the older broad family</x:v>
      </x:c>
      <x:c r="F234" s="215" t="str">
        <x:v>Caution</x:v>
      </x:c>
      <x:c r="G234" s="215" t="str">
        <x:v>0</x:v>
      </x:c>
      <x:c r="H234" s="215" t="str">
        <x:v>High</x:v>
      </x:c>
      <x:c r="I234" s="215" t="str">
        <x:v>Reference check</x:v>
      </x:c>
      <x:c r="J234" s="215" t="str">
        <x:v>Any</x:v>
      </x:c>
      <x:c r="K234" s="215" t="str">
        <x:v>Several familiar genera once placed in Verbenaceae are now classified in Lamiaceae or Acanthaceae.</x:v>
      </x:c>
      <x:c r="L234" s="215" t="str">
        <x:v>Older floras and labels may use broader limits, causing apparent contradictions in family characters.</x:v>
      </x:c>
      <x:c r="M234" s="215" t="str">
        <x:v>Requires current POWO/APweb family placement before morphology is interpreted.</x:v>
      </x:c>
      <x:c r="N234" s="215" t="str">
        <x:v>The current local list contains Aloysia, Glandularia, Lantana, Phyla, and Verbena, all in accepted Verbenaceae.</x:v>
      </x:c>
      <x:c r="O234" s="215" t="str">
        <x:v>Low</x:v>
      </x:c>
      <x:c r="P234" s="215" t="str">
        <x:v>Yes</x:v>
      </x:c>
      <x:c r="Q234" s="215" t="str">
        <x:v>Preserve legacy family names as synonyms, never silently merge older descriptions.</x:v>
      </x:c>
      <x:c r="R234" s="215" t="str">
        <x:v>VERB-LK01; VERB-LK02; VERB-LK03</x:v>
      </x:c>
      <x:c r="S234" s="215" t="str">
        <x:v>APWEB-LAM; KEW-VERB-GI; POWO-VERB</x:v>
      </x:c>
      <x:c r="T234" s="215" t="str">
        <x:v>https://mobot.org/MOBOT/research/APweb/orders/lamialesweb.htm</x:v>
      </x:c>
      <x:c r="U234" s="215" t="str">
        <x:v>https://powo.science.kew.org/taxon/urn:lsid:ipni.org:names:30000070-2/general-information</x:v>
      </x:c>
      <x:c r="V234" s="215" t="str">
        <x:v>https://powo.science.kew.org/taxon/urn:lsid:ipni.org:names:30000070-2</x:v>
      </x:c>
      <x:c r="W234" s="215" t="str">
        <x:v>https://mobot.org/MOBOT/research/APweb/orders/lamialesweb.htm
https://powo.science.kew.org/taxon/urn:lsid:ipni.org:names:30000070-2/general-information
https://powo.science.kew.org/taxon/urn:lsid:ipni.org:names:30000070-2</x:v>
      </x:c>
      <x:c r="X234" s="215" t="str">
        <x:v>No - retain qualifiers and exceptions</x:v>
      </x:c>
      <x:c r="Y234" s="215" t="str">
        <x:v>Yes</x:v>
      </x:c>
      <x:c r="Z234" s="215" t="str">
        <x:v>Human review required</x:v>
      </x:c>
      <x:c r="AA234" s="215" t="str">
        <x:v>Taxonomy</x:v>
      </x:c>
      <x:c r="AB234" s="215" t="str">
        <x:v>Caution / negative rule</x:v>
      </x:c>
      <x:c r="AC234" s="215" t="str">
        <x:v>High</x:v>
      </x:c>
      <x:c r="AD234" s="215" t="str">
        <x:v>Reference / method</x:v>
      </x:c>
      <x:c r="AE234" s="215" t="str">
        <x:v>Low</x:v>
      </x:c>
      <x:c r="AF234" s="215" t="str">
        <x:v>Use only after review</x:v>
      </x:c>
      <x:c r="AG234" s="215" t="str">
        <x:v>1 — Human review now</x:v>
      </x:c>
      <x:c r="AH234" s="215" t="str">
        <x:v>Current master inventory</x:v>
      </x:c>
    </x:row>
    <x:row r="235" ht="42" customHeight="1">
      <x:c r="A235" s="215" t="str">
        <x:v>Verbenaceae</x:v>
      </x:c>
      <x:c r="B235" s="215" t="str">
        <x:v>VERB-LEAF</x:v>
      </x:c>
      <x:c r="C235" s="215" t="str">
        <x:v>Broad family tendency</x:v>
      </x:c>
      <x:c r="D235" s="215" t="str">
        <x:v>Leaf</x:v>
      </x:c>
      <x:c r="E235" s="215" t="str">
        <x:v>Leaves usually opposite or whorled and exstipulate</x:v>
      </x:c>
      <x:c r="F235" s="215" t="str">
        <x:v>Supporting</x:v>
      </x:c>
      <x:c r="G235" s="215" t="str">
        <x:v>3</x:v>
      </x:c>
      <x:c r="H235" s="215" t="str">
        <x:v>Moderate</x:v>
      </x:c>
      <x:c r="I235" s="215" t="str">
        <x:v>Naked eye</x:v>
      </x:c>
      <x:c r="J235" s="215" t="str">
        <x:v>Vegetative</x:v>
      </x:c>
      <x:c r="K235" s="215" t="str">
        <x:v>Leaves commonly occur in pairs or whorls without stipules.</x:v>
      </x:c>
      <x:c r="L235" s="215" t="str">
        <x:v>Alternate leaves occur in some members; many unrelated Lamiales share opposite exstipulate leaves.</x:v>
      </x:c>
      <x:c r="M235" s="215" t="str">
        <x:v>A useful opening clue only.</x:v>
      </x:c>
      <x:c r="N235" s="215" t="str">
        <x:v>Applies well across the current local genera.</x:v>
      </x:c>
      <x:c r="O235" s="215" t="str">
        <x:v>Low</x:v>
      </x:c>
      <x:c r="P235" s="215" t="str">
        <x:v>No</x:v>
      </x:c>
      <x:c r="Q235" s="215" t="str"/>
      <x:c r="R235" s="215" t="str">
        <x:v>VERB-LK01; VERB-LK02; VERB-LK03</x:v>
      </x:c>
      <x:c r="S235" s="215" t="str">
        <x:v>APWEB-LAM; KEW-VERB-GI; POWO-VERB</x:v>
      </x:c>
      <x:c r="T235" s="215" t="str">
        <x:v>https://mobot.org/MOBOT/research/APweb/orders/lamialesweb.htm</x:v>
      </x:c>
      <x:c r="U235" s="215" t="str">
        <x:v>https://powo.science.kew.org/taxon/urn:lsid:ipni.org:names:30000070-2/general-information</x:v>
      </x:c>
      <x:c r="V235" s="215" t="str">
        <x:v>https://powo.science.kew.org/taxon/urn:lsid:ipni.org:names:30000070-2</x:v>
      </x:c>
      <x:c r="W235" s="215" t="str">
        <x:v>https://mobot.org/MOBOT/research/APweb/orders/lamialesweb.htm
https://powo.science.kew.org/taxon/urn:lsid:ipni.org:names:30000070-2/general-information
https://powo.science.kew.org/taxon/urn:lsid:ipni.org:names:30000070-2</x:v>
      </x:c>
      <x:c r="X235" s="215" t="str">
        <x:v>No - retain qualifiers and exceptions</x:v>
      </x:c>
      <x:c r="Y235" s="215" t="str">
        <x:v>Yes</x:v>
      </x:c>
      <x:c r="Z235" s="215" t="str">
        <x:v>Source-backed draft</x:v>
      </x:c>
      <x:c r="AA235" s="215" t="str">
        <x:v>Family pattern</x:v>
      </x:c>
      <x:c r="AB235" s="215" t="str">
        <x:v>Supporting / route</x:v>
      </x:c>
      <x:c r="AC235" s="215" t="str">
        <x:v>Moderate</x:v>
      </x:c>
      <x:c r="AD235" s="215" t="str">
        <x:v>Naked eye / field</x:v>
      </x:c>
      <x:c r="AE235" s="215" t="str">
        <x:v>Low</x:v>
      </x:c>
      <x:c r="AF235" s="215" t="str">
        <x:v>Field-ready draft</x:v>
      </x:c>
      <x:c r="AG235" s="215" t="str">
        <x:v>3 — Reference support</x:v>
      </x:c>
      <x:c r="AH235" s="215" t="str">
        <x:v>Current master inventory</x:v>
      </x:c>
    </x:row>
    <x:row r="236" ht="42" customHeight="1">
      <x:c r="A236" s="215" t="str">
        <x:v>Verbenaceae</x:v>
      </x:c>
      <x:c r="B236" s="215" t="str">
        <x:v>VERB-NODE</x:v>
      </x:c>
      <x:c r="C236" s="215" t="str">
        <x:v>Broad family tendency</x:v>
      </x:c>
      <x:c r="D236" s="215" t="str">
        <x:v>Stem node</x:v>
      </x:c>
      <x:c r="E236" s="215" t="str">
        <x:v>Stems often angled; a line or ridge may connect opposite leaf bases</x:v>
      </x:c>
      <x:c r="F236" s="215" t="str">
        <x:v>Supporting</x:v>
      </x:c>
      <x:c r="G236" s="215" t="str">
        <x:v>2</x:v>
      </x:c>
      <x:c r="H236" s="215" t="str">
        <x:v>Variable</x:v>
      </x:c>
      <x:c r="I236" s="215" t="str">
        <x:v>Naked eye or hand lens</x:v>
      </x:c>
      <x:c r="J236" s="215" t="str">
        <x:v>Vegetative</x:v>
      </x:c>
      <x:c r="K236" s="215" t="str">
        <x:v>Nodes and internodes may look four-angled or ridged.</x:v>
      </x:c>
      <x:c r="L236" s="215" t="str">
        <x:v>Round stems are common, and square stems occur widely in Lamiaceae and Acanthaceae.</x:v>
      </x:c>
      <x:c r="M236" s="215" t="str">
        <x:v>Never use stem shape as proof.</x:v>
      </x:c>
      <x:c r="N236" s="215" t="str">
        <x:v>Potentially useful in Verbena and Glandularia.</x:v>
      </x:c>
      <x:c r="O236" s="215" t="str">
        <x:v>Low</x:v>
      </x:c>
      <x:c r="P236" s="215" t="str">
        <x:v>No</x:v>
      </x:c>
      <x:c r="Q236" s="215" t="str"/>
      <x:c r="R236" s="215" t="str">
        <x:v>VERB-LK01; VERB-LK02</x:v>
      </x:c>
      <x:c r="S236" s="215" t="str">
        <x:v>KEW-VERB-GI; APWEB-LAM; POWO-VERB</x:v>
      </x:c>
      <x:c r="T236" s="215" t="str">
        <x:v>https://mobot.org/MOBOT/research/APweb/orders/lamialesweb.htm</x:v>
      </x:c>
      <x:c r="U236" s="215" t="str">
        <x:v>https://powo.science.kew.org/taxon/urn:lsid:ipni.org:names:30000070-2/general-information</x:v>
      </x:c>
      <x:c r="V236" s="215" t="str">
        <x:v>https://powo.science.kew.org/taxon/urn:lsid:ipni.org:names:30000070-2</x:v>
      </x:c>
      <x:c r="W236" s="215" t="str">
        <x:v>https://powo.science.kew.org/taxon/urn:lsid:ipni.org:names:30000070-2/general-information
https://mobot.org/MOBOT/research/APweb/orders/lamialesweb.htm
https://powo.science.kew.org/taxon/urn:lsid:ipni.org:names:30000070-2</x:v>
      </x:c>
      <x:c r="X236" s="215" t="str">
        <x:v>No - retain qualifiers and exceptions</x:v>
      </x:c>
      <x:c r="Y236" s="215" t="str">
        <x:v>Yes</x:v>
      </x:c>
      <x:c r="Z236" s="215" t="str">
        <x:v>Source-backed draft</x:v>
      </x:c>
      <x:c r="AA236" s="215" t="str">
        <x:v>Family pattern</x:v>
      </x:c>
      <x:c r="AB236" s="215" t="str">
        <x:v>Supporting / route</x:v>
      </x:c>
      <x:c r="AC236" s="215" t="str">
        <x:v>Variable</x:v>
      </x:c>
      <x:c r="AD236" s="215" t="str">
        <x:v>Hand lens / macro</x:v>
      </x:c>
      <x:c r="AE236" s="215" t="str">
        <x:v>Low</x:v>
      </x:c>
      <x:c r="AF236" s="215" t="str">
        <x:v>Field-ready draft</x:v>
      </x:c>
      <x:c r="AG236" s="215" t="str">
        <x:v>4 — Context / caution</x:v>
      </x:c>
      <x:c r="AH236" s="215" t="str">
        <x:v>Current master inventory</x:v>
      </x:c>
    </x:row>
    <x:row r="237" ht="42" customHeight="1">
      <x:c r="A237" s="215" t="str">
        <x:v>Verbenaceae</x:v>
      </x:c>
      <x:c r="B237" s="215" t="str">
        <x:v>VERB-AROMA</x:v>
      </x:c>
      <x:c r="C237" s="215" t="str">
        <x:v>Common, not universal</x:v>
      </x:c>
      <x:c r="D237" s="215" t="str">
        <x:v>Exudate / scent</x:v>
      </x:c>
      <x:c r="E237" s="215" t="str">
        <x:v>Some members aromatic</x:v>
      </x:c>
      <x:c r="F237" s="215" t="str">
        <x:v>Caution</x:v>
      </x:c>
      <x:c r="G237" s="215" t="str">
        <x:v>0</x:v>
      </x:c>
      <x:c r="H237" s="215" t="str">
        <x:v>Variable</x:v>
      </x:c>
      <x:c r="I237" s="215" t="str">
        <x:v>Smell only; do not taste</x:v>
      </x:c>
      <x:c r="J237" s="215" t="str">
        <x:v>Vegetative or flowering</x:v>
      </x:c>
      <x:c r="K237" s="215" t="str">
        <x:v>Crushed leaves may release a noticeable scent in Lantana, Aloysia, and others.</x:v>
      </x:c>
      <x:c r="L237" s="215" t="str">
        <x:v>Aroma can be weak or absent and is common in Lamiaceae and many unrelated families.</x:v>
      </x:c>
      <x:c r="M237" s="215" t="str">
        <x:v>Use only as a safe supporting observation.</x:v>
      </x:c>
      <x:c r="N237" s="215" t="str">
        <x:v>Relevant to Aloysia and Lantana, less dependable across Verbena and Phyla.</x:v>
      </x:c>
      <x:c r="O237" s="215" t="str">
        <x:v>Low</x:v>
      </x:c>
      <x:c r="P237" s="215" t="str">
        <x:v>No</x:v>
      </x:c>
      <x:c r="Q237" s="215" t="str"/>
      <x:c r="R237" s="215" t="str">
        <x:v>VERB-LK01</x:v>
      </x:c>
      <x:c r="S237" s="215" t="str">
        <x:v>KEW-VERB-GI; APWEB-LAM; POWO-VERB</x:v>
      </x:c>
      <x:c r="T237" s="215" t="str">
        <x:v>https://mobot.org/MOBOT/research/APweb/orders/lamialesweb.htm</x:v>
      </x:c>
      <x:c r="U237" s="215" t="str">
        <x:v>https://powo.science.kew.org/taxon/urn:lsid:ipni.org:names:30000070-2/general-information</x:v>
      </x:c>
      <x:c r="V237" s="215" t="str">
        <x:v>https://powo.science.kew.org/taxon/urn:lsid:ipni.org:names:30000070-2</x:v>
      </x:c>
      <x:c r="W237" s="215" t="str">
        <x:v>https://powo.science.kew.org/taxon/urn:lsid:ipni.org:names:30000070-2/general-information
https://mobot.org/MOBOT/research/APweb/orders/lamialesweb.htm
https://powo.science.kew.org/taxon/urn:lsid:ipni.org:names:30000070-2</x:v>
      </x:c>
      <x:c r="X237" s="215" t="str">
        <x:v>No - retain qualifiers and exceptions</x:v>
      </x:c>
      <x:c r="Y237" s="215" t="str">
        <x:v>Yes</x:v>
      </x:c>
      <x:c r="Z237" s="215" t="str">
        <x:v>Source-backed draft</x:v>
      </x:c>
      <x:c r="AA237" s="215" t="str">
        <x:v>Other qualified pattern</x:v>
      </x:c>
      <x:c r="AB237" s="215" t="str">
        <x:v>Caution / negative rule</x:v>
      </x:c>
      <x:c r="AC237" s="215" t="str">
        <x:v>Variable</x:v>
      </x:c>
      <x:c r="AD237" s="215" t="str">
        <x:v>Unsafe / avoid</x:v>
      </x:c>
      <x:c r="AE237" s="215" t="str">
        <x:v>Low</x:v>
      </x:c>
      <x:c r="AF237" s="215" t="str">
        <x:v>Do not perform</x:v>
      </x:c>
      <x:c r="AG237" s="215" t="str">
        <x:v>4 — Context / caution</x:v>
      </x:c>
      <x:c r="AH237" s="215" t="str">
        <x:v>Current master inventory</x:v>
      </x:c>
    </x:row>
    <x:row r="238" ht="42" customHeight="1">
      <x:c r="A238" s="215" t="str">
        <x:v>Verbenaceae</x:v>
      </x:c>
      <x:c r="B238" s="215" t="str">
        <x:v>VERB-INFLO</x:v>
      </x:c>
      <x:c r="C238" s="215" t="str">
        <x:v>Broad family tendency</x:v>
      </x:c>
      <x:c r="D238" s="215" t="str">
        <x:v>Inflorescence</x:v>
      </x:c>
      <x:c r="E238" s="215" t="str">
        <x:v>Flowers commonly in spikes, racemes, heads, or panicles</x:v>
      </x:c>
      <x:c r="F238" s="215" t="str">
        <x:v>Strong</x:v>
      </x:c>
      <x:c r="G238" s="215" t="str">
        <x:v>3</x:v>
      </x:c>
      <x:c r="H238" s="215" t="str">
        <x:v>Variable</x:v>
      </x:c>
      <x:c r="I238" s="215" t="str">
        <x:v>Naked eye</x:v>
      </x:c>
      <x:c r="J238" s="215" t="str">
        <x:v>Flowering</x:v>
      </x:c>
      <x:c r="K238" s="215" t="str">
        <x:v>Small flowers are often organized into elongated spikes or compact heads.</x:v>
      </x:c>
      <x:c r="L238" s="215" t="str">
        <x:v>Inflorescence architecture varies by tribe and similar clusters occur in related families.</x:v>
      </x:c>
      <x:c r="M238" s="215" t="str">
        <x:v>Use to select a local route, not to define the family alone.</x:v>
      </x:c>
      <x:c r="N238" s="215" t="str">
        <x:v>Verbena/Glandularia/Aloysia often form spikes; Lantana and Phyla compact heads.</x:v>
      </x:c>
      <x:c r="O238" s="215" t="str">
        <x:v>Low</x:v>
      </x:c>
      <x:c r="P238" s="215" t="str">
        <x:v>No</x:v>
      </x:c>
      <x:c r="Q238" s="215" t="str"/>
      <x:c r="R238" s="215" t="str">
        <x:v>VERB-LK01; VERB-LK02; VERB-LK03</x:v>
      </x:c>
      <x:c r="S238" s="215" t="str">
        <x:v>APWEB-LAM; KEW-VERB-GI; POWO-VERB</x:v>
      </x:c>
      <x:c r="T238" s="215" t="str">
        <x:v>https://mobot.org/MOBOT/research/APweb/orders/lamialesweb.htm</x:v>
      </x:c>
      <x:c r="U238" s="215" t="str">
        <x:v>https://powo.science.kew.org/taxon/urn:lsid:ipni.org:names:30000070-2/general-information</x:v>
      </x:c>
      <x:c r="V238" s="215" t="str">
        <x:v>https://powo.science.kew.org/taxon/urn:lsid:ipni.org:names:30000070-2</x:v>
      </x:c>
      <x:c r="W238" s="215" t="str">
        <x:v>https://mobot.org/MOBOT/research/APweb/orders/lamialesweb.htm
https://powo.science.kew.org/taxon/urn:lsid:ipni.org:names:30000070-2/general-information
https://powo.science.kew.org/taxon/urn:lsid:ipni.org:names:30000070-2</x:v>
      </x:c>
      <x:c r="X238" s="215" t="str">
        <x:v>No - retain qualifiers and exceptions</x:v>
      </x:c>
      <x:c r="Y238" s="215" t="str">
        <x:v>Yes</x:v>
      </x:c>
      <x:c r="Z238" s="215" t="str">
        <x:v>Source-backed draft</x:v>
      </x:c>
      <x:c r="AA238" s="215" t="str">
        <x:v>Family pattern</x:v>
      </x:c>
      <x:c r="AB238" s="215" t="str">
        <x:v>Positive diagnostic</x:v>
      </x:c>
      <x:c r="AC238" s="215" t="str">
        <x:v>Variable</x:v>
      </x:c>
      <x:c r="AD238" s="215" t="str">
        <x:v>Naked eye / field</x:v>
      </x:c>
      <x:c r="AE238" s="215" t="str">
        <x:v>Low</x:v>
      </x:c>
      <x:c r="AF238" s="215" t="str">
        <x:v>Field-ready draft</x:v>
      </x:c>
      <x:c r="AG238" s="215" t="str">
        <x:v>3 — Reference support</x:v>
      </x:c>
      <x:c r="AH238" s="215" t="str">
        <x:v>Current master inventory</x:v>
      </x:c>
    </x:row>
    <x:row r="239" ht="42" customHeight="1">
      <x:c r="A239" s="215" t="str">
        <x:v>Verbenaceae</x:v>
      </x:c>
      <x:c r="B239" s="215" t="str">
        <x:v>VERB-CALYX</x:v>
      </x:c>
      <x:c r="C239" s="215" t="str">
        <x:v>Broad family tendency</x:v>
      </x:c>
      <x:c r="D239" s="215" t="str">
        <x:v>Calyx</x:v>
      </x:c>
      <x:c r="E239" s="215" t="str">
        <x:v>Calyx fused and persistent, usually 4-5-toothed</x:v>
      </x:c>
      <x:c r="F239" s="215" t="str">
        <x:v>Supporting</x:v>
      </x:c>
      <x:c r="G239" s="215" t="str">
        <x:v>3</x:v>
      </x:c>
      <x:c r="H239" s="215" t="str">
        <x:v>Moderate</x:v>
      </x:c>
      <x:c r="I239" s="215" t="str">
        <x:v>Hand lens</x:v>
      </x:c>
      <x:c r="J239" s="215" t="str">
        <x:v>Flowering to fruiting</x:v>
      </x:c>
      <x:c r="K239" s="215" t="str">
        <x:v>A tubular green calyx often remains around the developing fruit.</x:v>
      </x:c>
      <x:c r="L239" s="215" t="str">
        <x:v>Teeth can be unequal or obscure; the calyx may enlarge or change texture.</x:v>
      </x:c>
      <x:c r="M239" s="215" t="str">
        <x:v>Supports the fused-corolla and fruit suite.</x:v>
      </x:c>
      <x:c r="N239" s="215" t="str">
        <x:v>Applicable across local genera.</x:v>
      </x:c>
      <x:c r="O239" s="215" t="str">
        <x:v>Low</x:v>
      </x:c>
      <x:c r="P239" s="215" t="str">
        <x:v>No</x:v>
      </x:c>
      <x:c r="Q239" s="215" t="str"/>
      <x:c r="R239" s="215" t="str">
        <x:v>VERB-LK01; VERB-LK02; VERB-LK03</x:v>
      </x:c>
      <x:c r="S239" s="215" t="str">
        <x:v>APWEB-LAM; KEW-VERB-GI; POWO-VERB</x:v>
      </x:c>
      <x:c r="T239" s="215" t="str">
        <x:v>https://mobot.org/MOBOT/research/APweb/orders/lamialesweb.htm</x:v>
      </x:c>
      <x:c r="U239" s="215" t="str">
        <x:v>https://powo.science.kew.org/taxon/urn:lsid:ipni.org:names:30000070-2/general-information</x:v>
      </x:c>
      <x:c r="V239" s="215" t="str">
        <x:v>https://powo.science.kew.org/taxon/urn:lsid:ipni.org:names:30000070-2</x:v>
      </x:c>
      <x:c r="W239" s="215" t="str">
        <x:v>https://mobot.org/MOBOT/research/APweb/orders/lamialesweb.htm
https://powo.science.kew.org/taxon/urn:lsid:ipni.org:names:30000070-2/general-information
https://powo.science.kew.org/taxon/urn:lsid:ipni.org:names:30000070-2</x:v>
      </x:c>
      <x:c r="X239" s="215" t="str">
        <x:v>No - retain qualifiers and exceptions</x:v>
      </x:c>
      <x:c r="Y239" s="215" t="str">
        <x:v>Yes</x:v>
      </x:c>
      <x:c r="Z239" s="215" t="str">
        <x:v>Source-backed draft</x:v>
      </x:c>
      <x:c r="AA239" s="215" t="str">
        <x:v>Family pattern</x:v>
      </x:c>
      <x:c r="AB239" s="215" t="str">
        <x:v>Supporting / route</x:v>
      </x:c>
      <x:c r="AC239" s="215" t="str">
        <x:v>Moderate</x:v>
      </x:c>
      <x:c r="AD239" s="215" t="str">
        <x:v>Hand lens / macro</x:v>
      </x:c>
      <x:c r="AE239" s="215" t="str">
        <x:v>Low</x:v>
      </x:c>
      <x:c r="AF239" s="215" t="str">
        <x:v>Field-ready draft</x:v>
      </x:c>
      <x:c r="AG239" s="215" t="str">
        <x:v>3 — Reference support</x:v>
      </x:c>
      <x:c r="AH239" s="215" t="str">
        <x:v>Current master inventory</x:v>
      </x:c>
    </x:row>
    <x:row r="240" ht="42" customHeight="1">
      <x:c r="A240" s="215" t="str">
        <x:v>Verbenaceae</x:v>
      </x:c>
      <x:c r="B240" s="215" t="str">
        <x:v>VERB-COROLLA</x:v>
      </x:c>
      <x:c r="C240" s="215" t="str">
        <x:v>Broad family suite</x:v>
      </x:c>
      <x:c r="D240" s="215" t="str">
        <x:v>Corolla</x:v>
      </x:c>
      <x:c r="E240" s="215" t="str">
        <x:v>Corolla fused, tubular or salverform, with 4-5 lobes and often bilateral</x:v>
      </x:c>
      <x:c r="F240" s="215" t="str">
        <x:v>Strong</x:v>
      </x:c>
      <x:c r="G240" s="215" t="str">
        <x:v>4</x:v>
      </x:c>
      <x:c r="H240" s="215" t="str">
        <x:v>High</x:v>
      </x:c>
      <x:c r="I240" s="215" t="str">
        <x:v>Naked eye</x:v>
      </x:c>
      <x:c r="J240" s="215" t="str">
        <x:v>Flowering</x:v>
      </x:c>
      <x:c r="K240" s="215" t="str">
        <x:v>The petals form a tube ending in several lobes, often with unequal upper and lower sides.</x:v>
      </x:c>
      <x:c r="L240" s="215" t="str">
        <x:v>Nearly radial forms occur, and the same general form is common across Lamiales.</x:v>
      </x:c>
      <x:c r="M240" s="215" t="str">
        <x:v>Use with terminal style and fruit construction.</x:v>
      </x:c>
      <x:c r="N240" s="215" t="str">
        <x:v>Strong across all current local genera.</x:v>
      </x:c>
      <x:c r="O240" s="215" t="str">
        <x:v>Low</x:v>
      </x:c>
      <x:c r="P240" s="215" t="str">
        <x:v>No</x:v>
      </x:c>
      <x:c r="Q240" s="215" t="str"/>
      <x:c r="R240" s="215" t="str">
        <x:v>VERB-LK01; VERB-LK02; VERB-LK03</x:v>
      </x:c>
      <x:c r="S240" s="215" t="str">
        <x:v>APWEB-LAM; KEW-VERB-GI; POWO-VERB</x:v>
      </x:c>
      <x:c r="T240" s="215" t="str">
        <x:v>https://mobot.org/MOBOT/research/APweb/orders/lamialesweb.htm</x:v>
      </x:c>
      <x:c r="U240" s="215" t="str">
        <x:v>https://powo.science.kew.org/taxon/urn:lsid:ipni.org:names:30000070-2/general-information</x:v>
      </x:c>
      <x:c r="V240" s="215" t="str">
        <x:v>https://powo.science.kew.org/taxon/urn:lsid:ipni.org:names:30000070-2</x:v>
      </x:c>
      <x:c r="W240" s="215" t="str">
        <x:v>https://mobot.org/MOBOT/research/APweb/orders/lamialesweb.htm
https://powo.science.kew.org/taxon/urn:lsid:ipni.org:names:30000070-2/general-information
https://powo.science.kew.org/taxon/urn:lsid:ipni.org:names:30000070-2</x:v>
      </x:c>
      <x:c r="X240" s="215" t="str">
        <x:v>No - retain qualifiers and exceptions</x:v>
      </x:c>
      <x:c r="Y240" s="215" t="str">
        <x:v>Yes</x:v>
      </x:c>
      <x:c r="Z240" s="215" t="str">
        <x:v>Source-backed draft</x:v>
      </x:c>
      <x:c r="AA240" s="215" t="str">
        <x:v>Family pattern</x:v>
      </x:c>
      <x:c r="AB240" s="215" t="str">
        <x:v>Positive diagnostic</x:v>
      </x:c>
      <x:c r="AC240" s="215" t="str">
        <x:v>High</x:v>
      </x:c>
      <x:c r="AD240" s="215" t="str">
        <x:v>Naked eye / field</x:v>
      </x:c>
      <x:c r="AE240" s="215" t="str">
        <x:v>Low</x:v>
      </x:c>
      <x:c r="AF240" s="215" t="str">
        <x:v>Field-ready draft</x:v>
      </x:c>
      <x:c r="AG240" s="215" t="str">
        <x:v>2 — Field-photo priority</x:v>
      </x:c>
      <x:c r="AH240" s="215" t="str">
        <x:v>Current master inventory</x:v>
      </x:c>
    </x:row>
    <x:row r="241" ht="42" customHeight="1">
      <x:c r="A241" s="215" t="str">
        <x:v>Verbenaceae</x:v>
      </x:c>
      <x:c r="B241" s="215" t="str">
        <x:v>VERB-STAMEN</x:v>
      </x:c>
      <x:c r="C241" s="215" t="str">
        <x:v>Broad family tendency</x:v>
      </x:c>
      <x:c r="D241" s="215" t="str">
        <x:v>Androecium</x:v>
      </x:c>
      <x:c r="E241" s="215" t="str">
        <x:v>Four didynamous or two epipetalous stamens</x:v>
      </x:c>
      <x:c r="F241" s="215" t="str">
        <x:v>Strong</x:v>
      </x:c>
      <x:c r="G241" s="215" t="str">
        <x:v>4</x:v>
      </x:c>
      <x:c r="H241" s="215" t="str">
        <x:v>High</x:v>
      </x:c>
      <x:c r="I241" s="215" t="str">
        <x:v>Hand lens</x:v>
      </x:c>
      <x:c r="J241" s="215" t="str">
        <x:v>Flowering</x:v>
      </x:c>
      <x:c r="K241" s="215" t="str">
        <x:v>Stamens attach to the corolla tube and commonly occur as two long plus two short, or as only two fertile stamens.</x:v>
      </x:c>
      <x:c r="L241" s="215" t="str">
        <x:v>Counts vary and staminodes may occur; related families share the same numbers.</x:v>
      </x:c>
      <x:c r="M241" s="215" t="str">
        <x:v>Count after inspecting style position and fruit.</x:v>
      </x:c>
      <x:c r="N241" s="215" t="str">
        <x:v>Likely four-stamen in many local Verbena/Lantana routes; route-specific confirmation needed.</x:v>
      </x:c>
      <x:c r="O241" s="215" t="str">
        <x:v>Moderate</x:v>
      </x:c>
      <x:c r="P241" s="215" t="str">
        <x:v>Yes</x:v>
      </x:c>
      <x:c r="Q241" s="215" t="str">
        <x:v>Validate stamen count and insertion for each local genus.</x:v>
      </x:c>
      <x:c r="R241" s="215" t="str">
        <x:v>VERB-LK01; VERB-LK02; VERB-LK03</x:v>
      </x:c>
      <x:c r="S241" s="215" t="str">
        <x:v>APWEB-LAM; KEW-VERB-GI; POWO-VERB</x:v>
      </x:c>
      <x:c r="T241" s="215" t="str">
        <x:v>https://mobot.org/MOBOT/research/APweb/orders/lamialesweb.htm</x:v>
      </x:c>
      <x:c r="U241" s="215" t="str">
        <x:v>https://powo.science.kew.org/taxon/urn:lsid:ipni.org:names:30000070-2/general-information</x:v>
      </x:c>
      <x:c r="V241" s="215" t="str">
        <x:v>https://powo.science.kew.org/taxon/urn:lsid:ipni.org:names:30000070-2</x:v>
      </x:c>
      <x:c r="W241" s="215" t="str">
        <x:v>https://mobot.org/MOBOT/research/APweb/orders/lamialesweb.htm
https://powo.science.kew.org/taxon/urn:lsid:ipni.org:names:30000070-2/general-information
https://powo.science.kew.org/taxon/urn:lsid:ipni.org:names:30000070-2</x:v>
      </x:c>
      <x:c r="X241" s="215" t="str">
        <x:v>No - retain qualifiers and exceptions</x:v>
      </x:c>
      <x:c r="Y241" s="215" t="str">
        <x:v>Yes</x:v>
      </x:c>
      <x:c r="Z241" s="215" t="str">
        <x:v>Human review required</x:v>
      </x:c>
      <x:c r="AA241" s="215" t="str">
        <x:v>Family pattern</x:v>
      </x:c>
      <x:c r="AB241" s="215" t="str">
        <x:v>Positive diagnostic</x:v>
      </x:c>
      <x:c r="AC241" s="215" t="str">
        <x:v>High</x:v>
      </x:c>
      <x:c r="AD241" s="215" t="str">
        <x:v>Hand lens / macro</x:v>
      </x:c>
      <x:c r="AE241" s="215" t="str">
        <x:v>Moderate</x:v>
      </x:c>
      <x:c r="AF241" s="215" t="str">
        <x:v>Use only after review</x:v>
      </x:c>
      <x:c r="AG241" s="215" t="str">
        <x:v>1 — Human review now</x:v>
      </x:c>
      <x:c r="AH241" s="215" t="str">
        <x:v>Current master inventory</x:v>
      </x:c>
    </x:row>
    <x:row r="242" ht="42" customHeight="1">
      <x:c r="A242" s="215" t="str">
        <x:v>Verbenaceae</x:v>
      </x:c>
      <x:c r="B242" s="215" t="str">
        <x:v>VERB-OVARY</x:v>
      </x:c>
      <x:c r="C242" s="215" t="str">
        <x:v>Broad family suite</x:v>
      </x:c>
      <x:c r="D242" s="215" t="str">
        <x:v>Gynoecium</x:v>
      </x:c>
      <x:c r="E242" s="215" t="str">
        <x:v>Ovary superior, two carpels, often appearing four-locular</x:v>
      </x:c>
      <x:c r="F242" s="215" t="str">
        <x:v>Strong</x:v>
      </x:c>
      <x:c r="G242" s="215" t="str">
        <x:v>4</x:v>
      </x:c>
      <x:c r="H242" s="215" t="str">
        <x:v>Moderate</x:v>
      </x:c>
      <x:c r="I242" s="215" t="str">
        <x:v>Hand lens or dissection</x:v>
      </x:c>
      <x:c r="J242" s="215" t="str">
        <x:v>Flowering to young fruit</x:v>
      </x:c>
      <x:c r="K242" s="215" t="str">
        <x:v>Internal false partitions can make the ovary look divided into four chambers, usually with one ovule in each.</x:v>
      </x:c>
      <x:c r="L242" s="215" t="str">
        <x:v>Locule number and completeness vary among lineages; internal structure is difficult without sectioning.</x:v>
      </x:c>
      <x:c r="M242" s="215" t="str">
        <x:v>Supports the family but must be paired with terminal style.</x:v>
      </x:c>
      <x:c r="N242" s="215" t="str">
        <x:v>Expected across local genera.</x:v>
      </x:c>
      <x:c r="O242" s="215" t="str">
        <x:v>Low</x:v>
      </x:c>
      <x:c r="P242" s="215" t="str">
        <x:v>No</x:v>
      </x:c>
      <x:c r="Q242" s="215" t="str"/>
      <x:c r="R242" s="215" t="str">
        <x:v>VERB-LK01; VERB-LK02</x:v>
      </x:c>
      <x:c r="S242" s="215" t="str">
        <x:v>APWEB-LAM; KEW-VERB-GI; POWO-VERB</x:v>
      </x:c>
      <x:c r="T242" s="215" t="str">
        <x:v>https://mobot.org/MOBOT/research/APweb/orders/lamialesweb.htm</x:v>
      </x:c>
      <x:c r="U242" s="215" t="str">
        <x:v>https://powo.science.kew.org/taxon/urn:lsid:ipni.org:names:30000070-2/general-information</x:v>
      </x:c>
      <x:c r="V242" s="215" t="str">
        <x:v>https://powo.science.kew.org/taxon/urn:lsid:ipni.org:names:30000070-2</x:v>
      </x:c>
      <x:c r="W242" s="215" t="str">
        <x:v>https://mobot.org/MOBOT/research/APweb/orders/lamialesweb.htm
https://powo.science.kew.org/taxon/urn:lsid:ipni.org:names:30000070-2/general-information
https://powo.science.kew.org/taxon/urn:lsid:ipni.org:names:30000070-2</x:v>
      </x:c>
      <x:c r="X242" s="215" t="str">
        <x:v>No - retain qualifiers and exceptions</x:v>
      </x:c>
      <x:c r="Y242" s="215" t="str">
        <x:v>Yes</x:v>
      </x:c>
      <x:c r="Z242" s="215" t="str">
        <x:v>Source-backed draft</x:v>
      </x:c>
      <x:c r="AA242" s="215" t="str">
        <x:v>Family pattern</x:v>
      </x:c>
      <x:c r="AB242" s="215" t="str">
        <x:v>Positive diagnostic</x:v>
      </x:c>
      <x:c r="AC242" s="215" t="str">
        <x:v>Moderate</x:v>
      </x:c>
      <x:c r="AD242" s="215" t="str">
        <x:v>Dissection</x:v>
      </x:c>
      <x:c r="AE242" s="215" t="str">
        <x:v>Low</x:v>
      </x:c>
      <x:c r="AF242" s="215" t="str">
        <x:v>Dissection / close study</x:v>
      </x:c>
      <x:c r="AG242" s="215" t="str">
        <x:v>3 — Reference support</x:v>
      </x:c>
      <x:c r="AH242" s="215" t="str">
        <x:v>Current master inventory</x:v>
      </x:c>
    </x:row>
    <x:row r="243" ht="42" customHeight="1">
      <x:c r="A243" s="215" t="str">
        <x:v>Verbenaceae</x:v>
      </x:c>
      <x:c r="B243" s="215" t="str">
        <x:v>VERB-STYLE</x:v>
      </x:c>
      <x:c r="C243" s="215" t="str">
        <x:v>Broad family suite</x:v>
      </x:c>
      <x:c r="D243" s="215" t="str">
        <x:v>Gynoecium</x:v>
      </x:c>
      <x:c r="E243" s="215" t="str">
        <x:v>Style terminal or nearly terminal, not deeply gynobasic</x:v>
      </x:c>
      <x:c r="F243" s="215" t="str">
        <x:v>Core</x:v>
      </x:c>
      <x:c r="G243" s="215" t="str">
        <x:v>5</x:v>
      </x:c>
      <x:c r="H243" s="215" t="str">
        <x:v>High with careful view</x:v>
      </x:c>
      <x:c r="I243" s="215" t="str">
        <x:v>Hand lens; sometimes dissection</x:v>
      </x:c>
      <x:c r="J243" s="215" t="str">
        <x:v>Flowering to young fruit</x:v>
      </x:c>
      <x:c r="K243" s="215" t="str">
        <x:v>The style rises from the top of the ovary rather than from between four deep ovary lobes.</x:v>
      </x:c>
      <x:c r="L243" s="215" t="str">
        <x:v>A shallowly lobed ovary or tiny flower can make the position difficult to judge; some variation occurs.</x:v>
      </x:c>
      <x:c r="M243" s="215" t="str">
        <x:v>The most useful separation from many Lamiaceae, which often have a deeply four-lobed ovary and gynobasic style.</x:v>
      </x:c>
      <x:c r="N243" s="215" t="str">
        <x:v>Critical across local Verbenaceae.</x:v>
      </x:c>
      <x:c r="O243" s="215" t="str">
        <x:v>Moderate</x:v>
      </x:c>
      <x:c r="P243" s="215" t="str">
        <x:v>Yes</x:v>
      </x:c>
      <x:c r="Q243" s="215" t="str">
        <x:v>Create a photo guide for top-versus-between-lobes interpretation before public use.</x:v>
      </x:c>
      <x:c r="R243" s="215" t="str">
        <x:v>VERB-LK01</x:v>
      </x:c>
      <x:c r="S243" s="215" t="str">
        <x:v>APWEB-LAM; KEW-VERB-GI; POWO-VERB</x:v>
      </x:c>
      <x:c r="T243" s="215" t="str">
        <x:v>https://mobot.org/MOBOT/research/APweb/orders/lamialesweb.htm</x:v>
      </x:c>
      <x:c r="U243" s="215" t="str">
        <x:v>https://powo.science.kew.org/taxon/urn:lsid:ipni.org:names:30000070-2/general-information</x:v>
      </x:c>
      <x:c r="V243" s="215" t="str">
        <x:v>https://powo.science.kew.org/taxon/urn:lsid:ipni.org:names:30000070-2</x:v>
      </x:c>
      <x:c r="W243" s="215" t="str">
        <x:v>https://mobot.org/MOBOT/research/APweb/orders/lamialesweb.htm
https://powo.science.kew.org/taxon/urn:lsid:ipni.org:names:30000070-2/general-information
https://powo.science.kew.org/taxon/urn:lsid:ipni.org:names:30000070-2</x:v>
      </x:c>
      <x:c r="X243" s="215" t="str">
        <x:v>No - retain qualifiers and exceptions</x:v>
      </x:c>
      <x:c r="Y243" s="215" t="str">
        <x:v>Yes</x:v>
      </x:c>
      <x:c r="Z243" s="215" t="str">
        <x:v>Human review required</x:v>
      </x:c>
      <x:c r="AA243" s="215" t="str">
        <x:v>Family pattern</x:v>
      </x:c>
      <x:c r="AB243" s="215" t="str">
        <x:v>Positive diagnostic</x:v>
      </x:c>
      <x:c r="AC243" s="215" t="str">
        <x:v>High</x:v>
      </x:c>
      <x:c r="AD243" s="215" t="str">
        <x:v>Dissection</x:v>
      </x:c>
      <x:c r="AE243" s="215" t="str">
        <x:v>Moderate</x:v>
      </x:c>
      <x:c r="AF243" s="215" t="str">
        <x:v>Use only after review</x:v>
      </x:c>
      <x:c r="AG243" s="215" t="str">
        <x:v>1 — Human review now</x:v>
      </x:c>
      <x:c r="AH243" s="215" t="str">
        <x:v>Current master inventory</x:v>
      </x:c>
    </x:row>
    <x:row r="244" ht="42" customHeight="1">
      <x:c r="A244" s="215" t="str">
        <x:v>Verbenaceae</x:v>
      </x:c>
      <x:c r="B244" s="215" t="str">
        <x:v>VERB-FRUIT</x:v>
      </x:c>
      <x:c r="C244" s="215" t="str">
        <x:v>Broad family suite</x:v>
      </x:c>
      <x:c r="D244" s="215" t="str">
        <x:v>Fruit</x:v>
      </x:c>
      <x:c r="E244" s="215" t="str">
        <x:v>Fruit a drupe or schizocarp splitting into 2 or 4 mericarps</x:v>
      </x:c>
      <x:c r="F244" s="215" t="str">
        <x:v>Core</x:v>
      </x:c>
      <x:c r="G244" s="215" t="str">
        <x:v>5</x:v>
      </x:c>
      <x:c r="H244" s="215" t="str">
        <x:v>High</x:v>
      </x:c>
      <x:c r="I244" s="215" t="str">
        <x:v>Naked eye or hand lens</x:v>
      </x:c>
      <x:c r="J244" s="215" t="str">
        <x:v>Mature fruit</x:v>
      </x:c>
      <x:c r="K244" s="215" t="str">
        <x:v>The ovary matures either into a fleshy stone fruit or a dry fruit that breaks into a small number of units.</x:v>
      </x:c>
      <x:c r="L244" s="215" t="str">
        <x:v>Fruit texture and splitting pattern vary strongly among tribes; immature fruit can mislead.</x:v>
      </x:c>
      <x:c r="M244" s="215" t="str">
        <x:v>Decisive when combined with terminal style and persistent calyx.</x:v>
      </x:c>
      <x:c r="N244" s="215" t="str">
        <x:v>Local genera include both dry and fleshy routes.</x:v>
      </x:c>
      <x:c r="O244" s="215" t="str">
        <x:v>Low</x:v>
      </x:c>
      <x:c r="P244" s="215" t="str">
        <x:v>No</x:v>
      </x:c>
      <x:c r="Q244" s="215" t="str"/>
      <x:c r="R244" s="215" t="str">
        <x:v>VERB-LK01; VERB-LK02; VERB-LK03</x:v>
      </x:c>
      <x:c r="S244" s="215" t="str">
        <x:v>APWEB-LAM; KEW-VERB-GI; POWO-VERB</x:v>
      </x:c>
      <x:c r="T244" s="215" t="str">
        <x:v>https://mobot.org/MOBOT/research/APweb/orders/lamialesweb.htm</x:v>
      </x:c>
      <x:c r="U244" s="215" t="str">
        <x:v>https://powo.science.kew.org/taxon/urn:lsid:ipni.org:names:30000070-2/general-information</x:v>
      </x:c>
      <x:c r="V244" s="215" t="str">
        <x:v>https://powo.science.kew.org/taxon/urn:lsid:ipni.org:names:30000070-2</x:v>
      </x:c>
      <x:c r="W244" s="215" t="str">
        <x:v>https://mobot.org/MOBOT/research/APweb/orders/lamialesweb.htm
https://powo.science.kew.org/taxon/urn:lsid:ipni.org:names:30000070-2/general-information
https://powo.science.kew.org/taxon/urn:lsid:ipni.org:names:30000070-2</x:v>
      </x:c>
      <x:c r="X244" s="215" t="str">
        <x:v>No - retain qualifiers and exceptions</x:v>
      </x:c>
      <x:c r="Y244" s="215" t="str">
        <x:v>Yes</x:v>
      </x:c>
      <x:c r="Z244" s="215" t="str">
        <x:v>Source-backed draft</x:v>
      </x:c>
      <x:c r="AA244" s="215" t="str">
        <x:v>Family pattern</x:v>
      </x:c>
      <x:c r="AB244" s="215" t="str">
        <x:v>Positive diagnostic</x:v>
      </x:c>
      <x:c r="AC244" s="215" t="str">
        <x:v>High</x:v>
      </x:c>
      <x:c r="AD244" s="215" t="str">
        <x:v>Hand lens / macro</x:v>
      </x:c>
      <x:c r="AE244" s="215" t="str">
        <x:v>Low</x:v>
      </x:c>
      <x:c r="AF244" s="215" t="str">
        <x:v>Field-ready draft</x:v>
      </x:c>
      <x:c r="AG244" s="215" t="str">
        <x:v>2 — Field-photo priority</x:v>
      </x:c>
      <x:c r="AH244" s="215" t="str">
        <x:v>Current master inventory</x:v>
      </x:c>
    </x:row>
    <x:row r="245" ht="42" customHeight="1">
      <x:c r="A245" s="215" t="str">
        <x:v>Verbenaceae</x:v>
      </x:c>
      <x:c r="B245" s="215" t="str">
        <x:v>VERB-VERBENA</x:v>
      </x:c>
      <x:c r="C245" s="215" t="str">
        <x:v>Local subgroup: Verbena and Glandularia</x:v>
      </x:c>
      <x:c r="D245" s="215" t="str">
        <x:v>Inflorescence and fruit</x:v>
      </x:c>
      <x:c r="E245" s="215" t="str">
        <x:v>Spikes or heads of small flowers; dry fruit splitting into four one-seeded mericarps</x:v>
      </x:c>
      <x:c r="F245" s="215" t="str">
        <x:v>Subgroup</x:v>
      </x:c>
      <x:c r="G245" s="215" t="str">
        <x:v>5</x:v>
      </x:c>
      <x:c r="H245" s="215" t="str">
        <x:v>High with fruit</x:v>
      </x:c>
      <x:c r="I245" s="215" t="str">
        <x:v>Naked eye plus hand lens</x:v>
      </x:c>
      <x:c r="J245" s="215" t="str">
        <x:v>Flowering and fruiting</x:v>
      </x:c>
      <x:c r="K245" s="215" t="str">
        <x:v>These herbaceous local vervains retain a dry four-part fruit inside the persistent calyx.</x:v>
      </x:c>
      <x:c r="L245" s="215" t="str">
        <x:v>Glandularia and Verbena differ in habit, inflorescence, corolla tube, style, and fruit details; names have shifted historically.</x:v>
      </x:c>
      <x:c r="M245" s="215" t="str">
        <x:v>Routes the five Verbena/Glandularia local species to a dry-fruited branch.</x:v>
      </x:c>
      <x:c r="N245" s="215" t="str">
        <x:v>Directly applies to two Glandularia and four Verbena rows.</x:v>
      </x:c>
      <x:c r="O245" s="215" t="str">
        <x:v>Moderate</x:v>
      </x:c>
      <x:c r="P245" s="215" t="str">
        <x:v>Yes</x:v>
      </x:c>
      <x:c r="Q245" s="215" t="str">
        <x:v>A dedicated genus matrix is needed to separate Verbena and Glandularia reliably.</x:v>
      </x:c>
      <x:c r="R245" s="215" t="str">
        <x:v>VERB-LK01; VERB-LK03</x:v>
      </x:c>
      <x:c r="S245" s="215" t="str">
        <x:v>KEW-VERB-GI; APWEB-LAM; POWO-VERB</x:v>
      </x:c>
      <x:c r="T245" s="215" t="str">
        <x:v>https://mobot.org/MOBOT/research/APweb/orders/lamialesweb.htm</x:v>
      </x:c>
      <x:c r="U245" s="215" t="str">
        <x:v>https://powo.science.kew.org/taxon/urn:lsid:ipni.org:names:30000070-2/general-information</x:v>
      </x:c>
      <x:c r="V245" s="215" t="str">
        <x:v>https://powo.science.kew.org/taxon/urn:lsid:ipni.org:names:30000070-2</x:v>
      </x:c>
      <x:c r="W245" s="215" t="str">
        <x:v>https://powo.science.kew.org/taxon/urn:lsid:ipni.org:names:30000070-2/general-information
https://mobot.org/MOBOT/research/APweb/orders/lamialesweb.htm
https://powo.science.kew.org/taxon/urn:lsid:ipni.org:names:30000070-2</x:v>
      </x:c>
      <x:c r="X245" s="215" t="str">
        <x:v>No - retain qualifiers and exceptions</x:v>
      </x:c>
      <x:c r="Y245" s="215" t="str">
        <x:v>Yes</x:v>
      </x:c>
      <x:c r="Z245" s="215" t="str">
        <x:v>Human review required</x:v>
      </x:c>
      <x:c r="AA245" s="215" t="str">
        <x:v>Local subgroup / route</x:v>
      </x:c>
      <x:c r="AB245" s="215" t="str">
        <x:v>Supporting / route</x:v>
      </x:c>
      <x:c r="AC245" s="215" t="str">
        <x:v>High</x:v>
      </x:c>
      <x:c r="AD245" s="215" t="str">
        <x:v>Hand lens / macro</x:v>
      </x:c>
      <x:c r="AE245" s="215" t="str">
        <x:v>Moderate</x:v>
      </x:c>
      <x:c r="AF245" s="215" t="str">
        <x:v>Use only after review</x:v>
      </x:c>
      <x:c r="AG245" s="215" t="str">
        <x:v>1 — Human review now</x:v>
      </x:c>
      <x:c r="AH245" s="215" t="str">
        <x:v>Current master inventory</x:v>
      </x:c>
    </x:row>
    <x:row r="246" ht="42" customHeight="1">
      <x:c r="A246" s="215" t="str">
        <x:v>Verbenaceae</x:v>
      </x:c>
      <x:c r="B246" s="215" t="str">
        <x:v>VERB-LANTANA</x:v>
      </x:c>
      <x:c r="C246" s="215" t="str">
        <x:v>Local subgroup: Lantana</x:v>
      </x:c>
      <x:c r="D246" s="215" t="str">
        <x:v>Inflorescence and fruit</x:v>
      </x:c>
      <x:c r="E246" s="215" t="str">
        <x:v>Dense flower heads followed by fleshy drupes</x:v>
      </x:c>
      <x:c r="F246" s="215" t="str">
        <x:v>Subgroup</x:v>
      </x:c>
      <x:c r="G246" s="215" t="str">
        <x:v>5</x:v>
      </x:c>
      <x:c r="H246" s="215" t="str">
        <x:v>High</x:v>
      </x:c>
      <x:c r="I246" s="215" t="str">
        <x:v>Naked eye</x:v>
      </x:c>
      <x:c r="J246" s="215" t="str">
        <x:v>Flowering and fruiting</x:v>
      </x:c>
      <x:c r="K246" s="215" t="str">
        <x:v>Many small flowers share a compact head, and each matures into a small fleshy, stone-bearing fruit.</x:v>
      </x:c>
      <x:c r="L246" s="215" t="str">
        <x:v>Phyla also has heads but its fruit and growth form differ; immature Lantana fruit may remain green and hard.</x:v>
      </x:c>
      <x:c r="M246" s="215" t="str">
        <x:v>Strongly routes local Lantana after family placement.</x:v>
      </x:c>
      <x:c r="N246" s="215" t="str">
        <x:v>Directly applies to Lantana urticoides.</x:v>
      </x:c>
      <x:c r="O246" s="215" t="str">
        <x:v>Low</x:v>
      </x:c>
      <x:c r="P246" s="215" t="str">
        <x:v>No</x:v>
      </x:c>
      <x:c r="Q246" s="215" t="str"/>
      <x:c r="R246" s="215" t="str">
        <x:v>VERB-LK01</x:v>
      </x:c>
      <x:c r="S246" s="215" t="str">
        <x:v>KEW-VERB-GI; APWEB-LAM; POWO-VERB</x:v>
      </x:c>
      <x:c r="T246" s="215" t="str">
        <x:v>https://mobot.org/MOBOT/research/APweb/orders/lamialesweb.htm</x:v>
      </x:c>
      <x:c r="U246" s="215" t="str">
        <x:v>https://powo.science.kew.org/taxon/urn:lsid:ipni.org:names:30000070-2/general-information</x:v>
      </x:c>
      <x:c r="V246" s="215" t="str">
        <x:v>https://powo.science.kew.org/taxon/urn:lsid:ipni.org:names:30000070-2</x:v>
      </x:c>
      <x:c r="W246" s="215" t="str">
        <x:v>https://powo.science.kew.org/taxon/urn:lsid:ipni.org:names:30000070-2/general-information
https://mobot.org/MOBOT/research/APweb/orders/lamialesweb.htm
https://powo.science.kew.org/taxon/urn:lsid:ipni.org:names:30000070-2</x:v>
      </x:c>
      <x:c r="X246" s="215" t="str">
        <x:v>No - retain qualifiers and exceptions</x:v>
      </x:c>
      <x:c r="Y246" s="215" t="str">
        <x:v>Yes</x:v>
      </x:c>
      <x:c r="Z246" s="215" t="str">
        <x:v>Source-backed draft</x:v>
      </x:c>
      <x:c r="AA246" s="215" t="str">
        <x:v>Local subgroup / route</x:v>
      </x:c>
      <x:c r="AB246" s="215" t="str">
        <x:v>Supporting / route</x:v>
      </x:c>
      <x:c r="AC246" s="215" t="str">
        <x:v>High</x:v>
      </x:c>
      <x:c r="AD246" s="215" t="str">
        <x:v>Naked eye / field</x:v>
      </x:c>
      <x:c r="AE246" s="215" t="str">
        <x:v>Low</x:v>
      </x:c>
      <x:c r="AF246" s="215" t="str">
        <x:v>Field-ready draft</x:v>
      </x:c>
      <x:c r="AG246" s="215" t="str">
        <x:v>2 — Field-photo priority</x:v>
      </x:c>
      <x:c r="AH246" s="215" t="str">
        <x:v>Current master inventory</x:v>
      </x:c>
    </x:row>
    <x:row r="247" ht="42" customHeight="1">
      <x:c r="A247" s="215" t="str">
        <x:v>Verbenaceae</x:v>
      </x:c>
      <x:c r="B247" s="215" t="str">
        <x:v>VERB-PHYLA</x:v>
      </x:c>
      <x:c r="C247" s="215" t="str">
        <x:v>Local subgroup: Phyla</x:v>
      </x:c>
      <x:c r="D247" s="215" t="str">
        <x:v>Habit, inflorescence, fruit</x:v>
      </x:c>
      <x:c r="E247" s="215" t="str">
        <x:v>Creeping herb with compact heads and a small dry or drupelike two-part fruit</x:v>
      </x:c>
      <x:c r="F247" s="215" t="str">
        <x:v>Subgroup</x:v>
      </x:c>
      <x:c r="G247" s="215" t="str">
        <x:v>4</x:v>
      </x:c>
      <x:c r="H247" s="215" t="str">
        <x:v>Moderate to high</x:v>
      </x:c>
      <x:c r="I247" s="215" t="str">
        <x:v>Naked eye plus hand lens</x:v>
      </x:c>
      <x:c r="J247" s="215" t="str">
        <x:v>Flowering and fruiting</x:v>
      </x:c>
      <x:c r="K247" s="215" t="str">
        <x:v>A mat-forming stem and short dense flower head point toward Phyla.</x:v>
      </x:c>
      <x:c r="L247" s="215" t="str">
        <x:v>Creeping habit and heads occur elsewhere; fruit terminology and splitting require close inspection.</x:v>
      </x:c>
      <x:c r="M247" s="215" t="str">
        <x:v>Separates the local frogfruit route from Lantana and upright vervains.</x:v>
      </x:c>
      <x:c r="N247" s="215" t="str">
        <x:v>Directly applies to Phyla nodiflora.</x:v>
      </x:c>
      <x:c r="O247" s="215" t="str">
        <x:v>Moderate</x:v>
      </x:c>
      <x:c r="P247" s="215" t="str">
        <x:v>Yes</x:v>
      </x:c>
      <x:c r="Q247" s="215" t="str">
        <x:v>Human review should standardize fruit terminology and confirm the smallest field-visible difference from Lantana.</x:v>
      </x:c>
      <x:c r="R247" s="215" t="str">
        <x:v>VERB-LK01; VERB-LK03</x:v>
      </x:c>
      <x:c r="S247" s="215" t="str">
        <x:v>KEW-VERB-GI; APWEB-LAM; POWO-VERB</x:v>
      </x:c>
      <x:c r="T247" s="215" t="str">
        <x:v>https://mobot.org/MOBOT/research/APweb/orders/lamialesweb.htm</x:v>
      </x:c>
      <x:c r="U247" s="215" t="str">
        <x:v>https://powo.science.kew.org/taxon/urn:lsid:ipni.org:names:30000070-2/general-information</x:v>
      </x:c>
      <x:c r="V247" s="215" t="str">
        <x:v>https://powo.science.kew.org/taxon/urn:lsid:ipni.org:names:30000070-2</x:v>
      </x:c>
      <x:c r="W247" s="215" t="str">
        <x:v>https://powo.science.kew.org/taxon/urn:lsid:ipni.org:names:30000070-2/general-information
https://mobot.org/MOBOT/research/APweb/orders/lamialesweb.htm
https://powo.science.kew.org/taxon/urn:lsid:ipni.org:names:30000070-2</x:v>
      </x:c>
      <x:c r="X247" s="215" t="str">
        <x:v>No - retain qualifiers and exceptions</x:v>
      </x:c>
      <x:c r="Y247" s="215" t="str">
        <x:v>Yes</x:v>
      </x:c>
      <x:c r="Z247" s="215" t="str">
        <x:v>Human review required</x:v>
      </x:c>
      <x:c r="AA247" s="215" t="str">
        <x:v>Local subgroup / route</x:v>
      </x:c>
      <x:c r="AB247" s="215" t="str">
        <x:v>Supporting / route</x:v>
      </x:c>
      <x:c r="AC247" s="215" t="str">
        <x:v>Moderate</x:v>
      </x:c>
      <x:c r="AD247" s="215" t="str">
        <x:v>Hand lens / macro</x:v>
      </x:c>
      <x:c r="AE247" s="215" t="str">
        <x:v>Moderate</x:v>
      </x:c>
      <x:c r="AF247" s="215" t="str">
        <x:v>Use only after review</x:v>
      </x:c>
      <x:c r="AG247" s="215" t="str">
        <x:v>1 — Human review now</x:v>
      </x:c>
      <x:c r="AH247" s="215" t="str">
        <x:v>Current master inventory</x:v>
      </x:c>
    </x:row>
    <x:row r="248" ht="42" customHeight="1">
      <x:c r="A248" s="215" t="str">
        <x:v>Verbenaceae</x:v>
      </x:c>
      <x:c r="B248" s="215" t="str">
        <x:v>VERB-ALOYSIA</x:v>
      </x:c>
      <x:c r="C248" s="215" t="str">
        <x:v>Local subgroup: Aloysia</x:v>
      </x:c>
      <x:c r="D248" s="215" t="str">
        <x:v>Habit and inflorescence</x:v>
      </x:c>
      <x:c r="E248" s="215" t="str">
        <x:v>Woody aromatic shrub with slender spikes or racemes and dry fruit</x:v>
      </x:c>
      <x:c r="F248" s="215" t="str">
        <x:v>Subgroup</x:v>
      </x:c>
      <x:c r="G248" s="215" t="str">
        <x:v>5</x:v>
      </x:c>
      <x:c r="H248" s="215" t="str">
        <x:v>Moderate to high</x:v>
      </x:c>
      <x:c r="I248" s="215" t="str">
        <x:v>Naked eye plus hand lens</x:v>
      </x:c>
      <x:c r="J248" s="215" t="str">
        <x:v>Flowering and fruiting</x:v>
      </x:c>
      <x:c r="K248" s="215" t="str">
        <x:v>The local Aloysia route is woody, often fragrant, and carries many small flowers along narrow axes.</x:v>
      </x:c>
      <x:c r="L248" s="215" t="str">
        <x:v>Other aromatic shrubs can look similar; fruit and terminal style still must agree.</x:v>
      </x:c>
      <x:c r="M248" s="215" t="str">
        <x:v>Separates Aloysia from herbaceous Verbena/Glandularia and head-forming Lantana/Phyla.</x:v>
      </x:c>
      <x:c r="N248" s="215" t="str">
        <x:v>Directly applies to Aloysia gratissima.</x:v>
      </x:c>
      <x:c r="O248" s="215" t="str">
        <x:v>Low</x:v>
      </x:c>
      <x:c r="P248" s="215" t="str">
        <x:v>No</x:v>
      </x:c>
      <x:c r="Q248" s="215" t="str"/>
      <x:c r="R248" s="215" t="str">
        <x:v>VERB-LK01</x:v>
      </x:c>
      <x:c r="S248" s="215" t="str">
        <x:v>KEW-VERB-GI; APWEB-LAM; POWO-VERB</x:v>
      </x:c>
      <x:c r="T248" s="215" t="str">
        <x:v>https://mobot.org/MOBOT/research/APweb/orders/lamialesweb.htm</x:v>
      </x:c>
      <x:c r="U248" s="215" t="str">
        <x:v>https://powo.science.kew.org/taxon/urn:lsid:ipni.org:names:30000070-2/general-information</x:v>
      </x:c>
      <x:c r="V248" s="215" t="str">
        <x:v>https://powo.science.kew.org/taxon/urn:lsid:ipni.org:names:30000070-2</x:v>
      </x:c>
      <x:c r="W248" s="215" t="str">
        <x:v>https://powo.science.kew.org/taxon/urn:lsid:ipni.org:names:30000070-2/general-information
https://mobot.org/MOBOT/research/APweb/orders/lamialesweb.htm
https://powo.science.kew.org/taxon/urn:lsid:ipni.org:names:30000070-2</x:v>
      </x:c>
      <x:c r="X248" s="215" t="str">
        <x:v>No - retain qualifiers and exceptions</x:v>
      </x:c>
      <x:c r="Y248" s="215" t="str">
        <x:v>Yes</x:v>
      </x:c>
      <x:c r="Z248" s="215" t="str">
        <x:v>Source-backed draft</x:v>
      </x:c>
      <x:c r="AA248" s="215" t="str">
        <x:v>Local subgroup / route</x:v>
      </x:c>
      <x:c r="AB248" s="215" t="str">
        <x:v>Supporting / route</x:v>
      </x:c>
      <x:c r="AC248" s="215" t="str">
        <x:v>Moderate</x:v>
      </x:c>
      <x:c r="AD248" s="215" t="str">
        <x:v>Hand lens / macro</x:v>
      </x:c>
      <x:c r="AE248" s="215" t="str">
        <x:v>Low</x:v>
      </x:c>
      <x:c r="AF248" s="215" t="str">
        <x:v>Field-ready draft</x:v>
      </x:c>
      <x:c r="AG248" s="215" t="str">
        <x:v>2 — Field-photo priority</x:v>
      </x:c>
      <x:c r="AH248" s="215" t="str">
        <x:v>Current master inventory</x:v>
      </x:c>
    </x:row>
    <x:row r="249" ht="42" customHeight="1">
      <x:c r="A249" s="215" t="str">
        <x:v>Verbenaceae</x:v>
      </x:c>
      <x:c r="B249" s="215" t="str">
        <x:v>VERB-SAFETY</x:v>
      </x:c>
      <x:c r="C249" s="215" t="str">
        <x:v>Observation rule</x:v>
      </x:c>
      <x:c r="D249" s="215" t="str">
        <x:v>Safety</x:v>
      </x:c>
      <x:c r="E249" s="215" t="str">
        <x:v>Do not taste fruits or leaves</x:v>
      </x:c>
      <x:c r="F249" s="215" t="str">
        <x:v>Caution</x:v>
      </x:c>
      <x:c r="G249" s="215" t="str">
        <x:v>0</x:v>
      </x:c>
      <x:c r="H249" s="215" t="str">
        <x:v>High</x:v>
      </x:c>
      <x:c r="I249" s="215" t="str">
        <x:v>Behavioral rule</x:v>
      </x:c>
      <x:c r="J249" s="215" t="str">
        <x:v>Any</x:v>
      </x:c>
      <x:c r="K249" s="215" t="str">
        <x:v>Family members differ in toxicity, and taste is unnecessary for identification.</x:v>
      </x:c>
      <x:c r="L249" s="215" t="str">
        <x:v>Risk varies among species, plant parts, and maturity.</x:v>
      </x:c>
      <x:c r="M249" s="215" t="str">
        <x:v>Prevents unsafe confirmation attempts, especially with Lantana fruit.</x:v>
      </x:c>
      <x:c r="N249" s="215" t="str">
        <x:v>Suitable for all local routes.</x:v>
      </x:c>
      <x:c r="O249" s="215" t="str">
        <x:v>Low</x:v>
      </x:c>
      <x:c r="P249" s="215" t="str">
        <x:v>No</x:v>
      </x:c>
      <x:c r="Q249" s="215" t="str"/>
      <x:c r="R249" s="215" t="str"/>
      <x:c r="S249" s="215" t="str">
        <x:v>KEW-VERB-GI; POWO-VERB</x:v>
      </x:c>
      <x:c r="T249" s="215" t="str">
        <x:v>https://mobot.org/MOBOT/research/APweb/orders/lamialesweb.htm</x:v>
      </x:c>
      <x:c r="U249" s="215" t="str">
        <x:v>https://powo.science.kew.org/taxon/urn:lsid:ipni.org:names:30000070-2/general-information</x:v>
      </x:c>
      <x:c r="V249" s="215" t="str">
        <x:v>https://powo.science.kew.org/taxon/urn:lsid:ipni.org:names:30000070-2</x:v>
      </x:c>
      <x:c r="W249" s="215" t="str">
        <x:v>https://powo.science.kew.org/taxon/urn:lsid:ipni.org:names:30000070-2/general-information
https://powo.science.kew.org/taxon/urn:lsid:ipni.org:names:30000070-2
https://mobot.org/MOBOT/research/APweb/orders/lamialesweb.htm</x:v>
      </x:c>
      <x:c r="X249" s="215" t="str">
        <x:v>No - retain qualifiers and exceptions</x:v>
      </x:c>
      <x:c r="Y249" s="215" t="str">
        <x:v>Yes</x:v>
      </x:c>
      <x:c r="Z249" s="215" t="str">
        <x:v>Source-backed draft</x:v>
      </x:c>
      <x:c r="AA249" s="215" t="str">
        <x:v>Caution / method</x:v>
      </x:c>
      <x:c r="AB249" s="215" t="str">
        <x:v>Caution / negative rule</x:v>
      </x:c>
      <x:c r="AC249" s="215" t="str">
        <x:v>High</x:v>
      </x:c>
      <x:c r="AD249" s="215" t="str">
        <x:v>Reference / method</x:v>
      </x:c>
      <x:c r="AE249" s="215" t="str">
        <x:v>Low</x:v>
      </x:c>
      <x:c r="AF249" s="215" t="str">
        <x:v>Specialist / reference</x:v>
      </x:c>
      <x:c r="AG249" s="215" t="str">
        <x:v>4 — Context / caution</x:v>
      </x:c>
      <x:c r="AH249" s="215" t="str">
        <x:v>Current master inventory</x:v>
      </x:c>
    </x:row>
    <x:row r="250" ht="42" customHeight="1">
      <x:c r="A250" s="215" t="str">
        <x:v>Asteraceae</x:v>
      </x:c>
      <x:c r="B250" s="215" t="str">
        <x:v>AST-HEAD</x:v>
      </x:c>
      <x:c r="C250" s="215" t="str">
        <x:v>Family-wide, with reduced exceptions</x:v>
      </x:c>
      <x:c r="D250" s="215" t="str">
        <x:v>Inflorescence</x:v>
      </x:c>
      <x:c r="E250" s="215" t="str">
        <x:v>Flowers aggregated into a capitulum or head, usually surrounded by an involucre</x:v>
      </x:c>
      <x:c r="F250" s="215" t="str">
        <x:v>Core</x:v>
      </x:c>
      <x:c r="G250" s="215" t="str">
        <x:v>5</x:v>
      </x:c>
      <x:c r="H250" s="215" t="str">
        <x:v>High</x:v>
      </x:c>
      <x:c r="I250" s="215" t="str">
        <x:v>Naked eye to hand lens</x:v>
      </x:c>
      <x:c r="J250" s="215" t="str">
        <x:v>Flowering or fruiting</x:v>
      </x:c>
      <x:c r="K250" s="215" t="str">
        <x:v>What looks like one flower is usually a whole cluster of small florets sharing one receptacle.</x:v>
      </x:c>
      <x:c r="L250" s="215" t="str">
        <x:v>Heads may contain only one or a few florets, and highly reduced heads can be difficult to recognize; a head alone is not unique to Asteraceae.</x:v>
      </x:c>
      <x:c r="M250" s="215" t="str">
        <x:v>First determine whether the apparent flower is a composite head, then confirm with phyllaries, anther tube, inferior one-ovulate ovaries, or cypselae.</x:v>
      </x:c>
      <x:c r="N250" s="215" t="str">
        <x:v>A high-priority Hays County family across prairie, roadside, riparian, and disturbed habitats; local material spans radiate, discoid, disciform, and liguliflorous heads.</x:v>
      </x:c>
      <x:c r="O250" s="215" t="str">
        <x:v>Low</x:v>
      </x:c>
      <x:c r="P250" s="215" t="str">
        <x:v>No</x:v>
      </x:c>
      <x:c r="Q250" s="215" t="str"/>
      <x:c r="R250" s="215" t="str">
        <x:v>AST-LK01; AST-LK02</x:v>
      </x:c>
      <x:c r="S250" s="215" t="str">
        <x:v>APWEB-ASTER; FNA-ASTER; POWO-ASTER; LBJWC-HAYS</x:v>
      </x:c>
      <x:c r="T250" s="215" t="str">
        <x:v>https://www.mobot.org/MOBOT/research/APweb/orders/asteralesweb.htm</x:v>
      </x:c>
      <x:c r="U250" s="215" t="str">
        <x:v>https://floranorthamerica.org/Asteraceae</x:v>
      </x:c>
      <x:c r="V250" s="215" t="str">
        <x:v>https://powo.science.kew.org/taxon/urn:lsid:ipni.org:names:319342-2</x:v>
      </x:c>
      <x:c r="W250" s="215" t="str">
        <x:v>https://www.mobot.org/MOBOT/research/APweb/orders/asteralesweb.htm
https://floranorthamerica.org/Asteraceae
https://powo.science.kew.org/taxon/urn:lsid:ipni.org:names:319342-2
https://www.wildflower.org/collections/collection.php?collection=hays</x:v>
      </x:c>
      <x:c r="X250" s="215" t="str">
        <x:v>No — retain qualifiers and exceptions</x:v>
      </x:c>
      <x:c r="Y250" s="215" t="str">
        <x:v>Yes</x:v>
      </x:c>
      <x:c r="Z250" s="215" t="str">
        <x:v>Source-backed draft</x:v>
      </x:c>
      <x:c r="AA250" s="215" t="str">
        <x:v>Family pattern</x:v>
      </x:c>
      <x:c r="AB250" s="215" t="str">
        <x:v>Positive diagnostic</x:v>
      </x:c>
      <x:c r="AC250" s="215" t="str">
        <x:v>High</x:v>
      </x:c>
      <x:c r="AD250" s="215" t="str">
        <x:v>Hand lens / macro</x:v>
      </x:c>
      <x:c r="AE250" s="215" t="str">
        <x:v>Low</x:v>
      </x:c>
      <x:c r="AF250" s="215" t="str">
        <x:v>Field-ready draft</x:v>
      </x:c>
      <x:c r="AG250" s="215" t="str">
        <x:v>2 — Field-photo priority</x:v>
      </x:c>
      <x:c r="AH250" s="215" t="str">
        <x:v>Current master inventory</x:v>
      </x:c>
    </x:row>
    <x:row r="251" ht="42" customHeight="1">
      <x:c r="A251" s="215" t="str">
        <x:v>Asteraceae</x:v>
      </x:c>
      <x:c r="B251" s="215" t="str">
        <x:v>AST-PHYLLARY</x:v>
      </x:c>
      <x:c r="C251" s="215" t="str">
        <x:v>Broad family tendency</x:v>
      </x:c>
      <x:c r="D251" s="215" t="str">
        <x:v>Involucre</x:v>
      </x:c>
      <x:c r="E251" s="215" t="str">
        <x:v>One or more series of phyllaries commonly surround the receptacle</x:v>
      </x:c>
      <x:c r="F251" s="215" t="str">
        <x:v>Strong</x:v>
      </x:c>
      <x:c r="G251" s="215" t="str">
        <x:v>4</x:v>
      </x:c>
      <x:c r="H251" s="215" t="str">
        <x:v>High in typical heads</x:v>
      </x:c>
      <x:c r="I251" s="215" t="str">
        <x:v>Naked eye or hand lens</x:v>
      </x:c>
      <x:c r="J251" s="215" t="str">
        <x:v>Flowering or fruiting</x:v>
      </x:c>
      <x:c r="K251" s="215" t="str">
        <x:v>Leaflike or scale-like bracts make a cup, cylinder, or spreading ring beneath the florets.</x:v>
      </x:c>
      <x:c r="L251" s="215" t="str">
        <x:v>Phyllaries vary greatly and are rarely absent; an extra calyculus of bractlets may occur below them.</x:v>
      </x:c>
      <x:c r="M251" s="215" t="str">
        <x:v>Use phyllary number, arrangement, texture, and shape after confirming a composite head; do not confuse them with sepals of one large flower.</x:v>
      </x:c>
      <x:c r="N251" s="215" t="str">
        <x:v>A high-priority Hays County family across prairie, roadside, riparian, and disturbed habitats; local material spans radiate, discoid, disciform, and liguliflorous heads.</x:v>
      </x:c>
      <x:c r="O251" s="215" t="str">
        <x:v>Low</x:v>
      </x:c>
      <x:c r="P251" s="215" t="str">
        <x:v>No</x:v>
      </x:c>
      <x:c r="Q251" s="215" t="str"/>
      <x:c r="R251" s="215" t="str">
        <x:v>AST-LK01; AST-LK02</x:v>
      </x:c>
      <x:c r="S251" s="215" t="str">
        <x:v>APWEB-ASTER; FNA-ASTER; POWO-ASTER; LBJWC-HAYS</x:v>
      </x:c>
      <x:c r="T251" s="215" t="str">
        <x:v>https://www.mobot.org/MOBOT/research/APweb/orders/asteralesweb.htm</x:v>
      </x:c>
      <x:c r="U251" s="215" t="str">
        <x:v>https://floranorthamerica.org/Asteraceae</x:v>
      </x:c>
      <x:c r="V251" s="215" t="str">
        <x:v>https://powo.science.kew.org/taxon/urn:lsid:ipni.org:names:319342-2</x:v>
      </x:c>
      <x:c r="W251" s="215" t="str">
        <x:v>https://www.mobot.org/MOBOT/research/APweb/orders/asteralesweb.htm
https://floranorthamerica.org/Asteraceae
https://powo.science.kew.org/taxon/urn:lsid:ipni.org:names:319342-2
https://www.wildflower.org/collections/collection.php?collection=hays</x:v>
      </x:c>
      <x:c r="X251" s="215" t="str">
        <x:v>No — retain qualifiers and exceptions</x:v>
      </x:c>
      <x:c r="Y251" s="215" t="str">
        <x:v>Yes</x:v>
      </x:c>
      <x:c r="Z251" s="215" t="str">
        <x:v>Source-backed draft</x:v>
      </x:c>
      <x:c r="AA251" s="215" t="str">
        <x:v>Family pattern</x:v>
      </x:c>
      <x:c r="AB251" s="215" t="str">
        <x:v>Positive diagnostic</x:v>
      </x:c>
      <x:c r="AC251" s="215" t="str">
        <x:v>High</x:v>
      </x:c>
      <x:c r="AD251" s="215" t="str">
        <x:v>Hand lens / macro</x:v>
      </x:c>
      <x:c r="AE251" s="215" t="str">
        <x:v>Low</x:v>
      </x:c>
      <x:c r="AF251" s="215" t="str">
        <x:v>Field-ready draft</x:v>
      </x:c>
      <x:c r="AG251" s="215" t="str">
        <x:v>2 — Field-photo priority</x:v>
      </x:c>
      <x:c r="AH251" s="215" t="str">
        <x:v>Current master inventory</x:v>
      </x:c>
    </x:row>
    <x:row r="252" ht="42" customHeight="1">
      <x:c r="A252" s="215" t="str">
        <x:v>Asteraceae</x:v>
      </x:c>
      <x:c r="B252" s="215" t="str">
        <x:v>AST-RAYDISC</x:v>
      </x:c>
      <x:c r="C252" s="215" t="str">
        <x:v>Common variation within family</x:v>
      </x:c>
      <x:c r="D252" s="215" t="str">
        <x:v>Floret type</x:v>
      </x:c>
      <x:c r="E252" s="215" t="str">
        <x:v>Heads may have ray, disc, ligulate, filiform, or other floret forms</x:v>
      </x:c>
      <x:c r="F252" s="215" t="str">
        <x:v>Strong</x:v>
      </x:c>
      <x:c r="G252" s="215" t="str">
        <x:v>4</x:v>
      </x:c>
      <x:c r="H252" s="215" t="str">
        <x:v>Variable</x:v>
      </x:c>
      <x:c r="I252" s="215" t="str">
        <x:v>Naked eye or hand lens</x:v>
      </x:c>
      <x:c r="J252" s="215" t="str">
        <x:v>Flowering</x:v>
      </x:c>
      <x:c r="K252" s="215" t="str">
        <x:v>Outer ray florets can look like petals while inner disc florets look like the flower center; some heads have only one floret type.</x:v>
      </x:c>
      <x:c r="L252" s="215" t="str">
        <x:v>Rays are not required. Discoid, disciform, and liguliflorous heads lack the familiar daisy pattern, and sex and fertility of florets vary.</x:v>
      </x:c>
      <x:c r="M252" s="215" t="str">
        <x:v>Recognize each ray or disc unit as a separate flower and examine more than one floret type when present.</x:v>
      </x:c>
      <x:c r="N252" s="215" t="str">
        <x:v>A high-priority Hays County family across prairie, roadside, riparian, and disturbed habitats; local material spans radiate, discoid, disciform, and liguliflorous heads.</x:v>
      </x:c>
      <x:c r="O252" s="215" t="str">
        <x:v>Low</x:v>
      </x:c>
      <x:c r="P252" s="215" t="str">
        <x:v>No</x:v>
      </x:c>
      <x:c r="Q252" s="215" t="str"/>
      <x:c r="R252" s="215" t="str">
        <x:v>AST-LK01</x:v>
      </x:c>
      <x:c r="S252" s="215" t="str">
        <x:v>APWEB-ASTER; FNA-ASTER; POWO-ASTER; LBJWC-HAYS</x:v>
      </x:c>
      <x:c r="T252" s="215" t="str">
        <x:v>https://www.mobot.org/MOBOT/research/APweb/orders/asteralesweb.htm</x:v>
      </x:c>
      <x:c r="U252" s="215" t="str">
        <x:v>https://floranorthamerica.org/Asteraceae</x:v>
      </x:c>
      <x:c r="V252" s="215" t="str">
        <x:v>https://powo.science.kew.org/taxon/urn:lsid:ipni.org:names:319342-2</x:v>
      </x:c>
      <x:c r="W252" s="215" t="str">
        <x:v>https://www.mobot.org/MOBOT/research/APweb/orders/asteralesweb.htm
https://floranorthamerica.org/Asteraceae
https://powo.science.kew.org/taxon/urn:lsid:ipni.org:names:319342-2
https://www.wildflower.org/collections/collection.php?collection=hays</x:v>
      </x:c>
      <x:c r="X252" s="215" t="str">
        <x:v>No — retain qualifiers and exceptions</x:v>
      </x:c>
      <x:c r="Y252" s="215" t="str">
        <x:v>Yes</x:v>
      </x:c>
      <x:c r="Z252" s="215" t="str">
        <x:v>Source-backed draft</x:v>
      </x:c>
      <x:c r="AA252" s="215" t="str">
        <x:v>Other qualified pattern</x:v>
      </x:c>
      <x:c r="AB252" s="215" t="str">
        <x:v>Positive diagnostic</x:v>
      </x:c>
      <x:c r="AC252" s="215" t="str">
        <x:v>Variable</x:v>
      </x:c>
      <x:c r="AD252" s="215" t="str">
        <x:v>Hand lens / macro</x:v>
      </x:c>
      <x:c r="AE252" s="215" t="str">
        <x:v>Low</x:v>
      </x:c>
      <x:c r="AF252" s="215" t="str">
        <x:v>Field-ready draft</x:v>
      </x:c>
      <x:c r="AG252" s="215" t="str">
        <x:v>2 — Field-photo priority</x:v>
      </x:c>
      <x:c r="AH252" s="215" t="str">
        <x:v>Current master inventory</x:v>
      </x:c>
    </x:row>
    <x:row r="253" ht="42" customHeight="1">
      <x:c r="A253" s="215" t="str">
        <x:v>Asteraceae</x:v>
      </x:c>
      <x:c r="B253" s="215" t="str">
        <x:v>AST-COROLLA</x:v>
      </x:c>
      <x:c r="C253" s="215" t="str">
        <x:v>Family-wide with variation</x:v>
      </x:c>
      <x:c r="D253" s="215" t="str">
        <x:v>Corolla</x:v>
      </x:c>
      <x:c r="E253" s="215" t="str">
        <x:v>Corollas sympetalous and usually 5-merous, actinomorphic or zygomorphic</x:v>
      </x:c>
      <x:c r="F253" s="215" t="str">
        <x:v>Strong</x:v>
      </x:c>
      <x:c r="G253" s="215" t="str">
        <x:v>4</x:v>
      </x:c>
      <x:c r="H253" s="215" t="str">
        <x:v>Moderate</x:v>
      </x:c>
      <x:c r="I253" s="215" t="str">
        <x:v>Hand lens</x:v>
      </x:c>
      <x:c r="J253" s="215" t="str">
        <x:v>Flowering</x:v>
      </x:c>
      <x:c r="K253" s="215" t="str">
        <x:v>The petals of each tiny floret are joined into a tube, sometimes ending in five lobes or forming a straplike ray.</x:v>
      </x:c>
      <x:c r="L253" s="215" t="str">
        <x:v>Corollas can be 3- to 5-merous, very small, strongly asymmetric, or reduced; count an individual floret, not the whole head.</x:v>
      </x:c>
      <x:c r="M253" s="215" t="str">
        <x:v>Useful after isolating one floret; combine with inferior ovary and anther arrangement.</x:v>
      </x:c>
      <x:c r="N253" s="215" t="str">
        <x:v>A high-priority Hays County family across prairie, roadside, riparian, and disturbed habitats; local material spans radiate, discoid, disciform, and liguliflorous heads.</x:v>
      </x:c>
      <x:c r="O253" s="215" t="str">
        <x:v>Low</x:v>
      </x:c>
      <x:c r="P253" s="215" t="str">
        <x:v>No</x:v>
      </x:c>
      <x:c r="Q253" s="215" t="str"/>
      <x:c r="R253" s="215" t="str">
        <x:v>AST-LK01</x:v>
      </x:c>
      <x:c r="S253" s="215" t="str">
        <x:v>APWEB-ASTER; FNA-ASTER; POWO-ASTER; LBJWC-HAYS</x:v>
      </x:c>
      <x:c r="T253" s="215" t="str">
        <x:v>https://www.mobot.org/MOBOT/research/APweb/orders/asteralesweb.htm</x:v>
      </x:c>
      <x:c r="U253" s="215" t="str">
        <x:v>https://floranorthamerica.org/Asteraceae</x:v>
      </x:c>
      <x:c r="V253" s="215" t="str">
        <x:v>https://powo.science.kew.org/taxon/urn:lsid:ipni.org:names:319342-2</x:v>
      </x:c>
      <x:c r="W253" s="215" t="str">
        <x:v>https://www.mobot.org/MOBOT/research/APweb/orders/asteralesweb.htm
https://floranorthamerica.org/Asteraceae
https://powo.science.kew.org/taxon/urn:lsid:ipni.org:names:319342-2
https://www.wildflower.org/collections/collection.php?collection=hays</x:v>
      </x:c>
      <x:c r="X253" s="215" t="str">
        <x:v>No — retain qualifiers and exceptions</x:v>
      </x:c>
      <x:c r="Y253" s="215" t="str">
        <x:v>Yes</x:v>
      </x:c>
      <x:c r="Z253" s="215" t="str">
        <x:v>Source-backed draft</x:v>
      </x:c>
      <x:c r="AA253" s="215" t="str">
        <x:v>Family pattern</x:v>
      </x:c>
      <x:c r="AB253" s="215" t="str">
        <x:v>Positive diagnostic</x:v>
      </x:c>
      <x:c r="AC253" s="215" t="str">
        <x:v>Moderate</x:v>
      </x:c>
      <x:c r="AD253" s="215" t="str">
        <x:v>Hand lens / macro</x:v>
      </x:c>
      <x:c r="AE253" s="215" t="str">
        <x:v>Low</x:v>
      </x:c>
      <x:c r="AF253" s="215" t="str">
        <x:v>Field-ready draft</x:v>
      </x:c>
      <x:c r="AG253" s="215" t="str">
        <x:v>2 — Field-photo priority</x:v>
      </x:c>
      <x:c r="AH253" s="215" t="str">
        <x:v>Current master inventory</x:v>
      </x:c>
    </x:row>
    <x:row r="254" ht="42" customHeight="1">
      <x:c r="A254" s="215" t="str">
        <x:v>Asteraceae</x:v>
      </x:c>
      <x:c r="B254" s="215" t="str">
        <x:v>AST-ANTHER</x:v>
      </x:c>
      <x:c r="C254" s="215" t="str">
        <x:v>Nearly family-wide</x:v>
      </x:c>
      <x:c r="D254" s="215" t="str">
        <x:v>Androecium</x:v>
      </x:c>
      <x:c r="E254" s="215" t="str">
        <x:v>Usually 4–5 anthers connate into a tube around the style</x:v>
      </x:c>
      <x:c r="F254" s="215" t="str">
        <x:v>Core</x:v>
      </x:c>
      <x:c r="G254" s="215" t="str">
        <x:v>5</x:v>
      </x:c>
      <x:c r="H254" s="215" t="str">
        <x:v>High when visible</x:v>
      </x:c>
      <x:c r="I254" s="215" t="str">
        <x:v>Hand lens or dissection</x:v>
      </x:c>
      <x:c r="J254" s="215" t="str">
        <x:v>Fresh flowering material</x:v>
      </x:c>
      <x:c r="K254" s="215" t="str">
        <x:v>The style grows upward through a sleeve made by joined anthers and often pushes pollen out.</x:v>
      </x:c>
      <x:c r="L254" s="215" t="str">
        <x:v>Anther or filament arrangement has rare exceptions and can be obscured in old or tiny florets.</x:v>
      </x:c>
      <x:c r="M254" s="215" t="str">
        <x:v>A very strong confirmation character when a head-like inflorescence could belong to another family.</x:v>
      </x:c>
      <x:c r="N254" s="215" t="str">
        <x:v>A high-priority Hays County family across prairie, roadside, riparian, and disturbed habitats; local material spans radiate, discoid, disciform, and liguliflorous heads.</x:v>
      </x:c>
      <x:c r="O254" s="215" t="str">
        <x:v>Low</x:v>
      </x:c>
      <x:c r="P254" s="215" t="str">
        <x:v>No</x:v>
      </x:c>
      <x:c r="Q254" s="215" t="str"/>
      <x:c r="R254" s="215" t="str">
        <x:v>AST-LK02</x:v>
      </x:c>
      <x:c r="S254" s="215" t="str">
        <x:v>APWEB-ASTER; FNA-ASTER; POWO-ASTER; LBJWC-HAYS</x:v>
      </x:c>
      <x:c r="T254" s="215" t="str">
        <x:v>https://www.mobot.org/MOBOT/research/APweb/orders/asteralesweb.htm</x:v>
      </x:c>
      <x:c r="U254" s="215" t="str">
        <x:v>https://floranorthamerica.org/Asteraceae</x:v>
      </x:c>
      <x:c r="V254" s="215" t="str">
        <x:v>https://powo.science.kew.org/taxon/urn:lsid:ipni.org:names:319342-2</x:v>
      </x:c>
      <x:c r="W254" s="215" t="str">
        <x:v>https://www.mobot.org/MOBOT/research/APweb/orders/asteralesweb.htm
https://floranorthamerica.org/Asteraceae
https://powo.science.kew.org/taxon/urn:lsid:ipni.org:names:319342-2
https://www.wildflower.org/collections/collection.php?collection=hays</x:v>
      </x:c>
      <x:c r="X254" s="215" t="str">
        <x:v>No — retain qualifiers and exceptions</x:v>
      </x:c>
      <x:c r="Y254" s="215" t="str">
        <x:v>Yes</x:v>
      </x:c>
      <x:c r="Z254" s="215" t="str">
        <x:v>Source-backed draft</x:v>
      </x:c>
      <x:c r="AA254" s="215" t="str">
        <x:v>Family pattern</x:v>
      </x:c>
      <x:c r="AB254" s="215" t="str">
        <x:v>Positive diagnostic</x:v>
      </x:c>
      <x:c r="AC254" s="215" t="str">
        <x:v>High</x:v>
      </x:c>
      <x:c r="AD254" s="215" t="str">
        <x:v>Dissection</x:v>
      </x:c>
      <x:c r="AE254" s="215" t="str">
        <x:v>Low</x:v>
      </x:c>
      <x:c r="AF254" s="215" t="str">
        <x:v>Dissection / close study</x:v>
      </x:c>
      <x:c r="AG254" s="215" t="str">
        <x:v>3 — Reference support</x:v>
      </x:c>
      <x:c r="AH254" s="215" t="str">
        <x:v>Current master inventory</x:v>
      </x:c>
    </x:row>
    <x:row r="255" ht="42" customHeight="1">
      <x:c r="A255" s="215" t="str">
        <x:v>Asteraceae</x:v>
      </x:c>
      <x:c r="B255" s="215" t="str">
        <x:v>AST-OVARY</x:v>
      </x:c>
      <x:c r="C255" s="215" t="str">
        <x:v>Family-wide</x:v>
      </x:c>
      <x:c r="D255" s="215" t="str">
        <x:v>Gynoecium</x:v>
      </x:c>
      <x:c r="E255" s="215" t="str">
        <x:v>Ovary inferior, bicarpellate, one-locular, with one basal ovule per floret</x:v>
      </x:c>
      <x:c r="F255" s="215" t="str">
        <x:v>Core</x:v>
      </x:c>
      <x:c r="G255" s="215" t="str">
        <x:v>5</x:v>
      </x:c>
      <x:c r="H255" s="215" t="str">
        <x:v>High</x:v>
      </x:c>
      <x:c r="I255" s="215" t="str">
        <x:v>Hand lens or dissection</x:v>
      </x:c>
      <x:c r="J255" s="215" t="str">
        <x:v>Flowering to early fruit</x:v>
      </x:c>
      <x:c r="K255" s="215" t="str">
        <x:v>Each floret sits on top of a small ovary that normally develops into one seedlike fruit.</x:v>
      </x:c>
      <x:c r="L255" s="215" t="str">
        <x:v>The inferior boundary is hard to see in very small florets; ovary position alone occurs in unrelated families.</x:v>
      </x:c>
      <x:c r="M255" s="215" t="str">
        <x:v>Confirm a suspected composite by pairing this with an involucrate head and anther tube.</x:v>
      </x:c>
      <x:c r="N255" s="215" t="str">
        <x:v>A high-priority Hays County family across prairie, roadside, riparian, and disturbed habitats; local material spans radiate, discoid, disciform, and liguliflorous heads.</x:v>
      </x:c>
      <x:c r="O255" s="215" t="str">
        <x:v>Low</x:v>
      </x:c>
      <x:c r="P255" s="215" t="str">
        <x:v>No</x:v>
      </x:c>
      <x:c r="Q255" s="215" t="str"/>
      <x:c r="R255" s="215" t="str">
        <x:v>AST-LK02</x:v>
      </x:c>
      <x:c r="S255" s="215" t="str">
        <x:v>APWEB-ASTER; FNA-ASTER; POWO-ASTER; LBJWC-HAYS</x:v>
      </x:c>
      <x:c r="T255" s="215" t="str">
        <x:v>https://www.mobot.org/MOBOT/research/APweb/orders/asteralesweb.htm</x:v>
      </x:c>
      <x:c r="U255" s="215" t="str">
        <x:v>https://floranorthamerica.org/Asteraceae</x:v>
      </x:c>
      <x:c r="V255" s="215" t="str">
        <x:v>https://powo.science.kew.org/taxon/urn:lsid:ipni.org:names:319342-2</x:v>
      </x:c>
      <x:c r="W255" s="215" t="str">
        <x:v>https://www.mobot.org/MOBOT/research/APweb/orders/asteralesweb.htm
https://floranorthamerica.org/Asteraceae
https://powo.science.kew.org/taxon/urn:lsid:ipni.org:names:319342-2
https://www.wildflower.org/collections/collection.php?collection=hays</x:v>
      </x:c>
      <x:c r="X255" s="215" t="str">
        <x:v>No — retain qualifiers and exceptions</x:v>
      </x:c>
      <x:c r="Y255" s="215" t="str">
        <x:v>Yes</x:v>
      </x:c>
      <x:c r="Z255" s="215" t="str">
        <x:v>Source-backed draft</x:v>
      </x:c>
      <x:c r="AA255" s="215" t="str">
        <x:v>Family pattern</x:v>
      </x:c>
      <x:c r="AB255" s="215" t="str">
        <x:v>Positive diagnostic</x:v>
      </x:c>
      <x:c r="AC255" s="215" t="str">
        <x:v>High</x:v>
      </x:c>
      <x:c r="AD255" s="215" t="str">
        <x:v>Dissection</x:v>
      </x:c>
      <x:c r="AE255" s="215" t="str">
        <x:v>Low</x:v>
      </x:c>
      <x:c r="AF255" s="215" t="str">
        <x:v>Dissection / close study</x:v>
      </x:c>
      <x:c r="AG255" s="215" t="str">
        <x:v>3 — Reference support</x:v>
      </x:c>
      <x:c r="AH255" s="215" t="str">
        <x:v>Current master inventory</x:v>
      </x:c>
    </x:row>
    <x:row r="256" ht="42" customHeight="1">
      <x:c r="A256" s="215" t="str">
        <x:v>Asteraceae</x:v>
      </x:c>
      <x:c r="B256" s="215" t="str">
        <x:v>AST-PAPPUS</x:v>
      </x:c>
      <x:c r="C256" s="215" t="str">
        <x:v>Broad family tendency</x:v>
      </x:c>
      <x:c r="D256" s="215" t="str">
        <x:v>Calyx / fruit accessory</x:v>
      </x:c>
      <x:c r="E256" s="215" t="str">
        <x:v>Calyx commonly modified into a pappus of bristles, awns, or scales</x:v>
      </x:c>
      <x:c r="F256" s="215" t="str">
        <x:v>Strong</x:v>
      </x:c>
      <x:c r="G256" s="215" t="str">
        <x:v>4</x:v>
      </x:c>
      <x:c r="H256" s="215" t="str">
        <x:v>Variable</x:v>
      </x:c>
      <x:c r="I256" s="215" t="str">
        <x:v>Naked eye to hand lens</x:v>
      </x:c>
      <x:c r="J256" s="215" t="str">
        <x:v>Fruiting, sometimes flowering</x:v>
      </x:c>
      <x:c r="K256" s="215" t="str">
        <x:v>Instead of ordinary sepals, many florets carry hairs, tiny scales, or awns above the ovary.</x:v>
      </x:c>
      <x:c r="L256" s="215" t="str">
        <x:v>The pappus can be absent, reduced to a crown, fall early, or differ between florets in one head.</x:v>
      </x:c>
      <x:c r="M256" s="215" t="str">
        <x:v>Use pappus type as supporting evidence and for genus-level work, but absence never excludes Asteraceae.</x:v>
      </x:c>
      <x:c r="N256" s="215" t="str">
        <x:v>A high-priority Hays County family across prairie, roadside, riparian, and disturbed habitats; local material spans radiate, discoid, disciform, and liguliflorous heads.</x:v>
      </x:c>
      <x:c r="O256" s="215" t="str">
        <x:v>Low</x:v>
      </x:c>
      <x:c r="P256" s="215" t="str">
        <x:v>No</x:v>
      </x:c>
      <x:c r="Q256" s="215" t="str"/>
      <x:c r="R256" s="215" t="str">
        <x:v>AST-LK01</x:v>
      </x:c>
      <x:c r="S256" s="215" t="str">
        <x:v>APWEB-ASTER; FNA-ASTER; POWO-ASTER; LBJWC-HAYS</x:v>
      </x:c>
      <x:c r="T256" s="215" t="str">
        <x:v>https://www.mobot.org/MOBOT/research/APweb/orders/asteralesweb.htm</x:v>
      </x:c>
      <x:c r="U256" s="215" t="str">
        <x:v>https://floranorthamerica.org/Asteraceae</x:v>
      </x:c>
      <x:c r="V256" s="215" t="str">
        <x:v>https://powo.science.kew.org/taxon/urn:lsid:ipni.org:names:319342-2</x:v>
      </x:c>
      <x:c r="W256" s="215" t="str">
        <x:v>https://www.mobot.org/MOBOT/research/APweb/orders/asteralesweb.htm
https://floranorthamerica.org/Asteraceae
https://powo.science.kew.org/taxon/urn:lsid:ipni.org:names:319342-2
https://www.wildflower.org/collections/collection.php?collection=hays</x:v>
      </x:c>
      <x:c r="X256" s="215" t="str">
        <x:v>No — retain qualifiers and exceptions</x:v>
      </x:c>
      <x:c r="Y256" s="215" t="str">
        <x:v>Yes</x:v>
      </x:c>
      <x:c r="Z256" s="215" t="str">
        <x:v>Source-backed draft</x:v>
      </x:c>
      <x:c r="AA256" s="215" t="str">
        <x:v>Family pattern</x:v>
      </x:c>
      <x:c r="AB256" s="215" t="str">
        <x:v>Positive diagnostic</x:v>
      </x:c>
      <x:c r="AC256" s="215" t="str">
        <x:v>Variable</x:v>
      </x:c>
      <x:c r="AD256" s="215" t="str">
        <x:v>Hand lens / macro</x:v>
      </x:c>
      <x:c r="AE256" s="215" t="str">
        <x:v>Low</x:v>
      </x:c>
      <x:c r="AF256" s="215" t="str">
        <x:v>Field-ready draft</x:v>
      </x:c>
      <x:c r="AG256" s="215" t="str">
        <x:v>2 — Field-photo priority</x:v>
      </x:c>
      <x:c r="AH256" s="215" t="str">
        <x:v>Current master inventory</x:v>
      </x:c>
    </x:row>
    <x:row r="257" ht="42" customHeight="1">
      <x:c r="A257" s="215" t="str">
        <x:v>Asteraceae</x:v>
      </x:c>
      <x:c r="B257" s="215" t="str">
        <x:v>AST-FRUIT</x:v>
      </x:c>
      <x:c r="C257" s="215" t="str">
        <x:v>Family-wide with modifications</x:v>
      </x:c>
      <x:c r="D257" s="215" t="str">
        <x:v>Fruit</x:v>
      </x:c>
      <x:c r="E257" s="215" t="str">
        <x:v>Dry, one-seeded cypsela, often topped by a pappus</x:v>
      </x:c>
      <x:c r="F257" s="215" t="str">
        <x:v>Core</x:v>
      </x:c>
      <x:c r="G257" s="215" t="str">
        <x:v>5</x:v>
      </x:c>
      <x:c r="H257" s="215" t="str">
        <x:v>High on mature material</x:v>
      </x:c>
      <x:c r="I257" s="215" t="str">
        <x:v>Naked eye to hand lens</x:v>
      </x:c>
      <x:c r="J257" s="215" t="str">
        <x:v>Mature fruit</x:v>
      </x:c>
      <x:c r="K257" s="215" t="str">
        <x:v>Each floret usually makes one dry seedlike fruit; technically it is a cypsela because it came from an inferior ovary.</x:v>
      </x:c>
      <x:c r="L257" s="215" t="str">
        <x:v>Cypselae vary in compression, wings, beaks, ribs, and pappus; immature ovaries may not show the final form.</x:v>
      </x:c>
      <x:c r="M257" s="215" t="str">
        <x:v>The combination of many cypselae on one receptacle plus phyllaries strongly supports Asteraceae.</x:v>
      </x:c>
      <x:c r="N257" s="215" t="str">
        <x:v>A high-priority Hays County family across prairie, roadside, riparian, and disturbed habitats; local material spans radiate, discoid, disciform, and liguliflorous heads.</x:v>
      </x:c>
      <x:c r="O257" s="215" t="str">
        <x:v>Low</x:v>
      </x:c>
      <x:c r="P257" s="215" t="str">
        <x:v>No</x:v>
      </x:c>
      <x:c r="Q257" s="215" t="str"/>
      <x:c r="R257" s="215" t="str">
        <x:v>AST-LK01; AST-LK02</x:v>
      </x:c>
      <x:c r="S257" s="215" t="str">
        <x:v>APWEB-ASTER; FNA-ASTER; POWO-ASTER; LBJWC-HAYS</x:v>
      </x:c>
      <x:c r="T257" s="215" t="str">
        <x:v>https://www.mobot.org/MOBOT/research/APweb/orders/asteralesweb.htm</x:v>
      </x:c>
      <x:c r="U257" s="215" t="str">
        <x:v>https://floranorthamerica.org/Asteraceae</x:v>
      </x:c>
      <x:c r="V257" s="215" t="str">
        <x:v>https://powo.science.kew.org/taxon/urn:lsid:ipni.org:names:319342-2</x:v>
      </x:c>
      <x:c r="W257" s="215" t="str">
        <x:v>https://www.mobot.org/MOBOT/research/APweb/orders/asteralesweb.htm
https://floranorthamerica.org/Asteraceae
https://powo.science.kew.org/taxon/urn:lsid:ipni.org:names:319342-2
https://www.wildflower.org/collections/collection.php?collection=hays</x:v>
      </x:c>
      <x:c r="X257" s="215" t="str">
        <x:v>No — retain qualifiers and exceptions</x:v>
      </x:c>
      <x:c r="Y257" s="215" t="str">
        <x:v>Yes</x:v>
      </x:c>
      <x:c r="Z257" s="215" t="str">
        <x:v>Source-backed draft</x:v>
      </x:c>
      <x:c r="AA257" s="215" t="str">
        <x:v>Family pattern</x:v>
      </x:c>
      <x:c r="AB257" s="215" t="str">
        <x:v>Positive diagnostic</x:v>
      </x:c>
      <x:c r="AC257" s="215" t="str">
        <x:v>High</x:v>
      </x:c>
      <x:c r="AD257" s="215" t="str">
        <x:v>Hand lens / macro</x:v>
      </x:c>
      <x:c r="AE257" s="215" t="str">
        <x:v>Low</x:v>
      </x:c>
      <x:c r="AF257" s="215" t="str">
        <x:v>Field-ready draft</x:v>
      </x:c>
      <x:c r="AG257" s="215" t="str">
        <x:v>2 — Field-photo priority</x:v>
      </x:c>
      <x:c r="AH257" s="215" t="str">
        <x:v>Current master inventory</x:v>
      </x:c>
    </x:row>
    <x:row r="258" ht="42" customHeight="1">
      <x:c r="A258" s="215" t="str">
        <x:v>Asteraceae</x:v>
      </x:c>
      <x:c r="B258" s="215" t="str">
        <x:v>AST-LK01</x:v>
      </x:c>
      <x:c r="C258" s="215" t="str">
        <x:v>Hays County field comparison</x:v>
      </x:c>
      <x:c r="D258" s="215" t="str">
        <x:v>Lookalike comparison</x:v>
      </x:c>
      <x:c r="E258" s="215" t="str">
        <x:v>Composite head versus one true showy flower</x:v>
      </x:c>
      <x:c r="F258" s="215" t="str">
        <x:v>Strong</x:v>
      </x:c>
      <x:c r="G258" s="215" t="str">
        <x:v>4</x:v>
      </x:c>
      <x:c r="H258" s="215" t="str">
        <x:v>High</x:v>
      </x:c>
      <x:c r="I258" s="215" t="str">
        <x:v>Naked eye or hand lens</x:v>
      </x:c>
      <x:c r="J258" s="215" t="str">
        <x:v>Flowering</x:v>
      </x:c>
      <x:c r="K258" s="215" t="str">
        <x:v>In Asteraceae, the apparent petals and center usually resolve into many separate florets, each with its own ovary; a true single flower has one floral axis and one ovary set.</x:v>
      </x:c>
      <x:c r="L258" s="215" t="str">
        <x:v>Very small or one-flowered heads can defeat this shortcut, and some unrelated families also form heads.</x:v>
      </x:c>
      <x:c r="M258" s="215" t="str">
        <x:v>Use a hand lens to find multiple corolla tubes and ovaries on a shared receptacle, then locate the involucre.</x:v>
      </x:c>
      <x:c r="N258" s="215" t="str">
        <x:v>A high-priority Hays County family across prairie, roadside, riparian, and disturbed habitats; local material spans radiate, discoid, disciform, and liguliflorous heads.</x:v>
      </x:c>
      <x:c r="O258" s="215" t="str">
        <x:v>Low</x:v>
      </x:c>
      <x:c r="P258" s="215" t="str">
        <x:v>No</x:v>
      </x:c>
      <x:c r="Q258" s="215" t="str"/>
      <x:c r="R258" s="215" t="str"/>
      <x:c r="S258" s="215" t="str">
        <x:v>APWEB-ASTER; FNA-ASTER; POWO-ASTER; LBJWC-HAYS</x:v>
      </x:c>
      <x:c r="T258" s="215" t="str">
        <x:v>https://www.mobot.org/MOBOT/research/APweb/orders/asteralesweb.htm</x:v>
      </x:c>
      <x:c r="U258" s="215" t="str">
        <x:v>https://floranorthamerica.org/Asteraceae</x:v>
      </x:c>
      <x:c r="V258" s="215" t="str">
        <x:v>https://powo.science.kew.org/taxon/urn:lsid:ipni.org:names:319342-2</x:v>
      </x:c>
      <x:c r="W258" s="215" t="str">
        <x:v>https://www.mobot.org/MOBOT/research/APweb/orders/asteralesweb.htm
https://floranorthamerica.org/Asteraceae
https://powo.science.kew.org/taxon/urn:lsid:ipni.org:names:319342-2
https://www.wildflower.org/collections/collection.php?collection=hays</x:v>
      </x:c>
      <x:c r="X258" s="215" t="str">
        <x:v>No — retain qualifiers and exceptions</x:v>
      </x:c>
      <x:c r="Y258" s="215" t="str">
        <x:v>Yes</x:v>
      </x:c>
      <x:c r="Z258" s="215" t="str">
        <x:v>Source-backed comparison draft</x:v>
      </x:c>
      <x:c r="AA258" s="215" t="str">
        <x:v>Other qualified pattern</x:v>
      </x:c>
      <x:c r="AB258" s="215" t="str">
        <x:v>Positive diagnostic</x:v>
      </x:c>
      <x:c r="AC258" s="215" t="str">
        <x:v>High</x:v>
      </x:c>
      <x:c r="AD258" s="215" t="str">
        <x:v>Hand lens / macro</x:v>
      </x:c>
      <x:c r="AE258" s="215" t="str">
        <x:v>Low</x:v>
      </x:c>
      <x:c r="AF258" s="215" t="str">
        <x:v>Field-ready draft</x:v>
      </x:c>
      <x:c r="AG258" s="215" t="str">
        <x:v>2 — Field-photo priority</x:v>
      </x:c>
      <x:c r="AH258" s="215" t="str">
        <x:v>Current master inventory</x:v>
      </x:c>
    </x:row>
    <x:row r="259" ht="42" customHeight="1">
      <x:c r="A259" s="215" t="str">
        <x:v>Asteraceae</x:v>
      </x:c>
      <x:c r="B259" s="215" t="str">
        <x:v>AST-LK02</x:v>
      </x:c>
      <x:c r="C259" s="215" t="str">
        <x:v>Hays County field comparison</x:v>
      </x:c>
      <x:c r="D259" s="215" t="str">
        <x:v>Lookalike comparison</x:v>
      </x:c>
      <x:c r="E259" s="215" t="str">
        <x:v>Asteraceae heads versus headlike Apiaceae or Caprifoliaceae clusters</x:v>
      </x:c>
      <x:c r="F259" s="215" t="str">
        <x:v>Strong</x:v>
      </x:c>
      <x:c r="G259" s="215" t="str">
        <x:v>4</x:v>
      </x:c>
      <x:c r="H259" s="215" t="str">
        <x:v>Moderate</x:v>
      </x:c>
      <x:c r="I259" s="215" t="str">
        <x:v>Hand lens or dissection</x:v>
      </x:c>
      <x:c r="J259" s="215" t="str">
        <x:v>Flowering to fruiting</x:v>
      </x:c>
      <x:c r="K259" s="215" t="str">
        <x:v>Asteraceae usually show an involucre, connate anthers, one inferior ovary per floret, and cypselae; headlike Apiaceae instead resolve to umbel architecture and paired mericarps.</x:v>
      </x:c>
      <x:c r="L259" s="215" t="str">
        <x:v>Some condensed heads are difficult before fruit, and this comparison does not cover every head-forming family.</x:v>
      </x:c>
      <x:c r="M259" s="215" t="str">
        <x:v>When the head is ambiguous, prioritize anther arrangement and mature fruit rather than ray-like appearance.</x:v>
      </x:c>
      <x:c r="N259" s="215" t="str">
        <x:v>A high-priority Hays County family across prairie, roadside, riparian, and disturbed habitats; local material spans radiate, discoid, disciform, and liguliflorous heads.</x:v>
      </x:c>
      <x:c r="O259" s="215" t="str">
        <x:v>Moderate</x:v>
      </x:c>
      <x:c r="P259" s="215" t="str">
        <x:v>Yes</x:v>
      </x:c>
      <x:c r="Q259" s="215" t="str">
        <x:v>Cross-family comparison should be rechecked when the Caprifoliaceae treatment is added.</x:v>
      </x:c>
      <x:c r="R259" s="215" t="str"/>
      <x:c r="S259" s="215" t="str">
        <x:v>APWEB-ASTER; FNA-ASTER; POWO-ASTER; APWEB-API; POWO-API; LBJWC-HAYS</x:v>
      </x:c>
      <x:c r="T259" s="215" t="str">
        <x:v>https://www.mobot.org/MOBOT/research/APweb/orders/asteralesweb.htm</x:v>
      </x:c>
      <x:c r="U259" s="215" t="str">
        <x:v>https://floranorthamerica.org/Asteraceae</x:v>
      </x:c>
      <x:c r="V259" s="215" t="str">
        <x:v>https://powo.science.kew.org/taxon/urn:lsid:ipni.org:names:319342-2</x:v>
      </x:c>
      <x:c r="W259" s="215" t="str">
        <x:v>https://www.mobot.org/MOBOT/research/APweb/orders/asteralesweb.htm
https://floranorthamerica.org/Asteraceae
https://powo.science.kew.org/taxon/urn:lsid:ipni.org:names:319342-2
https://www.wildflower.org/collections/collection.php?collection=hays
https://www.mobot.org/MOBOT/research/apweb/orders/apialesweb.htm
https://powo.science.kew.org/taxon/urn:lsid:ipni.org:names:30000180-2/general-information</x:v>
      </x:c>
      <x:c r="X259" s="215" t="str">
        <x:v>No — retain qualifiers and exceptions</x:v>
      </x:c>
      <x:c r="Y259" s="215" t="str">
        <x:v>Yes</x:v>
      </x:c>
      <x:c r="Z259" s="215" t="str">
        <x:v>Source-backed comparison draft</x:v>
      </x:c>
      <x:c r="AA259" s="215" t="str">
        <x:v>Other qualified pattern</x:v>
      </x:c>
      <x:c r="AB259" s="215" t="str">
        <x:v>Positive diagnostic</x:v>
      </x:c>
      <x:c r="AC259" s="215" t="str">
        <x:v>Moderate</x:v>
      </x:c>
      <x:c r="AD259" s="215" t="str">
        <x:v>Dissection</x:v>
      </x:c>
      <x:c r="AE259" s="215" t="str">
        <x:v>Moderate</x:v>
      </x:c>
      <x:c r="AF259" s="215" t="str">
        <x:v>Use only after review</x:v>
      </x:c>
      <x:c r="AG259" s="215" t="str">
        <x:v>1 — Human review now</x:v>
      </x:c>
      <x:c r="AH259" s="215" t="str">
        <x:v>Current master inventory</x:v>
      </x:c>
    </x:row>
    <x:row r="260" ht="42" customHeight="1">
      <x:c r="A260" s="215" t="str">
        <x:v>Poaceae</x:v>
      </x:c>
      <x:c r="B260" s="215" t="str">
        <x:v>POA-CULM</x:v>
      </x:c>
      <x:c r="C260" s="215" t="str">
        <x:v>Broad family tendency</x:v>
      </x:c>
      <x:c r="D260" s="215" t="str">
        <x:v>Stem</x:v>
      </x:c>
      <x:c r="E260" s="215" t="str">
        <x:v>Culms jointed with conspicuous nodes; internodes often hollow but sometimes solid</x:v>
      </x:c>
      <x:c r="F260" s="215" t="str">
        <x:v>Strong</x:v>
      </x:c>
      <x:c r="G260" s="215" t="str">
        <x:v>4</x:v>
      </x:c>
      <x:c r="H260" s="215" t="str">
        <x:v>Moderate</x:v>
      </x:c>
      <x:c r="I260" s="215" t="str">
        <x:v>Naked eye</x:v>
      </x:c>
      <x:c r="J260" s="215" t="str">
        <x:v>Vegetative to fruiting</x:v>
      </x:c>
      <x:c r="K260" s="215" t="str">
        <x:v>Grass stems are built in segments separated by solid joints called nodes.</x:v>
      </x:c>
      <x:c r="L260" s="215" t="str">
        <x:v>Hollow internodes are not universal; bamboos, corn, and several herbaceous grasses may have solid or pithy internodes.</x:v>
      </x:c>
      <x:c r="M260" s="215" t="str">
        <x:v>Use nodes as a stronger clue than hollowness, then confirm the leaf sheath, ligule, and spikelet.</x:v>
      </x:c>
      <x:c r="N260" s="215" t="str">
        <x:v>Central to Hays County grasslands, savannas, roadsides, riparian corridors, and restoration work; local genera include warm- and cool-season grasses with substantial spikelet variation.</x:v>
      </x:c>
      <x:c r="O260" s="215" t="str">
        <x:v>Low</x:v>
      </x:c>
      <x:c r="P260" s="215" t="str">
        <x:v>No</x:v>
      </x:c>
      <x:c r="Q260" s="215" t="str"/>
      <x:c r="R260" s="215" t="str">
        <x:v>POA-LK01; POA-LK02</x:v>
      </x:c>
      <x:c r="S260" s="215" t="str">
        <x:v>APWEB-POAC; FNA-POAC; POWO-POAC; LBJWC-HAYS</x:v>
      </x:c>
      <x:c r="T260" s="215" t="str">
        <x:v>https://www.mobot.org/MOBOT/research/APweb/orders/poalesweb.htm</x:v>
      </x:c>
      <x:c r="U260" s="215" t="str">
        <x:v>https://floranorthamerica.org/Poaceae</x:v>
      </x:c>
      <x:c r="V260" s="215" t="str">
        <x:v>https://powo.science.kew.org/taxon/urn:lsid:ipni.org:names:30000032-2</x:v>
      </x:c>
      <x:c r="W260" s="215" t="str">
        <x:v>https://www.mobot.org/MOBOT/research/APweb/orders/poalesweb.htm
https://floranorthamerica.org/Poaceae
https://powo.science.kew.org/taxon/urn:lsid:ipni.org:names:30000032-2
https://www.wildflower.org/collections/collection.php?collection=hays</x:v>
      </x:c>
      <x:c r="X260" s="215" t="str">
        <x:v>No — retain qualifiers and exceptions</x:v>
      </x:c>
      <x:c r="Y260" s="215" t="str">
        <x:v>Yes</x:v>
      </x:c>
      <x:c r="Z260" s="215" t="str">
        <x:v>Source-backed draft</x:v>
      </x:c>
      <x:c r="AA260" s="215" t="str">
        <x:v>Family pattern</x:v>
      </x:c>
      <x:c r="AB260" s="215" t="str">
        <x:v>Positive diagnostic</x:v>
      </x:c>
      <x:c r="AC260" s="215" t="str">
        <x:v>Moderate</x:v>
      </x:c>
      <x:c r="AD260" s="215" t="str">
        <x:v>Naked eye / field</x:v>
      </x:c>
      <x:c r="AE260" s="215" t="str">
        <x:v>Low</x:v>
      </x:c>
      <x:c r="AF260" s="215" t="str">
        <x:v>Field-ready draft</x:v>
      </x:c>
      <x:c r="AG260" s="215" t="str">
        <x:v>2 — Field-photo priority</x:v>
      </x:c>
      <x:c r="AH260" s="215" t="str">
        <x:v>Current master inventory</x:v>
      </x:c>
    </x:row>
    <x:row r="261" ht="42" customHeight="1">
      <x:c r="A261" s="215" t="str">
        <x:v>Poaceae</x:v>
      </x:c>
      <x:c r="B261" s="215" t="str">
        <x:v>POA-LEAF</x:v>
      </x:c>
      <x:c r="C261" s="215" t="str">
        <x:v>Broad family tendency</x:v>
      </x:c>
      <x:c r="D261" s="215" t="str">
        <x:v>Leaf</x:v>
      </x:c>
      <x:c r="E261" s="215" t="str">
        <x:v>Leaves usually alternate and two-ranked, with sheath, ligule region, and blade</x:v>
      </x:c>
      <x:c r="F261" s="215" t="str">
        <x:v>Core</x:v>
      </x:c>
      <x:c r="G261" s="215" t="str">
        <x:v>5</x:v>
      </x:c>
      <x:c r="H261" s="215" t="str">
        <x:v>High in typical material</x:v>
      </x:c>
      <x:c r="I261" s="215" t="str">
        <x:v>Naked eye</x:v>
      </x:c>
      <x:c r="J261" s="215" t="str">
        <x:v>Vegetative</x:v>
      </x:c>
      <x:c r="K261" s="215" t="str">
        <x:v>Leaves usually alternate from opposite sides of the culm and wrap the stem at their bases.</x:v>
      </x:c>
      <x:c r="L261" s="215" t="str">
        <x:v>Two-ranking can be obscured by twisting, basal crowding, or branching; unusual grasses can have pseudopetioles or broad blades.</x:v>
      </x:c>
      <x:c r="M261" s="215" t="str">
        <x:v>Follow one leaf from blade through collar and sheath to its node before deciding it is a grass.</x:v>
      </x:c>
      <x:c r="N261" s="215" t="str">
        <x:v>Central to Hays County grasslands, savannas, roadsides, riparian corridors, and restoration work; local genera include warm- and cool-season grasses with substantial spikelet variation.</x:v>
      </x:c>
      <x:c r="O261" s="215" t="str">
        <x:v>Low</x:v>
      </x:c>
      <x:c r="P261" s="215" t="str">
        <x:v>No</x:v>
      </x:c>
      <x:c r="Q261" s="215" t="str"/>
      <x:c r="R261" s="215" t="str">
        <x:v>POA-LK01; POA-LK02</x:v>
      </x:c>
      <x:c r="S261" s="215" t="str">
        <x:v>APWEB-POAC; FNA-POAC; POWO-POAC; LBJWC-HAYS</x:v>
      </x:c>
      <x:c r="T261" s="215" t="str">
        <x:v>https://www.mobot.org/MOBOT/research/APweb/orders/poalesweb.htm</x:v>
      </x:c>
      <x:c r="U261" s="215" t="str">
        <x:v>https://floranorthamerica.org/Poaceae</x:v>
      </x:c>
      <x:c r="V261" s="215" t="str">
        <x:v>https://powo.science.kew.org/taxon/urn:lsid:ipni.org:names:30000032-2</x:v>
      </x:c>
      <x:c r="W261" s="215" t="str">
        <x:v>https://www.mobot.org/MOBOT/research/APweb/orders/poalesweb.htm
https://floranorthamerica.org/Poaceae
https://powo.science.kew.org/taxon/urn:lsid:ipni.org:names:30000032-2
https://www.wildflower.org/collections/collection.php?collection=hays</x:v>
      </x:c>
      <x:c r="X261" s="215" t="str">
        <x:v>No — retain qualifiers and exceptions</x:v>
      </x:c>
      <x:c r="Y261" s="215" t="str">
        <x:v>Yes</x:v>
      </x:c>
      <x:c r="Z261" s="215" t="str">
        <x:v>Source-backed draft</x:v>
      </x:c>
      <x:c r="AA261" s="215" t="str">
        <x:v>Family pattern</x:v>
      </x:c>
      <x:c r="AB261" s="215" t="str">
        <x:v>Positive diagnostic</x:v>
      </x:c>
      <x:c r="AC261" s="215" t="str">
        <x:v>High</x:v>
      </x:c>
      <x:c r="AD261" s="215" t="str">
        <x:v>Naked eye / field</x:v>
      </x:c>
      <x:c r="AE261" s="215" t="str">
        <x:v>Low</x:v>
      </x:c>
      <x:c r="AF261" s="215" t="str">
        <x:v>Field-ready draft</x:v>
      </x:c>
      <x:c r="AG261" s="215" t="str">
        <x:v>2 — Field-photo priority</x:v>
      </x:c>
      <x:c r="AH261" s="215" t="str">
        <x:v>Current master inventory</x:v>
      </x:c>
    </x:row>
    <x:row r="262" ht="42" customHeight="1">
      <x:c r="A262" s="215" t="str">
        <x:v>Poaceae</x:v>
      </x:c>
      <x:c r="B262" s="215" t="str">
        <x:v>POA-SHEATH</x:v>
      </x:c>
      <x:c r="C262" s="215" t="str">
        <x:v>Broad family tendency</x:v>
      </x:c>
      <x:c r="D262" s="215" t="str">
        <x:v>Leaf sheath</x:v>
      </x:c>
      <x:c r="E262" s="215" t="str">
        <x:v>Leaf sheath commonly open along the side, sometimes closed</x:v>
      </x:c>
      <x:c r="F262" s="215" t="str">
        <x:v>Strong</x:v>
      </x:c>
      <x:c r="G262" s="215" t="str">
        <x:v>4</x:v>
      </x:c>
      <x:c r="H262" s="215" t="str">
        <x:v>Moderate</x:v>
      </x:c>
      <x:c r="I262" s="215" t="str">
        <x:v>Naked eye</x:v>
      </x:c>
      <x:c r="J262" s="215" t="str">
        <x:v>Vegetative</x:v>
      </x:c>
      <x:c r="K262" s="215" t="str">
        <x:v>The leaf base forms a sleeve around the culm that can usually be peeled apart along a seam.</x:v>
      </x:c>
      <x:c r="L262" s="215" t="str">
        <x:v>Some grass sheaths are closed for part or all of their length, especially in particular genera; torn sheaths can mislead.</x:v>
      </x:c>
      <x:c r="M262" s="215" t="str">
        <x:v>Compare with the typically closed sheaths of Cyperaceae, but never use sheath closure alone.</x:v>
      </x:c>
      <x:c r="N262" s="215" t="str">
        <x:v>Central to Hays County grasslands, savannas, roadsides, riparian corridors, and restoration work; local genera include warm- and cool-season grasses with substantial spikelet variation.</x:v>
      </x:c>
      <x:c r="O262" s="215" t="str">
        <x:v>Low</x:v>
      </x:c>
      <x:c r="P262" s="215" t="str">
        <x:v>No</x:v>
      </x:c>
      <x:c r="Q262" s="215" t="str"/>
      <x:c r="R262" s="215" t="str">
        <x:v>POA-LK01</x:v>
      </x:c>
      <x:c r="S262" s="215" t="str">
        <x:v>APWEB-POAC; FNA-POAC; POWO-POAC; LBJWC-HAYS</x:v>
      </x:c>
      <x:c r="T262" s="215" t="str">
        <x:v>https://www.mobot.org/MOBOT/research/APweb/orders/poalesweb.htm</x:v>
      </x:c>
      <x:c r="U262" s="215" t="str">
        <x:v>https://floranorthamerica.org/Poaceae</x:v>
      </x:c>
      <x:c r="V262" s="215" t="str">
        <x:v>https://powo.science.kew.org/taxon/urn:lsid:ipni.org:names:30000032-2</x:v>
      </x:c>
      <x:c r="W262" s="215" t="str">
        <x:v>https://www.mobot.org/MOBOT/research/APweb/orders/poalesweb.htm
https://floranorthamerica.org/Poaceae
https://powo.science.kew.org/taxon/urn:lsid:ipni.org:names:30000032-2
https://www.wildflower.org/collections/collection.php?collection=hays</x:v>
      </x:c>
      <x:c r="X262" s="215" t="str">
        <x:v>No — retain qualifiers and exceptions</x:v>
      </x:c>
      <x:c r="Y262" s="215" t="str">
        <x:v>Yes</x:v>
      </x:c>
      <x:c r="Z262" s="215" t="str">
        <x:v>Source-backed draft</x:v>
      </x:c>
      <x:c r="AA262" s="215" t="str">
        <x:v>Family pattern</x:v>
      </x:c>
      <x:c r="AB262" s="215" t="str">
        <x:v>Positive diagnostic</x:v>
      </x:c>
      <x:c r="AC262" s="215" t="str">
        <x:v>Moderate</x:v>
      </x:c>
      <x:c r="AD262" s="215" t="str">
        <x:v>Naked eye / field</x:v>
      </x:c>
      <x:c r="AE262" s="215" t="str">
        <x:v>Low</x:v>
      </x:c>
      <x:c r="AF262" s="215" t="str">
        <x:v>Field-ready draft</x:v>
      </x:c>
      <x:c r="AG262" s="215" t="str">
        <x:v>2 — Field-photo priority</x:v>
      </x:c>
      <x:c r="AH262" s="215" t="str">
        <x:v>Current master inventory</x:v>
      </x:c>
    </x:row>
    <x:row r="263" ht="42" customHeight="1">
      <x:c r="A263" s="215" t="str">
        <x:v>Poaceae</x:v>
      </x:c>
      <x:c r="B263" s="215" t="str">
        <x:v>POA-LIGULE</x:v>
      </x:c>
      <x:c r="C263" s="215" t="str">
        <x:v>Broad family tendency</x:v>
      </x:c>
      <x:c r="D263" s="215" t="str">
        <x:v>Leaf collar</x:v>
      </x:c>
      <x:c r="E263" s="215" t="str">
        <x:v>Ligule at the junction of sheath and blade, membranous and/or a fringe of hairs</x:v>
      </x:c>
      <x:c r="F263" s="215" t="str">
        <x:v>Strong</x:v>
      </x:c>
      <x:c r="G263" s="215" t="str">
        <x:v>4</x:v>
      </x:c>
      <x:c r="H263" s="215" t="str">
        <x:v>High when preserved</x:v>
      </x:c>
      <x:c r="I263" s="215" t="str">
        <x:v>Naked eye or hand lens</x:v>
      </x:c>
      <x:c r="J263" s="215" t="str">
        <x:v>Vegetative</x:v>
      </x:c>
      <x:c r="K263" s="215" t="str">
        <x:v>A small flap or row of hairs usually appears on the inner side where the blade leaves the sheath.</x:v>
      </x:c>
      <x:c r="L263" s="215" t="str">
        <x:v>The ligule can be tiny, split, hairy, membrane-like, or rarely absent, and old leaves may lose it.</x:v>
      </x:c>
      <x:c r="M263" s="215" t="str">
        <x:v>A ligule plus a jointed culm and grass spikelet is a powerful field suite.</x:v>
      </x:c>
      <x:c r="N263" s="215" t="str">
        <x:v>Central to Hays County grasslands, savannas, roadsides, riparian corridors, and restoration work; local genera include warm- and cool-season grasses with substantial spikelet variation.</x:v>
      </x:c>
      <x:c r="O263" s="215" t="str">
        <x:v>Low</x:v>
      </x:c>
      <x:c r="P263" s="215" t="str">
        <x:v>No</x:v>
      </x:c>
      <x:c r="Q263" s="215" t="str"/>
      <x:c r="R263" s="215" t="str">
        <x:v>POA-LK01; POA-LK02</x:v>
      </x:c>
      <x:c r="S263" s="215" t="str">
        <x:v>APWEB-POAC; FNA-POAC; POWO-POAC; LBJWC-HAYS</x:v>
      </x:c>
      <x:c r="T263" s="215" t="str">
        <x:v>https://www.mobot.org/MOBOT/research/APweb/orders/poalesweb.htm</x:v>
      </x:c>
      <x:c r="U263" s="215" t="str">
        <x:v>https://floranorthamerica.org/Poaceae</x:v>
      </x:c>
      <x:c r="V263" s="215" t="str">
        <x:v>https://powo.science.kew.org/taxon/urn:lsid:ipni.org:names:30000032-2</x:v>
      </x:c>
      <x:c r="W263" s="215" t="str">
        <x:v>https://www.mobot.org/MOBOT/research/APweb/orders/poalesweb.htm
https://floranorthamerica.org/Poaceae
https://powo.science.kew.org/taxon/urn:lsid:ipni.org:names:30000032-2
https://www.wildflower.org/collections/collection.php?collection=hays</x:v>
      </x:c>
      <x:c r="X263" s="215" t="str">
        <x:v>No — retain qualifiers and exceptions</x:v>
      </x:c>
      <x:c r="Y263" s="215" t="str">
        <x:v>Yes</x:v>
      </x:c>
      <x:c r="Z263" s="215" t="str">
        <x:v>Source-backed draft</x:v>
      </x:c>
      <x:c r="AA263" s="215" t="str">
        <x:v>Family pattern</x:v>
      </x:c>
      <x:c r="AB263" s="215" t="str">
        <x:v>Positive diagnostic</x:v>
      </x:c>
      <x:c r="AC263" s="215" t="str">
        <x:v>High</x:v>
      </x:c>
      <x:c r="AD263" s="215" t="str">
        <x:v>Hand lens / macro</x:v>
      </x:c>
      <x:c r="AE263" s="215" t="str">
        <x:v>Low</x:v>
      </x:c>
      <x:c r="AF263" s="215" t="str">
        <x:v>Field-ready draft</x:v>
      </x:c>
      <x:c r="AG263" s="215" t="str">
        <x:v>2 — Field-photo priority</x:v>
      </x:c>
      <x:c r="AH263" s="215" t="str">
        <x:v>Current master inventory</x:v>
      </x:c>
    </x:row>
    <x:row r="264" ht="42" customHeight="1">
      <x:c r="A264" s="215" t="str">
        <x:v>Poaceae</x:v>
      </x:c>
      <x:c r="B264" s="215" t="str">
        <x:v>POA-SPIKELET</x:v>
      </x:c>
      <x:c r="C264" s="215" t="str">
        <x:v>Family-wide structural theme</x:v>
      </x:c>
      <x:c r="D264" s="215" t="str">
        <x:v>Inflorescence</x:v>
      </x:c>
      <x:c r="E264" s="215" t="str">
        <x:v>Flowers organized into spikelets, usually with basal glumes and one or more florets</x:v>
      </x:c>
      <x:c r="F264" s="215" t="str">
        <x:v>Core</x:v>
      </x:c>
      <x:c r="G264" s="215" t="str">
        <x:v>5</x:v>
      </x:c>
      <x:c r="H264" s="215" t="str">
        <x:v>High</x:v>
      </x:c>
      <x:c r="I264" s="215" t="str">
        <x:v>Naked eye to hand lens</x:v>
      </x:c>
      <x:c r="J264" s="215" t="str">
        <x:v>Flowering or fruiting</x:v>
      </x:c>
      <x:c r="K264" s="215" t="str">
        <x:v>The basic grass unit is a small package: usually two outer glumes below one or more florets.</x:v>
      </x:c>
      <x:c r="L264" s="215" t="str">
        <x:v>Glumes may be reduced, unequal, absent in some lineages, or resemble lemmas; spikelets may contain one to many florets.</x:v>
      </x:c>
      <x:c r="M264" s="215" t="str">
        <x:v>Identify the spikelet boundary before counting flower parts or interpreting an awn.</x:v>
      </x:c>
      <x:c r="N264" s="215" t="str">
        <x:v>Central to Hays County grasslands, savannas, roadsides, riparian corridors, and restoration work; local genera include warm- and cool-season grasses with substantial spikelet variation.</x:v>
      </x:c>
      <x:c r="O264" s="215" t="str">
        <x:v>Low</x:v>
      </x:c>
      <x:c r="P264" s="215" t="str">
        <x:v>No</x:v>
      </x:c>
      <x:c r="Q264" s="215" t="str"/>
      <x:c r="R264" s="215" t="str">
        <x:v>POA-LK01; POA-LK02</x:v>
      </x:c>
      <x:c r="S264" s="215" t="str">
        <x:v>APWEB-POAC; FNA-POAC; POWO-POAC; LBJWC-HAYS</x:v>
      </x:c>
      <x:c r="T264" s="215" t="str">
        <x:v>https://www.mobot.org/MOBOT/research/APweb/orders/poalesweb.htm</x:v>
      </x:c>
      <x:c r="U264" s="215" t="str">
        <x:v>https://floranorthamerica.org/Poaceae</x:v>
      </x:c>
      <x:c r="V264" s="215" t="str">
        <x:v>https://powo.science.kew.org/taxon/urn:lsid:ipni.org:names:30000032-2</x:v>
      </x:c>
      <x:c r="W264" s="215" t="str">
        <x:v>https://www.mobot.org/MOBOT/research/APweb/orders/poalesweb.htm
https://floranorthamerica.org/Poaceae
https://powo.science.kew.org/taxon/urn:lsid:ipni.org:names:30000032-2
https://www.wildflower.org/collections/collection.php?collection=hays</x:v>
      </x:c>
      <x:c r="X264" s="215" t="str">
        <x:v>No — retain qualifiers and exceptions</x:v>
      </x:c>
      <x:c r="Y264" s="215" t="str">
        <x:v>Yes</x:v>
      </x:c>
      <x:c r="Z264" s="215" t="str">
        <x:v>Source-backed draft</x:v>
      </x:c>
      <x:c r="AA264" s="215" t="str">
        <x:v>Family pattern</x:v>
      </x:c>
      <x:c r="AB264" s="215" t="str">
        <x:v>Positive diagnostic</x:v>
      </x:c>
      <x:c r="AC264" s="215" t="str">
        <x:v>High</x:v>
      </x:c>
      <x:c r="AD264" s="215" t="str">
        <x:v>Hand lens / macro</x:v>
      </x:c>
      <x:c r="AE264" s="215" t="str">
        <x:v>Low</x:v>
      </x:c>
      <x:c r="AF264" s="215" t="str">
        <x:v>Field-ready draft</x:v>
      </x:c>
      <x:c r="AG264" s="215" t="str">
        <x:v>2 — Field-photo priority</x:v>
      </x:c>
      <x:c r="AH264" s="215" t="str">
        <x:v>Current master inventory</x:v>
      </x:c>
    </x:row>
    <x:row r="265" ht="42" customHeight="1">
      <x:c r="A265" s="215" t="str">
        <x:v>Poaceae</x:v>
      </x:c>
      <x:c r="B265" s="215" t="str">
        <x:v>POA-LEMMA</x:v>
      </x:c>
      <x:c r="C265" s="215" t="str">
        <x:v>Family-wide structural theme</x:v>
      </x:c>
      <x:c r="D265" s="215" t="str">
        <x:v>Floret bracts</x:v>
      </x:c>
      <x:c r="E265" s="215" t="str">
        <x:v>Each floret usually enclosed by a lemma and palea</x:v>
      </x:c>
      <x:c r="F265" s="215" t="str">
        <x:v>Core</x:v>
      </x:c>
      <x:c r="G265" s="215" t="str">
        <x:v>5</x:v>
      </x:c>
      <x:c r="H265" s="215" t="str">
        <x:v>High with magnification</x:v>
      </x:c>
      <x:c r="I265" s="215" t="str">
        <x:v>Hand lens</x:v>
      </x:c>
      <x:c r="J265" s="215" t="str">
        <x:v>Flowering or fruiting</x:v>
      </x:c>
      <x:c r="K265" s="215" t="str">
        <x:v>Inside the glumes, each grass flower is held between two bracts: an outer lemma and inner palea.</x:v>
      </x:c>
      <x:c r="L265" s="215" t="str">
        <x:v>The palea can be reduced or absent, lemmas may be awned, and sterile lemmas or florets can complicate the pattern.</x:v>
      </x:c>
      <x:c r="M265" s="215" t="str">
        <x:v>This paired-bract construction separates grasses from most sedges, where each flower is subtended by one scale.</x:v>
      </x:c>
      <x:c r="N265" s="215" t="str">
        <x:v>Central to Hays County grasslands, savannas, roadsides, riparian corridors, and restoration work; local genera include warm- and cool-season grasses with substantial spikelet variation.</x:v>
      </x:c>
      <x:c r="O265" s="215" t="str">
        <x:v>Low</x:v>
      </x:c>
      <x:c r="P265" s="215" t="str">
        <x:v>No</x:v>
      </x:c>
      <x:c r="Q265" s="215" t="str"/>
      <x:c r="R265" s="215" t="str">
        <x:v>POA-LK01</x:v>
      </x:c>
      <x:c r="S265" s="215" t="str">
        <x:v>APWEB-POAC; FNA-POAC; POWO-POAC; LBJWC-HAYS</x:v>
      </x:c>
      <x:c r="T265" s="215" t="str">
        <x:v>https://www.mobot.org/MOBOT/research/APweb/orders/poalesweb.htm</x:v>
      </x:c>
      <x:c r="U265" s="215" t="str">
        <x:v>https://floranorthamerica.org/Poaceae</x:v>
      </x:c>
      <x:c r="V265" s="215" t="str">
        <x:v>https://powo.science.kew.org/taxon/urn:lsid:ipni.org:names:30000032-2</x:v>
      </x:c>
      <x:c r="W265" s="215" t="str">
        <x:v>https://www.mobot.org/MOBOT/research/APweb/orders/poalesweb.htm
https://floranorthamerica.org/Poaceae
https://powo.science.kew.org/taxon/urn:lsid:ipni.org:names:30000032-2
https://www.wildflower.org/collections/collection.php?collection=hays</x:v>
      </x:c>
      <x:c r="X265" s="215" t="str">
        <x:v>No — retain qualifiers and exceptions</x:v>
      </x:c>
      <x:c r="Y265" s="215" t="str">
        <x:v>Yes</x:v>
      </x:c>
      <x:c r="Z265" s="215" t="str">
        <x:v>Source-backed draft</x:v>
      </x:c>
      <x:c r="AA265" s="215" t="str">
        <x:v>Family pattern</x:v>
      </x:c>
      <x:c r="AB265" s="215" t="str">
        <x:v>Positive diagnostic</x:v>
      </x:c>
      <x:c r="AC265" s="215" t="str">
        <x:v>High</x:v>
      </x:c>
      <x:c r="AD265" s="215" t="str">
        <x:v>Hand lens / macro</x:v>
      </x:c>
      <x:c r="AE265" s="215" t="str">
        <x:v>Low</x:v>
      </x:c>
      <x:c r="AF265" s="215" t="str">
        <x:v>Field-ready draft</x:v>
      </x:c>
      <x:c r="AG265" s="215" t="str">
        <x:v>2 — Field-photo priority</x:v>
      </x:c>
      <x:c r="AH265" s="215" t="str">
        <x:v>Current master inventory</x:v>
      </x:c>
    </x:row>
    <x:row r="266" ht="42" customHeight="1">
      <x:c r="A266" s="215" t="str">
        <x:v>Poaceae</x:v>
      </x:c>
      <x:c r="B266" s="215" t="str">
        <x:v>POA-FLOWER</x:v>
      </x:c>
      <x:c r="C266" s="215" t="str">
        <x:v>Broad family tendency</x:v>
      </x:c>
      <x:c r="D266" s="215" t="str">
        <x:v>Flower</x:v>
      </x:c>
      <x:c r="E266" s="215" t="str">
        <x:v>Perianth reduced to lodicules or absent; stamens commonly three</x:v>
      </x:c>
      <x:c r="F266" s="215" t="str">
        <x:v>Strong</x:v>
      </x:c>
      <x:c r="G266" s="215" t="str">
        <x:v>4</x:v>
      </x:c>
      <x:c r="H266" s="215" t="str">
        <x:v>Variable</x:v>
      </x:c>
      <x:c r="I266" s="215" t="str">
        <x:v>Hand lens or dissection</x:v>
      </x:c>
      <x:c r="J266" s="215" t="str">
        <x:v>Fresh flowering material</x:v>
      </x:c>
      <x:c r="K266" s="215" t="str">
        <x:v>Grass flowers are tiny and lack showy sepals and petals; small lodicules help open the floret.</x:v>
      </x:c>
      <x:c r="L266" s="215" t="str">
        <x:v>Stamen and lodicule numbers vary, and these parts are short-lived or hidden between lemma and palea.</x:v>
      </x:c>
      <x:c r="M266" s="215" t="str">
        <x:v>Use mainly as confirmation on a fresh spikelet, not as the first field character.</x:v>
      </x:c>
      <x:c r="N266" s="215" t="str">
        <x:v>Central to Hays County grasslands, savannas, roadsides, riparian corridors, and restoration work; local genera include warm- and cool-season grasses with substantial spikelet variation.</x:v>
      </x:c>
      <x:c r="O266" s="215" t="str">
        <x:v>Moderate</x:v>
      </x:c>
      <x:c r="P266" s="215" t="str">
        <x:v>No</x:v>
      </x:c>
      <x:c r="Q266" s="215" t="str"/>
      <x:c r="R266" s="215" t="str">
        <x:v>POA-LK02</x:v>
      </x:c>
      <x:c r="S266" s="215" t="str">
        <x:v>APWEB-POAC; FNA-POAC; POWO-POAC; LBJWC-HAYS</x:v>
      </x:c>
      <x:c r="T266" s="215" t="str">
        <x:v>https://www.mobot.org/MOBOT/research/APweb/orders/poalesweb.htm</x:v>
      </x:c>
      <x:c r="U266" s="215" t="str">
        <x:v>https://floranorthamerica.org/Poaceae</x:v>
      </x:c>
      <x:c r="V266" s="215" t="str">
        <x:v>https://powo.science.kew.org/taxon/urn:lsid:ipni.org:names:30000032-2</x:v>
      </x:c>
      <x:c r="W266" s="215" t="str">
        <x:v>https://www.mobot.org/MOBOT/research/APweb/orders/poalesweb.htm
https://floranorthamerica.org/Poaceae
https://powo.science.kew.org/taxon/urn:lsid:ipni.org:names:30000032-2
https://www.wildflower.org/collections/collection.php?collection=hays</x:v>
      </x:c>
      <x:c r="X266" s="215" t="str">
        <x:v>No — retain qualifiers and exceptions</x:v>
      </x:c>
      <x:c r="Y266" s="215" t="str">
        <x:v>Yes</x:v>
      </x:c>
      <x:c r="Z266" s="215" t="str">
        <x:v>Source-backed draft</x:v>
      </x:c>
      <x:c r="AA266" s="215" t="str">
        <x:v>Family pattern</x:v>
      </x:c>
      <x:c r="AB266" s="215" t="str">
        <x:v>Positive diagnostic</x:v>
      </x:c>
      <x:c r="AC266" s="215" t="str">
        <x:v>Variable</x:v>
      </x:c>
      <x:c r="AD266" s="215" t="str">
        <x:v>Dissection</x:v>
      </x:c>
      <x:c r="AE266" s="215" t="str">
        <x:v>Moderate</x:v>
      </x:c>
      <x:c r="AF266" s="215" t="str">
        <x:v>Dissection / close study</x:v>
      </x:c>
      <x:c r="AG266" s="215" t="str">
        <x:v>3 — Reference support</x:v>
      </x:c>
      <x:c r="AH266" s="215" t="str">
        <x:v>Current master inventory</x:v>
      </x:c>
    </x:row>
    <x:row r="267" ht="42" customHeight="1">
      <x:c r="A267" s="215" t="str">
        <x:v>Poaceae</x:v>
      </x:c>
      <x:c r="B267" s="215" t="str">
        <x:v>POA-STIGMA</x:v>
      </x:c>
      <x:c r="C267" s="215" t="str">
        <x:v>Broad family tendency</x:v>
      </x:c>
      <x:c r="D267" s="215" t="str">
        <x:v>Gynoecium</x:v>
      </x:c>
      <x:c r="E267" s="215" t="str">
        <x:v>Stigmas usually two and feathery</x:v>
      </x:c>
      <x:c r="F267" s="215" t="str">
        <x:v>Strong</x:v>
      </x:c>
      <x:c r="G267" s="215" t="str">
        <x:v>4</x:v>
      </x:c>
      <x:c r="H267" s="215" t="str">
        <x:v>High when exserted</x:v>
      </x:c>
      <x:c r="I267" s="215" t="str">
        <x:v>Hand lens</x:v>
      </x:c>
      <x:c r="J267" s="215" t="str">
        <x:v>Anthesis</x:v>
      </x:c>
      <x:c r="K267" s="215" t="str">
        <x:v>Fine, brushlike stigmas often stick out of the floret to catch windblown pollen.</x:v>
      </x:c>
      <x:c r="L267" s="215" t="str">
        <x:v>Some grasses have one or three stigmas, and stigmas may be hidden before or after anthesis.</x:v>
      </x:c>
      <x:c r="M267" s="215" t="str">
        <x:v>Useful for separating a flowering grass from superficially similar rushes or narrow-leaved monocots.</x:v>
      </x:c>
      <x:c r="N267" s="215" t="str">
        <x:v>Central to Hays County grasslands, savannas, roadsides, riparian corridors, and restoration work; local genera include warm- and cool-season grasses with substantial spikelet variation.</x:v>
      </x:c>
      <x:c r="O267" s="215" t="str">
        <x:v>Low</x:v>
      </x:c>
      <x:c r="P267" s="215" t="str">
        <x:v>No</x:v>
      </x:c>
      <x:c r="Q267" s="215" t="str"/>
      <x:c r="R267" s="215" t="str">
        <x:v>POA-LK02</x:v>
      </x:c>
      <x:c r="S267" s="215" t="str">
        <x:v>APWEB-POAC; FNA-POAC; POWO-POAC; LBJWC-HAYS</x:v>
      </x:c>
      <x:c r="T267" s="215" t="str">
        <x:v>https://www.mobot.org/MOBOT/research/APweb/orders/poalesweb.htm</x:v>
      </x:c>
      <x:c r="U267" s="215" t="str">
        <x:v>https://floranorthamerica.org/Poaceae</x:v>
      </x:c>
      <x:c r="V267" s="215" t="str">
        <x:v>https://powo.science.kew.org/taxon/urn:lsid:ipni.org:names:30000032-2</x:v>
      </x:c>
      <x:c r="W267" s="215" t="str">
        <x:v>https://www.mobot.org/MOBOT/research/APweb/orders/poalesweb.htm
https://floranorthamerica.org/Poaceae
https://powo.science.kew.org/taxon/urn:lsid:ipni.org:names:30000032-2
https://www.wildflower.org/collections/collection.php?collection=hays</x:v>
      </x:c>
      <x:c r="X267" s="215" t="str">
        <x:v>No — retain qualifiers and exceptions</x:v>
      </x:c>
      <x:c r="Y267" s="215" t="str">
        <x:v>Yes</x:v>
      </x:c>
      <x:c r="Z267" s="215" t="str">
        <x:v>Source-backed draft</x:v>
      </x:c>
      <x:c r="AA267" s="215" t="str">
        <x:v>Family pattern</x:v>
      </x:c>
      <x:c r="AB267" s="215" t="str">
        <x:v>Positive diagnostic</x:v>
      </x:c>
      <x:c r="AC267" s="215" t="str">
        <x:v>High</x:v>
      </x:c>
      <x:c r="AD267" s="215" t="str">
        <x:v>Hand lens / macro</x:v>
      </x:c>
      <x:c r="AE267" s="215" t="str">
        <x:v>Low</x:v>
      </x:c>
      <x:c r="AF267" s="215" t="str">
        <x:v>Field-ready draft</x:v>
      </x:c>
      <x:c r="AG267" s="215" t="str">
        <x:v>2 — Field-photo priority</x:v>
      </x:c>
      <x:c r="AH267" s="215" t="str">
        <x:v>Current master inventory</x:v>
      </x:c>
    </x:row>
    <x:row r="268" ht="42" customHeight="1">
      <x:c r="A268" s="215" t="str">
        <x:v>Poaceae</x:v>
      </x:c>
      <x:c r="B268" s="215" t="str">
        <x:v>POA-FRUIT</x:v>
      </x:c>
      <x:c r="C268" s="215" t="str">
        <x:v>Broad family tendency</x:v>
      </x:c>
      <x:c r="D268" s="215" t="str">
        <x:v>Fruit</x:v>
      </x:c>
      <x:c r="E268" s="215" t="str">
        <x:v>Usually a caryopsis with pericarp closely adherent to the seed coat</x:v>
      </x:c>
      <x:c r="F268" s="215" t="str">
        <x:v>Core</x:v>
      </x:c>
      <x:c r="G268" s="215" t="str">
        <x:v>5</x:v>
      </x:c>
      <x:c r="H268" s="215" t="str">
        <x:v>High on mature grain</x:v>
      </x:c>
      <x:c r="I268" s="215" t="str">
        <x:v>Hand lens or dissection</x:v>
      </x:c>
      <x:c r="J268" s="215" t="str">
        <x:v>Mature fruit</x:v>
      </x:c>
      <x:c r="K268" s="215" t="str">
        <x:v>The familiar grain type is one-seeded and normally does not split open; fruit wall and seed coat are fused or tightly joined.</x:v>
      </x:c>
      <x:c r="L268" s="215" t="str">
        <x:v>Some lineages have fruits in which the pericarp is less firmly attached; retained floral bracts may hide the grain.</x:v>
      </x:c>
      <x:c r="M268" s="215" t="str">
        <x:v>Mature fruit plus lemma-palea enclosure confirms Poaceae against sedges with true achenes.</x:v>
      </x:c>
      <x:c r="N268" s="215" t="str">
        <x:v>Central to Hays County grasslands, savannas, roadsides, riparian corridors, and restoration work; local genera include warm- and cool-season grasses with substantial spikelet variation.</x:v>
      </x:c>
      <x:c r="O268" s="215" t="str">
        <x:v>Low</x:v>
      </x:c>
      <x:c r="P268" s="215" t="str">
        <x:v>No</x:v>
      </x:c>
      <x:c r="Q268" s="215" t="str"/>
      <x:c r="R268" s="215" t="str">
        <x:v>POA-LK01</x:v>
      </x:c>
      <x:c r="S268" s="215" t="str">
        <x:v>APWEB-POAC; FNA-POAC; POWO-POAC; LBJWC-HAYS</x:v>
      </x:c>
      <x:c r="T268" s="215" t="str">
        <x:v>https://www.mobot.org/MOBOT/research/APweb/orders/poalesweb.htm</x:v>
      </x:c>
      <x:c r="U268" s="215" t="str">
        <x:v>https://floranorthamerica.org/Poaceae</x:v>
      </x:c>
      <x:c r="V268" s="215" t="str">
        <x:v>https://powo.science.kew.org/taxon/urn:lsid:ipni.org:names:30000032-2</x:v>
      </x:c>
      <x:c r="W268" s="215" t="str">
        <x:v>https://www.mobot.org/MOBOT/research/APweb/orders/poalesweb.htm
https://floranorthamerica.org/Poaceae
https://powo.science.kew.org/taxon/urn:lsid:ipni.org:names:30000032-2
https://www.wildflower.org/collections/collection.php?collection=hays</x:v>
      </x:c>
      <x:c r="X268" s="215" t="str">
        <x:v>No — retain qualifiers and exceptions</x:v>
      </x:c>
      <x:c r="Y268" s="215" t="str">
        <x:v>Yes</x:v>
      </x:c>
      <x:c r="Z268" s="215" t="str">
        <x:v>Source-backed draft</x:v>
      </x:c>
      <x:c r="AA268" s="215" t="str">
        <x:v>Family pattern</x:v>
      </x:c>
      <x:c r="AB268" s="215" t="str">
        <x:v>Positive diagnostic</x:v>
      </x:c>
      <x:c r="AC268" s="215" t="str">
        <x:v>High</x:v>
      </x:c>
      <x:c r="AD268" s="215" t="str">
        <x:v>Dissection</x:v>
      </x:c>
      <x:c r="AE268" s="215" t="str">
        <x:v>Low</x:v>
      </x:c>
      <x:c r="AF268" s="215" t="str">
        <x:v>Dissection / close study</x:v>
      </x:c>
      <x:c r="AG268" s="215" t="str">
        <x:v>3 — Reference support</x:v>
      </x:c>
      <x:c r="AH268" s="215" t="str">
        <x:v>Current master inventory</x:v>
      </x:c>
    </x:row>
    <x:row r="269" ht="42" customHeight="1">
      <x:c r="A269" s="215" t="str">
        <x:v>Poaceae</x:v>
      </x:c>
      <x:c r="B269" s="215" t="str">
        <x:v>POA-LK01</x:v>
      </x:c>
      <x:c r="C269" s="215" t="str">
        <x:v>Hays County field comparison</x:v>
      </x:c>
      <x:c r="D269" s="215" t="str">
        <x:v>Lookalike comparison</x:v>
      </x:c>
      <x:c r="E269" s="215" t="str">
        <x:v>Poaceae versus Cyperaceae</x:v>
      </x:c>
      <x:c r="F269" s="215" t="str">
        <x:v>Strong</x:v>
      </x:c>
      <x:c r="G269" s="215" t="str">
        <x:v>5</x:v>
      </x:c>
      <x:c r="H269" s="215" t="str">
        <x:v>High with fertile material</x:v>
      </x:c>
      <x:c r="I269" s="215" t="str">
        <x:v>Naked eye to hand lens</x:v>
      </x:c>
      <x:c r="J269" s="215" t="str">
        <x:v>Vegetative plus fruiting preferred</x:v>
      </x:c>
      <x:c r="K269" s="215" t="str">
        <x:v>Grasses usually have jointed culms, open sheaths, ligules, and florets between lemma and palea; sedges usually have closed sheaths, often solid angled culms, one scale per flower, and achenes.</x:v>
      </x:c>
      <x:c r="L269" s="215" t="str">
        <x:v>Round-stemmed sedges and solid-stemmed grasses make the old 'sedges have edges' rhyme unreliable.</x:v>
      </x:c>
      <x:c r="M269" s="215" t="str">
        <x:v>Prioritize sheath, ligule, and spikelet/floret construction over stem cross-section.</x:v>
      </x:c>
      <x:c r="N269" s="215" t="str">
        <x:v>Central to Hays County grasslands, savannas, roadsides, riparian corridors, and restoration work; local genera include warm- and cool-season grasses with substantial spikelet variation.</x:v>
      </x:c>
      <x:c r="O269" s="215" t="str">
        <x:v>Low</x:v>
      </x:c>
      <x:c r="P269" s="215" t="str">
        <x:v>No</x:v>
      </x:c>
      <x:c r="Q269" s="215" t="str"/>
      <x:c r="R269" s="215" t="str"/>
      <x:c r="S269" s="215" t="str">
        <x:v>APWEB-POAC; FNA-POAC; POWO-POAC; APWEB-CYP; FNA-CYP; POWO-CYP; LBJWC-HAYS</x:v>
      </x:c>
      <x:c r="T269" s="215" t="str">
        <x:v>https://www.mobot.org/MOBOT/research/APweb/orders/poalesweb.htm</x:v>
      </x:c>
      <x:c r="U269" s="215" t="str">
        <x:v>https://floranorthamerica.org/Poaceae</x:v>
      </x:c>
      <x:c r="V269" s="215" t="str">
        <x:v>https://powo.science.kew.org/taxon/urn:lsid:ipni.org:names:30000032-2</x:v>
      </x:c>
      <x:c r="W269" s="215" t="str">
        <x:v>https://www.mobot.org/MOBOT/research/APweb/orders/poalesweb.htm
https://floranorthamerica.org/Poaceae
https://powo.science.kew.org/taxon/urn:lsid:ipni.org:names:30000032-2
https://www.wildflower.org/collections/collection.php?collection=hays
https://floranorthamerica.org/Cyperaceae
https://powo.science.kew.org/taxon/urn:lsid:ipni.org:names:30000197-2</x:v>
      </x:c>
      <x:c r="X269" s="215" t="str">
        <x:v>No — retain qualifiers and exceptions</x:v>
      </x:c>
      <x:c r="Y269" s="215" t="str">
        <x:v>Yes</x:v>
      </x:c>
      <x:c r="Z269" s="215" t="str">
        <x:v>Source-backed comparison draft</x:v>
      </x:c>
      <x:c r="AA269" s="215" t="str">
        <x:v>Other qualified pattern</x:v>
      </x:c>
      <x:c r="AB269" s="215" t="str">
        <x:v>Positive diagnostic</x:v>
      </x:c>
      <x:c r="AC269" s="215" t="str">
        <x:v>High</x:v>
      </x:c>
      <x:c r="AD269" s="215" t="str">
        <x:v>Hand lens / macro</x:v>
      </x:c>
      <x:c r="AE269" s="215" t="str">
        <x:v>Low</x:v>
      </x:c>
      <x:c r="AF269" s="215" t="str">
        <x:v>Field-ready draft</x:v>
      </x:c>
      <x:c r="AG269" s="215" t="str">
        <x:v>2 — Field-photo priority</x:v>
      </x:c>
      <x:c r="AH269" s="215" t="str">
        <x:v>Current master inventory</x:v>
      </x:c>
    </x:row>
    <x:row r="270" ht="42" customHeight="1">
      <x:c r="A270" s="215" t="str">
        <x:v>Poaceae</x:v>
      </x:c>
      <x:c r="B270" s="215" t="str">
        <x:v>POA-LK02</x:v>
      </x:c>
      <x:c r="C270" s="215" t="str">
        <x:v>Hays County field comparison</x:v>
      </x:c>
      <x:c r="D270" s="215" t="str">
        <x:v>Lookalike comparison</x:v>
      </x:c>
      <x:c r="E270" s="215" t="str">
        <x:v>Poaceae versus Juncaceae and other rushlike monocots</x:v>
      </x:c>
      <x:c r="F270" s="215" t="str">
        <x:v>Strong</x:v>
      </x:c>
      <x:c r="G270" s="215" t="str">
        <x:v>4</x:v>
      </x:c>
      <x:c r="H270" s="215" t="str">
        <x:v>Moderate</x:v>
      </x:c>
      <x:c r="I270" s="215" t="str">
        <x:v>Naked eye to hand lens</x:v>
      </x:c>
      <x:c r="J270" s="215" t="str">
        <x:v>Flowering or fruiting</x:v>
      </x:c>
      <x:c r="K270" s="215" t="str">
        <x:v>Grasses have spikelets with glumes and lemma-palea florets; rushes more often show small but recognizable six-tepaled flowers and capsular fruits.</x:v>
      </x:c>
      <x:c r="L270" s="215" t="str">
        <x:v>Highly reduced rush flowers or immature material may require dissection; vegetative material alone can remain unresolved.</x:v>
      </x:c>
      <x:c r="M270" s="215" t="str">
        <x:v>Look for a grass ligule and a true grass spikelet before relying on leaf narrowness.</x:v>
      </x:c>
      <x:c r="N270" s="215" t="str">
        <x:v>Central to Hays County grasslands, savannas, roadsides, riparian corridors, and restoration work; local genera include warm- and cool-season grasses with substantial spikelet variation.</x:v>
      </x:c>
      <x:c r="O270" s="215" t="str">
        <x:v>Moderate</x:v>
      </x:c>
      <x:c r="P270" s="215" t="str">
        <x:v>Yes</x:v>
      </x:c>
      <x:c r="Q270" s="215" t="str">
        <x:v>Juncaceae comparison should be rechecked against its future Hays family treatment.</x:v>
      </x:c>
      <x:c r="R270" s="215" t="str"/>
      <x:c r="S270" s="215" t="str">
        <x:v>APWEB-POAC; FNA-POAC; POWO-POAC; FNA-JUNC; LBJWC-HAYS</x:v>
      </x:c>
      <x:c r="T270" s="215" t="str">
        <x:v>https://www.mobot.org/MOBOT/research/APweb/orders/poalesweb.htm</x:v>
      </x:c>
      <x:c r="U270" s="215" t="str">
        <x:v>https://floranorthamerica.org/Poaceae</x:v>
      </x:c>
      <x:c r="V270" s="215" t="str">
        <x:v>https://powo.science.kew.org/taxon/urn:lsid:ipni.org:names:30000032-2</x:v>
      </x:c>
      <x:c r="W270" s="215" t="str">
        <x:v>https://www.mobot.org/MOBOT/research/APweb/orders/poalesweb.htm
https://floranorthamerica.org/Poaceae
https://powo.science.kew.org/taxon/urn:lsid:ipni.org:names:30000032-2
https://www.wildflower.org/collections/collection.php?collection=hays
https://floranorthamerica.org/Juncaceae</x:v>
      </x:c>
      <x:c r="X270" s="215" t="str">
        <x:v>No — retain qualifiers and exceptions</x:v>
      </x:c>
      <x:c r="Y270" s="215" t="str">
        <x:v>Yes</x:v>
      </x:c>
      <x:c r="Z270" s="215" t="str">
        <x:v>Source-backed comparison draft</x:v>
      </x:c>
      <x:c r="AA270" s="215" t="str">
        <x:v>Other qualified pattern</x:v>
      </x:c>
      <x:c r="AB270" s="215" t="str">
        <x:v>Positive diagnostic</x:v>
      </x:c>
      <x:c r="AC270" s="215" t="str">
        <x:v>Moderate</x:v>
      </x:c>
      <x:c r="AD270" s="215" t="str">
        <x:v>Hand lens / macro</x:v>
      </x:c>
      <x:c r="AE270" s="215" t="str">
        <x:v>Moderate</x:v>
      </x:c>
      <x:c r="AF270" s="215" t="str">
        <x:v>Use only after review</x:v>
      </x:c>
      <x:c r="AG270" s="215" t="str">
        <x:v>1 — Human review now</x:v>
      </x:c>
      <x:c r="AH270" s="215" t="str">
        <x:v>Current master inventory</x:v>
      </x:c>
    </x:row>
    <x:row r="271" ht="42" customHeight="1">
      <x:c r="A271" s="215" t="str">
        <x:v>Fabaceae</x:v>
      </x:c>
      <x:c r="B271" s="215" t="str">
        <x:v>FAB-HABIT</x:v>
      </x:c>
      <x:c r="C271" s="215" t="str">
        <x:v>Family-wide variation</x:v>
      </x:c>
      <x:c r="D271" s="215" t="str">
        <x:v>Habit</x:v>
      </x:c>
      <x:c r="E271" s="215" t="str">
        <x:v>Annual or perennial herbs, shrubs, trees, or vines</x:v>
      </x:c>
      <x:c r="F271" s="215" t="str">
        <x:v>Caution</x:v>
      </x:c>
      <x:c r="G271" s="215" t="str">
        <x:v>0</x:v>
      </x:c>
      <x:c r="H271" s="215" t="str">
        <x:v>Variable</x:v>
      </x:c>
      <x:c r="I271" s="215" t="str">
        <x:v>Naked eye</x:v>
      </x:c>
      <x:c r="J271" s="215" t="str">
        <x:v>Any</x:v>
      </x:c>
      <x:c r="K271" s="215" t="str">
        <x:v>Legumes occur in nearly every growth form, so habit helps describe a plant but cannot identify the family.</x:v>
      </x:c>
      <x:c r="L271" s="215" t="str">
        <x:v>No single habit is diagnostic, and thorny woody legumes can look very different from herbaceous papilionoids.</x:v>
      </x:c>
      <x:c r="M271" s="215" t="str">
        <x:v>Use only as context before checking leaves, flowers, ovary, and fruit.</x:v>
      </x:c>
      <x:c r="N271" s="215" t="str">
        <x:v>A major Hays County prairie, savanna, woodland-edge, and restoration family, ranging from low herbs to shrubs and trees; local identification must allow all major floral forms.</x:v>
      </x:c>
      <x:c r="O271" s="215" t="str">
        <x:v>Low</x:v>
      </x:c>
      <x:c r="P271" s="215" t="str">
        <x:v>No</x:v>
      </x:c>
      <x:c r="Q271" s="215" t="str"/>
      <x:c r="R271" s="215" t="str">
        <x:v>FAB-LK01; FAB-LK02</x:v>
      </x:c>
      <x:c r="S271" s="215" t="str">
        <x:v>APWEB-FAB; FNA-FAB; POWO-FAB; LBJWC-HAYS</x:v>
      </x:c>
      <x:c r="T271" s="215" t="str">
        <x:v>https://www.mobot.org/MOBOT/research/APweb/orders/fabalesweb.htm</x:v>
      </x:c>
      <x:c r="U271" s="215" t="str">
        <x:v>https://floranorthamerica.org/Fabaceae</x:v>
      </x:c>
      <x:c r="V271" s="215" t="str">
        <x:v>https://powo.science.kew.org/taxon/urn:lsid:ipni.org:names:30000147-2</x:v>
      </x:c>
      <x:c r="W271" s="215" t="str">
        <x:v>https://www.mobot.org/MOBOT/research/APweb/orders/fabalesweb.htm
https://floranorthamerica.org/Fabaceae
https://powo.science.kew.org/taxon/urn:lsid:ipni.org:names:30000147-2
https://www.wildflower.org/collections/collection.php?collection=hays</x:v>
      </x:c>
      <x:c r="X271" s="215" t="str">
        <x:v>No — retain qualifiers and exceptions</x:v>
      </x:c>
      <x:c r="Y271" s="215" t="str">
        <x:v>Yes</x:v>
      </x:c>
      <x:c r="Z271" s="215" t="str">
        <x:v>Source-backed draft</x:v>
      </x:c>
      <x:c r="AA271" s="215" t="str">
        <x:v>Family pattern</x:v>
      </x:c>
      <x:c r="AB271" s="215" t="str">
        <x:v>Caution / negative rule</x:v>
      </x:c>
      <x:c r="AC271" s="215" t="str">
        <x:v>Variable</x:v>
      </x:c>
      <x:c r="AD271" s="215" t="str">
        <x:v>Naked eye / field</x:v>
      </x:c>
      <x:c r="AE271" s="215" t="str">
        <x:v>Low</x:v>
      </x:c>
      <x:c r="AF271" s="215" t="str">
        <x:v>Field-ready draft</x:v>
      </x:c>
      <x:c r="AG271" s="215" t="str">
        <x:v>4 — Context / caution</x:v>
      </x:c>
      <x:c r="AH271" s="215" t="str">
        <x:v>Current master inventory</x:v>
      </x:c>
    </x:row>
    <x:row r="272" ht="42" customHeight="1">
      <x:c r="A272" s="215" t="str">
        <x:v>Fabaceae</x:v>
      </x:c>
      <x:c r="B272" s="215" t="str">
        <x:v>FAB-LEAF</x:v>
      </x:c>
      <x:c r="C272" s="215" t="str">
        <x:v>Broad family tendency</x:v>
      </x:c>
      <x:c r="D272" s="215" t="str">
        <x:v>Leaf</x:v>
      </x:c>
      <x:c r="E272" s="215" t="str">
        <x:v>Leaves usually alternate and compound, commonly pinnate, bipinnate, trifoliolate, or unifoliolate</x:v>
      </x:c>
      <x:c r="F272" s="215" t="str">
        <x:v>Strong</x:v>
      </x:c>
      <x:c r="G272" s="215" t="str">
        <x:v>4</x:v>
      </x:c>
      <x:c r="H272" s="215" t="str">
        <x:v>Variable</x:v>
      </x:c>
      <x:c r="I272" s="215" t="str">
        <x:v>Naked eye</x:v>
      </x:c>
      <x:c r="J272" s="215" t="str">
        <x:v>Vegetative</x:v>
      </x:c>
      <x:c r="K272" s="215" t="str">
        <x:v>Many legumes divide each leaf into leaflets, often arranged along a central stalk.</x:v>
      </x:c>
      <x:c r="L272" s="215" t="str">
        <x:v>Simple leaves, reduced leaves, phyllodes, and unusual arrangements occur; leaflet number varies from one to many.</x:v>
      </x:c>
      <x:c r="M272" s="215" t="str">
        <x:v>First distinguish a compound leaf from a leafy branch by finding the axillary bud at the whole leaf base.</x:v>
      </x:c>
      <x:c r="N272" s="215" t="str">
        <x:v>A major Hays County prairie, savanna, woodland-edge, and restoration family, ranging from low herbs to shrubs and trees; local identification must allow all major floral forms.</x:v>
      </x:c>
      <x:c r="O272" s="215" t="str">
        <x:v>Low</x:v>
      </x:c>
      <x:c r="P272" s="215" t="str">
        <x:v>No</x:v>
      </x:c>
      <x:c r="Q272" s="215" t="str"/>
      <x:c r="R272" s="215" t="str">
        <x:v>FAB-LK01; FAB-LK02</x:v>
      </x:c>
      <x:c r="S272" s="215" t="str">
        <x:v>APWEB-FAB; FNA-FAB; POWO-FAB; LBJWC-HAYS</x:v>
      </x:c>
      <x:c r="T272" s="215" t="str">
        <x:v>https://www.mobot.org/MOBOT/research/APweb/orders/fabalesweb.htm</x:v>
      </x:c>
      <x:c r="U272" s="215" t="str">
        <x:v>https://floranorthamerica.org/Fabaceae</x:v>
      </x:c>
      <x:c r="V272" s="215" t="str">
        <x:v>https://powo.science.kew.org/taxon/urn:lsid:ipni.org:names:30000147-2</x:v>
      </x:c>
      <x:c r="W272" s="215" t="str">
        <x:v>https://www.mobot.org/MOBOT/research/APweb/orders/fabalesweb.htm
https://floranorthamerica.org/Fabaceae
https://powo.science.kew.org/taxon/urn:lsid:ipni.org:names:30000147-2
https://www.wildflower.org/collections/collection.php?collection=hays</x:v>
      </x:c>
      <x:c r="X272" s="215" t="str">
        <x:v>No — retain qualifiers and exceptions</x:v>
      </x:c>
      <x:c r="Y272" s="215" t="str">
        <x:v>Yes</x:v>
      </x:c>
      <x:c r="Z272" s="215" t="str">
        <x:v>Source-backed draft</x:v>
      </x:c>
      <x:c r="AA272" s="215" t="str">
        <x:v>Family pattern</x:v>
      </x:c>
      <x:c r="AB272" s="215" t="str">
        <x:v>Positive diagnostic</x:v>
      </x:c>
      <x:c r="AC272" s="215" t="str">
        <x:v>Variable</x:v>
      </x:c>
      <x:c r="AD272" s="215" t="str">
        <x:v>Naked eye / field</x:v>
      </x:c>
      <x:c r="AE272" s="215" t="str">
        <x:v>Low</x:v>
      </x:c>
      <x:c r="AF272" s="215" t="str">
        <x:v>Field-ready draft</x:v>
      </x:c>
      <x:c r="AG272" s="215" t="str">
        <x:v>2 — Field-photo priority</x:v>
      </x:c>
      <x:c r="AH272" s="215" t="str">
        <x:v>Current master inventory</x:v>
      </x:c>
    </x:row>
    <x:row r="273" ht="42" customHeight="1">
      <x:c r="A273" s="215" t="str">
        <x:v>Fabaceae</x:v>
      </x:c>
      <x:c r="B273" s="215" t="str">
        <x:v>FAB-STIPULE</x:v>
      </x:c>
      <x:c r="C273" s="215" t="str">
        <x:v>Broad family tendency</x:v>
      </x:c>
      <x:c r="D273" s="215" t="str">
        <x:v>Stipules</x:v>
      </x:c>
      <x:c r="E273" s="215" t="str">
        <x:v>Paired stipules commonly present at the leaf base</x:v>
      </x:c>
      <x:c r="F273" s="215" t="str">
        <x:v>Strong</x:v>
      </x:c>
      <x:c r="G273" s="215" t="str">
        <x:v>4</x:v>
      </x:c>
      <x:c r="H273" s="215" t="str">
        <x:v>Moderate</x:v>
      </x:c>
      <x:c r="I273" s="215" t="str">
        <x:v>Naked eye or hand lens</x:v>
      </x:c>
      <x:c r="J273" s="215" t="str">
        <x:v>Young vegetative material</x:v>
      </x:c>
      <x:c r="K273" s="215" t="str">
        <x:v>Two small leaflike, papery, or spine-like structures often sit where the petiole joins the stem.</x:v>
      </x:c>
      <x:c r="L273" s="215" t="str">
        <x:v>Stipules may be minute, fall early, fuse, or become spines; their absence on old growth does not exclude Fabaceae.</x:v>
      </x:c>
      <x:c r="M273" s="215" t="str">
        <x:v>Use with compound leaves and pulvini; useful against many pinnate-leaved non-legumes.</x:v>
      </x:c>
      <x:c r="N273" s="215" t="str">
        <x:v>A major Hays County prairie, savanna, woodland-edge, and restoration family, ranging from low herbs to shrubs and trees; local identification must allow all major floral forms.</x:v>
      </x:c>
      <x:c r="O273" s="215" t="str">
        <x:v>Low</x:v>
      </x:c>
      <x:c r="P273" s="215" t="str">
        <x:v>No</x:v>
      </x:c>
      <x:c r="Q273" s="215" t="str"/>
      <x:c r="R273" s="215" t="str">
        <x:v>FAB-LK01; FAB-LK02</x:v>
      </x:c>
      <x:c r="S273" s="215" t="str">
        <x:v>APWEB-FAB; FNA-FAB; POWO-FAB; LBJWC-HAYS</x:v>
      </x:c>
      <x:c r="T273" s="215" t="str">
        <x:v>https://www.mobot.org/MOBOT/research/APweb/orders/fabalesweb.htm</x:v>
      </x:c>
      <x:c r="U273" s="215" t="str">
        <x:v>https://floranorthamerica.org/Fabaceae</x:v>
      </x:c>
      <x:c r="V273" s="215" t="str">
        <x:v>https://powo.science.kew.org/taxon/urn:lsid:ipni.org:names:30000147-2</x:v>
      </x:c>
      <x:c r="W273" s="215" t="str">
        <x:v>https://www.mobot.org/MOBOT/research/APweb/orders/fabalesweb.htm
https://floranorthamerica.org/Fabaceae
https://powo.science.kew.org/taxon/urn:lsid:ipni.org:names:30000147-2
https://www.wildflower.org/collections/collection.php?collection=hays</x:v>
      </x:c>
      <x:c r="X273" s="215" t="str">
        <x:v>No — retain qualifiers and exceptions</x:v>
      </x:c>
      <x:c r="Y273" s="215" t="str">
        <x:v>Yes</x:v>
      </x:c>
      <x:c r="Z273" s="215" t="str">
        <x:v>Source-backed draft</x:v>
      </x:c>
      <x:c r="AA273" s="215" t="str">
        <x:v>Family pattern</x:v>
      </x:c>
      <x:c r="AB273" s="215" t="str">
        <x:v>Positive diagnostic</x:v>
      </x:c>
      <x:c r="AC273" s="215" t="str">
        <x:v>Moderate</x:v>
      </x:c>
      <x:c r="AD273" s="215" t="str">
        <x:v>Hand lens / macro</x:v>
      </x:c>
      <x:c r="AE273" s="215" t="str">
        <x:v>Low</x:v>
      </x:c>
      <x:c r="AF273" s="215" t="str">
        <x:v>Field-ready draft</x:v>
      </x:c>
      <x:c r="AG273" s="215" t="str">
        <x:v>2 — Field-photo priority</x:v>
      </x:c>
      <x:c r="AH273" s="215" t="str">
        <x:v>Current master inventory</x:v>
      </x:c>
    </x:row>
    <x:row r="274" ht="42" customHeight="1">
      <x:c r="A274" s="215" t="str">
        <x:v>Fabaceae</x:v>
      </x:c>
      <x:c r="B274" s="215" t="str">
        <x:v>FAB-PULVINUS</x:v>
      </x:c>
      <x:c r="C274" s="215" t="str">
        <x:v>Broad family tendency</x:v>
      </x:c>
      <x:c r="D274" s="215" t="str">
        <x:v>Leaf base / leaflet base</x:v>
      </x:c>
      <x:c r="E274" s="215" t="str">
        <x:v>Swollen pulvini often occur at petiole and petiolule bases</x:v>
      </x:c>
      <x:c r="F274" s="215" t="str">
        <x:v>Strong</x:v>
      </x:c>
      <x:c r="G274" s="215" t="str">
        <x:v>4</x:v>
      </x:c>
      <x:c r="H274" s="215" t="str">
        <x:v>Moderate</x:v>
      </x:c>
      <x:c r="I274" s="215" t="str">
        <x:v>Naked eye or hand lens</x:v>
      </x:c>
      <x:c r="J274" s="215" t="str">
        <x:v>Vegetative</x:v>
      </x:c>
      <x:c r="K274" s="215" t="str">
        <x:v>A small jointlike swelling lets the whole leaf or individual leaflets change position.</x:v>
      </x:c>
      <x:c r="L274" s="215" t="str">
        <x:v>Pulvini can be weak or absent and occur in some unrelated families.</x:v>
      </x:c>
      <x:c r="M274" s="215" t="str">
        <x:v>Combine with stipules and legume flowers or fruit; especially useful on bipinnate or sensitive-leaved local legumes.</x:v>
      </x:c>
      <x:c r="N274" s="215" t="str">
        <x:v>A major Hays County prairie, savanna, woodland-edge, and restoration family, ranging from low herbs to shrubs and trees; local identification must allow all major floral forms.</x:v>
      </x:c>
      <x:c r="O274" s="215" t="str">
        <x:v>Low</x:v>
      </x:c>
      <x:c r="P274" s="215" t="str">
        <x:v>No</x:v>
      </x:c>
      <x:c r="Q274" s="215" t="str"/>
      <x:c r="R274" s="215" t="str">
        <x:v>FAB-LK02</x:v>
      </x:c>
      <x:c r="S274" s="215" t="str">
        <x:v>APWEB-FAB; FNA-FAB; POWO-FAB; LBJWC-HAYS</x:v>
      </x:c>
      <x:c r="T274" s="215" t="str">
        <x:v>https://www.mobot.org/MOBOT/research/APweb/orders/fabalesweb.htm</x:v>
      </x:c>
      <x:c r="U274" s="215" t="str">
        <x:v>https://floranorthamerica.org/Fabaceae</x:v>
      </x:c>
      <x:c r="V274" s="215" t="str">
        <x:v>https://powo.science.kew.org/taxon/urn:lsid:ipni.org:names:30000147-2</x:v>
      </x:c>
      <x:c r="W274" s="215" t="str">
        <x:v>https://www.mobot.org/MOBOT/research/APweb/orders/fabalesweb.htm
https://floranorthamerica.org/Fabaceae
https://powo.science.kew.org/taxon/urn:lsid:ipni.org:names:30000147-2
https://www.wildflower.org/collections/collection.php?collection=hays</x:v>
      </x:c>
      <x:c r="X274" s="215" t="str">
        <x:v>No — retain qualifiers and exceptions</x:v>
      </x:c>
      <x:c r="Y274" s="215" t="str">
        <x:v>Yes</x:v>
      </x:c>
      <x:c r="Z274" s="215" t="str">
        <x:v>Source-backed draft</x:v>
      </x:c>
      <x:c r="AA274" s="215" t="str">
        <x:v>Family pattern</x:v>
      </x:c>
      <x:c r="AB274" s="215" t="str">
        <x:v>Positive diagnostic</x:v>
      </x:c>
      <x:c r="AC274" s="215" t="str">
        <x:v>Moderate</x:v>
      </x:c>
      <x:c r="AD274" s="215" t="str">
        <x:v>Hand lens / macro</x:v>
      </x:c>
      <x:c r="AE274" s="215" t="str">
        <x:v>Low</x:v>
      </x:c>
      <x:c r="AF274" s="215" t="str">
        <x:v>Field-ready draft</x:v>
      </x:c>
      <x:c r="AG274" s="215" t="str">
        <x:v>2 — Field-photo priority</x:v>
      </x:c>
      <x:c r="AH274" s="215" t="str">
        <x:v>Current master inventory</x:v>
      </x:c>
    </x:row>
    <x:row r="275" ht="42" customHeight="1">
      <x:c r="A275" s="215" t="str">
        <x:v>Fabaceae</x:v>
      </x:c>
      <x:c r="B275" s="215" t="str">
        <x:v>FAB-FLOWER</x:v>
      </x:c>
      <x:c r="C275" s="215" t="str">
        <x:v>Broad family tendency</x:v>
      </x:c>
      <x:c r="D275" s="215" t="str">
        <x:v>Flower</x:v>
      </x:c>
      <x:c r="E275" s="215" t="str">
        <x:v>Flowers commonly 5-merous and often zygomorphic, but symmetry varies among subfamilies</x:v>
      </x:c>
      <x:c r="F275" s="215" t="str">
        <x:v>Strong</x:v>
      </x:c>
      <x:c r="G275" s="215" t="str">
        <x:v>4</x:v>
      </x:c>
      <x:c r="H275" s="215" t="str">
        <x:v>Variable</x:v>
      </x:c>
      <x:c r="I275" s="215" t="str">
        <x:v>Naked eye</x:v>
      </x:c>
      <x:c r="J275" s="215" t="str">
        <x:v>Flowering</x:v>
      </x:c>
      <x:c r="K275" s="215" t="str">
        <x:v>Many legumes have unequal petals and a one-sided flower, while mimosoid forms may look radial and brushlike.</x:v>
      </x:c>
      <x:c r="L275" s="215" t="str">
        <x:v>Actinomorphic or nearly actinomorphic flowers occur, petals may be reduced or absent, and sepal and petal fusion varies.</x:v>
      </x:c>
      <x:c r="M275" s="215" t="str">
        <x:v>Never require the pea-flower shape for the whole family; follow either papilionoid or non-papilionoid routes to the one-carpel fruit.</x:v>
      </x:c>
      <x:c r="N275" s="215" t="str">
        <x:v>A major Hays County prairie, savanna, woodland-edge, and restoration family, ranging from low herbs to shrubs and trees; local identification must allow all major floral forms.</x:v>
      </x:c>
      <x:c r="O275" s="215" t="str">
        <x:v>Low</x:v>
      </x:c>
      <x:c r="P275" s="215" t="str">
        <x:v>No</x:v>
      </x:c>
      <x:c r="Q275" s="215" t="str"/>
      <x:c r="R275" s="215" t="str">
        <x:v>FAB-LK01; FAB-LK02</x:v>
      </x:c>
      <x:c r="S275" s="215" t="str">
        <x:v>APWEB-FAB; FNA-FAB; POWO-FAB; LBJWC-HAYS</x:v>
      </x:c>
      <x:c r="T275" s="215" t="str">
        <x:v>https://www.mobot.org/MOBOT/research/APweb/orders/fabalesweb.htm</x:v>
      </x:c>
      <x:c r="U275" s="215" t="str">
        <x:v>https://floranorthamerica.org/Fabaceae</x:v>
      </x:c>
      <x:c r="V275" s="215" t="str">
        <x:v>https://powo.science.kew.org/taxon/urn:lsid:ipni.org:names:30000147-2</x:v>
      </x:c>
      <x:c r="W275" s="215" t="str">
        <x:v>https://www.mobot.org/MOBOT/research/APweb/orders/fabalesweb.htm
https://floranorthamerica.org/Fabaceae
https://powo.science.kew.org/taxon/urn:lsid:ipni.org:names:30000147-2
https://www.wildflower.org/collections/collection.php?collection=hays</x:v>
      </x:c>
      <x:c r="X275" s="215" t="str">
        <x:v>No — retain qualifiers and exceptions</x:v>
      </x:c>
      <x:c r="Y275" s="215" t="str">
        <x:v>Yes</x:v>
      </x:c>
      <x:c r="Z275" s="215" t="str">
        <x:v>Source-backed draft</x:v>
      </x:c>
      <x:c r="AA275" s="215" t="str">
        <x:v>Family pattern</x:v>
      </x:c>
      <x:c r="AB275" s="215" t="str">
        <x:v>Positive diagnostic</x:v>
      </x:c>
      <x:c r="AC275" s="215" t="str">
        <x:v>Variable</x:v>
      </x:c>
      <x:c r="AD275" s="215" t="str">
        <x:v>Naked eye / field</x:v>
      </x:c>
      <x:c r="AE275" s="215" t="str">
        <x:v>Low</x:v>
      </x:c>
      <x:c r="AF275" s="215" t="str">
        <x:v>Field-ready draft</x:v>
      </x:c>
      <x:c r="AG275" s="215" t="str">
        <x:v>2 — Field-photo priority</x:v>
      </x:c>
      <x:c r="AH275" s="215" t="str">
        <x:v>Current master inventory</x:v>
      </x:c>
    </x:row>
    <x:row r="276" ht="42" customHeight="1">
      <x:c r="A276" s="215" t="str">
        <x:v>Fabaceae</x:v>
      </x:c>
      <x:c r="B276" s="215" t="str">
        <x:v>FAB-PAPILIONOID</x:v>
      </x:c>
      <x:c r="C276" s="215" t="str">
        <x:v>Subfamily-limited, common locally</x:v>
      </x:c>
      <x:c r="D276" s="215" t="str">
        <x:v>Corolla</x:v>
      </x:c>
      <x:c r="E276" s="215" t="str">
        <x:v>Papilionoid flowers with banner, two wings, and keel</x:v>
      </x:c>
      <x:c r="F276" s="215" t="str">
        <x:v>Strong</x:v>
      </x:c>
      <x:c r="G276" s="215" t="str">
        <x:v>4</x:v>
      </x:c>
      <x:c r="H276" s="215" t="str">
        <x:v>High when present</x:v>
      </x:c>
      <x:c r="I276" s="215" t="str">
        <x:v>Naked eye</x:v>
      </x:c>
      <x:c r="J276" s="215" t="str">
        <x:v>Flowering</x:v>
      </x:c>
      <x:c r="K276" s="215" t="str">
        <x:v>The classic pea flower has one upper banner petal, two side wings, and two lower petals forming a keel.</x:v>
      </x:c>
      <x:c r="L276" s="215" t="str">
        <x:v>This is not family-wide and is absent from mimosoid and many caesalpinioid legumes.</x:v>
      </x:c>
      <x:c r="M276" s="215" t="str">
        <x:v>When present it strongly supports Fabaceae; when absent, use stamens, single carpel, and pod characters.</x:v>
      </x:c>
      <x:c r="N276" s="215" t="str">
        <x:v>A major Hays County prairie, savanna, woodland-edge, and restoration family, ranging from low herbs to shrubs and trees; local identification must allow all major floral forms.</x:v>
      </x:c>
      <x:c r="O276" s="215" t="str">
        <x:v>Low</x:v>
      </x:c>
      <x:c r="P276" s="215" t="str">
        <x:v>No</x:v>
      </x:c>
      <x:c r="Q276" s="215" t="str"/>
      <x:c r="R276" s="215" t="str">
        <x:v>FAB-LK01</x:v>
      </x:c>
      <x:c r="S276" s="215" t="str">
        <x:v>APWEB-FAB; FNA-FAB; POWO-FAB; LBJWC-HAYS</x:v>
      </x:c>
      <x:c r="T276" s="215" t="str">
        <x:v>https://www.mobot.org/MOBOT/research/APweb/orders/fabalesweb.htm</x:v>
      </x:c>
      <x:c r="U276" s="215" t="str">
        <x:v>https://floranorthamerica.org/Fabaceae</x:v>
      </x:c>
      <x:c r="V276" s="215" t="str">
        <x:v>https://powo.science.kew.org/taxon/urn:lsid:ipni.org:names:30000147-2</x:v>
      </x:c>
      <x:c r="W276" s="215" t="str">
        <x:v>https://www.mobot.org/MOBOT/research/APweb/orders/fabalesweb.htm
https://floranorthamerica.org/Fabaceae
https://powo.science.kew.org/taxon/urn:lsid:ipni.org:names:30000147-2
https://www.wildflower.org/collections/collection.php?collection=hays</x:v>
      </x:c>
      <x:c r="X276" s="215" t="str">
        <x:v>No — retain qualifiers and exceptions</x:v>
      </x:c>
      <x:c r="Y276" s="215" t="str">
        <x:v>Yes</x:v>
      </x:c>
      <x:c r="Z276" s="215" t="str">
        <x:v>Source-backed draft</x:v>
      </x:c>
      <x:c r="AA276" s="215" t="str">
        <x:v>Local subgroup / route</x:v>
      </x:c>
      <x:c r="AB276" s="215" t="str">
        <x:v>Positive diagnostic</x:v>
      </x:c>
      <x:c r="AC276" s="215" t="str">
        <x:v>High</x:v>
      </x:c>
      <x:c r="AD276" s="215" t="str">
        <x:v>Naked eye / field</x:v>
      </x:c>
      <x:c r="AE276" s="215" t="str">
        <x:v>Low</x:v>
      </x:c>
      <x:c r="AF276" s="215" t="str">
        <x:v>Field-ready draft</x:v>
      </x:c>
      <x:c r="AG276" s="215" t="str">
        <x:v>2 — Field-photo priority</x:v>
      </x:c>
      <x:c r="AH276" s="215" t="str">
        <x:v>Current master inventory</x:v>
      </x:c>
    </x:row>
    <x:row r="277" ht="42" customHeight="1">
      <x:c r="A277" s="215" t="str">
        <x:v>Fabaceae</x:v>
      </x:c>
      <x:c r="B277" s="215" t="str">
        <x:v>FAB-STAMEN</x:v>
      </x:c>
      <x:c r="C277" s="215" t="str">
        <x:v>Broad family variation</x:v>
      </x:c>
      <x:c r="D277" s="215" t="str">
        <x:v>Androecium</x:v>
      </x:c>
      <x:c r="E277" s="215" t="str">
        <x:v>Stamens commonly ten or numerous; filaments free or variously connate</x:v>
      </x:c>
      <x:c r="F277" s="215" t="str">
        <x:v>Strong</x:v>
      </x:c>
      <x:c r="G277" s="215" t="str">
        <x:v>4</x:v>
      </x:c>
      <x:c r="H277" s="215" t="str">
        <x:v>Variable</x:v>
      </x:c>
      <x:c r="I277" s="215" t="str">
        <x:v>Naked eye to hand lens</x:v>
      </x:c>
      <x:c r="J277" s="215" t="str">
        <x:v>Flowering</x:v>
      </x:c>
      <x:c r="K277" s="215" t="str">
        <x:v>Pea-type flowers often hide ten stamens, commonly in a 9+1 bundle; mimosoid flowers may display many long stamens.</x:v>
      </x:c>
      <x:c r="L277" s="215" t="str">
        <x:v>Numbers and fusion patterns vary substantially, including fewer than ten stamens.</x:v>
      </x:c>
      <x:c r="M277" s="215" t="str">
        <x:v>Use stamen number and fusion only after choosing the correct floral route within the family.</x:v>
      </x:c>
      <x:c r="N277" s="215" t="str">
        <x:v>A major Hays County prairie, savanna, woodland-edge, and restoration family, ranging from low herbs to shrubs and trees; local identification must allow all major floral forms.</x:v>
      </x:c>
      <x:c r="O277" s="215" t="str">
        <x:v>Low</x:v>
      </x:c>
      <x:c r="P277" s="215" t="str">
        <x:v>No</x:v>
      </x:c>
      <x:c r="Q277" s="215" t="str"/>
      <x:c r="R277" s="215" t="str">
        <x:v>FAB-LK02</x:v>
      </x:c>
      <x:c r="S277" s="215" t="str">
        <x:v>APWEB-FAB; FNA-FAB; POWO-FAB; LBJWC-HAYS</x:v>
      </x:c>
      <x:c r="T277" s="215" t="str">
        <x:v>https://www.mobot.org/MOBOT/research/APweb/orders/fabalesweb.htm</x:v>
      </x:c>
      <x:c r="U277" s="215" t="str">
        <x:v>https://floranorthamerica.org/Fabaceae</x:v>
      </x:c>
      <x:c r="V277" s="215" t="str">
        <x:v>https://powo.science.kew.org/taxon/urn:lsid:ipni.org:names:30000147-2</x:v>
      </x:c>
      <x:c r="W277" s="215" t="str">
        <x:v>https://www.mobot.org/MOBOT/research/APweb/orders/fabalesweb.htm
https://floranorthamerica.org/Fabaceae
https://powo.science.kew.org/taxon/urn:lsid:ipni.org:names:30000147-2
https://www.wildflower.org/collections/collection.php?collection=hays</x:v>
      </x:c>
      <x:c r="X277" s="215" t="str">
        <x:v>No — retain qualifiers and exceptions</x:v>
      </x:c>
      <x:c r="Y277" s="215" t="str">
        <x:v>Yes</x:v>
      </x:c>
      <x:c r="Z277" s="215" t="str">
        <x:v>Source-backed draft</x:v>
      </x:c>
      <x:c r="AA277" s="215" t="str">
        <x:v>Family pattern</x:v>
      </x:c>
      <x:c r="AB277" s="215" t="str">
        <x:v>Positive diagnostic</x:v>
      </x:c>
      <x:c r="AC277" s="215" t="str">
        <x:v>Variable</x:v>
      </x:c>
      <x:c r="AD277" s="215" t="str">
        <x:v>Hand lens / macro</x:v>
      </x:c>
      <x:c r="AE277" s="215" t="str">
        <x:v>Low</x:v>
      </x:c>
      <x:c r="AF277" s="215" t="str">
        <x:v>Field-ready draft</x:v>
      </x:c>
      <x:c r="AG277" s="215" t="str">
        <x:v>2 — Field-photo priority</x:v>
      </x:c>
      <x:c r="AH277" s="215" t="str">
        <x:v>Current master inventory</x:v>
      </x:c>
    </x:row>
    <x:row r="278" ht="42" customHeight="1">
      <x:c r="A278" s="215" t="str">
        <x:v>Fabaceae</x:v>
      </x:c>
      <x:c r="B278" s="215" t="str">
        <x:v>FAB-OVARY</x:v>
      </x:c>
      <x:c r="C278" s="215" t="str">
        <x:v>Family-wide structural theme</x:v>
      </x:c>
      <x:c r="D278" s="215" t="str">
        <x:v>Gynoecium</x:v>
      </x:c>
      <x:c r="E278" s="215" t="str">
        <x:v>One superior carpel, often stipitate, with one to many ovules along one margin</x:v>
      </x:c>
      <x:c r="F278" s="215" t="str">
        <x:v>Core</x:v>
      </x:c>
      <x:c r="G278" s="215" t="str">
        <x:v>5</x:v>
      </x:c>
      <x:c r="H278" s="215" t="str">
        <x:v>High with dissection</x:v>
      </x:c>
      <x:c r="I278" s="215" t="str">
        <x:v>Hand lens or dissection</x:v>
      </x:c>
      <x:c r="J278" s="215" t="str">
        <x:v>Flowering to early fruit</x:v>
      </x:c>
      <x:c r="K278" s="215" t="str">
        <x:v>A single ovary develops from one carpel, and its ovules line one side.</x:v>
      </x:c>
      <x:c r="L278" s="215" t="str">
        <x:v>The ovary can be hidden by petals and stamens, and a stipe or floral cup can complicate its apparent position.</x:v>
      </x:c>
      <x:c r="M278" s="215" t="str">
        <x:v>This is a stronger family confirmation than compound leaves or nitrogen-fixing nodules.</x:v>
      </x:c>
      <x:c r="N278" s="215" t="str">
        <x:v>A major Hays County prairie, savanna, woodland-edge, and restoration family, ranging from low herbs to shrubs and trees; local identification must allow all major floral forms.</x:v>
      </x:c>
      <x:c r="O278" s="215" t="str">
        <x:v>Low</x:v>
      </x:c>
      <x:c r="P278" s="215" t="str">
        <x:v>No</x:v>
      </x:c>
      <x:c r="Q278" s="215" t="str"/>
      <x:c r="R278" s="215" t="str">
        <x:v>FAB-LK01; FAB-LK02</x:v>
      </x:c>
      <x:c r="S278" s="215" t="str">
        <x:v>APWEB-FAB; FNA-FAB; POWO-FAB; LBJWC-HAYS</x:v>
      </x:c>
      <x:c r="T278" s="215" t="str">
        <x:v>https://www.mobot.org/MOBOT/research/APweb/orders/fabalesweb.htm</x:v>
      </x:c>
      <x:c r="U278" s="215" t="str">
        <x:v>https://floranorthamerica.org/Fabaceae</x:v>
      </x:c>
      <x:c r="V278" s="215" t="str">
        <x:v>https://powo.science.kew.org/taxon/urn:lsid:ipni.org:names:30000147-2</x:v>
      </x:c>
      <x:c r="W278" s="215" t="str">
        <x:v>https://www.mobot.org/MOBOT/research/APweb/orders/fabalesweb.htm
https://floranorthamerica.org/Fabaceae
https://powo.science.kew.org/taxon/urn:lsid:ipni.org:names:30000147-2
https://www.wildflower.org/collections/collection.php?collection=hays</x:v>
      </x:c>
      <x:c r="X278" s="215" t="str">
        <x:v>No — retain qualifiers and exceptions</x:v>
      </x:c>
      <x:c r="Y278" s="215" t="str">
        <x:v>Yes</x:v>
      </x:c>
      <x:c r="Z278" s="215" t="str">
        <x:v>Source-backed draft</x:v>
      </x:c>
      <x:c r="AA278" s="215" t="str">
        <x:v>Family pattern</x:v>
      </x:c>
      <x:c r="AB278" s="215" t="str">
        <x:v>Positive diagnostic</x:v>
      </x:c>
      <x:c r="AC278" s="215" t="str">
        <x:v>High</x:v>
      </x:c>
      <x:c r="AD278" s="215" t="str">
        <x:v>Dissection</x:v>
      </x:c>
      <x:c r="AE278" s="215" t="str">
        <x:v>Low</x:v>
      </x:c>
      <x:c r="AF278" s="215" t="str">
        <x:v>Dissection / close study</x:v>
      </x:c>
      <x:c r="AG278" s="215" t="str">
        <x:v>3 — Reference support</x:v>
      </x:c>
      <x:c r="AH278" s="215" t="str">
        <x:v>Current master inventory</x:v>
      </x:c>
    </x:row>
    <x:row r="279" ht="42" customHeight="1">
      <x:c r="A279" s="215" t="str">
        <x:v>Fabaceae</x:v>
      </x:c>
      <x:c r="B279" s="215" t="str">
        <x:v>FAB-FRUIT</x:v>
      </x:c>
      <x:c r="C279" s="215" t="str">
        <x:v>Broad family tendency</x:v>
      </x:c>
      <x:c r="D279" s="215" t="str">
        <x:v>Fruit</x:v>
      </x:c>
      <x:c r="E279" s="215" t="str">
        <x:v>Legume derived from one carpel, commonly opening along two sutures</x:v>
      </x:c>
      <x:c r="F279" s="215" t="str">
        <x:v>Core</x:v>
      </x:c>
      <x:c r="G279" s="215" t="str">
        <x:v>5</x:v>
      </x:c>
      <x:c r="H279" s="215" t="str">
        <x:v>High</x:v>
      </x:c>
      <x:c r="I279" s="215" t="str">
        <x:v>Naked eye</x:v>
      </x:c>
      <x:c r="J279" s="215" t="str">
        <x:v>Mature fruit</x:v>
      </x:c>
      <x:c r="K279" s="215" t="str">
        <x:v>The typical pod splits along both edges and carries seeds in one row.</x:v>
      </x:c>
      <x:c r="L279" s="215" t="str">
        <x:v>Pods may be indehiscent, break into one-seeded segments, coil, become winged, fleshy, or contain only one seed.</x:v>
      </x:c>
      <x:c r="M279" s="215" t="str">
        <x:v>Mature fruit is often the best confirmation, but require single-carpel pod construction rather than any elongated capsule.</x:v>
      </x:c>
      <x:c r="N279" s="215" t="str">
        <x:v>A major Hays County prairie, savanna, woodland-edge, and restoration family, ranging from low herbs to shrubs and trees; local identification must allow all major floral forms.</x:v>
      </x:c>
      <x:c r="O279" s="215" t="str">
        <x:v>Low</x:v>
      </x:c>
      <x:c r="P279" s="215" t="str">
        <x:v>No</x:v>
      </x:c>
      <x:c r="Q279" s="215" t="str"/>
      <x:c r="R279" s="215" t="str">
        <x:v>FAB-LK01; FAB-LK02</x:v>
      </x:c>
      <x:c r="S279" s="215" t="str">
        <x:v>APWEB-FAB; FNA-FAB; POWO-FAB; LBJWC-HAYS</x:v>
      </x:c>
      <x:c r="T279" s="215" t="str">
        <x:v>https://www.mobot.org/MOBOT/research/APweb/orders/fabalesweb.htm</x:v>
      </x:c>
      <x:c r="U279" s="215" t="str">
        <x:v>https://floranorthamerica.org/Fabaceae</x:v>
      </x:c>
      <x:c r="V279" s="215" t="str">
        <x:v>https://powo.science.kew.org/taxon/urn:lsid:ipni.org:names:30000147-2</x:v>
      </x:c>
      <x:c r="W279" s="215" t="str">
        <x:v>https://www.mobot.org/MOBOT/research/APweb/orders/fabalesweb.htm
https://floranorthamerica.org/Fabaceae
https://powo.science.kew.org/taxon/urn:lsid:ipni.org:names:30000147-2
https://www.wildflower.org/collections/collection.php?collection=hays</x:v>
      </x:c>
      <x:c r="X279" s="215" t="str">
        <x:v>No — retain qualifiers and exceptions</x:v>
      </x:c>
      <x:c r="Y279" s="215" t="str">
        <x:v>Yes</x:v>
      </x:c>
      <x:c r="Z279" s="215" t="str">
        <x:v>Source-backed draft</x:v>
      </x:c>
      <x:c r="AA279" s="215" t="str">
        <x:v>Family pattern</x:v>
      </x:c>
      <x:c r="AB279" s="215" t="str">
        <x:v>Positive diagnostic</x:v>
      </x:c>
      <x:c r="AC279" s="215" t="str">
        <x:v>High</x:v>
      </x:c>
      <x:c r="AD279" s="215" t="str">
        <x:v>Naked eye / field</x:v>
      </x:c>
      <x:c r="AE279" s="215" t="str">
        <x:v>Low</x:v>
      </x:c>
      <x:c r="AF279" s="215" t="str">
        <x:v>Field-ready draft</x:v>
      </x:c>
      <x:c r="AG279" s="215" t="str">
        <x:v>2 — Field-photo priority</x:v>
      </x:c>
      <x:c r="AH279" s="215" t="str">
        <x:v>Current master inventory</x:v>
      </x:c>
    </x:row>
    <x:row r="280" ht="42" customHeight="1">
      <x:c r="A280" s="215" t="str">
        <x:v>Fabaceae</x:v>
      </x:c>
      <x:c r="B280" s="215" t="str">
        <x:v>FAB-LK01</x:v>
      </x:c>
      <x:c r="C280" s="215" t="str">
        <x:v>Hays County field comparison</x:v>
      </x:c>
      <x:c r="D280" s="215" t="str">
        <x:v>Lookalike comparison</x:v>
      </x:c>
      <x:c r="E280" s="215" t="str">
        <x:v>Fabaceae versus Rosaceae with compound stipulate leaves</x:v>
      </x:c>
      <x:c r="F280" s="215" t="str">
        <x:v>Strong</x:v>
      </x:c>
      <x:c r="G280" s="215" t="str">
        <x:v>4</x:v>
      </x:c>
      <x:c r="H280" s="215" t="str">
        <x:v>Moderate</x:v>
      </x:c>
      <x:c r="I280" s="215" t="str">
        <x:v>Naked eye to hand lens</x:v>
      </x:c>
      <x:c r="J280" s="215" t="str">
        <x:v>Flowering or fruiting</x:v>
      </x:c>
      <x:c r="K280" s="215" t="str">
        <x:v>Legumes usually have one superior carpel producing a pod; roses commonly have actinomorphic flowers with a hypanthium and multiple or several carpels producing achenes, drupes, or pomes.</x:v>
      </x:c>
      <x:c r="L280" s="215" t="str">
        <x:v>Vegetative shoots can remain ambiguous, and both families may have stipules or prickles.</x:v>
      </x:c>
      <x:c r="M280" s="215" t="str">
        <x:v>Use ovary number and mature fruit rather than compound leaves alone.</x:v>
      </x:c>
      <x:c r="N280" s="215" t="str">
        <x:v>A major Hays County prairie, savanna, woodland-edge, and restoration family, ranging from low herbs to shrubs and trees; local identification must allow all major floral forms.</x:v>
      </x:c>
      <x:c r="O280" s="215" t="str">
        <x:v>Low</x:v>
      </x:c>
      <x:c r="P280" s="215" t="str">
        <x:v>No</x:v>
      </x:c>
      <x:c r="Q280" s="215" t="str"/>
      <x:c r="R280" s="215" t="str"/>
      <x:c r="S280" s="215" t="str">
        <x:v>APWEB-FAB; FNA-FAB; POWO-FAB; APWEB-ROS; FNA-ROS; POWO-ROS; LBJWC-HAYS</x:v>
      </x:c>
      <x:c r="T280" s="215" t="str">
        <x:v>https://www.mobot.org/MOBOT/research/APweb/orders/fabalesweb.htm</x:v>
      </x:c>
      <x:c r="U280" s="215" t="str">
        <x:v>https://floranorthamerica.org/Fabaceae</x:v>
      </x:c>
      <x:c r="V280" s="215" t="str">
        <x:v>https://powo.science.kew.org/taxon/urn:lsid:ipni.org:names:30000147-2</x:v>
      </x:c>
      <x:c r="W280" s="215" t="str">
        <x:v>https://www.mobot.org/MOBOT/research/APweb/orders/fabalesweb.htm
https://floranorthamerica.org/Fabaceae
https://powo.science.kew.org/taxon/urn:lsid:ipni.org:names:30000147-2
https://www.wildflower.org/collections/collection.php?collection=hays
https://www.mobot.org/mobot/research/APWeb/orders/rosalesweb.htm
https://floranorthamerica.org/Rosaceae
https://powo.science.kew.org/taxon/urn:lsid:ipni.org:names:30000200-2</x:v>
      </x:c>
      <x:c r="X280" s="215" t="str">
        <x:v>No — retain qualifiers and exceptions</x:v>
      </x:c>
      <x:c r="Y280" s="215" t="str">
        <x:v>Yes</x:v>
      </x:c>
      <x:c r="Z280" s="215" t="str">
        <x:v>Source-backed comparison draft</x:v>
      </x:c>
      <x:c r="AA280" s="215" t="str">
        <x:v>Other qualified pattern</x:v>
      </x:c>
      <x:c r="AB280" s="215" t="str">
        <x:v>Positive diagnostic</x:v>
      </x:c>
      <x:c r="AC280" s="215" t="str">
        <x:v>Moderate</x:v>
      </x:c>
      <x:c r="AD280" s="215" t="str">
        <x:v>Hand lens / macro</x:v>
      </x:c>
      <x:c r="AE280" s="215" t="str">
        <x:v>Low</x:v>
      </x:c>
      <x:c r="AF280" s="215" t="str">
        <x:v>Field-ready draft</x:v>
      </x:c>
      <x:c r="AG280" s="215" t="str">
        <x:v>2 — Field-photo priority</x:v>
      </x:c>
      <x:c r="AH280" s="215" t="str">
        <x:v>Current master inventory</x:v>
      </x:c>
    </x:row>
    <x:row r="281" ht="42" customHeight="1">
      <x:c r="A281" s="215" t="str">
        <x:v>Fabaceae</x:v>
      </x:c>
      <x:c r="B281" s="215" t="str">
        <x:v>FAB-LK02</x:v>
      </x:c>
      <x:c r="C281" s="215" t="str">
        <x:v>Hays County field comparison</x:v>
      </x:c>
      <x:c r="D281" s="215" t="str">
        <x:v>Lookalike comparison</x:v>
      </x:c>
      <x:c r="E281" s="215" t="str">
        <x:v>Fabaceae versus other pinnate-leaved woody plants such as Sapindaceae</x:v>
      </x:c>
      <x:c r="F281" s="215" t="str">
        <x:v>Supporting</x:v>
      </x:c>
      <x:c r="G281" s="215" t="str">
        <x:v>3</x:v>
      </x:c>
      <x:c r="H281" s="215" t="str">
        <x:v>Moderate</x:v>
      </x:c>
      <x:c r="I281" s="215" t="str">
        <x:v>Naked eye to hand lens</x:v>
      </x:c>
      <x:c r="J281" s="215" t="str">
        <x:v>Vegetative plus fruiting preferred</x:v>
      </x:c>
      <x:c r="K281" s="215" t="str">
        <x:v>Fabaceae commonly combine stipules or pulvini with a single-carpel pod; Sapindaceae may have similar leaflets but different flowers and samaras, capsules, or schizocarps.</x:v>
      </x:c>
      <x:c r="L281" s="215" t="str">
        <x:v>Stipules and pulvini are not universal in legumes, and non-legumes can show jointlike leaflet bases.</x:v>
      </x:c>
      <x:c r="M281" s="215" t="str">
        <x:v>Treat pinnate leaves only as a prompt to search for axillary buds, stipules, flower structure, and mature fruit.</x:v>
      </x:c>
      <x:c r="N281" s="215" t="str">
        <x:v>A major Hays County prairie, savanna, woodland-edge, and restoration family, ranging from low herbs to shrubs and trees; local identification must allow all major floral forms.</x:v>
      </x:c>
      <x:c r="O281" s="215" t="str">
        <x:v>Moderate</x:v>
      </x:c>
      <x:c r="P281" s="215" t="str">
        <x:v>Yes</x:v>
      </x:c>
      <x:c r="Q281" s="215" t="str">
        <x:v>Broad cross-family comparison needs refinement when Sapindaceae receives a full local treatment.</x:v>
      </x:c>
      <x:c r="R281" s="215" t="str"/>
      <x:c r="S281" s="215" t="str">
        <x:v>APWEB-FAB; FNA-FAB; POWO-FAB; FNA-SAP; LBJWC-HAYS</x:v>
      </x:c>
      <x:c r="T281" s="215" t="str">
        <x:v>https://www.mobot.org/MOBOT/research/APweb/orders/fabalesweb.htm</x:v>
      </x:c>
      <x:c r="U281" s="215" t="str">
        <x:v>https://floranorthamerica.org/Fabaceae</x:v>
      </x:c>
      <x:c r="V281" s="215" t="str">
        <x:v>https://powo.science.kew.org/taxon/urn:lsid:ipni.org:names:30000147-2</x:v>
      </x:c>
      <x:c r="W281" s="215" t="str">
        <x:v>https://www.mobot.org/MOBOT/research/APweb/orders/fabalesweb.htm
https://floranorthamerica.org/Fabaceae
https://powo.science.kew.org/taxon/urn:lsid:ipni.org:names:30000147-2
https://www.wildflower.org/collections/collection.php?collection=hays
https://floranorthamerica.org/Sapindaceae</x:v>
      </x:c>
      <x:c r="X281" s="215" t="str">
        <x:v>No — retain qualifiers and exceptions</x:v>
      </x:c>
      <x:c r="Y281" s="215" t="str">
        <x:v>Yes</x:v>
      </x:c>
      <x:c r="Z281" s="215" t="str">
        <x:v>Source-backed comparison draft</x:v>
      </x:c>
      <x:c r="AA281" s="215" t="str">
        <x:v>Other qualified pattern</x:v>
      </x:c>
      <x:c r="AB281" s="215" t="str">
        <x:v>Supporting / route</x:v>
      </x:c>
      <x:c r="AC281" s="215" t="str">
        <x:v>Moderate</x:v>
      </x:c>
      <x:c r="AD281" s="215" t="str">
        <x:v>Hand lens / macro</x:v>
      </x:c>
      <x:c r="AE281" s="215" t="str">
        <x:v>Moderate</x:v>
      </x:c>
      <x:c r="AF281" s="215" t="str">
        <x:v>Use only after review</x:v>
      </x:c>
      <x:c r="AG281" s="215" t="str">
        <x:v>1 — Human review now</x:v>
      </x:c>
      <x:c r="AH281" s="215" t="str">
        <x:v>Current master inventory</x:v>
      </x:c>
    </x:row>
    <x:row r="282" ht="42" customHeight="1">
      <x:c r="A282" s="215" t="str">
        <x:v>Cyperaceae</x:v>
      </x:c>
      <x:c r="B282" s="215" t="str">
        <x:v>CYP-CULM</x:v>
      </x:c>
      <x:c r="C282" s="215" t="str">
        <x:v>Broad family tendency</x:v>
      </x:c>
      <x:c r="D282" s="215" t="str">
        <x:v>Stem</x:v>
      </x:c>
      <x:c r="E282" s="215" t="str">
        <x:v>Culms commonly solid and angled, often three-sided</x:v>
      </x:c>
      <x:c r="F282" s="215" t="str">
        <x:v>Strong</x:v>
      </x:c>
      <x:c r="G282" s="215" t="str">
        <x:v>4</x:v>
      </x:c>
      <x:c r="H282" s="215" t="str">
        <x:v>Variable</x:v>
      </x:c>
      <x:c r="I282" s="215" t="str">
        <x:v>Naked eye and touch</x:v>
      </x:c>
      <x:c r="J282" s="215" t="str">
        <x:v>Vegetative to fruiting</x:v>
      </x:c>
      <x:c r="K282" s="215" t="str">
        <x:v>Many sedges have firm stems with edges that can be felt by rolling the stem between the fingers.</x:v>
      </x:c>
      <x:c r="L282" s="215" t="str">
        <x:v>Round, flattened, weakly angled, or hollow stems occur; Eleocharis and bulrush-like genera often defeat the rhyme 'sedges have edges.'</x:v>
      </x:c>
      <x:c r="M282" s="215" t="str">
        <x:v>Use stem shape only as an early clue and confirm with closed sheaths, spikelets, and achenes.</x:v>
      </x:c>
      <x:c r="N282" s="215" t="str">
        <x:v>Important in Hays County seeps, creek margins, wet depressions, seasonal swales, lawns, and moist disturbed ground; local material includes Carex, Cyperus, Eleocharis, and bulrush-like forms.</x:v>
      </x:c>
      <x:c r="O282" s="215" t="str">
        <x:v>Low</x:v>
      </x:c>
      <x:c r="P282" s="215" t="str">
        <x:v>No</x:v>
      </x:c>
      <x:c r="Q282" s="215" t="str"/>
      <x:c r="R282" s="215" t="str">
        <x:v>CYP-LK01; CYP-LK02</x:v>
      </x:c>
      <x:c r="S282" s="215" t="str">
        <x:v>APWEB-CYP; FNA-CYP; POWO-CYP; LBJWC-HAYS</x:v>
      </x:c>
      <x:c r="T282" s="215" t="str">
        <x:v>https://www.mobot.org/MOBOT/research/APweb/orders/poalesweb.htm</x:v>
      </x:c>
      <x:c r="U282" s="215" t="str">
        <x:v>https://floranorthamerica.org/Cyperaceae</x:v>
      </x:c>
      <x:c r="V282" s="215" t="str">
        <x:v>https://powo.science.kew.org/taxon/urn:lsid:ipni.org:names:30000197-2</x:v>
      </x:c>
      <x:c r="W282" s="215" t="str">
        <x:v>https://www.mobot.org/MOBOT/research/APweb/orders/poalesweb.htm
https://floranorthamerica.org/Cyperaceae
https://powo.science.kew.org/taxon/urn:lsid:ipni.org:names:30000197-2
https://www.wildflower.org/collections/collection.php?collection=hays</x:v>
      </x:c>
      <x:c r="X282" s="215" t="str">
        <x:v>No — retain qualifiers and exceptions</x:v>
      </x:c>
      <x:c r="Y282" s="215" t="str">
        <x:v>Yes</x:v>
      </x:c>
      <x:c r="Z282" s="215" t="str">
        <x:v>Source-backed draft</x:v>
      </x:c>
      <x:c r="AA282" s="215" t="str">
        <x:v>Family pattern</x:v>
      </x:c>
      <x:c r="AB282" s="215" t="str">
        <x:v>Positive diagnostic</x:v>
      </x:c>
      <x:c r="AC282" s="215" t="str">
        <x:v>Variable</x:v>
      </x:c>
      <x:c r="AD282" s="215" t="str">
        <x:v>Special handling</x:v>
      </x:c>
      <x:c r="AE282" s="215" t="str">
        <x:v>Low</x:v>
      </x:c>
      <x:c r="AF282" s="215" t="str">
        <x:v>Field-ready draft</x:v>
      </x:c>
      <x:c r="AG282" s="215" t="str">
        <x:v>3 — Reference support</x:v>
      </x:c>
      <x:c r="AH282" s="215" t="str">
        <x:v>Current master inventory</x:v>
      </x:c>
    </x:row>
    <x:row r="283" ht="42" customHeight="1">
      <x:c r="A283" s="215" t="str">
        <x:v>Cyperaceae</x:v>
      </x:c>
      <x:c r="B283" s="215" t="str">
        <x:v>CYP-SHEATH</x:v>
      </x:c>
      <x:c r="C283" s="215" t="str">
        <x:v>Broad family tendency</x:v>
      </x:c>
      <x:c r="D283" s="215" t="str">
        <x:v>Leaf sheath</x:v>
      </x:c>
      <x:c r="E283" s="215" t="str">
        <x:v>Leaf sheath usually closed around the culm</x:v>
      </x:c>
      <x:c r="F283" s="215" t="str">
        <x:v>Strong</x:v>
      </x:c>
      <x:c r="G283" s="215" t="str">
        <x:v>4</x:v>
      </x:c>
      <x:c r="H283" s="215" t="str">
        <x:v>High when intact</x:v>
      </x:c>
      <x:c r="I283" s="215" t="str">
        <x:v>Naked eye</x:v>
      </x:c>
      <x:c r="J283" s="215" t="str">
        <x:v>Vegetative</x:v>
      </x:c>
      <x:c r="K283" s="215" t="str">
        <x:v>The leaf base forms a continuous tube rather than a sleeve with an open seam.</x:v>
      </x:c>
      <x:c r="L283" s="215" t="str">
        <x:v>Sheaths can tear, become bladeless, or be difficult to inspect at crowded bases.</x:v>
      </x:c>
      <x:c r="M283" s="215" t="str">
        <x:v>A closed sheath supports Cyperaceae against most grasses, but must be combined with reproductive characters.</x:v>
      </x:c>
      <x:c r="N283" s="215" t="str">
        <x:v>Important in Hays County seeps, creek margins, wet depressions, seasonal swales, lawns, and moist disturbed ground; local material includes Carex, Cyperus, Eleocharis, and bulrush-like forms.</x:v>
      </x:c>
      <x:c r="O283" s="215" t="str">
        <x:v>Low</x:v>
      </x:c>
      <x:c r="P283" s="215" t="str">
        <x:v>No</x:v>
      </x:c>
      <x:c r="Q283" s="215" t="str"/>
      <x:c r="R283" s="215" t="str">
        <x:v>CYP-LK01</x:v>
      </x:c>
      <x:c r="S283" s="215" t="str">
        <x:v>APWEB-CYP; FNA-CYP; POWO-CYP; LBJWC-HAYS</x:v>
      </x:c>
      <x:c r="T283" s="215" t="str">
        <x:v>https://www.mobot.org/MOBOT/research/APweb/orders/poalesweb.htm</x:v>
      </x:c>
      <x:c r="U283" s="215" t="str">
        <x:v>https://floranorthamerica.org/Cyperaceae</x:v>
      </x:c>
      <x:c r="V283" s="215" t="str">
        <x:v>https://powo.science.kew.org/taxon/urn:lsid:ipni.org:names:30000197-2</x:v>
      </x:c>
      <x:c r="W283" s="215" t="str">
        <x:v>https://www.mobot.org/MOBOT/research/APweb/orders/poalesweb.htm
https://floranorthamerica.org/Cyperaceae
https://powo.science.kew.org/taxon/urn:lsid:ipni.org:names:30000197-2
https://www.wildflower.org/collections/collection.php?collection=hays</x:v>
      </x:c>
      <x:c r="X283" s="215" t="str">
        <x:v>No — retain qualifiers and exceptions</x:v>
      </x:c>
      <x:c r="Y283" s="215" t="str">
        <x:v>Yes</x:v>
      </x:c>
      <x:c r="Z283" s="215" t="str">
        <x:v>Source-backed draft</x:v>
      </x:c>
      <x:c r="AA283" s="215" t="str">
        <x:v>Family pattern</x:v>
      </x:c>
      <x:c r="AB283" s="215" t="str">
        <x:v>Positive diagnostic</x:v>
      </x:c>
      <x:c r="AC283" s="215" t="str">
        <x:v>High</x:v>
      </x:c>
      <x:c r="AD283" s="215" t="str">
        <x:v>Naked eye / field</x:v>
      </x:c>
      <x:c r="AE283" s="215" t="str">
        <x:v>Low</x:v>
      </x:c>
      <x:c r="AF283" s="215" t="str">
        <x:v>Field-ready draft</x:v>
      </x:c>
      <x:c r="AG283" s="215" t="str">
        <x:v>2 — Field-photo priority</x:v>
      </x:c>
      <x:c r="AH283" s="215" t="str">
        <x:v>Current master inventory</x:v>
      </x:c>
    </x:row>
    <x:row r="284" ht="42" customHeight="1">
      <x:c r="A284" s="215" t="str">
        <x:v>Cyperaceae</x:v>
      </x:c>
      <x:c r="B284" s="215" t="str">
        <x:v>CYP-LEAFRANK</x:v>
      </x:c>
      <x:c r="C284" s="215" t="str">
        <x:v>Broad family tendency</x:v>
      </x:c>
      <x:c r="D284" s="215" t="str">
        <x:v>Leaf arrangement</x:v>
      </x:c>
      <x:c r="E284" s="215" t="str">
        <x:v>Leaves often three-ranked, sometimes two-ranked, four-ranked, spiral, reduced, or absent</x:v>
      </x:c>
      <x:c r="F284" s="215" t="str">
        <x:v>Supporting</x:v>
      </x:c>
      <x:c r="G284" s="215" t="str">
        <x:v>3</x:v>
      </x:c>
      <x:c r="H284" s="215" t="str">
        <x:v>Variable</x:v>
      </x:c>
      <x:c r="I284" s="215" t="str">
        <x:v>Naked eye</x:v>
      </x:c>
      <x:c r="J284" s="215" t="str">
        <x:v>Vegetative</x:v>
      </x:c>
      <x:c r="K284" s="215" t="str">
        <x:v>Leaf bases often emerge in three directions around the culm.</x:v>
      </x:c>
      <x:c r="L284" s="215" t="str">
        <x:v>The family includes several other arrangements, and bladeless spike-rushes offer little leaf evidence.</x:v>
      </x:c>
      <x:c r="M284" s="215" t="str">
        <x:v>Use only as part of a sedge suite; never reject the family when three ranks are not visible.</x:v>
      </x:c>
      <x:c r="N284" s="215" t="str">
        <x:v>Important in Hays County seeps, creek margins, wet depressions, seasonal swales, lawns, and moist disturbed ground; local material includes Carex, Cyperus, Eleocharis, and bulrush-like forms.</x:v>
      </x:c>
      <x:c r="O284" s="215" t="str">
        <x:v>Low</x:v>
      </x:c>
      <x:c r="P284" s="215" t="str">
        <x:v>No</x:v>
      </x:c>
      <x:c r="Q284" s="215" t="str"/>
      <x:c r="R284" s="215" t="str">
        <x:v>CYP-LK01; CYP-LK02</x:v>
      </x:c>
      <x:c r="S284" s="215" t="str">
        <x:v>APWEB-CYP; FNA-CYP; POWO-CYP; LBJWC-HAYS</x:v>
      </x:c>
      <x:c r="T284" s="215" t="str">
        <x:v>https://www.mobot.org/MOBOT/research/APweb/orders/poalesweb.htm</x:v>
      </x:c>
      <x:c r="U284" s="215" t="str">
        <x:v>https://floranorthamerica.org/Cyperaceae</x:v>
      </x:c>
      <x:c r="V284" s="215" t="str">
        <x:v>https://powo.science.kew.org/taxon/urn:lsid:ipni.org:names:30000197-2</x:v>
      </x:c>
      <x:c r="W284" s="215" t="str">
        <x:v>https://www.mobot.org/MOBOT/research/APweb/orders/poalesweb.htm
https://floranorthamerica.org/Cyperaceae
https://powo.science.kew.org/taxon/urn:lsid:ipni.org:names:30000197-2
https://www.wildflower.org/collections/collection.php?collection=hays</x:v>
      </x:c>
      <x:c r="X284" s="215" t="str">
        <x:v>No — retain qualifiers and exceptions</x:v>
      </x:c>
      <x:c r="Y284" s="215" t="str">
        <x:v>Yes</x:v>
      </x:c>
      <x:c r="Z284" s="215" t="str">
        <x:v>Source-backed draft</x:v>
      </x:c>
      <x:c r="AA284" s="215" t="str">
        <x:v>Family pattern</x:v>
      </x:c>
      <x:c r="AB284" s="215" t="str">
        <x:v>Supporting / route</x:v>
      </x:c>
      <x:c r="AC284" s="215" t="str">
        <x:v>Variable</x:v>
      </x:c>
      <x:c r="AD284" s="215" t="str">
        <x:v>Naked eye / field</x:v>
      </x:c>
      <x:c r="AE284" s="215" t="str">
        <x:v>Low</x:v>
      </x:c>
      <x:c r="AF284" s="215" t="str">
        <x:v>Field-ready draft</x:v>
      </x:c>
      <x:c r="AG284" s="215" t="str">
        <x:v>3 — Reference support</x:v>
      </x:c>
      <x:c r="AH284" s="215" t="str">
        <x:v>Current master inventory</x:v>
      </x:c>
    </x:row>
    <x:row r="285" ht="42" customHeight="1">
      <x:c r="A285" s="215" t="str">
        <x:v>Cyperaceae</x:v>
      </x:c>
      <x:c r="B285" s="215" t="str">
        <x:v>CYP-SPIKELET</x:v>
      </x:c>
      <x:c r="C285" s="215" t="str">
        <x:v>Family-wide structural theme</x:v>
      </x:c>
      <x:c r="D285" s="215" t="str">
        <x:v>Inflorescence</x:v>
      </x:c>
      <x:c r="E285" s="215" t="str">
        <x:v>Flowers arranged in spikelets or compact heads of spikelets</x:v>
      </x:c>
      <x:c r="F285" s="215" t="str">
        <x:v>Core</x:v>
      </x:c>
      <x:c r="G285" s="215" t="str">
        <x:v>5</x:v>
      </x:c>
      <x:c r="H285" s="215" t="str">
        <x:v>High</x:v>
      </x:c>
      <x:c r="I285" s="215" t="str">
        <x:v>Naked eye to hand lens</x:v>
      </x:c>
      <x:c r="J285" s="215" t="str">
        <x:v>Flowering or fruiting</x:v>
      </x:c>
      <x:c r="K285" s="215" t="str">
        <x:v>Small flowers sit in orderly rows beneath scales, forming spikes, spikelets, or headlike clusters.</x:v>
      </x:c>
      <x:c r="L285" s="215" t="str">
        <x:v>Spikelets vary from one flower to many and may be hidden by large leaflike bracts.</x:v>
      </x:c>
      <x:c r="M285" s="215" t="str">
        <x:v>Locate individual flower scales and determine whether each flower has one scale or a grass lemma-palea pair.</x:v>
      </x:c>
      <x:c r="N285" s="215" t="str">
        <x:v>Important in Hays County seeps, creek margins, wet depressions, seasonal swales, lawns, and moist disturbed ground; local material includes Carex, Cyperus, Eleocharis, and bulrush-like forms.</x:v>
      </x:c>
      <x:c r="O285" s="215" t="str">
        <x:v>Low</x:v>
      </x:c>
      <x:c r="P285" s="215" t="str">
        <x:v>No</x:v>
      </x:c>
      <x:c r="Q285" s="215" t="str"/>
      <x:c r="R285" s="215" t="str">
        <x:v>CYP-LK01; CYP-LK02</x:v>
      </x:c>
      <x:c r="S285" s="215" t="str">
        <x:v>APWEB-CYP; FNA-CYP; POWO-CYP; LBJWC-HAYS</x:v>
      </x:c>
      <x:c r="T285" s="215" t="str">
        <x:v>https://www.mobot.org/MOBOT/research/APweb/orders/poalesweb.htm</x:v>
      </x:c>
      <x:c r="U285" s="215" t="str">
        <x:v>https://floranorthamerica.org/Cyperaceae</x:v>
      </x:c>
      <x:c r="V285" s="215" t="str">
        <x:v>https://powo.science.kew.org/taxon/urn:lsid:ipni.org:names:30000197-2</x:v>
      </x:c>
      <x:c r="W285" s="215" t="str">
        <x:v>https://www.mobot.org/MOBOT/research/APweb/orders/poalesweb.htm
https://floranorthamerica.org/Cyperaceae
https://powo.science.kew.org/taxon/urn:lsid:ipni.org:names:30000197-2
https://www.wildflower.org/collections/collection.php?collection=hays</x:v>
      </x:c>
      <x:c r="X285" s="215" t="str">
        <x:v>No — retain qualifiers and exceptions</x:v>
      </x:c>
      <x:c r="Y285" s="215" t="str">
        <x:v>Yes</x:v>
      </x:c>
      <x:c r="Z285" s="215" t="str">
        <x:v>Source-backed draft</x:v>
      </x:c>
      <x:c r="AA285" s="215" t="str">
        <x:v>Family pattern</x:v>
      </x:c>
      <x:c r="AB285" s="215" t="str">
        <x:v>Positive diagnostic</x:v>
      </x:c>
      <x:c r="AC285" s="215" t="str">
        <x:v>High</x:v>
      </x:c>
      <x:c r="AD285" s="215" t="str">
        <x:v>Hand lens / macro</x:v>
      </x:c>
      <x:c r="AE285" s="215" t="str">
        <x:v>Low</x:v>
      </x:c>
      <x:c r="AF285" s="215" t="str">
        <x:v>Field-ready draft</x:v>
      </x:c>
      <x:c r="AG285" s="215" t="str">
        <x:v>2 — Field-photo priority</x:v>
      </x:c>
      <x:c r="AH285" s="215" t="str">
        <x:v>Current master inventory</x:v>
      </x:c>
    </x:row>
    <x:row r="286" ht="42" customHeight="1">
      <x:c r="A286" s="215" t="str">
        <x:v>Cyperaceae</x:v>
      </x:c>
      <x:c r="B286" s="215" t="str">
        <x:v>CYP-SCALE</x:v>
      </x:c>
      <x:c r="C286" s="215" t="str">
        <x:v>Broad family tendency</x:v>
      </x:c>
      <x:c r="D286" s="215" t="str">
        <x:v>Floral bract</x:v>
      </x:c>
      <x:c r="E286" s="215" t="str">
        <x:v>Each flower usually subtended by one scale or glume</x:v>
      </x:c>
      <x:c r="F286" s="215" t="str">
        <x:v>Core</x:v>
      </x:c>
      <x:c r="G286" s="215" t="str">
        <x:v>5</x:v>
      </x:c>
      <x:c r="H286" s="215" t="str">
        <x:v>High with magnification</x:v>
      </x:c>
      <x:c r="I286" s="215" t="str">
        <x:v>Hand lens</x:v>
      </x:c>
      <x:c r="J286" s="215" t="str">
        <x:v>Flowering or fruiting</x:v>
      </x:c>
      <x:c r="K286" s="215" t="str">
        <x:v>A sedge flower usually sits behind one scale instead of between a lemma and palea.</x:v>
      </x:c>
      <x:c r="L286" s="215" t="str">
        <x:v>Carex female flowers are enclosed by a perigynium in addition to the subtending scale, and complex spikelets may obscure the basic unit.</x:v>
      </x:c>
      <x:c r="M286" s="215" t="str">
        <x:v>One-scale construction is one of the best ways to separate sedges from grasses.</x:v>
      </x:c>
      <x:c r="N286" s="215" t="str">
        <x:v>Important in Hays County seeps, creek margins, wet depressions, seasonal swales, lawns, and moist disturbed ground; local material includes Carex, Cyperus, Eleocharis, and bulrush-like forms.</x:v>
      </x:c>
      <x:c r="O286" s="215" t="str">
        <x:v>Low</x:v>
      </x:c>
      <x:c r="P286" s="215" t="str">
        <x:v>No</x:v>
      </x:c>
      <x:c r="Q286" s="215" t="str"/>
      <x:c r="R286" s="215" t="str">
        <x:v>CYP-LK01</x:v>
      </x:c>
      <x:c r="S286" s="215" t="str">
        <x:v>APWEB-CYP; FNA-CYP; POWO-CYP; LBJWC-HAYS</x:v>
      </x:c>
      <x:c r="T286" s="215" t="str">
        <x:v>https://www.mobot.org/MOBOT/research/APweb/orders/poalesweb.htm</x:v>
      </x:c>
      <x:c r="U286" s="215" t="str">
        <x:v>https://floranorthamerica.org/Cyperaceae</x:v>
      </x:c>
      <x:c r="V286" s="215" t="str">
        <x:v>https://powo.science.kew.org/taxon/urn:lsid:ipni.org:names:30000197-2</x:v>
      </x:c>
      <x:c r="W286" s="215" t="str">
        <x:v>https://www.mobot.org/MOBOT/research/APweb/orders/poalesweb.htm
https://floranorthamerica.org/Cyperaceae
https://powo.science.kew.org/taxon/urn:lsid:ipni.org:names:30000197-2
https://www.wildflower.org/collections/collection.php?collection=hays</x:v>
      </x:c>
      <x:c r="X286" s="215" t="str">
        <x:v>No — retain qualifiers and exceptions</x:v>
      </x:c>
      <x:c r="Y286" s="215" t="str">
        <x:v>Yes</x:v>
      </x:c>
      <x:c r="Z286" s="215" t="str">
        <x:v>Source-backed draft</x:v>
      </x:c>
      <x:c r="AA286" s="215" t="str">
        <x:v>Family pattern</x:v>
      </x:c>
      <x:c r="AB286" s="215" t="str">
        <x:v>Positive diagnostic</x:v>
      </x:c>
      <x:c r="AC286" s="215" t="str">
        <x:v>High</x:v>
      </x:c>
      <x:c r="AD286" s="215" t="str">
        <x:v>Hand lens / macro</x:v>
      </x:c>
      <x:c r="AE286" s="215" t="str">
        <x:v>Low</x:v>
      </x:c>
      <x:c r="AF286" s="215" t="str">
        <x:v>Field-ready draft</x:v>
      </x:c>
      <x:c r="AG286" s="215" t="str">
        <x:v>2 — Field-photo priority</x:v>
      </x:c>
      <x:c r="AH286" s="215" t="str">
        <x:v>Current master inventory</x:v>
      </x:c>
    </x:row>
    <x:row r="287" ht="42" customHeight="1">
      <x:c r="A287" s="215" t="str">
        <x:v>Cyperaceae</x:v>
      </x:c>
      <x:c r="B287" s="215" t="str">
        <x:v>CYP-PERIANTH</x:v>
      </x:c>
      <x:c r="C287" s="215" t="str">
        <x:v>Broad family variation</x:v>
      </x:c>
      <x:c r="D287" s="215" t="str">
        <x:v>Perianth</x:v>
      </x:c>
      <x:c r="E287" s="215" t="str">
        <x:v>Perianth absent or reduced to bristles, hairs, or scales</x:v>
      </x:c>
      <x:c r="F287" s="215" t="str">
        <x:v>Strong</x:v>
      </x:c>
      <x:c r="G287" s="215" t="str">
        <x:v>4</x:v>
      </x:c>
      <x:c r="H287" s="215" t="str">
        <x:v>Variable</x:v>
      </x:c>
      <x:c r="I287" s="215" t="str">
        <x:v>Hand lens or dissection</x:v>
      </x:c>
      <x:c r="J287" s="215" t="str">
        <x:v>Flowering to fruiting</x:v>
      </x:c>
      <x:c r="K287" s="215" t="str">
        <x:v>Showy petals and sepals are missing; tiny bristles or scales may remain around the achene.</x:v>
      </x:c>
      <x:c r="L287" s="215" t="str">
        <x:v>Perianth parts can be absent, conspicuous, or modified, and may elongate strongly in cotton-grass relatives.</x:v>
      </x:c>
      <x:c r="M287" s="215" t="str">
        <x:v>Use mature fruit to see whether bristles persist around the achene.</x:v>
      </x:c>
      <x:c r="N287" s="215" t="str">
        <x:v>Important in Hays County seeps, creek margins, wet depressions, seasonal swales, lawns, and moist disturbed ground; local material includes Carex, Cyperus, Eleocharis, and bulrush-like forms.</x:v>
      </x:c>
      <x:c r="O287" s="215" t="str">
        <x:v>Low</x:v>
      </x:c>
      <x:c r="P287" s="215" t="str">
        <x:v>No</x:v>
      </x:c>
      <x:c r="Q287" s="215" t="str"/>
      <x:c r="R287" s="215" t="str">
        <x:v>CYP-LK02</x:v>
      </x:c>
      <x:c r="S287" s="215" t="str">
        <x:v>APWEB-CYP; FNA-CYP; POWO-CYP; LBJWC-HAYS</x:v>
      </x:c>
      <x:c r="T287" s="215" t="str">
        <x:v>https://www.mobot.org/MOBOT/research/APweb/orders/poalesweb.htm</x:v>
      </x:c>
      <x:c r="U287" s="215" t="str">
        <x:v>https://floranorthamerica.org/Cyperaceae</x:v>
      </x:c>
      <x:c r="V287" s="215" t="str">
        <x:v>https://powo.science.kew.org/taxon/urn:lsid:ipni.org:names:30000197-2</x:v>
      </x:c>
      <x:c r="W287" s="215" t="str">
        <x:v>https://www.mobot.org/MOBOT/research/APweb/orders/poalesweb.htm
https://floranorthamerica.org/Cyperaceae
https://powo.science.kew.org/taxon/urn:lsid:ipni.org:names:30000197-2
https://www.wildflower.org/collections/collection.php?collection=hays</x:v>
      </x:c>
      <x:c r="X287" s="215" t="str">
        <x:v>No — retain qualifiers and exceptions</x:v>
      </x:c>
      <x:c r="Y287" s="215" t="str">
        <x:v>Yes</x:v>
      </x:c>
      <x:c r="Z287" s="215" t="str">
        <x:v>Source-backed draft</x:v>
      </x:c>
      <x:c r="AA287" s="215" t="str">
        <x:v>Family pattern</x:v>
      </x:c>
      <x:c r="AB287" s="215" t="str">
        <x:v>Positive diagnostic</x:v>
      </x:c>
      <x:c r="AC287" s="215" t="str">
        <x:v>Variable</x:v>
      </x:c>
      <x:c r="AD287" s="215" t="str">
        <x:v>Dissection</x:v>
      </x:c>
      <x:c r="AE287" s="215" t="str">
        <x:v>Low</x:v>
      </x:c>
      <x:c r="AF287" s="215" t="str">
        <x:v>Dissection / close study</x:v>
      </x:c>
      <x:c r="AG287" s="215" t="str">
        <x:v>3 — Reference support</x:v>
      </x:c>
      <x:c r="AH287" s="215" t="str">
        <x:v>Current master inventory</x:v>
      </x:c>
    </x:row>
    <x:row r="288" ht="42" customHeight="1">
      <x:c r="A288" s="215" t="str">
        <x:v>Cyperaceae</x:v>
      </x:c>
      <x:c r="B288" s="215" t="str">
        <x:v>CYP-STYLE</x:v>
      </x:c>
      <x:c r="C288" s="215" t="str">
        <x:v>Broad family tendency</x:v>
      </x:c>
      <x:c r="D288" s="215" t="str">
        <x:v>Gynoecium</x:v>
      </x:c>
      <x:c r="E288" s="215" t="str">
        <x:v>One ovule per flower; style commonly two- or three-branched</x:v>
      </x:c>
      <x:c r="F288" s="215" t="str">
        <x:v>Strong</x:v>
      </x:c>
      <x:c r="G288" s="215" t="str">
        <x:v>4</x:v>
      </x:c>
      <x:c r="H288" s="215" t="str">
        <x:v>Moderate</x:v>
      </x:c>
      <x:c r="I288" s="215" t="str">
        <x:v>Hand lens</x:v>
      </x:c>
      <x:c r="J288" s="215" t="str">
        <x:v>Anthesis to early fruit</x:v>
      </x:c>
      <x:c r="K288" s="215" t="str">
        <x:v>The number of style branches often predicts whether the mature achene is flattened or three-angled.</x:v>
      </x:c>
      <x:c r="L288" s="215" t="str">
        <x:v>Branch number varies and can fall away after flowering; some lineages have special style bases or tubercles.</x:v>
      </x:c>
      <x:c r="M288" s="215" t="str">
        <x:v>Use style branches with mature achene shape for genus-level sorting after confirming Cyperaceae.</x:v>
      </x:c>
      <x:c r="N288" s="215" t="str">
        <x:v>Important in Hays County seeps, creek margins, wet depressions, seasonal swales, lawns, and moist disturbed ground; local material includes Carex, Cyperus, Eleocharis, and bulrush-like forms.</x:v>
      </x:c>
      <x:c r="O288" s="215" t="str">
        <x:v>Low</x:v>
      </x:c>
      <x:c r="P288" s="215" t="str">
        <x:v>No</x:v>
      </x:c>
      <x:c r="Q288" s="215" t="str"/>
      <x:c r="R288" s="215" t="str">
        <x:v>CYP-LK01</x:v>
      </x:c>
      <x:c r="S288" s="215" t="str">
        <x:v>APWEB-CYP; FNA-CYP; POWO-CYP; LBJWC-HAYS</x:v>
      </x:c>
      <x:c r="T288" s="215" t="str">
        <x:v>https://www.mobot.org/MOBOT/research/APweb/orders/poalesweb.htm</x:v>
      </x:c>
      <x:c r="U288" s="215" t="str">
        <x:v>https://floranorthamerica.org/Cyperaceae</x:v>
      </x:c>
      <x:c r="V288" s="215" t="str">
        <x:v>https://powo.science.kew.org/taxon/urn:lsid:ipni.org:names:30000197-2</x:v>
      </x:c>
      <x:c r="W288" s="215" t="str">
        <x:v>https://www.mobot.org/MOBOT/research/APweb/orders/poalesweb.htm
https://floranorthamerica.org/Cyperaceae
https://powo.science.kew.org/taxon/urn:lsid:ipni.org:names:30000197-2
https://www.wildflower.org/collections/collection.php?collection=hays</x:v>
      </x:c>
      <x:c r="X288" s="215" t="str">
        <x:v>No — retain qualifiers and exceptions</x:v>
      </x:c>
      <x:c r="Y288" s="215" t="str">
        <x:v>Yes</x:v>
      </x:c>
      <x:c r="Z288" s="215" t="str">
        <x:v>Source-backed draft</x:v>
      </x:c>
      <x:c r="AA288" s="215" t="str">
        <x:v>Family pattern</x:v>
      </x:c>
      <x:c r="AB288" s="215" t="str">
        <x:v>Positive diagnostic</x:v>
      </x:c>
      <x:c r="AC288" s="215" t="str">
        <x:v>Moderate</x:v>
      </x:c>
      <x:c r="AD288" s="215" t="str">
        <x:v>Hand lens / macro</x:v>
      </x:c>
      <x:c r="AE288" s="215" t="str">
        <x:v>Low</x:v>
      </x:c>
      <x:c r="AF288" s="215" t="str">
        <x:v>Field-ready draft</x:v>
      </x:c>
      <x:c r="AG288" s="215" t="str">
        <x:v>2 — Field-photo priority</x:v>
      </x:c>
      <x:c r="AH288" s="215" t="str">
        <x:v>Current master inventory</x:v>
      </x:c>
    </x:row>
    <x:row r="289" ht="42" customHeight="1">
      <x:c r="A289" s="215" t="str">
        <x:v>Cyperaceae</x:v>
      </x:c>
      <x:c r="B289" s="215" t="str">
        <x:v>CYP-FRUIT</x:v>
      </x:c>
      <x:c r="C289" s="215" t="str">
        <x:v>Family-wide structural theme</x:v>
      </x:c>
      <x:c r="D289" s="215" t="str">
        <x:v>Fruit</x:v>
      </x:c>
      <x:c r="E289" s="215" t="str">
        <x:v>Dry one-seeded achene, commonly lenticular or three-angled</x:v>
      </x:c>
      <x:c r="F289" s="215" t="str">
        <x:v>Core</x:v>
      </x:c>
      <x:c r="G289" s="215" t="str">
        <x:v>5</x:v>
      </x:c>
      <x:c r="H289" s="215" t="str">
        <x:v>High</x:v>
      </x:c>
      <x:c r="I289" s="215" t="str">
        <x:v>Hand lens</x:v>
      </x:c>
      <x:c r="J289" s="215" t="str">
        <x:v>Mature fruit</x:v>
      </x:c>
      <x:c r="K289" s="215" t="str">
        <x:v>Each flower normally makes one small, hard, seedlike fruit that is not fused to the seed coat.</x:v>
      </x:c>
      <x:c r="L289" s="215" t="str">
        <x:v>Achenes can be enclosed in a perigynium, surrounded by bristles, topped by a tubercle, or have varied surfaces.</x:v>
      </x:c>
      <x:c r="M289" s="215" t="str">
        <x:v>A true achene plus one-scale flower construction separates sedges from grasses with caryopses.</x:v>
      </x:c>
      <x:c r="N289" s="215" t="str">
        <x:v>Important in Hays County seeps, creek margins, wet depressions, seasonal swales, lawns, and moist disturbed ground; local material includes Carex, Cyperus, Eleocharis, and bulrush-like forms.</x:v>
      </x:c>
      <x:c r="O289" s="215" t="str">
        <x:v>Low</x:v>
      </x:c>
      <x:c r="P289" s="215" t="str">
        <x:v>No</x:v>
      </x:c>
      <x:c r="Q289" s="215" t="str"/>
      <x:c r="R289" s="215" t="str">
        <x:v>CYP-LK01; CYP-LK02</x:v>
      </x:c>
      <x:c r="S289" s="215" t="str">
        <x:v>APWEB-CYP; FNA-CYP; POWO-CYP; LBJWC-HAYS</x:v>
      </x:c>
      <x:c r="T289" s="215" t="str">
        <x:v>https://www.mobot.org/MOBOT/research/APweb/orders/poalesweb.htm</x:v>
      </x:c>
      <x:c r="U289" s="215" t="str">
        <x:v>https://floranorthamerica.org/Cyperaceae</x:v>
      </x:c>
      <x:c r="V289" s="215" t="str">
        <x:v>https://powo.science.kew.org/taxon/urn:lsid:ipni.org:names:30000197-2</x:v>
      </x:c>
      <x:c r="W289" s="215" t="str">
        <x:v>https://www.mobot.org/MOBOT/research/APweb/orders/poalesweb.htm
https://floranorthamerica.org/Cyperaceae
https://powo.science.kew.org/taxon/urn:lsid:ipni.org:names:30000197-2
https://www.wildflower.org/collections/collection.php?collection=hays</x:v>
      </x:c>
      <x:c r="X289" s="215" t="str">
        <x:v>No — retain qualifiers and exceptions</x:v>
      </x:c>
      <x:c r="Y289" s="215" t="str">
        <x:v>Yes</x:v>
      </x:c>
      <x:c r="Z289" s="215" t="str">
        <x:v>Source-backed draft</x:v>
      </x:c>
      <x:c r="AA289" s="215" t="str">
        <x:v>Family pattern</x:v>
      </x:c>
      <x:c r="AB289" s="215" t="str">
        <x:v>Positive diagnostic</x:v>
      </x:c>
      <x:c r="AC289" s="215" t="str">
        <x:v>High</x:v>
      </x:c>
      <x:c r="AD289" s="215" t="str">
        <x:v>Hand lens / macro</x:v>
      </x:c>
      <x:c r="AE289" s="215" t="str">
        <x:v>Low</x:v>
      </x:c>
      <x:c r="AF289" s="215" t="str">
        <x:v>Field-ready draft</x:v>
      </x:c>
      <x:c r="AG289" s="215" t="str">
        <x:v>2 — Field-photo priority</x:v>
      </x:c>
      <x:c r="AH289" s="215" t="str">
        <x:v>Current master inventory</x:v>
      </x:c>
    </x:row>
    <x:row r="290" ht="42" customHeight="1">
      <x:c r="A290" s="215" t="str">
        <x:v>Cyperaceae</x:v>
      </x:c>
      <x:c r="B290" s="215" t="str">
        <x:v>CYP-CAREX</x:v>
      </x:c>
      <x:c r="C290" s="215" t="str">
        <x:v>Subfamily / genus-group route</x:v>
      </x:c>
      <x:c r="D290" s="215" t="str">
        <x:v>Female flower enclosure</x:v>
      </x:c>
      <x:c r="E290" s="215" t="str">
        <x:v>Carex and close relatives enclose each female flower and achene in a perigynium</x:v>
      </x:c>
      <x:c r="F290" s="215" t="str">
        <x:v>Strong</x:v>
      </x:c>
      <x:c r="G290" s="215" t="str">
        <x:v>4</x:v>
      </x:c>
      <x:c r="H290" s="215" t="str">
        <x:v>High when mature</x:v>
      </x:c>
      <x:c r="I290" s="215" t="str">
        <x:v>Naked eye or hand lens</x:v>
      </x:c>
      <x:c r="J290" s="215" t="str">
        <x:v>Flowering to fruiting</x:v>
      </x:c>
      <x:c r="K290" s="215" t="str">
        <x:v>A small saclike structure surrounds the female flower and later the achene.</x:v>
      </x:c>
      <x:c r="L290" s="215" t="str">
        <x:v>This is not a family-wide sedge character and should never be required for Cyperus, Eleocharis, Schoenoplectus, or other sedges.</x:v>
      </x:c>
      <x:c r="M290" s="215" t="str">
        <x:v>When present, it strongly identifies the Carex group and prevents misreading the perigynium as a grass bract.</x:v>
      </x:c>
      <x:c r="N290" s="215" t="str">
        <x:v>Important in Hays County seeps, creek margins, wet depressions, seasonal swales, lawns, and moist disturbed ground; local material includes Carex, Cyperus, Eleocharis, and bulrush-like forms.</x:v>
      </x:c>
      <x:c r="O290" s="215" t="str">
        <x:v>Low</x:v>
      </x:c>
      <x:c r="P290" s="215" t="str">
        <x:v>No</x:v>
      </x:c>
      <x:c r="Q290" s="215" t="str"/>
      <x:c r="R290" s="215" t="str">
        <x:v>CYP-LK01</x:v>
      </x:c>
      <x:c r="S290" s="215" t="str">
        <x:v>APWEB-CYP; FNA-CYP; POWO-CYP; LBJWC-HAYS</x:v>
      </x:c>
      <x:c r="T290" s="215" t="str">
        <x:v>https://www.mobot.org/MOBOT/research/APweb/orders/poalesweb.htm</x:v>
      </x:c>
      <x:c r="U290" s="215" t="str">
        <x:v>https://floranorthamerica.org/Cyperaceae</x:v>
      </x:c>
      <x:c r="V290" s="215" t="str">
        <x:v>https://powo.science.kew.org/taxon/urn:lsid:ipni.org:names:30000197-2</x:v>
      </x:c>
      <x:c r="W290" s="215" t="str">
        <x:v>https://www.mobot.org/MOBOT/research/APweb/orders/poalesweb.htm
https://floranorthamerica.org/Cyperaceae
https://powo.science.kew.org/taxon/urn:lsid:ipni.org:names:30000197-2
https://www.wildflower.org/collections/collection.php?collection=hays</x:v>
      </x:c>
      <x:c r="X290" s="215" t="str">
        <x:v>No — retain qualifiers and exceptions</x:v>
      </x:c>
      <x:c r="Y290" s="215" t="str">
        <x:v>Yes</x:v>
      </x:c>
      <x:c r="Z290" s="215" t="str">
        <x:v>Source-backed draft</x:v>
      </x:c>
      <x:c r="AA290" s="215" t="str">
        <x:v>Local subgroup / route</x:v>
      </x:c>
      <x:c r="AB290" s="215" t="str">
        <x:v>Positive diagnostic</x:v>
      </x:c>
      <x:c r="AC290" s="215" t="str">
        <x:v>High</x:v>
      </x:c>
      <x:c r="AD290" s="215" t="str">
        <x:v>Hand lens / macro</x:v>
      </x:c>
      <x:c r="AE290" s="215" t="str">
        <x:v>Low</x:v>
      </x:c>
      <x:c r="AF290" s="215" t="str">
        <x:v>Field-ready draft</x:v>
      </x:c>
      <x:c r="AG290" s="215" t="str">
        <x:v>2 — Field-photo priority</x:v>
      </x:c>
      <x:c r="AH290" s="215" t="str">
        <x:v>Current master inventory</x:v>
      </x:c>
    </x:row>
    <x:row r="291" ht="42" customHeight="1">
      <x:c r="A291" s="215" t="str">
        <x:v>Cyperaceae</x:v>
      </x:c>
      <x:c r="B291" s="215" t="str">
        <x:v>CYP-LK01</x:v>
      </x:c>
      <x:c r="C291" s="215" t="str">
        <x:v>Hays County field comparison</x:v>
      </x:c>
      <x:c r="D291" s="215" t="str">
        <x:v>Lookalike comparison</x:v>
      </x:c>
      <x:c r="E291" s="215" t="str">
        <x:v>Cyperaceae versus Poaceae</x:v>
      </x:c>
      <x:c r="F291" s="215" t="str">
        <x:v>Strong</x:v>
      </x:c>
      <x:c r="G291" s="215" t="str">
        <x:v>5</x:v>
      </x:c>
      <x:c r="H291" s="215" t="str">
        <x:v>High with fertile material</x:v>
      </x:c>
      <x:c r="I291" s="215" t="str">
        <x:v>Naked eye to hand lens</x:v>
      </x:c>
      <x:c r="J291" s="215" t="str">
        <x:v>Vegetative plus fruiting preferred</x:v>
      </x:c>
      <x:c r="K291" s="215" t="str">
        <x:v>Sedges usually have closed sheaths, often solid angled culms, one scale per flower, and achenes; grasses usually have nodes, ligules, often open sheaths, lemma-palea florets, and caryopses.</x:v>
      </x:c>
      <x:c r="L291" s="215" t="str">
        <x:v>Stem shape and solidity each have exceptions in both families.</x:v>
      </x:c>
      <x:c r="M291" s="215" t="str">
        <x:v>Use sheath and reproductive-unit construction before applying the stem-shape shortcut.</x:v>
      </x:c>
      <x:c r="N291" s="215" t="str">
        <x:v>Important in Hays County seeps, creek margins, wet depressions, seasonal swales, lawns, and moist disturbed ground; local material includes Carex, Cyperus, Eleocharis, and bulrush-like forms.</x:v>
      </x:c>
      <x:c r="O291" s="215" t="str">
        <x:v>Low</x:v>
      </x:c>
      <x:c r="P291" s="215" t="str">
        <x:v>No</x:v>
      </x:c>
      <x:c r="Q291" s="215" t="str"/>
      <x:c r="R291" s="215" t="str"/>
      <x:c r="S291" s="215" t="str">
        <x:v>APWEB-CYP; FNA-CYP; POWO-CYP; APWEB-POAC; FNA-POAC; POWO-POAC; LBJWC-HAYS</x:v>
      </x:c>
      <x:c r="T291" s="215" t="str">
        <x:v>https://www.mobot.org/MOBOT/research/APweb/orders/poalesweb.htm</x:v>
      </x:c>
      <x:c r="U291" s="215" t="str">
        <x:v>https://floranorthamerica.org/Cyperaceae</x:v>
      </x:c>
      <x:c r="V291" s="215" t="str">
        <x:v>https://powo.science.kew.org/taxon/urn:lsid:ipni.org:names:30000197-2</x:v>
      </x:c>
      <x:c r="W291" s="215" t="str">
        <x:v>https://www.mobot.org/MOBOT/research/APweb/orders/poalesweb.htm
https://floranorthamerica.org/Cyperaceae
https://powo.science.kew.org/taxon/urn:lsid:ipni.org:names:30000197-2
https://www.wildflower.org/collections/collection.php?collection=hays
https://floranorthamerica.org/Poaceae
https://powo.science.kew.org/taxon/urn:lsid:ipni.org:names:30000032-2</x:v>
      </x:c>
      <x:c r="X291" s="215" t="str">
        <x:v>No — retain qualifiers and exceptions</x:v>
      </x:c>
      <x:c r="Y291" s="215" t="str">
        <x:v>Yes</x:v>
      </x:c>
      <x:c r="Z291" s="215" t="str">
        <x:v>Source-backed comparison draft</x:v>
      </x:c>
      <x:c r="AA291" s="215" t="str">
        <x:v>Other qualified pattern</x:v>
      </x:c>
      <x:c r="AB291" s="215" t="str">
        <x:v>Positive diagnostic</x:v>
      </x:c>
      <x:c r="AC291" s="215" t="str">
        <x:v>High</x:v>
      </x:c>
      <x:c r="AD291" s="215" t="str">
        <x:v>Hand lens / macro</x:v>
      </x:c>
      <x:c r="AE291" s="215" t="str">
        <x:v>Low</x:v>
      </x:c>
      <x:c r="AF291" s="215" t="str">
        <x:v>Field-ready draft</x:v>
      </x:c>
      <x:c r="AG291" s="215" t="str">
        <x:v>2 — Field-photo priority</x:v>
      </x:c>
      <x:c r="AH291" s="215" t="str">
        <x:v>Current master inventory</x:v>
      </x:c>
    </x:row>
    <x:row r="292" ht="42" customHeight="1">
      <x:c r="A292" s="215" t="str">
        <x:v>Cyperaceae</x:v>
      </x:c>
      <x:c r="B292" s="215" t="str">
        <x:v>CYP-LK02</x:v>
      </x:c>
      <x:c r="C292" s="215" t="str">
        <x:v>Hays County field comparison</x:v>
      </x:c>
      <x:c r="D292" s="215" t="str">
        <x:v>Lookalike comparison</x:v>
      </x:c>
      <x:c r="E292" s="215" t="str">
        <x:v>Cyperaceae versus Juncaceae</x:v>
      </x:c>
      <x:c r="F292" s="215" t="str">
        <x:v>Strong</x:v>
      </x:c>
      <x:c r="G292" s="215" t="str">
        <x:v>4</x:v>
      </x:c>
      <x:c r="H292" s="215" t="str">
        <x:v>Moderate</x:v>
      </x:c>
      <x:c r="I292" s="215" t="str">
        <x:v>Naked eye to hand lens</x:v>
      </x:c>
      <x:c r="J292" s="215" t="str">
        <x:v>Flowering or fruiting</x:v>
      </x:c>
      <x:c r="K292" s="215" t="str">
        <x:v>Sedges usually reduce the perianth and produce achenes in scale-bearing spikelets; rushes more often retain six small tepals and produce capsules with more than one seed.</x:v>
      </x:c>
      <x:c r="L292" s="215" t="str">
        <x:v>Highly reduced flowers and immature fruit can be ambiguous, especially in dense wetland vegetation.</x:v>
      </x:c>
      <x:c r="M292" s="215" t="str">
        <x:v>Open a mature flower or fruiting unit and compare perianth and fruit type.</x:v>
      </x:c>
      <x:c r="N292" s="215" t="str">
        <x:v>Important in Hays County seeps, creek margins, wet depressions, seasonal swales, lawns, and moist disturbed ground; local material includes Carex, Cyperus, Eleocharis, and bulrush-like forms.</x:v>
      </x:c>
      <x:c r="O292" s="215" t="str">
        <x:v>Moderate</x:v>
      </x:c>
      <x:c r="P292" s="215" t="str">
        <x:v>Yes</x:v>
      </x:c>
      <x:c r="Q292" s="215" t="str">
        <x:v>Juncaceae comparison should be rechecked against its future Hays family treatment.</x:v>
      </x:c>
      <x:c r="R292" s="215" t="str"/>
      <x:c r="S292" s="215" t="str">
        <x:v>APWEB-CYP; FNA-CYP; POWO-CYP; FNA-JUNC; LBJWC-HAYS</x:v>
      </x:c>
      <x:c r="T292" s="215" t="str">
        <x:v>https://www.mobot.org/MOBOT/research/APweb/orders/poalesweb.htm</x:v>
      </x:c>
      <x:c r="U292" s="215" t="str">
        <x:v>https://floranorthamerica.org/Cyperaceae</x:v>
      </x:c>
      <x:c r="V292" s="215" t="str">
        <x:v>https://powo.science.kew.org/taxon/urn:lsid:ipni.org:names:30000197-2</x:v>
      </x:c>
      <x:c r="W292" s="215" t="str">
        <x:v>https://www.mobot.org/MOBOT/research/APweb/orders/poalesweb.htm
https://floranorthamerica.org/Cyperaceae
https://powo.science.kew.org/taxon/urn:lsid:ipni.org:names:30000197-2
https://www.wildflower.org/collections/collection.php?collection=hays
https://floranorthamerica.org/Juncaceae</x:v>
      </x:c>
      <x:c r="X292" s="215" t="str">
        <x:v>No — retain qualifiers and exceptions</x:v>
      </x:c>
      <x:c r="Y292" s="215" t="str">
        <x:v>Yes</x:v>
      </x:c>
      <x:c r="Z292" s="215" t="str">
        <x:v>Source-backed comparison draft</x:v>
      </x:c>
      <x:c r="AA292" s="215" t="str">
        <x:v>Other qualified pattern</x:v>
      </x:c>
      <x:c r="AB292" s="215" t="str">
        <x:v>Positive diagnostic</x:v>
      </x:c>
      <x:c r="AC292" s="215" t="str">
        <x:v>Moderate</x:v>
      </x:c>
      <x:c r="AD292" s="215" t="str">
        <x:v>Hand lens / macro</x:v>
      </x:c>
      <x:c r="AE292" s="215" t="str">
        <x:v>Moderate</x:v>
      </x:c>
      <x:c r="AF292" s="215" t="str">
        <x:v>Use only after review</x:v>
      </x:c>
      <x:c r="AG292" s="215" t="str">
        <x:v>1 — Human review now</x:v>
      </x:c>
      <x:c r="AH292" s="215" t="str">
        <x:v>Current master inventory</x:v>
      </x:c>
    </x:row>
    <x:row r="293" ht="42" customHeight="1">
      <x:c r="A293" s="215" t="str">
        <x:v>Lamiaceae</x:v>
      </x:c>
      <x:c r="B293" s="215" t="str">
        <x:v>LAM-HABIT</x:v>
      </x:c>
      <x:c r="C293" s="215" t="str">
        <x:v>Family-wide variation</x:v>
      </x:c>
      <x:c r="D293" s="215" t="str">
        <x:v>Habit</x:v>
      </x:c>
      <x:c r="E293" s="215" t="str">
        <x:v>Mostly herbs and shrubs, with vines and trees also present</x:v>
      </x:c>
      <x:c r="F293" s="215" t="str">
        <x:v>Supporting</x:v>
      </x:c>
      <x:c r="G293" s="215" t="str">
        <x:v>2</x:v>
      </x:c>
      <x:c r="H293" s="215" t="str">
        <x:v>Variable</x:v>
      </x:c>
      <x:c r="I293" s="215" t="str">
        <x:v>Naked eye</x:v>
      </x:c>
      <x:c r="J293" s="215" t="str">
        <x:v>Any</x:v>
      </x:c>
      <x:c r="K293" s="215" t="str">
        <x:v>Many local mints are herbs, but the modern family also includes woody members formerly placed near Verbenaceae.</x:v>
      </x:c>
      <x:c r="L293" s="215" t="str">
        <x:v>Habit cannot confirm or reject Lamiaceae, particularly under the modern broad circumscription.</x:v>
      </x:c>
      <x:c r="M293" s="215" t="str">
        <x:v>Use only as context before checking leaf arrangement, inflorescence, flower, and fruit.</x:v>
      </x:c>
      <x:c r="N293" s="215" t="str">
        <x:v>Well represented in Hays County prairies, rocky openings, woodland edges, seeps, and disturbed ground; local herbs include Monarda, Salvia, Scutellaria, Stachys, and Hedeoma, with woody exceptions also possible.</x:v>
      </x:c>
      <x:c r="O293" s="215" t="str">
        <x:v>Low</x:v>
      </x:c>
      <x:c r="P293" s="215" t="str">
        <x:v>No</x:v>
      </x:c>
      <x:c r="Q293" s="215" t="str"/>
      <x:c r="R293" s="215" t="str">
        <x:v>LAM-LK01; LAM-LK02</x:v>
      </x:c>
      <x:c r="S293" s="215" t="str">
        <x:v>APWEB-LAM; POWO-LAM-GI; POWO-LAM; LBJWC-HAYS</x:v>
      </x:c>
      <x:c r="T293" s="215" t="str">
        <x:v>https://www.mobot.org/MOBOT/research/APweb/orders/lamialesweb.htm</x:v>
      </x:c>
      <x:c r="U293" s="215" t="str">
        <x:v>https://powo.science.kew.org/taxon/urn:lsid:ipni.org:names:30000097-2/general-information</x:v>
      </x:c>
      <x:c r="V293" s="215" t="str">
        <x:v>https://powo.science.kew.org/taxon/urn:lsid:ipni.org:names:30000097-2</x:v>
      </x:c>
      <x:c r="W293" s="215" t="str">
        <x:v>https://www.mobot.org/MOBOT/research/APweb/orders/lamialesweb.htm
https://powo.science.kew.org/taxon/urn:lsid:ipni.org:names:30000097-2/general-information
https://powo.science.kew.org/taxon/urn:lsid:ipni.org:names:30000097-2
https://www.wildflower.org/collections/collection.php?collection=hays</x:v>
      </x:c>
      <x:c r="X293" s="215" t="str">
        <x:v>No — retain qualifiers and exceptions</x:v>
      </x:c>
      <x:c r="Y293" s="215" t="str">
        <x:v>Yes</x:v>
      </x:c>
      <x:c r="Z293" s="215" t="str">
        <x:v>Source-backed draft</x:v>
      </x:c>
      <x:c r="AA293" s="215" t="str">
        <x:v>Family pattern</x:v>
      </x:c>
      <x:c r="AB293" s="215" t="str">
        <x:v>Supporting / route</x:v>
      </x:c>
      <x:c r="AC293" s="215" t="str">
        <x:v>Variable</x:v>
      </x:c>
      <x:c r="AD293" s="215" t="str">
        <x:v>Naked eye / field</x:v>
      </x:c>
      <x:c r="AE293" s="215" t="str">
        <x:v>Low</x:v>
      </x:c>
      <x:c r="AF293" s="215" t="str">
        <x:v>Field-ready draft</x:v>
      </x:c>
      <x:c r="AG293" s="215" t="str">
        <x:v>4 — Context / caution</x:v>
      </x:c>
      <x:c r="AH293" s="215" t="str">
        <x:v>Current master inventory</x:v>
      </x:c>
    </x:row>
    <x:row r="294" ht="42" customHeight="1">
      <x:c r="A294" s="215" t="str">
        <x:v>Lamiaceae</x:v>
      </x:c>
      <x:c r="B294" s="215" t="str">
        <x:v>LAM-STEM</x:v>
      </x:c>
      <x:c r="C294" s="215" t="str">
        <x:v>Broad family tendency</x:v>
      </x:c>
      <x:c r="D294" s="215" t="str">
        <x:v>Stem</x:v>
      </x:c>
      <x:c r="E294" s="215" t="str">
        <x:v>Stems often four-angled or square in cross-section</x:v>
      </x:c>
      <x:c r="F294" s="215" t="str">
        <x:v>Strong</x:v>
      </x:c>
      <x:c r="G294" s="215" t="str">
        <x:v>4</x:v>
      </x:c>
      <x:c r="H294" s="215" t="str">
        <x:v>Variable</x:v>
      </x:c>
      <x:c r="I294" s="215" t="str">
        <x:v>Naked eye and touch</x:v>
      </x:c>
      <x:c r="J294" s="215" t="str">
        <x:v>Vegetative to flowering</x:v>
      </x:c>
      <x:c r="K294" s="215" t="str">
        <x:v>Many mint stems have four noticeable corners.</x:v>
      </x:c>
      <x:c r="L294" s="215" t="str">
        <x:v>Round or weakly angled stems occur, woody twigs can hide the character, and square stems also occur in unrelated families.</x:v>
      </x:c>
      <x:c r="M294" s="215" t="str">
        <x:v>Use as an early clue only; confirm with opposite leaves and the gynoecium or fruit.</x:v>
      </x:c>
      <x:c r="N294" s="215" t="str">
        <x:v>Well represented in Hays County prairies, rocky openings, woodland edges, seeps, and disturbed ground; local herbs include Monarda, Salvia, Scutellaria, Stachys, and Hedeoma, with woody exceptions also possible.</x:v>
      </x:c>
      <x:c r="O294" s="215" t="str">
        <x:v>Low</x:v>
      </x:c>
      <x:c r="P294" s="215" t="str">
        <x:v>No</x:v>
      </x:c>
      <x:c r="Q294" s="215" t="str"/>
      <x:c r="R294" s="215" t="str">
        <x:v>LAM-LK01; LAM-LK02</x:v>
      </x:c>
      <x:c r="S294" s="215" t="str">
        <x:v>APWEB-LAM; POWO-LAM-GI; POWO-LAM; LBJWC-HAYS</x:v>
      </x:c>
      <x:c r="T294" s="215" t="str">
        <x:v>https://www.mobot.org/MOBOT/research/APweb/orders/lamialesweb.htm</x:v>
      </x:c>
      <x:c r="U294" s="215" t="str">
        <x:v>https://powo.science.kew.org/taxon/urn:lsid:ipni.org:names:30000097-2/general-information</x:v>
      </x:c>
      <x:c r="V294" s="215" t="str">
        <x:v>https://powo.science.kew.org/taxon/urn:lsid:ipni.org:names:30000097-2</x:v>
      </x:c>
      <x:c r="W294" s="215" t="str">
        <x:v>https://www.mobot.org/MOBOT/research/APweb/orders/lamialesweb.htm
https://powo.science.kew.org/taxon/urn:lsid:ipni.org:names:30000097-2/general-information
https://powo.science.kew.org/taxon/urn:lsid:ipni.org:names:30000097-2
https://www.wildflower.org/collections/collection.php?collection=hays</x:v>
      </x:c>
      <x:c r="X294" s="215" t="str">
        <x:v>No — retain qualifiers and exceptions</x:v>
      </x:c>
      <x:c r="Y294" s="215" t="str">
        <x:v>Yes</x:v>
      </x:c>
      <x:c r="Z294" s="215" t="str">
        <x:v>Source-backed draft</x:v>
      </x:c>
      <x:c r="AA294" s="215" t="str">
        <x:v>Family pattern</x:v>
      </x:c>
      <x:c r="AB294" s="215" t="str">
        <x:v>Positive diagnostic</x:v>
      </x:c>
      <x:c r="AC294" s="215" t="str">
        <x:v>Variable</x:v>
      </x:c>
      <x:c r="AD294" s="215" t="str">
        <x:v>Special handling</x:v>
      </x:c>
      <x:c r="AE294" s="215" t="str">
        <x:v>Low</x:v>
      </x:c>
      <x:c r="AF294" s="215" t="str">
        <x:v>Field-ready draft</x:v>
      </x:c>
      <x:c r="AG294" s="215" t="str">
        <x:v>3 — Reference support</x:v>
      </x:c>
      <x:c r="AH294" s="215" t="str">
        <x:v>Current master inventory</x:v>
      </x:c>
    </x:row>
    <x:row r="295" ht="42" customHeight="1">
      <x:c r="A295" s="215" t="str">
        <x:v>Lamiaceae</x:v>
      </x:c>
      <x:c r="B295" s="215" t="str">
        <x:v>LAM-LEAF</x:v>
      </x:c>
      <x:c r="C295" s="215" t="str">
        <x:v>Broad family tendency</x:v>
      </x:c>
      <x:c r="D295" s="215" t="str">
        <x:v>Leaf</x:v>
      </x:c>
      <x:c r="E295" s="215" t="str">
        <x:v>Leaves usually opposite, often decussate, estipulate, and commonly toothed</x:v>
      </x:c>
      <x:c r="F295" s="215" t="str">
        <x:v>Strong</x:v>
      </x:c>
      <x:c r="G295" s="215" t="str">
        <x:v>4</x:v>
      </x:c>
      <x:c r="H295" s="215" t="str">
        <x:v>High in typical material</x:v>
      </x:c>
      <x:c r="I295" s="215" t="str">
        <x:v>Naked eye</x:v>
      </x:c>
      <x:c r="J295" s="215" t="str">
        <x:v>Vegetative</x:v>
      </x:c>
      <x:c r="K295" s="215" t="str">
        <x:v>Leaf pairs usually sit across from each other, with each new pair rotated relative to the one below.</x:v>
      </x:c>
      <x:c r="L295" s="215" t="str">
        <x:v>Whorled or alternate arrangements occur in some members; margins may be entire and leaves can be very small.</x:v>
      </x:c>
      <x:c r="M295" s="215" t="str">
        <x:v>Pair leaf arrangement with square stems, cymose clusters, and four-lobed ovary or nutlets.</x:v>
      </x:c>
      <x:c r="N295" s="215" t="str">
        <x:v>Well represented in Hays County prairies, rocky openings, woodland edges, seeps, and disturbed ground; local herbs include Monarda, Salvia, Scutellaria, Stachys, and Hedeoma, with woody exceptions also possible.</x:v>
      </x:c>
      <x:c r="O295" s="215" t="str">
        <x:v>Low</x:v>
      </x:c>
      <x:c r="P295" s="215" t="str">
        <x:v>No</x:v>
      </x:c>
      <x:c r="Q295" s="215" t="str"/>
      <x:c r="R295" s="215" t="str">
        <x:v>LAM-LK01; LAM-LK02</x:v>
      </x:c>
      <x:c r="S295" s="215" t="str">
        <x:v>APWEB-LAM; POWO-LAM-GI; POWO-LAM; LBJWC-HAYS</x:v>
      </x:c>
      <x:c r="T295" s="215" t="str">
        <x:v>https://www.mobot.org/MOBOT/research/APweb/orders/lamialesweb.htm</x:v>
      </x:c>
      <x:c r="U295" s="215" t="str">
        <x:v>https://powo.science.kew.org/taxon/urn:lsid:ipni.org:names:30000097-2/general-information</x:v>
      </x:c>
      <x:c r="V295" s="215" t="str">
        <x:v>https://powo.science.kew.org/taxon/urn:lsid:ipni.org:names:30000097-2</x:v>
      </x:c>
      <x:c r="W295" s="215" t="str">
        <x:v>https://www.mobot.org/MOBOT/research/APweb/orders/lamialesweb.htm
https://powo.science.kew.org/taxon/urn:lsid:ipni.org:names:30000097-2/general-information
https://powo.science.kew.org/taxon/urn:lsid:ipni.org:names:30000097-2
https://www.wildflower.org/collections/collection.php?collection=hays</x:v>
      </x:c>
      <x:c r="X295" s="215" t="str">
        <x:v>No — retain qualifiers and exceptions</x:v>
      </x:c>
      <x:c r="Y295" s="215" t="str">
        <x:v>Yes</x:v>
      </x:c>
      <x:c r="Z295" s="215" t="str">
        <x:v>Source-backed draft</x:v>
      </x:c>
      <x:c r="AA295" s="215" t="str">
        <x:v>Family pattern</x:v>
      </x:c>
      <x:c r="AB295" s="215" t="str">
        <x:v>Positive diagnostic</x:v>
      </x:c>
      <x:c r="AC295" s="215" t="str">
        <x:v>High</x:v>
      </x:c>
      <x:c r="AD295" s="215" t="str">
        <x:v>Naked eye / field</x:v>
      </x:c>
      <x:c r="AE295" s="215" t="str">
        <x:v>Low</x:v>
      </x:c>
      <x:c r="AF295" s="215" t="str">
        <x:v>Field-ready draft</x:v>
      </x:c>
      <x:c r="AG295" s="215" t="str">
        <x:v>2 — Field-photo priority</x:v>
      </x:c>
      <x:c r="AH295" s="215" t="str">
        <x:v>Current master inventory</x:v>
      </x:c>
    </x:row>
    <x:row r="296" ht="42" customHeight="1">
      <x:c r="A296" s="215" t="str">
        <x:v>Lamiaceae</x:v>
      </x:c>
      <x:c r="B296" s="215" t="str">
        <x:v>LAM-AROMA</x:v>
      </x:c>
      <x:c r="C296" s="215" t="str">
        <x:v>Common, not family-wide</x:v>
      </x:c>
      <x:c r="D296" s="215" t="str">
        <x:v>Glands / odor</x:v>
      </x:c>
      <x:c r="E296" s="215" t="str">
        <x:v>Plants often aromatic from glandular hairs and essential oils</x:v>
      </x:c>
      <x:c r="F296" s="215" t="str">
        <x:v>Supporting</x:v>
      </x:c>
      <x:c r="G296" s="215" t="str">
        <x:v>2</x:v>
      </x:c>
      <x:c r="H296" s="215" t="str">
        <x:v>Variable</x:v>
      </x:c>
      <x:c r="I296" s="215" t="str">
        <x:v>Smell and hand lens</x:v>
      </x:c>
      <x:c r="J296" s="215" t="str">
        <x:v>Fresh vegetative or flowering material</x:v>
      </x:c>
      <x:c r="K296" s="215" t="str">
        <x:v>Gently rubbing a leaf may release a minty, resinous, citrus, or otherwise strong scent.</x:v>
      </x:c>
      <x:c r="L296" s="215" t="str">
        <x:v>Many Lamiaceae are weakly scented or odorless, and aromatic plants occur in numerous other families.</x:v>
      </x:c>
      <x:c r="M296" s="215" t="str">
        <x:v>Use odor to prompt closer inspection, never as a pass/fail family character.</x:v>
      </x:c>
      <x:c r="N296" s="215" t="str">
        <x:v>Well represented in Hays County prairies, rocky openings, woodland edges, seeps, and disturbed ground; local herbs include Monarda, Salvia, Scutellaria, Stachys, and Hedeoma, with woody exceptions also possible.</x:v>
      </x:c>
      <x:c r="O296" s="215" t="str">
        <x:v>Low</x:v>
      </x:c>
      <x:c r="P296" s="215" t="str">
        <x:v>No</x:v>
      </x:c>
      <x:c r="Q296" s="215" t="str"/>
      <x:c r="R296" s="215" t="str">
        <x:v>LAM-LK01; LAM-LK02</x:v>
      </x:c>
      <x:c r="S296" s="215" t="str">
        <x:v>APWEB-LAM; POWO-LAM-GI; POWO-LAM; LBJWC-HAYS</x:v>
      </x:c>
      <x:c r="T296" s="215" t="str">
        <x:v>https://www.mobot.org/MOBOT/research/APweb/orders/lamialesweb.htm</x:v>
      </x:c>
      <x:c r="U296" s="215" t="str">
        <x:v>https://powo.science.kew.org/taxon/urn:lsid:ipni.org:names:30000097-2/general-information</x:v>
      </x:c>
      <x:c r="V296" s="215" t="str">
        <x:v>https://powo.science.kew.org/taxon/urn:lsid:ipni.org:names:30000097-2</x:v>
      </x:c>
      <x:c r="W296" s="215" t="str">
        <x:v>https://www.mobot.org/MOBOT/research/APweb/orders/lamialesweb.htm
https://powo.science.kew.org/taxon/urn:lsid:ipni.org:names:30000097-2/general-information
https://powo.science.kew.org/taxon/urn:lsid:ipni.org:names:30000097-2
https://www.wildflower.org/collections/collection.php?collection=hays</x:v>
      </x:c>
      <x:c r="X296" s="215" t="str">
        <x:v>No — retain qualifiers and exceptions</x:v>
      </x:c>
      <x:c r="Y296" s="215" t="str">
        <x:v>Yes</x:v>
      </x:c>
      <x:c r="Z296" s="215" t="str">
        <x:v>Source-backed draft</x:v>
      </x:c>
      <x:c r="AA296" s="215" t="str">
        <x:v>Family pattern</x:v>
      </x:c>
      <x:c r="AB296" s="215" t="str">
        <x:v>Supporting / route</x:v>
      </x:c>
      <x:c r="AC296" s="215" t="str">
        <x:v>Variable</x:v>
      </x:c>
      <x:c r="AD296" s="215" t="str">
        <x:v>Special handling</x:v>
      </x:c>
      <x:c r="AE296" s="215" t="str">
        <x:v>Low</x:v>
      </x:c>
      <x:c r="AF296" s="215" t="str">
        <x:v>Field-ready draft</x:v>
      </x:c>
      <x:c r="AG296" s="215" t="str">
        <x:v>4 — Context / caution</x:v>
      </x:c>
      <x:c r="AH296" s="215" t="str">
        <x:v>Current master inventory</x:v>
      </x:c>
    </x:row>
    <x:row r="297" ht="42" customHeight="1">
      <x:c r="A297" s="215" t="str">
        <x:v>Lamiaceae</x:v>
      </x:c>
      <x:c r="B297" s="215" t="str">
        <x:v>LAM-INFLO</x:v>
      </x:c>
      <x:c r="C297" s="215" t="str">
        <x:v>Broad family tendency</x:v>
      </x:c>
      <x:c r="D297" s="215" t="str">
        <x:v>Inflorescence</x:v>
      </x:c>
      <x:c r="E297" s="215" t="str">
        <x:v>Inflorescence branches commonly cymose, often condensed into verticillaster-like clusters</x:v>
      </x:c>
      <x:c r="F297" s="215" t="str">
        <x:v>Strong</x:v>
      </x:c>
      <x:c r="G297" s="215" t="str">
        <x:v>4</x:v>
      </x:c>
      <x:c r="H297" s="215" t="str">
        <x:v>Moderate</x:v>
      </x:c>
      <x:c r="I297" s="215" t="str">
        <x:v>Naked eye</x:v>
      </x:c>
      <x:c r="J297" s="215" t="str">
        <x:v>Flowering</x:v>
      </x:c>
      <x:c r="K297" s="215" t="str">
        <x:v>Flowers often form paired side clusters that can look like rings around the stem.</x:v>
      </x:c>
      <x:c r="L297" s="215" t="str">
        <x:v>Cymes may be reduced, elongated, solitary, or arranged into larger spikes and panicles; architecture can be hard to see without tracing branches.</x:v>
      </x:c>
      <x:c r="M297" s="215" t="str">
        <x:v>Cymose clustering helps separate many Lamiaceae from racemose Verbenaceae when flowers and fruit are incomplete.</x:v>
      </x:c>
      <x:c r="N297" s="215" t="str">
        <x:v>Well represented in Hays County prairies, rocky openings, woodland edges, seeps, and disturbed ground; local herbs include Monarda, Salvia, Scutellaria, Stachys, and Hedeoma, with woody exceptions also possible.</x:v>
      </x:c>
      <x:c r="O297" s="215" t="str">
        <x:v>Low</x:v>
      </x:c>
      <x:c r="P297" s="215" t="str">
        <x:v>No</x:v>
      </x:c>
      <x:c r="Q297" s="215" t="str"/>
      <x:c r="R297" s="215" t="str">
        <x:v>LAM-LK01</x:v>
      </x:c>
      <x:c r="S297" s="215" t="str">
        <x:v>APWEB-LAM; POWO-LAM-GI; POWO-LAM; LBJWC-HAYS</x:v>
      </x:c>
      <x:c r="T297" s="215" t="str">
        <x:v>https://www.mobot.org/MOBOT/research/APweb/orders/lamialesweb.htm</x:v>
      </x:c>
      <x:c r="U297" s="215" t="str">
        <x:v>https://powo.science.kew.org/taxon/urn:lsid:ipni.org:names:30000097-2/general-information</x:v>
      </x:c>
      <x:c r="V297" s="215" t="str">
        <x:v>https://powo.science.kew.org/taxon/urn:lsid:ipni.org:names:30000097-2</x:v>
      </x:c>
      <x:c r="W297" s="215" t="str">
        <x:v>https://www.mobot.org/MOBOT/research/APweb/orders/lamialesweb.htm
https://powo.science.kew.org/taxon/urn:lsid:ipni.org:names:30000097-2/general-information
https://powo.science.kew.org/taxon/urn:lsid:ipni.org:names:30000097-2
https://www.wildflower.org/collections/collection.php?collection=hays</x:v>
      </x:c>
      <x:c r="X297" s="215" t="str">
        <x:v>No — retain qualifiers and exceptions</x:v>
      </x:c>
      <x:c r="Y297" s="215" t="str">
        <x:v>Yes</x:v>
      </x:c>
      <x:c r="Z297" s="215" t="str">
        <x:v>Source-backed draft</x:v>
      </x:c>
      <x:c r="AA297" s="215" t="str">
        <x:v>Family pattern</x:v>
      </x:c>
      <x:c r="AB297" s="215" t="str">
        <x:v>Positive diagnostic</x:v>
      </x:c>
      <x:c r="AC297" s="215" t="str">
        <x:v>Moderate</x:v>
      </x:c>
      <x:c r="AD297" s="215" t="str">
        <x:v>Naked eye / field</x:v>
      </x:c>
      <x:c r="AE297" s="215" t="str">
        <x:v>Low</x:v>
      </x:c>
      <x:c r="AF297" s="215" t="str">
        <x:v>Field-ready draft</x:v>
      </x:c>
      <x:c r="AG297" s="215" t="str">
        <x:v>2 — Field-photo priority</x:v>
      </x:c>
      <x:c r="AH297" s="215" t="str">
        <x:v>Current master inventory</x:v>
      </x:c>
    </x:row>
    <x:row r="298" ht="42" customHeight="1">
      <x:c r="A298" s="215" t="str">
        <x:v>Lamiaceae</x:v>
      </x:c>
      <x:c r="B298" s="215" t="str">
        <x:v>LAM-COROLLA</x:v>
      </x:c>
      <x:c r="C298" s="215" t="str">
        <x:v>Broad family tendency</x:v>
      </x:c>
      <x:c r="D298" s="215" t="str">
        <x:v>Corolla</x:v>
      </x:c>
      <x:c r="E298" s="215" t="str">
        <x:v>Corolla sympetalous and usually zygomorphic, commonly two-lipped</x:v>
      </x:c>
      <x:c r="F298" s="215" t="str">
        <x:v>Strong</x:v>
      </x:c>
      <x:c r="G298" s="215" t="str">
        <x:v>4</x:v>
      </x:c>
      <x:c r="H298" s="215" t="str">
        <x:v>Variable</x:v>
      </x:c>
      <x:c r="I298" s="215" t="str">
        <x:v>Naked eye</x:v>
      </x:c>
      <x:c r="J298" s="215" t="str">
        <x:v>Flowering</x:v>
      </x:c>
      <x:c r="K298" s="215" t="str">
        <x:v>Five joined petals often form an upper and lower lip around the stamens and style.</x:v>
      </x:c>
      <x:c r="L298" s="215" t="str">
        <x:v>Nearly actinomorphic corollas occur, especially in some mint-like groups, and lobe proportions vary greatly.</x:v>
      </x:c>
      <x:c r="M298" s="215" t="str">
        <x:v>Use floral symmetry with stamen number and four-lobed ovary; do not require a dramatic two-lipped flower.</x:v>
      </x:c>
      <x:c r="N298" s="215" t="str">
        <x:v>Well represented in Hays County prairies, rocky openings, woodland edges, seeps, and disturbed ground; local herbs include Monarda, Salvia, Scutellaria, Stachys, and Hedeoma, with woody exceptions also possible.</x:v>
      </x:c>
      <x:c r="O298" s="215" t="str">
        <x:v>Low</x:v>
      </x:c>
      <x:c r="P298" s="215" t="str">
        <x:v>No</x:v>
      </x:c>
      <x:c r="Q298" s="215" t="str"/>
      <x:c r="R298" s="215" t="str">
        <x:v>LAM-LK01; LAM-LK02</x:v>
      </x:c>
      <x:c r="S298" s="215" t="str">
        <x:v>APWEB-LAM; POWO-LAM-GI; POWO-LAM; LBJWC-HAYS</x:v>
      </x:c>
      <x:c r="T298" s="215" t="str">
        <x:v>https://www.mobot.org/MOBOT/research/APweb/orders/lamialesweb.htm</x:v>
      </x:c>
      <x:c r="U298" s="215" t="str">
        <x:v>https://powo.science.kew.org/taxon/urn:lsid:ipni.org:names:30000097-2/general-information</x:v>
      </x:c>
      <x:c r="V298" s="215" t="str">
        <x:v>https://powo.science.kew.org/taxon/urn:lsid:ipni.org:names:30000097-2</x:v>
      </x:c>
      <x:c r="W298" s="215" t="str">
        <x:v>https://www.mobot.org/MOBOT/research/APweb/orders/lamialesweb.htm
https://powo.science.kew.org/taxon/urn:lsid:ipni.org:names:30000097-2/general-information
https://powo.science.kew.org/taxon/urn:lsid:ipni.org:names:30000097-2
https://www.wildflower.org/collections/collection.php?collection=hays</x:v>
      </x:c>
      <x:c r="X298" s="215" t="str">
        <x:v>No — retain qualifiers and exceptions</x:v>
      </x:c>
      <x:c r="Y298" s="215" t="str">
        <x:v>Yes</x:v>
      </x:c>
      <x:c r="Z298" s="215" t="str">
        <x:v>Source-backed draft</x:v>
      </x:c>
      <x:c r="AA298" s="215" t="str">
        <x:v>Family pattern</x:v>
      </x:c>
      <x:c r="AB298" s="215" t="str">
        <x:v>Positive diagnostic</x:v>
      </x:c>
      <x:c r="AC298" s="215" t="str">
        <x:v>Variable</x:v>
      </x:c>
      <x:c r="AD298" s="215" t="str">
        <x:v>Naked eye / field</x:v>
      </x:c>
      <x:c r="AE298" s="215" t="str">
        <x:v>Low</x:v>
      </x:c>
      <x:c r="AF298" s="215" t="str">
        <x:v>Field-ready draft</x:v>
      </x:c>
      <x:c r="AG298" s="215" t="str">
        <x:v>2 — Field-photo priority</x:v>
      </x:c>
      <x:c r="AH298" s="215" t="str">
        <x:v>Current master inventory</x:v>
      </x:c>
    </x:row>
    <x:row r="299" ht="42" customHeight="1">
      <x:c r="A299" s="215" t="str">
        <x:v>Lamiaceae</x:v>
      </x:c>
      <x:c r="B299" s="215" t="str">
        <x:v>LAM-STAMEN</x:v>
      </x:c>
      <x:c r="C299" s="215" t="str">
        <x:v>Broad family tendency</x:v>
      </x:c>
      <x:c r="D299" s="215" t="str">
        <x:v>Androecium</x:v>
      </x:c>
      <x:c r="E299" s="215" t="str">
        <x:v>Usually four didynamous stamens or two fertile stamens</x:v>
      </x:c>
      <x:c r="F299" s="215" t="str">
        <x:v>Strong</x:v>
      </x:c>
      <x:c r="G299" s="215" t="str">
        <x:v>4</x:v>
      </x:c>
      <x:c r="H299" s="215" t="str">
        <x:v>Moderate</x:v>
      </x:c>
      <x:c r="I299" s="215" t="str">
        <x:v>Naked eye to hand lens</x:v>
      </x:c>
      <x:c r="J299" s="215" t="str">
        <x:v>Fresh flowering material</x:v>
      </x:c>
      <x:c r="K299" s="215" t="str">
        <x:v>Many flowers have two longer and two shorter stamens; Salvia and relatives commonly show only two fertile stamens.</x:v>
      </x:c>
      <x:c r="L299" s="215" t="str">
        <x:v>Stamen number and equality vary, and staminodes may occur.</x:v>
      </x:c>
      <x:c r="M299" s="215" t="str">
        <x:v>Count fertile stamens only on an intact corolla and combine with ovary lobing.</x:v>
      </x:c>
      <x:c r="N299" s="215" t="str">
        <x:v>Well represented in Hays County prairies, rocky openings, woodland edges, seeps, and disturbed ground; local herbs include Monarda, Salvia, Scutellaria, Stachys, and Hedeoma, with woody exceptions also possible.</x:v>
      </x:c>
      <x:c r="O299" s="215" t="str">
        <x:v>Low</x:v>
      </x:c>
      <x:c r="P299" s="215" t="str">
        <x:v>No</x:v>
      </x:c>
      <x:c r="Q299" s="215" t="str"/>
      <x:c r="R299" s="215" t="str">
        <x:v>LAM-LK01</x:v>
      </x:c>
      <x:c r="S299" s="215" t="str">
        <x:v>APWEB-LAM; POWO-LAM-GI; POWO-LAM; LBJWC-HAYS</x:v>
      </x:c>
      <x:c r="T299" s="215" t="str">
        <x:v>https://www.mobot.org/MOBOT/research/APweb/orders/lamialesweb.htm</x:v>
      </x:c>
      <x:c r="U299" s="215" t="str">
        <x:v>https://powo.science.kew.org/taxon/urn:lsid:ipni.org:names:30000097-2/general-information</x:v>
      </x:c>
      <x:c r="V299" s="215" t="str">
        <x:v>https://powo.science.kew.org/taxon/urn:lsid:ipni.org:names:30000097-2</x:v>
      </x:c>
      <x:c r="W299" s="215" t="str">
        <x:v>https://www.mobot.org/MOBOT/research/APweb/orders/lamialesweb.htm
https://powo.science.kew.org/taxon/urn:lsid:ipni.org:names:30000097-2/general-information
https://powo.science.kew.org/taxon/urn:lsid:ipni.org:names:30000097-2
https://www.wildflower.org/collections/collection.php?collection=hays</x:v>
      </x:c>
      <x:c r="X299" s="215" t="str">
        <x:v>No — retain qualifiers and exceptions</x:v>
      </x:c>
      <x:c r="Y299" s="215" t="str">
        <x:v>Yes</x:v>
      </x:c>
      <x:c r="Z299" s="215" t="str">
        <x:v>Source-backed draft</x:v>
      </x:c>
      <x:c r="AA299" s="215" t="str">
        <x:v>Family pattern</x:v>
      </x:c>
      <x:c r="AB299" s="215" t="str">
        <x:v>Positive diagnostic</x:v>
      </x:c>
      <x:c r="AC299" s="215" t="str">
        <x:v>Moderate</x:v>
      </x:c>
      <x:c r="AD299" s="215" t="str">
        <x:v>Hand lens / macro</x:v>
      </x:c>
      <x:c r="AE299" s="215" t="str">
        <x:v>Low</x:v>
      </x:c>
      <x:c r="AF299" s="215" t="str">
        <x:v>Field-ready draft</x:v>
      </x:c>
      <x:c r="AG299" s="215" t="str">
        <x:v>2 — Field-photo priority</x:v>
      </x:c>
      <x:c r="AH299" s="215" t="str">
        <x:v>Current master inventory</x:v>
      </x:c>
    </x:row>
    <x:row r="300" ht="42" customHeight="1">
      <x:c r="A300" s="215" t="str">
        <x:v>Lamiaceae</x:v>
      </x:c>
      <x:c r="B300" s="215" t="str">
        <x:v>LAM-OVARY</x:v>
      </x:c>
      <x:c r="C300" s="215" t="str">
        <x:v>Broad family tendency</x:v>
      </x:c>
      <x:c r="D300" s="215" t="str">
        <x:v>Gynoecium</x:v>
      </x:c>
      <x:c r="E300" s="215" t="str">
        <x:v>Bicarpellate ovary commonly deeply four-lobed, with a usually bifid style often arising between lobes</x:v>
      </x:c>
      <x:c r="F300" s="215" t="str">
        <x:v>Core</x:v>
      </x:c>
      <x:c r="G300" s="215" t="str">
        <x:v>5</x:v>
      </x:c>
      <x:c r="H300" s="215" t="str">
        <x:v>High with dissection</x:v>
      </x:c>
      <x:c r="I300" s="215" t="str">
        <x:v>Hand lens or dissection</x:v>
      </x:c>
      <x:c r="J300" s="215" t="str">
        <x:v>Fresh flowering material</x:v>
      </x:c>
      <x:c r="K300" s="215" t="str">
        <x:v>The ovary often looks like four small green bumps, with the style rising from their center.</x:v>
      </x:c>
      <x:c r="L300" s="215" t="str">
        <x:v>Degree of lobing and style position vary in the broad family; some woody lineages have less-divided ovaries or fleshy fruits.</x:v>
      </x:c>
      <x:c r="M300" s="215" t="str">
        <x:v>This is a stronger confirmation than square stems or aroma and is central to separating Lamiaceae from lookalikes.</x:v>
      </x:c>
      <x:c r="N300" s="215" t="str">
        <x:v>Well represented in Hays County prairies, rocky openings, woodland edges, seeps, and disturbed ground; local herbs include Monarda, Salvia, Scutellaria, Stachys, and Hedeoma, with woody exceptions also possible.</x:v>
      </x:c>
      <x:c r="O300" s="215" t="str">
        <x:v>Low</x:v>
      </x:c>
      <x:c r="P300" s="215" t="str">
        <x:v>No</x:v>
      </x:c>
      <x:c r="Q300" s="215" t="str"/>
      <x:c r="R300" s="215" t="str">
        <x:v>LAM-LK01; LAM-LK02</x:v>
      </x:c>
      <x:c r="S300" s="215" t="str">
        <x:v>APWEB-LAM; POWO-LAM-GI; POWO-LAM; LBJWC-HAYS</x:v>
      </x:c>
      <x:c r="T300" s="215" t="str">
        <x:v>https://www.mobot.org/MOBOT/research/APweb/orders/lamialesweb.htm</x:v>
      </x:c>
      <x:c r="U300" s="215" t="str">
        <x:v>https://powo.science.kew.org/taxon/urn:lsid:ipni.org:names:30000097-2/general-information</x:v>
      </x:c>
      <x:c r="V300" s="215" t="str">
        <x:v>https://powo.science.kew.org/taxon/urn:lsid:ipni.org:names:30000097-2</x:v>
      </x:c>
      <x:c r="W300" s="215" t="str">
        <x:v>https://www.mobot.org/MOBOT/research/APweb/orders/lamialesweb.htm
https://powo.science.kew.org/taxon/urn:lsid:ipni.org:names:30000097-2/general-information
https://powo.science.kew.org/taxon/urn:lsid:ipni.org:names:30000097-2
https://www.wildflower.org/collections/collection.php?collection=hays</x:v>
      </x:c>
      <x:c r="X300" s="215" t="str">
        <x:v>No — retain qualifiers and exceptions</x:v>
      </x:c>
      <x:c r="Y300" s="215" t="str">
        <x:v>Yes</x:v>
      </x:c>
      <x:c r="Z300" s="215" t="str">
        <x:v>Source-backed draft</x:v>
      </x:c>
      <x:c r="AA300" s="215" t="str">
        <x:v>Family pattern</x:v>
      </x:c>
      <x:c r="AB300" s="215" t="str">
        <x:v>Positive diagnostic</x:v>
      </x:c>
      <x:c r="AC300" s="215" t="str">
        <x:v>High</x:v>
      </x:c>
      <x:c r="AD300" s="215" t="str">
        <x:v>Dissection</x:v>
      </x:c>
      <x:c r="AE300" s="215" t="str">
        <x:v>Low</x:v>
      </x:c>
      <x:c r="AF300" s="215" t="str">
        <x:v>Dissection / close study</x:v>
      </x:c>
      <x:c r="AG300" s="215" t="str">
        <x:v>3 — Reference support</x:v>
      </x:c>
      <x:c r="AH300" s="215" t="str">
        <x:v>Current master inventory</x:v>
      </x:c>
    </x:row>
    <x:row r="301" ht="42" customHeight="1">
      <x:c r="A301" s="215" t="str">
        <x:v>Lamiaceae</x:v>
      </x:c>
      <x:c r="B301" s="215" t="str">
        <x:v>LAM-FRUIT</x:v>
      </x:c>
      <x:c r="C301" s="215" t="str">
        <x:v>Broad family tendency</x:v>
      </x:c>
      <x:c r="D301" s="215" t="str">
        <x:v>Fruit</x:v>
      </x:c>
      <x:c r="E301" s="215" t="str">
        <x:v>Fruit commonly a schizocarp separating into four one-seeded nutlets</x:v>
      </x:c>
      <x:c r="F301" s="215" t="str">
        <x:v>Core</x:v>
      </x:c>
      <x:c r="G301" s="215" t="str">
        <x:v>5</x:v>
      </x:c>
      <x:c r="H301" s="215" t="str">
        <x:v>High on mature material</x:v>
      </x:c>
      <x:c r="I301" s="215" t="str">
        <x:v>Naked eye to hand lens</x:v>
      </x:c>
      <x:c r="J301" s="215" t="str">
        <x:v>Mature fruit</x:v>
      </x:c>
      <x:c r="K301" s="215" t="str">
        <x:v>After the corolla falls, four small nutlets commonly remain inside the persistent calyx.</x:v>
      </x:c>
      <x:c r="L301" s="215" t="str">
        <x:v>One or more nutlets may abort, and some modern Lamiaceae have fleshy or otherwise non-typical fruits.</x:v>
      </x:c>
      <x:c r="M301" s="215" t="str">
        <x:v>Four nutlets plus opposite leaves and a persistent calyx strongly supports the typical herbaceous mint route.</x:v>
      </x:c>
      <x:c r="N301" s="215" t="str">
        <x:v>Well represented in Hays County prairies, rocky openings, woodland edges, seeps, and disturbed ground; local herbs include Monarda, Salvia, Scutellaria, Stachys, and Hedeoma, with woody exceptions also possible.</x:v>
      </x:c>
      <x:c r="O301" s="215" t="str">
        <x:v>Low</x:v>
      </x:c>
      <x:c r="P301" s="215" t="str">
        <x:v>No</x:v>
      </x:c>
      <x:c r="Q301" s="215" t="str"/>
      <x:c r="R301" s="215" t="str">
        <x:v>LAM-LK01; LAM-LK02</x:v>
      </x:c>
      <x:c r="S301" s="215" t="str">
        <x:v>APWEB-LAM; POWO-LAM-GI; POWO-LAM; LBJWC-HAYS</x:v>
      </x:c>
      <x:c r="T301" s="215" t="str">
        <x:v>https://www.mobot.org/MOBOT/research/APweb/orders/lamialesweb.htm</x:v>
      </x:c>
      <x:c r="U301" s="215" t="str">
        <x:v>https://powo.science.kew.org/taxon/urn:lsid:ipni.org:names:30000097-2/general-information</x:v>
      </x:c>
      <x:c r="V301" s="215" t="str">
        <x:v>https://powo.science.kew.org/taxon/urn:lsid:ipni.org:names:30000097-2</x:v>
      </x:c>
      <x:c r="W301" s="215" t="str">
        <x:v>https://www.mobot.org/MOBOT/research/APweb/orders/lamialesweb.htm
https://powo.science.kew.org/taxon/urn:lsid:ipni.org:names:30000097-2/general-information
https://powo.science.kew.org/taxon/urn:lsid:ipni.org:names:30000097-2
https://www.wildflower.org/collections/collection.php?collection=hays</x:v>
      </x:c>
      <x:c r="X301" s="215" t="str">
        <x:v>No — retain qualifiers and exceptions</x:v>
      </x:c>
      <x:c r="Y301" s="215" t="str">
        <x:v>Yes</x:v>
      </x:c>
      <x:c r="Z301" s="215" t="str">
        <x:v>Source-backed draft</x:v>
      </x:c>
      <x:c r="AA301" s="215" t="str">
        <x:v>Family pattern</x:v>
      </x:c>
      <x:c r="AB301" s="215" t="str">
        <x:v>Positive diagnostic</x:v>
      </x:c>
      <x:c r="AC301" s="215" t="str">
        <x:v>High</x:v>
      </x:c>
      <x:c r="AD301" s="215" t="str">
        <x:v>Hand lens / macro</x:v>
      </x:c>
      <x:c r="AE301" s="215" t="str">
        <x:v>Low</x:v>
      </x:c>
      <x:c r="AF301" s="215" t="str">
        <x:v>Field-ready draft</x:v>
      </x:c>
      <x:c r="AG301" s="215" t="str">
        <x:v>2 — Field-photo priority</x:v>
      </x:c>
      <x:c r="AH301" s="215" t="str">
        <x:v>Current master inventory</x:v>
      </x:c>
    </x:row>
    <x:row r="302" ht="42" customHeight="1">
      <x:c r="A302" s="215" t="str">
        <x:v>Lamiaceae</x:v>
      </x:c>
      <x:c r="B302" s="215" t="str">
        <x:v>LAM-CALYX</x:v>
      </x:c>
      <x:c r="C302" s="215" t="str">
        <x:v>Broad family tendency</x:v>
      </x:c>
      <x:c r="D302" s="215" t="str">
        <x:v>Calyx</x:v>
      </x:c>
      <x:c r="E302" s="215" t="str">
        <x:v>Calyx persistent, often dry, ridged, and sometimes enlarging in fruit</x:v>
      </x:c>
      <x:c r="F302" s="215" t="str">
        <x:v>Strong</x:v>
      </x:c>
      <x:c r="G302" s="215" t="str">
        <x:v>4</x:v>
      </x:c>
      <x:c r="H302" s="215" t="str">
        <x:v>Moderate</x:v>
      </x:c>
      <x:c r="I302" s="215" t="str">
        <x:v>Naked eye to hand lens</x:v>
      </x:c>
      <x:c r="J302" s="215" t="str">
        <x:v>Flowering to fruiting</x:v>
      </x:c>
      <x:c r="K302" s="215" t="str">
        <x:v>The sepal tube often remains around the developing nutlets and may become stiffer or larger.</x:v>
      </x:c>
      <x:c r="L302" s="215" t="str">
        <x:v>Calyx form is extremely variable and can be two-lipped, regular, spiny, inflated, or sometimes fleshy.</x:v>
      </x:c>
      <x:c r="M302" s="215" t="str">
        <x:v>Inspect the fruiting calyx for nutlets and use its shape later for genus-level identification.</x:v>
      </x:c>
      <x:c r="N302" s="215" t="str">
        <x:v>Well represented in Hays County prairies, rocky openings, woodland edges, seeps, and disturbed ground; local herbs include Monarda, Salvia, Scutellaria, Stachys, and Hedeoma, with woody exceptions also possible.</x:v>
      </x:c>
      <x:c r="O302" s="215" t="str">
        <x:v>Low</x:v>
      </x:c>
      <x:c r="P302" s="215" t="str">
        <x:v>No</x:v>
      </x:c>
      <x:c r="Q302" s="215" t="str"/>
      <x:c r="R302" s="215" t="str">
        <x:v>LAM-LK01</x:v>
      </x:c>
      <x:c r="S302" s="215" t="str">
        <x:v>APWEB-LAM; POWO-LAM-GI; POWO-LAM; LBJWC-HAYS</x:v>
      </x:c>
      <x:c r="T302" s="215" t="str">
        <x:v>https://www.mobot.org/MOBOT/research/APweb/orders/lamialesweb.htm</x:v>
      </x:c>
      <x:c r="U302" s="215" t="str">
        <x:v>https://powo.science.kew.org/taxon/urn:lsid:ipni.org:names:30000097-2/general-information</x:v>
      </x:c>
      <x:c r="V302" s="215" t="str">
        <x:v>https://powo.science.kew.org/taxon/urn:lsid:ipni.org:names:30000097-2</x:v>
      </x:c>
      <x:c r="W302" s="215" t="str">
        <x:v>https://www.mobot.org/MOBOT/research/APweb/orders/lamialesweb.htm
https://powo.science.kew.org/taxon/urn:lsid:ipni.org:names:30000097-2/general-information
https://powo.science.kew.org/taxon/urn:lsid:ipni.org:names:30000097-2
https://www.wildflower.org/collections/collection.php?collection=hays</x:v>
      </x:c>
      <x:c r="X302" s="215" t="str">
        <x:v>No — retain qualifiers and exceptions</x:v>
      </x:c>
      <x:c r="Y302" s="215" t="str">
        <x:v>Yes</x:v>
      </x:c>
      <x:c r="Z302" s="215" t="str">
        <x:v>Source-backed draft</x:v>
      </x:c>
      <x:c r="AA302" s="215" t="str">
        <x:v>Family pattern</x:v>
      </x:c>
      <x:c r="AB302" s="215" t="str">
        <x:v>Positive diagnostic</x:v>
      </x:c>
      <x:c r="AC302" s="215" t="str">
        <x:v>Moderate</x:v>
      </x:c>
      <x:c r="AD302" s="215" t="str">
        <x:v>Hand lens / macro</x:v>
      </x:c>
      <x:c r="AE302" s="215" t="str">
        <x:v>Low</x:v>
      </x:c>
      <x:c r="AF302" s="215" t="str">
        <x:v>Field-ready draft</x:v>
      </x:c>
      <x:c r="AG302" s="215" t="str">
        <x:v>2 — Field-photo priority</x:v>
      </x:c>
      <x:c r="AH302" s="215" t="str">
        <x:v>Current master inventory</x:v>
      </x:c>
    </x:row>
    <x:row r="303" ht="42" customHeight="1">
      <x:c r="A303" s="215" t="str">
        <x:v>Lamiaceae</x:v>
      </x:c>
      <x:c r="B303" s="215" t="str">
        <x:v>LAM-LK01</x:v>
      </x:c>
      <x:c r="C303" s="215" t="str">
        <x:v>Hays County field comparison</x:v>
      </x:c>
      <x:c r="D303" s="215" t="str">
        <x:v>Lookalike comparison</x:v>
      </x:c>
      <x:c r="E303" s="215" t="str">
        <x:v>Lamiaceae versus Verbenaceae</x:v>
      </x:c>
      <x:c r="F303" s="215" t="str">
        <x:v>Strong</x:v>
      </x:c>
      <x:c r="G303" s="215" t="str">
        <x:v>5</x:v>
      </x:c>
      <x:c r="H303" s="215" t="str">
        <x:v>Moderate</x:v>
      </x:c>
      <x:c r="I303" s="215" t="str">
        <x:v>Naked eye to hand lens</x:v>
      </x:c>
      <x:c r="J303" s="215" t="str">
        <x:v>Flowering and fruiting preferred</x:v>
      </x:c>
      <x:c r="K303" s="215" t="str">
        <x:v>Typical Lamiaceae have cymose flower clusters, a bifid often gynobasic style, and four nutlets; Verbenaceae more often have racemose inflorescences, a terminal style with less-divided stigma, and different fruit anatomy.</x:v>
      </x:c>
      <x:c r="L303" s="215" t="str">
        <x:v>Modern family boundaries moved several formerly verbenaceous genera into Lamiaceae, and vegetative characters overlap heavily.</x:v>
      </x:c>
      <x:c r="M303" s="215" t="str">
        <x:v>Use inflorescence architecture plus style and fruit, not herbaceous versus woody habit.</x:v>
      </x:c>
      <x:c r="N303" s="215" t="str">
        <x:v>Well represented in Hays County prairies, rocky openings, woodland edges, seeps, and disturbed ground; local herbs include Monarda, Salvia, Scutellaria, Stachys, and Hedeoma, with woody exceptions also possible.</x:v>
      </x:c>
      <x:c r="O303" s="215" t="str">
        <x:v>Low</x:v>
      </x:c>
      <x:c r="P303" s="215" t="str">
        <x:v>No</x:v>
      </x:c>
      <x:c r="Q303" s="215" t="str"/>
      <x:c r="R303" s="215" t="str"/>
      <x:c r="S303" s="215" t="str">
        <x:v>APWEB-LAM; POWO-LAM; APWEB-VERB; POWO-VERB; LBJWC-HAYS</x:v>
      </x:c>
      <x:c r="T303" s="215" t="str">
        <x:v>https://www.mobot.org/MOBOT/research/APweb/orders/lamialesweb.htm</x:v>
      </x:c>
      <x:c r="U303" s="215" t="str">
        <x:v>https://powo.science.kew.org/taxon/urn:lsid:ipni.org:names:30000097-2/general-information</x:v>
      </x:c>
      <x:c r="V303" s="215" t="str">
        <x:v>https://powo.science.kew.org/taxon/urn:lsid:ipni.org:names:30000097-2</x:v>
      </x:c>
      <x:c r="W303" s="215" t="str">
        <x:v>https://www.mobot.org/MOBOT/research/APweb/orders/lamialesweb.htm
https://powo.science.kew.org/taxon/urn:lsid:ipni.org:names:30000097-2/general-information
https://powo.science.kew.org/taxon/urn:lsid:ipni.org:names:30000097-2
https://www.wildflower.org/collections/collection.php?collection=hays
https://powo.science.kew.org/taxon/urn:lsid:ipni.org:names:30000070-2/general-information
https://powo.science.kew.org/taxon/urn:lsid:ipni.org:names:30000070-2</x:v>
      </x:c>
      <x:c r="X303" s="215" t="str">
        <x:v>No — retain qualifiers and exceptions</x:v>
      </x:c>
      <x:c r="Y303" s="215" t="str">
        <x:v>Yes</x:v>
      </x:c>
      <x:c r="Z303" s="215" t="str">
        <x:v>Source-backed comparison draft</x:v>
      </x:c>
      <x:c r="AA303" s="215" t="str">
        <x:v>Other qualified pattern</x:v>
      </x:c>
      <x:c r="AB303" s="215" t="str">
        <x:v>Positive diagnostic</x:v>
      </x:c>
      <x:c r="AC303" s="215" t="str">
        <x:v>Moderate</x:v>
      </x:c>
      <x:c r="AD303" s="215" t="str">
        <x:v>Hand lens / macro</x:v>
      </x:c>
      <x:c r="AE303" s="215" t="str">
        <x:v>Low</x:v>
      </x:c>
      <x:c r="AF303" s="215" t="str">
        <x:v>Field-ready draft</x:v>
      </x:c>
      <x:c r="AG303" s="215" t="str">
        <x:v>2 — Field-photo priority</x:v>
      </x:c>
      <x:c r="AH303" s="215" t="str">
        <x:v>Current master inventory</x:v>
      </x:c>
    </x:row>
    <x:row r="304" ht="42" customHeight="1">
      <x:c r="A304" s="215" t="str">
        <x:v>Lamiaceae</x:v>
      </x:c>
      <x:c r="B304" s="215" t="str">
        <x:v>LAM-LK02</x:v>
      </x:c>
      <x:c r="C304" s="215" t="str">
        <x:v>Hays County field comparison</x:v>
      </x:c>
      <x:c r="D304" s="215" t="str">
        <x:v>Lookalike comparison</x:v>
      </x:c>
      <x:c r="E304" s="215" t="str">
        <x:v>Lamiaceae versus Boraginaceae with four nutlets and gynobasic style</x:v>
      </x:c>
      <x:c r="F304" s="215" t="str">
        <x:v>Strong</x:v>
      </x:c>
      <x:c r="G304" s="215" t="str">
        <x:v>4</x:v>
      </x:c>
      <x:c r="H304" s="215" t="str">
        <x:v>Moderate</x:v>
      </x:c>
      <x:c r="I304" s="215" t="str">
        <x:v>Naked eye to hand lens</x:v>
      </x:c>
      <x:c r="J304" s="215" t="str">
        <x:v>Flowering and fruiting preferred</x:v>
      </x:c>
      <x:c r="K304" s="215" t="str">
        <x:v>Typical local Lamiaceae have opposite leaves, often square stems, and zygomorphic flowers; many Boraginaceae have alternate rough leaves, scorpioid cymes, and more nearly actinomorphic flowers.</x:v>
      </x:c>
      <x:c r="L304" s="215" t="str">
        <x:v>Exceptions occur in leaf arrangement, hairiness, and floral symmetry, so four nutlets alone does not settle the family.</x:v>
      </x:c>
      <x:c r="M304" s="215" t="str">
        <x:v>Trace leaf insertion and inflorescence form, then confirm flower symmetry and ovary structure.</x:v>
      </x:c>
      <x:c r="N304" s="215" t="str">
        <x:v>Well represented in Hays County prairies, rocky openings, woodland edges, seeps, and disturbed ground; local herbs include Monarda, Salvia, Scutellaria, Stachys, and Hedeoma, with woody exceptions also possible.</x:v>
      </x:c>
      <x:c r="O304" s="215" t="str">
        <x:v>Low</x:v>
      </x:c>
      <x:c r="P304" s="215" t="str">
        <x:v>No</x:v>
      </x:c>
      <x:c r="Q304" s="215" t="str"/>
      <x:c r="R304" s="215" t="str"/>
      <x:c r="S304" s="215" t="str">
        <x:v>APWEB-LAM; POWO-LAM; APWEB-BORAG; POWO-BORAG; LBJWC-HAYS</x:v>
      </x:c>
      <x:c r="T304" s="215" t="str">
        <x:v>https://www.mobot.org/MOBOT/research/APweb/orders/lamialesweb.htm</x:v>
      </x:c>
      <x:c r="U304" s="215" t="str">
        <x:v>https://powo.science.kew.org/taxon/urn:lsid:ipni.org:names:30000097-2/general-information</x:v>
      </x:c>
      <x:c r="V304" s="215" t="str">
        <x:v>https://powo.science.kew.org/taxon/urn:lsid:ipni.org:names:30000097-2</x:v>
      </x:c>
      <x:c r="W304" s="215" t="str">
        <x:v>https://www.mobot.org/MOBOT/research/APweb/orders/lamialesweb.htm
https://powo.science.kew.org/taxon/urn:lsid:ipni.org:names:30000097-2/general-information
https://powo.science.kew.org/taxon/urn:lsid:ipni.org:names:30000097-2
https://www.wildflower.org/collections/collection.php?collection=hays
https://www.mobot.org/MOBOT/Research/APweb/orders/boraginalesweb.htm
https://powo.science.kew.org/taxon/urn:lsid:ipni.org:names:30000135-2/general-information</x:v>
      </x:c>
      <x:c r="X304" s="215" t="str">
        <x:v>No — retain qualifiers and exceptions</x:v>
      </x:c>
      <x:c r="Y304" s="215" t="str">
        <x:v>Yes</x:v>
      </x:c>
      <x:c r="Z304" s="215" t="str">
        <x:v>Source-backed comparison draft</x:v>
      </x:c>
      <x:c r="AA304" s="215" t="str">
        <x:v>Other qualified pattern</x:v>
      </x:c>
      <x:c r="AB304" s="215" t="str">
        <x:v>Positive diagnostic</x:v>
      </x:c>
      <x:c r="AC304" s="215" t="str">
        <x:v>Moderate</x:v>
      </x:c>
      <x:c r="AD304" s="215" t="str">
        <x:v>Hand lens / macro</x:v>
      </x:c>
      <x:c r="AE304" s="215" t="str">
        <x:v>Low</x:v>
      </x:c>
      <x:c r="AF304" s="215" t="str">
        <x:v>Field-ready draft</x:v>
      </x:c>
      <x:c r="AG304" s="215" t="str">
        <x:v>2 — Field-photo priority</x:v>
      </x:c>
      <x:c r="AH304" s="215" t="str">
        <x:v>Current master inventory</x:v>
      </x:c>
    </x:row>
    <x:row r="305" ht="42" customHeight="1">
      <x:c r="A305" s="215" t="str">
        <x:v>Juncaceae</x:v>
      </x:c>
      <x:c r="B305" s="215" t="str">
        <x:v>JUN-HABIT</x:v>
      </x:c>
      <x:c r="C305" s="215" t="str">
        <x:v>Broad family tendency</x:v>
      </x:c>
      <x:c r="D305" s="215" t="str">
        <x:v>Habit</x:v>
      </x:c>
      <x:c r="E305" s="215" t="str">
        <x:v>Annual or perennial herbs, commonly tufted or rhizomatous</x:v>
      </x:c>
      <x:c r="F305" s="215" t="str">
        <x:v>Supporting</x:v>
      </x:c>
      <x:c r="G305" s="215" t="str">
        <x:v>2</x:v>
      </x:c>
      <x:c r="H305" s="215" t="str">
        <x:v>High</x:v>
      </x:c>
      <x:c r="I305" s="215" t="str">
        <x:v>Naked eye</x:v>
      </x:c>
      <x:c r="J305" s="215" t="str">
        <x:v>Vegetative to fruiting</x:v>
      </x:c>
      <x:c r="K305" s="215" t="str">
        <x:v>Rushes are usually grasslike herbs growing in clumps or from spreading underground stems.</x:v>
      </x:c>
      <x:c r="L305" s="215" t="str">
        <x:v>Annual species occur, and habit overlaps heavily with grasses and sedges.</x:v>
      </x:c>
      <x:c r="M305" s="215" t="str">
        <x:v>Use habitat and growth form only to begin the rush-versus-sedge-versus-grass check.</x:v>
      </x:c>
      <x:c r="N305" s="215" t="str">
        <x:v>Confirmed Hays County rush-family route in wet swales, seeps, pond margins, riparian ground, and seasonally moist grasslands; local field work will most often encounter Juncus-type material.</x:v>
      </x:c>
      <x:c r="O305" s="215" t="str">
        <x:v>Low</x:v>
      </x:c>
      <x:c r="P305" s="215" t="str">
        <x:v>No</x:v>
      </x:c>
      <x:c r="Q305" s="215" t="str"/>
      <x:c r="R305" s="215" t="str">
        <x:v>JUN-LK01; JUN-LK02</x:v>
      </x:c>
      <x:c r="S305" s="215" t="str">
        <x:v>APWEB-JUNC; FNA-JUNC; POWO-JUNC; LBJWC-HAYS</x:v>
      </x:c>
      <x:c r="T305" s="215" t="str">
        <x:v>https://www.mobot.org/MOBOT/research/APweb/orders/poalesweb.htm</x:v>
      </x:c>
      <x:c r="U305" s="215" t="str">
        <x:v>https://floranorthamerica.org/Juncaceae</x:v>
      </x:c>
      <x:c r="V305" s="215" t="str">
        <x:v>https://powo.science.kew.org/taxon/urn:lsid:ipni.org:names:77126749-1</x:v>
      </x:c>
      <x:c r="W305" s="215" t="str">
        <x:v>https://www.mobot.org/MOBOT/research/APweb/orders/poalesweb.htm
https://floranorthamerica.org/Juncaceae
https://powo.science.kew.org/taxon/urn:lsid:ipni.org:names:77126749-1
https://www.wildflower.org/collections/collection.php?collection=hays</x:v>
      </x:c>
      <x:c r="X305" s="215" t="str">
        <x:v>No — retain qualifiers and exceptions</x:v>
      </x:c>
      <x:c r="Y305" s="215" t="str">
        <x:v>Yes</x:v>
      </x:c>
      <x:c r="Z305" s="215" t="str">
        <x:v>Source-backed draft</x:v>
      </x:c>
      <x:c r="AA305" s="215" t="str">
        <x:v>Family pattern</x:v>
      </x:c>
      <x:c r="AB305" s="215" t="str">
        <x:v>Supporting / route</x:v>
      </x:c>
      <x:c r="AC305" s="215" t="str">
        <x:v>High</x:v>
      </x:c>
      <x:c r="AD305" s="215" t="str">
        <x:v>Naked eye / field</x:v>
      </x:c>
      <x:c r="AE305" s="215" t="str">
        <x:v>Low</x:v>
      </x:c>
      <x:c r="AF305" s="215" t="str">
        <x:v>Field-ready draft</x:v>
      </x:c>
      <x:c r="AG305" s="215" t="str">
        <x:v>4 — Context / caution</x:v>
      </x:c>
      <x:c r="AH305" s="215" t="str">
        <x:v>Current master inventory</x:v>
      </x:c>
    </x:row>
    <x:row r="306" ht="42" customHeight="1">
      <x:c r="A306" s="215" t="str">
        <x:v>Juncaceae</x:v>
      </x:c>
      <x:c r="B306" s="215" t="str">
        <x:v>JUN-CULM</x:v>
      </x:c>
      <x:c r="C306" s="215" t="str">
        <x:v>Broad family tendency</x:v>
      </x:c>
      <x:c r="D306" s="215" t="str">
        <x:v>Stem</x:v>
      </x:c>
      <x:c r="E306" s="215" t="str">
        <x:v>Culms usually solid and round, sometimes flattened</x:v>
      </x:c>
      <x:c r="F306" s="215" t="str">
        <x:v>Strong</x:v>
      </x:c>
      <x:c r="G306" s="215" t="str">
        <x:v>4</x:v>
      </x:c>
      <x:c r="H306" s="215" t="str">
        <x:v>Moderate</x:v>
      </x:c>
      <x:c r="I306" s="215" t="str">
        <x:v>Naked eye and touch</x:v>
      </x:c>
      <x:c r="J306" s="215" t="str">
        <x:v>Vegetative to fruiting</x:v>
      </x:c>
      <x:c r="K306" s="215" t="str">
        <x:v>Many rush stems feel round and are filled with pith rather than hollow between nodes.</x:v>
      </x:c>
      <x:c r="L306" s="215" t="str">
        <x:v>Flattened stems occur, and round solid stems also occur in sedges and other monocots.</x:v>
      </x:c>
      <x:c r="M306" s="215" t="str">
        <x:v>Pair stem form with six tepals and a capsule; never use 'rushes are round' by itself.</x:v>
      </x:c>
      <x:c r="N306" s="215" t="str">
        <x:v>Confirmed Hays County rush-family route in wet swales, seeps, pond margins, riparian ground, and seasonally moist grasslands; local field work will most often encounter Juncus-type material.</x:v>
      </x:c>
      <x:c r="O306" s="215" t="str">
        <x:v>Low</x:v>
      </x:c>
      <x:c r="P306" s="215" t="str">
        <x:v>No</x:v>
      </x:c>
      <x:c r="Q306" s="215" t="str"/>
      <x:c r="R306" s="215" t="str">
        <x:v>JUN-LK01; JUN-LK02</x:v>
      </x:c>
      <x:c r="S306" s="215" t="str">
        <x:v>APWEB-JUNC; FNA-JUNC; POWO-JUNC; LBJWC-HAYS</x:v>
      </x:c>
      <x:c r="T306" s="215" t="str">
        <x:v>https://www.mobot.org/MOBOT/research/APweb/orders/poalesweb.htm</x:v>
      </x:c>
      <x:c r="U306" s="215" t="str">
        <x:v>https://floranorthamerica.org/Juncaceae</x:v>
      </x:c>
      <x:c r="V306" s="215" t="str">
        <x:v>https://powo.science.kew.org/taxon/urn:lsid:ipni.org:names:77126749-1</x:v>
      </x:c>
      <x:c r="W306" s="215" t="str">
        <x:v>https://www.mobot.org/MOBOT/research/APweb/orders/poalesweb.htm
https://floranorthamerica.org/Juncaceae
https://powo.science.kew.org/taxon/urn:lsid:ipni.org:names:77126749-1
https://www.wildflower.org/collections/collection.php?collection=hays</x:v>
      </x:c>
      <x:c r="X306" s="215" t="str">
        <x:v>No — retain qualifiers and exceptions</x:v>
      </x:c>
      <x:c r="Y306" s="215" t="str">
        <x:v>Yes</x:v>
      </x:c>
      <x:c r="Z306" s="215" t="str">
        <x:v>Source-backed draft</x:v>
      </x:c>
      <x:c r="AA306" s="215" t="str">
        <x:v>Family pattern</x:v>
      </x:c>
      <x:c r="AB306" s="215" t="str">
        <x:v>Positive diagnostic</x:v>
      </x:c>
      <x:c r="AC306" s="215" t="str">
        <x:v>Moderate</x:v>
      </x:c>
      <x:c r="AD306" s="215" t="str">
        <x:v>Special handling</x:v>
      </x:c>
      <x:c r="AE306" s="215" t="str">
        <x:v>Low</x:v>
      </x:c>
      <x:c r="AF306" s="215" t="str">
        <x:v>Field-ready draft</x:v>
      </x:c>
      <x:c r="AG306" s="215" t="str">
        <x:v>3 — Reference support</x:v>
      </x:c>
      <x:c r="AH306" s="215" t="str">
        <x:v>Current master inventory</x:v>
      </x:c>
    </x:row>
    <x:row r="307" ht="42" customHeight="1">
      <x:c r="A307" s="215" t="str">
        <x:v>Juncaceae</x:v>
      </x:c>
      <x:c r="B307" s="215" t="str">
        <x:v>JUN-LEAF</x:v>
      </x:c>
      <x:c r="C307" s="215" t="str">
        <x:v>Broad family tendency</x:v>
      </x:c>
      <x:c r="D307" s="215" t="str">
        <x:v>Leaf</x:v>
      </x:c>
      <x:c r="E307" s="215" t="str">
        <x:v>Leaves mostly basal; blades flat, channelled, or round, with sheathing bases</x:v>
      </x:c>
      <x:c r="F307" s="215" t="str">
        <x:v>Strong</x:v>
      </x:c>
      <x:c r="G307" s="215" t="str">
        <x:v>4</x:v>
      </x:c>
      <x:c r="H307" s="215" t="str">
        <x:v>Variable</x:v>
      </x:c>
      <x:c r="I307" s="215" t="str">
        <x:v>Naked eye</x:v>
      </x:c>
      <x:c r="J307" s="215" t="str">
        <x:v>Vegetative</x:v>
      </x:c>
      <x:c r="K307" s="215" t="str">
        <x:v>Leaves often gather near the plant base and can resemble grass or sedge leaves.</x:v>
      </x:c>
      <x:c r="L307" s="215" t="str">
        <x:v>Blades may be reduced to sheaths, and leaf form ranges from threadlike to flat and broad.</x:v>
      </x:c>
      <x:c r="M307" s="215" t="str">
        <x:v>Follow a leaf to its sheath, then confirm the flower and fruit before assigning the family.</x:v>
      </x:c>
      <x:c r="N307" s="215" t="str">
        <x:v>Confirmed Hays County rush-family route in wet swales, seeps, pond margins, riparian ground, and seasonally moist grasslands; local field work will most often encounter Juncus-type material.</x:v>
      </x:c>
      <x:c r="O307" s="215" t="str">
        <x:v>Low</x:v>
      </x:c>
      <x:c r="P307" s="215" t="str">
        <x:v>No</x:v>
      </x:c>
      <x:c r="Q307" s="215" t="str"/>
      <x:c r="R307" s="215" t="str">
        <x:v>JUN-LK01; JUN-LK02</x:v>
      </x:c>
      <x:c r="S307" s="215" t="str">
        <x:v>APWEB-JUNC; FNA-JUNC; POWO-JUNC; LBJWC-HAYS</x:v>
      </x:c>
      <x:c r="T307" s="215" t="str">
        <x:v>https://www.mobot.org/MOBOT/research/APweb/orders/poalesweb.htm</x:v>
      </x:c>
      <x:c r="U307" s="215" t="str">
        <x:v>https://floranorthamerica.org/Juncaceae</x:v>
      </x:c>
      <x:c r="V307" s="215" t="str">
        <x:v>https://powo.science.kew.org/taxon/urn:lsid:ipni.org:names:77126749-1</x:v>
      </x:c>
      <x:c r="W307" s="215" t="str">
        <x:v>https://www.mobot.org/MOBOT/research/APweb/orders/poalesweb.htm
https://floranorthamerica.org/Juncaceae
https://powo.science.kew.org/taxon/urn:lsid:ipni.org:names:77126749-1
https://www.wildflower.org/collections/collection.php?collection=hays</x:v>
      </x:c>
      <x:c r="X307" s="215" t="str">
        <x:v>No — retain qualifiers and exceptions</x:v>
      </x:c>
      <x:c r="Y307" s="215" t="str">
        <x:v>Yes</x:v>
      </x:c>
      <x:c r="Z307" s="215" t="str">
        <x:v>Source-backed draft</x:v>
      </x:c>
      <x:c r="AA307" s="215" t="str">
        <x:v>Family pattern</x:v>
      </x:c>
      <x:c r="AB307" s="215" t="str">
        <x:v>Positive diagnostic</x:v>
      </x:c>
      <x:c r="AC307" s="215" t="str">
        <x:v>Variable</x:v>
      </x:c>
      <x:c r="AD307" s="215" t="str">
        <x:v>Naked eye / field</x:v>
      </x:c>
      <x:c r="AE307" s="215" t="str">
        <x:v>Low</x:v>
      </x:c>
      <x:c r="AF307" s="215" t="str">
        <x:v>Field-ready draft</x:v>
      </x:c>
      <x:c r="AG307" s="215" t="str">
        <x:v>2 — Field-photo priority</x:v>
      </x:c>
      <x:c r="AH307" s="215" t="str">
        <x:v>Current master inventory</x:v>
      </x:c>
    </x:row>
    <x:row r="308" ht="42" customHeight="1">
      <x:c r="A308" s="215" t="str">
        <x:v>Juncaceae</x:v>
      </x:c>
      <x:c r="B308" s="215" t="str">
        <x:v>JUN-INFLO</x:v>
      </x:c>
      <x:c r="C308" s="215" t="str">
        <x:v>Family-wide variation</x:v>
      </x:c>
      <x:c r="D308" s="215" t="str">
        <x:v>Inflorescence</x:v>
      </x:c>
      <x:c r="E308" s="215" t="str">
        <x:v>Flowers solitary or grouped in heads, cymes, panicles, or branched clusters</x:v>
      </x:c>
      <x:c r="F308" s="215" t="str">
        <x:v>Supporting</x:v>
      </x:c>
      <x:c r="G308" s="215" t="str">
        <x:v>3</x:v>
      </x:c>
      <x:c r="H308" s="215" t="str">
        <x:v>Variable</x:v>
      </x:c>
      <x:c r="I308" s="215" t="str">
        <x:v>Naked eye to hand lens</x:v>
      </x:c>
      <x:c r="J308" s="215" t="str">
        <x:v>Flowering or fruiting</x:v>
      </x:c>
      <x:c r="K308" s="215" t="str">
        <x:v>Tiny rush flowers may form loose branching clusters or tight headlike groups.</x:v>
      </x:c>
      <x:c r="L308" s="215" t="str">
        <x:v>Inflorescence architecture varies strongly and a long bract can make a lateral cluster appear terminal or vice versa.</x:v>
      </x:c>
      <x:c r="M308" s="215" t="str">
        <x:v>Trace the main axis and subtending bract, but rely more heavily on tepals and capsule.</x:v>
      </x:c>
      <x:c r="N308" s="215" t="str">
        <x:v>Confirmed Hays County rush-family route in wet swales, seeps, pond margins, riparian ground, and seasonally moist grasslands; local field work will most often encounter Juncus-type material.</x:v>
      </x:c>
      <x:c r="O308" s="215" t="str">
        <x:v>Low</x:v>
      </x:c>
      <x:c r="P308" s="215" t="str">
        <x:v>No</x:v>
      </x:c>
      <x:c r="Q308" s="215" t="str"/>
      <x:c r="R308" s="215" t="str">
        <x:v>JUN-LK01</x:v>
      </x:c>
      <x:c r="S308" s="215" t="str">
        <x:v>APWEB-JUNC; FNA-JUNC; POWO-JUNC; LBJWC-HAYS</x:v>
      </x:c>
      <x:c r="T308" s="215" t="str">
        <x:v>https://www.mobot.org/MOBOT/research/APweb/orders/poalesweb.htm</x:v>
      </x:c>
      <x:c r="U308" s="215" t="str">
        <x:v>https://floranorthamerica.org/Juncaceae</x:v>
      </x:c>
      <x:c r="V308" s="215" t="str">
        <x:v>https://powo.science.kew.org/taxon/urn:lsid:ipni.org:names:77126749-1</x:v>
      </x:c>
      <x:c r="W308" s="215" t="str">
        <x:v>https://www.mobot.org/MOBOT/research/APweb/orders/poalesweb.htm
https://floranorthamerica.org/Juncaceae
https://powo.science.kew.org/taxon/urn:lsid:ipni.org:names:77126749-1
https://www.wildflower.org/collections/collection.php?collection=hays</x:v>
      </x:c>
      <x:c r="X308" s="215" t="str">
        <x:v>No — retain qualifiers and exceptions</x:v>
      </x:c>
      <x:c r="Y308" s="215" t="str">
        <x:v>Yes</x:v>
      </x:c>
      <x:c r="Z308" s="215" t="str">
        <x:v>Source-backed draft</x:v>
      </x:c>
      <x:c r="AA308" s="215" t="str">
        <x:v>Family pattern</x:v>
      </x:c>
      <x:c r="AB308" s="215" t="str">
        <x:v>Supporting / route</x:v>
      </x:c>
      <x:c r="AC308" s="215" t="str">
        <x:v>Variable</x:v>
      </x:c>
      <x:c r="AD308" s="215" t="str">
        <x:v>Hand lens / macro</x:v>
      </x:c>
      <x:c r="AE308" s="215" t="str">
        <x:v>Low</x:v>
      </x:c>
      <x:c r="AF308" s="215" t="str">
        <x:v>Field-ready draft</x:v>
      </x:c>
      <x:c r="AG308" s="215" t="str">
        <x:v>3 — Reference support</x:v>
      </x:c>
      <x:c r="AH308" s="215" t="str">
        <x:v>Current master inventory</x:v>
      </x:c>
    </x:row>
    <x:row r="309" ht="42" customHeight="1">
      <x:c r="A309" s="215" t="str">
        <x:v>Juncaceae</x:v>
      </x:c>
      <x:c r="B309" s="215" t="str">
        <x:v>JUN-TEPALS</x:v>
      </x:c>
      <x:c r="C309" s="215" t="str">
        <x:v>Broad family tendency</x:v>
      </x:c>
      <x:c r="D309" s="215" t="str">
        <x:v>Perianth</x:v>
      </x:c>
      <x:c r="E309" s="215" t="str">
        <x:v>Usually six small, persistent, scarious or chaffy tepals in two whorls</x:v>
      </x:c>
      <x:c r="F309" s="215" t="str">
        <x:v>Core</x:v>
      </x:c>
      <x:c r="G309" s="215" t="str">
        <x:v>5</x:v>
      </x:c>
      <x:c r="H309" s="215" t="str">
        <x:v>High</x:v>
      </x:c>
      <x:c r="I309" s="215" t="str">
        <x:v>Hand lens</x:v>
      </x:c>
      <x:c r="J309" s="215" t="str">
        <x:v>Flowering to fruiting</x:v>
      </x:c>
      <x:c r="K309" s="215" t="str">
        <x:v>A rush flower usually has six pointed, scale-like flower parts that remain around the fruit.</x:v>
      </x:c>
      <x:c r="L309" s="215" t="str">
        <x:v>Perianth number can be reduced in uncommon lineages and the tiny tepals may be difficult to separate.</x:v>
      </x:c>
      <x:c r="M309" s="215" t="str">
        <x:v>Six persistent tepals are the fastest strong check against sedges, whose perianth is absent or bristle-like.</x:v>
      </x:c>
      <x:c r="N309" s="215" t="str">
        <x:v>Confirmed Hays County rush-family route in wet swales, seeps, pond margins, riparian ground, and seasonally moist grasslands; local field work will most often encounter Juncus-type material.</x:v>
      </x:c>
      <x:c r="O309" s="215" t="str">
        <x:v>Low</x:v>
      </x:c>
      <x:c r="P309" s="215" t="str">
        <x:v>No</x:v>
      </x:c>
      <x:c r="Q309" s="215" t="str"/>
      <x:c r="R309" s="215" t="str">
        <x:v>JUN-LK01; JUN-LK02</x:v>
      </x:c>
      <x:c r="S309" s="215" t="str">
        <x:v>APWEB-JUNC; FNA-JUNC; POWO-JUNC; LBJWC-HAYS</x:v>
      </x:c>
      <x:c r="T309" s="215" t="str">
        <x:v>https://www.mobot.org/MOBOT/research/APweb/orders/poalesweb.htm</x:v>
      </x:c>
      <x:c r="U309" s="215" t="str">
        <x:v>https://floranorthamerica.org/Juncaceae</x:v>
      </x:c>
      <x:c r="V309" s="215" t="str">
        <x:v>https://powo.science.kew.org/taxon/urn:lsid:ipni.org:names:77126749-1</x:v>
      </x:c>
      <x:c r="W309" s="215" t="str">
        <x:v>https://www.mobot.org/MOBOT/research/APweb/orders/poalesweb.htm
https://floranorthamerica.org/Juncaceae
https://powo.science.kew.org/taxon/urn:lsid:ipni.org:names:77126749-1
https://www.wildflower.org/collections/collection.php?collection=hays</x:v>
      </x:c>
      <x:c r="X309" s="215" t="str">
        <x:v>No — retain qualifiers and exceptions</x:v>
      </x:c>
      <x:c r="Y309" s="215" t="str">
        <x:v>Yes</x:v>
      </x:c>
      <x:c r="Z309" s="215" t="str">
        <x:v>Source-backed draft</x:v>
      </x:c>
      <x:c r="AA309" s="215" t="str">
        <x:v>Family pattern</x:v>
      </x:c>
      <x:c r="AB309" s="215" t="str">
        <x:v>Positive diagnostic</x:v>
      </x:c>
      <x:c r="AC309" s="215" t="str">
        <x:v>High</x:v>
      </x:c>
      <x:c r="AD309" s="215" t="str">
        <x:v>Hand lens / macro</x:v>
      </x:c>
      <x:c r="AE309" s="215" t="str">
        <x:v>Low</x:v>
      </x:c>
      <x:c r="AF309" s="215" t="str">
        <x:v>Field-ready draft</x:v>
      </x:c>
      <x:c r="AG309" s="215" t="str">
        <x:v>2 — Field-photo priority</x:v>
      </x:c>
      <x:c r="AH309" s="215" t="str">
        <x:v>Current master inventory</x:v>
      </x:c>
    </x:row>
    <x:row r="310" ht="42" customHeight="1">
      <x:c r="A310" s="215" t="str">
        <x:v>Juncaceae</x:v>
      </x:c>
      <x:c r="B310" s="215" t="str">
        <x:v>JUN-STAMEN</x:v>
      </x:c>
      <x:c r="C310" s="215" t="str">
        <x:v>Broad family tendency</x:v>
      </x:c>
      <x:c r="D310" s="215" t="str">
        <x:v>Androecium</x:v>
      </x:c>
      <x:c r="E310" s="215" t="str">
        <x:v>Stamens usually three or six</x:v>
      </x:c>
      <x:c r="F310" s="215" t="str">
        <x:v>Strong</x:v>
      </x:c>
      <x:c r="G310" s="215" t="str">
        <x:v>4</x:v>
      </x:c>
      <x:c r="H310" s="215" t="str">
        <x:v>Moderate</x:v>
      </x:c>
      <x:c r="I310" s="215" t="str">
        <x:v>Hand lens or dissection</x:v>
      </x:c>
      <x:c r="J310" s="215" t="str">
        <x:v>Fresh flowering material</x:v>
      </x:c>
      <x:c r="K310" s="215" t="str">
        <x:v>The small flower commonly holds either one stamen opposite each outer tepal or six stamens total.</x:v>
      </x:c>
      <x:c r="L310" s="215" t="str">
        <x:v>Stamens are short-lived and numbers vary in reduced flowers.</x:v>
      </x:c>
      <x:c r="M310" s="215" t="str">
        <x:v>Count only intact fresh flowers and combine with six tepals and a superior ovary.</x:v>
      </x:c>
      <x:c r="N310" s="215" t="str">
        <x:v>Confirmed Hays County rush-family route in wet swales, seeps, pond margins, riparian ground, and seasonally moist grasslands; local field work will most often encounter Juncus-type material.</x:v>
      </x:c>
      <x:c r="O310" s="215" t="str">
        <x:v>Low</x:v>
      </x:c>
      <x:c r="P310" s="215" t="str">
        <x:v>No</x:v>
      </x:c>
      <x:c r="Q310" s="215" t="str"/>
      <x:c r="R310" s="215" t="str">
        <x:v>JUN-LK02</x:v>
      </x:c>
      <x:c r="S310" s="215" t="str">
        <x:v>APWEB-JUNC; FNA-JUNC; POWO-JUNC; LBJWC-HAYS</x:v>
      </x:c>
      <x:c r="T310" s="215" t="str">
        <x:v>https://www.mobot.org/MOBOT/research/APweb/orders/poalesweb.htm</x:v>
      </x:c>
      <x:c r="U310" s="215" t="str">
        <x:v>https://floranorthamerica.org/Juncaceae</x:v>
      </x:c>
      <x:c r="V310" s="215" t="str">
        <x:v>https://powo.science.kew.org/taxon/urn:lsid:ipni.org:names:77126749-1</x:v>
      </x:c>
      <x:c r="W310" s="215" t="str">
        <x:v>https://www.mobot.org/MOBOT/research/APweb/orders/poalesweb.htm
https://floranorthamerica.org/Juncaceae
https://powo.science.kew.org/taxon/urn:lsid:ipni.org:names:77126749-1
https://www.wildflower.org/collections/collection.php?collection=hays</x:v>
      </x:c>
      <x:c r="X310" s="215" t="str">
        <x:v>No — retain qualifiers and exceptions</x:v>
      </x:c>
      <x:c r="Y310" s="215" t="str">
        <x:v>Yes</x:v>
      </x:c>
      <x:c r="Z310" s="215" t="str">
        <x:v>Source-backed draft</x:v>
      </x:c>
      <x:c r="AA310" s="215" t="str">
        <x:v>Family pattern</x:v>
      </x:c>
      <x:c r="AB310" s="215" t="str">
        <x:v>Positive diagnostic</x:v>
      </x:c>
      <x:c r="AC310" s="215" t="str">
        <x:v>Moderate</x:v>
      </x:c>
      <x:c r="AD310" s="215" t="str">
        <x:v>Dissection</x:v>
      </x:c>
      <x:c r="AE310" s="215" t="str">
        <x:v>Low</x:v>
      </x:c>
      <x:c r="AF310" s="215" t="str">
        <x:v>Dissection / close study</x:v>
      </x:c>
      <x:c r="AG310" s="215" t="str">
        <x:v>3 — Reference support</x:v>
      </x:c>
      <x:c r="AH310" s="215" t="str">
        <x:v>Current master inventory</x:v>
      </x:c>
    </x:row>
    <x:row r="311" ht="42" customHeight="1">
      <x:c r="A311" s="215" t="str">
        <x:v>Juncaceae</x:v>
      </x:c>
      <x:c r="B311" s="215" t="str">
        <x:v>JUN-OVARY</x:v>
      </x:c>
      <x:c r="C311" s="215" t="str">
        <x:v>Broad family tendency</x:v>
      </x:c>
      <x:c r="D311" s="215" t="str">
        <x:v>Gynoecium</x:v>
      </x:c>
      <x:c r="E311" s="215" t="str">
        <x:v>Ovary superior, one- or three-locular, with three stigmatic branches commonly visible</x:v>
      </x:c>
      <x:c r="F311" s="215" t="str">
        <x:v>Strong</x:v>
      </x:c>
      <x:c r="G311" s="215" t="str">
        <x:v>4</x:v>
      </x:c>
      <x:c r="H311" s="215" t="str">
        <x:v>High with magnification</x:v>
      </x:c>
      <x:c r="I311" s="215" t="str">
        <x:v>Hand lens or dissection</x:v>
      </x:c>
      <x:c r="J311" s="215" t="str">
        <x:v>Flowering to early fruit</x:v>
      </x:c>
      <x:c r="K311" s="215" t="str">
        <x:v>The ovary sits above the tepals and commonly ends in three fine stigma branches.</x:v>
      </x:c>
      <x:c r="L311" s="215" t="str">
        <x:v>Locule number and placentation vary, and stigmas may be shed before fruit maturity.</x:v>
      </x:c>
      <x:c r="M311" s="215" t="str">
        <x:v>Use with perianth and fruit type rather than as a stand-alone feature.</x:v>
      </x:c>
      <x:c r="N311" s="215" t="str">
        <x:v>Confirmed Hays County rush-family route in wet swales, seeps, pond margins, riparian ground, and seasonally moist grasslands; local field work will most often encounter Juncus-type material.</x:v>
      </x:c>
      <x:c r="O311" s="215" t="str">
        <x:v>Low</x:v>
      </x:c>
      <x:c r="P311" s="215" t="str">
        <x:v>No</x:v>
      </x:c>
      <x:c r="Q311" s="215" t="str"/>
      <x:c r="R311" s="215" t="str">
        <x:v>JUN-LK01</x:v>
      </x:c>
      <x:c r="S311" s="215" t="str">
        <x:v>APWEB-JUNC; FNA-JUNC; POWO-JUNC; LBJWC-HAYS</x:v>
      </x:c>
      <x:c r="T311" s="215" t="str">
        <x:v>https://www.mobot.org/MOBOT/research/APweb/orders/poalesweb.htm</x:v>
      </x:c>
      <x:c r="U311" s="215" t="str">
        <x:v>https://floranorthamerica.org/Juncaceae</x:v>
      </x:c>
      <x:c r="V311" s="215" t="str">
        <x:v>https://powo.science.kew.org/taxon/urn:lsid:ipni.org:names:77126749-1</x:v>
      </x:c>
      <x:c r="W311" s="215" t="str">
        <x:v>https://www.mobot.org/MOBOT/research/APweb/orders/poalesweb.htm
https://floranorthamerica.org/Juncaceae
https://powo.science.kew.org/taxon/urn:lsid:ipni.org:names:77126749-1
https://www.wildflower.org/collections/collection.php?collection=hays</x:v>
      </x:c>
      <x:c r="X311" s="215" t="str">
        <x:v>No — retain qualifiers and exceptions</x:v>
      </x:c>
      <x:c r="Y311" s="215" t="str">
        <x:v>Yes</x:v>
      </x:c>
      <x:c r="Z311" s="215" t="str">
        <x:v>Source-backed draft</x:v>
      </x:c>
      <x:c r="AA311" s="215" t="str">
        <x:v>Family pattern</x:v>
      </x:c>
      <x:c r="AB311" s="215" t="str">
        <x:v>Positive diagnostic</x:v>
      </x:c>
      <x:c r="AC311" s="215" t="str">
        <x:v>High</x:v>
      </x:c>
      <x:c r="AD311" s="215" t="str">
        <x:v>Dissection</x:v>
      </x:c>
      <x:c r="AE311" s="215" t="str">
        <x:v>Low</x:v>
      </x:c>
      <x:c r="AF311" s="215" t="str">
        <x:v>Dissection / close study</x:v>
      </x:c>
      <x:c r="AG311" s="215" t="str">
        <x:v>3 — Reference support</x:v>
      </x:c>
      <x:c r="AH311" s="215" t="str">
        <x:v>Current master inventory</x:v>
      </x:c>
    </x:row>
    <x:row r="312" ht="42" customHeight="1">
      <x:c r="A312" s="215" t="str">
        <x:v>Juncaceae</x:v>
      </x:c>
      <x:c r="B312" s="215" t="str">
        <x:v>JUN-FRUIT</x:v>
      </x:c>
      <x:c r="C312" s="215" t="str">
        <x:v>Family-wide structural theme</x:v>
      </x:c>
      <x:c r="D312" s="215" t="str">
        <x:v>Fruit</x:v>
      </x:c>
      <x:c r="E312" s="215" t="str">
        <x:v>Loculicidal capsule containing three to many seeds</x:v>
      </x:c>
      <x:c r="F312" s="215" t="str">
        <x:v>Core</x:v>
      </x:c>
      <x:c r="G312" s="215" t="str">
        <x:v>5</x:v>
      </x:c>
      <x:c r="H312" s="215" t="str">
        <x:v>High</x:v>
      </x:c>
      <x:c r="I312" s="215" t="str">
        <x:v>Hand lens</x:v>
      </x:c>
      <x:c r="J312" s="215" t="str">
        <x:v>Mature fruit</x:v>
      </x:c>
      <x:c r="K312" s="215" t="str">
        <x:v>The dry fruit splits open along its chambers and releases several seeds.</x:v>
      </x:c>
      <x:c r="L312" s="215" t="str">
        <x:v>Luzula commonly has only three seeds, while Juncus usually has more; immature capsules may look like a sedge achene.</x:v>
      </x:c>
      <x:c r="M312" s="215" t="str">
        <x:v>A dehiscent capsule inside six persistent tepals is decisive against sedges and grasses.</x:v>
      </x:c>
      <x:c r="N312" s="215" t="str">
        <x:v>Confirmed Hays County rush-family route in wet swales, seeps, pond margins, riparian ground, and seasonally moist grasslands; local field work will most often encounter Juncus-type material.</x:v>
      </x:c>
      <x:c r="O312" s="215" t="str">
        <x:v>Low</x:v>
      </x:c>
      <x:c r="P312" s="215" t="str">
        <x:v>No</x:v>
      </x:c>
      <x:c r="Q312" s="215" t="str"/>
      <x:c r="R312" s="215" t="str">
        <x:v>JUN-LK01; JUN-LK02</x:v>
      </x:c>
      <x:c r="S312" s="215" t="str">
        <x:v>APWEB-JUNC; FNA-JUNC; POWO-JUNC; LBJWC-HAYS</x:v>
      </x:c>
      <x:c r="T312" s="215" t="str">
        <x:v>https://www.mobot.org/MOBOT/research/APweb/orders/poalesweb.htm</x:v>
      </x:c>
      <x:c r="U312" s="215" t="str">
        <x:v>https://floranorthamerica.org/Juncaceae</x:v>
      </x:c>
      <x:c r="V312" s="215" t="str">
        <x:v>https://powo.science.kew.org/taxon/urn:lsid:ipni.org:names:77126749-1</x:v>
      </x:c>
      <x:c r="W312" s="215" t="str">
        <x:v>https://www.mobot.org/MOBOT/research/APweb/orders/poalesweb.htm
https://floranorthamerica.org/Juncaceae
https://powo.science.kew.org/taxon/urn:lsid:ipni.org:names:77126749-1
https://www.wildflower.org/collections/collection.php?collection=hays</x:v>
      </x:c>
      <x:c r="X312" s="215" t="str">
        <x:v>No — retain qualifiers and exceptions</x:v>
      </x:c>
      <x:c r="Y312" s="215" t="str">
        <x:v>Yes</x:v>
      </x:c>
      <x:c r="Z312" s="215" t="str">
        <x:v>Source-backed draft</x:v>
      </x:c>
      <x:c r="AA312" s="215" t="str">
        <x:v>Family pattern</x:v>
      </x:c>
      <x:c r="AB312" s="215" t="str">
        <x:v>Positive diagnostic</x:v>
      </x:c>
      <x:c r="AC312" s="215" t="str">
        <x:v>High</x:v>
      </x:c>
      <x:c r="AD312" s="215" t="str">
        <x:v>Hand lens / macro</x:v>
      </x:c>
      <x:c r="AE312" s="215" t="str">
        <x:v>Low</x:v>
      </x:c>
      <x:c r="AF312" s="215" t="str">
        <x:v>Field-ready draft</x:v>
      </x:c>
      <x:c r="AG312" s="215" t="str">
        <x:v>2 — Field-photo priority</x:v>
      </x:c>
      <x:c r="AH312" s="215" t="str">
        <x:v>Current master inventory</x:v>
      </x:c>
    </x:row>
    <x:row r="313" ht="42" customHeight="1">
      <x:c r="A313" s="215" t="str">
        <x:v>Juncaceae</x:v>
      </x:c>
      <x:c r="B313" s="215" t="str">
        <x:v>JUN-SEED</x:v>
      </x:c>
      <x:c r="C313" s="215" t="str">
        <x:v>Broad family variation</x:v>
      </x:c>
      <x:c r="D313" s="215" t="str">
        <x:v>Seed</x:v>
      </x:c>
      <x:c r="E313" s="215" t="str">
        <x:v>Seeds three to many, sometimes with pale appendages at one or both ends</x:v>
      </x:c>
      <x:c r="F313" s="215" t="str">
        <x:v>Supporting</x:v>
      </x:c>
      <x:c r="G313" s="215" t="str">
        <x:v>3</x:v>
      </x:c>
      <x:c r="H313" s="215" t="str">
        <x:v>Variable</x:v>
      </x:c>
      <x:c r="I313" s="215" t="str">
        <x:v>Hand lens</x:v>
      </x:c>
      <x:c r="J313" s="215" t="str">
        <x:v>Mature opened capsule</x:v>
      </x:c>
      <x:c r="K313" s="215" t="str">
        <x:v>Opening a mature capsule reveals several small seeds; some have whitish tail-like ends.</x:v>
      </x:c>
      <x:c r="L313" s="215" t="str">
        <x:v>Appendages are not universal and seed number differs between major lineages.</x:v>
      </x:c>
      <x:c r="M313" s="215" t="str">
        <x:v>Use seed number to confirm a capsule and to help separate Juncus-type from Luzula-type material.</x:v>
      </x:c>
      <x:c r="N313" s="215" t="str">
        <x:v>Confirmed Hays County rush-family route in wet swales, seeps, pond margins, riparian ground, and seasonally moist grasslands; local field work will most often encounter Juncus-type material.</x:v>
      </x:c>
      <x:c r="O313" s="215" t="str">
        <x:v>Low</x:v>
      </x:c>
      <x:c r="P313" s="215" t="str">
        <x:v>No</x:v>
      </x:c>
      <x:c r="Q313" s="215" t="str"/>
      <x:c r="R313" s="215" t="str">
        <x:v>JUN-LK01</x:v>
      </x:c>
      <x:c r="S313" s="215" t="str">
        <x:v>APWEB-JUNC; FNA-JUNC; POWO-JUNC; LBJWC-HAYS</x:v>
      </x:c>
      <x:c r="T313" s="215" t="str">
        <x:v>https://www.mobot.org/MOBOT/research/APweb/orders/poalesweb.htm</x:v>
      </x:c>
      <x:c r="U313" s="215" t="str">
        <x:v>https://floranorthamerica.org/Juncaceae</x:v>
      </x:c>
      <x:c r="V313" s="215" t="str">
        <x:v>https://powo.science.kew.org/taxon/urn:lsid:ipni.org:names:77126749-1</x:v>
      </x:c>
      <x:c r="W313" s="215" t="str">
        <x:v>https://www.mobot.org/MOBOT/research/APweb/orders/poalesweb.htm
https://floranorthamerica.org/Juncaceae
https://powo.science.kew.org/taxon/urn:lsid:ipni.org:names:77126749-1
https://www.wildflower.org/collections/collection.php?collection=hays</x:v>
      </x:c>
      <x:c r="X313" s="215" t="str">
        <x:v>No — retain qualifiers and exceptions</x:v>
      </x:c>
      <x:c r="Y313" s="215" t="str">
        <x:v>Yes</x:v>
      </x:c>
      <x:c r="Z313" s="215" t="str">
        <x:v>Source-backed draft</x:v>
      </x:c>
      <x:c r="AA313" s="215" t="str">
        <x:v>Family pattern</x:v>
      </x:c>
      <x:c r="AB313" s="215" t="str">
        <x:v>Supporting / route</x:v>
      </x:c>
      <x:c r="AC313" s="215" t="str">
        <x:v>Variable</x:v>
      </x:c>
      <x:c r="AD313" s="215" t="str">
        <x:v>Hand lens / macro</x:v>
      </x:c>
      <x:c r="AE313" s="215" t="str">
        <x:v>Low</x:v>
      </x:c>
      <x:c r="AF313" s="215" t="str">
        <x:v>Field-ready draft</x:v>
      </x:c>
      <x:c r="AG313" s="215" t="str">
        <x:v>3 — Reference support</x:v>
      </x:c>
      <x:c r="AH313" s="215" t="str">
        <x:v>Current master inventory</x:v>
      </x:c>
    </x:row>
    <x:row r="314" ht="42" customHeight="1">
      <x:c r="A314" s="215" t="str">
        <x:v>Juncaceae</x:v>
      </x:c>
      <x:c r="B314" s="215" t="str">
        <x:v>JUN-LK01</x:v>
      </x:c>
      <x:c r="C314" s="215" t="str">
        <x:v>Hays County field comparison</x:v>
      </x:c>
      <x:c r="D314" s="215" t="str">
        <x:v>Lookalike comparison</x:v>
      </x:c>
      <x:c r="E314" s="215" t="str">
        <x:v>Juncaceae versus Cyperaceae</x:v>
      </x:c>
      <x:c r="F314" s="215" t="str">
        <x:v>Strong</x:v>
      </x:c>
      <x:c r="G314" s="215" t="str">
        <x:v>5</x:v>
      </x:c>
      <x:c r="H314" s="215" t="str">
        <x:v>High with fertile material</x:v>
      </x:c>
      <x:c r="I314" s="215" t="str">
        <x:v>Hand lens</x:v>
      </x:c>
      <x:c r="J314" s="215" t="str">
        <x:v>Flowering or fruiting</x:v>
      </x:c>
      <x:c r="K314" s="215" t="str">
        <x:v>Rushes usually retain six chaffy tepals and make multi-seeded capsules; sedges usually have one scale per flower, a reduced or absent perianth, and one-seeded achenes.</x:v>
      </x:c>
      <x:c r="L314" s="215" t="str">
        <x:v>Vegetative plants and immature fruits may remain unresolved.</x:v>
      </x:c>
      <x:c r="M314" s="215" t="str">
        <x:v>Open one mature reproductive unit and prioritize perianth plus fruit type over stem shape.</x:v>
      </x:c>
      <x:c r="N314" s="215" t="str">
        <x:v>Confirmed Hays County rush-family route in wet swales, seeps, pond margins, riparian ground, and seasonally moist grasslands; local field work will most often encounter Juncus-type material.</x:v>
      </x:c>
      <x:c r="O314" s="215" t="str">
        <x:v>Low</x:v>
      </x:c>
      <x:c r="P314" s="215" t="str">
        <x:v>No</x:v>
      </x:c>
      <x:c r="Q314" s="215" t="str"/>
      <x:c r="R314" s="215" t="str"/>
      <x:c r="S314" s="215" t="str">
        <x:v>APWEB-JUNC; FNA-JUNC; POWO-JUNC; APWEB-CYP; FNA-CYP; POWO-CYP; LBJWC-HAYS</x:v>
      </x:c>
      <x:c r="T314" s="215" t="str">
        <x:v>https://www.mobot.org/MOBOT/research/APweb/orders/poalesweb.htm</x:v>
      </x:c>
      <x:c r="U314" s="215" t="str">
        <x:v>https://floranorthamerica.org/Juncaceae</x:v>
      </x:c>
      <x:c r="V314" s="215" t="str">
        <x:v>https://powo.science.kew.org/taxon/urn:lsid:ipni.org:names:77126749-1</x:v>
      </x:c>
      <x:c r="W314" s="215" t="str">
        <x:v>https://www.mobot.org/MOBOT/research/APweb/orders/poalesweb.htm
https://floranorthamerica.org/Juncaceae
https://powo.science.kew.org/taxon/urn:lsid:ipni.org:names:77126749-1
https://www.wildflower.org/collections/collection.php?collection=hays
https://floranorthamerica.org/Cyperaceae
https://powo.science.kew.org/taxon/urn:lsid:ipni.org:names:30000197-2</x:v>
      </x:c>
      <x:c r="X314" s="215" t="str">
        <x:v>No — retain qualifiers and exceptions</x:v>
      </x:c>
      <x:c r="Y314" s="215" t="str">
        <x:v>Yes</x:v>
      </x:c>
      <x:c r="Z314" s="215" t="str">
        <x:v>Source-backed comparison draft</x:v>
      </x:c>
      <x:c r="AA314" s="215" t="str">
        <x:v>Other qualified pattern</x:v>
      </x:c>
      <x:c r="AB314" s="215" t="str">
        <x:v>Positive diagnostic</x:v>
      </x:c>
      <x:c r="AC314" s="215" t="str">
        <x:v>High</x:v>
      </x:c>
      <x:c r="AD314" s="215" t="str">
        <x:v>Hand lens / macro</x:v>
      </x:c>
      <x:c r="AE314" s="215" t="str">
        <x:v>Low</x:v>
      </x:c>
      <x:c r="AF314" s="215" t="str">
        <x:v>Field-ready draft</x:v>
      </x:c>
      <x:c r="AG314" s="215" t="str">
        <x:v>2 — Field-photo priority</x:v>
      </x:c>
      <x:c r="AH314" s="215" t="str">
        <x:v>Current master inventory</x:v>
      </x:c>
    </x:row>
    <x:row r="315" ht="42" customHeight="1">
      <x:c r="A315" s="215" t="str">
        <x:v>Juncaceae</x:v>
      </x:c>
      <x:c r="B315" s="215" t="str">
        <x:v>JUN-LK02</x:v>
      </x:c>
      <x:c r="C315" s="215" t="str">
        <x:v>Hays County field comparison</x:v>
      </x:c>
      <x:c r="D315" s="215" t="str">
        <x:v>Lookalike comparison</x:v>
      </x:c>
      <x:c r="E315" s="215" t="str">
        <x:v>Juncaceae versus Poaceae</x:v>
      </x:c>
      <x:c r="F315" s="215" t="str">
        <x:v>Strong</x:v>
      </x:c>
      <x:c r="G315" s="215" t="str">
        <x:v>5</x:v>
      </x:c>
      <x:c r="H315" s="215" t="str">
        <x:v>High with fertile material</x:v>
      </x:c>
      <x:c r="I315" s="215" t="str">
        <x:v>Hand lens</x:v>
      </x:c>
      <x:c r="J315" s="215" t="str">
        <x:v>Flowering or fruiting</x:v>
      </x:c>
      <x:c r="K315" s="215" t="str">
        <x:v>Rushes have recognizable tepals and capsules; grasses organize flowers into glume-bearing spikelets with lemma-palea florets and usually produce caryopses.</x:v>
      </x:c>
      <x:c r="L315" s="215" t="str">
        <x:v>Reduced or weathered material can hide both constructions.</x:v>
      </x:c>
      <x:c r="M315" s="215" t="str">
        <x:v>Find either a six-tepaled flower or a true grass spikelet before trusting leaf shape.</x:v>
      </x:c>
      <x:c r="N315" s="215" t="str">
        <x:v>Confirmed Hays County rush-family route in wet swales, seeps, pond margins, riparian ground, and seasonally moist grasslands; local field work will most often encounter Juncus-type material.</x:v>
      </x:c>
      <x:c r="O315" s="215" t="str">
        <x:v>Low</x:v>
      </x:c>
      <x:c r="P315" s="215" t="str">
        <x:v>No</x:v>
      </x:c>
      <x:c r="Q315" s="215" t="str"/>
      <x:c r="R315" s="215" t="str"/>
      <x:c r="S315" s="215" t="str">
        <x:v>APWEB-JUNC; FNA-JUNC; POWO-JUNC; APWEB-POAC; FNA-POAC; POWO-POAC; LBJWC-HAYS</x:v>
      </x:c>
      <x:c r="T315" s="215" t="str">
        <x:v>https://www.mobot.org/MOBOT/research/APweb/orders/poalesweb.htm</x:v>
      </x:c>
      <x:c r="U315" s="215" t="str">
        <x:v>https://floranorthamerica.org/Juncaceae</x:v>
      </x:c>
      <x:c r="V315" s="215" t="str">
        <x:v>https://powo.science.kew.org/taxon/urn:lsid:ipni.org:names:77126749-1</x:v>
      </x:c>
      <x:c r="W315" s="215" t="str">
        <x:v>https://www.mobot.org/MOBOT/research/APweb/orders/poalesweb.htm
https://floranorthamerica.org/Juncaceae
https://powo.science.kew.org/taxon/urn:lsid:ipni.org:names:77126749-1
https://www.wildflower.org/collections/collection.php?collection=hays
https://floranorthamerica.org/Poaceae
https://powo.science.kew.org/taxon/urn:lsid:ipni.org:names:30000032-2</x:v>
      </x:c>
      <x:c r="X315" s="215" t="str">
        <x:v>No — retain qualifiers and exceptions</x:v>
      </x:c>
      <x:c r="Y315" s="215" t="str">
        <x:v>Yes</x:v>
      </x:c>
      <x:c r="Z315" s="215" t="str">
        <x:v>Source-backed comparison draft</x:v>
      </x:c>
      <x:c r="AA315" s="215" t="str">
        <x:v>Other qualified pattern</x:v>
      </x:c>
      <x:c r="AB315" s="215" t="str">
        <x:v>Positive diagnostic</x:v>
      </x:c>
      <x:c r="AC315" s="215" t="str">
        <x:v>High</x:v>
      </x:c>
      <x:c r="AD315" s="215" t="str">
        <x:v>Hand lens / macro</x:v>
      </x:c>
      <x:c r="AE315" s="215" t="str">
        <x:v>Low</x:v>
      </x:c>
      <x:c r="AF315" s="215" t="str">
        <x:v>Field-ready draft</x:v>
      </x:c>
      <x:c r="AG315" s="215" t="str">
        <x:v>2 — Field-photo priority</x:v>
      </x:c>
      <x:c r="AH315" s="215" t="str">
        <x:v>Current master inventory</x:v>
      </x:c>
    </x:row>
    <x:row r="316" ht="42" customHeight="1">
      <x:c r="A316" s="215" t="str">
        <x:v>Rubiaceae</x:v>
      </x:c>
      <x:c r="B316" s="215" t="str">
        <x:v>RUB-HABIT</x:v>
      </x:c>
      <x:c r="C316" s="215" t="str">
        <x:v>Family-wide variation</x:v>
      </x:c>
      <x:c r="D316" s="215" t="str">
        <x:v>Habit</x:v>
      </x:c>
      <x:c r="E316" s="215" t="str">
        <x:v>Herbs, shrubs, trees, or climbers</x:v>
      </x:c>
      <x:c r="F316" s="215" t="str">
        <x:v>Caution</x:v>
      </x:c>
      <x:c r="G316" s="215" t="str">
        <x:v>0</x:v>
      </x:c>
      <x:c r="H316" s="215" t="str">
        <x:v>High</x:v>
      </x:c>
      <x:c r="I316" s="215" t="str">
        <x:v>Naked eye</x:v>
      </x:c>
      <x:c r="J316" s="215" t="str">
        <x:v>Any</x:v>
      </x:c>
      <x:c r="K316" s="215" t="str">
        <x:v>The coffee family includes tiny annual herbs as well as shrubs and trees.</x:v>
      </x:c>
      <x:c r="L316" s="215" t="str">
        <x:v>Habit is too variable to diagnose the family.</x:v>
      </x:c>
      <x:c r="M316" s="215" t="str">
        <x:v>Use only to choose an appropriate local genus route after leaf nodes and flowers are checked.</x:v>
      </x:c>
      <x:c r="N316" s="215" t="str">
        <x:v>Confirmed Hays County family spanning bedstraw, bluet/diamondflower, buttonbush, and buttonweed-type routes in limestone openings, lawns, woodland edges, riparian sites, and moist ground; synonym tracking is important in local genera.</x:v>
      </x:c>
      <x:c r="O316" s="215" t="str">
        <x:v>Low</x:v>
      </x:c>
      <x:c r="P316" s="215" t="str">
        <x:v>No</x:v>
      </x:c>
      <x:c r="Q316" s="215" t="str"/>
      <x:c r="R316" s="215" t="str">
        <x:v>RUB-LK01; RUB-LK02</x:v>
      </x:c>
      <x:c r="S316" s="215" t="str">
        <x:v>APWEB-RUB; POWO-RUB-GI; POWO-RUB; LBJWC-HAYS</x:v>
      </x:c>
      <x:c r="T316" s="215" t="str">
        <x:v>https://www.mobot.org/MOBOT/research/APweb/orders/gentianalesweb.htm</x:v>
      </x:c>
      <x:c r="U316" s="215" t="str">
        <x:v>https://powo.science.kew.org/taxon/urn:lsid:ipni.org:names:30032120-2/general-information</x:v>
      </x:c>
      <x:c r="V316" s="215" t="str">
        <x:v>https://powo.science.kew.org/taxon/urn:lsid:ipni.org:names:30032120-2</x:v>
      </x:c>
      <x:c r="W316" s="215" t="str">
        <x:v>https://www.mobot.org/MOBOT/research/APweb/orders/gentianalesweb.htm
https://powo.science.kew.org/taxon/urn:lsid:ipni.org:names:30032120-2/general-information
https://powo.science.kew.org/taxon/urn:lsid:ipni.org:names:30032120-2
https://www.wildflower.org/collections/collection.php?collection=hays</x:v>
      </x:c>
      <x:c r="X316" s="215" t="str">
        <x:v>No — retain qualifiers and exceptions</x:v>
      </x:c>
      <x:c r="Y316" s="215" t="str">
        <x:v>Yes</x:v>
      </x:c>
      <x:c r="Z316" s="215" t="str">
        <x:v>Source-backed draft</x:v>
      </x:c>
      <x:c r="AA316" s="215" t="str">
        <x:v>Family pattern</x:v>
      </x:c>
      <x:c r="AB316" s="215" t="str">
        <x:v>Caution / negative rule</x:v>
      </x:c>
      <x:c r="AC316" s="215" t="str">
        <x:v>High</x:v>
      </x:c>
      <x:c r="AD316" s="215" t="str">
        <x:v>Naked eye / field</x:v>
      </x:c>
      <x:c r="AE316" s="215" t="str">
        <x:v>Low</x:v>
      </x:c>
      <x:c r="AF316" s="215" t="str">
        <x:v>Field-ready draft</x:v>
      </x:c>
      <x:c r="AG316" s="215" t="str">
        <x:v>4 — Context / caution</x:v>
      </x:c>
      <x:c r="AH316" s="215" t="str">
        <x:v>Current master inventory</x:v>
      </x:c>
    </x:row>
    <x:row r="317" ht="42" customHeight="1">
      <x:c r="A317" s="215" t="str">
        <x:v>Rubiaceae</x:v>
      </x:c>
      <x:c r="B317" s="215" t="str">
        <x:v>RUB-LEAF</x:v>
      </x:c>
      <x:c r="C317" s="215" t="str">
        <x:v>Broad family tendency</x:v>
      </x:c>
      <x:c r="D317" s="215" t="str">
        <x:v>Leaf</x:v>
      </x:c>
      <x:c r="E317" s="215" t="str">
        <x:v>Leaves usually opposite or whorled, commonly simple and entire</x:v>
      </x:c>
      <x:c r="F317" s="215" t="str">
        <x:v>Strong</x:v>
      </x:c>
      <x:c r="G317" s="215" t="str">
        <x:v>4</x:v>
      </x:c>
      <x:c r="H317" s="215" t="str">
        <x:v>High</x:v>
      </x:c>
      <x:c r="I317" s="215" t="str">
        <x:v>Naked eye</x:v>
      </x:c>
      <x:c r="J317" s="215" t="str">
        <x:v>Vegetative</x:v>
      </x:c>
      <x:c r="K317" s="215" t="str">
        <x:v>Leaf pairs usually face each other, and some bedstraws appear to have rings of many leaves.</x:v>
      </x:c>
      <x:c r="L317" s="215" t="str">
        <x:v>Rare alternate leaves and toothed or divided blades occur outside typical local routes.</x:v>
      </x:c>
      <x:c r="M317" s="215" t="str">
        <x:v>At each node, search for interpetiolar stipules before using leaf arrangement as evidence.</x:v>
      </x:c>
      <x:c r="N317" s="215" t="str">
        <x:v>Confirmed Hays County family spanning bedstraw, bluet/diamondflower, buttonbush, and buttonweed-type routes in limestone openings, lawns, woodland edges, riparian sites, and moist ground; synonym tracking is important in local genera.</x:v>
      </x:c>
      <x:c r="O317" s="215" t="str">
        <x:v>Low</x:v>
      </x:c>
      <x:c r="P317" s="215" t="str">
        <x:v>No</x:v>
      </x:c>
      <x:c r="Q317" s="215" t="str"/>
      <x:c r="R317" s="215" t="str">
        <x:v>RUB-LK01; RUB-LK02</x:v>
      </x:c>
      <x:c r="S317" s="215" t="str">
        <x:v>APWEB-RUB; POWO-RUB-GI; POWO-RUB; LBJWC-HAYS</x:v>
      </x:c>
      <x:c r="T317" s="215" t="str">
        <x:v>https://www.mobot.org/MOBOT/research/APweb/orders/gentianalesweb.htm</x:v>
      </x:c>
      <x:c r="U317" s="215" t="str">
        <x:v>https://powo.science.kew.org/taxon/urn:lsid:ipni.org:names:30032120-2/general-information</x:v>
      </x:c>
      <x:c r="V317" s="215" t="str">
        <x:v>https://powo.science.kew.org/taxon/urn:lsid:ipni.org:names:30032120-2</x:v>
      </x:c>
      <x:c r="W317" s="215" t="str">
        <x:v>https://www.mobot.org/MOBOT/research/APweb/orders/gentianalesweb.htm
https://powo.science.kew.org/taxon/urn:lsid:ipni.org:names:30032120-2/general-information
https://powo.science.kew.org/taxon/urn:lsid:ipni.org:names:30032120-2
https://www.wildflower.org/collections/collection.php?collection=hays</x:v>
      </x:c>
      <x:c r="X317" s="215" t="str">
        <x:v>No — retain qualifiers and exceptions</x:v>
      </x:c>
      <x:c r="Y317" s="215" t="str">
        <x:v>Yes</x:v>
      </x:c>
      <x:c r="Z317" s="215" t="str">
        <x:v>Source-backed draft</x:v>
      </x:c>
      <x:c r="AA317" s="215" t="str">
        <x:v>Family pattern</x:v>
      </x:c>
      <x:c r="AB317" s="215" t="str">
        <x:v>Positive diagnostic</x:v>
      </x:c>
      <x:c r="AC317" s="215" t="str">
        <x:v>High</x:v>
      </x:c>
      <x:c r="AD317" s="215" t="str">
        <x:v>Naked eye / field</x:v>
      </x:c>
      <x:c r="AE317" s="215" t="str">
        <x:v>Low</x:v>
      </x:c>
      <x:c r="AF317" s="215" t="str">
        <x:v>Field-ready draft</x:v>
      </x:c>
      <x:c r="AG317" s="215" t="str">
        <x:v>2 — Field-photo priority</x:v>
      </x:c>
      <x:c r="AH317" s="215" t="str">
        <x:v>Current master inventory</x:v>
      </x:c>
    </x:row>
    <x:row r="318" ht="42" customHeight="1">
      <x:c r="A318" s="215" t="str">
        <x:v>Rubiaceae</x:v>
      </x:c>
      <x:c r="B318" s="215" t="str">
        <x:v>RUB-STIPULE</x:v>
      </x:c>
      <x:c r="C318" s="215" t="str">
        <x:v>Broad family tendency</x:v>
      </x:c>
      <x:c r="D318" s="215" t="str">
        <x:v>Stipules</x:v>
      </x:c>
      <x:c r="E318" s="215" t="str">
        <x:v>Interpetiolar or intrapetiolar stipules usually present between opposite leaves</x:v>
      </x:c>
      <x:c r="F318" s="215" t="str">
        <x:v>Core</x:v>
      </x:c>
      <x:c r="G318" s="215" t="str">
        <x:v>5</x:v>
      </x:c>
      <x:c r="H318" s="215" t="str">
        <x:v>High when intact</x:v>
      </x:c>
      <x:c r="I318" s="215" t="str">
        <x:v>Naked eye to hand lens</x:v>
      </x:c>
      <x:c r="J318" s="215" t="str">
        <x:v>Young vegetative material</x:v>
      </x:c>
      <x:c r="K318" s="215" t="str">
        <x:v>A small flap, fringe, or pair of structures bridges the space between opposite leaf stalks.</x:v>
      </x:c>
      <x:c r="L318" s="215" t="str">
        <x:v>Stipules can be minute, divided into bristles, fused, deciduous, or interpreted as leaflike in Rubieae.</x:v>
      </x:c>
      <x:c r="M318" s="215" t="str">
        <x:v>Opposite entire leaves plus interpetiolar stipules strongly supports Rubiaceae over most local lookalikes.</x:v>
      </x:c>
      <x:c r="N318" s="215" t="str">
        <x:v>Confirmed Hays County family spanning bedstraw, bluet/diamondflower, buttonbush, and buttonweed-type routes in limestone openings, lawns, woodland edges, riparian sites, and moist ground; synonym tracking is important in local genera.</x:v>
      </x:c>
      <x:c r="O318" s="215" t="str">
        <x:v>Low</x:v>
      </x:c>
      <x:c r="P318" s="215" t="str">
        <x:v>No</x:v>
      </x:c>
      <x:c r="Q318" s="215" t="str"/>
      <x:c r="R318" s="215" t="str">
        <x:v>RUB-LK01; RUB-LK02</x:v>
      </x:c>
      <x:c r="S318" s="215" t="str">
        <x:v>APWEB-RUB; POWO-RUB-GI; POWO-RUB; LBJWC-HAYS</x:v>
      </x:c>
      <x:c r="T318" s="215" t="str">
        <x:v>https://www.mobot.org/MOBOT/research/APweb/orders/gentianalesweb.htm</x:v>
      </x:c>
      <x:c r="U318" s="215" t="str">
        <x:v>https://powo.science.kew.org/taxon/urn:lsid:ipni.org:names:30032120-2/general-information</x:v>
      </x:c>
      <x:c r="V318" s="215" t="str">
        <x:v>https://powo.science.kew.org/taxon/urn:lsid:ipni.org:names:30032120-2</x:v>
      </x:c>
      <x:c r="W318" s="215" t="str">
        <x:v>https://www.mobot.org/MOBOT/research/APweb/orders/gentianalesweb.htm
https://powo.science.kew.org/taxon/urn:lsid:ipni.org:names:30032120-2/general-information
https://powo.science.kew.org/taxon/urn:lsid:ipni.org:names:30032120-2
https://www.wildflower.org/collections/collection.php?collection=hays</x:v>
      </x:c>
      <x:c r="X318" s="215" t="str">
        <x:v>No — retain qualifiers and exceptions</x:v>
      </x:c>
      <x:c r="Y318" s="215" t="str">
        <x:v>Yes</x:v>
      </x:c>
      <x:c r="Z318" s="215" t="str">
        <x:v>Source-backed draft</x:v>
      </x:c>
      <x:c r="AA318" s="215" t="str">
        <x:v>Family pattern</x:v>
      </x:c>
      <x:c r="AB318" s="215" t="str">
        <x:v>Positive diagnostic</x:v>
      </x:c>
      <x:c r="AC318" s="215" t="str">
        <x:v>High</x:v>
      </x:c>
      <x:c r="AD318" s="215" t="str">
        <x:v>Hand lens / macro</x:v>
      </x:c>
      <x:c r="AE318" s="215" t="str">
        <x:v>Low</x:v>
      </x:c>
      <x:c r="AF318" s="215" t="str">
        <x:v>Field-ready draft</x:v>
      </x:c>
      <x:c r="AG318" s="215" t="str">
        <x:v>2 — Field-photo priority</x:v>
      </x:c>
      <x:c r="AH318" s="215" t="str">
        <x:v>Current master inventory</x:v>
      </x:c>
    </x:row>
    <x:row r="319" ht="42" customHeight="1">
      <x:c r="A319" s="215" t="str">
        <x:v>Rubiaceae</x:v>
      </x:c>
      <x:c r="B319" s="215" t="str">
        <x:v>RUB-GALIUM</x:v>
      </x:c>
      <x:c r="C319" s="215" t="str">
        <x:v>Tribe-limited, common locally</x:v>
      </x:c>
      <x:c r="D319" s="215" t="str">
        <x:v>Leaf node</x:v>
      </x:c>
      <x:c r="E319" s="215" t="str">
        <x:v>In Galium and allies, leaflike stipules make apparent whorls of four or more similar blades</x:v>
      </x:c>
      <x:c r="F319" s="215" t="str">
        <x:v>Strong</x:v>
      </x:c>
      <x:c r="G319" s="215" t="str">
        <x:v>4</x:v>
      </x:c>
      <x:c r="H319" s="215" t="str">
        <x:v>High when present</x:v>
      </x:c>
      <x:c r="I319" s="215" t="str">
        <x:v>Naked eye</x:v>
      </x:c>
      <x:c r="J319" s="215" t="str">
        <x:v>Vegetative</x:v>
      </x:c>
      <x:c r="K319" s="215" t="str">
        <x:v>A bedstraw 'whorl' is typically two true leaves plus stipules that look like extra leaves.</x:v>
      </x:c>
      <x:c r="L319" s="215" t="str">
        <x:v>This construction is not family-wide and should not be required for other rubiads.</x:v>
      </x:c>
      <x:c r="M319" s="215" t="str">
        <x:v>Use apparent whorls as a Galium-route clue, then check tiny flowers and paired fruit lobes.</x:v>
      </x:c>
      <x:c r="N319" s="215" t="str">
        <x:v>Confirmed Hays County family spanning bedstraw, bluet/diamondflower, buttonbush, and buttonweed-type routes in limestone openings, lawns, woodland edges, riparian sites, and moist ground; synonym tracking is important in local genera.</x:v>
      </x:c>
      <x:c r="O319" s="215" t="str">
        <x:v>Low</x:v>
      </x:c>
      <x:c r="P319" s="215" t="str">
        <x:v>No</x:v>
      </x:c>
      <x:c r="Q319" s="215" t="str"/>
      <x:c r="R319" s="215" t="str">
        <x:v>RUB-LK02</x:v>
      </x:c>
      <x:c r="S319" s="215" t="str">
        <x:v>APWEB-RUB; POWO-RUB-GI; POWO-RUB; LBJWC-HAYS</x:v>
      </x:c>
      <x:c r="T319" s="215" t="str">
        <x:v>https://www.mobot.org/MOBOT/research/APweb/orders/gentianalesweb.htm</x:v>
      </x:c>
      <x:c r="U319" s="215" t="str">
        <x:v>https://powo.science.kew.org/taxon/urn:lsid:ipni.org:names:30032120-2/general-information</x:v>
      </x:c>
      <x:c r="V319" s="215" t="str">
        <x:v>https://powo.science.kew.org/taxon/urn:lsid:ipni.org:names:30032120-2</x:v>
      </x:c>
      <x:c r="W319" s="215" t="str">
        <x:v>https://www.mobot.org/MOBOT/research/APweb/orders/gentianalesweb.htm
https://powo.science.kew.org/taxon/urn:lsid:ipni.org:names:30032120-2/general-information
https://powo.science.kew.org/taxon/urn:lsid:ipni.org:names:30032120-2
https://www.wildflower.org/collections/collection.php?collection=hays</x:v>
      </x:c>
      <x:c r="X319" s="215" t="str">
        <x:v>No — retain qualifiers and exceptions</x:v>
      </x:c>
      <x:c r="Y319" s="215" t="str">
        <x:v>Yes</x:v>
      </x:c>
      <x:c r="Z319" s="215" t="str">
        <x:v>Source-backed draft</x:v>
      </x:c>
      <x:c r="AA319" s="215" t="str">
        <x:v>Local subgroup / route</x:v>
      </x:c>
      <x:c r="AB319" s="215" t="str">
        <x:v>Positive diagnostic</x:v>
      </x:c>
      <x:c r="AC319" s="215" t="str">
        <x:v>High</x:v>
      </x:c>
      <x:c r="AD319" s="215" t="str">
        <x:v>Naked eye / field</x:v>
      </x:c>
      <x:c r="AE319" s="215" t="str">
        <x:v>Low</x:v>
      </x:c>
      <x:c r="AF319" s="215" t="str">
        <x:v>Field-ready draft</x:v>
      </x:c>
      <x:c r="AG319" s="215" t="str">
        <x:v>2 — Field-photo priority</x:v>
      </x:c>
      <x:c r="AH319" s="215" t="str">
        <x:v>Current master inventory</x:v>
      </x:c>
    </x:row>
    <x:row r="320" ht="42" customHeight="1">
      <x:c r="A320" s="215" t="str">
        <x:v>Rubiaceae</x:v>
      </x:c>
      <x:c r="B320" s="215" t="str">
        <x:v>RUB-COROLLA</x:v>
      </x:c>
      <x:c r="C320" s="215" t="str">
        <x:v>Broad family tendency</x:v>
      </x:c>
      <x:c r="D320" s="215" t="str">
        <x:v>Corolla</x:v>
      </x:c>
      <x:c r="E320" s="215" t="str">
        <x:v>Corolla sympetalous, usually four- or five-lobed and commonly radially symmetric</x:v>
      </x:c>
      <x:c r="F320" s="215" t="str">
        <x:v>Strong</x:v>
      </x:c>
      <x:c r="G320" s="215" t="str">
        <x:v>4</x:v>
      </x:c>
      <x:c r="H320" s="215" t="str">
        <x:v>High</x:v>
      </x:c>
      <x:c r="I320" s="215" t="str">
        <x:v>Naked eye to hand lens</x:v>
      </x:c>
      <x:c r="J320" s="215" t="str">
        <x:v>Flowering</x:v>
      </x:c>
      <x:c r="K320" s="215" t="str">
        <x:v>The petals are joined into a tube or shallow wheel ending in four or five lobes.</x:v>
      </x:c>
      <x:c r="L320" s="215" t="str">
        <x:v>Some flowers are strongly tubular, asymmetric, or otherwise modified; flowers may be very small.</x:v>
      </x:c>
      <x:c r="M320" s="215" t="str">
        <x:v>Pair a fused corolla with an inferior ovary and stipulate opposite leaves.</x:v>
      </x:c>
      <x:c r="N320" s="215" t="str">
        <x:v>Confirmed Hays County family spanning bedstraw, bluet/diamondflower, buttonbush, and buttonweed-type routes in limestone openings, lawns, woodland edges, riparian sites, and moist ground; synonym tracking is important in local genera.</x:v>
      </x:c>
      <x:c r="O320" s="215" t="str">
        <x:v>Low</x:v>
      </x:c>
      <x:c r="P320" s="215" t="str">
        <x:v>No</x:v>
      </x:c>
      <x:c r="Q320" s="215" t="str"/>
      <x:c r="R320" s="215" t="str">
        <x:v>RUB-LK01</x:v>
      </x:c>
      <x:c r="S320" s="215" t="str">
        <x:v>APWEB-RUB; POWO-RUB-GI; POWO-RUB; LBJWC-HAYS</x:v>
      </x:c>
      <x:c r="T320" s="215" t="str">
        <x:v>https://www.mobot.org/MOBOT/research/APweb/orders/gentianalesweb.htm</x:v>
      </x:c>
      <x:c r="U320" s="215" t="str">
        <x:v>https://powo.science.kew.org/taxon/urn:lsid:ipni.org:names:30032120-2/general-information</x:v>
      </x:c>
      <x:c r="V320" s="215" t="str">
        <x:v>https://powo.science.kew.org/taxon/urn:lsid:ipni.org:names:30032120-2</x:v>
      </x:c>
      <x:c r="W320" s="215" t="str">
        <x:v>https://www.mobot.org/MOBOT/research/APweb/orders/gentianalesweb.htm
https://powo.science.kew.org/taxon/urn:lsid:ipni.org:names:30032120-2/general-information
https://powo.science.kew.org/taxon/urn:lsid:ipni.org:names:30032120-2
https://www.wildflower.org/collections/collection.php?collection=hays</x:v>
      </x:c>
      <x:c r="X320" s="215" t="str">
        <x:v>No — retain qualifiers and exceptions</x:v>
      </x:c>
      <x:c r="Y320" s="215" t="str">
        <x:v>Yes</x:v>
      </x:c>
      <x:c r="Z320" s="215" t="str">
        <x:v>Source-backed draft</x:v>
      </x:c>
      <x:c r="AA320" s="215" t="str">
        <x:v>Family pattern</x:v>
      </x:c>
      <x:c r="AB320" s="215" t="str">
        <x:v>Positive diagnostic</x:v>
      </x:c>
      <x:c r="AC320" s="215" t="str">
        <x:v>High</x:v>
      </x:c>
      <x:c r="AD320" s="215" t="str">
        <x:v>Hand lens / macro</x:v>
      </x:c>
      <x:c r="AE320" s="215" t="str">
        <x:v>Low</x:v>
      </x:c>
      <x:c r="AF320" s="215" t="str">
        <x:v>Field-ready draft</x:v>
      </x:c>
      <x:c r="AG320" s="215" t="str">
        <x:v>2 — Field-photo priority</x:v>
      </x:c>
      <x:c r="AH320" s="215" t="str">
        <x:v>Current master inventory</x:v>
      </x:c>
    </x:row>
    <x:row r="321" ht="42" customHeight="1">
      <x:c r="A321" s="215" t="str">
        <x:v>Rubiaceae</x:v>
      </x:c>
      <x:c r="B321" s="215" t="str">
        <x:v>RUB-STAMEN</x:v>
      </x:c>
      <x:c r="C321" s="215" t="str">
        <x:v>Broad family tendency</x:v>
      </x:c>
      <x:c r="D321" s="215" t="str">
        <x:v>Androecium</x:v>
      </x:c>
      <x:c r="E321" s="215" t="str">
        <x:v>Stamens usually equal to and alternate with corolla lobes, attached to the corolla tube</x:v>
      </x:c>
      <x:c r="F321" s="215" t="str">
        <x:v>Strong</x:v>
      </x:c>
      <x:c r="G321" s="215" t="str">
        <x:v>4</x:v>
      </x:c>
      <x:c r="H321" s="215" t="str">
        <x:v>Moderate</x:v>
      </x:c>
      <x:c r="I321" s="215" t="str">
        <x:v>Hand lens</x:v>
      </x:c>
      <x:c r="J321" s="215" t="str">
        <x:v>Fresh flowering material</x:v>
      </x:c>
      <x:c r="K321" s="215" t="str">
        <x:v>A four-lobed flower usually carries four stamens positioned between the lobes.</x:v>
      </x:c>
      <x:c r="L321" s="215" t="str">
        <x:v>Small corollas and short-lived anthers can make counting difficult.</x:v>
      </x:c>
      <x:c r="M321" s="215" t="str">
        <x:v>Use as confirmation after the corolla and ovary are interpreted.</x:v>
      </x:c>
      <x:c r="N321" s="215" t="str">
        <x:v>Confirmed Hays County family spanning bedstraw, bluet/diamondflower, buttonbush, and buttonweed-type routes in limestone openings, lawns, woodland edges, riparian sites, and moist ground; synonym tracking is important in local genera.</x:v>
      </x:c>
      <x:c r="O321" s="215" t="str">
        <x:v>Low</x:v>
      </x:c>
      <x:c r="P321" s="215" t="str">
        <x:v>No</x:v>
      </x:c>
      <x:c r="Q321" s="215" t="str"/>
      <x:c r="R321" s="215" t="str">
        <x:v>RUB-LK01</x:v>
      </x:c>
      <x:c r="S321" s="215" t="str">
        <x:v>APWEB-RUB; POWO-RUB-GI; POWO-RUB; LBJWC-HAYS</x:v>
      </x:c>
      <x:c r="T321" s="215" t="str">
        <x:v>https://www.mobot.org/MOBOT/research/APweb/orders/gentianalesweb.htm</x:v>
      </x:c>
      <x:c r="U321" s="215" t="str">
        <x:v>https://powo.science.kew.org/taxon/urn:lsid:ipni.org:names:30032120-2/general-information</x:v>
      </x:c>
      <x:c r="V321" s="215" t="str">
        <x:v>https://powo.science.kew.org/taxon/urn:lsid:ipni.org:names:30032120-2</x:v>
      </x:c>
      <x:c r="W321" s="215" t="str">
        <x:v>https://www.mobot.org/MOBOT/research/APweb/orders/gentianalesweb.htm
https://powo.science.kew.org/taxon/urn:lsid:ipni.org:names:30032120-2/general-information
https://powo.science.kew.org/taxon/urn:lsid:ipni.org:names:30032120-2
https://www.wildflower.org/collections/collection.php?collection=hays</x:v>
      </x:c>
      <x:c r="X321" s="215" t="str">
        <x:v>No — retain qualifiers and exceptions</x:v>
      </x:c>
      <x:c r="Y321" s="215" t="str">
        <x:v>Yes</x:v>
      </x:c>
      <x:c r="Z321" s="215" t="str">
        <x:v>Source-backed draft</x:v>
      </x:c>
      <x:c r="AA321" s="215" t="str">
        <x:v>Family pattern</x:v>
      </x:c>
      <x:c r="AB321" s="215" t="str">
        <x:v>Positive diagnostic</x:v>
      </x:c>
      <x:c r="AC321" s="215" t="str">
        <x:v>Moderate</x:v>
      </x:c>
      <x:c r="AD321" s="215" t="str">
        <x:v>Hand lens / macro</x:v>
      </x:c>
      <x:c r="AE321" s="215" t="str">
        <x:v>Low</x:v>
      </x:c>
      <x:c r="AF321" s="215" t="str">
        <x:v>Field-ready draft</x:v>
      </x:c>
      <x:c r="AG321" s="215" t="str">
        <x:v>2 — Field-photo priority</x:v>
      </x:c>
      <x:c r="AH321" s="215" t="str">
        <x:v>Current master inventory</x:v>
      </x:c>
    </x:row>
    <x:row r="322" ht="42" customHeight="1">
      <x:c r="A322" s="215" t="str">
        <x:v>Rubiaceae</x:v>
      </x:c>
      <x:c r="B322" s="215" t="str">
        <x:v>RUB-OVARY</x:v>
      </x:c>
      <x:c r="C322" s="215" t="str">
        <x:v>Broad family tendency</x:v>
      </x:c>
      <x:c r="D322" s="215" t="str">
        <x:v>Gynoecium</x:v>
      </x:c>
      <x:c r="E322" s="215" t="str">
        <x:v>Ovary usually inferior, commonly two-carpellate, with an epigynous nectary above it</x:v>
      </x:c>
      <x:c r="F322" s="215" t="str">
        <x:v>Core</x:v>
      </x:c>
      <x:c r="G322" s="215" t="str">
        <x:v>5</x:v>
      </x:c>
      <x:c r="H322" s="215" t="str">
        <x:v>High with magnification</x:v>
      </x:c>
      <x:c r="I322" s="215" t="str">
        <x:v>Hand lens or dissection</x:v>
      </x:c>
      <x:c r="J322" s="215" t="str">
        <x:v>Flowering to early fruit</x:v>
      </x:c>
      <x:c r="K322" s="215" t="str">
        <x:v>The corolla and stamens arise above the ovary, often around a small nectar-bearing disc.</x:v>
      </x:c>
      <x:c r="L322" s="215" t="str">
        <x:v>Locule and ovule numbers vary, and the ovary boundary may be hard to see on tiny flowers.</x:v>
      </x:c>
      <x:c r="M322" s="215" t="str">
        <x:v>Inferior ovary plus interpetiolar stipules is a high-value family combination.</x:v>
      </x:c>
      <x:c r="N322" s="215" t="str">
        <x:v>Confirmed Hays County family spanning bedstraw, bluet/diamondflower, buttonbush, and buttonweed-type routes in limestone openings, lawns, woodland edges, riparian sites, and moist ground; synonym tracking is important in local genera.</x:v>
      </x:c>
      <x:c r="O322" s="215" t="str">
        <x:v>Low</x:v>
      </x:c>
      <x:c r="P322" s="215" t="str">
        <x:v>No</x:v>
      </x:c>
      <x:c r="Q322" s="215" t="str"/>
      <x:c r="R322" s="215" t="str">
        <x:v>RUB-LK01; RUB-LK02</x:v>
      </x:c>
      <x:c r="S322" s="215" t="str">
        <x:v>APWEB-RUB; POWO-RUB-GI; POWO-RUB; LBJWC-HAYS</x:v>
      </x:c>
      <x:c r="T322" s="215" t="str">
        <x:v>https://www.mobot.org/MOBOT/research/APweb/orders/gentianalesweb.htm</x:v>
      </x:c>
      <x:c r="U322" s="215" t="str">
        <x:v>https://powo.science.kew.org/taxon/urn:lsid:ipni.org:names:30032120-2/general-information</x:v>
      </x:c>
      <x:c r="V322" s="215" t="str">
        <x:v>https://powo.science.kew.org/taxon/urn:lsid:ipni.org:names:30032120-2</x:v>
      </x:c>
      <x:c r="W322" s="215" t="str">
        <x:v>https://www.mobot.org/MOBOT/research/APweb/orders/gentianalesweb.htm
https://powo.science.kew.org/taxon/urn:lsid:ipni.org:names:30032120-2/general-information
https://powo.science.kew.org/taxon/urn:lsid:ipni.org:names:30032120-2
https://www.wildflower.org/collections/collection.php?collection=hays</x:v>
      </x:c>
      <x:c r="X322" s="215" t="str">
        <x:v>No — retain qualifiers and exceptions</x:v>
      </x:c>
      <x:c r="Y322" s="215" t="str">
        <x:v>Yes</x:v>
      </x:c>
      <x:c r="Z322" s="215" t="str">
        <x:v>Source-backed draft</x:v>
      </x:c>
      <x:c r="AA322" s="215" t="str">
        <x:v>Family pattern</x:v>
      </x:c>
      <x:c r="AB322" s="215" t="str">
        <x:v>Positive diagnostic</x:v>
      </x:c>
      <x:c r="AC322" s="215" t="str">
        <x:v>High</x:v>
      </x:c>
      <x:c r="AD322" s="215" t="str">
        <x:v>Dissection</x:v>
      </x:c>
      <x:c r="AE322" s="215" t="str">
        <x:v>Low</x:v>
      </x:c>
      <x:c r="AF322" s="215" t="str">
        <x:v>Dissection / close study</x:v>
      </x:c>
      <x:c r="AG322" s="215" t="str">
        <x:v>3 — Reference support</x:v>
      </x:c>
      <x:c r="AH322" s="215" t="str">
        <x:v>Current master inventory</x:v>
      </x:c>
    </x:row>
    <x:row r="323" ht="42" customHeight="1">
      <x:c r="A323" s="215" t="str">
        <x:v>Rubiaceae</x:v>
      </x:c>
      <x:c r="B323" s="215" t="str">
        <x:v>RUB-STYLE</x:v>
      </x:c>
      <x:c r="C323" s="215" t="str">
        <x:v>Broad family tendency</x:v>
      </x:c>
      <x:c r="D323" s="215" t="str">
        <x:v>Style and stigma</x:v>
      </x:c>
      <x:c r="E323" s="215" t="str">
        <x:v>Style commonly well developed and apically divided into two branches or lobes</x:v>
      </x:c>
      <x:c r="F323" s="215" t="str">
        <x:v>Strong</x:v>
      </x:c>
      <x:c r="G323" s="215" t="str">
        <x:v>4</x:v>
      </x:c>
      <x:c r="H323" s="215" t="str">
        <x:v>Moderate</x:v>
      </x:c>
      <x:c r="I323" s="215" t="str">
        <x:v>Hand lens</x:v>
      </x:c>
      <x:c r="J323" s="215" t="str">
        <x:v>Fresh flowering material</x:v>
      </x:c>
      <x:c r="K323" s="215" t="str">
        <x:v>A single style commonly ends in two stigmatic parts above the corolla.</x:v>
      </x:c>
      <x:c r="L323" s="215" t="str">
        <x:v>Stigma form and style length vary widely and may be hidden inside the flower.</x:v>
      </x:c>
      <x:c r="M323" s="215" t="str">
        <x:v>Use only with ovary position and node characters.</x:v>
      </x:c>
      <x:c r="N323" s="215" t="str">
        <x:v>Confirmed Hays County family spanning bedstraw, bluet/diamondflower, buttonbush, and buttonweed-type routes in limestone openings, lawns, woodland edges, riparian sites, and moist ground; synonym tracking is important in local genera.</x:v>
      </x:c>
      <x:c r="O323" s="215" t="str">
        <x:v>Low</x:v>
      </x:c>
      <x:c r="P323" s="215" t="str">
        <x:v>No</x:v>
      </x:c>
      <x:c r="Q323" s="215" t="str"/>
      <x:c r="R323" s="215" t="str">
        <x:v>RUB-LK01</x:v>
      </x:c>
      <x:c r="S323" s="215" t="str">
        <x:v>APWEB-RUB; POWO-RUB-GI; POWO-RUB; LBJWC-HAYS</x:v>
      </x:c>
      <x:c r="T323" s="215" t="str">
        <x:v>https://www.mobot.org/MOBOT/research/APweb/orders/gentianalesweb.htm</x:v>
      </x:c>
      <x:c r="U323" s="215" t="str">
        <x:v>https://powo.science.kew.org/taxon/urn:lsid:ipni.org:names:30032120-2/general-information</x:v>
      </x:c>
      <x:c r="V323" s="215" t="str">
        <x:v>https://powo.science.kew.org/taxon/urn:lsid:ipni.org:names:30032120-2</x:v>
      </x:c>
      <x:c r="W323" s="215" t="str">
        <x:v>https://www.mobot.org/MOBOT/research/APweb/orders/gentianalesweb.htm
https://powo.science.kew.org/taxon/urn:lsid:ipni.org:names:30032120-2/general-information
https://powo.science.kew.org/taxon/urn:lsid:ipni.org:names:30032120-2
https://www.wildflower.org/collections/collection.php?collection=hays</x:v>
      </x:c>
      <x:c r="X323" s="215" t="str">
        <x:v>No — retain qualifiers and exceptions</x:v>
      </x:c>
      <x:c r="Y323" s="215" t="str">
        <x:v>Yes</x:v>
      </x:c>
      <x:c r="Z323" s="215" t="str">
        <x:v>Source-backed draft</x:v>
      </x:c>
      <x:c r="AA323" s="215" t="str">
        <x:v>Family pattern</x:v>
      </x:c>
      <x:c r="AB323" s="215" t="str">
        <x:v>Positive diagnostic</x:v>
      </x:c>
      <x:c r="AC323" s="215" t="str">
        <x:v>Moderate</x:v>
      </x:c>
      <x:c r="AD323" s="215" t="str">
        <x:v>Hand lens / macro</x:v>
      </x:c>
      <x:c r="AE323" s="215" t="str">
        <x:v>Low</x:v>
      </x:c>
      <x:c r="AF323" s="215" t="str">
        <x:v>Field-ready draft</x:v>
      </x:c>
      <x:c r="AG323" s="215" t="str">
        <x:v>2 — Field-photo priority</x:v>
      </x:c>
      <x:c r="AH323" s="215" t="str">
        <x:v>Current master inventory</x:v>
      </x:c>
    </x:row>
    <x:row r="324" ht="42" customHeight="1">
      <x:c r="A324" s="215" t="str">
        <x:v>Rubiaceae</x:v>
      </x:c>
      <x:c r="B324" s="215" t="str">
        <x:v>RUB-FRUIT</x:v>
      </x:c>
      <x:c r="C324" s="215" t="str">
        <x:v>Family-wide variation</x:v>
      </x:c>
      <x:c r="D324" s="215" t="str">
        <x:v>Fruit</x:v>
      </x:c>
      <x:c r="E324" s="215" t="str">
        <x:v>Fruit may be a capsule, berry, drupe, or schizocarp, usually reflecting a two-carpellate ovary</x:v>
      </x:c>
      <x:c r="F324" s="215" t="str">
        <x:v>Supporting</x:v>
      </x:c>
      <x:c r="G324" s="215" t="str">
        <x:v>3</x:v>
      </x:c>
      <x:c r="H324" s="215" t="str">
        <x:v>Variable</x:v>
      </x:c>
      <x:c r="I324" s="215" t="str">
        <x:v>Naked eye to hand lens</x:v>
      </x:c>
      <x:c r="J324" s="215" t="str">
        <x:v>Mature fruit</x:v>
      </x:c>
      <x:c r="K324" s="215" t="str">
        <x:v>Local rubiads can produce paired dry units, capsules, or fleshy fruits, so no single fruit type covers the family.</x:v>
      </x:c>
      <x:c r="L324" s="215" t="str">
        <x:v>Fruit diversity is substantial; fruit alone can mislead.</x:v>
      </x:c>
      <x:c r="M324" s="215" t="str">
        <x:v>Use fruit construction to select a genus route only after stipules, corolla, and inferior ovary support Rubiaceae.</x:v>
      </x:c>
      <x:c r="N324" s="215" t="str">
        <x:v>Confirmed Hays County family spanning bedstraw, bluet/diamondflower, buttonbush, and buttonweed-type routes in limestone openings, lawns, woodland edges, riparian sites, and moist ground; synonym tracking is important in local genera.</x:v>
      </x:c>
      <x:c r="O324" s="215" t="str">
        <x:v>Low</x:v>
      </x:c>
      <x:c r="P324" s="215" t="str">
        <x:v>No</x:v>
      </x:c>
      <x:c r="Q324" s="215" t="str"/>
      <x:c r="R324" s="215" t="str">
        <x:v>RUB-LK01; RUB-LK02</x:v>
      </x:c>
      <x:c r="S324" s="215" t="str">
        <x:v>APWEB-RUB; POWO-RUB-GI; POWO-RUB; LBJWC-HAYS</x:v>
      </x:c>
      <x:c r="T324" s="215" t="str">
        <x:v>https://www.mobot.org/MOBOT/research/APweb/orders/gentianalesweb.htm</x:v>
      </x:c>
      <x:c r="U324" s="215" t="str">
        <x:v>https://powo.science.kew.org/taxon/urn:lsid:ipni.org:names:30032120-2/general-information</x:v>
      </x:c>
      <x:c r="V324" s="215" t="str">
        <x:v>https://powo.science.kew.org/taxon/urn:lsid:ipni.org:names:30032120-2</x:v>
      </x:c>
      <x:c r="W324" s="215" t="str">
        <x:v>https://www.mobot.org/MOBOT/research/APweb/orders/gentianalesweb.htm
https://powo.science.kew.org/taxon/urn:lsid:ipni.org:names:30032120-2/general-information
https://powo.science.kew.org/taxon/urn:lsid:ipni.org:names:30032120-2
https://www.wildflower.org/collections/collection.php?collection=hays</x:v>
      </x:c>
      <x:c r="X324" s="215" t="str">
        <x:v>No — retain qualifiers and exceptions</x:v>
      </x:c>
      <x:c r="Y324" s="215" t="str">
        <x:v>Yes</x:v>
      </x:c>
      <x:c r="Z324" s="215" t="str">
        <x:v>Source-backed draft</x:v>
      </x:c>
      <x:c r="AA324" s="215" t="str">
        <x:v>Family pattern</x:v>
      </x:c>
      <x:c r="AB324" s="215" t="str">
        <x:v>Supporting / route</x:v>
      </x:c>
      <x:c r="AC324" s="215" t="str">
        <x:v>Variable</x:v>
      </x:c>
      <x:c r="AD324" s="215" t="str">
        <x:v>Hand lens / macro</x:v>
      </x:c>
      <x:c r="AE324" s="215" t="str">
        <x:v>Low</x:v>
      </x:c>
      <x:c r="AF324" s="215" t="str">
        <x:v>Field-ready draft</x:v>
      </x:c>
      <x:c r="AG324" s="215" t="str">
        <x:v>3 — Reference support</x:v>
      </x:c>
      <x:c r="AH324" s="215" t="str">
        <x:v>Current master inventory</x:v>
      </x:c>
    </x:row>
    <x:row r="325" ht="42" customHeight="1">
      <x:c r="A325" s="215" t="str">
        <x:v>Rubiaceae</x:v>
      </x:c>
      <x:c r="B325" s="215" t="str">
        <x:v>RUB-LK01</x:v>
      </x:c>
      <x:c r="C325" s="215" t="str">
        <x:v>Hays County field comparison</x:v>
      </x:c>
      <x:c r="D325" s="215" t="str">
        <x:v>Lookalike comparison</x:v>
      </x:c>
      <x:c r="E325" s="215" t="str">
        <x:v>Rubiaceae versus opposite-leaved Apocynaceae or Gentianaceae</x:v>
      </x:c>
      <x:c r="F325" s="215" t="str">
        <x:v>Strong</x:v>
      </x:c>
      <x:c r="G325" s="215" t="str">
        <x:v>4</x:v>
      </x:c>
      <x:c r="H325" s="215" t="str">
        <x:v>Moderate</x:v>
      </x:c>
      <x:c r="I325" s="215" t="str">
        <x:v>Hand lens</x:v>
      </x:c>
      <x:c r="J325" s="215" t="str">
        <x:v>Flowering preferred</x:v>
      </x:c>
      <x:c r="K325" s="215" t="str">
        <x:v>Rubiaceae usually have interpetiolar stipules and an inferior ovary; Apocynaceae generally lack stipules and often have latex, while Gentianaceae generally lack true interpetiolar stipules and have a superior ovary.</x:v>
      </x:c>
      <x:c r="L325" s="215" t="str">
        <x:v>Small stipules can be missed, latex can be weak, and flower condition may prevent confident ovary interpretation.</x:v>
      </x:c>
      <x:c r="M325" s="215" t="str">
        <x:v>Check the node first, then ovary position; use sap only as supporting evidence.</x:v>
      </x:c>
      <x:c r="N325" s="215" t="str">
        <x:v>Confirmed Hays County family spanning bedstraw, bluet/diamondflower, buttonbush, and buttonweed-type routes in limestone openings, lawns, woodland edges, riparian sites, and moist ground; synonym tracking is important in local genera.</x:v>
      </x:c>
      <x:c r="O325" s="215" t="str">
        <x:v>Moderate</x:v>
      </x:c>
      <x:c r="P325" s="215" t="str">
        <x:v>Yes</x:v>
      </x:c>
      <x:c r="Q325" s="215" t="str">
        <x:v>The Gentianaceae side should be rechecked during that family's full local treatment.</x:v>
      </x:c>
      <x:c r="R325" s="215" t="str"/>
      <x:c r="S325" s="215" t="str">
        <x:v>APWEB-RUB; POWO-RUB-GI; POWO-RUB; FNA-APOC; FNA-GENT; LBJWC-HAYS</x:v>
      </x:c>
      <x:c r="T325" s="215" t="str">
        <x:v>https://www.mobot.org/MOBOT/research/APweb/orders/gentianalesweb.htm</x:v>
      </x:c>
      <x:c r="U325" s="215" t="str">
        <x:v>https://powo.science.kew.org/taxon/urn:lsid:ipni.org:names:30032120-2/general-information</x:v>
      </x:c>
      <x:c r="V325" s="215" t="str">
        <x:v>https://powo.science.kew.org/taxon/urn:lsid:ipni.org:names:30032120-2</x:v>
      </x:c>
      <x:c r="W325" s="215" t="str">
        <x:v>https://www.mobot.org/MOBOT/research/APweb/orders/gentianalesweb.htm
https://powo.science.kew.org/taxon/urn:lsid:ipni.org:names:30032120-2/general-information
https://powo.science.kew.org/taxon/urn:lsid:ipni.org:names:30032120-2
https://www.wildflower.org/collections/collection.php?collection=hays
https://floranorthamerica.org/Apocynaceae
https://floranorthamerica.org/Gentianaceae</x:v>
      </x:c>
      <x:c r="X325" s="215" t="str">
        <x:v>No — retain qualifiers and exceptions</x:v>
      </x:c>
      <x:c r="Y325" s="215" t="str">
        <x:v>Yes</x:v>
      </x:c>
      <x:c r="Z325" s="215" t="str">
        <x:v>Source-backed comparison draft</x:v>
      </x:c>
      <x:c r="AA325" s="215" t="str">
        <x:v>Other qualified pattern</x:v>
      </x:c>
      <x:c r="AB325" s="215" t="str">
        <x:v>Positive diagnostic</x:v>
      </x:c>
      <x:c r="AC325" s="215" t="str">
        <x:v>Moderate</x:v>
      </x:c>
      <x:c r="AD325" s="215" t="str">
        <x:v>Hand lens / macro</x:v>
      </x:c>
      <x:c r="AE325" s="215" t="str">
        <x:v>Moderate</x:v>
      </x:c>
      <x:c r="AF325" s="215" t="str">
        <x:v>Use only after review</x:v>
      </x:c>
      <x:c r="AG325" s="215" t="str">
        <x:v>1 — Human review now</x:v>
      </x:c>
      <x:c r="AH325" s="215" t="str">
        <x:v>Current master inventory</x:v>
      </x:c>
    </x:row>
    <x:row r="326" ht="42" customHeight="1">
      <x:c r="A326" s="215" t="str">
        <x:v>Rubiaceae</x:v>
      </x:c>
      <x:c r="B326" s="215" t="str">
        <x:v>RUB-LK02</x:v>
      </x:c>
      <x:c r="C326" s="215" t="str">
        <x:v>Hays County field comparison</x:v>
      </x:c>
      <x:c r="D326" s="215" t="str">
        <x:v>Lookalike comparison</x:v>
      </x:c>
      <x:c r="E326" s="215" t="str">
        <x:v>Bedstraw-type Rubiaceae versus whorled or clustered Caryophyllaceae</x:v>
      </x:c>
      <x:c r="F326" s="215" t="str">
        <x:v>Strong</x:v>
      </x:c>
      <x:c r="G326" s="215" t="str">
        <x:v>4</x:v>
      </x:c>
      <x:c r="H326" s="215" t="str">
        <x:v>Moderate</x:v>
      </x:c>
      <x:c r="I326" s="215" t="str">
        <x:v>Hand lens</x:v>
      </x:c>
      <x:c r="J326" s="215" t="str">
        <x:v>Flowering or fruiting</x:v>
      </x:c>
      <x:c r="K326" s="215" t="str">
        <x:v>Bedstraws commonly show leaflike stipules at nodes, tiny sympetalous flowers, inferior ovaries, and paired dry fruits; pink-family herbs more often have distinct petals, superior ovaries, and capsules or utricles.</x:v>
      </x:c>
      <x:c r="L326" s="215" t="str">
        <x:v>Vegetative whorls can remain ambiguous and both families include tiny flowers.</x:v>
      </x:c>
      <x:c r="M326" s="215" t="str">
        <x:v>Prioritize corolla fusion and ovary position, then mature fruit.</x:v>
      </x:c>
      <x:c r="N326" s="215" t="str">
        <x:v>Confirmed Hays County family spanning bedstraw, bluet/diamondflower, buttonbush, and buttonweed-type routes in limestone openings, lawns, woodland edges, riparian sites, and moist ground; synonym tracking is important in local genera.</x:v>
      </x:c>
      <x:c r="O326" s="215" t="str">
        <x:v>Moderate</x:v>
      </x:c>
      <x:c r="P326" s="215" t="str">
        <x:v>Yes</x:v>
      </x:c>
      <x:c r="Q326" s="215" t="str">
        <x:v>Caryophyllaceae has not yet received its full Hays treatment.</x:v>
      </x:c>
      <x:c r="R326" s="215" t="str"/>
      <x:c r="S326" s="215" t="str">
        <x:v>APWEB-RUB; POWO-RUB-GI; POWO-RUB; FNA-CARY; LBJWC-HAYS</x:v>
      </x:c>
      <x:c r="T326" s="215" t="str">
        <x:v>https://www.mobot.org/MOBOT/research/APweb/orders/gentianalesweb.htm</x:v>
      </x:c>
      <x:c r="U326" s="215" t="str">
        <x:v>https://powo.science.kew.org/taxon/urn:lsid:ipni.org:names:30032120-2/general-information</x:v>
      </x:c>
      <x:c r="V326" s="215" t="str">
        <x:v>https://powo.science.kew.org/taxon/urn:lsid:ipni.org:names:30032120-2</x:v>
      </x:c>
      <x:c r="W326" s="215" t="str">
        <x:v>https://www.mobot.org/MOBOT/research/APweb/orders/gentianalesweb.htm
https://powo.science.kew.org/taxon/urn:lsid:ipni.org:names:30032120-2/general-information
https://powo.science.kew.org/taxon/urn:lsid:ipni.org:names:30032120-2
https://www.wildflower.org/collections/collection.php?collection=hays
https://floranorthamerica.org/Caryophyllaceae</x:v>
      </x:c>
      <x:c r="X326" s="215" t="str">
        <x:v>No — retain qualifiers and exceptions</x:v>
      </x:c>
      <x:c r="Y326" s="215" t="str">
        <x:v>Yes</x:v>
      </x:c>
      <x:c r="Z326" s="215" t="str">
        <x:v>Source-backed comparison draft</x:v>
      </x:c>
      <x:c r="AA326" s="215" t="str">
        <x:v>Other qualified pattern</x:v>
      </x:c>
      <x:c r="AB326" s="215" t="str">
        <x:v>Positive diagnostic</x:v>
      </x:c>
      <x:c r="AC326" s="215" t="str">
        <x:v>Moderate</x:v>
      </x:c>
      <x:c r="AD326" s="215" t="str">
        <x:v>Hand lens / macro</x:v>
      </x:c>
      <x:c r="AE326" s="215" t="str">
        <x:v>Moderate</x:v>
      </x:c>
      <x:c r="AF326" s="215" t="str">
        <x:v>Use only after review</x:v>
      </x:c>
      <x:c r="AG326" s="215" t="str">
        <x:v>1 — Human review now</x:v>
      </x:c>
      <x:c r="AH326" s="215" t="str">
        <x:v>Current master inventory</x:v>
      </x:c>
    </x:row>
    <x:row r="327" ht="42" customHeight="1">
      <x:c r="A327" s="215" t="str">
        <x:v>Sapindaceae</x:v>
      </x:c>
      <x:c r="B327" s="215" t="str">
        <x:v>SAP-HABIT</x:v>
      </x:c>
      <x:c r="C327" s="215" t="str">
        <x:v>Family-wide variation</x:v>
      </x:c>
      <x:c r="D327" s="215" t="str">
        <x:v>Habit</x:v>
      </x:c>
      <x:c r="E327" s="215" t="str">
        <x:v>Mostly trees, shrubs, and woody climbers, with some herbaceous vines</x:v>
      </x:c>
      <x:c r="F327" s="215" t="str">
        <x:v>Supporting</x:v>
      </x:c>
      <x:c r="G327" s="215" t="str">
        <x:v>2</x:v>
      </x:c>
      <x:c r="H327" s="215" t="str">
        <x:v>High</x:v>
      </x:c>
      <x:c r="I327" s="215" t="str">
        <x:v>Naked eye</x:v>
      </x:c>
      <x:c r="J327" s="215" t="str">
        <x:v>Any</x:v>
      </x:c>
      <x:c r="K327" s="215" t="str">
        <x:v>Most soapberries are woody, but local balloon-vine relatives can be herbaceous climbers.</x:v>
      </x:c>
      <x:c r="L327" s="215" t="str">
        <x:v>Habit varies and does not diagnose the family.</x:v>
      </x:c>
      <x:c r="M327" s="215" t="str">
        <x:v>Use habit only to select between maple, soapberry, buckeye, and vine routes.</x:v>
      </x:c>
      <x:c r="N327" s="215" t="str">
        <x:v>Confirmed Hays County family with boxelder, soapberry, Mexican buckeye, and balloon-vine routes; local material spans trees, shrubs, and herbaceous or woody climbers, so the modern family concept must remain broad.</x:v>
      </x:c>
      <x:c r="O327" s="215" t="str">
        <x:v>Low</x:v>
      </x:c>
      <x:c r="P327" s="215" t="str">
        <x:v>No</x:v>
      </x:c>
      <x:c r="Q327" s="215" t="str"/>
      <x:c r="R327" s="215" t="str">
        <x:v>SAP-LK01; SAP-LK02</x:v>
      </x:c>
      <x:c r="S327" s="215" t="str">
        <x:v>APWEB-SAP; POWO-SAP-GI; POWO-SAP; LBJWC-HAYS</x:v>
      </x:c>
      <x:c r="T327" s="215" t="str">
        <x:v>https://www.mobot.org/MOBOT/research/APweb/orders/sapindalesweb.htm</x:v>
      </x:c>
      <x:c r="U327" s="215" t="str">
        <x:v>https://powo.science.kew.org/taxon/urn:lsid:ipni.org:names:30000506-2/general-information</x:v>
      </x:c>
      <x:c r="V327" s="215" t="str">
        <x:v>https://powo.science.kew.org/taxon/urn:lsid:ipni.org:names:30000506-2</x:v>
      </x:c>
      <x:c r="W327" s="215" t="str">
        <x:v>https://www.mobot.org/MOBOT/research/APweb/orders/sapindalesweb.htm
https://powo.science.kew.org/taxon/urn:lsid:ipni.org:names:30000506-2/general-information
https://powo.science.kew.org/taxon/urn:lsid:ipni.org:names:30000506-2
https://www.wildflower.org/collections/collection.php?collection=hays</x:v>
      </x:c>
      <x:c r="X327" s="215" t="str">
        <x:v>No — retain qualifiers and exceptions</x:v>
      </x:c>
      <x:c r="Y327" s="215" t="str">
        <x:v>Yes</x:v>
      </x:c>
      <x:c r="Z327" s="215" t="str">
        <x:v>Source-backed draft</x:v>
      </x:c>
      <x:c r="AA327" s="215" t="str">
        <x:v>Family pattern</x:v>
      </x:c>
      <x:c r="AB327" s="215" t="str">
        <x:v>Supporting / route</x:v>
      </x:c>
      <x:c r="AC327" s="215" t="str">
        <x:v>High</x:v>
      </x:c>
      <x:c r="AD327" s="215" t="str">
        <x:v>Naked eye / field</x:v>
      </x:c>
      <x:c r="AE327" s="215" t="str">
        <x:v>Low</x:v>
      </x:c>
      <x:c r="AF327" s="215" t="str">
        <x:v>Field-ready draft</x:v>
      </x:c>
      <x:c r="AG327" s="215" t="str">
        <x:v>4 — Context / caution</x:v>
      </x:c>
      <x:c r="AH327" s="215" t="str">
        <x:v>Current master inventory</x:v>
      </x:c>
    </x:row>
    <x:row r="328" ht="42" customHeight="1">
      <x:c r="A328" s="215" t="str">
        <x:v>Sapindaceae</x:v>
      </x:c>
      <x:c r="B328" s="215" t="str">
        <x:v>SAP-LEAF</x:v>
      </x:c>
      <x:c r="C328" s="215" t="str">
        <x:v>Broad family tendency</x:v>
      </x:c>
      <x:c r="D328" s="215" t="str">
        <x:v>Leaf</x:v>
      </x:c>
      <x:c r="E328" s="215" t="str">
        <x:v>Leaves usually alternate and often compound; simple and opposite leaves also occur</x:v>
      </x:c>
      <x:c r="F328" s="215" t="str">
        <x:v>Strong</x:v>
      </x:c>
      <x:c r="G328" s="215" t="str">
        <x:v>4</x:v>
      </x:c>
      <x:c r="H328" s="215" t="str">
        <x:v>Variable</x:v>
      </x:c>
      <x:c r="I328" s="215" t="str">
        <x:v>Naked eye</x:v>
      </x:c>
      <x:c r="J328" s="215" t="str">
        <x:v>Vegetative</x:v>
      </x:c>
      <x:c r="K328" s="215" t="str">
        <x:v>Many members have pinnate or divided leaves, but maples may be simple and opposite.</x:v>
      </x:c>
      <x:c r="L328" s="215" t="str">
        <x:v>The modern family includes Acer and Aesculus, so a single leaf arrangement or division pattern cannot be required.</x:v>
      </x:c>
      <x:c r="M328" s="215" t="str">
        <x:v>Confirm the whole leaf at its axillary bud, then use flowers and fruit.</x:v>
      </x:c>
      <x:c r="N328" s="215" t="str">
        <x:v>Confirmed Hays County family with boxelder, soapberry, Mexican buckeye, and balloon-vine routes; local material spans trees, shrubs, and herbaceous or woody climbers, so the modern family concept must remain broad.</x:v>
      </x:c>
      <x:c r="O328" s="215" t="str">
        <x:v>Low</x:v>
      </x:c>
      <x:c r="P328" s="215" t="str">
        <x:v>No</x:v>
      </x:c>
      <x:c r="Q328" s="215" t="str"/>
      <x:c r="R328" s="215" t="str">
        <x:v>SAP-LK01; SAP-LK02</x:v>
      </x:c>
      <x:c r="S328" s="215" t="str">
        <x:v>APWEB-SAP; POWO-SAP-GI; POWO-SAP; LBJWC-HAYS</x:v>
      </x:c>
      <x:c r="T328" s="215" t="str">
        <x:v>https://www.mobot.org/MOBOT/research/APweb/orders/sapindalesweb.htm</x:v>
      </x:c>
      <x:c r="U328" s="215" t="str">
        <x:v>https://powo.science.kew.org/taxon/urn:lsid:ipni.org:names:30000506-2/general-information</x:v>
      </x:c>
      <x:c r="V328" s="215" t="str">
        <x:v>https://powo.science.kew.org/taxon/urn:lsid:ipni.org:names:30000506-2</x:v>
      </x:c>
      <x:c r="W328" s="215" t="str">
        <x:v>https://www.mobot.org/MOBOT/research/APweb/orders/sapindalesweb.htm
https://powo.science.kew.org/taxon/urn:lsid:ipni.org:names:30000506-2/general-information
https://powo.science.kew.org/taxon/urn:lsid:ipni.org:names:30000506-2
https://www.wildflower.org/collections/collection.php?collection=hays</x:v>
      </x:c>
      <x:c r="X328" s="215" t="str">
        <x:v>No — retain qualifiers and exceptions</x:v>
      </x:c>
      <x:c r="Y328" s="215" t="str">
        <x:v>Yes</x:v>
      </x:c>
      <x:c r="Z328" s="215" t="str">
        <x:v>Source-backed draft</x:v>
      </x:c>
      <x:c r="AA328" s="215" t="str">
        <x:v>Family pattern</x:v>
      </x:c>
      <x:c r="AB328" s="215" t="str">
        <x:v>Positive diagnostic</x:v>
      </x:c>
      <x:c r="AC328" s="215" t="str">
        <x:v>Variable</x:v>
      </x:c>
      <x:c r="AD328" s="215" t="str">
        <x:v>Naked eye / field</x:v>
      </x:c>
      <x:c r="AE328" s="215" t="str">
        <x:v>Low</x:v>
      </x:c>
      <x:c r="AF328" s="215" t="str">
        <x:v>Field-ready draft</x:v>
      </x:c>
      <x:c r="AG328" s="215" t="str">
        <x:v>2 — Field-photo priority</x:v>
      </x:c>
      <x:c r="AH328" s="215" t="str">
        <x:v>Current master inventory</x:v>
      </x:c>
    </x:row>
    <x:row r="329" ht="42" customHeight="1">
      <x:c r="A329" s="215" t="str">
        <x:v>Sapindaceae</x:v>
      </x:c>
      <x:c r="B329" s="215" t="str">
        <x:v>SAP-STIPULE</x:v>
      </x:c>
      <x:c r="C329" s="215" t="str">
        <x:v>Broad family tendency</x:v>
      </x:c>
      <x:c r="D329" s="215" t="str">
        <x:v>Stipules</x:v>
      </x:c>
      <x:c r="E329" s="215" t="str">
        <x:v>Stipules usually absent, but present in Cardiospermum and Paullinia-type vines</x:v>
      </x:c>
      <x:c r="F329" s="215" t="str">
        <x:v>Supporting</x:v>
      </x:c>
      <x:c r="G329" s="215" t="str">
        <x:v>3</x:v>
      </x:c>
      <x:c r="H329" s="215" t="str">
        <x:v>Variable</x:v>
      </x:c>
      <x:c r="I329" s="215" t="str">
        <x:v>Naked eye to hand lens</x:v>
      </x:c>
      <x:c r="J329" s="215" t="str">
        <x:v>Young vegetative material</x:v>
      </x:c>
      <x:c r="K329" s="215" t="str">
        <x:v>Most local trees lack stipules, while balloon-vine relatives may carry them.</x:v>
      </x:c>
      <x:c r="L329" s="215" t="str">
        <x:v>Because stipules occur in a major local vine route, absence is not universal.</x:v>
      </x:c>
      <x:c r="M329" s="215" t="str">
        <x:v>Use stipules to narrow the genus route, not to accept or reject the family.</x:v>
      </x:c>
      <x:c r="N329" s="215" t="str">
        <x:v>Confirmed Hays County family with boxelder, soapberry, Mexican buckeye, and balloon-vine routes; local material spans trees, shrubs, and herbaceous or woody climbers, so the modern family concept must remain broad.</x:v>
      </x:c>
      <x:c r="O329" s="215" t="str">
        <x:v>Low</x:v>
      </x:c>
      <x:c r="P329" s="215" t="str">
        <x:v>No</x:v>
      </x:c>
      <x:c r="Q329" s="215" t="str"/>
      <x:c r="R329" s="215" t="str">
        <x:v>SAP-LK01</x:v>
      </x:c>
      <x:c r="S329" s="215" t="str">
        <x:v>APWEB-SAP; POWO-SAP-GI; POWO-SAP; LBJWC-HAYS</x:v>
      </x:c>
      <x:c r="T329" s="215" t="str">
        <x:v>https://www.mobot.org/MOBOT/research/APweb/orders/sapindalesweb.htm</x:v>
      </x:c>
      <x:c r="U329" s="215" t="str">
        <x:v>https://powo.science.kew.org/taxon/urn:lsid:ipni.org:names:30000506-2/general-information</x:v>
      </x:c>
      <x:c r="V329" s="215" t="str">
        <x:v>https://powo.science.kew.org/taxon/urn:lsid:ipni.org:names:30000506-2</x:v>
      </x:c>
      <x:c r="W329" s="215" t="str">
        <x:v>https://www.mobot.org/MOBOT/research/APweb/orders/sapindalesweb.htm
https://powo.science.kew.org/taxon/urn:lsid:ipni.org:names:30000506-2/general-information
https://powo.science.kew.org/taxon/urn:lsid:ipni.org:names:30000506-2
https://www.wildflower.org/collections/collection.php?collection=hays</x:v>
      </x:c>
      <x:c r="X329" s="215" t="str">
        <x:v>No — retain qualifiers and exceptions</x:v>
      </x:c>
      <x:c r="Y329" s="215" t="str">
        <x:v>Yes</x:v>
      </x:c>
      <x:c r="Z329" s="215" t="str">
        <x:v>Source-backed draft</x:v>
      </x:c>
      <x:c r="AA329" s="215" t="str">
        <x:v>Family pattern</x:v>
      </x:c>
      <x:c r="AB329" s="215" t="str">
        <x:v>Supporting / route</x:v>
      </x:c>
      <x:c r="AC329" s="215" t="str">
        <x:v>Variable</x:v>
      </x:c>
      <x:c r="AD329" s="215" t="str">
        <x:v>Hand lens / macro</x:v>
      </x:c>
      <x:c r="AE329" s="215" t="str">
        <x:v>Low</x:v>
      </x:c>
      <x:c r="AF329" s="215" t="str">
        <x:v>Field-ready draft</x:v>
      </x:c>
      <x:c r="AG329" s="215" t="str">
        <x:v>3 — Reference support</x:v>
      </x:c>
      <x:c r="AH329" s="215" t="str">
        <x:v>Current master inventory</x:v>
      </x:c>
    </x:row>
    <x:row r="330" ht="42" customHeight="1">
      <x:c r="A330" s="215" t="str">
        <x:v>Sapindaceae</x:v>
      </x:c>
      <x:c r="B330" s="215" t="str">
        <x:v>SAP-INFLO</x:v>
      </x:c>
      <x:c r="C330" s="215" t="str">
        <x:v>Broad family tendency</x:v>
      </x:c>
      <x:c r="D330" s="215" t="str">
        <x:v>Inflorescence</x:v>
      </x:c>
      <x:c r="E330" s="215" t="str">
        <x:v>Flowers commonly in panicles, thyrses, racemes, or clustered units</x:v>
      </x:c>
      <x:c r="F330" s="215" t="str">
        <x:v>Supporting</x:v>
      </x:c>
      <x:c r="G330" s="215" t="str">
        <x:v>3</x:v>
      </x:c>
      <x:c r="H330" s="215" t="str">
        <x:v>Variable</x:v>
      </x:c>
      <x:c r="I330" s="215" t="str">
        <x:v>Naked eye</x:v>
      </x:c>
      <x:c r="J330" s="215" t="str">
        <x:v>Flowering</x:v>
      </x:c>
      <x:c r="K330" s="215" t="str">
        <x:v>Small flowers are often gathered into branched clusters.</x:v>
      </x:c>
      <x:c r="L330" s="215" t="str">
        <x:v>Inflorescences vary widely, especially in Acer, Aesculus, and climbing lineages.</x:v>
      </x:c>
      <x:c r="M330" s="215" t="str">
        <x:v>Use architecture with flower sex and fruit rather than alone.</x:v>
      </x:c>
      <x:c r="N330" s="215" t="str">
        <x:v>Confirmed Hays County family with boxelder, soapberry, Mexican buckeye, and balloon-vine routes; local material spans trees, shrubs, and herbaceous or woody climbers, so the modern family concept must remain broad.</x:v>
      </x:c>
      <x:c r="O330" s="215" t="str">
        <x:v>Low</x:v>
      </x:c>
      <x:c r="P330" s="215" t="str">
        <x:v>No</x:v>
      </x:c>
      <x:c r="Q330" s="215" t="str"/>
      <x:c r="R330" s="215" t="str">
        <x:v>SAP-LK02</x:v>
      </x:c>
      <x:c r="S330" s="215" t="str">
        <x:v>APWEB-SAP; POWO-SAP-GI; POWO-SAP; LBJWC-HAYS</x:v>
      </x:c>
      <x:c r="T330" s="215" t="str">
        <x:v>https://www.mobot.org/MOBOT/research/APweb/orders/sapindalesweb.htm</x:v>
      </x:c>
      <x:c r="U330" s="215" t="str">
        <x:v>https://powo.science.kew.org/taxon/urn:lsid:ipni.org:names:30000506-2/general-information</x:v>
      </x:c>
      <x:c r="V330" s="215" t="str">
        <x:v>https://powo.science.kew.org/taxon/urn:lsid:ipni.org:names:30000506-2</x:v>
      </x:c>
      <x:c r="W330" s="215" t="str">
        <x:v>https://www.mobot.org/MOBOT/research/APweb/orders/sapindalesweb.htm
https://powo.science.kew.org/taxon/urn:lsid:ipni.org:names:30000506-2/general-information
https://powo.science.kew.org/taxon/urn:lsid:ipni.org:names:30000506-2
https://www.wildflower.org/collections/collection.php?collection=hays</x:v>
      </x:c>
      <x:c r="X330" s="215" t="str">
        <x:v>No — retain qualifiers and exceptions</x:v>
      </x:c>
      <x:c r="Y330" s="215" t="str">
        <x:v>Yes</x:v>
      </x:c>
      <x:c r="Z330" s="215" t="str">
        <x:v>Source-backed draft</x:v>
      </x:c>
      <x:c r="AA330" s="215" t="str">
        <x:v>Family pattern</x:v>
      </x:c>
      <x:c r="AB330" s="215" t="str">
        <x:v>Supporting / route</x:v>
      </x:c>
      <x:c r="AC330" s="215" t="str">
        <x:v>Variable</x:v>
      </x:c>
      <x:c r="AD330" s="215" t="str">
        <x:v>Naked eye / field</x:v>
      </x:c>
      <x:c r="AE330" s="215" t="str">
        <x:v>Low</x:v>
      </x:c>
      <x:c r="AF330" s="215" t="str">
        <x:v>Field-ready draft</x:v>
      </x:c>
      <x:c r="AG330" s="215" t="str">
        <x:v>3 — Reference support</x:v>
      </x:c>
      <x:c r="AH330" s="215" t="str">
        <x:v>Current master inventory</x:v>
      </x:c>
    </x:row>
    <x:row r="331" ht="42" customHeight="1">
      <x:c r="A331" s="215" t="str">
        <x:v>Sapindaceae</x:v>
      </x:c>
      <x:c r="B331" s="215" t="str">
        <x:v>SAP-FLOWER</x:v>
      </x:c>
      <x:c r="C331" s="215" t="str">
        <x:v>Broad family tendency</x:v>
      </x:c>
      <x:c r="D331" s="215" t="str">
        <x:v>Flower</x:v>
      </x:c>
      <x:c r="E331" s="215" t="str">
        <x:v>Flowers usually small, four- or five-merous, and often functionally unisexual</x:v>
      </x:c>
      <x:c r="F331" s="215" t="str">
        <x:v>Strong</x:v>
      </x:c>
      <x:c r="G331" s="215" t="str">
        <x:v>4</x:v>
      </x:c>
      <x:c r="H331" s="215" t="str">
        <x:v>Variable</x:v>
      </x:c>
      <x:c r="I331" s="215" t="str">
        <x:v>Naked eye to hand lens</x:v>
      </x:c>
      <x:c r="J331" s="215" t="str">
        <x:v>Fresh flowering material</x:v>
      </x:c>
      <x:c r="K331" s="215" t="str">
        <x:v>A plant may carry male and female flowers that look similar but have nonfunctional opposite-sex organs.</x:v>
      </x:c>
      <x:c r="L331" s="215" t="str">
        <x:v>Bisexual flowers occur, symmetry ranges from radial to one-sided, and petal number may be reduced.</x:v>
      </x:c>
      <x:c r="M331" s="215" t="str">
        <x:v>Inspect several flowers and pair them with the nectar disc and fruit type.</x:v>
      </x:c>
      <x:c r="N331" s="215" t="str">
        <x:v>Confirmed Hays County family with boxelder, soapberry, Mexican buckeye, and balloon-vine routes; local material spans trees, shrubs, and herbaceous or woody climbers, so the modern family concept must remain broad.</x:v>
      </x:c>
      <x:c r="O331" s="215" t="str">
        <x:v>Low</x:v>
      </x:c>
      <x:c r="P331" s="215" t="str">
        <x:v>No</x:v>
      </x:c>
      <x:c r="Q331" s="215" t="str"/>
      <x:c r="R331" s="215" t="str">
        <x:v>SAP-LK01; SAP-LK02</x:v>
      </x:c>
      <x:c r="S331" s="215" t="str">
        <x:v>APWEB-SAP; POWO-SAP-GI; POWO-SAP; LBJWC-HAYS</x:v>
      </x:c>
      <x:c r="T331" s="215" t="str">
        <x:v>https://www.mobot.org/MOBOT/research/APweb/orders/sapindalesweb.htm</x:v>
      </x:c>
      <x:c r="U331" s="215" t="str">
        <x:v>https://powo.science.kew.org/taxon/urn:lsid:ipni.org:names:30000506-2/general-information</x:v>
      </x:c>
      <x:c r="V331" s="215" t="str">
        <x:v>https://powo.science.kew.org/taxon/urn:lsid:ipni.org:names:30000506-2</x:v>
      </x:c>
      <x:c r="W331" s="215" t="str">
        <x:v>https://www.mobot.org/MOBOT/research/APweb/orders/sapindalesweb.htm
https://powo.science.kew.org/taxon/urn:lsid:ipni.org:names:30000506-2/general-information
https://powo.science.kew.org/taxon/urn:lsid:ipni.org:names:30000506-2
https://www.wildflower.org/collections/collection.php?collection=hays</x:v>
      </x:c>
      <x:c r="X331" s="215" t="str">
        <x:v>No — retain qualifiers and exceptions</x:v>
      </x:c>
      <x:c r="Y331" s="215" t="str">
        <x:v>Yes</x:v>
      </x:c>
      <x:c r="Z331" s="215" t="str">
        <x:v>Source-backed draft</x:v>
      </x:c>
      <x:c r="AA331" s="215" t="str">
        <x:v>Family pattern</x:v>
      </x:c>
      <x:c r="AB331" s="215" t="str">
        <x:v>Positive diagnostic</x:v>
      </x:c>
      <x:c r="AC331" s="215" t="str">
        <x:v>Variable</x:v>
      </x:c>
      <x:c r="AD331" s="215" t="str">
        <x:v>Hand lens / macro</x:v>
      </x:c>
      <x:c r="AE331" s="215" t="str">
        <x:v>Low</x:v>
      </x:c>
      <x:c r="AF331" s="215" t="str">
        <x:v>Field-ready draft</x:v>
      </x:c>
      <x:c r="AG331" s="215" t="str">
        <x:v>2 — Field-photo priority</x:v>
      </x:c>
      <x:c r="AH331" s="215" t="str">
        <x:v>Current master inventory</x:v>
      </x:c>
    </x:row>
    <x:row r="332" ht="42" customHeight="1">
      <x:c r="A332" s="215" t="str">
        <x:v>Sapindaceae</x:v>
      </x:c>
      <x:c r="B332" s="215" t="str">
        <x:v>SAP-DISC</x:v>
      </x:c>
      <x:c r="C332" s="215" t="str">
        <x:v>Broad family tendency</x:v>
      </x:c>
      <x:c r="D332" s="215" t="str">
        <x:v>Nectary</x:v>
      </x:c>
      <x:c r="E332" s="215" t="str">
        <x:v>Nectar disc commonly outside the stamens</x:v>
      </x:c>
      <x:c r="F332" s="215" t="str">
        <x:v>Strong</x:v>
      </x:c>
      <x:c r="G332" s="215" t="str">
        <x:v>4</x:v>
      </x:c>
      <x:c r="H332" s="215" t="str">
        <x:v>Moderate</x:v>
      </x:c>
      <x:c r="I332" s="215" t="str">
        <x:v>Hand lens or dissection</x:v>
      </x:c>
      <x:c r="J332" s="215" t="str">
        <x:v>Fresh flowering material</x:v>
      </x:c>
      <x:c r="K332" s="215" t="str">
        <x:v>A ring or lopsided pad of nectar tissue often lies between petals and stamens.</x:v>
      </x:c>
      <x:c r="L332" s="215" t="str">
        <x:v>Disc shape and completeness vary and it can be inconspicuous in small flowers.</x:v>
      </x:c>
      <x:c r="M332" s="215" t="str">
        <x:v>A visible extrastaminal disc supports Sapindaceae but must be combined with ovary and fruit.</x:v>
      </x:c>
      <x:c r="N332" s="215" t="str">
        <x:v>Confirmed Hays County family with boxelder, soapberry, Mexican buckeye, and balloon-vine routes; local material spans trees, shrubs, and herbaceous or woody climbers, so the modern family concept must remain broad.</x:v>
      </x:c>
      <x:c r="O332" s="215" t="str">
        <x:v>Low</x:v>
      </x:c>
      <x:c r="P332" s="215" t="str">
        <x:v>No</x:v>
      </x:c>
      <x:c r="Q332" s="215" t="str"/>
      <x:c r="R332" s="215" t="str">
        <x:v>SAP-LK02</x:v>
      </x:c>
      <x:c r="S332" s="215" t="str">
        <x:v>APWEB-SAP; POWO-SAP-GI; POWO-SAP; LBJWC-HAYS</x:v>
      </x:c>
      <x:c r="T332" s="215" t="str">
        <x:v>https://www.mobot.org/MOBOT/research/APweb/orders/sapindalesweb.htm</x:v>
      </x:c>
      <x:c r="U332" s="215" t="str">
        <x:v>https://powo.science.kew.org/taxon/urn:lsid:ipni.org:names:30000506-2/general-information</x:v>
      </x:c>
      <x:c r="V332" s="215" t="str">
        <x:v>https://powo.science.kew.org/taxon/urn:lsid:ipni.org:names:30000506-2</x:v>
      </x:c>
      <x:c r="W332" s="215" t="str">
        <x:v>https://www.mobot.org/MOBOT/research/APweb/orders/sapindalesweb.htm
https://powo.science.kew.org/taxon/urn:lsid:ipni.org:names:30000506-2/general-information
https://powo.science.kew.org/taxon/urn:lsid:ipni.org:names:30000506-2
https://www.wildflower.org/collections/collection.php?collection=hays</x:v>
      </x:c>
      <x:c r="X332" s="215" t="str">
        <x:v>No — retain qualifiers and exceptions</x:v>
      </x:c>
      <x:c r="Y332" s="215" t="str">
        <x:v>Yes</x:v>
      </x:c>
      <x:c r="Z332" s="215" t="str">
        <x:v>Source-backed draft</x:v>
      </x:c>
      <x:c r="AA332" s="215" t="str">
        <x:v>Family pattern</x:v>
      </x:c>
      <x:c r="AB332" s="215" t="str">
        <x:v>Positive diagnostic</x:v>
      </x:c>
      <x:c r="AC332" s="215" t="str">
        <x:v>Moderate</x:v>
      </x:c>
      <x:c r="AD332" s="215" t="str">
        <x:v>Dissection</x:v>
      </x:c>
      <x:c r="AE332" s="215" t="str">
        <x:v>Low</x:v>
      </x:c>
      <x:c r="AF332" s="215" t="str">
        <x:v>Dissection / close study</x:v>
      </x:c>
      <x:c r="AG332" s="215" t="str">
        <x:v>3 — Reference support</x:v>
      </x:c>
      <x:c r="AH332" s="215" t="str">
        <x:v>Current master inventory</x:v>
      </x:c>
    </x:row>
    <x:row r="333" ht="42" customHeight="1">
      <x:c r="A333" s="215" t="str">
        <x:v>Sapindaceae</x:v>
      </x:c>
      <x:c r="B333" s="215" t="str">
        <x:v>SAP-STAMEN</x:v>
      </x:c>
      <x:c r="C333" s="215" t="str">
        <x:v>Broad family tendency</x:v>
      </x:c>
      <x:c r="D333" s="215" t="str">
        <x:v>Androecium</x:v>
      </x:c>
      <x:c r="E333" s="215" t="str">
        <x:v>Stamens often eight, with filaments frequently hairy</x:v>
      </x:c>
      <x:c r="F333" s="215" t="str">
        <x:v>Strong</x:v>
      </x:c>
      <x:c r="G333" s="215" t="str">
        <x:v>4</x:v>
      </x:c>
      <x:c r="H333" s="215" t="str">
        <x:v>Variable</x:v>
      </x:c>
      <x:c r="I333" s="215" t="str">
        <x:v>Hand lens</x:v>
      </x:c>
      <x:c r="J333" s="215" t="str">
        <x:v>Fresh flowering material</x:v>
      </x:c>
      <x:c r="K333" s="215" t="str">
        <x:v>Many flowers have about eight stamens, sometimes with noticeable hairs on their stalks.</x:v>
      </x:c>
      <x:c r="L333" s="215" t="str">
        <x:v>Stamen number and hairiness vary and reduced flowers may contain sterile stamens.</x:v>
      </x:c>
      <x:c r="M333" s="215" t="str">
        <x:v>Use as supporting evidence after flower sex and disc position are understood.</x:v>
      </x:c>
      <x:c r="N333" s="215" t="str">
        <x:v>Confirmed Hays County family with boxelder, soapberry, Mexican buckeye, and balloon-vine routes; local material spans trees, shrubs, and herbaceous or woody climbers, so the modern family concept must remain broad.</x:v>
      </x:c>
      <x:c r="O333" s="215" t="str">
        <x:v>Low</x:v>
      </x:c>
      <x:c r="P333" s="215" t="str">
        <x:v>No</x:v>
      </x:c>
      <x:c r="Q333" s="215" t="str"/>
      <x:c r="R333" s="215" t="str">
        <x:v>SAP-LK02</x:v>
      </x:c>
      <x:c r="S333" s="215" t="str">
        <x:v>APWEB-SAP; POWO-SAP-GI; POWO-SAP; LBJWC-HAYS</x:v>
      </x:c>
      <x:c r="T333" s="215" t="str">
        <x:v>https://www.mobot.org/MOBOT/research/APweb/orders/sapindalesweb.htm</x:v>
      </x:c>
      <x:c r="U333" s="215" t="str">
        <x:v>https://powo.science.kew.org/taxon/urn:lsid:ipni.org:names:30000506-2/general-information</x:v>
      </x:c>
      <x:c r="V333" s="215" t="str">
        <x:v>https://powo.science.kew.org/taxon/urn:lsid:ipni.org:names:30000506-2</x:v>
      </x:c>
      <x:c r="W333" s="215" t="str">
        <x:v>https://www.mobot.org/MOBOT/research/APweb/orders/sapindalesweb.htm
https://powo.science.kew.org/taxon/urn:lsid:ipni.org:names:30000506-2/general-information
https://powo.science.kew.org/taxon/urn:lsid:ipni.org:names:30000506-2
https://www.wildflower.org/collections/collection.php?collection=hays</x:v>
      </x:c>
      <x:c r="X333" s="215" t="str">
        <x:v>No — retain qualifiers and exceptions</x:v>
      </x:c>
      <x:c r="Y333" s="215" t="str">
        <x:v>Yes</x:v>
      </x:c>
      <x:c r="Z333" s="215" t="str">
        <x:v>Source-backed draft</x:v>
      </x:c>
      <x:c r="AA333" s="215" t="str">
        <x:v>Family pattern</x:v>
      </x:c>
      <x:c r="AB333" s="215" t="str">
        <x:v>Positive diagnostic</x:v>
      </x:c>
      <x:c r="AC333" s="215" t="str">
        <x:v>Variable</x:v>
      </x:c>
      <x:c r="AD333" s="215" t="str">
        <x:v>Hand lens / macro</x:v>
      </x:c>
      <x:c r="AE333" s="215" t="str">
        <x:v>Low</x:v>
      </x:c>
      <x:c r="AF333" s="215" t="str">
        <x:v>Field-ready draft</x:v>
      </x:c>
      <x:c r="AG333" s="215" t="str">
        <x:v>2 — Field-photo priority</x:v>
      </x:c>
      <x:c r="AH333" s="215" t="str">
        <x:v>Current master inventory</x:v>
      </x:c>
    </x:row>
    <x:row r="334" ht="42" customHeight="1">
      <x:c r="A334" s="215" t="str">
        <x:v>Sapindaceae</x:v>
      </x:c>
      <x:c r="B334" s="215" t="str">
        <x:v>SAP-OVARY</x:v>
      </x:c>
      <x:c r="C334" s="215" t="str">
        <x:v>Broad family tendency</x:v>
      </x:c>
      <x:c r="D334" s="215" t="str">
        <x:v>Gynoecium</x:v>
      </x:c>
      <x:c r="E334" s="215" t="str">
        <x:v>Ovary usually superior and two- or three-carpellate, commonly lobed</x:v>
      </x:c>
      <x:c r="F334" s="215" t="str">
        <x:v>Strong</x:v>
      </x:c>
      <x:c r="G334" s="215" t="str">
        <x:v>4</x:v>
      </x:c>
      <x:c r="H334" s="215" t="str">
        <x:v>Moderate</x:v>
      </x:c>
      <x:c r="I334" s="215" t="str">
        <x:v>Hand lens or dissection</x:v>
      </x:c>
      <x:c r="J334" s="215" t="str">
        <x:v>Flowering to early fruit</x:v>
      </x:c>
      <x:c r="K334" s="215" t="str">
        <x:v>The ovary often shows two or three sections that later become fruit lobes, wings, or capsule chambers.</x:v>
      </x:c>
      <x:c r="L334" s="215" t="str">
        <x:v>Carpel number and the number of developing lobes vary, and sterile pistils occur in staminate flowers.</x:v>
      </x:c>
      <x:c r="M334" s="215" t="str">
        <x:v>Examine a functional pistillate or bisexual flower and connect the ovary to mature fruit.</x:v>
      </x:c>
      <x:c r="N334" s="215" t="str">
        <x:v>Confirmed Hays County family with boxelder, soapberry, Mexican buckeye, and balloon-vine routes; local material spans trees, shrubs, and herbaceous or woody climbers, so the modern family concept must remain broad.</x:v>
      </x:c>
      <x:c r="O334" s="215" t="str">
        <x:v>Low</x:v>
      </x:c>
      <x:c r="P334" s="215" t="str">
        <x:v>No</x:v>
      </x:c>
      <x:c r="Q334" s="215" t="str"/>
      <x:c r="R334" s="215" t="str">
        <x:v>SAP-LK01; SAP-LK02</x:v>
      </x:c>
      <x:c r="S334" s="215" t="str">
        <x:v>APWEB-SAP; POWO-SAP-GI; POWO-SAP; LBJWC-HAYS</x:v>
      </x:c>
      <x:c r="T334" s="215" t="str">
        <x:v>https://www.mobot.org/MOBOT/research/APweb/orders/sapindalesweb.htm</x:v>
      </x:c>
      <x:c r="U334" s="215" t="str">
        <x:v>https://powo.science.kew.org/taxon/urn:lsid:ipni.org:names:30000506-2/general-information</x:v>
      </x:c>
      <x:c r="V334" s="215" t="str">
        <x:v>https://powo.science.kew.org/taxon/urn:lsid:ipni.org:names:30000506-2</x:v>
      </x:c>
      <x:c r="W334" s="215" t="str">
        <x:v>https://www.mobot.org/MOBOT/research/APweb/orders/sapindalesweb.htm
https://powo.science.kew.org/taxon/urn:lsid:ipni.org:names:30000506-2/general-information
https://powo.science.kew.org/taxon/urn:lsid:ipni.org:names:30000506-2
https://www.wildflower.org/collections/collection.php?collection=hays</x:v>
      </x:c>
      <x:c r="X334" s="215" t="str">
        <x:v>No — retain qualifiers and exceptions</x:v>
      </x:c>
      <x:c r="Y334" s="215" t="str">
        <x:v>Yes</x:v>
      </x:c>
      <x:c r="Z334" s="215" t="str">
        <x:v>Source-backed draft</x:v>
      </x:c>
      <x:c r="AA334" s="215" t="str">
        <x:v>Family pattern</x:v>
      </x:c>
      <x:c r="AB334" s="215" t="str">
        <x:v>Positive diagnostic</x:v>
      </x:c>
      <x:c r="AC334" s="215" t="str">
        <x:v>Moderate</x:v>
      </x:c>
      <x:c r="AD334" s="215" t="str">
        <x:v>Dissection</x:v>
      </x:c>
      <x:c r="AE334" s="215" t="str">
        <x:v>Low</x:v>
      </x:c>
      <x:c r="AF334" s="215" t="str">
        <x:v>Dissection / close study</x:v>
      </x:c>
      <x:c r="AG334" s="215" t="str">
        <x:v>3 — Reference support</x:v>
      </x:c>
      <x:c r="AH334" s="215" t="str">
        <x:v>Current master inventory</x:v>
      </x:c>
    </x:row>
    <x:row r="335" ht="42" customHeight="1">
      <x:c r="A335" s="215" t="str">
        <x:v>Sapindaceae</x:v>
      </x:c>
      <x:c r="B335" s="215" t="str">
        <x:v>SAP-FRUIT</x:v>
      </x:c>
      <x:c r="C335" s="215" t="str">
        <x:v>Family-wide variation</x:v>
      </x:c>
      <x:c r="D335" s="215" t="str">
        <x:v>Fruit</x:v>
      </x:c>
      <x:c r="E335" s="215" t="str">
        <x:v>Fruit diverse: samara, capsule, schizocarp, berry-like or drupaceous forms</x:v>
      </x:c>
      <x:c r="F335" s="215" t="str">
        <x:v>Strong</x:v>
      </x:c>
      <x:c r="G335" s="215" t="str">
        <x:v>4</x:v>
      </x:c>
      <x:c r="H335" s="215" t="str">
        <x:v>Variable</x:v>
      </x:c>
      <x:c r="I335" s="215" t="str">
        <x:v>Naked eye</x:v>
      </x:c>
      <x:c r="J335" s="215" t="str">
        <x:v>Mature fruit</x:v>
      </x:c>
      <x:c r="K335" s="215" t="str">
        <x:v>The family can make maple keys, inflated balloon-vine capsules, buckeye capsules, or soapberry-like fruits.</x:v>
      </x:c>
      <x:c r="L335" s="215" t="str">
        <x:v>No single fruit type identifies the family; aborted carpels can make fruits appear one-lobed.</x:v>
      </x:c>
      <x:c r="M335" s="215" t="str">
        <x:v>Use fruit route with leaf and flower characters, and never interpret every elongated or inflated fruit as a legume.</x:v>
      </x:c>
      <x:c r="N335" s="215" t="str">
        <x:v>Confirmed Hays County family with boxelder, soapberry, Mexican buckeye, and balloon-vine routes; local material spans trees, shrubs, and herbaceous or woody climbers, so the modern family concept must remain broad.</x:v>
      </x:c>
      <x:c r="O335" s="215" t="str">
        <x:v>Low</x:v>
      </x:c>
      <x:c r="P335" s="215" t="str">
        <x:v>No</x:v>
      </x:c>
      <x:c r="Q335" s="215" t="str"/>
      <x:c r="R335" s="215" t="str">
        <x:v>SAP-LK01; SAP-LK02</x:v>
      </x:c>
      <x:c r="S335" s="215" t="str">
        <x:v>APWEB-SAP; POWO-SAP-GI; POWO-SAP; LBJWC-HAYS</x:v>
      </x:c>
      <x:c r="T335" s="215" t="str">
        <x:v>https://www.mobot.org/MOBOT/research/APweb/orders/sapindalesweb.htm</x:v>
      </x:c>
      <x:c r="U335" s="215" t="str">
        <x:v>https://powo.science.kew.org/taxon/urn:lsid:ipni.org:names:30000506-2/general-information</x:v>
      </x:c>
      <x:c r="V335" s="215" t="str">
        <x:v>https://powo.science.kew.org/taxon/urn:lsid:ipni.org:names:30000506-2</x:v>
      </x:c>
      <x:c r="W335" s="215" t="str">
        <x:v>https://www.mobot.org/MOBOT/research/APweb/orders/sapindalesweb.htm
https://powo.science.kew.org/taxon/urn:lsid:ipni.org:names:30000506-2/general-information
https://powo.science.kew.org/taxon/urn:lsid:ipni.org:names:30000506-2
https://www.wildflower.org/collections/collection.php?collection=hays</x:v>
      </x:c>
      <x:c r="X335" s="215" t="str">
        <x:v>No — retain qualifiers and exceptions</x:v>
      </x:c>
      <x:c r="Y335" s="215" t="str">
        <x:v>Yes</x:v>
      </x:c>
      <x:c r="Z335" s="215" t="str">
        <x:v>Source-backed draft</x:v>
      </x:c>
      <x:c r="AA335" s="215" t="str">
        <x:v>Family pattern</x:v>
      </x:c>
      <x:c r="AB335" s="215" t="str">
        <x:v>Positive diagnostic</x:v>
      </x:c>
      <x:c r="AC335" s="215" t="str">
        <x:v>Variable</x:v>
      </x:c>
      <x:c r="AD335" s="215" t="str">
        <x:v>Naked eye / field</x:v>
      </x:c>
      <x:c r="AE335" s="215" t="str">
        <x:v>Low</x:v>
      </x:c>
      <x:c r="AF335" s="215" t="str">
        <x:v>Field-ready draft</x:v>
      </x:c>
      <x:c r="AG335" s="215" t="str">
        <x:v>2 — Field-photo priority</x:v>
      </x:c>
      <x:c r="AH335" s="215" t="str">
        <x:v>Current master inventory</x:v>
      </x:c>
    </x:row>
    <x:row r="336" ht="42" customHeight="1">
      <x:c r="A336" s="215" t="str">
        <x:v>Sapindaceae</x:v>
      </x:c>
      <x:c r="B336" s="215" t="str">
        <x:v>SAP-LK01</x:v>
      </x:c>
      <x:c r="C336" s="215" t="str">
        <x:v>Hays County field comparison</x:v>
      </x:c>
      <x:c r="D336" s="215" t="str">
        <x:v>Lookalike comparison</x:v>
      </x:c>
      <x:c r="E336" s="215" t="str">
        <x:v>Sapindaceae versus Fabaceae with pinnate leaves</x:v>
      </x:c>
      <x:c r="F336" s="215" t="str">
        <x:v>Strong</x:v>
      </x:c>
      <x:c r="G336" s="215" t="str">
        <x:v>5</x:v>
      </x:c>
      <x:c r="H336" s="215" t="str">
        <x:v>High with fruit</x:v>
      </x:c>
      <x:c r="I336" s="215" t="str">
        <x:v>Naked eye to hand lens</x:v>
      </x:c>
      <x:c r="J336" s="215" t="str">
        <x:v>Flowering or fruiting</x:v>
      </x:c>
      <x:c r="K336" s="215" t="str">
        <x:v>Sapindaceae often lack stipules and produce samaras, capsules, schizocarps, or drupaceous fruits; Fabaceae commonly show stipules or pulvini and a one-carpel pod.</x:v>
      </x:c>
      <x:c r="L336" s="215" t="str">
        <x:v>Vegetative material overlaps and stipules are present in some sapindaceous vines.</x:v>
      </x:c>
      <x:c r="M336" s="215" t="str">
        <x:v>Find the whole leaf, then prioritize ovary carpel number and mature fruit.</x:v>
      </x:c>
      <x:c r="N336" s="215" t="str">
        <x:v>Confirmed Hays County family with boxelder, soapberry, Mexican buckeye, and balloon-vine routes; local material spans trees, shrubs, and herbaceous or woody climbers, so the modern family concept must remain broad.</x:v>
      </x:c>
      <x:c r="O336" s="215" t="str">
        <x:v>Low</x:v>
      </x:c>
      <x:c r="P336" s="215" t="str">
        <x:v>No</x:v>
      </x:c>
      <x:c r="Q336" s="215" t="str"/>
      <x:c r="R336" s="215" t="str"/>
      <x:c r="S336" s="215" t="str">
        <x:v>APWEB-SAP; POWO-SAP-GI; POWO-SAP; APWEB-FAB; FNA-FAB; POWO-FAB; LBJWC-HAYS</x:v>
      </x:c>
      <x:c r="T336" s="215" t="str">
        <x:v>https://www.mobot.org/MOBOT/research/APweb/orders/sapindalesweb.htm</x:v>
      </x:c>
      <x:c r="U336" s="215" t="str">
        <x:v>https://powo.science.kew.org/taxon/urn:lsid:ipni.org:names:30000506-2/general-information</x:v>
      </x:c>
      <x:c r="V336" s="215" t="str">
        <x:v>https://powo.science.kew.org/taxon/urn:lsid:ipni.org:names:30000506-2</x:v>
      </x:c>
      <x:c r="W336" s="215" t="str">
        <x:v>https://www.mobot.org/MOBOT/research/APweb/orders/sapindalesweb.htm
https://powo.science.kew.org/taxon/urn:lsid:ipni.org:names:30000506-2/general-information
https://powo.science.kew.org/taxon/urn:lsid:ipni.org:names:30000506-2
https://www.wildflower.org/collections/collection.php?collection=hays
https://floranorthamerica.org/Fabaceae
https://powo.science.kew.org/taxon/urn:lsid:ipni.org:names:30000147-2</x:v>
      </x:c>
      <x:c r="X336" s="215" t="str">
        <x:v>No — retain qualifiers and exceptions</x:v>
      </x:c>
      <x:c r="Y336" s="215" t="str">
        <x:v>Yes</x:v>
      </x:c>
      <x:c r="Z336" s="215" t="str">
        <x:v>Source-backed comparison draft</x:v>
      </x:c>
      <x:c r="AA336" s="215" t="str">
        <x:v>Other qualified pattern</x:v>
      </x:c>
      <x:c r="AB336" s="215" t="str">
        <x:v>Positive diagnostic</x:v>
      </x:c>
      <x:c r="AC336" s="215" t="str">
        <x:v>High</x:v>
      </x:c>
      <x:c r="AD336" s="215" t="str">
        <x:v>Hand lens / macro</x:v>
      </x:c>
      <x:c r="AE336" s="215" t="str">
        <x:v>Low</x:v>
      </x:c>
      <x:c r="AF336" s="215" t="str">
        <x:v>Field-ready draft</x:v>
      </x:c>
      <x:c r="AG336" s="215" t="str">
        <x:v>2 — Field-photo priority</x:v>
      </x:c>
      <x:c r="AH336" s="215" t="str">
        <x:v>Current master inventory</x:v>
      </x:c>
    </x:row>
    <x:row r="337" ht="42" customHeight="1">
      <x:c r="A337" s="215" t="str">
        <x:v>Sapindaceae</x:v>
      </x:c>
      <x:c r="B337" s="215" t="str">
        <x:v>SAP-LK02</x:v>
      </x:c>
      <x:c r="C337" s="215" t="str">
        <x:v>Hays County field comparison</x:v>
      </x:c>
      <x:c r="D337" s="215" t="str">
        <x:v>Lookalike comparison</x:v>
      </x:c>
      <x:c r="E337" s="215" t="str">
        <x:v>Sapindaceae versus Anacardiaceae</x:v>
      </x:c>
      <x:c r="F337" s="215" t="str">
        <x:v>Strong</x:v>
      </x:c>
      <x:c r="G337" s="215" t="str">
        <x:v>4</x:v>
      </x:c>
      <x:c r="H337" s="215" t="str">
        <x:v>Moderate</x:v>
      </x:c>
      <x:c r="I337" s="215" t="str">
        <x:v>Naked eye to hand lens</x:v>
      </x:c>
      <x:c r="J337" s="215" t="str">
        <x:v>Flowering and fruiting preferred</x:v>
      </x:c>
      <x:c r="K337" s="215" t="str">
        <x:v>Sapindaceae usually lacks resinous or dark-drying sap and often has an extrastaminal disc, hairy filaments, and multi-lobed or capsular fruit; Anacardiaceae often has resin canals, irritant sap, an eccentric style, and drupaceous fruit.</x:v>
      </x:c>
      <x:c r="L337" s="215" t="str">
        <x:v>Sap may be weak, and both families have small flowers, discs, compound leaves, and diverse fruits.</x:v>
      </x:c>
      <x:c r="M337" s="215" t="str">
        <x:v>Use sap cautiously and prioritize style position plus mature fruit anatomy.</x:v>
      </x:c>
      <x:c r="N337" s="215" t="str">
        <x:v>Confirmed Hays County family with boxelder, soapberry, Mexican buckeye, and balloon-vine routes; local material spans trees, shrubs, and herbaceous or woody climbers, so the modern family concept must remain broad.</x:v>
      </x:c>
      <x:c r="O337" s="215" t="str">
        <x:v>Moderate</x:v>
      </x:c>
      <x:c r="P337" s="215" t="str">
        <x:v>Yes</x:v>
      </x:c>
      <x:c r="Q337" s="215" t="str">
        <x:v>Anacardiaceae has not yet received its full Hays treatment.</x:v>
      </x:c>
      <x:c r="R337" s="215" t="str"/>
      <x:c r="S337" s="215" t="str">
        <x:v>APWEB-SAP; POWO-SAP-GI; POWO-SAP; POWO-ANAC-GI; POWO-ANAC; LBJWC-HAYS</x:v>
      </x:c>
      <x:c r="T337" s="215" t="str">
        <x:v>https://www.mobot.org/MOBOT/research/APweb/orders/sapindalesweb.htm</x:v>
      </x:c>
      <x:c r="U337" s="215" t="str">
        <x:v>https://powo.science.kew.org/taxon/urn:lsid:ipni.org:names:30000506-2/general-information</x:v>
      </x:c>
      <x:c r="V337" s="215" t="str">
        <x:v>https://powo.science.kew.org/taxon/urn:lsid:ipni.org:names:30000506-2</x:v>
      </x:c>
      <x:c r="W337" s="215" t="str">
        <x:v>https://www.mobot.org/MOBOT/research/APweb/orders/sapindalesweb.htm
https://powo.science.kew.org/taxon/urn:lsid:ipni.org:names:30000506-2/general-information
https://powo.science.kew.org/taxon/urn:lsid:ipni.org:names:30000506-2
https://www.wildflower.org/collections/collection.php?collection=hays
https://powo.science.kew.org/taxon/urn:lsid:ipni.org:names:30002342-2/general-information
https://powo.science.kew.org/taxon/urn:lsid:ipni.org:names:30002342-2</x:v>
      </x:c>
      <x:c r="X337" s="215" t="str">
        <x:v>No — retain qualifiers and exceptions</x:v>
      </x:c>
      <x:c r="Y337" s="215" t="str">
        <x:v>Yes</x:v>
      </x:c>
      <x:c r="Z337" s="215" t="str">
        <x:v>Source-backed comparison draft</x:v>
      </x:c>
      <x:c r="AA337" s="215" t="str">
        <x:v>Other qualified pattern</x:v>
      </x:c>
      <x:c r="AB337" s="215" t="str">
        <x:v>Positive diagnostic</x:v>
      </x:c>
      <x:c r="AC337" s="215" t="str">
        <x:v>Moderate</x:v>
      </x:c>
      <x:c r="AD337" s="215" t="str">
        <x:v>Hand lens / macro</x:v>
      </x:c>
      <x:c r="AE337" s="215" t="str">
        <x:v>Moderate</x:v>
      </x:c>
      <x:c r="AF337" s="215" t="str">
        <x:v>Use only after review</x:v>
      </x:c>
      <x:c r="AG337" s="215" t="str">
        <x:v>1 — Human review now</x:v>
      </x:c>
      <x:c r="AH337" s="215" t="str">
        <x:v>Current master inventory</x:v>
      </x:c>
    </x:row>
    <x:row r="338" ht="42" customHeight="1">
      <x:c r="A338" s="215" t="str">
        <x:v>Caprifoliaceae</x:v>
      </x:c>
      <x:c r="B338" s="215" t="str">
        <x:v>CAP-HABIT</x:v>
      </x:c>
      <x:c r="C338" s="215" t="str">
        <x:v>Family-wide variation</x:v>
      </x:c>
      <x:c r="D338" s="215" t="str">
        <x:v>Habit</x:v>
      </x:c>
      <x:c r="E338" s="215" t="str">
        <x:v>Herbs, shrubs, or vines; rarely small trees</x:v>
      </x:c>
      <x:c r="F338" s="215" t="str">
        <x:v>Supporting</x:v>
      </x:c>
      <x:c r="G338" s="215" t="str">
        <x:v>2</x:v>
      </x:c>
      <x:c r="H338" s="215" t="str">
        <x:v>High</x:v>
      </x:c>
      <x:c r="I338" s="215" t="str">
        <x:v>Naked eye</x:v>
      </x:c>
      <x:c r="J338" s="215" t="str">
        <x:v>Any</x:v>
      </x:c>
      <x:c r="K338" s="215" t="str">
        <x:v>The modern honeysuckle family includes woody honeysuckles and coralberries as well as small annual valerian relatives.</x:v>
      </x:c>
      <x:c r="L338" s="215" t="str">
        <x:v>Habit differs greatly among subfamilies and is not diagnostic.</x:v>
      </x:c>
      <x:c r="M338" s="215" t="str">
        <x:v>Use habit only to select the woody versus valerian-type route.</x:v>
      </x:c>
      <x:c r="N338" s="215" t="str">
        <x:v>Confirmed Hays County family with honeysuckle, coralberry, and corn-salad/Valerianella routes in rocky woodland edges, thickets, prairies, lawns, and disturbed ground; woody and herbaceous paths must both remain available.</x:v>
      </x:c>
      <x:c r="O338" s="215" t="str">
        <x:v>Low</x:v>
      </x:c>
      <x:c r="P338" s="215" t="str">
        <x:v>No</x:v>
      </x:c>
      <x:c r="Q338" s="215" t="str"/>
      <x:c r="R338" s="215" t="str">
        <x:v>CAP-LK01; CAP-LK02</x:v>
      </x:c>
      <x:c r="S338" s="215" t="str">
        <x:v>APWEB-CAP; POWO-CAP-GI; POWO-CAP; LBJWC-HAYS</x:v>
      </x:c>
      <x:c r="T338" s="215" t="str">
        <x:v>https://www.mobot.org/MOBOT/research/APweb/orders/dipsacalesweb.htm</x:v>
      </x:c>
      <x:c r="U338" s="215" t="str">
        <x:v>https://powo.science.kew.org/taxon/urn:lsid:ipni.org:names:30000739-2/general-information</x:v>
      </x:c>
      <x:c r="V338" s="215" t="str">
        <x:v>https://powo.science.kew.org/taxon/urn:lsid:ipni.org:names:30000739-2</x:v>
      </x:c>
      <x:c r="W338" s="215" t="str">
        <x:v>https://www.mobot.org/MOBOT/research/APweb/orders/dipsacalesweb.htm
https://powo.science.kew.org/taxon/urn:lsid:ipni.org:names:30000739-2/general-information
https://powo.science.kew.org/taxon/urn:lsid:ipni.org:names:30000739-2
https://www.wildflower.org/collections/collection.php?collection=hays</x:v>
      </x:c>
      <x:c r="X338" s="215" t="str">
        <x:v>No — retain qualifiers and exceptions</x:v>
      </x:c>
      <x:c r="Y338" s="215" t="str">
        <x:v>Yes</x:v>
      </x:c>
      <x:c r="Z338" s="215" t="str">
        <x:v>Source-backed draft</x:v>
      </x:c>
      <x:c r="AA338" s="215" t="str">
        <x:v>Family pattern</x:v>
      </x:c>
      <x:c r="AB338" s="215" t="str">
        <x:v>Supporting / route</x:v>
      </x:c>
      <x:c r="AC338" s="215" t="str">
        <x:v>High</x:v>
      </x:c>
      <x:c r="AD338" s="215" t="str">
        <x:v>Naked eye / field</x:v>
      </x:c>
      <x:c r="AE338" s="215" t="str">
        <x:v>Low</x:v>
      </x:c>
      <x:c r="AF338" s="215" t="str">
        <x:v>Field-ready draft</x:v>
      </x:c>
      <x:c r="AG338" s="215" t="str">
        <x:v>4 — Context / caution</x:v>
      </x:c>
      <x:c r="AH338" s="215" t="str">
        <x:v>Current master inventory</x:v>
      </x:c>
    </x:row>
    <x:row r="339" ht="42" customHeight="1">
      <x:c r="A339" s="215" t="str">
        <x:v>Caprifoliaceae</x:v>
      </x:c>
      <x:c r="B339" s="215" t="str">
        <x:v>CAP-LEAF</x:v>
      </x:c>
      <x:c r="C339" s="215" t="str">
        <x:v>Broad family tendency</x:v>
      </x:c>
      <x:c r="D339" s="215" t="str">
        <x:v>Leaf</x:v>
      </x:c>
      <x:c r="E339" s="215" t="str">
        <x:v>Leaves usually opposite, simple or compound, with stipules absent or very small</x:v>
      </x:c>
      <x:c r="F339" s="215" t="str">
        <x:v>Strong</x:v>
      </x:c>
      <x:c r="G339" s="215" t="str">
        <x:v>4</x:v>
      </x:c>
      <x:c r="H339" s="215" t="str">
        <x:v>Variable</x:v>
      </x:c>
      <x:c r="I339" s="215" t="str">
        <x:v>Naked eye</x:v>
      </x:c>
      <x:c r="J339" s="215" t="str">
        <x:v>Vegetative</x:v>
      </x:c>
      <x:c r="K339" s="215" t="str">
        <x:v>Most local routes show leaf pairs across the stem and no obvious stipules.</x:v>
      </x:c>
      <x:c r="L339" s="215" t="str">
        <x:v>Alternate leaves occur rarely and some members have compound leaves or fused upper leaf bases.</x:v>
      </x:c>
      <x:c r="M339" s="215" t="str">
        <x:v>Search for stipules and then confirm with the flower and inferior ovary.</x:v>
      </x:c>
      <x:c r="N339" s="215" t="str">
        <x:v>Confirmed Hays County family with honeysuckle, coralberry, and corn-salad/Valerianella routes in rocky woodland edges, thickets, prairies, lawns, and disturbed ground; woody and herbaceous paths must both remain available.</x:v>
      </x:c>
      <x:c r="O339" s="215" t="str">
        <x:v>Low</x:v>
      </x:c>
      <x:c r="P339" s="215" t="str">
        <x:v>No</x:v>
      </x:c>
      <x:c r="Q339" s="215" t="str"/>
      <x:c r="R339" s="215" t="str">
        <x:v>CAP-LK01; CAP-LK02</x:v>
      </x:c>
      <x:c r="S339" s="215" t="str">
        <x:v>APWEB-CAP; POWO-CAP-GI; POWO-CAP; LBJWC-HAYS</x:v>
      </x:c>
      <x:c r="T339" s="215" t="str">
        <x:v>https://www.mobot.org/MOBOT/research/APweb/orders/dipsacalesweb.htm</x:v>
      </x:c>
      <x:c r="U339" s="215" t="str">
        <x:v>https://powo.science.kew.org/taxon/urn:lsid:ipni.org:names:30000739-2/general-information</x:v>
      </x:c>
      <x:c r="V339" s="215" t="str">
        <x:v>https://powo.science.kew.org/taxon/urn:lsid:ipni.org:names:30000739-2</x:v>
      </x:c>
      <x:c r="W339" s="215" t="str">
        <x:v>https://www.mobot.org/MOBOT/research/APweb/orders/dipsacalesweb.htm
https://powo.science.kew.org/taxon/urn:lsid:ipni.org:names:30000739-2/general-information
https://powo.science.kew.org/taxon/urn:lsid:ipni.org:names:30000739-2
https://www.wildflower.org/collections/collection.php?collection=hays</x:v>
      </x:c>
      <x:c r="X339" s="215" t="str">
        <x:v>No — retain qualifiers and exceptions</x:v>
      </x:c>
      <x:c r="Y339" s="215" t="str">
        <x:v>Yes</x:v>
      </x:c>
      <x:c r="Z339" s="215" t="str">
        <x:v>Source-backed draft</x:v>
      </x:c>
      <x:c r="AA339" s="215" t="str">
        <x:v>Family pattern</x:v>
      </x:c>
      <x:c r="AB339" s="215" t="str">
        <x:v>Positive diagnostic</x:v>
      </x:c>
      <x:c r="AC339" s="215" t="str">
        <x:v>Variable</x:v>
      </x:c>
      <x:c r="AD339" s="215" t="str">
        <x:v>Naked eye / field</x:v>
      </x:c>
      <x:c r="AE339" s="215" t="str">
        <x:v>Low</x:v>
      </x:c>
      <x:c r="AF339" s="215" t="str">
        <x:v>Field-ready draft</x:v>
      </x:c>
      <x:c r="AG339" s="215" t="str">
        <x:v>2 — Field-photo priority</x:v>
      </x:c>
      <x:c r="AH339" s="215" t="str">
        <x:v>Current master inventory</x:v>
      </x:c>
    </x:row>
    <x:row r="340" ht="42" customHeight="1">
      <x:c r="A340" s="215" t="str">
        <x:v>Caprifoliaceae</x:v>
      </x:c>
      <x:c r="B340" s="215" t="str">
        <x:v>CAP-INFLO</x:v>
      </x:c>
      <x:c r="C340" s="215" t="str">
        <x:v>Broad family tendency</x:v>
      </x:c>
      <x:c r="D340" s="215" t="str">
        <x:v>Inflorescence</x:v>
      </x:c>
      <x:c r="E340" s="215" t="str">
        <x:v>Inflorescences commonly cymose, paired, whorled, or condensed into heads</x:v>
      </x:c>
      <x:c r="F340" s="215" t="str">
        <x:v>Strong</x:v>
      </x:c>
      <x:c r="G340" s="215" t="str">
        <x:v>4</x:v>
      </x:c>
      <x:c r="H340" s="215" t="str">
        <x:v>Variable</x:v>
      </x:c>
      <x:c r="I340" s="215" t="str">
        <x:v>Naked eye</x:v>
      </x:c>
      <x:c r="J340" s="215" t="str">
        <x:v>Flowering</x:v>
      </x:c>
      <x:c r="K340" s="215" t="str">
        <x:v>Flowers often occur in branching side clusters, pairs, or tight heads rather than a simple raceme.</x:v>
      </x:c>
      <x:c r="L340" s="215" t="str">
        <x:v>Architecture is highly diverse and some flowers are solitary.</x:v>
      </x:c>
      <x:c r="M340" s="215" t="str">
        <x:v>Trace branch endings and bracts, then use corolla symmetry and fruit.</x:v>
      </x:c>
      <x:c r="N340" s="215" t="str">
        <x:v>Confirmed Hays County family with honeysuckle, coralberry, and corn-salad/Valerianella routes in rocky woodland edges, thickets, prairies, lawns, and disturbed ground; woody and herbaceous paths must both remain available.</x:v>
      </x:c>
      <x:c r="O340" s="215" t="str">
        <x:v>Low</x:v>
      </x:c>
      <x:c r="P340" s="215" t="str">
        <x:v>No</x:v>
      </x:c>
      <x:c r="Q340" s="215" t="str"/>
      <x:c r="R340" s="215" t="str">
        <x:v>CAP-LK01; CAP-LK02</x:v>
      </x:c>
      <x:c r="S340" s="215" t="str">
        <x:v>APWEB-CAP; POWO-CAP-GI; POWO-CAP; LBJWC-HAYS</x:v>
      </x:c>
      <x:c r="T340" s="215" t="str">
        <x:v>https://www.mobot.org/MOBOT/research/APweb/orders/dipsacalesweb.htm</x:v>
      </x:c>
      <x:c r="U340" s="215" t="str">
        <x:v>https://powo.science.kew.org/taxon/urn:lsid:ipni.org:names:30000739-2/general-information</x:v>
      </x:c>
      <x:c r="V340" s="215" t="str">
        <x:v>https://powo.science.kew.org/taxon/urn:lsid:ipni.org:names:30000739-2</x:v>
      </x:c>
      <x:c r="W340" s="215" t="str">
        <x:v>https://www.mobot.org/MOBOT/research/APweb/orders/dipsacalesweb.htm
https://powo.science.kew.org/taxon/urn:lsid:ipni.org:names:30000739-2/general-information
https://powo.science.kew.org/taxon/urn:lsid:ipni.org:names:30000739-2
https://www.wildflower.org/collections/collection.php?collection=hays</x:v>
      </x:c>
      <x:c r="X340" s="215" t="str">
        <x:v>No — retain qualifiers and exceptions</x:v>
      </x:c>
      <x:c r="Y340" s="215" t="str">
        <x:v>Yes</x:v>
      </x:c>
      <x:c r="Z340" s="215" t="str">
        <x:v>Source-backed draft</x:v>
      </x:c>
      <x:c r="AA340" s="215" t="str">
        <x:v>Family pattern</x:v>
      </x:c>
      <x:c r="AB340" s="215" t="str">
        <x:v>Positive diagnostic</x:v>
      </x:c>
      <x:c r="AC340" s="215" t="str">
        <x:v>Variable</x:v>
      </x:c>
      <x:c r="AD340" s="215" t="str">
        <x:v>Naked eye / field</x:v>
      </x:c>
      <x:c r="AE340" s="215" t="str">
        <x:v>Low</x:v>
      </x:c>
      <x:c r="AF340" s="215" t="str">
        <x:v>Field-ready draft</x:v>
      </x:c>
      <x:c r="AG340" s="215" t="str">
        <x:v>2 — Field-photo priority</x:v>
      </x:c>
      <x:c r="AH340" s="215" t="str">
        <x:v>Current master inventory</x:v>
      </x:c>
    </x:row>
    <x:row r="341" ht="42" customHeight="1">
      <x:c r="A341" s="215" t="str">
        <x:v>Caprifoliaceae</x:v>
      </x:c>
      <x:c r="B341" s="215" t="str">
        <x:v>CAP-COROLLA</x:v>
      </x:c>
      <x:c r="C341" s="215" t="str">
        <x:v>Broad family tendency</x:v>
      </x:c>
      <x:c r="D341" s="215" t="str">
        <x:v>Corolla</x:v>
      </x:c>
      <x:c r="E341" s="215" t="str">
        <x:v>Corolla sympetalous, usually four- or five-lobed and often zygomorphic or two-lipped</x:v>
      </x:c>
      <x:c r="F341" s="215" t="str">
        <x:v>Strong</x:v>
      </x:c>
      <x:c r="G341" s="215" t="str">
        <x:v>4</x:v>
      </x:c>
      <x:c r="H341" s="215" t="str">
        <x:v>Variable</x:v>
      </x:c>
      <x:c r="I341" s="215" t="str">
        <x:v>Naked eye</x:v>
      </x:c>
      <x:c r="J341" s="215" t="str">
        <x:v>Flowering</x:v>
      </x:c>
      <x:c r="K341" s="215" t="str">
        <x:v>Joined petals form a tube, funnel, bell, or two-lipped flower.</x:v>
      </x:c>
      <x:c r="L341" s="215" t="str">
        <x:v>Some flowers are nearly radial, especially in certain valerian relatives.</x:v>
      </x:c>
      <x:c r="M341" s="215" t="str">
        <x:v>Use corolla symmetry with opposite leaves and inferior ovary.</x:v>
      </x:c>
      <x:c r="N341" s="215" t="str">
        <x:v>Confirmed Hays County family with honeysuckle, coralberry, and corn-salad/Valerianella routes in rocky woodland edges, thickets, prairies, lawns, and disturbed ground; woody and herbaceous paths must both remain available.</x:v>
      </x:c>
      <x:c r="O341" s="215" t="str">
        <x:v>Low</x:v>
      </x:c>
      <x:c r="P341" s="215" t="str">
        <x:v>No</x:v>
      </x:c>
      <x:c r="Q341" s="215" t="str"/>
      <x:c r="R341" s="215" t="str">
        <x:v>CAP-LK01; CAP-LK02</x:v>
      </x:c>
      <x:c r="S341" s="215" t="str">
        <x:v>APWEB-CAP; POWO-CAP-GI; POWO-CAP; LBJWC-HAYS</x:v>
      </x:c>
      <x:c r="T341" s="215" t="str">
        <x:v>https://www.mobot.org/MOBOT/research/APweb/orders/dipsacalesweb.htm</x:v>
      </x:c>
      <x:c r="U341" s="215" t="str">
        <x:v>https://powo.science.kew.org/taxon/urn:lsid:ipni.org:names:30000739-2/general-information</x:v>
      </x:c>
      <x:c r="V341" s="215" t="str">
        <x:v>https://powo.science.kew.org/taxon/urn:lsid:ipni.org:names:30000739-2</x:v>
      </x:c>
      <x:c r="W341" s="215" t="str">
        <x:v>https://www.mobot.org/MOBOT/research/APweb/orders/dipsacalesweb.htm
https://powo.science.kew.org/taxon/urn:lsid:ipni.org:names:30000739-2/general-information
https://powo.science.kew.org/taxon/urn:lsid:ipni.org:names:30000739-2
https://www.wildflower.org/collections/collection.php?collection=hays</x:v>
      </x:c>
      <x:c r="X341" s="215" t="str">
        <x:v>No — retain qualifiers and exceptions</x:v>
      </x:c>
      <x:c r="Y341" s="215" t="str">
        <x:v>Yes</x:v>
      </x:c>
      <x:c r="Z341" s="215" t="str">
        <x:v>Source-backed draft</x:v>
      </x:c>
      <x:c r="AA341" s="215" t="str">
        <x:v>Family pattern</x:v>
      </x:c>
      <x:c r="AB341" s="215" t="str">
        <x:v>Positive diagnostic</x:v>
      </x:c>
      <x:c r="AC341" s="215" t="str">
        <x:v>Variable</x:v>
      </x:c>
      <x:c r="AD341" s="215" t="str">
        <x:v>Naked eye / field</x:v>
      </x:c>
      <x:c r="AE341" s="215" t="str">
        <x:v>Low</x:v>
      </x:c>
      <x:c r="AF341" s="215" t="str">
        <x:v>Field-ready draft</x:v>
      </x:c>
      <x:c r="AG341" s="215" t="str">
        <x:v>2 — Field-photo priority</x:v>
      </x:c>
      <x:c r="AH341" s="215" t="str">
        <x:v>Current master inventory</x:v>
      </x:c>
    </x:row>
    <x:row r="342" ht="42" customHeight="1">
      <x:c r="A342" s="215" t="str">
        <x:v>Caprifoliaceae</x:v>
      </x:c>
      <x:c r="B342" s="215" t="str">
        <x:v>CAP-STAMEN</x:v>
      </x:c>
      <x:c r="C342" s="215" t="str">
        <x:v>Broad family tendency</x:v>
      </x:c>
      <x:c r="D342" s="215" t="str">
        <x:v>Androecium</x:v>
      </x:c>
      <x:c r="E342" s="215" t="str">
        <x:v>Usually four or five stamens attached to the corolla tube and alternating with its lobes</x:v>
      </x:c>
      <x:c r="F342" s="215" t="str">
        <x:v>Strong</x:v>
      </x:c>
      <x:c r="G342" s="215" t="str">
        <x:v>4</x:v>
      </x:c>
      <x:c r="H342" s="215" t="str">
        <x:v>Moderate</x:v>
      </x:c>
      <x:c r="I342" s="215" t="str">
        <x:v>Naked eye to hand lens</x:v>
      </x:c>
      <x:c r="J342" s="215" t="str">
        <x:v>Fresh flowering material</x:v>
      </x:c>
      <x:c r="K342" s="215" t="str">
        <x:v>The stamens arise from inside the corolla tube and may project beyond it.</x:v>
      </x:c>
      <x:c r="L342" s="215" t="str">
        <x:v>Stamen number and exsertion vary, and some flowers have reduced stamens.</x:v>
      </x:c>
      <x:c r="M342" s="215" t="str">
        <x:v>Use as confirmation rather than a first character.</x:v>
      </x:c>
      <x:c r="N342" s="215" t="str">
        <x:v>Confirmed Hays County family with honeysuckle, coralberry, and corn-salad/Valerianella routes in rocky woodland edges, thickets, prairies, lawns, and disturbed ground; woody and herbaceous paths must both remain available.</x:v>
      </x:c>
      <x:c r="O342" s="215" t="str">
        <x:v>Low</x:v>
      </x:c>
      <x:c r="P342" s="215" t="str">
        <x:v>No</x:v>
      </x:c>
      <x:c r="Q342" s="215" t="str"/>
      <x:c r="R342" s="215" t="str">
        <x:v>CAP-LK02</x:v>
      </x:c>
      <x:c r="S342" s="215" t="str">
        <x:v>APWEB-CAP; POWO-CAP-GI; POWO-CAP; LBJWC-HAYS</x:v>
      </x:c>
      <x:c r="T342" s="215" t="str">
        <x:v>https://www.mobot.org/MOBOT/research/APweb/orders/dipsacalesweb.htm</x:v>
      </x:c>
      <x:c r="U342" s="215" t="str">
        <x:v>https://powo.science.kew.org/taxon/urn:lsid:ipni.org:names:30000739-2/general-information</x:v>
      </x:c>
      <x:c r="V342" s="215" t="str">
        <x:v>https://powo.science.kew.org/taxon/urn:lsid:ipni.org:names:30000739-2</x:v>
      </x:c>
      <x:c r="W342" s="215" t="str">
        <x:v>https://www.mobot.org/MOBOT/research/APweb/orders/dipsacalesweb.htm
https://powo.science.kew.org/taxon/urn:lsid:ipni.org:names:30000739-2/general-information
https://powo.science.kew.org/taxon/urn:lsid:ipni.org:names:30000739-2
https://www.wildflower.org/collections/collection.php?collection=hays</x:v>
      </x:c>
      <x:c r="X342" s="215" t="str">
        <x:v>No — retain qualifiers and exceptions</x:v>
      </x:c>
      <x:c r="Y342" s="215" t="str">
        <x:v>Yes</x:v>
      </x:c>
      <x:c r="Z342" s="215" t="str">
        <x:v>Source-backed draft</x:v>
      </x:c>
      <x:c r="AA342" s="215" t="str">
        <x:v>Family pattern</x:v>
      </x:c>
      <x:c r="AB342" s="215" t="str">
        <x:v>Positive diagnostic</x:v>
      </x:c>
      <x:c r="AC342" s="215" t="str">
        <x:v>Moderate</x:v>
      </x:c>
      <x:c r="AD342" s="215" t="str">
        <x:v>Hand lens / macro</x:v>
      </x:c>
      <x:c r="AE342" s="215" t="str">
        <x:v>Low</x:v>
      </x:c>
      <x:c r="AF342" s="215" t="str">
        <x:v>Field-ready draft</x:v>
      </x:c>
      <x:c r="AG342" s="215" t="str">
        <x:v>2 — Field-photo priority</x:v>
      </x:c>
      <x:c r="AH342" s="215" t="str">
        <x:v>Current master inventory</x:v>
      </x:c>
    </x:row>
    <x:row r="343" ht="42" customHeight="1">
      <x:c r="A343" s="215" t="str">
        <x:v>Caprifoliaceae</x:v>
      </x:c>
      <x:c r="B343" s="215" t="str">
        <x:v>CAP-OVARY</x:v>
      </x:c>
      <x:c r="C343" s="215" t="str">
        <x:v>Family-wide structural theme</x:v>
      </x:c>
      <x:c r="D343" s="215" t="str">
        <x:v>Gynoecium</x:v>
      </x:c>
      <x:c r="E343" s="215" t="str">
        <x:v>Ovary inferior, usually formed from two or more fused carpels</x:v>
      </x:c>
      <x:c r="F343" s="215" t="str">
        <x:v>Core</x:v>
      </x:c>
      <x:c r="G343" s="215" t="str">
        <x:v>5</x:v>
      </x:c>
      <x:c r="H343" s="215" t="str">
        <x:v>High with magnification</x:v>
      </x:c>
      <x:c r="I343" s="215" t="str">
        <x:v>Hand lens or dissection</x:v>
      </x:c>
      <x:c r="J343" s="215" t="str">
        <x:v>Flowering to early fruit</x:v>
      </x:c>
      <x:c r="K343" s="215" t="str">
        <x:v>The calyx and corolla appear to arise above the ovary.</x:v>
      </x:c>
      <x:c r="L343" s="215" t="str">
        <x:v>Some locules or carpels may abort, making mature fruit look simpler than the flower.</x:v>
      </x:c>
      <x:c r="M343" s="215" t="str">
        <x:v>Inferior ovary plus a fused, often asymmetric corolla strongly supports Caprifoliaceae.</x:v>
      </x:c>
      <x:c r="N343" s="215" t="str">
        <x:v>Confirmed Hays County family with honeysuckle, coralberry, and corn-salad/Valerianella routes in rocky woodland edges, thickets, prairies, lawns, and disturbed ground; woody and herbaceous paths must both remain available.</x:v>
      </x:c>
      <x:c r="O343" s="215" t="str">
        <x:v>Low</x:v>
      </x:c>
      <x:c r="P343" s="215" t="str">
        <x:v>No</x:v>
      </x:c>
      <x:c r="Q343" s="215" t="str"/>
      <x:c r="R343" s="215" t="str">
        <x:v>CAP-LK01; CAP-LK02</x:v>
      </x:c>
      <x:c r="S343" s="215" t="str">
        <x:v>APWEB-CAP; POWO-CAP-GI; POWO-CAP; LBJWC-HAYS</x:v>
      </x:c>
      <x:c r="T343" s="215" t="str">
        <x:v>https://www.mobot.org/MOBOT/research/APweb/orders/dipsacalesweb.htm</x:v>
      </x:c>
      <x:c r="U343" s="215" t="str">
        <x:v>https://powo.science.kew.org/taxon/urn:lsid:ipni.org:names:30000739-2/general-information</x:v>
      </x:c>
      <x:c r="V343" s="215" t="str">
        <x:v>https://powo.science.kew.org/taxon/urn:lsid:ipni.org:names:30000739-2</x:v>
      </x:c>
      <x:c r="W343" s="215" t="str">
        <x:v>https://www.mobot.org/MOBOT/research/APweb/orders/dipsacalesweb.htm
https://powo.science.kew.org/taxon/urn:lsid:ipni.org:names:30000739-2/general-information
https://powo.science.kew.org/taxon/urn:lsid:ipni.org:names:30000739-2
https://www.wildflower.org/collections/collection.php?collection=hays</x:v>
      </x:c>
      <x:c r="X343" s="215" t="str">
        <x:v>No — retain qualifiers and exceptions</x:v>
      </x:c>
      <x:c r="Y343" s="215" t="str">
        <x:v>Yes</x:v>
      </x:c>
      <x:c r="Z343" s="215" t="str">
        <x:v>Source-backed draft</x:v>
      </x:c>
      <x:c r="AA343" s="215" t="str">
        <x:v>Family pattern</x:v>
      </x:c>
      <x:c r="AB343" s="215" t="str">
        <x:v>Positive diagnostic</x:v>
      </x:c>
      <x:c r="AC343" s="215" t="str">
        <x:v>High</x:v>
      </x:c>
      <x:c r="AD343" s="215" t="str">
        <x:v>Dissection</x:v>
      </x:c>
      <x:c r="AE343" s="215" t="str">
        <x:v>Low</x:v>
      </x:c>
      <x:c r="AF343" s="215" t="str">
        <x:v>Dissection / close study</x:v>
      </x:c>
      <x:c r="AG343" s="215" t="str">
        <x:v>3 — Reference support</x:v>
      </x:c>
      <x:c r="AH343" s="215" t="str">
        <x:v>Current master inventory</x:v>
      </x:c>
    </x:row>
    <x:row r="344" ht="42" customHeight="1">
      <x:c r="A344" s="215" t="str">
        <x:v>Caprifoliaceae</x:v>
      </x:c>
      <x:c r="B344" s="215" t="str">
        <x:v>CAP-STYLE</x:v>
      </x:c>
      <x:c r="C344" s="215" t="str">
        <x:v>Broad family tendency</x:v>
      </x:c>
      <x:c r="D344" s="215" t="str">
        <x:v>Style and stigma</x:v>
      </x:c>
      <x:c r="E344" s="215" t="str">
        <x:v>Style often elongate with a capitate stigma</x:v>
      </x:c>
      <x:c r="F344" s="215" t="str">
        <x:v>Strong</x:v>
      </x:c>
      <x:c r="G344" s="215" t="str">
        <x:v>4</x:v>
      </x:c>
      <x:c r="H344" s="215" t="str">
        <x:v>Moderate</x:v>
      </x:c>
      <x:c r="I344" s="215" t="str">
        <x:v>Naked eye to hand lens</x:v>
      </x:c>
      <x:c r="J344" s="215" t="str">
        <x:v>Fresh flowering material</x:v>
      </x:c>
      <x:c r="K344" s="215" t="str">
        <x:v>A slender style commonly ends in a small rounded stigma and may extend beyond the corolla.</x:v>
      </x:c>
      <x:c r="L344" s="215" t="str">
        <x:v>Style length varies and the structure can be hidden in short-tubed flowers.</x:v>
      </x:c>
      <x:c r="M344" s="215" t="str">
        <x:v>Useful against Viburnaceae when combined with zygomorphic flowers.</x:v>
      </x:c>
      <x:c r="N344" s="215" t="str">
        <x:v>Confirmed Hays County family with honeysuckle, coralberry, and corn-salad/Valerianella routes in rocky woodland edges, thickets, prairies, lawns, and disturbed ground; woody and herbaceous paths must both remain available.</x:v>
      </x:c>
      <x:c r="O344" s="215" t="str">
        <x:v>Low</x:v>
      </x:c>
      <x:c r="P344" s="215" t="str">
        <x:v>No</x:v>
      </x:c>
      <x:c r="Q344" s="215" t="str"/>
      <x:c r="R344" s="215" t="str">
        <x:v>CAP-LK02</x:v>
      </x:c>
      <x:c r="S344" s="215" t="str">
        <x:v>APWEB-CAP; POWO-CAP-GI; POWO-CAP; LBJWC-HAYS</x:v>
      </x:c>
      <x:c r="T344" s="215" t="str">
        <x:v>https://www.mobot.org/MOBOT/research/APweb/orders/dipsacalesweb.htm</x:v>
      </x:c>
      <x:c r="U344" s="215" t="str">
        <x:v>https://powo.science.kew.org/taxon/urn:lsid:ipni.org:names:30000739-2/general-information</x:v>
      </x:c>
      <x:c r="V344" s="215" t="str">
        <x:v>https://powo.science.kew.org/taxon/urn:lsid:ipni.org:names:30000739-2</x:v>
      </x:c>
      <x:c r="W344" s="215" t="str">
        <x:v>https://www.mobot.org/MOBOT/research/APweb/orders/dipsacalesweb.htm
https://powo.science.kew.org/taxon/urn:lsid:ipni.org:names:30000739-2/general-information
https://powo.science.kew.org/taxon/urn:lsid:ipni.org:names:30000739-2
https://www.wildflower.org/collections/collection.php?collection=hays</x:v>
      </x:c>
      <x:c r="X344" s="215" t="str">
        <x:v>No — retain qualifiers and exceptions</x:v>
      </x:c>
      <x:c r="Y344" s="215" t="str">
        <x:v>Yes</x:v>
      </x:c>
      <x:c r="Z344" s="215" t="str">
        <x:v>Source-backed draft</x:v>
      </x:c>
      <x:c r="AA344" s="215" t="str">
        <x:v>Family pattern</x:v>
      </x:c>
      <x:c r="AB344" s="215" t="str">
        <x:v>Positive diagnostic</x:v>
      </x:c>
      <x:c r="AC344" s="215" t="str">
        <x:v>Moderate</x:v>
      </x:c>
      <x:c r="AD344" s="215" t="str">
        <x:v>Hand lens / macro</x:v>
      </x:c>
      <x:c r="AE344" s="215" t="str">
        <x:v>Low</x:v>
      </x:c>
      <x:c r="AF344" s="215" t="str">
        <x:v>Field-ready draft</x:v>
      </x:c>
      <x:c r="AG344" s="215" t="str">
        <x:v>2 — Field-photo priority</x:v>
      </x:c>
      <x:c r="AH344" s="215" t="str">
        <x:v>Current master inventory</x:v>
      </x:c>
    </x:row>
    <x:row r="345" ht="42" customHeight="1">
      <x:c r="A345" s="215" t="str">
        <x:v>Caprifoliaceae</x:v>
      </x:c>
      <x:c r="B345" s="215" t="str">
        <x:v>CAP-CALYX</x:v>
      </x:c>
      <x:c r="C345" s="215" t="str">
        <x:v>Family-wide variation</x:v>
      </x:c>
      <x:c r="D345" s="215" t="str">
        <x:v>Calyx and accessory bracts</x:v>
      </x:c>
      <x:c r="E345" s="215" t="str">
        <x:v>Calyx persistent but highly variable; teeth may be small, bristle-like, or enlarged, and an involucel may occur</x:v>
      </x:c>
      <x:c r="F345" s="215" t="str">
        <x:v>Supporting</x:v>
      </x:c>
      <x:c r="G345" s="215" t="str">
        <x:v>3</x:v>
      </x:c>
      <x:c r="H345" s="215" t="str">
        <x:v>Variable</x:v>
      </x:c>
      <x:c r="I345" s="215" t="str">
        <x:v>Hand lens</x:v>
      </x:c>
      <x:c r="J345" s="215" t="str">
        <x:v>Flowering to fruiting</x:v>
      </x:c>
      <x:c r="K345" s="215" t="str">
        <x:v>The calyx can remain as small teeth, a fringe, or an expanded fruiting structure.</x:v>
      </x:c>
      <x:c r="L345" s="215" t="str">
        <x:v>This character varies strongly across the broad family and is not useful without a route-specific interpretation.</x:v>
      </x:c>
      <x:c r="M345" s="215" t="str">
        <x:v>Use the fruiting calyx to separate honeysuckle, valerian, and dipsacoid pathways.</x:v>
      </x:c>
      <x:c r="N345" s="215" t="str">
        <x:v>Confirmed Hays County family with honeysuckle, coralberry, and corn-salad/Valerianella routes in rocky woodland edges, thickets, prairies, lawns, and disturbed ground; woody and herbaceous paths must both remain available.</x:v>
      </x:c>
      <x:c r="O345" s="215" t="str">
        <x:v>Low</x:v>
      </x:c>
      <x:c r="P345" s="215" t="str">
        <x:v>No</x:v>
      </x:c>
      <x:c r="Q345" s="215" t="str"/>
      <x:c r="R345" s="215" t="str">
        <x:v>CAP-LK01</x:v>
      </x:c>
      <x:c r="S345" s="215" t="str">
        <x:v>APWEB-CAP; POWO-CAP-GI; POWO-CAP; LBJWC-HAYS</x:v>
      </x:c>
      <x:c r="T345" s="215" t="str">
        <x:v>https://www.mobot.org/MOBOT/research/APweb/orders/dipsacalesweb.htm</x:v>
      </x:c>
      <x:c r="U345" s="215" t="str">
        <x:v>https://powo.science.kew.org/taxon/urn:lsid:ipni.org:names:30000739-2/general-information</x:v>
      </x:c>
      <x:c r="V345" s="215" t="str">
        <x:v>https://powo.science.kew.org/taxon/urn:lsid:ipni.org:names:30000739-2</x:v>
      </x:c>
      <x:c r="W345" s="215" t="str">
        <x:v>https://www.mobot.org/MOBOT/research/APweb/orders/dipsacalesweb.htm
https://powo.science.kew.org/taxon/urn:lsid:ipni.org:names:30000739-2/general-information
https://powo.science.kew.org/taxon/urn:lsid:ipni.org:names:30000739-2
https://www.wildflower.org/collections/collection.php?collection=hays</x:v>
      </x:c>
      <x:c r="X345" s="215" t="str">
        <x:v>No — retain qualifiers and exceptions</x:v>
      </x:c>
      <x:c r="Y345" s="215" t="str">
        <x:v>Yes</x:v>
      </x:c>
      <x:c r="Z345" s="215" t="str">
        <x:v>Source-backed draft</x:v>
      </x:c>
      <x:c r="AA345" s="215" t="str">
        <x:v>Family pattern</x:v>
      </x:c>
      <x:c r="AB345" s="215" t="str">
        <x:v>Supporting / route</x:v>
      </x:c>
      <x:c r="AC345" s="215" t="str">
        <x:v>Variable</x:v>
      </x:c>
      <x:c r="AD345" s="215" t="str">
        <x:v>Hand lens / macro</x:v>
      </x:c>
      <x:c r="AE345" s="215" t="str">
        <x:v>Low</x:v>
      </x:c>
      <x:c r="AF345" s="215" t="str">
        <x:v>Field-ready draft</x:v>
      </x:c>
      <x:c r="AG345" s="215" t="str">
        <x:v>3 — Reference support</x:v>
      </x:c>
      <x:c r="AH345" s="215" t="str">
        <x:v>Current master inventory</x:v>
      </x:c>
    </x:row>
    <x:row r="346" ht="42" customHeight="1">
      <x:c r="A346" s="215" t="str">
        <x:v>Caprifoliaceae</x:v>
      </x:c>
      <x:c r="B346" s="215" t="str">
        <x:v>CAP-FRUIT</x:v>
      </x:c>
      <x:c r="C346" s="215" t="str">
        <x:v>Family-wide variation</x:v>
      </x:c>
      <x:c r="D346" s="215" t="str">
        <x:v>Fruit</x:v>
      </x:c>
      <x:c r="E346" s="215" t="str">
        <x:v>Fruit may be a berry, drupe, capsule, achene, or cypsela</x:v>
      </x:c>
      <x:c r="F346" s="215" t="str">
        <x:v>Supporting</x:v>
      </x:c>
      <x:c r="G346" s="215" t="str">
        <x:v>3</x:v>
      </x:c>
      <x:c r="H346" s="215" t="str">
        <x:v>Variable</x:v>
      </x:c>
      <x:c r="I346" s="215" t="str">
        <x:v>Naked eye to hand lens</x:v>
      </x:c>
      <x:c r="J346" s="215" t="str">
        <x:v>Mature fruit</x:v>
      </x:c>
      <x:c r="K346" s="215" t="str">
        <x:v>Woody local routes often make fleshy fruits, while valerian-type herbs make dry one-seeded fruits.</x:v>
      </x:c>
      <x:c r="L346" s="215" t="str">
        <x:v>Fruit diversity is too great for one family-wide rule.</x:v>
      </x:c>
      <x:c r="M346" s="215" t="str">
        <x:v>Use fruit type only after habit, corolla, and ovary position establish the route.</x:v>
      </x:c>
      <x:c r="N346" s="215" t="str">
        <x:v>Confirmed Hays County family with honeysuckle, coralberry, and corn-salad/Valerianella routes in rocky woodland edges, thickets, prairies, lawns, and disturbed ground; woody and herbaceous paths must both remain available.</x:v>
      </x:c>
      <x:c r="O346" s="215" t="str">
        <x:v>Low</x:v>
      </x:c>
      <x:c r="P346" s="215" t="str">
        <x:v>No</x:v>
      </x:c>
      <x:c r="Q346" s="215" t="str"/>
      <x:c r="R346" s="215" t="str">
        <x:v>CAP-LK01; CAP-LK02</x:v>
      </x:c>
      <x:c r="S346" s="215" t="str">
        <x:v>APWEB-CAP; POWO-CAP-GI; POWO-CAP; LBJWC-HAYS</x:v>
      </x:c>
      <x:c r="T346" s="215" t="str">
        <x:v>https://www.mobot.org/MOBOT/research/APweb/orders/dipsacalesweb.htm</x:v>
      </x:c>
      <x:c r="U346" s="215" t="str">
        <x:v>https://powo.science.kew.org/taxon/urn:lsid:ipni.org:names:30000739-2/general-information</x:v>
      </x:c>
      <x:c r="V346" s="215" t="str">
        <x:v>https://powo.science.kew.org/taxon/urn:lsid:ipni.org:names:30000739-2</x:v>
      </x:c>
      <x:c r="W346" s="215" t="str">
        <x:v>https://www.mobot.org/MOBOT/research/APweb/orders/dipsacalesweb.htm
https://powo.science.kew.org/taxon/urn:lsid:ipni.org:names:30000739-2/general-information
https://powo.science.kew.org/taxon/urn:lsid:ipni.org:names:30000739-2
https://www.wildflower.org/collections/collection.php?collection=hays</x:v>
      </x:c>
      <x:c r="X346" s="215" t="str">
        <x:v>No — retain qualifiers and exceptions</x:v>
      </x:c>
      <x:c r="Y346" s="215" t="str">
        <x:v>Yes</x:v>
      </x:c>
      <x:c r="Z346" s="215" t="str">
        <x:v>Source-backed draft</x:v>
      </x:c>
      <x:c r="AA346" s="215" t="str">
        <x:v>Family pattern</x:v>
      </x:c>
      <x:c r="AB346" s="215" t="str">
        <x:v>Supporting / route</x:v>
      </x:c>
      <x:c r="AC346" s="215" t="str">
        <x:v>Variable</x:v>
      </x:c>
      <x:c r="AD346" s="215" t="str">
        <x:v>Hand lens / macro</x:v>
      </x:c>
      <x:c r="AE346" s="215" t="str">
        <x:v>Low</x:v>
      </x:c>
      <x:c r="AF346" s="215" t="str">
        <x:v>Field-ready draft</x:v>
      </x:c>
      <x:c r="AG346" s="215" t="str">
        <x:v>3 — Reference support</x:v>
      </x:c>
      <x:c r="AH346" s="215" t="str">
        <x:v>Current master inventory</x:v>
      </x:c>
    </x:row>
    <x:row r="347" ht="42" customHeight="1">
      <x:c r="A347" s="215" t="str">
        <x:v>Caprifoliaceae</x:v>
      </x:c>
      <x:c r="B347" s="215" t="str">
        <x:v>CAP-LK01</x:v>
      </x:c>
      <x:c r="C347" s="215" t="str">
        <x:v>Hays County field comparison</x:v>
      </x:c>
      <x:c r="D347" s="215" t="str">
        <x:v>Lookalike comparison</x:v>
      </x:c>
      <x:c r="E347" s="215" t="str">
        <x:v>Caprifoliaceae versus Rubiaceae</x:v>
      </x:c>
      <x:c r="F347" s="215" t="str">
        <x:v>Strong</x:v>
      </x:c>
      <x:c r="G347" s="215" t="str">
        <x:v>4</x:v>
      </x:c>
      <x:c r="H347" s="215" t="str">
        <x:v>Moderate</x:v>
      </x:c>
      <x:c r="I347" s="215" t="str">
        <x:v>Hand lens</x:v>
      </x:c>
      <x:c r="J347" s="215" t="str">
        <x:v>Flowering preferred</x:v>
      </x:c>
      <x:c r="K347" s="215" t="str">
        <x:v>Caprifoliaceae usually lacks interpetiolar stipules and often has a zygomorphic flower with an elongate style; Rubiaceae usually has interpetiolar stipules and more often radial four- or five-lobed flowers.</x:v>
      </x:c>
      <x:c r="L347" s="215" t="str">
        <x:v>Both families often have opposite leaves, fused corollas, and inferior ovaries.</x:v>
      </x:c>
      <x:c r="M347" s="215" t="str">
        <x:v>Inspect the leaf node first, then corolla symmetry and stigma form.</x:v>
      </x:c>
      <x:c r="N347" s="215" t="str">
        <x:v>Confirmed Hays County family with honeysuckle, coralberry, and corn-salad/Valerianella routes in rocky woodland edges, thickets, prairies, lawns, and disturbed ground; woody and herbaceous paths must both remain available.</x:v>
      </x:c>
      <x:c r="O347" s="215" t="str">
        <x:v>Low</x:v>
      </x:c>
      <x:c r="P347" s="215" t="str">
        <x:v>No</x:v>
      </x:c>
      <x:c r="Q347" s="215" t="str"/>
      <x:c r="R347" s="215" t="str"/>
      <x:c r="S347" s="215" t="str">
        <x:v>APWEB-CAP; POWO-CAP-GI; POWO-CAP; APWEB-RUB; POWO-RUB-GI; POWO-RUB; LBJWC-HAYS</x:v>
      </x:c>
      <x:c r="T347" s="215" t="str">
        <x:v>https://www.mobot.org/MOBOT/research/APweb/orders/dipsacalesweb.htm</x:v>
      </x:c>
      <x:c r="U347" s="215" t="str">
        <x:v>https://powo.science.kew.org/taxon/urn:lsid:ipni.org:names:30000739-2/general-information</x:v>
      </x:c>
      <x:c r="V347" s="215" t="str">
        <x:v>https://powo.science.kew.org/taxon/urn:lsid:ipni.org:names:30000739-2</x:v>
      </x:c>
      <x:c r="W347" s="215" t="str">
        <x:v>https://www.mobot.org/MOBOT/research/APweb/orders/dipsacalesweb.htm
https://powo.science.kew.org/taxon/urn:lsid:ipni.org:names:30000739-2/general-information
https://powo.science.kew.org/taxon/urn:lsid:ipni.org:names:30000739-2
https://www.wildflower.org/collections/collection.php?collection=hays
https://powo.science.kew.org/taxon/urn:lsid:ipni.org:names:30032120-2/general-information
https://powo.science.kew.org/taxon/urn:lsid:ipni.org:names:30032120-2</x:v>
      </x:c>
      <x:c r="X347" s="215" t="str">
        <x:v>No — retain qualifiers and exceptions</x:v>
      </x:c>
      <x:c r="Y347" s="215" t="str">
        <x:v>Yes</x:v>
      </x:c>
      <x:c r="Z347" s="215" t="str">
        <x:v>Source-backed comparison draft</x:v>
      </x:c>
      <x:c r="AA347" s="215" t="str">
        <x:v>Other qualified pattern</x:v>
      </x:c>
      <x:c r="AB347" s="215" t="str">
        <x:v>Positive diagnostic</x:v>
      </x:c>
      <x:c r="AC347" s="215" t="str">
        <x:v>Moderate</x:v>
      </x:c>
      <x:c r="AD347" s="215" t="str">
        <x:v>Hand lens / macro</x:v>
      </x:c>
      <x:c r="AE347" s="215" t="str">
        <x:v>Low</x:v>
      </x:c>
      <x:c r="AF347" s="215" t="str">
        <x:v>Field-ready draft</x:v>
      </x:c>
      <x:c r="AG347" s="215" t="str">
        <x:v>2 — Field-photo priority</x:v>
      </x:c>
      <x:c r="AH347" s="215" t="str">
        <x:v>Current master inventory</x:v>
      </x:c>
    </x:row>
    <x:row r="348" ht="42" customHeight="1">
      <x:c r="A348" s="215" t="str">
        <x:v>Caprifoliaceae</x:v>
      </x:c>
      <x:c r="B348" s="215" t="str">
        <x:v>CAP-LK02</x:v>
      </x:c>
      <x:c r="C348" s="215" t="str">
        <x:v>Hays County field comparison</x:v>
      </x:c>
      <x:c r="D348" s="215" t="str">
        <x:v>Lookalike comparison</x:v>
      </x:c>
      <x:c r="E348" s="215" t="str">
        <x:v>Caprifoliaceae versus Viburnaceae</x:v>
      </x:c>
      <x:c r="F348" s="215" t="str">
        <x:v>Strong</x:v>
      </x:c>
      <x:c r="G348" s="215" t="str">
        <x:v>4</x:v>
      </x:c>
      <x:c r="H348" s="215" t="str">
        <x:v>Moderate</x:v>
      </x:c>
      <x:c r="I348" s="215" t="str">
        <x:v>Naked eye to hand lens</x:v>
      </x:c>
      <x:c r="J348" s="215" t="str">
        <x:v>Flowering and fruiting preferred</x:v>
      </x:c>
      <x:c r="K348" s="215" t="str">
        <x:v>Caprifoliaceae more often has zygomorphic tubular flowers and an elongate style; Viburnaceae usually has radial flowers, a short or nearly sessile stigma, and drupe or berry fruits. Viburnum and Sambucus are excluded from current Caprifoliaceae.</x:v>
      </x:c>
      <x:c r="L348" s="215" t="str">
        <x:v>Both families share opposite leaves, fused corollas, inferior ovaries, and fleshy fruits in some lineages.</x:v>
      </x:c>
      <x:c r="M348" s="215" t="str">
        <x:v>Use corolla symmetry, style length, and current family placement together.</x:v>
      </x:c>
      <x:c r="N348" s="215" t="str">
        <x:v>Confirmed Hays County family with honeysuckle, coralberry, and corn-salad/Valerianella routes in rocky woodland edges, thickets, prairies, lawns, and disturbed ground; woody and herbaceous paths must both remain available.</x:v>
      </x:c>
      <x:c r="O348" s="215" t="str">
        <x:v>Moderate</x:v>
      </x:c>
      <x:c r="P348" s="215" t="str">
        <x:v>Yes</x:v>
      </x:c>
      <x:c r="Q348" s="215" t="str">
        <x:v>Viburnaceae has not yet received its full Hays treatment.</x:v>
      </x:c>
      <x:c r="R348" s="215" t="str"/>
      <x:c r="S348" s="215" t="str">
        <x:v>APWEB-CAP; POWO-CAP-GI; POWO-CAP; POWO-VIB-GI; POWO-VIB; LBJWC-HAYS</x:v>
      </x:c>
      <x:c r="T348" s="215" t="str">
        <x:v>https://www.mobot.org/MOBOT/research/APweb/orders/dipsacalesweb.htm</x:v>
      </x:c>
      <x:c r="U348" s="215" t="str">
        <x:v>https://powo.science.kew.org/taxon/urn:lsid:ipni.org:names:30000739-2/general-information</x:v>
      </x:c>
      <x:c r="V348" s="215" t="str">
        <x:v>https://powo.science.kew.org/taxon/urn:lsid:ipni.org:names:30000739-2</x:v>
      </x:c>
      <x:c r="W348" s="215" t="str">
        <x:v>https://www.mobot.org/MOBOT/research/APweb/orders/dipsacalesweb.htm
https://powo.science.kew.org/taxon/urn:lsid:ipni.org:names:30000739-2/general-information
https://powo.science.kew.org/taxon/urn:lsid:ipni.org:names:30000739-2
https://www.wildflower.org/collections/collection.php?collection=hays
https://powo.science.kew.org/taxon/urn:lsid:ipni.org:names:77162522-1/general-information
https://powo.science.kew.org/taxon/urn:lsid:ipni.org:names:77162522-1</x:v>
      </x:c>
      <x:c r="X348" s="215" t="str">
        <x:v>No — retain qualifiers and exceptions</x:v>
      </x:c>
      <x:c r="Y348" s="215" t="str">
        <x:v>Yes</x:v>
      </x:c>
      <x:c r="Z348" s="215" t="str">
        <x:v>Source-backed comparison draft</x:v>
      </x:c>
      <x:c r="AA348" s="215" t="str">
        <x:v>Other qualified pattern</x:v>
      </x:c>
      <x:c r="AB348" s="215" t="str">
        <x:v>Positive diagnostic</x:v>
      </x:c>
      <x:c r="AC348" s="215" t="str">
        <x:v>Moderate</x:v>
      </x:c>
      <x:c r="AD348" s="215" t="str">
        <x:v>Hand lens / macro</x:v>
      </x:c>
      <x:c r="AE348" s="215" t="str">
        <x:v>Moderate</x:v>
      </x:c>
      <x:c r="AF348" s="215" t="str">
        <x:v>Use only after review</x:v>
      </x:c>
      <x:c r="AG348" s="215" t="str">
        <x:v>1 — Human review now</x:v>
      </x:c>
      <x:c r="AH348" s="215" t="str">
        <x:v>Current master inventory</x:v>
      </x:c>
    </x:row>
    <x:row r="349" ht="42" customHeight="1">
      <x:c r="A349" s="215" t="str">
        <x:v>Polygonaceae</x:v>
      </x:c>
      <x:c r="B349" s="215" t="str">
        <x:v>POL-HABIT</x:v>
      </x:c>
      <x:c r="C349" s="215" t="str">
        <x:v>Family-wide variation</x:v>
      </x:c>
      <x:c r="D349" s="215" t="str">
        <x:v>Habit</x:v>
      </x:c>
      <x:c r="E349" s="215" t="str">
        <x:v>Annual or perennial herbs, shrubs, vines, or rarely trees</x:v>
      </x:c>
      <x:c r="F349" s="215" t="str">
        <x:v>Caution</x:v>
      </x:c>
      <x:c r="G349" s="215" t="str">
        <x:v>0</x:v>
      </x:c>
      <x:c r="H349" s="215" t="str">
        <x:v>High</x:v>
      </x:c>
      <x:c r="I349" s="215" t="str">
        <x:v>Naked eye</x:v>
      </x:c>
      <x:c r="J349" s="215" t="str">
        <x:v>Any</x:v>
      </x:c>
      <x:c r="K349" s="215" t="str">
        <x:v>Most local members are herbs, but the family also includes woody and climbing forms.</x:v>
      </x:c>
      <x:c r="L349" s="215" t="str">
        <x:v>Habit is too variable to diagnose the family.</x:v>
      </x:c>
      <x:c r="M349" s="215" t="str">
        <x:v>Use only to choose between dock, smartweed, knotweed, and wild-buckwheat routes.</x:v>
      </x:c>
      <x:c r="N349"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49" s="215" t="str">
        <x:v>Low</x:v>
      </x:c>
      <x:c r="P349" s="215" t="str">
        <x:v>No</x:v>
      </x:c>
      <x:c r="Q349" s="215" t="str"/>
      <x:c r="R349" s="215" t="str">
        <x:v>POL-LK01; POL-LK02</x:v>
      </x:c>
      <x:c r="S349" s="215" t="str">
        <x:v>APWEB-POL; FNA-POL; POWO-POL; LBJWC-HAYS</x:v>
      </x:c>
      <x:c r="T349" s="215" t="str">
        <x:v>https://www.mobot.org/MOBOT/research/APweb/orders/caryophyllalesweb.htm</x:v>
      </x:c>
      <x:c r="U349" s="215" t="str">
        <x:v>https://floranorthamerica.org/Polygonaceae
https://powo.science.kew.org/taxon/urn:lsid:ipni.org:names:30000532-2/general-information</x:v>
      </x:c>
      <x:c r="V349" s="215" t="str">
        <x:v>https://powo.science.kew.org/taxon/urn:lsid:ipni.org:names:30000532-2</x:v>
      </x:c>
      <x:c r="W349"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49" s="215" t="str">
        <x:v>No — retain qualifiers and exceptions</x:v>
      </x:c>
      <x:c r="Y349" s="215" t="str">
        <x:v>Yes</x:v>
      </x:c>
      <x:c r="Z349" s="215" t="str">
        <x:v>Source-backed draft</x:v>
      </x:c>
      <x:c r="AA349" s="215" t="str">
        <x:v>Family pattern</x:v>
      </x:c>
      <x:c r="AB349" s="215" t="str">
        <x:v>Caution / negative rule</x:v>
      </x:c>
      <x:c r="AC349" s="215" t="str">
        <x:v>High</x:v>
      </x:c>
      <x:c r="AD349" s="215" t="str">
        <x:v>Naked eye / field</x:v>
      </x:c>
      <x:c r="AE349" s="215" t="str">
        <x:v>Low</x:v>
      </x:c>
      <x:c r="AF349" s="215" t="str">
        <x:v>Field-ready draft</x:v>
      </x:c>
      <x:c r="AG349" s="215" t="str">
        <x:v>4 — Context / caution</x:v>
      </x:c>
      <x:c r="AH349" s="215" t="str">
        <x:v>Current master inventory</x:v>
      </x:c>
    </x:row>
    <x:row r="350" ht="42" customHeight="1">
      <x:c r="A350" s="215" t="str">
        <x:v>Polygonaceae</x:v>
      </x:c>
      <x:c r="B350" s="215" t="str">
        <x:v>POL-STEM</x:v>
      </x:c>
      <x:c r="C350" s="215" t="str">
        <x:v>Broad family tendency</x:v>
      </x:c>
      <x:c r="D350" s="215" t="str">
        <x:v>Stem and nodes</x:v>
      </x:c>
      <x:c r="E350" s="215" t="str">
        <x:v>Nodes often swollen or conspicuous</x:v>
      </x:c>
      <x:c r="F350" s="215" t="str">
        <x:v>Strong</x:v>
      </x:c>
      <x:c r="G350" s="215" t="str">
        <x:v>4</x:v>
      </x:c>
      <x:c r="H350" s="215" t="str">
        <x:v>Variable</x:v>
      </x:c>
      <x:c r="I350" s="215" t="str">
        <x:v>Naked eye</x:v>
      </x:c>
      <x:c r="J350" s="215" t="str">
        <x:v>Vegetative</x:v>
      </x:c>
      <x:c r="K350" s="215" t="str">
        <x:v>The stem frequently thickens where each leaf attaches.</x:v>
      </x:c>
      <x:c r="L350" s="215" t="str">
        <x:v>Nodes are not swollen in every lineage, especially some Eriogonoideae, and swollen nodes occur in other families.</x:v>
      </x:c>
      <x:c r="M350" s="215" t="str">
        <x:v>At a conspicuous node, look immediately for an ocrea or its scar.</x:v>
      </x:c>
      <x:c r="N350"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0" s="215" t="str">
        <x:v>Low</x:v>
      </x:c>
      <x:c r="P350" s="215" t="str">
        <x:v>No</x:v>
      </x:c>
      <x:c r="Q350" s="215" t="str"/>
      <x:c r="R350" s="215" t="str">
        <x:v>POL-LK01; POL-LK02</x:v>
      </x:c>
      <x:c r="S350" s="215" t="str">
        <x:v>APWEB-POL; FNA-POL; POWO-POL; LBJWC-HAYS</x:v>
      </x:c>
      <x:c r="T350" s="215" t="str">
        <x:v>https://www.mobot.org/MOBOT/research/APweb/orders/caryophyllalesweb.htm</x:v>
      </x:c>
      <x:c r="U350" s="215" t="str">
        <x:v>https://floranorthamerica.org/Polygonaceae
https://powo.science.kew.org/taxon/urn:lsid:ipni.org:names:30000532-2/general-information</x:v>
      </x:c>
      <x:c r="V350" s="215" t="str">
        <x:v>https://powo.science.kew.org/taxon/urn:lsid:ipni.org:names:30000532-2</x:v>
      </x:c>
      <x:c r="W350"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50" s="215" t="str">
        <x:v>No — retain qualifiers and exceptions</x:v>
      </x:c>
      <x:c r="Y350" s="215" t="str">
        <x:v>Yes</x:v>
      </x:c>
      <x:c r="Z350" s="215" t="str">
        <x:v>Source-backed draft</x:v>
      </x:c>
      <x:c r="AA350" s="215" t="str">
        <x:v>Family pattern</x:v>
      </x:c>
      <x:c r="AB350" s="215" t="str">
        <x:v>Positive diagnostic</x:v>
      </x:c>
      <x:c r="AC350" s="215" t="str">
        <x:v>Variable</x:v>
      </x:c>
      <x:c r="AD350" s="215" t="str">
        <x:v>Naked eye / field</x:v>
      </x:c>
      <x:c r="AE350" s="215" t="str">
        <x:v>Low</x:v>
      </x:c>
      <x:c r="AF350" s="215" t="str">
        <x:v>Field-ready draft</x:v>
      </x:c>
      <x:c r="AG350" s="215" t="str">
        <x:v>2 — Field-photo priority</x:v>
      </x:c>
      <x:c r="AH350" s="215" t="str">
        <x:v>Current master inventory</x:v>
      </x:c>
    </x:row>
    <x:row r="351" ht="42" customHeight="1">
      <x:c r="A351" s="215" t="str">
        <x:v>Polygonaceae</x:v>
      </x:c>
      <x:c r="B351" s="215" t="str">
        <x:v>POL-LEAF</x:v>
      </x:c>
      <x:c r="C351" s="215" t="str">
        <x:v>Broad family tendency</x:v>
      </x:c>
      <x:c r="D351" s="215" t="str">
        <x:v>Leaf</x:v>
      </x:c>
      <x:c r="E351" s="215" t="str">
        <x:v>Leaves mostly alternate, simple, and usually entire</x:v>
      </x:c>
      <x:c r="F351" s="215" t="str">
        <x:v>Strong</x:v>
      </x:c>
      <x:c r="G351" s="215" t="str">
        <x:v>4</x:v>
      </x:c>
      <x:c r="H351" s="215" t="str">
        <x:v>High</x:v>
      </x:c>
      <x:c r="I351" s="215" t="str">
        <x:v>Naked eye</x:v>
      </x:c>
      <x:c r="J351" s="215" t="str">
        <x:v>Vegetative</x:v>
      </x:c>
      <x:c r="K351" s="215" t="str">
        <x:v>One simple leaf usually arises at each node in alternating sequence.</x:v>
      </x:c>
      <x:c r="L351" s="215" t="str">
        <x:v>Opposite or whorled leaves and lobed or wavy margins occur.</x:v>
      </x:c>
      <x:c r="M351" s="215" t="str">
        <x:v>Use leaf arrangement with node structure and fruit, never alone.</x:v>
      </x:c>
      <x:c r="N351"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1" s="215" t="str">
        <x:v>Low</x:v>
      </x:c>
      <x:c r="P351" s="215" t="str">
        <x:v>No</x:v>
      </x:c>
      <x:c r="Q351" s="215" t="str"/>
      <x:c r="R351" s="215" t="str">
        <x:v>POL-LK01; POL-LK02</x:v>
      </x:c>
      <x:c r="S351" s="215" t="str">
        <x:v>APWEB-POL; FNA-POL; POWO-POL; LBJWC-HAYS</x:v>
      </x:c>
      <x:c r="T351" s="215" t="str">
        <x:v>https://www.mobot.org/MOBOT/research/APweb/orders/caryophyllalesweb.htm</x:v>
      </x:c>
      <x:c r="U351" s="215" t="str">
        <x:v>https://floranorthamerica.org/Polygonaceae
https://powo.science.kew.org/taxon/urn:lsid:ipni.org:names:30000532-2/general-information</x:v>
      </x:c>
      <x:c r="V351" s="215" t="str">
        <x:v>https://powo.science.kew.org/taxon/urn:lsid:ipni.org:names:30000532-2</x:v>
      </x:c>
      <x:c r="W351"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51" s="215" t="str">
        <x:v>No — retain qualifiers and exceptions</x:v>
      </x:c>
      <x:c r="Y351" s="215" t="str">
        <x:v>Yes</x:v>
      </x:c>
      <x:c r="Z351" s="215" t="str">
        <x:v>Source-backed draft</x:v>
      </x:c>
      <x:c r="AA351" s="215" t="str">
        <x:v>Family pattern</x:v>
      </x:c>
      <x:c r="AB351" s="215" t="str">
        <x:v>Positive diagnostic</x:v>
      </x:c>
      <x:c r="AC351" s="215" t="str">
        <x:v>High</x:v>
      </x:c>
      <x:c r="AD351" s="215" t="str">
        <x:v>Naked eye / field</x:v>
      </x:c>
      <x:c r="AE351" s="215" t="str">
        <x:v>Low</x:v>
      </x:c>
      <x:c r="AF351" s="215" t="str">
        <x:v>Field-ready draft</x:v>
      </x:c>
      <x:c r="AG351" s="215" t="str">
        <x:v>2 — Field-photo priority</x:v>
      </x:c>
      <x:c r="AH351" s="215" t="str">
        <x:v>Current master inventory</x:v>
      </x:c>
    </x:row>
    <x:row r="352" ht="42" customHeight="1">
      <x:c r="A352" s="215" t="str">
        <x:v>Polygonaceae</x:v>
      </x:c>
      <x:c r="B352" s="215" t="str">
        <x:v>POL-OCREA</x:v>
      </x:c>
      <x:c r="C352" s="215" t="str">
        <x:v>Subfamily-limited, common locally</x:v>
      </x:c>
      <x:c r="D352" s="215" t="str">
        <x:v>Stipules</x:v>
      </x:c>
      <x:c r="E352" s="215" t="str">
        <x:v>Tubular ocrea commonly sheaths the stem at nodes in Polygonoideae</x:v>
      </x:c>
      <x:c r="F352" s="215" t="str">
        <x:v>Core within route</x:v>
      </x:c>
      <x:c r="G352" s="215" t="str">
        <x:v>5</x:v>
      </x:c>
      <x:c r="H352" s="215" t="str">
        <x:v>High when intact</x:v>
      </x:c>
      <x:c r="I352" s="215" t="str">
        <x:v>Naked eye to hand lens</x:v>
      </x:c>
      <x:c r="J352" s="215" t="str">
        <x:v>Young vegetative material</x:v>
      </x:c>
      <x:c r="K352" s="215" t="str">
        <x:v>A papery or membranous sleeve wraps the stem just above the leaf base.</x:v>
      </x:c>
      <x:c r="L352" s="215" t="str">
        <x:v>The ocrea is absent in Eriogonoideae and may tear away or weather into a scar.</x:v>
      </x:c>
      <x:c r="M352" s="215" t="str">
        <x:v>A clear ocrea strongly supports the dock-smartweed-knotweed route; absence requires checking the wild-buckwheat route.</x:v>
      </x:c>
      <x:c r="N352"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2" s="215" t="str">
        <x:v>Low</x:v>
      </x:c>
      <x:c r="P352" s="215" t="str">
        <x:v>No</x:v>
      </x:c>
      <x:c r="Q352" s="215" t="str"/>
      <x:c r="R352" s="215" t="str">
        <x:v>POL-LK01; POL-LK02</x:v>
      </x:c>
      <x:c r="S352" s="215" t="str">
        <x:v>APWEB-POL; FNA-POL; POWO-POL; LBJWC-HAYS</x:v>
      </x:c>
      <x:c r="T352" s="215" t="str">
        <x:v>https://www.mobot.org/MOBOT/research/APweb/orders/caryophyllalesweb.htm</x:v>
      </x:c>
      <x:c r="U352" s="215" t="str">
        <x:v>https://floranorthamerica.org/Polygonaceae
https://powo.science.kew.org/taxon/urn:lsid:ipni.org:names:30000532-2/general-information</x:v>
      </x:c>
      <x:c r="V352" s="215" t="str">
        <x:v>https://powo.science.kew.org/taxon/urn:lsid:ipni.org:names:30000532-2</x:v>
      </x:c>
      <x:c r="W352"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52" s="215" t="str">
        <x:v>No — retain qualifiers and exceptions</x:v>
      </x:c>
      <x:c r="Y352" s="215" t="str">
        <x:v>Yes</x:v>
      </x:c>
      <x:c r="Z352" s="215" t="str">
        <x:v>Source-backed draft</x:v>
      </x:c>
      <x:c r="AA352" s="215" t="str">
        <x:v>Local subgroup / route</x:v>
      </x:c>
      <x:c r="AB352" s="215" t="str">
        <x:v>Positive diagnostic</x:v>
      </x:c>
      <x:c r="AC352" s="215" t="str">
        <x:v>High</x:v>
      </x:c>
      <x:c r="AD352" s="215" t="str">
        <x:v>Hand lens / macro</x:v>
      </x:c>
      <x:c r="AE352" s="215" t="str">
        <x:v>Low</x:v>
      </x:c>
      <x:c r="AF352" s="215" t="str">
        <x:v>Field-ready draft</x:v>
      </x:c>
      <x:c r="AG352" s="215" t="str">
        <x:v>2 — Field-photo priority</x:v>
      </x:c>
      <x:c r="AH352" s="215" t="str">
        <x:v>Current master inventory</x:v>
      </x:c>
    </x:row>
    <x:row r="353" ht="42" customHeight="1">
      <x:c r="A353" s="215" t="str">
        <x:v>Polygonaceae</x:v>
      </x:c>
      <x:c r="B353" s="215" t="str">
        <x:v>POL-INFLO</x:v>
      </x:c>
      <x:c r="C353" s="215" t="str">
        <x:v>Broad family tendency</x:v>
      </x:c>
      <x:c r="D353" s="215" t="str">
        <x:v>Inflorescence</x:v>
      </x:c>
      <x:c r="E353" s="215" t="str">
        <x:v>Small flowers commonly grouped in fascicles within spikes, racemes, panicles, heads, or involucrate clusters</x:v>
      </x:c>
      <x:c r="F353" s="215" t="str">
        <x:v>Strong</x:v>
      </x:c>
      <x:c r="G353" s="215" t="str">
        <x:v>4</x:v>
      </x:c>
      <x:c r="H353" s="215" t="str">
        <x:v>Variable</x:v>
      </x:c>
      <x:c r="I353" s="215" t="str">
        <x:v>Naked eye to hand lens</x:v>
      </x:c>
      <x:c r="J353" s="215" t="str">
        <x:v>Flowering</x:v>
      </x:c>
      <x:c r="K353" s="215" t="str">
        <x:v>Tiny flowers often occur in repeated bundles along or at the end of an axis.</x:v>
      </x:c>
      <x:c r="L353" s="215" t="str">
        <x:v>Eriogonoideae may place flowers in involucres, while Polygonoideae commonly uses ocreolae and different cluster forms.</x:v>
      </x:c>
      <x:c r="M353" s="215" t="str">
        <x:v>Identify the subfamily route before interpreting bracts and clusters.</x:v>
      </x:c>
      <x:c r="N353"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3" s="215" t="str">
        <x:v>Low</x:v>
      </x:c>
      <x:c r="P353" s="215" t="str">
        <x:v>No</x:v>
      </x:c>
      <x:c r="Q353" s="215" t="str"/>
      <x:c r="R353" s="215" t="str">
        <x:v>POL-LK01</x:v>
      </x:c>
      <x:c r="S353" s="215" t="str">
        <x:v>APWEB-POL; FNA-POL; POWO-POL; LBJWC-HAYS</x:v>
      </x:c>
      <x:c r="T353" s="215" t="str">
        <x:v>https://www.mobot.org/MOBOT/research/APweb/orders/caryophyllalesweb.htm</x:v>
      </x:c>
      <x:c r="U353" s="215" t="str">
        <x:v>https://floranorthamerica.org/Polygonaceae
https://powo.science.kew.org/taxon/urn:lsid:ipni.org:names:30000532-2/general-information</x:v>
      </x:c>
      <x:c r="V353" s="215" t="str">
        <x:v>https://powo.science.kew.org/taxon/urn:lsid:ipni.org:names:30000532-2</x:v>
      </x:c>
      <x:c r="W353"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53" s="215" t="str">
        <x:v>No — retain qualifiers and exceptions</x:v>
      </x:c>
      <x:c r="Y353" s="215" t="str">
        <x:v>Yes</x:v>
      </x:c>
      <x:c r="Z353" s="215" t="str">
        <x:v>Source-backed draft</x:v>
      </x:c>
      <x:c r="AA353" s="215" t="str">
        <x:v>Family pattern</x:v>
      </x:c>
      <x:c r="AB353" s="215" t="str">
        <x:v>Positive diagnostic</x:v>
      </x:c>
      <x:c r="AC353" s="215" t="str">
        <x:v>Variable</x:v>
      </x:c>
      <x:c r="AD353" s="215" t="str">
        <x:v>Hand lens / macro</x:v>
      </x:c>
      <x:c r="AE353" s="215" t="str">
        <x:v>Low</x:v>
      </x:c>
      <x:c r="AF353" s="215" t="str">
        <x:v>Field-ready draft</x:v>
      </x:c>
      <x:c r="AG353" s="215" t="str">
        <x:v>2 — Field-photo priority</x:v>
      </x:c>
      <x:c r="AH353" s="215" t="str">
        <x:v>Current master inventory</x:v>
      </x:c>
    </x:row>
    <x:row r="354" ht="42" customHeight="1">
      <x:c r="A354" s="215" t="str">
        <x:v>Polygonaceae</x:v>
      </x:c>
      <x:c r="B354" s="215" t="str">
        <x:v>POL-TEPALS</x:v>
      </x:c>
      <x:c r="C354" s="215" t="str">
        <x:v>Broad family tendency</x:v>
      </x:c>
      <x:c r="D354" s="215" t="str">
        <x:v>Perianth</x:v>
      </x:c>
      <x:c r="E354" s="215" t="str">
        <x:v>Tepals usually two to six, often basally joined, persistent and frequently enlarging or hardening in fruit</x:v>
      </x:c>
      <x:c r="F354" s="215" t="str">
        <x:v>Strong</x:v>
      </x:c>
      <x:c r="G354" s="215" t="str">
        <x:v>4</x:v>
      </x:c>
      <x:c r="H354" s="215" t="str">
        <x:v>High</x:v>
      </x:c>
      <x:c r="I354" s="215" t="str">
        <x:v>Hand lens</x:v>
      </x:c>
      <x:c r="J354" s="215" t="str">
        <x:v>Flowering to fruiting</x:v>
      </x:c>
      <x:c r="K354" s="215" t="str">
        <x:v>Small flower parts remain around the achene and may form wings, valves, or a fleshy covering.</x:v>
      </x:c>
      <x:c r="L354" s="215" t="str">
        <x:v>Tepal number and texture vary, and outer and inner tepals may differ strongly.</x:v>
      </x:c>
      <x:c r="M354" s="215" t="str">
        <x:v>Persistent or accrescent tepals around a one-seeded achene are a major family clue.</x:v>
      </x:c>
      <x:c r="N354"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4" s="215" t="str">
        <x:v>Low</x:v>
      </x:c>
      <x:c r="P354" s="215" t="str">
        <x:v>No</x:v>
      </x:c>
      <x:c r="Q354" s="215" t="str"/>
      <x:c r="R354" s="215" t="str">
        <x:v>POL-LK01; POL-LK02</x:v>
      </x:c>
      <x:c r="S354" s="215" t="str">
        <x:v>APWEB-POL; FNA-POL; POWO-POL; LBJWC-HAYS</x:v>
      </x:c>
      <x:c r="T354" s="215" t="str">
        <x:v>https://www.mobot.org/MOBOT/research/APweb/orders/caryophyllalesweb.htm</x:v>
      </x:c>
      <x:c r="U354" s="215" t="str">
        <x:v>https://floranorthamerica.org/Polygonaceae
https://powo.science.kew.org/taxon/urn:lsid:ipni.org:names:30000532-2/general-information</x:v>
      </x:c>
      <x:c r="V354" s="215" t="str">
        <x:v>https://powo.science.kew.org/taxon/urn:lsid:ipni.org:names:30000532-2</x:v>
      </x:c>
      <x:c r="W354"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54" s="215" t="str">
        <x:v>No — retain qualifiers and exceptions</x:v>
      </x:c>
      <x:c r="Y354" s="215" t="str">
        <x:v>Yes</x:v>
      </x:c>
      <x:c r="Z354" s="215" t="str">
        <x:v>Source-backed draft</x:v>
      </x:c>
      <x:c r="AA354" s="215" t="str">
        <x:v>Family pattern</x:v>
      </x:c>
      <x:c r="AB354" s="215" t="str">
        <x:v>Positive diagnostic</x:v>
      </x:c>
      <x:c r="AC354" s="215" t="str">
        <x:v>High</x:v>
      </x:c>
      <x:c r="AD354" s="215" t="str">
        <x:v>Hand lens / macro</x:v>
      </x:c>
      <x:c r="AE354" s="215" t="str">
        <x:v>Low</x:v>
      </x:c>
      <x:c r="AF354" s="215" t="str">
        <x:v>Field-ready draft</x:v>
      </x:c>
      <x:c r="AG354" s="215" t="str">
        <x:v>2 — Field-photo priority</x:v>
      </x:c>
      <x:c r="AH354" s="215" t="str">
        <x:v>Current master inventory</x:v>
      </x:c>
    </x:row>
    <x:row r="355" ht="42" customHeight="1">
      <x:c r="A355" s="215" t="str">
        <x:v>Polygonaceae</x:v>
      </x:c>
      <x:c r="B355" s="215" t="str">
        <x:v>POL-STAMEN</x:v>
      </x:c>
      <x:c r="C355" s="215" t="str">
        <x:v>Broad family tendency</x:v>
      </x:c>
      <x:c r="D355" s="215" t="str">
        <x:v>Androecium</x:v>
      </x:c>
      <x:c r="E355" s="215" t="str">
        <x:v>Stamens commonly six to nine, sometimes fewer</x:v>
      </x:c>
      <x:c r="F355" s="215" t="str">
        <x:v>Supporting</x:v>
      </x:c>
      <x:c r="G355" s="215" t="str">
        <x:v>3</x:v>
      </x:c>
      <x:c r="H355" s="215" t="str">
        <x:v>Variable</x:v>
      </x:c>
      <x:c r="I355" s="215" t="str">
        <x:v>Hand lens or dissection</x:v>
      </x:c>
      <x:c r="J355" s="215" t="str">
        <x:v>Fresh flowering material</x:v>
      </x:c>
      <x:c r="K355" s="215" t="str">
        <x:v>Several stamens arise around the single ovary, often in relation to the tepal whorls.</x:v>
      </x:c>
      <x:c r="L355" s="215" t="str">
        <x:v>Numbers vary and stamens are hard to count in tiny or unisexual flowers.</x:v>
      </x:c>
      <x:c r="M355" s="215" t="str">
        <x:v>Use mainly for confirmation after the tepals and ovary are understood.</x:v>
      </x:c>
      <x:c r="N355"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5" s="215" t="str">
        <x:v>Low</x:v>
      </x:c>
      <x:c r="P355" s="215" t="str">
        <x:v>No</x:v>
      </x:c>
      <x:c r="Q355" s="215" t="str"/>
      <x:c r="R355" s="215" t="str">
        <x:v>POL-LK02</x:v>
      </x:c>
      <x:c r="S355" s="215" t="str">
        <x:v>APWEB-POL; FNA-POL; POWO-POL; LBJWC-HAYS</x:v>
      </x:c>
      <x:c r="T355" s="215" t="str">
        <x:v>https://www.mobot.org/MOBOT/research/APweb/orders/caryophyllalesweb.htm</x:v>
      </x:c>
      <x:c r="U355" s="215" t="str">
        <x:v>https://floranorthamerica.org/Polygonaceae
https://powo.science.kew.org/taxon/urn:lsid:ipni.org:names:30000532-2/general-information</x:v>
      </x:c>
      <x:c r="V355" s="215" t="str">
        <x:v>https://powo.science.kew.org/taxon/urn:lsid:ipni.org:names:30000532-2</x:v>
      </x:c>
      <x:c r="W355"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55" s="215" t="str">
        <x:v>No — retain qualifiers and exceptions</x:v>
      </x:c>
      <x:c r="Y355" s="215" t="str">
        <x:v>Yes</x:v>
      </x:c>
      <x:c r="Z355" s="215" t="str">
        <x:v>Source-backed draft</x:v>
      </x:c>
      <x:c r="AA355" s="215" t="str">
        <x:v>Family pattern</x:v>
      </x:c>
      <x:c r="AB355" s="215" t="str">
        <x:v>Supporting / route</x:v>
      </x:c>
      <x:c r="AC355" s="215" t="str">
        <x:v>Variable</x:v>
      </x:c>
      <x:c r="AD355" s="215" t="str">
        <x:v>Dissection</x:v>
      </x:c>
      <x:c r="AE355" s="215" t="str">
        <x:v>Low</x:v>
      </x:c>
      <x:c r="AF355" s="215" t="str">
        <x:v>Dissection / close study</x:v>
      </x:c>
      <x:c r="AG355" s="215" t="str">
        <x:v>3 — Reference support</x:v>
      </x:c>
      <x:c r="AH355" s="215" t="str">
        <x:v>Current master inventory</x:v>
      </x:c>
    </x:row>
    <x:row r="356" ht="42" customHeight="1">
      <x:c r="A356" s="215" t="str">
        <x:v>Polygonaceae</x:v>
      </x:c>
      <x:c r="B356" s="215" t="str">
        <x:v>POL-OVARY</x:v>
      </x:c>
      <x:c r="C356" s="215" t="str">
        <x:v>Family-wide structural theme</x:v>
      </x:c>
      <x:c r="D356" s="215" t="str">
        <x:v>Gynoecium</x:v>
      </x:c>
      <x:c r="E356" s="215" t="str">
        <x:v>Ovary superior, one-locular, with a single basal ovule and usually two or three styles</x:v>
      </x:c>
      <x:c r="F356" s="215" t="str">
        <x:v>Core</x:v>
      </x:c>
      <x:c r="G356" s="215" t="str">
        <x:v>5</x:v>
      </x:c>
      <x:c r="H356" s="215" t="str">
        <x:v>High with magnification</x:v>
      </x:c>
      <x:c r="I356" s="215" t="str">
        <x:v>Hand lens or dissection</x:v>
      </x:c>
      <x:c r="J356" s="215" t="str">
        <x:v>Flowering to early fruit</x:v>
      </x:c>
      <x:c r="K356" s="215" t="str">
        <x:v>One ovule develops into one dry fruit, commonly with two or three angles.</x:v>
      </x:c>
      <x:c r="L356" s="215" t="str">
        <x:v>Style number and fusion vary and the ovary may be hidden by the persistent perianth.</x:v>
      </x:c>
      <x:c r="M356" s="215" t="str">
        <x:v>Connect the single ovule to the mature achene and persistent tepals.</x:v>
      </x:c>
      <x:c r="N356"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6" s="215" t="str">
        <x:v>Low</x:v>
      </x:c>
      <x:c r="P356" s="215" t="str">
        <x:v>No</x:v>
      </x:c>
      <x:c r="Q356" s="215" t="str"/>
      <x:c r="R356" s="215" t="str">
        <x:v>POL-LK01; POL-LK02</x:v>
      </x:c>
      <x:c r="S356" s="215" t="str">
        <x:v>APWEB-POL; FNA-POL; POWO-POL; LBJWC-HAYS</x:v>
      </x:c>
      <x:c r="T356" s="215" t="str">
        <x:v>https://www.mobot.org/MOBOT/research/APweb/orders/caryophyllalesweb.htm</x:v>
      </x:c>
      <x:c r="U356" s="215" t="str">
        <x:v>https://floranorthamerica.org/Polygonaceae
https://powo.science.kew.org/taxon/urn:lsid:ipni.org:names:30000532-2/general-information</x:v>
      </x:c>
      <x:c r="V356" s="215" t="str">
        <x:v>https://powo.science.kew.org/taxon/urn:lsid:ipni.org:names:30000532-2</x:v>
      </x:c>
      <x:c r="W356"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56" s="215" t="str">
        <x:v>No — retain qualifiers and exceptions</x:v>
      </x:c>
      <x:c r="Y356" s="215" t="str">
        <x:v>Yes</x:v>
      </x:c>
      <x:c r="Z356" s="215" t="str">
        <x:v>Source-backed draft</x:v>
      </x:c>
      <x:c r="AA356" s="215" t="str">
        <x:v>Family pattern</x:v>
      </x:c>
      <x:c r="AB356" s="215" t="str">
        <x:v>Positive diagnostic</x:v>
      </x:c>
      <x:c r="AC356" s="215" t="str">
        <x:v>High</x:v>
      </x:c>
      <x:c r="AD356" s="215" t="str">
        <x:v>Dissection</x:v>
      </x:c>
      <x:c r="AE356" s="215" t="str">
        <x:v>Low</x:v>
      </x:c>
      <x:c r="AF356" s="215" t="str">
        <x:v>Dissection / close study</x:v>
      </x:c>
      <x:c r="AG356" s="215" t="str">
        <x:v>3 — Reference support</x:v>
      </x:c>
      <x:c r="AH356" s="215" t="str">
        <x:v>Current master inventory</x:v>
      </x:c>
    </x:row>
    <x:row r="357" ht="42" customHeight="1">
      <x:c r="A357" s="215" t="str">
        <x:v>Polygonaceae</x:v>
      </x:c>
      <x:c r="B357" s="215" t="str">
        <x:v>POL-FRUIT</x:v>
      </x:c>
      <x:c r="C357" s="215" t="str">
        <x:v>Family-wide structural theme</x:v>
      </x:c>
      <x:c r="D357" s="215" t="str">
        <x:v>Fruit</x:v>
      </x:c>
      <x:c r="E357" s="215" t="str">
        <x:v>One-seeded achene, commonly three-angled or lenticular, enclosed by or projecting from the persistent perianth</x:v>
      </x:c>
      <x:c r="F357" s="215" t="str">
        <x:v>Core</x:v>
      </x:c>
      <x:c r="G357" s="215" t="str">
        <x:v>5</x:v>
      </x:c>
      <x:c r="H357" s="215" t="str">
        <x:v>High</x:v>
      </x:c>
      <x:c r="I357" s="215" t="str">
        <x:v>Naked eye to hand lens</x:v>
      </x:c>
      <x:c r="J357" s="215" t="str">
        <x:v>Mature fruit</x:v>
      </x:c>
      <x:c r="K357" s="215" t="str">
        <x:v>The fruit is a small dry body with one seed, often triangular in cross-section.</x:v>
      </x:c>
      <x:c r="L357" s="215" t="str">
        <x:v>Fruit shape can be two-, three-, or rarely four-angled, roundish, winged, or hidden by enlarged tepals.</x:v>
      </x:c>
      <x:c r="M357" s="215" t="str">
        <x:v>A mature achene plus persistent tepals and node characters strongly confirms Polygonaceae.</x:v>
      </x:c>
      <x:c r="N357"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7" s="215" t="str">
        <x:v>Low</x:v>
      </x:c>
      <x:c r="P357" s="215" t="str">
        <x:v>No</x:v>
      </x:c>
      <x:c r="Q357" s="215" t="str"/>
      <x:c r="R357" s="215" t="str">
        <x:v>POL-LK01; POL-LK02</x:v>
      </x:c>
      <x:c r="S357" s="215" t="str">
        <x:v>APWEB-POL; FNA-POL; POWO-POL; LBJWC-HAYS</x:v>
      </x:c>
      <x:c r="T357" s="215" t="str">
        <x:v>https://www.mobot.org/MOBOT/research/APweb/orders/caryophyllalesweb.htm</x:v>
      </x:c>
      <x:c r="U357" s="215" t="str">
        <x:v>https://floranorthamerica.org/Polygonaceae
https://powo.science.kew.org/taxon/urn:lsid:ipni.org:names:30000532-2/general-information</x:v>
      </x:c>
      <x:c r="V357" s="215" t="str">
        <x:v>https://powo.science.kew.org/taxon/urn:lsid:ipni.org:names:30000532-2</x:v>
      </x:c>
      <x:c r="W357"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x:v>
      </x:c>
      <x:c r="X357" s="215" t="str">
        <x:v>No — retain qualifiers and exceptions</x:v>
      </x:c>
      <x:c r="Y357" s="215" t="str">
        <x:v>Yes</x:v>
      </x:c>
      <x:c r="Z357" s="215" t="str">
        <x:v>Source-backed draft</x:v>
      </x:c>
      <x:c r="AA357" s="215" t="str">
        <x:v>Family pattern</x:v>
      </x:c>
      <x:c r="AB357" s="215" t="str">
        <x:v>Positive diagnostic</x:v>
      </x:c>
      <x:c r="AC357" s="215" t="str">
        <x:v>High</x:v>
      </x:c>
      <x:c r="AD357" s="215" t="str">
        <x:v>Hand lens / macro</x:v>
      </x:c>
      <x:c r="AE357" s="215" t="str">
        <x:v>Low</x:v>
      </x:c>
      <x:c r="AF357" s="215" t="str">
        <x:v>Field-ready draft</x:v>
      </x:c>
      <x:c r="AG357" s="215" t="str">
        <x:v>2 — Field-photo priority</x:v>
      </x:c>
      <x:c r="AH357" s="215" t="str">
        <x:v>Current master inventory</x:v>
      </x:c>
    </x:row>
    <x:row r="358" ht="42" customHeight="1">
      <x:c r="A358" s="215" t="str">
        <x:v>Polygonaceae</x:v>
      </x:c>
      <x:c r="B358" s="215" t="str">
        <x:v>POL-LK01</x:v>
      </x:c>
      <x:c r="C358" s="215" t="str">
        <x:v>Hays County field comparison</x:v>
      </x:c>
      <x:c r="D358" s="215" t="str">
        <x:v>Lookalike comparison</x:v>
      </x:c>
      <x:c r="E358" s="215" t="str">
        <x:v>Polygonaceae versus Plumbaginaceae</x:v>
      </x:c>
      <x:c r="F358" s="215" t="str">
        <x:v>Strong</x:v>
      </x:c>
      <x:c r="G358" s="215" t="str">
        <x:v>4</x:v>
      </x:c>
      <x:c r="H358" s="215" t="str">
        <x:v>Moderate</x:v>
      </x:c>
      <x:c r="I358" s="215" t="str">
        <x:v>Hand lens</x:v>
      </x:c>
      <x:c r="J358" s="215" t="str">
        <x:v>Flowering or fruiting</x:v>
      </x:c>
      <x:c r="K358" s="215" t="str">
        <x:v>Polygonaceae commonly has alternate leaves, ocreae in many local routes, small tepals, and an angled achene; Plumbaginaceae commonly has a persistent ribbed calyx, a five-lobed corolla, stamens opposite corolla lobes, and lacks an ocrea.</x:v>
      </x:c>
      <x:c r="L358" s="215" t="str">
        <x:v>Wild-buckwheat Polygonaceae lacks ocreae, and both families can have persistent perianths around one-seeded fruits.</x:v>
      </x:c>
      <x:c r="M358" s="215" t="str">
        <x:v>Use floral merosity and stamen position when no ocrea is present.</x:v>
      </x:c>
      <x:c r="N358"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8" s="215" t="str">
        <x:v>Moderate</x:v>
      </x:c>
      <x:c r="P358" s="215" t="str">
        <x:v>Yes</x:v>
      </x:c>
      <x:c r="Q358" s="215" t="str">
        <x:v>Plumbaginaceae has not yet received its full Hays treatment.</x:v>
      </x:c>
      <x:c r="R358" s="215" t="str"/>
      <x:c r="S358" s="215" t="str">
        <x:v>APWEB-POL; FNA-POL; POWO-POL; FNA-PLUMB; LBJWC-HAYS</x:v>
      </x:c>
      <x:c r="T358" s="215" t="str">
        <x:v>https://www.mobot.org/MOBOT/research/APweb/orders/caryophyllalesweb.htm</x:v>
      </x:c>
      <x:c r="U358" s="215" t="str">
        <x:v>https://floranorthamerica.org/Polygonaceae
https://powo.science.kew.org/taxon/urn:lsid:ipni.org:names:30000532-2/general-information</x:v>
      </x:c>
      <x:c r="V358" s="215" t="str">
        <x:v>https://powo.science.kew.org/taxon/urn:lsid:ipni.org:names:30000532-2</x:v>
      </x:c>
      <x:c r="W358"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
https://floranorthamerica.org/Plumbaginaceae</x:v>
      </x:c>
      <x:c r="X358" s="215" t="str">
        <x:v>No — retain qualifiers and exceptions</x:v>
      </x:c>
      <x:c r="Y358" s="215" t="str">
        <x:v>Yes</x:v>
      </x:c>
      <x:c r="Z358" s="215" t="str">
        <x:v>Source-backed comparison draft</x:v>
      </x:c>
      <x:c r="AA358" s="215" t="str">
        <x:v>Other qualified pattern</x:v>
      </x:c>
      <x:c r="AB358" s="215" t="str">
        <x:v>Positive diagnostic</x:v>
      </x:c>
      <x:c r="AC358" s="215" t="str">
        <x:v>Moderate</x:v>
      </x:c>
      <x:c r="AD358" s="215" t="str">
        <x:v>Hand lens / macro</x:v>
      </x:c>
      <x:c r="AE358" s="215" t="str">
        <x:v>Moderate</x:v>
      </x:c>
      <x:c r="AF358" s="215" t="str">
        <x:v>Use only after review</x:v>
      </x:c>
      <x:c r="AG358" s="215" t="str">
        <x:v>1 — Human review now</x:v>
      </x:c>
      <x:c r="AH358" s="215" t="str">
        <x:v>Current master inventory</x:v>
      </x:c>
    </x:row>
    <x:row r="359" ht="42" customHeight="1">
      <x:c r="A359" s="215" t="str">
        <x:v>Polygonaceae</x:v>
      </x:c>
      <x:c r="B359" s="215" t="str">
        <x:v>POL-LK02</x:v>
      </x:c>
      <x:c r="C359" s="215" t="str">
        <x:v>Hays County field comparison</x:v>
      </x:c>
      <x:c r="D359" s="215" t="str">
        <x:v>Lookalike comparison</x:v>
      </x:c>
      <x:c r="E359" s="215" t="str">
        <x:v>Polygonaceae versus Amaranthaceae or Caryophyllaceae with small flowers</x:v>
      </x:c>
      <x:c r="F359" s="215" t="str">
        <x:v>Strong</x:v>
      </x:c>
      <x:c r="G359" s="215" t="str">
        <x:v>4</x:v>
      </x:c>
      <x:c r="H359" s="215" t="str">
        <x:v>Moderate</x:v>
      </x:c>
      <x:c r="I359" s="215" t="str">
        <x:v>Hand lens</x:v>
      </x:c>
      <x:c r="J359" s="215" t="str">
        <x:v>Flowering and fruiting preferred</x:v>
      </x:c>
      <x:c r="K359" s="215" t="str">
        <x:v>Polygonaceae commonly combines an ocrea or involucrate wild-buckwheat route with persistent tepals and one angled achene; Amaranthaceae often has scarious bracts and utricles, while Caryophyllaceae commonly has opposite leaves, radial flowers, and capsules or utricles.</x:v>
      </x:c>
      <x:c r="L359" s="215" t="str">
        <x:v>Reduced flowers and one-seeded fruits can overlap, and the ocrea is absent from one polygonaceous subfamily.</x:v>
      </x:c>
      <x:c r="M359" s="215" t="str">
        <x:v>Check node appendages, ovary position and ovule number, then mature fruit.</x:v>
      </x:c>
      <x:c r="N359" s="215" t="str">
        <x:v>Confirmed Hays County family with dock, smartweed, knotweed, and wild-buckwheat routes in prairies, calcareous openings, riparian ground, wet depressions, roadsides, and disturbed soil; local work must distinguish native taxa from introduced Rumex and cultivated Antigonon.</x:v>
      </x:c>
      <x:c r="O359" s="215" t="str">
        <x:v>Moderate</x:v>
      </x:c>
      <x:c r="P359" s="215" t="str">
        <x:v>Yes</x:v>
      </x:c>
      <x:c r="Q359" s="215" t="str">
        <x:v>Caryophyllaceae has not yet received its full Hays treatment.</x:v>
      </x:c>
      <x:c r="R359" s="215" t="str"/>
      <x:c r="S359" s="215" t="str">
        <x:v>APWEB-POL; FNA-POL; POWO-POL; FNA-AMAR; FNA-CARY; LBJWC-HAYS</x:v>
      </x:c>
      <x:c r="T359" s="215" t="str">
        <x:v>https://www.mobot.org/MOBOT/research/APweb/orders/caryophyllalesweb.htm</x:v>
      </x:c>
      <x:c r="U359" s="215" t="str">
        <x:v>https://floranorthamerica.org/Polygonaceae
https://powo.science.kew.org/taxon/urn:lsid:ipni.org:names:30000532-2/general-information</x:v>
      </x:c>
      <x:c r="V359" s="215" t="str">
        <x:v>https://powo.science.kew.org/taxon/urn:lsid:ipni.org:names:30000532-2</x:v>
      </x:c>
      <x:c r="W359" s="215" t="str">
        <x:v>https://www.mobot.org/MOBOT/research/APweb/orders/caryophyllalesweb.htm
https://floranorthamerica.org/Polygonaceae
https://powo.science.kew.org/taxon/urn:lsid:ipni.org:names:30000532-2/general-information
https://powo.science.kew.org/taxon/urn:lsid:ipni.org:names:30000532-2
https://www.wildflower.org/collections/collection.php?collection=hays
https://floranorthamerica.org/Amaranthaceae
https://floranorthamerica.org/Caryophyllaceae</x:v>
      </x:c>
      <x:c r="X359" s="215" t="str">
        <x:v>No — retain qualifiers and exceptions</x:v>
      </x:c>
      <x:c r="Y359" s="215" t="str">
        <x:v>Yes</x:v>
      </x:c>
      <x:c r="Z359" s="215" t="str">
        <x:v>Source-backed comparison draft</x:v>
      </x:c>
      <x:c r="AA359" s="215" t="str">
        <x:v>Other qualified pattern</x:v>
      </x:c>
      <x:c r="AB359" s="215" t="str">
        <x:v>Positive diagnostic</x:v>
      </x:c>
      <x:c r="AC359" s="215" t="str">
        <x:v>Moderate</x:v>
      </x:c>
      <x:c r="AD359" s="215" t="str">
        <x:v>Hand lens / macro</x:v>
      </x:c>
      <x:c r="AE359" s="215" t="str">
        <x:v>Moderate</x:v>
      </x:c>
      <x:c r="AF359" s="215" t="str">
        <x:v>Use only after review</x:v>
      </x:c>
      <x:c r="AG359" s="215" t="str">
        <x:v>1 — Human review now</x:v>
      </x:c>
      <x:c r="AH359" s="215" t="str">
        <x:v>Current master inventory</x:v>
      </x:c>
    </x:row>
    <x:row r="360" ht="42" customHeight="1">
      <x:c r="A360" s="215" t="str">
        <x:v>Caryophyllaceae</x:v>
      </x:c>
      <x:c r="B360" s="215" t="str">
        <x:v>CAR-HABIT</x:v>
      </x:c>
      <x:c r="C360" s="215" t="str">
        <x:v>Family-wide, predominant</x:v>
      </x:c>
      <x:c r="D360" s="215" t="str">
        <x:v>Habit</x:v>
      </x:c>
      <x:c r="E360" s="215" t="str">
        <x:v>Mostly annual to perennial herbs</x:v>
      </x:c>
      <x:c r="F360" s="215" t="str">
        <x:v>Supporting</x:v>
      </x:c>
      <x:c r="G360" s="215" t="str">
        <x:v>2</x:v>
      </x:c>
      <x:c r="H360" s="215" t="str">
        <x:v>High</x:v>
      </x:c>
      <x:c r="I360" s="215" t="str">
        <x:v>Naked eye</x:v>
      </x:c>
      <x:c r="J360" s="215" t="str">
        <x:v>Any season with intact plant</x:v>
      </x:c>
      <x:c r="K360" s="215" t="str">
        <x:v>Most members encountered locally are herbs.</x:v>
      </x:c>
      <x:c r="L360" s="215" t="str">
        <x:v>The family also includes uncommon shrubs, vines, and small trees outside the main local routes.</x:v>
      </x:c>
      <x:c r="M360" s="215" t="str">
        <x:v>Use only as an initial screen; confirm with nodes, leaves, flowers, and fruit.</x:v>
      </x:c>
      <x:c r="N360" s="215" t="str">
        <x:v>Fits local Paronychia-, Drymaria-, and Silene-type routes in the carried Hays inventory.</x:v>
      </x:c>
      <x:c r="O360" s="215" t="str">
        <x:v>Low</x:v>
      </x:c>
      <x:c r="P360" s="215" t="str">
        <x:v>No</x:v>
      </x:c>
      <x:c r="Q360" s="215" t="str"/>
      <x:c r="R360" s="215" t="str">
        <x:v>CAR-LK01; CAR-LK02</x:v>
      </x:c>
      <x:c r="S360" s="215" t="str">
        <x:v>APWEB-CARY; FNA-CARY; POWO-CARY; LBJ-HAYS</x:v>
      </x:c>
      <x:c r="T360" s="215" t="str">
        <x:v>https://www.mobot.org/MOBOT/research/APweb/orders/caryophyllalesweb.htm</x:v>
      </x:c>
      <x:c r="U360" s="215" t="str">
        <x:v>https://floranorthamerica.org/Caryophyllaceae</x:v>
      </x:c>
      <x:c r="V360" s="215" t="str">
        <x:v>https://powo.science.kew.org/taxon/urn:lsid:ipni.org:names:30000815-2/general-information</x:v>
      </x:c>
      <x:c r="W360" s="215" t="str">
        <x:v>https://www.mobot.org/MOBOT/research/APweb/orders/caryophyllalesweb.htm
https://floranorthamerica.org/Caryophyllaceae
https://powo.science.kew.org/taxon/urn:lsid:ipni.org:names:30000815-2/general-information
https://www.wildflower.org/collections/collection.php?collection=hays</x:v>
      </x:c>
      <x:c r="X360" s="215" t="str">
        <x:v>No — retain qualifiers and exceptions</x:v>
      </x:c>
      <x:c r="Y360" s="215" t="str">
        <x:v>Yes</x:v>
      </x:c>
      <x:c r="Z360" s="215" t="str">
        <x:v>Source-backed draft</x:v>
      </x:c>
      <x:c r="AA360" s="215" t="str">
        <x:v>Family pattern</x:v>
      </x:c>
      <x:c r="AB360" s="215" t="str">
        <x:v>Supporting / route</x:v>
      </x:c>
      <x:c r="AC360" s="215" t="str">
        <x:v>High</x:v>
      </x:c>
      <x:c r="AD360" s="215" t="str">
        <x:v>Naked eye / field</x:v>
      </x:c>
      <x:c r="AE360" s="215" t="str">
        <x:v>Low</x:v>
      </x:c>
      <x:c r="AF360" s="215" t="str">
        <x:v>Field-ready draft</x:v>
      </x:c>
      <x:c r="AG360" s="215" t="str">
        <x:v>4 — Context / caution</x:v>
      </x:c>
      <x:c r="AH360" s="215" t="str">
        <x:v>Current master inventory</x:v>
      </x:c>
    </x:row>
    <x:row r="361" ht="42" customHeight="1">
      <x:c r="A361" s="215" t="str">
        <x:v>Caryophyllaceae</x:v>
      </x:c>
      <x:c r="B361" s="215" t="str">
        <x:v>CAR-NODES</x:v>
      </x:c>
      <x:c r="C361" s="215" t="str">
        <x:v>Family-wide, common</x:v>
      </x:c>
      <x:c r="D361" s="215" t="str">
        <x:v>Stem</x:v>
      </x:c>
      <x:c r="E361" s="215" t="str">
        <x:v>Nodes often swollen</x:v>
      </x:c>
      <x:c r="F361" s="215" t="str">
        <x:v>Strong</x:v>
      </x:c>
      <x:c r="G361" s="215" t="str">
        <x:v>4</x:v>
      </x:c>
      <x:c r="H361" s="215" t="str">
        <x:v>Moderate</x:v>
      </x:c>
      <x:c r="I361" s="215" t="str">
        <x:v>Naked eye</x:v>
      </x:c>
      <x:c r="J361" s="215" t="str">
        <x:v>Vegetative or flowering</x:v>
      </x:c>
      <x:c r="K361" s="215" t="str">
        <x:v>The stem joints are frequently visibly thickened.</x:v>
      </x:c>
      <x:c r="L361" s="215" t="str">
        <x:v>Swelling is common rather than universal and may be subtle on fine or prostrate stems.</x:v>
      </x:c>
      <x:c r="M361" s="215" t="str">
        <x:v>Pair with opposite simple leaves and floral characters; never reject the family when nodes are not swollen.</x:v>
      </x:c>
      <x:c r="N361" s="215" t="str">
        <x:v>A practical field cue in many local pink-family herbs.</x:v>
      </x:c>
      <x:c r="O361" s="215" t="str">
        <x:v>Low</x:v>
      </x:c>
      <x:c r="P361" s="215" t="str">
        <x:v>No</x:v>
      </x:c>
      <x:c r="Q361" s="215" t="str"/>
      <x:c r="R361" s="215" t="str">
        <x:v>CAR-LK01</x:v>
      </x:c>
      <x:c r="S361" s="215" t="str">
        <x:v>APWEB-CARY; FNA-CARY; POWO-CARY; LBJ-HAYS</x:v>
      </x:c>
      <x:c r="T361" s="215" t="str">
        <x:v>https://www.mobot.org/MOBOT/research/APweb/orders/caryophyllalesweb.htm</x:v>
      </x:c>
      <x:c r="U361" s="215" t="str">
        <x:v>https://floranorthamerica.org/Caryophyllaceae</x:v>
      </x:c>
      <x:c r="V361" s="215" t="str">
        <x:v>https://powo.science.kew.org/taxon/urn:lsid:ipni.org:names:30000815-2/general-information</x:v>
      </x:c>
      <x:c r="W361" s="215" t="str">
        <x:v>https://www.mobot.org/MOBOT/research/APweb/orders/caryophyllalesweb.htm
https://floranorthamerica.org/Caryophyllaceae
https://powo.science.kew.org/taxon/urn:lsid:ipni.org:names:30000815-2/general-information
https://www.wildflower.org/collections/collection.php?collection=hays</x:v>
      </x:c>
      <x:c r="X361" s="215" t="str">
        <x:v>No — retain qualifiers and exceptions</x:v>
      </x:c>
      <x:c r="Y361" s="215" t="str">
        <x:v>Yes</x:v>
      </x:c>
      <x:c r="Z361" s="215" t="str">
        <x:v>Source-backed draft</x:v>
      </x:c>
      <x:c r="AA361" s="215" t="str">
        <x:v>Family pattern</x:v>
      </x:c>
      <x:c r="AB361" s="215" t="str">
        <x:v>Positive diagnostic</x:v>
      </x:c>
      <x:c r="AC361" s="215" t="str">
        <x:v>Moderate</x:v>
      </x:c>
      <x:c r="AD361" s="215" t="str">
        <x:v>Naked eye / field</x:v>
      </x:c>
      <x:c r="AE361" s="215" t="str">
        <x:v>Low</x:v>
      </x:c>
      <x:c r="AF361" s="215" t="str">
        <x:v>Field-ready draft</x:v>
      </x:c>
      <x:c r="AG361" s="215" t="str">
        <x:v>2 — Field-photo priority</x:v>
      </x:c>
      <x:c r="AH361" s="215" t="str">
        <x:v>Current master inventory</x:v>
      </x:c>
    </x:row>
    <x:row r="362" ht="42" customHeight="1">
      <x:c r="A362" s="215" t="str">
        <x:v>Caryophyllaceae</x:v>
      </x:c>
      <x:c r="B362" s="215" t="str">
        <x:v>CAR-LEAVES</x:v>
      </x:c>
      <x:c r="C362" s="215" t="str">
        <x:v>Family-wide, predominant</x:v>
      </x:c>
      <x:c r="D362" s="215" t="str">
        <x:v>Leaf</x:v>
      </x:c>
      <x:c r="E362" s="215" t="str">
        <x:v>Leaves usually opposite, simple, and entire</x:v>
      </x:c>
      <x:c r="F362" s="215" t="str">
        <x:v>Strong</x:v>
      </x:c>
      <x:c r="G362" s="215" t="str">
        <x:v>4</x:v>
      </x:c>
      <x:c r="H362" s="215" t="str">
        <x:v>High</x:v>
      </x:c>
      <x:c r="I362" s="215" t="str">
        <x:v>Naked eye</x:v>
      </x:c>
      <x:c r="J362" s="215" t="str">
        <x:v>Vegetative or flowering</x:v>
      </x:c>
      <x:c r="K362" s="215" t="str">
        <x:v>Leaves commonly occur in opposite pairs and lack teeth or lobes.</x:v>
      </x:c>
      <x:c r="L362" s="215" t="str">
        <x:v>Leaves may be whorled, pseudo-whorled, or rarely alternate; stipules may be present or absent.</x:v>
      </x:c>
      <x:c r="M362" s="215" t="str">
        <x:v>A useful vegetative screen, especially with swollen nodes; confirm reproductively.</x:v>
      </x:c>
      <x:c r="N362" s="215" t="str">
        <x:v>Useful across several Hays County herb routes, but not sufficient alone.</x:v>
      </x:c>
      <x:c r="O362" s="215" t="str">
        <x:v>Low</x:v>
      </x:c>
      <x:c r="P362" s="215" t="str">
        <x:v>No</x:v>
      </x:c>
      <x:c r="Q362" s="215" t="str"/>
      <x:c r="R362" s="215" t="str">
        <x:v>CAR-LK01; CAR-LK02</x:v>
      </x:c>
      <x:c r="S362" s="215" t="str">
        <x:v>APWEB-CARY; FNA-CARY; POWO-CARY; LBJ-HAYS</x:v>
      </x:c>
      <x:c r="T362" s="215" t="str">
        <x:v>https://www.mobot.org/MOBOT/research/APweb/orders/caryophyllalesweb.htm</x:v>
      </x:c>
      <x:c r="U362" s="215" t="str">
        <x:v>https://floranorthamerica.org/Caryophyllaceae</x:v>
      </x:c>
      <x:c r="V362" s="215" t="str">
        <x:v>https://powo.science.kew.org/taxon/urn:lsid:ipni.org:names:30000815-2/general-information</x:v>
      </x:c>
      <x:c r="W362" s="215" t="str">
        <x:v>https://www.mobot.org/MOBOT/research/APweb/orders/caryophyllalesweb.htm
https://floranorthamerica.org/Caryophyllaceae
https://powo.science.kew.org/taxon/urn:lsid:ipni.org:names:30000815-2/general-information
https://www.wildflower.org/collections/collection.php?collection=hays</x:v>
      </x:c>
      <x:c r="X362" s="215" t="str">
        <x:v>No — retain qualifiers and exceptions</x:v>
      </x:c>
      <x:c r="Y362" s="215" t="str">
        <x:v>Yes</x:v>
      </x:c>
      <x:c r="Z362" s="215" t="str">
        <x:v>Source-backed draft</x:v>
      </x:c>
      <x:c r="AA362" s="215" t="str">
        <x:v>Family pattern</x:v>
      </x:c>
      <x:c r="AB362" s="215" t="str">
        <x:v>Positive diagnostic</x:v>
      </x:c>
      <x:c r="AC362" s="215" t="str">
        <x:v>High</x:v>
      </x:c>
      <x:c r="AD362" s="215" t="str">
        <x:v>Naked eye / field</x:v>
      </x:c>
      <x:c r="AE362" s="215" t="str">
        <x:v>Low</x:v>
      </x:c>
      <x:c r="AF362" s="215" t="str">
        <x:v>Field-ready draft</x:v>
      </x:c>
      <x:c r="AG362" s="215" t="str">
        <x:v>2 — Field-photo priority</x:v>
      </x:c>
      <x:c r="AH362" s="215" t="str">
        <x:v>Current master inventory</x:v>
      </x:c>
    </x:row>
    <x:row r="363" ht="42" customHeight="1">
      <x:c r="A363" s="215" t="str">
        <x:v>Caryophyllaceae</x:v>
      </x:c>
      <x:c r="B363" s="215" t="str">
        <x:v>CAR-FLOWER</x:v>
      </x:c>
      <x:c r="C363" s="215" t="str">
        <x:v>Family-wide</x:v>
      </x:c>
      <x:c r="D363" s="215" t="str">
        <x:v>Flower</x:v>
      </x:c>
      <x:c r="E363" s="215" t="str">
        <x:v>Flowers radial and usually 4- or 5-merous</x:v>
      </x:c>
      <x:c r="F363" s="215" t="str">
        <x:v>Strong</x:v>
      </x:c>
      <x:c r="G363" s="215" t="str">
        <x:v>4</x:v>
      </x:c>
      <x:c r="H363" s="215" t="str">
        <x:v>High</x:v>
      </x:c>
      <x:c r="I363" s="215" t="str">
        <x:v>Naked eye or hand lens</x:v>
      </x:c>
      <x:c r="J363" s="215" t="str">
        <x:v>Flowering</x:v>
      </x:c>
      <x:c r="K363" s="215" t="str">
        <x:v>Sepals and petals, when petals are present, are commonly in fours or fives.</x:v>
      </x:c>
      <x:c r="L363" s="215" t="str">
        <x:v>Petals may be absent and flowers may occasionally be unisexual; merosity has exceptions.</x:v>
      </x:c>
      <x:c r="M363" s="215" t="str">
        <x:v>Combine with superior ovary and free-central or basal placentation.</x:v>
      </x:c>
      <x:c r="N363" s="215" t="str">
        <x:v>Useful on intact local flowers, including small inconspicuous species.</x:v>
      </x:c>
      <x:c r="O363" s="215" t="str">
        <x:v>Low</x:v>
      </x:c>
      <x:c r="P363" s="215" t="str">
        <x:v>No</x:v>
      </x:c>
      <x:c r="Q363" s="215" t="str"/>
      <x:c r="R363" s="215" t="str">
        <x:v>CAR-LK02</x:v>
      </x:c>
      <x:c r="S363" s="215" t="str">
        <x:v>APWEB-CARY; FNA-CARY; POWO-CARY; LBJ-HAYS</x:v>
      </x:c>
      <x:c r="T363" s="215" t="str">
        <x:v>https://www.mobot.org/MOBOT/research/APweb/orders/caryophyllalesweb.htm</x:v>
      </x:c>
      <x:c r="U363" s="215" t="str">
        <x:v>https://floranorthamerica.org/Caryophyllaceae</x:v>
      </x:c>
      <x:c r="V363" s="215" t="str">
        <x:v>https://powo.science.kew.org/taxon/urn:lsid:ipni.org:names:30000815-2/general-information</x:v>
      </x:c>
      <x:c r="W363" s="215" t="str">
        <x:v>https://www.mobot.org/MOBOT/research/APweb/orders/caryophyllalesweb.htm
https://floranorthamerica.org/Caryophyllaceae
https://powo.science.kew.org/taxon/urn:lsid:ipni.org:names:30000815-2/general-information
https://www.wildflower.org/collections/collection.php?collection=hays</x:v>
      </x:c>
      <x:c r="X363" s="215" t="str">
        <x:v>No — retain qualifiers and exceptions</x:v>
      </x:c>
      <x:c r="Y363" s="215" t="str">
        <x:v>Yes</x:v>
      </x:c>
      <x:c r="Z363" s="215" t="str">
        <x:v>Source-backed draft</x:v>
      </x:c>
      <x:c r="AA363" s="215" t="str">
        <x:v>Family pattern</x:v>
      </x:c>
      <x:c r="AB363" s="215" t="str">
        <x:v>Positive diagnostic</x:v>
      </x:c>
      <x:c r="AC363" s="215" t="str">
        <x:v>High</x:v>
      </x:c>
      <x:c r="AD363" s="215" t="str">
        <x:v>Hand lens / macro</x:v>
      </x:c>
      <x:c r="AE363" s="215" t="str">
        <x:v>Low</x:v>
      </x:c>
      <x:c r="AF363" s="215" t="str">
        <x:v>Field-ready draft</x:v>
      </x:c>
      <x:c r="AG363" s="215" t="str">
        <x:v>2 — Field-photo priority</x:v>
      </x:c>
      <x:c r="AH363" s="215" t="str">
        <x:v>Current master inventory</x:v>
      </x:c>
    </x:row>
    <x:row r="364" ht="42" customHeight="1">
      <x:c r="A364" s="215" t="str">
        <x:v>Caryophyllaceae</x:v>
      </x:c>
      <x:c r="B364" s="215" t="str">
        <x:v>CAR-SEPALS</x:v>
      </x:c>
      <x:c r="C364" s="215" t="str">
        <x:v>Family-wide</x:v>
      </x:c>
      <x:c r="D364" s="215" t="str">
        <x:v>Calyx</x:v>
      </x:c>
      <x:c r="E364" s="215" t="str">
        <x:v>Sepals persistent, free or basally fused</x:v>
      </x:c>
      <x:c r="F364" s="215" t="str">
        <x:v>Strong</x:v>
      </x:c>
      <x:c r="G364" s="215" t="str">
        <x:v>3</x:v>
      </x:c>
      <x:c r="H364" s="215" t="str">
        <x:v>High</x:v>
      </x:c>
      <x:c r="I364" s="215" t="str">
        <x:v>Hand lens</x:v>
      </x:c>
      <x:c r="J364" s="215" t="str">
        <x:v>Flowering through fruiting</x:v>
      </x:c>
      <x:c r="K364" s="215" t="str">
        <x:v>The sepals usually remain around the developing fruit.</x:v>
      </x:c>
      <x:c r="L364" s="215" t="str">
        <x:v>Some groups have separate sepals and others a cup or tube; the family cannot be keyed by fusion alone.</x:v>
      </x:c>
      <x:c r="M364" s="215" t="str">
        <x:v>Persistence supports identification and helps route subgroups.</x:v>
      </x:c>
      <x:c r="N364" s="215" t="str">
        <x:v>Especially useful on weathered Hays material carrying capsules or utricles.</x:v>
      </x:c>
      <x:c r="O364" s="215" t="str">
        <x:v>Low</x:v>
      </x:c>
      <x:c r="P364" s="215" t="str">
        <x:v>No</x:v>
      </x:c>
      <x:c r="Q364" s="215" t="str"/>
      <x:c r="R364" s="215" t="str">
        <x:v>CAR-LK02</x:v>
      </x:c>
      <x:c r="S364" s="215" t="str">
        <x:v>APWEB-CARY; FNA-CARY; POWO-CARY; LBJ-HAYS</x:v>
      </x:c>
      <x:c r="T364" s="215" t="str">
        <x:v>https://www.mobot.org/MOBOT/research/APweb/orders/caryophyllalesweb.htm</x:v>
      </x:c>
      <x:c r="U364" s="215" t="str">
        <x:v>https://floranorthamerica.org/Caryophyllaceae</x:v>
      </x:c>
      <x:c r="V364" s="215" t="str">
        <x:v>https://powo.science.kew.org/taxon/urn:lsid:ipni.org:names:30000815-2/general-information</x:v>
      </x:c>
      <x:c r="W364" s="215" t="str">
        <x:v>https://www.mobot.org/MOBOT/research/APweb/orders/caryophyllalesweb.htm
https://floranorthamerica.org/Caryophyllaceae
https://powo.science.kew.org/taxon/urn:lsid:ipni.org:names:30000815-2/general-information
https://www.wildflower.org/collections/collection.php?collection=hays</x:v>
      </x:c>
      <x:c r="X364" s="215" t="str">
        <x:v>No — retain qualifiers and exceptions</x:v>
      </x:c>
      <x:c r="Y364" s="215" t="str">
        <x:v>Yes</x:v>
      </x:c>
      <x:c r="Z364" s="215" t="str">
        <x:v>Source-backed draft</x:v>
      </x:c>
      <x:c r="AA364" s="215" t="str">
        <x:v>Family pattern</x:v>
      </x:c>
      <x:c r="AB364" s="215" t="str">
        <x:v>Positive diagnostic</x:v>
      </x:c>
      <x:c r="AC364" s="215" t="str">
        <x:v>High</x:v>
      </x:c>
      <x:c r="AD364" s="215" t="str">
        <x:v>Hand lens / macro</x:v>
      </x:c>
      <x:c r="AE364" s="215" t="str">
        <x:v>Low</x:v>
      </x:c>
      <x:c r="AF364" s="215" t="str">
        <x:v>Field-ready draft</x:v>
      </x:c>
      <x:c r="AG364" s="215" t="str">
        <x:v>3 — Reference support</x:v>
      </x:c>
      <x:c r="AH364" s="215" t="str">
        <x:v>Current master inventory</x:v>
      </x:c>
    </x:row>
    <x:row r="365" ht="42" customHeight="1">
      <x:c r="A365" s="215" t="str">
        <x:v>Caryophyllaceae</x:v>
      </x:c>
      <x:c r="B365" s="215" t="str">
        <x:v>CAR-PETALS</x:v>
      </x:c>
      <x:c r="C365" s="215" t="str">
        <x:v>Family-wide, variable</x:v>
      </x:c>
      <x:c r="D365" s="215" t="str">
        <x:v>Corolla</x:v>
      </x:c>
      <x:c r="E365" s="215" t="str">
        <x:v>Petals often clawed or notched, but sometimes absent</x:v>
      </x:c>
      <x:c r="F365" s="215" t="str">
        <x:v>Supporting</x:v>
      </x:c>
      <x:c r="G365" s="215" t="str">
        <x:v>3</x:v>
      </x:c>
      <x:c r="H365" s="215" t="str">
        <x:v>Moderate</x:v>
      </x:c>
      <x:c r="I365" s="215" t="str">
        <x:v>Naked eye or hand lens</x:v>
      </x:c>
      <x:c r="J365" s="215" t="str">
        <x:v>Fresh flowers</x:v>
      </x:c>
      <x:c r="K365" s="215" t="str">
        <x:v>Many members have a narrow petal base and a notched or divided blade.</x:v>
      </x:c>
      <x:c r="L365" s="215" t="str">
        <x:v>Petals may be entire, fugacious, rudimentary, or absent; some appendages have disputed interpretation.</x:v>
      </x:c>
      <x:c r="M365" s="215" t="str">
        <x:v>Use as a positive clue, not an exclusion rule.</x:v>
      </x:c>
      <x:c r="N365" s="215" t="str">
        <x:v>Helpful in Silene- and chickweed-like plants; unreliable in Paronychia-like plants.</x:v>
      </x:c>
      <x:c r="O365" s="215" t="str">
        <x:v>Medium</x:v>
      </x:c>
      <x:c r="P365" s="215" t="str">
        <x:v>No</x:v>
      </x:c>
      <x:c r="Q365" s="215" t="str"/>
      <x:c r="R365" s="215" t="str">
        <x:v>CAR-LK02</x:v>
      </x:c>
      <x:c r="S365" s="215" t="str">
        <x:v>APWEB-CARY; FNA-CARY; POWO-CARY; LBJ-HAYS</x:v>
      </x:c>
      <x:c r="T365" s="215" t="str">
        <x:v>https://www.mobot.org/MOBOT/research/APweb/orders/caryophyllalesweb.htm</x:v>
      </x:c>
      <x:c r="U365" s="215" t="str">
        <x:v>https://floranorthamerica.org/Caryophyllaceae</x:v>
      </x:c>
      <x:c r="V365" s="215" t="str">
        <x:v>https://powo.science.kew.org/taxon/urn:lsid:ipni.org:names:30000815-2/general-information</x:v>
      </x:c>
      <x:c r="W365" s="215" t="str">
        <x:v>https://www.mobot.org/MOBOT/research/APweb/orders/caryophyllalesweb.htm
https://floranorthamerica.org/Caryophyllaceae
https://powo.science.kew.org/taxon/urn:lsid:ipni.org:names:30000815-2/general-information
https://www.wildflower.org/collections/collection.php?collection=hays</x:v>
      </x:c>
      <x:c r="X365" s="215" t="str">
        <x:v>No — retain qualifiers and exceptions</x:v>
      </x:c>
      <x:c r="Y365" s="215" t="str">
        <x:v>Yes</x:v>
      </x:c>
      <x:c r="Z365" s="215" t="str">
        <x:v>Source-backed draft</x:v>
      </x:c>
      <x:c r="AA365" s="215" t="str">
        <x:v>Family pattern</x:v>
      </x:c>
      <x:c r="AB365" s="215" t="str">
        <x:v>Supporting / route</x:v>
      </x:c>
      <x:c r="AC365" s="215" t="str">
        <x:v>Moderate</x:v>
      </x:c>
      <x:c r="AD365" s="215" t="str">
        <x:v>Hand lens / macro</x:v>
      </x:c>
      <x:c r="AE365" s="215" t="str">
        <x:v>Moderate</x:v>
      </x:c>
      <x:c r="AF365" s="215" t="str">
        <x:v>Field-ready draft</x:v>
      </x:c>
      <x:c r="AG365" s="215" t="str">
        <x:v>3 — Reference support</x:v>
      </x:c>
      <x:c r="AH365" s="215" t="str">
        <x:v>Current master inventory</x:v>
      </x:c>
    </x:row>
    <x:row r="366" ht="42" customHeight="1">
      <x:c r="A366" s="215" t="str">
        <x:v>Caryophyllaceae</x:v>
      </x:c>
      <x:c r="B366" s="215" t="str">
        <x:v>CAR-OVARY</x:v>
      </x:c>
      <x:c r="C366" s="215" t="str">
        <x:v>Family-wide, predominant</x:v>
      </x:c>
      <x:c r="D366" s="215" t="str">
        <x:v>Gynoecium</x:v>
      </x:c>
      <x:c r="E366" s="215" t="str">
        <x:v>Ovary superior, commonly one-locular with free-central or basal placentation</x:v>
      </x:c>
      <x:c r="F366" s="215" t="str">
        <x:v>Core</x:v>
      </x:c>
      <x:c r="G366" s="215" t="str">
        <x:v>5</x:v>
      </x:c>
      <x:c r="H366" s="215" t="str">
        <x:v>High</x:v>
      </x:c>
      <x:c r="I366" s="215" t="str">
        <x:v>Hand lens or dissection</x:v>
      </x:c>
      <x:c r="J366" s="215" t="str">
        <x:v>Flowering or young fruit</x:v>
      </x:c>
      <x:c r="K366" s="215" t="str">
        <x:v>Ovules usually attach to a central column or the base rather than to a full partition.</x:v>
      </x:c>
      <x:c r="L366" s="215" t="str">
        <x:v>Some ovaries are partly divided or 3–5-locular proximally; placentation often needs dissection.</x:v>
      </x:c>
      <x:c r="M366" s="215" t="str">
        <x:v>A strong confirmation when paired with persistent sepals and capsule or utricle fruit.</x:v>
      </x:c>
      <x:c r="N366" s="215" t="str">
        <x:v>Useful when small local flowers make superficial identification uncertain.</x:v>
      </x:c>
      <x:c r="O366" s="215" t="str">
        <x:v>Low</x:v>
      </x:c>
      <x:c r="P366" s="215" t="str">
        <x:v>No</x:v>
      </x:c>
      <x:c r="Q366" s="215" t="str"/>
      <x:c r="R366" s="215" t="str">
        <x:v>CAR-LK02</x:v>
      </x:c>
      <x:c r="S366" s="215" t="str">
        <x:v>APWEB-CARY; FNA-CARY; POWO-CARY; LBJ-HAYS</x:v>
      </x:c>
      <x:c r="T366" s="215" t="str">
        <x:v>https://www.mobot.org/MOBOT/research/APweb/orders/caryophyllalesweb.htm</x:v>
      </x:c>
      <x:c r="U366" s="215" t="str">
        <x:v>https://floranorthamerica.org/Caryophyllaceae</x:v>
      </x:c>
      <x:c r="V366" s="215" t="str">
        <x:v>https://powo.science.kew.org/taxon/urn:lsid:ipni.org:names:30000815-2/general-information</x:v>
      </x:c>
      <x:c r="W366" s="215" t="str">
        <x:v>https://www.mobot.org/MOBOT/research/APweb/orders/caryophyllalesweb.htm
https://floranorthamerica.org/Caryophyllaceae
https://powo.science.kew.org/taxon/urn:lsid:ipni.org:names:30000815-2/general-information
https://www.wildflower.org/collections/collection.php?collection=hays</x:v>
      </x:c>
      <x:c r="X366" s="215" t="str">
        <x:v>No — retain qualifiers and exceptions</x:v>
      </x:c>
      <x:c r="Y366" s="215" t="str">
        <x:v>Yes</x:v>
      </x:c>
      <x:c r="Z366" s="215" t="str">
        <x:v>Source-backed draft</x:v>
      </x:c>
      <x:c r="AA366" s="215" t="str">
        <x:v>Family pattern</x:v>
      </x:c>
      <x:c r="AB366" s="215" t="str">
        <x:v>Positive diagnostic</x:v>
      </x:c>
      <x:c r="AC366" s="215" t="str">
        <x:v>High</x:v>
      </x:c>
      <x:c r="AD366" s="215" t="str">
        <x:v>Dissection</x:v>
      </x:c>
      <x:c r="AE366" s="215" t="str">
        <x:v>Low</x:v>
      </x:c>
      <x:c r="AF366" s="215" t="str">
        <x:v>Dissection / close study</x:v>
      </x:c>
      <x:c r="AG366" s="215" t="str">
        <x:v>3 — Reference support</x:v>
      </x:c>
      <x:c r="AH366" s="215" t="str">
        <x:v>Current master inventory</x:v>
      </x:c>
    </x:row>
    <x:row r="367" ht="42" customHeight="1">
      <x:c r="A367" s="215" t="str">
        <x:v>Caryophyllaceae</x:v>
      </x:c>
      <x:c r="B367" s="215" t="str">
        <x:v>CAR-STYLES</x:v>
      </x:c>
      <x:c r="C367" s="215" t="str">
        <x:v>Family-wide, variable</x:v>
      </x:c>
      <x:c r="D367" s="215" t="str">
        <x:v>Gynoecium</x:v>
      </x:c>
      <x:c r="E367" s="215" t="str">
        <x:v>Usually 2–5 styles or stigmas</x:v>
      </x:c>
      <x:c r="F367" s="215" t="str">
        <x:v>Supporting</x:v>
      </x:c>
      <x:c r="G367" s="215" t="str">
        <x:v>3</x:v>
      </x:c>
      <x:c r="H367" s="215" t="str">
        <x:v>Moderate</x:v>
      </x:c>
      <x:c r="I367" s="215" t="str">
        <x:v>Hand lens</x:v>
      </x:c>
      <x:c r="J367" s="215" t="str">
        <x:v>Fresh flowers</x:v>
      </x:c>
      <x:c r="K367" s="215" t="str">
        <x:v>The ovary commonly ends in several style or stigma branches.</x:v>
      </x:c>
      <x:c r="L367" s="215" t="str">
        <x:v>The family ranges from one to six styles or stigmas and staminate flowers lack them.</x:v>
      </x:c>
      <x:c r="M367" s="215" t="str">
        <x:v>Count only intact receptive flowers and use with fruit-opening pattern.</x:v>
      </x:c>
      <x:c r="N367" s="215" t="str">
        <x:v>Can separate local pink-family routes from superficially similar herbs.</x:v>
      </x:c>
      <x:c r="O367" s="215" t="str">
        <x:v>Low</x:v>
      </x:c>
      <x:c r="P367" s="215" t="str">
        <x:v>No</x:v>
      </x:c>
      <x:c r="Q367" s="215" t="str"/>
      <x:c r="R367" s="215" t="str">
        <x:v>CAR-LK02</x:v>
      </x:c>
      <x:c r="S367" s="215" t="str">
        <x:v>APWEB-CARY; FNA-CARY; POWO-CARY; LBJ-HAYS</x:v>
      </x:c>
      <x:c r="T367" s="215" t="str">
        <x:v>https://www.mobot.org/MOBOT/research/APweb/orders/caryophyllalesweb.htm</x:v>
      </x:c>
      <x:c r="U367" s="215" t="str">
        <x:v>https://floranorthamerica.org/Caryophyllaceae</x:v>
      </x:c>
      <x:c r="V367" s="215" t="str">
        <x:v>https://powo.science.kew.org/taxon/urn:lsid:ipni.org:names:30000815-2/general-information</x:v>
      </x:c>
      <x:c r="W367" s="215" t="str">
        <x:v>https://www.mobot.org/MOBOT/research/APweb/orders/caryophyllalesweb.htm
https://floranorthamerica.org/Caryophyllaceae
https://powo.science.kew.org/taxon/urn:lsid:ipni.org:names:30000815-2/general-information
https://www.wildflower.org/collections/collection.php?collection=hays</x:v>
      </x:c>
      <x:c r="X367" s="215" t="str">
        <x:v>No — retain qualifiers and exceptions</x:v>
      </x:c>
      <x:c r="Y367" s="215" t="str">
        <x:v>Yes</x:v>
      </x:c>
      <x:c r="Z367" s="215" t="str">
        <x:v>Source-backed draft</x:v>
      </x:c>
      <x:c r="AA367" s="215" t="str">
        <x:v>Family pattern</x:v>
      </x:c>
      <x:c r="AB367" s="215" t="str">
        <x:v>Supporting / route</x:v>
      </x:c>
      <x:c r="AC367" s="215" t="str">
        <x:v>Moderate</x:v>
      </x:c>
      <x:c r="AD367" s="215" t="str">
        <x:v>Hand lens / macro</x:v>
      </x:c>
      <x:c r="AE367" s="215" t="str">
        <x:v>Low</x:v>
      </x:c>
      <x:c r="AF367" s="215" t="str">
        <x:v>Field-ready draft</x:v>
      </x:c>
      <x:c r="AG367" s="215" t="str">
        <x:v>3 — Reference support</x:v>
      </x:c>
      <x:c r="AH367" s="215" t="str">
        <x:v>Current master inventory</x:v>
      </x:c>
    </x:row>
    <x:row r="368" ht="42" customHeight="1">
      <x:c r="A368" s="215" t="str">
        <x:v>Caryophyllaceae</x:v>
      </x:c>
      <x:c r="B368" s="215" t="str">
        <x:v>CAR-FRUIT</x:v>
      </x:c>
      <x:c r="C368" s="215" t="str">
        <x:v>Family-wide</x:v>
      </x:c>
      <x:c r="D368" s="215" t="str">
        <x:v>Fruit</x:v>
      </x:c>
      <x:c r="E368" s="215" t="str">
        <x:v>Fruit usually a capsule or an indehiscent utricle</x:v>
      </x:c>
      <x:c r="F368" s="215" t="str">
        <x:v>Core</x:v>
      </x:c>
      <x:c r="G368" s="215" t="str">
        <x:v>5</x:v>
      </x:c>
      <x:c r="H368" s="215" t="str">
        <x:v>High</x:v>
      </x:c>
      <x:c r="I368" s="215" t="str">
        <x:v>Naked eye or hand lens</x:v>
      </x:c>
      <x:c r="J368" s="215" t="str">
        <x:v>Mature fruit</x:v>
      </x:c>
      <x:c r="K368" s="215" t="str">
        <x:v>Mature fruits either open by valves or teeth or remain as a small one-seeded utricle.</x:v>
      </x:c>
      <x:c r="L368" s="215" t="str">
        <x:v>Fruit type varies by subgroup and immature fruit may conceal the opening mechanism.</x:v>
      </x:c>
      <x:c r="M368" s="215" t="str">
        <x:v>One of the best late-season confirmations; link it to placentation and sepal persistence.</x:v>
      </x:c>
      <x:c r="N368" s="215" t="str">
        <x:v>High-value evidence for local Paronychia versus capsule-bearing routes.</x:v>
      </x:c>
      <x:c r="O368" s="215" t="str">
        <x:v>Low</x:v>
      </x:c>
      <x:c r="P368" s="215" t="str">
        <x:v>No</x:v>
      </x:c>
      <x:c r="Q368" s="215" t="str"/>
      <x:c r="R368" s="215" t="str">
        <x:v>CAR-LK02</x:v>
      </x:c>
      <x:c r="S368" s="215" t="str">
        <x:v>APWEB-CARY; FNA-CARY; POWO-CARY; LBJ-HAYS</x:v>
      </x:c>
      <x:c r="T368" s="215" t="str">
        <x:v>https://www.mobot.org/MOBOT/research/APweb/orders/caryophyllalesweb.htm</x:v>
      </x:c>
      <x:c r="U368" s="215" t="str">
        <x:v>https://floranorthamerica.org/Caryophyllaceae</x:v>
      </x:c>
      <x:c r="V368" s="215" t="str">
        <x:v>https://powo.science.kew.org/taxon/urn:lsid:ipni.org:names:30000815-2/general-information</x:v>
      </x:c>
      <x:c r="W368" s="215" t="str">
        <x:v>https://www.mobot.org/MOBOT/research/APweb/orders/caryophyllalesweb.htm
https://floranorthamerica.org/Caryophyllaceae
https://powo.science.kew.org/taxon/urn:lsid:ipni.org:names:30000815-2/general-information
https://www.wildflower.org/collections/collection.php?collection=hays</x:v>
      </x:c>
      <x:c r="X368" s="215" t="str">
        <x:v>No — retain qualifiers and exceptions</x:v>
      </x:c>
      <x:c r="Y368" s="215" t="str">
        <x:v>Yes</x:v>
      </x:c>
      <x:c r="Z368" s="215" t="str">
        <x:v>Source-backed draft</x:v>
      </x:c>
      <x:c r="AA368" s="215" t="str">
        <x:v>Family pattern</x:v>
      </x:c>
      <x:c r="AB368" s="215" t="str">
        <x:v>Positive diagnostic</x:v>
      </x:c>
      <x:c r="AC368" s="215" t="str">
        <x:v>High</x:v>
      </x:c>
      <x:c r="AD368" s="215" t="str">
        <x:v>Hand lens / macro</x:v>
      </x:c>
      <x:c r="AE368" s="215" t="str">
        <x:v>Low</x:v>
      </x:c>
      <x:c r="AF368" s="215" t="str">
        <x:v>Field-ready draft</x:v>
      </x:c>
      <x:c r="AG368" s="215" t="str">
        <x:v>2 — Field-photo priority</x:v>
      </x:c>
      <x:c r="AH368" s="215" t="str">
        <x:v>Current master inventory</x:v>
      </x:c>
    </x:row>
    <x:row r="369" ht="42" customHeight="1">
      <x:c r="A369" s="215" t="str">
        <x:v>Caryophyllaceae</x:v>
      </x:c>
      <x:c r="B369" s="215" t="str">
        <x:v>CAR-LK01</x:v>
      </x:c>
      <x:c r="C369" s="215" t="str">
        <x:v>Lookalike comparison</x:v>
      </x:c>
      <x:c r="D369" s="215" t="str">
        <x:v>Lookalike</x:v>
      </x:c>
      <x:c r="E369" s="215" t="str">
        <x:v>Versus Rubiaceae/Galium: Caryophyllaceae lacks interpetiolar stipules and usually has a superior ovary</x:v>
      </x:c>
      <x:c r="F369" s="215" t="str">
        <x:v>Lookalike</x:v>
      </x:c>
      <x:c r="G369" s="215" t="str">
        <x:v>4</x:v>
      </x:c>
      <x:c r="H369" s="215" t="str">
        <x:v>High</x:v>
      </x:c>
      <x:c r="I369" s="215" t="str">
        <x:v>Hand lens</x:v>
      </x:c>
      <x:c r="J369" s="215" t="str">
        <x:v>Flowering</x:v>
      </x:c>
      <x:c r="K369" s="215" t="str">
        <x:v>Opposite-leaved bedstraw-like plants can look similar, but Rubiaceae commonly shows stipules between leaf bases and an inferior ovary.</x:v>
      </x:c>
      <x:c r="L369" s="215" t="str">
        <x:v>Scarious stipules occur in some Caryophyllaceae and Galium leaves can appear whorled because stipules resemble leaves.</x:v>
      </x:c>
      <x:c r="M369" s="215" t="str">
        <x:v>Inspect the node and ovary position together; do not use apparent leaf whorls alone.</x:v>
      </x:c>
      <x:c r="N369" s="215" t="str">
        <x:v>Rubiaceae already has first-pass coverage, so this comparison is merge-linked.</x:v>
      </x:c>
      <x:c r="O369" s="215" t="str">
        <x:v>Low</x:v>
      </x:c>
      <x:c r="P369" s="215" t="str">
        <x:v>No</x:v>
      </x:c>
      <x:c r="Q369" s="215" t="str"/>
      <x:c r="R369" s="215" t="str">
        <x:v>CAR-LEAVES; CAR-OVARY</x:v>
      </x:c>
      <x:c r="S369" s="215" t="str">
        <x:v>APWEB-CARY; FNA-CARY; POWO-CARY; LBJ-HAYS</x:v>
      </x:c>
      <x:c r="T369" s="215" t="str">
        <x:v>https://www.mobot.org/MOBOT/research/APweb/orders/caryophyllalesweb.htm</x:v>
      </x:c>
      <x:c r="U369" s="215" t="str">
        <x:v>https://floranorthamerica.org/Caryophyllaceae</x:v>
      </x:c>
      <x:c r="V369" s="215" t="str">
        <x:v>https://powo.science.kew.org/taxon/urn:lsid:ipni.org:names:30000815-2/general-information</x:v>
      </x:c>
      <x:c r="W369" s="215" t="str">
        <x:v>https://www.mobot.org/MOBOT/research/APweb/orders/caryophyllalesweb.htm
https://floranorthamerica.org/Caryophyllaceae
https://powo.science.kew.org/taxon/urn:lsid:ipni.org:names:30000815-2/general-information
https://www.wildflower.org/collections/collection.php?collection=hays</x:v>
      </x:c>
      <x:c r="X369" s="215" t="str">
        <x:v>No — retain qualifiers and exceptions</x:v>
      </x:c>
      <x:c r="Y369" s="215" t="str">
        <x:v>Yes</x:v>
      </x:c>
      <x:c r="Z369" s="215" t="str">
        <x:v>Source-backed draft</x:v>
      </x:c>
      <x:c r="AA369" s="215" t="str">
        <x:v>Lookalike comparison</x:v>
      </x:c>
      <x:c r="AB369" s="215" t="str">
        <x:v>Contrast / lookalike</x:v>
      </x:c>
      <x:c r="AC369" s="215" t="str">
        <x:v>High</x:v>
      </x:c>
      <x:c r="AD369" s="215" t="str">
        <x:v>Hand lens / macro</x:v>
      </x:c>
      <x:c r="AE369" s="215" t="str">
        <x:v>Low</x:v>
      </x:c>
      <x:c r="AF369" s="215" t="str">
        <x:v>Field-ready draft</x:v>
      </x:c>
      <x:c r="AG369" s="215" t="str">
        <x:v>2 — Field-photo priority</x:v>
      </x:c>
      <x:c r="AH369" s="215" t="str">
        <x:v>Current master inventory</x:v>
      </x:c>
    </x:row>
    <x:row r="370" ht="42" customHeight="1">
      <x:c r="A370" s="215" t="str">
        <x:v>Caryophyllaceae</x:v>
      </x:c>
      <x:c r="B370" s="215" t="str">
        <x:v>CAR-LK02</x:v>
      </x:c>
      <x:c r="C370" s="215" t="str">
        <x:v>Lookalike comparison</x:v>
      </x:c>
      <x:c r="D370" s="215" t="str">
        <x:v>Lookalike</x:v>
      </x:c>
      <x:c r="E370" s="215" t="str">
        <x:v>Versus Amaranthaceae/Polygonaceae: opposite entire leaves plus persistent 4–5-merous calyx and capsule/utricle suite</x:v>
      </x:c>
      <x:c r="F370" s="215" t="str">
        <x:v>Lookalike</x:v>
      </x:c>
      <x:c r="G370" s="215" t="str">
        <x:v>3</x:v>
      </x:c>
      <x:c r="H370" s="215" t="str">
        <x:v>Moderate</x:v>
      </x:c>
      <x:c r="I370" s="215" t="str">
        <x:v>Hand lens</x:v>
      </x:c>
      <x:c r="J370" s="215" t="str">
        <x:v>Flowering or fruiting</x:v>
      </x:c>
      <x:c r="K370" s="215" t="str">
        <x:v>Pink-family herbs are separated by the full floral and fruit suite rather than leaf shape alone.</x:v>
      </x:c>
      <x:c r="L370" s="215" t="str">
        <x:v>Caryophyllales families overlap strongly; reduced flowers or absent petals make the comparison difficult.</x:v>
      </x:c>
      <x:c r="M370" s="215" t="str">
        <x:v>Prioritize ovary, placentation, and fruit; retain uncertainty on sterile material.</x:v>
      </x:c>
      <x:c r="N370" s="215" t="str">
        <x:v>Both comparison families already have first-pass coverage in the master.</x:v>
      </x:c>
      <x:c r="O370" s="215" t="str">
        <x:v>Medium</x:v>
      </x:c>
      <x:c r="P370" s="215" t="str">
        <x:v>No</x:v>
      </x:c>
      <x:c r="Q370" s="215" t="str"/>
      <x:c r="R370" s="215" t="str">
        <x:v>CAR-FLOWER; CAR-OVARY; CAR-FRUIT</x:v>
      </x:c>
      <x:c r="S370" s="215" t="str">
        <x:v>APWEB-CARY; FNA-CARY; POWO-CARY; LBJ-HAYS</x:v>
      </x:c>
      <x:c r="T370" s="215" t="str">
        <x:v>https://www.mobot.org/MOBOT/research/APweb/orders/caryophyllalesweb.htm</x:v>
      </x:c>
      <x:c r="U370" s="215" t="str">
        <x:v>https://floranorthamerica.org/Caryophyllaceae</x:v>
      </x:c>
      <x:c r="V370" s="215" t="str">
        <x:v>https://powo.science.kew.org/taxon/urn:lsid:ipni.org:names:30000815-2/general-information</x:v>
      </x:c>
      <x:c r="W370" s="215" t="str">
        <x:v>https://www.mobot.org/MOBOT/research/APweb/orders/caryophyllalesweb.htm
https://floranorthamerica.org/Caryophyllaceae
https://powo.science.kew.org/taxon/urn:lsid:ipni.org:names:30000815-2/general-information
https://www.wildflower.org/collections/collection.php?collection=hays</x:v>
      </x:c>
      <x:c r="X370" s="215" t="str">
        <x:v>No — retain qualifiers and exceptions</x:v>
      </x:c>
      <x:c r="Y370" s="215" t="str">
        <x:v>Yes</x:v>
      </x:c>
      <x:c r="Z370" s="215" t="str">
        <x:v>Source-backed draft</x:v>
      </x:c>
      <x:c r="AA370" s="215" t="str">
        <x:v>Lookalike comparison</x:v>
      </x:c>
      <x:c r="AB370" s="215" t="str">
        <x:v>Contrast / lookalike</x:v>
      </x:c>
      <x:c r="AC370" s="215" t="str">
        <x:v>Moderate</x:v>
      </x:c>
      <x:c r="AD370" s="215" t="str">
        <x:v>Hand lens / macro</x:v>
      </x:c>
      <x:c r="AE370" s="215" t="str">
        <x:v>Moderate</x:v>
      </x:c>
      <x:c r="AF370" s="215" t="str">
        <x:v>Field-ready draft</x:v>
      </x:c>
      <x:c r="AG370" s="215" t="str">
        <x:v>3 — Reference support</x:v>
      </x:c>
      <x:c r="AH370" s="215" t="str">
        <x:v>Current master inventory</x:v>
      </x:c>
    </x:row>
    <x:row r="371" ht="42" customHeight="1">
      <x:c r="A371" s="215" t="str">
        <x:v>Anacardiaceae</x:v>
      </x:c>
      <x:c r="B371" s="215" t="str">
        <x:v>ANA-HABIT</x:v>
      </x:c>
      <x:c r="C371" s="215" t="str">
        <x:v>Family-wide, predominant</x:v>
      </x:c>
      <x:c r="D371" s="215" t="str">
        <x:v>Habit</x:v>
      </x:c>
      <x:c r="E371" s="215" t="str">
        <x:v>Trees or shrubs, rarely other habits</x:v>
      </x:c>
      <x:c r="F371" s="215" t="str">
        <x:v>Supporting</x:v>
      </x:c>
      <x:c r="G371" s="215" t="str">
        <x:v>2</x:v>
      </x:c>
      <x:c r="H371" s="215" t="str">
        <x:v>High</x:v>
      </x:c>
      <x:c r="I371" s="215" t="str">
        <x:v>Naked eye</x:v>
      </x:c>
      <x:c r="J371" s="215" t="str">
        <x:v>Any season</x:v>
      </x:c>
      <x:c r="K371" s="215" t="str">
        <x:v>Local members are woody plants.</x:v>
      </x:c>
      <x:c r="L371" s="215" t="str">
        <x:v>The global family occasionally includes herbs or lianas.</x:v>
      </x:c>
      <x:c r="M371" s="215" t="str">
        <x:v>Use as a screen before checking sap, leaves, flowers, and fruit.</x:v>
      </x:c>
      <x:c r="N371" s="215" t="str">
        <x:v>Strongly relevant to sumac- and poison-ivy-type Hays routes.</x:v>
      </x:c>
      <x:c r="O371" s="215" t="str">
        <x:v>Low</x:v>
      </x:c>
      <x:c r="P371" s="215" t="str">
        <x:v>No</x:v>
      </x:c>
      <x:c r="Q371" s="215" t="str"/>
      <x:c r="R371" s="215" t="str">
        <x:v>ANA-LK01; ANA-LK02</x:v>
      </x:c>
      <x:c r="S371" s="215" t="str">
        <x:v>APWEB-ANAC; POWO-ANAC; LBJ-HAYS</x:v>
      </x:c>
      <x:c r="T371" s="215" t="str">
        <x:v>https://www.mobot.org/MOBOT/research/APweb/orders/sapindalesweb.htm</x:v>
      </x:c>
      <x:c r="U371" s="215" t="str">
        <x:v>https://powo.science.kew.org/taxon/urn:lsid:ipni.org:names:30002342-2/general-information</x:v>
      </x:c>
      <x:c r="V371" s="215" t="str">
        <x:v>https://powo.science.kew.org/taxon/urn:lsid:ipni.org:names:30002342-2</x:v>
      </x:c>
      <x:c r="W371" s="215" t="str">
        <x:v>https://www.mobot.org/MOBOT/research/APweb/orders/sapindalesweb.htm
https://powo.science.kew.org/taxon/urn:lsid:ipni.org:names:30002342-2/general-information
https://powo.science.kew.org/taxon/urn:lsid:ipni.org:names:30002342-2
https://www.wildflower.org/collections/collection.php?collection=hays</x:v>
      </x:c>
      <x:c r="X371" s="215" t="str">
        <x:v>No — retain qualifiers and exceptions</x:v>
      </x:c>
      <x:c r="Y371" s="215" t="str">
        <x:v>Yes</x:v>
      </x:c>
      <x:c r="Z371" s="215" t="str">
        <x:v>Source-backed draft</x:v>
      </x:c>
      <x:c r="AA371" s="215" t="str">
        <x:v>Family pattern</x:v>
      </x:c>
      <x:c r="AB371" s="215" t="str">
        <x:v>Supporting / route</x:v>
      </x:c>
      <x:c r="AC371" s="215" t="str">
        <x:v>High</x:v>
      </x:c>
      <x:c r="AD371" s="215" t="str">
        <x:v>Naked eye / field</x:v>
      </x:c>
      <x:c r="AE371" s="215" t="str">
        <x:v>Low</x:v>
      </x:c>
      <x:c r="AF371" s="215" t="str">
        <x:v>Field-ready draft</x:v>
      </x:c>
      <x:c r="AG371" s="215" t="str">
        <x:v>4 — Context / caution</x:v>
      </x:c>
      <x:c r="AH371" s="215" t="str">
        <x:v>Current master inventory</x:v>
      </x:c>
    </x:row>
    <x:row r="372" ht="42" customHeight="1">
      <x:c r="A372" s="215" t="str">
        <x:v>Anacardiaceae</x:v>
      </x:c>
      <x:c r="B372" s="215" t="str">
        <x:v>ANA-RESIN</x:v>
      </x:c>
      <x:c r="C372" s="215" t="str">
        <x:v>Family-wide, common</x:v>
      </x:c>
      <x:c r="D372" s="215" t="str">
        <x:v>Sap</x:v>
      </x:c>
      <x:c r="E372" s="215" t="str">
        <x:v>Secretory resin canals; sap often clear to milky and drying dark</x:v>
      </x:c>
      <x:c r="F372" s="215" t="str">
        <x:v>Core</x:v>
      </x:c>
      <x:c r="G372" s="215" t="str">
        <x:v>5</x:v>
      </x:c>
      <x:c r="H372" s="215" t="str">
        <x:v>High when safely observed</x:v>
      </x:c>
      <x:c r="I372" s="215" t="str">
        <x:v>Naked eye and odor; avoid skin contact</x:v>
      </x:c>
      <x:c r="J372" s="215" t="str">
        <x:v>Fresh twig, leaf, or bark damage</x:v>
      </x:c>
      <x:c r="K372" s="215" t="str">
        <x:v>Fresh damage may release resinous sap that darkens brown or black.</x:v>
      </x:c>
      <x:c r="L372" s="215" t="str">
        <x:v>Color and amount vary; some exudates cause severe dermatitis, so destructive testing is unsafe and not required.</x:v>
      </x:c>
      <x:c r="M372" s="215" t="str">
        <x:v>Use existing breaks or naturally exuded sap only; combine with stipule-free leaves and drupaceous fruit.</x:v>
      </x:c>
      <x:c r="N372" s="215" t="str">
        <x:v>Highly informative for Rhus and Toxicodendron-type material in Hays County.</x:v>
      </x:c>
      <x:c r="O372" s="215" t="str">
        <x:v>Low</x:v>
      </x:c>
      <x:c r="P372" s="215" t="str">
        <x:v>No</x:v>
      </x:c>
      <x:c r="Q372" s="215" t="str"/>
      <x:c r="R372" s="215" t="str">
        <x:v>ANA-LK01; ANA-LK02</x:v>
      </x:c>
      <x:c r="S372" s="215" t="str">
        <x:v>APWEB-ANAC; POWO-ANAC; LBJ-HAYS</x:v>
      </x:c>
      <x:c r="T372" s="215" t="str">
        <x:v>https://www.mobot.org/MOBOT/research/APweb/orders/sapindalesweb.htm</x:v>
      </x:c>
      <x:c r="U372" s="215" t="str">
        <x:v>https://powo.science.kew.org/taxon/urn:lsid:ipni.org:names:30002342-2/general-information</x:v>
      </x:c>
      <x:c r="V372" s="215" t="str">
        <x:v>https://powo.science.kew.org/taxon/urn:lsid:ipni.org:names:30002342-2</x:v>
      </x:c>
      <x:c r="W372" s="215" t="str">
        <x:v>https://www.mobot.org/MOBOT/research/APweb/orders/sapindalesweb.htm
https://powo.science.kew.org/taxon/urn:lsid:ipni.org:names:30002342-2/general-information
https://powo.science.kew.org/taxon/urn:lsid:ipni.org:names:30002342-2
https://www.wildflower.org/collections/collection.php?collection=hays</x:v>
      </x:c>
      <x:c r="X372" s="215" t="str">
        <x:v>No — retain qualifiers and exceptions</x:v>
      </x:c>
      <x:c r="Y372" s="215" t="str">
        <x:v>Yes</x:v>
      </x:c>
      <x:c r="Z372" s="215" t="str">
        <x:v>Source-backed draft</x:v>
      </x:c>
      <x:c r="AA372" s="215" t="str">
        <x:v>Family pattern</x:v>
      </x:c>
      <x:c r="AB372" s="215" t="str">
        <x:v>Positive diagnostic</x:v>
      </x:c>
      <x:c r="AC372" s="215" t="str">
        <x:v>High</x:v>
      </x:c>
      <x:c r="AD372" s="215" t="str">
        <x:v>Special handling</x:v>
      </x:c>
      <x:c r="AE372" s="215" t="str">
        <x:v>Low</x:v>
      </x:c>
      <x:c r="AF372" s="215" t="str">
        <x:v>Field-ready draft</x:v>
      </x:c>
      <x:c r="AG372" s="215" t="str">
        <x:v>3 — Reference support</x:v>
      </x:c>
      <x:c r="AH372" s="215" t="str">
        <x:v>Current master inventory</x:v>
      </x:c>
    </x:row>
    <x:row r="373" ht="42" customHeight="1">
      <x:c r="A373" s="215" t="str">
        <x:v>Anacardiaceae</x:v>
      </x:c>
      <x:c r="B373" s="215" t="str">
        <x:v>ANA-LEAVES</x:v>
      </x:c>
      <x:c r="C373" s="215" t="str">
        <x:v>Family-wide</x:v>
      </x:c>
      <x:c r="D373" s="215" t="str">
        <x:v>Leaf</x:v>
      </x:c>
      <x:c r="E373" s="215" t="str">
        <x:v>Leaves alternate or sometimes opposite, simple or compound; stipules absent</x:v>
      </x:c>
      <x:c r="F373" s="215" t="str">
        <x:v>Strong</x:v>
      </x:c>
      <x:c r="G373" s="215" t="str">
        <x:v>4</x:v>
      </x:c>
      <x:c r="H373" s="215" t="str">
        <x:v>High</x:v>
      </x:c>
      <x:c r="I373" s="215" t="str">
        <x:v>Naked eye</x:v>
      </x:c>
      <x:c r="J373" s="215" t="str">
        <x:v>Vegetative</x:v>
      </x:c>
      <x:c r="K373" s="215" t="str">
        <x:v>The family spans simple, trifoliolate, and pinnate leaves but normally lacks stipules.</x:v>
      </x:c>
      <x:c r="L373" s="215" t="str">
        <x:v>Arrangement and margins vary, so no single leaf form is diagnostic.</x:v>
      </x:c>
      <x:c r="M373" s="215" t="str">
        <x:v>Confirm with resin, small flowers, disc, and fruit rather than relying on leaflet count.</x:v>
      </x:c>
      <x:c r="N373" s="215" t="str">
        <x:v>Matches the broad range of local sumac and poison-ivy leaf forms.</x:v>
      </x:c>
      <x:c r="O373" s="215" t="str">
        <x:v>Low</x:v>
      </x:c>
      <x:c r="P373" s="215" t="str">
        <x:v>No</x:v>
      </x:c>
      <x:c r="Q373" s="215" t="str"/>
      <x:c r="R373" s="215" t="str">
        <x:v>ANA-LK01; ANA-LK02</x:v>
      </x:c>
      <x:c r="S373" s="215" t="str">
        <x:v>APWEB-ANAC; POWO-ANAC; LBJ-HAYS</x:v>
      </x:c>
      <x:c r="T373" s="215" t="str">
        <x:v>https://www.mobot.org/MOBOT/research/APweb/orders/sapindalesweb.htm</x:v>
      </x:c>
      <x:c r="U373" s="215" t="str">
        <x:v>https://powo.science.kew.org/taxon/urn:lsid:ipni.org:names:30002342-2/general-information</x:v>
      </x:c>
      <x:c r="V373" s="215" t="str">
        <x:v>https://powo.science.kew.org/taxon/urn:lsid:ipni.org:names:30002342-2</x:v>
      </x:c>
      <x:c r="W373" s="215" t="str">
        <x:v>https://www.mobot.org/MOBOT/research/APweb/orders/sapindalesweb.htm
https://powo.science.kew.org/taxon/urn:lsid:ipni.org:names:30002342-2/general-information
https://powo.science.kew.org/taxon/urn:lsid:ipni.org:names:30002342-2
https://www.wildflower.org/collections/collection.php?collection=hays</x:v>
      </x:c>
      <x:c r="X373" s="215" t="str">
        <x:v>No — retain qualifiers and exceptions</x:v>
      </x:c>
      <x:c r="Y373" s="215" t="str">
        <x:v>Yes</x:v>
      </x:c>
      <x:c r="Z373" s="215" t="str">
        <x:v>Source-backed draft</x:v>
      </x:c>
      <x:c r="AA373" s="215" t="str">
        <x:v>Family pattern</x:v>
      </x:c>
      <x:c r="AB373" s="215" t="str">
        <x:v>Positive diagnostic</x:v>
      </x:c>
      <x:c r="AC373" s="215" t="str">
        <x:v>High</x:v>
      </x:c>
      <x:c r="AD373" s="215" t="str">
        <x:v>Naked eye / field</x:v>
      </x:c>
      <x:c r="AE373" s="215" t="str">
        <x:v>Low</x:v>
      </x:c>
      <x:c r="AF373" s="215" t="str">
        <x:v>Field-ready draft</x:v>
      </x:c>
      <x:c r="AG373" s="215" t="str">
        <x:v>2 — Field-photo priority</x:v>
      </x:c>
      <x:c r="AH373" s="215" t="str">
        <x:v>Current master inventory</x:v>
      </x:c>
    </x:row>
    <x:row r="374" ht="42" customHeight="1">
      <x:c r="A374" s="215" t="str">
        <x:v>Anacardiaceae</x:v>
      </x:c>
      <x:c r="B374" s="215" t="str">
        <x:v>ANA-INFLO</x:v>
      </x:c>
      <x:c r="C374" s="215" t="str">
        <x:v>Family-wide, common</x:v>
      </x:c>
      <x:c r="D374" s="215" t="str">
        <x:v>Inflorescence</x:v>
      </x:c>
      <x:c r="E374" s="215" t="str">
        <x:v>Flowers commonly in terminal or axillary branched clusters</x:v>
      </x:c>
      <x:c r="F374" s="215" t="str">
        <x:v>Supporting</x:v>
      </x:c>
      <x:c r="G374" s="215" t="str">
        <x:v>2</x:v>
      </x:c>
      <x:c r="H374" s="215" t="str">
        <x:v>Moderate</x:v>
      </x:c>
      <x:c r="I374" s="215" t="str">
        <x:v>Naked eye</x:v>
      </x:c>
      <x:c r="J374" s="215" t="str">
        <x:v>Flowering</x:v>
      </x:c>
      <x:c r="K374" s="215" t="str">
        <x:v>Small flowers are often grouped in panicles, racemes, spikes, or thyrses.</x:v>
      </x:c>
      <x:c r="L374" s="215" t="str">
        <x:v>The exact cluster type varies and flowers are rarely solitary.</x:v>
      </x:c>
      <x:c r="M374" s="215" t="str">
        <x:v>Useful context with woody habit and resinous tissues.</x:v>
      </x:c>
      <x:c r="N374" s="215" t="str">
        <x:v>Visible on flowering sumacs and related local plants.</x:v>
      </x:c>
      <x:c r="O374" s="215" t="str">
        <x:v>Low</x:v>
      </x:c>
      <x:c r="P374" s="215" t="str">
        <x:v>No</x:v>
      </x:c>
      <x:c r="Q374" s="215" t="str"/>
      <x:c r="R374" s="215" t="str">
        <x:v>ANA-LK01</x:v>
      </x:c>
      <x:c r="S374" s="215" t="str">
        <x:v>APWEB-ANAC; POWO-ANAC; LBJ-HAYS</x:v>
      </x:c>
      <x:c r="T374" s="215" t="str">
        <x:v>https://www.mobot.org/MOBOT/research/APweb/orders/sapindalesweb.htm</x:v>
      </x:c>
      <x:c r="U374" s="215" t="str">
        <x:v>https://powo.science.kew.org/taxon/urn:lsid:ipni.org:names:30002342-2/general-information</x:v>
      </x:c>
      <x:c r="V374" s="215" t="str">
        <x:v>https://powo.science.kew.org/taxon/urn:lsid:ipni.org:names:30002342-2</x:v>
      </x:c>
      <x:c r="W374" s="215" t="str">
        <x:v>https://www.mobot.org/MOBOT/research/APweb/orders/sapindalesweb.htm
https://powo.science.kew.org/taxon/urn:lsid:ipni.org:names:30002342-2/general-information
https://powo.science.kew.org/taxon/urn:lsid:ipni.org:names:30002342-2
https://www.wildflower.org/collections/collection.php?collection=hays</x:v>
      </x:c>
      <x:c r="X374" s="215" t="str">
        <x:v>No — retain qualifiers and exceptions</x:v>
      </x:c>
      <x:c r="Y374" s="215" t="str">
        <x:v>Yes</x:v>
      </x:c>
      <x:c r="Z374" s="215" t="str">
        <x:v>Source-backed draft</x:v>
      </x:c>
      <x:c r="AA374" s="215" t="str">
        <x:v>Family pattern</x:v>
      </x:c>
      <x:c r="AB374" s="215" t="str">
        <x:v>Supporting / route</x:v>
      </x:c>
      <x:c r="AC374" s="215" t="str">
        <x:v>Moderate</x:v>
      </x:c>
      <x:c r="AD374" s="215" t="str">
        <x:v>Naked eye / field</x:v>
      </x:c>
      <x:c r="AE374" s="215" t="str">
        <x:v>Low</x:v>
      </x:c>
      <x:c r="AF374" s="215" t="str">
        <x:v>Field-ready draft</x:v>
      </x:c>
      <x:c r="AG374" s="215" t="str">
        <x:v>4 — Context / caution</x:v>
      </x:c>
      <x:c r="AH374" s="215" t="str">
        <x:v>Current master inventory</x:v>
      </x:c>
    </x:row>
    <x:row r="375" ht="42" customHeight="1">
      <x:c r="A375" s="215" t="str">
        <x:v>Anacardiaceae</x:v>
      </x:c>
      <x:c r="B375" s="215" t="str">
        <x:v>ANA-FLOWER</x:v>
      </x:c>
      <x:c r="C375" s="215" t="str">
        <x:v>Family-wide, predominant</x:v>
      </x:c>
      <x:c r="D375" s="215" t="str">
        <x:v>Flower</x:v>
      </x:c>
      <x:c r="E375" s="215" t="str">
        <x:v>Flowers small, usually 5-merous, bisexual or unisexual</x:v>
      </x:c>
      <x:c r="F375" s="215" t="str">
        <x:v>Strong</x:v>
      </x:c>
      <x:c r="G375" s="215" t="str">
        <x:v>3</x:v>
      </x:c>
      <x:c r="H375" s="215" t="str">
        <x:v>High</x:v>
      </x:c>
      <x:c r="I375" s="215" t="str">
        <x:v>Hand lens</x:v>
      </x:c>
      <x:c r="J375" s="215" t="str">
        <x:v>Fresh flowering material</x:v>
      </x:c>
      <x:c r="K375" s="215" t="str">
        <x:v>Flowers are commonly tiny with about five parts and may be functionally male or female.</x:v>
      </x:c>
      <x:c r="L375" s="215" t="str">
        <x:v>The family ranges from 3 to 7 parts, and sexuality varies among genera and plants.</x:v>
      </x:c>
      <x:c r="M375" s="215" t="str">
        <x:v>Pair with the floral disc and one-ovule locules; do not reject atypical merosity.</x:v>
      </x:c>
      <x:c r="N375" s="215" t="str">
        <x:v>Useful but requires a hand lens on Hays woody material.</x:v>
      </x:c>
      <x:c r="O375" s="215" t="str">
        <x:v>Low</x:v>
      </x:c>
      <x:c r="P375" s="215" t="str">
        <x:v>No</x:v>
      </x:c>
      <x:c r="Q375" s="215" t="str"/>
      <x:c r="R375" s="215" t="str">
        <x:v>ANA-LK01</x:v>
      </x:c>
      <x:c r="S375" s="215" t="str">
        <x:v>APWEB-ANAC; POWO-ANAC; LBJ-HAYS</x:v>
      </x:c>
      <x:c r="T375" s="215" t="str">
        <x:v>https://www.mobot.org/MOBOT/research/APweb/orders/sapindalesweb.htm</x:v>
      </x:c>
      <x:c r="U375" s="215" t="str">
        <x:v>https://powo.science.kew.org/taxon/urn:lsid:ipni.org:names:30002342-2/general-information</x:v>
      </x:c>
      <x:c r="V375" s="215" t="str">
        <x:v>https://powo.science.kew.org/taxon/urn:lsid:ipni.org:names:30002342-2</x:v>
      </x:c>
      <x:c r="W375" s="215" t="str">
        <x:v>https://www.mobot.org/MOBOT/research/APweb/orders/sapindalesweb.htm
https://powo.science.kew.org/taxon/urn:lsid:ipni.org:names:30002342-2/general-information
https://powo.science.kew.org/taxon/urn:lsid:ipni.org:names:30002342-2
https://www.wildflower.org/collections/collection.php?collection=hays</x:v>
      </x:c>
      <x:c r="X375" s="215" t="str">
        <x:v>No — retain qualifiers and exceptions</x:v>
      </x:c>
      <x:c r="Y375" s="215" t="str">
        <x:v>Yes</x:v>
      </x:c>
      <x:c r="Z375" s="215" t="str">
        <x:v>Source-backed draft</x:v>
      </x:c>
      <x:c r="AA375" s="215" t="str">
        <x:v>Family pattern</x:v>
      </x:c>
      <x:c r="AB375" s="215" t="str">
        <x:v>Positive diagnostic</x:v>
      </x:c>
      <x:c r="AC375" s="215" t="str">
        <x:v>High</x:v>
      </x:c>
      <x:c r="AD375" s="215" t="str">
        <x:v>Hand lens / macro</x:v>
      </x:c>
      <x:c r="AE375" s="215" t="str">
        <x:v>Low</x:v>
      </x:c>
      <x:c r="AF375" s="215" t="str">
        <x:v>Field-ready draft</x:v>
      </x:c>
      <x:c r="AG375" s="215" t="str">
        <x:v>3 — Reference support</x:v>
      </x:c>
      <x:c r="AH375" s="215" t="str">
        <x:v>Current master inventory</x:v>
      </x:c>
    </x:row>
    <x:row r="376" ht="42" customHeight="1">
      <x:c r="A376" s="215" t="str">
        <x:v>Anacardiaceae</x:v>
      </x:c>
      <x:c r="B376" s="215" t="str">
        <x:v>ANA-DISC</x:v>
      </x:c>
      <x:c r="C376" s="215" t="str">
        <x:v>Family-wide, common</x:v>
      </x:c>
      <x:c r="D376" s="215" t="str">
        <x:v>Flower</x:v>
      </x:c>
      <x:c r="E376" s="215" t="str">
        <x:v>Nectar disc commonly present around or beneath stamens</x:v>
      </x:c>
      <x:c r="F376" s="215" t="str">
        <x:v>Strong</x:v>
      </x:c>
      <x:c r="G376" s="215" t="str">
        <x:v>4</x:v>
      </x:c>
      <x:c r="H376" s="215" t="str">
        <x:v>Moderate</x:v>
      </x:c>
      <x:c r="I376" s="215" t="str">
        <x:v>Hand lens or dissection</x:v>
      </x:c>
      <x:c r="J376" s="215" t="str">
        <x:v>Fresh flowers</x:v>
      </x:c>
      <x:c r="K376" s="215" t="str">
        <x:v>A ring or lobed disc is often visible in the flower center.</x:v>
      </x:c>
      <x:c r="L376" s="215" t="str">
        <x:v>Some descriptions allow the disc to be absent in portions of the family; very small flowers obscure it.</x:v>
      </x:c>
      <x:c r="M376" s="215" t="str">
        <x:v>Use as part of the flower suite with stamen number and ovary position.</x:v>
      </x:c>
      <x:c r="N376" s="215" t="str">
        <x:v>A good confirmation on intact local flowers when visible.</x:v>
      </x:c>
      <x:c r="O376" s="215" t="str">
        <x:v>Low</x:v>
      </x:c>
      <x:c r="P376" s="215" t="str">
        <x:v>No</x:v>
      </x:c>
      <x:c r="Q376" s="215" t="str"/>
      <x:c r="R376" s="215" t="str">
        <x:v>ANA-LK01</x:v>
      </x:c>
      <x:c r="S376" s="215" t="str">
        <x:v>APWEB-ANAC; POWO-ANAC; LBJ-HAYS</x:v>
      </x:c>
      <x:c r="T376" s="215" t="str">
        <x:v>https://www.mobot.org/MOBOT/research/APweb/orders/sapindalesweb.htm</x:v>
      </x:c>
      <x:c r="U376" s="215" t="str">
        <x:v>https://powo.science.kew.org/taxon/urn:lsid:ipni.org:names:30002342-2/general-information</x:v>
      </x:c>
      <x:c r="V376" s="215" t="str">
        <x:v>https://powo.science.kew.org/taxon/urn:lsid:ipni.org:names:30002342-2</x:v>
      </x:c>
      <x:c r="W376" s="215" t="str">
        <x:v>https://www.mobot.org/MOBOT/research/APweb/orders/sapindalesweb.htm
https://powo.science.kew.org/taxon/urn:lsid:ipni.org:names:30002342-2/general-information
https://powo.science.kew.org/taxon/urn:lsid:ipni.org:names:30002342-2
https://www.wildflower.org/collections/collection.php?collection=hays</x:v>
      </x:c>
      <x:c r="X376" s="215" t="str">
        <x:v>No — retain qualifiers and exceptions</x:v>
      </x:c>
      <x:c r="Y376" s="215" t="str">
        <x:v>Yes</x:v>
      </x:c>
      <x:c r="Z376" s="215" t="str">
        <x:v>Source-backed draft</x:v>
      </x:c>
      <x:c r="AA376" s="215" t="str">
        <x:v>Family pattern</x:v>
      </x:c>
      <x:c r="AB376" s="215" t="str">
        <x:v>Positive diagnostic</x:v>
      </x:c>
      <x:c r="AC376" s="215" t="str">
        <x:v>Moderate</x:v>
      </x:c>
      <x:c r="AD376" s="215" t="str">
        <x:v>Dissection</x:v>
      </x:c>
      <x:c r="AE376" s="215" t="str">
        <x:v>Low</x:v>
      </x:c>
      <x:c r="AF376" s="215" t="str">
        <x:v>Dissection / close study</x:v>
      </x:c>
      <x:c r="AG376" s="215" t="str">
        <x:v>3 — Reference support</x:v>
      </x:c>
      <x:c r="AH376" s="215" t="str">
        <x:v>Current master inventory</x:v>
      </x:c>
    </x:row>
    <x:row r="377" ht="42" customHeight="1">
      <x:c r="A377" s="215" t="str">
        <x:v>Anacardiaceae</x:v>
      </x:c>
      <x:c r="B377" s="215" t="str">
        <x:v>ANA-OVARY</x:v>
      </x:c>
      <x:c r="C377" s="215" t="str">
        <x:v>Family-wide, predominant</x:v>
      </x:c>
      <x:c r="D377" s="215" t="str">
        <x:v>Gynoecium</x:v>
      </x:c>
      <x:c r="E377" s="215" t="str">
        <x:v>Ovary usually superior, 1–5-locular, with one ovule per locule and often eccentric style</x:v>
      </x:c>
      <x:c r="F377" s="215" t="str">
        <x:v>Core</x:v>
      </x:c>
      <x:c r="G377" s="215" t="str">
        <x:v>5</x:v>
      </x:c>
      <x:c r="H377" s="215" t="str">
        <x:v>High</x:v>
      </x:c>
      <x:c r="I377" s="215" t="str">
        <x:v>Hand lens or dissection</x:v>
      </x:c>
      <x:c r="J377" s="215" t="str">
        <x:v>Fresh flower or young fruit</x:v>
      </x:c>
      <x:c r="K377" s="215" t="str">
        <x:v>The ovary commonly has few chambers, each capable of holding one ovule, and the style may sit off center.</x:v>
      </x:c>
      <x:c r="L377" s="215" t="str">
        <x:v>Rare semi-inferior ovaries and broader locule counts occur; style position is not universal.</x:v>
      </x:c>
      <x:c r="M377" s="215" t="str">
        <x:v>Strong confirmation with resin and drupaceous fruit.</x:v>
      </x:c>
      <x:c r="N377" s="215" t="str">
        <x:v>Useful for separating local material from lookalike woody families.</x:v>
      </x:c>
      <x:c r="O377" s="215" t="str">
        <x:v>Low</x:v>
      </x:c>
      <x:c r="P377" s="215" t="str">
        <x:v>No</x:v>
      </x:c>
      <x:c r="Q377" s="215" t="str"/>
      <x:c r="R377" s="215" t="str">
        <x:v>ANA-LK01; ANA-LK02</x:v>
      </x:c>
      <x:c r="S377" s="215" t="str">
        <x:v>APWEB-ANAC; POWO-ANAC; LBJ-HAYS</x:v>
      </x:c>
      <x:c r="T377" s="215" t="str">
        <x:v>https://www.mobot.org/MOBOT/research/APweb/orders/sapindalesweb.htm</x:v>
      </x:c>
      <x:c r="U377" s="215" t="str">
        <x:v>https://powo.science.kew.org/taxon/urn:lsid:ipni.org:names:30002342-2/general-information</x:v>
      </x:c>
      <x:c r="V377" s="215" t="str">
        <x:v>https://powo.science.kew.org/taxon/urn:lsid:ipni.org:names:30002342-2</x:v>
      </x:c>
      <x:c r="W377" s="215" t="str">
        <x:v>https://www.mobot.org/MOBOT/research/APweb/orders/sapindalesweb.htm
https://powo.science.kew.org/taxon/urn:lsid:ipni.org:names:30002342-2/general-information
https://powo.science.kew.org/taxon/urn:lsid:ipni.org:names:30002342-2
https://www.wildflower.org/collections/collection.php?collection=hays</x:v>
      </x:c>
      <x:c r="X377" s="215" t="str">
        <x:v>No — retain qualifiers and exceptions</x:v>
      </x:c>
      <x:c r="Y377" s="215" t="str">
        <x:v>Yes</x:v>
      </x:c>
      <x:c r="Z377" s="215" t="str">
        <x:v>Source-backed draft</x:v>
      </x:c>
      <x:c r="AA377" s="215" t="str">
        <x:v>Family pattern</x:v>
      </x:c>
      <x:c r="AB377" s="215" t="str">
        <x:v>Positive diagnostic</x:v>
      </x:c>
      <x:c r="AC377" s="215" t="str">
        <x:v>High</x:v>
      </x:c>
      <x:c r="AD377" s="215" t="str">
        <x:v>Dissection</x:v>
      </x:c>
      <x:c r="AE377" s="215" t="str">
        <x:v>Low</x:v>
      </x:c>
      <x:c r="AF377" s="215" t="str">
        <x:v>Dissection / close study</x:v>
      </x:c>
      <x:c r="AG377" s="215" t="str">
        <x:v>3 — Reference support</x:v>
      </x:c>
      <x:c r="AH377" s="215" t="str">
        <x:v>Current master inventory</x:v>
      </x:c>
    </x:row>
    <x:row r="378" ht="42" customHeight="1">
      <x:c r="A378" s="215" t="str">
        <x:v>Anacardiaceae</x:v>
      </x:c>
      <x:c r="B378" s="215" t="str">
        <x:v>ANA-FRUIT</x:v>
      </x:c>
      <x:c r="C378" s="215" t="str">
        <x:v>Family-wide, predominant</x:v>
      </x:c>
      <x:c r="D378" s="215" t="str">
        <x:v>Fruit</x:v>
      </x:c>
      <x:c r="E378" s="215" t="str">
        <x:v>Fruit commonly drupaceous, sometimes dry or winged</x:v>
      </x:c>
      <x:c r="F378" s="215" t="str">
        <x:v>Core</x:v>
      </x:c>
      <x:c r="G378" s="215" t="str">
        <x:v>5</x:v>
      </x:c>
      <x:c r="H378" s="215" t="str">
        <x:v>High</x:v>
      </x:c>
      <x:c r="I378" s="215" t="str">
        <x:v>Naked eye</x:v>
      </x:c>
      <x:c r="J378" s="215" t="str">
        <x:v>Mature fruit</x:v>
      </x:c>
      <x:c r="K378" s="215" t="str">
        <x:v>Many members form a one-seeded stone fruit with a firm inner layer.</x:v>
      </x:c>
      <x:c r="L378" s="215" t="str">
        <x:v>The family also includes samaras and other specialized dry fruits; not every fruit is fleshy.</x:v>
      </x:c>
      <x:c r="M378" s="215" t="str">
        <x:v>Use mature fruit with resin and floral traits; do not equate every drupe with this family.</x:v>
      </x:c>
      <x:c r="N378" s="215" t="str">
        <x:v>Very useful for local sumac and poison-ivy fruit clusters.</x:v>
      </x:c>
      <x:c r="O378" s="215" t="str">
        <x:v>Low</x:v>
      </x:c>
      <x:c r="P378" s="215" t="str">
        <x:v>No</x:v>
      </x:c>
      <x:c r="Q378" s="215" t="str"/>
      <x:c r="R378" s="215" t="str">
        <x:v>ANA-LK01; ANA-LK02</x:v>
      </x:c>
      <x:c r="S378" s="215" t="str">
        <x:v>APWEB-ANAC; POWO-ANAC; LBJ-HAYS</x:v>
      </x:c>
      <x:c r="T378" s="215" t="str">
        <x:v>https://www.mobot.org/MOBOT/research/APweb/orders/sapindalesweb.htm</x:v>
      </x:c>
      <x:c r="U378" s="215" t="str">
        <x:v>https://powo.science.kew.org/taxon/urn:lsid:ipni.org:names:30002342-2/general-information</x:v>
      </x:c>
      <x:c r="V378" s="215" t="str">
        <x:v>https://powo.science.kew.org/taxon/urn:lsid:ipni.org:names:30002342-2</x:v>
      </x:c>
      <x:c r="W378" s="215" t="str">
        <x:v>https://www.mobot.org/MOBOT/research/APweb/orders/sapindalesweb.htm
https://powo.science.kew.org/taxon/urn:lsid:ipni.org:names:30002342-2/general-information
https://powo.science.kew.org/taxon/urn:lsid:ipni.org:names:30002342-2
https://www.wildflower.org/collections/collection.php?collection=hays</x:v>
      </x:c>
      <x:c r="X378" s="215" t="str">
        <x:v>No — retain qualifiers and exceptions</x:v>
      </x:c>
      <x:c r="Y378" s="215" t="str">
        <x:v>Yes</x:v>
      </x:c>
      <x:c r="Z378" s="215" t="str">
        <x:v>Source-backed draft</x:v>
      </x:c>
      <x:c r="AA378" s="215" t="str">
        <x:v>Family pattern</x:v>
      </x:c>
      <x:c r="AB378" s="215" t="str">
        <x:v>Positive diagnostic</x:v>
      </x:c>
      <x:c r="AC378" s="215" t="str">
        <x:v>High</x:v>
      </x:c>
      <x:c r="AD378" s="215" t="str">
        <x:v>Naked eye / field</x:v>
      </x:c>
      <x:c r="AE378" s="215" t="str">
        <x:v>Low</x:v>
      </x:c>
      <x:c r="AF378" s="215" t="str">
        <x:v>Field-ready draft</x:v>
      </x:c>
      <x:c r="AG378" s="215" t="str">
        <x:v>2 — Field-photo priority</x:v>
      </x:c>
      <x:c r="AH378" s="215" t="str">
        <x:v>Current master inventory</x:v>
      </x:c>
    </x:row>
    <x:row r="379" ht="42" customHeight="1">
      <x:c r="A379" s="215" t="str">
        <x:v>Anacardiaceae</x:v>
      </x:c>
      <x:c r="B379" s="215" t="str">
        <x:v>ANA-ODOR</x:v>
      </x:c>
      <x:c r="C379" s="215" t="str">
        <x:v>Family-wide, common</x:v>
      </x:c>
      <x:c r="D379" s="215" t="str">
        <x:v>Odor</x:v>
      </x:c>
      <x:c r="E379" s="215" t="str">
        <x:v>Fresh tissues often resinous, turpentine-like, or mango-like</x:v>
      </x:c>
      <x:c r="F379" s="215" t="str">
        <x:v>Supporting</x:v>
      </x:c>
      <x:c r="G379" s="215" t="str">
        <x:v>2</x:v>
      </x:c>
      <x:c r="H379" s="215" t="str">
        <x:v>Moderate</x:v>
      </x:c>
      <x:c r="I379" s="215" t="str">
        <x:v>Odor without direct contact</x:v>
      </x:c>
      <x:c r="J379" s="215" t="str">
        <x:v>Fresh naturally damaged material</x:v>
      </x:c>
      <x:c r="K379" s="215" t="str">
        <x:v>A resinous scent can support identification.</x:v>
      </x:c>
      <x:c r="L379" s="215" t="str">
        <x:v>Odor varies, may be absent, and crushing suspected Toxicodendron is unsafe; scent is never required.</x:v>
      </x:c>
      <x:c r="M379" s="215" t="str">
        <x:v>Use only opportunistically and never as a deliberate exposure test.</x:v>
      </x:c>
      <x:c r="N379" s="215" t="str">
        <x:v>Relevant but safety-limited in Hays fieldwork.</x:v>
      </x:c>
      <x:c r="O379" s="215" t="str">
        <x:v>Low</x:v>
      </x:c>
      <x:c r="P379" s="215" t="str">
        <x:v>No</x:v>
      </x:c>
      <x:c r="Q379" s="215" t="str"/>
      <x:c r="R379" s="215" t="str">
        <x:v>ANA-LK01; ANA-LK02</x:v>
      </x:c>
      <x:c r="S379" s="215" t="str">
        <x:v>APWEB-ANAC; POWO-ANAC; LBJ-HAYS</x:v>
      </x:c>
      <x:c r="T379" s="215" t="str">
        <x:v>https://www.mobot.org/MOBOT/research/APweb/orders/sapindalesweb.htm</x:v>
      </x:c>
      <x:c r="U379" s="215" t="str">
        <x:v>https://powo.science.kew.org/taxon/urn:lsid:ipni.org:names:30002342-2/general-information</x:v>
      </x:c>
      <x:c r="V379" s="215" t="str">
        <x:v>https://powo.science.kew.org/taxon/urn:lsid:ipni.org:names:30002342-2</x:v>
      </x:c>
      <x:c r="W379" s="215" t="str">
        <x:v>https://www.mobot.org/MOBOT/research/APweb/orders/sapindalesweb.htm
https://powo.science.kew.org/taxon/urn:lsid:ipni.org:names:30002342-2/general-information
https://powo.science.kew.org/taxon/urn:lsid:ipni.org:names:30002342-2
https://www.wildflower.org/collections/collection.php?collection=hays</x:v>
      </x:c>
      <x:c r="X379" s="215" t="str">
        <x:v>No — retain qualifiers and exceptions</x:v>
      </x:c>
      <x:c r="Y379" s="215" t="str">
        <x:v>Yes</x:v>
      </x:c>
      <x:c r="Z379" s="215" t="str">
        <x:v>Source-backed draft</x:v>
      </x:c>
      <x:c r="AA379" s="215" t="str">
        <x:v>Family pattern</x:v>
      </x:c>
      <x:c r="AB379" s="215" t="str">
        <x:v>Supporting / route</x:v>
      </x:c>
      <x:c r="AC379" s="215" t="str">
        <x:v>Moderate</x:v>
      </x:c>
      <x:c r="AD379" s="215" t="str">
        <x:v>Special handling</x:v>
      </x:c>
      <x:c r="AE379" s="215" t="str">
        <x:v>Low</x:v>
      </x:c>
      <x:c r="AF379" s="215" t="str">
        <x:v>Field-ready draft</x:v>
      </x:c>
      <x:c r="AG379" s="215" t="str">
        <x:v>4 — Context / caution</x:v>
      </x:c>
      <x:c r="AH379" s="215" t="str">
        <x:v>Current master inventory</x:v>
      </x:c>
    </x:row>
    <x:row r="380" ht="42" customHeight="1">
      <x:c r="A380" s="215" t="str">
        <x:v>Anacardiaceae</x:v>
      </x:c>
      <x:c r="B380" s="215" t="str">
        <x:v>ANA-LK01</x:v>
      </x:c>
      <x:c r="C380" s="215" t="str">
        <x:v>Lookalike comparison</x:v>
      </x:c>
      <x:c r="D380" s="215" t="str">
        <x:v>Lookalike</x:v>
      </x:c>
      <x:c r="E380" s="215" t="str">
        <x:v>Versus Sapindaceae: resin canals and dark-drying sap favor Anacardiaceae</x:v>
      </x:c>
      <x:c r="F380" s="215" t="str">
        <x:v>Lookalike</x:v>
      </x:c>
      <x:c r="G380" s="215" t="str">
        <x:v>4</x:v>
      </x:c>
      <x:c r="H380" s="215" t="str">
        <x:v>High</x:v>
      </x:c>
      <x:c r="I380" s="215" t="str">
        <x:v>Naked eye and odor; avoid contact</x:v>
      </x:c>
      <x:c r="J380" s="215" t="str">
        <x:v>Vegetative, flowering, or fruiting</x:v>
      </x:c>
      <x:c r="K380" s="215" t="str">
        <x:v>Both families can have compound leaves and small flowers, but conspicuous resinous exudate supports Anacardiaceae.</x:v>
      </x:c>
      <x:c r="L380" s="215" t="str">
        <x:v>Sap can be inconspicuous, and absence of visible resin does not prove Sapindaceae.</x:v>
      </x:c>
      <x:c r="M380" s="215" t="str">
        <x:v>Combine sap with ovule count, disc, and fruit construction.</x:v>
      </x:c>
      <x:c r="N380" s="215" t="str">
        <x:v>Sapindaceae already has first-pass coverage and is common enough locally to matter.</x:v>
      </x:c>
      <x:c r="O380" s="215" t="str">
        <x:v>Low</x:v>
      </x:c>
      <x:c r="P380" s="215" t="str">
        <x:v>No</x:v>
      </x:c>
      <x:c r="Q380" s="215" t="str"/>
      <x:c r="R380" s="215" t="str">
        <x:v>ANA-RESIN; ANA-OVARY; ANA-FRUIT</x:v>
      </x:c>
      <x:c r="S380" s="215" t="str">
        <x:v>APWEB-ANAC; POWO-ANAC; LBJ-HAYS</x:v>
      </x:c>
      <x:c r="T380" s="215" t="str">
        <x:v>https://www.mobot.org/MOBOT/research/APweb/orders/sapindalesweb.htm</x:v>
      </x:c>
      <x:c r="U380" s="215" t="str">
        <x:v>https://powo.science.kew.org/taxon/urn:lsid:ipni.org:names:30002342-2/general-information</x:v>
      </x:c>
      <x:c r="V380" s="215" t="str">
        <x:v>https://powo.science.kew.org/taxon/urn:lsid:ipni.org:names:30002342-2</x:v>
      </x:c>
      <x:c r="W380" s="215" t="str">
        <x:v>https://www.mobot.org/MOBOT/research/APweb/orders/sapindalesweb.htm
https://powo.science.kew.org/taxon/urn:lsid:ipni.org:names:30002342-2/general-information
https://powo.science.kew.org/taxon/urn:lsid:ipni.org:names:30002342-2
https://www.wildflower.org/collections/collection.php?collection=hays</x:v>
      </x:c>
      <x:c r="X380" s="215" t="str">
        <x:v>No — retain qualifiers and exceptions</x:v>
      </x:c>
      <x:c r="Y380" s="215" t="str">
        <x:v>Yes</x:v>
      </x:c>
      <x:c r="Z380" s="215" t="str">
        <x:v>Source-backed draft</x:v>
      </x:c>
      <x:c r="AA380" s="215" t="str">
        <x:v>Lookalike comparison</x:v>
      </x:c>
      <x:c r="AB380" s="215" t="str">
        <x:v>Contrast / lookalike</x:v>
      </x:c>
      <x:c r="AC380" s="215" t="str">
        <x:v>High</x:v>
      </x:c>
      <x:c r="AD380" s="215" t="str">
        <x:v>Special handling</x:v>
      </x:c>
      <x:c r="AE380" s="215" t="str">
        <x:v>Low</x:v>
      </x:c>
      <x:c r="AF380" s="215" t="str">
        <x:v>Field-ready draft</x:v>
      </x:c>
      <x:c r="AG380" s="215" t="str">
        <x:v>3 — Reference support</x:v>
      </x:c>
      <x:c r="AH380" s="215" t="str">
        <x:v>Current master inventory</x:v>
      </x:c>
    </x:row>
    <x:row r="381" ht="42" customHeight="1">
      <x:c r="A381" s="215" t="str">
        <x:v>Anacardiaceae</x:v>
      </x:c>
      <x:c r="B381" s="215" t="str">
        <x:v>ANA-LK02</x:v>
      </x:c>
      <x:c r="C381" s="215" t="str">
        <x:v>Lookalike comparison</x:v>
      </x:c>
      <x:c r="D381" s="215" t="str">
        <x:v>Lookalike</x:v>
      </x:c>
      <x:c r="E381" s="215" t="str">
        <x:v>Versus Rutaceae: resinous/dark-drying sap favors Anacardiaceae; pellucid oil dots and citrus odor favor Rutaceae</x:v>
      </x:c>
      <x:c r="F381" s="215" t="str">
        <x:v>Lookalike</x:v>
      </x:c>
      <x:c r="G381" s="215" t="str">
        <x:v>4</x:v>
      </x:c>
      <x:c r="H381" s="215" t="str">
        <x:v>Moderate</x:v>
      </x:c>
      <x:c r="I381" s="215" t="str">
        <x:v>Backlighting, hand lens, odor without contact</x:v>
      </x:c>
      <x:c r="J381" s="215" t="str">
        <x:v>Fresh leaves or twigs</x:v>
      </x:c>
      <x:c r="K381" s="215" t="str">
        <x:v>Oil-gland dots and a citrus-like odor point toward Rutaceae rather than sumac relatives.</x:v>
      </x:c>
      <x:c r="L381" s="215" t="str">
        <x:v>Both odor and visible glands can be weak; deliberate crushing is unsafe when Toxicodendron is possible.</x:v>
      </x:c>
      <x:c r="M381" s="215" t="str">
        <x:v>Use multiple characters and flag ambiguous sterile material.</x:v>
      </x:c>
      <x:c r="N381" s="215" t="str">
        <x:v>Rutaceae has not yet received first-pass rows, so this link needs reciprocal QA.</x:v>
      </x:c>
      <x:c r="O381" s="215" t="str">
        <x:v>Medium</x:v>
      </x:c>
      <x:c r="P381" s="215" t="str">
        <x:v>Yes</x:v>
      </x:c>
      <x:c r="Q381" s="215" t="str">
        <x:v>Reciprocal Rutaceae family evidence and local lookalike coverage are not yet in the master.</x:v>
      </x:c>
      <x:c r="R381" s="215" t="str">
        <x:v>ANA-RESIN; ANA-LEAVES</x:v>
      </x:c>
      <x:c r="S381" s="215" t="str">
        <x:v>APWEB-ANAC; POWO-ANAC; LBJ-HAYS</x:v>
      </x:c>
      <x:c r="T381" s="215" t="str">
        <x:v>https://www.mobot.org/MOBOT/research/APweb/orders/sapindalesweb.htm</x:v>
      </x:c>
      <x:c r="U381" s="215" t="str">
        <x:v>https://powo.science.kew.org/taxon/urn:lsid:ipni.org:names:30002342-2/general-information</x:v>
      </x:c>
      <x:c r="V381" s="215" t="str">
        <x:v>https://powo.science.kew.org/taxon/urn:lsid:ipni.org:names:30002342-2</x:v>
      </x:c>
      <x:c r="W381" s="215" t="str">
        <x:v>https://www.mobot.org/MOBOT/research/APweb/orders/sapindalesweb.htm
https://powo.science.kew.org/taxon/urn:lsid:ipni.org:names:30002342-2/general-information
https://powo.science.kew.org/taxon/urn:lsid:ipni.org:names:30002342-2
https://www.wildflower.org/collections/collection.php?collection=hays</x:v>
      </x:c>
      <x:c r="X381" s="215" t="str">
        <x:v>No — retain qualifiers and exceptions</x:v>
      </x:c>
      <x:c r="Y381" s="215" t="str">
        <x:v>Yes</x:v>
      </x:c>
      <x:c r="Z381" s="215" t="str">
        <x:v>Human review required</x:v>
      </x:c>
      <x:c r="AA381" s="215" t="str">
        <x:v>Lookalike comparison</x:v>
      </x:c>
      <x:c r="AB381" s="215" t="str">
        <x:v>Contrast / lookalike</x:v>
      </x:c>
      <x:c r="AC381" s="215" t="str">
        <x:v>Moderate</x:v>
      </x:c>
      <x:c r="AD381" s="215" t="str">
        <x:v>Special handling</x:v>
      </x:c>
      <x:c r="AE381" s="215" t="str">
        <x:v>Moderate</x:v>
      </x:c>
      <x:c r="AF381" s="215" t="str">
        <x:v>Use only after review</x:v>
      </x:c>
      <x:c r="AG381" s="215" t="str">
        <x:v>1 — Human review now</x:v>
      </x:c>
      <x:c r="AH381" s="215" t="str">
        <x:v>Current master inventory</x:v>
      </x:c>
    </x:row>
    <x:row r="382" ht="42" customHeight="1">
      <x:c r="A382" s="215" t="str">
        <x:v>Viburnaceae</x:v>
      </x:c>
      <x:c r="B382" s="215" t="str">
        <x:v>VIB-HABIT</x:v>
      </x:c>
      <x:c r="C382" s="215" t="str">
        <x:v>Family-wide</x:v>
      </x:c>
      <x:c r="D382" s="215" t="str">
        <x:v>Habit</x:v>
      </x:c>
      <x:c r="E382" s="215" t="str">
        <x:v>Herbs, shrubs, or small trees depending on genus</x:v>
      </x:c>
      <x:c r="F382" s="215" t="str">
        <x:v>Supporting</x:v>
      </x:c>
      <x:c r="G382" s="215" t="str">
        <x:v>1</x:v>
      </x:c>
      <x:c r="H382" s="215" t="str">
        <x:v>High</x:v>
      </x:c>
      <x:c r="I382" s="215" t="str">
        <x:v>Naked eye</x:v>
      </x:c>
      <x:c r="J382" s="215" t="str">
        <x:v>Any season</x:v>
      </x:c>
      <x:c r="K382" s="215" t="str">
        <x:v>The family includes small herbs as well as elderberry- and viburnum-like woody plants.</x:v>
      </x:c>
      <x:c r="L382" s="215" t="str">
        <x:v>Habit differs sharply among Adoxa, Sambucus, and Viburnum and is not diagnostic alone.</x:v>
      </x:c>
      <x:c r="M382" s="215" t="str">
        <x:v>Route by habit, then confirm the opposite leaves, flowers, inferior ovary, and fruit.</x:v>
      </x:c>
      <x:c r="N382" s="215" t="str">
        <x:v>Local relevance is mainly Sambucus- and Viburnum-type woody material.</x:v>
      </x:c>
      <x:c r="O382" s="215" t="str">
        <x:v>Low</x:v>
      </x:c>
      <x:c r="P382" s="215" t="str">
        <x:v>No</x:v>
      </x:c>
      <x:c r="Q382" s="215" t="str"/>
      <x:c r="R382" s="215" t="str">
        <x:v>VIB-LK01; VIB-LK02</x:v>
      </x:c>
      <x:c r="S382" s="215" t="str">
        <x:v>APWEB-VIBU; POWO-VIBU; LBJ-HAYS</x:v>
      </x:c>
      <x:c r="T382" s="215" t="str">
        <x:v>https://www.mobot.org/MOBOT/research/APweb/orders/dipsacalesweb.htm</x:v>
      </x:c>
      <x:c r="U382" s="215" t="str">
        <x:v>https://powo.science.kew.org/taxon/urn:lsid:ipni.org:names:77162522-1/general-information</x:v>
      </x:c>
      <x:c r="V382" s="215" t="str">
        <x:v>https://powo.science.kew.org/taxon/urn:lsid:ipni.org:names:77162522-1</x:v>
      </x:c>
      <x:c r="W382" s="215" t="str">
        <x:v>https://www.mobot.org/MOBOT/research/APweb/orders/dipsacalesweb.htm
https://powo.science.kew.org/taxon/urn:lsid:ipni.org:names:77162522-1/general-information
https://powo.science.kew.org/taxon/urn:lsid:ipni.org:names:77162522-1
https://www.wildflower.org/collections/collection.php?collection=hays</x:v>
      </x:c>
      <x:c r="X382" s="215" t="str">
        <x:v>No — retain qualifiers and exceptions</x:v>
      </x:c>
      <x:c r="Y382" s="215" t="str">
        <x:v>Yes</x:v>
      </x:c>
      <x:c r="Z382" s="215" t="str">
        <x:v>Source-backed draft</x:v>
      </x:c>
      <x:c r="AA382" s="215" t="str">
        <x:v>Family pattern</x:v>
      </x:c>
      <x:c r="AB382" s="215" t="str">
        <x:v>Supporting / route</x:v>
      </x:c>
      <x:c r="AC382" s="215" t="str">
        <x:v>High</x:v>
      </x:c>
      <x:c r="AD382" s="215" t="str">
        <x:v>Naked eye / field</x:v>
      </x:c>
      <x:c r="AE382" s="215" t="str">
        <x:v>Low</x:v>
      </x:c>
      <x:c r="AF382" s="215" t="str">
        <x:v>Field-ready draft</x:v>
      </x:c>
      <x:c r="AG382" s="215" t="str">
        <x:v>4 — Context / caution</x:v>
      </x:c>
      <x:c r="AH382" s="215" t="str">
        <x:v>Current master inventory</x:v>
      </x:c>
    </x:row>
    <x:row r="383" ht="42" customHeight="1">
      <x:c r="A383" s="215" t="str">
        <x:v>Viburnaceae</x:v>
      </x:c>
      <x:c r="B383" s="215" t="str">
        <x:v>VIB-LEAVES</x:v>
      </x:c>
      <x:c r="C383" s="215" t="str">
        <x:v>Family-wide, predominant</x:v>
      </x:c>
      <x:c r="D383" s="215" t="str">
        <x:v>Leaf</x:v>
      </x:c>
      <x:c r="E383" s="215" t="str">
        <x:v>Leaves opposite; simple or compound; interpetiolar stipules absent</x:v>
      </x:c>
      <x:c r="F383" s="215" t="str">
        <x:v>Strong</x:v>
      </x:c>
      <x:c r="G383" s="215" t="str">
        <x:v>4</x:v>
      </x:c>
      <x:c r="H383" s="215" t="str">
        <x:v>High</x:v>
      </x:c>
      <x:c r="I383" s="215" t="str">
        <x:v>Naked eye</x:v>
      </x:c>
      <x:c r="J383" s="215" t="str">
        <x:v>Vegetative</x:v>
      </x:c>
      <x:c r="K383" s="215" t="str">
        <x:v>Leaves usually occur in opposite pairs, with simple blades in Viburnum and commonly compound leaves in Sambucus.</x:v>
      </x:c>
      <x:c r="L383" s="215" t="str">
        <x:v>Leaf form varies by genus; margins are often toothed but not universally so.</x:v>
      </x:c>
      <x:c r="M383" s="215" t="str">
        <x:v>Use the node plus inferior ovary and fruit; absence of interpetiolar stipules helps against Rubiaceae.</x:v>
      </x:c>
      <x:c r="N383" s="215" t="str">
        <x:v>Directly useful for elderberry- and blackhaw-like Hays routes.</x:v>
      </x:c>
      <x:c r="O383" s="215" t="str">
        <x:v>Low</x:v>
      </x:c>
      <x:c r="P383" s="215" t="str">
        <x:v>No</x:v>
      </x:c>
      <x:c r="Q383" s="215" t="str"/>
      <x:c r="R383" s="215" t="str">
        <x:v>VIB-LK01; VIB-LK02</x:v>
      </x:c>
      <x:c r="S383" s="215" t="str">
        <x:v>APWEB-VIBU; POWO-VIBU; LBJ-HAYS</x:v>
      </x:c>
      <x:c r="T383" s="215" t="str">
        <x:v>https://www.mobot.org/MOBOT/research/APweb/orders/dipsacalesweb.htm</x:v>
      </x:c>
      <x:c r="U383" s="215" t="str">
        <x:v>https://powo.science.kew.org/taxon/urn:lsid:ipni.org:names:77162522-1/general-information</x:v>
      </x:c>
      <x:c r="V383" s="215" t="str">
        <x:v>https://powo.science.kew.org/taxon/urn:lsid:ipni.org:names:77162522-1</x:v>
      </x:c>
      <x:c r="W383" s="215" t="str">
        <x:v>https://www.mobot.org/MOBOT/research/APweb/orders/dipsacalesweb.htm
https://powo.science.kew.org/taxon/urn:lsid:ipni.org:names:77162522-1/general-information
https://powo.science.kew.org/taxon/urn:lsid:ipni.org:names:77162522-1
https://www.wildflower.org/collections/collection.php?collection=hays</x:v>
      </x:c>
      <x:c r="X383" s="215" t="str">
        <x:v>No — retain qualifiers and exceptions</x:v>
      </x:c>
      <x:c r="Y383" s="215" t="str">
        <x:v>Yes</x:v>
      </x:c>
      <x:c r="Z383" s="215" t="str">
        <x:v>Source-backed draft</x:v>
      </x:c>
      <x:c r="AA383" s="215" t="str">
        <x:v>Family pattern</x:v>
      </x:c>
      <x:c r="AB383" s="215" t="str">
        <x:v>Positive diagnostic</x:v>
      </x:c>
      <x:c r="AC383" s="215" t="str">
        <x:v>High</x:v>
      </x:c>
      <x:c r="AD383" s="215" t="str">
        <x:v>Naked eye / field</x:v>
      </x:c>
      <x:c r="AE383" s="215" t="str">
        <x:v>Low</x:v>
      </x:c>
      <x:c r="AF383" s="215" t="str">
        <x:v>Field-ready draft</x:v>
      </x:c>
      <x:c r="AG383" s="215" t="str">
        <x:v>2 — Field-photo priority</x:v>
      </x:c>
      <x:c r="AH383" s="215" t="str">
        <x:v>Current master inventory</x:v>
      </x:c>
    </x:row>
    <x:row r="384" ht="42" customHeight="1">
      <x:c r="A384" s="215" t="str">
        <x:v>Viburnaceae</x:v>
      </x:c>
      <x:c r="B384" s="215" t="str">
        <x:v>VIB-INFLO</x:v>
      </x:c>
      <x:c r="C384" s="215" t="str">
        <x:v>Family-wide, common</x:v>
      </x:c>
      <x:c r="D384" s="215" t="str">
        <x:v>Inflorescence</x:v>
      </x:c>
      <x:c r="E384" s="215" t="str">
        <x:v>Flowers commonly in branched, often flat-topped terminal clusters</x:v>
      </x:c>
      <x:c r="F384" s="215" t="str">
        <x:v>Supporting</x:v>
      </x:c>
      <x:c r="G384" s="215" t="str">
        <x:v>3</x:v>
      </x:c>
      <x:c r="H384" s="215" t="str">
        <x:v>Moderate</x:v>
      </x:c>
      <x:c r="I384" s="215" t="str">
        <x:v>Naked eye</x:v>
      </x:c>
      <x:c r="J384" s="215" t="str">
        <x:v>Flowering</x:v>
      </x:c>
      <x:c r="K384" s="215" t="str">
        <x:v>Many local-looking members bear numerous small flowers in broad clusters.</x:v>
      </x:c>
      <x:c r="L384" s="215" t="str">
        <x:v>Cluster architecture varies and some taxa are not flat-topped.</x:v>
      </x:c>
      <x:c r="M384" s="215" t="str">
        <x:v>Useful field cue with opposite leaves, but confirm floral and fruit characters.</x:v>
      </x:c>
      <x:c r="N384" s="215" t="str">
        <x:v>Conspicuous on flowering Sambucus and Viburnum material.</x:v>
      </x:c>
      <x:c r="O384" s="215" t="str">
        <x:v>Low</x:v>
      </x:c>
      <x:c r="P384" s="215" t="str">
        <x:v>No</x:v>
      </x:c>
      <x:c r="Q384" s="215" t="str"/>
      <x:c r="R384" s="215" t="str">
        <x:v>VIB-LK01; VIB-LK02</x:v>
      </x:c>
      <x:c r="S384" s="215" t="str">
        <x:v>APWEB-VIBU; POWO-VIBU; LBJ-HAYS</x:v>
      </x:c>
      <x:c r="T384" s="215" t="str">
        <x:v>https://www.mobot.org/MOBOT/research/APweb/orders/dipsacalesweb.htm</x:v>
      </x:c>
      <x:c r="U384" s="215" t="str">
        <x:v>https://powo.science.kew.org/taxon/urn:lsid:ipni.org:names:77162522-1/general-information</x:v>
      </x:c>
      <x:c r="V384" s="215" t="str">
        <x:v>https://powo.science.kew.org/taxon/urn:lsid:ipni.org:names:77162522-1</x:v>
      </x:c>
      <x:c r="W384" s="215" t="str">
        <x:v>https://www.mobot.org/MOBOT/research/APweb/orders/dipsacalesweb.htm
https://powo.science.kew.org/taxon/urn:lsid:ipni.org:names:77162522-1/general-information
https://powo.science.kew.org/taxon/urn:lsid:ipni.org:names:77162522-1
https://www.wildflower.org/collections/collection.php?collection=hays</x:v>
      </x:c>
      <x:c r="X384" s="215" t="str">
        <x:v>No — retain qualifiers and exceptions</x:v>
      </x:c>
      <x:c r="Y384" s="215" t="str">
        <x:v>Yes</x:v>
      </x:c>
      <x:c r="Z384" s="215" t="str">
        <x:v>Source-backed draft</x:v>
      </x:c>
      <x:c r="AA384" s="215" t="str">
        <x:v>Family pattern</x:v>
      </x:c>
      <x:c r="AB384" s="215" t="str">
        <x:v>Supporting / route</x:v>
      </x:c>
      <x:c r="AC384" s="215" t="str">
        <x:v>Moderate</x:v>
      </x:c>
      <x:c r="AD384" s="215" t="str">
        <x:v>Naked eye / field</x:v>
      </x:c>
      <x:c r="AE384" s="215" t="str">
        <x:v>Low</x:v>
      </x:c>
      <x:c r="AF384" s="215" t="str">
        <x:v>Field-ready draft</x:v>
      </x:c>
      <x:c r="AG384" s="215" t="str">
        <x:v>3 — Reference support</x:v>
      </x:c>
      <x:c r="AH384" s="215" t="str">
        <x:v>Current master inventory</x:v>
      </x:c>
    </x:row>
    <x:row r="385" ht="42" customHeight="1">
      <x:c r="A385" s="215" t="str">
        <x:v>Viburnaceae</x:v>
      </x:c>
      <x:c r="B385" s="215" t="str">
        <x:v>VIB-FLOWER</x:v>
      </x:c>
      <x:c r="C385" s="215" t="str">
        <x:v>Family-wide, predominant</x:v>
      </x:c>
      <x:c r="D385" s="215" t="str">
        <x:v>Flower</x:v>
      </x:c>
      <x:c r="E385" s="215" t="str">
        <x:v>Flowers radial, usually 5-merous, with a fused corolla</x:v>
      </x:c>
      <x:c r="F385" s="215" t="str">
        <x:v>Strong</x:v>
      </x:c>
      <x:c r="G385" s="215" t="str">
        <x:v>4</x:v>
      </x:c>
      <x:c r="H385" s="215" t="str">
        <x:v>High</x:v>
      </x:c>
      <x:c r="I385" s="215" t="str">
        <x:v>Hand lens</x:v>
      </x:c>
      <x:c r="J385" s="215" t="str">
        <x:v>Fresh flowers</x:v>
      </x:c>
      <x:c r="K385" s="215" t="str">
        <x:v>Most flowers have five lobes forming a shallow or tubular joined corolla.</x:v>
      </x:c>
      <x:c r="L385" s="215" t="str">
        <x:v>Adoxa departs from the dominant five-part pattern, and marginal sterile flowers occur in some Viburnum.</x:v>
      </x:c>
      <x:c r="M385" s="215" t="str">
        <x:v>Pair with five epipetalous stamens and an inferior ovary.</x:v>
      </x:c>
      <x:c r="N385" s="215" t="str">
        <x:v>Useful on intact local woody inflorescences.</x:v>
      </x:c>
      <x:c r="O385" s="215" t="str">
        <x:v>Low</x:v>
      </x:c>
      <x:c r="P385" s="215" t="str">
        <x:v>No</x:v>
      </x:c>
      <x:c r="Q385" s="215" t="str"/>
      <x:c r="R385" s="215" t="str">
        <x:v>VIB-LK01</x:v>
      </x:c>
      <x:c r="S385" s="215" t="str">
        <x:v>APWEB-VIBU; POWO-VIBU; LBJ-HAYS</x:v>
      </x:c>
      <x:c r="T385" s="215" t="str">
        <x:v>https://www.mobot.org/MOBOT/research/APweb/orders/dipsacalesweb.htm</x:v>
      </x:c>
      <x:c r="U385" s="215" t="str">
        <x:v>https://powo.science.kew.org/taxon/urn:lsid:ipni.org:names:77162522-1/general-information</x:v>
      </x:c>
      <x:c r="V385" s="215" t="str">
        <x:v>https://powo.science.kew.org/taxon/urn:lsid:ipni.org:names:77162522-1</x:v>
      </x:c>
      <x:c r="W385" s="215" t="str">
        <x:v>https://www.mobot.org/MOBOT/research/APweb/orders/dipsacalesweb.htm
https://powo.science.kew.org/taxon/urn:lsid:ipni.org:names:77162522-1/general-information
https://powo.science.kew.org/taxon/urn:lsid:ipni.org:names:77162522-1
https://www.wildflower.org/collections/collection.php?collection=hays</x:v>
      </x:c>
      <x:c r="X385" s="215" t="str">
        <x:v>No — retain qualifiers and exceptions</x:v>
      </x:c>
      <x:c r="Y385" s="215" t="str">
        <x:v>Yes</x:v>
      </x:c>
      <x:c r="Z385" s="215" t="str">
        <x:v>Source-backed draft</x:v>
      </x:c>
      <x:c r="AA385" s="215" t="str">
        <x:v>Family pattern</x:v>
      </x:c>
      <x:c r="AB385" s="215" t="str">
        <x:v>Positive diagnostic</x:v>
      </x:c>
      <x:c r="AC385" s="215" t="str">
        <x:v>High</x:v>
      </x:c>
      <x:c r="AD385" s="215" t="str">
        <x:v>Hand lens / macro</x:v>
      </x:c>
      <x:c r="AE385" s="215" t="str">
        <x:v>Low</x:v>
      </x:c>
      <x:c r="AF385" s="215" t="str">
        <x:v>Field-ready draft</x:v>
      </x:c>
      <x:c r="AG385" s="215" t="str">
        <x:v>2 — Field-photo priority</x:v>
      </x:c>
      <x:c r="AH385" s="215" t="str">
        <x:v>Current master inventory</x:v>
      </x:c>
    </x:row>
    <x:row r="386" ht="42" customHeight="1">
      <x:c r="A386" s="215" t="str">
        <x:v>Viburnaceae</x:v>
      </x:c>
      <x:c r="B386" s="215" t="str">
        <x:v>VIB-STAMENS</x:v>
      </x:c>
      <x:c r="C386" s="215" t="str">
        <x:v>Family-wide, predominant</x:v>
      </x:c>
      <x:c r="D386" s="215" t="str">
        <x:v>Androecium</x:v>
      </x:c>
      <x:c r="E386" s="215" t="str">
        <x:v>Usually five stamens attached to the corolla</x:v>
      </x:c>
      <x:c r="F386" s="215" t="str">
        <x:v>Strong</x:v>
      </x:c>
      <x:c r="G386" s="215" t="str">
        <x:v>4</x:v>
      </x:c>
      <x:c r="H386" s="215" t="str">
        <x:v>High</x:v>
      </x:c>
      <x:c r="I386" s="215" t="str">
        <x:v>Hand lens</x:v>
      </x:c>
      <x:c r="J386" s="215" t="str">
        <x:v>Fresh flowers</x:v>
      </x:c>
      <x:c r="K386" s="215" t="str">
        <x:v>A stamen generally aligns with each corolla lobe and arises from the corolla tube.</x:v>
      </x:c>
      <x:c r="L386" s="215" t="str">
        <x:v>Reduced or divergent flowers occur, especially outside the main local woody routes.</x:v>
      </x:c>
      <x:c r="M386" s="215" t="str">
        <x:v>Count on intact flowers and combine with ovary position.</x:v>
      </x:c>
      <x:c r="N386" s="215" t="str">
        <x:v>Practical for Sambucus- and Viburnum-type material.</x:v>
      </x:c>
      <x:c r="O386" s="215" t="str">
        <x:v>Low</x:v>
      </x:c>
      <x:c r="P386" s="215" t="str">
        <x:v>No</x:v>
      </x:c>
      <x:c r="Q386" s="215" t="str"/>
      <x:c r="R386" s="215" t="str">
        <x:v>VIB-LK01</x:v>
      </x:c>
      <x:c r="S386" s="215" t="str">
        <x:v>APWEB-VIBU; POWO-VIBU; LBJ-HAYS</x:v>
      </x:c>
      <x:c r="T386" s="215" t="str">
        <x:v>https://www.mobot.org/MOBOT/research/APweb/orders/dipsacalesweb.htm</x:v>
      </x:c>
      <x:c r="U386" s="215" t="str">
        <x:v>https://powo.science.kew.org/taxon/urn:lsid:ipni.org:names:77162522-1/general-information</x:v>
      </x:c>
      <x:c r="V386" s="215" t="str">
        <x:v>https://powo.science.kew.org/taxon/urn:lsid:ipni.org:names:77162522-1</x:v>
      </x:c>
      <x:c r="W386" s="215" t="str">
        <x:v>https://www.mobot.org/MOBOT/research/APweb/orders/dipsacalesweb.htm
https://powo.science.kew.org/taxon/urn:lsid:ipni.org:names:77162522-1/general-information
https://powo.science.kew.org/taxon/urn:lsid:ipni.org:names:77162522-1
https://www.wildflower.org/collections/collection.php?collection=hays</x:v>
      </x:c>
      <x:c r="X386" s="215" t="str">
        <x:v>No — retain qualifiers and exceptions</x:v>
      </x:c>
      <x:c r="Y386" s="215" t="str">
        <x:v>Yes</x:v>
      </x:c>
      <x:c r="Z386" s="215" t="str">
        <x:v>Source-backed draft</x:v>
      </x:c>
      <x:c r="AA386" s="215" t="str">
        <x:v>Family pattern</x:v>
      </x:c>
      <x:c r="AB386" s="215" t="str">
        <x:v>Positive diagnostic</x:v>
      </x:c>
      <x:c r="AC386" s="215" t="str">
        <x:v>High</x:v>
      </x:c>
      <x:c r="AD386" s="215" t="str">
        <x:v>Hand lens / macro</x:v>
      </x:c>
      <x:c r="AE386" s="215" t="str">
        <x:v>Low</x:v>
      </x:c>
      <x:c r="AF386" s="215" t="str">
        <x:v>Field-ready draft</x:v>
      </x:c>
      <x:c r="AG386" s="215" t="str">
        <x:v>2 — Field-photo priority</x:v>
      </x:c>
      <x:c r="AH386" s="215" t="str">
        <x:v>Current master inventory</x:v>
      </x:c>
    </x:row>
    <x:row r="387" ht="42" customHeight="1">
      <x:c r="A387" s="215" t="str">
        <x:v>Viburnaceae</x:v>
      </x:c>
      <x:c r="B387" s="215" t="str">
        <x:v>VIB-OVARY</x:v>
      </x:c>
      <x:c r="C387" s="215" t="str">
        <x:v>Family-wide</x:v>
      </x:c>
      <x:c r="D387" s="215" t="str">
        <x:v>Gynoecium</x:v>
      </x:c>
      <x:c r="E387" s="215" t="str">
        <x:v>Ovary inferior or partly inferior</x:v>
      </x:c>
      <x:c r="F387" s="215" t="str">
        <x:v>Core</x:v>
      </x:c>
      <x:c r="G387" s="215" t="str">
        <x:v>5</x:v>
      </x:c>
      <x:c r="H387" s="215" t="str">
        <x:v>High</x:v>
      </x:c>
      <x:c r="I387" s="215" t="str">
        <x:v>Hand lens or side view</x:v>
      </x:c>
      <x:c r="J387" s="215" t="str">
        <x:v>Flowering or young fruit</x:v>
      </x:c>
      <x:c r="K387" s="215" t="str">
        <x:v>The floral parts arise above an ovary embedded below them.</x:v>
      </x:c>
      <x:c r="L387" s="215" t="str">
        <x:v>The degree of inferiority varies and may be hard to see in very small flowers.</x:v>
      </x:c>
      <x:c r="M387" s="215" t="str">
        <x:v>A strong separator from many opposite-leaved woody lookalikes.</x:v>
      </x:c>
      <x:c r="N387" s="215" t="str">
        <x:v>High-value confirmation for local family identification.</x:v>
      </x:c>
      <x:c r="O387" s="215" t="str">
        <x:v>Low</x:v>
      </x:c>
      <x:c r="P387" s="215" t="str">
        <x:v>No</x:v>
      </x:c>
      <x:c r="Q387" s="215" t="str"/>
      <x:c r="R387" s="215" t="str">
        <x:v>VIB-LK01; VIB-LK02</x:v>
      </x:c>
      <x:c r="S387" s="215" t="str">
        <x:v>APWEB-VIBU; POWO-VIBU; LBJ-HAYS</x:v>
      </x:c>
      <x:c r="T387" s="215" t="str">
        <x:v>https://www.mobot.org/MOBOT/research/APweb/orders/dipsacalesweb.htm</x:v>
      </x:c>
      <x:c r="U387" s="215" t="str">
        <x:v>https://powo.science.kew.org/taxon/urn:lsid:ipni.org:names:77162522-1/general-information</x:v>
      </x:c>
      <x:c r="V387" s="215" t="str">
        <x:v>https://powo.science.kew.org/taxon/urn:lsid:ipni.org:names:77162522-1</x:v>
      </x:c>
      <x:c r="W387" s="215" t="str">
        <x:v>https://www.mobot.org/MOBOT/research/APweb/orders/dipsacalesweb.htm
https://powo.science.kew.org/taxon/urn:lsid:ipni.org:names:77162522-1/general-information
https://powo.science.kew.org/taxon/urn:lsid:ipni.org:names:77162522-1
https://www.wildflower.org/collections/collection.php?collection=hays</x:v>
      </x:c>
      <x:c r="X387" s="215" t="str">
        <x:v>No — retain qualifiers and exceptions</x:v>
      </x:c>
      <x:c r="Y387" s="215" t="str">
        <x:v>Yes</x:v>
      </x:c>
      <x:c r="Z387" s="215" t="str">
        <x:v>Source-backed draft</x:v>
      </x:c>
      <x:c r="AA387" s="215" t="str">
        <x:v>Family pattern</x:v>
      </x:c>
      <x:c r="AB387" s="215" t="str">
        <x:v>Positive diagnostic</x:v>
      </x:c>
      <x:c r="AC387" s="215" t="str">
        <x:v>High</x:v>
      </x:c>
      <x:c r="AD387" s="215" t="str">
        <x:v>Hand lens / macro</x:v>
      </x:c>
      <x:c r="AE387" s="215" t="str">
        <x:v>Low</x:v>
      </x:c>
      <x:c r="AF387" s="215" t="str">
        <x:v>Field-ready draft</x:v>
      </x:c>
      <x:c r="AG387" s="215" t="str">
        <x:v>2 — Field-photo priority</x:v>
      </x:c>
      <x:c r="AH387" s="215" t="str">
        <x:v>Current master inventory</x:v>
      </x:c>
    </x:row>
    <x:row r="388" ht="42" customHeight="1">
      <x:c r="A388" s="215" t="str">
        <x:v>Viburnaceae</x:v>
      </x:c>
      <x:c r="B388" s="215" t="str">
        <x:v>VIB-STIGMA</x:v>
      </x:c>
      <x:c r="C388" s="215" t="str">
        <x:v>Family-wide, common</x:v>
      </x:c>
      <x:c r="D388" s="215" t="str">
        <x:v>Gynoecium</x:v>
      </x:c>
      <x:c r="E388" s="215" t="str">
        <x:v>Style short or absent; stigma often lobed or capitate</x:v>
      </x:c>
      <x:c r="F388" s="215" t="str">
        <x:v>Supporting</x:v>
      </x:c>
      <x:c r="G388" s="215" t="str">
        <x:v>2</x:v>
      </x:c>
      <x:c r="H388" s="215" t="str">
        <x:v>Moderate</x:v>
      </x:c>
      <x:c r="I388" s="215" t="str">
        <x:v>Hand lens</x:v>
      </x:c>
      <x:c r="J388" s="215" t="str">
        <x:v>Fresh flowers</x:v>
      </x:c>
      <x:c r="K388" s="215" t="str">
        <x:v>The stigma commonly sits close to the ovary rather than on a long conspicuous style.</x:v>
      </x:c>
      <x:c r="L388" s="215" t="str">
        <x:v>Shape varies among the three genera and tiny flowers obscure it.</x:v>
      </x:c>
      <x:c r="M388" s="215" t="str">
        <x:v>Use only as supporting evidence with inferior ovary and fruit.</x:v>
      </x:c>
      <x:c r="N388" s="215" t="str">
        <x:v>Useful during close examination of Hays flowers.</x:v>
      </x:c>
      <x:c r="O388" s="215" t="str">
        <x:v>Low</x:v>
      </x:c>
      <x:c r="P388" s="215" t="str">
        <x:v>No</x:v>
      </x:c>
      <x:c r="Q388" s="215" t="str"/>
      <x:c r="R388" s="215" t="str">
        <x:v>VIB-LK01</x:v>
      </x:c>
      <x:c r="S388" s="215" t="str">
        <x:v>APWEB-VIBU; POWO-VIBU; LBJ-HAYS</x:v>
      </x:c>
      <x:c r="T388" s="215" t="str">
        <x:v>https://www.mobot.org/MOBOT/research/APweb/orders/dipsacalesweb.htm</x:v>
      </x:c>
      <x:c r="U388" s="215" t="str">
        <x:v>https://powo.science.kew.org/taxon/urn:lsid:ipni.org:names:77162522-1/general-information</x:v>
      </x:c>
      <x:c r="V388" s="215" t="str">
        <x:v>https://powo.science.kew.org/taxon/urn:lsid:ipni.org:names:77162522-1</x:v>
      </x:c>
      <x:c r="W388" s="215" t="str">
        <x:v>https://www.mobot.org/MOBOT/research/APweb/orders/dipsacalesweb.htm
https://powo.science.kew.org/taxon/urn:lsid:ipni.org:names:77162522-1/general-information
https://powo.science.kew.org/taxon/urn:lsid:ipni.org:names:77162522-1
https://www.wildflower.org/collections/collection.php?collection=hays</x:v>
      </x:c>
      <x:c r="X388" s="215" t="str">
        <x:v>No — retain qualifiers and exceptions</x:v>
      </x:c>
      <x:c r="Y388" s="215" t="str">
        <x:v>Yes</x:v>
      </x:c>
      <x:c r="Z388" s="215" t="str">
        <x:v>Source-backed draft</x:v>
      </x:c>
      <x:c r="AA388" s="215" t="str">
        <x:v>Family pattern</x:v>
      </x:c>
      <x:c r="AB388" s="215" t="str">
        <x:v>Supporting / route</x:v>
      </x:c>
      <x:c r="AC388" s="215" t="str">
        <x:v>Moderate</x:v>
      </x:c>
      <x:c r="AD388" s="215" t="str">
        <x:v>Hand lens / macro</x:v>
      </x:c>
      <x:c r="AE388" s="215" t="str">
        <x:v>Low</x:v>
      </x:c>
      <x:c r="AF388" s="215" t="str">
        <x:v>Field-ready draft</x:v>
      </x:c>
      <x:c r="AG388" s="215" t="str">
        <x:v>4 — Context / caution</x:v>
      </x:c>
      <x:c r="AH388" s="215" t="str">
        <x:v>Current master inventory</x:v>
      </x:c>
    </x:row>
    <x:row r="389" ht="42" customHeight="1">
      <x:c r="A389" s="215" t="str">
        <x:v>Viburnaceae</x:v>
      </x:c>
      <x:c r="B389" s="215" t="str">
        <x:v>VIB-FRUIT</x:v>
      </x:c>
      <x:c r="C389" s="215" t="str">
        <x:v>Family-wide</x:v>
      </x:c>
      <x:c r="D389" s="215" t="str">
        <x:v>Fruit</x:v>
      </x:c>
      <x:c r="E389" s="215" t="str">
        <x:v>Indehiscent fleshy fruit: drupes in Viburnum and berry-like fruits in Sambucus</x:v>
      </x:c>
      <x:c r="F389" s="215" t="str">
        <x:v>Core</x:v>
      </x:c>
      <x:c r="G389" s="215" t="str">
        <x:v>5</x:v>
      </x:c>
      <x:c r="H389" s="215" t="str">
        <x:v>High</x:v>
      </x:c>
      <x:c r="I389" s="215" t="str">
        <x:v>Naked eye</x:v>
      </x:c>
      <x:c r="J389" s="215" t="str">
        <x:v>Mature fruit</x:v>
      </x:c>
      <x:c r="K389" s="215" t="str">
        <x:v>The fruit remains closed and contains one or more hardened seed-bearing structures.</x:v>
      </x:c>
      <x:c r="L389" s="215" t="str">
        <x:v>Fruit construction differs by genus; immature fruit can appear similar across unrelated families.</x:v>
      </x:c>
      <x:c r="M389" s="215" t="str">
        <x:v>Mature fruit plus opposite leaves and inferior ovary is a strong suite.</x:v>
      </x:c>
      <x:c r="N389" s="215" t="str">
        <x:v>Highly practical for local blackhaw- and elderberry-type plants.</x:v>
      </x:c>
      <x:c r="O389" s="215" t="str">
        <x:v>Low</x:v>
      </x:c>
      <x:c r="P389" s="215" t="str">
        <x:v>No</x:v>
      </x:c>
      <x:c r="Q389" s="215" t="str"/>
      <x:c r="R389" s="215" t="str">
        <x:v>VIB-LK01; VIB-LK02</x:v>
      </x:c>
      <x:c r="S389" s="215" t="str">
        <x:v>APWEB-VIBU; POWO-VIBU; LBJ-HAYS</x:v>
      </x:c>
      <x:c r="T389" s="215" t="str">
        <x:v>https://www.mobot.org/MOBOT/research/APweb/orders/dipsacalesweb.htm</x:v>
      </x:c>
      <x:c r="U389" s="215" t="str">
        <x:v>https://powo.science.kew.org/taxon/urn:lsid:ipni.org:names:77162522-1/general-information</x:v>
      </x:c>
      <x:c r="V389" s="215" t="str">
        <x:v>https://powo.science.kew.org/taxon/urn:lsid:ipni.org:names:77162522-1</x:v>
      </x:c>
      <x:c r="W389" s="215" t="str">
        <x:v>https://www.mobot.org/MOBOT/research/APweb/orders/dipsacalesweb.htm
https://powo.science.kew.org/taxon/urn:lsid:ipni.org:names:77162522-1/general-information
https://powo.science.kew.org/taxon/urn:lsid:ipni.org:names:77162522-1
https://www.wildflower.org/collections/collection.php?collection=hays</x:v>
      </x:c>
      <x:c r="X389" s="215" t="str">
        <x:v>No — retain qualifiers and exceptions</x:v>
      </x:c>
      <x:c r="Y389" s="215" t="str">
        <x:v>Yes</x:v>
      </x:c>
      <x:c r="Z389" s="215" t="str">
        <x:v>Source-backed draft</x:v>
      </x:c>
      <x:c r="AA389" s="215" t="str">
        <x:v>Family pattern</x:v>
      </x:c>
      <x:c r="AB389" s="215" t="str">
        <x:v>Positive diagnostic</x:v>
      </x:c>
      <x:c r="AC389" s="215" t="str">
        <x:v>High</x:v>
      </x:c>
      <x:c r="AD389" s="215" t="str">
        <x:v>Naked eye / field</x:v>
      </x:c>
      <x:c r="AE389" s="215" t="str">
        <x:v>Low</x:v>
      </x:c>
      <x:c r="AF389" s="215" t="str">
        <x:v>Field-ready draft</x:v>
      </x:c>
      <x:c r="AG389" s="215" t="str">
        <x:v>2 — Field-photo priority</x:v>
      </x:c>
      <x:c r="AH389" s="215" t="str">
        <x:v>Current master inventory</x:v>
      </x:c>
    </x:row>
    <x:row r="390" ht="42" customHeight="1">
      <x:c r="A390" s="215" t="str">
        <x:v>Viburnaceae</x:v>
      </x:c>
      <x:c r="B390" s="215" t="str">
        <x:v>VIB-TAXON</x:v>
      </x:c>
      <x:c r="C390" s="215" t="str">
        <x:v>Current family circumscription</x:v>
      </x:c>
      <x:c r="D390" s="215" t="str">
        <x:v>Taxonomy</x:v>
      </x:c>
      <x:c r="E390" s="215" t="str">
        <x:v>Sambucus and Viburnum are treated in Viburnaceae, separate from Caprifoliaceae</x:v>
      </x:c>
      <x:c r="F390" s="215" t="str">
        <x:v>Caution</x:v>
      </x:c>
      <x:c r="G390" s="215" t="str">
        <x:v>1</x:v>
      </x:c>
      <x:c r="H390" s="215" t="str">
        <x:v>High</x:v>
      </x:c>
      <x:c r="I390" s="215" t="str">
        <x:v>Not field-visible</x:v>
      </x:c>
      <x:c r="J390" s="215" t="str">
        <x:v>Any material</x:v>
      </x:c>
      <x:c r="K390" s="215" t="str">
        <x:v>Current accepted family placement differs from older broad Caprifoliaceae treatments.</x:v>
      </x:c>
      <x:c r="L390" s="215" t="str">
        <x:v>Older labels and floras may use Adoxaceae or broad Caprifoliaceae; synonyms must be reconciled.</x:v>
      </x:c>
      <x:c r="M390" s="215" t="str">
        <x:v>Use accepted POWO family placement while retaining source-name notes.</x:v>
      </x:c>
      <x:c r="N390" s="215" t="str">
        <x:v>Important because Hays records and collections may use older family concepts.</x:v>
      </x:c>
      <x:c r="O390" s="215" t="str">
        <x:v>Low</x:v>
      </x:c>
      <x:c r="P390" s="215" t="str">
        <x:v>No</x:v>
      </x:c>
      <x:c r="Q390" s="215" t="str"/>
      <x:c r="R390" s="215" t="str">
        <x:v>VIB-LK01</x:v>
      </x:c>
      <x:c r="S390" s="215" t="str">
        <x:v>APWEB-VIBU; POWO-VIBU; LBJ-HAYS</x:v>
      </x:c>
      <x:c r="T390" s="215" t="str">
        <x:v>https://www.mobot.org/MOBOT/research/APweb/orders/dipsacalesweb.htm</x:v>
      </x:c>
      <x:c r="U390" s="215" t="str">
        <x:v>https://powo.science.kew.org/taxon/urn:lsid:ipni.org:names:77162522-1/general-information</x:v>
      </x:c>
      <x:c r="V390" s="215" t="str">
        <x:v>https://powo.science.kew.org/taxon/urn:lsid:ipni.org:names:77162522-1</x:v>
      </x:c>
      <x:c r="W390" s="215" t="str">
        <x:v>https://www.mobot.org/MOBOT/research/APweb/orders/dipsacalesweb.htm
https://powo.science.kew.org/taxon/urn:lsid:ipni.org:names:77162522-1/general-information
https://powo.science.kew.org/taxon/urn:lsid:ipni.org:names:77162522-1
https://www.wildflower.org/collections/collection.php?collection=hays</x:v>
      </x:c>
      <x:c r="X390" s="215" t="str">
        <x:v>No — retain qualifiers and exceptions</x:v>
      </x:c>
      <x:c r="Y390" s="215" t="str">
        <x:v>Yes</x:v>
      </x:c>
      <x:c r="Z390" s="215" t="str">
        <x:v>Source-backed draft</x:v>
      </x:c>
      <x:c r="AA390" s="215" t="str">
        <x:v>Taxonomy</x:v>
      </x:c>
      <x:c r="AB390" s="215" t="str">
        <x:v>Caution / negative rule</x:v>
      </x:c>
      <x:c r="AC390" s="215" t="str">
        <x:v>High</x:v>
      </x:c>
      <x:c r="AD390" s="215" t="str">
        <x:v>Reference / method</x:v>
      </x:c>
      <x:c r="AE390" s="215" t="str">
        <x:v>Low</x:v>
      </x:c>
      <x:c r="AF390" s="215" t="str">
        <x:v>Specialist / reference</x:v>
      </x:c>
      <x:c r="AG390" s="215" t="str">
        <x:v>4 — Context / caution</x:v>
      </x:c>
      <x:c r="AH390" s="215" t="str">
        <x:v>Current master inventory</x:v>
      </x:c>
    </x:row>
    <x:row r="391" ht="42" customHeight="1">
      <x:c r="A391" s="215" t="str">
        <x:v>Viburnaceae</x:v>
      </x:c>
      <x:c r="B391" s="215" t="str">
        <x:v>VIB-LK01</x:v>
      </x:c>
      <x:c r="C391" s="215" t="str">
        <x:v>Lookalike comparison</x:v>
      </x:c>
      <x:c r="D391" s="215" t="str">
        <x:v>Lookalike</x:v>
      </x:c>
      <x:c r="E391" s="215" t="str">
        <x:v>Versus Caprifoliaceae: Viburnaceae is usually radially 5-merous with five stamens and indehiscent fleshy fruit</x:v>
      </x:c>
      <x:c r="F391" s="215" t="str">
        <x:v>Lookalike</x:v>
      </x:c>
      <x:c r="G391" s="215" t="str">
        <x:v>4</x:v>
      </x:c>
      <x:c r="H391" s="215" t="str">
        <x:v>High</x:v>
      </x:c>
      <x:c r="I391" s="215" t="str">
        <x:v>Hand lens</x:v>
      </x:c>
      <x:c r="J391" s="215" t="str">
        <x:v>Flowering through fruiting</x:v>
      </x:c>
      <x:c r="K391" s="215" t="str">
        <x:v>Many Caprifoliaceae have bilaterally symmetric flowers or fewer stamens, while Viburnaceae commonly has radial flowers and fleshy closed fruits.</x:v>
      </x:c>
      <x:c r="L391" s="215" t="str">
        <x:v>There is overlap in symmetry and ovary position; no single character covers every genus.</x:v>
      </x:c>
      <x:c r="M391" s="215" t="str">
        <x:v>Use corolla symmetry, stamen count, and mature fruit together.</x:v>
      </x:c>
      <x:c r="N391" s="215" t="str">
        <x:v>Caprifoliaceae already has first-pass coverage, enabling reciprocal QA.</x:v>
      </x:c>
      <x:c r="O391" s="215" t="str">
        <x:v>Low</x:v>
      </x:c>
      <x:c r="P391" s="215" t="str">
        <x:v>No</x:v>
      </x:c>
      <x:c r="Q391" s="215" t="str"/>
      <x:c r="R391" s="215" t="str">
        <x:v>VIB-FLOWER; VIB-STAMENS; VIB-FRUIT</x:v>
      </x:c>
      <x:c r="S391" s="215" t="str">
        <x:v>APWEB-VIBU; POWO-VIBU; LBJ-HAYS</x:v>
      </x:c>
      <x:c r="T391" s="215" t="str">
        <x:v>https://www.mobot.org/MOBOT/research/APweb/orders/dipsacalesweb.htm</x:v>
      </x:c>
      <x:c r="U391" s="215" t="str">
        <x:v>https://powo.science.kew.org/taxon/urn:lsid:ipni.org:names:77162522-1/general-information</x:v>
      </x:c>
      <x:c r="V391" s="215" t="str">
        <x:v>https://powo.science.kew.org/taxon/urn:lsid:ipni.org:names:77162522-1</x:v>
      </x:c>
      <x:c r="W391" s="215" t="str">
        <x:v>https://www.mobot.org/MOBOT/research/APweb/orders/dipsacalesweb.htm
https://powo.science.kew.org/taxon/urn:lsid:ipni.org:names:77162522-1/general-information
https://powo.science.kew.org/taxon/urn:lsid:ipni.org:names:77162522-1
https://www.wildflower.org/collections/collection.php?collection=hays</x:v>
      </x:c>
      <x:c r="X391" s="215" t="str">
        <x:v>No — retain qualifiers and exceptions</x:v>
      </x:c>
      <x:c r="Y391" s="215" t="str">
        <x:v>Yes</x:v>
      </x:c>
      <x:c r="Z391" s="215" t="str">
        <x:v>Source-backed draft</x:v>
      </x:c>
      <x:c r="AA391" s="215" t="str">
        <x:v>Lookalike comparison</x:v>
      </x:c>
      <x:c r="AB391" s="215" t="str">
        <x:v>Contrast / lookalike</x:v>
      </x:c>
      <x:c r="AC391" s="215" t="str">
        <x:v>High</x:v>
      </x:c>
      <x:c r="AD391" s="215" t="str">
        <x:v>Hand lens / macro</x:v>
      </x:c>
      <x:c r="AE391" s="215" t="str">
        <x:v>Low</x:v>
      </x:c>
      <x:c r="AF391" s="215" t="str">
        <x:v>Field-ready draft</x:v>
      </x:c>
      <x:c r="AG391" s="215" t="str">
        <x:v>2 — Field-photo priority</x:v>
      </x:c>
      <x:c r="AH391" s="215" t="str">
        <x:v>Current master inventory</x:v>
      </x:c>
    </x:row>
    <x:row r="392" ht="42" customHeight="1">
      <x:c r="A392" s="215" t="str">
        <x:v>Viburnaceae</x:v>
      </x:c>
      <x:c r="B392" s="215" t="str">
        <x:v>VIB-LK02</x:v>
      </x:c>
      <x:c r="C392" s="215" t="str">
        <x:v>Lookalike comparison</x:v>
      </x:c>
      <x:c r="D392" s="215" t="str">
        <x:v>Lookalike</x:v>
      </x:c>
      <x:c r="E392" s="215" t="str">
        <x:v>Versus Cornaceae/Hydrangeaceae: use leaf arrangement, flower construction, and mature fruit rather than flat-topped clusters alone</x:v>
      </x:c>
      <x:c r="F392" s="215" t="str">
        <x:v>Lookalike</x:v>
      </x:c>
      <x:c r="G392" s="215" t="str">
        <x:v>3</x:v>
      </x:c>
      <x:c r="H392" s="215" t="str">
        <x:v>Moderate</x:v>
      </x:c>
      <x:c r="I392" s="215" t="str">
        <x:v>Hand lens</x:v>
      </x:c>
      <x:c r="J392" s="215" t="str">
        <x:v>Flowering or fruiting</x:v>
      </x:c>
      <x:c r="K392" s="215" t="str">
        <x:v>Opposite leaves and broad clusters occur in several woody families, so the inferior ovary plus viburnum- or elderberry-type fruit suite matters.</x:v>
      </x:c>
      <x:c r="L392" s="215" t="str">
        <x:v>Sterile shoots and immature clusters may remain unresolved.</x:v>
      </x:c>
      <x:c r="M392" s="215" t="str">
        <x:v>Retain family-level uncertainty until flowers or mature fruit are available.</x:v>
      </x:c>
      <x:c r="N392" s="215" t="str">
        <x:v>Cornaceae and Hydrangeaceae have not yet received reciprocal first-pass evidence rows.</x:v>
      </x:c>
      <x:c r="O392" s="215" t="str">
        <x:v>Medium</x:v>
      </x:c>
      <x:c r="P392" s="215" t="str">
        <x:v>Yes</x:v>
      </x:c>
      <x:c r="Q392" s="215" t="str">
        <x:v>Reciprocal Cornaceae and Hydrangeaceae lookalike coverage is not yet in the master.</x:v>
      </x:c>
      <x:c r="R392" s="215" t="str">
        <x:v>VIB-LEAVES; VIB-OVARY; VIB-FRUIT</x:v>
      </x:c>
      <x:c r="S392" s="215" t="str">
        <x:v>APWEB-VIBU; POWO-VIBU; LBJ-HAYS</x:v>
      </x:c>
      <x:c r="T392" s="215" t="str">
        <x:v>https://www.mobot.org/MOBOT/research/APweb/orders/dipsacalesweb.htm</x:v>
      </x:c>
      <x:c r="U392" s="215" t="str">
        <x:v>https://powo.science.kew.org/taxon/urn:lsid:ipni.org:names:77162522-1/general-information</x:v>
      </x:c>
      <x:c r="V392" s="215" t="str">
        <x:v>https://powo.science.kew.org/taxon/urn:lsid:ipni.org:names:77162522-1</x:v>
      </x:c>
      <x:c r="W392" s="215" t="str">
        <x:v>https://www.mobot.org/MOBOT/research/APweb/orders/dipsacalesweb.htm
https://powo.science.kew.org/taxon/urn:lsid:ipni.org:names:77162522-1/general-information
https://powo.science.kew.org/taxon/urn:lsid:ipni.org:names:77162522-1
https://www.wildflower.org/collections/collection.php?collection=hays</x:v>
      </x:c>
      <x:c r="X392" s="215" t="str">
        <x:v>No — retain qualifiers and exceptions</x:v>
      </x:c>
      <x:c r="Y392" s="215" t="str">
        <x:v>Yes</x:v>
      </x:c>
      <x:c r="Z392" s="215" t="str">
        <x:v>Human review required</x:v>
      </x:c>
      <x:c r="AA392" s="215" t="str">
        <x:v>Lookalike comparison</x:v>
      </x:c>
      <x:c r="AB392" s="215" t="str">
        <x:v>Contrast / lookalike</x:v>
      </x:c>
      <x:c r="AC392" s="215" t="str">
        <x:v>Moderate</x:v>
      </x:c>
      <x:c r="AD392" s="215" t="str">
        <x:v>Hand lens / macro</x:v>
      </x:c>
      <x:c r="AE392" s="215" t="str">
        <x:v>Moderate</x:v>
      </x:c>
      <x:c r="AF392" s="215" t="str">
        <x:v>Use only after review</x:v>
      </x:c>
      <x:c r="AG392" s="215" t="str">
        <x:v>1 — Human review now</x:v>
      </x:c>
      <x:c r="AH392" s="215" t="str">
        <x:v>Current master inventory</x:v>
      </x:c>
    </x:row>
    <x:row r="393" ht="42" customHeight="1">
      <x:c r="A393" s="215" t="str">
        <x:v>Gentianaceae</x:v>
      </x:c>
      <x:c r="B393" s="215" t="str">
        <x:v>GEN-HABIT</x:v>
      </x:c>
      <x:c r="C393" s="215" t="str">
        <x:v>Family-wide, local predominant</x:v>
      </x:c>
      <x:c r="D393" s="215" t="str">
        <x:v>Habit</x:v>
      </x:c>
      <x:c r="E393" s="215" t="str">
        <x:v>Mostly herbs in the local identification routes</x:v>
      </x:c>
      <x:c r="F393" s="215" t="str">
        <x:v>Supporting</x:v>
      </x:c>
      <x:c r="G393" s="215" t="str">
        <x:v>2</x:v>
      </x:c>
      <x:c r="H393" s="215" t="str">
        <x:v>High</x:v>
      </x:c>
      <x:c r="I393" s="215" t="str">
        <x:v>Naked eye</x:v>
      </x:c>
      <x:c r="J393" s="215" t="str">
        <x:v>Any season</x:v>
      </x:c>
      <x:c r="K393" s="215" t="str">
        <x:v>Central Texas gentian-family plants are chiefly herbaceous.</x:v>
      </x:c>
      <x:c r="L393" s="215" t="str">
        <x:v>The global family includes shrubs, trees, climbers, and non-green mycoheterotrophs.</x:v>
      </x:c>
      <x:c r="M393" s="215" t="str">
        <x:v>Use habit only to enter the key; confirm with leaves and flowers.</x:v>
      </x:c>
      <x:c r="N393" s="215" t="str">
        <x:v>Fits centaury-, prairie-gentian-, and rose-gentian-type Hays routes.</x:v>
      </x:c>
      <x:c r="O393" s="215" t="str">
        <x:v>Low</x:v>
      </x:c>
      <x:c r="P393" s="215" t="str">
        <x:v>No</x:v>
      </x:c>
      <x:c r="Q393" s="215" t="str"/>
      <x:c r="R393" s="215" t="str">
        <x:v>GEN-LK01; GEN-LK02</x:v>
      </x:c>
      <x:c r="S393" s="215" t="str">
        <x:v>APWEB-GENT; FNA-GENT; POWO-GENT; LBJ-HAYS</x:v>
      </x:c>
      <x:c r="T393" s="215" t="str">
        <x:v>https://www.mobot.org/MOBOT/research/APweb/orders/gentianalesweb.htm</x:v>
      </x:c>
      <x:c r="U393" s="215" t="str">
        <x:v>https://floranorthamerica.org/Gentianaceae</x:v>
      </x:c>
      <x:c r="V393" s="215" t="str">
        <x:v>https://powo.science.kew.org/taxon/urn:lsid:ipni.org:names:30000253-2/general-information</x:v>
      </x:c>
      <x:c r="W393" s="215" t="str">
        <x:v>https://www.mobot.org/MOBOT/research/APweb/orders/gentianalesweb.htm
https://floranorthamerica.org/Gentianaceae
https://powo.science.kew.org/taxon/urn:lsid:ipni.org:names:30000253-2/general-information
https://www.wildflower.org/collections/collection.php?collection=hays</x:v>
      </x:c>
      <x:c r="X393" s="215" t="str">
        <x:v>No — retain qualifiers and exceptions</x:v>
      </x:c>
      <x:c r="Y393" s="215" t="str">
        <x:v>Yes</x:v>
      </x:c>
      <x:c r="Z393" s="215" t="str">
        <x:v>Source-backed draft</x:v>
      </x:c>
      <x:c r="AA393" s="215" t="str">
        <x:v>Family pattern</x:v>
      </x:c>
      <x:c r="AB393" s="215" t="str">
        <x:v>Supporting / route</x:v>
      </x:c>
      <x:c r="AC393" s="215" t="str">
        <x:v>High</x:v>
      </x:c>
      <x:c r="AD393" s="215" t="str">
        <x:v>Naked eye / field</x:v>
      </x:c>
      <x:c r="AE393" s="215" t="str">
        <x:v>Low</x:v>
      </x:c>
      <x:c r="AF393" s="215" t="str">
        <x:v>Field-ready draft</x:v>
      </x:c>
      <x:c r="AG393" s="215" t="str">
        <x:v>4 — Context / caution</x:v>
      </x:c>
      <x:c r="AH393" s="215" t="str">
        <x:v>Current master inventory</x:v>
      </x:c>
    </x:row>
    <x:row r="394" ht="42" customHeight="1">
      <x:c r="A394" s="215" t="str">
        <x:v>Gentianaceae</x:v>
      </x:c>
      <x:c r="B394" s="215" t="str">
        <x:v>GEN-LEAVES</x:v>
      </x:c>
      <x:c r="C394" s="215" t="str">
        <x:v>Family-wide, predominant</x:v>
      </x:c>
      <x:c r="D394" s="215" t="str">
        <x:v>Leaf</x:v>
      </x:c>
      <x:c r="E394" s="215" t="str">
        <x:v>Leaves usually opposite, simple, entire, and without stipules</x:v>
      </x:c>
      <x:c r="F394" s="215" t="str">
        <x:v>Strong</x:v>
      </x:c>
      <x:c r="G394" s="215" t="str">
        <x:v>4</x:v>
      </x:c>
      <x:c r="H394" s="215" t="str">
        <x:v>High</x:v>
      </x:c>
      <x:c r="I394" s="215" t="str">
        <x:v>Naked eye</x:v>
      </x:c>
      <x:c r="J394" s="215" t="str">
        <x:v>Vegetative or flowering</x:v>
      </x:c>
      <x:c r="K394" s="215" t="str">
        <x:v>Leaves commonly form opposite pairs with smooth margins and no stipules.</x:v>
      </x:c>
      <x:c r="L394" s="215" t="str">
        <x:v>Leaves may be basal, whorled, or rarely alternate, and reduced in non-green lineages.</x:v>
      </x:c>
      <x:c r="M394" s="215" t="str">
        <x:v>Combine with the sympetalous flower and superior ovary.</x:v>
      </x:c>
      <x:c r="N394" s="215" t="str">
        <x:v>Useful across the principal herbaceous Hays routes.</x:v>
      </x:c>
      <x:c r="O394" s="215" t="str">
        <x:v>Low</x:v>
      </x:c>
      <x:c r="P394" s="215" t="str">
        <x:v>No</x:v>
      </x:c>
      <x:c r="Q394" s="215" t="str"/>
      <x:c r="R394" s="215" t="str">
        <x:v>GEN-LK01; GEN-LK02</x:v>
      </x:c>
      <x:c r="S394" s="215" t="str">
        <x:v>APWEB-GENT; FNA-GENT; POWO-GENT; LBJ-HAYS</x:v>
      </x:c>
      <x:c r="T394" s="215" t="str">
        <x:v>https://www.mobot.org/MOBOT/research/APweb/orders/gentianalesweb.htm</x:v>
      </x:c>
      <x:c r="U394" s="215" t="str">
        <x:v>https://floranorthamerica.org/Gentianaceae</x:v>
      </x:c>
      <x:c r="V394" s="215" t="str">
        <x:v>https://powo.science.kew.org/taxon/urn:lsid:ipni.org:names:30000253-2/general-information</x:v>
      </x:c>
      <x:c r="W394" s="215" t="str">
        <x:v>https://www.mobot.org/MOBOT/research/APweb/orders/gentianalesweb.htm
https://floranorthamerica.org/Gentianaceae
https://powo.science.kew.org/taxon/urn:lsid:ipni.org:names:30000253-2/general-information
https://www.wildflower.org/collections/collection.php?collection=hays</x:v>
      </x:c>
      <x:c r="X394" s="215" t="str">
        <x:v>No — retain qualifiers and exceptions</x:v>
      </x:c>
      <x:c r="Y394" s="215" t="str">
        <x:v>Yes</x:v>
      </x:c>
      <x:c r="Z394" s="215" t="str">
        <x:v>Source-backed draft</x:v>
      </x:c>
      <x:c r="AA394" s="215" t="str">
        <x:v>Family pattern</x:v>
      </x:c>
      <x:c r="AB394" s="215" t="str">
        <x:v>Positive diagnostic</x:v>
      </x:c>
      <x:c r="AC394" s="215" t="str">
        <x:v>High</x:v>
      </x:c>
      <x:c r="AD394" s="215" t="str">
        <x:v>Naked eye / field</x:v>
      </x:c>
      <x:c r="AE394" s="215" t="str">
        <x:v>Low</x:v>
      </x:c>
      <x:c r="AF394" s="215" t="str">
        <x:v>Field-ready draft</x:v>
      </x:c>
      <x:c r="AG394" s="215" t="str">
        <x:v>2 — Field-photo priority</x:v>
      </x:c>
      <x:c r="AH394" s="215" t="str">
        <x:v>Current master inventory</x:v>
      </x:c>
    </x:row>
    <x:row r="395" ht="42" customHeight="1">
      <x:c r="A395" s="215" t="str">
        <x:v>Gentianaceae</x:v>
      </x:c>
      <x:c r="B395" s="215" t="str">
        <x:v>GEN-BITTER</x:v>
      </x:c>
      <x:c r="C395" s="215" t="str">
        <x:v>Family-wide, common</x:v>
      </x:c>
      <x:c r="D395" s="215" t="str">
        <x:v>Chemistry / odor</x:v>
      </x:c>
      <x:c r="E395" s="215" t="str">
        <x:v>Tissues often bitter from iridoids</x:v>
      </x:c>
      <x:c r="F395" s="215" t="str">
        <x:v>Supporting</x:v>
      </x:c>
      <x:c r="G395" s="215" t="str">
        <x:v>1</x:v>
      </x:c>
      <x:c r="H395" s="215" t="str">
        <x:v>Moderate</x:v>
      </x:c>
      <x:c r="I395" s="215" t="str">
        <x:v>Not recommended as a taste test</x:v>
      </x:c>
      <x:c r="J395" s="215" t="str">
        <x:v>Fresh material</x:v>
      </x:c>
      <x:c r="K395" s="215" t="str">
        <x:v>Bitter chemistry is characteristic of many members.</x:v>
      </x:c>
      <x:c r="L395" s="215" t="str">
        <x:v>Taste varies, some plants may be toxic, and tasting unidentified plants is not an acceptable field test.</x:v>
      </x:c>
      <x:c r="M395" s="215" t="str">
        <x:v>Treat as source context only, never as an action or exclusion rule.</x:v>
      </x:c>
      <x:c r="N395" s="215" t="str">
        <x:v>Not operational for Hays field identification.</x:v>
      </x:c>
      <x:c r="O395" s="215" t="str">
        <x:v>Medium</x:v>
      </x:c>
      <x:c r="P395" s="215" t="str">
        <x:v>No</x:v>
      </x:c>
      <x:c r="Q395" s="215" t="str"/>
      <x:c r="R395" s="215" t="str">
        <x:v>GEN-LK01; GEN-LK02</x:v>
      </x:c>
      <x:c r="S395" s="215" t="str">
        <x:v>APWEB-GENT; FNA-GENT; POWO-GENT; LBJ-HAYS</x:v>
      </x:c>
      <x:c r="T395" s="215" t="str">
        <x:v>https://www.mobot.org/MOBOT/research/APweb/orders/gentianalesweb.htm</x:v>
      </x:c>
      <x:c r="U395" s="215" t="str">
        <x:v>https://floranorthamerica.org/Gentianaceae</x:v>
      </x:c>
      <x:c r="V395" s="215" t="str">
        <x:v>https://powo.science.kew.org/taxon/urn:lsid:ipni.org:names:30000253-2/general-information</x:v>
      </x:c>
      <x:c r="W395" s="215" t="str">
        <x:v>https://www.mobot.org/MOBOT/research/APweb/orders/gentianalesweb.htm
https://floranorthamerica.org/Gentianaceae
https://powo.science.kew.org/taxon/urn:lsid:ipni.org:names:30000253-2/general-information
https://www.wildflower.org/collections/collection.php?collection=hays</x:v>
      </x:c>
      <x:c r="X395" s="215" t="str">
        <x:v>No — retain qualifiers and exceptions</x:v>
      </x:c>
      <x:c r="Y395" s="215" t="str">
        <x:v>Yes</x:v>
      </x:c>
      <x:c r="Z395" s="215" t="str">
        <x:v>Source-backed draft</x:v>
      </x:c>
      <x:c r="AA395" s="215" t="str">
        <x:v>Family pattern</x:v>
      </x:c>
      <x:c r="AB395" s="215" t="str">
        <x:v>Supporting / route</x:v>
      </x:c>
      <x:c r="AC395" s="215" t="str">
        <x:v>Moderate</x:v>
      </x:c>
      <x:c r="AD395" s="215" t="str">
        <x:v>Unsafe / avoid</x:v>
      </x:c>
      <x:c r="AE395" s="215" t="str">
        <x:v>Moderate</x:v>
      </x:c>
      <x:c r="AF395" s="215" t="str">
        <x:v>Do not perform</x:v>
      </x:c>
      <x:c r="AG395" s="215" t="str">
        <x:v>4 — Context / caution</x:v>
      </x:c>
      <x:c r="AH395" s="215" t="str">
        <x:v>Current master inventory</x:v>
      </x:c>
    </x:row>
    <x:row r="396" ht="42" customHeight="1">
      <x:c r="A396" s="215" t="str">
        <x:v>Gentianaceae</x:v>
      </x:c>
      <x:c r="B396" s="215" t="str">
        <x:v>GEN-FLOWER</x:v>
      </x:c>
      <x:c r="C396" s="215" t="str">
        <x:v>Family-wide, predominant</x:v>
      </x:c>
      <x:c r="D396" s="215" t="str">
        <x:v>Flower</x:v>
      </x:c>
      <x:c r="E396" s="215" t="str">
        <x:v>Flowers usually radial, 4- or 5-merous, with a fused corolla</x:v>
      </x:c>
      <x:c r="F396" s="215" t="str">
        <x:v>Core</x:v>
      </x:c>
      <x:c r="G396" s="215" t="str">
        <x:v>5</x:v>
      </x:c>
      <x:c r="H396" s="215" t="str">
        <x:v>High</x:v>
      </x:c>
      <x:c r="I396" s="215" t="str">
        <x:v>Naked eye or hand lens</x:v>
      </x:c>
      <x:c r="J396" s="215" t="str">
        <x:v>Fresh flowers</x:v>
      </x:c>
      <x:c r="K396" s="215" t="str">
        <x:v>The petals join into a tube or bell ending in four or five lobes.</x:v>
      </x:c>
      <x:c r="L396" s="215" t="str">
        <x:v>Some flowers are weakly bilateral or have different part counts; corolla form varies greatly.</x:v>
      </x:c>
      <x:c r="M396" s="215" t="str">
        <x:v>Use with opposite entire leaves, epipetalous stamens, and superior ovary.</x:v>
      </x:c>
      <x:c r="N396" s="215" t="str">
        <x:v>Highly visible in flowering local gentian-family herbs.</x:v>
      </x:c>
      <x:c r="O396" s="215" t="str">
        <x:v>Low</x:v>
      </x:c>
      <x:c r="P396" s="215" t="str">
        <x:v>No</x:v>
      </x:c>
      <x:c r="Q396" s="215" t="str"/>
      <x:c r="R396" s="215" t="str">
        <x:v>GEN-LK01; GEN-LK02</x:v>
      </x:c>
      <x:c r="S396" s="215" t="str">
        <x:v>APWEB-GENT; FNA-GENT; POWO-GENT; LBJ-HAYS</x:v>
      </x:c>
      <x:c r="T396" s="215" t="str">
        <x:v>https://www.mobot.org/MOBOT/research/APweb/orders/gentianalesweb.htm</x:v>
      </x:c>
      <x:c r="U396" s="215" t="str">
        <x:v>https://floranorthamerica.org/Gentianaceae</x:v>
      </x:c>
      <x:c r="V396" s="215" t="str">
        <x:v>https://powo.science.kew.org/taxon/urn:lsid:ipni.org:names:30000253-2/general-information</x:v>
      </x:c>
      <x:c r="W396" s="215" t="str">
        <x:v>https://www.mobot.org/MOBOT/research/APweb/orders/gentianalesweb.htm
https://floranorthamerica.org/Gentianaceae
https://powo.science.kew.org/taxon/urn:lsid:ipni.org:names:30000253-2/general-information
https://www.wildflower.org/collections/collection.php?collection=hays</x:v>
      </x:c>
      <x:c r="X396" s="215" t="str">
        <x:v>No — retain qualifiers and exceptions</x:v>
      </x:c>
      <x:c r="Y396" s="215" t="str">
        <x:v>Yes</x:v>
      </x:c>
      <x:c r="Z396" s="215" t="str">
        <x:v>Source-backed draft</x:v>
      </x:c>
      <x:c r="AA396" s="215" t="str">
        <x:v>Family pattern</x:v>
      </x:c>
      <x:c r="AB396" s="215" t="str">
        <x:v>Positive diagnostic</x:v>
      </x:c>
      <x:c r="AC396" s="215" t="str">
        <x:v>High</x:v>
      </x:c>
      <x:c r="AD396" s="215" t="str">
        <x:v>Hand lens / macro</x:v>
      </x:c>
      <x:c r="AE396" s="215" t="str">
        <x:v>Low</x:v>
      </x:c>
      <x:c r="AF396" s="215" t="str">
        <x:v>Field-ready draft</x:v>
      </x:c>
      <x:c r="AG396" s="215" t="str">
        <x:v>2 — Field-photo priority</x:v>
      </x:c>
      <x:c r="AH396" s="215" t="str">
        <x:v>Current master inventory</x:v>
      </x:c>
    </x:row>
    <x:row r="397" ht="42" customHeight="1">
      <x:c r="A397" s="215" t="str">
        <x:v>Gentianaceae</x:v>
      </x:c>
      <x:c r="B397" s="215" t="str">
        <x:v>GEN-PLEATS</x:v>
      </x:c>
      <x:c r="C397" s="215" t="str">
        <x:v>Family-wide, common in key routes</x:v>
      </x:c>
      <x:c r="D397" s="215" t="str">
        <x:v>Corolla</x:v>
      </x:c>
      <x:c r="E397" s="215" t="str">
        <x:v>Corolla commonly has folds, plaits, or appendages between lobes</x:v>
      </x:c>
      <x:c r="F397" s="215" t="str">
        <x:v>Strong</x:v>
      </x:c>
      <x:c r="G397" s="215" t="str">
        <x:v>3</x:v>
      </x:c>
      <x:c r="H397" s="215" t="str">
        <x:v>Moderate</x:v>
      </x:c>
      <x:c r="I397" s="215" t="str">
        <x:v>Naked eye or hand lens</x:v>
      </x:c>
      <x:c r="J397" s="215" t="str">
        <x:v>Fresh open flowers</x:v>
      </x:c>
      <x:c r="K397" s="215" t="str">
        <x:v>Extra folds or appendages often occur between the main corolla lobes.</x:v>
      </x:c>
      <x:c r="L397" s="215" t="str">
        <x:v>Not universal across the family and can be obscure in small or closed flowers.</x:v>
      </x:c>
      <x:c r="M397" s="215" t="str">
        <x:v>A positive confirmation in many gentian-like flowers, not a rejection rule.</x:v>
      </x:c>
      <x:c r="N397" s="215" t="str">
        <x:v>Useful for several showy Hays routes when flowers are fully open.</x:v>
      </x:c>
      <x:c r="O397" s="215" t="str">
        <x:v>Medium</x:v>
      </x:c>
      <x:c r="P397" s="215" t="str">
        <x:v>No</x:v>
      </x:c>
      <x:c r="Q397" s="215" t="str"/>
      <x:c r="R397" s="215" t="str">
        <x:v>GEN-LK02</x:v>
      </x:c>
      <x:c r="S397" s="215" t="str">
        <x:v>APWEB-GENT; FNA-GENT; POWO-GENT; LBJ-HAYS</x:v>
      </x:c>
      <x:c r="T397" s="215" t="str">
        <x:v>https://www.mobot.org/MOBOT/research/APweb/orders/gentianalesweb.htm</x:v>
      </x:c>
      <x:c r="U397" s="215" t="str">
        <x:v>https://floranorthamerica.org/Gentianaceae</x:v>
      </x:c>
      <x:c r="V397" s="215" t="str">
        <x:v>https://powo.science.kew.org/taxon/urn:lsid:ipni.org:names:30000253-2/general-information</x:v>
      </x:c>
      <x:c r="W397" s="215" t="str">
        <x:v>https://www.mobot.org/MOBOT/research/APweb/orders/gentianalesweb.htm
https://floranorthamerica.org/Gentianaceae
https://powo.science.kew.org/taxon/urn:lsid:ipni.org:names:30000253-2/general-information
https://www.wildflower.org/collections/collection.php?collection=hays</x:v>
      </x:c>
      <x:c r="X397" s="215" t="str">
        <x:v>No — retain qualifiers and exceptions</x:v>
      </x:c>
      <x:c r="Y397" s="215" t="str">
        <x:v>Yes</x:v>
      </x:c>
      <x:c r="Z397" s="215" t="str">
        <x:v>Source-backed draft</x:v>
      </x:c>
      <x:c r="AA397" s="215" t="str">
        <x:v>Local subgroup / route</x:v>
      </x:c>
      <x:c r="AB397" s="215" t="str">
        <x:v>Positive diagnostic</x:v>
      </x:c>
      <x:c r="AC397" s="215" t="str">
        <x:v>Moderate</x:v>
      </x:c>
      <x:c r="AD397" s="215" t="str">
        <x:v>Hand lens / macro</x:v>
      </x:c>
      <x:c r="AE397" s="215" t="str">
        <x:v>Moderate</x:v>
      </x:c>
      <x:c r="AF397" s="215" t="str">
        <x:v>Field-ready draft</x:v>
      </x:c>
      <x:c r="AG397" s="215" t="str">
        <x:v>3 — Reference support</x:v>
      </x:c>
      <x:c r="AH397" s="215" t="str">
        <x:v>Current master inventory</x:v>
      </x:c>
    </x:row>
    <x:row r="398" ht="42" customHeight="1">
      <x:c r="A398" s="215" t="str">
        <x:v>Gentianaceae</x:v>
      </x:c>
      <x:c r="B398" s="215" t="str">
        <x:v>GEN-STAMENS</x:v>
      </x:c>
      <x:c r="C398" s="215" t="str">
        <x:v>Family-wide, predominant</x:v>
      </x:c>
      <x:c r="D398" s="215" t="str">
        <x:v>Androecium</x:v>
      </x:c>
      <x:c r="E398" s="215" t="str">
        <x:v>Stamens usually equal corolla lobes and attached to the corolla tube</x:v>
      </x:c>
      <x:c r="F398" s="215" t="str">
        <x:v>Strong</x:v>
      </x:c>
      <x:c r="G398" s="215" t="str">
        <x:v>4</x:v>
      </x:c>
      <x:c r="H398" s="215" t="str">
        <x:v>High</x:v>
      </x:c>
      <x:c r="I398" s="215" t="str">
        <x:v>Hand lens</x:v>
      </x:c>
      <x:c r="J398" s="215" t="str">
        <x:v>Fresh flowers</x:v>
      </x:c>
      <x:c r="K398" s="215" t="str">
        <x:v>There is commonly one stamen per corolla lobe, arising from the joined petals.</x:v>
      </x:c>
      <x:c r="L398" s="215" t="str">
        <x:v>Anther form and attachment vary; reduced flowers can depart.</x:v>
      </x:c>
      <x:c r="M398" s="215" t="str">
        <x:v>Pair with corolla fusion and ovary position.</x:v>
      </x:c>
      <x:c r="N398" s="215" t="str">
        <x:v>Practical on intact local flowers.</x:v>
      </x:c>
      <x:c r="O398" s="215" t="str">
        <x:v>Low</x:v>
      </x:c>
      <x:c r="P398" s="215" t="str">
        <x:v>No</x:v>
      </x:c>
      <x:c r="Q398" s="215" t="str"/>
      <x:c r="R398" s="215" t="str">
        <x:v>GEN-LK01; GEN-LK02</x:v>
      </x:c>
      <x:c r="S398" s="215" t="str">
        <x:v>APWEB-GENT; FNA-GENT; POWO-GENT; LBJ-HAYS</x:v>
      </x:c>
      <x:c r="T398" s="215" t="str">
        <x:v>https://www.mobot.org/MOBOT/research/APweb/orders/gentianalesweb.htm</x:v>
      </x:c>
      <x:c r="U398" s="215" t="str">
        <x:v>https://floranorthamerica.org/Gentianaceae</x:v>
      </x:c>
      <x:c r="V398" s="215" t="str">
        <x:v>https://powo.science.kew.org/taxon/urn:lsid:ipni.org:names:30000253-2/general-information</x:v>
      </x:c>
      <x:c r="W398" s="215" t="str">
        <x:v>https://www.mobot.org/MOBOT/research/APweb/orders/gentianalesweb.htm
https://floranorthamerica.org/Gentianaceae
https://powo.science.kew.org/taxon/urn:lsid:ipni.org:names:30000253-2/general-information
https://www.wildflower.org/collections/collection.php?collection=hays</x:v>
      </x:c>
      <x:c r="X398" s="215" t="str">
        <x:v>No — retain qualifiers and exceptions</x:v>
      </x:c>
      <x:c r="Y398" s="215" t="str">
        <x:v>Yes</x:v>
      </x:c>
      <x:c r="Z398" s="215" t="str">
        <x:v>Source-backed draft</x:v>
      </x:c>
      <x:c r="AA398" s="215" t="str">
        <x:v>Family pattern</x:v>
      </x:c>
      <x:c r="AB398" s="215" t="str">
        <x:v>Positive diagnostic</x:v>
      </x:c>
      <x:c r="AC398" s="215" t="str">
        <x:v>High</x:v>
      </x:c>
      <x:c r="AD398" s="215" t="str">
        <x:v>Hand lens / macro</x:v>
      </x:c>
      <x:c r="AE398" s="215" t="str">
        <x:v>Low</x:v>
      </x:c>
      <x:c r="AF398" s="215" t="str">
        <x:v>Field-ready draft</x:v>
      </x:c>
      <x:c r="AG398" s="215" t="str">
        <x:v>2 — Field-photo priority</x:v>
      </x:c>
      <x:c r="AH398" s="215" t="str">
        <x:v>Current master inventory</x:v>
      </x:c>
    </x:row>
    <x:row r="399" ht="42" customHeight="1">
      <x:c r="A399" s="215" t="str">
        <x:v>Gentianaceae</x:v>
      </x:c>
      <x:c r="B399" s="215" t="str">
        <x:v>GEN-OVARY</x:v>
      </x:c>
      <x:c r="C399" s="215" t="str">
        <x:v>Family-wide</x:v>
      </x:c>
      <x:c r="D399" s="215" t="str">
        <x:v>Gynoecium</x:v>
      </x:c>
      <x:c r="E399" s="215" t="str">
        <x:v>Ovary superior, formed from two carpels and usually one or two locules</x:v>
      </x:c>
      <x:c r="F399" s="215" t="str">
        <x:v>Core</x:v>
      </x:c>
      <x:c r="G399" s="215" t="str">
        <x:v>5</x:v>
      </x:c>
      <x:c r="H399" s="215" t="str">
        <x:v>High</x:v>
      </x:c>
      <x:c r="I399" s="215" t="str">
        <x:v>Hand lens or dissection</x:v>
      </x:c>
      <x:c r="J399" s="215" t="str">
        <x:v>Flowering or young fruit</x:v>
      </x:c>
      <x:c r="K399" s="215" t="str">
        <x:v>The ovary sits above the attachment of the floral parts and commonly has one chamber with parietal placentas or two chambers.</x:v>
      </x:c>
      <x:c r="L399" s="215" t="str">
        <x:v>Locule number and placentation vary within the family and may require dissection.</x:v>
      </x:c>
      <x:c r="M399" s="215" t="str">
        <x:v>One of the best separators from Rubiaceae, which commonly has an inferior ovary.</x:v>
      </x:c>
      <x:c r="N399" s="215" t="str">
        <x:v>Strongly relevant to Hays family confirmation.</x:v>
      </x:c>
      <x:c r="O399" s="215" t="str">
        <x:v>Low</x:v>
      </x:c>
      <x:c r="P399" s="215" t="str">
        <x:v>No</x:v>
      </x:c>
      <x:c r="Q399" s="215" t="str"/>
      <x:c r="R399" s="215" t="str">
        <x:v>GEN-LK01; GEN-LK02</x:v>
      </x:c>
      <x:c r="S399" s="215" t="str">
        <x:v>APWEB-GENT; FNA-GENT; POWO-GENT; LBJ-HAYS</x:v>
      </x:c>
      <x:c r="T399" s="215" t="str">
        <x:v>https://www.mobot.org/MOBOT/research/APweb/orders/gentianalesweb.htm</x:v>
      </x:c>
      <x:c r="U399" s="215" t="str">
        <x:v>https://floranorthamerica.org/Gentianaceae</x:v>
      </x:c>
      <x:c r="V399" s="215" t="str">
        <x:v>https://powo.science.kew.org/taxon/urn:lsid:ipni.org:names:30000253-2/general-information</x:v>
      </x:c>
      <x:c r="W399" s="215" t="str">
        <x:v>https://www.mobot.org/MOBOT/research/APweb/orders/gentianalesweb.htm
https://floranorthamerica.org/Gentianaceae
https://powo.science.kew.org/taxon/urn:lsid:ipni.org:names:30000253-2/general-information
https://www.wildflower.org/collections/collection.php?collection=hays</x:v>
      </x:c>
      <x:c r="X399" s="215" t="str">
        <x:v>No — retain qualifiers and exceptions</x:v>
      </x:c>
      <x:c r="Y399" s="215" t="str">
        <x:v>Yes</x:v>
      </x:c>
      <x:c r="Z399" s="215" t="str">
        <x:v>Source-backed draft</x:v>
      </x:c>
      <x:c r="AA399" s="215" t="str">
        <x:v>Family pattern</x:v>
      </x:c>
      <x:c r="AB399" s="215" t="str">
        <x:v>Positive diagnostic</x:v>
      </x:c>
      <x:c r="AC399" s="215" t="str">
        <x:v>High</x:v>
      </x:c>
      <x:c r="AD399" s="215" t="str">
        <x:v>Dissection</x:v>
      </x:c>
      <x:c r="AE399" s="215" t="str">
        <x:v>Low</x:v>
      </x:c>
      <x:c r="AF399" s="215" t="str">
        <x:v>Dissection / close study</x:v>
      </x:c>
      <x:c r="AG399" s="215" t="str">
        <x:v>3 — Reference support</x:v>
      </x:c>
      <x:c r="AH399" s="215" t="str">
        <x:v>Current master inventory</x:v>
      </x:c>
    </x:row>
    <x:row r="400" ht="42" customHeight="1">
      <x:c r="A400" s="215" t="str">
        <x:v>Gentianaceae</x:v>
      </x:c>
      <x:c r="B400" s="215" t="str">
        <x:v>GEN-STIGMA</x:v>
      </x:c>
      <x:c r="C400" s="215" t="str">
        <x:v>Family-wide, predominant</x:v>
      </x:c>
      <x:c r="D400" s="215" t="str">
        <x:v>Gynoecium</x:v>
      </x:c>
      <x:c r="E400" s="215" t="str">
        <x:v>Stigma commonly two-lobed</x:v>
      </x:c>
      <x:c r="F400" s="215" t="str">
        <x:v>Supporting</x:v>
      </x:c>
      <x:c r="G400" s="215" t="str">
        <x:v>3</x:v>
      </x:c>
      <x:c r="H400" s="215" t="str">
        <x:v>Moderate</x:v>
      </x:c>
      <x:c r="I400" s="215" t="str">
        <x:v>Hand lens</x:v>
      </x:c>
      <x:c r="J400" s="215" t="str">
        <x:v>Fresh flowers</x:v>
      </x:c>
      <x:c r="K400" s="215" t="str">
        <x:v>The style commonly ends in two receptive lobes.</x:v>
      </x:c>
      <x:c r="L400" s="215" t="str">
        <x:v>Lobe size and style length vary and some stigmas appear capitate.</x:v>
      </x:c>
      <x:c r="M400" s="215" t="str">
        <x:v>Use with a two-carpellate ovary and many-seeded capsule.</x:v>
      </x:c>
      <x:c r="N400" s="215" t="str">
        <x:v>Useful in close examination of local flowers.</x:v>
      </x:c>
      <x:c r="O400" s="215" t="str">
        <x:v>Low</x:v>
      </x:c>
      <x:c r="P400" s="215" t="str">
        <x:v>No</x:v>
      </x:c>
      <x:c r="Q400" s="215" t="str"/>
      <x:c r="R400" s="215" t="str">
        <x:v>GEN-LK01</x:v>
      </x:c>
      <x:c r="S400" s="215" t="str">
        <x:v>APWEB-GENT; FNA-GENT; POWO-GENT; LBJ-HAYS</x:v>
      </x:c>
      <x:c r="T400" s="215" t="str">
        <x:v>https://www.mobot.org/MOBOT/research/APweb/orders/gentianalesweb.htm</x:v>
      </x:c>
      <x:c r="U400" s="215" t="str">
        <x:v>https://floranorthamerica.org/Gentianaceae</x:v>
      </x:c>
      <x:c r="V400" s="215" t="str">
        <x:v>https://powo.science.kew.org/taxon/urn:lsid:ipni.org:names:30000253-2/general-information</x:v>
      </x:c>
      <x:c r="W400" s="215" t="str">
        <x:v>https://www.mobot.org/MOBOT/research/APweb/orders/gentianalesweb.htm
https://floranorthamerica.org/Gentianaceae
https://powo.science.kew.org/taxon/urn:lsid:ipni.org:names:30000253-2/general-information
https://www.wildflower.org/collections/collection.php?collection=hays</x:v>
      </x:c>
      <x:c r="X400" s="215" t="str">
        <x:v>No — retain qualifiers and exceptions</x:v>
      </x:c>
      <x:c r="Y400" s="215" t="str">
        <x:v>Yes</x:v>
      </x:c>
      <x:c r="Z400" s="215" t="str">
        <x:v>Source-backed draft</x:v>
      </x:c>
      <x:c r="AA400" s="215" t="str">
        <x:v>Family pattern</x:v>
      </x:c>
      <x:c r="AB400" s="215" t="str">
        <x:v>Supporting / route</x:v>
      </x:c>
      <x:c r="AC400" s="215" t="str">
        <x:v>Moderate</x:v>
      </x:c>
      <x:c r="AD400" s="215" t="str">
        <x:v>Hand lens / macro</x:v>
      </x:c>
      <x:c r="AE400" s="215" t="str">
        <x:v>Low</x:v>
      </x:c>
      <x:c r="AF400" s="215" t="str">
        <x:v>Field-ready draft</x:v>
      </x:c>
      <x:c r="AG400" s="215" t="str">
        <x:v>3 — Reference support</x:v>
      </x:c>
      <x:c r="AH400" s="215" t="str">
        <x:v>Current master inventory</x:v>
      </x:c>
    </x:row>
    <x:row r="401" ht="42" customHeight="1">
      <x:c r="A401" s="215" t="str">
        <x:v>Gentianaceae</x:v>
      </x:c>
      <x:c r="B401" s="215" t="str">
        <x:v>GEN-FRUIT</x:v>
      </x:c>
      <x:c r="C401" s="215" t="str">
        <x:v>Family-wide, predominant</x:v>
      </x:c>
      <x:c r="D401" s="215" t="str">
        <x:v>Fruit</x:v>
      </x:c>
      <x:c r="E401" s="215" t="str">
        <x:v>Usually a capsule with many small seeds</x:v>
      </x:c>
      <x:c r="F401" s="215" t="str">
        <x:v>Core</x:v>
      </x:c>
      <x:c r="G401" s="215" t="str">
        <x:v>5</x:v>
      </x:c>
      <x:c r="H401" s="215" t="str">
        <x:v>High</x:v>
      </x:c>
      <x:c r="I401" s="215" t="str">
        <x:v>Hand lens</x:v>
      </x:c>
      <x:c r="J401" s="215" t="str">
        <x:v>Mature fruit</x:v>
      </x:c>
      <x:c r="K401" s="215" t="str">
        <x:v>The dry fruit commonly opens to release numerous small seeds.</x:v>
      </x:c>
      <x:c r="L401" s="215" t="str">
        <x:v>Berries occur in some lineages; immature fruit may not reveal dehiscence.</x:v>
      </x:c>
      <x:c r="M401" s="215" t="str">
        <x:v>Strong late-season confirmation with persistent calyx and superior ovary.</x:v>
      </x:c>
      <x:c r="N401" s="215" t="str">
        <x:v>Applicable to the main herbaceous Hays routes.</x:v>
      </x:c>
      <x:c r="O401" s="215" t="str">
        <x:v>Low</x:v>
      </x:c>
      <x:c r="P401" s="215" t="str">
        <x:v>No</x:v>
      </x:c>
      <x:c r="Q401" s="215" t="str"/>
      <x:c r="R401" s="215" t="str">
        <x:v>GEN-LK01; GEN-LK02</x:v>
      </x:c>
      <x:c r="S401" s="215" t="str">
        <x:v>APWEB-GENT; FNA-GENT; POWO-GENT; LBJ-HAYS</x:v>
      </x:c>
      <x:c r="T401" s="215" t="str">
        <x:v>https://www.mobot.org/MOBOT/research/APweb/orders/gentianalesweb.htm</x:v>
      </x:c>
      <x:c r="U401" s="215" t="str">
        <x:v>https://floranorthamerica.org/Gentianaceae</x:v>
      </x:c>
      <x:c r="V401" s="215" t="str">
        <x:v>https://powo.science.kew.org/taxon/urn:lsid:ipni.org:names:30000253-2/general-information</x:v>
      </x:c>
      <x:c r="W401" s="215" t="str">
        <x:v>https://www.mobot.org/MOBOT/research/APweb/orders/gentianalesweb.htm
https://floranorthamerica.org/Gentianaceae
https://powo.science.kew.org/taxon/urn:lsid:ipni.org:names:30000253-2/general-information
https://www.wildflower.org/collections/collection.php?collection=hays</x:v>
      </x:c>
      <x:c r="X401" s="215" t="str">
        <x:v>No — retain qualifiers and exceptions</x:v>
      </x:c>
      <x:c r="Y401" s="215" t="str">
        <x:v>Yes</x:v>
      </x:c>
      <x:c r="Z401" s="215" t="str">
        <x:v>Source-backed draft</x:v>
      </x:c>
      <x:c r="AA401" s="215" t="str">
        <x:v>Family pattern</x:v>
      </x:c>
      <x:c r="AB401" s="215" t="str">
        <x:v>Positive diagnostic</x:v>
      </x:c>
      <x:c r="AC401" s="215" t="str">
        <x:v>High</x:v>
      </x:c>
      <x:c r="AD401" s="215" t="str">
        <x:v>Hand lens / macro</x:v>
      </x:c>
      <x:c r="AE401" s="215" t="str">
        <x:v>Low</x:v>
      </x:c>
      <x:c r="AF401" s="215" t="str">
        <x:v>Field-ready draft</x:v>
      </x:c>
      <x:c r="AG401" s="215" t="str">
        <x:v>2 — Field-photo priority</x:v>
      </x:c>
      <x:c r="AH401" s="215" t="str">
        <x:v>Current master inventory</x:v>
      </x:c>
    </x:row>
    <x:row r="402" ht="42" customHeight="1">
      <x:c r="A402" s="215" t="str">
        <x:v>Gentianaceae</x:v>
      </x:c>
      <x:c r="B402" s="215" t="str">
        <x:v>GEN-LK01</x:v>
      </x:c>
      <x:c r="C402" s="215" t="str">
        <x:v>Lookalike comparison</x:v>
      </x:c>
      <x:c r="D402" s="215" t="str">
        <x:v>Lookalike</x:v>
      </x:c>
      <x:c r="E402" s="215" t="str">
        <x:v>Versus Rubiaceae: superior ovary and lack of interpetiolar stipules favor Gentianaceae</x:v>
      </x:c>
      <x:c r="F402" s="215" t="str">
        <x:v>Lookalike</x:v>
      </x:c>
      <x:c r="G402" s="215" t="str">
        <x:v>5</x:v>
      </x:c>
      <x:c r="H402" s="215" t="str">
        <x:v>High</x:v>
      </x:c>
      <x:c r="I402" s="215" t="str">
        <x:v>Hand lens</x:v>
      </x:c>
      <x:c r="J402" s="215" t="str">
        <x:v>Flowering</x:v>
      </x:c>
      <x:c r="K402" s="215" t="str">
        <x:v>Both can have opposite leaves and fused corollas, but Rubiaceae commonly has an inferior ovary and stipules between petioles.</x:v>
      </x:c>
      <x:c r="L402" s="215" t="str">
        <x:v>Tiny flowers can obscure ovary position, and leaf-base structures may be damaged.</x:v>
      </x:c>
      <x:c r="M402" s="215" t="str">
        <x:v>Inspect nodes and a side view of the ovary together.</x:v>
      </x:c>
      <x:c r="N402" s="215" t="str">
        <x:v>Rubiaceae already has first-pass coverage, so this is a high-value reciprocal comparison.</x:v>
      </x:c>
      <x:c r="O402" s="215" t="str">
        <x:v>Low</x:v>
      </x:c>
      <x:c r="P402" s="215" t="str">
        <x:v>No</x:v>
      </x:c>
      <x:c r="Q402" s="215" t="str"/>
      <x:c r="R402" s="215" t="str">
        <x:v>GEN-LEAVES; GEN-OVARY</x:v>
      </x:c>
      <x:c r="S402" s="215" t="str">
        <x:v>APWEB-GENT; FNA-GENT; POWO-GENT; LBJ-HAYS</x:v>
      </x:c>
      <x:c r="T402" s="215" t="str">
        <x:v>https://www.mobot.org/MOBOT/research/APweb/orders/gentianalesweb.htm</x:v>
      </x:c>
      <x:c r="U402" s="215" t="str">
        <x:v>https://floranorthamerica.org/Gentianaceae</x:v>
      </x:c>
      <x:c r="V402" s="215" t="str">
        <x:v>https://powo.science.kew.org/taxon/urn:lsid:ipni.org:names:30000253-2/general-information</x:v>
      </x:c>
      <x:c r="W402" s="215" t="str">
        <x:v>https://www.mobot.org/MOBOT/research/APweb/orders/gentianalesweb.htm
https://floranorthamerica.org/Gentianaceae
https://powo.science.kew.org/taxon/urn:lsid:ipni.org:names:30000253-2/general-information
https://www.wildflower.org/collections/collection.php?collection=hays</x:v>
      </x:c>
      <x:c r="X402" s="215" t="str">
        <x:v>No — retain qualifiers and exceptions</x:v>
      </x:c>
      <x:c r="Y402" s="215" t="str">
        <x:v>Yes</x:v>
      </x:c>
      <x:c r="Z402" s="215" t="str">
        <x:v>Source-backed draft</x:v>
      </x:c>
      <x:c r="AA402" s="215" t="str">
        <x:v>Lookalike comparison</x:v>
      </x:c>
      <x:c r="AB402" s="215" t="str">
        <x:v>Contrast / lookalike</x:v>
      </x:c>
      <x:c r="AC402" s="215" t="str">
        <x:v>High</x:v>
      </x:c>
      <x:c r="AD402" s="215" t="str">
        <x:v>Hand lens / macro</x:v>
      </x:c>
      <x:c r="AE402" s="215" t="str">
        <x:v>Low</x:v>
      </x:c>
      <x:c r="AF402" s="215" t="str">
        <x:v>Field-ready draft</x:v>
      </x:c>
      <x:c r="AG402" s="215" t="str">
        <x:v>2 — Field-photo priority</x:v>
      </x:c>
      <x:c r="AH402" s="215" t="str">
        <x:v>Current master inventory</x:v>
      </x:c>
    </x:row>
    <x:row r="403" ht="42" customHeight="1">
      <x:c r="A403" s="215" t="str">
        <x:v>Gentianaceae</x:v>
      </x:c>
      <x:c r="B403" s="215" t="str">
        <x:v>GEN-LK02</x:v>
      </x:c>
      <x:c r="C403" s="215" t="str">
        <x:v>Lookalike comparison</x:v>
      </x:c>
      <x:c r="D403" s="215" t="str">
        <x:v>Lookalike</x:v>
      </x:c>
      <x:c r="E403" s="215" t="str">
        <x:v>Versus Apocynaceae: no milky latex and a capsule with many small seeds favor common Gentianaceae routes</x:v>
      </x:c>
      <x:c r="F403" s="215" t="str">
        <x:v>Lookalike</x:v>
      </x:c>
      <x:c r="G403" s="215" t="str">
        <x:v>4</x:v>
      </x:c>
      <x:c r="H403" s="215" t="str">
        <x:v>Moderate</x:v>
      </x:c>
      <x:c r="I403" s="215" t="str">
        <x:v>Naked eye or hand lens</x:v>
      </x:c>
      <x:c r="J403" s="215" t="str">
        <x:v>Flowering through fruiting</x:v>
      </x:c>
      <x:c r="K403" s="215" t="str">
        <x:v>Both families may have opposite entire leaves and fused corollas; latex, anther-stigma specialization, and paired follicles favor Apocynaceae.</x:v>
      </x:c>
      <x:c r="L403" s="215" t="str">
        <x:v>Latex may be scant, and Gentianaceae includes unusual fruits; avoid forcing the comparison on sterile plants.</x:v>
      </x:c>
      <x:c r="M403" s="215" t="str">
        <x:v>Use sap only when naturally visible, then confirm ovary and fruit architecture.</x:v>
      </x:c>
      <x:c r="N403" s="215" t="str">
        <x:v>Apocynaceae already has first-pass coverage in the master.</x:v>
      </x:c>
      <x:c r="O403" s="215" t="str">
        <x:v>Low</x:v>
      </x:c>
      <x:c r="P403" s="215" t="str">
        <x:v>No</x:v>
      </x:c>
      <x:c r="Q403" s="215" t="str"/>
      <x:c r="R403" s="215" t="str">
        <x:v>GEN-FLOWER; GEN-OVARY; GEN-FRUIT</x:v>
      </x:c>
      <x:c r="S403" s="215" t="str">
        <x:v>APWEB-GENT; FNA-GENT; POWO-GENT; LBJ-HAYS</x:v>
      </x:c>
      <x:c r="T403" s="215" t="str">
        <x:v>https://www.mobot.org/MOBOT/research/APweb/orders/gentianalesweb.htm</x:v>
      </x:c>
      <x:c r="U403" s="215" t="str">
        <x:v>https://floranorthamerica.org/Gentianaceae</x:v>
      </x:c>
      <x:c r="V403" s="215" t="str">
        <x:v>https://powo.science.kew.org/taxon/urn:lsid:ipni.org:names:30000253-2/general-information</x:v>
      </x:c>
      <x:c r="W403" s="215" t="str">
        <x:v>https://www.mobot.org/MOBOT/research/APweb/orders/gentianalesweb.htm
https://floranorthamerica.org/Gentianaceae
https://powo.science.kew.org/taxon/urn:lsid:ipni.org:names:30000253-2/general-information
https://www.wildflower.org/collections/collection.php?collection=hays</x:v>
      </x:c>
      <x:c r="X403" s="215" t="str">
        <x:v>No — retain qualifiers and exceptions</x:v>
      </x:c>
      <x:c r="Y403" s="215" t="str">
        <x:v>Yes</x:v>
      </x:c>
      <x:c r="Z403" s="215" t="str">
        <x:v>Source-backed draft</x:v>
      </x:c>
      <x:c r="AA403" s="215" t="str">
        <x:v>Lookalike comparison</x:v>
      </x:c>
      <x:c r="AB403" s="215" t="str">
        <x:v>Contrast / lookalike</x:v>
      </x:c>
      <x:c r="AC403" s="215" t="str">
        <x:v>Moderate</x:v>
      </x:c>
      <x:c r="AD403" s="215" t="str">
        <x:v>Hand lens / macro</x:v>
      </x:c>
      <x:c r="AE403" s="215" t="str">
        <x:v>Low</x:v>
      </x:c>
      <x:c r="AF403" s="215" t="str">
        <x:v>Field-ready draft</x:v>
      </x:c>
      <x:c r="AG403" s="215" t="str">
        <x:v>2 — Field-photo priority</x:v>
      </x:c>
      <x:c r="AH403" s="215" t="str">
        <x:v>Current master inventory</x:v>
      </x:c>
    </x:row>
    <x:row r="404" ht="42" customHeight="1">
      <x:c r="A404" s="215" t="str">
        <x:v>Plumbaginaceae</x:v>
      </x:c>
      <x:c r="B404" s="215" t="str">
        <x:v>PLU-HABIT</x:v>
      </x:c>
      <x:c r="C404" s="215" t="str">
        <x:v>Family-wide</x:v>
      </x:c>
      <x:c r="D404" s="215" t="str">
        <x:v>Habit</x:v>
      </x:c>
      <x:c r="E404" s="215" t="str">
        <x:v>Mostly herbs or shrubs</x:v>
      </x:c>
      <x:c r="F404" s="215" t="str">
        <x:v>Supporting</x:v>
      </x:c>
      <x:c r="G404" s="215" t="str">
        <x:v>2</x:v>
      </x:c>
      <x:c r="H404" s="215" t="str">
        <x:v>High</x:v>
      </x:c>
      <x:c r="I404" s="215" t="str">
        <x:v>Naked eye</x:v>
      </x:c>
      <x:c r="J404" s="215" t="str">
        <x:v>Any season</x:v>
      </x:c>
      <x:c r="K404" s="215" t="str">
        <x:v>The family is chiefly herbaceous to shrubby.</x:v>
      </x:c>
      <x:c r="L404" s="215" t="str">
        <x:v>Habit ranges from annual herbs to scrambling shrubs and small trees in nonlocal lineages.</x:v>
      </x:c>
      <x:c r="M404" s="215" t="str">
        <x:v>Use only as an entry cue; confirm flowers and fruit.</x:v>
      </x:c>
      <x:c r="N404" s="215" t="str">
        <x:v>Local relevance is mainly a native Plumbago-type route; cultivated ornamentals must not establish county presence.</x:v>
      </x:c>
      <x:c r="O404" s="215" t="str">
        <x:v>Medium</x:v>
      </x:c>
      <x:c r="P404" s="215" t="str">
        <x:v>No</x:v>
      </x:c>
      <x:c r="Q404" s="215" t="str"/>
      <x:c r="R404" s="215" t="str">
        <x:v>PLU-LK01; PLU-LK02</x:v>
      </x:c>
      <x:c r="S404" s="215" t="str">
        <x:v>APWEB-PLUM; FNA-PLUM; POWO-PLUM; LBJ-HAYS</x:v>
      </x:c>
      <x:c r="T404" s="215" t="str">
        <x:v>https://www.mobot.org/MOBOT/research/APweb/orders/caryophyllalesweb.htm</x:v>
      </x:c>
      <x:c r="U404" s="215" t="str">
        <x:v>https://floranorthamerica.org/Plumbaginaceae</x:v>
      </x:c>
      <x:c r="V404" s="215" t="str">
        <x:v>https://powo.science.kew.org/taxon/urn:lsid:ipni.org:names:30000293-2/general-information</x:v>
      </x:c>
      <x:c r="W404" s="215" t="str">
        <x:v>https://www.mobot.org/MOBOT/research/APweb/orders/caryophyllalesweb.htm
https://floranorthamerica.org/Plumbaginaceae
https://powo.science.kew.org/taxon/urn:lsid:ipni.org:names:30000293-2/general-information
https://www.wildflower.org/collections/collection.php?collection=hays</x:v>
      </x:c>
      <x:c r="X404" s="215" t="str">
        <x:v>No — retain qualifiers and exceptions</x:v>
      </x:c>
      <x:c r="Y404" s="215" t="str">
        <x:v>Yes</x:v>
      </x:c>
      <x:c r="Z404" s="215" t="str">
        <x:v>Source-backed draft</x:v>
      </x:c>
      <x:c r="AA404" s="215" t="str">
        <x:v>Family pattern</x:v>
      </x:c>
      <x:c r="AB404" s="215" t="str">
        <x:v>Supporting / route</x:v>
      </x:c>
      <x:c r="AC404" s="215" t="str">
        <x:v>High</x:v>
      </x:c>
      <x:c r="AD404" s="215" t="str">
        <x:v>Naked eye / field</x:v>
      </x:c>
      <x:c r="AE404" s="215" t="str">
        <x:v>Moderate</x:v>
      </x:c>
      <x:c r="AF404" s="215" t="str">
        <x:v>Field-ready draft</x:v>
      </x:c>
      <x:c r="AG404" s="215" t="str">
        <x:v>4 — Context / caution</x:v>
      </x:c>
      <x:c r="AH404" s="215" t="str">
        <x:v>Reference expansion</x:v>
      </x:c>
    </x:row>
    <x:row r="405" ht="42" customHeight="1">
      <x:c r="A405" s="215" t="str">
        <x:v>Plumbaginaceae</x:v>
      </x:c>
      <x:c r="B405" s="215" t="str">
        <x:v>PLU-LEAVES</x:v>
      </x:c>
      <x:c r="C405" s="215" t="str">
        <x:v>Family-wide, predominant</x:v>
      </x:c>
      <x:c r="D405" s="215" t="str">
        <x:v>Leaf</x:v>
      </x:c>
      <x:c r="E405" s="215" t="str">
        <x:v>Leaves simple, alternate or basal, usually without stipules</x:v>
      </x:c>
      <x:c r="F405" s="215" t="str">
        <x:v>Strong</x:v>
      </x:c>
      <x:c r="G405" s="215" t="str">
        <x:v>3</x:v>
      </x:c>
      <x:c r="H405" s="215" t="str">
        <x:v>High</x:v>
      </x:c>
      <x:c r="I405" s="215" t="str">
        <x:v>Naked eye</x:v>
      </x:c>
      <x:c r="J405" s="215" t="str">
        <x:v>Vegetative or flowering</x:v>
      </x:c>
      <x:c r="K405" s="215" t="str">
        <x:v>Leaves are commonly undivided and either spiral on stems or gathered near the base.</x:v>
      </x:c>
      <x:c r="L405" s="215" t="str">
        <x:v>Arrangement and texture vary, and some Plumbago descriptions allow small cauline stipule-like structures.</x:v>
      </x:c>
      <x:c r="M405" s="215" t="str">
        <x:v>Combine with persistent calyx, opposite-petal stamens, and one-ovule ovary.</x:v>
      </x:c>
      <x:c r="N405" s="215" t="str">
        <x:v>Useful in routing Hays Plumbago-type material.</x:v>
      </x:c>
      <x:c r="O405" s="215" t="str">
        <x:v>Medium</x:v>
      </x:c>
      <x:c r="P405" s="215" t="str">
        <x:v>No</x:v>
      </x:c>
      <x:c r="Q405" s="215" t="str"/>
      <x:c r="R405" s="215" t="str">
        <x:v>PLU-LK01; PLU-LK02</x:v>
      </x:c>
      <x:c r="S405" s="215" t="str">
        <x:v>APWEB-PLUM; FNA-PLUM; POWO-PLUM; LBJ-HAYS</x:v>
      </x:c>
      <x:c r="T405" s="215" t="str">
        <x:v>https://www.mobot.org/MOBOT/research/APweb/orders/caryophyllalesweb.htm</x:v>
      </x:c>
      <x:c r="U405" s="215" t="str">
        <x:v>https://floranorthamerica.org/Plumbaginaceae</x:v>
      </x:c>
      <x:c r="V405" s="215" t="str">
        <x:v>https://powo.science.kew.org/taxon/urn:lsid:ipni.org:names:30000293-2/general-information</x:v>
      </x:c>
      <x:c r="W405" s="215" t="str">
        <x:v>https://www.mobot.org/MOBOT/research/APweb/orders/caryophyllalesweb.htm
https://floranorthamerica.org/Plumbaginaceae
https://powo.science.kew.org/taxon/urn:lsid:ipni.org:names:30000293-2/general-information
https://www.wildflower.org/collections/collection.php?collection=hays</x:v>
      </x:c>
      <x:c r="X405" s="215" t="str">
        <x:v>No — retain qualifiers and exceptions</x:v>
      </x:c>
      <x:c r="Y405" s="215" t="str">
        <x:v>Yes</x:v>
      </x:c>
      <x:c r="Z405" s="215" t="str">
        <x:v>Source-backed draft</x:v>
      </x:c>
      <x:c r="AA405" s="215" t="str">
        <x:v>Family pattern</x:v>
      </x:c>
      <x:c r="AB405" s="215" t="str">
        <x:v>Positive diagnostic</x:v>
      </x:c>
      <x:c r="AC405" s="215" t="str">
        <x:v>High</x:v>
      </x:c>
      <x:c r="AD405" s="215" t="str">
        <x:v>Naked eye / field</x:v>
      </x:c>
      <x:c r="AE405" s="215" t="str">
        <x:v>Moderate</x:v>
      </x:c>
      <x:c r="AF405" s="215" t="str">
        <x:v>Field-ready draft</x:v>
      </x:c>
      <x:c r="AG405" s="215" t="str">
        <x:v>3 — Reference support</x:v>
      </x:c>
      <x:c r="AH405" s="215" t="str">
        <x:v>Reference expansion</x:v>
      </x:c>
    </x:row>
    <x:row r="406" ht="42" customHeight="1">
      <x:c r="A406" s="215" t="str">
        <x:v>Plumbaginaceae</x:v>
      </x:c>
      <x:c r="B406" s="215" t="str">
        <x:v>PLU-GLANDS</x:v>
      </x:c>
      <x:c r="C406" s="215" t="str">
        <x:v>Family-wide, common</x:v>
      </x:c>
      <x:c r="D406" s="215" t="str">
        <x:v>Leaf / gland</x:v>
      </x:c>
      <x:c r="E406" s="215" t="str">
        <x:v>Salt or mucilage glands often present</x:v>
      </x:c>
      <x:c r="F406" s="215" t="str">
        <x:v>Supporting</x:v>
      </x:c>
      <x:c r="G406" s="215" t="str">
        <x:v>2</x:v>
      </x:c>
      <x:c r="H406" s="215" t="str">
        <x:v>Moderate</x:v>
      </x:c>
      <x:c r="I406" s="215" t="str">
        <x:v>Hand lens</x:v>
      </x:c>
      <x:c r="J406" s="215" t="str">
        <x:v>Fresh leaves</x:v>
      </x:c>
      <x:c r="K406" s="215" t="str">
        <x:v>Specialized surface glands are common in the family.</x:v>
      </x:c>
      <x:c r="L406" s="215" t="str">
        <x:v>They may be inconspicuous, not salt-excreting in every lineage, and are not a practical universal field mark.</x:v>
      </x:c>
      <x:c r="M406" s="215" t="str">
        <x:v>Use as confirmation under magnification, never as a required feature.</x:v>
      </x:c>
      <x:c r="N406" s="215" t="str">
        <x:v>Potentially useful but not expected to be obvious in Hays field material.</x:v>
      </x:c>
      <x:c r="O406" s="215" t="str">
        <x:v>Medium</x:v>
      </x:c>
      <x:c r="P406" s="215" t="str">
        <x:v>No</x:v>
      </x:c>
      <x:c r="Q406" s="215" t="str"/>
      <x:c r="R406" s="215" t="str">
        <x:v>PLU-LK01</x:v>
      </x:c>
      <x:c r="S406" s="215" t="str">
        <x:v>APWEB-PLUM; FNA-PLUM; POWO-PLUM; LBJ-HAYS</x:v>
      </x:c>
      <x:c r="T406" s="215" t="str">
        <x:v>https://www.mobot.org/MOBOT/research/APweb/orders/caryophyllalesweb.htm</x:v>
      </x:c>
      <x:c r="U406" s="215" t="str">
        <x:v>https://floranorthamerica.org/Plumbaginaceae</x:v>
      </x:c>
      <x:c r="V406" s="215" t="str">
        <x:v>https://powo.science.kew.org/taxon/urn:lsid:ipni.org:names:30000293-2/general-information</x:v>
      </x:c>
      <x:c r="W406" s="215" t="str">
        <x:v>https://www.mobot.org/MOBOT/research/APweb/orders/caryophyllalesweb.htm
https://floranorthamerica.org/Plumbaginaceae
https://powo.science.kew.org/taxon/urn:lsid:ipni.org:names:30000293-2/general-information
https://www.wildflower.org/collections/collection.php?collection=hays</x:v>
      </x:c>
      <x:c r="X406" s="215" t="str">
        <x:v>No — retain qualifiers and exceptions</x:v>
      </x:c>
      <x:c r="Y406" s="215" t="str">
        <x:v>Yes</x:v>
      </x:c>
      <x:c r="Z406" s="215" t="str">
        <x:v>Source-backed draft</x:v>
      </x:c>
      <x:c r="AA406" s="215" t="str">
        <x:v>Family pattern</x:v>
      </x:c>
      <x:c r="AB406" s="215" t="str">
        <x:v>Supporting / route</x:v>
      </x:c>
      <x:c r="AC406" s="215" t="str">
        <x:v>Moderate</x:v>
      </x:c>
      <x:c r="AD406" s="215" t="str">
        <x:v>Hand lens / macro</x:v>
      </x:c>
      <x:c r="AE406" s="215" t="str">
        <x:v>Moderate</x:v>
      </x:c>
      <x:c r="AF406" s="215" t="str">
        <x:v>Field-ready draft</x:v>
      </x:c>
      <x:c r="AG406" s="215" t="str">
        <x:v>4 — Context / caution</x:v>
      </x:c>
      <x:c r="AH406" s="215" t="str">
        <x:v>Reference expansion</x:v>
      </x:c>
    </x:row>
    <x:row r="407" ht="42" customHeight="1">
      <x:c r="A407" s="215" t="str">
        <x:v>Plumbaginaceae</x:v>
      </x:c>
      <x:c r="B407" s="215" t="str">
        <x:v>PLU-FLOWER</x:v>
      </x:c>
      <x:c r="C407" s="215" t="str">
        <x:v>Family-wide, predominant</x:v>
      </x:c>
      <x:c r="D407" s="215" t="str">
        <x:v>Flower</x:v>
      </x:c>
      <x:c r="E407" s="215" t="str">
        <x:v>Flowers usually 5-merous</x:v>
      </x:c>
      <x:c r="F407" s="215" t="str">
        <x:v>Strong</x:v>
      </x:c>
      <x:c r="G407" s="215" t="str">
        <x:v>4</x:v>
      </x:c>
      <x:c r="H407" s="215" t="str">
        <x:v>High</x:v>
      </x:c>
      <x:c r="I407" s="215" t="str">
        <x:v>Naked eye or hand lens</x:v>
      </x:c>
      <x:c r="J407" s="215" t="str">
        <x:v>Fresh flowers</x:v>
      </x:c>
      <x:c r="K407" s="215" t="str">
        <x:v>The calyx, corolla, and stamens commonly follow a five-part plan.</x:v>
      </x:c>
      <x:c r="L407" s="215" t="str">
        <x:v>Reduced or atypical flowers occur and the exact degree of petal fusion differs between lineages.</x:v>
      </x:c>
      <x:c r="M407" s="215" t="str">
        <x:v>Use with the distinctive calyx and stamen position.</x:v>
      </x:c>
      <x:c r="N407" s="215" t="str">
        <x:v>Visible and useful on flowering Plumbago-type plants.</x:v>
      </x:c>
      <x:c r="O407" s="215" t="str">
        <x:v>Low</x:v>
      </x:c>
      <x:c r="P407" s="215" t="str">
        <x:v>No</x:v>
      </x:c>
      <x:c r="Q407" s="215" t="str"/>
      <x:c r="R407" s="215" t="str">
        <x:v>PLU-LK01; PLU-LK02</x:v>
      </x:c>
      <x:c r="S407" s="215" t="str">
        <x:v>APWEB-PLUM; FNA-PLUM; POWO-PLUM; LBJ-HAYS</x:v>
      </x:c>
      <x:c r="T407" s="215" t="str">
        <x:v>https://www.mobot.org/MOBOT/research/APweb/orders/caryophyllalesweb.htm</x:v>
      </x:c>
      <x:c r="U407" s="215" t="str">
        <x:v>https://floranorthamerica.org/Plumbaginaceae</x:v>
      </x:c>
      <x:c r="V407" s="215" t="str">
        <x:v>https://powo.science.kew.org/taxon/urn:lsid:ipni.org:names:30000293-2/general-information</x:v>
      </x:c>
      <x:c r="W407" s="215" t="str">
        <x:v>https://www.mobot.org/MOBOT/research/APweb/orders/caryophyllalesweb.htm
https://floranorthamerica.org/Plumbaginaceae
https://powo.science.kew.org/taxon/urn:lsid:ipni.org:names:30000293-2/general-information
https://www.wildflower.org/collections/collection.php?collection=hays</x:v>
      </x:c>
      <x:c r="X407" s="215" t="str">
        <x:v>No — retain qualifiers and exceptions</x:v>
      </x:c>
      <x:c r="Y407" s="215" t="str">
        <x:v>Yes</x:v>
      </x:c>
      <x:c r="Z407" s="215" t="str">
        <x:v>Source-backed draft</x:v>
      </x:c>
      <x:c r="AA407" s="215" t="str">
        <x:v>Family pattern</x:v>
      </x:c>
      <x:c r="AB407" s="215" t="str">
        <x:v>Positive diagnostic</x:v>
      </x:c>
      <x:c r="AC407" s="215" t="str">
        <x:v>High</x:v>
      </x:c>
      <x:c r="AD407" s="215" t="str">
        <x:v>Hand lens / macro</x:v>
      </x:c>
      <x:c r="AE407" s="215" t="str">
        <x:v>Low</x:v>
      </x:c>
      <x:c r="AF407" s="215" t="str">
        <x:v>Field-ready draft</x:v>
      </x:c>
      <x:c r="AG407" s="215" t="str">
        <x:v>2 — Field-photo priority</x:v>
      </x:c>
      <x:c r="AH407" s="215" t="str">
        <x:v>Reference expansion</x:v>
      </x:c>
    </x:row>
    <x:row r="408" ht="42" customHeight="1">
      <x:c r="A408" s="215" t="str">
        <x:v>Plumbaginaceae</x:v>
      </x:c>
      <x:c r="B408" s="215" t="str">
        <x:v>PLU-CALYX</x:v>
      </x:c>
      <x:c r="C408" s="215" t="str">
        <x:v>Family-wide</x:v>
      </x:c>
      <x:c r="D408" s="215" t="str">
        <x:v>Calyx</x:v>
      </x:c>
      <x:c r="E408" s="215" t="str">
        <x:v>Calyx persistent, fused, ribbed or glandular, and often enclosing the fruit</x:v>
      </x:c>
      <x:c r="F408" s="215" t="str">
        <x:v>Core</x:v>
      </x:c>
      <x:c r="G408" s="215" t="str">
        <x:v>5</x:v>
      </x:c>
      <x:c r="H408" s="215" t="str">
        <x:v>High</x:v>
      </x:c>
      <x:c r="I408" s="215" t="str">
        <x:v>Hand lens</x:v>
      </x:c>
      <x:c r="J408" s="215" t="str">
        <x:v>Flowering through fruiting</x:v>
      </x:c>
      <x:c r="K408" s="215" t="str">
        <x:v>A tough or papery five-lobed calyx remains around the developing one-seeded fruit.</x:v>
      </x:c>
      <x:c r="L408" s="215" t="str">
        <x:v>Texture and glandularity vary between Plumbago and sea-lavender relatives.</x:v>
      </x:c>
      <x:c r="M408" s="215" t="str">
        <x:v>One of the best family clues when used with five opposite-petal stamens.</x:v>
      </x:c>
      <x:c r="N408" s="215" t="str">
        <x:v>Especially useful on local Plumbago-type inflorescences.</x:v>
      </x:c>
      <x:c r="O408" s="215" t="str">
        <x:v>Low</x:v>
      </x:c>
      <x:c r="P408" s="215" t="str">
        <x:v>No</x:v>
      </x:c>
      <x:c r="Q408" s="215" t="str"/>
      <x:c r="R408" s="215" t="str">
        <x:v>PLU-LK01; PLU-LK02</x:v>
      </x:c>
      <x:c r="S408" s="215" t="str">
        <x:v>APWEB-PLUM; FNA-PLUM; POWO-PLUM; LBJ-HAYS</x:v>
      </x:c>
      <x:c r="T408" s="215" t="str">
        <x:v>https://www.mobot.org/MOBOT/research/APweb/orders/caryophyllalesweb.htm</x:v>
      </x:c>
      <x:c r="U408" s="215" t="str">
        <x:v>https://floranorthamerica.org/Plumbaginaceae</x:v>
      </x:c>
      <x:c r="V408" s="215" t="str">
        <x:v>https://powo.science.kew.org/taxon/urn:lsid:ipni.org:names:30000293-2/general-information</x:v>
      </x:c>
      <x:c r="W408" s="215" t="str">
        <x:v>https://www.mobot.org/MOBOT/research/APweb/orders/caryophyllalesweb.htm
https://floranorthamerica.org/Plumbaginaceae
https://powo.science.kew.org/taxon/urn:lsid:ipni.org:names:30000293-2/general-information
https://www.wildflower.org/collections/collection.php?collection=hays</x:v>
      </x:c>
      <x:c r="X408" s="215" t="str">
        <x:v>No — retain qualifiers and exceptions</x:v>
      </x:c>
      <x:c r="Y408" s="215" t="str">
        <x:v>Yes</x:v>
      </x:c>
      <x:c r="Z408" s="215" t="str">
        <x:v>Source-backed draft</x:v>
      </x:c>
      <x:c r="AA408" s="215" t="str">
        <x:v>Family pattern</x:v>
      </x:c>
      <x:c r="AB408" s="215" t="str">
        <x:v>Positive diagnostic</x:v>
      </x:c>
      <x:c r="AC408" s="215" t="str">
        <x:v>High</x:v>
      </x:c>
      <x:c r="AD408" s="215" t="str">
        <x:v>Hand lens / macro</x:v>
      </x:c>
      <x:c r="AE408" s="215" t="str">
        <x:v>Low</x:v>
      </x:c>
      <x:c r="AF408" s="215" t="str">
        <x:v>Field-ready draft</x:v>
      </x:c>
      <x:c r="AG408" s="215" t="str">
        <x:v>2 — Field-photo priority</x:v>
      </x:c>
      <x:c r="AH408" s="215" t="str">
        <x:v>Reference expansion</x:v>
      </x:c>
    </x:row>
    <x:row r="409" ht="42" customHeight="1">
      <x:c r="A409" s="215" t="str">
        <x:v>Plumbaginaceae</x:v>
      </x:c>
      <x:c r="B409" s="215" t="str">
        <x:v>PLU-COROLLA</x:v>
      </x:c>
      <x:c r="C409" s="215" t="str">
        <x:v>Family-wide, variable</x:v>
      </x:c>
      <x:c r="D409" s="215" t="str">
        <x:v>Corolla</x:v>
      </x:c>
      <x:c r="E409" s="215" t="str">
        <x:v>Five petals free or fused to varying degrees; lobes often clawed or contorted</x:v>
      </x:c>
      <x:c r="F409" s="215" t="str">
        <x:v>Supporting</x:v>
      </x:c>
      <x:c r="G409" s="215" t="str">
        <x:v>3</x:v>
      </x:c>
      <x:c r="H409" s="215" t="str">
        <x:v>Moderate</x:v>
      </x:c>
      <x:c r="I409" s="215" t="str">
        <x:v>Naked eye or hand lens</x:v>
      </x:c>
      <x:c r="J409" s="215" t="str">
        <x:v>Fresh flowers</x:v>
      </x:c>
      <x:c r="K409" s="215" t="str">
        <x:v>The corolla has five prominent parts, sometimes joined into a tube.</x:v>
      </x:c>
      <x:c r="L409" s="215" t="str">
        <x:v>Plumbago and Limonium-type lineages differ substantially in fusion and form.</x:v>
      </x:c>
      <x:c r="M409" s="215" t="str">
        <x:v>Do not make corolla fusion a universal rule; pair with calyx and stamens.</x:v>
      </x:c>
      <x:c r="N409" s="215" t="str">
        <x:v>Useful for routing local versus cultivated-looking material.</x:v>
      </x:c>
      <x:c r="O409" s="215" t="str">
        <x:v>Medium</x:v>
      </x:c>
      <x:c r="P409" s="215" t="str">
        <x:v>No</x:v>
      </x:c>
      <x:c r="Q409" s="215" t="str"/>
      <x:c r="R409" s="215" t="str">
        <x:v>PLU-LK01; PLU-LK02</x:v>
      </x:c>
      <x:c r="S409" s="215" t="str">
        <x:v>APWEB-PLUM; FNA-PLUM; POWO-PLUM; LBJ-HAYS</x:v>
      </x:c>
      <x:c r="T409" s="215" t="str">
        <x:v>https://www.mobot.org/MOBOT/research/APweb/orders/caryophyllalesweb.htm</x:v>
      </x:c>
      <x:c r="U409" s="215" t="str">
        <x:v>https://floranorthamerica.org/Plumbaginaceae</x:v>
      </x:c>
      <x:c r="V409" s="215" t="str">
        <x:v>https://powo.science.kew.org/taxon/urn:lsid:ipni.org:names:30000293-2/general-information</x:v>
      </x:c>
      <x:c r="W409" s="215" t="str">
        <x:v>https://www.mobot.org/MOBOT/research/APweb/orders/caryophyllalesweb.htm
https://floranorthamerica.org/Plumbaginaceae
https://powo.science.kew.org/taxon/urn:lsid:ipni.org:names:30000293-2/general-information
https://www.wildflower.org/collections/collection.php?collection=hays</x:v>
      </x:c>
      <x:c r="X409" s="215" t="str">
        <x:v>No — retain qualifiers and exceptions</x:v>
      </x:c>
      <x:c r="Y409" s="215" t="str">
        <x:v>Yes</x:v>
      </x:c>
      <x:c r="Z409" s="215" t="str">
        <x:v>Source-backed draft</x:v>
      </x:c>
      <x:c r="AA409" s="215" t="str">
        <x:v>Family pattern</x:v>
      </x:c>
      <x:c r="AB409" s="215" t="str">
        <x:v>Supporting / route</x:v>
      </x:c>
      <x:c r="AC409" s="215" t="str">
        <x:v>Moderate</x:v>
      </x:c>
      <x:c r="AD409" s="215" t="str">
        <x:v>Hand lens / macro</x:v>
      </x:c>
      <x:c r="AE409" s="215" t="str">
        <x:v>Moderate</x:v>
      </x:c>
      <x:c r="AF409" s="215" t="str">
        <x:v>Field-ready draft</x:v>
      </x:c>
      <x:c r="AG409" s="215" t="str">
        <x:v>3 — Reference support</x:v>
      </x:c>
      <x:c r="AH409" s="215" t="str">
        <x:v>Reference expansion</x:v>
      </x:c>
    </x:row>
    <x:row r="410" ht="42" customHeight="1">
      <x:c r="A410" s="215" t="str">
        <x:v>Plumbaginaceae</x:v>
      </x:c>
      <x:c r="B410" s="215" t="str">
        <x:v>PLU-STAMENS</x:v>
      </x:c>
      <x:c r="C410" s="215" t="str">
        <x:v>Family-wide</x:v>
      </x:c>
      <x:c r="D410" s="215" t="str">
        <x:v>Androecium</x:v>
      </x:c>
      <x:c r="E410" s="215" t="str">
        <x:v>Five stamens opposite the petals or corolla lobes</x:v>
      </x:c>
      <x:c r="F410" s="215" t="str">
        <x:v>Core</x:v>
      </x:c>
      <x:c r="G410" s="215" t="str">
        <x:v>5</x:v>
      </x:c>
      <x:c r="H410" s="215" t="str">
        <x:v>High</x:v>
      </x:c>
      <x:c r="I410" s="215" t="str">
        <x:v>Hand lens</x:v>
      </x:c>
      <x:c r="J410" s="215" t="str">
        <x:v>Fresh open flowers</x:v>
      </x:c>
      <x:c r="K410" s="215" t="str">
        <x:v>Each stamen aligns with a petal rather than alternating with it.</x:v>
      </x:c>
      <x:c r="L410" s="215" t="str">
        <x:v>Attachment to the corolla varies and the relationship may be hard to see in tiny flowers.</x:v>
      </x:c>
      <x:c r="M410" s="215" t="str">
        <x:v>A high-value diagnostic character when an intact flower is available.</x:v>
      </x:c>
      <x:c r="N410" s="215" t="str">
        <x:v>Strong confirmation for Hays Plumbago-type material.</x:v>
      </x:c>
      <x:c r="O410" s="215" t="str">
        <x:v>Low</x:v>
      </x:c>
      <x:c r="P410" s="215" t="str">
        <x:v>No</x:v>
      </x:c>
      <x:c r="Q410" s="215" t="str"/>
      <x:c r="R410" s="215" t="str">
        <x:v>PLU-LK01; PLU-LK02</x:v>
      </x:c>
      <x:c r="S410" s="215" t="str">
        <x:v>APWEB-PLUM; FNA-PLUM; POWO-PLUM; LBJ-HAYS</x:v>
      </x:c>
      <x:c r="T410" s="215" t="str">
        <x:v>https://www.mobot.org/MOBOT/research/APweb/orders/caryophyllalesweb.htm</x:v>
      </x:c>
      <x:c r="U410" s="215" t="str">
        <x:v>https://floranorthamerica.org/Plumbaginaceae</x:v>
      </x:c>
      <x:c r="V410" s="215" t="str">
        <x:v>https://powo.science.kew.org/taxon/urn:lsid:ipni.org:names:30000293-2/general-information</x:v>
      </x:c>
      <x:c r="W410" s="215" t="str">
        <x:v>https://www.mobot.org/MOBOT/research/APweb/orders/caryophyllalesweb.htm
https://floranorthamerica.org/Plumbaginaceae
https://powo.science.kew.org/taxon/urn:lsid:ipni.org:names:30000293-2/general-information
https://www.wildflower.org/collections/collection.php?collection=hays</x:v>
      </x:c>
      <x:c r="X410" s="215" t="str">
        <x:v>No — retain qualifiers and exceptions</x:v>
      </x:c>
      <x:c r="Y410" s="215" t="str">
        <x:v>Yes</x:v>
      </x:c>
      <x:c r="Z410" s="215" t="str">
        <x:v>Source-backed draft</x:v>
      </x:c>
      <x:c r="AA410" s="215" t="str">
        <x:v>Family pattern</x:v>
      </x:c>
      <x:c r="AB410" s="215" t="str">
        <x:v>Positive diagnostic</x:v>
      </x:c>
      <x:c r="AC410" s="215" t="str">
        <x:v>High</x:v>
      </x:c>
      <x:c r="AD410" s="215" t="str">
        <x:v>Hand lens / macro</x:v>
      </x:c>
      <x:c r="AE410" s="215" t="str">
        <x:v>Low</x:v>
      </x:c>
      <x:c r="AF410" s="215" t="str">
        <x:v>Field-ready draft</x:v>
      </x:c>
      <x:c r="AG410" s="215" t="str">
        <x:v>2 — Field-photo priority</x:v>
      </x:c>
      <x:c r="AH410" s="215" t="str">
        <x:v>Reference expansion</x:v>
      </x:c>
    </x:row>
    <x:row r="411" ht="42" customHeight="1">
      <x:c r="A411" s="215" t="str">
        <x:v>Plumbaginaceae</x:v>
      </x:c>
      <x:c r="B411" s="215" t="str">
        <x:v>PLU-OVARY</x:v>
      </x:c>
      <x:c r="C411" s="215" t="str">
        <x:v>Family-wide</x:v>
      </x:c>
      <x:c r="D411" s="215" t="str">
        <x:v>Gynoecium</x:v>
      </x:c>
      <x:c r="E411" s="215" t="str">
        <x:v>Ovary superior, one-locular, with one basal ovule</x:v>
      </x:c>
      <x:c r="F411" s="215" t="str">
        <x:v>Core</x:v>
      </x:c>
      <x:c r="G411" s="215" t="str">
        <x:v>5</x:v>
      </x:c>
      <x:c r="H411" s="215" t="str">
        <x:v>High</x:v>
      </x:c>
      <x:c r="I411" s="215" t="str">
        <x:v>Hand lens or dissection</x:v>
      </x:c>
      <x:c r="J411" s="215" t="str">
        <x:v>Flowering or young fruit</x:v>
      </x:c>
      <x:c r="K411" s="215" t="str">
        <x:v>A single chamber contains one ovule attached at the base.</x:v>
      </x:c>
      <x:c r="L411" s="215" t="str">
        <x:v>The ovule and chamber may require dissection; style arrangement varies strongly.</x:v>
      </x:c>
      <x:c r="M411" s="215" t="str">
        <x:v>Use with persistent calyx and one-seeded fruit to separate close Caryophyllales lookalikes.</x:v>
      </x:c>
      <x:c r="N411" s="215" t="str">
        <x:v>High-value confirmation when local material is ambiguous.</x:v>
      </x:c>
      <x:c r="O411" s="215" t="str">
        <x:v>Low</x:v>
      </x:c>
      <x:c r="P411" s="215" t="str">
        <x:v>No</x:v>
      </x:c>
      <x:c r="Q411" s="215" t="str"/>
      <x:c r="R411" s="215" t="str">
        <x:v>PLU-LK01; PLU-LK02</x:v>
      </x:c>
      <x:c r="S411" s="215" t="str">
        <x:v>APWEB-PLUM; FNA-PLUM; POWO-PLUM; LBJ-HAYS</x:v>
      </x:c>
      <x:c r="T411" s="215" t="str">
        <x:v>https://www.mobot.org/MOBOT/research/APweb/orders/caryophyllalesweb.htm</x:v>
      </x:c>
      <x:c r="U411" s="215" t="str">
        <x:v>https://floranorthamerica.org/Plumbaginaceae</x:v>
      </x:c>
      <x:c r="V411" s="215" t="str">
        <x:v>https://powo.science.kew.org/taxon/urn:lsid:ipni.org:names:30000293-2/general-information</x:v>
      </x:c>
      <x:c r="W411" s="215" t="str">
        <x:v>https://www.mobot.org/MOBOT/research/APweb/orders/caryophyllalesweb.htm
https://floranorthamerica.org/Plumbaginaceae
https://powo.science.kew.org/taxon/urn:lsid:ipni.org:names:30000293-2/general-information
https://www.wildflower.org/collections/collection.php?collection=hays</x:v>
      </x:c>
      <x:c r="X411" s="215" t="str">
        <x:v>No — retain qualifiers and exceptions</x:v>
      </x:c>
      <x:c r="Y411" s="215" t="str">
        <x:v>Yes</x:v>
      </x:c>
      <x:c r="Z411" s="215" t="str">
        <x:v>Source-backed draft</x:v>
      </x:c>
      <x:c r="AA411" s="215" t="str">
        <x:v>Family pattern</x:v>
      </x:c>
      <x:c r="AB411" s="215" t="str">
        <x:v>Positive diagnostic</x:v>
      </x:c>
      <x:c r="AC411" s="215" t="str">
        <x:v>High</x:v>
      </x:c>
      <x:c r="AD411" s="215" t="str">
        <x:v>Dissection</x:v>
      </x:c>
      <x:c r="AE411" s="215" t="str">
        <x:v>Low</x:v>
      </x:c>
      <x:c r="AF411" s="215" t="str">
        <x:v>Dissection / close study</x:v>
      </x:c>
      <x:c r="AG411" s="215" t="str">
        <x:v>3 — Reference support</x:v>
      </x:c>
      <x:c r="AH411" s="215" t="str">
        <x:v>Reference expansion</x:v>
      </x:c>
    </x:row>
    <x:row r="412" ht="42" customHeight="1">
      <x:c r="A412" s="215" t="str">
        <x:v>Plumbaginaceae</x:v>
      </x:c>
      <x:c r="B412" s="215" t="str">
        <x:v>PLU-FRUIT</x:v>
      </x:c>
      <x:c r="C412" s="215" t="str">
        <x:v>Family-wide</x:v>
      </x:c>
      <x:c r="D412" s="215" t="str">
        <x:v>Fruit</x:v>
      </x:c>
      <x:c r="E412" s="215" t="str">
        <x:v>One-seeded achene, utricle, or circumscissile capsule enclosed by the persistent calyx</x:v>
      </x:c>
      <x:c r="F412" s="215" t="str">
        <x:v>Core</x:v>
      </x:c>
      <x:c r="G412" s="215" t="str">
        <x:v>5</x:v>
      </x:c>
      <x:c r="H412" s="215" t="str">
        <x:v>High</x:v>
      </x:c>
      <x:c r="I412" s="215" t="str">
        <x:v>Hand lens</x:v>
      </x:c>
      <x:c r="J412" s="215" t="str">
        <x:v>Mature fruit</x:v>
      </x:c>
      <x:c r="K412" s="215" t="str">
        <x:v>The small one-seeded fruit remains wrapped in the calyx and may open around its circumference.</x:v>
      </x:c>
      <x:c r="L412" s="215" t="str">
        <x:v>Fruit terminology and dehiscence vary by subgroup; immature fruits are difficult.</x:v>
      </x:c>
      <x:c r="M412" s="215" t="str">
        <x:v>Use mature fruit with the single basal ovule and opposite-petal stamens.</x:v>
      </x:c>
      <x:c r="N412" s="215" t="str">
        <x:v>Very useful for confirming local Plumbago-type plants after flowering.</x:v>
      </x:c>
      <x:c r="O412" s="215" t="str">
        <x:v>Low</x:v>
      </x:c>
      <x:c r="P412" s="215" t="str">
        <x:v>No</x:v>
      </x:c>
      <x:c r="Q412" s="215" t="str"/>
      <x:c r="R412" s="215" t="str">
        <x:v>PLU-LK01; PLU-LK02</x:v>
      </x:c>
      <x:c r="S412" s="215" t="str">
        <x:v>APWEB-PLUM; FNA-PLUM; POWO-PLUM; LBJ-HAYS</x:v>
      </x:c>
      <x:c r="T412" s="215" t="str">
        <x:v>https://www.mobot.org/MOBOT/research/APweb/orders/caryophyllalesweb.htm</x:v>
      </x:c>
      <x:c r="U412" s="215" t="str">
        <x:v>https://floranorthamerica.org/Plumbaginaceae</x:v>
      </x:c>
      <x:c r="V412" s="215" t="str">
        <x:v>https://powo.science.kew.org/taxon/urn:lsid:ipni.org:names:30000293-2/general-information</x:v>
      </x:c>
      <x:c r="W412" s="215" t="str">
        <x:v>https://www.mobot.org/MOBOT/research/APweb/orders/caryophyllalesweb.htm
https://floranorthamerica.org/Plumbaginaceae
https://powo.science.kew.org/taxon/urn:lsid:ipni.org:names:30000293-2/general-information
https://www.wildflower.org/collections/collection.php?collection=hays</x:v>
      </x:c>
      <x:c r="X412" s="215" t="str">
        <x:v>No — retain qualifiers and exceptions</x:v>
      </x:c>
      <x:c r="Y412" s="215" t="str">
        <x:v>Yes</x:v>
      </x:c>
      <x:c r="Z412" s="215" t="str">
        <x:v>Source-backed draft</x:v>
      </x:c>
      <x:c r="AA412" s="215" t="str">
        <x:v>Family pattern</x:v>
      </x:c>
      <x:c r="AB412" s="215" t="str">
        <x:v>Positive diagnostic</x:v>
      </x:c>
      <x:c r="AC412" s="215" t="str">
        <x:v>High</x:v>
      </x:c>
      <x:c r="AD412" s="215" t="str">
        <x:v>Hand lens / macro</x:v>
      </x:c>
      <x:c r="AE412" s="215" t="str">
        <x:v>Low</x:v>
      </x:c>
      <x:c r="AF412" s="215" t="str">
        <x:v>Field-ready draft</x:v>
      </x:c>
      <x:c r="AG412" s="215" t="str">
        <x:v>2 — Field-photo priority</x:v>
      </x:c>
      <x:c r="AH412" s="215" t="str">
        <x:v>Reference expansion</x:v>
      </x:c>
    </x:row>
    <x:row r="413" ht="42" customHeight="1">
      <x:c r="A413" s="215" t="str">
        <x:v>Plumbaginaceae</x:v>
      </x:c>
      <x:c r="B413" s="215" t="str">
        <x:v>PLU-LK01</x:v>
      </x:c>
      <x:c r="C413" s="215" t="str">
        <x:v>Lookalike comparison</x:v>
      </x:c>
      <x:c r="D413" s="215" t="str">
        <x:v>Lookalike</x:v>
      </x:c>
      <x:c r="E413" s="215" t="str">
        <x:v>Versus Polygonaceae: five stamens opposite petals and a fused persistent calyx favor Plumbaginaceae; ochrea and tepals favor Polygonaceae</x:v>
      </x:c>
      <x:c r="F413" s="215" t="str">
        <x:v>Lookalike</x:v>
      </x:c>
      <x:c r="G413" s="215" t="str">
        <x:v>5</x:v>
      </x:c>
      <x:c r="H413" s="215" t="str">
        <x:v>High</x:v>
      </x:c>
      <x:c r="I413" s="215" t="str">
        <x:v>Hand lens</x:v>
      </x:c>
      <x:c r="J413" s="215" t="str">
        <x:v>Flowering or fruiting</x:v>
      </x:c>
      <x:c r="K413" s="215" t="str">
        <x:v>Both are close Caryophyllales relatives with one-seeded fruits, but their nodal sheaths and floral whorls differ.</x:v>
      </x:c>
      <x:c r="L413" s="215" t="str">
        <x:v>Ochreae can be absent or damaged in Polygonaceae, and tiny flowers require magnification.</x:v>
      </x:c>
      <x:c r="M413" s="215" t="str">
        <x:v>Use node, stamen alignment, and calyx structure together.</x:v>
      </x:c>
      <x:c r="N413" s="215" t="str">
        <x:v>Polygonaceae already has first-pass coverage, enabling reciprocal QA.</x:v>
      </x:c>
      <x:c r="O413" s="215" t="str">
        <x:v>Low</x:v>
      </x:c>
      <x:c r="P413" s="215" t="str">
        <x:v>No</x:v>
      </x:c>
      <x:c r="Q413" s="215" t="str"/>
      <x:c r="R413" s="215" t="str">
        <x:v>PLU-CALYX; PLU-STAMENS; PLU-OVARY</x:v>
      </x:c>
      <x:c r="S413" s="215" t="str">
        <x:v>APWEB-PLUM; FNA-PLUM; POWO-PLUM; LBJ-HAYS</x:v>
      </x:c>
      <x:c r="T413" s="215" t="str">
        <x:v>https://www.mobot.org/MOBOT/research/APweb/orders/caryophyllalesweb.htm</x:v>
      </x:c>
      <x:c r="U413" s="215" t="str">
        <x:v>https://floranorthamerica.org/Plumbaginaceae</x:v>
      </x:c>
      <x:c r="V413" s="215" t="str">
        <x:v>https://powo.science.kew.org/taxon/urn:lsid:ipni.org:names:30000293-2/general-information</x:v>
      </x:c>
      <x:c r="W413" s="215" t="str">
        <x:v>https://www.mobot.org/MOBOT/research/APweb/orders/caryophyllalesweb.htm
https://floranorthamerica.org/Plumbaginaceae
https://powo.science.kew.org/taxon/urn:lsid:ipni.org:names:30000293-2/general-information
https://www.wildflower.org/collections/collection.php?collection=hays</x:v>
      </x:c>
      <x:c r="X413" s="215" t="str">
        <x:v>No — retain qualifiers and exceptions</x:v>
      </x:c>
      <x:c r="Y413" s="215" t="str">
        <x:v>Yes</x:v>
      </x:c>
      <x:c r="Z413" s="215" t="str">
        <x:v>Source-backed draft</x:v>
      </x:c>
      <x:c r="AA413" s="215" t="str">
        <x:v>Lookalike comparison</x:v>
      </x:c>
      <x:c r="AB413" s="215" t="str">
        <x:v>Contrast / lookalike</x:v>
      </x:c>
      <x:c r="AC413" s="215" t="str">
        <x:v>High</x:v>
      </x:c>
      <x:c r="AD413" s="215" t="str">
        <x:v>Hand lens / macro</x:v>
      </x:c>
      <x:c r="AE413" s="215" t="str">
        <x:v>Low</x:v>
      </x:c>
      <x:c r="AF413" s="215" t="str">
        <x:v>Field-ready draft</x:v>
      </x:c>
      <x:c r="AG413" s="215" t="str">
        <x:v>2 — Field-photo priority</x:v>
      </x:c>
      <x:c r="AH413" s="215" t="str">
        <x:v>Reference expansion</x:v>
      </x:c>
    </x:row>
    <x:row r="414" ht="42" customHeight="1">
      <x:c r="A414" s="215" t="str">
        <x:v>Plumbaginaceae</x:v>
      </x:c>
      <x:c r="B414" s="215" t="str">
        <x:v>PLU-LK02</x:v>
      </x:c>
      <x:c r="C414" s="215" t="str">
        <x:v>Lookalike comparison</x:v>
      </x:c>
      <x:c r="D414" s="215" t="str">
        <x:v>Lookalike</x:v>
      </x:c>
      <x:c r="E414" s="215" t="str">
        <x:v>Versus Primulaceae: stamen position may overlap, so persistent ribbed/glandular calyx plus one basal ovule is decisive</x:v>
      </x:c>
      <x:c r="F414" s="215" t="str">
        <x:v>Lookalike</x:v>
      </x:c>
      <x:c r="G414" s="215" t="str">
        <x:v>4</x:v>
      </x:c>
      <x:c r="H414" s="215" t="str">
        <x:v>Moderate</x:v>
      </x:c>
      <x:c r="I414" s="215" t="str">
        <x:v>Hand lens or dissection</x:v>
      </x:c>
      <x:c r="J414" s="215" t="str">
        <x:v>Flowering or fruiting</x:v>
      </x:c>
      <x:c r="K414" s="215" t="str">
        <x:v>Both may show stamens opposite corolla lobes; Plumbaginaceae is supported by its persistent calyx and single basal ovule.</x:v>
      </x:c>
      <x:c r="L414" s="215" t="str">
        <x:v>Dissection may be necessary and Primulaceae fruit usually has more ovules and seeds.</x:v>
      </x:c>
      <x:c r="M414" s="215" t="str">
        <x:v>Retain uncertainty until ovary or mature fruit is available.</x:v>
      </x:c>
      <x:c r="N414" s="215" t="str">
        <x:v>Primulaceae has not yet received reciprocal first-pass evidence rows.</x:v>
      </x:c>
      <x:c r="O414" s="215" t="str">
        <x:v>Medium</x:v>
      </x:c>
      <x:c r="P414" s="215" t="str">
        <x:v>Yes</x:v>
      </x:c>
      <x:c r="Q414" s="215" t="str">
        <x:v>Reciprocal Primulaceae family evidence and local lookalike coverage are not yet in the master.</x:v>
      </x:c>
      <x:c r="R414" s="215" t="str">
        <x:v>PLU-CALYX; PLU-STAMENS; PLU-OVARY; PLU-FRUIT</x:v>
      </x:c>
      <x:c r="S414" s="215" t="str">
        <x:v>APWEB-PLUM; FNA-PLUM; POWO-PLUM; LBJ-HAYS</x:v>
      </x:c>
      <x:c r="T414" s="215" t="str">
        <x:v>https://www.mobot.org/MOBOT/research/APweb/orders/caryophyllalesweb.htm</x:v>
      </x:c>
      <x:c r="U414" s="215" t="str">
        <x:v>https://floranorthamerica.org/Plumbaginaceae</x:v>
      </x:c>
      <x:c r="V414" s="215" t="str">
        <x:v>https://powo.science.kew.org/taxon/urn:lsid:ipni.org:names:30000293-2/general-information</x:v>
      </x:c>
      <x:c r="W414" s="215" t="str">
        <x:v>https://www.mobot.org/MOBOT/research/APweb/orders/caryophyllalesweb.htm
https://floranorthamerica.org/Plumbaginaceae
https://powo.science.kew.org/taxon/urn:lsid:ipni.org:names:30000293-2/general-information
https://www.wildflower.org/collections/collection.php?collection=hays</x:v>
      </x:c>
      <x:c r="X414" s="215" t="str">
        <x:v>No — retain qualifiers and exceptions</x:v>
      </x:c>
      <x:c r="Y414" s="215" t="str">
        <x:v>Yes</x:v>
      </x:c>
      <x:c r="Z414" s="215" t="str">
        <x:v>Human review required</x:v>
      </x:c>
      <x:c r="AA414" s="215" t="str">
        <x:v>Lookalike comparison</x:v>
      </x:c>
      <x:c r="AB414" s="215" t="str">
        <x:v>Contrast / lookalike</x:v>
      </x:c>
      <x:c r="AC414" s="215" t="str">
        <x:v>Moderate</x:v>
      </x:c>
      <x:c r="AD414" s="215" t="str">
        <x:v>Dissection</x:v>
      </x:c>
      <x:c r="AE414" s="215" t="str">
        <x:v>Moderate</x:v>
      </x:c>
      <x:c r="AF414" s="215" t="str">
        <x:v>Use only after review</x:v>
      </x:c>
      <x:c r="AG414" s="215" t="str">
        <x:v>1 — Human review now</x:v>
      </x:c>
      <x:c r="AH414" s="215" t="str">
        <x:v>Reference expansion</x:v>
      </x:c>
    </x:row>
    <x:row r="415" ht="42" customHeight="1">
      <x:c r="A415" s="215" t="str">
        <x:v>Rutaceae</x:v>
      </x:c>
      <x:c r="B415" s="215" t="str">
        <x:v>RUT-HABIT</x:v>
      </x:c>
      <x:c r="C415" s="215" t="str">
        <x:v>Family-wide, predominant</x:v>
      </x:c>
      <x:c r="D415" s="215" t="str">
        <x:v>Habit</x:v>
      </x:c>
      <x:c r="E415" s="215" t="str">
        <x:v>Mostly trees or shrubs; spines or prickles sometimes present</x:v>
      </x:c>
      <x:c r="F415" s="215" t="str">
        <x:v>Supporting</x:v>
      </x:c>
      <x:c r="G415" s="215" t="str">
        <x:v>2</x:v>
      </x:c>
      <x:c r="H415" s="215" t="str">
        <x:v>High</x:v>
      </x:c>
      <x:c r="I415" s="215" t="str">
        <x:v>Naked eye</x:v>
      </x:c>
      <x:c r="J415" s="215" t="str">
        <x:v>Any season</x:v>
      </x:c>
      <x:c r="K415" s="215" t="str">
        <x:v>Most local members are woody and some are armed.</x:v>
      </x:c>
      <x:c r="L415" s="215" t="str">
        <x:v>The family also contains lianas and occasional herbs; armature is not required.</x:v>
      </x:c>
      <x:c r="M415" s="215" t="str">
        <x:v>Use as an entry cue, then confirm oil glands, odor, flowers, and fruit.</x:v>
      </x:c>
      <x:c r="N415" s="215" t="str">
        <x:v>Relevant to Ptelea-, Zanthoxylum-, and other native rue-family routes carried for Hays County.</x:v>
      </x:c>
      <x:c r="O415" s="215" t="str">
        <x:v>Low</x:v>
      </x:c>
      <x:c r="P415" s="215" t="str">
        <x:v>No</x:v>
      </x:c>
      <x:c r="Q415" s="215" t="str"/>
      <x:c r="R415" s="215" t="str">
        <x:v>RUT-LK01; RUT-LK02</x:v>
      </x:c>
      <x:c r="S415" s="215" t="str">
        <x:v>APWEB-RUTA; POWO-RUTA; LBJ-HAYS</x:v>
      </x:c>
      <x:c r="T415" s="215" t="str">
        <x:v>https://www.mobot.org/MOBOT/research/APweb/orders/sapindalesweb.htm</x:v>
      </x:c>
      <x:c r="U415" s="215" t="str">
        <x:v>https://powo.science.kew.org/taxon/urn:lsid:ipni.org:names:30001492-2/general-information</x:v>
      </x:c>
      <x:c r="V415" s="215" t="str">
        <x:v>https://powo.science.kew.org/taxon/urn:lsid:ipni.org:names:30001492-2</x:v>
      </x:c>
      <x:c r="W415" s="215" t="str">
        <x:v>https://www.mobot.org/MOBOT/research/APweb/orders/sapindalesweb.htm
https://powo.science.kew.org/taxon/urn:lsid:ipni.org:names:30001492-2/general-information
https://powo.science.kew.org/taxon/urn:lsid:ipni.org:names:30001492-2
https://www.wildflower.org/collections/collection.php?collection=hays</x:v>
      </x:c>
      <x:c r="X415" s="215" t="str">
        <x:v>No — retain qualifiers and exceptions</x:v>
      </x:c>
      <x:c r="Y415" s="215" t="str">
        <x:v>Yes</x:v>
      </x:c>
      <x:c r="Z415" s="215" t="str">
        <x:v>Source-backed draft</x:v>
      </x:c>
      <x:c r="AA415" s="215" t="str">
        <x:v>Family pattern</x:v>
      </x:c>
      <x:c r="AB415" s="215" t="str">
        <x:v>Supporting / route</x:v>
      </x:c>
      <x:c r="AC415" s="215" t="str">
        <x:v>High</x:v>
      </x:c>
      <x:c r="AD415" s="215" t="str">
        <x:v>Naked eye / field</x:v>
      </x:c>
      <x:c r="AE415" s="215" t="str">
        <x:v>Low</x:v>
      </x:c>
      <x:c r="AF415" s="215" t="str">
        <x:v>Field-ready draft</x:v>
      </x:c>
      <x:c r="AG415" s="215" t="str">
        <x:v>4 — Context / caution</x:v>
      </x:c>
      <x:c r="AH415" s="215" t="str">
        <x:v>Current master inventory</x:v>
      </x:c>
    </x:row>
    <x:row r="416" ht="42" customHeight="1">
      <x:c r="A416" s="215" t="str">
        <x:v>Rutaceae</x:v>
      </x:c>
      <x:c r="B416" s="215" t="str">
        <x:v>RUT-GLANDS</x:v>
      </x:c>
      <x:c r="C416" s="215" t="str">
        <x:v>Family-wide, predominant</x:v>
      </x:c>
      <x:c r="D416" s="215" t="str">
        <x:v>Leaf / gland</x:v>
      </x:c>
      <x:c r="E416" s="215" t="str">
        <x:v>Pellucid aromatic oil-gland dots commonly visible in leaves and other organs</x:v>
      </x:c>
      <x:c r="F416" s="215" t="str">
        <x:v>Core</x:v>
      </x:c>
      <x:c r="G416" s="215" t="str">
        <x:v>5</x:v>
      </x:c>
      <x:c r="H416" s="215" t="str">
        <x:v>High</x:v>
      </x:c>
      <x:c r="I416" s="215" t="str">
        <x:v>Backlighting or hand lens</x:v>
      </x:c>
      <x:c r="J416" s="215" t="str">
        <x:v>Fresh leaves, flowers, or fruit</x:v>
      </x:c>
      <x:c r="K416" s="215" t="str">
        <x:v>Translucent or oily dots can often be seen when a leaf is held to light.</x:v>
      </x:c>
      <x:c r="L416" s="215" t="str">
        <x:v>Dots may be concentrated near margins, appear as pits, or be hard to see in thick or weathered material.</x:v>
      </x:c>
      <x:c r="M416" s="215" t="str">
        <x:v>A high-value cue against other compound-leaved Sapindales; confirm with odor and floral structure.</x:v>
      </x:c>
      <x:c r="N416" s="215" t="str">
        <x:v>Highly practical for local wafer-ash and prickly-ash relatives.</x:v>
      </x:c>
      <x:c r="O416" s="215" t="str">
        <x:v>Low</x:v>
      </x:c>
      <x:c r="P416" s="215" t="str">
        <x:v>No</x:v>
      </x:c>
      <x:c r="Q416" s="215" t="str"/>
      <x:c r="R416" s="215" t="str">
        <x:v>RUT-LK01; RUT-LK02</x:v>
      </x:c>
      <x:c r="S416" s="215" t="str">
        <x:v>APWEB-RUTA; POWO-RUTA; LBJ-HAYS</x:v>
      </x:c>
      <x:c r="T416" s="215" t="str">
        <x:v>https://www.mobot.org/MOBOT/research/APweb/orders/sapindalesweb.htm</x:v>
      </x:c>
      <x:c r="U416" s="215" t="str">
        <x:v>https://powo.science.kew.org/taxon/urn:lsid:ipni.org:names:30001492-2/general-information</x:v>
      </x:c>
      <x:c r="V416" s="215" t="str">
        <x:v>https://powo.science.kew.org/taxon/urn:lsid:ipni.org:names:30001492-2</x:v>
      </x:c>
      <x:c r="W416" s="215" t="str">
        <x:v>https://www.mobot.org/MOBOT/research/APweb/orders/sapindalesweb.htm
https://powo.science.kew.org/taxon/urn:lsid:ipni.org:names:30001492-2/general-information
https://powo.science.kew.org/taxon/urn:lsid:ipni.org:names:30001492-2
https://www.wildflower.org/collections/collection.php?collection=hays</x:v>
      </x:c>
      <x:c r="X416" s="215" t="str">
        <x:v>No — retain qualifiers and exceptions</x:v>
      </x:c>
      <x:c r="Y416" s="215" t="str">
        <x:v>Yes</x:v>
      </x:c>
      <x:c r="Z416" s="215" t="str">
        <x:v>Source-backed draft</x:v>
      </x:c>
      <x:c r="AA416" s="215" t="str">
        <x:v>Family pattern</x:v>
      </x:c>
      <x:c r="AB416" s="215" t="str">
        <x:v>Positive diagnostic</x:v>
      </x:c>
      <x:c r="AC416" s="215" t="str">
        <x:v>High</x:v>
      </x:c>
      <x:c r="AD416" s="215" t="str">
        <x:v>Hand lens / macro</x:v>
      </x:c>
      <x:c r="AE416" s="215" t="str">
        <x:v>Low</x:v>
      </x:c>
      <x:c r="AF416" s="215" t="str">
        <x:v>Field-ready draft</x:v>
      </x:c>
      <x:c r="AG416" s="215" t="str">
        <x:v>2 — Field-photo priority</x:v>
      </x:c>
      <x:c r="AH416" s="215" t="str">
        <x:v>Current master inventory</x:v>
      </x:c>
    </x:row>
    <x:row r="417" ht="42" customHeight="1">
      <x:c r="A417" s="215" t="str">
        <x:v>Rutaceae</x:v>
      </x:c>
      <x:c r="B417" s="215" t="str">
        <x:v>RUT-ODOR</x:v>
      </x:c>
      <x:c r="C417" s="215" t="str">
        <x:v>Family-wide, common</x:v>
      </x:c>
      <x:c r="D417" s="215" t="str">
        <x:v>Odor</x:v>
      </x:c>
      <x:c r="E417" s="215" t="str">
        <x:v>Fresh tissue often strongly citrus-like or rank-aromatic</x:v>
      </x:c>
      <x:c r="F417" s="215" t="str">
        <x:v>Strong</x:v>
      </x:c>
      <x:c r="G417" s="215" t="str">
        <x:v>4</x:v>
      </x:c>
      <x:c r="H417" s="215" t="str">
        <x:v>Moderate</x:v>
      </x:c>
      <x:c r="I417" s="215" t="str">
        <x:v>Odor; avoid unnecessary crushing</x:v>
      </x:c>
      <x:c r="J417" s="215" t="str">
        <x:v>Fresh naturally damaged material</x:v>
      </x:c>
      <x:c r="K417" s="215" t="str">
        <x:v>Aromatic oils often create a citrus or resin-spice scent.</x:v>
      </x:c>
      <x:c r="L417" s="215" t="str">
        <x:v>Odor strength varies; tasting is inappropriate and crushing is unnecessary when gland dots are visible.</x:v>
      </x:c>
      <x:c r="M417" s="215" t="str">
        <x:v>Use opportunistically with pellucid dots; absence of odor does not reject the family.</x:v>
      </x:c>
      <x:c r="N417" s="215" t="str">
        <x:v>Useful but secondary for Hays field material.</x:v>
      </x:c>
      <x:c r="O417" s="215" t="str">
        <x:v>Low</x:v>
      </x:c>
      <x:c r="P417" s="215" t="str">
        <x:v>No</x:v>
      </x:c>
      <x:c r="Q417" s="215" t="str"/>
      <x:c r="R417" s="215" t="str">
        <x:v>RUT-LK01; RUT-LK02</x:v>
      </x:c>
      <x:c r="S417" s="215" t="str">
        <x:v>APWEB-RUTA; POWO-RUTA; LBJ-HAYS</x:v>
      </x:c>
      <x:c r="T417" s="215" t="str">
        <x:v>https://www.mobot.org/MOBOT/research/APweb/orders/sapindalesweb.htm</x:v>
      </x:c>
      <x:c r="U417" s="215" t="str">
        <x:v>https://powo.science.kew.org/taxon/urn:lsid:ipni.org:names:30001492-2/general-information</x:v>
      </x:c>
      <x:c r="V417" s="215" t="str">
        <x:v>https://powo.science.kew.org/taxon/urn:lsid:ipni.org:names:30001492-2</x:v>
      </x:c>
      <x:c r="W417" s="215" t="str">
        <x:v>https://www.mobot.org/MOBOT/research/APweb/orders/sapindalesweb.htm
https://powo.science.kew.org/taxon/urn:lsid:ipni.org:names:30001492-2/general-information
https://powo.science.kew.org/taxon/urn:lsid:ipni.org:names:30001492-2
https://www.wildflower.org/collections/collection.php?collection=hays</x:v>
      </x:c>
      <x:c r="X417" s="215" t="str">
        <x:v>No — retain qualifiers and exceptions</x:v>
      </x:c>
      <x:c r="Y417" s="215" t="str">
        <x:v>Yes</x:v>
      </x:c>
      <x:c r="Z417" s="215" t="str">
        <x:v>Source-backed draft</x:v>
      </x:c>
      <x:c r="AA417" s="215" t="str">
        <x:v>Family pattern</x:v>
      </x:c>
      <x:c r="AB417" s="215" t="str">
        <x:v>Positive diagnostic</x:v>
      </x:c>
      <x:c r="AC417" s="215" t="str">
        <x:v>Moderate</x:v>
      </x:c>
      <x:c r="AD417" s="215" t="str">
        <x:v>Special handling</x:v>
      </x:c>
      <x:c r="AE417" s="215" t="str">
        <x:v>Low</x:v>
      </x:c>
      <x:c r="AF417" s="215" t="str">
        <x:v>Field-ready draft</x:v>
      </x:c>
      <x:c r="AG417" s="215" t="str">
        <x:v>3 — Reference support</x:v>
      </x:c>
      <x:c r="AH417" s="215" t="str">
        <x:v>Current master inventory</x:v>
      </x:c>
    </x:row>
    <x:row r="418" ht="42" customHeight="1">
      <x:c r="A418" s="215" t="str">
        <x:v>Rutaceae</x:v>
      </x:c>
      <x:c r="B418" s="215" t="str">
        <x:v>RUT-LEAVES</x:v>
      </x:c>
      <x:c r="C418" s="215" t="str">
        <x:v>Family-wide</x:v>
      </x:c>
      <x:c r="D418" s="215" t="str">
        <x:v>Leaf</x:v>
      </x:c>
      <x:c r="E418" s="215" t="str">
        <x:v>Leaves simple to compound, alternate or opposite, usually without stipules</x:v>
      </x:c>
      <x:c r="F418" s="215" t="str">
        <x:v>Strong</x:v>
      </x:c>
      <x:c r="G418" s="215" t="str">
        <x:v>3</x:v>
      </x:c>
      <x:c r="H418" s="215" t="str">
        <x:v>High</x:v>
      </x:c>
      <x:c r="I418" s="215" t="str">
        <x:v>Naked eye</x:v>
      </x:c>
      <x:c r="J418" s="215" t="str">
        <x:v>Vegetative</x:v>
      </x:c>
      <x:c r="K418" s="215" t="str">
        <x:v>Leaf architecture varies greatly, but stipules are normally absent.</x:v>
      </x:c>
      <x:c r="L418" s="215" t="str">
        <x:v>Simple, trifoliolate, pinnate, bipinnate, and palmately compound forms all occur; rachises may be winged.</x:v>
      </x:c>
      <x:c r="M418" s="215" t="str">
        <x:v>Do not identify from leaflet number alone; combine with oil glands.</x:v>
      </x:c>
      <x:c r="N418" s="215" t="str">
        <x:v>Covers the different leaf forms expected among Hays rue-family genera.</x:v>
      </x:c>
      <x:c r="O418" s="215" t="str">
        <x:v>Low</x:v>
      </x:c>
      <x:c r="P418" s="215" t="str">
        <x:v>No</x:v>
      </x:c>
      <x:c r="Q418" s="215" t="str"/>
      <x:c r="R418" s="215" t="str">
        <x:v>RUT-LK01; RUT-LK02</x:v>
      </x:c>
      <x:c r="S418" s="215" t="str">
        <x:v>APWEB-RUTA; POWO-RUTA; LBJ-HAYS</x:v>
      </x:c>
      <x:c r="T418" s="215" t="str">
        <x:v>https://www.mobot.org/MOBOT/research/APweb/orders/sapindalesweb.htm</x:v>
      </x:c>
      <x:c r="U418" s="215" t="str">
        <x:v>https://powo.science.kew.org/taxon/urn:lsid:ipni.org:names:30001492-2/general-information</x:v>
      </x:c>
      <x:c r="V418" s="215" t="str">
        <x:v>https://powo.science.kew.org/taxon/urn:lsid:ipni.org:names:30001492-2</x:v>
      </x:c>
      <x:c r="W418" s="215" t="str">
        <x:v>https://www.mobot.org/MOBOT/research/APweb/orders/sapindalesweb.htm
https://powo.science.kew.org/taxon/urn:lsid:ipni.org:names:30001492-2/general-information
https://powo.science.kew.org/taxon/urn:lsid:ipni.org:names:30001492-2
https://www.wildflower.org/collections/collection.php?collection=hays</x:v>
      </x:c>
      <x:c r="X418" s="215" t="str">
        <x:v>No — retain qualifiers and exceptions</x:v>
      </x:c>
      <x:c r="Y418" s="215" t="str">
        <x:v>Yes</x:v>
      </x:c>
      <x:c r="Z418" s="215" t="str">
        <x:v>Source-backed draft</x:v>
      </x:c>
      <x:c r="AA418" s="215" t="str">
        <x:v>Family pattern</x:v>
      </x:c>
      <x:c r="AB418" s="215" t="str">
        <x:v>Positive diagnostic</x:v>
      </x:c>
      <x:c r="AC418" s="215" t="str">
        <x:v>High</x:v>
      </x:c>
      <x:c r="AD418" s="215" t="str">
        <x:v>Naked eye / field</x:v>
      </x:c>
      <x:c r="AE418" s="215" t="str">
        <x:v>Low</x:v>
      </x:c>
      <x:c r="AF418" s="215" t="str">
        <x:v>Field-ready draft</x:v>
      </x:c>
      <x:c r="AG418" s="215" t="str">
        <x:v>3 — Reference support</x:v>
      </x:c>
      <x:c r="AH418" s="215" t="str">
        <x:v>Current master inventory</x:v>
      </x:c>
    </x:row>
    <x:row r="419" ht="42" customHeight="1">
      <x:c r="A419" s="215" t="str">
        <x:v>Rutaceae</x:v>
      </x:c>
      <x:c r="B419" s="215" t="str">
        <x:v>RUT-FLOWER</x:v>
      </x:c>
      <x:c r="C419" s="215" t="str">
        <x:v>Family-wide, predominant</x:v>
      </x:c>
      <x:c r="D419" s="215" t="str">
        <x:v>Flower</x:v>
      </x:c>
      <x:c r="E419" s="215" t="str">
        <x:v>Flowers usually small, radial, and 4- or 5-merous</x:v>
      </x:c>
      <x:c r="F419" s="215" t="str">
        <x:v>Strong</x:v>
      </x:c>
      <x:c r="G419" s="215" t="str">
        <x:v>4</x:v>
      </x:c>
      <x:c r="H419" s="215" t="str">
        <x:v>High</x:v>
      </x:c>
      <x:c r="I419" s="215" t="str">
        <x:v>Hand lens</x:v>
      </x:c>
      <x:c r="J419" s="215" t="str">
        <x:v>Fresh flowers</x:v>
      </x:c>
      <x:c r="K419" s="215" t="str">
        <x:v>Most flowers have four or five sepals and petals.</x:v>
      </x:c>
      <x:c r="L419" s="215" t="str">
        <x:v>Some flowers are bilateral, unisexual, apetalous, or otherwise reduced.</x:v>
      </x:c>
      <x:c r="M419" s="215" t="str">
        <x:v>Use with the intrastaminal disc and superior ovary.</x:v>
      </x:c>
      <x:c r="N419" s="215" t="str">
        <x:v>Practical on flowering Ptelea and Zanthoxylum-type material.</x:v>
      </x:c>
      <x:c r="O419" s="215" t="str">
        <x:v>Low</x:v>
      </x:c>
      <x:c r="P419" s="215" t="str">
        <x:v>No</x:v>
      </x:c>
      <x:c r="Q419" s="215" t="str"/>
      <x:c r="R419" s="215" t="str">
        <x:v>RUT-LK01; RUT-LK02</x:v>
      </x:c>
      <x:c r="S419" s="215" t="str">
        <x:v>APWEB-RUTA; POWO-RUTA; LBJ-HAYS</x:v>
      </x:c>
      <x:c r="T419" s="215" t="str">
        <x:v>https://www.mobot.org/MOBOT/research/APweb/orders/sapindalesweb.htm</x:v>
      </x:c>
      <x:c r="U419" s="215" t="str">
        <x:v>https://powo.science.kew.org/taxon/urn:lsid:ipni.org:names:30001492-2/general-information</x:v>
      </x:c>
      <x:c r="V419" s="215" t="str">
        <x:v>https://powo.science.kew.org/taxon/urn:lsid:ipni.org:names:30001492-2</x:v>
      </x:c>
      <x:c r="W419" s="215" t="str">
        <x:v>https://www.mobot.org/MOBOT/research/APweb/orders/sapindalesweb.htm
https://powo.science.kew.org/taxon/urn:lsid:ipni.org:names:30001492-2/general-information
https://powo.science.kew.org/taxon/urn:lsid:ipni.org:names:30001492-2
https://www.wildflower.org/collections/collection.php?collection=hays</x:v>
      </x:c>
      <x:c r="X419" s="215" t="str">
        <x:v>No — retain qualifiers and exceptions</x:v>
      </x:c>
      <x:c r="Y419" s="215" t="str">
        <x:v>Yes</x:v>
      </x:c>
      <x:c r="Z419" s="215" t="str">
        <x:v>Source-backed draft</x:v>
      </x:c>
      <x:c r="AA419" s="215" t="str">
        <x:v>Family pattern</x:v>
      </x:c>
      <x:c r="AB419" s="215" t="str">
        <x:v>Positive diagnostic</x:v>
      </x:c>
      <x:c r="AC419" s="215" t="str">
        <x:v>High</x:v>
      </x:c>
      <x:c r="AD419" s="215" t="str">
        <x:v>Hand lens / macro</x:v>
      </x:c>
      <x:c r="AE419" s="215" t="str">
        <x:v>Low</x:v>
      </x:c>
      <x:c r="AF419" s="215" t="str">
        <x:v>Field-ready draft</x:v>
      </x:c>
      <x:c r="AG419" s="215" t="str">
        <x:v>2 — Field-photo priority</x:v>
      </x:c>
      <x:c r="AH419" s="215" t="str">
        <x:v>Current master inventory</x:v>
      </x:c>
    </x:row>
    <x:row r="420" ht="42" customHeight="1">
      <x:c r="A420" s="215" t="str">
        <x:v>Rutaceae</x:v>
      </x:c>
      <x:c r="B420" s="215" t="str">
        <x:v>RUT-STAMENS</x:v>
      </x:c>
      <x:c r="C420" s="215" t="str">
        <x:v>Family-wide, common</x:v>
      </x:c>
      <x:c r="D420" s="215" t="str">
        <x:v>Androecium</x:v>
      </x:c>
      <x:c r="E420" s="215" t="str">
        <x:v>Stamens commonly equal to or twice the petal number</x:v>
      </x:c>
      <x:c r="F420" s="215" t="str">
        <x:v>Strong</x:v>
      </x:c>
      <x:c r="G420" s="215" t="str">
        <x:v>3</x:v>
      </x:c>
      <x:c r="H420" s="215" t="str">
        <x:v>Moderate</x:v>
      </x:c>
      <x:c r="I420" s="215" t="str">
        <x:v>Hand lens</x:v>
      </x:c>
      <x:c r="J420" s="215" t="str">
        <x:v>Fresh flowers</x:v>
      </x:c>
      <x:c r="K420" s="215" t="str">
        <x:v>Five or ten stamens are frequent in five-petaled flowers.</x:v>
      </x:c>
      <x:c r="L420" s="215" t="str">
        <x:v>Counts range from two to many and reduced flowers can contain staminodes.</x:v>
      </x:c>
      <x:c r="M420" s="215" t="str">
        <x:v>Count only intact flowers and use as supporting evidence.</x:v>
      </x:c>
      <x:c r="N420" s="215" t="str">
        <x:v>Useful for separating local flowers from superficially similar woody families.</x:v>
      </x:c>
      <x:c r="O420" s="215" t="str">
        <x:v>Low</x:v>
      </x:c>
      <x:c r="P420" s="215" t="str">
        <x:v>No</x:v>
      </x:c>
      <x:c r="Q420" s="215" t="str"/>
      <x:c r="R420" s="215" t="str">
        <x:v>RUT-LK02</x:v>
      </x:c>
      <x:c r="S420" s="215" t="str">
        <x:v>APWEB-RUTA; POWO-RUTA; LBJ-HAYS</x:v>
      </x:c>
      <x:c r="T420" s="215" t="str">
        <x:v>https://www.mobot.org/MOBOT/research/APweb/orders/sapindalesweb.htm</x:v>
      </x:c>
      <x:c r="U420" s="215" t="str">
        <x:v>https://powo.science.kew.org/taxon/urn:lsid:ipni.org:names:30001492-2/general-information</x:v>
      </x:c>
      <x:c r="V420" s="215" t="str">
        <x:v>https://powo.science.kew.org/taxon/urn:lsid:ipni.org:names:30001492-2</x:v>
      </x:c>
      <x:c r="W420" s="215" t="str">
        <x:v>https://www.mobot.org/MOBOT/research/APweb/orders/sapindalesweb.htm
https://powo.science.kew.org/taxon/urn:lsid:ipni.org:names:30001492-2/general-information
https://powo.science.kew.org/taxon/urn:lsid:ipni.org:names:30001492-2
https://www.wildflower.org/collections/collection.php?collection=hays</x:v>
      </x:c>
      <x:c r="X420" s="215" t="str">
        <x:v>No — retain qualifiers and exceptions</x:v>
      </x:c>
      <x:c r="Y420" s="215" t="str">
        <x:v>Yes</x:v>
      </x:c>
      <x:c r="Z420" s="215" t="str">
        <x:v>Source-backed draft</x:v>
      </x:c>
      <x:c r="AA420" s="215" t="str">
        <x:v>Family pattern</x:v>
      </x:c>
      <x:c r="AB420" s="215" t="str">
        <x:v>Positive diagnostic</x:v>
      </x:c>
      <x:c r="AC420" s="215" t="str">
        <x:v>Moderate</x:v>
      </x:c>
      <x:c r="AD420" s="215" t="str">
        <x:v>Hand lens / macro</x:v>
      </x:c>
      <x:c r="AE420" s="215" t="str">
        <x:v>Low</x:v>
      </x:c>
      <x:c r="AF420" s="215" t="str">
        <x:v>Field-ready draft</x:v>
      </x:c>
      <x:c r="AG420" s="215" t="str">
        <x:v>3 — Reference support</x:v>
      </x:c>
      <x:c r="AH420" s="215" t="str">
        <x:v>Current master inventory</x:v>
      </x:c>
    </x:row>
    <x:row r="421" ht="42" customHeight="1">
      <x:c r="A421" s="215" t="str">
        <x:v>Rutaceae</x:v>
      </x:c>
      <x:c r="B421" s="215" t="str">
        <x:v>RUT-DISC</x:v>
      </x:c>
      <x:c r="C421" s="215" t="str">
        <x:v>Family-wide, common</x:v>
      </x:c>
      <x:c r="D421" s="215" t="str">
        <x:v>Flower</x:v>
      </x:c>
      <x:c r="E421" s="215" t="str">
        <x:v>Intrastaminal nectar disc usually conspicuous</x:v>
      </x:c>
      <x:c r="F421" s="215" t="str">
        <x:v>Strong</x:v>
      </x:c>
      <x:c r="G421" s="215" t="str">
        <x:v>4</x:v>
      </x:c>
      <x:c r="H421" s="215" t="str">
        <x:v>Moderate</x:v>
      </x:c>
      <x:c r="I421" s="215" t="str">
        <x:v>Hand lens</x:v>
      </x:c>
      <x:c r="J421" s="215" t="str">
        <x:v>Fresh flowers</x:v>
      </x:c>
      <x:c r="K421" s="215" t="str">
        <x:v>A disc commonly lies inside the stamen ring around the ovary.</x:v>
      </x:c>
      <x:c r="L421" s="215" t="str">
        <x:v>The disc may be reduced or absent and tiny flowers may conceal it.</x:v>
      </x:c>
      <x:c r="M421" s="215" t="str">
        <x:v>Pair with gland-dotted leaves and superior ovary.</x:v>
      </x:c>
      <x:c r="N421" s="215" t="str">
        <x:v>A valuable confirmation on intact local material.</x:v>
      </x:c>
      <x:c r="O421" s="215" t="str">
        <x:v>Low</x:v>
      </x:c>
      <x:c r="P421" s="215" t="str">
        <x:v>No</x:v>
      </x:c>
      <x:c r="Q421" s="215" t="str"/>
      <x:c r="R421" s="215" t="str">
        <x:v>RUT-LK01; RUT-LK02</x:v>
      </x:c>
      <x:c r="S421" s="215" t="str">
        <x:v>APWEB-RUTA; POWO-RUTA; LBJ-HAYS</x:v>
      </x:c>
      <x:c r="T421" s="215" t="str">
        <x:v>https://www.mobot.org/MOBOT/research/APweb/orders/sapindalesweb.htm</x:v>
      </x:c>
      <x:c r="U421" s="215" t="str">
        <x:v>https://powo.science.kew.org/taxon/urn:lsid:ipni.org:names:30001492-2/general-information</x:v>
      </x:c>
      <x:c r="V421" s="215" t="str">
        <x:v>https://powo.science.kew.org/taxon/urn:lsid:ipni.org:names:30001492-2</x:v>
      </x:c>
      <x:c r="W421" s="215" t="str">
        <x:v>https://www.mobot.org/MOBOT/research/APweb/orders/sapindalesweb.htm
https://powo.science.kew.org/taxon/urn:lsid:ipni.org:names:30001492-2/general-information
https://powo.science.kew.org/taxon/urn:lsid:ipni.org:names:30001492-2
https://www.wildflower.org/collections/collection.php?collection=hays</x:v>
      </x:c>
      <x:c r="X421" s="215" t="str">
        <x:v>No — retain qualifiers and exceptions</x:v>
      </x:c>
      <x:c r="Y421" s="215" t="str">
        <x:v>Yes</x:v>
      </x:c>
      <x:c r="Z421" s="215" t="str">
        <x:v>Source-backed draft</x:v>
      </x:c>
      <x:c r="AA421" s="215" t="str">
        <x:v>Family pattern</x:v>
      </x:c>
      <x:c r="AB421" s="215" t="str">
        <x:v>Positive diagnostic</x:v>
      </x:c>
      <x:c r="AC421" s="215" t="str">
        <x:v>Moderate</x:v>
      </x:c>
      <x:c r="AD421" s="215" t="str">
        <x:v>Hand lens / macro</x:v>
      </x:c>
      <x:c r="AE421" s="215" t="str">
        <x:v>Low</x:v>
      </x:c>
      <x:c r="AF421" s="215" t="str">
        <x:v>Field-ready draft</x:v>
      </x:c>
      <x:c r="AG421" s="215" t="str">
        <x:v>2 — Field-photo priority</x:v>
      </x:c>
      <x:c r="AH421" s="215" t="str">
        <x:v>Current master inventory</x:v>
      </x:c>
    </x:row>
    <x:row r="422" ht="42" customHeight="1">
      <x:c r="A422" s="215" t="str">
        <x:v>Rutaceae</x:v>
      </x:c>
      <x:c r="B422" s="215" t="str">
        <x:v>RUT-OVARY</x:v>
      </x:c>
      <x:c r="C422" s="215" t="str">
        <x:v>Family-wide, predominant</x:v>
      </x:c>
      <x:c r="D422" s="215" t="str">
        <x:v>Gynoecium</x:v>
      </x:c>
      <x:c r="E422" s="215" t="str">
        <x:v>Ovary superior, usually 4–5-carpellate with one or two ovules per locule</x:v>
      </x:c>
      <x:c r="F422" s="215" t="str">
        <x:v>Core</x:v>
      </x:c>
      <x:c r="G422" s="215" t="str">
        <x:v>5</x:v>
      </x:c>
      <x:c r="H422" s="215" t="str">
        <x:v>High</x:v>
      </x:c>
      <x:c r="I422" s="215" t="str">
        <x:v>Hand lens or dissection</x:v>
      </x:c>
      <x:c r="J422" s="215" t="str">
        <x:v>Flowering or young fruit</x:v>
      </x:c>
      <x:c r="K422" s="215" t="str">
        <x:v>The ovary sits above the flower base and commonly contains several carpels.</x:v>
      </x:c>
      <x:c r="L422" s="215" t="str">
        <x:v>Carpels may be free or fused and counts vary from one to many.</x:v>
      </x:c>
      <x:c r="M422" s="215" t="str">
        <x:v>Use with disc and mature fruit rather than treating carpel number as fixed.</x:v>
      </x:c>
      <x:c r="N422" s="215" t="str">
        <x:v>Strong confirmation for Hays rue-family material.</x:v>
      </x:c>
      <x:c r="O422" s="215" t="str">
        <x:v>Low</x:v>
      </x:c>
      <x:c r="P422" s="215" t="str">
        <x:v>No</x:v>
      </x:c>
      <x:c r="Q422" s="215" t="str"/>
      <x:c r="R422" s="215" t="str">
        <x:v>RUT-LK01; RUT-LK02</x:v>
      </x:c>
      <x:c r="S422" s="215" t="str">
        <x:v>APWEB-RUTA; POWO-RUTA; LBJ-HAYS</x:v>
      </x:c>
      <x:c r="T422" s="215" t="str">
        <x:v>https://www.mobot.org/MOBOT/research/APweb/orders/sapindalesweb.htm</x:v>
      </x:c>
      <x:c r="U422" s="215" t="str">
        <x:v>https://powo.science.kew.org/taxon/urn:lsid:ipni.org:names:30001492-2/general-information</x:v>
      </x:c>
      <x:c r="V422" s="215" t="str">
        <x:v>https://powo.science.kew.org/taxon/urn:lsid:ipni.org:names:30001492-2</x:v>
      </x:c>
      <x:c r="W422" s="215" t="str">
        <x:v>https://www.mobot.org/MOBOT/research/APweb/orders/sapindalesweb.htm
https://powo.science.kew.org/taxon/urn:lsid:ipni.org:names:30001492-2/general-information
https://powo.science.kew.org/taxon/urn:lsid:ipni.org:names:30001492-2
https://www.wildflower.org/collections/collection.php?collection=hays</x:v>
      </x:c>
      <x:c r="X422" s="215" t="str">
        <x:v>No — retain qualifiers and exceptions</x:v>
      </x:c>
      <x:c r="Y422" s="215" t="str">
        <x:v>Yes</x:v>
      </x:c>
      <x:c r="Z422" s="215" t="str">
        <x:v>Source-backed draft</x:v>
      </x:c>
      <x:c r="AA422" s="215" t="str">
        <x:v>Family pattern</x:v>
      </x:c>
      <x:c r="AB422" s="215" t="str">
        <x:v>Positive diagnostic</x:v>
      </x:c>
      <x:c r="AC422" s="215" t="str">
        <x:v>High</x:v>
      </x:c>
      <x:c r="AD422" s="215" t="str">
        <x:v>Dissection</x:v>
      </x:c>
      <x:c r="AE422" s="215" t="str">
        <x:v>Low</x:v>
      </x:c>
      <x:c r="AF422" s="215" t="str">
        <x:v>Dissection / close study</x:v>
      </x:c>
      <x:c r="AG422" s="215" t="str">
        <x:v>3 — Reference support</x:v>
      </x:c>
      <x:c r="AH422" s="215" t="str">
        <x:v>Current master inventory</x:v>
      </x:c>
    </x:row>
    <x:row r="423" ht="42" customHeight="1">
      <x:c r="A423" s="215" t="str">
        <x:v>Rutaceae</x:v>
      </x:c>
      <x:c r="B423" s="215" t="str">
        <x:v>RUT-FRUIT</x:v>
      </x:c>
      <x:c r="C423" s="215" t="str">
        <x:v>Family-wide, highly variable</x:v>
      </x:c>
      <x:c r="D423" s="215" t="str">
        <x:v>Fruit</x:v>
      </x:c>
      <x:c r="E423" s="215" t="str">
        <x:v>Fruit may be capsule, schizocarp, samara, drupe, berry, or hesperidium</x:v>
      </x:c>
      <x:c r="F423" s="215" t="str">
        <x:v>Caution</x:v>
      </x:c>
      <x:c r="G423" s="215" t="str">
        <x:v>1</x:v>
      </x:c>
      <x:c r="H423" s="215" t="str">
        <x:v>High</x:v>
      </x:c>
      <x:c r="I423" s="215" t="str">
        <x:v>Naked eye</x:v>
      </x:c>
      <x:c r="J423" s="215" t="str">
        <x:v>Mature fruit</x:v>
      </x:c>
      <x:c r="K423" s="215" t="str">
        <x:v>Fruit type is diverse and should route genera rather than define the family.</x:v>
      </x:c>
      <x:c r="L423" s="215" t="str">
        <x:v>No single fruit form is family-wide; cultivated citrus should not be used as the family model.</x:v>
      </x:c>
      <x:c r="M423" s="215" t="str">
        <x:v>First identify Rutaceae by glands and flowers, then use fruit for genus-level routing.</x:v>
      </x:c>
      <x:c r="N423" s="215" t="str">
        <x:v>Local Ptelea, Zanthoxylum, and Amyris-type routes differ substantially in fruit.</x:v>
      </x:c>
      <x:c r="O423" s="215" t="str">
        <x:v>Low</x:v>
      </x:c>
      <x:c r="P423" s="215" t="str">
        <x:v>No</x:v>
      </x:c>
      <x:c r="Q423" s="215" t="str"/>
      <x:c r="R423" s="215" t="str">
        <x:v>RUT-LK01; RUT-LK02</x:v>
      </x:c>
      <x:c r="S423" s="215" t="str">
        <x:v>APWEB-RUTA; POWO-RUTA; LBJ-HAYS</x:v>
      </x:c>
      <x:c r="T423" s="215" t="str">
        <x:v>https://www.mobot.org/MOBOT/research/APweb/orders/sapindalesweb.htm</x:v>
      </x:c>
      <x:c r="U423" s="215" t="str">
        <x:v>https://powo.science.kew.org/taxon/urn:lsid:ipni.org:names:30001492-2/general-information</x:v>
      </x:c>
      <x:c r="V423" s="215" t="str">
        <x:v>https://powo.science.kew.org/taxon/urn:lsid:ipni.org:names:30001492-2</x:v>
      </x:c>
      <x:c r="W423" s="215" t="str">
        <x:v>https://www.mobot.org/MOBOT/research/APweb/orders/sapindalesweb.htm
https://powo.science.kew.org/taxon/urn:lsid:ipni.org:names:30001492-2/general-information
https://powo.science.kew.org/taxon/urn:lsid:ipni.org:names:30001492-2
https://www.wildflower.org/collections/collection.php?collection=hays</x:v>
      </x:c>
      <x:c r="X423" s="215" t="str">
        <x:v>No — retain qualifiers and exceptions</x:v>
      </x:c>
      <x:c r="Y423" s="215" t="str">
        <x:v>Yes</x:v>
      </x:c>
      <x:c r="Z423" s="215" t="str">
        <x:v>Source-backed draft</x:v>
      </x:c>
      <x:c r="AA423" s="215" t="str">
        <x:v>Family pattern</x:v>
      </x:c>
      <x:c r="AB423" s="215" t="str">
        <x:v>Caution / negative rule</x:v>
      </x:c>
      <x:c r="AC423" s="215" t="str">
        <x:v>High</x:v>
      </x:c>
      <x:c r="AD423" s="215" t="str">
        <x:v>Naked eye / field</x:v>
      </x:c>
      <x:c r="AE423" s="215" t="str">
        <x:v>Low</x:v>
      </x:c>
      <x:c r="AF423" s="215" t="str">
        <x:v>Field-ready draft</x:v>
      </x:c>
      <x:c r="AG423" s="215" t="str">
        <x:v>4 — Context / caution</x:v>
      </x:c>
      <x:c r="AH423" s="215" t="str">
        <x:v>Current master inventory</x:v>
      </x:c>
    </x:row>
    <x:row r="424" ht="42" customHeight="1">
      <x:c r="A424" s="215" t="str">
        <x:v>Rutaceae</x:v>
      </x:c>
      <x:c r="B424" s="215" t="str">
        <x:v>RUT-LK01</x:v>
      </x:c>
      <x:c r="C424" s="215" t="str">
        <x:v>Lookalike comparison</x:v>
      </x:c>
      <x:c r="D424" s="215" t="str">
        <x:v>Lookalike</x:v>
      </x:c>
      <x:c r="E424" s="215" t="str">
        <x:v>Versus Anacardiaceae: pellucid oil dots and citrus-like odor favor Rutaceae; dark-drying resin favors Anacardiaceae</x:v>
      </x:c>
      <x:c r="F424" s="215" t="str">
        <x:v>Lookalike</x:v>
      </x:c>
      <x:c r="G424" s="215" t="str">
        <x:v>5</x:v>
      </x:c>
      <x:c r="H424" s="215" t="str">
        <x:v>High</x:v>
      </x:c>
      <x:c r="I424" s="215" t="str">
        <x:v>Backlighting, hand lens, opportunistic odor</x:v>
      </x:c>
      <x:c r="J424" s="215" t="str">
        <x:v>Fresh leaves or naturally damaged twigs</x:v>
      </x:c>
      <x:c r="K424" s="215" t="str">
        <x:v>Both can be woody with compound leaves, but their secretory systems differ.</x:v>
      </x:c>
      <x:c r="L424" s="215" t="str">
        <x:v>Glands or resin may be inconspicuous; do not deliberately expose skin to suspected Toxicodendron.</x:v>
      </x:c>
      <x:c r="M424" s="215" t="str">
        <x:v>Use glands, sap behavior, style position, and fruit as a suite.</x:v>
      </x:c>
      <x:c r="N424" s="215" t="str">
        <x:v>Anacardiaceae first-pass coverage is already present, closing the reciprocal comparison.</x:v>
      </x:c>
      <x:c r="O424" s="215" t="str">
        <x:v>Low</x:v>
      </x:c>
      <x:c r="P424" s="215" t="str">
        <x:v>No</x:v>
      </x:c>
      <x:c r="Q424" s="215" t="str"/>
      <x:c r="R424" s="215" t="str">
        <x:v>RUT-GLANDS; RUT-ODOR; RUT-OVARY</x:v>
      </x:c>
      <x:c r="S424" s="215" t="str">
        <x:v>APWEB-RUTA; POWO-RUTA; LBJ-HAYS</x:v>
      </x:c>
      <x:c r="T424" s="215" t="str">
        <x:v>https://www.mobot.org/MOBOT/research/APweb/orders/sapindalesweb.htm</x:v>
      </x:c>
      <x:c r="U424" s="215" t="str">
        <x:v>https://powo.science.kew.org/taxon/urn:lsid:ipni.org:names:30001492-2/general-information</x:v>
      </x:c>
      <x:c r="V424" s="215" t="str">
        <x:v>https://powo.science.kew.org/taxon/urn:lsid:ipni.org:names:30001492-2</x:v>
      </x:c>
      <x:c r="W424" s="215" t="str">
        <x:v>https://www.mobot.org/MOBOT/research/APweb/orders/sapindalesweb.htm
https://powo.science.kew.org/taxon/urn:lsid:ipni.org:names:30001492-2/general-information
https://powo.science.kew.org/taxon/urn:lsid:ipni.org:names:30001492-2
https://www.wildflower.org/collections/collection.php?collection=hays</x:v>
      </x:c>
      <x:c r="X424" s="215" t="str">
        <x:v>No — retain qualifiers and exceptions</x:v>
      </x:c>
      <x:c r="Y424" s="215" t="str">
        <x:v>Yes</x:v>
      </x:c>
      <x:c r="Z424" s="215" t="str">
        <x:v>Source-backed draft</x:v>
      </x:c>
      <x:c r="AA424" s="215" t="str">
        <x:v>Lookalike comparison</x:v>
      </x:c>
      <x:c r="AB424" s="215" t="str">
        <x:v>Contrast / lookalike</x:v>
      </x:c>
      <x:c r="AC424" s="215" t="str">
        <x:v>High</x:v>
      </x:c>
      <x:c r="AD424" s="215" t="str">
        <x:v>Special handling</x:v>
      </x:c>
      <x:c r="AE424" s="215" t="str">
        <x:v>Low</x:v>
      </x:c>
      <x:c r="AF424" s="215" t="str">
        <x:v>Field-ready draft</x:v>
      </x:c>
      <x:c r="AG424" s="215" t="str">
        <x:v>3 — Reference support</x:v>
      </x:c>
      <x:c r="AH424" s="215" t="str">
        <x:v>Current master inventory</x:v>
      </x:c>
    </x:row>
    <x:row r="425" ht="42" customHeight="1">
      <x:c r="A425" s="215" t="str">
        <x:v>Rutaceae</x:v>
      </x:c>
      <x:c r="B425" s="215" t="str">
        <x:v>RUT-LK02</x:v>
      </x:c>
      <x:c r="C425" s="215" t="str">
        <x:v>Lookalike comparison</x:v>
      </x:c>
      <x:c r="D425" s="215" t="str">
        <x:v>Lookalike</x:v>
      </x:c>
      <x:c r="E425" s="215" t="str">
        <x:v>Versus Sapindaceae: pellucid gland dots and aromatic oils favor Rutaceae</x:v>
      </x:c>
      <x:c r="F425" s="215" t="str">
        <x:v>Lookalike</x:v>
      </x:c>
      <x:c r="G425" s="215" t="str">
        <x:v>4</x:v>
      </x:c>
      <x:c r="H425" s="215" t="str">
        <x:v>High</x:v>
      </x:c>
      <x:c r="I425" s="215" t="str">
        <x:v>Backlighting or hand lens</x:v>
      </x:c>
      <x:c r="J425" s="215" t="str">
        <x:v>Vegetative through fruiting</x:v>
      </x:c>
      <x:c r="K425" s="215" t="str">
        <x:v>Compound leaves and small disc-bearing flowers occur in both families, but visible oil dots strongly support Rutaceae.</x:v>
      </x:c>
      <x:c r="L425" s="215" t="str">
        <x:v>Some Rutaceae glands are obscure and some other families have glandular tissues.</x:v>
      </x:c>
      <x:c r="M425" s="215" t="str">
        <x:v>Confirm with aroma, ovary structure, and fruit rather than using leaf form alone.</x:v>
      </x:c>
      <x:c r="N425" s="215" t="str">
        <x:v>Sapindaceae already has first-pass coverage in the master.</x:v>
      </x:c>
      <x:c r="O425" s="215" t="str">
        <x:v>Low</x:v>
      </x:c>
      <x:c r="P425" s="215" t="str">
        <x:v>No</x:v>
      </x:c>
      <x:c r="Q425" s="215" t="str"/>
      <x:c r="R425" s="215" t="str">
        <x:v>RUT-GLANDS; RUT-DISC; RUT-OVARY</x:v>
      </x:c>
      <x:c r="S425" s="215" t="str">
        <x:v>APWEB-RUTA; POWO-RUTA; LBJ-HAYS</x:v>
      </x:c>
      <x:c r="T425" s="215" t="str">
        <x:v>https://www.mobot.org/MOBOT/research/APweb/orders/sapindalesweb.htm</x:v>
      </x:c>
      <x:c r="U425" s="215" t="str">
        <x:v>https://powo.science.kew.org/taxon/urn:lsid:ipni.org:names:30001492-2/general-information</x:v>
      </x:c>
      <x:c r="V425" s="215" t="str">
        <x:v>https://powo.science.kew.org/taxon/urn:lsid:ipni.org:names:30001492-2</x:v>
      </x:c>
      <x:c r="W425" s="215" t="str">
        <x:v>https://www.mobot.org/MOBOT/research/APweb/orders/sapindalesweb.htm
https://powo.science.kew.org/taxon/urn:lsid:ipni.org:names:30001492-2/general-information
https://powo.science.kew.org/taxon/urn:lsid:ipni.org:names:30001492-2
https://www.wildflower.org/collections/collection.php?collection=hays</x:v>
      </x:c>
      <x:c r="X425" s="215" t="str">
        <x:v>No — retain qualifiers and exceptions</x:v>
      </x:c>
      <x:c r="Y425" s="215" t="str">
        <x:v>Yes</x:v>
      </x:c>
      <x:c r="Z425" s="215" t="str">
        <x:v>Source-backed draft</x:v>
      </x:c>
      <x:c r="AA425" s="215" t="str">
        <x:v>Lookalike comparison</x:v>
      </x:c>
      <x:c r="AB425" s="215" t="str">
        <x:v>Contrast / lookalike</x:v>
      </x:c>
      <x:c r="AC425" s="215" t="str">
        <x:v>High</x:v>
      </x:c>
      <x:c r="AD425" s="215" t="str">
        <x:v>Hand lens / macro</x:v>
      </x:c>
      <x:c r="AE425" s="215" t="str">
        <x:v>Low</x:v>
      </x:c>
      <x:c r="AF425" s="215" t="str">
        <x:v>Field-ready draft</x:v>
      </x:c>
      <x:c r="AG425" s="215" t="str">
        <x:v>2 — Field-photo priority</x:v>
      </x:c>
      <x:c r="AH425" s="215" t="str">
        <x:v>Current master inventory</x:v>
      </x:c>
    </x:row>
    <x:row r="426" ht="42" customHeight="1">
      <x:c r="A426" s="215" t="str">
        <x:v>Cornaceae</x:v>
      </x:c>
      <x:c r="B426" s="215" t="str">
        <x:v>COR-HABIT</x:v>
      </x:c>
      <x:c r="C426" s="215" t="str">
        <x:v>Current narrow family; local route</x:v>
      </x:c>
      <x:c r="D426" s="215" t="str">
        <x:v>Habit</x:v>
      </x:c>
      <x:c r="E426" s="215" t="str">
        <x:v>Perennial herbs, shrubs, or trees globally; local route predominantly woody Cornus</x:v>
      </x:c>
      <x:c r="F426" s="215" t="str">
        <x:v>Supporting</x:v>
      </x:c>
      <x:c r="G426" s="215" t="str">
        <x:v>2</x:v>
      </x:c>
      <x:c r="H426" s="215" t="str">
        <x:v>High</x:v>
      </x:c>
      <x:c r="I426" s="215" t="str">
        <x:v>Naked eye</x:v>
      </x:c>
      <x:c r="J426" s="215" t="str">
        <x:v>Any season</x:v>
      </x:c>
      <x:c r="K426" s="215" t="str">
        <x:v>Dogwoods are usually recognized locally as shrubs or small trees.</x:v>
      </x:c>
      <x:c r="L426" s="215" t="str">
        <x:v>The family includes herbaceous Cornus elsewhere, so woody habit is not universal.</x:v>
      </x:c>
      <x:c r="M426" s="215" t="str">
        <x:v>Use habit only to enter the suite.</x:v>
      </x:c>
      <x:c r="N426" s="215" t="str">
        <x:v>Locally relevant to dogwood-type woody plants carried for Hays County.</x:v>
      </x:c>
      <x:c r="O426" s="215" t="str">
        <x:v>Low</x:v>
      </x:c>
      <x:c r="P426" s="215" t="str">
        <x:v>No</x:v>
      </x:c>
      <x:c r="Q426" s="215" t="str"/>
      <x:c r="R426" s="215" t="str">
        <x:v>COR-LK01; COR-LK02</x:v>
      </x:c>
      <x:c r="S426" s="215" t="str">
        <x:v>APWEB-CORN; FNA-CORN; POWO-CORN; LBJ-HAYS</x:v>
      </x:c>
      <x:c r="T426" s="215" t="str">
        <x:v>https://www.mobot.org/MOBOT/research/APweb/orders/cornalesweb.htm</x:v>
      </x:c>
      <x:c r="U426" s="215" t="str">
        <x:v>https://floranorthamerica.org/Cornaceae</x:v>
      </x:c>
      <x:c r="V426" s="215" t="str">
        <x:v>https://powo.science.kew.org/taxon/urn:lsid:ipni.org:names:30002899-2/general-information</x:v>
      </x:c>
      <x:c r="W426" s="215" t="str">
        <x:v>https://www.mobot.org/MOBOT/research/APweb/orders/cornalesweb.htm
https://floranorthamerica.org/Cornaceae
https://powo.science.kew.org/taxon/urn:lsid:ipni.org:names:30002899-2/general-information
https://www.wildflower.org/collections/collection.php?collection=hays</x:v>
      </x:c>
      <x:c r="X426" s="215" t="str">
        <x:v>No — retain qualifiers and exceptions</x:v>
      </x:c>
      <x:c r="Y426" s="215" t="str">
        <x:v>Yes</x:v>
      </x:c>
      <x:c r="Z426" s="215" t="str">
        <x:v>Source-backed draft</x:v>
      </x:c>
      <x:c r="AA426" s="215" t="str">
        <x:v>Local subgroup / route</x:v>
      </x:c>
      <x:c r="AB426" s="215" t="str">
        <x:v>Supporting / route</x:v>
      </x:c>
      <x:c r="AC426" s="215" t="str">
        <x:v>High</x:v>
      </x:c>
      <x:c r="AD426" s="215" t="str">
        <x:v>Naked eye / field</x:v>
      </x:c>
      <x:c r="AE426" s="215" t="str">
        <x:v>Low</x:v>
      </x:c>
      <x:c r="AF426" s="215" t="str">
        <x:v>Field-ready draft</x:v>
      </x:c>
      <x:c r="AG426" s="215" t="str">
        <x:v>4 — Context / caution</x:v>
      </x:c>
      <x:c r="AH426" s="215" t="str">
        <x:v>Current master inventory</x:v>
      </x:c>
    </x:row>
    <x:row r="427" ht="42" customHeight="1">
      <x:c r="A427" s="215" t="str">
        <x:v>Cornaceae</x:v>
      </x:c>
      <x:c r="B427" s="215" t="str">
        <x:v>COR-LEAVES</x:v>
      </x:c>
      <x:c r="C427" s="215" t="str">
        <x:v>Family-wide, predominant</x:v>
      </x:c>
      <x:c r="D427" s="215" t="str">
        <x:v>Leaf</x:v>
      </x:c>
      <x:c r="E427" s="215" t="str">
        <x:v>Leaves usually opposite, simple, entire, and without stipules</x:v>
      </x:c>
      <x:c r="F427" s="215" t="str">
        <x:v>Strong</x:v>
      </x:c>
      <x:c r="G427" s="215" t="str">
        <x:v>4</x:v>
      </x:c>
      <x:c r="H427" s="215" t="str">
        <x:v>High</x:v>
      </x:c>
      <x:c r="I427" s="215" t="str">
        <x:v>Naked eye</x:v>
      </x:c>
      <x:c r="J427" s="215" t="str">
        <x:v>Vegetative</x:v>
      </x:c>
      <x:c r="K427" s="215" t="str">
        <x:v>Most dogwoods have paired simple leaves with smooth margins and no stipules.</x:v>
      </x:c>
      <x:c r="L427" s="215" t="str">
        <x:v>Leaves can be alternate in some Cornus and petioles may be absent.</x:v>
      </x:c>
      <x:c r="M427" s="215" t="str">
        <x:v>Combine with venation, four-part flowers, inferior ovary, and drupe.</x:v>
      </x:c>
      <x:c r="N427" s="215" t="str">
        <x:v>Highly useful for Hays dogwood material.</x:v>
      </x:c>
      <x:c r="O427" s="215" t="str">
        <x:v>Low</x:v>
      </x:c>
      <x:c r="P427" s="215" t="str">
        <x:v>No</x:v>
      </x:c>
      <x:c r="Q427" s="215" t="str"/>
      <x:c r="R427" s="215" t="str">
        <x:v>COR-LK01; COR-LK02</x:v>
      </x:c>
      <x:c r="S427" s="215" t="str">
        <x:v>APWEB-CORN; FNA-CORN; POWO-CORN; LBJ-HAYS</x:v>
      </x:c>
      <x:c r="T427" s="215" t="str">
        <x:v>https://www.mobot.org/MOBOT/research/APweb/orders/cornalesweb.htm</x:v>
      </x:c>
      <x:c r="U427" s="215" t="str">
        <x:v>https://floranorthamerica.org/Cornaceae</x:v>
      </x:c>
      <x:c r="V427" s="215" t="str">
        <x:v>https://powo.science.kew.org/taxon/urn:lsid:ipni.org:names:30002899-2/general-information</x:v>
      </x:c>
      <x:c r="W427" s="215" t="str">
        <x:v>https://www.mobot.org/MOBOT/research/APweb/orders/cornalesweb.htm
https://floranorthamerica.org/Cornaceae
https://powo.science.kew.org/taxon/urn:lsid:ipni.org:names:30002899-2/general-information
https://www.wildflower.org/collections/collection.php?collection=hays</x:v>
      </x:c>
      <x:c r="X427" s="215" t="str">
        <x:v>No — retain qualifiers and exceptions</x:v>
      </x:c>
      <x:c r="Y427" s="215" t="str">
        <x:v>Yes</x:v>
      </x:c>
      <x:c r="Z427" s="215" t="str">
        <x:v>Source-backed draft</x:v>
      </x:c>
      <x:c r="AA427" s="215" t="str">
        <x:v>Family pattern</x:v>
      </x:c>
      <x:c r="AB427" s="215" t="str">
        <x:v>Positive diagnostic</x:v>
      </x:c>
      <x:c r="AC427" s="215" t="str">
        <x:v>High</x:v>
      </x:c>
      <x:c r="AD427" s="215" t="str">
        <x:v>Naked eye / field</x:v>
      </x:c>
      <x:c r="AE427" s="215" t="str">
        <x:v>Low</x:v>
      </x:c>
      <x:c r="AF427" s="215" t="str">
        <x:v>Field-ready draft</x:v>
      </x:c>
      <x:c r="AG427" s="215" t="str">
        <x:v>2 — Field-photo priority</x:v>
      </x:c>
      <x:c r="AH427" s="215" t="str">
        <x:v>Current master inventory</x:v>
      </x:c>
    </x:row>
    <x:row r="428" ht="42" customHeight="1">
      <x:c r="A428" s="215" t="str">
        <x:v>Cornaceae</x:v>
      </x:c>
      <x:c r="B428" s="215" t="str">
        <x:v>COR-VENATION</x:v>
      </x:c>
      <x:c r="C428" s="215" t="str">
        <x:v>Family-wide, common</x:v>
      </x:c>
      <x:c r="D428" s="215" t="str">
        <x:v>Leaf</x:v>
      </x:c>
      <x:c r="E428" s="215" t="str">
        <x:v>Secondary veins commonly curve toward the leaf tip</x:v>
      </x:c>
      <x:c r="F428" s="215" t="str">
        <x:v>Strong</x:v>
      </x:c>
      <x:c r="G428" s="215" t="str">
        <x:v>3</x:v>
      </x:c>
      <x:c r="H428" s="215" t="str">
        <x:v>Moderate</x:v>
      </x:c>
      <x:c r="I428" s="215" t="str">
        <x:v>Naked eye</x:v>
      </x:c>
      <x:c r="J428" s="215" t="str">
        <x:v>Mature leaves</x:v>
      </x:c>
      <x:c r="K428" s="215" t="str">
        <x:v>Dogwood veins often arc forward rather than ending directly at the margin.</x:v>
      </x:c>
      <x:c r="L428" s="215" t="str">
        <x:v>The FNA family description uses broader pinnate/eucamptodromous terminology; curvature varies by species.</x:v>
      </x:c>
      <x:c r="M428" s="215" t="str">
        <x:v>Use as a positive vegetative cue, not a requirement.</x:v>
      </x:c>
      <x:c r="N428" s="215" t="str">
        <x:v>Practical on local Cornus leaves.</x:v>
      </x:c>
      <x:c r="O428" s="215" t="str">
        <x:v>Medium</x:v>
      </x:c>
      <x:c r="P428" s="215" t="str">
        <x:v>No</x:v>
      </x:c>
      <x:c r="Q428" s="215" t="str"/>
      <x:c r="R428" s="215" t="str">
        <x:v>COR-LK01; COR-LK02</x:v>
      </x:c>
      <x:c r="S428" s="215" t="str">
        <x:v>APWEB-CORN; FNA-CORN; POWO-CORN; LBJ-HAYS</x:v>
      </x:c>
      <x:c r="T428" s="215" t="str">
        <x:v>https://www.mobot.org/MOBOT/research/APweb/orders/cornalesweb.htm</x:v>
      </x:c>
      <x:c r="U428" s="215" t="str">
        <x:v>https://floranorthamerica.org/Cornaceae</x:v>
      </x:c>
      <x:c r="V428" s="215" t="str">
        <x:v>https://powo.science.kew.org/taxon/urn:lsid:ipni.org:names:30002899-2/general-information</x:v>
      </x:c>
      <x:c r="W428" s="215" t="str">
        <x:v>https://www.mobot.org/MOBOT/research/APweb/orders/cornalesweb.htm
https://floranorthamerica.org/Cornaceae
https://powo.science.kew.org/taxon/urn:lsid:ipni.org:names:30002899-2/general-information
https://www.wildflower.org/collections/collection.php?collection=hays</x:v>
      </x:c>
      <x:c r="X428" s="215" t="str">
        <x:v>No — retain qualifiers and exceptions</x:v>
      </x:c>
      <x:c r="Y428" s="215" t="str">
        <x:v>Yes</x:v>
      </x:c>
      <x:c r="Z428" s="215" t="str">
        <x:v>Source-backed draft</x:v>
      </x:c>
      <x:c r="AA428" s="215" t="str">
        <x:v>Family pattern</x:v>
      </x:c>
      <x:c r="AB428" s="215" t="str">
        <x:v>Positive diagnostic</x:v>
      </x:c>
      <x:c r="AC428" s="215" t="str">
        <x:v>Moderate</x:v>
      </x:c>
      <x:c r="AD428" s="215" t="str">
        <x:v>Naked eye / field</x:v>
      </x:c>
      <x:c r="AE428" s="215" t="str">
        <x:v>Moderate</x:v>
      </x:c>
      <x:c r="AF428" s="215" t="str">
        <x:v>Field-ready draft</x:v>
      </x:c>
      <x:c r="AG428" s="215" t="str">
        <x:v>3 — Reference support</x:v>
      </x:c>
      <x:c r="AH428" s="215" t="str">
        <x:v>Current master inventory</x:v>
      </x:c>
    </x:row>
    <x:row r="429" ht="42" customHeight="1">
      <x:c r="A429" s="215" t="str">
        <x:v>Cornaceae</x:v>
      </x:c>
      <x:c r="B429" s="215" t="str">
        <x:v>COR-HAIRS</x:v>
      </x:c>
      <x:c r="C429" s="215" t="str">
        <x:v>Family-wide, common</x:v>
      </x:c>
      <x:c r="D429" s="215" t="str">
        <x:v>Hair</x:v>
      </x:c>
      <x:c r="E429" s="215" t="str">
        <x:v>Hairs simple or characteristically two-armed</x:v>
      </x:c>
      <x:c r="F429" s="215" t="str">
        <x:v>Supporting</x:v>
      </x:c>
      <x:c r="G429" s="215" t="str">
        <x:v>2</x:v>
      </x:c>
      <x:c r="H429" s="215" t="str">
        <x:v>Moderate</x:v>
      </x:c>
      <x:c r="I429" s="215" t="str">
        <x:v>Hand lens</x:v>
      </x:c>
      <x:c r="J429" s="215" t="str">
        <x:v>Young twigs or leaf surfaces</x:v>
      </x:c>
      <x:c r="K429" s="215" t="str">
        <x:v>Some dogwoods bear compass-needle-like two-armed hairs.</x:v>
      </x:c>
      <x:c r="L429" s="215" t="str">
        <x:v>Hairs may be absent or one arm reduced and require magnification.</x:v>
      </x:c>
      <x:c r="M429" s="215" t="str">
        <x:v>Useful as confirmation when reproductive parts are unavailable.</x:v>
      </x:c>
      <x:c r="N429" s="215" t="str">
        <x:v>Potentially useful for local Cornus identification.</x:v>
      </x:c>
      <x:c r="O429" s="215" t="str">
        <x:v>Low</x:v>
      </x:c>
      <x:c r="P429" s="215" t="str">
        <x:v>No</x:v>
      </x:c>
      <x:c r="Q429" s="215" t="str"/>
      <x:c r="R429" s="215" t="str">
        <x:v>COR-LK02</x:v>
      </x:c>
      <x:c r="S429" s="215" t="str">
        <x:v>APWEB-CORN; FNA-CORN; POWO-CORN; LBJ-HAYS</x:v>
      </x:c>
      <x:c r="T429" s="215" t="str">
        <x:v>https://www.mobot.org/MOBOT/research/APweb/orders/cornalesweb.htm</x:v>
      </x:c>
      <x:c r="U429" s="215" t="str">
        <x:v>https://floranorthamerica.org/Cornaceae</x:v>
      </x:c>
      <x:c r="V429" s="215" t="str">
        <x:v>https://powo.science.kew.org/taxon/urn:lsid:ipni.org:names:30002899-2/general-information</x:v>
      </x:c>
      <x:c r="W429" s="215" t="str">
        <x:v>https://www.mobot.org/MOBOT/research/APweb/orders/cornalesweb.htm
https://floranorthamerica.org/Cornaceae
https://powo.science.kew.org/taxon/urn:lsid:ipni.org:names:30002899-2/general-information
https://www.wildflower.org/collections/collection.php?collection=hays</x:v>
      </x:c>
      <x:c r="X429" s="215" t="str">
        <x:v>No — retain qualifiers and exceptions</x:v>
      </x:c>
      <x:c r="Y429" s="215" t="str">
        <x:v>Yes</x:v>
      </x:c>
      <x:c r="Z429" s="215" t="str">
        <x:v>Source-backed draft</x:v>
      </x:c>
      <x:c r="AA429" s="215" t="str">
        <x:v>Family pattern</x:v>
      </x:c>
      <x:c r="AB429" s="215" t="str">
        <x:v>Supporting / route</x:v>
      </x:c>
      <x:c r="AC429" s="215" t="str">
        <x:v>Moderate</x:v>
      </x:c>
      <x:c r="AD429" s="215" t="str">
        <x:v>Hand lens / macro</x:v>
      </x:c>
      <x:c r="AE429" s="215" t="str">
        <x:v>Low</x:v>
      </x:c>
      <x:c r="AF429" s="215" t="str">
        <x:v>Field-ready draft</x:v>
      </x:c>
      <x:c r="AG429" s="215" t="str">
        <x:v>4 — Context / caution</x:v>
      </x:c>
      <x:c r="AH429" s="215" t="str">
        <x:v>Current master inventory</x:v>
      </x:c>
    </x:row>
    <x:row r="430" ht="42" customHeight="1">
      <x:c r="A430" s="215" t="str">
        <x:v>Cornaceae</x:v>
      </x:c>
      <x:c r="B430" s="215" t="str">
        <x:v>COR-INFLO</x:v>
      </x:c>
      <x:c r="C430" s="215" t="str">
        <x:v>Family-wide</x:v>
      </x:c>
      <x:c r="D430" s="215" t="str">
        <x:v>Inflorescence</x:v>
      </x:c>
      <x:c r="E430" s="215" t="str">
        <x:v>Flowers in cymes, umbels, or compact heads</x:v>
      </x:c>
      <x:c r="F430" s="215" t="str">
        <x:v>Supporting</x:v>
      </x:c>
      <x:c r="G430" s="215" t="str">
        <x:v>2</x:v>
      </x:c>
      <x:c r="H430" s="215" t="str">
        <x:v>High</x:v>
      </x:c>
      <x:c r="I430" s="215" t="str">
        <x:v>Naked eye</x:v>
      </x:c>
      <x:c r="J430" s="215" t="str">
        <x:v>Flowering</x:v>
      </x:c>
      <x:c r="K430" s="215" t="str">
        <x:v>Small flowers are grouped in branched clusters or heads.</x:v>
      </x:c>
      <x:c r="L430" s="215" t="str">
        <x:v>Cluster form varies substantially and showy bracts occur in only some lineages.</x:v>
      </x:c>
      <x:c r="M430" s="215" t="str">
        <x:v>Use cluster architecture with floral merosity and fruit.</x:v>
      </x:c>
      <x:c r="N430" s="215" t="str">
        <x:v>Useful for routing local dogwood material.</x:v>
      </x:c>
      <x:c r="O430" s="215" t="str">
        <x:v>Low</x:v>
      </x:c>
      <x:c r="P430" s="215" t="str">
        <x:v>No</x:v>
      </x:c>
      <x:c r="Q430" s="215" t="str"/>
      <x:c r="R430" s="215" t="str">
        <x:v>COR-LK01; COR-LK02</x:v>
      </x:c>
      <x:c r="S430" s="215" t="str">
        <x:v>APWEB-CORN; FNA-CORN; POWO-CORN; LBJ-HAYS</x:v>
      </x:c>
      <x:c r="T430" s="215" t="str">
        <x:v>https://www.mobot.org/MOBOT/research/APweb/orders/cornalesweb.htm</x:v>
      </x:c>
      <x:c r="U430" s="215" t="str">
        <x:v>https://floranorthamerica.org/Cornaceae</x:v>
      </x:c>
      <x:c r="V430" s="215" t="str">
        <x:v>https://powo.science.kew.org/taxon/urn:lsid:ipni.org:names:30002899-2/general-information</x:v>
      </x:c>
      <x:c r="W430" s="215" t="str">
        <x:v>https://www.mobot.org/MOBOT/research/APweb/orders/cornalesweb.htm
https://floranorthamerica.org/Cornaceae
https://powo.science.kew.org/taxon/urn:lsid:ipni.org:names:30002899-2/general-information
https://www.wildflower.org/collections/collection.php?collection=hays</x:v>
      </x:c>
      <x:c r="X430" s="215" t="str">
        <x:v>No — retain qualifiers and exceptions</x:v>
      </x:c>
      <x:c r="Y430" s="215" t="str">
        <x:v>Yes</x:v>
      </x:c>
      <x:c r="Z430" s="215" t="str">
        <x:v>Source-backed draft</x:v>
      </x:c>
      <x:c r="AA430" s="215" t="str">
        <x:v>Family pattern</x:v>
      </x:c>
      <x:c r="AB430" s="215" t="str">
        <x:v>Supporting / route</x:v>
      </x:c>
      <x:c r="AC430" s="215" t="str">
        <x:v>High</x:v>
      </x:c>
      <x:c r="AD430" s="215" t="str">
        <x:v>Naked eye / field</x:v>
      </x:c>
      <x:c r="AE430" s="215" t="str">
        <x:v>Low</x:v>
      </x:c>
      <x:c r="AF430" s="215" t="str">
        <x:v>Field-ready draft</x:v>
      </x:c>
      <x:c r="AG430" s="215" t="str">
        <x:v>4 — Context / caution</x:v>
      </x:c>
      <x:c r="AH430" s="215" t="str">
        <x:v>Current master inventory</x:v>
      </x:c>
    </x:row>
    <x:row r="431" ht="42" customHeight="1">
      <x:c r="A431" s="215" t="str">
        <x:v>Cornaceae</x:v>
      </x:c>
      <x:c r="B431" s="215" t="str">
        <x:v>COR-FLOWER</x:v>
      </x:c>
      <x:c r="C431" s="215" t="str">
        <x:v>Family-wide, predominant</x:v>
      </x:c>
      <x:c r="D431" s="215" t="str">
        <x:v>Flower</x:v>
      </x:c>
      <x:c r="E431" s="215" t="str">
        <x:v>Flowers radial, usually 4-merous, with free petals</x:v>
      </x:c>
      <x:c r="F431" s="215" t="str">
        <x:v>Strong</x:v>
      </x:c>
      <x:c r="G431" s="215" t="str">
        <x:v>4</x:v>
      </x:c>
      <x:c r="H431" s="215" t="str">
        <x:v>High</x:v>
      </x:c>
      <x:c r="I431" s="215" t="str">
        <x:v>Hand lens</x:v>
      </x:c>
      <x:c r="J431" s="215" t="str">
        <x:v>Fresh flowers</x:v>
      </x:c>
      <x:c r="K431" s="215" t="str">
        <x:v>Most flowers have four sepals, four petals, and four stamens.</x:v>
      </x:c>
      <x:c r="L431" s="215" t="str">
        <x:v>Five-part flowers and unisexual flowers occur in some lineages.</x:v>
      </x:c>
      <x:c r="M431" s="215" t="str">
        <x:v>Pair with inferior ovary and drupe.</x:v>
      </x:c>
      <x:c r="N431" s="215" t="str">
        <x:v>Strong field evidence on flowering Hays dogwoods.</x:v>
      </x:c>
      <x:c r="O431" s="215" t="str">
        <x:v>Low</x:v>
      </x:c>
      <x:c r="P431" s="215" t="str">
        <x:v>No</x:v>
      </x:c>
      <x:c r="Q431" s="215" t="str"/>
      <x:c r="R431" s="215" t="str">
        <x:v>COR-LK01; COR-LK02</x:v>
      </x:c>
      <x:c r="S431" s="215" t="str">
        <x:v>APWEB-CORN; FNA-CORN; POWO-CORN; LBJ-HAYS</x:v>
      </x:c>
      <x:c r="T431" s="215" t="str">
        <x:v>https://www.mobot.org/MOBOT/research/APweb/orders/cornalesweb.htm</x:v>
      </x:c>
      <x:c r="U431" s="215" t="str">
        <x:v>https://floranorthamerica.org/Cornaceae</x:v>
      </x:c>
      <x:c r="V431" s="215" t="str">
        <x:v>https://powo.science.kew.org/taxon/urn:lsid:ipni.org:names:30002899-2/general-information</x:v>
      </x:c>
      <x:c r="W431" s="215" t="str">
        <x:v>https://www.mobot.org/MOBOT/research/APweb/orders/cornalesweb.htm
https://floranorthamerica.org/Cornaceae
https://powo.science.kew.org/taxon/urn:lsid:ipni.org:names:30002899-2/general-information
https://www.wildflower.org/collections/collection.php?collection=hays</x:v>
      </x:c>
      <x:c r="X431" s="215" t="str">
        <x:v>No — retain qualifiers and exceptions</x:v>
      </x:c>
      <x:c r="Y431" s="215" t="str">
        <x:v>Yes</x:v>
      </x:c>
      <x:c r="Z431" s="215" t="str">
        <x:v>Source-backed draft</x:v>
      </x:c>
      <x:c r="AA431" s="215" t="str">
        <x:v>Family pattern</x:v>
      </x:c>
      <x:c r="AB431" s="215" t="str">
        <x:v>Positive diagnostic</x:v>
      </x:c>
      <x:c r="AC431" s="215" t="str">
        <x:v>High</x:v>
      </x:c>
      <x:c r="AD431" s="215" t="str">
        <x:v>Hand lens / macro</x:v>
      </x:c>
      <x:c r="AE431" s="215" t="str">
        <x:v>Low</x:v>
      </x:c>
      <x:c r="AF431" s="215" t="str">
        <x:v>Field-ready draft</x:v>
      </x:c>
      <x:c r="AG431" s="215" t="str">
        <x:v>2 — Field-photo priority</x:v>
      </x:c>
      <x:c r="AH431" s="215" t="str">
        <x:v>Current master inventory</x:v>
      </x:c>
    </x:row>
    <x:row r="432" ht="42" customHeight="1">
      <x:c r="A432" s="215" t="str">
        <x:v>Cornaceae</x:v>
      </x:c>
      <x:c r="B432" s="215" t="str">
        <x:v>COR-STAMENS</x:v>
      </x:c>
      <x:c r="C432" s="215" t="str">
        <x:v>Family-wide, predominant</x:v>
      </x:c>
      <x:c r="D432" s="215" t="str">
        <x:v>Androecium</x:v>
      </x:c>
      <x:c r="E432" s="215" t="str">
        <x:v>Usually four stamens alternating with petals</x:v>
      </x:c>
      <x:c r="F432" s="215" t="str">
        <x:v>Strong</x:v>
      </x:c>
      <x:c r="G432" s="215" t="str">
        <x:v>3</x:v>
      </x:c>
      <x:c r="H432" s="215" t="str">
        <x:v>High</x:v>
      </x:c>
      <x:c r="I432" s="215" t="str">
        <x:v>Hand lens</x:v>
      </x:c>
      <x:c r="J432" s="215" t="str">
        <x:v>Fresh flowers</x:v>
      </x:c>
      <x:c r="K432" s="215" t="str">
        <x:v>One free stamen normally accompanies each petal position.</x:v>
      </x:c>
      <x:c r="L432" s="215" t="str">
        <x:v>Five stamens occur with five-part flowers.</x:v>
      </x:c>
      <x:c r="M432" s="215" t="str">
        <x:v>Count only intact flowers and pair with ovary position.</x:v>
      </x:c>
      <x:c r="N432" s="215" t="str">
        <x:v>Useful close-range confirmation.</x:v>
      </x:c>
      <x:c r="O432" s="215" t="str">
        <x:v>Low</x:v>
      </x:c>
      <x:c r="P432" s="215" t="str">
        <x:v>No</x:v>
      </x:c>
      <x:c r="Q432" s="215" t="str"/>
      <x:c r="R432" s="215" t="str">
        <x:v>COR-LK01</x:v>
      </x:c>
      <x:c r="S432" s="215" t="str">
        <x:v>APWEB-CORN; FNA-CORN; POWO-CORN; LBJ-HAYS</x:v>
      </x:c>
      <x:c r="T432" s="215" t="str">
        <x:v>https://www.mobot.org/MOBOT/research/APweb/orders/cornalesweb.htm</x:v>
      </x:c>
      <x:c r="U432" s="215" t="str">
        <x:v>https://floranorthamerica.org/Cornaceae</x:v>
      </x:c>
      <x:c r="V432" s="215" t="str">
        <x:v>https://powo.science.kew.org/taxon/urn:lsid:ipni.org:names:30002899-2/general-information</x:v>
      </x:c>
      <x:c r="W432" s="215" t="str">
        <x:v>https://www.mobot.org/MOBOT/research/APweb/orders/cornalesweb.htm
https://floranorthamerica.org/Cornaceae
https://powo.science.kew.org/taxon/urn:lsid:ipni.org:names:30002899-2/general-information
https://www.wildflower.org/collections/collection.php?collection=hays</x:v>
      </x:c>
      <x:c r="X432" s="215" t="str">
        <x:v>No — retain qualifiers and exceptions</x:v>
      </x:c>
      <x:c r="Y432" s="215" t="str">
        <x:v>Yes</x:v>
      </x:c>
      <x:c r="Z432" s="215" t="str">
        <x:v>Source-backed draft</x:v>
      </x:c>
      <x:c r="AA432" s="215" t="str">
        <x:v>Family pattern</x:v>
      </x:c>
      <x:c r="AB432" s="215" t="str">
        <x:v>Positive diagnostic</x:v>
      </x:c>
      <x:c r="AC432" s="215" t="str">
        <x:v>High</x:v>
      </x:c>
      <x:c r="AD432" s="215" t="str">
        <x:v>Hand lens / macro</x:v>
      </x:c>
      <x:c r="AE432" s="215" t="str">
        <x:v>Low</x:v>
      </x:c>
      <x:c r="AF432" s="215" t="str">
        <x:v>Field-ready draft</x:v>
      </x:c>
      <x:c r="AG432" s="215" t="str">
        <x:v>3 — Reference support</x:v>
      </x:c>
      <x:c r="AH432" s="215" t="str">
        <x:v>Current master inventory</x:v>
      </x:c>
    </x:row>
    <x:row r="433" ht="42" customHeight="1">
      <x:c r="A433" s="215" t="str">
        <x:v>Cornaceae</x:v>
      </x:c>
      <x:c r="B433" s="215" t="str">
        <x:v>COR-OVARY</x:v>
      </x:c>
      <x:c r="C433" s="215" t="str">
        <x:v>Family-wide</x:v>
      </x:c>
      <x:c r="D433" s="215" t="str">
        <x:v>Gynoecium</x:v>
      </x:c>
      <x:c r="E433" s="215" t="str">
        <x:v>Ovary inferior, usually two-locular with one apical ovule per locule</x:v>
      </x:c>
      <x:c r="F433" s="215" t="str">
        <x:v>Core</x:v>
      </x:c>
      <x:c r="G433" s="215" t="str">
        <x:v>5</x:v>
      </x:c>
      <x:c r="H433" s="215" t="str">
        <x:v>High</x:v>
      </x:c>
      <x:c r="I433" s="215" t="str">
        <x:v>Hand lens or dissection</x:v>
      </x:c>
      <x:c r="J433" s="215" t="str">
        <x:v>Flowering or young fruit</x:v>
      </x:c>
      <x:c r="K433" s="215" t="str">
        <x:v>The ovary lies below the flower and typically has two potential seed chambers.</x:v>
      </x:c>
      <x:c r="L433" s="215" t="str">
        <x:v>One to four carpels or locules occur across the family treatment.</x:v>
      </x:c>
      <x:c r="M433" s="215" t="str">
        <x:v>A strong separator when combined with four free petals and drupe.</x:v>
      </x:c>
      <x:c r="N433" s="215" t="str">
        <x:v>High-value Hays family evidence.</x:v>
      </x:c>
      <x:c r="O433" s="215" t="str">
        <x:v>Low</x:v>
      </x:c>
      <x:c r="P433" s="215" t="str">
        <x:v>No</x:v>
      </x:c>
      <x:c r="Q433" s="215" t="str"/>
      <x:c r="R433" s="215" t="str">
        <x:v>COR-LK01; COR-LK02</x:v>
      </x:c>
      <x:c r="S433" s="215" t="str">
        <x:v>APWEB-CORN; FNA-CORN; POWO-CORN; LBJ-HAYS</x:v>
      </x:c>
      <x:c r="T433" s="215" t="str">
        <x:v>https://www.mobot.org/MOBOT/research/APweb/orders/cornalesweb.htm</x:v>
      </x:c>
      <x:c r="U433" s="215" t="str">
        <x:v>https://floranorthamerica.org/Cornaceae</x:v>
      </x:c>
      <x:c r="V433" s="215" t="str">
        <x:v>https://powo.science.kew.org/taxon/urn:lsid:ipni.org:names:30002899-2/general-information</x:v>
      </x:c>
      <x:c r="W433" s="215" t="str">
        <x:v>https://www.mobot.org/MOBOT/research/APweb/orders/cornalesweb.htm
https://floranorthamerica.org/Cornaceae
https://powo.science.kew.org/taxon/urn:lsid:ipni.org:names:30002899-2/general-information
https://www.wildflower.org/collections/collection.php?collection=hays</x:v>
      </x:c>
      <x:c r="X433" s="215" t="str">
        <x:v>No — retain qualifiers and exceptions</x:v>
      </x:c>
      <x:c r="Y433" s="215" t="str">
        <x:v>Yes</x:v>
      </x:c>
      <x:c r="Z433" s="215" t="str">
        <x:v>Source-backed draft</x:v>
      </x:c>
      <x:c r="AA433" s="215" t="str">
        <x:v>Family pattern</x:v>
      </x:c>
      <x:c r="AB433" s="215" t="str">
        <x:v>Positive diagnostic</x:v>
      </x:c>
      <x:c r="AC433" s="215" t="str">
        <x:v>High</x:v>
      </x:c>
      <x:c r="AD433" s="215" t="str">
        <x:v>Dissection</x:v>
      </x:c>
      <x:c r="AE433" s="215" t="str">
        <x:v>Low</x:v>
      </x:c>
      <x:c r="AF433" s="215" t="str">
        <x:v>Dissection / close study</x:v>
      </x:c>
      <x:c r="AG433" s="215" t="str">
        <x:v>3 — Reference support</x:v>
      </x:c>
      <x:c r="AH433" s="215" t="str">
        <x:v>Current master inventory</x:v>
      </x:c>
    </x:row>
    <x:row r="434" ht="42" customHeight="1">
      <x:c r="A434" s="215" t="str">
        <x:v>Cornaceae</x:v>
      </x:c>
      <x:c r="B434" s="215" t="str">
        <x:v>COR-FRUIT</x:v>
      </x:c>
      <x:c r="C434" s="215" t="str">
        <x:v>Family-wide, predominant</x:v>
      </x:c>
      <x:c r="D434" s="215" t="str">
        <x:v>Fruit</x:v>
      </x:c>
      <x:c r="E434" s="215" t="str">
        <x:v>Fruit a drupe, usually with one or two seeds</x:v>
      </x:c>
      <x:c r="F434" s="215" t="str">
        <x:v>Core</x:v>
      </x:c>
      <x:c r="G434" s="215" t="str">
        <x:v>5</x:v>
      </x:c>
      <x:c r="H434" s="215" t="str">
        <x:v>High</x:v>
      </x:c>
      <x:c r="I434" s="215" t="str">
        <x:v>Naked eye</x:v>
      </x:c>
      <x:c r="J434" s="215" t="str">
        <x:v>Mature fruit</x:v>
      </x:c>
      <x:c r="K434" s="215" t="str">
        <x:v>Dogwoods form closed fleshy fruits with a hard inner stone.</x:v>
      </x:c>
      <x:c r="L434" s="215" t="str">
        <x:v>Some fruits fuse into a multiple structure outside the main local route.</x:v>
      </x:c>
      <x:c r="M434" s="215" t="str">
        <x:v>Mature fruit plus opposite leaves and inferior ovary strongly confirms Cornaceae.</x:v>
      </x:c>
      <x:c r="N434" s="215" t="str">
        <x:v>Highly practical for local dogwoods.</x:v>
      </x:c>
      <x:c r="O434" s="215" t="str">
        <x:v>Low</x:v>
      </x:c>
      <x:c r="P434" s="215" t="str">
        <x:v>No</x:v>
      </x:c>
      <x:c r="Q434" s="215" t="str"/>
      <x:c r="R434" s="215" t="str">
        <x:v>COR-LK01; COR-LK02</x:v>
      </x:c>
      <x:c r="S434" s="215" t="str">
        <x:v>APWEB-CORN; FNA-CORN; POWO-CORN; LBJ-HAYS</x:v>
      </x:c>
      <x:c r="T434" s="215" t="str">
        <x:v>https://www.mobot.org/MOBOT/research/APweb/orders/cornalesweb.htm</x:v>
      </x:c>
      <x:c r="U434" s="215" t="str">
        <x:v>https://floranorthamerica.org/Cornaceae</x:v>
      </x:c>
      <x:c r="V434" s="215" t="str">
        <x:v>https://powo.science.kew.org/taxon/urn:lsid:ipni.org:names:30002899-2/general-information</x:v>
      </x:c>
      <x:c r="W434" s="215" t="str">
        <x:v>https://www.mobot.org/MOBOT/research/APweb/orders/cornalesweb.htm
https://floranorthamerica.org/Cornaceae
https://powo.science.kew.org/taxon/urn:lsid:ipni.org:names:30002899-2/general-information
https://www.wildflower.org/collections/collection.php?collection=hays</x:v>
      </x:c>
      <x:c r="X434" s="215" t="str">
        <x:v>No — retain qualifiers and exceptions</x:v>
      </x:c>
      <x:c r="Y434" s="215" t="str">
        <x:v>Yes</x:v>
      </x:c>
      <x:c r="Z434" s="215" t="str">
        <x:v>Source-backed draft</x:v>
      </x:c>
      <x:c r="AA434" s="215" t="str">
        <x:v>Family pattern</x:v>
      </x:c>
      <x:c r="AB434" s="215" t="str">
        <x:v>Positive diagnostic</x:v>
      </x:c>
      <x:c r="AC434" s="215" t="str">
        <x:v>High</x:v>
      </x:c>
      <x:c r="AD434" s="215" t="str">
        <x:v>Naked eye / field</x:v>
      </x:c>
      <x:c r="AE434" s="215" t="str">
        <x:v>Low</x:v>
      </x:c>
      <x:c r="AF434" s="215" t="str">
        <x:v>Field-ready draft</x:v>
      </x:c>
      <x:c r="AG434" s="215" t="str">
        <x:v>2 — Field-photo priority</x:v>
      </x:c>
      <x:c r="AH434" s="215" t="str">
        <x:v>Current master inventory</x:v>
      </x:c>
    </x:row>
    <x:row r="435" ht="42" customHeight="1">
      <x:c r="A435" s="215" t="str">
        <x:v>Cornaceae</x:v>
      </x:c>
      <x:c r="B435" s="215" t="str">
        <x:v>COR-LK01</x:v>
      </x:c>
      <x:c r="C435" s="215" t="str">
        <x:v>Lookalike comparison</x:v>
      </x:c>
      <x:c r="D435" s="215" t="str">
        <x:v>Lookalike</x:v>
      </x:c>
      <x:c r="E435" s="215" t="str">
        <x:v>Versus Viburnaceae: four free petals and four stamens favor Cornaceae; fused five-lobed corolla favors Viburnaceae</x:v>
      </x:c>
      <x:c r="F435" s="215" t="str">
        <x:v>Lookalike</x:v>
      </x:c>
      <x:c r="G435" s="215" t="str">
        <x:v>5</x:v>
      </x:c>
      <x:c r="H435" s="215" t="str">
        <x:v>High</x:v>
      </x:c>
      <x:c r="I435" s="215" t="str">
        <x:v>Hand lens</x:v>
      </x:c>
      <x:c r="J435" s="215" t="str">
        <x:v>Flowering or fruiting</x:v>
      </x:c>
      <x:c r="K435" s="215" t="str">
        <x:v>Both can have opposite leaves, inferior ovaries, and drupes, so flower construction is decisive.</x:v>
      </x:c>
      <x:c r="L435" s="215" t="str">
        <x:v>Part counts can vary and sterile material may remain ambiguous.</x:v>
      </x:c>
      <x:c r="M435" s="215" t="str">
        <x:v>Use corolla fusion, stamen count, and fruit together.</x:v>
      </x:c>
      <x:c r="N435" s="215" t="str">
        <x:v>Viburnaceae reciprocal coverage already exists.</x:v>
      </x:c>
      <x:c r="O435" s="215" t="str">
        <x:v>Low</x:v>
      </x:c>
      <x:c r="P435" s="215" t="str">
        <x:v>No</x:v>
      </x:c>
      <x:c r="Q435" s="215" t="str"/>
      <x:c r="R435" s="215" t="str">
        <x:v>COR-FLOWER; COR-STAMENS; COR-OVARY</x:v>
      </x:c>
      <x:c r="S435" s="215" t="str">
        <x:v>APWEB-CORN; FNA-CORN; POWO-CORN; LBJ-HAYS</x:v>
      </x:c>
      <x:c r="T435" s="215" t="str">
        <x:v>https://www.mobot.org/MOBOT/research/APweb/orders/cornalesweb.htm</x:v>
      </x:c>
      <x:c r="U435" s="215" t="str">
        <x:v>https://floranorthamerica.org/Cornaceae</x:v>
      </x:c>
      <x:c r="V435" s="215" t="str">
        <x:v>https://powo.science.kew.org/taxon/urn:lsid:ipni.org:names:30002899-2/general-information</x:v>
      </x:c>
      <x:c r="W435" s="215" t="str">
        <x:v>https://www.mobot.org/MOBOT/research/APweb/orders/cornalesweb.htm
https://floranorthamerica.org/Cornaceae
https://powo.science.kew.org/taxon/urn:lsid:ipni.org:names:30002899-2/general-information
https://www.wildflower.org/collections/collection.php?collection=hays</x:v>
      </x:c>
      <x:c r="X435" s="215" t="str">
        <x:v>No — retain qualifiers and exceptions</x:v>
      </x:c>
      <x:c r="Y435" s="215" t="str">
        <x:v>Yes</x:v>
      </x:c>
      <x:c r="Z435" s="215" t="str">
        <x:v>Source-backed draft</x:v>
      </x:c>
      <x:c r="AA435" s="215" t="str">
        <x:v>Lookalike comparison</x:v>
      </x:c>
      <x:c r="AB435" s="215" t="str">
        <x:v>Contrast / lookalike</x:v>
      </x:c>
      <x:c r="AC435" s="215" t="str">
        <x:v>High</x:v>
      </x:c>
      <x:c r="AD435" s="215" t="str">
        <x:v>Hand lens / macro</x:v>
      </x:c>
      <x:c r="AE435" s="215" t="str">
        <x:v>Low</x:v>
      </x:c>
      <x:c r="AF435" s="215" t="str">
        <x:v>Field-ready draft</x:v>
      </x:c>
      <x:c r="AG435" s="215" t="str">
        <x:v>2 — Field-photo priority</x:v>
      </x:c>
      <x:c r="AH435" s="215" t="str">
        <x:v>Current master inventory</x:v>
      </x:c>
    </x:row>
    <x:row r="436" ht="42" customHeight="1">
      <x:c r="A436" s="215" t="str">
        <x:v>Cornaceae</x:v>
      </x:c>
      <x:c r="B436" s="215" t="str">
        <x:v>COR-LK02</x:v>
      </x:c>
      <x:c r="C436" s="215" t="str">
        <x:v>Lookalike comparison</x:v>
      </x:c>
      <x:c r="D436" s="215" t="str">
        <x:v>Lookalike</x:v>
      </x:c>
      <x:c r="E436" s="215" t="str">
        <x:v>Versus Hydrangeaceae: simple 4-merous flowers and drupes favor Cornaceae; many stamens and capsules favor Hydrangeaceae</x:v>
      </x:c>
      <x:c r="F436" s="215" t="str">
        <x:v>Lookalike</x:v>
      </x:c>
      <x:c r="G436" s="215" t="str">
        <x:v>4</x:v>
      </x:c>
      <x:c r="H436" s="215" t="str">
        <x:v>High</x:v>
      </x:c>
      <x:c r="I436" s="215" t="str">
        <x:v>Hand lens</x:v>
      </x:c>
      <x:c r="J436" s="215" t="str">
        <x:v>Flowering through fruiting</x:v>
      </x:c>
      <x:c r="K436" s="215" t="str">
        <x:v>Opposite leaves and broad flower clusters overlap, but reproductive structures differ.</x:v>
      </x:c>
      <x:c r="L436" s="215" t="str">
        <x:v>Hydrangeaceae is internally variable and sterile material is unreliable.</x:v>
      </x:c>
      <x:c r="M436" s="215" t="str">
        <x:v>Prioritize stamen number and mature fruit.</x:v>
      </x:c>
      <x:c r="N436" s="215" t="str">
        <x:v>Hydrangeaceae is completed in this same batch, providing reciprocal coverage.</x:v>
      </x:c>
      <x:c r="O436" s="215" t="str">
        <x:v>Low</x:v>
      </x:c>
      <x:c r="P436" s="215" t="str">
        <x:v>No</x:v>
      </x:c>
      <x:c r="Q436" s="215" t="str"/>
      <x:c r="R436" s="215" t="str">
        <x:v>COR-FLOWER; COR-FRUIT</x:v>
      </x:c>
      <x:c r="S436" s="215" t="str">
        <x:v>APWEB-CORN; FNA-CORN; POWO-CORN; LBJ-HAYS</x:v>
      </x:c>
      <x:c r="T436" s="215" t="str">
        <x:v>https://www.mobot.org/MOBOT/research/APweb/orders/cornalesweb.htm</x:v>
      </x:c>
      <x:c r="U436" s="215" t="str">
        <x:v>https://floranorthamerica.org/Cornaceae</x:v>
      </x:c>
      <x:c r="V436" s="215" t="str">
        <x:v>https://powo.science.kew.org/taxon/urn:lsid:ipni.org:names:30002899-2/general-information</x:v>
      </x:c>
      <x:c r="W436" s="215" t="str">
        <x:v>https://www.mobot.org/MOBOT/research/APweb/orders/cornalesweb.htm
https://floranorthamerica.org/Cornaceae
https://powo.science.kew.org/taxon/urn:lsid:ipni.org:names:30002899-2/general-information
https://www.wildflower.org/collections/collection.php?collection=hays</x:v>
      </x:c>
      <x:c r="X436" s="215" t="str">
        <x:v>No — retain qualifiers and exceptions</x:v>
      </x:c>
      <x:c r="Y436" s="215" t="str">
        <x:v>Yes</x:v>
      </x:c>
      <x:c r="Z436" s="215" t="str">
        <x:v>Source-backed draft</x:v>
      </x:c>
      <x:c r="AA436" s="215" t="str">
        <x:v>Lookalike comparison</x:v>
      </x:c>
      <x:c r="AB436" s="215" t="str">
        <x:v>Contrast / lookalike</x:v>
      </x:c>
      <x:c r="AC436" s="215" t="str">
        <x:v>High</x:v>
      </x:c>
      <x:c r="AD436" s="215" t="str">
        <x:v>Hand lens / macro</x:v>
      </x:c>
      <x:c r="AE436" s="215" t="str">
        <x:v>Low</x:v>
      </x:c>
      <x:c r="AF436" s="215" t="str">
        <x:v>Field-ready draft</x:v>
      </x:c>
      <x:c r="AG436" s="215" t="str">
        <x:v>2 — Field-photo priority</x:v>
      </x:c>
      <x:c r="AH436" s="215" t="str">
        <x:v>Current master inventory</x:v>
      </x:c>
    </x:row>
    <x:row r="437" ht="42" customHeight="1">
      <x:c r="A437" s="215" t="str">
        <x:v>Hydrangeaceae</x:v>
      </x:c>
      <x:c r="B437" s="215" t="str">
        <x:v>HYD-HABIT</x:v>
      </x:c>
      <x:c r="C437" s="215" t="str">
        <x:v>Family-wide, predominant</x:v>
      </x:c>
      <x:c r="D437" s="215" t="str">
        <x:v>Habit</x:v>
      </x:c>
      <x:c r="E437" s="215" t="str">
        <x:v>Subshrubs, shrubs, trees, or woody vines</x:v>
      </x:c>
      <x:c r="F437" s="215" t="str">
        <x:v>Supporting</x:v>
      </x:c>
      <x:c r="G437" s="215" t="str">
        <x:v>2</x:v>
      </x:c>
      <x:c r="H437" s="215" t="str">
        <x:v>High</x:v>
      </x:c>
      <x:c r="I437" s="215" t="str">
        <x:v>Naked eye</x:v>
      </x:c>
      <x:c r="J437" s="215" t="str">
        <x:v>Any season</x:v>
      </x:c>
      <x:c r="K437" s="215" t="str">
        <x:v>The family is chiefly woody.</x:v>
      </x:c>
      <x:c r="L437" s="215" t="str">
        <x:v>Rare herbaceous forms occur outside the main North American routes.</x:v>
      </x:c>
      <x:c r="M437" s="215" t="str">
        <x:v>Use only as an initial screen.</x:v>
      </x:c>
      <x:c r="N437" s="215" t="str">
        <x:v>Hays relevance is primarily Fendlera- and Philadelphus-type woody routes; cultivated Hydrangea alone does not establish presence.</x:v>
      </x:c>
      <x:c r="O437" s="215" t="str">
        <x:v>Medium</x:v>
      </x:c>
      <x:c r="P437" s="215" t="str">
        <x:v>No</x:v>
      </x:c>
      <x:c r="Q437" s="215" t="str"/>
      <x:c r="R437" s="215" t="str">
        <x:v>HYD-LK01; HYD-LK02</x:v>
      </x:c>
      <x:c r="S437" s="215" t="str">
        <x:v>APWEB-HYDR; FNA-HYDR; POWO-HYDR; LBJ-HAYS</x:v>
      </x:c>
      <x:c r="T437" s="215" t="str">
        <x:v>https://www.mobot.org/MOBOT/research/APweb/orders/cornalesweb.htm</x:v>
      </x:c>
      <x:c r="U437" s="215" t="str">
        <x:v>https://floranorthamerica.org/Hydrangeaceae</x:v>
      </x:c>
      <x:c r="V437" s="215" t="str">
        <x:v>https://powo.science.kew.org/taxon/urn:lsid:ipni.org:names:77126637-1/general-information</x:v>
      </x:c>
      <x:c r="W437" s="215" t="str">
        <x:v>https://www.mobot.org/MOBOT/research/APweb/orders/cornalesweb.htm
https://floranorthamerica.org/Hydrangeaceae
https://powo.science.kew.org/taxon/urn:lsid:ipni.org:names:77126637-1/general-information
https://www.wildflower.org/collections/collection.php?collection=hays</x:v>
      </x:c>
      <x:c r="X437" s="215" t="str">
        <x:v>No — retain qualifiers and exceptions</x:v>
      </x:c>
      <x:c r="Y437" s="215" t="str">
        <x:v>Yes</x:v>
      </x:c>
      <x:c r="Z437" s="215" t="str">
        <x:v>Source-backed draft</x:v>
      </x:c>
      <x:c r="AA437" s="215" t="str">
        <x:v>Family pattern</x:v>
      </x:c>
      <x:c r="AB437" s="215" t="str">
        <x:v>Supporting / route</x:v>
      </x:c>
      <x:c r="AC437" s="215" t="str">
        <x:v>High</x:v>
      </x:c>
      <x:c r="AD437" s="215" t="str">
        <x:v>Naked eye / field</x:v>
      </x:c>
      <x:c r="AE437" s="215" t="str">
        <x:v>Moderate</x:v>
      </x:c>
      <x:c r="AF437" s="215" t="str">
        <x:v>Field-ready draft</x:v>
      </x:c>
      <x:c r="AG437" s="215" t="str">
        <x:v>4 — Context / caution</x:v>
      </x:c>
      <x:c r="AH437" s="215" t="str">
        <x:v>Current master inventory</x:v>
      </x:c>
    </x:row>
    <x:row r="438" ht="42" customHeight="1">
      <x:c r="A438" s="215" t="str">
        <x:v>Hydrangeaceae</x:v>
      </x:c>
      <x:c r="B438" s="215" t="str">
        <x:v>HYD-LEAVES</x:v>
      </x:c>
      <x:c r="C438" s="215" t="str">
        <x:v>Family-wide, predominant</x:v>
      </x:c>
      <x:c r="D438" s="215" t="str">
        <x:v>Leaf</x:v>
      </x:c>
      <x:c r="E438" s="215" t="str">
        <x:v>Leaves usually opposite or whorled, simple, and without stipules</x:v>
      </x:c>
      <x:c r="F438" s="215" t="str">
        <x:v>Strong</x:v>
      </x:c>
      <x:c r="G438" s="215" t="str">
        <x:v>4</x:v>
      </x:c>
      <x:c r="H438" s="215" t="str">
        <x:v>High</x:v>
      </x:c>
      <x:c r="I438" s="215" t="str">
        <x:v>Naked eye</x:v>
      </x:c>
      <x:c r="J438" s="215" t="str">
        <x:v>Vegetative</x:v>
      </x:c>
      <x:c r="K438" s="215" t="str">
        <x:v>Leaves commonly occur in pairs and lack stipules.</x:v>
      </x:c>
      <x:c r="L438" s="215" t="str">
        <x:v>Alternate leaves occur in some lineages and margins range from entire to toothed or lobed.</x:v>
      </x:c>
      <x:c r="M438" s="215" t="str">
        <x:v>Combine with flowers, stamen number, ovary, and fruit.</x:v>
      </x:c>
      <x:c r="N438" s="215" t="str">
        <x:v>Useful for local Fendlera and mock-orange-type material.</x:v>
      </x:c>
      <x:c r="O438" s="215" t="str">
        <x:v>Low</x:v>
      </x:c>
      <x:c r="P438" s="215" t="str">
        <x:v>No</x:v>
      </x:c>
      <x:c r="Q438" s="215" t="str"/>
      <x:c r="R438" s="215" t="str">
        <x:v>HYD-LK01; HYD-LK02</x:v>
      </x:c>
      <x:c r="S438" s="215" t="str">
        <x:v>APWEB-HYDR; FNA-HYDR; POWO-HYDR; LBJ-HAYS</x:v>
      </x:c>
      <x:c r="T438" s="215" t="str">
        <x:v>https://www.mobot.org/MOBOT/research/APweb/orders/cornalesweb.htm</x:v>
      </x:c>
      <x:c r="U438" s="215" t="str">
        <x:v>https://floranorthamerica.org/Hydrangeaceae</x:v>
      </x:c>
      <x:c r="V438" s="215" t="str">
        <x:v>https://powo.science.kew.org/taxon/urn:lsid:ipni.org:names:77126637-1/general-information</x:v>
      </x:c>
      <x:c r="W438" s="215" t="str">
        <x:v>https://www.mobot.org/MOBOT/research/APweb/orders/cornalesweb.htm
https://floranorthamerica.org/Hydrangeaceae
https://powo.science.kew.org/taxon/urn:lsid:ipni.org:names:77126637-1/general-information
https://www.wildflower.org/collections/collection.php?collection=hays</x:v>
      </x:c>
      <x:c r="X438" s="215" t="str">
        <x:v>No — retain qualifiers and exceptions</x:v>
      </x:c>
      <x:c r="Y438" s="215" t="str">
        <x:v>Yes</x:v>
      </x:c>
      <x:c r="Z438" s="215" t="str">
        <x:v>Source-backed draft</x:v>
      </x:c>
      <x:c r="AA438" s="215" t="str">
        <x:v>Family pattern</x:v>
      </x:c>
      <x:c r="AB438" s="215" t="str">
        <x:v>Positive diagnostic</x:v>
      </x:c>
      <x:c r="AC438" s="215" t="str">
        <x:v>High</x:v>
      </x:c>
      <x:c r="AD438" s="215" t="str">
        <x:v>Naked eye / field</x:v>
      </x:c>
      <x:c r="AE438" s="215" t="str">
        <x:v>Low</x:v>
      </x:c>
      <x:c r="AF438" s="215" t="str">
        <x:v>Field-ready draft</x:v>
      </x:c>
      <x:c r="AG438" s="215" t="str">
        <x:v>2 — Field-photo priority</x:v>
      </x:c>
      <x:c r="AH438" s="215" t="str">
        <x:v>Current master inventory</x:v>
      </x:c>
    </x:row>
    <x:row r="439" ht="42" customHeight="1">
      <x:c r="A439" s="215" t="str">
        <x:v>Hydrangeaceae</x:v>
      </x:c>
      <x:c r="B439" s="215" t="str">
        <x:v>HYD-HAIRS</x:v>
      </x:c>
      <x:c r="C439" s="215" t="str">
        <x:v>Family-wide, common</x:v>
      </x:c>
      <x:c r="D439" s="215" t="str">
        <x:v>Hair</x:v>
      </x:c>
      <x:c r="E439" s="215" t="str">
        <x:v>Hairs often long, unicellular, sometimes branched or tuberculate</x:v>
      </x:c>
      <x:c r="F439" s="215" t="str">
        <x:v>Supporting</x:v>
      </x:c>
      <x:c r="G439" s="215" t="str">
        <x:v>2</x:v>
      </x:c>
      <x:c r="H439" s="215" t="str">
        <x:v>Moderate</x:v>
      </x:c>
      <x:c r="I439" s="215" t="str">
        <x:v>Hand lens</x:v>
      </x:c>
      <x:c r="J439" s="215" t="str">
        <x:v>Young twigs and leaves</x:v>
      </x:c>
      <x:c r="K439" s="215" t="str">
        <x:v>Characteristic long hairs can support recognition.</x:v>
      </x:c>
      <x:c r="L439" s="215" t="str">
        <x:v>Hair form varies and many plants may be nearly glabrous.</x:v>
      </x:c>
      <x:c r="M439" s="215" t="str">
        <x:v>Use only as supporting microcharacter evidence.</x:v>
      </x:c>
      <x:c r="N439" s="215" t="str">
        <x:v>Potentially useful when separating local woody genera.</x:v>
      </x:c>
      <x:c r="O439" s="215" t="str">
        <x:v>Medium</x:v>
      </x:c>
      <x:c r="P439" s="215" t="str">
        <x:v>No</x:v>
      </x:c>
      <x:c r="Q439" s="215" t="str"/>
      <x:c r="R439" s="215" t="str">
        <x:v>HYD-LK02</x:v>
      </x:c>
      <x:c r="S439" s="215" t="str">
        <x:v>APWEB-HYDR; FNA-HYDR; POWO-HYDR; LBJ-HAYS</x:v>
      </x:c>
      <x:c r="T439" s="215" t="str">
        <x:v>https://www.mobot.org/MOBOT/research/APweb/orders/cornalesweb.htm</x:v>
      </x:c>
      <x:c r="U439" s="215" t="str">
        <x:v>https://floranorthamerica.org/Hydrangeaceae</x:v>
      </x:c>
      <x:c r="V439" s="215" t="str">
        <x:v>https://powo.science.kew.org/taxon/urn:lsid:ipni.org:names:77126637-1/general-information</x:v>
      </x:c>
      <x:c r="W439" s="215" t="str">
        <x:v>https://www.mobot.org/MOBOT/research/APweb/orders/cornalesweb.htm
https://floranorthamerica.org/Hydrangeaceae
https://powo.science.kew.org/taxon/urn:lsid:ipni.org:names:77126637-1/general-information
https://www.wildflower.org/collections/collection.php?collection=hays</x:v>
      </x:c>
      <x:c r="X439" s="215" t="str">
        <x:v>No — retain qualifiers and exceptions</x:v>
      </x:c>
      <x:c r="Y439" s="215" t="str">
        <x:v>Yes</x:v>
      </x:c>
      <x:c r="Z439" s="215" t="str">
        <x:v>Source-backed draft</x:v>
      </x:c>
      <x:c r="AA439" s="215" t="str">
        <x:v>Family pattern</x:v>
      </x:c>
      <x:c r="AB439" s="215" t="str">
        <x:v>Supporting / route</x:v>
      </x:c>
      <x:c r="AC439" s="215" t="str">
        <x:v>Moderate</x:v>
      </x:c>
      <x:c r="AD439" s="215" t="str">
        <x:v>Hand lens / macro</x:v>
      </x:c>
      <x:c r="AE439" s="215" t="str">
        <x:v>Moderate</x:v>
      </x:c>
      <x:c r="AF439" s="215" t="str">
        <x:v>Field-ready draft</x:v>
      </x:c>
      <x:c r="AG439" s="215" t="str">
        <x:v>4 — Context / caution</x:v>
      </x:c>
      <x:c r="AH439" s="215" t="str">
        <x:v>Current master inventory</x:v>
      </x:c>
    </x:row>
    <x:row r="440" ht="42" customHeight="1">
      <x:c r="A440" s="215" t="str">
        <x:v>Hydrangeaceae</x:v>
      </x:c>
      <x:c r="B440" s="215" t="str">
        <x:v>HYD-INFLO</x:v>
      </x:c>
      <x:c r="C440" s="215" t="str">
        <x:v>Family-wide</x:v>
      </x:c>
      <x:c r="D440" s="215" t="str">
        <x:v>Inflorescence</x:v>
      </x:c>
      <x:c r="E440" s="215" t="str">
        <x:v>Flowers in cymes, panicles, racemes, corymbs, or occasionally solitary</x:v>
      </x:c>
      <x:c r="F440" s="215" t="str">
        <x:v>Supporting</x:v>
      </x:c>
      <x:c r="G440" s="215" t="str">
        <x:v>2</x:v>
      </x:c>
      <x:c r="H440" s="215" t="str">
        <x:v>High</x:v>
      </x:c>
      <x:c r="I440" s="215" t="str">
        <x:v>Naked eye</x:v>
      </x:c>
      <x:c r="J440" s="215" t="str">
        <x:v>Flowering</x:v>
      </x:c>
      <x:c r="K440" s="215" t="str">
        <x:v>Flower clusters are usually branched but highly variable.</x:v>
      </x:c>
      <x:c r="L440" s="215" t="str">
        <x:v>No single inflorescence architecture identifies the family.</x:v>
      </x:c>
      <x:c r="M440" s="215" t="str">
        <x:v>Use cluster type for genus routing after stronger reproductive characters.</x:v>
      </x:c>
      <x:c r="N440" s="215" t="str">
        <x:v>Relevant across Hays hydrangea-family routes.</x:v>
      </x:c>
      <x:c r="O440" s="215" t="str">
        <x:v>Low</x:v>
      </x:c>
      <x:c r="P440" s="215" t="str">
        <x:v>No</x:v>
      </x:c>
      <x:c r="Q440" s="215" t="str"/>
      <x:c r="R440" s="215" t="str">
        <x:v>HYD-LK01; HYD-LK02</x:v>
      </x:c>
      <x:c r="S440" s="215" t="str">
        <x:v>APWEB-HYDR; FNA-HYDR; POWO-HYDR; LBJ-HAYS</x:v>
      </x:c>
      <x:c r="T440" s="215" t="str">
        <x:v>https://www.mobot.org/MOBOT/research/APweb/orders/cornalesweb.htm</x:v>
      </x:c>
      <x:c r="U440" s="215" t="str">
        <x:v>https://floranorthamerica.org/Hydrangeaceae</x:v>
      </x:c>
      <x:c r="V440" s="215" t="str">
        <x:v>https://powo.science.kew.org/taxon/urn:lsid:ipni.org:names:77126637-1/general-information</x:v>
      </x:c>
      <x:c r="W440" s="215" t="str">
        <x:v>https://www.mobot.org/MOBOT/research/APweb/orders/cornalesweb.htm
https://floranorthamerica.org/Hydrangeaceae
https://powo.science.kew.org/taxon/urn:lsid:ipni.org:names:77126637-1/general-information
https://www.wildflower.org/collections/collection.php?collection=hays</x:v>
      </x:c>
      <x:c r="X440" s="215" t="str">
        <x:v>No — retain qualifiers and exceptions</x:v>
      </x:c>
      <x:c r="Y440" s="215" t="str">
        <x:v>Yes</x:v>
      </x:c>
      <x:c r="Z440" s="215" t="str">
        <x:v>Source-backed draft</x:v>
      </x:c>
      <x:c r="AA440" s="215" t="str">
        <x:v>Family pattern</x:v>
      </x:c>
      <x:c r="AB440" s="215" t="str">
        <x:v>Supporting / route</x:v>
      </x:c>
      <x:c r="AC440" s="215" t="str">
        <x:v>High</x:v>
      </x:c>
      <x:c r="AD440" s="215" t="str">
        <x:v>Naked eye / field</x:v>
      </x:c>
      <x:c r="AE440" s="215" t="str">
        <x:v>Low</x:v>
      </x:c>
      <x:c r="AF440" s="215" t="str">
        <x:v>Field-ready draft</x:v>
      </x:c>
      <x:c r="AG440" s="215" t="str">
        <x:v>4 — Context / caution</x:v>
      </x:c>
      <x:c r="AH440" s="215" t="str">
        <x:v>Current master inventory</x:v>
      </x:c>
    </x:row>
    <x:row r="441" ht="42" customHeight="1">
      <x:c r="A441" s="215" t="str">
        <x:v>Hydrangeaceae</x:v>
      </x:c>
      <x:c r="B441" s="215" t="str">
        <x:v>HYD-FLOWER</x:v>
      </x:c>
      <x:c r="C441" s="215" t="str">
        <x:v>Family-wide</x:v>
      </x:c>
      <x:c r="D441" s="215" t="str">
        <x:v>Flower</x:v>
      </x:c>
      <x:c r="E441" s="215" t="str">
        <x:v>Bisexual flowers radial; some clusters also have enlarged sterile marginal flowers</x:v>
      </x:c>
      <x:c r="F441" s="215" t="str">
        <x:v>Strong</x:v>
      </x:c>
      <x:c r="G441" s="215" t="str">
        <x:v>3</x:v>
      </x:c>
      <x:c r="H441" s="215" t="str">
        <x:v>High</x:v>
      </x:c>
      <x:c r="I441" s="215" t="str">
        <x:v>Naked eye or hand lens</x:v>
      </x:c>
      <x:c r="J441" s="215" t="str">
        <x:v>Fresh flowers</x:v>
      </x:c>
      <x:c r="K441" s="215" t="str">
        <x:v>Most fertile flowers are radial, while showy sterile flowers occur in some genera.</x:v>
      </x:c>
      <x:c r="L441" s="215" t="str">
        <x:v>Sterile marginal flowers are absent in many family members and should never be required.</x:v>
      </x:c>
      <x:c r="M441" s="215" t="str">
        <x:v>Use sterile flowers as a positive clue only; inspect fertile flowers for family evidence.</x:v>
      </x:c>
      <x:c r="N441" s="215" t="str">
        <x:v>Important because cultivated hydrangeas overemphasize a nonuniversal character.</x:v>
      </x:c>
      <x:c r="O441" s="215" t="str">
        <x:v>Low</x:v>
      </x:c>
      <x:c r="P441" s="215" t="str">
        <x:v>No</x:v>
      </x:c>
      <x:c r="Q441" s="215" t="str"/>
      <x:c r="R441" s="215" t="str">
        <x:v>HYD-LK01; HYD-LK02</x:v>
      </x:c>
      <x:c r="S441" s="215" t="str">
        <x:v>APWEB-HYDR; FNA-HYDR; POWO-HYDR; LBJ-HAYS</x:v>
      </x:c>
      <x:c r="T441" s="215" t="str">
        <x:v>https://www.mobot.org/MOBOT/research/APweb/orders/cornalesweb.htm</x:v>
      </x:c>
      <x:c r="U441" s="215" t="str">
        <x:v>https://floranorthamerica.org/Hydrangeaceae</x:v>
      </x:c>
      <x:c r="V441" s="215" t="str">
        <x:v>https://powo.science.kew.org/taxon/urn:lsid:ipni.org:names:77126637-1/general-information</x:v>
      </x:c>
      <x:c r="W441" s="215" t="str">
        <x:v>https://www.mobot.org/MOBOT/research/APweb/orders/cornalesweb.htm
https://floranorthamerica.org/Hydrangeaceae
https://powo.science.kew.org/taxon/urn:lsid:ipni.org:names:77126637-1/general-information
https://www.wildflower.org/collections/collection.php?collection=hays</x:v>
      </x:c>
      <x:c r="X441" s="215" t="str">
        <x:v>No — retain qualifiers and exceptions</x:v>
      </x:c>
      <x:c r="Y441" s="215" t="str">
        <x:v>Yes</x:v>
      </x:c>
      <x:c r="Z441" s="215" t="str">
        <x:v>Source-backed draft</x:v>
      </x:c>
      <x:c r="AA441" s="215" t="str">
        <x:v>Family pattern</x:v>
      </x:c>
      <x:c r="AB441" s="215" t="str">
        <x:v>Positive diagnostic</x:v>
      </x:c>
      <x:c r="AC441" s="215" t="str">
        <x:v>High</x:v>
      </x:c>
      <x:c r="AD441" s="215" t="str">
        <x:v>Hand lens / macro</x:v>
      </x:c>
      <x:c r="AE441" s="215" t="str">
        <x:v>Low</x:v>
      </x:c>
      <x:c r="AF441" s="215" t="str">
        <x:v>Field-ready draft</x:v>
      </x:c>
      <x:c r="AG441" s="215" t="str">
        <x:v>3 — Reference support</x:v>
      </x:c>
      <x:c r="AH441" s="215" t="str">
        <x:v>Current master inventory</x:v>
      </x:c>
    </x:row>
    <x:row r="442" ht="42" customHeight="1">
      <x:c r="A442" s="215" t="str">
        <x:v>Hydrangeaceae</x:v>
      </x:c>
      <x:c r="B442" s="215" t="str">
        <x:v>HYD-MEROSITY</x:v>
      </x:c>
      <x:c r="C442" s="215" t="str">
        <x:v>Family-wide, variable</x:v>
      </x:c>
      <x:c r="D442" s="215" t="str">
        <x:v>Flower</x:v>
      </x:c>
      <x:c r="E442" s="215" t="str">
        <x:v>Sepals and petals usually 4–12</x:v>
      </x:c>
      <x:c r="F442" s="215" t="str">
        <x:v>Supporting</x:v>
      </x:c>
      <x:c r="G442" s="215" t="str">
        <x:v>2</x:v>
      </x:c>
      <x:c r="H442" s="215" t="str">
        <x:v>High</x:v>
      </x:c>
      <x:c r="I442" s="215" t="str">
        <x:v>Hand lens</x:v>
      </x:c>
      <x:c r="J442" s="215" t="str">
        <x:v>Fresh flowers</x:v>
      </x:c>
      <x:c r="K442" s="215" t="str">
        <x:v>Flower parts occur in several-numbered whorls, commonly four or five in local routes.</x:v>
      </x:c>
      <x:c r="L442" s="215" t="str">
        <x:v>Counts vary widely and petals may be basally joined.</x:v>
      </x:c>
      <x:c r="M442" s="215" t="str">
        <x:v>Use only with stamen, ovary, and fruit characters.</x:v>
      </x:c>
      <x:c r="N442" s="215" t="str">
        <x:v>Useful for local genus routing but not diagnostic alone.</x:v>
      </x:c>
      <x:c r="O442" s="215" t="str">
        <x:v>Low</x:v>
      </x:c>
      <x:c r="P442" s="215" t="str">
        <x:v>No</x:v>
      </x:c>
      <x:c r="Q442" s="215" t="str"/>
      <x:c r="R442" s="215" t="str">
        <x:v>HYD-LK02</x:v>
      </x:c>
      <x:c r="S442" s="215" t="str">
        <x:v>APWEB-HYDR; FNA-HYDR; POWO-HYDR; LBJ-HAYS</x:v>
      </x:c>
      <x:c r="T442" s="215" t="str">
        <x:v>https://www.mobot.org/MOBOT/research/APweb/orders/cornalesweb.htm</x:v>
      </x:c>
      <x:c r="U442" s="215" t="str">
        <x:v>https://floranorthamerica.org/Hydrangeaceae</x:v>
      </x:c>
      <x:c r="V442" s="215" t="str">
        <x:v>https://powo.science.kew.org/taxon/urn:lsid:ipni.org:names:77126637-1/general-information</x:v>
      </x:c>
      <x:c r="W442" s="215" t="str">
        <x:v>https://www.mobot.org/MOBOT/research/APweb/orders/cornalesweb.htm
https://floranorthamerica.org/Hydrangeaceae
https://powo.science.kew.org/taxon/urn:lsid:ipni.org:names:77126637-1/general-information
https://www.wildflower.org/collections/collection.php?collection=hays</x:v>
      </x:c>
      <x:c r="X442" s="215" t="str">
        <x:v>No — retain qualifiers and exceptions</x:v>
      </x:c>
      <x:c r="Y442" s="215" t="str">
        <x:v>Yes</x:v>
      </x:c>
      <x:c r="Z442" s="215" t="str">
        <x:v>Source-backed draft</x:v>
      </x:c>
      <x:c r="AA442" s="215" t="str">
        <x:v>Family pattern</x:v>
      </x:c>
      <x:c r="AB442" s="215" t="str">
        <x:v>Supporting / route</x:v>
      </x:c>
      <x:c r="AC442" s="215" t="str">
        <x:v>High</x:v>
      </x:c>
      <x:c r="AD442" s="215" t="str">
        <x:v>Hand lens / macro</x:v>
      </x:c>
      <x:c r="AE442" s="215" t="str">
        <x:v>Low</x:v>
      </x:c>
      <x:c r="AF442" s="215" t="str">
        <x:v>Field-ready draft</x:v>
      </x:c>
      <x:c r="AG442" s="215" t="str">
        <x:v>4 — Context / caution</x:v>
      </x:c>
      <x:c r="AH442" s="215" t="str">
        <x:v>Current master inventory</x:v>
      </x:c>
    </x:row>
    <x:row r="443" ht="42" customHeight="1">
      <x:c r="A443" s="215" t="str">
        <x:v>Hydrangeaceae</x:v>
      </x:c>
      <x:c r="B443" s="215" t="str">
        <x:v>HYD-STAMENS</x:v>
      </x:c>
      <x:c r="C443" s="215" t="str">
        <x:v>Family-wide, variable</x:v>
      </x:c>
      <x:c r="D443" s="215" t="str">
        <x:v>Androecium</x:v>
      </x:c>
      <x:c r="E443" s="215" t="str">
        <x:v>Stamens 8–200, often more numerous than petals</x:v>
      </x:c>
      <x:c r="F443" s="215" t="str">
        <x:v>Strong</x:v>
      </x:c>
      <x:c r="G443" s="215" t="str">
        <x:v>4</x:v>
      </x:c>
      <x:c r="H443" s="215" t="str">
        <x:v>High</x:v>
      </x:c>
      <x:c r="I443" s="215" t="str">
        <x:v>Hand lens</x:v>
      </x:c>
      <x:c r="J443" s="215" t="str">
        <x:v>Fresh flowers</x:v>
      </x:c>
      <x:c r="K443" s="215" t="str">
        <x:v>Many members have two or more stamens per petal, and some have dozens.</x:v>
      </x:c>
      <x:c r="L443" s="215" t="str">
        <x:v>Several lineages have only 8–12 stamens, so extreme abundance is not universal.</x:v>
      </x:c>
      <x:c r="M443" s="215" t="str">
        <x:v>Stamen count is highly useful against four- or five-stamen woody lookalikes.</x:v>
      </x:c>
      <x:c r="N443" s="215" t="str">
        <x:v>Especially helpful against Cornaceae and Viburnaceae in Hays.</x:v>
      </x:c>
      <x:c r="O443" s="215" t="str">
        <x:v>Low</x:v>
      </x:c>
      <x:c r="P443" s="215" t="str">
        <x:v>No</x:v>
      </x:c>
      <x:c r="Q443" s="215" t="str"/>
      <x:c r="R443" s="215" t="str">
        <x:v>HYD-LK01; HYD-LK02</x:v>
      </x:c>
      <x:c r="S443" s="215" t="str">
        <x:v>APWEB-HYDR; FNA-HYDR; POWO-HYDR; LBJ-HAYS</x:v>
      </x:c>
      <x:c r="T443" s="215" t="str">
        <x:v>https://www.mobot.org/MOBOT/research/APweb/orders/cornalesweb.htm</x:v>
      </x:c>
      <x:c r="U443" s="215" t="str">
        <x:v>https://floranorthamerica.org/Hydrangeaceae</x:v>
      </x:c>
      <x:c r="V443" s="215" t="str">
        <x:v>https://powo.science.kew.org/taxon/urn:lsid:ipni.org:names:77126637-1/general-information</x:v>
      </x:c>
      <x:c r="W443" s="215" t="str">
        <x:v>https://www.mobot.org/MOBOT/research/APweb/orders/cornalesweb.htm
https://floranorthamerica.org/Hydrangeaceae
https://powo.science.kew.org/taxon/urn:lsid:ipni.org:names:77126637-1/general-information
https://www.wildflower.org/collections/collection.php?collection=hays</x:v>
      </x:c>
      <x:c r="X443" s="215" t="str">
        <x:v>No — retain qualifiers and exceptions</x:v>
      </x:c>
      <x:c r="Y443" s="215" t="str">
        <x:v>Yes</x:v>
      </x:c>
      <x:c r="Z443" s="215" t="str">
        <x:v>Source-backed draft</x:v>
      </x:c>
      <x:c r="AA443" s="215" t="str">
        <x:v>Family pattern</x:v>
      </x:c>
      <x:c r="AB443" s="215" t="str">
        <x:v>Positive diagnostic</x:v>
      </x:c>
      <x:c r="AC443" s="215" t="str">
        <x:v>High</x:v>
      </x:c>
      <x:c r="AD443" s="215" t="str">
        <x:v>Hand lens / macro</x:v>
      </x:c>
      <x:c r="AE443" s="215" t="str">
        <x:v>Low</x:v>
      </x:c>
      <x:c r="AF443" s="215" t="str">
        <x:v>Field-ready draft</x:v>
      </x:c>
      <x:c r="AG443" s="215" t="str">
        <x:v>2 — Field-photo priority</x:v>
      </x:c>
      <x:c r="AH443" s="215" t="str">
        <x:v>Current master inventory</x:v>
      </x:c>
    </x:row>
    <x:row r="444" ht="42" customHeight="1">
      <x:c r="A444" s="215" t="str">
        <x:v>Hydrangeaceae</x:v>
      </x:c>
      <x:c r="B444" s="215" t="str">
        <x:v>HYD-OVARY</x:v>
      </x:c>
      <x:c r="C444" s="215" t="str">
        <x:v>Family-wide, highly variable</x:v>
      </x:c>
      <x:c r="D444" s="215" t="str">
        <x:v>Gynoecium</x:v>
      </x:c>
      <x:c r="E444" s="215" t="str">
        <x:v>Ovary ranges from nearly superior to completely inferior</x:v>
      </x:c>
      <x:c r="F444" s="215" t="str">
        <x:v>Caution</x:v>
      </x:c>
      <x:c r="G444" s="215" t="str">
        <x:v>1</x:v>
      </x:c>
      <x:c r="H444" s="215" t="str">
        <x:v>High</x:v>
      </x:c>
      <x:c r="I444" s="215" t="str">
        <x:v>Hand lens or side view</x:v>
      </x:c>
      <x:c r="J444" s="215" t="str">
        <x:v>Flowering or young fruit</x:v>
      </x:c>
      <x:c r="K444" s="215" t="str">
        <x:v>Ovary position varies markedly within the family.</x:v>
      </x:c>
      <x:c r="L444" s="215" t="str">
        <x:v>Because the hypanthium may be free distally or fully adnate, ovary position cannot serve as a universal family rule.</x:v>
      </x:c>
      <x:c r="M444" s="215" t="str">
        <x:v>Record the observed state for genus routing but never reject the family on position alone.</x:v>
      </x:c>
      <x:c r="N444" s="215" t="str">
        <x:v>Important caution for Hays family identification.</x:v>
      </x:c>
      <x:c r="O444" s="215" t="str">
        <x:v>Low</x:v>
      </x:c>
      <x:c r="P444" s="215" t="str">
        <x:v>No</x:v>
      </x:c>
      <x:c r="Q444" s="215" t="str"/>
      <x:c r="R444" s="215" t="str">
        <x:v>HYD-LK01; HYD-LK02</x:v>
      </x:c>
      <x:c r="S444" s="215" t="str">
        <x:v>APWEB-HYDR; FNA-HYDR; POWO-HYDR; LBJ-HAYS</x:v>
      </x:c>
      <x:c r="T444" s="215" t="str">
        <x:v>https://www.mobot.org/MOBOT/research/APweb/orders/cornalesweb.htm</x:v>
      </x:c>
      <x:c r="U444" s="215" t="str">
        <x:v>https://floranorthamerica.org/Hydrangeaceae</x:v>
      </x:c>
      <x:c r="V444" s="215" t="str">
        <x:v>https://powo.science.kew.org/taxon/urn:lsid:ipni.org:names:77126637-1/general-information</x:v>
      </x:c>
      <x:c r="W444" s="215" t="str">
        <x:v>https://www.mobot.org/MOBOT/research/APweb/orders/cornalesweb.htm
https://floranorthamerica.org/Hydrangeaceae
https://powo.science.kew.org/taxon/urn:lsid:ipni.org:names:77126637-1/general-information
https://www.wildflower.org/collections/collection.php?collection=hays</x:v>
      </x:c>
      <x:c r="X444" s="215" t="str">
        <x:v>No — retain qualifiers and exceptions</x:v>
      </x:c>
      <x:c r="Y444" s="215" t="str">
        <x:v>Yes</x:v>
      </x:c>
      <x:c r="Z444" s="215" t="str">
        <x:v>Source-backed draft</x:v>
      </x:c>
      <x:c r="AA444" s="215" t="str">
        <x:v>Family pattern</x:v>
      </x:c>
      <x:c r="AB444" s="215" t="str">
        <x:v>Caution / negative rule</x:v>
      </x:c>
      <x:c r="AC444" s="215" t="str">
        <x:v>High</x:v>
      </x:c>
      <x:c r="AD444" s="215" t="str">
        <x:v>Hand lens / macro</x:v>
      </x:c>
      <x:c r="AE444" s="215" t="str">
        <x:v>Low</x:v>
      </x:c>
      <x:c r="AF444" s="215" t="str">
        <x:v>Field-ready draft</x:v>
      </x:c>
      <x:c r="AG444" s="215" t="str">
        <x:v>4 — Context / caution</x:v>
      </x:c>
      <x:c r="AH444" s="215" t="str">
        <x:v>Current master inventory</x:v>
      </x:c>
    </x:row>
    <x:row r="445" ht="42" customHeight="1">
      <x:c r="A445" s="215" t="str">
        <x:v>Hydrangeaceae</x:v>
      </x:c>
      <x:c r="B445" s="215" t="str">
        <x:v>HYD-FRUIT</x:v>
      </x:c>
      <x:c r="C445" s="215" t="str">
        <x:v>Family-wide, predominant</x:v>
      </x:c>
      <x:c r="D445" s="215" t="str">
        <x:v>Fruit</x:v>
      </x:c>
      <x:c r="E445" s="215" t="str">
        <x:v>Fruit usually a capsule; berries occur in some lineages</x:v>
      </x:c>
      <x:c r="F445" s="215" t="str">
        <x:v>Core</x:v>
      </x:c>
      <x:c r="G445" s="215" t="str">
        <x:v>4</x:v>
      </x:c>
      <x:c r="H445" s="215" t="str">
        <x:v>High</x:v>
      </x:c>
      <x:c r="I445" s="215" t="str">
        <x:v>Hand lens</x:v>
      </x:c>
      <x:c r="J445" s="215" t="str">
        <x:v>Mature fruit</x:v>
      </x:c>
      <x:c r="K445" s="215" t="str">
        <x:v>Most North American members form a dry capsule opening in one of several ways.</x:v>
      </x:c>
      <x:c r="L445" s="215" t="str">
        <x:v>Berry fruits occur and capsule opening pattern varies.</x:v>
      </x:c>
      <x:c r="M445" s="215" t="str">
        <x:v>Mature capsule plus numerous ovules or seeds supports the family.</x:v>
      </x:c>
      <x:c r="N445" s="215" t="str">
        <x:v>Useful for Hays Fendlera- and Philadelphus-type routes.</x:v>
      </x:c>
      <x:c r="O445" s="215" t="str">
        <x:v>Low</x:v>
      </x:c>
      <x:c r="P445" s="215" t="str">
        <x:v>No</x:v>
      </x:c>
      <x:c r="Q445" s="215" t="str"/>
      <x:c r="R445" s="215" t="str">
        <x:v>HYD-LK01; HYD-LK02</x:v>
      </x:c>
      <x:c r="S445" s="215" t="str">
        <x:v>APWEB-HYDR; FNA-HYDR; POWO-HYDR; LBJ-HAYS</x:v>
      </x:c>
      <x:c r="T445" s="215" t="str">
        <x:v>https://www.mobot.org/MOBOT/research/APweb/orders/cornalesweb.htm</x:v>
      </x:c>
      <x:c r="U445" s="215" t="str">
        <x:v>https://floranorthamerica.org/Hydrangeaceae</x:v>
      </x:c>
      <x:c r="V445" s="215" t="str">
        <x:v>https://powo.science.kew.org/taxon/urn:lsid:ipni.org:names:77126637-1/general-information</x:v>
      </x:c>
      <x:c r="W445" s="215" t="str">
        <x:v>https://www.mobot.org/MOBOT/research/APweb/orders/cornalesweb.htm
https://floranorthamerica.org/Hydrangeaceae
https://powo.science.kew.org/taxon/urn:lsid:ipni.org:names:77126637-1/general-information
https://www.wildflower.org/collections/collection.php?collection=hays</x:v>
      </x:c>
      <x:c r="X445" s="215" t="str">
        <x:v>No — retain qualifiers and exceptions</x:v>
      </x:c>
      <x:c r="Y445" s="215" t="str">
        <x:v>Yes</x:v>
      </x:c>
      <x:c r="Z445" s="215" t="str">
        <x:v>Source-backed draft</x:v>
      </x:c>
      <x:c r="AA445" s="215" t="str">
        <x:v>Family pattern</x:v>
      </x:c>
      <x:c r="AB445" s="215" t="str">
        <x:v>Positive diagnostic</x:v>
      </x:c>
      <x:c r="AC445" s="215" t="str">
        <x:v>High</x:v>
      </x:c>
      <x:c r="AD445" s="215" t="str">
        <x:v>Hand lens / macro</x:v>
      </x:c>
      <x:c r="AE445" s="215" t="str">
        <x:v>Low</x:v>
      </x:c>
      <x:c r="AF445" s="215" t="str">
        <x:v>Field-ready draft</x:v>
      </x:c>
      <x:c r="AG445" s="215" t="str">
        <x:v>2 — Field-photo priority</x:v>
      </x:c>
      <x:c r="AH445" s="215" t="str">
        <x:v>Current master inventory</x:v>
      </x:c>
    </x:row>
    <x:row r="446" ht="42" customHeight="1">
      <x:c r="A446" s="215" t="str">
        <x:v>Hydrangeaceae</x:v>
      </x:c>
      <x:c r="B446" s="215" t="str">
        <x:v>HYD-LK01</x:v>
      </x:c>
      <x:c r="C446" s="215" t="str">
        <x:v>Lookalike comparison</x:v>
      </x:c>
      <x:c r="D446" s="215" t="str">
        <x:v>Lookalike</x:v>
      </x:c>
      <x:c r="E446" s="215" t="str">
        <x:v>Versus Viburnaceae: numerous stamens and capsular fruit favor Hydrangeaceae; five stamens and fleshy drupes/berries favor Viburnaceae</x:v>
      </x:c>
      <x:c r="F446" s="215" t="str">
        <x:v>Lookalike</x:v>
      </x:c>
      <x:c r="G446" s="215" t="str">
        <x:v>5</x:v>
      </x:c>
      <x:c r="H446" s="215" t="str">
        <x:v>High</x:v>
      </x:c>
      <x:c r="I446" s="215" t="str">
        <x:v>Hand lens</x:v>
      </x:c>
      <x:c r="J446" s="215" t="str">
        <x:v>Flowering through fruiting</x:v>
      </x:c>
      <x:c r="K446" s="215" t="str">
        <x:v>The two share opposite leaves and clustered flowers but differ strongly in typical stamen number and mature fruit.</x:v>
      </x:c>
      <x:c r="L446" s="215" t="str">
        <x:v>Some Hydrangeaceae have only eight stamens, and immature fruits may mislead.</x:v>
      </x:c>
      <x:c r="M446" s="215" t="str">
        <x:v>Use fertile flowers and mature fruit together.</x:v>
      </x:c>
      <x:c r="N446" s="215" t="str">
        <x:v>Viburnaceae already has first-pass reciprocal coverage.</x:v>
      </x:c>
      <x:c r="O446" s="215" t="str">
        <x:v>Low</x:v>
      </x:c>
      <x:c r="P446" s="215" t="str">
        <x:v>No</x:v>
      </x:c>
      <x:c r="Q446" s="215" t="str"/>
      <x:c r="R446" s="215" t="str">
        <x:v>HYD-STAMENS; HYD-FRUIT</x:v>
      </x:c>
      <x:c r="S446" s="215" t="str">
        <x:v>APWEB-HYDR; FNA-HYDR; POWO-HYDR; LBJ-HAYS</x:v>
      </x:c>
      <x:c r="T446" s="215" t="str">
        <x:v>https://www.mobot.org/MOBOT/research/APweb/orders/cornalesweb.htm</x:v>
      </x:c>
      <x:c r="U446" s="215" t="str">
        <x:v>https://floranorthamerica.org/Hydrangeaceae</x:v>
      </x:c>
      <x:c r="V446" s="215" t="str">
        <x:v>https://powo.science.kew.org/taxon/urn:lsid:ipni.org:names:77126637-1/general-information</x:v>
      </x:c>
      <x:c r="W446" s="215" t="str">
        <x:v>https://www.mobot.org/MOBOT/research/APweb/orders/cornalesweb.htm
https://floranorthamerica.org/Hydrangeaceae
https://powo.science.kew.org/taxon/urn:lsid:ipni.org:names:77126637-1/general-information
https://www.wildflower.org/collections/collection.php?collection=hays</x:v>
      </x:c>
      <x:c r="X446" s="215" t="str">
        <x:v>No — retain qualifiers and exceptions</x:v>
      </x:c>
      <x:c r="Y446" s="215" t="str">
        <x:v>Yes</x:v>
      </x:c>
      <x:c r="Z446" s="215" t="str">
        <x:v>Source-backed draft</x:v>
      </x:c>
      <x:c r="AA446" s="215" t="str">
        <x:v>Lookalike comparison</x:v>
      </x:c>
      <x:c r="AB446" s="215" t="str">
        <x:v>Contrast / lookalike</x:v>
      </x:c>
      <x:c r="AC446" s="215" t="str">
        <x:v>High</x:v>
      </x:c>
      <x:c r="AD446" s="215" t="str">
        <x:v>Hand lens / macro</x:v>
      </x:c>
      <x:c r="AE446" s="215" t="str">
        <x:v>Low</x:v>
      </x:c>
      <x:c r="AF446" s="215" t="str">
        <x:v>Field-ready draft</x:v>
      </x:c>
      <x:c r="AG446" s="215" t="str">
        <x:v>2 — Field-photo priority</x:v>
      </x:c>
      <x:c r="AH446" s="215" t="str">
        <x:v>Current master inventory</x:v>
      </x:c>
    </x:row>
    <x:row r="447" ht="42" customHeight="1">
      <x:c r="A447" s="215" t="str">
        <x:v>Hydrangeaceae</x:v>
      </x:c>
      <x:c r="B447" s="215" t="str">
        <x:v>HYD-LK02</x:v>
      </x:c>
      <x:c r="C447" s="215" t="str">
        <x:v>Lookalike comparison</x:v>
      </x:c>
      <x:c r="D447" s="215" t="str">
        <x:v>Lookalike</x:v>
      </x:c>
      <x:c r="E447" s="215" t="str">
        <x:v>Versus Cornaceae: more numerous stamens and capsules favor Hydrangeaceae; four stamens and drupes favor Cornaceae</x:v>
      </x:c>
      <x:c r="F447" s="215" t="str">
        <x:v>Lookalike</x:v>
      </x:c>
      <x:c r="G447" s="215" t="str">
        <x:v>5</x:v>
      </x:c>
      <x:c r="H447" s="215" t="str">
        <x:v>High</x:v>
      </x:c>
      <x:c r="I447" s="215" t="str">
        <x:v>Hand lens</x:v>
      </x:c>
      <x:c r="J447" s="215" t="str">
        <x:v>Flowering or fruiting</x:v>
      </x:c>
      <x:c r="K447" s="215" t="str">
        <x:v>Both can have opposite simple leaves, but their fertile flowers and fruits separate them.</x:v>
      </x:c>
      <x:c r="L447" s="215" t="str">
        <x:v>Sterile shoots may remain unresolved.</x:v>
      </x:c>
      <x:c r="M447" s="215" t="str">
        <x:v>Use stamen count, corolla construction, and mature fruit.</x:v>
      </x:c>
      <x:c r="N447" s="215" t="str">
        <x:v>Cornaceae is completed in this same batch.</x:v>
      </x:c>
      <x:c r="O447" s="215" t="str">
        <x:v>Low</x:v>
      </x:c>
      <x:c r="P447" s="215" t="str">
        <x:v>No</x:v>
      </x:c>
      <x:c r="Q447" s="215" t="str"/>
      <x:c r="R447" s="215" t="str">
        <x:v>HYD-STAMENS; HYD-FRUIT</x:v>
      </x:c>
      <x:c r="S447" s="215" t="str">
        <x:v>APWEB-HYDR; FNA-HYDR; POWO-HYDR; LBJ-HAYS</x:v>
      </x:c>
      <x:c r="T447" s="215" t="str">
        <x:v>https://www.mobot.org/MOBOT/research/APweb/orders/cornalesweb.htm</x:v>
      </x:c>
      <x:c r="U447" s="215" t="str">
        <x:v>https://floranorthamerica.org/Hydrangeaceae</x:v>
      </x:c>
      <x:c r="V447" s="215" t="str">
        <x:v>https://powo.science.kew.org/taxon/urn:lsid:ipni.org:names:77126637-1/general-information</x:v>
      </x:c>
      <x:c r="W447" s="215" t="str">
        <x:v>https://www.mobot.org/MOBOT/research/APweb/orders/cornalesweb.htm
https://floranorthamerica.org/Hydrangeaceae
https://powo.science.kew.org/taxon/urn:lsid:ipni.org:names:77126637-1/general-information
https://www.wildflower.org/collections/collection.php?collection=hays</x:v>
      </x:c>
      <x:c r="X447" s="215" t="str">
        <x:v>No — retain qualifiers and exceptions</x:v>
      </x:c>
      <x:c r="Y447" s="215" t="str">
        <x:v>Yes</x:v>
      </x:c>
      <x:c r="Z447" s="215" t="str">
        <x:v>Source-backed draft</x:v>
      </x:c>
      <x:c r="AA447" s="215" t="str">
        <x:v>Lookalike comparison</x:v>
      </x:c>
      <x:c r="AB447" s="215" t="str">
        <x:v>Contrast / lookalike</x:v>
      </x:c>
      <x:c r="AC447" s="215" t="str">
        <x:v>High</x:v>
      </x:c>
      <x:c r="AD447" s="215" t="str">
        <x:v>Hand lens / macro</x:v>
      </x:c>
      <x:c r="AE447" s="215" t="str">
        <x:v>Low</x:v>
      </x:c>
      <x:c r="AF447" s="215" t="str">
        <x:v>Field-ready draft</x:v>
      </x:c>
      <x:c r="AG447" s="215" t="str">
        <x:v>2 — Field-photo priority</x:v>
      </x:c>
      <x:c r="AH447" s="215" t="str">
        <x:v>Current master inventory</x:v>
      </x:c>
    </x:row>
    <x:row r="448" ht="42" customHeight="1">
      <x:c r="A448" s="215" t="str">
        <x:v>Primulaceae</x:v>
      </x:c>
      <x:c r="B448" s="215" t="str">
        <x:v>PRI-HABIT</x:v>
      </x:c>
      <x:c r="C448" s="215" t="str">
        <x:v>Current broad family</x:v>
      </x:c>
      <x:c r="D448" s="215" t="str">
        <x:v>Habit</x:v>
      </x:c>
      <x:c r="E448" s="215" t="str">
        <x:v>Herbs, shrubs, or trees; local routes include both herbaceous and woody members</x:v>
      </x:c>
      <x:c r="F448" s="215" t="str">
        <x:v>Supporting</x:v>
      </x:c>
      <x:c r="G448" s="215" t="str">
        <x:v>1</x:v>
      </x:c>
      <x:c r="H448" s="215" t="str">
        <x:v>High</x:v>
      </x:c>
      <x:c r="I448" s="215" t="str">
        <x:v>Naked eye</x:v>
      </x:c>
      <x:c r="J448" s="215" t="str">
        <x:v>Any season</x:v>
      </x:c>
      <x:c r="K448" s="215" t="str">
        <x:v>Current Primulaceae is broader than the traditional primrose-only concept.</x:v>
      </x:c>
      <x:c r="L448" s="215" t="str">
        <x:v>The FNA family page describes the traditional herbaceous Primulaceae and does not cover all former Myrsinaceae.</x:v>
      </x:c>
      <x:c r="M448" s="215" t="str">
        <x:v>Do not use habit as a family requirement.</x:v>
      </x:c>
      <x:c r="N448" s="215" t="str">
        <x:v>Hays routes may include Samolus-, Lysimachia-, and woody myrsinoid-type members depending on accepted circumscription.</x:v>
      </x:c>
      <x:c r="O448" s="215" t="str">
        <x:v>Medium</x:v>
      </x:c>
      <x:c r="P448" s="215" t="str">
        <x:v>No</x:v>
      </x:c>
      <x:c r="Q448" s="215" t="str"/>
      <x:c r="R448" s="215" t="str">
        <x:v>PRI-LK01; PRI-LK02</x:v>
      </x:c>
      <x:c r="S448" s="215" t="str">
        <x:v>APWEB-PRIM; FNA-PRIM; POWO-PRIM; LBJ-HAYS</x:v>
      </x:c>
      <x:c r="T448" s="215" t="str">
        <x:v>https://www.mobot.org/MOBOT/research/APweb/orders/ericalesweb.htm</x:v>
      </x:c>
      <x:c r="U448" s="215" t="str">
        <x:v>https://floranorthamerica.org/Primulaceae</x:v>
      </x:c>
      <x:c r="V448" s="215" t="str">
        <x:v>https://powo.science.kew.org/taxon/urn:lsid:ipni.org:names:77126675-1/general-information</x:v>
      </x:c>
      <x:c r="W448" s="215" t="str">
        <x:v>https://www.mobot.org/MOBOT/research/APweb/orders/ericalesweb.htm
https://floranorthamerica.org/Primulaceae
https://powo.science.kew.org/taxon/urn:lsid:ipni.org:names:77126675-1/general-information
https://www.wildflower.org/collections/collection.php?collection=hays</x:v>
      </x:c>
      <x:c r="X448" s="215" t="str">
        <x:v>No — retain qualifiers and exceptions</x:v>
      </x:c>
      <x:c r="Y448" s="215" t="str">
        <x:v>Yes</x:v>
      </x:c>
      <x:c r="Z448" s="215" t="str">
        <x:v>Source-backed draft</x:v>
      </x:c>
      <x:c r="AA448" s="215" t="str">
        <x:v>Family pattern</x:v>
      </x:c>
      <x:c r="AB448" s="215" t="str">
        <x:v>Supporting / route</x:v>
      </x:c>
      <x:c r="AC448" s="215" t="str">
        <x:v>High</x:v>
      </x:c>
      <x:c r="AD448" s="215" t="str">
        <x:v>Naked eye / field</x:v>
      </x:c>
      <x:c r="AE448" s="215" t="str">
        <x:v>Moderate</x:v>
      </x:c>
      <x:c r="AF448" s="215" t="str">
        <x:v>Field-ready draft</x:v>
      </x:c>
      <x:c r="AG448" s="215" t="str">
        <x:v>4 — Context / caution</x:v>
      </x:c>
      <x:c r="AH448" s="215" t="str">
        <x:v>Current master inventory</x:v>
      </x:c>
    </x:row>
    <x:row r="449" ht="42" customHeight="1">
      <x:c r="A449" s="215" t="str">
        <x:v>Primulaceae</x:v>
      </x:c>
      <x:c r="B449" s="215" t="str">
        <x:v>PRI-LEAVES</x:v>
      </x:c>
      <x:c r="C449" s="215" t="str">
        <x:v>Family-wide, variable</x:v>
      </x:c>
      <x:c r="D449" s="215" t="str">
        <x:v>Leaf</x:v>
      </x:c>
      <x:c r="E449" s="215" t="str">
        <x:v>Leaves simple, without stipules, arranged basal, alternate, opposite, or whorled</x:v>
      </x:c>
      <x:c r="F449" s="215" t="str">
        <x:v>Supporting</x:v>
      </x:c>
      <x:c r="G449" s="215" t="str">
        <x:v>2</x:v>
      </x:c>
      <x:c r="H449" s="215" t="str">
        <x:v>High</x:v>
      </x:c>
      <x:c r="I449" s="215" t="str">
        <x:v>Naked eye</x:v>
      </x:c>
      <x:c r="J449" s="215" t="str">
        <x:v>Vegetative</x:v>
      </x:c>
      <x:c r="K449" s="215" t="str">
        <x:v>Leaves are generally simple and stipule-free, but their arrangement varies.</x:v>
      </x:c>
      <x:c r="L449" s="215" t="str">
        <x:v>Aquatic and woody lineages broaden the range of leaf forms.</x:v>
      </x:c>
      <x:c r="M449" s="215" t="str">
        <x:v>Use only with flower and ovary characters.</x:v>
      </x:c>
      <x:c r="N449" s="215" t="str">
        <x:v>Caution is important across the varied Hays routes.</x:v>
      </x:c>
      <x:c r="O449" s="215" t="str">
        <x:v>Low</x:v>
      </x:c>
      <x:c r="P449" s="215" t="str">
        <x:v>No</x:v>
      </x:c>
      <x:c r="Q449" s="215" t="str"/>
      <x:c r="R449" s="215" t="str">
        <x:v>PRI-LK01; PRI-LK02</x:v>
      </x:c>
      <x:c r="S449" s="215" t="str">
        <x:v>APWEB-PRIM; FNA-PRIM; POWO-PRIM; LBJ-HAYS</x:v>
      </x:c>
      <x:c r="T449" s="215" t="str">
        <x:v>https://www.mobot.org/MOBOT/research/APweb/orders/ericalesweb.htm</x:v>
      </x:c>
      <x:c r="U449" s="215" t="str">
        <x:v>https://floranorthamerica.org/Primulaceae</x:v>
      </x:c>
      <x:c r="V449" s="215" t="str">
        <x:v>https://powo.science.kew.org/taxon/urn:lsid:ipni.org:names:77126675-1/general-information</x:v>
      </x:c>
      <x:c r="W449" s="215" t="str">
        <x:v>https://www.mobot.org/MOBOT/research/APweb/orders/ericalesweb.htm
https://floranorthamerica.org/Primulaceae
https://powo.science.kew.org/taxon/urn:lsid:ipni.org:names:77126675-1/general-information
https://www.wildflower.org/collections/collection.php?collection=hays</x:v>
      </x:c>
      <x:c r="X449" s="215" t="str">
        <x:v>No — retain qualifiers and exceptions</x:v>
      </x:c>
      <x:c r="Y449" s="215" t="str">
        <x:v>Yes</x:v>
      </x:c>
      <x:c r="Z449" s="215" t="str">
        <x:v>Source-backed draft</x:v>
      </x:c>
      <x:c r="AA449" s="215" t="str">
        <x:v>Family pattern</x:v>
      </x:c>
      <x:c r="AB449" s="215" t="str">
        <x:v>Supporting / route</x:v>
      </x:c>
      <x:c r="AC449" s="215" t="str">
        <x:v>High</x:v>
      </x:c>
      <x:c r="AD449" s="215" t="str">
        <x:v>Naked eye / field</x:v>
      </x:c>
      <x:c r="AE449" s="215" t="str">
        <x:v>Low</x:v>
      </x:c>
      <x:c r="AF449" s="215" t="str">
        <x:v>Field-ready draft</x:v>
      </x:c>
      <x:c r="AG449" s="215" t="str">
        <x:v>4 — Context / caution</x:v>
      </x:c>
      <x:c r="AH449" s="215" t="str">
        <x:v>Current master inventory</x:v>
      </x:c>
    </x:row>
    <x:row r="450" ht="42" customHeight="1">
      <x:c r="A450" s="215" t="str">
        <x:v>Primulaceae</x:v>
      </x:c>
      <x:c r="B450" s="215" t="str">
        <x:v>PRI-FLOWER</x:v>
      </x:c>
      <x:c r="C450" s="215" t="str">
        <x:v>Family-wide, predominant</x:v>
      </x:c>
      <x:c r="D450" s="215" t="str">
        <x:v>Flower</x:v>
      </x:c>
      <x:c r="E450" s="215" t="str">
        <x:v>Flowers usually radial and 4- or 5-merous, often with a fused corolla</x:v>
      </x:c>
      <x:c r="F450" s="215" t="str">
        <x:v>Strong</x:v>
      </x:c>
      <x:c r="G450" s="215" t="str">
        <x:v>4</x:v>
      </x:c>
      <x:c r="H450" s="215" t="str">
        <x:v>High</x:v>
      </x:c>
      <x:c r="I450" s="215" t="str">
        <x:v>Hand lens</x:v>
      </x:c>
      <x:c r="J450" s="215" t="str">
        <x:v>Fresh flowers</x:v>
      </x:c>
      <x:c r="K450" s="215" t="str">
        <x:v>Most flowers have four or five joined petals forming a tube or wheel.</x:v>
      </x:c>
      <x:c r="L450" s="215" t="str">
        <x:v>Some broad-family lineages have reduced or differently constructed flowers.</x:v>
      </x:c>
      <x:c r="M450" s="215" t="str">
        <x:v>Pair with opposite-petal stamens and free-central placentation.</x:v>
      </x:c>
      <x:c r="N450" s="215" t="str">
        <x:v>Useful on flowering local herbs and woody members.</x:v>
      </x:c>
      <x:c r="O450" s="215" t="str">
        <x:v>Medium</x:v>
      </x:c>
      <x:c r="P450" s="215" t="str">
        <x:v>No</x:v>
      </x:c>
      <x:c r="Q450" s="215" t="str"/>
      <x:c r="R450" s="215" t="str">
        <x:v>PRI-LK01; PRI-LK02</x:v>
      </x:c>
      <x:c r="S450" s="215" t="str">
        <x:v>APWEB-PRIM; FNA-PRIM; POWO-PRIM; LBJ-HAYS</x:v>
      </x:c>
      <x:c r="T450" s="215" t="str">
        <x:v>https://www.mobot.org/MOBOT/research/APweb/orders/ericalesweb.htm</x:v>
      </x:c>
      <x:c r="U450" s="215" t="str">
        <x:v>https://floranorthamerica.org/Primulaceae</x:v>
      </x:c>
      <x:c r="V450" s="215" t="str">
        <x:v>https://powo.science.kew.org/taxon/urn:lsid:ipni.org:names:77126675-1/general-information</x:v>
      </x:c>
      <x:c r="W450" s="215" t="str">
        <x:v>https://www.mobot.org/MOBOT/research/APweb/orders/ericalesweb.htm
https://floranorthamerica.org/Primulaceae
https://powo.science.kew.org/taxon/urn:lsid:ipni.org:names:77126675-1/general-information
https://www.wildflower.org/collections/collection.php?collection=hays</x:v>
      </x:c>
      <x:c r="X450" s="215" t="str">
        <x:v>No — retain qualifiers and exceptions</x:v>
      </x:c>
      <x:c r="Y450" s="215" t="str">
        <x:v>Yes</x:v>
      </x:c>
      <x:c r="Z450" s="215" t="str">
        <x:v>Source-backed draft</x:v>
      </x:c>
      <x:c r="AA450" s="215" t="str">
        <x:v>Family pattern</x:v>
      </x:c>
      <x:c r="AB450" s="215" t="str">
        <x:v>Positive diagnostic</x:v>
      </x:c>
      <x:c r="AC450" s="215" t="str">
        <x:v>High</x:v>
      </x:c>
      <x:c r="AD450" s="215" t="str">
        <x:v>Hand lens / macro</x:v>
      </x:c>
      <x:c r="AE450" s="215" t="str">
        <x:v>Moderate</x:v>
      </x:c>
      <x:c r="AF450" s="215" t="str">
        <x:v>Field-ready draft</x:v>
      </x:c>
      <x:c r="AG450" s="215" t="str">
        <x:v>2 — Field-photo priority</x:v>
      </x:c>
      <x:c r="AH450" s="215" t="str">
        <x:v>Current master inventory</x:v>
      </x:c>
    </x:row>
    <x:row r="451" ht="42" customHeight="1">
      <x:c r="A451" s="215" t="str">
        <x:v>Primulaceae</x:v>
      </x:c>
      <x:c r="B451" s="215" t="str">
        <x:v>PRI-STAMENS</x:v>
      </x:c>
      <x:c r="C451" s="215" t="str">
        <x:v>Family-wide, predominant</x:v>
      </x:c>
      <x:c r="D451" s="215" t="str">
        <x:v>Androecium</x:v>
      </x:c>
      <x:c r="E451" s="215" t="str">
        <x:v>Stamens usually opposite corolla lobes and attached to the corolla</x:v>
      </x:c>
      <x:c r="F451" s="215" t="str">
        <x:v>Core</x:v>
      </x:c>
      <x:c r="G451" s="215" t="str">
        <x:v>5</x:v>
      </x:c>
      <x:c r="H451" s="215" t="str">
        <x:v>High</x:v>
      </x:c>
      <x:c r="I451" s="215" t="str">
        <x:v>Hand lens</x:v>
      </x:c>
      <x:c r="J451" s="215" t="str">
        <x:v>Fresh flowers</x:v>
      </x:c>
      <x:c r="K451" s="215" t="str">
        <x:v>Each stamen commonly faces a corolla lobe rather than alternating with it.</x:v>
      </x:c>
      <x:c r="L451" s="215" t="str">
        <x:v>Counts or fertility may be reduced in some lineages.</x:v>
      </x:c>
      <x:c r="M451" s="215" t="str">
        <x:v>A high-value character, but Plumbaginaceae can share the alignment.</x:v>
      </x:c>
      <x:c r="N451" s="215" t="str">
        <x:v>Strongly useful for Hays Primulaceae when paired with ovary and fruit.</x:v>
      </x:c>
      <x:c r="O451" s="215" t="str">
        <x:v>Low</x:v>
      </x:c>
      <x:c r="P451" s="215" t="str">
        <x:v>No</x:v>
      </x:c>
      <x:c r="Q451" s="215" t="str"/>
      <x:c r="R451" s="215" t="str">
        <x:v>PRI-LK01; PRI-LK02</x:v>
      </x:c>
      <x:c r="S451" s="215" t="str">
        <x:v>APWEB-PRIM; FNA-PRIM; POWO-PRIM; LBJ-HAYS</x:v>
      </x:c>
      <x:c r="T451" s="215" t="str">
        <x:v>https://www.mobot.org/MOBOT/research/APweb/orders/ericalesweb.htm</x:v>
      </x:c>
      <x:c r="U451" s="215" t="str">
        <x:v>https://floranorthamerica.org/Primulaceae</x:v>
      </x:c>
      <x:c r="V451" s="215" t="str">
        <x:v>https://powo.science.kew.org/taxon/urn:lsid:ipni.org:names:77126675-1/general-information</x:v>
      </x:c>
      <x:c r="W451" s="215" t="str">
        <x:v>https://www.mobot.org/MOBOT/research/APweb/orders/ericalesweb.htm
https://floranorthamerica.org/Primulaceae
https://powo.science.kew.org/taxon/urn:lsid:ipni.org:names:77126675-1/general-information
https://www.wildflower.org/collections/collection.php?collection=hays</x:v>
      </x:c>
      <x:c r="X451" s="215" t="str">
        <x:v>No — retain qualifiers and exceptions</x:v>
      </x:c>
      <x:c r="Y451" s="215" t="str">
        <x:v>Yes</x:v>
      </x:c>
      <x:c r="Z451" s="215" t="str">
        <x:v>Source-backed draft</x:v>
      </x:c>
      <x:c r="AA451" s="215" t="str">
        <x:v>Family pattern</x:v>
      </x:c>
      <x:c r="AB451" s="215" t="str">
        <x:v>Positive diagnostic</x:v>
      </x:c>
      <x:c r="AC451" s="215" t="str">
        <x:v>High</x:v>
      </x:c>
      <x:c r="AD451" s="215" t="str">
        <x:v>Hand lens / macro</x:v>
      </x:c>
      <x:c r="AE451" s="215" t="str">
        <x:v>Low</x:v>
      </x:c>
      <x:c r="AF451" s="215" t="str">
        <x:v>Field-ready draft</x:v>
      </x:c>
      <x:c r="AG451" s="215" t="str">
        <x:v>2 — Field-photo priority</x:v>
      </x:c>
      <x:c r="AH451" s="215" t="str">
        <x:v>Current master inventory</x:v>
      </x:c>
    </x:row>
    <x:row r="452" ht="42" customHeight="1">
      <x:c r="A452" s="215" t="str">
        <x:v>Primulaceae</x:v>
      </x:c>
      <x:c r="B452" s="215" t="str">
        <x:v>PRI-OVARY</x:v>
      </x:c>
      <x:c r="C452" s="215" t="str">
        <x:v>Family-wide, predominant</x:v>
      </x:c>
      <x:c r="D452" s="215" t="str">
        <x:v>Gynoecium</x:v>
      </x:c>
      <x:c r="E452" s="215" t="str">
        <x:v>Ovary superior, usually one-locular</x:v>
      </x:c>
      <x:c r="F452" s="215" t="str">
        <x:v>Core</x:v>
      </x:c>
      <x:c r="G452" s="215" t="str">
        <x:v>5</x:v>
      </x:c>
      <x:c r="H452" s="215" t="str">
        <x:v>High</x:v>
      </x:c>
      <x:c r="I452" s="215" t="str">
        <x:v>Hand lens or dissection</x:v>
      </x:c>
      <x:c r="J452" s="215" t="str">
        <x:v>Flowering or young fruit</x:v>
      </x:c>
      <x:c r="K452" s="215" t="str">
        <x:v>The ovary sits above the other floral parts and commonly has a single chamber.</x:v>
      </x:c>
      <x:c r="L452" s="215" t="str">
        <x:v>Broad-family exceptions and specialized lineages require qualifiers.</x:v>
      </x:c>
      <x:c r="M452" s="215" t="str">
        <x:v>Combine with placentation, style, and fruit.</x:v>
      </x:c>
      <x:c r="N452" s="215" t="str">
        <x:v>Useful for separating local Primulaceae from inferior-ovary lookalikes.</x:v>
      </x:c>
      <x:c r="O452" s="215" t="str">
        <x:v>Medium</x:v>
      </x:c>
      <x:c r="P452" s="215" t="str">
        <x:v>No</x:v>
      </x:c>
      <x:c r="Q452" s="215" t="str"/>
      <x:c r="R452" s="215" t="str">
        <x:v>PRI-LK01; PRI-LK02</x:v>
      </x:c>
      <x:c r="S452" s="215" t="str">
        <x:v>APWEB-PRIM; FNA-PRIM; POWO-PRIM; LBJ-HAYS</x:v>
      </x:c>
      <x:c r="T452" s="215" t="str">
        <x:v>https://www.mobot.org/MOBOT/research/APweb/orders/ericalesweb.htm</x:v>
      </x:c>
      <x:c r="U452" s="215" t="str">
        <x:v>https://floranorthamerica.org/Primulaceae</x:v>
      </x:c>
      <x:c r="V452" s="215" t="str">
        <x:v>https://powo.science.kew.org/taxon/urn:lsid:ipni.org:names:77126675-1/general-information</x:v>
      </x:c>
      <x:c r="W452" s="215" t="str">
        <x:v>https://www.mobot.org/MOBOT/research/APweb/orders/ericalesweb.htm
https://floranorthamerica.org/Primulaceae
https://powo.science.kew.org/taxon/urn:lsid:ipni.org:names:77126675-1/general-information
https://www.wildflower.org/collections/collection.php?collection=hays</x:v>
      </x:c>
      <x:c r="X452" s="215" t="str">
        <x:v>No — retain qualifiers and exceptions</x:v>
      </x:c>
      <x:c r="Y452" s="215" t="str">
        <x:v>Yes</x:v>
      </x:c>
      <x:c r="Z452" s="215" t="str">
        <x:v>Source-backed draft</x:v>
      </x:c>
      <x:c r="AA452" s="215" t="str">
        <x:v>Family pattern</x:v>
      </x:c>
      <x:c r="AB452" s="215" t="str">
        <x:v>Positive diagnostic</x:v>
      </x:c>
      <x:c r="AC452" s="215" t="str">
        <x:v>High</x:v>
      </x:c>
      <x:c r="AD452" s="215" t="str">
        <x:v>Dissection</x:v>
      </x:c>
      <x:c r="AE452" s="215" t="str">
        <x:v>Moderate</x:v>
      </x:c>
      <x:c r="AF452" s="215" t="str">
        <x:v>Dissection / close study</x:v>
      </x:c>
      <x:c r="AG452" s="215" t="str">
        <x:v>3 — Reference support</x:v>
      </x:c>
      <x:c r="AH452" s="215" t="str">
        <x:v>Current master inventory</x:v>
      </x:c>
    </x:row>
    <x:row r="453" ht="42" customHeight="1">
      <x:c r="A453" s="215" t="str">
        <x:v>Primulaceae</x:v>
      </x:c>
      <x:c r="B453" s="215" t="str">
        <x:v>PRI-PLACENTA</x:v>
      </x:c>
      <x:c r="C453" s="215" t="str">
        <x:v>Family-wide, predominant</x:v>
      </x:c>
      <x:c r="D453" s="215" t="str">
        <x:v>Gynoecium</x:v>
      </x:c>
      <x:c r="E453" s="215" t="str">
        <x:v>Placentation free-central with ovules on a central column</x:v>
      </x:c>
      <x:c r="F453" s="215" t="str">
        <x:v>Core</x:v>
      </x:c>
      <x:c r="G453" s="215" t="str">
        <x:v>5</x:v>
      </x:c>
      <x:c r="H453" s="215" t="str">
        <x:v>High</x:v>
      </x:c>
      <x:c r="I453" s="215" t="str">
        <x:v>Dissection</x:v>
      </x:c>
      <x:c r="J453" s="215" t="str">
        <x:v>Fresh flower or young fruit</x:v>
      </x:c>
      <x:c r="K453" s="215" t="str">
        <x:v>Ovules attach to a free-standing central axis inside the one-chambered ovary.</x:v>
      </x:c>
      <x:c r="L453" s="215" t="str">
        <x:v>This is not visible without opening the ovary and may be difficult in tiny flowers.</x:v>
      </x:c>
      <x:c r="M453" s="215" t="str">
        <x:v>Use as decisive confirmation when stamen position overlaps another family.</x:v>
      </x:c>
      <x:c r="N453" s="215" t="str">
        <x:v>High-value laboratory or hand-lens confirmation for Hays material.</x:v>
      </x:c>
      <x:c r="O453" s="215" t="str">
        <x:v>Medium</x:v>
      </x:c>
      <x:c r="P453" s="215" t="str">
        <x:v>No</x:v>
      </x:c>
      <x:c r="Q453" s="215" t="str"/>
      <x:c r="R453" s="215" t="str">
        <x:v>PRI-LK01; PRI-LK02</x:v>
      </x:c>
      <x:c r="S453" s="215" t="str">
        <x:v>APWEB-PRIM; FNA-PRIM; POWO-PRIM; LBJ-HAYS</x:v>
      </x:c>
      <x:c r="T453" s="215" t="str">
        <x:v>https://www.mobot.org/MOBOT/research/APweb/orders/ericalesweb.htm</x:v>
      </x:c>
      <x:c r="U453" s="215" t="str">
        <x:v>https://floranorthamerica.org/Primulaceae</x:v>
      </x:c>
      <x:c r="V453" s="215" t="str">
        <x:v>https://powo.science.kew.org/taxon/urn:lsid:ipni.org:names:77126675-1/general-information</x:v>
      </x:c>
      <x:c r="W453" s="215" t="str">
        <x:v>https://www.mobot.org/MOBOT/research/APweb/orders/ericalesweb.htm
https://floranorthamerica.org/Primulaceae
https://powo.science.kew.org/taxon/urn:lsid:ipni.org:names:77126675-1/general-information
https://www.wildflower.org/collections/collection.php?collection=hays</x:v>
      </x:c>
      <x:c r="X453" s="215" t="str">
        <x:v>No — retain qualifiers and exceptions</x:v>
      </x:c>
      <x:c r="Y453" s="215" t="str">
        <x:v>Yes</x:v>
      </x:c>
      <x:c r="Z453" s="215" t="str">
        <x:v>Source-backed draft</x:v>
      </x:c>
      <x:c r="AA453" s="215" t="str">
        <x:v>Family pattern</x:v>
      </x:c>
      <x:c r="AB453" s="215" t="str">
        <x:v>Positive diagnostic</x:v>
      </x:c>
      <x:c r="AC453" s="215" t="str">
        <x:v>High</x:v>
      </x:c>
      <x:c r="AD453" s="215" t="str">
        <x:v>Dissection</x:v>
      </x:c>
      <x:c r="AE453" s="215" t="str">
        <x:v>Moderate</x:v>
      </x:c>
      <x:c r="AF453" s="215" t="str">
        <x:v>Dissection / close study</x:v>
      </x:c>
      <x:c r="AG453" s="215" t="str">
        <x:v>3 — Reference support</x:v>
      </x:c>
      <x:c r="AH453" s="215" t="str">
        <x:v>Current master inventory</x:v>
      </x:c>
    </x:row>
    <x:row r="454" ht="42" customHeight="1">
      <x:c r="A454" s="215" t="str">
        <x:v>Primulaceae</x:v>
      </x:c>
      <x:c r="B454" s="215" t="str">
        <x:v>PRI-STYLE</x:v>
      </x:c>
      <x:c r="C454" s="215" t="str">
        <x:v>Family-wide, predominant</x:v>
      </x:c>
      <x:c r="D454" s="215" t="str">
        <x:v>Gynoecium</x:v>
      </x:c>
      <x:c r="E454" s="215" t="str">
        <x:v>Usually one terminal style with a capitate or lobed stigma</x:v>
      </x:c>
      <x:c r="F454" s="215" t="str">
        <x:v>Supporting</x:v>
      </x:c>
      <x:c r="G454" s="215" t="str">
        <x:v>3</x:v>
      </x:c>
      <x:c r="H454" s="215" t="str">
        <x:v>Moderate</x:v>
      </x:c>
      <x:c r="I454" s="215" t="str">
        <x:v>Hand lens</x:v>
      </x:c>
      <x:c r="J454" s="215" t="str">
        <x:v>Fresh flowers</x:v>
      </x:c>
      <x:c r="K454" s="215" t="str">
        <x:v>A single style commonly rises from the ovary center.</x:v>
      </x:c>
      <x:c r="L454" s="215" t="str">
        <x:v>Style length varies with heterostyly and broad-family lineages can differ.</x:v>
      </x:c>
      <x:c r="M454" s="215" t="str">
        <x:v>Use only with stamen alignment and placentation.</x:v>
      </x:c>
      <x:c r="N454" s="215" t="str">
        <x:v>Practical on intact Hays flowers.</x:v>
      </x:c>
      <x:c r="O454" s="215" t="str">
        <x:v>Low</x:v>
      </x:c>
      <x:c r="P454" s="215" t="str">
        <x:v>No</x:v>
      </x:c>
      <x:c r="Q454" s="215" t="str"/>
      <x:c r="R454" s="215" t="str">
        <x:v>PRI-LK01</x:v>
      </x:c>
      <x:c r="S454" s="215" t="str">
        <x:v>APWEB-PRIM; FNA-PRIM; POWO-PRIM; LBJ-HAYS</x:v>
      </x:c>
      <x:c r="T454" s="215" t="str">
        <x:v>https://www.mobot.org/MOBOT/research/APweb/orders/ericalesweb.htm</x:v>
      </x:c>
      <x:c r="U454" s="215" t="str">
        <x:v>https://floranorthamerica.org/Primulaceae</x:v>
      </x:c>
      <x:c r="V454" s="215" t="str">
        <x:v>https://powo.science.kew.org/taxon/urn:lsid:ipni.org:names:77126675-1/general-information</x:v>
      </x:c>
      <x:c r="W454" s="215" t="str">
        <x:v>https://www.mobot.org/MOBOT/research/APweb/orders/ericalesweb.htm
https://floranorthamerica.org/Primulaceae
https://powo.science.kew.org/taxon/urn:lsid:ipni.org:names:77126675-1/general-information
https://www.wildflower.org/collections/collection.php?collection=hays</x:v>
      </x:c>
      <x:c r="X454" s="215" t="str">
        <x:v>No — retain qualifiers and exceptions</x:v>
      </x:c>
      <x:c r="Y454" s="215" t="str">
        <x:v>Yes</x:v>
      </x:c>
      <x:c r="Z454" s="215" t="str">
        <x:v>Source-backed draft</x:v>
      </x:c>
      <x:c r="AA454" s="215" t="str">
        <x:v>Family pattern</x:v>
      </x:c>
      <x:c r="AB454" s="215" t="str">
        <x:v>Supporting / route</x:v>
      </x:c>
      <x:c r="AC454" s="215" t="str">
        <x:v>Moderate</x:v>
      </x:c>
      <x:c r="AD454" s="215" t="str">
        <x:v>Hand lens / macro</x:v>
      </x:c>
      <x:c r="AE454" s="215" t="str">
        <x:v>Low</x:v>
      </x:c>
      <x:c r="AF454" s="215" t="str">
        <x:v>Field-ready draft</x:v>
      </x:c>
      <x:c r="AG454" s="215" t="str">
        <x:v>3 — Reference support</x:v>
      </x:c>
      <x:c r="AH454" s="215" t="str">
        <x:v>Current master inventory</x:v>
      </x:c>
    </x:row>
    <x:row r="455" ht="42" customHeight="1">
      <x:c r="A455" s="215" t="str">
        <x:v>Primulaceae</x:v>
      </x:c>
      <x:c r="B455" s="215" t="str">
        <x:v>PRI-FRUIT</x:v>
      </x:c>
      <x:c r="C455" s="215" t="str">
        <x:v>Current broad family</x:v>
      </x:c>
      <x:c r="D455" s="215" t="str">
        <x:v>Fruit</x:v>
      </x:c>
      <x:c r="E455" s="215" t="str">
        <x:v>Capsule or berry depending on lineage</x:v>
      </x:c>
      <x:c r="F455" s="215" t="str">
        <x:v>Strong</x:v>
      </x:c>
      <x:c r="G455" s="215" t="str">
        <x:v>3</x:v>
      </x:c>
      <x:c r="H455" s="215" t="str">
        <x:v>High</x:v>
      </x:c>
      <x:c r="I455" s="215" t="str">
        <x:v>Naked eye or hand lens</x:v>
      </x:c>
      <x:c r="J455" s="215" t="str">
        <x:v>Mature fruit</x:v>
      </x:c>
      <x:c r="K455" s="215" t="str">
        <x:v>Traditional herbaceous primroses usually make capsules, whereas many former Myrsinaceae make berries.</x:v>
      </x:c>
      <x:c r="L455" s="215" t="str">
        <x:v>Fruit type is not universal under current broad Primulaceae.</x:v>
      </x:c>
      <x:c r="M455" s="215" t="str">
        <x:v>Use fruit to route subfamilies after family confirmation.</x:v>
      </x:c>
      <x:c r="N455" s="215" t="str">
        <x:v>Important for interpreting herbaceous versus woody Hays members.</x:v>
      </x:c>
      <x:c r="O455" s="215" t="str">
        <x:v>Medium</x:v>
      </x:c>
      <x:c r="P455" s="215" t="str">
        <x:v>No</x:v>
      </x:c>
      <x:c r="Q455" s="215" t="str"/>
      <x:c r="R455" s="215" t="str">
        <x:v>PRI-LK01; PRI-LK02</x:v>
      </x:c>
      <x:c r="S455" s="215" t="str">
        <x:v>APWEB-PRIM; FNA-PRIM; POWO-PRIM; LBJ-HAYS</x:v>
      </x:c>
      <x:c r="T455" s="215" t="str">
        <x:v>https://www.mobot.org/MOBOT/research/APweb/orders/ericalesweb.htm</x:v>
      </x:c>
      <x:c r="U455" s="215" t="str">
        <x:v>https://floranorthamerica.org/Primulaceae</x:v>
      </x:c>
      <x:c r="V455" s="215" t="str">
        <x:v>https://powo.science.kew.org/taxon/urn:lsid:ipni.org:names:77126675-1/general-information</x:v>
      </x:c>
      <x:c r="W455" s="215" t="str">
        <x:v>https://www.mobot.org/MOBOT/research/APweb/orders/ericalesweb.htm
https://floranorthamerica.org/Primulaceae
https://powo.science.kew.org/taxon/urn:lsid:ipni.org:names:77126675-1/general-information
https://www.wildflower.org/collections/collection.php?collection=hays</x:v>
      </x:c>
      <x:c r="X455" s="215" t="str">
        <x:v>No — retain qualifiers and exceptions</x:v>
      </x:c>
      <x:c r="Y455" s="215" t="str">
        <x:v>Yes</x:v>
      </x:c>
      <x:c r="Z455" s="215" t="str">
        <x:v>Source-backed draft</x:v>
      </x:c>
      <x:c r="AA455" s="215" t="str">
        <x:v>Family pattern</x:v>
      </x:c>
      <x:c r="AB455" s="215" t="str">
        <x:v>Positive diagnostic</x:v>
      </x:c>
      <x:c r="AC455" s="215" t="str">
        <x:v>High</x:v>
      </x:c>
      <x:c r="AD455" s="215" t="str">
        <x:v>Hand lens / macro</x:v>
      </x:c>
      <x:c r="AE455" s="215" t="str">
        <x:v>Moderate</x:v>
      </x:c>
      <x:c r="AF455" s="215" t="str">
        <x:v>Field-ready draft</x:v>
      </x:c>
      <x:c r="AG455" s="215" t="str">
        <x:v>3 — Reference support</x:v>
      </x:c>
      <x:c r="AH455" s="215" t="str">
        <x:v>Current master inventory</x:v>
      </x:c>
    </x:row>
    <x:row r="456" ht="42" customHeight="1">
      <x:c r="A456" s="215" t="str">
        <x:v>Primulaceae</x:v>
      </x:c>
      <x:c r="B456" s="215" t="str">
        <x:v>PRI-TAXON</x:v>
      </x:c>
      <x:c r="C456" s="215" t="str">
        <x:v>Taxonomy / source reconciliation</x:v>
      </x:c>
      <x:c r="D456" s="215" t="str">
        <x:v>Taxonomy</x:v>
      </x:c>
      <x:c r="E456" s="215" t="str">
        <x:v>POWO accepts broad Primulaceae including former Myrsinaceae and Theophrastaceae; FNA page is narrower</x:v>
      </x:c>
      <x:c r="F456" s="215" t="str">
        <x:v>Caution</x:v>
      </x:c>
      <x:c r="G456" s="215" t="str">
        <x:v>0</x:v>
      </x:c>
      <x:c r="H456" s="215" t="str">
        <x:v>High</x:v>
      </x:c>
      <x:c r="I456" s="215" t="str">
        <x:v>Not field-visible</x:v>
      </x:c>
      <x:c r="J456" s="215" t="str">
        <x:v>Any material</x:v>
      </x:c>
      <x:c r="K456" s="215" t="str">
        <x:v>The practical flora and accepted taxonomy do not use identical family limits.</x:v>
      </x:c>
      <x:c r="L456" s="215" t="str">
        <x:v>Traits from narrow FNA Primulaceae must not be generalized uncritically to the full modern family.</x:v>
      </x:c>
      <x:c r="M456" s="215" t="str">
        <x:v>Scope every character and retain subfamily-level uncertainty until a broad North American treatment is reconciled.</x:v>
      </x:c>
      <x:c r="N456" s="215" t="str">
        <x:v>Directly affects Hays species formerly filed under Myrsinaceae.</x:v>
      </x:c>
      <x:c r="O456" s="215" t="str">
        <x:v>Medium</x:v>
      </x:c>
      <x:c r="P456" s="215" t="str">
        <x:v>Yes</x:v>
      </x:c>
      <x:c r="Q456" s="215" t="str">
        <x:v>The direct FNA family treatment is narrower than current POWO Primulaceae; a later taxonomy QA pass should reconcile local genera and synonyms.</x:v>
      </x:c>
      <x:c r="R456" s="215" t="str">
        <x:v>PRI-LK01; PRI-LK02</x:v>
      </x:c>
      <x:c r="S456" s="215" t="str">
        <x:v>APWEB-PRIM; FNA-PRIM; POWO-PRIM; LBJ-HAYS</x:v>
      </x:c>
      <x:c r="T456" s="215" t="str">
        <x:v>https://www.mobot.org/MOBOT/research/APweb/orders/ericalesweb.htm</x:v>
      </x:c>
      <x:c r="U456" s="215" t="str">
        <x:v>https://floranorthamerica.org/Primulaceae</x:v>
      </x:c>
      <x:c r="V456" s="215" t="str">
        <x:v>https://powo.science.kew.org/taxon/urn:lsid:ipni.org:names:77126675-1/general-information</x:v>
      </x:c>
      <x:c r="W456" s="215" t="str">
        <x:v>https://www.mobot.org/MOBOT/research/APweb/orders/ericalesweb.htm
https://floranorthamerica.org/Primulaceae
https://powo.science.kew.org/taxon/urn:lsid:ipni.org:names:77126675-1/general-information
https://www.wildflower.org/collections/collection.php?collection=hays</x:v>
      </x:c>
      <x:c r="X456" s="215" t="str">
        <x:v>No — retain qualifiers and exceptions</x:v>
      </x:c>
      <x:c r="Y456" s="215" t="str">
        <x:v>Yes</x:v>
      </x:c>
      <x:c r="Z456" s="215" t="str">
        <x:v>Human review required</x:v>
      </x:c>
      <x:c r="AA456" s="215" t="str">
        <x:v>Taxonomy</x:v>
      </x:c>
      <x:c r="AB456" s="215" t="str">
        <x:v>Caution / negative rule</x:v>
      </x:c>
      <x:c r="AC456" s="215" t="str">
        <x:v>High</x:v>
      </x:c>
      <x:c r="AD456" s="215" t="str">
        <x:v>Reference / method</x:v>
      </x:c>
      <x:c r="AE456" s="215" t="str">
        <x:v>Moderate</x:v>
      </x:c>
      <x:c r="AF456" s="215" t="str">
        <x:v>Use only after review</x:v>
      </x:c>
      <x:c r="AG456" s="215" t="str">
        <x:v>1 — Human review now</x:v>
      </x:c>
      <x:c r="AH456" s="215" t="str">
        <x:v>Current master inventory</x:v>
      </x:c>
    </x:row>
    <x:row r="457" ht="42" customHeight="1">
      <x:c r="A457" s="215" t="str">
        <x:v>Primulaceae</x:v>
      </x:c>
      <x:c r="B457" s="215" t="str">
        <x:v>PRI-LK01</x:v>
      </x:c>
      <x:c r="C457" s="215" t="str">
        <x:v>Lookalike comparison</x:v>
      </x:c>
      <x:c r="D457" s="215" t="str">
        <x:v>Lookalike</x:v>
      </x:c>
      <x:c r="E457" s="215" t="str">
        <x:v>Versus Plumbaginaceae: both may have stamens opposite corolla lobes; many ovules on a free-central placenta favor Primulaceae</x:v>
      </x:c>
      <x:c r="F457" s="215" t="str">
        <x:v>Lookalike</x:v>
      </x:c>
      <x:c r="G457" s="215" t="str">
        <x:v>5</x:v>
      </x:c>
      <x:c r="H457" s="215" t="str">
        <x:v>High</x:v>
      </x:c>
      <x:c r="I457" s="215" t="str">
        <x:v>Hand lens or dissection</x:v>
      </x:c>
      <x:c r="J457" s="215" t="str">
        <x:v>Flowering or young fruit</x:v>
      </x:c>
      <x:c r="K457" s="215" t="str">
        <x:v>Plumbaginaceae normally has one basal ovule and a persistent ribbed or glandular calyx, unlike typical Primulaceae.</x:v>
      </x:c>
      <x:c r="L457" s="215" t="str">
        <x:v>The ovary may need dissection and broad Primulaceae fruit types vary.</x:v>
      </x:c>
      <x:c r="M457" s="215" t="str">
        <x:v>Use ovule number, placentation, and calyx together.</x:v>
      </x:c>
      <x:c r="N457" s="215" t="str">
        <x:v>Plumbaginaceae reciprocal coverage already exists.</x:v>
      </x:c>
      <x:c r="O457" s="215" t="str">
        <x:v>Low</x:v>
      </x:c>
      <x:c r="P457" s="215" t="str">
        <x:v>No</x:v>
      </x:c>
      <x:c r="Q457" s="215" t="str"/>
      <x:c r="R457" s="215" t="str">
        <x:v>PRI-STAMENS; PRI-PLACENTA; PRI-FRUIT</x:v>
      </x:c>
      <x:c r="S457" s="215" t="str">
        <x:v>APWEB-PRIM; FNA-PRIM; POWO-PRIM; LBJ-HAYS</x:v>
      </x:c>
      <x:c r="T457" s="215" t="str">
        <x:v>https://www.mobot.org/MOBOT/research/APweb/orders/ericalesweb.htm</x:v>
      </x:c>
      <x:c r="U457" s="215" t="str">
        <x:v>https://floranorthamerica.org/Primulaceae</x:v>
      </x:c>
      <x:c r="V457" s="215" t="str">
        <x:v>https://powo.science.kew.org/taxon/urn:lsid:ipni.org:names:77126675-1/general-information</x:v>
      </x:c>
      <x:c r="W457" s="215" t="str">
        <x:v>https://www.mobot.org/MOBOT/research/APweb/orders/ericalesweb.htm
https://floranorthamerica.org/Primulaceae
https://powo.science.kew.org/taxon/urn:lsid:ipni.org:names:77126675-1/general-information
https://www.wildflower.org/collections/collection.php?collection=hays</x:v>
      </x:c>
      <x:c r="X457" s="215" t="str">
        <x:v>No — retain qualifiers and exceptions</x:v>
      </x:c>
      <x:c r="Y457" s="215" t="str">
        <x:v>Yes</x:v>
      </x:c>
      <x:c r="Z457" s="215" t="str">
        <x:v>Source-backed draft</x:v>
      </x:c>
      <x:c r="AA457" s="215" t="str">
        <x:v>Lookalike comparison</x:v>
      </x:c>
      <x:c r="AB457" s="215" t="str">
        <x:v>Contrast / lookalike</x:v>
      </x:c>
      <x:c r="AC457" s="215" t="str">
        <x:v>High</x:v>
      </x:c>
      <x:c r="AD457" s="215" t="str">
        <x:v>Dissection</x:v>
      </x:c>
      <x:c r="AE457" s="215" t="str">
        <x:v>Low</x:v>
      </x:c>
      <x:c r="AF457" s="215" t="str">
        <x:v>Dissection / close study</x:v>
      </x:c>
      <x:c r="AG457" s="215" t="str">
        <x:v>3 — Reference support</x:v>
      </x:c>
      <x:c r="AH457" s="215" t="str">
        <x:v>Current master inventory</x:v>
      </x:c>
    </x:row>
    <x:row r="458" ht="42" customHeight="1">
      <x:c r="A458" s="215" t="str">
        <x:v>Primulaceae</x:v>
      </x:c>
      <x:c r="B458" s="215" t="str">
        <x:v>PRI-LK02</x:v>
      </x:c>
      <x:c r="C458" s="215" t="str">
        <x:v>Lookalike comparison</x:v>
      </x:c>
      <x:c r="D458" s="215" t="str">
        <x:v>Lookalike</x:v>
      </x:c>
      <x:c r="E458" s="215" t="str">
        <x:v>Versus Gentianaceae: opposite-petal stamens and free-central placenta favor Primulaceae; alternating stamens and parietal placentation favor Gentianaceae</x:v>
      </x:c>
      <x:c r="F458" s="215" t="str">
        <x:v>Lookalike</x:v>
      </x:c>
      <x:c r="G458" s="215" t="str">
        <x:v>4</x:v>
      </x:c>
      <x:c r="H458" s="215" t="str">
        <x:v>Moderate</x:v>
      </x:c>
      <x:c r="I458" s="215" t="str">
        <x:v>Hand lens or dissection</x:v>
      </x:c>
      <x:c r="J458" s="215" t="str">
        <x:v>Flowering</x:v>
      </x:c>
      <x:c r="K458" s="215" t="str">
        <x:v>Both can be herbs with fused 4–5-lobed corollas.</x:v>
      </x:c>
      <x:c r="L458" s="215" t="str">
        <x:v>Leaf arrangement and flower color are unreliable; ovary anatomy may be required.</x:v>
      </x:c>
      <x:c r="M458" s="215" t="str">
        <x:v>Use stamen alignment and placentation, not general appearance.</x:v>
      </x:c>
      <x:c r="N458" s="215" t="str">
        <x:v>Gentianaceae already has first-pass coverage.</x:v>
      </x:c>
      <x:c r="O458" s="215" t="str">
        <x:v>Low</x:v>
      </x:c>
      <x:c r="P458" s="215" t="str">
        <x:v>No</x:v>
      </x:c>
      <x:c r="Q458" s="215" t="str"/>
      <x:c r="R458" s="215" t="str">
        <x:v>PRI-STAMENS; PRI-PLACENTA</x:v>
      </x:c>
      <x:c r="S458" s="215" t="str">
        <x:v>APWEB-PRIM; FNA-PRIM; POWO-PRIM; LBJ-HAYS</x:v>
      </x:c>
      <x:c r="T458" s="215" t="str">
        <x:v>https://www.mobot.org/MOBOT/research/APweb/orders/ericalesweb.htm</x:v>
      </x:c>
      <x:c r="U458" s="215" t="str">
        <x:v>https://floranorthamerica.org/Primulaceae</x:v>
      </x:c>
      <x:c r="V458" s="215" t="str">
        <x:v>https://powo.science.kew.org/taxon/urn:lsid:ipni.org:names:77126675-1/general-information</x:v>
      </x:c>
      <x:c r="W458" s="215" t="str">
        <x:v>https://www.mobot.org/MOBOT/research/APweb/orders/ericalesweb.htm
https://floranorthamerica.org/Primulaceae
https://powo.science.kew.org/taxon/urn:lsid:ipni.org:names:77126675-1/general-information
https://www.wildflower.org/collections/collection.php?collection=hays</x:v>
      </x:c>
      <x:c r="X458" s="215" t="str">
        <x:v>No — retain qualifiers and exceptions</x:v>
      </x:c>
      <x:c r="Y458" s="215" t="str">
        <x:v>Yes</x:v>
      </x:c>
      <x:c r="Z458" s="215" t="str">
        <x:v>Source-backed draft</x:v>
      </x:c>
      <x:c r="AA458" s="215" t="str">
        <x:v>Lookalike comparison</x:v>
      </x:c>
      <x:c r="AB458" s="215" t="str">
        <x:v>Contrast / lookalike</x:v>
      </x:c>
      <x:c r="AC458" s="215" t="str">
        <x:v>Moderate</x:v>
      </x:c>
      <x:c r="AD458" s="215" t="str">
        <x:v>Dissection</x:v>
      </x:c>
      <x:c r="AE458" s="215" t="str">
        <x:v>Low</x:v>
      </x:c>
      <x:c r="AF458" s="215" t="str">
        <x:v>Dissection / close study</x:v>
      </x:c>
      <x:c r="AG458" s="215" t="str">
        <x:v>3 — Reference support</x:v>
      </x:c>
      <x:c r="AH458" s="215" t="str">
        <x:v>Current master inventory</x:v>
      </x:c>
    </x:row>
    <x:row r="459" ht="42" customHeight="1">
      <x:c r="A459" s="215" t="str">
        <x:v>Orchidaceae</x:v>
      </x:c>
      <x:c r="B459" s="215" t="str">
        <x:v>ORC-HABIT</x:v>
      </x:c>
      <x:c r="C459" s="215" t="str">
        <x:v>Family-wide; local route</x:v>
      </x:c>
      <x:c r="D459" s="215" t="str">
        <x:v>Habit</x:v>
      </x:c>
      <x:c r="E459" s="215" t="str">
        <x:v>Perennial herbs; local species primarily terrestrial geophytes</x:v>
      </x:c>
      <x:c r="F459" s="215" t="str">
        <x:v>Supporting</x:v>
      </x:c>
      <x:c r="G459" s="215" t="str">
        <x:v>2</x:v>
      </x:c>
      <x:c r="H459" s="215" t="str">
        <x:v>High</x:v>
      </x:c>
      <x:c r="I459" s="215" t="str">
        <x:v>Naked eye</x:v>
      </x:c>
      <x:c r="J459" s="215" t="str">
        <x:v>Vegetative or flowering</x:v>
      </x:c>
      <x:c r="K459" s="215" t="str">
        <x:v>Central Texas orchids grow from rhizomes, tubers, or rootstocks and may disappear seasonally.</x:v>
      </x:c>
      <x:c r="L459" s="215" t="str">
        <x:v>The global family is mostly epiphytic and includes leafless mycoheterotrophs.</x:v>
      </x:c>
      <x:c r="M459" s="215" t="str">
        <x:v>Use season and subterranean structures cautiously; confirm flowers or fruit.</x:v>
      </x:c>
      <x:c r="N459" s="215" t="str">
        <x:v>Relevant to locally uncommon, seasonally hidden Hays orchids.</x:v>
      </x:c>
      <x:c r="O459" s="215" t="str">
        <x:v>Low</x:v>
      </x:c>
      <x:c r="P459" s="215" t="str">
        <x:v>No</x:v>
      </x:c>
      <x:c r="Q459" s="215" t="str"/>
      <x:c r="R459" s="215" t="str">
        <x:v>ORC-LK01; ORC-LK02</x:v>
      </x:c>
      <x:c r="S459" s="215" t="str">
        <x:v>APWEB-ORCH; FNA-ORCH; POWO-ORCH; LBJ-HAYS</x:v>
      </x:c>
      <x:c r="T459" s="215" t="str">
        <x:v>https://www.mobot.org/MOBOT/research/APweb/orders/asparagalesweb.htm</x:v>
      </x:c>
      <x:c r="U459" s="215" t="str">
        <x:v>https://floranorthamerica.org/Orchidaceae</x:v>
      </x:c>
      <x:c r="V459" s="215" t="str">
        <x:v>https://powo.science.kew.org/taxon/urn:lsid:ipni.org:names:30000046-2/general-information</x:v>
      </x:c>
      <x:c r="W459" s="215" t="str">
        <x:v>https://www.mobot.org/MOBOT/research/APweb/orders/asparagalesweb.htm
https://floranorthamerica.org/Orchidaceae
https://powo.science.kew.org/taxon/urn:lsid:ipni.org:names:30000046-2/general-information
https://www.wildflower.org/collections/collection.php?collection=hays</x:v>
      </x:c>
      <x:c r="X459" s="215" t="str">
        <x:v>No — retain qualifiers and exceptions</x:v>
      </x:c>
      <x:c r="Y459" s="215" t="str">
        <x:v>Yes</x:v>
      </x:c>
      <x:c r="Z459" s="215" t="str">
        <x:v>Source-backed draft</x:v>
      </x:c>
      <x:c r="AA459" s="215" t="str">
        <x:v>Local subgroup / route</x:v>
      </x:c>
      <x:c r="AB459" s="215" t="str">
        <x:v>Supporting / route</x:v>
      </x:c>
      <x:c r="AC459" s="215" t="str">
        <x:v>High</x:v>
      </x:c>
      <x:c r="AD459" s="215" t="str">
        <x:v>Naked eye / field</x:v>
      </x:c>
      <x:c r="AE459" s="215" t="str">
        <x:v>Low</x:v>
      </x:c>
      <x:c r="AF459" s="215" t="str">
        <x:v>Field-ready draft</x:v>
      </x:c>
      <x:c r="AG459" s="215" t="str">
        <x:v>4 — Context / caution</x:v>
      </x:c>
      <x:c r="AH459" s="215" t="str">
        <x:v>Current master inventory</x:v>
      </x:c>
    </x:row>
    <x:row r="460" ht="42" customHeight="1">
      <x:c r="A460" s="215" t="str">
        <x:v>Orchidaceae</x:v>
      </x:c>
      <x:c r="B460" s="215" t="str">
        <x:v>ORC-ROOTS</x:v>
      </x:c>
      <x:c r="C460" s="215" t="str">
        <x:v>Family-wide, common</x:v>
      </x:c>
      <x:c r="D460" s="215" t="str">
        <x:v>Root</x:v>
      </x:c>
      <x:c r="E460" s="215" t="str">
        <x:v>Roots specialized, mycorrhizal, often thick or with velamen; tubers or rhizomes frequent</x:v>
      </x:c>
      <x:c r="F460" s="215" t="str">
        <x:v>Strong</x:v>
      </x:c>
      <x:c r="G460" s="215" t="str">
        <x:v>3</x:v>
      </x:c>
      <x:c r="H460" s="215" t="str">
        <x:v>Moderate</x:v>
      </x:c>
      <x:c r="I460" s="215" t="str">
        <x:v>Naked eye only when exposed</x:v>
      </x:c>
      <x:c r="J460" s="215" t="str">
        <x:v>Growing season</x:v>
      </x:c>
      <x:c r="K460" s="215" t="str">
        <x:v>Orchid roots and underground organs are specialized and depend on fungi.</x:v>
      </x:c>
      <x:c r="L460" s="215" t="str">
        <x:v>Velamen is most conspicuous in epiphytes and digging is inappropriate for identification.</x:v>
      </x:c>
      <x:c r="M460" s="215" t="str">
        <x:v>Use only when naturally exposed; never disturb rare plants for this character.</x:v>
      </x:c>
      <x:c r="N460" s="215" t="str">
        <x:v>Supporting evidence for Hays terrestrial orchids.</x:v>
      </x:c>
      <x:c r="O460" s="215" t="str">
        <x:v>Low</x:v>
      </x:c>
      <x:c r="P460" s="215" t="str">
        <x:v>No</x:v>
      </x:c>
      <x:c r="Q460" s="215" t="str"/>
      <x:c r="R460" s="215" t="str">
        <x:v>ORC-LK01; ORC-LK02</x:v>
      </x:c>
      <x:c r="S460" s="215" t="str">
        <x:v>APWEB-ORCH; FNA-ORCH; POWO-ORCH; LBJ-HAYS</x:v>
      </x:c>
      <x:c r="T460" s="215" t="str">
        <x:v>https://www.mobot.org/MOBOT/research/APweb/orders/asparagalesweb.htm</x:v>
      </x:c>
      <x:c r="U460" s="215" t="str">
        <x:v>https://floranorthamerica.org/Orchidaceae</x:v>
      </x:c>
      <x:c r="V460" s="215" t="str">
        <x:v>https://powo.science.kew.org/taxon/urn:lsid:ipni.org:names:30000046-2/general-information</x:v>
      </x:c>
      <x:c r="W460" s="215" t="str">
        <x:v>https://www.mobot.org/MOBOT/research/APweb/orders/asparagalesweb.htm
https://floranorthamerica.org/Orchidaceae
https://powo.science.kew.org/taxon/urn:lsid:ipni.org:names:30000046-2/general-information
https://www.wildflower.org/collections/collection.php?collection=hays</x:v>
      </x:c>
      <x:c r="X460" s="215" t="str">
        <x:v>No — retain qualifiers and exceptions</x:v>
      </x:c>
      <x:c r="Y460" s="215" t="str">
        <x:v>Yes</x:v>
      </x:c>
      <x:c r="Z460" s="215" t="str">
        <x:v>Source-backed draft</x:v>
      </x:c>
      <x:c r="AA460" s="215" t="str">
        <x:v>Family pattern</x:v>
      </x:c>
      <x:c r="AB460" s="215" t="str">
        <x:v>Positive diagnostic</x:v>
      </x:c>
      <x:c r="AC460" s="215" t="str">
        <x:v>Moderate</x:v>
      </x:c>
      <x:c r="AD460" s="215" t="str">
        <x:v>Naked eye / field</x:v>
      </x:c>
      <x:c r="AE460" s="215" t="str">
        <x:v>Low</x:v>
      </x:c>
      <x:c r="AF460" s="215" t="str">
        <x:v>Field-ready draft</x:v>
      </x:c>
      <x:c r="AG460" s="215" t="str">
        <x:v>3 — Reference support</x:v>
      </x:c>
      <x:c r="AH460" s="215" t="str">
        <x:v>Current master inventory</x:v>
      </x:c>
    </x:row>
    <x:row r="461" ht="42" customHeight="1">
      <x:c r="A461" s="215" t="str">
        <x:v>Orchidaceae</x:v>
      </x:c>
      <x:c r="B461" s="215" t="str">
        <x:v>ORC-LEAVES</x:v>
      </x:c>
      <x:c r="C461" s="215" t="str">
        <x:v>Family-wide, predominant</x:v>
      </x:c>
      <x:c r="D461" s="215" t="str">
        <x:v>Leaf</x:v>
      </x:c>
      <x:c r="E461" s="215" t="str">
        <x:v>Leaves simple, entire, often sheathing at base; sometimes reduced to scales</x:v>
      </x:c>
      <x:c r="F461" s="215" t="str">
        <x:v>Supporting</x:v>
      </x:c>
      <x:c r="G461" s="215" t="str">
        <x:v>2</x:v>
      </x:c>
      <x:c r="H461" s="215" t="str">
        <x:v>High</x:v>
      </x:c>
      <x:c r="I461" s="215" t="str">
        <x:v>Naked eye</x:v>
      </x:c>
      <x:c r="J461" s="215" t="str">
        <x:v>Vegetative or flowering</x:v>
      </x:c>
      <x:c r="K461" s="215" t="str">
        <x:v>Orchid leaves are undivided and often clasp or sheath the stem.</x:v>
      </x:c>
      <x:c r="L461" s="215" t="str">
        <x:v>Leaf number, texture, and presence vary widely; some orchids are leafless when flowering.</x:v>
      </x:c>
      <x:c r="M461" s="215" t="str">
        <x:v>Vegetative material alone rarely supports confident family identification.</x:v>
      </x:c>
      <x:c r="N461" s="215" t="str">
        <x:v>Important caution for seasonally dormant Hays species.</x:v>
      </x:c>
      <x:c r="O461" s="215" t="str">
        <x:v>Low</x:v>
      </x:c>
      <x:c r="P461" s="215" t="str">
        <x:v>No</x:v>
      </x:c>
      <x:c r="Q461" s="215" t="str"/>
      <x:c r="R461" s="215" t="str">
        <x:v>ORC-LK01; ORC-LK02</x:v>
      </x:c>
      <x:c r="S461" s="215" t="str">
        <x:v>APWEB-ORCH; FNA-ORCH; POWO-ORCH; LBJ-HAYS</x:v>
      </x:c>
      <x:c r="T461" s="215" t="str">
        <x:v>https://www.mobot.org/MOBOT/research/APweb/orders/asparagalesweb.htm</x:v>
      </x:c>
      <x:c r="U461" s="215" t="str">
        <x:v>https://floranorthamerica.org/Orchidaceae</x:v>
      </x:c>
      <x:c r="V461" s="215" t="str">
        <x:v>https://powo.science.kew.org/taxon/urn:lsid:ipni.org:names:30000046-2/general-information</x:v>
      </x:c>
      <x:c r="W461" s="215" t="str">
        <x:v>https://www.mobot.org/MOBOT/research/APweb/orders/asparagalesweb.htm
https://floranorthamerica.org/Orchidaceae
https://powo.science.kew.org/taxon/urn:lsid:ipni.org:names:30000046-2/general-information
https://www.wildflower.org/collections/collection.php?collection=hays</x:v>
      </x:c>
      <x:c r="X461" s="215" t="str">
        <x:v>No — retain qualifiers and exceptions</x:v>
      </x:c>
      <x:c r="Y461" s="215" t="str">
        <x:v>Yes</x:v>
      </x:c>
      <x:c r="Z461" s="215" t="str">
        <x:v>Source-backed draft</x:v>
      </x:c>
      <x:c r="AA461" s="215" t="str">
        <x:v>Family pattern</x:v>
      </x:c>
      <x:c r="AB461" s="215" t="str">
        <x:v>Supporting / route</x:v>
      </x:c>
      <x:c r="AC461" s="215" t="str">
        <x:v>High</x:v>
      </x:c>
      <x:c r="AD461" s="215" t="str">
        <x:v>Naked eye / field</x:v>
      </x:c>
      <x:c r="AE461" s="215" t="str">
        <x:v>Low</x:v>
      </x:c>
      <x:c r="AF461" s="215" t="str">
        <x:v>Field-ready draft</x:v>
      </x:c>
      <x:c r="AG461" s="215" t="str">
        <x:v>4 — Context / caution</x:v>
      </x:c>
      <x:c r="AH461" s="215" t="str">
        <x:v>Current master inventory</x:v>
      </x:c>
    </x:row>
    <x:row r="462" ht="42" customHeight="1">
      <x:c r="A462" s="215" t="str">
        <x:v>Orchidaceae</x:v>
      </x:c>
      <x:c r="B462" s="215" t="str">
        <x:v>ORC-FLOWER</x:v>
      </x:c>
      <x:c r="C462" s="215" t="str">
        <x:v>Family-wide, predominant</x:v>
      </x:c>
      <x:c r="D462" s="215" t="str">
        <x:v>Flower</x:v>
      </x:c>
      <x:c r="E462" s="215" t="str">
        <x:v>Flowers usually bilaterally symmetric and often resupinate</x:v>
      </x:c>
      <x:c r="F462" s="215" t="str">
        <x:v>Core</x:v>
      </x:c>
      <x:c r="G462" s="215" t="str">
        <x:v>5</x:v>
      </x:c>
      <x:c r="H462" s="215" t="str">
        <x:v>High</x:v>
      </x:c>
      <x:c r="I462" s="215" t="str">
        <x:v>Naked eye</x:v>
      </x:c>
      <x:c r="J462" s="215" t="str">
        <x:v>Fresh flowers</x:v>
      </x:c>
      <x:c r="K462" s="215" t="str">
        <x:v>Most orchid flowers are one-sided and twist so the lip is positioned lowermost.</x:v>
      </x:c>
      <x:c r="L462" s="215" t="str">
        <x:v>Resupination can be absent, incomplete, or reversed, and a few flowers are nearly radial.</x:v>
      </x:c>
      <x:c r="M462" s="215" t="str">
        <x:v>Use with the lip, column, and inferior ovary.</x:v>
      </x:c>
      <x:c r="N462" s="215" t="str">
        <x:v>Highly visible when Hays orchids are in bloom.</x:v>
      </x:c>
      <x:c r="O462" s="215" t="str">
        <x:v>Low</x:v>
      </x:c>
      <x:c r="P462" s="215" t="str">
        <x:v>No</x:v>
      </x:c>
      <x:c r="Q462" s="215" t="str"/>
      <x:c r="R462" s="215" t="str">
        <x:v>ORC-LK01; ORC-LK02</x:v>
      </x:c>
      <x:c r="S462" s="215" t="str">
        <x:v>APWEB-ORCH; FNA-ORCH; POWO-ORCH; LBJ-HAYS</x:v>
      </x:c>
      <x:c r="T462" s="215" t="str">
        <x:v>https://www.mobot.org/MOBOT/research/APweb/orders/asparagalesweb.htm</x:v>
      </x:c>
      <x:c r="U462" s="215" t="str">
        <x:v>https://floranorthamerica.org/Orchidaceae</x:v>
      </x:c>
      <x:c r="V462" s="215" t="str">
        <x:v>https://powo.science.kew.org/taxon/urn:lsid:ipni.org:names:30000046-2/general-information</x:v>
      </x:c>
      <x:c r="W462" s="215" t="str">
        <x:v>https://www.mobot.org/MOBOT/research/APweb/orders/asparagalesweb.htm
https://floranorthamerica.org/Orchidaceae
https://powo.science.kew.org/taxon/urn:lsid:ipni.org:names:30000046-2/general-information
https://www.wildflower.org/collections/collection.php?collection=hays</x:v>
      </x:c>
      <x:c r="X462" s="215" t="str">
        <x:v>No — retain qualifiers and exceptions</x:v>
      </x:c>
      <x:c r="Y462" s="215" t="str">
        <x:v>Yes</x:v>
      </x:c>
      <x:c r="Z462" s="215" t="str">
        <x:v>Source-backed draft</x:v>
      </x:c>
      <x:c r="AA462" s="215" t="str">
        <x:v>Family pattern</x:v>
      </x:c>
      <x:c r="AB462" s="215" t="str">
        <x:v>Positive diagnostic</x:v>
      </x:c>
      <x:c r="AC462" s="215" t="str">
        <x:v>High</x:v>
      </x:c>
      <x:c r="AD462" s="215" t="str">
        <x:v>Naked eye / field</x:v>
      </x:c>
      <x:c r="AE462" s="215" t="str">
        <x:v>Low</x:v>
      </x:c>
      <x:c r="AF462" s="215" t="str">
        <x:v>Field-ready draft</x:v>
      </x:c>
      <x:c r="AG462" s="215" t="str">
        <x:v>2 — Field-photo priority</x:v>
      </x:c>
      <x:c r="AH462" s="215" t="str">
        <x:v>Current master inventory</x:v>
      </x:c>
    </x:row>
    <x:row r="463" ht="42" customHeight="1">
      <x:c r="A463" s="215" t="str">
        <x:v>Orchidaceae</x:v>
      </x:c>
      <x:c r="B463" s="215" t="str">
        <x:v>ORC-TEPALS</x:v>
      </x:c>
      <x:c r="C463" s="215" t="str">
        <x:v>Family-wide</x:v>
      </x:c>
      <x:c r="D463" s="215" t="str">
        <x:v>Flower</x:v>
      </x:c>
      <x:c r="E463" s="215" t="str">
        <x:v>Three sepals and three petals, with the median petal modified as a lip or labellum</x:v>
      </x:c>
      <x:c r="F463" s="215" t="str">
        <x:v>Core</x:v>
      </x:c>
      <x:c r="G463" s="215" t="str">
        <x:v>5</x:v>
      </x:c>
      <x:c r="H463" s="215" t="str">
        <x:v>High</x:v>
      </x:c>
      <x:c r="I463" s="215" t="str">
        <x:v>Naked eye or hand lens</x:v>
      </x:c>
      <x:c r="J463" s="215" t="str">
        <x:v>Fresh flowers</x:v>
      </x:c>
      <x:c r="K463" s="215" t="str">
        <x:v>One of the three petals is usually strongly different and functions as a landing platform.</x:v>
      </x:c>
      <x:c r="L463" s="215" t="str">
        <x:v>The lip may be uppermost when flowers are not resupinate and can be minute or highly modified.</x:v>
      </x:c>
      <x:c r="M463" s="215" t="str">
        <x:v>Confirm the six-part perianth with the column.</x:v>
      </x:c>
      <x:c r="N463" s="215" t="str">
        <x:v>A central family-identification character for local orchids.</x:v>
      </x:c>
      <x:c r="O463" s="215" t="str">
        <x:v>Low</x:v>
      </x:c>
      <x:c r="P463" s="215" t="str">
        <x:v>No</x:v>
      </x:c>
      <x:c r="Q463" s="215" t="str"/>
      <x:c r="R463" s="215" t="str">
        <x:v>ORC-LK01; ORC-LK02</x:v>
      </x:c>
      <x:c r="S463" s="215" t="str">
        <x:v>APWEB-ORCH; FNA-ORCH; POWO-ORCH; LBJ-HAYS</x:v>
      </x:c>
      <x:c r="T463" s="215" t="str">
        <x:v>https://www.mobot.org/MOBOT/research/APweb/orders/asparagalesweb.htm</x:v>
      </x:c>
      <x:c r="U463" s="215" t="str">
        <x:v>https://floranorthamerica.org/Orchidaceae</x:v>
      </x:c>
      <x:c r="V463" s="215" t="str">
        <x:v>https://powo.science.kew.org/taxon/urn:lsid:ipni.org:names:30000046-2/general-information</x:v>
      </x:c>
      <x:c r="W463" s="215" t="str">
        <x:v>https://www.mobot.org/MOBOT/research/APweb/orders/asparagalesweb.htm
https://floranorthamerica.org/Orchidaceae
https://powo.science.kew.org/taxon/urn:lsid:ipni.org:names:30000046-2/general-information
https://www.wildflower.org/collections/collection.php?collection=hays</x:v>
      </x:c>
      <x:c r="X463" s="215" t="str">
        <x:v>No — retain qualifiers and exceptions</x:v>
      </x:c>
      <x:c r="Y463" s="215" t="str">
        <x:v>Yes</x:v>
      </x:c>
      <x:c r="Z463" s="215" t="str">
        <x:v>Source-backed draft</x:v>
      </x:c>
      <x:c r="AA463" s="215" t="str">
        <x:v>Family pattern</x:v>
      </x:c>
      <x:c r="AB463" s="215" t="str">
        <x:v>Positive diagnostic</x:v>
      </x:c>
      <x:c r="AC463" s="215" t="str">
        <x:v>High</x:v>
      </x:c>
      <x:c r="AD463" s="215" t="str">
        <x:v>Hand lens / macro</x:v>
      </x:c>
      <x:c r="AE463" s="215" t="str">
        <x:v>Low</x:v>
      </x:c>
      <x:c r="AF463" s="215" t="str">
        <x:v>Field-ready draft</x:v>
      </x:c>
      <x:c r="AG463" s="215" t="str">
        <x:v>2 — Field-photo priority</x:v>
      </x:c>
      <x:c r="AH463" s="215" t="str">
        <x:v>Current master inventory</x:v>
      </x:c>
    </x:row>
    <x:row r="464" ht="42" customHeight="1">
      <x:c r="A464" s="215" t="str">
        <x:v>Orchidaceae</x:v>
      </x:c>
      <x:c r="B464" s="215" t="str">
        <x:v>ORC-COLUMN</x:v>
      </x:c>
      <x:c r="C464" s="215" t="str">
        <x:v>Family-wide</x:v>
      </x:c>
      <x:c r="D464" s="215" t="str">
        <x:v>Flower</x:v>
      </x:c>
      <x:c r="E464" s="215" t="str">
        <x:v>Stamens, style, and stigma fused into a column</x:v>
      </x:c>
      <x:c r="F464" s="215" t="str">
        <x:v>Core</x:v>
      </x:c>
      <x:c r="G464" s="215" t="str">
        <x:v>5</x:v>
      </x:c>
      <x:c r="H464" s="215" t="str">
        <x:v>High</x:v>
      </x:c>
      <x:c r="I464" s="215" t="str">
        <x:v>Hand lens</x:v>
      </x:c>
      <x:c r="J464" s="215" t="str">
        <x:v>Fresh flowers</x:v>
      </x:c>
      <x:c r="K464" s="215" t="str">
        <x:v>The sexual organs form one central structure instead of separate stamens and style.</x:v>
      </x:c>
      <x:c r="L464" s="215" t="str">
        <x:v>Column shape varies greatly and tiny flowers may require magnification.</x:v>
      </x:c>
      <x:c r="M464" s="215" t="str">
        <x:v>One of the strongest orchid characters; use with labellum and pollinia.</x:v>
      </x:c>
      <x:c r="N464" s="215" t="str">
        <x:v>Decisive for Hays orchid confirmation.</x:v>
      </x:c>
      <x:c r="O464" s="215" t="str">
        <x:v>Low</x:v>
      </x:c>
      <x:c r="P464" s="215" t="str">
        <x:v>No</x:v>
      </x:c>
      <x:c r="Q464" s="215" t="str"/>
      <x:c r="R464" s="215" t="str">
        <x:v>ORC-LK01; ORC-LK02</x:v>
      </x:c>
      <x:c r="S464" s="215" t="str">
        <x:v>APWEB-ORCH; FNA-ORCH; POWO-ORCH; LBJ-HAYS</x:v>
      </x:c>
      <x:c r="T464" s="215" t="str">
        <x:v>https://www.mobot.org/MOBOT/research/APweb/orders/asparagalesweb.htm</x:v>
      </x:c>
      <x:c r="U464" s="215" t="str">
        <x:v>https://floranorthamerica.org/Orchidaceae</x:v>
      </x:c>
      <x:c r="V464" s="215" t="str">
        <x:v>https://powo.science.kew.org/taxon/urn:lsid:ipni.org:names:30000046-2/general-information</x:v>
      </x:c>
      <x:c r="W464" s="215" t="str">
        <x:v>https://www.mobot.org/MOBOT/research/APweb/orders/asparagalesweb.htm
https://floranorthamerica.org/Orchidaceae
https://powo.science.kew.org/taxon/urn:lsid:ipni.org:names:30000046-2/general-information
https://www.wildflower.org/collections/collection.php?collection=hays</x:v>
      </x:c>
      <x:c r="X464" s="215" t="str">
        <x:v>No — retain qualifiers and exceptions</x:v>
      </x:c>
      <x:c r="Y464" s="215" t="str">
        <x:v>Yes</x:v>
      </x:c>
      <x:c r="Z464" s="215" t="str">
        <x:v>Source-backed draft</x:v>
      </x:c>
      <x:c r="AA464" s="215" t="str">
        <x:v>Family pattern</x:v>
      </x:c>
      <x:c r="AB464" s="215" t="str">
        <x:v>Positive diagnostic</x:v>
      </x:c>
      <x:c r="AC464" s="215" t="str">
        <x:v>High</x:v>
      </x:c>
      <x:c r="AD464" s="215" t="str">
        <x:v>Hand lens / macro</x:v>
      </x:c>
      <x:c r="AE464" s="215" t="str">
        <x:v>Low</x:v>
      </x:c>
      <x:c r="AF464" s="215" t="str">
        <x:v>Field-ready draft</x:v>
      </x:c>
      <x:c r="AG464" s="215" t="str">
        <x:v>2 — Field-photo priority</x:v>
      </x:c>
      <x:c r="AH464" s="215" t="str">
        <x:v>Current master inventory</x:v>
      </x:c>
    </x:row>
    <x:row r="465" ht="42" customHeight="1">
      <x:c r="A465" s="215" t="str">
        <x:v>Orchidaceae</x:v>
      </x:c>
      <x:c r="B465" s="215" t="str">
        <x:v>ORC-POLLINIA</x:v>
      </x:c>
      <x:c r="C465" s="215" t="str">
        <x:v>Family-wide, predominant</x:v>
      </x:c>
      <x:c r="D465" s="215" t="str">
        <x:v>Pollen</x:v>
      </x:c>
      <x:c r="E465" s="215" t="str">
        <x:v>Pollen usually aggregated into pollinia</x:v>
      </x:c>
      <x:c r="F465" s="215" t="str">
        <x:v>Core</x:v>
      </x:c>
      <x:c r="G465" s="215" t="str">
        <x:v>5</x:v>
      </x:c>
      <x:c r="H465" s="215" t="str">
        <x:v>High when examined</x:v>
      </x:c>
      <x:c r="I465" s="215" t="str">
        <x:v>Hand lens to microscope</x:v>
      </x:c>
      <x:c r="J465" s="215" t="str">
        <x:v>Fresh flowers</x:v>
      </x:c>
      <x:c r="K465" s="215" t="str">
        <x:v>Pollen is packaged into a few granular or waxy masses.</x:v>
      </x:c>
      <x:c r="L465" s="215" t="str">
        <x:v>Some basal orchids have less consolidated pollen and pollinia may be removed by pollinators.</x:v>
      </x:c>
      <x:c r="M465" s="215" t="str">
        <x:v>Use as close-range confirmation, not a required naked-eye feature.</x:v>
      </x:c>
      <x:c r="N465" s="215" t="str">
        <x:v>Useful for difficult local flowers when material is intact.</x:v>
      </x:c>
      <x:c r="O465" s="215" t="str">
        <x:v>Low</x:v>
      </x:c>
      <x:c r="P465" s="215" t="str">
        <x:v>No</x:v>
      </x:c>
      <x:c r="Q465" s="215" t="str"/>
      <x:c r="R465" s="215" t="str">
        <x:v>ORC-LK01; ORC-LK02</x:v>
      </x:c>
      <x:c r="S465" s="215" t="str">
        <x:v>APWEB-ORCH; FNA-ORCH; POWO-ORCH; LBJ-HAYS</x:v>
      </x:c>
      <x:c r="T465" s="215" t="str">
        <x:v>https://www.mobot.org/MOBOT/research/APweb/orders/asparagalesweb.htm</x:v>
      </x:c>
      <x:c r="U465" s="215" t="str">
        <x:v>https://floranorthamerica.org/Orchidaceae</x:v>
      </x:c>
      <x:c r="V465" s="215" t="str">
        <x:v>https://powo.science.kew.org/taxon/urn:lsid:ipni.org:names:30000046-2/general-information</x:v>
      </x:c>
      <x:c r="W465" s="215" t="str">
        <x:v>https://www.mobot.org/MOBOT/research/APweb/orders/asparagalesweb.htm
https://floranorthamerica.org/Orchidaceae
https://powo.science.kew.org/taxon/urn:lsid:ipni.org:names:30000046-2/general-information
https://www.wildflower.org/collections/collection.php?collection=hays</x:v>
      </x:c>
      <x:c r="X465" s="215" t="str">
        <x:v>No — retain qualifiers and exceptions</x:v>
      </x:c>
      <x:c r="Y465" s="215" t="str">
        <x:v>Yes</x:v>
      </x:c>
      <x:c r="Z465" s="215" t="str">
        <x:v>Source-backed draft</x:v>
      </x:c>
      <x:c r="AA465" s="215" t="str">
        <x:v>Family pattern</x:v>
      </x:c>
      <x:c r="AB465" s="215" t="str">
        <x:v>Positive diagnostic</x:v>
      </x:c>
      <x:c r="AC465" s="215" t="str">
        <x:v>High</x:v>
      </x:c>
      <x:c r="AD465" s="215" t="str">
        <x:v>Microscope</x:v>
      </x:c>
      <x:c r="AE465" s="215" t="str">
        <x:v>Low</x:v>
      </x:c>
      <x:c r="AF465" s="215" t="str">
        <x:v>Specialist / reference</x:v>
      </x:c>
      <x:c r="AG465" s="215" t="str">
        <x:v>3 — Reference support</x:v>
      </x:c>
      <x:c r="AH465" s="215" t="str">
        <x:v>Current master inventory</x:v>
      </x:c>
    </x:row>
    <x:row r="466" ht="42" customHeight="1">
      <x:c r="A466" s="215" t="str">
        <x:v>Orchidaceae</x:v>
      </x:c>
      <x:c r="B466" s="215" t="str">
        <x:v>ORC-OVARY</x:v>
      </x:c>
      <x:c r="C466" s="215" t="str">
        <x:v>Family-wide</x:v>
      </x:c>
      <x:c r="D466" s="215" t="str">
        <x:v>Gynoecium</x:v>
      </x:c>
      <x:c r="E466" s="215" t="str">
        <x:v>Ovary inferior and usually twisted in resupinate flowers</x:v>
      </x:c>
      <x:c r="F466" s="215" t="str">
        <x:v>Core</x:v>
      </x:c>
      <x:c r="G466" s="215" t="str">
        <x:v>5</x:v>
      </x:c>
      <x:c r="H466" s="215" t="str">
        <x:v>High</x:v>
      </x:c>
      <x:c r="I466" s="215" t="str">
        <x:v>Naked eye or hand lens</x:v>
      </x:c>
      <x:c r="J466" s="215" t="str">
        <x:v>Flowering or young fruit</x:v>
      </x:c>
      <x:c r="K466" s="215" t="str">
        <x:v>The ovary lies below the tepals and often forms the twisting stalk-like portion of the flower.</x:v>
      </x:c>
      <x:c r="L466" s="215" t="str">
        <x:v>Twisting is not universal and can be subtle.</x:v>
      </x:c>
      <x:c r="M466" s="215" t="str">
        <x:v>Pair inferior ovary with column and labellum.</x:v>
      </x:c>
      <x:c r="N466" s="215" t="str">
        <x:v>Strong field evidence on local flowering orchids.</x:v>
      </x:c>
      <x:c r="O466" s="215" t="str">
        <x:v>Low</x:v>
      </x:c>
      <x:c r="P466" s="215" t="str">
        <x:v>No</x:v>
      </x:c>
      <x:c r="Q466" s="215" t="str"/>
      <x:c r="R466" s="215" t="str">
        <x:v>ORC-LK01; ORC-LK02</x:v>
      </x:c>
      <x:c r="S466" s="215" t="str">
        <x:v>APWEB-ORCH; FNA-ORCH; POWO-ORCH; LBJ-HAYS</x:v>
      </x:c>
      <x:c r="T466" s="215" t="str">
        <x:v>https://www.mobot.org/MOBOT/research/APweb/orders/asparagalesweb.htm</x:v>
      </x:c>
      <x:c r="U466" s="215" t="str">
        <x:v>https://floranorthamerica.org/Orchidaceae</x:v>
      </x:c>
      <x:c r="V466" s="215" t="str">
        <x:v>https://powo.science.kew.org/taxon/urn:lsid:ipni.org:names:30000046-2/general-information</x:v>
      </x:c>
      <x:c r="W466" s="215" t="str">
        <x:v>https://www.mobot.org/MOBOT/research/APweb/orders/asparagalesweb.htm
https://floranorthamerica.org/Orchidaceae
https://powo.science.kew.org/taxon/urn:lsid:ipni.org:names:30000046-2/general-information
https://www.wildflower.org/collections/collection.php?collection=hays</x:v>
      </x:c>
      <x:c r="X466" s="215" t="str">
        <x:v>No — retain qualifiers and exceptions</x:v>
      </x:c>
      <x:c r="Y466" s="215" t="str">
        <x:v>Yes</x:v>
      </x:c>
      <x:c r="Z466" s="215" t="str">
        <x:v>Source-backed draft</x:v>
      </x:c>
      <x:c r="AA466" s="215" t="str">
        <x:v>Family pattern</x:v>
      </x:c>
      <x:c r="AB466" s="215" t="str">
        <x:v>Positive diagnostic</x:v>
      </x:c>
      <x:c r="AC466" s="215" t="str">
        <x:v>High</x:v>
      </x:c>
      <x:c r="AD466" s="215" t="str">
        <x:v>Hand lens / macro</x:v>
      </x:c>
      <x:c r="AE466" s="215" t="str">
        <x:v>Low</x:v>
      </x:c>
      <x:c r="AF466" s="215" t="str">
        <x:v>Field-ready draft</x:v>
      </x:c>
      <x:c r="AG466" s="215" t="str">
        <x:v>2 — Field-photo priority</x:v>
      </x:c>
      <x:c r="AH466" s="215" t="str">
        <x:v>Current master inventory</x:v>
      </x:c>
    </x:row>
    <x:row r="467" ht="42" customHeight="1">
      <x:c r="A467" s="215" t="str">
        <x:v>Orchidaceae</x:v>
      </x:c>
      <x:c r="B467" s="215" t="str">
        <x:v>ORC-SEEDS</x:v>
      </x:c>
      <x:c r="C467" s="215" t="str">
        <x:v>Family-wide</x:v>
      </x:c>
      <x:c r="D467" s="215" t="str">
        <x:v>Fruit / seed</x:v>
      </x:c>
      <x:c r="E467" s="215" t="str">
        <x:v>Capsule contains very many dust-like seeds with little stored food</x:v>
      </x:c>
      <x:c r="F467" s="215" t="str">
        <x:v>Core</x:v>
      </x:c>
      <x:c r="G467" s="215" t="str">
        <x:v>5</x:v>
      </x:c>
      <x:c r="H467" s="215" t="str">
        <x:v>High</x:v>
      </x:c>
      <x:c r="I467" s="215" t="str">
        <x:v>Hand lens</x:v>
      </x:c>
      <x:c r="J467" s="215" t="str">
        <x:v>Mature fruit</x:v>
      </x:c>
      <x:c r="K467" s="215" t="str">
        <x:v>Orchid capsules release numerous extremely small seeds.</x:v>
      </x:c>
      <x:c r="L467" s="215" t="str">
        <x:v>A closed or immature capsule hides this feature and opening fruit is unnecessary.</x:v>
      </x:c>
      <x:c r="M467" s="215" t="str">
        <x:v>Use naturally dehisced capsules as strong late-season confirmation.</x:v>
      </x:c>
      <x:c r="N467" s="215" t="str">
        <x:v>Potentially useful after flowering in Hays without disturbing plants.</x:v>
      </x:c>
      <x:c r="O467" s="215" t="str">
        <x:v>Low</x:v>
      </x:c>
      <x:c r="P467" s="215" t="str">
        <x:v>No</x:v>
      </x:c>
      <x:c r="Q467" s="215" t="str"/>
      <x:c r="R467" s="215" t="str">
        <x:v>ORC-LK01; ORC-LK02</x:v>
      </x:c>
      <x:c r="S467" s="215" t="str">
        <x:v>APWEB-ORCH; FNA-ORCH; POWO-ORCH; LBJ-HAYS</x:v>
      </x:c>
      <x:c r="T467" s="215" t="str">
        <x:v>https://www.mobot.org/MOBOT/research/APweb/orders/asparagalesweb.htm</x:v>
      </x:c>
      <x:c r="U467" s="215" t="str">
        <x:v>https://floranorthamerica.org/Orchidaceae</x:v>
      </x:c>
      <x:c r="V467" s="215" t="str">
        <x:v>https://powo.science.kew.org/taxon/urn:lsid:ipni.org:names:30000046-2/general-information</x:v>
      </x:c>
      <x:c r="W467" s="215" t="str">
        <x:v>https://www.mobot.org/MOBOT/research/APweb/orders/asparagalesweb.htm
https://floranorthamerica.org/Orchidaceae
https://powo.science.kew.org/taxon/urn:lsid:ipni.org:names:30000046-2/general-information
https://www.wildflower.org/collections/collection.php?collection=hays</x:v>
      </x:c>
      <x:c r="X467" s="215" t="str">
        <x:v>No — retain qualifiers and exceptions</x:v>
      </x:c>
      <x:c r="Y467" s="215" t="str">
        <x:v>Yes</x:v>
      </x:c>
      <x:c r="Z467" s="215" t="str">
        <x:v>Source-backed draft</x:v>
      </x:c>
      <x:c r="AA467" s="215" t="str">
        <x:v>Family pattern</x:v>
      </x:c>
      <x:c r="AB467" s="215" t="str">
        <x:v>Positive diagnostic</x:v>
      </x:c>
      <x:c r="AC467" s="215" t="str">
        <x:v>High</x:v>
      </x:c>
      <x:c r="AD467" s="215" t="str">
        <x:v>Hand lens / macro</x:v>
      </x:c>
      <x:c r="AE467" s="215" t="str">
        <x:v>Low</x:v>
      </x:c>
      <x:c r="AF467" s="215" t="str">
        <x:v>Field-ready draft</x:v>
      </x:c>
      <x:c r="AG467" s="215" t="str">
        <x:v>2 — Field-photo priority</x:v>
      </x:c>
      <x:c r="AH467" s="215" t="str">
        <x:v>Current master inventory</x:v>
      </x:c>
    </x:row>
    <x:row r="468" ht="42" customHeight="1">
      <x:c r="A468" s="215" t="str">
        <x:v>Orchidaceae</x:v>
      </x:c>
      <x:c r="B468" s="215" t="str">
        <x:v>ORC-LK01</x:v>
      </x:c>
      <x:c r="C468" s="215" t="str">
        <x:v>Lookalike comparison</x:v>
      </x:c>
      <x:c r="D468" s="215" t="str">
        <x:v>Lookalike</x:v>
      </x:c>
      <x:c r="E468" s="215" t="str">
        <x:v>Versus Asparagaceae: column, labellum, pollinia, and inferior ovary favor Orchidaceae</x:v>
      </x:c>
      <x:c r="F468" s="215" t="str">
        <x:v>Lookalike</x:v>
      </x:c>
      <x:c r="G468" s="215" t="str">
        <x:v>5</x:v>
      </x:c>
      <x:c r="H468" s="215" t="str">
        <x:v>High</x:v>
      </x:c>
      <x:c r="I468" s="215" t="str">
        <x:v>Hand lens</x:v>
      </x:c>
      <x:c r="J468" s="215" t="str">
        <x:v>Flowering</x:v>
      </x:c>
      <x:c r="K468" s="215" t="str">
        <x:v>Both are monocot herbs, but Asparagaceae usually has separate stamens, no orchid column, and no pollinia.</x:v>
      </x:c>
      <x:c r="L468" s="215" t="str">
        <x:v>Sterile plants may remain unresolved.</x:v>
      </x:c>
      <x:c r="M468" s="215" t="str">
        <x:v>Require reproductive evidence when rare orchids are suspected.</x:v>
      </x:c>
      <x:c r="N468" s="215" t="str">
        <x:v>Asparagaceae already has first-pass coverage.</x:v>
      </x:c>
      <x:c r="O468" s="215" t="str">
        <x:v>Low</x:v>
      </x:c>
      <x:c r="P468" s="215" t="str">
        <x:v>No</x:v>
      </x:c>
      <x:c r="Q468" s="215" t="str"/>
      <x:c r="R468" s="215" t="str">
        <x:v>ORC-TEPALS; ORC-COLUMN; ORC-POLLINIA</x:v>
      </x:c>
      <x:c r="S468" s="215" t="str">
        <x:v>APWEB-ORCH; FNA-ORCH; POWO-ORCH; LBJ-HAYS</x:v>
      </x:c>
      <x:c r="T468" s="215" t="str">
        <x:v>https://www.mobot.org/MOBOT/research/APweb/orders/asparagalesweb.htm</x:v>
      </x:c>
      <x:c r="U468" s="215" t="str">
        <x:v>https://floranorthamerica.org/Orchidaceae</x:v>
      </x:c>
      <x:c r="V468" s="215" t="str">
        <x:v>https://powo.science.kew.org/taxon/urn:lsid:ipni.org:names:30000046-2/general-information</x:v>
      </x:c>
      <x:c r="W468" s="215" t="str">
        <x:v>https://www.mobot.org/MOBOT/research/APweb/orders/asparagalesweb.htm
https://floranorthamerica.org/Orchidaceae
https://powo.science.kew.org/taxon/urn:lsid:ipni.org:names:30000046-2/general-information
https://www.wildflower.org/collections/collection.php?collection=hays</x:v>
      </x:c>
      <x:c r="X468" s="215" t="str">
        <x:v>No — retain qualifiers and exceptions</x:v>
      </x:c>
      <x:c r="Y468" s="215" t="str">
        <x:v>Yes</x:v>
      </x:c>
      <x:c r="Z468" s="215" t="str">
        <x:v>Source-backed draft</x:v>
      </x:c>
      <x:c r="AA468" s="215" t="str">
        <x:v>Lookalike comparison</x:v>
      </x:c>
      <x:c r="AB468" s="215" t="str">
        <x:v>Contrast / lookalike</x:v>
      </x:c>
      <x:c r="AC468" s="215" t="str">
        <x:v>High</x:v>
      </x:c>
      <x:c r="AD468" s="215" t="str">
        <x:v>Hand lens / macro</x:v>
      </x:c>
      <x:c r="AE468" s="215" t="str">
        <x:v>Low</x:v>
      </x:c>
      <x:c r="AF468" s="215" t="str">
        <x:v>Field-ready draft</x:v>
      </x:c>
      <x:c r="AG468" s="215" t="str">
        <x:v>2 — Field-photo priority</x:v>
      </x:c>
      <x:c r="AH468" s="215" t="str">
        <x:v>Current master inventory</x:v>
      </x:c>
    </x:row>
    <x:row r="469" ht="42" customHeight="1">
      <x:c r="A469" s="215" t="str">
        <x:v>Orchidaceae</x:v>
      </x:c>
      <x:c r="B469" s="215" t="str">
        <x:v>ORC-LK02</x:v>
      </x:c>
      <x:c r="C469" s="215" t="str">
        <x:v>Lookalike comparison</x:v>
      </x:c>
      <x:c r="D469" s="215" t="str">
        <x:v>Lookalike</x:v>
      </x:c>
      <x:c r="E469" s="215" t="str">
        <x:v>Versus Iridaceae: orchid column and pollinia versus three separate stamens in Iridaceae</x:v>
      </x:c>
      <x:c r="F469" s="215" t="str">
        <x:v>Lookalike</x:v>
      </x:c>
      <x:c r="G469" s="215" t="str">
        <x:v>5</x:v>
      </x:c>
      <x:c r="H469" s="215" t="str">
        <x:v>High</x:v>
      </x:c>
      <x:c r="I469" s="215" t="str">
        <x:v>Hand lens</x:v>
      </x:c>
      <x:c r="J469" s="215" t="str">
        <x:v>Flowering</x:v>
      </x:c>
      <x:c r="K469" s="215" t="str">
        <x:v>Both can have showy bilateral flowers and inferior ovaries, but only orchids fuse sexual organs into a column and package pollen into pollinia.</x:v>
      </x:c>
      <x:c r="L469" s="215" t="str">
        <x:v>Tiny or damaged flowers can conceal the distinction.</x:v>
      </x:c>
      <x:c r="M469" s="215" t="str">
        <x:v>Inspect the flower center before assigning family.</x:v>
      </x:c>
      <x:c r="N469" s="215" t="str">
        <x:v>Iridaceae has not yet received reciprocal first-pass evidence.</x:v>
      </x:c>
      <x:c r="O469" s="215" t="str">
        <x:v>Medium</x:v>
      </x:c>
      <x:c r="P469" s="215" t="str">
        <x:v>Yes</x:v>
      </x:c>
      <x:c r="Q469" s="215" t="str">
        <x:v>Reciprocal Iridaceae family and Hays lookalike rows are not yet in the master.</x:v>
      </x:c>
      <x:c r="R469" s="215" t="str">
        <x:v>ORC-COLUMN; ORC-POLLINIA</x:v>
      </x:c>
      <x:c r="S469" s="215" t="str">
        <x:v>APWEB-ORCH; FNA-ORCH; POWO-ORCH; LBJ-HAYS</x:v>
      </x:c>
      <x:c r="T469" s="215" t="str">
        <x:v>https://www.mobot.org/MOBOT/research/APweb/orders/asparagalesweb.htm</x:v>
      </x:c>
      <x:c r="U469" s="215" t="str">
        <x:v>https://floranorthamerica.org/Orchidaceae</x:v>
      </x:c>
      <x:c r="V469" s="215" t="str">
        <x:v>https://powo.science.kew.org/taxon/urn:lsid:ipni.org:names:30000046-2/general-information</x:v>
      </x:c>
      <x:c r="W469" s="215" t="str">
        <x:v>https://www.mobot.org/MOBOT/research/APweb/orders/asparagalesweb.htm
https://floranorthamerica.org/Orchidaceae
https://powo.science.kew.org/taxon/urn:lsid:ipni.org:names:30000046-2/general-information
https://www.wildflower.org/collections/collection.php?collection=hays</x:v>
      </x:c>
      <x:c r="X469" s="215" t="str">
        <x:v>No — retain qualifiers and exceptions</x:v>
      </x:c>
      <x:c r="Y469" s="215" t="str">
        <x:v>Yes</x:v>
      </x:c>
      <x:c r="Z469" s="215" t="str">
        <x:v>Human review required</x:v>
      </x:c>
      <x:c r="AA469" s="215" t="str">
        <x:v>Lookalike comparison</x:v>
      </x:c>
      <x:c r="AB469" s="215" t="str">
        <x:v>Contrast / lookalike</x:v>
      </x:c>
      <x:c r="AC469" s="215" t="str">
        <x:v>High</x:v>
      </x:c>
      <x:c r="AD469" s="215" t="str">
        <x:v>Hand lens / macro</x:v>
      </x:c>
      <x:c r="AE469" s="215" t="str">
        <x:v>Moderate</x:v>
      </x:c>
      <x:c r="AF469" s="215" t="str">
        <x:v>Use only after review</x:v>
      </x:c>
      <x:c r="AG469" s="215" t="str">
        <x:v>1 — Human review now</x:v>
      </x:c>
      <x:c r="AH469" s="215" t="str">
        <x:v>Current master inventory</x:v>
      </x:c>
    </x:row>
    <x:row r="470" ht="42" customHeight="1">
      <x:c r="A470" s="215" t="str">
        <x:v>Salicaceae</x:v>
      </x:c>
      <x:c r="B470" s="215" t="str">
        <x:v>SAL-HABIT</x:v>
      </x:c>
      <x:c r="C470" s="215" t="str">
        <x:v>Local salicoid route</x:v>
      </x:c>
      <x:c r="D470" s="215" t="str">
        <x:v>Habit</x:v>
      </x:c>
      <x:c r="E470" s="215" t="str">
        <x:v>Dioecious trees or shrubs</x:v>
      </x:c>
      <x:c r="F470" s="215" t="str">
        <x:v>Strong</x:v>
      </x:c>
      <x:c r="G470" s="215" t="str">
        <x:v>4</x:v>
      </x:c>
      <x:c r="H470" s="215" t="str">
        <x:v>High</x:v>
      </x:c>
      <x:c r="I470" s="215" t="str">
        <x:v>Naked eye</x:v>
      </x:c>
      <x:c r="J470" s="215" t="str">
        <x:v>Any season</x:v>
      </x:c>
      <x:c r="K470" s="215" t="str">
        <x:v>Local willows and cottonwoods are woody plants with male and female flowers on separate plants.</x:v>
      </x:c>
      <x:c r="L470" s="215" t="str">
        <x:v>Current broad Salicaceae also includes many non-salicoid tropical lineages, so this is not universal to the accepted family.</x:v>
      </x:c>
      <x:c r="M470" s="215" t="str">
        <x:v>Use for local Salix/Populus routing only.</x:v>
      </x:c>
      <x:c r="N470" s="215" t="str">
        <x:v>Highly relevant along Hays waterways and riparian corridors.</x:v>
      </x:c>
      <x:c r="O470" s="215" t="str">
        <x:v>Medium</x:v>
      </x:c>
      <x:c r="P470" s="215" t="str">
        <x:v>No</x:v>
      </x:c>
      <x:c r="Q470" s="215" t="str"/>
      <x:c r="R470" s="215" t="str">
        <x:v>SAL-LK01; SAL-LK02</x:v>
      </x:c>
      <x:c r="S470" s="215" t="str">
        <x:v>APWEB-SALI; FNA-SALI; POWO-SALI; LBJ-HAYS</x:v>
      </x:c>
      <x:c r="T470" s="215" t="str">
        <x:v>https://www.mobot.org/MOBOT/research/APweb/orders/malpighialesweb.htm</x:v>
      </x:c>
      <x:c r="U470" s="215" t="str">
        <x:v>https://floranorthamerica.org/Salicaceae</x:v>
      </x:c>
      <x:c r="V470" s="215" t="str">
        <x:v>https://powo.science.kew.org/taxon/urn:lsid:ipni.org:names:30002644-2/general-information</x:v>
      </x:c>
      <x:c r="W470" s="215" t="str">
        <x:v>https://www.mobot.org/MOBOT/research/APweb/orders/malpighialesweb.htm
https://floranorthamerica.org/Salicaceae
https://powo.science.kew.org/taxon/urn:lsid:ipni.org:names:30002644-2/general-information
https://www.wildflower.org/collections/collection.php?collection=hays</x:v>
      </x:c>
      <x:c r="X470" s="215" t="str">
        <x:v>No — retain qualifiers and exceptions</x:v>
      </x:c>
      <x:c r="Y470" s="215" t="str">
        <x:v>Yes</x:v>
      </x:c>
      <x:c r="Z470" s="215" t="str">
        <x:v>Source-backed draft</x:v>
      </x:c>
      <x:c r="AA470" s="215" t="str">
        <x:v>Local subgroup / route</x:v>
      </x:c>
      <x:c r="AB470" s="215" t="str">
        <x:v>Positive diagnostic</x:v>
      </x:c>
      <x:c r="AC470" s="215" t="str">
        <x:v>High</x:v>
      </x:c>
      <x:c r="AD470" s="215" t="str">
        <x:v>Naked eye / field</x:v>
      </x:c>
      <x:c r="AE470" s="215" t="str">
        <x:v>Moderate</x:v>
      </x:c>
      <x:c r="AF470" s="215" t="str">
        <x:v>Field-ready draft</x:v>
      </x:c>
      <x:c r="AG470" s="215" t="str">
        <x:v>2 — Field-photo priority</x:v>
      </x:c>
      <x:c r="AH470" s="215" t="str">
        <x:v>Current master inventory</x:v>
      </x:c>
    </x:row>
    <x:row r="471" ht="42" customHeight="1">
      <x:c r="A471" s="215" t="str">
        <x:v>Salicaceae</x:v>
      </x:c>
      <x:c r="B471" s="215" t="str">
        <x:v>SAL-LEAVES</x:v>
      </x:c>
      <x:c r="C471" s="215" t="str">
        <x:v>Local salicoid route</x:v>
      </x:c>
      <x:c r="D471" s="215" t="str">
        <x:v>Leaf</x:v>
      </x:c>
      <x:c r="E471" s="215" t="str">
        <x:v>Leaves alternate, simple, usually toothed; stipules present but often deciduous</x:v>
      </x:c>
      <x:c r="F471" s="215" t="str">
        <x:v>Strong</x:v>
      </x:c>
      <x:c r="G471" s="215" t="str">
        <x:v>4</x:v>
      </x:c>
      <x:c r="H471" s="215" t="str">
        <x:v>High</x:v>
      </x:c>
      <x:c r="I471" s="215" t="str">
        <x:v>Naked eye</x:v>
      </x:c>
      <x:c r="J471" s="215" t="str">
        <x:v>Vegetative</x:v>
      </x:c>
      <x:c r="K471" s="215" t="str">
        <x:v>Willows and cottonwoods commonly have single alternate leaves with toothed margins.</x:v>
      </x:c>
      <x:c r="L471" s="215" t="str">
        <x:v>Margins can be nearly entire and stipules may fall early; broad Salicaceae is more variable.</x:v>
      </x:c>
      <x:c r="M471" s="215" t="str">
        <x:v>Use with buds, catkins, and fruit.</x:v>
      </x:c>
      <x:c r="N471" s="215" t="str">
        <x:v>Practical on local riparian Salix and Populus.</x:v>
      </x:c>
      <x:c r="O471" s="215" t="str">
        <x:v>Low</x:v>
      </x:c>
      <x:c r="P471" s="215" t="str">
        <x:v>No</x:v>
      </x:c>
      <x:c r="Q471" s="215" t="str"/>
      <x:c r="R471" s="215" t="str">
        <x:v>SAL-LK01; SAL-LK02</x:v>
      </x:c>
      <x:c r="S471" s="215" t="str">
        <x:v>APWEB-SALI; FNA-SALI; POWO-SALI; LBJ-HAYS</x:v>
      </x:c>
      <x:c r="T471" s="215" t="str">
        <x:v>https://www.mobot.org/MOBOT/research/APweb/orders/malpighialesweb.htm</x:v>
      </x:c>
      <x:c r="U471" s="215" t="str">
        <x:v>https://floranorthamerica.org/Salicaceae</x:v>
      </x:c>
      <x:c r="V471" s="215" t="str">
        <x:v>https://powo.science.kew.org/taxon/urn:lsid:ipni.org:names:30002644-2/general-information</x:v>
      </x:c>
      <x:c r="W471" s="215" t="str">
        <x:v>https://www.mobot.org/MOBOT/research/APweb/orders/malpighialesweb.htm
https://floranorthamerica.org/Salicaceae
https://powo.science.kew.org/taxon/urn:lsid:ipni.org:names:30002644-2/general-information
https://www.wildflower.org/collections/collection.php?collection=hays</x:v>
      </x:c>
      <x:c r="X471" s="215" t="str">
        <x:v>No — retain qualifiers and exceptions</x:v>
      </x:c>
      <x:c r="Y471" s="215" t="str">
        <x:v>Yes</x:v>
      </x:c>
      <x:c r="Z471" s="215" t="str">
        <x:v>Source-backed draft</x:v>
      </x:c>
      <x:c r="AA471" s="215" t="str">
        <x:v>Local subgroup / route</x:v>
      </x:c>
      <x:c r="AB471" s="215" t="str">
        <x:v>Positive diagnostic</x:v>
      </x:c>
      <x:c r="AC471" s="215" t="str">
        <x:v>High</x:v>
      </x:c>
      <x:c r="AD471" s="215" t="str">
        <x:v>Naked eye / field</x:v>
      </x:c>
      <x:c r="AE471" s="215" t="str">
        <x:v>Low</x:v>
      </x:c>
      <x:c r="AF471" s="215" t="str">
        <x:v>Field-ready draft</x:v>
      </x:c>
      <x:c r="AG471" s="215" t="str">
        <x:v>2 — Field-photo priority</x:v>
      </x:c>
      <x:c r="AH471" s="215" t="str">
        <x:v>Current master inventory</x:v>
      </x:c>
    </x:row>
    <x:row r="472" ht="42" customHeight="1">
      <x:c r="A472" s="215" t="str">
        <x:v>Salicaceae</x:v>
      </x:c>
      <x:c r="B472" s="215" t="str">
        <x:v>SAL-BUDS</x:v>
      </x:c>
      <x:c r="C472" s="215" t="str">
        <x:v>Local salicoid route</x:v>
      </x:c>
      <x:c r="D472" s="215" t="str">
        <x:v>Bud</x:v>
      </x:c>
      <x:c r="E472" s="215" t="str">
        <x:v>Buds often covered by a single visible scale in Salix; Populus buds differ</x:v>
      </x:c>
      <x:c r="F472" s="215" t="str">
        <x:v>Supporting</x:v>
      </x:c>
      <x:c r="G472" s="215" t="str">
        <x:v>3</x:v>
      </x:c>
      <x:c r="H472" s="215" t="str">
        <x:v>Moderate</x:v>
      </x:c>
      <x:c r="I472" s="215" t="str">
        <x:v>Naked eye or hand lens</x:v>
      </x:c>
      <x:c r="J472" s="215" t="str">
        <x:v>Dormant twigs</x:v>
      </x:c>
      <x:c r="K472" s="215" t="str">
        <x:v>A single cap-like bud scale is a useful willow character.</x:v>
      </x:c>
      <x:c r="L472" s="215" t="str">
        <x:v>This does not apply across Populus or broad Salicaceae and is a genus-level route.</x:v>
      </x:c>
      <x:c r="M472" s="215" t="str">
        <x:v>Use only after recognizing a salicoid woody plant.</x:v>
      </x:c>
      <x:c r="N472" s="215" t="str">
        <x:v>Useful for winter Hays willow identification.</x:v>
      </x:c>
      <x:c r="O472" s="215" t="str">
        <x:v>Low</x:v>
      </x:c>
      <x:c r="P472" s="215" t="str">
        <x:v>No</x:v>
      </x:c>
      <x:c r="Q472" s="215" t="str"/>
      <x:c r="R472" s="215" t="str">
        <x:v>SAL-LK01</x:v>
      </x:c>
      <x:c r="S472" s="215" t="str">
        <x:v>APWEB-SALI; FNA-SALI; POWO-SALI; LBJ-HAYS</x:v>
      </x:c>
      <x:c r="T472" s="215" t="str">
        <x:v>https://www.mobot.org/MOBOT/research/APweb/orders/malpighialesweb.htm</x:v>
      </x:c>
      <x:c r="U472" s="215" t="str">
        <x:v>https://floranorthamerica.org/Salicaceae</x:v>
      </x:c>
      <x:c r="V472" s="215" t="str">
        <x:v>https://powo.science.kew.org/taxon/urn:lsid:ipni.org:names:30002644-2/general-information</x:v>
      </x:c>
      <x:c r="W472" s="215" t="str">
        <x:v>https://www.mobot.org/MOBOT/research/APweb/orders/malpighialesweb.htm
https://floranorthamerica.org/Salicaceae
https://powo.science.kew.org/taxon/urn:lsid:ipni.org:names:30002644-2/general-information
https://www.wildflower.org/collections/collection.php?collection=hays</x:v>
      </x:c>
      <x:c r="X472" s="215" t="str">
        <x:v>No — retain qualifiers and exceptions</x:v>
      </x:c>
      <x:c r="Y472" s="215" t="str">
        <x:v>Yes</x:v>
      </x:c>
      <x:c r="Z472" s="215" t="str">
        <x:v>Source-backed draft</x:v>
      </x:c>
      <x:c r="AA472" s="215" t="str">
        <x:v>Local subgroup / route</x:v>
      </x:c>
      <x:c r="AB472" s="215" t="str">
        <x:v>Supporting / route</x:v>
      </x:c>
      <x:c r="AC472" s="215" t="str">
        <x:v>Moderate</x:v>
      </x:c>
      <x:c r="AD472" s="215" t="str">
        <x:v>Hand lens / macro</x:v>
      </x:c>
      <x:c r="AE472" s="215" t="str">
        <x:v>Low</x:v>
      </x:c>
      <x:c r="AF472" s="215" t="str">
        <x:v>Field-ready draft</x:v>
      </x:c>
      <x:c r="AG472" s="215" t="str">
        <x:v>3 — Reference support</x:v>
      </x:c>
      <x:c r="AH472" s="215" t="str">
        <x:v>Current master inventory</x:v>
      </x:c>
    </x:row>
    <x:row r="473" ht="42" customHeight="1">
      <x:c r="A473" s="215" t="str">
        <x:v>Salicaceae</x:v>
      </x:c>
      <x:c r="B473" s="215" t="str">
        <x:v>SAL-CATKINS</x:v>
      </x:c>
      <x:c r="C473" s="215" t="str">
        <x:v>Local salicoid route</x:v>
      </x:c>
      <x:c r="D473" s="215" t="str">
        <x:v>Inflorescence</x:v>
      </x:c>
      <x:c r="E473" s="215" t="str">
        <x:v>Flowers grouped in catkins</x:v>
      </x:c>
      <x:c r="F473" s="215" t="str">
        <x:v>Core</x:v>
      </x:c>
      <x:c r="G473" s="215" t="str">
        <x:v>5</x:v>
      </x:c>
      <x:c r="H473" s="215" t="str">
        <x:v>High</x:v>
      </x:c>
      <x:c r="I473" s="215" t="str">
        <x:v>Naked eye</x:v>
      </x:c>
      <x:c r="J473" s="215" t="str">
        <x:v>Flowering</x:v>
      </x:c>
      <x:c r="K473" s="215" t="str">
        <x:v>Many tiny flowers form elongated or compact catkins.</x:v>
      </x:c>
      <x:c r="L473" s="215" t="str">
        <x:v>Broad Salicaceae includes other inflorescence forms, and catkins are shared with unrelated woody families.</x:v>
      </x:c>
      <x:c r="M473" s="215" t="str">
        <x:v>Combine with unisexual reduced flowers, ovary, and cottony seeds.</x:v>
      </x:c>
      <x:c r="N473" s="215" t="str">
        <x:v>Highly visible on flowering Hays willows and cottonwoods.</x:v>
      </x:c>
      <x:c r="O473" s="215" t="str">
        <x:v>Low</x:v>
      </x:c>
      <x:c r="P473" s="215" t="str">
        <x:v>No</x:v>
      </x:c>
      <x:c r="Q473" s="215" t="str"/>
      <x:c r="R473" s="215" t="str">
        <x:v>SAL-LK01; SAL-LK02</x:v>
      </x:c>
      <x:c r="S473" s="215" t="str">
        <x:v>APWEB-SALI; FNA-SALI; POWO-SALI; LBJ-HAYS</x:v>
      </x:c>
      <x:c r="T473" s="215" t="str">
        <x:v>https://www.mobot.org/MOBOT/research/APweb/orders/malpighialesweb.htm</x:v>
      </x:c>
      <x:c r="U473" s="215" t="str">
        <x:v>https://floranorthamerica.org/Salicaceae</x:v>
      </x:c>
      <x:c r="V473" s="215" t="str">
        <x:v>https://powo.science.kew.org/taxon/urn:lsid:ipni.org:names:30002644-2/general-information</x:v>
      </x:c>
      <x:c r="W473" s="215" t="str">
        <x:v>https://www.mobot.org/MOBOT/research/APweb/orders/malpighialesweb.htm
https://floranorthamerica.org/Salicaceae
https://powo.science.kew.org/taxon/urn:lsid:ipni.org:names:30002644-2/general-information
https://www.wildflower.org/collections/collection.php?collection=hays</x:v>
      </x:c>
      <x:c r="X473" s="215" t="str">
        <x:v>No — retain qualifiers and exceptions</x:v>
      </x:c>
      <x:c r="Y473" s="215" t="str">
        <x:v>Yes</x:v>
      </x:c>
      <x:c r="Z473" s="215" t="str">
        <x:v>Source-backed draft</x:v>
      </x:c>
      <x:c r="AA473" s="215" t="str">
        <x:v>Local subgroup / route</x:v>
      </x:c>
      <x:c r="AB473" s="215" t="str">
        <x:v>Positive diagnostic</x:v>
      </x:c>
      <x:c r="AC473" s="215" t="str">
        <x:v>High</x:v>
      </x:c>
      <x:c r="AD473" s="215" t="str">
        <x:v>Naked eye / field</x:v>
      </x:c>
      <x:c r="AE473" s="215" t="str">
        <x:v>Low</x:v>
      </x:c>
      <x:c r="AF473" s="215" t="str">
        <x:v>Field-ready draft</x:v>
      </x:c>
      <x:c r="AG473" s="215" t="str">
        <x:v>2 — Field-photo priority</x:v>
      </x:c>
      <x:c r="AH473" s="215" t="str">
        <x:v>Current master inventory</x:v>
      </x:c>
    </x:row>
    <x:row r="474" ht="42" customHeight="1">
      <x:c r="A474" s="215" t="str">
        <x:v>Salicaceae</x:v>
      </x:c>
      <x:c r="B474" s="215" t="str">
        <x:v>SAL-FLOWER</x:v>
      </x:c>
      <x:c r="C474" s="215" t="str">
        <x:v>Local salicoid route</x:v>
      </x:c>
      <x:c r="D474" s="215" t="str">
        <x:v>Flower</x:v>
      </x:c>
      <x:c r="E474" s="215" t="str">
        <x:v>Flowers unisexual, strongly reduced, usually lacking an obvious perianth</x:v>
      </x:c>
      <x:c r="F474" s="215" t="str">
        <x:v>Core</x:v>
      </x:c>
      <x:c r="G474" s="215" t="str">
        <x:v>5</x:v>
      </x:c>
      <x:c r="H474" s="215" t="str">
        <x:v>High</x:v>
      </x:c>
      <x:c r="I474" s="215" t="str">
        <x:v>Hand lens</x:v>
      </x:c>
      <x:c r="J474" s="215" t="str">
        <x:v>Fresh catkins</x:v>
      </x:c>
      <x:c r="K474" s="215" t="str">
        <x:v>Each catkin flower is male or female and has little or no showy perianth.</x:v>
      </x:c>
      <x:c r="L474" s="215" t="str">
        <x:v>Broad-family lineages can have bisexual flowers and a developed perianth.</x:v>
      </x:c>
      <x:c r="M474" s="215" t="str">
        <x:v>Use only within the local Salix/Populus route.</x:v>
      </x:c>
      <x:c r="N474" s="215" t="str">
        <x:v>Strong local family evidence when catkins are intact.</x:v>
      </x:c>
      <x:c r="O474" s="215" t="str">
        <x:v>Medium</x:v>
      </x:c>
      <x:c r="P474" s="215" t="str">
        <x:v>No</x:v>
      </x:c>
      <x:c r="Q474" s="215" t="str"/>
      <x:c r="R474" s="215" t="str">
        <x:v>SAL-LK01; SAL-LK02</x:v>
      </x:c>
      <x:c r="S474" s="215" t="str">
        <x:v>APWEB-SALI; FNA-SALI; POWO-SALI; LBJ-HAYS</x:v>
      </x:c>
      <x:c r="T474" s="215" t="str">
        <x:v>https://www.mobot.org/MOBOT/research/APweb/orders/malpighialesweb.htm</x:v>
      </x:c>
      <x:c r="U474" s="215" t="str">
        <x:v>https://floranorthamerica.org/Salicaceae</x:v>
      </x:c>
      <x:c r="V474" s="215" t="str">
        <x:v>https://powo.science.kew.org/taxon/urn:lsid:ipni.org:names:30002644-2/general-information</x:v>
      </x:c>
      <x:c r="W474" s="215" t="str">
        <x:v>https://www.mobot.org/MOBOT/research/APweb/orders/malpighialesweb.htm
https://floranorthamerica.org/Salicaceae
https://powo.science.kew.org/taxon/urn:lsid:ipni.org:names:30002644-2/general-information
https://www.wildflower.org/collections/collection.php?collection=hays</x:v>
      </x:c>
      <x:c r="X474" s="215" t="str">
        <x:v>No — retain qualifiers and exceptions</x:v>
      </x:c>
      <x:c r="Y474" s="215" t="str">
        <x:v>Yes</x:v>
      </x:c>
      <x:c r="Z474" s="215" t="str">
        <x:v>Source-backed draft</x:v>
      </x:c>
      <x:c r="AA474" s="215" t="str">
        <x:v>Local subgroup / route</x:v>
      </x:c>
      <x:c r="AB474" s="215" t="str">
        <x:v>Positive diagnostic</x:v>
      </x:c>
      <x:c r="AC474" s="215" t="str">
        <x:v>High</x:v>
      </x:c>
      <x:c r="AD474" s="215" t="str">
        <x:v>Hand lens / macro</x:v>
      </x:c>
      <x:c r="AE474" s="215" t="str">
        <x:v>Moderate</x:v>
      </x:c>
      <x:c r="AF474" s="215" t="str">
        <x:v>Field-ready draft</x:v>
      </x:c>
      <x:c r="AG474" s="215" t="str">
        <x:v>2 — Field-photo priority</x:v>
      </x:c>
      <x:c r="AH474" s="215" t="str">
        <x:v>Current master inventory</x:v>
      </x:c>
    </x:row>
    <x:row r="475" ht="42" customHeight="1">
      <x:c r="A475" s="215" t="str">
        <x:v>Salicaceae</x:v>
      </x:c>
      <x:c r="B475" s="215" t="str">
        <x:v>SAL-GLAND</x:v>
      </x:c>
      <x:c r="C475" s="215" t="str">
        <x:v>Local salicoid route</x:v>
      </x:c>
      <x:c r="D475" s="215" t="str">
        <x:v>Flower</x:v>
      </x:c>
      <x:c r="E475" s="215" t="str">
        <x:v>One or more nectar glands or a disc associated with reduced flowers</x:v>
      </x:c>
      <x:c r="F475" s="215" t="str">
        <x:v>Supporting</x:v>
      </x:c>
      <x:c r="G475" s="215" t="str">
        <x:v>3</x:v>
      </x:c>
      <x:c r="H475" s="215" t="str">
        <x:v>Moderate</x:v>
      </x:c>
      <x:c r="I475" s="215" t="str">
        <x:v>Hand lens</x:v>
      </x:c>
      <x:c r="J475" s="215" t="str">
        <x:v>Fresh catkins</x:v>
      </x:c>
      <x:c r="K475" s="215" t="str">
        <x:v>Small glands replace a showy perianth around local willow or cottonwood flowers.</x:v>
      </x:c>
      <x:c r="L475" s="215" t="str">
        <x:v>Number and shape differ between genera and may be hard to see.</x:v>
      </x:c>
      <x:c r="M475" s="215" t="str">
        <x:v>Use as supporting evidence in catkin dissection.</x:v>
      </x:c>
      <x:c r="N475" s="215" t="str">
        <x:v>Useful for detailed Hays identification.</x:v>
      </x:c>
      <x:c r="O475" s="215" t="str">
        <x:v>Low</x:v>
      </x:c>
      <x:c r="P475" s="215" t="str">
        <x:v>No</x:v>
      </x:c>
      <x:c r="Q475" s="215" t="str"/>
      <x:c r="R475" s="215" t="str">
        <x:v>SAL-LK01</x:v>
      </x:c>
      <x:c r="S475" s="215" t="str">
        <x:v>APWEB-SALI; FNA-SALI; POWO-SALI; LBJ-HAYS</x:v>
      </x:c>
      <x:c r="T475" s="215" t="str">
        <x:v>https://www.mobot.org/MOBOT/research/APweb/orders/malpighialesweb.htm</x:v>
      </x:c>
      <x:c r="U475" s="215" t="str">
        <x:v>https://floranorthamerica.org/Salicaceae</x:v>
      </x:c>
      <x:c r="V475" s="215" t="str">
        <x:v>https://powo.science.kew.org/taxon/urn:lsid:ipni.org:names:30002644-2/general-information</x:v>
      </x:c>
      <x:c r="W475" s="215" t="str">
        <x:v>https://www.mobot.org/MOBOT/research/APweb/orders/malpighialesweb.htm
https://floranorthamerica.org/Salicaceae
https://powo.science.kew.org/taxon/urn:lsid:ipni.org:names:30002644-2/general-information
https://www.wildflower.org/collections/collection.php?collection=hays</x:v>
      </x:c>
      <x:c r="X475" s="215" t="str">
        <x:v>No — retain qualifiers and exceptions</x:v>
      </x:c>
      <x:c r="Y475" s="215" t="str">
        <x:v>Yes</x:v>
      </x:c>
      <x:c r="Z475" s="215" t="str">
        <x:v>Source-backed draft</x:v>
      </x:c>
      <x:c r="AA475" s="215" t="str">
        <x:v>Local subgroup / route</x:v>
      </x:c>
      <x:c r="AB475" s="215" t="str">
        <x:v>Supporting / route</x:v>
      </x:c>
      <x:c r="AC475" s="215" t="str">
        <x:v>Moderate</x:v>
      </x:c>
      <x:c r="AD475" s="215" t="str">
        <x:v>Hand lens / macro</x:v>
      </x:c>
      <x:c r="AE475" s="215" t="str">
        <x:v>Low</x:v>
      </x:c>
      <x:c r="AF475" s="215" t="str">
        <x:v>Field-ready draft</x:v>
      </x:c>
      <x:c r="AG475" s="215" t="str">
        <x:v>3 — Reference support</x:v>
      </x:c>
      <x:c r="AH475" s="215" t="str">
        <x:v>Current master inventory</x:v>
      </x:c>
    </x:row>
    <x:row r="476" ht="42" customHeight="1">
      <x:c r="A476" s="215" t="str">
        <x:v>Salicaceae</x:v>
      </x:c>
      <x:c r="B476" s="215" t="str">
        <x:v>SAL-OVARY</x:v>
      </x:c>
      <x:c r="C476" s="215" t="str">
        <x:v>Local salicoid route</x:v>
      </x:c>
      <x:c r="D476" s="215" t="str">
        <x:v>Gynoecium</x:v>
      </x:c>
      <x:c r="E476" s="215" t="str">
        <x:v>Ovary superior, one-locular, with parietal placentation</x:v>
      </x:c>
      <x:c r="F476" s="215" t="str">
        <x:v>Core</x:v>
      </x:c>
      <x:c r="G476" s="215" t="str">
        <x:v>5</x:v>
      </x:c>
      <x:c r="H476" s="215" t="str">
        <x:v>High</x:v>
      </x:c>
      <x:c r="I476" s="215" t="str">
        <x:v>Hand lens or dissection</x:v>
      </x:c>
      <x:c r="J476" s="215" t="str">
        <x:v>Female catkins or young fruit</x:v>
      </x:c>
      <x:c r="K476" s="215" t="str">
        <x:v>The female flower has one chamber with ovules attached to the inner walls.</x:v>
      </x:c>
      <x:c r="L476" s="215" t="str">
        <x:v>This is a local salicoid pattern and may require dissection.</x:v>
      </x:c>
      <x:c r="M476" s="215" t="str">
        <x:v>Use with capsule and hairy seeds to separate other catkin families.</x:v>
      </x:c>
      <x:c r="N476" s="215" t="str">
        <x:v>Strong confirmation for Hays Salix/Populus.</x:v>
      </x:c>
      <x:c r="O476" s="215" t="str">
        <x:v>Low</x:v>
      </x:c>
      <x:c r="P476" s="215" t="str">
        <x:v>No</x:v>
      </x:c>
      <x:c r="Q476" s="215" t="str"/>
      <x:c r="R476" s="215" t="str">
        <x:v>SAL-LK01; SAL-LK02</x:v>
      </x:c>
      <x:c r="S476" s="215" t="str">
        <x:v>APWEB-SALI; FNA-SALI; POWO-SALI; LBJ-HAYS</x:v>
      </x:c>
      <x:c r="T476" s="215" t="str">
        <x:v>https://www.mobot.org/MOBOT/research/APweb/orders/malpighialesweb.htm</x:v>
      </x:c>
      <x:c r="U476" s="215" t="str">
        <x:v>https://floranorthamerica.org/Salicaceae</x:v>
      </x:c>
      <x:c r="V476" s="215" t="str">
        <x:v>https://powo.science.kew.org/taxon/urn:lsid:ipni.org:names:30002644-2/general-information</x:v>
      </x:c>
      <x:c r="W476" s="215" t="str">
        <x:v>https://www.mobot.org/MOBOT/research/APweb/orders/malpighialesweb.htm
https://floranorthamerica.org/Salicaceae
https://powo.science.kew.org/taxon/urn:lsid:ipni.org:names:30002644-2/general-information
https://www.wildflower.org/collections/collection.php?collection=hays</x:v>
      </x:c>
      <x:c r="X476" s="215" t="str">
        <x:v>No — retain qualifiers and exceptions</x:v>
      </x:c>
      <x:c r="Y476" s="215" t="str">
        <x:v>Yes</x:v>
      </x:c>
      <x:c r="Z476" s="215" t="str">
        <x:v>Source-backed draft</x:v>
      </x:c>
      <x:c r="AA476" s="215" t="str">
        <x:v>Local subgroup / route</x:v>
      </x:c>
      <x:c r="AB476" s="215" t="str">
        <x:v>Positive diagnostic</x:v>
      </x:c>
      <x:c r="AC476" s="215" t="str">
        <x:v>High</x:v>
      </x:c>
      <x:c r="AD476" s="215" t="str">
        <x:v>Dissection</x:v>
      </x:c>
      <x:c r="AE476" s="215" t="str">
        <x:v>Low</x:v>
      </x:c>
      <x:c r="AF476" s="215" t="str">
        <x:v>Dissection / close study</x:v>
      </x:c>
      <x:c r="AG476" s="215" t="str">
        <x:v>3 — Reference support</x:v>
      </x:c>
      <x:c r="AH476" s="215" t="str">
        <x:v>Current master inventory</x:v>
      </x:c>
    </x:row>
    <x:row r="477" ht="42" customHeight="1">
      <x:c r="A477" s="215" t="str">
        <x:v>Salicaceae</x:v>
      </x:c>
      <x:c r="B477" s="215" t="str">
        <x:v>SAL-FRUIT</x:v>
      </x:c>
      <x:c r="C477" s="215" t="str">
        <x:v>Local salicoid route</x:v>
      </x:c>
      <x:c r="D477" s="215" t="str">
        <x:v>Fruit</x:v>
      </x:c>
      <x:c r="E477" s="215" t="str">
        <x:v>Capsule opens by valves</x:v>
      </x:c>
      <x:c r="F477" s="215" t="str">
        <x:v>Core</x:v>
      </x:c>
      <x:c r="G477" s="215" t="str">
        <x:v>5</x:v>
      </x:c>
      <x:c r="H477" s="215" t="str">
        <x:v>High</x:v>
      </x:c>
      <x:c r="I477" s="215" t="str">
        <x:v>Naked eye or hand lens</x:v>
      </x:c>
      <x:c r="J477" s="215" t="str">
        <x:v>Mature fruit</x:v>
      </x:c>
      <x:c r="K477" s="215" t="str">
        <x:v>The dry fruit splits open to release many seeds.</x:v>
      </x:c>
      <x:c r="L477" s="215" t="str">
        <x:v>Broad Salicaceae includes berries and other fruit types outside Salix/Populus.</x:v>
      </x:c>
      <x:c r="M477" s="215" t="str">
        <x:v>Use only within the salicoid route and pair with seed hairs.</x:v>
      </x:c>
      <x:c r="N477" s="215" t="str">
        <x:v>Highly useful in Hays riparian material.</x:v>
      </x:c>
      <x:c r="O477" s="215" t="str">
        <x:v>Low</x:v>
      </x:c>
      <x:c r="P477" s="215" t="str">
        <x:v>No</x:v>
      </x:c>
      <x:c r="Q477" s="215" t="str"/>
      <x:c r="R477" s="215" t="str">
        <x:v>SAL-LK01; SAL-LK02</x:v>
      </x:c>
      <x:c r="S477" s="215" t="str">
        <x:v>APWEB-SALI; FNA-SALI; POWO-SALI; LBJ-HAYS</x:v>
      </x:c>
      <x:c r="T477" s="215" t="str">
        <x:v>https://www.mobot.org/MOBOT/research/APweb/orders/malpighialesweb.htm</x:v>
      </x:c>
      <x:c r="U477" s="215" t="str">
        <x:v>https://floranorthamerica.org/Salicaceae</x:v>
      </x:c>
      <x:c r="V477" s="215" t="str">
        <x:v>https://powo.science.kew.org/taxon/urn:lsid:ipni.org:names:30002644-2/general-information</x:v>
      </x:c>
      <x:c r="W477" s="215" t="str">
        <x:v>https://www.mobot.org/MOBOT/research/APweb/orders/malpighialesweb.htm
https://floranorthamerica.org/Salicaceae
https://powo.science.kew.org/taxon/urn:lsid:ipni.org:names:30002644-2/general-information
https://www.wildflower.org/collections/collection.php?collection=hays</x:v>
      </x:c>
      <x:c r="X477" s="215" t="str">
        <x:v>No — retain qualifiers and exceptions</x:v>
      </x:c>
      <x:c r="Y477" s="215" t="str">
        <x:v>Yes</x:v>
      </x:c>
      <x:c r="Z477" s="215" t="str">
        <x:v>Source-backed draft</x:v>
      </x:c>
      <x:c r="AA477" s="215" t="str">
        <x:v>Local subgroup / route</x:v>
      </x:c>
      <x:c r="AB477" s="215" t="str">
        <x:v>Positive diagnostic</x:v>
      </x:c>
      <x:c r="AC477" s="215" t="str">
        <x:v>High</x:v>
      </x:c>
      <x:c r="AD477" s="215" t="str">
        <x:v>Hand lens / macro</x:v>
      </x:c>
      <x:c r="AE477" s="215" t="str">
        <x:v>Low</x:v>
      </x:c>
      <x:c r="AF477" s="215" t="str">
        <x:v>Field-ready draft</x:v>
      </x:c>
      <x:c r="AG477" s="215" t="str">
        <x:v>2 — Field-photo priority</x:v>
      </x:c>
      <x:c r="AH477" s="215" t="str">
        <x:v>Current master inventory</x:v>
      </x:c>
    </x:row>
    <x:row r="478" ht="42" customHeight="1">
      <x:c r="A478" s="215" t="str">
        <x:v>Salicaceae</x:v>
      </x:c>
      <x:c r="B478" s="215" t="str">
        <x:v>SAL-SEEDS</x:v>
      </x:c>
      <x:c r="C478" s="215" t="str">
        <x:v>Local salicoid route</x:v>
      </x:c>
      <x:c r="D478" s="215" t="str">
        <x:v>Seed</x:v>
      </x:c>
      <x:c r="E478" s="215" t="str">
        <x:v>Seeds numerous and tufted with long silky hairs</x:v>
      </x:c>
      <x:c r="F478" s="215" t="str">
        <x:v>Core</x:v>
      </x:c>
      <x:c r="G478" s="215" t="str">
        <x:v>5</x:v>
      </x:c>
      <x:c r="H478" s="215" t="str">
        <x:v>High</x:v>
      </x:c>
      <x:c r="I478" s="215" t="str">
        <x:v>Naked eye</x:v>
      </x:c>
      <x:c r="J478" s="215" t="str">
        <x:v>Mature dehiscing fruit</x:v>
      </x:c>
      <x:c r="K478" s="215" t="str">
        <x:v>Released seeds form cottony masses that aid wind dispersal.</x:v>
      </x:c>
      <x:c r="L478" s="215" t="str">
        <x:v>Seed hairs are visible only briefly and are absent from many broad-family lineages.</x:v>
      </x:c>
      <x:c r="M478" s="215" t="str">
        <x:v>A strong seasonal confirmation for willow and cottonwood relatives.</x:v>
      </x:c>
      <x:c r="N478" s="215" t="str">
        <x:v>Conspicuous along Hays waterways during seed release.</x:v>
      </x:c>
      <x:c r="O478" s="215" t="str">
        <x:v>Low</x:v>
      </x:c>
      <x:c r="P478" s="215" t="str">
        <x:v>No</x:v>
      </x:c>
      <x:c r="Q478" s="215" t="str"/>
      <x:c r="R478" s="215" t="str">
        <x:v>SAL-LK01; SAL-LK02</x:v>
      </x:c>
      <x:c r="S478" s="215" t="str">
        <x:v>APWEB-SALI; FNA-SALI; POWO-SALI; LBJ-HAYS</x:v>
      </x:c>
      <x:c r="T478" s="215" t="str">
        <x:v>https://www.mobot.org/MOBOT/research/APweb/orders/malpighialesweb.htm</x:v>
      </x:c>
      <x:c r="U478" s="215" t="str">
        <x:v>https://floranorthamerica.org/Salicaceae</x:v>
      </x:c>
      <x:c r="V478" s="215" t="str">
        <x:v>https://powo.science.kew.org/taxon/urn:lsid:ipni.org:names:30002644-2/general-information</x:v>
      </x:c>
      <x:c r="W478" s="215" t="str">
        <x:v>https://www.mobot.org/MOBOT/research/APweb/orders/malpighialesweb.htm
https://floranorthamerica.org/Salicaceae
https://powo.science.kew.org/taxon/urn:lsid:ipni.org:names:30002644-2/general-information
https://www.wildflower.org/collections/collection.php?collection=hays</x:v>
      </x:c>
      <x:c r="X478" s="215" t="str">
        <x:v>No — retain qualifiers and exceptions</x:v>
      </x:c>
      <x:c r="Y478" s="215" t="str">
        <x:v>Yes</x:v>
      </x:c>
      <x:c r="Z478" s="215" t="str">
        <x:v>Source-backed draft</x:v>
      </x:c>
      <x:c r="AA478" s="215" t="str">
        <x:v>Local subgroup / route</x:v>
      </x:c>
      <x:c r="AB478" s="215" t="str">
        <x:v>Positive diagnostic</x:v>
      </x:c>
      <x:c r="AC478" s="215" t="str">
        <x:v>High</x:v>
      </x:c>
      <x:c r="AD478" s="215" t="str">
        <x:v>Naked eye / field</x:v>
      </x:c>
      <x:c r="AE478" s="215" t="str">
        <x:v>Low</x:v>
      </x:c>
      <x:c r="AF478" s="215" t="str">
        <x:v>Field-ready draft</x:v>
      </x:c>
      <x:c r="AG478" s="215" t="str">
        <x:v>2 — Field-photo priority</x:v>
      </x:c>
      <x:c r="AH478" s="215" t="str">
        <x:v>Current master inventory</x:v>
      </x:c>
    </x:row>
    <x:row r="479" ht="42" customHeight="1">
      <x:c r="A479" s="215" t="str">
        <x:v>Salicaceae</x:v>
      </x:c>
      <x:c r="B479" s="215" t="str">
        <x:v>SAL-TAXON</x:v>
      </x:c>
      <x:c r="C479" s="215" t="str">
        <x:v>Taxonomy / source reconciliation</x:v>
      </x:c>
      <x:c r="D479" s="215" t="str">
        <x:v>Taxonomy</x:v>
      </x:c>
      <x:c r="E479" s="215" t="str">
        <x:v>Current broad Salicaceae extends beyond the traditional Salix–Populus concept</x:v>
      </x:c>
      <x:c r="F479" s="215" t="str">
        <x:v>Caution</x:v>
      </x:c>
      <x:c r="G479" s="215" t="str">
        <x:v>0</x:v>
      </x:c>
      <x:c r="H479" s="215" t="str">
        <x:v>High</x:v>
      </x:c>
      <x:c r="I479" s="215" t="str">
        <x:v>Not field-visible</x:v>
      </x:c>
      <x:c r="J479" s="215" t="str">
        <x:v>Any material</x:v>
      </x:c>
      <x:c r="K479" s="215" t="str">
        <x:v>Modern Salicaceae includes former Flacourtiaceae lineages with very different flowers and fruits.</x:v>
      </x:c>
      <x:c r="L479" s="215" t="str">
        <x:v>FNA and many field keys emphasize salicoid genera, so those traits must not be labeled universal for broad Salicaceae.</x:v>
      </x:c>
      <x:c r="M479" s="215" t="str">
        <x:v>Keep all local willow/cottonwood characters explicitly scoped and audit any Hays genera outside Salix/Populus.</x:v>
      </x:c>
      <x:c r="N479" s="215" t="str">
        <x:v>The carried Hays need is strongly salicoid, but the authoritative county inventory still requires genus reconciliation.</x:v>
      </x:c>
      <x:c r="O479" s="215" t="str">
        <x:v>Medium</x:v>
      </x:c>
      <x:c r="P479" s="215" t="str">
        <x:v>Yes</x:v>
      </x:c>
      <x:c r="Q479" s="215" t="str">
        <x:v>Broad POWO Salicaceae and practical salicoid treatments need a later local-genus reconciliation pass.</x:v>
      </x:c>
      <x:c r="R479" s="215" t="str">
        <x:v>SAL-LK01; SAL-LK02</x:v>
      </x:c>
      <x:c r="S479" s="215" t="str">
        <x:v>APWEB-SALI; FNA-SALI; POWO-SALI; LBJ-HAYS</x:v>
      </x:c>
      <x:c r="T479" s="215" t="str">
        <x:v>https://www.mobot.org/MOBOT/research/APweb/orders/malpighialesweb.htm</x:v>
      </x:c>
      <x:c r="U479" s="215" t="str">
        <x:v>https://floranorthamerica.org/Salicaceae</x:v>
      </x:c>
      <x:c r="V479" s="215" t="str">
        <x:v>https://powo.science.kew.org/taxon/urn:lsid:ipni.org:names:30002644-2/general-information</x:v>
      </x:c>
      <x:c r="W479" s="215" t="str">
        <x:v>https://www.mobot.org/MOBOT/research/APweb/orders/malpighialesweb.htm
https://floranorthamerica.org/Salicaceae
https://powo.science.kew.org/taxon/urn:lsid:ipni.org:names:30002644-2/general-information
https://www.wildflower.org/collections/collection.php?collection=hays</x:v>
      </x:c>
      <x:c r="X479" s="215" t="str">
        <x:v>No — retain qualifiers and exceptions</x:v>
      </x:c>
      <x:c r="Y479" s="215" t="str">
        <x:v>Yes</x:v>
      </x:c>
      <x:c r="Z479" s="215" t="str">
        <x:v>Human review required</x:v>
      </x:c>
      <x:c r="AA479" s="215" t="str">
        <x:v>Taxonomy</x:v>
      </x:c>
      <x:c r="AB479" s="215" t="str">
        <x:v>Caution / negative rule</x:v>
      </x:c>
      <x:c r="AC479" s="215" t="str">
        <x:v>High</x:v>
      </x:c>
      <x:c r="AD479" s="215" t="str">
        <x:v>Reference / method</x:v>
      </x:c>
      <x:c r="AE479" s="215" t="str">
        <x:v>Moderate</x:v>
      </x:c>
      <x:c r="AF479" s="215" t="str">
        <x:v>Use only after review</x:v>
      </x:c>
      <x:c r="AG479" s="215" t="str">
        <x:v>1 — Human review now</x:v>
      </x:c>
      <x:c r="AH479" s="215" t="str">
        <x:v>Current master inventory</x:v>
      </x:c>
    </x:row>
    <x:row r="480" ht="42" customHeight="1">
      <x:c r="A480" s="215" t="str">
        <x:v>Salicaceae</x:v>
      </x:c>
      <x:c r="B480" s="215" t="str">
        <x:v>SAL-LK01</x:v>
      </x:c>
      <x:c r="C480" s="215" t="str">
        <x:v>Lookalike comparison</x:v>
      </x:c>
      <x:c r="D480" s="215" t="str">
        <x:v>Lookalike</x:v>
      </x:c>
      <x:c r="E480" s="215" t="str">
        <x:v>Versus Betulaceae: cottony seeds in valved capsules favor Salicaceae; nutlets with bracts favor Betulaceae</x:v>
      </x:c>
      <x:c r="F480" s="215" t="str">
        <x:v>Lookalike</x:v>
      </x:c>
      <x:c r="G480" s="215" t="str">
        <x:v>5</x:v>
      </x:c>
      <x:c r="H480" s="215" t="str">
        <x:v>High</x:v>
      </x:c>
      <x:c r="I480" s="215" t="str">
        <x:v>Naked eye or hand lens</x:v>
      </x:c>
      <x:c r="J480" s="215" t="str">
        <x:v>Mature fruit</x:v>
      </x:c>
      <x:c r="K480" s="215" t="str">
        <x:v>Both form catkins on woody plants, but their female fruits and seeds differ sharply.</x:v>
      </x:c>
      <x:c r="L480" s="215" t="str">
        <x:v>Before fruiting, sterile or male material can remain ambiguous.</x:v>
      </x:c>
      <x:c r="M480" s="215" t="str">
        <x:v>Use mature female structures whenever possible.</x:v>
      </x:c>
      <x:c r="N480" s="215" t="str">
        <x:v>Betulaceae has not yet received reciprocal first-pass evidence.</x:v>
      </x:c>
      <x:c r="O480" s="215" t="str">
        <x:v>Medium</x:v>
      </x:c>
      <x:c r="P480" s="215" t="str">
        <x:v>Yes</x:v>
      </x:c>
      <x:c r="Q480" s="215" t="str">
        <x:v>Reciprocal Betulaceae family and catkin-lookalike rows are not yet in the master.</x:v>
      </x:c>
      <x:c r="R480" s="215" t="str">
        <x:v>SAL-CATKINS; SAL-FRUIT; SAL-SEEDS</x:v>
      </x:c>
      <x:c r="S480" s="215" t="str">
        <x:v>APWEB-SALI; FNA-SALI; POWO-SALI; LBJ-HAYS</x:v>
      </x:c>
      <x:c r="T480" s="215" t="str">
        <x:v>https://www.mobot.org/MOBOT/research/APweb/orders/malpighialesweb.htm</x:v>
      </x:c>
      <x:c r="U480" s="215" t="str">
        <x:v>https://floranorthamerica.org/Salicaceae</x:v>
      </x:c>
      <x:c r="V480" s="215" t="str">
        <x:v>https://powo.science.kew.org/taxon/urn:lsid:ipni.org:names:30002644-2/general-information</x:v>
      </x:c>
      <x:c r="W480" s="215" t="str">
        <x:v>https://www.mobot.org/MOBOT/research/APweb/orders/malpighialesweb.htm
https://floranorthamerica.org/Salicaceae
https://powo.science.kew.org/taxon/urn:lsid:ipni.org:names:30002644-2/general-information
https://www.wildflower.org/collections/collection.php?collection=hays</x:v>
      </x:c>
      <x:c r="X480" s="215" t="str">
        <x:v>No — retain qualifiers and exceptions</x:v>
      </x:c>
      <x:c r="Y480" s="215" t="str">
        <x:v>Yes</x:v>
      </x:c>
      <x:c r="Z480" s="215" t="str">
        <x:v>Human review required</x:v>
      </x:c>
      <x:c r="AA480" s="215" t="str">
        <x:v>Lookalike comparison</x:v>
      </x:c>
      <x:c r="AB480" s="215" t="str">
        <x:v>Contrast / lookalike</x:v>
      </x:c>
      <x:c r="AC480" s="215" t="str">
        <x:v>High</x:v>
      </x:c>
      <x:c r="AD480" s="215" t="str">
        <x:v>Hand lens / macro</x:v>
      </x:c>
      <x:c r="AE480" s="215" t="str">
        <x:v>Moderate</x:v>
      </x:c>
      <x:c r="AF480" s="215" t="str">
        <x:v>Use only after review</x:v>
      </x:c>
      <x:c r="AG480" s="215" t="str">
        <x:v>1 — Human review now</x:v>
      </x:c>
      <x:c r="AH480" s="215" t="str">
        <x:v>Current master inventory</x:v>
      </x:c>
    </x:row>
    <x:row r="481" ht="42" customHeight="1">
      <x:c r="A481" s="215" t="str">
        <x:v>Salicaceae</x:v>
      </x:c>
      <x:c r="B481" s="215" t="str">
        <x:v>SAL-LK02</x:v>
      </x:c>
      <x:c r="C481" s="215" t="str">
        <x:v>Lookalike comparison</x:v>
      </x:c>
      <x:c r="D481" s="215" t="str">
        <x:v>Lookalike</x:v>
      </x:c>
      <x:c r="E481" s="215" t="str">
        <x:v>Versus Fagaceae: valved capsules with cottony seeds favor Salicaceae; one-seeded nuts in cups favor Fagaceae</x:v>
      </x:c>
      <x:c r="F481" s="215" t="str">
        <x:v>Lookalike</x:v>
      </x:c>
      <x:c r="G481" s="215" t="str">
        <x:v>5</x:v>
      </x:c>
      <x:c r="H481" s="215" t="str">
        <x:v>High</x:v>
      </x:c>
      <x:c r="I481" s="215" t="str">
        <x:v>Naked eye</x:v>
      </x:c>
      <x:c r="J481" s="215" t="str">
        <x:v>Mature fruit</x:v>
      </x:c>
      <x:c r="K481" s="215" t="str">
        <x:v>Both can be wind-pollinated woody plants, but mature fruits are unmistakably different.</x:v>
      </x:c>
      <x:c r="L481" s="215" t="str">
        <x:v>This comparison is less useful before fruiting.</x:v>
      </x:c>
      <x:c r="M481" s="215" t="str">
        <x:v>Use fruit first and leaf or bud characters second.</x:v>
      </x:c>
      <x:c r="N481" s="215" t="str">
        <x:v>Fagaceae already has first-pass coverage.</x:v>
      </x:c>
      <x:c r="O481" s="215" t="str">
        <x:v>Low</x:v>
      </x:c>
      <x:c r="P481" s="215" t="str">
        <x:v>No</x:v>
      </x:c>
      <x:c r="Q481" s="215" t="str"/>
      <x:c r="R481" s="215" t="str">
        <x:v>SAL-FRUIT; SAL-SEEDS</x:v>
      </x:c>
      <x:c r="S481" s="215" t="str">
        <x:v>APWEB-SALI; FNA-SALI; POWO-SALI; LBJ-HAYS</x:v>
      </x:c>
      <x:c r="T481" s="215" t="str">
        <x:v>https://www.mobot.org/MOBOT/research/APweb/orders/malpighialesweb.htm</x:v>
      </x:c>
      <x:c r="U481" s="215" t="str">
        <x:v>https://floranorthamerica.org/Salicaceae</x:v>
      </x:c>
      <x:c r="V481" s="215" t="str">
        <x:v>https://powo.science.kew.org/taxon/urn:lsid:ipni.org:names:30002644-2/general-information</x:v>
      </x:c>
      <x:c r="W481" s="215" t="str">
        <x:v>https://www.mobot.org/MOBOT/research/APweb/orders/malpighialesweb.htm
https://floranorthamerica.org/Salicaceae
https://powo.science.kew.org/taxon/urn:lsid:ipni.org:names:30002644-2/general-information
https://www.wildflower.org/collections/collection.php?collection=hays</x:v>
      </x:c>
      <x:c r="X481" s="215" t="str">
        <x:v>No — retain qualifiers and exceptions</x:v>
      </x:c>
      <x:c r="Y481" s="215" t="str">
        <x:v>Yes</x:v>
      </x:c>
      <x:c r="Z481" s="215" t="str">
        <x:v>Source-backed draft</x:v>
      </x:c>
      <x:c r="AA481" s="215" t="str">
        <x:v>Lookalike comparison</x:v>
      </x:c>
      <x:c r="AB481" s="215" t="str">
        <x:v>Contrast / lookalike</x:v>
      </x:c>
      <x:c r="AC481" s="215" t="str">
        <x:v>High</x:v>
      </x:c>
      <x:c r="AD481" s="215" t="str">
        <x:v>Naked eye / field</x:v>
      </x:c>
      <x:c r="AE481" s="215" t="str">
        <x:v>Low</x:v>
      </x:c>
      <x:c r="AF481" s="215" t="str">
        <x:v>Field-ready draft</x:v>
      </x:c>
      <x:c r="AG481" s="215" t="str">
        <x:v>2 — Field-photo priority</x:v>
      </x:c>
      <x:c r="AH481" s="215" t="str">
        <x:v>Current master inventory</x:v>
      </x:c>
    </x:row>
    <x:row r="482" ht="42" customHeight="1">
      <x:c r="A482" s="215" t="str">
        <x:v>Betulaceae</x:v>
      </x:c>
      <x:c r="B482" s="215" t="str">
        <x:v>BET-HABIT</x:v>
      </x:c>
      <x:c r="C482" s="215" t="str">
        <x:v>Family character</x:v>
      </x:c>
      <x:c r="D482" s="215" t="str">
        <x:v>Habit</x:v>
      </x:c>
      <x:c r="E482" s="215" t="str">
        <x:v>Deciduous trees or shrubs</x:v>
      </x:c>
      <x:c r="F482" s="215" t="str">
        <x:v>Strong</x:v>
      </x:c>
      <x:c r="G482" s="215" t="str">
        <x:v>2</x:v>
      </x:c>
      <x:c r="H482" s="215" t="str">
        <x:v>High</x:v>
      </x:c>
      <x:c r="I482" s="215" t="str">
        <x:v>Naked eye or hand lens</x:v>
      </x:c>
      <x:c r="J482" s="215" t="str">
        <x:v>Any leafy material</x:v>
      </x:c>
      <x:c r="K482" s="215" t="str">
        <x:v>Look first for a woody deciduous plant rather than an herbaceous catkin mimic.</x:v>
      </x:c>
      <x:c r="L482" s="215" t="str">
        <x:v>Habit alone is weak and overlaps Salicaceae and Fagaceae.</x:v>
      </x:c>
      <x:c r="M482" s="215" t="str">
        <x:v>Use only as the opening character in a woody reproductive suite.</x:v>
      </x:c>
      <x:c r="N482" s="215" t="str">
        <x:v>Relevant Hays material is chiefly riparian or mesic-woodland catkin-bearing woody plants; county presence remains tied to the carried authoritative inventory.</x:v>
      </x:c>
      <x:c r="O482" s="215" t="str">
        <x:v>Low</x:v>
      </x:c>
      <x:c r="P482" s="215" t="str">
        <x:v>No</x:v>
      </x:c>
      <x:c r="Q482" s="215" t="str"/>
      <x:c r="R482" s="215" t="str"/>
      <x:c r="S482" s="215" t="str">
        <x:v>APWEB-BETU; FNA-BETU; POWO-BETU; LBJ-HAYS</x:v>
      </x:c>
      <x:c r="T482" s="215" t="str">
        <x:v>https://www.mobot.org/MOBOT/research/APweb/orders/fagalesweb.htm</x:v>
      </x:c>
      <x:c r="U482" s="215" t="str">
        <x:v>https://floranorthamerica.org/Betulaceae</x:v>
      </x:c>
      <x:c r="V482" s="215" t="str">
        <x:v>https://powo.science.kew.org/taxon/urn:lsid:ipni.org:names:77126723-1/general-information</x:v>
      </x:c>
      <x:c r="W482" s="215" t="str">
        <x:v>https://www.mobot.org/MOBOT/research/APweb/orders/fagalesweb.htm
https://floranorthamerica.org/Betulaceae
https://powo.science.kew.org/taxon/urn:lsid:ipni.org:names:77126723-1/general-information
https://www.wildflower.org/collections/collection.php?collection=hays</x:v>
      </x:c>
      <x:c r="X482" s="215" t="str">
        <x:v>No — retain qualifiers and exceptions</x:v>
      </x:c>
      <x:c r="Y482" s="215" t="str">
        <x:v>Yes</x:v>
      </x:c>
      <x:c r="Z482" s="215" t="str">
        <x:v>Source-backed draft</x:v>
      </x:c>
      <x:c r="AA482" s="215" t="str">
        <x:v>Family pattern</x:v>
      </x:c>
      <x:c r="AB482" s="215" t="str">
        <x:v>Positive diagnostic</x:v>
      </x:c>
      <x:c r="AC482" s="215" t="str">
        <x:v>High</x:v>
      </x:c>
      <x:c r="AD482" s="215" t="str">
        <x:v>Hand lens / macro</x:v>
      </x:c>
      <x:c r="AE482" s="215" t="str">
        <x:v>Low</x:v>
      </x:c>
      <x:c r="AF482" s="215" t="str">
        <x:v>Field-ready draft</x:v>
      </x:c>
      <x:c r="AG482" s="215" t="str">
        <x:v>4 — Context / caution</x:v>
      </x:c>
      <x:c r="AH482" s="215" t="str">
        <x:v>Reference expansion</x:v>
      </x:c>
    </x:row>
    <x:row r="483" ht="42" customHeight="1">
      <x:c r="A483" s="215" t="str">
        <x:v>Betulaceae</x:v>
      </x:c>
      <x:c r="B483" s="215" t="str">
        <x:v>BET-BUDS</x:v>
      </x:c>
      <x:c r="C483" s="215" t="str">
        <x:v>Family character</x:v>
      </x:c>
      <x:c r="D483" s="215" t="str">
        <x:v>Stems / buds</x:v>
      </x:c>
      <x:c r="E483" s="215" t="str">
        <x:v>Winter buds usually scaly; terminal bud absent in many lineages</x:v>
      </x:c>
      <x:c r="F483" s="215" t="str">
        <x:v>Supporting</x:v>
      </x:c>
      <x:c r="G483" s="215" t="str">
        <x:v>2</x:v>
      </x:c>
      <x:c r="H483" s="215" t="str">
        <x:v>High</x:v>
      </x:c>
      <x:c r="I483" s="215" t="str">
        <x:v>Hand lens</x:v>
      </x:c>
      <x:c r="J483" s="215" t="str">
        <x:v>Dormant twigs</x:v>
      </x:c>
      <x:c r="K483" s="215" t="str">
        <x:v>Bud form can support family recognition outside the flowering season.</x:v>
      </x:c>
      <x:c r="L483" s="215" t="str">
        <x:v>Bud characters vary among genera and require intact twigs.</x:v>
      </x:c>
      <x:c r="M483" s="215" t="str">
        <x:v>Combine twig buds with alternate leaves and reproductive structures.</x:v>
      </x:c>
      <x:c r="N483" s="215" t="str">
        <x:v>Relevant Hays material is chiefly riparian or mesic-woodland catkin-bearing woody plants; county presence remains tied to the carried authoritative inventory.</x:v>
      </x:c>
      <x:c r="O483" s="215" t="str">
        <x:v>Low</x:v>
      </x:c>
      <x:c r="P483" s="215" t="str">
        <x:v>No</x:v>
      </x:c>
      <x:c r="Q483" s="215" t="str"/>
      <x:c r="R483" s="215" t="str"/>
      <x:c r="S483" s="215" t="str">
        <x:v>APWEB-BETU; FNA-BETU; POWO-BETU; LBJ-HAYS</x:v>
      </x:c>
      <x:c r="T483" s="215" t="str">
        <x:v>https://www.mobot.org/MOBOT/research/APweb/orders/fagalesweb.htm</x:v>
      </x:c>
      <x:c r="U483" s="215" t="str">
        <x:v>https://floranorthamerica.org/Betulaceae</x:v>
      </x:c>
      <x:c r="V483" s="215" t="str">
        <x:v>https://powo.science.kew.org/taxon/urn:lsid:ipni.org:names:77126723-1/general-information</x:v>
      </x:c>
      <x:c r="W483" s="215" t="str">
        <x:v>https://www.mobot.org/MOBOT/research/APweb/orders/fagalesweb.htm
https://floranorthamerica.org/Betulaceae
https://powo.science.kew.org/taxon/urn:lsid:ipni.org:names:77126723-1/general-information
https://www.wildflower.org/collections/collection.php?collection=hays</x:v>
      </x:c>
      <x:c r="X483" s="215" t="str">
        <x:v>No — retain qualifiers and exceptions</x:v>
      </x:c>
      <x:c r="Y483" s="215" t="str">
        <x:v>Yes</x:v>
      </x:c>
      <x:c r="Z483" s="215" t="str">
        <x:v>Source-backed draft</x:v>
      </x:c>
      <x:c r="AA483" s="215" t="str">
        <x:v>Family pattern</x:v>
      </x:c>
      <x:c r="AB483" s="215" t="str">
        <x:v>Supporting / route</x:v>
      </x:c>
      <x:c r="AC483" s="215" t="str">
        <x:v>High</x:v>
      </x:c>
      <x:c r="AD483" s="215" t="str">
        <x:v>Hand lens / macro</x:v>
      </x:c>
      <x:c r="AE483" s="215" t="str">
        <x:v>Low</x:v>
      </x:c>
      <x:c r="AF483" s="215" t="str">
        <x:v>Field-ready draft</x:v>
      </x:c>
      <x:c r="AG483" s="215" t="str">
        <x:v>4 — Context / caution</x:v>
      </x:c>
      <x:c r="AH483" s="215" t="str">
        <x:v>Reference expansion</x:v>
      </x:c>
    </x:row>
    <x:row r="484" ht="42" customHeight="1">
      <x:c r="A484" s="215" t="str">
        <x:v>Betulaceae</x:v>
      </x:c>
      <x:c r="B484" s="215" t="str">
        <x:v>BET-LEAVES</x:v>
      </x:c>
      <x:c r="C484" s="215" t="str">
        <x:v>Family character</x:v>
      </x:c>
      <x:c r="D484" s="215" t="str">
        <x:v>Leaves / stipules</x:v>
      </x:c>
      <x:c r="E484" s="215" t="str">
        <x:v>Leaves alternate, simple, usually toothed; stipules deciduous</x:v>
      </x:c>
      <x:c r="F484" s="215" t="str">
        <x:v>Strong</x:v>
      </x:c>
      <x:c r="G484" s="215" t="str">
        <x:v>4</x:v>
      </x:c>
      <x:c r="H484" s="215" t="str">
        <x:v>High</x:v>
      </x:c>
      <x:c r="I484" s="215" t="str">
        <x:v>Naked eye or hand lens</x:v>
      </x:c>
      <x:c r="J484" s="215" t="str">
        <x:v>Leafy shoots</x:v>
      </x:c>
      <x:c r="K484" s="215" t="str">
        <x:v>A toothed simple leaf on an alternate twig is common in the family.</x:v>
      </x:c>
      <x:c r="L484" s="215" t="str">
        <x:v>Margins can be less toothed, and fallen stipules may leave only scars.</x:v>
      </x:c>
      <x:c r="M484" s="215" t="str">
        <x:v>Pair leaf arrangement with catkins or mature fruit.</x:v>
      </x:c>
      <x:c r="N484" s="215" t="str">
        <x:v>Relevant Hays material is chiefly riparian or mesic-woodland catkin-bearing woody plants; county presence remains tied to the carried authoritative inventory.</x:v>
      </x:c>
      <x:c r="O484" s="215" t="str">
        <x:v>Low</x:v>
      </x:c>
      <x:c r="P484" s="215" t="str">
        <x:v>No</x:v>
      </x:c>
      <x:c r="Q484" s="215" t="str"/>
      <x:c r="R484" s="215" t="str">
        <x:v>BET-LK01; BET-LK02</x:v>
      </x:c>
      <x:c r="S484" s="215" t="str">
        <x:v>APWEB-BETU; FNA-BETU; POWO-BETU; LBJ-HAYS</x:v>
      </x:c>
      <x:c r="T484" s="215" t="str">
        <x:v>https://www.mobot.org/MOBOT/research/APweb/orders/fagalesweb.htm</x:v>
      </x:c>
      <x:c r="U484" s="215" t="str">
        <x:v>https://floranorthamerica.org/Betulaceae</x:v>
      </x:c>
      <x:c r="V484" s="215" t="str">
        <x:v>https://powo.science.kew.org/taxon/urn:lsid:ipni.org:names:77126723-1/general-information</x:v>
      </x:c>
      <x:c r="W484" s="215" t="str">
        <x:v>https://www.mobot.org/MOBOT/research/APweb/orders/fagalesweb.htm
https://floranorthamerica.org/Betulaceae
https://powo.science.kew.org/taxon/urn:lsid:ipni.org:names:77126723-1/general-information
https://www.wildflower.org/collections/collection.php?collection=hays</x:v>
      </x:c>
      <x:c r="X484" s="215" t="str">
        <x:v>No — retain qualifiers and exceptions</x:v>
      </x:c>
      <x:c r="Y484" s="215" t="str">
        <x:v>Yes</x:v>
      </x:c>
      <x:c r="Z484" s="215" t="str">
        <x:v>Source-backed draft</x:v>
      </x:c>
      <x:c r="AA484" s="215" t="str">
        <x:v>Family pattern</x:v>
      </x:c>
      <x:c r="AB484" s="215" t="str">
        <x:v>Positive diagnostic</x:v>
      </x:c>
      <x:c r="AC484" s="215" t="str">
        <x:v>High</x:v>
      </x:c>
      <x:c r="AD484" s="215" t="str">
        <x:v>Hand lens / macro</x:v>
      </x:c>
      <x:c r="AE484" s="215" t="str">
        <x:v>Low</x:v>
      </x:c>
      <x:c r="AF484" s="215" t="str">
        <x:v>Field-ready draft</x:v>
      </x:c>
      <x:c r="AG484" s="215" t="str">
        <x:v>2 — Field-photo priority</x:v>
      </x:c>
      <x:c r="AH484" s="215" t="str">
        <x:v>Reference expansion</x:v>
      </x:c>
    </x:row>
    <x:row r="485" ht="42" customHeight="1">
      <x:c r="A485" s="215" t="str">
        <x:v>Betulaceae</x:v>
      </x:c>
      <x:c r="B485" s="215" t="str">
        <x:v>BET-CATKINS</x:v>
      </x:c>
      <x:c r="C485" s="215" t="str">
        <x:v>Family character</x:v>
      </x:c>
      <x:c r="D485" s="215" t="str">
        <x:v>Inflorescence</x:v>
      </x:c>
      <x:c r="E485" s="215" t="str">
        <x:v>Flowers unisexual; staminate flowers in pendulous catkins and pistillate flowers in catkins or compact clusters</x:v>
      </x:c>
      <x:c r="F485" s="215" t="str">
        <x:v>Strong</x:v>
      </x:c>
      <x:c r="G485" s="215" t="str">
        <x:v>5</x:v>
      </x:c>
      <x:c r="H485" s="215" t="str">
        <x:v>High</x:v>
      </x:c>
      <x:c r="I485" s="215" t="str">
        <x:v>Naked eye or hand lens</x:v>
      </x:c>
      <x:c r="J485" s="215" t="str">
        <x:v>Flowering or fruiting material</x:v>
      </x:c>
      <x:c r="K485" s="215" t="str">
        <x:v>Male catkins are obvious, while female structures mature into bracted fruiting clusters.</x:v>
      </x:c>
      <x:c r="L485" s="215" t="str">
        <x:v>Sexes and inflorescence form vary by genus; sterile twigs are not decisive.</x:v>
      </x:c>
      <x:c r="M485" s="215" t="str">
        <x:v>Search for both male and female structures, then confirm fruit type.</x:v>
      </x:c>
      <x:c r="N485" s="215" t="str">
        <x:v>Relevant Hays material is chiefly riparian or mesic-woodland catkin-bearing woody plants; county presence remains tied to the carried authoritative inventory.</x:v>
      </x:c>
      <x:c r="O485" s="215" t="str">
        <x:v>Low</x:v>
      </x:c>
      <x:c r="P485" s="215" t="str">
        <x:v>No</x:v>
      </x:c>
      <x:c r="Q485" s="215" t="str"/>
      <x:c r="R485" s="215" t="str">
        <x:v>BET-LK01; BET-LK02</x:v>
      </x:c>
      <x:c r="S485" s="215" t="str">
        <x:v>APWEB-BETU; FNA-BETU; POWO-BETU; LBJ-HAYS</x:v>
      </x:c>
      <x:c r="T485" s="215" t="str">
        <x:v>https://www.mobot.org/MOBOT/research/APweb/orders/fagalesweb.htm</x:v>
      </x:c>
      <x:c r="U485" s="215" t="str">
        <x:v>https://floranorthamerica.org/Betulaceae</x:v>
      </x:c>
      <x:c r="V485" s="215" t="str">
        <x:v>https://powo.science.kew.org/taxon/urn:lsid:ipni.org:names:77126723-1/general-information</x:v>
      </x:c>
      <x:c r="W485" s="215" t="str">
        <x:v>https://www.mobot.org/MOBOT/research/APweb/orders/fagalesweb.htm
https://floranorthamerica.org/Betulaceae
https://powo.science.kew.org/taxon/urn:lsid:ipni.org:names:77126723-1/general-information
https://www.wildflower.org/collections/collection.php?collection=hays</x:v>
      </x:c>
      <x:c r="X485" s="215" t="str">
        <x:v>No — retain qualifiers and exceptions</x:v>
      </x:c>
      <x:c r="Y485" s="215" t="str">
        <x:v>Yes</x:v>
      </x:c>
      <x:c r="Z485" s="215" t="str">
        <x:v>Source-backed draft</x:v>
      </x:c>
      <x:c r="AA485" s="215" t="str">
        <x:v>Family pattern</x:v>
      </x:c>
      <x:c r="AB485" s="215" t="str">
        <x:v>Positive diagnostic</x:v>
      </x:c>
      <x:c r="AC485" s="215" t="str">
        <x:v>High</x:v>
      </x:c>
      <x:c r="AD485" s="215" t="str">
        <x:v>Hand lens / macro</x:v>
      </x:c>
      <x:c r="AE485" s="215" t="str">
        <x:v>Low</x:v>
      </x:c>
      <x:c r="AF485" s="215" t="str">
        <x:v>Field-ready draft</x:v>
      </x:c>
      <x:c r="AG485" s="215" t="str">
        <x:v>2 — Field-photo priority</x:v>
      </x:c>
      <x:c r="AH485" s="215" t="str">
        <x:v>Reference expansion</x:v>
      </x:c>
    </x:row>
    <x:row r="486" ht="42" customHeight="1">
      <x:c r="A486" s="215" t="str">
        <x:v>Betulaceae</x:v>
      </x:c>
      <x:c r="B486" s="215" t="str">
        <x:v>BET-FLOWER</x:v>
      </x:c>
      <x:c r="C486" s="215" t="str">
        <x:v>Family character</x:v>
      </x:c>
      <x:c r="D486" s="215" t="str">
        <x:v>Flowers</x:v>
      </x:c>
      <x:c r="E486" s="215" t="str">
        <x:v>Flowers small, reduced, unisexual, and wind-pollinated; perianth absent or inconspicuous</x:v>
      </x:c>
      <x:c r="F486" s="215" t="str">
        <x:v>Moderate</x:v>
      </x:c>
      <x:c r="G486" s="215" t="str">
        <x:v>3</x:v>
      </x:c>
      <x:c r="H486" s="215" t="str">
        <x:v>High</x:v>
      </x:c>
      <x:c r="I486" s="215" t="str">
        <x:v>Hand lens</x:v>
      </x:c>
      <x:c r="J486" s="215" t="str">
        <x:v>Fresh catkins</x:v>
      </x:c>
      <x:c r="K486" s="215" t="str">
        <x:v>Do not expect showy petals; the catkin scales and bracts dominate.</x:v>
      </x:c>
      <x:c r="L486" s="215" t="str">
        <x:v>Reduced flowers overlap several wind-pollinated woody families.</x:v>
      </x:c>
      <x:c r="M486" s="215" t="str">
        <x:v>Treat as supporting evidence only after habit and inflorescence.</x:v>
      </x:c>
      <x:c r="N486" s="215" t="str">
        <x:v>Relevant Hays material is chiefly riparian or mesic-woodland catkin-bearing woody plants; county presence remains tied to the carried authoritative inventory.</x:v>
      </x:c>
      <x:c r="O486" s="215" t="str">
        <x:v>Low</x:v>
      </x:c>
      <x:c r="P486" s="215" t="str">
        <x:v>No</x:v>
      </x:c>
      <x:c r="Q486" s="215" t="str"/>
      <x:c r="R486" s="215" t="str"/>
      <x:c r="S486" s="215" t="str">
        <x:v>APWEB-BETU; FNA-BETU; POWO-BETU; LBJ-HAYS</x:v>
      </x:c>
      <x:c r="T486" s="215" t="str">
        <x:v>https://www.mobot.org/MOBOT/research/APweb/orders/fagalesweb.htm</x:v>
      </x:c>
      <x:c r="U486" s="215" t="str">
        <x:v>https://floranorthamerica.org/Betulaceae</x:v>
      </x:c>
      <x:c r="V486" s="215" t="str">
        <x:v>https://powo.science.kew.org/taxon/urn:lsid:ipni.org:names:77126723-1/general-information</x:v>
      </x:c>
      <x:c r="W486" s="215" t="str">
        <x:v>https://www.mobot.org/MOBOT/research/APweb/orders/fagalesweb.htm
https://floranorthamerica.org/Betulaceae
https://powo.science.kew.org/taxon/urn:lsid:ipni.org:names:77126723-1/general-information
https://www.wildflower.org/collections/collection.php?collection=hays</x:v>
      </x:c>
      <x:c r="X486" s="215" t="str">
        <x:v>No — retain qualifiers and exceptions</x:v>
      </x:c>
      <x:c r="Y486" s="215" t="str">
        <x:v>Yes</x:v>
      </x:c>
      <x:c r="Z486" s="215" t="str">
        <x:v>Source-backed draft</x:v>
      </x:c>
      <x:c r="AA486" s="215" t="str">
        <x:v>Family pattern</x:v>
      </x:c>
      <x:c r="AB486" s="215" t="str">
        <x:v>Supporting / route</x:v>
      </x:c>
      <x:c r="AC486" s="215" t="str">
        <x:v>High</x:v>
      </x:c>
      <x:c r="AD486" s="215" t="str">
        <x:v>Hand lens / macro</x:v>
      </x:c>
      <x:c r="AE486" s="215" t="str">
        <x:v>Low</x:v>
      </x:c>
      <x:c r="AF486" s="215" t="str">
        <x:v>Field-ready draft</x:v>
      </x:c>
      <x:c r="AG486" s="215" t="str">
        <x:v>3 — Reference support</x:v>
      </x:c>
      <x:c r="AH486" s="215" t="str">
        <x:v>Reference expansion</x:v>
      </x:c>
    </x:row>
    <x:row r="487" ht="42" customHeight="1">
      <x:c r="A487" s="215" t="str">
        <x:v>Betulaceae</x:v>
      </x:c>
      <x:c r="B487" s="215" t="str">
        <x:v>BET-OVARY</x:v>
      </x:c>
      <x:c r="C487" s="215" t="str">
        <x:v>Family character</x:v>
      </x:c>
      <x:c r="D487" s="215" t="str">
        <x:v>Gynoecium</x:v>
      </x:c>
      <x:c r="E487" s="215" t="str">
        <x:v>Ovary inferior, usually 2-locular, with 2 styles</x:v>
      </x:c>
      <x:c r="F487" s="215" t="str">
        <x:v>Strong</x:v>
      </x:c>
      <x:c r="G487" s="215" t="str">
        <x:v>4</x:v>
      </x:c>
      <x:c r="H487" s="215" t="str">
        <x:v>High</x:v>
      </x:c>
      <x:c r="I487" s="215" t="str">
        <x:v>Hand lens or dissection</x:v>
      </x:c>
      <x:c r="J487" s="215" t="str">
        <x:v>Fresh pistillate flowers</x:v>
      </x:c>
      <x:c r="K487" s="215" t="str">
        <x:v>Two styles on a tiny female flower support Betulaceae.</x:v>
      </x:c>
      <x:c r="L487" s="215" t="str">
        <x:v>Dissection is often required and the mature fruit obscures the ovary.</x:v>
      </x:c>
      <x:c r="M487" s="215" t="str">
        <x:v>Use under magnification when fruit characters are unavailable.</x:v>
      </x:c>
      <x:c r="N487" s="215" t="str">
        <x:v>Relevant Hays material is chiefly riparian or mesic-woodland catkin-bearing woody plants; county presence remains tied to the carried authoritative inventory.</x:v>
      </x:c>
      <x:c r="O487" s="215" t="str">
        <x:v>Low</x:v>
      </x:c>
      <x:c r="P487" s="215" t="str">
        <x:v>No</x:v>
      </x:c>
      <x:c r="Q487" s="215" t="str"/>
      <x:c r="R487" s="215" t="str"/>
      <x:c r="S487" s="215" t="str">
        <x:v>APWEB-BETU; FNA-BETU; POWO-BETU; LBJ-HAYS</x:v>
      </x:c>
      <x:c r="T487" s="215" t="str">
        <x:v>https://www.mobot.org/MOBOT/research/APweb/orders/fagalesweb.htm</x:v>
      </x:c>
      <x:c r="U487" s="215" t="str">
        <x:v>https://floranorthamerica.org/Betulaceae</x:v>
      </x:c>
      <x:c r="V487" s="215" t="str">
        <x:v>https://powo.science.kew.org/taxon/urn:lsid:ipni.org:names:77126723-1/general-information</x:v>
      </x:c>
      <x:c r="W487" s="215" t="str">
        <x:v>https://www.mobot.org/MOBOT/research/APweb/orders/fagalesweb.htm
https://floranorthamerica.org/Betulaceae
https://powo.science.kew.org/taxon/urn:lsid:ipni.org:names:77126723-1/general-information
https://www.wildflower.org/collections/collection.php?collection=hays</x:v>
      </x:c>
      <x:c r="X487" s="215" t="str">
        <x:v>No — retain qualifiers and exceptions</x:v>
      </x:c>
      <x:c r="Y487" s="215" t="str">
        <x:v>Yes</x:v>
      </x:c>
      <x:c r="Z487" s="215" t="str">
        <x:v>Source-backed draft</x:v>
      </x:c>
      <x:c r="AA487" s="215" t="str">
        <x:v>Family pattern</x:v>
      </x:c>
      <x:c r="AB487" s="215" t="str">
        <x:v>Positive diagnostic</x:v>
      </x:c>
      <x:c r="AC487" s="215" t="str">
        <x:v>High</x:v>
      </x:c>
      <x:c r="AD487" s="215" t="str">
        <x:v>Dissection</x:v>
      </x:c>
      <x:c r="AE487" s="215" t="str">
        <x:v>Low</x:v>
      </x:c>
      <x:c r="AF487" s="215" t="str">
        <x:v>Dissection / close study</x:v>
      </x:c>
      <x:c r="AG487" s="215" t="str">
        <x:v>3 — Reference support</x:v>
      </x:c>
      <x:c r="AH487" s="215" t="str">
        <x:v>Reference expansion</x:v>
      </x:c>
    </x:row>
    <x:row r="488" ht="42" customHeight="1">
      <x:c r="A488" s="215" t="str">
        <x:v>Betulaceae</x:v>
      </x:c>
      <x:c r="B488" s="215" t="str">
        <x:v>BET-FRUIT</x:v>
      </x:c>
      <x:c r="C488" s="215" t="str">
        <x:v>Family character</x:v>
      </x:c>
      <x:c r="D488" s="215" t="str">
        <x:v>Fruit</x:v>
      </x:c>
      <x:c r="E488" s="215" t="str">
        <x:v>Fruit a one-seeded nut or nutlet, sometimes winged as a samara</x:v>
      </x:c>
      <x:c r="F488" s="215" t="str">
        <x:v>Strong</x:v>
      </x:c>
      <x:c r="G488" s="215" t="str">
        <x:v>5</x:v>
      </x:c>
      <x:c r="H488" s="215" t="str">
        <x:v>High</x:v>
      </x:c>
      <x:c r="I488" s="215" t="str">
        <x:v>Naked eye or hand lens</x:v>
      </x:c>
      <x:c r="J488" s="215" t="str">
        <x:v>Mature fruit</x:v>
      </x:c>
      <x:c r="K488" s="215" t="str">
        <x:v>Mature female structures hold dry one-seeded fruits, not cottony-seeded capsules.</x:v>
      </x:c>
      <x:c r="L488" s="215" t="str">
        <x:v>Wings and nut size vary markedly by genus.</x:v>
      </x:c>
      <x:c r="M488" s="215" t="str">
        <x:v>This is the best separator from Salicaceae once mature.</x:v>
      </x:c>
      <x:c r="N488" s="215" t="str">
        <x:v>Relevant Hays material is chiefly riparian or mesic-woodland catkin-bearing woody plants; county presence remains tied to the carried authoritative inventory.</x:v>
      </x:c>
      <x:c r="O488" s="215" t="str">
        <x:v>Low</x:v>
      </x:c>
      <x:c r="P488" s="215" t="str">
        <x:v>No</x:v>
      </x:c>
      <x:c r="Q488" s="215" t="str"/>
      <x:c r="R488" s="215" t="str">
        <x:v>BET-LK01; BET-LK02</x:v>
      </x:c>
      <x:c r="S488" s="215" t="str">
        <x:v>APWEB-BETU; FNA-BETU; POWO-BETU; LBJ-HAYS</x:v>
      </x:c>
      <x:c r="T488" s="215" t="str">
        <x:v>https://www.mobot.org/MOBOT/research/APweb/orders/fagalesweb.htm</x:v>
      </x:c>
      <x:c r="U488" s="215" t="str">
        <x:v>https://floranorthamerica.org/Betulaceae</x:v>
      </x:c>
      <x:c r="V488" s="215" t="str">
        <x:v>https://powo.science.kew.org/taxon/urn:lsid:ipni.org:names:77126723-1/general-information</x:v>
      </x:c>
      <x:c r="W488" s="215" t="str">
        <x:v>https://www.mobot.org/MOBOT/research/APweb/orders/fagalesweb.htm
https://floranorthamerica.org/Betulaceae
https://powo.science.kew.org/taxon/urn:lsid:ipni.org:names:77126723-1/general-information
https://www.wildflower.org/collections/collection.php?collection=hays</x:v>
      </x:c>
      <x:c r="X488" s="215" t="str">
        <x:v>No — retain qualifiers and exceptions</x:v>
      </x:c>
      <x:c r="Y488" s="215" t="str">
        <x:v>Yes</x:v>
      </x:c>
      <x:c r="Z488" s="215" t="str">
        <x:v>Source-backed draft</x:v>
      </x:c>
      <x:c r="AA488" s="215" t="str">
        <x:v>Family pattern</x:v>
      </x:c>
      <x:c r="AB488" s="215" t="str">
        <x:v>Positive diagnostic</x:v>
      </x:c>
      <x:c r="AC488" s="215" t="str">
        <x:v>High</x:v>
      </x:c>
      <x:c r="AD488" s="215" t="str">
        <x:v>Hand lens / macro</x:v>
      </x:c>
      <x:c r="AE488" s="215" t="str">
        <x:v>Low</x:v>
      </x:c>
      <x:c r="AF488" s="215" t="str">
        <x:v>Field-ready draft</x:v>
      </x:c>
      <x:c r="AG488" s="215" t="str">
        <x:v>2 — Field-photo priority</x:v>
      </x:c>
      <x:c r="AH488" s="215" t="str">
        <x:v>Reference expansion</x:v>
      </x:c>
    </x:row>
    <x:row r="489" ht="42" customHeight="1">
      <x:c r="A489" s="215" t="str">
        <x:v>Betulaceae</x:v>
      </x:c>
      <x:c r="B489" s="215" t="str">
        <x:v>BET-BRACTS</x:v>
      </x:c>
      <x:c r="C489" s="215" t="str">
        <x:v>Family character</x:v>
      </x:c>
      <x:c r="D489" s="215" t="str">
        <x:v>Fruit / bracts</x:v>
      </x:c>
      <x:c r="E489" s="215" t="str">
        <x:v>Nuts or nutlets subtended by, enclosed in, or associated with leafy or woody bracts or husks</x:v>
      </x:c>
      <x:c r="F489" s="215" t="str">
        <x:v>Strong</x:v>
      </x:c>
      <x:c r="G489" s="215" t="str">
        <x:v>5</x:v>
      </x:c>
      <x:c r="H489" s="215" t="str">
        <x:v>High</x:v>
      </x:c>
      <x:c r="I489" s="215" t="str">
        <x:v>Naked eye or hand lens</x:v>
      </x:c>
      <x:c r="J489" s="215" t="str">
        <x:v>Mature fruit</x:v>
      </x:c>
      <x:c r="K489" s="215" t="str">
        <x:v>The bracts around each dry fruit are often more diagnostic than the tiny nut.</x:v>
      </x:c>
      <x:c r="L489" s="215" t="str">
        <x:v>Bract shape differs greatly among birch, alder, hornbeam, hazel, and hop-hornbeam lineages.</x:v>
      </x:c>
      <x:c r="M489" s="215" t="str">
        <x:v>Match the bract-and-nut construction before using leaf shape.</x:v>
      </x:c>
      <x:c r="N489" s="215" t="str">
        <x:v>Relevant Hays material is chiefly riparian or mesic-woodland catkin-bearing woody plants; county presence remains tied to the carried authoritative inventory.</x:v>
      </x:c>
      <x:c r="O489" s="215" t="str">
        <x:v>Low</x:v>
      </x:c>
      <x:c r="P489" s="215" t="str">
        <x:v>No</x:v>
      </x:c>
      <x:c r="Q489" s="215" t="str"/>
      <x:c r="R489" s="215" t="str"/>
      <x:c r="S489" s="215" t="str">
        <x:v>APWEB-BETU; FNA-BETU; POWO-BETU; LBJ-HAYS</x:v>
      </x:c>
      <x:c r="T489" s="215" t="str">
        <x:v>https://www.mobot.org/MOBOT/research/APweb/orders/fagalesweb.htm</x:v>
      </x:c>
      <x:c r="U489" s="215" t="str">
        <x:v>https://floranorthamerica.org/Betulaceae</x:v>
      </x:c>
      <x:c r="V489" s="215" t="str">
        <x:v>https://powo.science.kew.org/taxon/urn:lsid:ipni.org:names:77126723-1/general-information</x:v>
      </x:c>
      <x:c r="W489" s="215" t="str">
        <x:v>https://www.mobot.org/MOBOT/research/APweb/orders/fagalesweb.htm
https://floranorthamerica.org/Betulaceae
https://powo.science.kew.org/taxon/urn:lsid:ipni.org:names:77126723-1/general-information
https://www.wildflower.org/collections/collection.php?collection=hays</x:v>
      </x:c>
      <x:c r="X489" s="215" t="str">
        <x:v>No — retain qualifiers and exceptions</x:v>
      </x:c>
      <x:c r="Y489" s="215" t="str">
        <x:v>Yes</x:v>
      </x:c>
      <x:c r="Z489" s="215" t="str">
        <x:v>Source-backed draft</x:v>
      </x:c>
      <x:c r="AA489" s="215" t="str">
        <x:v>Family pattern</x:v>
      </x:c>
      <x:c r="AB489" s="215" t="str">
        <x:v>Positive diagnostic</x:v>
      </x:c>
      <x:c r="AC489" s="215" t="str">
        <x:v>High</x:v>
      </x:c>
      <x:c r="AD489" s="215" t="str">
        <x:v>Hand lens / macro</x:v>
      </x:c>
      <x:c r="AE489" s="215" t="str">
        <x:v>Low</x:v>
      </x:c>
      <x:c r="AF489" s="215" t="str">
        <x:v>Field-ready draft</x:v>
      </x:c>
      <x:c r="AG489" s="215" t="str">
        <x:v>2 — Field-photo priority</x:v>
      </x:c>
      <x:c r="AH489" s="215" t="str">
        <x:v>Reference expansion</x:v>
      </x:c>
    </x:row>
    <x:row r="490" ht="42" customHeight="1">
      <x:c r="A490" s="215" t="str">
        <x:v>Betulaceae</x:v>
      </x:c>
      <x:c r="B490" s="215" t="str">
        <x:v>BET-POLLEN</x:v>
      </x:c>
      <x:c r="C490" s="215" t="str">
        <x:v>Family character</x:v>
      </x:c>
      <x:c r="D490" s="215" t="str">
        <x:v>Pollination</x:v>
      </x:c>
      <x:c r="E490" s="215" t="str">
        <x:v>Wind-pollinated syndrome with abundant pollen from exposed catkins</x:v>
      </x:c>
      <x:c r="F490" s="215" t="str">
        <x:v>Supporting</x:v>
      </x:c>
      <x:c r="G490" s="215" t="str">
        <x:v>1</x:v>
      </x:c>
      <x:c r="H490" s="215" t="str">
        <x:v>High</x:v>
      </x:c>
      <x:c r="I490" s="215" t="str">
        <x:v>Naked eye or hand lens</x:v>
      </x:c>
      <x:c r="J490" s="215" t="str">
        <x:v>Anthesis</x:v>
      </x:c>
      <x:c r="K490" s="215" t="str">
        <x:v>Dangling male catkins shed pollen without showy petals or nectar guides.</x:v>
      </x:c>
      <x:c r="L490" s="215" t="str">
        <x:v>This syndrome is shared widely among temperate trees.</x:v>
      </x:c>
      <x:c r="M490" s="215" t="str">
        <x:v>Use as ecological support, never as a stand-alone family decision.</x:v>
      </x:c>
      <x:c r="N490" s="215" t="str">
        <x:v>Relevant Hays material is chiefly riparian or mesic-woodland catkin-bearing woody plants; county presence remains tied to the carried authoritative inventory.</x:v>
      </x:c>
      <x:c r="O490" s="215" t="str">
        <x:v>Low</x:v>
      </x:c>
      <x:c r="P490" s="215" t="str">
        <x:v>No</x:v>
      </x:c>
      <x:c r="Q490" s="215" t="str"/>
      <x:c r="R490" s="215" t="str"/>
      <x:c r="S490" s="215" t="str">
        <x:v>APWEB-BETU; FNA-BETU; POWO-BETU; LBJ-HAYS</x:v>
      </x:c>
      <x:c r="T490" s="215" t="str">
        <x:v>https://www.mobot.org/MOBOT/research/APweb/orders/fagalesweb.htm</x:v>
      </x:c>
      <x:c r="U490" s="215" t="str">
        <x:v>https://floranorthamerica.org/Betulaceae</x:v>
      </x:c>
      <x:c r="V490" s="215" t="str">
        <x:v>https://powo.science.kew.org/taxon/urn:lsid:ipni.org:names:77126723-1/general-information</x:v>
      </x:c>
      <x:c r="W490" s="215" t="str">
        <x:v>https://www.mobot.org/MOBOT/research/APweb/orders/fagalesweb.htm
https://floranorthamerica.org/Betulaceae
https://powo.science.kew.org/taxon/urn:lsid:ipni.org:names:77126723-1/general-information
https://www.wildflower.org/collections/collection.php?collection=hays</x:v>
      </x:c>
      <x:c r="X490" s="215" t="str">
        <x:v>No — retain qualifiers and exceptions</x:v>
      </x:c>
      <x:c r="Y490" s="215" t="str">
        <x:v>Yes</x:v>
      </x:c>
      <x:c r="Z490" s="215" t="str">
        <x:v>Source-backed draft</x:v>
      </x:c>
      <x:c r="AA490" s="215" t="str">
        <x:v>Family pattern</x:v>
      </x:c>
      <x:c r="AB490" s="215" t="str">
        <x:v>Supporting / route</x:v>
      </x:c>
      <x:c r="AC490" s="215" t="str">
        <x:v>High</x:v>
      </x:c>
      <x:c r="AD490" s="215" t="str">
        <x:v>Hand lens / macro</x:v>
      </x:c>
      <x:c r="AE490" s="215" t="str">
        <x:v>Low</x:v>
      </x:c>
      <x:c r="AF490" s="215" t="str">
        <x:v>Field-ready draft</x:v>
      </x:c>
      <x:c r="AG490" s="215" t="str">
        <x:v>4 — Context / caution</x:v>
      </x:c>
      <x:c r="AH490" s="215" t="str">
        <x:v>Reference expansion</x:v>
      </x:c>
    </x:row>
    <x:row r="491" ht="42" customHeight="1">
      <x:c r="A491" s="215" t="str">
        <x:v>Betulaceae</x:v>
      </x:c>
      <x:c r="B491" s="215" t="str">
        <x:v>BET-LK01</x:v>
      </x:c>
      <x:c r="C491" s="215" t="str">
        <x:v>Lookalike comparison</x:v>
      </x:c>
      <x:c r="D491" s="215" t="str">
        <x:v>Lookalike</x:v>
      </x:c>
      <x:c r="E491" s="215" t="str">
        <x:v>Versus Salicaceae: nutlets with persistent bracts favor Betulaceae; valved capsules with cottony seeds favor Salicaceae</x:v>
      </x:c>
      <x:c r="F491" s="215" t="str">
        <x:v>Lookalike</x:v>
      </x:c>
      <x:c r="G491" s="215" t="str">
        <x:v>5</x:v>
      </x:c>
      <x:c r="H491" s="215" t="str">
        <x:v>High</x:v>
      </x:c>
      <x:c r="I491" s="215" t="str">
        <x:v>Naked eye or hand lens</x:v>
      </x:c>
      <x:c r="J491" s="215" t="str">
        <x:v>Mature female fruiting structures</x:v>
      </x:c>
      <x:c r="K491" s="215" t="str">
        <x:v>Both families can have alternate leaves and catkins, but mature female fruits differ sharply.</x:v>
      </x:c>
      <x:c r="L491" s="215" t="str">
        <x:v>Before fruiting, male or sterile material may remain ambiguous.</x:v>
      </x:c>
      <x:c r="M491" s="215" t="str">
        <x:v>Prioritize mature female catkins; this supplies the reciprocal comparison for SAL-LK01.</x:v>
      </x:c>
      <x:c r="N491" s="215" t="str">
        <x:v>Relevant Hays material is chiefly riparian or mesic-woodland catkin-bearing woody plants; county presence remains tied to the carried authoritative inventory.</x:v>
      </x:c>
      <x:c r="O491" s="215" t="str">
        <x:v>Low</x:v>
      </x:c>
      <x:c r="P491" s="215" t="str">
        <x:v>No</x:v>
      </x:c>
      <x:c r="Q491" s="215" t="str"/>
      <x:c r="R491" s="215" t="str">
        <x:v>BET-CATKINS; BET-FRUIT; BET-BRACTS</x:v>
      </x:c>
      <x:c r="S491" s="215" t="str">
        <x:v>APWEB-BETU; FNA-BETU; POWO-BETU; LBJ-HAYS</x:v>
      </x:c>
      <x:c r="T491" s="215" t="str">
        <x:v>https://www.mobot.org/MOBOT/research/APweb/orders/fagalesweb.htm</x:v>
      </x:c>
      <x:c r="U491" s="215" t="str">
        <x:v>https://floranorthamerica.org/Betulaceae</x:v>
      </x:c>
      <x:c r="V491" s="215" t="str">
        <x:v>https://powo.science.kew.org/taxon/urn:lsid:ipni.org:names:77126723-1/general-information</x:v>
      </x:c>
      <x:c r="W491" s="215" t="str">
        <x:v>https://www.mobot.org/MOBOT/research/APweb/orders/fagalesweb.htm
https://floranorthamerica.org/Betulaceae
https://powo.science.kew.org/taxon/urn:lsid:ipni.org:names:77126723-1/general-information
https://www.wildflower.org/collections/collection.php?collection=hays</x:v>
      </x:c>
      <x:c r="X491" s="215" t="str">
        <x:v>No — retain qualifiers and exceptions</x:v>
      </x:c>
      <x:c r="Y491" s="215" t="str">
        <x:v>Yes</x:v>
      </x:c>
      <x:c r="Z491" s="215" t="str">
        <x:v>Source-backed draft</x:v>
      </x:c>
      <x:c r="AA491" s="215" t="str">
        <x:v>Lookalike comparison</x:v>
      </x:c>
      <x:c r="AB491" s="215" t="str">
        <x:v>Contrast / lookalike</x:v>
      </x:c>
      <x:c r="AC491" s="215" t="str">
        <x:v>High</x:v>
      </x:c>
      <x:c r="AD491" s="215" t="str">
        <x:v>Hand lens / macro</x:v>
      </x:c>
      <x:c r="AE491" s="215" t="str">
        <x:v>Low</x:v>
      </x:c>
      <x:c r="AF491" s="215" t="str">
        <x:v>Field-ready draft</x:v>
      </x:c>
      <x:c r="AG491" s="215" t="str">
        <x:v>2 — Field-photo priority</x:v>
      </x:c>
      <x:c r="AH491" s="215" t="str">
        <x:v>Reference expansion</x:v>
      </x:c>
    </x:row>
    <x:row r="492" ht="42" customHeight="1">
      <x:c r="A492" s="215" t="str">
        <x:v>Betulaceae</x:v>
      </x:c>
      <x:c r="B492" s="215" t="str">
        <x:v>BET-LK02</x:v>
      </x:c>
      <x:c r="C492" s="215" t="str">
        <x:v>Lookalike comparison</x:v>
      </x:c>
      <x:c r="D492" s="215" t="str">
        <x:v>Lookalike</x:v>
      </x:c>
      <x:c r="E492" s="215" t="str">
        <x:v>Versus Fagaceae: small catkin-borne nutlets with family-specific bracts favor Betulaceae; acorns or larger nuts in cupules favor Fagaceae</x:v>
      </x:c>
      <x:c r="F492" s="215" t="str">
        <x:v>Lookalike</x:v>
      </x:c>
      <x:c r="G492" s="215" t="str">
        <x:v>5</x:v>
      </x:c>
      <x:c r="H492" s="215" t="str">
        <x:v>High</x:v>
      </x:c>
      <x:c r="I492" s="215" t="str">
        <x:v>Naked eye or hand lens</x:v>
      </x:c>
      <x:c r="J492" s="215" t="str">
        <x:v>Mature fruit</x:v>
      </x:c>
      <x:c r="K492" s="215" t="str">
        <x:v>The fruit-supporting structures separate two wind-pollinated woody families.</x:v>
      </x:c>
      <x:c r="L492" s="215" t="str">
        <x:v>Very young fruits can be difficult; hazel-like involucres require care.</x:v>
      </x:c>
      <x:c r="M492" s="215" t="str">
        <x:v>Use mature nuts and their surrounding bracts or cupules.</x:v>
      </x:c>
      <x:c r="N492" s="215" t="str">
        <x:v>Relevant Hays material is chiefly riparian or mesic-woodland catkin-bearing woody plants; county presence remains tied to the carried authoritative inventory.</x:v>
      </x:c>
      <x:c r="O492" s="215" t="str">
        <x:v>Low</x:v>
      </x:c>
      <x:c r="P492" s="215" t="str">
        <x:v>No</x:v>
      </x:c>
      <x:c r="Q492" s="215" t="str"/>
      <x:c r="R492" s="215" t="str">
        <x:v>BET-FRUIT; BET-BRACTS</x:v>
      </x:c>
      <x:c r="S492" s="215" t="str">
        <x:v>APWEB-BETU; FNA-BETU; POWO-BETU; LBJ-HAYS</x:v>
      </x:c>
      <x:c r="T492" s="215" t="str">
        <x:v>https://www.mobot.org/MOBOT/research/APweb/orders/fagalesweb.htm</x:v>
      </x:c>
      <x:c r="U492" s="215" t="str">
        <x:v>https://floranorthamerica.org/Betulaceae</x:v>
      </x:c>
      <x:c r="V492" s="215" t="str">
        <x:v>https://powo.science.kew.org/taxon/urn:lsid:ipni.org:names:77126723-1/general-information</x:v>
      </x:c>
      <x:c r="W492" s="215" t="str">
        <x:v>https://www.mobot.org/MOBOT/research/APweb/orders/fagalesweb.htm
https://floranorthamerica.org/Betulaceae
https://powo.science.kew.org/taxon/urn:lsid:ipni.org:names:77126723-1/general-information
https://www.wildflower.org/collections/collection.php?collection=hays</x:v>
      </x:c>
      <x:c r="X492" s="215" t="str">
        <x:v>No — retain qualifiers and exceptions</x:v>
      </x:c>
      <x:c r="Y492" s="215" t="str">
        <x:v>Yes</x:v>
      </x:c>
      <x:c r="Z492" s="215" t="str">
        <x:v>Source-backed draft</x:v>
      </x:c>
      <x:c r="AA492" s="215" t="str">
        <x:v>Lookalike comparison</x:v>
      </x:c>
      <x:c r="AB492" s="215" t="str">
        <x:v>Contrast / lookalike</x:v>
      </x:c>
      <x:c r="AC492" s="215" t="str">
        <x:v>High</x:v>
      </x:c>
      <x:c r="AD492" s="215" t="str">
        <x:v>Hand lens / macro</x:v>
      </x:c>
      <x:c r="AE492" s="215" t="str">
        <x:v>Low</x:v>
      </x:c>
      <x:c r="AF492" s="215" t="str">
        <x:v>Field-ready draft</x:v>
      </x:c>
      <x:c r="AG492" s="215" t="str">
        <x:v>2 — Field-photo priority</x:v>
      </x:c>
      <x:c r="AH492" s="215" t="str">
        <x:v>Reference expansion</x:v>
      </x:c>
    </x:row>
    <x:row r="493" ht="42" customHeight="1">
      <x:c r="A493" s="215" t="str">
        <x:v>Iridaceae</x:v>
      </x:c>
      <x:c r="B493" s="215" t="str">
        <x:v>IRI-HABIT</x:v>
      </x:c>
      <x:c r="C493" s="215" t="str">
        <x:v>Family character</x:v>
      </x:c>
      <x:c r="D493" s="215" t="str">
        <x:v>Habit / underground organs</x:v>
      </x:c>
      <x:c r="E493" s="215" t="str">
        <x:v>Perennial herbs arising from rhizomes, bulbs, or corms</x:v>
      </x:c>
      <x:c r="F493" s="215" t="str">
        <x:v>Strong</x:v>
      </x:c>
      <x:c r="G493" s="215" t="str">
        <x:v>2</x:v>
      </x:c>
      <x:c r="H493" s="215" t="str">
        <x:v>High</x:v>
      </x:c>
      <x:c r="I493" s="215" t="str">
        <x:v>Naked eye or hand lens</x:v>
      </x:c>
      <x:c r="J493" s="215" t="str">
        <x:v>Any active growth</x:v>
      </x:c>
      <x:c r="K493" s="215" t="str">
        <x:v>Iris-family plants usually persist underground through an enlarged stem organ.</x:v>
      </x:c>
      <x:c r="L493" s="215" t="str">
        <x:v>Underground organs may be inaccessible and are shared with many monocots.</x:v>
      </x:c>
      <x:c r="M493" s="215" t="str">
        <x:v>Use only with leaves and flowers; do not excavate unnecessarily.</x:v>
      </x:c>
      <x:c r="N493" s="215" t="str">
        <x:v>Central Texas blue-eyed-grasses and other iris-family herbs make this suite useful in prairies, seeps, and rocky openings.</x:v>
      </x:c>
      <x:c r="O493" s="215" t="str">
        <x:v>Low</x:v>
      </x:c>
      <x:c r="P493" s="215" t="str">
        <x:v>No</x:v>
      </x:c>
      <x:c r="Q493" s="215" t="str"/>
      <x:c r="R493" s="215" t="str"/>
      <x:c r="S493" s="215" t="str">
        <x:v>APWEB-IRID; FNA-IRID; POWO-IRID; LBJ-HAYS</x:v>
      </x:c>
      <x:c r="T493" s="215" t="str">
        <x:v>https://www.mobot.org/MOBOT/research/APweb/orders/asparagalesweb.htm</x:v>
      </x:c>
      <x:c r="U493" s="215" t="str">
        <x:v>https://floranorthamerica.org/Iridaceae</x:v>
      </x:c>
      <x:c r="V493" s="215" t="str">
        <x:v>https://powo.science.kew.org/taxon/urn:lsid:ipni.org:names:30001783-2/general-information</x:v>
      </x:c>
      <x:c r="W493" s="215" t="str">
        <x:v>https://www.mobot.org/MOBOT/research/APweb/orders/asparagalesweb.htm
https://floranorthamerica.org/Iridaceae
https://powo.science.kew.org/taxon/urn:lsid:ipni.org:names:30001783-2/general-information
https://www.wildflower.org/collections/collection.php?collection=hays</x:v>
      </x:c>
      <x:c r="X493" s="215" t="str">
        <x:v>No — retain qualifiers and exceptions</x:v>
      </x:c>
      <x:c r="Y493" s="215" t="str">
        <x:v>Yes</x:v>
      </x:c>
      <x:c r="Z493" s="215" t="str">
        <x:v>Source-backed draft</x:v>
      </x:c>
      <x:c r="AA493" s="215" t="str">
        <x:v>Family pattern</x:v>
      </x:c>
      <x:c r="AB493" s="215" t="str">
        <x:v>Positive diagnostic</x:v>
      </x:c>
      <x:c r="AC493" s="215" t="str">
        <x:v>High</x:v>
      </x:c>
      <x:c r="AD493" s="215" t="str">
        <x:v>Hand lens / macro</x:v>
      </x:c>
      <x:c r="AE493" s="215" t="str">
        <x:v>Low</x:v>
      </x:c>
      <x:c r="AF493" s="215" t="str">
        <x:v>Field-ready draft</x:v>
      </x:c>
      <x:c r="AG493" s="215" t="str">
        <x:v>4 — Context / caution</x:v>
      </x:c>
      <x:c r="AH493" s="215" t="str">
        <x:v>Current master inventory</x:v>
      </x:c>
    </x:row>
    <x:row r="494" ht="42" customHeight="1">
      <x:c r="A494" s="215" t="str">
        <x:v>Iridaceae</x:v>
      </x:c>
      <x:c r="B494" s="215" t="str">
        <x:v>IRI-LEAVES</x:v>
      </x:c>
      <x:c r="C494" s="215" t="str">
        <x:v>Family character</x:v>
      </x:c>
      <x:c r="D494" s="215" t="str">
        <x:v>Leaves</x:v>
      </x:c>
      <x:c r="E494" s="215" t="str">
        <x:v>Leaves commonly distichous, parallel-veined, and often unifacial or edgewise</x:v>
      </x:c>
      <x:c r="F494" s="215" t="str">
        <x:v>Strong</x:v>
      </x:c>
      <x:c r="G494" s="215" t="str">
        <x:v>4</x:v>
      </x:c>
      <x:c r="H494" s="215" t="str">
        <x:v>High</x:v>
      </x:c>
      <x:c r="I494" s="215" t="str">
        <x:v>Naked eye or hand lens</x:v>
      </x:c>
      <x:c r="J494" s="215" t="str">
        <x:v>Vegetative or flowering material</x:v>
      </x:c>
      <x:c r="K494" s="215" t="str">
        <x:v>Leaves often form a flat fan or narrow grasslike spray with two ranked rows.</x:v>
      </x:c>
      <x:c r="L494" s="215" t="str">
        <x:v>Some genera have terete or differently folded leaves.</x:v>
      </x:c>
      <x:c r="M494" s="215" t="str">
        <x:v>Check leaf orientation and base arrangement, then confirm floral characters.</x:v>
      </x:c>
      <x:c r="N494" s="215" t="str">
        <x:v>Central Texas blue-eyed-grasses and other iris-family herbs make this suite useful in prairies, seeps, and rocky openings.</x:v>
      </x:c>
      <x:c r="O494" s="215" t="str">
        <x:v>Low</x:v>
      </x:c>
      <x:c r="P494" s="215" t="str">
        <x:v>No</x:v>
      </x:c>
      <x:c r="Q494" s="215" t="str"/>
      <x:c r="R494" s="215" t="str">
        <x:v>IRI-LK01; IRI-LK02</x:v>
      </x:c>
      <x:c r="S494" s="215" t="str">
        <x:v>APWEB-IRID; FNA-IRID; POWO-IRID; LBJ-HAYS</x:v>
      </x:c>
      <x:c r="T494" s="215" t="str">
        <x:v>https://www.mobot.org/MOBOT/research/APweb/orders/asparagalesweb.htm</x:v>
      </x:c>
      <x:c r="U494" s="215" t="str">
        <x:v>https://floranorthamerica.org/Iridaceae</x:v>
      </x:c>
      <x:c r="V494" s="215" t="str">
        <x:v>https://powo.science.kew.org/taxon/urn:lsid:ipni.org:names:30001783-2/general-information</x:v>
      </x:c>
      <x:c r="W494" s="215" t="str">
        <x:v>https://www.mobot.org/MOBOT/research/APweb/orders/asparagalesweb.htm
https://floranorthamerica.org/Iridaceae
https://powo.science.kew.org/taxon/urn:lsid:ipni.org:names:30001783-2/general-information
https://www.wildflower.org/collections/collection.php?collection=hays</x:v>
      </x:c>
      <x:c r="X494" s="215" t="str">
        <x:v>No — retain qualifiers and exceptions</x:v>
      </x:c>
      <x:c r="Y494" s="215" t="str">
        <x:v>Yes</x:v>
      </x:c>
      <x:c r="Z494" s="215" t="str">
        <x:v>Source-backed draft</x:v>
      </x:c>
      <x:c r="AA494" s="215" t="str">
        <x:v>Family pattern</x:v>
      </x:c>
      <x:c r="AB494" s="215" t="str">
        <x:v>Positive diagnostic</x:v>
      </x:c>
      <x:c r="AC494" s="215" t="str">
        <x:v>High</x:v>
      </x:c>
      <x:c r="AD494" s="215" t="str">
        <x:v>Hand lens / macro</x:v>
      </x:c>
      <x:c r="AE494" s="215" t="str">
        <x:v>Low</x:v>
      </x:c>
      <x:c r="AF494" s="215" t="str">
        <x:v>Field-ready draft</x:v>
      </x:c>
      <x:c r="AG494" s="215" t="str">
        <x:v>2 — Field-photo priority</x:v>
      </x:c>
      <x:c r="AH494" s="215" t="str">
        <x:v>Current master inventory</x:v>
      </x:c>
    </x:row>
    <x:row r="495" ht="42" customHeight="1">
      <x:c r="A495" s="215" t="str">
        <x:v>Iridaceae</x:v>
      </x:c>
      <x:c r="B495" s="215" t="str">
        <x:v>IRI-INFLO</x:v>
      </x:c>
      <x:c r="C495" s="215" t="str">
        <x:v>Family character</x:v>
      </x:c>
      <x:c r="D495" s="215" t="str">
        <x:v>Inflorescence / bracts</x:v>
      </x:c>
      <x:c r="E495" s="215" t="str">
        <x:v>Flowers solitary, in spikes, or in rhipidia, commonly subtended by paired spathes</x:v>
      </x:c>
      <x:c r="F495" s="215" t="str">
        <x:v>Strong</x:v>
      </x:c>
      <x:c r="G495" s="215" t="str">
        <x:v>4</x:v>
      </x:c>
      <x:c r="H495" s="215" t="str">
        <x:v>High</x:v>
      </x:c>
      <x:c r="I495" s="215" t="str">
        <x:v>Naked eye or hand lens</x:v>
      </x:c>
      <x:c r="J495" s="215" t="str">
        <x:v>Flowering material</x:v>
      </x:c>
      <x:c r="K495" s="215" t="str">
        <x:v>Papery or green spathe bracts often enclose the flower cluster.</x:v>
      </x:c>
      <x:c r="L495" s="215" t="str">
        <x:v>Inflorescence architecture varies substantially among genera.</x:v>
      </x:c>
      <x:c r="M495" s="215" t="str">
        <x:v>Use spathes to support a monocot with the 3-stamen/inferior-ovary suite.</x:v>
      </x:c>
      <x:c r="N495" s="215" t="str">
        <x:v>Central Texas blue-eyed-grasses and other iris-family herbs make this suite useful in prairies, seeps, and rocky openings.</x:v>
      </x:c>
      <x:c r="O495" s="215" t="str">
        <x:v>Low</x:v>
      </x:c>
      <x:c r="P495" s="215" t="str">
        <x:v>No</x:v>
      </x:c>
      <x:c r="Q495" s="215" t="str"/>
      <x:c r="R495" s="215" t="str"/>
      <x:c r="S495" s="215" t="str">
        <x:v>APWEB-IRID; FNA-IRID; POWO-IRID; LBJ-HAYS</x:v>
      </x:c>
      <x:c r="T495" s="215" t="str">
        <x:v>https://www.mobot.org/MOBOT/research/APweb/orders/asparagalesweb.htm</x:v>
      </x:c>
      <x:c r="U495" s="215" t="str">
        <x:v>https://floranorthamerica.org/Iridaceae</x:v>
      </x:c>
      <x:c r="V495" s="215" t="str">
        <x:v>https://powo.science.kew.org/taxon/urn:lsid:ipni.org:names:30001783-2/general-information</x:v>
      </x:c>
      <x:c r="W495" s="215" t="str">
        <x:v>https://www.mobot.org/MOBOT/research/APweb/orders/asparagalesweb.htm
https://floranorthamerica.org/Iridaceae
https://powo.science.kew.org/taxon/urn:lsid:ipni.org:names:30001783-2/general-information
https://www.wildflower.org/collections/collection.php?collection=hays</x:v>
      </x:c>
      <x:c r="X495" s="215" t="str">
        <x:v>No — retain qualifiers and exceptions</x:v>
      </x:c>
      <x:c r="Y495" s="215" t="str">
        <x:v>Yes</x:v>
      </x:c>
      <x:c r="Z495" s="215" t="str">
        <x:v>Source-backed draft</x:v>
      </x:c>
      <x:c r="AA495" s="215" t="str">
        <x:v>Family pattern</x:v>
      </x:c>
      <x:c r="AB495" s="215" t="str">
        <x:v>Positive diagnostic</x:v>
      </x:c>
      <x:c r="AC495" s="215" t="str">
        <x:v>High</x:v>
      </x:c>
      <x:c r="AD495" s="215" t="str">
        <x:v>Hand lens / macro</x:v>
      </x:c>
      <x:c r="AE495" s="215" t="str">
        <x:v>Low</x:v>
      </x:c>
      <x:c r="AF495" s="215" t="str">
        <x:v>Field-ready draft</x:v>
      </x:c>
      <x:c r="AG495" s="215" t="str">
        <x:v>2 — Field-photo priority</x:v>
      </x:c>
      <x:c r="AH495" s="215" t="str">
        <x:v>Current master inventory</x:v>
      </x:c>
    </x:row>
    <x:row r="496" ht="42" customHeight="1">
      <x:c r="A496" s="215" t="str">
        <x:v>Iridaceae</x:v>
      </x:c>
      <x:c r="B496" s="215" t="str">
        <x:v>IRI-TEPALS</x:v>
      </x:c>
      <x:c r="C496" s="215" t="str">
        <x:v>Family character</x:v>
      </x:c>
      <x:c r="D496" s="215" t="str">
        <x:v>Flowers</x:v>
      </x:c>
      <x:c r="E496" s="215" t="str">
        <x:v>Perianth of 6 petaloid tepals in two whorls</x:v>
      </x:c>
      <x:c r="F496" s="215" t="str">
        <x:v>Strong</x:v>
      </x:c>
      <x:c r="G496" s="215" t="str">
        <x:v>4</x:v>
      </x:c>
      <x:c r="H496" s="215" t="str">
        <x:v>High</x:v>
      </x:c>
      <x:c r="I496" s="215" t="str">
        <x:v>Naked eye or hand lens</x:v>
      </x:c>
      <x:c r="J496" s="215" t="str">
        <x:v>Fresh flowers</x:v>
      </x:c>
      <x:c r="K496" s="215" t="str">
        <x:v>Showy iris-family flowers normally have six petal-like segments.</x:v>
      </x:c>
      <x:c r="L496" s="215" t="str">
        <x:v>Tepals can be small, unequal, or fused basally.</x:v>
      </x:c>
      <x:c r="M496" s="215" t="str">
        <x:v>Count segments together with stamens and ovary position.</x:v>
      </x:c>
      <x:c r="N496" s="215" t="str">
        <x:v>Central Texas blue-eyed-grasses and other iris-family herbs make this suite useful in prairies, seeps, and rocky openings.</x:v>
      </x:c>
      <x:c r="O496" s="215" t="str">
        <x:v>Low</x:v>
      </x:c>
      <x:c r="P496" s="215" t="str">
        <x:v>No</x:v>
      </x:c>
      <x:c r="Q496" s="215" t="str"/>
      <x:c r="R496" s="215" t="str"/>
      <x:c r="S496" s="215" t="str">
        <x:v>APWEB-IRID; FNA-IRID; POWO-IRID; LBJ-HAYS</x:v>
      </x:c>
      <x:c r="T496" s="215" t="str">
        <x:v>https://www.mobot.org/MOBOT/research/APweb/orders/asparagalesweb.htm</x:v>
      </x:c>
      <x:c r="U496" s="215" t="str">
        <x:v>https://floranorthamerica.org/Iridaceae</x:v>
      </x:c>
      <x:c r="V496" s="215" t="str">
        <x:v>https://powo.science.kew.org/taxon/urn:lsid:ipni.org:names:30001783-2/general-information</x:v>
      </x:c>
      <x:c r="W496" s="215" t="str">
        <x:v>https://www.mobot.org/MOBOT/research/APweb/orders/asparagalesweb.htm
https://floranorthamerica.org/Iridaceae
https://powo.science.kew.org/taxon/urn:lsid:ipni.org:names:30001783-2/general-information
https://www.wildflower.org/collections/collection.php?collection=hays</x:v>
      </x:c>
      <x:c r="X496" s="215" t="str">
        <x:v>No — retain qualifiers and exceptions</x:v>
      </x:c>
      <x:c r="Y496" s="215" t="str">
        <x:v>Yes</x:v>
      </x:c>
      <x:c r="Z496" s="215" t="str">
        <x:v>Source-backed draft</x:v>
      </x:c>
      <x:c r="AA496" s="215" t="str">
        <x:v>Family pattern</x:v>
      </x:c>
      <x:c r="AB496" s="215" t="str">
        <x:v>Positive diagnostic</x:v>
      </x:c>
      <x:c r="AC496" s="215" t="str">
        <x:v>High</x:v>
      </x:c>
      <x:c r="AD496" s="215" t="str">
        <x:v>Hand lens / macro</x:v>
      </x:c>
      <x:c r="AE496" s="215" t="str">
        <x:v>Low</x:v>
      </x:c>
      <x:c r="AF496" s="215" t="str">
        <x:v>Field-ready draft</x:v>
      </x:c>
      <x:c r="AG496" s="215" t="str">
        <x:v>2 — Field-photo priority</x:v>
      </x:c>
      <x:c r="AH496" s="215" t="str">
        <x:v>Current master inventory</x:v>
      </x:c>
    </x:row>
    <x:row r="497" ht="42" customHeight="1">
      <x:c r="A497" s="215" t="str">
        <x:v>Iridaceae</x:v>
      </x:c>
      <x:c r="B497" s="215" t="str">
        <x:v>IRI-STAMENS</x:v>
      </x:c>
      <x:c r="C497" s="215" t="str">
        <x:v>Family character</x:v>
      </x:c>
      <x:c r="D497" s="215" t="str">
        <x:v>Stamens</x:v>
      </x:c>
      <x:c r="E497" s="215" t="str">
        <x:v>Exactly 3 functional stamens in the usual family pattern</x:v>
      </x:c>
      <x:c r="F497" s="215" t="str">
        <x:v>Strong</x:v>
      </x:c>
      <x:c r="G497" s="215" t="str">
        <x:v>5</x:v>
      </x:c>
      <x:c r="H497" s="215" t="str">
        <x:v>High</x:v>
      </x:c>
      <x:c r="I497" s="215" t="str">
        <x:v>Naked eye or hand lens</x:v>
      </x:c>
      <x:c r="J497" s="215" t="str">
        <x:v>Fresh intact flowers</x:v>
      </x:c>
      <x:c r="K497" s="215" t="str">
        <x:v>Three stamens strongly narrow a showy monocot toward Iridaceae.</x:v>
      </x:c>
      <x:c r="L497" s="215" t="str">
        <x:v>Damaged flowers may lose stamens; rare departures should not be made universal.</x:v>
      </x:c>
      <x:c r="M497" s="215" t="str">
        <x:v>Count intact anthers and combine with an inferior ovary.</x:v>
      </x:c>
      <x:c r="N497" s="215" t="str">
        <x:v>Central Texas blue-eyed-grasses and other iris-family herbs make this suite useful in prairies, seeps, and rocky openings.</x:v>
      </x:c>
      <x:c r="O497" s="215" t="str">
        <x:v>Low</x:v>
      </x:c>
      <x:c r="P497" s="215" t="str">
        <x:v>No</x:v>
      </x:c>
      <x:c r="Q497" s="215" t="str"/>
      <x:c r="R497" s="215" t="str">
        <x:v>IRI-LK01; IRI-LK02</x:v>
      </x:c>
      <x:c r="S497" s="215" t="str">
        <x:v>APWEB-IRID; FNA-IRID; POWO-IRID; LBJ-HAYS</x:v>
      </x:c>
      <x:c r="T497" s="215" t="str">
        <x:v>https://www.mobot.org/MOBOT/research/APweb/orders/asparagalesweb.htm</x:v>
      </x:c>
      <x:c r="U497" s="215" t="str">
        <x:v>https://floranorthamerica.org/Iridaceae</x:v>
      </x:c>
      <x:c r="V497" s="215" t="str">
        <x:v>https://powo.science.kew.org/taxon/urn:lsid:ipni.org:names:30001783-2/general-information</x:v>
      </x:c>
      <x:c r="W497" s="215" t="str">
        <x:v>https://www.mobot.org/MOBOT/research/APweb/orders/asparagalesweb.htm
https://floranorthamerica.org/Iridaceae
https://powo.science.kew.org/taxon/urn:lsid:ipni.org:names:30001783-2/general-information
https://www.wildflower.org/collections/collection.php?collection=hays</x:v>
      </x:c>
      <x:c r="X497" s="215" t="str">
        <x:v>No — retain qualifiers and exceptions</x:v>
      </x:c>
      <x:c r="Y497" s="215" t="str">
        <x:v>Yes</x:v>
      </x:c>
      <x:c r="Z497" s="215" t="str">
        <x:v>Source-backed draft</x:v>
      </x:c>
      <x:c r="AA497" s="215" t="str">
        <x:v>Family pattern</x:v>
      </x:c>
      <x:c r="AB497" s="215" t="str">
        <x:v>Positive diagnostic</x:v>
      </x:c>
      <x:c r="AC497" s="215" t="str">
        <x:v>High</x:v>
      </x:c>
      <x:c r="AD497" s="215" t="str">
        <x:v>Hand lens / macro</x:v>
      </x:c>
      <x:c r="AE497" s="215" t="str">
        <x:v>Low</x:v>
      </x:c>
      <x:c r="AF497" s="215" t="str">
        <x:v>Field-ready draft</x:v>
      </x:c>
      <x:c r="AG497" s="215" t="str">
        <x:v>2 — Field-photo priority</x:v>
      </x:c>
      <x:c r="AH497" s="215" t="str">
        <x:v>Current master inventory</x:v>
      </x:c>
    </x:row>
    <x:row r="498" ht="42" customHeight="1">
      <x:c r="A498" s="215" t="str">
        <x:v>Iridaceae</x:v>
      </x:c>
      <x:c r="B498" s="215" t="str">
        <x:v>IRI-OVARY</x:v>
      </x:c>
      <x:c r="C498" s="215" t="str">
        <x:v>Family character</x:v>
      </x:c>
      <x:c r="D498" s="215" t="str">
        <x:v>Gynoecium</x:v>
      </x:c>
      <x:c r="E498" s="215" t="str">
        <x:v>Ovary usually inferior and 3-locular</x:v>
      </x:c>
      <x:c r="F498" s="215" t="str">
        <x:v>Strong</x:v>
      </x:c>
      <x:c r="G498" s="215" t="str">
        <x:v>5</x:v>
      </x:c>
      <x:c r="H498" s="215" t="str">
        <x:v>High</x:v>
      </x:c>
      <x:c r="I498" s="215" t="str">
        <x:v>Hand lens or dissection</x:v>
      </x:c>
      <x:c r="J498" s="215" t="str">
        <x:v>Fresh flowers</x:v>
      </x:c>
      <x:c r="K498" s="215" t="str">
        <x:v>The seed-producing chamber sits below the tepals and is divided into three locules.</x:v>
      </x:c>
      <x:c r="L498" s="215" t="str">
        <x:v>The non-North-American genus Isophysis has a superior ovary; damaged flowers can obscure insertion.</x:v>
      </x:c>
      <x:c r="M498" s="215" t="str">
        <x:v>Confirm ovary position on a longitudinal view when uncertain.</x:v>
      </x:c>
      <x:c r="N498" s="215" t="str">
        <x:v>Central Texas blue-eyed-grasses and other iris-family herbs make this suite useful in prairies, seeps, and rocky openings.</x:v>
      </x:c>
      <x:c r="O498" s="215" t="str">
        <x:v>Low</x:v>
      </x:c>
      <x:c r="P498" s="215" t="str">
        <x:v>No</x:v>
      </x:c>
      <x:c r="Q498" s="215" t="str"/>
      <x:c r="R498" s="215" t="str">
        <x:v>IRI-LK02</x:v>
      </x:c>
      <x:c r="S498" s="215" t="str">
        <x:v>APWEB-IRID; FNA-IRID; POWO-IRID; LBJ-HAYS</x:v>
      </x:c>
      <x:c r="T498" s="215" t="str">
        <x:v>https://www.mobot.org/MOBOT/research/APweb/orders/asparagalesweb.htm</x:v>
      </x:c>
      <x:c r="U498" s="215" t="str">
        <x:v>https://floranorthamerica.org/Iridaceae</x:v>
      </x:c>
      <x:c r="V498" s="215" t="str">
        <x:v>https://powo.science.kew.org/taxon/urn:lsid:ipni.org:names:30001783-2/general-information</x:v>
      </x:c>
      <x:c r="W498" s="215" t="str">
        <x:v>https://www.mobot.org/MOBOT/research/APweb/orders/asparagalesweb.htm
https://floranorthamerica.org/Iridaceae
https://powo.science.kew.org/taxon/urn:lsid:ipni.org:names:30001783-2/general-information
https://www.wildflower.org/collections/collection.php?collection=hays</x:v>
      </x:c>
      <x:c r="X498" s="215" t="str">
        <x:v>No — retain qualifiers and exceptions</x:v>
      </x:c>
      <x:c r="Y498" s="215" t="str">
        <x:v>Yes</x:v>
      </x:c>
      <x:c r="Z498" s="215" t="str">
        <x:v>Source-backed draft</x:v>
      </x:c>
      <x:c r="AA498" s="215" t="str">
        <x:v>Family pattern</x:v>
      </x:c>
      <x:c r="AB498" s="215" t="str">
        <x:v>Positive diagnostic</x:v>
      </x:c>
      <x:c r="AC498" s="215" t="str">
        <x:v>High</x:v>
      </x:c>
      <x:c r="AD498" s="215" t="str">
        <x:v>Dissection</x:v>
      </x:c>
      <x:c r="AE498" s="215" t="str">
        <x:v>Low</x:v>
      </x:c>
      <x:c r="AF498" s="215" t="str">
        <x:v>Dissection / close study</x:v>
      </x:c>
      <x:c r="AG498" s="215" t="str">
        <x:v>3 — Reference support</x:v>
      </x:c>
      <x:c r="AH498" s="215" t="str">
        <x:v>Current master inventory</x:v>
      </x:c>
    </x:row>
    <x:row r="499" ht="42" customHeight="1">
      <x:c r="A499" s="215" t="str">
        <x:v>Iridaceae</x:v>
      </x:c>
      <x:c r="B499" s="215" t="str">
        <x:v>IRI-STYLE</x:v>
      </x:c>
      <x:c r="C499" s="215" t="str">
        <x:v>Family character</x:v>
      </x:c>
      <x:c r="D499" s="215" t="str">
        <x:v>Gynoecium</x:v>
      </x:c>
      <x:c r="E499" s="215" t="str">
        <x:v>Style divided into 3 branches or lobes, sometimes expanded and petaloid</x:v>
      </x:c>
      <x:c r="F499" s="215" t="str">
        <x:v>Strong</x:v>
      </x:c>
      <x:c r="G499" s="215" t="str">
        <x:v>4</x:v>
      </x:c>
      <x:c r="H499" s="215" t="str">
        <x:v>High</x:v>
      </x:c>
      <x:c r="I499" s="215" t="str">
        <x:v>Naked eye or hand lens</x:v>
      </x:c>
      <x:c r="J499" s="215" t="str">
        <x:v>Fresh flowers</x:v>
      </x:c>
      <x:c r="K499" s="215" t="str">
        <x:v>Three style branches may arch over or alternate with the stamens.</x:v>
      </x:c>
      <x:c r="L499" s="215" t="str">
        <x:v>Style form ranges from slender to showy and crestlike.</x:v>
      </x:c>
      <x:c r="M499" s="215" t="str">
        <x:v>Use style architecture as a high-value supporting character.</x:v>
      </x:c>
      <x:c r="N499" s="215" t="str">
        <x:v>Central Texas blue-eyed-grasses and other iris-family herbs make this suite useful in prairies, seeps, and rocky openings.</x:v>
      </x:c>
      <x:c r="O499" s="215" t="str">
        <x:v>Low</x:v>
      </x:c>
      <x:c r="P499" s="215" t="str">
        <x:v>No</x:v>
      </x:c>
      <x:c r="Q499" s="215" t="str"/>
      <x:c r="R499" s="215" t="str"/>
      <x:c r="S499" s="215" t="str">
        <x:v>APWEB-IRID; FNA-IRID; POWO-IRID; LBJ-HAYS</x:v>
      </x:c>
      <x:c r="T499" s="215" t="str">
        <x:v>https://www.mobot.org/MOBOT/research/APweb/orders/asparagalesweb.htm</x:v>
      </x:c>
      <x:c r="U499" s="215" t="str">
        <x:v>https://floranorthamerica.org/Iridaceae</x:v>
      </x:c>
      <x:c r="V499" s="215" t="str">
        <x:v>https://powo.science.kew.org/taxon/urn:lsid:ipni.org:names:30001783-2/general-information</x:v>
      </x:c>
      <x:c r="W499" s="215" t="str">
        <x:v>https://www.mobot.org/MOBOT/research/APweb/orders/asparagalesweb.htm
https://floranorthamerica.org/Iridaceae
https://powo.science.kew.org/taxon/urn:lsid:ipni.org:names:30001783-2/general-information
https://www.wildflower.org/collections/collection.php?collection=hays</x:v>
      </x:c>
      <x:c r="X499" s="215" t="str">
        <x:v>No — retain qualifiers and exceptions</x:v>
      </x:c>
      <x:c r="Y499" s="215" t="str">
        <x:v>Yes</x:v>
      </x:c>
      <x:c r="Z499" s="215" t="str">
        <x:v>Source-backed draft</x:v>
      </x:c>
      <x:c r="AA499" s="215" t="str">
        <x:v>Family pattern</x:v>
      </x:c>
      <x:c r="AB499" s="215" t="str">
        <x:v>Positive diagnostic</x:v>
      </x:c>
      <x:c r="AC499" s="215" t="str">
        <x:v>High</x:v>
      </x:c>
      <x:c r="AD499" s="215" t="str">
        <x:v>Hand lens / macro</x:v>
      </x:c>
      <x:c r="AE499" s="215" t="str">
        <x:v>Low</x:v>
      </x:c>
      <x:c r="AF499" s="215" t="str">
        <x:v>Field-ready draft</x:v>
      </x:c>
      <x:c r="AG499" s="215" t="str">
        <x:v>2 — Field-photo priority</x:v>
      </x:c>
      <x:c r="AH499" s="215" t="str">
        <x:v>Current master inventory</x:v>
      </x:c>
    </x:row>
    <x:row r="500" ht="42" customHeight="1">
      <x:c r="A500" s="215" t="str">
        <x:v>Iridaceae</x:v>
      </x:c>
      <x:c r="B500" s="215" t="str">
        <x:v>IRI-FRUIT</x:v>
      </x:c>
      <x:c r="C500" s="215" t="str">
        <x:v>Family character</x:v>
      </x:c>
      <x:c r="D500" s="215" t="str">
        <x:v>Fruit</x:v>
      </x:c>
      <x:c r="E500" s="215" t="str">
        <x:v>Fruit usually a loculicidal capsule opening along the locule walls</x:v>
      </x:c>
      <x:c r="F500" s="215" t="str">
        <x:v>Strong</x:v>
      </x:c>
      <x:c r="G500" s="215" t="str">
        <x:v>4</x:v>
      </x:c>
      <x:c r="H500" s="215" t="str">
        <x:v>High</x:v>
      </x:c>
      <x:c r="I500" s="215" t="str">
        <x:v>Naked eye or hand lens</x:v>
      </x:c>
      <x:c r="J500" s="215" t="str">
        <x:v>Mature fruit</x:v>
      </x:c>
      <x:c r="K500" s="215" t="str">
        <x:v>Mature fruits are dry three-part capsules rather than berries.</x:v>
      </x:c>
      <x:c r="L500" s="215" t="str">
        <x:v>Fruit may be absent for much of the season.</x:v>
      </x:c>
      <x:c r="M500" s="215" t="str">
        <x:v>Use mature capsule construction to confirm post-flowering plants.</x:v>
      </x:c>
      <x:c r="N500" s="215" t="str">
        <x:v>Central Texas blue-eyed-grasses and other iris-family herbs make this suite useful in prairies, seeps, and rocky openings.</x:v>
      </x:c>
      <x:c r="O500" s="215" t="str">
        <x:v>Low</x:v>
      </x:c>
      <x:c r="P500" s="215" t="str">
        <x:v>No</x:v>
      </x:c>
      <x:c r="Q500" s="215" t="str"/>
      <x:c r="R500" s="215" t="str"/>
      <x:c r="S500" s="215" t="str">
        <x:v>APWEB-IRID; FNA-IRID; POWO-IRID; LBJ-HAYS</x:v>
      </x:c>
      <x:c r="T500" s="215" t="str">
        <x:v>https://www.mobot.org/MOBOT/research/APweb/orders/asparagalesweb.htm</x:v>
      </x:c>
      <x:c r="U500" s="215" t="str">
        <x:v>https://floranorthamerica.org/Iridaceae</x:v>
      </x:c>
      <x:c r="V500" s="215" t="str">
        <x:v>https://powo.science.kew.org/taxon/urn:lsid:ipni.org:names:30001783-2/general-information</x:v>
      </x:c>
      <x:c r="W500" s="215" t="str">
        <x:v>https://www.mobot.org/MOBOT/research/APweb/orders/asparagalesweb.htm
https://floranorthamerica.org/Iridaceae
https://powo.science.kew.org/taxon/urn:lsid:ipni.org:names:30001783-2/general-information
https://www.wildflower.org/collections/collection.php?collection=hays</x:v>
      </x:c>
      <x:c r="X500" s="215" t="str">
        <x:v>No — retain qualifiers and exceptions</x:v>
      </x:c>
      <x:c r="Y500" s="215" t="str">
        <x:v>Yes</x:v>
      </x:c>
      <x:c r="Z500" s="215" t="str">
        <x:v>Source-backed draft</x:v>
      </x:c>
      <x:c r="AA500" s="215" t="str">
        <x:v>Family pattern</x:v>
      </x:c>
      <x:c r="AB500" s="215" t="str">
        <x:v>Positive diagnostic</x:v>
      </x:c>
      <x:c r="AC500" s="215" t="str">
        <x:v>High</x:v>
      </x:c>
      <x:c r="AD500" s="215" t="str">
        <x:v>Hand lens / macro</x:v>
      </x:c>
      <x:c r="AE500" s="215" t="str">
        <x:v>Low</x:v>
      </x:c>
      <x:c r="AF500" s="215" t="str">
        <x:v>Field-ready draft</x:v>
      </x:c>
      <x:c r="AG500" s="215" t="str">
        <x:v>2 — Field-photo priority</x:v>
      </x:c>
      <x:c r="AH500" s="215" t="str">
        <x:v>Current master inventory</x:v>
      </x:c>
    </x:row>
    <x:row r="501" ht="42" customHeight="1">
      <x:c r="A501" s="215" t="str">
        <x:v>Iridaceae</x:v>
      </x:c>
      <x:c r="B501" s="215" t="str">
        <x:v>IRI-SEEDS</x:v>
      </x:c>
      <x:c r="C501" s="215" t="str">
        <x:v>Family character</x:v>
      </x:c>
      <x:c r="D501" s="215" t="str">
        <x:v>Seeds</x:v>
      </x:c>
      <x:c r="E501" s="215" t="str">
        <x:v>Seeds several to many, often angular, globose, or winged, with firm endosperm</x:v>
      </x:c>
      <x:c r="F501" s="215" t="str">
        <x:v>Supporting</x:v>
      </x:c>
      <x:c r="G501" s="215" t="str">
        <x:v>2</x:v>
      </x:c>
      <x:c r="H501" s="215" t="str">
        <x:v>High</x:v>
      </x:c>
      <x:c r="I501" s="215" t="str">
        <x:v>Naked eye or hand lens</x:v>
      </x:c>
      <x:c r="J501" s="215" t="str">
        <x:v>Mature fruit and seeds</x:v>
      </x:c>
      <x:c r="K501" s="215" t="str">
        <x:v>Capsules usually hold multiple hard seeds rather than a single nutlet.</x:v>
      </x:c>
      <x:c r="L501" s="215" t="str">
        <x:v>Seed surface and wings vary among genera.</x:v>
      </x:c>
      <x:c r="M501" s="215" t="str">
        <x:v>Use only with capsule and vegetative characters.</x:v>
      </x:c>
      <x:c r="N501" s="215" t="str">
        <x:v>Central Texas blue-eyed-grasses and other iris-family herbs make this suite useful in prairies, seeps, and rocky openings.</x:v>
      </x:c>
      <x:c r="O501" s="215" t="str">
        <x:v>Low</x:v>
      </x:c>
      <x:c r="P501" s="215" t="str">
        <x:v>No</x:v>
      </x:c>
      <x:c r="Q501" s="215" t="str"/>
      <x:c r="R501" s="215" t="str"/>
      <x:c r="S501" s="215" t="str">
        <x:v>APWEB-IRID; FNA-IRID; POWO-IRID; LBJ-HAYS</x:v>
      </x:c>
      <x:c r="T501" s="215" t="str">
        <x:v>https://www.mobot.org/MOBOT/research/APweb/orders/asparagalesweb.htm</x:v>
      </x:c>
      <x:c r="U501" s="215" t="str">
        <x:v>https://floranorthamerica.org/Iridaceae</x:v>
      </x:c>
      <x:c r="V501" s="215" t="str">
        <x:v>https://powo.science.kew.org/taxon/urn:lsid:ipni.org:names:30001783-2/general-information</x:v>
      </x:c>
      <x:c r="W501" s="215" t="str">
        <x:v>https://www.mobot.org/MOBOT/research/APweb/orders/asparagalesweb.htm
https://floranorthamerica.org/Iridaceae
https://powo.science.kew.org/taxon/urn:lsid:ipni.org:names:30001783-2/general-information
https://www.wildflower.org/collections/collection.php?collection=hays</x:v>
      </x:c>
      <x:c r="X501" s="215" t="str">
        <x:v>No — retain qualifiers and exceptions</x:v>
      </x:c>
      <x:c r="Y501" s="215" t="str">
        <x:v>Yes</x:v>
      </x:c>
      <x:c r="Z501" s="215" t="str">
        <x:v>Source-backed draft</x:v>
      </x:c>
      <x:c r="AA501" s="215" t="str">
        <x:v>Family pattern</x:v>
      </x:c>
      <x:c r="AB501" s="215" t="str">
        <x:v>Supporting / route</x:v>
      </x:c>
      <x:c r="AC501" s="215" t="str">
        <x:v>High</x:v>
      </x:c>
      <x:c r="AD501" s="215" t="str">
        <x:v>Hand lens / macro</x:v>
      </x:c>
      <x:c r="AE501" s="215" t="str">
        <x:v>Low</x:v>
      </x:c>
      <x:c r="AF501" s="215" t="str">
        <x:v>Field-ready draft</x:v>
      </x:c>
      <x:c r="AG501" s="215" t="str">
        <x:v>4 — Context / caution</x:v>
      </x:c>
      <x:c r="AH501" s="215" t="str">
        <x:v>Current master inventory</x:v>
      </x:c>
    </x:row>
    <x:row r="502" ht="42" customHeight="1">
      <x:c r="A502" s="215" t="str">
        <x:v>Iridaceae</x:v>
      </x:c>
      <x:c r="B502" s="215" t="str">
        <x:v>IRI-LK01</x:v>
      </x:c>
      <x:c r="C502" s="215" t="str">
        <x:v>Lookalike comparison</x:v>
      </x:c>
      <x:c r="D502" s="215" t="str">
        <x:v>Lookalike</x:v>
      </x:c>
      <x:c r="E502" s="215" t="str">
        <x:v>Versus Orchidaceae: 3 separate stamens and no floral column favor Iridaceae; a column and pollen masses favor Orchidaceae</x:v>
      </x:c>
      <x:c r="F502" s="215" t="str">
        <x:v>Lookalike</x:v>
      </x:c>
      <x:c r="G502" s="215" t="str">
        <x:v>5</x:v>
      </x:c>
      <x:c r="H502" s="215" t="str">
        <x:v>High</x:v>
      </x:c>
      <x:c r="I502" s="215" t="str">
        <x:v>Naked eye or hand lens</x:v>
      </x:c>
      <x:c r="J502" s="215" t="str">
        <x:v>Fresh flowers</x:v>
      </x:c>
      <x:c r="K502" s="215" t="str">
        <x:v>Both can be showy monocots with inferior ovaries, but their pollen-bearing structures differ.</x:v>
      </x:c>
      <x:c r="L502" s="215" t="str">
        <x:v>Very small flowers require magnification; damaged orchids may lose pollinia.</x:v>
      </x:c>
      <x:c r="M502" s="215" t="str">
        <x:v>Inspect the flower center and count functional stamens; this supplies the reciprocal comparison for Orchidaceae.</x:v>
      </x:c>
      <x:c r="N502" s="215" t="str">
        <x:v>Central Texas blue-eyed-grasses and other iris-family herbs make this suite useful in prairies, seeps, and rocky openings.</x:v>
      </x:c>
      <x:c r="O502" s="215" t="str">
        <x:v>Low</x:v>
      </x:c>
      <x:c r="P502" s="215" t="str">
        <x:v>No</x:v>
      </x:c>
      <x:c r="Q502" s="215" t="str"/>
      <x:c r="R502" s="215" t="str">
        <x:v>IRI-STAMENS; IRI-OVARY; IRI-STYLE</x:v>
      </x:c>
      <x:c r="S502" s="215" t="str">
        <x:v>APWEB-IRID; FNA-IRID; POWO-IRID; LBJ-HAYS</x:v>
      </x:c>
      <x:c r="T502" s="215" t="str">
        <x:v>https://www.mobot.org/MOBOT/research/APweb/orders/asparagalesweb.htm</x:v>
      </x:c>
      <x:c r="U502" s="215" t="str">
        <x:v>https://floranorthamerica.org/Iridaceae</x:v>
      </x:c>
      <x:c r="V502" s="215" t="str">
        <x:v>https://powo.science.kew.org/taxon/urn:lsid:ipni.org:names:30001783-2/general-information</x:v>
      </x:c>
      <x:c r="W502" s="215" t="str">
        <x:v>https://www.mobot.org/MOBOT/research/APweb/orders/asparagalesweb.htm
https://floranorthamerica.org/Iridaceae
https://powo.science.kew.org/taxon/urn:lsid:ipni.org:names:30001783-2/general-information
https://www.wildflower.org/collections/collection.php?collection=hays</x:v>
      </x:c>
      <x:c r="X502" s="215" t="str">
        <x:v>No — retain qualifiers and exceptions</x:v>
      </x:c>
      <x:c r="Y502" s="215" t="str">
        <x:v>Yes</x:v>
      </x:c>
      <x:c r="Z502" s="215" t="str">
        <x:v>Source-backed draft</x:v>
      </x:c>
      <x:c r="AA502" s="215" t="str">
        <x:v>Lookalike comparison</x:v>
      </x:c>
      <x:c r="AB502" s="215" t="str">
        <x:v>Contrast / lookalike</x:v>
      </x:c>
      <x:c r="AC502" s="215" t="str">
        <x:v>High</x:v>
      </x:c>
      <x:c r="AD502" s="215" t="str">
        <x:v>Hand lens / macro</x:v>
      </x:c>
      <x:c r="AE502" s="215" t="str">
        <x:v>Low</x:v>
      </x:c>
      <x:c r="AF502" s="215" t="str">
        <x:v>Field-ready draft</x:v>
      </x:c>
      <x:c r="AG502" s="215" t="str">
        <x:v>2 — Field-photo priority</x:v>
      </x:c>
      <x:c r="AH502" s="215" t="str">
        <x:v>Current master inventory</x:v>
      </x:c>
    </x:row>
    <x:row r="503" ht="42" customHeight="1">
      <x:c r="A503" s="215" t="str">
        <x:v>Iridaceae</x:v>
      </x:c>
      <x:c r="B503" s="215" t="str">
        <x:v>IRI-LK02</x:v>
      </x:c>
      <x:c r="C503" s="215" t="str">
        <x:v>Lookalike comparison</x:v>
      </x:c>
      <x:c r="D503" s="215" t="str">
        <x:v>Lookalike</x:v>
      </x:c>
      <x:c r="E503" s="215" t="str">
        <x:v>Versus Asparagaceae: 3 stamens plus an usually inferior ovary favor Iridaceae; many local asparagoids have 6 stamens and a superior ovary</x:v>
      </x:c>
      <x:c r="F503" s="215" t="str">
        <x:v>Lookalike</x:v>
      </x:c>
      <x:c r="G503" s="215" t="str">
        <x:v>5</x:v>
      </x:c>
      <x:c r="H503" s="215" t="str">
        <x:v>High</x:v>
      </x:c>
      <x:c r="I503" s="215" t="str">
        <x:v>Naked eye or hand lens</x:v>
      </x:c>
      <x:c r="J503" s="215" t="str">
        <x:v>Fresh flowers</x:v>
      </x:c>
      <x:c r="K503" s="215" t="str">
        <x:v>Grasslike leaves and six tepals overlap, so stamen count and ovary position matter.</x:v>
      </x:c>
      <x:c r="L503" s="215" t="str">
        <x:v>Asparagaceae is diverse and exceptions require a full suite.</x:v>
      </x:c>
      <x:c r="M503" s="215" t="str">
        <x:v>Count stamens first, then verify where the perianth attaches.</x:v>
      </x:c>
      <x:c r="N503" s="215" t="str">
        <x:v>Central Texas blue-eyed-grasses and other iris-family herbs make this suite useful in prairies, seeps, and rocky openings.</x:v>
      </x:c>
      <x:c r="O503" s="215" t="str">
        <x:v>Low</x:v>
      </x:c>
      <x:c r="P503" s="215" t="str">
        <x:v>No</x:v>
      </x:c>
      <x:c r="Q503" s="215" t="str"/>
      <x:c r="R503" s="215" t="str">
        <x:v>IRI-LEAVES; IRI-STAMENS; IRI-OVARY</x:v>
      </x:c>
      <x:c r="S503" s="215" t="str">
        <x:v>APWEB-IRID; FNA-IRID; POWO-IRID; LBJ-HAYS</x:v>
      </x:c>
      <x:c r="T503" s="215" t="str">
        <x:v>https://www.mobot.org/MOBOT/research/APweb/orders/asparagalesweb.htm</x:v>
      </x:c>
      <x:c r="U503" s="215" t="str">
        <x:v>https://floranorthamerica.org/Iridaceae</x:v>
      </x:c>
      <x:c r="V503" s="215" t="str">
        <x:v>https://powo.science.kew.org/taxon/urn:lsid:ipni.org:names:30001783-2/general-information</x:v>
      </x:c>
      <x:c r="W503" s="215" t="str">
        <x:v>https://www.mobot.org/MOBOT/research/APweb/orders/asparagalesweb.htm
https://floranorthamerica.org/Iridaceae
https://powo.science.kew.org/taxon/urn:lsid:ipni.org:names:30001783-2/general-information
https://www.wildflower.org/collections/collection.php?collection=hays</x:v>
      </x:c>
      <x:c r="X503" s="215" t="str">
        <x:v>No — retain qualifiers and exceptions</x:v>
      </x:c>
      <x:c r="Y503" s="215" t="str">
        <x:v>Yes</x:v>
      </x:c>
      <x:c r="Z503" s="215" t="str">
        <x:v>Source-backed draft</x:v>
      </x:c>
      <x:c r="AA503" s="215" t="str">
        <x:v>Lookalike comparison</x:v>
      </x:c>
      <x:c r="AB503" s="215" t="str">
        <x:v>Contrast / lookalike</x:v>
      </x:c>
      <x:c r="AC503" s="215" t="str">
        <x:v>High</x:v>
      </x:c>
      <x:c r="AD503" s="215" t="str">
        <x:v>Hand lens / macro</x:v>
      </x:c>
      <x:c r="AE503" s="215" t="str">
        <x:v>Low</x:v>
      </x:c>
      <x:c r="AF503" s="215" t="str">
        <x:v>Field-ready draft</x:v>
      </x:c>
      <x:c r="AG503" s="215" t="str">
        <x:v>2 — Field-photo priority</x:v>
      </x:c>
      <x:c r="AH503" s="215" t="str">
        <x:v>Current master inventory</x:v>
      </x:c>
    </x:row>
    <x:row r="504" ht="42" customHeight="1">
      <x:c r="A504" s="215" t="str">
        <x:v>Oleaceae</x:v>
      </x:c>
      <x:c r="B504" s="215" t="str">
        <x:v>OLE-HABIT</x:v>
      </x:c>
      <x:c r="C504" s="215" t="str">
        <x:v>Family character</x:v>
      </x:c>
      <x:c r="D504" s="215" t="str">
        <x:v>Habit</x:v>
      </x:c>
      <x:c r="E504" s="215" t="str">
        <x:v>Trees, shrubs, or woody climbers</x:v>
      </x:c>
      <x:c r="F504" s="215" t="str">
        <x:v>Strong</x:v>
      </x:c>
      <x:c r="G504" s="215" t="str">
        <x:v>2</x:v>
      </x:c>
      <x:c r="H504" s="215" t="str">
        <x:v>High</x:v>
      </x:c>
      <x:c r="I504" s="215" t="str">
        <x:v>Naked eye or hand lens</x:v>
      </x:c>
      <x:c r="J504" s="215" t="str">
        <x:v>Any leafy material</x:v>
      </x:c>
      <x:c r="K504" s="215" t="str">
        <x:v>The family is predominantly woody in the regional flora.</x:v>
      </x:c>
      <x:c r="L504" s="215" t="str">
        <x:v>Habit does not separate it from many opposite-leaved families.</x:v>
      </x:c>
      <x:c r="M504" s="215" t="str">
        <x:v>Use as a preliminary filter only.</x:v>
      </x:c>
      <x:c r="N504" s="215" t="str">
        <x:v>Ashes, elbowbush/forestiera relatives, and menodora-type shrubs make opposite-leaved woody Oleaceae practical in Hays County.</x:v>
      </x:c>
      <x:c r="O504" s="215" t="str">
        <x:v>Low</x:v>
      </x:c>
      <x:c r="P504" s="215" t="str">
        <x:v>No</x:v>
      </x:c>
      <x:c r="Q504" s="215" t="str"/>
      <x:c r="R504" s="215" t="str"/>
      <x:c r="S504" s="215" t="str">
        <x:v>APWEB-OLEA; POWO-OLEA; LBJ-HAYS</x:v>
      </x:c>
      <x:c r="T504" s="215" t="str">
        <x:v>https://www.mobot.org/MOBOT/research/APweb/orders/lamialesweb.htm</x:v>
      </x:c>
      <x:c r="U504" s="215" t="str">
        <x:v>https://powo.science.kew.org/taxon/urn:lsid:ipni.org:names:30001336-2/general-information</x:v>
      </x:c>
      <x:c r="V504" s="215" t="str">
        <x:v>https://powo.science.kew.org/taxon/urn:lsid:ipni.org:names:30001336-2/general-information</x:v>
      </x:c>
      <x:c r="W504"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4" s="215" t="str">
        <x:v>No — retain qualifiers and exceptions</x:v>
      </x:c>
      <x:c r="Y504" s="215" t="str">
        <x:v>Yes</x:v>
      </x:c>
      <x:c r="Z504" s="215" t="str">
        <x:v>Source-backed draft</x:v>
      </x:c>
      <x:c r="AA504" s="215" t="str">
        <x:v>Family pattern</x:v>
      </x:c>
      <x:c r="AB504" s="215" t="str">
        <x:v>Positive diagnostic</x:v>
      </x:c>
      <x:c r="AC504" s="215" t="str">
        <x:v>High</x:v>
      </x:c>
      <x:c r="AD504" s="215" t="str">
        <x:v>Hand lens / macro</x:v>
      </x:c>
      <x:c r="AE504" s="215" t="str">
        <x:v>Low</x:v>
      </x:c>
      <x:c r="AF504" s="215" t="str">
        <x:v>Field-ready draft</x:v>
      </x:c>
      <x:c r="AG504" s="215" t="str">
        <x:v>4 — Context / caution</x:v>
      </x:c>
      <x:c r="AH504" s="215" t="str">
        <x:v>Current master inventory</x:v>
      </x:c>
    </x:row>
    <x:row r="505" ht="42" customHeight="1">
      <x:c r="A505" s="215" t="str">
        <x:v>Oleaceae</x:v>
      </x:c>
      <x:c r="B505" s="215" t="str">
        <x:v>OLE-LEAVES</x:v>
      </x:c>
      <x:c r="C505" s="215" t="str">
        <x:v>Family character</x:v>
      </x:c>
      <x:c r="D505" s="215" t="str">
        <x:v>Leaves / stipules</x:v>
      </x:c>
      <x:c r="E505" s="215" t="str">
        <x:v>Leaves usually opposite and exstipulate, simple, trifoliolate, or pinnate</x:v>
      </x:c>
      <x:c r="F505" s="215" t="str">
        <x:v>Strong</x:v>
      </x:c>
      <x:c r="G505" s="215" t="str">
        <x:v>4</x:v>
      </x:c>
      <x:c r="H505" s="215" t="str">
        <x:v>High</x:v>
      </x:c>
      <x:c r="I505" s="215" t="str">
        <x:v>Naked eye or hand lens</x:v>
      </x:c>
      <x:c r="J505" s="215" t="str">
        <x:v>Leafy shoots</x:v>
      </x:c>
      <x:c r="K505" s="215" t="str">
        <x:v>Opposite leaves without interpetiolar stipules are a strong first clue.</x:v>
      </x:c>
      <x:c r="L505" s="215" t="str">
        <x:v>Leaf arrangement or division can depart from the usual pattern in the global family.</x:v>
      </x:c>
      <x:c r="M505" s="215" t="str">
        <x:v>Inspect several nodes and look carefully for stipules or stipular scars.</x:v>
      </x:c>
      <x:c r="N505" s="215" t="str">
        <x:v>Ashes, elbowbush/forestiera relatives, and menodora-type shrubs make opposite-leaved woody Oleaceae practical in Hays County.</x:v>
      </x:c>
      <x:c r="O505" s="215" t="str">
        <x:v>Low</x:v>
      </x:c>
      <x:c r="P505" s="215" t="str">
        <x:v>No</x:v>
      </x:c>
      <x:c r="Q505" s="215" t="str"/>
      <x:c r="R505" s="215" t="str">
        <x:v>OLE-LK01; OLE-LK02</x:v>
      </x:c>
      <x:c r="S505" s="215" t="str">
        <x:v>APWEB-OLEA; POWO-OLEA; LBJ-HAYS</x:v>
      </x:c>
      <x:c r="T505" s="215" t="str">
        <x:v>https://www.mobot.org/MOBOT/research/APweb/orders/lamialesweb.htm</x:v>
      </x:c>
      <x:c r="U505" s="215" t="str">
        <x:v>https://powo.science.kew.org/taxon/urn:lsid:ipni.org:names:30001336-2/general-information</x:v>
      </x:c>
      <x:c r="V505" s="215" t="str">
        <x:v>https://powo.science.kew.org/taxon/urn:lsid:ipni.org:names:30001336-2/general-information</x:v>
      </x:c>
      <x:c r="W505"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5" s="215" t="str">
        <x:v>No — retain qualifiers and exceptions</x:v>
      </x:c>
      <x:c r="Y505" s="215" t="str">
        <x:v>Yes</x:v>
      </x:c>
      <x:c r="Z505" s="215" t="str">
        <x:v>Source-backed draft</x:v>
      </x:c>
      <x:c r="AA505" s="215" t="str">
        <x:v>Family pattern</x:v>
      </x:c>
      <x:c r="AB505" s="215" t="str">
        <x:v>Positive diagnostic</x:v>
      </x:c>
      <x:c r="AC505" s="215" t="str">
        <x:v>High</x:v>
      </x:c>
      <x:c r="AD505" s="215" t="str">
        <x:v>Hand lens / macro</x:v>
      </x:c>
      <x:c r="AE505" s="215" t="str">
        <x:v>Low</x:v>
      </x:c>
      <x:c r="AF505" s="215" t="str">
        <x:v>Field-ready draft</x:v>
      </x:c>
      <x:c r="AG505" s="215" t="str">
        <x:v>2 — Field-photo priority</x:v>
      </x:c>
      <x:c r="AH505" s="215" t="str">
        <x:v>Current master inventory</x:v>
      </x:c>
    </x:row>
    <x:row r="506" ht="42" customHeight="1">
      <x:c r="A506" s="215" t="str">
        <x:v>Oleaceae</x:v>
      </x:c>
      <x:c r="B506" s="215" t="str">
        <x:v>OLE-INFLO</x:v>
      </x:c>
      <x:c r="C506" s="215" t="str">
        <x:v>Family character</x:v>
      </x:c>
      <x:c r="D506" s="215" t="str">
        <x:v>Inflorescence</x:v>
      </x:c>
      <x:c r="E506" s="215" t="str">
        <x:v>Flowers in terminal or axillary cymes, panicles, racemes, fascicles, or clusters</x:v>
      </x:c>
      <x:c r="F506" s="215" t="str">
        <x:v>Supporting</x:v>
      </x:c>
      <x:c r="G506" s="215" t="str">
        <x:v>2</x:v>
      </x:c>
      <x:c r="H506" s="215" t="str">
        <x:v>High</x:v>
      </x:c>
      <x:c r="I506" s="215" t="str">
        <x:v>Naked eye or hand lens</x:v>
      </x:c>
      <x:c r="J506" s="215" t="str">
        <x:v>Flowering material</x:v>
      </x:c>
      <x:c r="K506" s="215" t="str">
        <x:v>The inflorescence is variable, so its position supports rather than defines the family.</x:v>
      </x:c>
      <x:c r="L506" s="215" t="str">
        <x:v>No single inflorescence architecture is universal.</x:v>
      </x:c>
      <x:c r="M506" s="215" t="str">
        <x:v>Use inflorescence position with leaf arrangement and flower structure.</x:v>
      </x:c>
      <x:c r="N506" s="215" t="str">
        <x:v>Ashes, elbowbush/forestiera relatives, and menodora-type shrubs make opposite-leaved woody Oleaceae practical in Hays County.</x:v>
      </x:c>
      <x:c r="O506" s="215" t="str">
        <x:v>Low</x:v>
      </x:c>
      <x:c r="P506" s="215" t="str">
        <x:v>No</x:v>
      </x:c>
      <x:c r="Q506" s="215" t="str"/>
      <x:c r="R506" s="215" t="str"/>
      <x:c r="S506" s="215" t="str">
        <x:v>APWEB-OLEA; POWO-OLEA; LBJ-HAYS</x:v>
      </x:c>
      <x:c r="T506" s="215" t="str">
        <x:v>https://www.mobot.org/MOBOT/research/APweb/orders/lamialesweb.htm</x:v>
      </x:c>
      <x:c r="U506" s="215" t="str">
        <x:v>https://powo.science.kew.org/taxon/urn:lsid:ipni.org:names:30001336-2/general-information</x:v>
      </x:c>
      <x:c r="V506" s="215" t="str">
        <x:v>https://powo.science.kew.org/taxon/urn:lsid:ipni.org:names:30001336-2/general-information</x:v>
      </x:c>
      <x:c r="W506"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6" s="215" t="str">
        <x:v>No — retain qualifiers and exceptions</x:v>
      </x:c>
      <x:c r="Y506" s="215" t="str">
        <x:v>Yes</x:v>
      </x:c>
      <x:c r="Z506" s="215" t="str">
        <x:v>Source-backed draft</x:v>
      </x:c>
      <x:c r="AA506" s="215" t="str">
        <x:v>Family pattern</x:v>
      </x:c>
      <x:c r="AB506" s="215" t="str">
        <x:v>Supporting / route</x:v>
      </x:c>
      <x:c r="AC506" s="215" t="str">
        <x:v>High</x:v>
      </x:c>
      <x:c r="AD506" s="215" t="str">
        <x:v>Hand lens / macro</x:v>
      </x:c>
      <x:c r="AE506" s="215" t="str">
        <x:v>Low</x:v>
      </x:c>
      <x:c r="AF506" s="215" t="str">
        <x:v>Field-ready draft</x:v>
      </x:c>
      <x:c r="AG506" s="215" t="str">
        <x:v>4 — Context / caution</x:v>
      </x:c>
      <x:c r="AH506" s="215" t="str">
        <x:v>Current master inventory</x:v>
      </x:c>
    </x:row>
    <x:row r="507" ht="42" customHeight="1">
      <x:c r="A507" s="215" t="str">
        <x:v>Oleaceae</x:v>
      </x:c>
      <x:c r="B507" s="215" t="str">
        <x:v>OLE-FLOWER</x:v>
      </x:c>
      <x:c r="C507" s="215" t="str">
        <x:v>Family character</x:v>
      </x:c>
      <x:c r="D507" s="215" t="str">
        <x:v>Flowers</x:v>
      </x:c>
      <x:c r="E507" s="215" t="str">
        <x:v>Flowers usually radially symmetric and 4-merous; corolla commonly fused but sometimes absent</x:v>
      </x:c>
      <x:c r="F507" s="215" t="str">
        <x:v>Strong</x:v>
      </x:c>
      <x:c r="G507" s="215" t="str">
        <x:v>4</x:v>
      </x:c>
      <x:c r="H507" s="215" t="str">
        <x:v>High</x:v>
      </x:c>
      <x:c r="I507" s="215" t="str">
        <x:v>Naked eye or hand lens</x:v>
      </x:c>
      <x:c r="J507" s="215" t="str">
        <x:v>Fresh flowers</x:v>
      </x:c>
      <x:c r="K507" s="215" t="str">
        <x:v>Four-parted flowers on an opposite-leaved woody plant are characteristic.</x:v>
      </x:c>
      <x:c r="L507" s="215" t="str">
        <x:v>Petals may be free or absent, and some flowers are unisexual.</x:v>
      </x:c>
      <x:c r="M507" s="215" t="str">
        <x:v>Count the calyx/corolla parts but retain exceptions.</x:v>
      </x:c>
      <x:c r="N507" s="215" t="str">
        <x:v>Ashes, elbowbush/forestiera relatives, and menodora-type shrubs make opposite-leaved woody Oleaceae practical in Hays County.</x:v>
      </x:c>
      <x:c r="O507" s="215" t="str">
        <x:v>Low</x:v>
      </x:c>
      <x:c r="P507" s="215" t="str">
        <x:v>No</x:v>
      </x:c>
      <x:c r="Q507" s="215" t="str"/>
      <x:c r="R507" s="215" t="str"/>
      <x:c r="S507" s="215" t="str">
        <x:v>APWEB-OLEA; POWO-OLEA; LBJ-HAYS</x:v>
      </x:c>
      <x:c r="T507" s="215" t="str">
        <x:v>https://www.mobot.org/MOBOT/research/APweb/orders/lamialesweb.htm</x:v>
      </x:c>
      <x:c r="U507" s="215" t="str">
        <x:v>https://powo.science.kew.org/taxon/urn:lsid:ipni.org:names:30001336-2/general-information</x:v>
      </x:c>
      <x:c r="V507" s="215" t="str">
        <x:v>https://powo.science.kew.org/taxon/urn:lsid:ipni.org:names:30001336-2/general-information</x:v>
      </x:c>
      <x:c r="W507"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7" s="215" t="str">
        <x:v>No — retain qualifiers and exceptions</x:v>
      </x:c>
      <x:c r="Y507" s="215" t="str">
        <x:v>Yes</x:v>
      </x:c>
      <x:c r="Z507" s="215" t="str">
        <x:v>Source-backed draft</x:v>
      </x:c>
      <x:c r="AA507" s="215" t="str">
        <x:v>Family pattern</x:v>
      </x:c>
      <x:c r="AB507" s="215" t="str">
        <x:v>Positive diagnostic</x:v>
      </x:c>
      <x:c r="AC507" s="215" t="str">
        <x:v>High</x:v>
      </x:c>
      <x:c r="AD507" s="215" t="str">
        <x:v>Hand lens / macro</x:v>
      </x:c>
      <x:c r="AE507" s="215" t="str">
        <x:v>Low</x:v>
      </x:c>
      <x:c r="AF507" s="215" t="str">
        <x:v>Field-ready draft</x:v>
      </x:c>
      <x:c r="AG507" s="215" t="str">
        <x:v>2 — Field-photo priority</x:v>
      </x:c>
      <x:c r="AH507" s="215" t="str">
        <x:v>Current master inventory</x:v>
      </x:c>
    </x:row>
    <x:row r="508" ht="42" customHeight="1">
      <x:c r="A508" s="215" t="str">
        <x:v>Oleaceae</x:v>
      </x:c>
      <x:c r="B508" s="215" t="str">
        <x:v>OLE-STAMENS</x:v>
      </x:c>
      <x:c r="C508" s="215" t="str">
        <x:v>Family character</x:v>
      </x:c>
      <x:c r="D508" s="215" t="str">
        <x:v>Stamens</x:v>
      </x:c>
      <x:c r="E508" s="215" t="str">
        <x:v>Usually 2 stamens, attached to the corolla when a corolla is present</x:v>
      </x:c>
      <x:c r="F508" s="215" t="str">
        <x:v>Strong</x:v>
      </x:c>
      <x:c r="G508" s="215" t="str">
        <x:v>5</x:v>
      </x:c>
      <x:c r="H508" s="215" t="str">
        <x:v>High</x:v>
      </x:c>
      <x:c r="I508" s="215" t="str">
        <x:v>Naked eye or hand lens</x:v>
      </x:c>
      <x:c r="J508" s="215" t="str">
        <x:v>Fresh flowers</x:v>
      </x:c>
      <x:c r="K508" s="215" t="str">
        <x:v>Two stamens are one of the family’s most useful floral clues.</x:v>
      </x:c>
      <x:c r="L508" s="215" t="str">
        <x:v>Rare taxa have 4 stamens; flowers without a corolla need careful interpretation.</x:v>
      </x:c>
      <x:c r="M508" s="215" t="str">
        <x:v>Use intact flowers and combine with 4-merous symmetry.</x:v>
      </x:c>
      <x:c r="N508" s="215" t="str">
        <x:v>Ashes, elbowbush/forestiera relatives, and menodora-type shrubs make opposite-leaved woody Oleaceae practical in Hays County.</x:v>
      </x:c>
      <x:c r="O508" s="215" t="str">
        <x:v>Low</x:v>
      </x:c>
      <x:c r="P508" s="215" t="str">
        <x:v>No</x:v>
      </x:c>
      <x:c r="Q508" s="215" t="str"/>
      <x:c r="R508" s="215" t="str">
        <x:v>OLE-LK01; OLE-LK02</x:v>
      </x:c>
      <x:c r="S508" s="215" t="str">
        <x:v>APWEB-OLEA; POWO-OLEA; LBJ-HAYS</x:v>
      </x:c>
      <x:c r="T508" s="215" t="str">
        <x:v>https://www.mobot.org/MOBOT/research/APweb/orders/lamialesweb.htm</x:v>
      </x:c>
      <x:c r="U508" s="215" t="str">
        <x:v>https://powo.science.kew.org/taxon/urn:lsid:ipni.org:names:30001336-2/general-information</x:v>
      </x:c>
      <x:c r="V508" s="215" t="str">
        <x:v>https://powo.science.kew.org/taxon/urn:lsid:ipni.org:names:30001336-2/general-information</x:v>
      </x:c>
      <x:c r="W508"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8" s="215" t="str">
        <x:v>No — retain qualifiers and exceptions</x:v>
      </x:c>
      <x:c r="Y508" s="215" t="str">
        <x:v>Yes</x:v>
      </x:c>
      <x:c r="Z508" s="215" t="str">
        <x:v>Source-backed draft</x:v>
      </x:c>
      <x:c r="AA508" s="215" t="str">
        <x:v>Family pattern</x:v>
      </x:c>
      <x:c r="AB508" s="215" t="str">
        <x:v>Positive diagnostic</x:v>
      </x:c>
      <x:c r="AC508" s="215" t="str">
        <x:v>High</x:v>
      </x:c>
      <x:c r="AD508" s="215" t="str">
        <x:v>Hand lens / macro</x:v>
      </x:c>
      <x:c r="AE508" s="215" t="str">
        <x:v>Low</x:v>
      </x:c>
      <x:c r="AF508" s="215" t="str">
        <x:v>Field-ready draft</x:v>
      </x:c>
      <x:c r="AG508" s="215" t="str">
        <x:v>2 — Field-photo priority</x:v>
      </x:c>
      <x:c r="AH508" s="215" t="str">
        <x:v>Current master inventory</x:v>
      </x:c>
    </x:row>
    <x:row r="509" ht="42" customHeight="1">
      <x:c r="A509" s="215" t="str">
        <x:v>Oleaceae</x:v>
      </x:c>
      <x:c r="B509" s="215" t="str">
        <x:v>OLE-OVARY</x:v>
      </x:c>
      <x:c r="C509" s="215" t="str">
        <x:v>Family character</x:v>
      </x:c>
      <x:c r="D509" s="215" t="str">
        <x:v>Gynoecium</x:v>
      </x:c>
      <x:c r="E509" s="215" t="str">
        <x:v>Ovary superior, 2-carpellate and usually 2-locular</x:v>
      </x:c>
      <x:c r="F509" s="215" t="str">
        <x:v>Strong</x:v>
      </x:c>
      <x:c r="G509" s="215" t="str">
        <x:v>5</x:v>
      </x:c>
      <x:c r="H509" s="215" t="str">
        <x:v>High</x:v>
      </x:c>
      <x:c r="I509" s="215" t="str">
        <x:v>Hand lens or dissection</x:v>
      </x:c>
      <x:c r="J509" s="215" t="str">
        <x:v>Fresh flowers</x:v>
      </x:c>
      <x:c r="K509" s="215" t="str">
        <x:v>The ovary sits above the other floral parts and is structurally two-parted.</x:v>
      </x:c>
      <x:c r="L509" s="215" t="str">
        <x:v>Locule and ovule details often require dissection.</x:v>
      </x:c>
      <x:c r="M509" s="215" t="str">
        <x:v>Use superior position to separate from Rubiaceae.</x:v>
      </x:c>
      <x:c r="N509" s="215" t="str">
        <x:v>Ashes, elbowbush/forestiera relatives, and menodora-type shrubs make opposite-leaved woody Oleaceae practical in Hays County.</x:v>
      </x:c>
      <x:c r="O509" s="215" t="str">
        <x:v>Low</x:v>
      </x:c>
      <x:c r="P509" s="215" t="str">
        <x:v>No</x:v>
      </x:c>
      <x:c r="Q509" s="215" t="str"/>
      <x:c r="R509" s="215" t="str">
        <x:v>OLE-LK01</x:v>
      </x:c>
      <x:c r="S509" s="215" t="str">
        <x:v>APWEB-OLEA; POWO-OLEA; LBJ-HAYS</x:v>
      </x:c>
      <x:c r="T509" s="215" t="str">
        <x:v>https://www.mobot.org/MOBOT/research/APweb/orders/lamialesweb.htm</x:v>
      </x:c>
      <x:c r="U509" s="215" t="str">
        <x:v>https://powo.science.kew.org/taxon/urn:lsid:ipni.org:names:30001336-2/general-information</x:v>
      </x:c>
      <x:c r="V509" s="215" t="str">
        <x:v>https://powo.science.kew.org/taxon/urn:lsid:ipni.org:names:30001336-2/general-information</x:v>
      </x:c>
      <x:c r="W509"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09" s="215" t="str">
        <x:v>No — retain qualifiers and exceptions</x:v>
      </x:c>
      <x:c r="Y509" s="215" t="str">
        <x:v>Yes</x:v>
      </x:c>
      <x:c r="Z509" s="215" t="str">
        <x:v>Source-backed draft</x:v>
      </x:c>
      <x:c r="AA509" s="215" t="str">
        <x:v>Family pattern</x:v>
      </x:c>
      <x:c r="AB509" s="215" t="str">
        <x:v>Positive diagnostic</x:v>
      </x:c>
      <x:c r="AC509" s="215" t="str">
        <x:v>High</x:v>
      </x:c>
      <x:c r="AD509" s="215" t="str">
        <x:v>Dissection</x:v>
      </x:c>
      <x:c r="AE509" s="215" t="str">
        <x:v>Low</x:v>
      </x:c>
      <x:c r="AF509" s="215" t="str">
        <x:v>Dissection / close study</x:v>
      </x:c>
      <x:c r="AG509" s="215" t="str">
        <x:v>3 — Reference support</x:v>
      </x:c>
      <x:c r="AH509" s="215" t="str">
        <x:v>Current master inventory</x:v>
      </x:c>
    </x:row>
    <x:row r="510" ht="42" customHeight="1">
      <x:c r="A510" s="215" t="str">
        <x:v>Oleaceae</x:v>
      </x:c>
      <x:c r="B510" s="215" t="str">
        <x:v>OLE-STIGMA</x:v>
      </x:c>
      <x:c r="C510" s="215" t="str">
        <x:v>Family character</x:v>
      </x:c>
      <x:c r="D510" s="215" t="str">
        <x:v>Gynoecium</x:v>
      </x:c>
      <x:c r="E510" s="215" t="str">
        <x:v>Stigma capitate or shallowly 2-lobed on a single style</x:v>
      </x:c>
      <x:c r="F510" s="215" t="str">
        <x:v>Supporting</x:v>
      </x:c>
      <x:c r="G510" s="215" t="str">
        <x:v>2</x:v>
      </x:c>
      <x:c r="H510" s="215" t="str">
        <x:v>High</x:v>
      </x:c>
      <x:c r="I510" s="215" t="str">
        <x:v>Hand lens</x:v>
      </x:c>
      <x:c r="J510" s="215" t="str">
        <x:v>Fresh flowers</x:v>
      </x:c>
      <x:c r="K510" s="215" t="str">
        <x:v>A single style with a two-lobed or headlike stigma fits the family suite.</x:v>
      </x:c>
      <x:c r="L510" s="215" t="str">
        <x:v>This is small and not reliably field-visible without magnification.</x:v>
      </x:c>
      <x:c r="M510" s="215" t="str">
        <x:v>Use only as confirmation after stamen and ovary characters.</x:v>
      </x:c>
      <x:c r="N510" s="215" t="str">
        <x:v>Ashes, elbowbush/forestiera relatives, and menodora-type shrubs make opposite-leaved woody Oleaceae practical in Hays County.</x:v>
      </x:c>
      <x:c r="O510" s="215" t="str">
        <x:v>Low</x:v>
      </x:c>
      <x:c r="P510" s="215" t="str">
        <x:v>No</x:v>
      </x:c>
      <x:c r="Q510" s="215" t="str"/>
      <x:c r="R510" s="215" t="str"/>
      <x:c r="S510" s="215" t="str">
        <x:v>APWEB-OLEA; POWO-OLEA; LBJ-HAYS</x:v>
      </x:c>
      <x:c r="T510" s="215" t="str">
        <x:v>https://www.mobot.org/MOBOT/research/APweb/orders/lamialesweb.htm</x:v>
      </x:c>
      <x:c r="U510" s="215" t="str">
        <x:v>https://powo.science.kew.org/taxon/urn:lsid:ipni.org:names:30001336-2/general-information</x:v>
      </x:c>
      <x:c r="V510" s="215" t="str">
        <x:v>https://powo.science.kew.org/taxon/urn:lsid:ipni.org:names:30001336-2/general-information</x:v>
      </x:c>
      <x:c r="W510"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10" s="215" t="str">
        <x:v>No — retain qualifiers and exceptions</x:v>
      </x:c>
      <x:c r="Y510" s="215" t="str">
        <x:v>Yes</x:v>
      </x:c>
      <x:c r="Z510" s="215" t="str">
        <x:v>Source-backed draft</x:v>
      </x:c>
      <x:c r="AA510" s="215" t="str">
        <x:v>Family pattern</x:v>
      </x:c>
      <x:c r="AB510" s="215" t="str">
        <x:v>Supporting / route</x:v>
      </x:c>
      <x:c r="AC510" s="215" t="str">
        <x:v>High</x:v>
      </x:c>
      <x:c r="AD510" s="215" t="str">
        <x:v>Hand lens / macro</x:v>
      </x:c>
      <x:c r="AE510" s="215" t="str">
        <x:v>Low</x:v>
      </x:c>
      <x:c r="AF510" s="215" t="str">
        <x:v>Field-ready draft</x:v>
      </x:c>
      <x:c r="AG510" s="215" t="str">
        <x:v>4 — Context / caution</x:v>
      </x:c>
      <x:c r="AH510" s="215" t="str">
        <x:v>Current master inventory</x:v>
      </x:c>
    </x:row>
    <x:row r="511" ht="42" customHeight="1">
      <x:c r="A511" s="215" t="str">
        <x:v>Oleaceae</x:v>
      </x:c>
      <x:c r="B511" s="215" t="str">
        <x:v>OLE-FRUIT</x:v>
      </x:c>
      <x:c r="C511" s="215" t="str">
        <x:v>Family character</x:v>
      </x:c>
      <x:c r="D511" s="215" t="str">
        <x:v>Fruit</x:v>
      </x:c>
      <x:c r="E511" s="215" t="str">
        <x:v>Fruit a drupe, berry, samara, or capsule depending on lineage</x:v>
      </x:c>
      <x:c r="F511" s="215" t="str">
        <x:v>Moderate</x:v>
      </x:c>
      <x:c r="G511" s="215" t="str">
        <x:v>2</x:v>
      </x:c>
      <x:c r="H511" s="215" t="str">
        <x:v>High</x:v>
      </x:c>
      <x:c r="I511" s="215" t="str">
        <x:v>Naked eye or hand lens</x:v>
      </x:c>
      <x:c r="J511" s="215" t="str">
        <x:v>Mature fruit</x:v>
      </x:c>
      <x:c r="K511" s="215" t="str">
        <x:v>Fruit type varies widely within Oleaceae, from ash samaras to fleshy or capsular fruits.</x:v>
      </x:c>
      <x:c r="L511" s="215" t="str">
        <x:v>No one fruit type diagnoses the entire family.</x:v>
      </x:c>
      <x:c r="M511" s="215" t="str">
        <x:v>Identify the local genus first, then use its expected fruit construction.</x:v>
      </x:c>
      <x:c r="N511" s="215" t="str">
        <x:v>Ashes, elbowbush/forestiera relatives, and menodora-type shrubs make opposite-leaved woody Oleaceae practical in Hays County.</x:v>
      </x:c>
      <x:c r="O511" s="215" t="str">
        <x:v>Low</x:v>
      </x:c>
      <x:c r="P511" s="215" t="str">
        <x:v>No</x:v>
      </x:c>
      <x:c r="Q511" s="215" t="str"/>
      <x:c r="R511" s="215" t="str"/>
      <x:c r="S511" s="215" t="str">
        <x:v>APWEB-OLEA; POWO-OLEA; LBJ-HAYS</x:v>
      </x:c>
      <x:c r="T511" s="215" t="str">
        <x:v>https://www.mobot.org/MOBOT/research/APweb/orders/lamialesweb.htm</x:v>
      </x:c>
      <x:c r="U511" s="215" t="str">
        <x:v>https://powo.science.kew.org/taxon/urn:lsid:ipni.org:names:30001336-2/general-information</x:v>
      </x:c>
      <x:c r="V511" s="215" t="str">
        <x:v>https://powo.science.kew.org/taxon/urn:lsid:ipni.org:names:30001336-2/general-information</x:v>
      </x:c>
      <x:c r="W511"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11" s="215" t="str">
        <x:v>No — retain qualifiers and exceptions</x:v>
      </x:c>
      <x:c r="Y511" s="215" t="str">
        <x:v>Yes</x:v>
      </x:c>
      <x:c r="Z511" s="215" t="str">
        <x:v>Source-backed draft</x:v>
      </x:c>
      <x:c r="AA511" s="215" t="str">
        <x:v>Family pattern</x:v>
      </x:c>
      <x:c r="AB511" s="215" t="str">
        <x:v>Supporting / route</x:v>
      </x:c>
      <x:c r="AC511" s="215" t="str">
        <x:v>High</x:v>
      </x:c>
      <x:c r="AD511" s="215" t="str">
        <x:v>Hand lens / macro</x:v>
      </x:c>
      <x:c r="AE511" s="215" t="str">
        <x:v>Low</x:v>
      </x:c>
      <x:c r="AF511" s="215" t="str">
        <x:v>Field-ready draft</x:v>
      </x:c>
      <x:c r="AG511" s="215" t="str">
        <x:v>4 — Context / caution</x:v>
      </x:c>
      <x:c r="AH511" s="215" t="str">
        <x:v>Current master inventory</x:v>
      </x:c>
    </x:row>
    <x:row r="512" ht="42" customHeight="1">
      <x:c r="A512" s="215" t="str">
        <x:v>Oleaceae</x:v>
      </x:c>
      <x:c r="B512" s="215" t="str">
        <x:v>OLE-SEEDS</x:v>
      </x:c>
      <x:c r="C512" s="215" t="str">
        <x:v>Family character</x:v>
      </x:c>
      <x:c r="D512" s="215" t="str">
        <x:v>Seeds</x:v>
      </x:c>
      <x:c r="E512" s="215" t="str">
        <x:v>Fruit commonly contains 1–2 mature seeds, though more ovules may begin development</x:v>
      </x:c>
      <x:c r="F512" s="215" t="str">
        <x:v>Supporting</x:v>
      </x:c>
      <x:c r="G512" s="215" t="str">
        <x:v>1</x:v>
      </x:c>
      <x:c r="H512" s="215" t="str">
        <x:v>High</x:v>
      </x:c>
      <x:c r="I512" s="215" t="str">
        <x:v>Naked eye or hand lens</x:v>
      </x:c>
      <x:c r="J512" s="215" t="str">
        <x:v>Mature fruit</x:v>
      </x:c>
      <x:c r="K512" s="215" t="str">
        <x:v>Low seed number can support the two-locular ovary pattern.</x:v>
      </x:c>
      <x:c r="L512" s="215" t="str">
        <x:v>Seed number varies and immature fruits can mislead.</x:v>
      </x:c>
      <x:c r="M512" s="215" t="str">
        <x:v>Use as a secondary mature-fruit character.</x:v>
      </x:c>
      <x:c r="N512" s="215" t="str">
        <x:v>Ashes, elbowbush/forestiera relatives, and menodora-type shrubs make opposite-leaved woody Oleaceae practical in Hays County.</x:v>
      </x:c>
      <x:c r="O512" s="215" t="str">
        <x:v>Low</x:v>
      </x:c>
      <x:c r="P512" s="215" t="str">
        <x:v>No</x:v>
      </x:c>
      <x:c r="Q512" s="215" t="str"/>
      <x:c r="R512" s="215" t="str"/>
      <x:c r="S512" s="215" t="str">
        <x:v>APWEB-OLEA; POWO-OLEA; LBJ-HAYS</x:v>
      </x:c>
      <x:c r="T512" s="215" t="str">
        <x:v>https://www.mobot.org/MOBOT/research/APweb/orders/lamialesweb.htm</x:v>
      </x:c>
      <x:c r="U512" s="215" t="str">
        <x:v>https://powo.science.kew.org/taxon/urn:lsid:ipni.org:names:30001336-2/general-information</x:v>
      </x:c>
      <x:c r="V512" s="215" t="str">
        <x:v>https://powo.science.kew.org/taxon/urn:lsid:ipni.org:names:30001336-2/general-information</x:v>
      </x:c>
      <x:c r="W512"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12" s="215" t="str">
        <x:v>No — retain qualifiers and exceptions</x:v>
      </x:c>
      <x:c r="Y512" s="215" t="str">
        <x:v>Yes</x:v>
      </x:c>
      <x:c r="Z512" s="215" t="str">
        <x:v>Source-backed draft</x:v>
      </x:c>
      <x:c r="AA512" s="215" t="str">
        <x:v>Family pattern</x:v>
      </x:c>
      <x:c r="AB512" s="215" t="str">
        <x:v>Supporting / route</x:v>
      </x:c>
      <x:c r="AC512" s="215" t="str">
        <x:v>High</x:v>
      </x:c>
      <x:c r="AD512" s="215" t="str">
        <x:v>Hand lens / macro</x:v>
      </x:c>
      <x:c r="AE512" s="215" t="str">
        <x:v>Low</x:v>
      </x:c>
      <x:c r="AF512" s="215" t="str">
        <x:v>Field-ready draft</x:v>
      </x:c>
      <x:c r="AG512" s="215" t="str">
        <x:v>4 — Context / caution</x:v>
      </x:c>
      <x:c r="AH512" s="215" t="str">
        <x:v>Current master inventory</x:v>
      </x:c>
    </x:row>
    <x:row r="513" ht="42" customHeight="1">
      <x:c r="A513" s="215" t="str">
        <x:v>Oleaceae</x:v>
      </x:c>
      <x:c r="B513" s="215" t="str">
        <x:v>OLE-LK01</x:v>
      </x:c>
      <x:c r="C513" s="215" t="str">
        <x:v>Lookalike comparison</x:v>
      </x:c>
      <x:c r="D513" s="215" t="str">
        <x:v>Lookalike</x:v>
      </x:c>
      <x:c r="E513" s="215" t="str">
        <x:v>Versus Rubiaceae: no interpetiolar stipules and a superior ovary favor Oleaceae; stipules and an inferior ovary favor Rubiaceae</x:v>
      </x:c>
      <x:c r="F513" s="215" t="str">
        <x:v>Lookalike</x:v>
      </x:c>
      <x:c r="G513" s="215" t="str">
        <x:v>5</x:v>
      </x:c>
      <x:c r="H513" s="215" t="str">
        <x:v>High</x:v>
      </x:c>
      <x:c r="I513" s="215" t="str">
        <x:v>Naked eye or hand lens</x:v>
      </x:c>
      <x:c r="J513" s="215" t="str">
        <x:v>Leafy flowering material</x:v>
      </x:c>
      <x:c r="K513" s="215" t="str">
        <x:v>Both often have opposite leaves and small sympetalous flowers.</x:v>
      </x:c>
      <x:c r="L513" s="215" t="str">
        <x:v>Stipules may be tiny or fallen; verify ovary position on flowers.</x:v>
      </x:c>
      <x:c r="M513" s="215" t="str">
        <x:v>Inspect nodes first and flower insertion second.</x:v>
      </x:c>
      <x:c r="N513" s="215" t="str">
        <x:v>Ashes, elbowbush/forestiera relatives, and menodora-type shrubs make opposite-leaved woody Oleaceae practical in Hays County.</x:v>
      </x:c>
      <x:c r="O513" s="215" t="str">
        <x:v>Low</x:v>
      </x:c>
      <x:c r="P513" s="215" t="str">
        <x:v>No</x:v>
      </x:c>
      <x:c r="Q513" s="215" t="str"/>
      <x:c r="R513" s="215" t="str">
        <x:v>OLE-LEAVES; OLE-OVARY</x:v>
      </x:c>
      <x:c r="S513" s="215" t="str">
        <x:v>APWEB-OLEA; POWO-OLEA; LBJ-HAYS</x:v>
      </x:c>
      <x:c r="T513" s="215" t="str">
        <x:v>https://www.mobot.org/MOBOT/research/APweb/orders/lamialesweb.htm</x:v>
      </x:c>
      <x:c r="U513" s="215" t="str">
        <x:v>https://powo.science.kew.org/taxon/urn:lsid:ipni.org:names:30001336-2/general-information</x:v>
      </x:c>
      <x:c r="V513" s="215" t="str">
        <x:v>https://powo.science.kew.org/taxon/urn:lsid:ipni.org:names:30001336-2/general-information</x:v>
      </x:c>
      <x:c r="W513"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13" s="215" t="str">
        <x:v>No — retain qualifiers and exceptions</x:v>
      </x:c>
      <x:c r="Y513" s="215" t="str">
        <x:v>Yes</x:v>
      </x:c>
      <x:c r="Z513" s="215" t="str">
        <x:v>Source-backed draft</x:v>
      </x:c>
      <x:c r="AA513" s="215" t="str">
        <x:v>Lookalike comparison</x:v>
      </x:c>
      <x:c r="AB513" s="215" t="str">
        <x:v>Contrast / lookalike</x:v>
      </x:c>
      <x:c r="AC513" s="215" t="str">
        <x:v>High</x:v>
      </x:c>
      <x:c r="AD513" s="215" t="str">
        <x:v>Hand lens / macro</x:v>
      </x:c>
      <x:c r="AE513" s="215" t="str">
        <x:v>Low</x:v>
      </x:c>
      <x:c r="AF513" s="215" t="str">
        <x:v>Field-ready draft</x:v>
      </x:c>
      <x:c r="AG513" s="215" t="str">
        <x:v>2 — Field-photo priority</x:v>
      </x:c>
      <x:c r="AH513" s="215" t="str">
        <x:v>Current master inventory</x:v>
      </x:c>
    </x:row>
    <x:row r="514" ht="42" customHeight="1">
      <x:c r="A514" s="215" t="str">
        <x:v>Oleaceae</x:v>
      </x:c>
      <x:c r="B514" s="215" t="str">
        <x:v>OLE-LK02</x:v>
      </x:c>
      <x:c r="C514" s="215" t="str">
        <x:v>Lookalike comparison</x:v>
      </x:c>
      <x:c r="D514" s="215" t="str">
        <x:v>Lookalike</x:v>
      </x:c>
      <x:c r="E514" s="215" t="str">
        <x:v>Versus Lamiaceae: woody radial 4-merous flowers with usually 2 stamens favor Oleaceae; bilabiate flowers and a deeply 4-lobed ovary favor many Lamiaceae</x:v>
      </x:c>
      <x:c r="F514" s="215" t="str">
        <x:v>Lookalike</x:v>
      </x:c>
      <x:c r="G514" s="215" t="str">
        <x:v>5</x:v>
      </x:c>
      <x:c r="H514" s="215" t="str">
        <x:v>High</x:v>
      </x:c>
      <x:c r="I514" s="215" t="str">
        <x:v>Naked eye or hand lens</x:v>
      </x:c>
      <x:c r="J514" s="215" t="str">
        <x:v>Fresh flowers</x:v>
      </x:c>
      <x:c r="K514" s="215" t="str">
        <x:v>Opposite leaves can send a field key in either direction.</x:v>
      </x:c>
      <x:c r="L514" s="215" t="str">
        <x:v>Woody Lamiaceae and atypical Oleaceae require the full floral suite.</x:v>
      </x:c>
      <x:c r="M514" s="215" t="str">
        <x:v>Check corolla symmetry, stamen count, and whether the ovary divides into four lobes.</x:v>
      </x:c>
      <x:c r="N514" s="215" t="str">
        <x:v>Ashes, elbowbush/forestiera relatives, and menodora-type shrubs make opposite-leaved woody Oleaceae practical in Hays County.</x:v>
      </x:c>
      <x:c r="O514" s="215" t="str">
        <x:v>Low</x:v>
      </x:c>
      <x:c r="P514" s="215" t="str">
        <x:v>No</x:v>
      </x:c>
      <x:c r="Q514" s="215" t="str"/>
      <x:c r="R514" s="215" t="str">
        <x:v>OLE-LEAVES; OLE-FLOWER; OLE-STAMENS</x:v>
      </x:c>
      <x:c r="S514" s="215" t="str">
        <x:v>APWEB-OLEA; POWO-OLEA; LBJ-HAYS</x:v>
      </x:c>
      <x:c r="T514" s="215" t="str">
        <x:v>https://www.mobot.org/MOBOT/research/APweb/orders/lamialesweb.htm</x:v>
      </x:c>
      <x:c r="U514" s="215" t="str">
        <x:v>https://powo.science.kew.org/taxon/urn:lsid:ipni.org:names:30001336-2/general-information</x:v>
      </x:c>
      <x:c r="V514" s="215" t="str">
        <x:v>https://powo.science.kew.org/taxon/urn:lsid:ipni.org:names:30001336-2/general-information</x:v>
      </x:c>
      <x:c r="W514" s="215" t="str">
        <x:v>https://www.mobot.org/MOBOT/research/APweb/orders/lamialesweb.htm
https://powo.science.kew.org/taxon/urn:lsid:ipni.org:names:30001336-2/general-information
https://powo.science.kew.org/taxon/urn:lsid:ipni.org:names:30001336-2/general-information
https://www.wildflower.org/collections/collection.php?collection=hays</x:v>
      </x:c>
      <x:c r="X514" s="215" t="str">
        <x:v>No — retain qualifiers and exceptions</x:v>
      </x:c>
      <x:c r="Y514" s="215" t="str">
        <x:v>Yes</x:v>
      </x:c>
      <x:c r="Z514" s="215" t="str">
        <x:v>Source-backed draft</x:v>
      </x:c>
      <x:c r="AA514" s="215" t="str">
        <x:v>Lookalike comparison</x:v>
      </x:c>
      <x:c r="AB514" s="215" t="str">
        <x:v>Contrast / lookalike</x:v>
      </x:c>
      <x:c r="AC514" s="215" t="str">
        <x:v>High</x:v>
      </x:c>
      <x:c r="AD514" s="215" t="str">
        <x:v>Hand lens / macro</x:v>
      </x:c>
      <x:c r="AE514" s="215" t="str">
        <x:v>Low</x:v>
      </x:c>
      <x:c r="AF514" s="215" t="str">
        <x:v>Field-ready draft</x:v>
      </x:c>
      <x:c r="AG514" s="215" t="str">
        <x:v>2 — Field-photo priority</x:v>
      </x:c>
      <x:c r="AH514" s="215" t="str">
        <x:v>Current master inventory</x:v>
      </x:c>
    </x:row>
    <x:row r="515" ht="42" customHeight="1">
      <x:c r="A515" s="215" t="str">
        <x:v>Rhamnaceae</x:v>
      </x:c>
      <x:c r="B515" s="215" t="str">
        <x:v>RHA-HABIT</x:v>
      </x:c>
      <x:c r="C515" s="215" t="str">
        <x:v>Family character</x:v>
      </x:c>
      <x:c r="D515" s="215" t="str">
        <x:v>Habit / stems</x:v>
      </x:c>
      <x:c r="E515" s="215" t="str">
        <x:v>Trees, shrubs, or vines; branches sometimes ending in spines</x:v>
      </x:c>
      <x:c r="F515" s="215" t="str">
        <x:v>Strong</x:v>
      </x:c>
      <x:c r="G515" s="215" t="str">
        <x:v>2</x:v>
      </x:c>
      <x:c r="H515" s="215" t="str">
        <x:v>High</x:v>
      </x:c>
      <x:c r="I515" s="215" t="str">
        <x:v>Naked eye or hand lens</x:v>
      </x:c>
      <x:c r="J515" s="215" t="str">
        <x:v>Any mature shoot</x:v>
      </x:c>
      <x:c r="K515" s="215" t="str">
        <x:v>A woody, sometimes thorny plant is the normal regional presentation.</x:v>
      </x:c>
      <x:c r="L515" s="215" t="str">
        <x:v>Many unrelated shrubs are spiny, and not all Rhamnaceae are.</x:v>
      </x:c>
      <x:c r="M515" s="215" t="str">
        <x:v>Use stems only as a supporting clue.</x:v>
      </x:c>
      <x:c r="N515" s="215" t="str">
        <x:v>Buckthorn-family shrubs occur in Central Texas woodlands, thickets, and rocky sites; use the suite rather than any single leaf trait.</x:v>
      </x:c>
      <x:c r="O515" s="215" t="str">
        <x:v>Low</x:v>
      </x:c>
      <x:c r="P515" s="215" t="str">
        <x:v>No</x:v>
      </x:c>
      <x:c r="Q515" s="215" t="str"/>
      <x:c r="R515" s="215" t="str"/>
      <x:c r="S515" s="215" t="str">
        <x:v>APWEB-RHAM; FNA-RHAM; POWO-RHAM; LBJ-HAYS</x:v>
      </x:c>
      <x:c r="T515" s="215" t="str">
        <x:v>https://www.mobot.org/MOBOT/research/APweb/orders/rosalesweb.htm</x:v>
      </x:c>
      <x:c r="U515" s="215" t="str">
        <x:v>https://floranorthamerica.org/Rhamnaceae</x:v>
      </x:c>
      <x:c r="V515" s="215" t="str">
        <x:v>https://powo.science.kew.org/taxon/urn:lsid:ipni.org:names:50033316-1/general-information</x:v>
      </x:c>
      <x:c r="W515" s="215" t="str">
        <x:v>https://www.mobot.org/MOBOT/research/APweb/orders/rosalesweb.htm
https://floranorthamerica.org/Rhamnaceae
https://powo.science.kew.org/taxon/urn:lsid:ipni.org:names:50033316-1/general-information
https://www.wildflower.org/collections/collection.php?collection=hays</x:v>
      </x:c>
      <x:c r="X515" s="215" t="str">
        <x:v>No — retain qualifiers and exceptions</x:v>
      </x:c>
      <x:c r="Y515" s="215" t="str">
        <x:v>Yes</x:v>
      </x:c>
      <x:c r="Z515" s="215" t="str">
        <x:v>Source-backed draft</x:v>
      </x:c>
      <x:c r="AA515" s="215" t="str">
        <x:v>Family pattern</x:v>
      </x:c>
      <x:c r="AB515" s="215" t="str">
        <x:v>Positive diagnostic</x:v>
      </x:c>
      <x:c r="AC515" s="215" t="str">
        <x:v>High</x:v>
      </x:c>
      <x:c r="AD515" s="215" t="str">
        <x:v>Hand lens / macro</x:v>
      </x:c>
      <x:c r="AE515" s="215" t="str">
        <x:v>Low</x:v>
      </x:c>
      <x:c r="AF515" s="215" t="str">
        <x:v>Field-ready draft</x:v>
      </x:c>
      <x:c r="AG515" s="215" t="str">
        <x:v>4 — Context / caution</x:v>
      </x:c>
      <x:c r="AH515" s="215" t="str">
        <x:v>Current master inventory</x:v>
      </x:c>
    </x:row>
    <x:row r="516" ht="42" customHeight="1">
      <x:c r="A516" s="215" t="str">
        <x:v>Rhamnaceae</x:v>
      </x:c>
      <x:c r="B516" s="215" t="str">
        <x:v>RHA-LEAVES</x:v>
      </x:c>
      <x:c r="C516" s="215" t="str">
        <x:v>Family character</x:v>
      </x:c>
      <x:c r="D516" s="215" t="str">
        <x:v>Leaves / stipules</x:v>
      </x:c>
      <x:c r="E516" s="215" t="str">
        <x:v>Leaves simple, alternate or opposite, usually stipulate; three strong veins from near the base are common</x:v>
      </x:c>
      <x:c r="F516" s="215" t="str">
        <x:v>Strong</x:v>
      </x:c>
      <x:c r="G516" s="215" t="str">
        <x:v>3</x:v>
      </x:c>
      <x:c r="H516" s="215" t="str">
        <x:v>High</x:v>
      </x:c>
      <x:c r="I516" s="215" t="str">
        <x:v>Naked eye or hand lens</x:v>
      </x:c>
      <x:c r="J516" s="215" t="str">
        <x:v>Leafy shoots</x:v>
      </x:c>
      <x:c r="K516" s="215" t="str">
        <x:v>Small stipules and prominent basal venation can be conspicuous on buckthorn-family leaves.</x:v>
      </x:c>
      <x:c r="L516" s="215" t="str">
        <x:v>Venation and arrangement vary; stipules may fall early.</x:v>
      </x:c>
      <x:c r="M516" s="215" t="str">
        <x:v>Inspect multiple nodes and combine leaf clues with flowers or fruit.</x:v>
      </x:c>
      <x:c r="N516" s="215" t="str">
        <x:v>Buckthorn-family shrubs occur in Central Texas woodlands, thickets, and rocky sites; use the suite rather than any single leaf trait.</x:v>
      </x:c>
      <x:c r="O516" s="215" t="str">
        <x:v>Low</x:v>
      </x:c>
      <x:c r="P516" s="215" t="str">
        <x:v>No</x:v>
      </x:c>
      <x:c r="Q516" s="215" t="str"/>
      <x:c r="R516" s="215" t="str">
        <x:v>RHA-LK01; RHA-LK02</x:v>
      </x:c>
      <x:c r="S516" s="215" t="str">
        <x:v>APWEB-RHAM; FNA-RHAM; POWO-RHAM; LBJ-HAYS</x:v>
      </x:c>
      <x:c r="T516" s="215" t="str">
        <x:v>https://www.mobot.org/MOBOT/research/APweb/orders/rosalesweb.htm</x:v>
      </x:c>
      <x:c r="U516" s="215" t="str">
        <x:v>https://floranorthamerica.org/Rhamnaceae</x:v>
      </x:c>
      <x:c r="V516" s="215" t="str">
        <x:v>https://powo.science.kew.org/taxon/urn:lsid:ipni.org:names:50033316-1/general-information</x:v>
      </x:c>
      <x:c r="W516" s="215" t="str">
        <x:v>https://www.mobot.org/MOBOT/research/APweb/orders/rosalesweb.htm
https://floranorthamerica.org/Rhamnaceae
https://powo.science.kew.org/taxon/urn:lsid:ipni.org:names:50033316-1/general-information
https://www.wildflower.org/collections/collection.php?collection=hays</x:v>
      </x:c>
      <x:c r="X516" s="215" t="str">
        <x:v>No — retain qualifiers and exceptions</x:v>
      </x:c>
      <x:c r="Y516" s="215" t="str">
        <x:v>Yes</x:v>
      </x:c>
      <x:c r="Z516" s="215" t="str">
        <x:v>Source-backed draft</x:v>
      </x:c>
      <x:c r="AA516" s="215" t="str">
        <x:v>Family pattern</x:v>
      </x:c>
      <x:c r="AB516" s="215" t="str">
        <x:v>Positive diagnostic</x:v>
      </x:c>
      <x:c r="AC516" s="215" t="str">
        <x:v>High</x:v>
      </x:c>
      <x:c r="AD516" s="215" t="str">
        <x:v>Hand lens / macro</x:v>
      </x:c>
      <x:c r="AE516" s="215" t="str">
        <x:v>Low</x:v>
      </x:c>
      <x:c r="AF516" s="215" t="str">
        <x:v>Field-ready draft</x:v>
      </x:c>
      <x:c r="AG516" s="215" t="str">
        <x:v>3 — Reference support</x:v>
      </x:c>
      <x:c r="AH516" s="215" t="str">
        <x:v>Current master inventory</x:v>
      </x:c>
    </x:row>
    <x:row r="517" ht="42" customHeight="1">
      <x:c r="A517" s="215" t="str">
        <x:v>Rhamnaceae</x:v>
      </x:c>
      <x:c r="B517" s="215" t="str">
        <x:v>RHA-FLOWER</x:v>
      </x:c>
      <x:c r="C517" s="215" t="str">
        <x:v>Family character</x:v>
      </x:c>
      <x:c r="D517" s="215" t="str">
        <x:v>Flowers</x:v>
      </x:c>
      <x:c r="E517" s="215" t="str">
        <x:v>Flowers small, commonly greenish, and 4- or 5-merous</x:v>
      </x:c>
      <x:c r="F517" s="215" t="str">
        <x:v>Strong</x:v>
      </x:c>
      <x:c r="G517" s="215" t="str">
        <x:v>3</x:v>
      </x:c>
      <x:c r="H517" s="215" t="str">
        <x:v>High</x:v>
      </x:c>
      <x:c r="I517" s="215" t="str">
        <x:v>Hand lens</x:v>
      </x:c>
      <x:c r="J517" s="215" t="str">
        <x:v>Fresh flowers</x:v>
      </x:c>
      <x:c r="K517" s="215" t="str">
        <x:v>The flowers are often inconspicuous but regularly constructed.</x:v>
      </x:c>
      <x:c r="L517" s="215" t="str">
        <x:v>Petals can be absent and merosity varies.</x:v>
      </x:c>
      <x:c r="M517" s="215" t="str">
        <x:v>Count parts under a hand lens and seek the disc and stamen position.</x:v>
      </x:c>
      <x:c r="N517" s="215" t="str">
        <x:v>Buckthorn-family shrubs occur in Central Texas woodlands, thickets, and rocky sites; use the suite rather than any single leaf trait.</x:v>
      </x:c>
      <x:c r="O517" s="215" t="str">
        <x:v>Low</x:v>
      </x:c>
      <x:c r="P517" s="215" t="str">
        <x:v>No</x:v>
      </x:c>
      <x:c r="Q517" s="215" t="str"/>
      <x:c r="R517" s="215" t="str"/>
      <x:c r="S517" s="215" t="str">
        <x:v>APWEB-RHAM; FNA-RHAM; POWO-RHAM; LBJ-HAYS</x:v>
      </x:c>
      <x:c r="T517" s="215" t="str">
        <x:v>https://www.mobot.org/MOBOT/research/APweb/orders/rosalesweb.htm</x:v>
      </x:c>
      <x:c r="U517" s="215" t="str">
        <x:v>https://floranorthamerica.org/Rhamnaceae</x:v>
      </x:c>
      <x:c r="V517" s="215" t="str">
        <x:v>https://powo.science.kew.org/taxon/urn:lsid:ipni.org:names:50033316-1/general-information</x:v>
      </x:c>
      <x:c r="W517" s="215" t="str">
        <x:v>https://www.mobot.org/MOBOT/research/APweb/orders/rosalesweb.htm
https://floranorthamerica.org/Rhamnaceae
https://powo.science.kew.org/taxon/urn:lsid:ipni.org:names:50033316-1/general-information
https://www.wildflower.org/collections/collection.php?collection=hays</x:v>
      </x:c>
      <x:c r="X517" s="215" t="str">
        <x:v>No — retain qualifiers and exceptions</x:v>
      </x:c>
      <x:c r="Y517" s="215" t="str">
        <x:v>Yes</x:v>
      </x:c>
      <x:c r="Z517" s="215" t="str">
        <x:v>Source-backed draft</x:v>
      </x:c>
      <x:c r="AA517" s="215" t="str">
        <x:v>Family pattern</x:v>
      </x:c>
      <x:c r="AB517" s="215" t="str">
        <x:v>Positive diagnostic</x:v>
      </x:c>
      <x:c r="AC517" s="215" t="str">
        <x:v>High</x:v>
      </x:c>
      <x:c r="AD517" s="215" t="str">
        <x:v>Hand lens / macro</x:v>
      </x:c>
      <x:c r="AE517" s="215" t="str">
        <x:v>Low</x:v>
      </x:c>
      <x:c r="AF517" s="215" t="str">
        <x:v>Field-ready draft</x:v>
      </x:c>
      <x:c r="AG517" s="215" t="str">
        <x:v>3 — Reference support</x:v>
      </x:c>
      <x:c r="AH517" s="215" t="str">
        <x:v>Current master inventory</x:v>
      </x:c>
    </x:row>
    <x:row r="518" ht="42" customHeight="1">
      <x:c r="A518" s="215" t="str">
        <x:v>Rhamnaceae</x:v>
      </x:c>
      <x:c r="B518" s="215" t="str">
        <x:v>RHA-DISC</x:v>
      </x:c>
      <x:c r="C518" s="215" t="str">
        <x:v>Family character</x:v>
      </x:c>
      <x:c r="D518" s="215" t="str">
        <x:v>Flowers / nectar disc</x:v>
      </x:c>
      <x:c r="E518" s="215" t="str">
        <x:v>A conspicuous nectar disc commonly surrounds or lines the ovary</x:v>
      </x:c>
      <x:c r="F518" s="215" t="str">
        <x:v>Strong</x:v>
      </x:c>
      <x:c r="G518" s="215" t="str">
        <x:v>5</x:v>
      </x:c>
      <x:c r="H518" s="215" t="str">
        <x:v>High</x:v>
      </x:c>
      <x:c r="I518" s="215" t="str">
        <x:v>Hand lens</x:v>
      </x:c>
      <x:c r="J518" s="215" t="str">
        <x:v>Fresh flowers</x:v>
      </x:c>
      <x:c r="K518" s="215" t="str">
        <x:v>The fleshy disc is often more visible than the tiny petals.</x:v>
      </x:c>
      <x:c r="L518" s="215" t="str">
        <x:v>Disc form and ovary immersion vary among genera.</x:v>
      </x:c>
      <x:c r="M518" s="215" t="str">
        <x:v>Use the disc together with stamens opposite the petals.</x:v>
      </x:c>
      <x:c r="N518" s="215" t="str">
        <x:v>Buckthorn-family shrubs occur in Central Texas woodlands, thickets, and rocky sites; use the suite rather than any single leaf trait.</x:v>
      </x:c>
      <x:c r="O518" s="215" t="str">
        <x:v>Low</x:v>
      </x:c>
      <x:c r="P518" s="215" t="str">
        <x:v>No</x:v>
      </x:c>
      <x:c r="Q518" s="215" t="str"/>
      <x:c r="R518" s="215" t="str"/>
      <x:c r="S518" s="215" t="str">
        <x:v>APWEB-RHAM; FNA-RHAM; POWO-RHAM; LBJ-HAYS</x:v>
      </x:c>
      <x:c r="T518" s="215" t="str">
        <x:v>https://www.mobot.org/MOBOT/research/APweb/orders/rosalesweb.htm</x:v>
      </x:c>
      <x:c r="U518" s="215" t="str">
        <x:v>https://floranorthamerica.org/Rhamnaceae</x:v>
      </x:c>
      <x:c r="V518" s="215" t="str">
        <x:v>https://powo.science.kew.org/taxon/urn:lsid:ipni.org:names:50033316-1/general-information</x:v>
      </x:c>
      <x:c r="W518" s="215" t="str">
        <x:v>https://www.mobot.org/MOBOT/research/APweb/orders/rosalesweb.htm
https://floranorthamerica.org/Rhamnaceae
https://powo.science.kew.org/taxon/urn:lsid:ipni.org:names:50033316-1/general-information
https://www.wildflower.org/collections/collection.php?collection=hays</x:v>
      </x:c>
      <x:c r="X518" s="215" t="str">
        <x:v>No — retain qualifiers and exceptions</x:v>
      </x:c>
      <x:c r="Y518" s="215" t="str">
        <x:v>Yes</x:v>
      </x:c>
      <x:c r="Z518" s="215" t="str">
        <x:v>Source-backed draft</x:v>
      </x:c>
      <x:c r="AA518" s="215" t="str">
        <x:v>Family pattern</x:v>
      </x:c>
      <x:c r="AB518" s="215" t="str">
        <x:v>Positive diagnostic</x:v>
      </x:c>
      <x:c r="AC518" s="215" t="str">
        <x:v>High</x:v>
      </x:c>
      <x:c r="AD518" s="215" t="str">
        <x:v>Hand lens / macro</x:v>
      </x:c>
      <x:c r="AE518" s="215" t="str">
        <x:v>Low</x:v>
      </x:c>
      <x:c r="AF518" s="215" t="str">
        <x:v>Field-ready draft</x:v>
      </x:c>
      <x:c r="AG518" s="215" t="str">
        <x:v>2 — Field-photo priority</x:v>
      </x:c>
      <x:c r="AH518" s="215" t="str">
        <x:v>Current master inventory</x:v>
      </x:c>
    </x:row>
    <x:row r="519" ht="42" customHeight="1">
      <x:c r="A519" s="215" t="str">
        <x:v>Rhamnaceae</x:v>
      </x:c>
      <x:c r="B519" s="215" t="str">
        <x:v>RHA-PETALS</x:v>
      </x:c>
      <x:c r="C519" s="215" t="str">
        <x:v>Family character</x:v>
      </x:c>
      <x:c r="D519" s="215" t="str">
        <x:v>Flowers</x:v>
      </x:c>
      <x:c r="E519" s="215" t="str">
        <x:v>Petals small, often hooded or clawed, and sometimes absent</x:v>
      </x:c>
      <x:c r="F519" s="215" t="str">
        <x:v>Moderate</x:v>
      </x:c>
      <x:c r="G519" s="215" t="str">
        <x:v>3</x:v>
      </x:c>
      <x:c r="H519" s="215" t="str">
        <x:v>High</x:v>
      </x:c>
      <x:c r="I519" s="215" t="str">
        <x:v>Hand lens</x:v>
      </x:c>
      <x:c r="J519" s="215" t="str">
        <x:v>Fresh flowers</x:v>
      </x:c>
      <x:c r="K519" s="215" t="str">
        <x:v>Tiny petals may cap or partially enclose the stamens.</x:v>
      </x:c>
      <x:c r="L519" s="215" t="str">
        <x:v>Petal absence prevents this from being universal.</x:v>
      </x:c>
      <x:c r="M519" s="215" t="str">
        <x:v>Use only on intact flowers and retain the absence exception.</x:v>
      </x:c>
      <x:c r="N519" s="215" t="str">
        <x:v>Buckthorn-family shrubs occur in Central Texas woodlands, thickets, and rocky sites; use the suite rather than any single leaf trait.</x:v>
      </x:c>
      <x:c r="O519" s="215" t="str">
        <x:v>Low</x:v>
      </x:c>
      <x:c r="P519" s="215" t="str">
        <x:v>No</x:v>
      </x:c>
      <x:c r="Q519" s="215" t="str"/>
      <x:c r="R519" s="215" t="str"/>
      <x:c r="S519" s="215" t="str">
        <x:v>APWEB-RHAM; FNA-RHAM; POWO-RHAM; LBJ-HAYS</x:v>
      </x:c>
      <x:c r="T519" s="215" t="str">
        <x:v>https://www.mobot.org/MOBOT/research/APweb/orders/rosalesweb.htm</x:v>
      </x:c>
      <x:c r="U519" s="215" t="str">
        <x:v>https://floranorthamerica.org/Rhamnaceae</x:v>
      </x:c>
      <x:c r="V519" s="215" t="str">
        <x:v>https://powo.science.kew.org/taxon/urn:lsid:ipni.org:names:50033316-1/general-information</x:v>
      </x:c>
      <x:c r="W519" s="215" t="str">
        <x:v>https://www.mobot.org/MOBOT/research/APweb/orders/rosalesweb.htm
https://floranorthamerica.org/Rhamnaceae
https://powo.science.kew.org/taxon/urn:lsid:ipni.org:names:50033316-1/general-information
https://www.wildflower.org/collections/collection.php?collection=hays</x:v>
      </x:c>
      <x:c r="X519" s="215" t="str">
        <x:v>No — retain qualifiers and exceptions</x:v>
      </x:c>
      <x:c r="Y519" s="215" t="str">
        <x:v>Yes</x:v>
      </x:c>
      <x:c r="Z519" s="215" t="str">
        <x:v>Source-backed draft</x:v>
      </x:c>
      <x:c r="AA519" s="215" t="str">
        <x:v>Family pattern</x:v>
      </x:c>
      <x:c r="AB519" s="215" t="str">
        <x:v>Supporting / route</x:v>
      </x:c>
      <x:c r="AC519" s="215" t="str">
        <x:v>High</x:v>
      </x:c>
      <x:c r="AD519" s="215" t="str">
        <x:v>Hand lens / macro</x:v>
      </x:c>
      <x:c r="AE519" s="215" t="str">
        <x:v>Low</x:v>
      </x:c>
      <x:c r="AF519" s="215" t="str">
        <x:v>Field-ready draft</x:v>
      </x:c>
      <x:c r="AG519" s="215" t="str">
        <x:v>3 — Reference support</x:v>
      </x:c>
      <x:c r="AH519" s="215" t="str">
        <x:v>Current master inventory</x:v>
      </x:c>
    </x:row>
    <x:row r="520" ht="42" customHeight="1">
      <x:c r="A520" s="215" t="str">
        <x:v>Rhamnaceae</x:v>
      </x:c>
      <x:c r="B520" s="215" t="str">
        <x:v>RHA-STAMENS</x:v>
      </x:c>
      <x:c r="C520" s="215" t="str">
        <x:v>Family character</x:v>
      </x:c>
      <x:c r="D520" s="215" t="str">
        <x:v>Stamens</x:v>
      </x:c>
      <x:c r="E520" s="215" t="str">
        <x:v>Stamens equal in number to and positioned opposite the petals</x:v>
      </x:c>
      <x:c r="F520" s="215" t="str">
        <x:v>Strong</x:v>
      </x:c>
      <x:c r="G520" s="215" t="str">
        <x:v>5</x:v>
      </x:c>
      <x:c r="H520" s="215" t="str">
        <x:v>High</x:v>
      </x:c>
      <x:c r="I520" s="215" t="str">
        <x:v>Hand lens</x:v>
      </x:c>
      <x:c r="J520" s="215" t="str">
        <x:v>Fresh flowers</x:v>
      </x:c>
      <x:c r="K520" s="215" t="str">
        <x:v>Opposite-petal stamens are a high-value family clue.</x:v>
      </x:c>
      <x:c r="L520" s="215" t="str">
        <x:v>Flowers without petals require positional interpretation against the calyx and disc.</x:v>
      </x:c>
      <x:c r="M520" s="215" t="str">
        <x:v>Check intact flowers under magnification.</x:v>
      </x:c>
      <x:c r="N520" s="215" t="str">
        <x:v>Buckthorn-family shrubs occur in Central Texas woodlands, thickets, and rocky sites; use the suite rather than any single leaf trait.</x:v>
      </x:c>
      <x:c r="O520" s="215" t="str">
        <x:v>Low</x:v>
      </x:c>
      <x:c r="P520" s="215" t="str">
        <x:v>No</x:v>
      </x:c>
      <x:c r="Q520" s="215" t="str"/>
      <x:c r="R520" s="215" t="str">
        <x:v>RHA-LK01</x:v>
      </x:c>
      <x:c r="S520" s="215" t="str">
        <x:v>APWEB-RHAM; FNA-RHAM; POWO-RHAM; LBJ-HAYS</x:v>
      </x:c>
      <x:c r="T520" s="215" t="str">
        <x:v>https://www.mobot.org/MOBOT/research/APweb/orders/rosalesweb.htm</x:v>
      </x:c>
      <x:c r="U520" s="215" t="str">
        <x:v>https://floranorthamerica.org/Rhamnaceae</x:v>
      </x:c>
      <x:c r="V520" s="215" t="str">
        <x:v>https://powo.science.kew.org/taxon/urn:lsid:ipni.org:names:50033316-1/general-information</x:v>
      </x:c>
      <x:c r="W520" s="215" t="str">
        <x:v>https://www.mobot.org/MOBOT/research/APweb/orders/rosalesweb.htm
https://floranorthamerica.org/Rhamnaceae
https://powo.science.kew.org/taxon/urn:lsid:ipni.org:names:50033316-1/general-information
https://www.wildflower.org/collections/collection.php?collection=hays</x:v>
      </x:c>
      <x:c r="X520" s="215" t="str">
        <x:v>No — retain qualifiers and exceptions</x:v>
      </x:c>
      <x:c r="Y520" s="215" t="str">
        <x:v>Yes</x:v>
      </x:c>
      <x:c r="Z520" s="215" t="str">
        <x:v>Source-backed draft</x:v>
      </x:c>
      <x:c r="AA520" s="215" t="str">
        <x:v>Family pattern</x:v>
      </x:c>
      <x:c r="AB520" s="215" t="str">
        <x:v>Positive diagnostic</x:v>
      </x:c>
      <x:c r="AC520" s="215" t="str">
        <x:v>High</x:v>
      </x:c>
      <x:c r="AD520" s="215" t="str">
        <x:v>Hand lens / macro</x:v>
      </x:c>
      <x:c r="AE520" s="215" t="str">
        <x:v>Low</x:v>
      </x:c>
      <x:c r="AF520" s="215" t="str">
        <x:v>Field-ready draft</x:v>
      </x:c>
      <x:c r="AG520" s="215" t="str">
        <x:v>2 — Field-photo priority</x:v>
      </x:c>
      <x:c r="AH520" s="215" t="str">
        <x:v>Current master inventory</x:v>
      </x:c>
    </x:row>
    <x:row r="521" ht="42" customHeight="1">
      <x:c r="A521" s="215" t="str">
        <x:v>Rhamnaceae</x:v>
      </x:c>
      <x:c r="B521" s="215" t="str">
        <x:v>RHA-OVARY</x:v>
      </x:c>
      <x:c r="C521" s="215" t="str">
        <x:v>Family character</x:v>
      </x:c>
      <x:c r="D521" s="215" t="str">
        <x:v>Gynoecium</x:v>
      </x:c>
      <x:c r="E521" s="215" t="str">
        <x:v>Ovary 2–4-locular and variably superior, partly inferior, or inferior as it becomes immersed in the disc</x:v>
      </x:c>
      <x:c r="F521" s="215" t="str">
        <x:v>Caution</x:v>
      </x:c>
      <x:c r="G521" s="215" t="str">
        <x:v>2</x:v>
      </x:c>
      <x:c r="H521" s="215" t="str">
        <x:v>High</x:v>
      </x:c>
      <x:c r="I521" s="215" t="str">
        <x:v>Hand lens or dissection</x:v>
      </x:c>
      <x:c r="J521" s="215" t="str">
        <x:v>Fresh flowers</x:v>
      </x:c>
      <x:c r="K521" s="215" t="str">
        <x:v>Ovary position is not fixed across the family, but the disc-ovary relationship is informative.</x:v>
      </x:c>
      <x:c r="L521" s="215" t="str">
        <x:v>Do not code the family as universally superior or inferior.</x:v>
      </x:c>
      <x:c r="M521" s="215" t="str">
        <x:v>Record the local genus and describe disc immersion explicitly.</x:v>
      </x:c>
      <x:c r="N521" s="215" t="str">
        <x:v>Buckthorn-family shrubs occur in Central Texas woodlands, thickets, and rocky sites; use the suite rather than any single leaf trait.</x:v>
      </x:c>
      <x:c r="O521" s="215" t="str">
        <x:v>Medium</x:v>
      </x:c>
      <x:c r="P521" s="215" t="str">
        <x:v>No</x:v>
      </x:c>
      <x:c r="Q521" s="215" t="str"/>
      <x:c r="R521" s="215" t="str"/>
      <x:c r="S521" s="215" t="str">
        <x:v>APWEB-RHAM; FNA-RHAM; POWO-RHAM; LBJ-HAYS</x:v>
      </x:c>
      <x:c r="T521" s="215" t="str">
        <x:v>https://www.mobot.org/MOBOT/research/APweb/orders/rosalesweb.htm</x:v>
      </x:c>
      <x:c r="U521" s="215" t="str">
        <x:v>https://floranorthamerica.org/Rhamnaceae</x:v>
      </x:c>
      <x:c r="V521" s="215" t="str">
        <x:v>https://powo.science.kew.org/taxon/urn:lsid:ipni.org:names:50033316-1/general-information</x:v>
      </x:c>
      <x:c r="W521" s="215" t="str">
        <x:v>https://www.mobot.org/MOBOT/research/APweb/orders/rosalesweb.htm
https://floranorthamerica.org/Rhamnaceae
https://powo.science.kew.org/taxon/urn:lsid:ipni.org:names:50033316-1/general-information
https://www.wildflower.org/collections/collection.php?collection=hays</x:v>
      </x:c>
      <x:c r="X521" s="215" t="str">
        <x:v>No — retain qualifiers and exceptions</x:v>
      </x:c>
      <x:c r="Y521" s="215" t="str">
        <x:v>Yes</x:v>
      </x:c>
      <x:c r="Z521" s="215" t="str">
        <x:v>Source-backed draft</x:v>
      </x:c>
      <x:c r="AA521" s="215" t="str">
        <x:v>Family pattern</x:v>
      </x:c>
      <x:c r="AB521" s="215" t="str">
        <x:v>Caution / negative rule</x:v>
      </x:c>
      <x:c r="AC521" s="215" t="str">
        <x:v>High</x:v>
      </x:c>
      <x:c r="AD521" s="215" t="str">
        <x:v>Dissection</x:v>
      </x:c>
      <x:c r="AE521" s="215" t="str">
        <x:v>Moderate</x:v>
      </x:c>
      <x:c r="AF521" s="215" t="str">
        <x:v>Dissection / close study</x:v>
      </x:c>
      <x:c r="AG521" s="215" t="str">
        <x:v>4 — Context / caution</x:v>
      </x:c>
      <x:c r="AH521" s="215" t="str">
        <x:v>Current master inventory</x:v>
      </x:c>
    </x:row>
    <x:row r="522" ht="42" customHeight="1">
      <x:c r="A522" s="215" t="str">
        <x:v>Rhamnaceae</x:v>
      </x:c>
      <x:c r="B522" s="215" t="str">
        <x:v>RHA-FRUIT</x:v>
      </x:c>
      <x:c r="C522" s="215" t="str">
        <x:v>Family character</x:v>
      </x:c>
      <x:c r="D522" s="215" t="str">
        <x:v>Fruit</x:v>
      </x:c>
      <x:c r="E522" s="215" t="str">
        <x:v>Fruit a drupe, capsule, or dry splitting fruit, commonly with one seed per locule</x:v>
      </x:c>
      <x:c r="F522" s="215" t="str">
        <x:v>Strong</x:v>
      </x:c>
      <x:c r="G522" s="215" t="str">
        <x:v>3</x:v>
      </x:c>
      <x:c r="H522" s="215" t="str">
        <x:v>High</x:v>
      </x:c>
      <x:c r="I522" s="215" t="str">
        <x:v>Naked eye or hand lens</x:v>
      </x:c>
      <x:c r="J522" s="215" t="str">
        <x:v>Mature fruit</x:v>
      </x:c>
      <x:c r="K522" s="215" t="str">
        <x:v>Fruit construction varies, but it reflects a few locules associated with the floral disc.</x:v>
      </x:c>
      <x:c r="L522" s="215" t="str">
        <x:v>Fleshy versus dry fruit is lineage-dependent.</x:v>
      </x:c>
      <x:c r="M522" s="215" t="str">
        <x:v>Use fruit to reach genus after the floral suite establishes the family.</x:v>
      </x:c>
      <x:c r="N522" s="215" t="str">
        <x:v>Buckthorn-family shrubs occur in Central Texas woodlands, thickets, and rocky sites; use the suite rather than any single leaf trait.</x:v>
      </x:c>
      <x:c r="O522" s="215" t="str">
        <x:v>Low</x:v>
      </x:c>
      <x:c r="P522" s="215" t="str">
        <x:v>No</x:v>
      </x:c>
      <x:c r="Q522" s="215" t="str"/>
      <x:c r="R522" s="215" t="str"/>
      <x:c r="S522" s="215" t="str">
        <x:v>APWEB-RHAM; FNA-RHAM; POWO-RHAM; LBJ-HAYS</x:v>
      </x:c>
      <x:c r="T522" s="215" t="str">
        <x:v>https://www.mobot.org/MOBOT/research/APweb/orders/rosalesweb.htm</x:v>
      </x:c>
      <x:c r="U522" s="215" t="str">
        <x:v>https://floranorthamerica.org/Rhamnaceae</x:v>
      </x:c>
      <x:c r="V522" s="215" t="str">
        <x:v>https://powo.science.kew.org/taxon/urn:lsid:ipni.org:names:50033316-1/general-information</x:v>
      </x:c>
      <x:c r="W522" s="215" t="str">
        <x:v>https://www.mobot.org/MOBOT/research/APweb/orders/rosalesweb.htm
https://floranorthamerica.org/Rhamnaceae
https://powo.science.kew.org/taxon/urn:lsid:ipni.org:names:50033316-1/general-information
https://www.wildflower.org/collections/collection.php?collection=hays</x:v>
      </x:c>
      <x:c r="X522" s="215" t="str">
        <x:v>No — retain qualifiers and exceptions</x:v>
      </x:c>
      <x:c r="Y522" s="215" t="str">
        <x:v>Yes</x:v>
      </x:c>
      <x:c r="Z522" s="215" t="str">
        <x:v>Source-backed draft</x:v>
      </x:c>
      <x:c r="AA522" s="215" t="str">
        <x:v>Family pattern</x:v>
      </x:c>
      <x:c r="AB522" s="215" t="str">
        <x:v>Positive diagnostic</x:v>
      </x:c>
      <x:c r="AC522" s="215" t="str">
        <x:v>High</x:v>
      </x:c>
      <x:c r="AD522" s="215" t="str">
        <x:v>Hand lens / macro</x:v>
      </x:c>
      <x:c r="AE522" s="215" t="str">
        <x:v>Low</x:v>
      </x:c>
      <x:c r="AF522" s="215" t="str">
        <x:v>Field-ready draft</x:v>
      </x:c>
      <x:c r="AG522" s="215" t="str">
        <x:v>3 — Reference support</x:v>
      </x:c>
      <x:c r="AH522" s="215" t="str">
        <x:v>Current master inventory</x:v>
      </x:c>
    </x:row>
    <x:row r="523" ht="42" customHeight="1">
      <x:c r="A523" s="215" t="str">
        <x:v>Rhamnaceae</x:v>
      </x:c>
      <x:c r="B523" s="215" t="str">
        <x:v>RHA-SEEDS</x:v>
      </x:c>
      <x:c r="C523" s="215" t="str">
        <x:v>Family character</x:v>
      </x:c>
      <x:c r="D523" s="215" t="str">
        <x:v>Seeds</x:v>
      </x:c>
      <x:c r="E523" s="215" t="str">
        <x:v>Seeds commonly one per locule, often with a hard coat</x:v>
      </x:c>
      <x:c r="F523" s="215" t="str">
        <x:v>Supporting</x:v>
      </x:c>
      <x:c r="G523" s="215" t="str">
        <x:v>1</x:v>
      </x:c>
      <x:c r="H523" s="215" t="str">
        <x:v>High</x:v>
      </x:c>
      <x:c r="I523" s="215" t="str">
        <x:v>Naked eye or hand lens</x:v>
      </x:c>
      <x:c r="J523" s="215" t="str">
        <x:v>Mature fruit and seeds</x:v>
      </x:c>
      <x:c r="K523" s="215" t="str">
        <x:v>Low seed number supports the few-loculed ovary.</x:v>
      </x:c>
      <x:c r="L523" s="215" t="str">
        <x:v>Seed details are rarely practical before mature fruit.</x:v>
      </x:c>
      <x:c r="M523" s="215" t="str">
        <x:v>Treat as a confirmation character.</x:v>
      </x:c>
      <x:c r="N523" s="215" t="str">
        <x:v>Buckthorn-family shrubs occur in Central Texas woodlands, thickets, and rocky sites; use the suite rather than any single leaf trait.</x:v>
      </x:c>
      <x:c r="O523" s="215" t="str">
        <x:v>Low</x:v>
      </x:c>
      <x:c r="P523" s="215" t="str">
        <x:v>No</x:v>
      </x:c>
      <x:c r="Q523" s="215" t="str"/>
      <x:c r="R523" s="215" t="str"/>
      <x:c r="S523" s="215" t="str">
        <x:v>APWEB-RHAM; FNA-RHAM; POWO-RHAM; LBJ-HAYS</x:v>
      </x:c>
      <x:c r="T523" s="215" t="str">
        <x:v>https://www.mobot.org/MOBOT/research/APweb/orders/rosalesweb.htm</x:v>
      </x:c>
      <x:c r="U523" s="215" t="str">
        <x:v>https://floranorthamerica.org/Rhamnaceae</x:v>
      </x:c>
      <x:c r="V523" s="215" t="str">
        <x:v>https://powo.science.kew.org/taxon/urn:lsid:ipni.org:names:50033316-1/general-information</x:v>
      </x:c>
      <x:c r="W523" s="215" t="str">
        <x:v>https://www.mobot.org/MOBOT/research/APweb/orders/rosalesweb.htm
https://floranorthamerica.org/Rhamnaceae
https://powo.science.kew.org/taxon/urn:lsid:ipni.org:names:50033316-1/general-information
https://www.wildflower.org/collections/collection.php?collection=hays</x:v>
      </x:c>
      <x:c r="X523" s="215" t="str">
        <x:v>No — retain qualifiers and exceptions</x:v>
      </x:c>
      <x:c r="Y523" s="215" t="str">
        <x:v>Yes</x:v>
      </x:c>
      <x:c r="Z523" s="215" t="str">
        <x:v>Source-backed draft</x:v>
      </x:c>
      <x:c r="AA523" s="215" t="str">
        <x:v>Family pattern</x:v>
      </x:c>
      <x:c r="AB523" s="215" t="str">
        <x:v>Supporting / route</x:v>
      </x:c>
      <x:c r="AC523" s="215" t="str">
        <x:v>High</x:v>
      </x:c>
      <x:c r="AD523" s="215" t="str">
        <x:v>Hand lens / macro</x:v>
      </x:c>
      <x:c r="AE523" s="215" t="str">
        <x:v>Low</x:v>
      </x:c>
      <x:c r="AF523" s="215" t="str">
        <x:v>Field-ready draft</x:v>
      </x:c>
      <x:c r="AG523" s="215" t="str">
        <x:v>4 — Context / caution</x:v>
      </x:c>
      <x:c r="AH523" s="215" t="str">
        <x:v>Current master inventory</x:v>
      </x:c>
    </x:row>
    <x:row r="524" ht="42" customHeight="1">
      <x:c r="A524" s="215" t="str">
        <x:v>Rhamnaceae</x:v>
      </x:c>
      <x:c r="B524" s="215" t="str">
        <x:v>RHA-LK01</x:v>
      </x:c>
      <x:c r="C524" s="215" t="str">
        <x:v>Lookalike comparison</x:v>
      </x:c>
      <x:c r="D524" s="215" t="str">
        <x:v>Lookalike</x:v>
      </x:c>
      <x:c r="E524" s="215" t="str">
        <x:v>Versus Rosaceae: stamens opposite small petals and a prominent disc favor Rhamnaceae; Rosaceae more often has stamens alternating with petals or numerous stamens</x:v>
      </x:c>
      <x:c r="F524" s="215" t="str">
        <x:v>Lookalike</x:v>
      </x:c>
      <x:c r="G524" s="215" t="str">
        <x:v>5</x:v>
      </x:c>
      <x:c r="H524" s="215" t="str">
        <x:v>High</x:v>
      </x:c>
      <x:c r="I524" s="215" t="str">
        <x:v>Naked eye or hand lens</x:v>
      </x:c>
      <x:c r="J524" s="215" t="str">
        <x:v>Fresh flowers</x:v>
      </x:c>
      <x:c r="K524" s="215" t="str">
        <x:v>Both may be stipulate woody plants with small 5-parted flowers.</x:v>
      </x:c>
      <x:c r="L524" s="215" t="str">
        <x:v>Reduced Rosaceae and petal-less Rhamnaceae require careful floral examination.</x:v>
      </x:c>
      <x:c r="M524" s="215" t="str">
        <x:v>Use stamen position relative to petals and the disc.</x:v>
      </x:c>
      <x:c r="N524" s="215" t="str">
        <x:v>Buckthorn-family shrubs occur in Central Texas woodlands, thickets, and rocky sites; use the suite rather than any single leaf trait.</x:v>
      </x:c>
      <x:c r="O524" s="215" t="str">
        <x:v>Low</x:v>
      </x:c>
      <x:c r="P524" s="215" t="str">
        <x:v>No</x:v>
      </x:c>
      <x:c r="Q524" s="215" t="str"/>
      <x:c r="R524" s="215" t="str">
        <x:v>RHA-DISC; RHA-STAMENS</x:v>
      </x:c>
      <x:c r="S524" s="215" t="str">
        <x:v>APWEB-RHAM; FNA-RHAM; POWO-RHAM; LBJ-HAYS</x:v>
      </x:c>
      <x:c r="T524" s="215" t="str">
        <x:v>https://www.mobot.org/MOBOT/research/APweb/orders/rosalesweb.htm</x:v>
      </x:c>
      <x:c r="U524" s="215" t="str">
        <x:v>https://floranorthamerica.org/Rhamnaceae</x:v>
      </x:c>
      <x:c r="V524" s="215" t="str">
        <x:v>https://powo.science.kew.org/taxon/urn:lsid:ipni.org:names:50033316-1/general-information</x:v>
      </x:c>
      <x:c r="W524" s="215" t="str">
        <x:v>https://www.mobot.org/MOBOT/research/APweb/orders/rosalesweb.htm
https://floranorthamerica.org/Rhamnaceae
https://powo.science.kew.org/taxon/urn:lsid:ipni.org:names:50033316-1/general-information
https://www.wildflower.org/collections/collection.php?collection=hays</x:v>
      </x:c>
      <x:c r="X524" s="215" t="str">
        <x:v>No — retain qualifiers and exceptions</x:v>
      </x:c>
      <x:c r="Y524" s="215" t="str">
        <x:v>Yes</x:v>
      </x:c>
      <x:c r="Z524" s="215" t="str">
        <x:v>Source-backed draft</x:v>
      </x:c>
      <x:c r="AA524" s="215" t="str">
        <x:v>Lookalike comparison</x:v>
      </x:c>
      <x:c r="AB524" s="215" t="str">
        <x:v>Contrast / lookalike</x:v>
      </x:c>
      <x:c r="AC524" s="215" t="str">
        <x:v>High</x:v>
      </x:c>
      <x:c r="AD524" s="215" t="str">
        <x:v>Hand lens / macro</x:v>
      </x:c>
      <x:c r="AE524" s="215" t="str">
        <x:v>Low</x:v>
      </x:c>
      <x:c r="AF524" s="215" t="str">
        <x:v>Field-ready draft</x:v>
      </x:c>
      <x:c r="AG524" s="215" t="str">
        <x:v>2 — Field-photo priority</x:v>
      </x:c>
      <x:c r="AH524" s="215" t="str">
        <x:v>Current master inventory</x:v>
      </x:c>
    </x:row>
    <x:row r="525" ht="42" customHeight="1">
      <x:c r="A525" s="215" t="str">
        <x:v>Rhamnaceae</x:v>
      </x:c>
      <x:c r="B525" s="215" t="str">
        <x:v>RHA-LK02</x:v>
      </x:c>
      <x:c r="C525" s="215" t="str">
        <x:v>Lookalike comparison</x:v>
      </x:c>
      <x:c r="D525" s="215" t="str">
        <x:v>Lookalike</x:v>
      </x:c>
      <x:c r="E525" s="215" t="str">
        <x:v>Versus Vitaceae: tendrils and inflorescences opposite leaves favor Vitaceae; spines, stipules, and the rhamnaceous disc/stamen suite favor Rhamnaceae</x:v>
      </x:c>
      <x:c r="F525" s="215" t="str">
        <x:v>Lookalike</x:v>
      </x:c>
      <x:c r="G525" s="215" t="str">
        <x:v>5</x:v>
      </x:c>
      <x:c r="H525" s="215" t="str">
        <x:v>High</x:v>
      </x:c>
      <x:c r="I525" s="215" t="str">
        <x:v>Naked eye or hand lens</x:v>
      </x:c>
      <x:c r="J525" s="215" t="str">
        <x:v>Leafy flowering material</x:v>
      </x:c>
      <x:c r="K525" s="215" t="str">
        <x:v>Woody vines and small green flowers can overlap strongly.</x:v>
      </x:c>
      <x:c r="L525" s="215" t="str">
        <x:v>Vitaceae lacks completed reciprocal family rows in the current master.</x:v>
      </x:c>
      <x:c r="M525" s="215" t="str">
        <x:v>Keep this comparison provisional until Vitaceae receives first-pass coverage.</x:v>
      </x:c>
      <x:c r="N525" s="215" t="str">
        <x:v>Buckthorn-family shrubs occur in Central Texas woodlands, thickets, and rocky sites; use the suite rather than any single leaf trait.</x:v>
      </x:c>
      <x:c r="O525" s="215" t="str">
        <x:v>Medium</x:v>
      </x:c>
      <x:c r="P525" s="215" t="str">
        <x:v>Yes</x:v>
      </x:c>
      <x:c r="Q525" s="215" t="str">
        <x:v>Reciprocal Vitaceae family and lookalike rows are not yet in the working master.</x:v>
      </x:c>
      <x:c r="R525" s="215" t="str">
        <x:v>RHA-HABIT; RHA-DISC; RHA-STAMENS</x:v>
      </x:c>
      <x:c r="S525" s="215" t="str">
        <x:v>APWEB-RHAM; FNA-RHAM; POWO-RHAM; LBJ-HAYS</x:v>
      </x:c>
      <x:c r="T525" s="215" t="str">
        <x:v>https://www.mobot.org/MOBOT/research/APweb/orders/rosalesweb.htm</x:v>
      </x:c>
      <x:c r="U525" s="215" t="str">
        <x:v>https://floranorthamerica.org/Rhamnaceae</x:v>
      </x:c>
      <x:c r="V525" s="215" t="str">
        <x:v>https://powo.science.kew.org/taxon/urn:lsid:ipni.org:names:50033316-1/general-information</x:v>
      </x:c>
      <x:c r="W525" s="215" t="str">
        <x:v>https://www.mobot.org/MOBOT/research/APweb/orders/rosalesweb.htm
https://floranorthamerica.org/Rhamnaceae
https://powo.science.kew.org/taxon/urn:lsid:ipni.org:names:50033316-1/general-information
https://www.wildflower.org/collections/collection.php?collection=hays</x:v>
      </x:c>
      <x:c r="X525" s="215" t="str">
        <x:v>No — retain qualifiers and exceptions</x:v>
      </x:c>
      <x:c r="Y525" s="215" t="str">
        <x:v>Yes</x:v>
      </x:c>
      <x:c r="Z525" s="215" t="str">
        <x:v>Human review required</x:v>
      </x:c>
      <x:c r="AA525" s="215" t="str">
        <x:v>Lookalike comparison</x:v>
      </x:c>
      <x:c r="AB525" s="215" t="str">
        <x:v>Contrast / lookalike</x:v>
      </x:c>
      <x:c r="AC525" s="215" t="str">
        <x:v>High</x:v>
      </x:c>
      <x:c r="AD525" s="215" t="str">
        <x:v>Hand lens / macro</x:v>
      </x:c>
      <x:c r="AE525" s="215" t="str">
        <x:v>Moderate</x:v>
      </x:c>
      <x:c r="AF525" s="215" t="str">
        <x:v>Use only after review</x:v>
      </x:c>
      <x:c r="AG525" s="215" t="str">
        <x:v>1 — Human review now</x:v>
      </x:c>
      <x:c r="AH525" s="215" t="str">
        <x:v>Current master inventory</x:v>
      </x:c>
    </x:row>
    <x:row r="526" ht="42" customHeight="1">
      <x:c r="A526" s="215" t="str">
        <x:v>Nyctaginaceae</x:v>
      </x:c>
      <x:c r="B526" s="215" t="str">
        <x:v>NYC-HABIT</x:v>
      </x:c>
      <x:c r="C526" s="215" t="str">
        <x:v>Family character</x:v>
      </x:c>
      <x:c r="D526" s="215" t="str">
        <x:v>Habit</x:v>
      </x:c>
      <x:c r="E526" s="215" t="str">
        <x:v>Herbs, shrubs, trees, or vines, often with jointed-looking succulent growth</x:v>
      </x:c>
      <x:c r="F526" s="215" t="str">
        <x:v>Strong</x:v>
      </x:c>
      <x:c r="G526" s="215" t="str">
        <x:v>1</x:v>
      </x:c>
      <x:c r="H526" s="215" t="str">
        <x:v>High</x:v>
      </x:c>
      <x:c r="I526" s="215" t="str">
        <x:v>Naked eye or hand lens</x:v>
      </x:c>
      <x:c r="J526" s="215" t="str">
        <x:v>Any active growth</x:v>
      </x:c>
      <x:c r="K526" s="215" t="str">
        <x:v>The family ranges from delicate spiderlings to robust four-o'clocks and woody forms.</x:v>
      </x:c>
      <x:c r="L526" s="215" t="str">
        <x:v>Habit is highly variable and weak by itself.</x:v>
      </x:c>
      <x:c r="M526" s="215" t="str">
        <x:v>Use it only to enter the leaf-node-flower suite.</x:v>
      </x:c>
      <x:c r="N526" s="215" t="str">
        <x:v>Four-o'clocks and spiderlings are conspicuous Hays-area herbs, especially after rain and in disturbed or open ground.</x:v>
      </x:c>
      <x:c r="O526" s="215" t="str">
        <x:v>Low</x:v>
      </x:c>
      <x:c r="P526" s="215" t="str">
        <x:v>No</x:v>
      </x:c>
      <x:c r="Q526" s="215" t="str"/>
      <x:c r="R526" s="215" t="str"/>
      <x:c r="S526" s="215" t="str">
        <x:v>APWEB-NYCT; FNA-NYCT; POWO-NYCT; LBJ-HAYS</x:v>
      </x:c>
      <x:c r="T526" s="215" t="str">
        <x:v>https://www.mobot.org/MOBOT/research/APweb/orders/caryophyllalesweb.htm</x:v>
      </x:c>
      <x:c r="U526" s="215" t="str">
        <x:v>https://floranorthamerica.org/Nyctaginaceae</x:v>
      </x:c>
      <x:c r="V526" s="215" t="str">
        <x:v>https://powo.science.kew.org/taxon/urn:lsid:ipni.org:names:30000256-2/general-information</x:v>
      </x:c>
      <x:c r="W526" s="215" t="str">
        <x:v>https://www.mobot.org/MOBOT/research/APweb/orders/caryophyllalesweb.htm
https://floranorthamerica.org/Nyctaginaceae
https://powo.science.kew.org/taxon/urn:lsid:ipni.org:names:30000256-2/general-information
https://www.wildflower.org/collections/collection.php?collection=hays</x:v>
      </x:c>
      <x:c r="X526" s="215" t="str">
        <x:v>No — retain qualifiers and exceptions</x:v>
      </x:c>
      <x:c r="Y526" s="215" t="str">
        <x:v>Yes</x:v>
      </x:c>
      <x:c r="Z526" s="215" t="str">
        <x:v>Source-backed draft</x:v>
      </x:c>
      <x:c r="AA526" s="215" t="str">
        <x:v>Family pattern</x:v>
      </x:c>
      <x:c r="AB526" s="215" t="str">
        <x:v>Positive diagnostic</x:v>
      </x:c>
      <x:c r="AC526" s="215" t="str">
        <x:v>High</x:v>
      </x:c>
      <x:c r="AD526" s="215" t="str">
        <x:v>Hand lens / macro</x:v>
      </x:c>
      <x:c r="AE526" s="215" t="str">
        <x:v>Low</x:v>
      </x:c>
      <x:c r="AF526" s="215" t="str">
        <x:v>Field-ready draft</x:v>
      </x:c>
      <x:c r="AG526" s="215" t="str">
        <x:v>4 — Context / caution</x:v>
      </x:c>
      <x:c r="AH526" s="215" t="str">
        <x:v>Current master inventory</x:v>
      </x:c>
    </x:row>
    <x:row r="527" ht="42" customHeight="1">
      <x:c r="A527" s="215" t="str">
        <x:v>Nyctaginaceae</x:v>
      </x:c>
      <x:c r="B527" s="215" t="str">
        <x:v>NYC-STEMS</x:v>
      </x:c>
      <x:c r="C527" s="215" t="str">
        <x:v>Family character</x:v>
      </x:c>
      <x:c r="D527" s="215" t="str">
        <x:v>Stems / nodes</x:v>
      </x:c>
      <x:c r="E527" s="215" t="str">
        <x:v>Nodes often swollen or conspicuously jointed</x:v>
      </x:c>
      <x:c r="F527" s="215" t="str">
        <x:v>Supporting</x:v>
      </x:c>
      <x:c r="G527" s="215" t="str">
        <x:v>2</x:v>
      </x:c>
      <x:c r="H527" s="215" t="str">
        <x:v>High</x:v>
      </x:c>
      <x:c r="I527" s="215" t="str">
        <x:v>Naked eye or hand lens</x:v>
      </x:c>
      <x:c r="J527" s="215" t="str">
        <x:v>Vegetative or flowering material</x:v>
      </x:c>
      <x:c r="K527" s="215" t="str">
        <x:v>Enlarged nodes are a quick field clue on many herbaceous members.</x:v>
      </x:c>
      <x:c r="L527" s="215" t="str">
        <x:v>Swollen nodes occur in other families and are not present equally in all genera.</x:v>
      </x:c>
      <x:c r="M527" s="215" t="str">
        <x:v>Combine with simple exstipulate leaves and anthocarp fruit.</x:v>
      </x:c>
      <x:c r="N527" s="215" t="str">
        <x:v>Four-o'clocks and spiderlings are conspicuous Hays-area herbs, especially after rain and in disturbed or open ground.</x:v>
      </x:c>
      <x:c r="O527" s="215" t="str">
        <x:v>Low</x:v>
      </x:c>
      <x:c r="P527" s="215" t="str">
        <x:v>No</x:v>
      </x:c>
      <x:c r="Q527" s="215" t="str"/>
      <x:c r="R527" s="215" t="str"/>
      <x:c r="S527" s="215" t="str">
        <x:v>APWEB-NYCT; FNA-NYCT; POWO-NYCT; LBJ-HAYS</x:v>
      </x:c>
      <x:c r="T527" s="215" t="str">
        <x:v>https://www.mobot.org/MOBOT/research/APweb/orders/caryophyllalesweb.htm</x:v>
      </x:c>
      <x:c r="U527" s="215" t="str">
        <x:v>https://floranorthamerica.org/Nyctaginaceae</x:v>
      </x:c>
      <x:c r="V527" s="215" t="str">
        <x:v>https://powo.science.kew.org/taxon/urn:lsid:ipni.org:names:30000256-2/general-information</x:v>
      </x:c>
      <x:c r="W527" s="215" t="str">
        <x:v>https://www.mobot.org/MOBOT/research/APweb/orders/caryophyllalesweb.htm
https://floranorthamerica.org/Nyctaginaceae
https://powo.science.kew.org/taxon/urn:lsid:ipni.org:names:30000256-2/general-information
https://www.wildflower.org/collections/collection.php?collection=hays</x:v>
      </x:c>
      <x:c r="X527" s="215" t="str">
        <x:v>No — retain qualifiers and exceptions</x:v>
      </x:c>
      <x:c r="Y527" s="215" t="str">
        <x:v>Yes</x:v>
      </x:c>
      <x:c r="Z527" s="215" t="str">
        <x:v>Source-backed draft</x:v>
      </x:c>
      <x:c r="AA527" s="215" t="str">
        <x:v>Family pattern</x:v>
      </x:c>
      <x:c r="AB527" s="215" t="str">
        <x:v>Supporting / route</x:v>
      </x:c>
      <x:c r="AC527" s="215" t="str">
        <x:v>High</x:v>
      </x:c>
      <x:c r="AD527" s="215" t="str">
        <x:v>Hand lens / macro</x:v>
      </x:c>
      <x:c r="AE527" s="215" t="str">
        <x:v>Low</x:v>
      </x:c>
      <x:c r="AF527" s="215" t="str">
        <x:v>Field-ready draft</x:v>
      </x:c>
      <x:c r="AG527" s="215" t="str">
        <x:v>4 — Context / caution</x:v>
      </x:c>
      <x:c r="AH527" s="215" t="str">
        <x:v>Current master inventory</x:v>
      </x:c>
    </x:row>
    <x:row r="528" ht="42" customHeight="1">
      <x:c r="A528" s="215" t="str">
        <x:v>Nyctaginaceae</x:v>
      </x:c>
      <x:c r="B528" s="215" t="str">
        <x:v>NYC-LEAVES</x:v>
      </x:c>
      <x:c r="C528" s="215" t="str">
        <x:v>Family character</x:v>
      </x:c>
      <x:c r="D528" s="215" t="str">
        <x:v>Leaves / stipules</x:v>
      </x:c>
      <x:c r="E528" s="215" t="str">
        <x:v>Leaves simple, entire or nearly so, opposite or alternate, and without stipules</x:v>
      </x:c>
      <x:c r="F528" s="215" t="str">
        <x:v>Strong</x:v>
      </x:c>
      <x:c r="G528" s="215" t="str">
        <x:v>2</x:v>
      </x:c>
      <x:c r="H528" s="215" t="str">
        <x:v>High</x:v>
      </x:c>
      <x:c r="I528" s="215" t="str">
        <x:v>Naked eye or hand lens</x:v>
      </x:c>
      <x:c r="J528" s="215" t="str">
        <x:v>Leafy shoots</x:v>
      </x:c>
      <x:c r="K528" s="215" t="str">
        <x:v>Simple leaves without stipules fit the family but vary in arrangement.</x:v>
      </x:c>
      <x:c r="L528" s="215" t="str">
        <x:v>Leaf form alone overlaps many families.</x:v>
      </x:c>
      <x:c r="M528" s="215" t="str">
        <x:v>Inspect nodes for stipules and continue to perianth and fruit.</x:v>
      </x:c>
      <x:c r="N528" s="215" t="str">
        <x:v>Four-o'clocks and spiderlings are conspicuous Hays-area herbs, especially after rain and in disturbed or open ground.</x:v>
      </x:c>
      <x:c r="O528" s="215" t="str">
        <x:v>Low</x:v>
      </x:c>
      <x:c r="P528" s="215" t="str">
        <x:v>No</x:v>
      </x:c>
      <x:c r="Q528" s="215" t="str"/>
      <x:c r="R528" s="215" t="str">
        <x:v>NYC-LK01; NYC-LK02</x:v>
      </x:c>
      <x:c r="S528" s="215" t="str">
        <x:v>APWEB-NYCT; FNA-NYCT; POWO-NYCT; LBJ-HAYS</x:v>
      </x:c>
      <x:c r="T528" s="215" t="str">
        <x:v>https://www.mobot.org/MOBOT/research/APweb/orders/caryophyllalesweb.htm</x:v>
      </x:c>
      <x:c r="U528" s="215" t="str">
        <x:v>https://floranorthamerica.org/Nyctaginaceae</x:v>
      </x:c>
      <x:c r="V528" s="215" t="str">
        <x:v>https://powo.science.kew.org/taxon/urn:lsid:ipni.org:names:30000256-2/general-information</x:v>
      </x:c>
      <x:c r="W528" s="215" t="str">
        <x:v>https://www.mobot.org/MOBOT/research/APweb/orders/caryophyllalesweb.htm
https://floranorthamerica.org/Nyctaginaceae
https://powo.science.kew.org/taxon/urn:lsid:ipni.org:names:30000256-2/general-information
https://www.wildflower.org/collections/collection.php?collection=hays</x:v>
      </x:c>
      <x:c r="X528" s="215" t="str">
        <x:v>No — retain qualifiers and exceptions</x:v>
      </x:c>
      <x:c r="Y528" s="215" t="str">
        <x:v>Yes</x:v>
      </x:c>
      <x:c r="Z528" s="215" t="str">
        <x:v>Source-backed draft</x:v>
      </x:c>
      <x:c r="AA528" s="215" t="str">
        <x:v>Family pattern</x:v>
      </x:c>
      <x:c r="AB528" s="215" t="str">
        <x:v>Positive diagnostic</x:v>
      </x:c>
      <x:c r="AC528" s="215" t="str">
        <x:v>High</x:v>
      </x:c>
      <x:c r="AD528" s="215" t="str">
        <x:v>Hand lens / macro</x:v>
      </x:c>
      <x:c r="AE528" s="215" t="str">
        <x:v>Low</x:v>
      </x:c>
      <x:c r="AF528" s="215" t="str">
        <x:v>Field-ready draft</x:v>
      </x:c>
      <x:c r="AG528" s="215" t="str">
        <x:v>4 — Context / caution</x:v>
      </x:c>
      <x:c r="AH528" s="215" t="str">
        <x:v>Current master inventory</x:v>
      </x:c>
    </x:row>
    <x:row r="529" ht="42" customHeight="1">
      <x:c r="A529" s="215" t="str">
        <x:v>Nyctaginaceae</x:v>
      </x:c>
      <x:c r="B529" s="215" t="str">
        <x:v>NYC-BRACTS</x:v>
      </x:c>
      <x:c r="C529" s="215" t="str">
        <x:v>Family character</x:v>
      </x:c>
      <x:c r="D529" s="215" t="str">
        <x:v>Inflorescence / bracts</x:v>
      </x:c>
      <x:c r="E529" s="215" t="str">
        <x:v>Flowers commonly subtended by an involucre of bracts that may be green or brightly colored</x:v>
      </x:c>
      <x:c r="F529" s="215" t="str">
        <x:v>Strong</x:v>
      </x:c>
      <x:c r="G529" s="215" t="str">
        <x:v>4</x:v>
      </x:c>
      <x:c r="H529" s="215" t="str">
        <x:v>High</x:v>
      </x:c>
      <x:c r="I529" s="215" t="str">
        <x:v>Naked eye or hand lens</x:v>
      </x:c>
      <x:c r="J529" s="215" t="str">
        <x:v>Fresh flowering clusters</x:v>
      </x:c>
      <x:c r="K529" s="215" t="str">
        <x:v>Showy ‘petals’ around a cluster may actually be involucral bracts.</x:v>
      </x:c>
      <x:c r="L529" s="215" t="str">
        <x:v>Involucre form varies and can be small in spiderlings.</x:v>
      </x:c>
      <x:c r="M529" s="215" t="str">
        <x:v>Separate outer bracts from the single floral perianth.</x:v>
      </x:c>
      <x:c r="N529" s="215" t="str">
        <x:v>Four-o'clocks and spiderlings are conspicuous Hays-area herbs, especially after rain and in disturbed or open ground.</x:v>
      </x:c>
      <x:c r="O529" s="215" t="str">
        <x:v>Low</x:v>
      </x:c>
      <x:c r="P529" s="215" t="str">
        <x:v>No</x:v>
      </x:c>
      <x:c r="Q529" s="215" t="str"/>
      <x:c r="R529" s="215" t="str"/>
      <x:c r="S529" s="215" t="str">
        <x:v>APWEB-NYCT; FNA-NYCT; POWO-NYCT; LBJ-HAYS</x:v>
      </x:c>
      <x:c r="T529" s="215" t="str">
        <x:v>https://www.mobot.org/MOBOT/research/APweb/orders/caryophyllalesweb.htm</x:v>
      </x:c>
      <x:c r="U529" s="215" t="str">
        <x:v>https://floranorthamerica.org/Nyctaginaceae</x:v>
      </x:c>
      <x:c r="V529" s="215" t="str">
        <x:v>https://powo.science.kew.org/taxon/urn:lsid:ipni.org:names:30000256-2/general-information</x:v>
      </x:c>
      <x:c r="W529" s="215" t="str">
        <x:v>https://www.mobot.org/MOBOT/research/APweb/orders/caryophyllalesweb.htm
https://floranorthamerica.org/Nyctaginaceae
https://powo.science.kew.org/taxon/urn:lsid:ipni.org:names:30000256-2/general-information
https://www.wildflower.org/collections/collection.php?collection=hays</x:v>
      </x:c>
      <x:c r="X529" s="215" t="str">
        <x:v>No — retain qualifiers and exceptions</x:v>
      </x:c>
      <x:c r="Y529" s="215" t="str">
        <x:v>Yes</x:v>
      </x:c>
      <x:c r="Z529" s="215" t="str">
        <x:v>Source-backed draft</x:v>
      </x:c>
      <x:c r="AA529" s="215" t="str">
        <x:v>Family pattern</x:v>
      </x:c>
      <x:c r="AB529" s="215" t="str">
        <x:v>Positive diagnostic</x:v>
      </x:c>
      <x:c r="AC529" s="215" t="str">
        <x:v>High</x:v>
      </x:c>
      <x:c r="AD529" s="215" t="str">
        <x:v>Hand lens / macro</x:v>
      </x:c>
      <x:c r="AE529" s="215" t="str">
        <x:v>Low</x:v>
      </x:c>
      <x:c r="AF529" s="215" t="str">
        <x:v>Field-ready draft</x:v>
      </x:c>
      <x:c r="AG529" s="215" t="str">
        <x:v>2 — Field-photo priority</x:v>
      </x:c>
      <x:c r="AH529" s="215" t="str">
        <x:v>Current master inventory</x:v>
      </x:c>
    </x:row>
    <x:row r="530" ht="42" customHeight="1">
      <x:c r="A530" s="215" t="str">
        <x:v>Nyctaginaceae</x:v>
      </x:c>
      <x:c r="B530" s="215" t="str">
        <x:v>NYC-PERIGON</x:v>
      </x:c>
      <x:c r="C530" s="215" t="str">
        <x:v>Family character</x:v>
      </x:c>
      <x:c r="D530" s="215" t="str">
        <x:v>Flowers</x:v>
      </x:c>
      <x:c r="E530" s="215" t="str">
        <x:v>Perianth a single petaloid or calyxlike whorl; true petals absent</x:v>
      </x:c>
      <x:c r="F530" s="215" t="str">
        <x:v>Strong</x:v>
      </x:c>
      <x:c r="G530" s="215" t="str">
        <x:v>5</x:v>
      </x:c>
      <x:c r="H530" s="215" t="str">
        <x:v>High</x:v>
      </x:c>
      <x:c r="I530" s="215" t="str">
        <x:v>Naked eye or hand lens</x:v>
      </x:c>
      <x:c r="J530" s="215" t="str">
        <x:v>Fresh flowers</x:v>
      </x:c>
      <x:c r="K530" s="215" t="str">
        <x:v>What looks like a corolla is the only perianth whorl.</x:v>
      </x:c>
      <x:c r="L530" s="215" t="str">
        <x:v>The whorl may be dull and tiny or showy and tubular.</x:v>
      </x:c>
      <x:c r="M530" s="215" t="str">
        <x:v>Verify there is not a separate calyx-and-corolla pair.</x:v>
      </x:c>
      <x:c r="N530" s="215" t="str">
        <x:v>Four-o'clocks and spiderlings are conspicuous Hays-area herbs, especially after rain and in disturbed or open ground.</x:v>
      </x:c>
      <x:c r="O530" s="215" t="str">
        <x:v>Low</x:v>
      </x:c>
      <x:c r="P530" s="215" t="str">
        <x:v>No</x:v>
      </x:c>
      <x:c r="Q530" s="215" t="str"/>
      <x:c r="R530" s="215" t="str">
        <x:v>NYC-LK01; NYC-LK02</x:v>
      </x:c>
      <x:c r="S530" s="215" t="str">
        <x:v>APWEB-NYCT; FNA-NYCT; POWO-NYCT; LBJ-HAYS</x:v>
      </x:c>
      <x:c r="T530" s="215" t="str">
        <x:v>https://www.mobot.org/MOBOT/research/APweb/orders/caryophyllalesweb.htm</x:v>
      </x:c>
      <x:c r="U530" s="215" t="str">
        <x:v>https://floranorthamerica.org/Nyctaginaceae</x:v>
      </x:c>
      <x:c r="V530" s="215" t="str">
        <x:v>https://powo.science.kew.org/taxon/urn:lsid:ipni.org:names:30000256-2/general-information</x:v>
      </x:c>
      <x:c r="W530" s="215" t="str">
        <x:v>https://www.mobot.org/MOBOT/research/APweb/orders/caryophyllalesweb.htm
https://floranorthamerica.org/Nyctaginaceae
https://powo.science.kew.org/taxon/urn:lsid:ipni.org:names:30000256-2/general-information
https://www.wildflower.org/collections/collection.php?collection=hays</x:v>
      </x:c>
      <x:c r="X530" s="215" t="str">
        <x:v>No — retain qualifiers and exceptions</x:v>
      </x:c>
      <x:c r="Y530" s="215" t="str">
        <x:v>Yes</x:v>
      </x:c>
      <x:c r="Z530" s="215" t="str">
        <x:v>Source-backed draft</x:v>
      </x:c>
      <x:c r="AA530" s="215" t="str">
        <x:v>Family pattern</x:v>
      </x:c>
      <x:c r="AB530" s="215" t="str">
        <x:v>Positive diagnostic</x:v>
      </x:c>
      <x:c r="AC530" s="215" t="str">
        <x:v>High</x:v>
      </x:c>
      <x:c r="AD530" s="215" t="str">
        <x:v>Hand lens / macro</x:v>
      </x:c>
      <x:c r="AE530" s="215" t="str">
        <x:v>Low</x:v>
      </x:c>
      <x:c r="AF530" s="215" t="str">
        <x:v>Field-ready draft</x:v>
      </x:c>
      <x:c r="AG530" s="215" t="str">
        <x:v>2 — Field-photo priority</x:v>
      </x:c>
      <x:c r="AH530" s="215" t="str">
        <x:v>Current master inventory</x:v>
      </x:c>
    </x:row>
    <x:row r="531" ht="42" customHeight="1">
      <x:c r="A531" s="215" t="str">
        <x:v>Nyctaginaceae</x:v>
      </x:c>
      <x:c r="B531" s="215" t="str">
        <x:v>NYC-FLOWER</x:v>
      </x:c>
      <x:c r="C531" s="215" t="str">
        <x:v>Family character</x:v>
      </x:c>
      <x:c r="D531" s="215" t="str">
        <x:v>Flowers</x:v>
      </x:c>
      <x:c r="E531" s="215" t="str">
        <x:v>Perianth usually of 5 fused segments, sometimes 3–5, forming a tube or bell</x:v>
      </x:c>
      <x:c r="F531" s="215" t="str">
        <x:v>Strong</x:v>
      </x:c>
      <x:c r="G531" s="215" t="str">
        <x:v>4</x:v>
      </x:c>
      <x:c r="H531" s="215" t="str">
        <x:v>High</x:v>
      </x:c>
      <x:c r="I531" s="215" t="str">
        <x:v>Naked eye or hand lens</x:v>
      </x:c>
      <x:c r="J531" s="215" t="str">
        <x:v>Fresh flowers</x:v>
      </x:c>
      <x:c r="K531" s="215" t="str">
        <x:v>A fused single perianth surrounds the stamens and ovary.</x:v>
      </x:c>
      <x:c r="L531" s="215" t="str">
        <x:v>Segment number and tube length vary among genera.</x:v>
      </x:c>
      <x:c r="M531" s="215" t="str">
        <x:v>Use with the absence of true petals and the anthocarp.</x:v>
      </x:c>
      <x:c r="N531" s="215" t="str">
        <x:v>Four-o'clocks and spiderlings are conspicuous Hays-area herbs, especially after rain and in disturbed or open ground.</x:v>
      </x:c>
      <x:c r="O531" s="215" t="str">
        <x:v>Low</x:v>
      </x:c>
      <x:c r="P531" s="215" t="str">
        <x:v>No</x:v>
      </x:c>
      <x:c r="Q531" s="215" t="str"/>
      <x:c r="R531" s="215" t="str"/>
      <x:c r="S531" s="215" t="str">
        <x:v>APWEB-NYCT; FNA-NYCT; POWO-NYCT; LBJ-HAYS</x:v>
      </x:c>
      <x:c r="T531" s="215" t="str">
        <x:v>https://www.mobot.org/MOBOT/research/APweb/orders/caryophyllalesweb.htm</x:v>
      </x:c>
      <x:c r="U531" s="215" t="str">
        <x:v>https://floranorthamerica.org/Nyctaginaceae</x:v>
      </x:c>
      <x:c r="V531" s="215" t="str">
        <x:v>https://powo.science.kew.org/taxon/urn:lsid:ipni.org:names:30000256-2/general-information</x:v>
      </x:c>
      <x:c r="W531" s="215" t="str">
        <x:v>https://www.mobot.org/MOBOT/research/APweb/orders/caryophyllalesweb.htm
https://floranorthamerica.org/Nyctaginaceae
https://powo.science.kew.org/taxon/urn:lsid:ipni.org:names:30000256-2/general-information
https://www.wildflower.org/collections/collection.php?collection=hays</x:v>
      </x:c>
      <x:c r="X531" s="215" t="str">
        <x:v>No — retain qualifiers and exceptions</x:v>
      </x:c>
      <x:c r="Y531" s="215" t="str">
        <x:v>Yes</x:v>
      </x:c>
      <x:c r="Z531" s="215" t="str">
        <x:v>Source-backed draft</x:v>
      </x:c>
      <x:c r="AA531" s="215" t="str">
        <x:v>Family pattern</x:v>
      </x:c>
      <x:c r="AB531" s="215" t="str">
        <x:v>Positive diagnostic</x:v>
      </x:c>
      <x:c r="AC531" s="215" t="str">
        <x:v>High</x:v>
      </x:c>
      <x:c r="AD531" s="215" t="str">
        <x:v>Hand lens / macro</x:v>
      </x:c>
      <x:c r="AE531" s="215" t="str">
        <x:v>Low</x:v>
      </x:c>
      <x:c r="AF531" s="215" t="str">
        <x:v>Field-ready draft</x:v>
      </x:c>
      <x:c r="AG531" s="215" t="str">
        <x:v>2 — Field-photo priority</x:v>
      </x:c>
      <x:c r="AH531" s="215" t="str">
        <x:v>Current master inventory</x:v>
      </x:c>
    </x:row>
    <x:row r="532" ht="42" customHeight="1">
      <x:c r="A532" s="215" t="str">
        <x:v>Nyctaginaceae</x:v>
      </x:c>
      <x:c r="B532" s="215" t="str">
        <x:v>NYC-STAMENS</x:v>
      </x:c>
      <x:c r="C532" s="215" t="str">
        <x:v>Family character</x:v>
      </x:c>
      <x:c r="D532" s="215" t="str">
        <x:v>Stamens</x:v>
      </x:c>
      <x:c r="E532" s="215" t="str">
        <x:v>Stamens 1 to many, commonly 3–5, often projecting from the perianth</x:v>
      </x:c>
      <x:c r="F532" s="215" t="str">
        <x:v>Moderate</x:v>
      </x:c>
      <x:c r="G532" s="215" t="str">
        <x:v>2</x:v>
      </x:c>
      <x:c r="H532" s="215" t="str">
        <x:v>High</x:v>
      </x:c>
      <x:c r="I532" s="215" t="str">
        <x:v>Naked eye or hand lens</x:v>
      </x:c>
      <x:c r="J532" s="215" t="str">
        <x:v>Fresh open flowers</x:v>
      </x:c>
      <x:c r="K532" s="215" t="str">
        <x:v>Exserted stamens can be conspicuous in open flowers.</x:v>
      </x:c>
      <x:c r="L532" s="215" t="str">
        <x:v>Stamen number is too variable for a universal rule.</x:v>
      </x:c>
      <x:c r="M532" s="215" t="str">
        <x:v>Count only intact, fully open flowers and use as supporting evidence.</x:v>
      </x:c>
      <x:c r="N532" s="215" t="str">
        <x:v>Four-o'clocks and spiderlings are conspicuous Hays-area herbs, especially after rain and in disturbed or open ground.</x:v>
      </x:c>
      <x:c r="O532" s="215" t="str">
        <x:v>Low</x:v>
      </x:c>
      <x:c r="P532" s="215" t="str">
        <x:v>No</x:v>
      </x:c>
      <x:c r="Q532" s="215" t="str"/>
      <x:c r="R532" s="215" t="str"/>
      <x:c r="S532" s="215" t="str">
        <x:v>APWEB-NYCT; FNA-NYCT; POWO-NYCT; LBJ-HAYS</x:v>
      </x:c>
      <x:c r="T532" s="215" t="str">
        <x:v>https://www.mobot.org/MOBOT/research/APweb/orders/caryophyllalesweb.htm</x:v>
      </x:c>
      <x:c r="U532" s="215" t="str">
        <x:v>https://floranorthamerica.org/Nyctaginaceae</x:v>
      </x:c>
      <x:c r="V532" s="215" t="str">
        <x:v>https://powo.science.kew.org/taxon/urn:lsid:ipni.org:names:30000256-2/general-information</x:v>
      </x:c>
      <x:c r="W532" s="215" t="str">
        <x:v>https://www.mobot.org/MOBOT/research/APweb/orders/caryophyllalesweb.htm
https://floranorthamerica.org/Nyctaginaceae
https://powo.science.kew.org/taxon/urn:lsid:ipni.org:names:30000256-2/general-information
https://www.wildflower.org/collections/collection.php?collection=hays</x:v>
      </x:c>
      <x:c r="X532" s="215" t="str">
        <x:v>No — retain qualifiers and exceptions</x:v>
      </x:c>
      <x:c r="Y532" s="215" t="str">
        <x:v>Yes</x:v>
      </x:c>
      <x:c r="Z532" s="215" t="str">
        <x:v>Source-backed draft</x:v>
      </x:c>
      <x:c r="AA532" s="215" t="str">
        <x:v>Family pattern</x:v>
      </x:c>
      <x:c r="AB532" s="215" t="str">
        <x:v>Supporting / route</x:v>
      </x:c>
      <x:c r="AC532" s="215" t="str">
        <x:v>High</x:v>
      </x:c>
      <x:c r="AD532" s="215" t="str">
        <x:v>Hand lens / macro</x:v>
      </x:c>
      <x:c r="AE532" s="215" t="str">
        <x:v>Low</x:v>
      </x:c>
      <x:c r="AF532" s="215" t="str">
        <x:v>Field-ready draft</x:v>
      </x:c>
      <x:c r="AG532" s="215" t="str">
        <x:v>4 — Context / caution</x:v>
      </x:c>
      <x:c r="AH532" s="215" t="str">
        <x:v>Current master inventory</x:v>
      </x:c>
    </x:row>
    <x:row r="533" ht="42" customHeight="1">
      <x:c r="A533" s="215" t="str">
        <x:v>Nyctaginaceae</x:v>
      </x:c>
      <x:c r="B533" s="215" t="str">
        <x:v>NYC-OVARY</x:v>
      </x:c>
      <x:c r="C533" s="215" t="str">
        <x:v>Family character</x:v>
      </x:c>
      <x:c r="D533" s="215" t="str">
        <x:v>Gynoecium</x:v>
      </x:c>
      <x:c r="E533" s="215" t="str">
        <x:v>Ovary superior, 1-locular, with a single basal ovule</x:v>
      </x:c>
      <x:c r="F533" s="215" t="str">
        <x:v>Strong</x:v>
      </x:c>
      <x:c r="G533" s="215" t="str">
        <x:v>4</x:v>
      </x:c>
      <x:c r="H533" s="215" t="str">
        <x:v>High</x:v>
      </x:c>
      <x:c r="I533" s="215" t="str">
        <x:v>Hand lens or dissection</x:v>
      </x:c>
      <x:c r="J533" s="215" t="str">
        <x:v>Fresh flowers</x:v>
      </x:c>
      <x:c r="K533" s="215" t="str">
        <x:v>Each flower develops only one seed-bearing unit.</x:v>
      </x:c>
      <x:c r="L533" s="215" t="str">
        <x:v>This usually requires dissection before fruiting.</x:v>
      </x:c>
      <x:c r="M533" s="215" t="str">
        <x:v>Use mature fruit when ovary structure is not visible.</x:v>
      </x:c>
      <x:c r="N533" s="215" t="str">
        <x:v>Four-o'clocks and spiderlings are conspicuous Hays-area herbs, especially after rain and in disturbed or open ground.</x:v>
      </x:c>
      <x:c r="O533" s="215" t="str">
        <x:v>Low</x:v>
      </x:c>
      <x:c r="P533" s="215" t="str">
        <x:v>No</x:v>
      </x:c>
      <x:c r="Q533" s="215" t="str"/>
      <x:c r="R533" s="215" t="str"/>
      <x:c r="S533" s="215" t="str">
        <x:v>APWEB-NYCT; FNA-NYCT; POWO-NYCT; LBJ-HAYS</x:v>
      </x:c>
      <x:c r="T533" s="215" t="str">
        <x:v>https://www.mobot.org/MOBOT/research/APweb/orders/caryophyllalesweb.htm</x:v>
      </x:c>
      <x:c r="U533" s="215" t="str">
        <x:v>https://floranorthamerica.org/Nyctaginaceae</x:v>
      </x:c>
      <x:c r="V533" s="215" t="str">
        <x:v>https://powo.science.kew.org/taxon/urn:lsid:ipni.org:names:30000256-2/general-information</x:v>
      </x:c>
      <x:c r="W533" s="215" t="str">
        <x:v>https://www.mobot.org/MOBOT/research/APweb/orders/caryophyllalesweb.htm
https://floranorthamerica.org/Nyctaginaceae
https://powo.science.kew.org/taxon/urn:lsid:ipni.org:names:30000256-2/general-information
https://www.wildflower.org/collections/collection.php?collection=hays</x:v>
      </x:c>
      <x:c r="X533" s="215" t="str">
        <x:v>No — retain qualifiers and exceptions</x:v>
      </x:c>
      <x:c r="Y533" s="215" t="str">
        <x:v>Yes</x:v>
      </x:c>
      <x:c r="Z533" s="215" t="str">
        <x:v>Source-backed draft</x:v>
      </x:c>
      <x:c r="AA533" s="215" t="str">
        <x:v>Family pattern</x:v>
      </x:c>
      <x:c r="AB533" s="215" t="str">
        <x:v>Positive diagnostic</x:v>
      </x:c>
      <x:c r="AC533" s="215" t="str">
        <x:v>High</x:v>
      </x:c>
      <x:c r="AD533" s="215" t="str">
        <x:v>Dissection</x:v>
      </x:c>
      <x:c r="AE533" s="215" t="str">
        <x:v>Low</x:v>
      </x:c>
      <x:c r="AF533" s="215" t="str">
        <x:v>Dissection / close study</x:v>
      </x:c>
      <x:c r="AG533" s="215" t="str">
        <x:v>3 — Reference support</x:v>
      </x:c>
      <x:c r="AH533" s="215" t="str">
        <x:v>Current master inventory</x:v>
      </x:c>
    </x:row>
    <x:row r="534" ht="42" customHeight="1">
      <x:c r="A534" s="215" t="str">
        <x:v>Nyctaginaceae</x:v>
      </x:c>
      <x:c r="B534" s="215" t="str">
        <x:v>NYC-FRUIT</x:v>
      </x:c>
      <x:c r="C534" s="215" t="str">
        <x:v>Family character</x:v>
      </x:c>
      <x:c r="D534" s="215" t="str">
        <x:v>Fruit / persistent perianth</x:v>
      </x:c>
      <x:c r="E534" s="215" t="str">
        <x:v>Persistent perianth base enlarges or hardens around the one-seeded fruit to form an anthocarp</x:v>
      </x:c>
      <x:c r="F534" s="215" t="str">
        <x:v>Strong</x:v>
      </x:c>
      <x:c r="G534" s="215" t="str">
        <x:v>5</x:v>
      </x:c>
      <x:c r="H534" s="215" t="str">
        <x:v>High</x:v>
      </x:c>
      <x:c r="I534" s="215" t="str">
        <x:v>Naked eye or hand lens</x:v>
      </x:c>
      <x:c r="J534" s="215" t="str">
        <x:v>Mature fruit</x:v>
      </x:c>
      <x:c r="K534" s="215" t="str">
        <x:v>The apparent fruit is a fruit enclosed by transformed floral tissue.</x:v>
      </x:c>
      <x:c r="L534" s="215" t="str">
        <x:v>Anthocarp shape, ribs, glands, and stickiness vary by genus.</x:v>
      </x:c>
      <x:c r="M534" s="215" t="str">
        <x:v>This is the strongest mature-material character for the family.</x:v>
      </x:c>
      <x:c r="N534" s="215" t="str">
        <x:v>Four-o'clocks and spiderlings are conspicuous Hays-area herbs, especially after rain and in disturbed or open ground.</x:v>
      </x:c>
      <x:c r="O534" s="215" t="str">
        <x:v>Low</x:v>
      </x:c>
      <x:c r="P534" s="215" t="str">
        <x:v>No</x:v>
      </x:c>
      <x:c r="Q534" s="215" t="str"/>
      <x:c r="R534" s="215" t="str">
        <x:v>NYC-LK01; NYC-LK02</x:v>
      </x:c>
      <x:c r="S534" s="215" t="str">
        <x:v>APWEB-NYCT; FNA-NYCT; POWO-NYCT; LBJ-HAYS</x:v>
      </x:c>
      <x:c r="T534" s="215" t="str">
        <x:v>https://www.mobot.org/MOBOT/research/APweb/orders/caryophyllalesweb.htm</x:v>
      </x:c>
      <x:c r="U534" s="215" t="str">
        <x:v>https://floranorthamerica.org/Nyctaginaceae</x:v>
      </x:c>
      <x:c r="V534" s="215" t="str">
        <x:v>https://powo.science.kew.org/taxon/urn:lsid:ipni.org:names:30000256-2/general-information</x:v>
      </x:c>
      <x:c r="W534" s="215" t="str">
        <x:v>https://www.mobot.org/MOBOT/research/APweb/orders/caryophyllalesweb.htm
https://floranorthamerica.org/Nyctaginaceae
https://powo.science.kew.org/taxon/urn:lsid:ipni.org:names:30000256-2/general-information
https://www.wildflower.org/collections/collection.php?collection=hays</x:v>
      </x:c>
      <x:c r="X534" s="215" t="str">
        <x:v>No — retain qualifiers and exceptions</x:v>
      </x:c>
      <x:c r="Y534" s="215" t="str">
        <x:v>Yes</x:v>
      </x:c>
      <x:c r="Z534" s="215" t="str">
        <x:v>Source-backed draft</x:v>
      </x:c>
      <x:c r="AA534" s="215" t="str">
        <x:v>Family pattern</x:v>
      </x:c>
      <x:c r="AB534" s="215" t="str">
        <x:v>Positive diagnostic</x:v>
      </x:c>
      <x:c r="AC534" s="215" t="str">
        <x:v>High</x:v>
      </x:c>
      <x:c r="AD534" s="215" t="str">
        <x:v>Hand lens / macro</x:v>
      </x:c>
      <x:c r="AE534" s="215" t="str">
        <x:v>Low</x:v>
      </x:c>
      <x:c r="AF534" s="215" t="str">
        <x:v>Field-ready draft</x:v>
      </x:c>
      <x:c r="AG534" s="215" t="str">
        <x:v>2 — Field-photo priority</x:v>
      </x:c>
      <x:c r="AH534" s="215" t="str">
        <x:v>Current master inventory</x:v>
      </x:c>
    </x:row>
    <x:row r="535" ht="42" customHeight="1">
      <x:c r="A535" s="215" t="str">
        <x:v>Nyctaginaceae</x:v>
      </x:c>
      <x:c r="B535" s="215" t="str">
        <x:v>NYC-LK01</x:v>
      </x:c>
      <x:c r="C535" s="215" t="str">
        <x:v>Lookalike comparison</x:v>
      </x:c>
      <x:c r="D535" s="215" t="str">
        <x:v>Lookalike</x:v>
      </x:c>
      <x:c r="E535" s="215" t="str">
        <x:v>Versus Caryophyllaceae: a single perianth whorl plus anthocarp favors Nyctaginaceae; distinct sepals and petals plus a capsule or utricle favor Caryophyllaceae</x:v>
      </x:c>
      <x:c r="F535" s="215" t="str">
        <x:v>Lookalike</x:v>
      </x:c>
      <x:c r="G535" s="215" t="str">
        <x:v>5</x:v>
      </x:c>
      <x:c r="H535" s="215" t="str">
        <x:v>High</x:v>
      </x:c>
      <x:c r="I535" s="215" t="str">
        <x:v>Naked eye or hand lens</x:v>
      </x:c>
      <x:c r="J535" s="215" t="str">
        <x:v>Flowers and mature fruit</x:v>
      </x:c>
      <x:c r="K535" s="215" t="str">
        <x:v>Both may have swollen nodes and opposite entire leaves.</x:v>
      </x:c>
      <x:c r="L535" s="215" t="str">
        <x:v>Tiny flowers can obscure whether one or two perianth whorls are present.</x:v>
      </x:c>
      <x:c r="M535" s="215" t="str">
        <x:v>Examine both an open flower and a mature fruit.</x:v>
      </x:c>
      <x:c r="N535" s="215" t="str">
        <x:v>Four-o'clocks and spiderlings are conspicuous Hays-area herbs, especially after rain and in disturbed or open ground.</x:v>
      </x:c>
      <x:c r="O535" s="215" t="str">
        <x:v>Low</x:v>
      </x:c>
      <x:c r="P535" s="215" t="str">
        <x:v>No</x:v>
      </x:c>
      <x:c r="Q535" s="215" t="str"/>
      <x:c r="R535" s="215" t="str">
        <x:v>NYC-STEMS; NYC-PERIGON; NYC-FRUIT</x:v>
      </x:c>
      <x:c r="S535" s="215" t="str">
        <x:v>APWEB-NYCT; FNA-NYCT; POWO-NYCT; LBJ-HAYS</x:v>
      </x:c>
      <x:c r="T535" s="215" t="str">
        <x:v>https://www.mobot.org/MOBOT/research/APweb/orders/caryophyllalesweb.htm</x:v>
      </x:c>
      <x:c r="U535" s="215" t="str">
        <x:v>https://floranorthamerica.org/Nyctaginaceae</x:v>
      </x:c>
      <x:c r="V535" s="215" t="str">
        <x:v>https://powo.science.kew.org/taxon/urn:lsid:ipni.org:names:30000256-2/general-information</x:v>
      </x:c>
      <x:c r="W535" s="215" t="str">
        <x:v>https://www.mobot.org/MOBOT/research/APweb/orders/caryophyllalesweb.htm
https://floranorthamerica.org/Nyctaginaceae
https://powo.science.kew.org/taxon/urn:lsid:ipni.org:names:30000256-2/general-information
https://www.wildflower.org/collections/collection.php?collection=hays</x:v>
      </x:c>
      <x:c r="X535" s="215" t="str">
        <x:v>No — retain qualifiers and exceptions</x:v>
      </x:c>
      <x:c r="Y535" s="215" t="str">
        <x:v>Yes</x:v>
      </x:c>
      <x:c r="Z535" s="215" t="str">
        <x:v>Source-backed draft</x:v>
      </x:c>
      <x:c r="AA535" s="215" t="str">
        <x:v>Lookalike comparison</x:v>
      </x:c>
      <x:c r="AB535" s="215" t="str">
        <x:v>Contrast / lookalike</x:v>
      </x:c>
      <x:c r="AC535" s="215" t="str">
        <x:v>High</x:v>
      </x:c>
      <x:c r="AD535" s="215" t="str">
        <x:v>Hand lens / macro</x:v>
      </x:c>
      <x:c r="AE535" s="215" t="str">
        <x:v>Low</x:v>
      </x:c>
      <x:c r="AF535" s="215" t="str">
        <x:v>Field-ready draft</x:v>
      </x:c>
      <x:c r="AG535" s="215" t="str">
        <x:v>2 — Field-photo priority</x:v>
      </x:c>
      <x:c r="AH535" s="215" t="str">
        <x:v>Current master inventory</x:v>
      </x:c>
    </x:row>
    <x:row r="536" ht="42" customHeight="1">
      <x:c r="A536" s="215" t="str">
        <x:v>Nyctaginaceae</x:v>
      </x:c>
      <x:c r="B536" s="215" t="str">
        <x:v>NYC-LK02</x:v>
      </x:c>
      <x:c r="C536" s="215" t="str">
        <x:v>Lookalike comparison</x:v>
      </x:c>
      <x:c r="D536" s="215" t="str">
        <x:v>Lookalike</x:v>
      </x:c>
      <x:c r="E536" s="215" t="str">
        <x:v>Versus Amaranthaceae: a fused petaloid perianth or involucral bracts and anthocarp favor Nyctaginaceae; dry tepals with bracts/bracteoles and utricular fruit favor many Amaranthaceae</x:v>
      </x:c>
      <x:c r="F536" s="215" t="str">
        <x:v>Lookalike</x:v>
      </x:c>
      <x:c r="G536" s="215" t="str">
        <x:v>5</x:v>
      </x:c>
      <x:c r="H536" s="215" t="str">
        <x:v>High</x:v>
      </x:c>
      <x:c r="I536" s="215" t="str">
        <x:v>Naked eye or hand lens</x:v>
      </x:c>
      <x:c r="J536" s="215" t="str">
        <x:v>Flowers and mature fruit</x:v>
      </x:c>
      <x:c r="K536" s="215" t="str">
        <x:v>Small dry flowers can be confusing in both families.</x:v>
      </x:c>
      <x:c r="L536" s="215" t="str">
        <x:v>Some lineages depart from the simplified field contrast.</x:v>
      </x:c>
      <x:c r="M536" s="215" t="str">
        <x:v>Use fruit enclosure and perianth texture as a weighted pair.</x:v>
      </x:c>
      <x:c r="N536" s="215" t="str">
        <x:v>Four-o'clocks and spiderlings are conspicuous Hays-area herbs, especially after rain and in disturbed or open ground.</x:v>
      </x:c>
      <x:c r="O536" s="215" t="str">
        <x:v>Low</x:v>
      </x:c>
      <x:c r="P536" s="215" t="str">
        <x:v>No</x:v>
      </x:c>
      <x:c r="Q536" s="215" t="str"/>
      <x:c r="R536" s="215" t="str">
        <x:v>NYC-BRACTS; NYC-PERIGON; NYC-FRUIT</x:v>
      </x:c>
      <x:c r="S536" s="215" t="str">
        <x:v>APWEB-NYCT; FNA-NYCT; POWO-NYCT; LBJ-HAYS</x:v>
      </x:c>
      <x:c r="T536" s="215" t="str">
        <x:v>https://www.mobot.org/MOBOT/research/APweb/orders/caryophyllalesweb.htm</x:v>
      </x:c>
      <x:c r="U536" s="215" t="str">
        <x:v>https://floranorthamerica.org/Nyctaginaceae</x:v>
      </x:c>
      <x:c r="V536" s="215" t="str">
        <x:v>https://powo.science.kew.org/taxon/urn:lsid:ipni.org:names:30000256-2/general-information</x:v>
      </x:c>
      <x:c r="W536" s="215" t="str">
        <x:v>https://www.mobot.org/MOBOT/research/APweb/orders/caryophyllalesweb.htm
https://floranorthamerica.org/Nyctaginaceae
https://powo.science.kew.org/taxon/urn:lsid:ipni.org:names:30000256-2/general-information
https://www.wildflower.org/collections/collection.php?collection=hays</x:v>
      </x:c>
      <x:c r="X536" s="215" t="str">
        <x:v>No — retain qualifiers and exceptions</x:v>
      </x:c>
      <x:c r="Y536" s="215" t="str">
        <x:v>Yes</x:v>
      </x:c>
      <x:c r="Z536" s="215" t="str">
        <x:v>Source-backed draft</x:v>
      </x:c>
      <x:c r="AA536" s="215" t="str">
        <x:v>Lookalike comparison</x:v>
      </x:c>
      <x:c r="AB536" s="215" t="str">
        <x:v>Contrast / lookalike</x:v>
      </x:c>
      <x:c r="AC536" s="215" t="str">
        <x:v>High</x:v>
      </x:c>
      <x:c r="AD536" s="215" t="str">
        <x:v>Hand lens / macro</x:v>
      </x:c>
      <x:c r="AE536" s="215" t="str">
        <x:v>Low</x:v>
      </x:c>
      <x:c r="AF536" s="215" t="str">
        <x:v>Field-ready draft</x:v>
      </x:c>
      <x:c r="AG536" s="215" t="str">
        <x:v>2 — Field-photo priority</x:v>
      </x:c>
      <x:c r="AH536" s="215" t="str">
        <x:v>Current master inventory</x:v>
      </x:c>
    </x:row>
    <x:row r="537" ht="42" customHeight="1">
      <x:c r="A537" s="215" t="str">
        <x:v>Oxalidaceae</x:v>
      </x:c>
      <x:c r="B537" s="215" t="str">
        <x:v>OXA-HABIT</x:v>
      </x:c>
      <x:c r="C537" s="215" t="str">
        <x:v>Local/regional family character</x:v>
      </x:c>
      <x:c r="D537" s="215" t="str">
        <x:v>Habit</x:v>
      </x:c>
      <x:c r="E537" s="215" t="str">
        <x:v>Herbs in the local flora, often low and tufted or creeping</x:v>
      </x:c>
      <x:c r="F537" s="215" t="str">
        <x:v>Strong</x:v>
      </x:c>
      <x:c r="G537" s="215" t="str">
        <x:v>1</x:v>
      </x:c>
      <x:c r="H537" s="215" t="str">
        <x:v>High</x:v>
      </x:c>
      <x:c r="I537" s="215" t="str">
        <x:v>Naked eye or hand lens</x:v>
      </x:c>
      <x:c r="J537" s="215" t="str">
        <x:v>Any active growth</x:v>
      </x:c>
      <x:c r="K537" s="215" t="str">
        <x:v>Central Texas Oxalis is usually a small herb rather than a woody plant.</x:v>
      </x:c>
      <x:c r="L537" s="215" t="str">
        <x:v>The global family includes woody taxa, so this is locally scoped.</x:v>
      </x:c>
      <x:c r="M537" s="215" t="str">
        <x:v>Use only within the Hays regional context.</x:v>
      </x:c>
      <x:c r="N537" s="215" t="str">
        <x:v>Wild Oxalis is common and readily encountered in Hays lawns, woodlands, prairie openings, and disturbed sites.</x:v>
      </x:c>
      <x:c r="O537" s="215" t="str">
        <x:v>Low</x:v>
      </x:c>
      <x:c r="P537" s="215" t="str">
        <x:v>No</x:v>
      </x:c>
      <x:c r="Q537" s="215" t="str"/>
      <x:c r="R537" s="215" t="str"/>
      <x:c r="S537" s="215" t="str">
        <x:v>APWEB-OXAL; FNA-OXAL; POWO-OXAL; LBJ-HAYS</x:v>
      </x:c>
      <x:c r="T537" s="215" t="str">
        <x:v>https://www.mobot.org/MOBOT/research/APweb/orders/oxalidalesweb.htm</x:v>
      </x:c>
      <x:c r="U537" s="215" t="str">
        <x:v>https://floranorthamerica.org/Oxalidaceae</x:v>
      </x:c>
      <x:c r="V537" s="215" t="str">
        <x:v>https://powo.science.kew.org/taxon/urn:lsid:ipni.org:names:77126611-1/general-information</x:v>
      </x:c>
      <x:c r="W537" s="215" t="str">
        <x:v>https://www.mobot.org/MOBOT/research/APweb/orders/oxalidalesweb.htm
https://floranorthamerica.org/Oxalidaceae
https://powo.science.kew.org/taxon/urn:lsid:ipni.org:names:77126611-1/general-information
https://www.wildflower.org/collections/collection.php?collection=hays</x:v>
      </x:c>
      <x:c r="X537" s="215" t="str">
        <x:v>No — retain qualifiers and exceptions</x:v>
      </x:c>
      <x:c r="Y537" s="215" t="str">
        <x:v>Yes</x:v>
      </x:c>
      <x:c r="Z537" s="215" t="str">
        <x:v>Source-backed draft</x:v>
      </x:c>
      <x:c r="AA537" s="215" t="str">
        <x:v>Family pattern</x:v>
      </x:c>
      <x:c r="AB537" s="215" t="str">
        <x:v>Positive diagnostic</x:v>
      </x:c>
      <x:c r="AC537" s="215" t="str">
        <x:v>High</x:v>
      </x:c>
      <x:c r="AD537" s="215" t="str">
        <x:v>Hand lens / macro</x:v>
      </x:c>
      <x:c r="AE537" s="215" t="str">
        <x:v>Low</x:v>
      </x:c>
      <x:c r="AF537" s="215" t="str">
        <x:v>Field-ready draft</x:v>
      </x:c>
      <x:c r="AG537" s="215" t="str">
        <x:v>4 — Context / caution</x:v>
      </x:c>
      <x:c r="AH537" s="215" t="str">
        <x:v>Current master inventory</x:v>
      </x:c>
    </x:row>
    <x:row r="538" ht="42" customHeight="1">
      <x:c r="A538" s="215" t="str">
        <x:v>Oxalidaceae</x:v>
      </x:c>
      <x:c r="B538" s="215" t="str">
        <x:v>OXA-LEAVES</x:v>
      </x:c>
      <x:c r="C538" s="215" t="str">
        <x:v>Family character</x:v>
      </x:c>
      <x:c r="D538" s="215" t="str">
        <x:v>Leaves</x:v>
      </x:c>
      <x:c r="E538" s="215" t="str">
        <x:v>Leaves alternate or basal, commonly palmately compound with 3 notched or heart-shaped leaflets</x:v>
      </x:c>
      <x:c r="F538" s="215" t="str">
        <x:v>Strong</x:v>
      </x:c>
      <x:c r="G538" s="215" t="str">
        <x:v>4</x:v>
      </x:c>
      <x:c r="H538" s="215" t="str">
        <x:v>High</x:v>
      </x:c>
      <x:c r="I538" s="215" t="str">
        <x:v>Naked eye or hand lens</x:v>
      </x:c>
      <x:c r="J538" s="215" t="str">
        <x:v>Vegetative or flowering material</x:v>
      </x:c>
      <x:c r="K538" s="215" t="str">
        <x:v>The shamrock-like three leaflets are the fastest local clue.</x:v>
      </x:c>
      <x:c r="L538" s="215" t="str">
        <x:v>Some species have more leaflets, and clovers can look similar.</x:v>
      </x:c>
      <x:c r="M538" s="215" t="str">
        <x:v>Confirm with radial flowers and capsule fruit.</x:v>
      </x:c>
      <x:c r="N538" s="215" t="str">
        <x:v>Wild Oxalis is common and readily encountered in Hays lawns, woodlands, prairie openings, and disturbed sites.</x:v>
      </x:c>
      <x:c r="O538" s="215" t="str">
        <x:v>Low</x:v>
      </x:c>
      <x:c r="P538" s="215" t="str">
        <x:v>No</x:v>
      </x:c>
      <x:c r="Q538" s="215" t="str"/>
      <x:c r="R538" s="215" t="str">
        <x:v>OXA-LK01; OXA-LK02</x:v>
      </x:c>
      <x:c r="S538" s="215" t="str">
        <x:v>APWEB-OXAL; FNA-OXAL; POWO-OXAL; LBJ-HAYS</x:v>
      </x:c>
      <x:c r="T538" s="215" t="str">
        <x:v>https://www.mobot.org/MOBOT/research/APweb/orders/oxalidalesweb.htm</x:v>
      </x:c>
      <x:c r="U538" s="215" t="str">
        <x:v>https://floranorthamerica.org/Oxalidaceae</x:v>
      </x:c>
      <x:c r="V538" s="215" t="str">
        <x:v>https://powo.science.kew.org/taxon/urn:lsid:ipni.org:names:77126611-1/general-information</x:v>
      </x:c>
      <x:c r="W538" s="215" t="str">
        <x:v>https://www.mobot.org/MOBOT/research/APweb/orders/oxalidalesweb.htm
https://floranorthamerica.org/Oxalidaceae
https://powo.science.kew.org/taxon/urn:lsid:ipni.org:names:77126611-1/general-information
https://www.wildflower.org/collections/collection.php?collection=hays</x:v>
      </x:c>
      <x:c r="X538" s="215" t="str">
        <x:v>No — retain qualifiers and exceptions</x:v>
      </x:c>
      <x:c r="Y538" s="215" t="str">
        <x:v>Yes</x:v>
      </x:c>
      <x:c r="Z538" s="215" t="str">
        <x:v>Source-backed draft</x:v>
      </x:c>
      <x:c r="AA538" s="215" t="str">
        <x:v>Family pattern</x:v>
      </x:c>
      <x:c r="AB538" s="215" t="str">
        <x:v>Positive diagnostic</x:v>
      </x:c>
      <x:c r="AC538" s="215" t="str">
        <x:v>High</x:v>
      </x:c>
      <x:c r="AD538" s="215" t="str">
        <x:v>Hand lens / macro</x:v>
      </x:c>
      <x:c r="AE538" s="215" t="str">
        <x:v>Low</x:v>
      </x:c>
      <x:c r="AF538" s="215" t="str">
        <x:v>Field-ready draft</x:v>
      </x:c>
      <x:c r="AG538" s="215" t="str">
        <x:v>2 — Field-photo priority</x:v>
      </x:c>
      <x:c r="AH538" s="215" t="str">
        <x:v>Current master inventory</x:v>
      </x:c>
    </x:row>
    <x:row r="539" ht="42" customHeight="1">
      <x:c r="A539" s="215" t="str">
        <x:v>Oxalidaceae</x:v>
      </x:c>
      <x:c r="B539" s="215" t="str">
        <x:v>OXA-NYCTINASTY</x:v>
      </x:c>
      <x:c r="C539" s="215" t="str">
        <x:v>Family character</x:v>
      </x:c>
      <x:c r="D539" s="215" t="str">
        <x:v>Leaves / movement</x:v>
      </x:c>
      <x:c r="E539" s="215" t="str">
        <x:v>Leaflets commonly fold downward at night, in heat, or under stress</x:v>
      </x:c>
      <x:c r="F539" s="215" t="str">
        <x:v>Supporting</x:v>
      </x:c>
      <x:c r="G539" s="215" t="str">
        <x:v>2</x:v>
      </x:c>
      <x:c r="H539" s="215" t="str">
        <x:v>High</x:v>
      </x:c>
      <x:c r="I539" s="215" t="str">
        <x:v>Naked eye or hand lens</x:v>
      </x:c>
      <x:c r="J539" s="215" t="str">
        <x:v>Living plants across day/night or stress</x:v>
      </x:c>
      <x:c r="K539" s="215" t="str">
        <x:v>The three leaflets may close like small umbrellas.</x:v>
      </x:c>
      <x:c r="L539" s="215" t="str">
        <x:v>Movement depends on time and conditions and is not always observed.</x:v>
      </x:c>
      <x:c r="M539" s="215" t="str">
        <x:v>Use as behavioral support, not a required character.</x:v>
      </x:c>
      <x:c r="N539" s="215" t="str">
        <x:v>Wild Oxalis is common and readily encountered in Hays lawns, woodlands, prairie openings, and disturbed sites.</x:v>
      </x:c>
      <x:c r="O539" s="215" t="str">
        <x:v>Low</x:v>
      </x:c>
      <x:c r="P539" s="215" t="str">
        <x:v>No</x:v>
      </x:c>
      <x:c r="Q539" s="215" t="str"/>
      <x:c r="R539" s="215" t="str"/>
      <x:c r="S539" s="215" t="str">
        <x:v>APWEB-OXAL; FNA-OXAL; POWO-OXAL; LBJ-HAYS</x:v>
      </x:c>
      <x:c r="T539" s="215" t="str">
        <x:v>https://www.mobot.org/MOBOT/research/APweb/orders/oxalidalesweb.htm</x:v>
      </x:c>
      <x:c r="U539" s="215" t="str">
        <x:v>https://floranorthamerica.org/Oxalidaceae</x:v>
      </x:c>
      <x:c r="V539" s="215" t="str">
        <x:v>https://powo.science.kew.org/taxon/urn:lsid:ipni.org:names:77126611-1/general-information</x:v>
      </x:c>
      <x:c r="W539" s="215" t="str">
        <x:v>https://www.mobot.org/MOBOT/research/APweb/orders/oxalidalesweb.htm
https://floranorthamerica.org/Oxalidaceae
https://powo.science.kew.org/taxon/urn:lsid:ipni.org:names:77126611-1/general-information
https://www.wildflower.org/collections/collection.php?collection=hays</x:v>
      </x:c>
      <x:c r="X539" s="215" t="str">
        <x:v>No — retain qualifiers and exceptions</x:v>
      </x:c>
      <x:c r="Y539" s="215" t="str">
        <x:v>Yes</x:v>
      </x:c>
      <x:c r="Z539" s="215" t="str">
        <x:v>Source-backed draft</x:v>
      </x:c>
      <x:c r="AA539" s="215" t="str">
        <x:v>Family pattern</x:v>
      </x:c>
      <x:c r="AB539" s="215" t="str">
        <x:v>Supporting / route</x:v>
      </x:c>
      <x:c r="AC539" s="215" t="str">
        <x:v>High</x:v>
      </x:c>
      <x:c r="AD539" s="215" t="str">
        <x:v>Hand lens / macro</x:v>
      </x:c>
      <x:c r="AE539" s="215" t="str">
        <x:v>Low</x:v>
      </x:c>
      <x:c r="AF539" s="215" t="str">
        <x:v>Field-ready draft</x:v>
      </x:c>
      <x:c r="AG539" s="215" t="str">
        <x:v>4 — Context / caution</x:v>
      </x:c>
      <x:c r="AH539" s="215" t="str">
        <x:v>Current master inventory</x:v>
      </x:c>
    </x:row>
    <x:row r="540" ht="42" customHeight="1">
      <x:c r="A540" s="215" t="str">
        <x:v>Oxalidaceae</x:v>
      </x:c>
      <x:c r="B540" s="215" t="str">
        <x:v>OXA-CHEM</x:v>
      </x:c>
      <x:c r="C540" s="215" t="str">
        <x:v>Family character</x:v>
      </x:c>
      <x:c r="D540" s="215" t="str">
        <x:v>Chemistry / taste</x:v>
      </x:c>
      <x:c r="E540" s="215" t="str">
        <x:v>Tissues contain oxalates and often have a sharp sour taste</x:v>
      </x:c>
      <x:c r="F540" s="215" t="str">
        <x:v>Caution</x:v>
      </x:c>
      <x:c r="G540" s="215" t="str">
        <x:v>0</x:v>
      </x:c>
      <x:c r="H540" s="215" t="str">
        <x:v>High</x:v>
      </x:c>
      <x:c r="I540" s="215" t="str">
        <x:v>Not recommended as a field test</x:v>
      </x:c>
      <x:c r="J540" s="215" t="str">
        <x:v>Any fresh tissue</x:v>
      </x:c>
      <x:c r="K540" s="215" t="str">
        <x:v>Sourness explains the common name wood-sorrel and distinguishes it from true clovers.</x:v>
      </x:c>
      <x:c r="L540" s="215" t="str">
        <x:v>Do not taste unknown plants; oxalates can be harmful and chemistry is not unique.</x:v>
      </x:c>
      <x:c r="M540" s="215" t="str">
        <x:v>Record odor/taste only from authoritative prior knowledge, never as a required field test.</x:v>
      </x:c>
      <x:c r="N540" s="215" t="str">
        <x:v>Wild Oxalis is common and readily encountered in Hays lawns, woodlands, prairie openings, and disturbed sites.</x:v>
      </x:c>
      <x:c r="O540" s="215" t="str">
        <x:v>Low</x:v>
      </x:c>
      <x:c r="P540" s="215" t="str">
        <x:v>No</x:v>
      </x:c>
      <x:c r="Q540" s="215" t="str"/>
      <x:c r="R540" s="215" t="str"/>
      <x:c r="S540" s="215" t="str">
        <x:v>APWEB-OXAL; FNA-OXAL; POWO-OXAL; LBJ-HAYS</x:v>
      </x:c>
      <x:c r="T540" s="215" t="str">
        <x:v>https://www.mobot.org/MOBOT/research/APweb/orders/oxalidalesweb.htm</x:v>
      </x:c>
      <x:c r="U540" s="215" t="str">
        <x:v>https://floranorthamerica.org/Oxalidaceae</x:v>
      </x:c>
      <x:c r="V540" s="215" t="str">
        <x:v>https://powo.science.kew.org/taxon/urn:lsid:ipni.org:names:77126611-1/general-information</x:v>
      </x:c>
      <x:c r="W540" s="215" t="str">
        <x:v>https://www.mobot.org/MOBOT/research/APweb/orders/oxalidalesweb.htm
https://floranorthamerica.org/Oxalidaceae
https://powo.science.kew.org/taxon/urn:lsid:ipni.org:names:77126611-1/general-information
https://www.wildflower.org/collections/collection.php?collection=hays</x:v>
      </x:c>
      <x:c r="X540" s="215" t="str">
        <x:v>No — retain qualifiers and exceptions</x:v>
      </x:c>
      <x:c r="Y540" s="215" t="str">
        <x:v>Yes</x:v>
      </x:c>
      <x:c r="Z540" s="215" t="str">
        <x:v>Source-backed draft</x:v>
      </x:c>
      <x:c r="AA540" s="215" t="str">
        <x:v>Family pattern</x:v>
      </x:c>
      <x:c r="AB540" s="215" t="str">
        <x:v>Caution / negative rule</x:v>
      </x:c>
      <x:c r="AC540" s="215" t="str">
        <x:v>High</x:v>
      </x:c>
      <x:c r="AD540" s="215" t="str">
        <x:v>Unsafe / avoid</x:v>
      </x:c>
      <x:c r="AE540" s="215" t="str">
        <x:v>Low</x:v>
      </x:c>
      <x:c r="AF540" s="215" t="str">
        <x:v>Do not perform</x:v>
      </x:c>
      <x:c r="AG540" s="215" t="str">
        <x:v>4 — Context / caution</x:v>
      </x:c>
      <x:c r="AH540" s="215" t="str">
        <x:v>Current master inventory</x:v>
      </x:c>
    </x:row>
    <x:row r="541" ht="42" customHeight="1">
      <x:c r="A541" s="215" t="str">
        <x:v>Oxalidaceae</x:v>
      </x:c>
      <x:c r="B541" s="215" t="str">
        <x:v>OXA-FLOWER</x:v>
      </x:c>
      <x:c r="C541" s="215" t="str">
        <x:v>Family character</x:v>
      </x:c>
      <x:c r="D541" s="215" t="str">
        <x:v>Flowers</x:v>
      </x:c>
      <x:c r="E541" s="215" t="str">
        <x:v>Flowers radially symmetric with 5 sepals and 5 separate petals</x:v>
      </x:c>
      <x:c r="F541" s="215" t="str">
        <x:v>Strong</x:v>
      </x:c>
      <x:c r="G541" s="215" t="str">
        <x:v>4</x:v>
      </x:c>
      <x:c r="H541" s="215" t="str">
        <x:v>High</x:v>
      </x:c>
      <x:c r="I541" s="215" t="str">
        <x:v>Naked eye or hand lens</x:v>
      </x:c>
      <x:c r="J541" s="215" t="str">
        <x:v>Fresh open flowers</x:v>
      </x:c>
      <x:c r="K541" s="215" t="str">
        <x:v>Five regular petals distinguish wood-sorrels from pea-shaped clover flowers.</x:v>
      </x:c>
      <x:c r="L541" s="215" t="str">
        <x:v>Petals may close, fall, or be damaged.</x:v>
      </x:c>
      <x:c r="M541" s="215" t="str">
        <x:v>Use a fresh open flower and count both whorls.</x:v>
      </x:c>
      <x:c r="N541" s="215" t="str">
        <x:v>Wild Oxalis is common and readily encountered in Hays lawns, woodlands, prairie openings, and disturbed sites.</x:v>
      </x:c>
      <x:c r="O541" s="215" t="str">
        <x:v>Low</x:v>
      </x:c>
      <x:c r="P541" s="215" t="str">
        <x:v>No</x:v>
      </x:c>
      <x:c r="Q541" s="215" t="str"/>
      <x:c r="R541" s="215" t="str">
        <x:v>OXA-LK01; OXA-LK02</x:v>
      </x:c>
      <x:c r="S541" s="215" t="str">
        <x:v>APWEB-OXAL; FNA-OXAL; POWO-OXAL; LBJ-HAYS</x:v>
      </x:c>
      <x:c r="T541" s="215" t="str">
        <x:v>https://www.mobot.org/MOBOT/research/APweb/orders/oxalidalesweb.htm</x:v>
      </x:c>
      <x:c r="U541" s="215" t="str">
        <x:v>https://floranorthamerica.org/Oxalidaceae</x:v>
      </x:c>
      <x:c r="V541" s="215" t="str">
        <x:v>https://powo.science.kew.org/taxon/urn:lsid:ipni.org:names:77126611-1/general-information</x:v>
      </x:c>
      <x:c r="W541" s="215" t="str">
        <x:v>https://www.mobot.org/MOBOT/research/APweb/orders/oxalidalesweb.htm
https://floranorthamerica.org/Oxalidaceae
https://powo.science.kew.org/taxon/urn:lsid:ipni.org:names:77126611-1/general-information
https://www.wildflower.org/collections/collection.php?collection=hays</x:v>
      </x:c>
      <x:c r="X541" s="215" t="str">
        <x:v>No — retain qualifiers and exceptions</x:v>
      </x:c>
      <x:c r="Y541" s="215" t="str">
        <x:v>Yes</x:v>
      </x:c>
      <x:c r="Z541" s="215" t="str">
        <x:v>Source-backed draft</x:v>
      </x:c>
      <x:c r="AA541" s="215" t="str">
        <x:v>Family pattern</x:v>
      </x:c>
      <x:c r="AB541" s="215" t="str">
        <x:v>Positive diagnostic</x:v>
      </x:c>
      <x:c r="AC541" s="215" t="str">
        <x:v>High</x:v>
      </x:c>
      <x:c r="AD541" s="215" t="str">
        <x:v>Hand lens / macro</x:v>
      </x:c>
      <x:c r="AE541" s="215" t="str">
        <x:v>Low</x:v>
      </x:c>
      <x:c r="AF541" s="215" t="str">
        <x:v>Field-ready draft</x:v>
      </x:c>
      <x:c r="AG541" s="215" t="str">
        <x:v>2 — Field-photo priority</x:v>
      </x:c>
      <x:c r="AH541" s="215" t="str">
        <x:v>Current master inventory</x:v>
      </x:c>
    </x:row>
    <x:row r="542" ht="42" customHeight="1">
      <x:c r="A542" s="215" t="str">
        <x:v>Oxalidaceae</x:v>
      </x:c>
      <x:c r="B542" s="215" t="str">
        <x:v>OXA-STAMENS</x:v>
      </x:c>
      <x:c r="C542" s="215" t="str">
        <x:v>Family character</x:v>
      </x:c>
      <x:c r="D542" s="215" t="str">
        <x:v>Stamens</x:v>
      </x:c>
      <x:c r="E542" s="215" t="str">
        <x:v>Usually 10 stamens in two whorls, commonly of unequal lengths</x:v>
      </x:c>
      <x:c r="F542" s="215" t="str">
        <x:v>Strong</x:v>
      </x:c>
      <x:c r="G542" s="215" t="str">
        <x:v>4</x:v>
      </x:c>
      <x:c r="H542" s="215" t="str">
        <x:v>High</x:v>
      </x:c>
      <x:c r="I542" s="215" t="str">
        <x:v>Hand lens</x:v>
      </x:c>
      <x:c r="J542" s="215" t="str">
        <x:v>Fresh intact flowers</x:v>
      </x:c>
      <x:c r="K542" s="215" t="str">
        <x:v>Ten stamens support Oxalidaceae when paired with five regular petals.</x:v>
      </x:c>
      <x:c r="L542" s="215" t="str">
        <x:v>Stamens are small and damaged flowers can be incomplete.</x:v>
      </x:c>
      <x:c r="M542" s="215" t="str">
        <x:v>Count under magnification on an intact flower.</x:v>
      </x:c>
      <x:c r="N542" s="215" t="str">
        <x:v>Wild Oxalis is common and readily encountered in Hays lawns, woodlands, prairie openings, and disturbed sites.</x:v>
      </x:c>
      <x:c r="O542" s="215" t="str">
        <x:v>Low</x:v>
      </x:c>
      <x:c r="P542" s="215" t="str">
        <x:v>No</x:v>
      </x:c>
      <x:c r="Q542" s="215" t="str"/>
      <x:c r="R542" s="215" t="str"/>
      <x:c r="S542" s="215" t="str">
        <x:v>APWEB-OXAL; FNA-OXAL; POWO-OXAL; LBJ-HAYS</x:v>
      </x:c>
      <x:c r="T542" s="215" t="str">
        <x:v>https://www.mobot.org/MOBOT/research/APweb/orders/oxalidalesweb.htm</x:v>
      </x:c>
      <x:c r="U542" s="215" t="str">
        <x:v>https://floranorthamerica.org/Oxalidaceae</x:v>
      </x:c>
      <x:c r="V542" s="215" t="str">
        <x:v>https://powo.science.kew.org/taxon/urn:lsid:ipni.org:names:77126611-1/general-information</x:v>
      </x:c>
      <x:c r="W542" s="215" t="str">
        <x:v>https://www.mobot.org/MOBOT/research/APweb/orders/oxalidalesweb.htm
https://floranorthamerica.org/Oxalidaceae
https://powo.science.kew.org/taxon/urn:lsid:ipni.org:names:77126611-1/general-information
https://www.wildflower.org/collections/collection.php?collection=hays</x:v>
      </x:c>
      <x:c r="X542" s="215" t="str">
        <x:v>No — retain qualifiers and exceptions</x:v>
      </x:c>
      <x:c r="Y542" s="215" t="str">
        <x:v>Yes</x:v>
      </x:c>
      <x:c r="Z542" s="215" t="str">
        <x:v>Source-backed draft</x:v>
      </x:c>
      <x:c r="AA542" s="215" t="str">
        <x:v>Family pattern</x:v>
      </x:c>
      <x:c r="AB542" s="215" t="str">
        <x:v>Positive diagnostic</x:v>
      </x:c>
      <x:c r="AC542" s="215" t="str">
        <x:v>High</x:v>
      </x:c>
      <x:c r="AD542" s="215" t="str">
        <x:v>Hand lens / macro</x:v>
      </x:c>
      <x:c r="AE542" s="215" t="str">
        <x:v>Low</x:v>
      </x:c>
      <x:c r="AF542" s="215" t="str">
        <x:v>Field-ready draft</x:v>
      </x:c>
      <x:c r="AG542" s="215" t="str">
        <x:v>2 — Field-photo priority</x:v>
      </x:c>
      <x:c r="AH542" s="215" t="str">
        <x:v>Current master inventory</x:v>
      </x:c>
    </x:row>
    <x:row r="543" ht="42" customHeight="1">
      <x:c r="A543" s="215" t="str">
        <x:v>Oxalidaceae</x:v>
      </x:c>
      <x:c r="B543" s="215" t="str">
        <x:v>OXA-HETEROSTYLY</x:v>
      </x:c>
      <x:c r="C543" s="215" t="str">
        <x:v>Family character</x:v>
      </x:c>
      <x:c r="D543" s="215" t="str">
        <x:v>Gynoecium / stamens</x:v>
      </x:c>
      <x:c r="E543" s="215" t="str">
        <x:v>Style and stamen lengths commonly occur in two or three floral morphs</x:v>
      </x:c>
      <x:c r="F543" s="215" t="str">
        <x:v>Supporting</x:v>
      </x:c>
      <x:c r="G543" s="215" t="str">
        <x:v>1</x:v>
      </x:c>
      <x:c r="H543" s="215" t="str">
        <x:v>High</x:v>
      </x:c>
      <x:c r="I543" s="215" t="str">
        <x:v>Hand lens</x:v>
      </x:c>
      <x:c r="J543" s="215" t="str">
        <x:v>Several fresh flowers from multiple plants</x:v>
      </x:c>
      <x:c r="K543" s="215" t="str">
        <x:v>Different plants may position stigmas and anthers at different heights.</x:v>
      </x:c>
      <x:c r="L543" s="215" t="str">
        <x:v>Not every species or population shows an obvious field pattern.</x:v>
      </x:c>
      <x:c r="M543" s="215" t="str">
        <x:v>Use only as population-level supporting evidence.</x:v>
      </x:c>
      <x:c r="N543" s="215" t="str">
        <x:v>Wild Oxalis is common and readily encountered in Hays lawns, woodlands, prairie openings, and disturbed sites.</x:v>
      </x:c>
      <x:c r="O543" s="215" t="str">
        <x:v>Low</x:v>
      </x:c>
      <x:c r="P543" s="215" t="str">
        <x:v>No</x:v>
      </x:c>
      <x:c r="Q543" s="215" t="str"/>
      <x:c r="R543" s="215" t="str"/>
      <x:c r="S543" s="215" t="str">
        <x:v>APWEB-OXAL; FNA-OXAL; POWO-OXAL; LBJ-HAYS</x:v>
      </x:c>
      <x:c r="T543" s="215" t="str">
        <x:v>https://www.mobot.org/MOBOT/research/APweb/orders/oxalidalesweb.htm</x:v>
      </x:c>
      <x:c r="U543" s="215" t="str">
        <x:v>https://floranorthamerica.org/Oxalidaceae</x:v>
      </x:c>
      <x:c r="V543" s="215" t="str">
        <x:v>https://powo.science.kew.org/taxon/urn:lsid:ipni.org:names:77126611-1/general-information</x:v>
      </x:c>
      <x:c r="W543" s="215" t="str">
        <x:v>https://www.mobot.org/MOBOT/research/APweb/orders/oxalidalesweb.htm
https://floranorthamerica.org/Oxalidaceae
https://powo.science.kew.org/taxon/urn:lsid:ipni.org:names:77126611-1/general-information
https://www.wildflower.org/collections/collection.php?collection=hays</x:v>
      </x:c>
      <x:c r="X543" s="215" t="str">
        <x:v>No — retain qualifiers and exceptions</x:v>
      </x:c>
      <x:c r="Y543" s="215" t="str">
        <x:v>Yes</x:v>
      </x:c>
      <x:c r="Z543" s="215" t="str">
        <x:v>Source-backed draft</x:v>
      </x:c>
      <x:c r="AA543" s="215" t="str">
        <x:v>Family pattern</x:v>
      </x:c>
      <x:c r="AB543" s="215" t="str">
        <x:v>Supporting / route</x:v>
      </x:c>
      <x:c r="AC543" s="215" t="str">
        <x:v>High</x:v>
      </x:c>
      <x:c r="AD543" s="215" t="str">
        <x:v>Hand lens / macro</x:v>
      </x:c>
      <x:c r="AE543" s="215" t="str">
        <x:v>Low</x:v>
      </x:c>
      <x:c r="AF543" s="215" t="str">
        <x:v>Field-ready draft</x:v>
      </x:c>
      <x:c r="AG543" s="215" t="str">
        <x:v>4 — Context / caution</x:v>
      </x:c>
      <x:c r="AH543" s="215" t="str">
        <x:v>Current master inventory</x:v>
      </x:c>
    </x:row>
    <x:row r="544" ht="42" customHeight="1">
      <x:c r="A544" s="215" t="str">
        <x:v>Oxalidaceae</x:v>
      </x:c>
      <x:c r="B544" s="215" t="str">
        <x:v>OXA-OVARY</x:v>
      </x:c>
      <x:c r="C544" s="215" t="str">
        <x:v>Family character</x:v>
      </x:c>
      <x:c r="D544" s="215" t="str">
        <x:v>Gynoecium</x:v>
      </x:c>
      <x:c r="E544" s="215" t="str">
        <x:v>Ovary superior, 5-carpellate and usually 5-locular</x:v>
      </x:c>
      <x:c r="F544" s="215" t="str">
        <x:v>Strong</x:v>
      </x:c>
      <x:c r="G544" s="215" t="str">
        <x:v>4</x:v>
      </x:c>
      <x:c r="H544" s="215" t="str">
        <x:v>High</x:v>
      </x:c>
      <x:c r="I544" s="215" t="str">
        <x:v>Hand lens or dissection</x:v>
      </x:c>
      <x:c r="J544" s="215" t="str">
        <x:v>Fresh flowers</x:v>
      </x:c>
      <x:c r="K544" s="215" t="str">
        <x:v>The ovary sits above the other parts and is built in five sections.</x:v>
      </x:c>
      <x:c r="L544" s="215" t="str">
        <x:v>Internal locules require dissection.</x:v>
      </x:c>
      <x:c r="M544" s="215" t="str">
        <x:v>Use with the ten stamens and capsule.</x:v>
      </x:c>
      <x:c r="N544" s="215" t="str">
        <x:v>Wild Oxalis is common and readily encountered in Hays lawns, woodlands, prairie openings, and disturbed sites.</x:v>
      </x:c>
      <x:c r="O544" s="215" t="str">
        <x:v>Low</x:v>
      </x:c>
      <x:c r="P544" s="215" t="str">
        <x:v>No</x:v>
      </x:c>
      <x:c r="Q544" s="215" t="str"/>
      <x:c r="R544" s="215" t="str"/>
      <x:c r="S544" s="215" t="str">
        <x:v>APWEB-OXAL; FNA-OXAL; POWO-OXAL; LBJ-HAYS</x:v>
      </x:c>
      <x:c r="T544" s="215" t="str">
        <x:v>https://www.mobot.org/MOBOT/research/APweb/orders/oxalidalesweb.htm</x:v>
      </x:c>
      <x:c r="U544" s="215" t="str">
        <x:v>https://floranorthamerica.org/Oxalidaceae</x:v>
      </x:c>
      <x:c r="V544" s="215" t="str">
        <x:v>https://powo.science.kew.org/taxon/urn:lsid:ipni.org:names:77126611-1/general-information</x:v>
      </x:c>
      <x:c r="W544" s="215" t="str">
        <x:v>https://www.mobot.org/MOBOT/research/APweb/orders/oxalidalesweb.htm
https://floranorthamerica.org/Oxalidaceae
https://powo.science.kew.org/taxon/urn:lsid:ipni.org:names:77126611-1/general-information
https://www.wildflower.org/collections/collection.php?collection=hays</x:v>
      </x:c>
      <x:c r="X544" s="215" t="str">
        <x:v>No — retain qualifiers and exceptions</x:v>
      </x:c>
      <x:c r="Y544" s="215" t="str">
        <x:v>Yes</x:v>
      </x:c>
      <x:c r="Z544" s="215" t="str">
        <x:v>Source-backed draft</x:v>
      </x:c>
      <x:c r="AA544" s="215" t="str">
        <x:v>Family pattern</x:v>
      </x:c>
      <x:c r="AB544" s="215" t="str">
        <x:v>Positive diagnostic</x:v>
      </x:c>
      <x:c r="AC544" s="215" t="str">
        <x:v>High</x:v>
      </x:c>
      <x:c r="AD544" s="215" t="str">
        <x:v>Dissection</x:v>
      </x:c>
      <x:c r="AE544" s="215" t="str">
        <x:v>Low</x:v>
      </x:c>
      <x:c r="AF544" s="215" t="str">
        <x:v>Dissection / close study</x:v>
      </x:c>
      <x:c r="AG544" s="215" t="str">
        <x:v>3 — Reference support</x:v>
      </x:c>
      <x:c r="AH544" s="215" t="str">
        <x:v>Current master inventory</x:v>
      </x:c>
    </x:row>
    <x:row r="545" ht="42" customHeight="1">
      <x:c r="A545" s="215" t="str">
        <x:v>Oxalidaceae</x:v>
      </x:c>
      <x:c r="B545" s="215" t="str">
        <x:v>OXA-FRUIT</x:v>
      </x:c>
      <x:c r="C545" s="215" t="str">
        <x:v>Family character</x:v>
      </x:c>
      <x:c r="D545" s="215" t="str">
        <x:v>Fruit</x:v>
      </x:c>
      <x:c r="E545" s="215" t="str">
        <x:v>Fruit usually a 5-angled or cylindric capsule, often opening elastically and ejecting seeds</x:v>
      </x:c>
      <x:c r="F545" s="215" t="str">
        <x:v>Strong</x:v>
      </x:c>
      <x:c r="G545" s="215" t="str">
        <x:v>5</x:v>
      </x:c>
      <x:c r="H545" s="215" t="str">
        <x:v>High</x:v>
      </x:c>
      <x:c r="I545" s="215" t="str">
        <x:v>Naked eye or hand lens</x:v>
      </x:c>
      <x:c r="J545" s="215" t="str">
        <x:v>Mature fruit</x:v>
      </x:c>
      <x:c r="K545" s="215" t="str">
        <x:v>Mature wood-sorrel pods can spring open when touched.</x:v>
      </x:c>
      <x:c r="L545" s="215" t="str">
        <x:v>Explosive opening requires mature fruit and should not be provoked into eyes.</x:v>
      </x:c>
      <x:c r="M545" s="215" t="str">
        <x:v>Use capsule shape and dehiscence to separate from legumes and beaked schizocarps.</x:v>
      </x:c>
      <x:c r="N545" s="215" t="str">
        <x:v>Wild Oxalis is common and readily encountered in Hays lawns, woodlands, prairie openings, and disturbed sites.</x:v>
      </x:c>
      <x:c r="O545" s="215" t="str">
        <x:v>Low</x:v>
      </x:c>
      <x:c r="P545" s="215" t="str">
        <x:v>No</x:v>
      </x:c>
      <x:c r="Q545" s="215" t="str"/>
      <x:c r="R545" s="215" t="str">
        <x:v>OXA-LK01; OXA-LK02</x:v>
      </x:c>
      <x:c r="S545" s="215" t="str">
        <x:v>APWEB-OXAL; FNA-OXAL; POWO-OXAL; LBJ-HAYS</x:v>
      </x:c>
      <x:c r="T545" s="215" t="str">
        <x:v>https://www.mobot.org/MOBOT/research/APweb/orders/oxalidalesweb.htm</x:v>
      </x:c>
      <x:c r="U545" s="215" t="str">
        <x:v>https://floranorthamerica.org/Oxalidaceae</x:v>
      </x:c>
      <x:c r="V545" s="215" t="str">
        <x:v>https://powo.science.kew.org/taxon/urn:lsid:ipni.org:names:77126611-1/general-information</x:v>
      </x:c>
      <x:c r="W545" s="215" t="str">
        <x:v>https://www.mobot.org/MOBOT/research/APweb/orders/oxalidalesweb.htm
https://floranorthamerica.org/Oxalidaceae
https://powo.science.kew.org/taxon/urn:lsid:ipni.org:names:77126611-1/general-information
https://www.wildflower.org/collections/collection.php?collection=hays</x:v>
      </x:c>
      <x:c r="X545" s="215" t="str">
        <x:v>No — retain qualifiers and exceptions</x:v>
      </x:c>
      <x:c r="Y545" s="215" t="str">
        <x:v>Yes</x:v>
      </x:c>
      <x:c r="Z545" s="215" t="str">
        <x:v>Source-backed draft</x:v>
      </x:c>
      <x:c r="AA545" s="215" t="str">
        <x:v>Family pattern</x:v>
      </x:c>
      <x:c r="AB545" s="215" t="str">
        <x:v>Positive diagnostic</x:v>
      </x:c>
      <x:c r="AC545" s="215" t="str">
        <x:v>High</x:v>
      </x:c>
      <x:c r="AD545" s="215" t="str">
        <x:v>Hand lens / macro</x:v>
      </x:c>
      <x:c r="AE545" s="215" t="str">
        <x:v>Low</x:v>
      </x:c>
      <x:c r="AF545" s="215" t="str">
        <x:v>Field-ready draft</x:v>
      </x:c>
      <x:c r="AG545" s="215" t="str">
        <x:v>2 — Field-photo priority</x:v>
      </x:c>
      <x:c r="AH545" s="215" t="str">
        <x:v>Current master inventory</x:v>
      </x:c>
    </x:row>
    <x:row r="546" ht="42" customHeight="1">
      <x:c r="A546" s="215" t="str">
        <x:v>Oxalidaceae</x:v>
      </x:c>
      <x:c r="B546" s="215" t="str">
        <x:v>OXA-LK01</x:v>
      </x:c>
      <x:c r="C546" s="215" t="str">
        <x:v>Lookalike comparison</x:v>
      </x:c>
      <x:c r="D546" s="215" t="str">
        <x:v>Lookalike</x:v>
      </x:c>
      <x:c r="E546" s="215" t="str">
        <x:v>Versus Fabaceae clovers: 5 regular petals and a capsule favor Oxalidaceae; a bilaterally symmetric pea flower and legume favor Fabaceae</x:v>
      </x:c>
      <x:c r="F546" s="215" t="str">
        <x:v>Lookalike</x:v>
      </x:c>
      <x:c r="G546" s="215" t="str">
        <x:v>5</x:v>
      </x:c>
      <x:c r="H546" s="215" t="str">
        <x:v>High</x:v>
      </x:c>
      <x:c r="I546" s="215" t="str">
        <x:v>Naked eye or hand lens</x:v>
      </x:c>
      <x:c r="J546" s="215" t="str">
        <x:v>Flowers or mature fruit</x:v>
      </x:c>
      <x:c r="K546" s="215" t="str">
        <x:v>Three leaflets create the strongest vegetative confusion.</x:v>
      </x:c>
      <x:c r="L546" s="215" t="str">
        <x:v>Sterile plants remain ambiguous unless leaflet details and stipules are clear.</x:v>
      </x:c>
      <x:c r="M546" s="215" t="str">
        <x:v>Use flower symmetry first and mature fruit second.</x:v>
      </x:c>
      <x:c r="N546" s="215" t="str">
        <x:v>Wild Oxalis is common and readily encountered in Hays lawns, woodlands, prairie openings, and disturbed sites.</x:v>
      </x:c>
      <x:c r="O546" s="215" t="str">
        <x:v>Low</x:v>
      </x:c>
      <x:c r="P546" s="215" t="str">
        <x:v>No</x:v>
      </x:c>
      <x:c r="Q546" s="215" t="str"/>
      <x:c r="R546" s="215" t="str">
        <x:v>OXA-LEAVES; OXA-FLOWER; OXA-FRUIT</x:v>
      </x:c>
      <x:c r="S546" s="215" t="str">
        <x:v>APWEB-OXAL; FNA-OXAL; POWO-OXAL; LBJ-HAYS</x:v>
      </x:c>
      <x:c r="T546" s="215" t="str">
        <x:v>https://www.mobot.org/MOBOT/research/APweb/orders/oxalidalesweb.htm</x:v>
      </x:c>
      <x:c r="U546" s="215" t="str">
        <x:v>https://floranorthamerica.org/Oxalidaceae</x:v>
      </x:c>
      <x:c r="V546" s="215" t="str">
        <x:v>https://powo.science.kew.org/taxon/urn:lsid:ipni.org:names:77126611-1/general-information</x:v>
      </x:c>
      <x:c r="W546" s="215" t="str">
        <x:v>https://www.mobot.org/MOBOT/research/APweb/orders/oxalidalesweb.htm
https://floranorthamerica.org/Oxalidaceae
https://powo.science.kew.org/taxon/urn:lsid:ipni.org:names:77126611-1/general-information
https://www.wildflower.org/collections/collection.php?collection=hays</x:v>
      </x:c>
      <x:c r="X546" s="215" t="str">
        <x:v>No — retain qualifiers and exceptions</x:v>
      </x:c>
      <x:c r="Y546" s="215" t="str">
        <x:v>Yes</x:v>
      </x:c>
      <x:c r="Z546" s="215" t="str">
        <x:v>Source-backed draft</x:v>
      </x:c>
      <x:c r="AA546" s="215" t="str">
        <x:v>Lookalike comparison</x:v>
      </x:c>
      <x:c r="AB546" s="215" t="str">
        <x:v>Contrast / lookalike</x:v>
      </x:c>
      <x:c r="AC546" s="215" t="str">
        <x:v>High</x:v>
      </x:c>
      <x:c r="AD546" s="215" t="str">
        <x:v>Hand lens / macro</x:v>
      </x:c>
      <x:c r="AE546" s="215" t="str">
        <x:v>Low</x:v>
      </x:c>
      <x:c r="AF546" s="215" t="str">
        <x:v>Field-ready draft</x:v>
      </x:c>
      <x:c r="AG546" s="215" t="str">
        <x:v>2 — Field-photo priority</x:v>
      </x:c>
      <x:c r="AH546" s="215" t="str">
        <x:v>Current master inventory</x:v>
      </x:c>
    </x:row>
    <x:row r="547" ht="42" customHeight="1">
      <x:c r="A547" s="215" t="str">
        <x:v>Oxalidaceae</x:v>
      </x:c>
      <x:c r="B547" s="215" t="str">
        <x:v>OXA-LK02</x:v>
      </x:c>
      <x:c r="C547" s="215" t="str">
        <x:v>Lookalike comparison</x:v>
      </x:c>
      <x:c r="D547" s="215" t="str">
        <x:v>Lookalike</x:v>
      </x:c>
      <x:c r="E547" s="215" t="str">
        <x:v>Versus Geraniaceae: trifoliolate shamrock leaves and a non-beaked capsule favor local Oxalidaceae; palmately lobed leaves and a long-beaked schizocarp favor many Geraniaceae</x:v>
      </x:c>
      <x:c r="F547" s="215" t="str">
        <x:v>Lookalike</x:v>
      </x:c>
      <x:c r="G547" s="215" t="str">
        <x:v>5</x:v>
      </x:c>
      <x:c r="H547" s="215" t="str">
        <x:v>High</x:v>
      </x:c>
      <x:c r="I547" s="215" t="str">
        <x:v>Naked eye or hand lens</x:v>
      </x:c>
      <x:c r="J547" s="215" t="str">
        <x:v>Flowers and mature fruit</x:v>
      </x:c>
      <x:c r="K547" s="215" t="str">
        <x:v>Both have 5-merous flowers and often 10 stamens.</x:v>
      </x:c>
      <x:c r="L547" s="215" t="str">
        <x:v>Geraniaceae lacks completed reciprocal family rows in the current master.</x:v>
      </x:c>
      <x:c r="M547" s="215" t="str">
        <x:v>Keep this comparison provisional until Geraniaceae receives first-pass coverage.</x:v>
      </x:c>
      <x:c r="N547" s="215" t="str">
        <x:v>Wild Oxalis is common and readily encountered in Hays lawns, woodlands, prairie openings, and disturbed sites.</x:v>
      </x:c>
      <x:c r="O547" s="215" t="str">
        <x:v>Medium</x:v>
      </x:c>
      <x:c r="P547" s="215" t="str">
        <x:v>Yes</x:v>
      </x:c>
      <x:c r="Q547" s="215" t="str">
        <x:v>Reciprocal Geraniaceae family and lookalike rows are not yet in the working master.</x:v>
      </x:c>
      <x:c r="R547" s="215" t="str">
        <x:v>OXA-LEAVES; OXA-FLOWER; OXA-STAMENS; OXA-FRUIT</x:v>
      </x:c>
      <x:c r="S547" s="215" t="str">
        <x:v>APWEB-OXAL; FNA-OXAL; POWO-OXAL; LBJ-HAYS</x:v>
      </x:c>
      <x:c r="T547" s="215" t="str">
        <x:v>https://www.mobot.org/MOBOT/research/APweb/orders/oxalidalesweb.htm</x:v>
      </x:c>
      <x:c r="U547" s="215" t="str">
        <x:v>https://floranorthamerica.org/Oxalidaceae</x:v>
      </x:c>
      <x:c r="V547" s="215" t="str">
        <x:v>https://powo.science.kew.org/taxon/urn:lsid:ipni.org:names:77126611-1/general-information</x:v>
      </x:c>
      <x:c r="W547" s="215" t="str">
        <x:v>https://www.mobot.org/MOBOT/research/APweb/orders/oxalidalesweb.htm
https://floranorthamerica.org/Oxalidaceae
https://powo.science.kew.org/taxon/urn:lsid:ipni.org:names:77126611-1/general-information
https://www.wildflower.org/collections/collection.php?collection=hays</x:v>
      </x:c>
      <x:c r="X547" s="215" t="str">
        <x:v>No — retain qualifiers and exceptions</x:v>
      </x:c>
      <x:c r="Y547" s="215" t="str">
        <x:v>Yes</x:v>
      </x:c>
      <x:c r="Z547" s="215" t="str">
        <x:v>Human review required</x:v>
      </x:c>
      <x:c r="AA547" s="215" t="str">
        <x:v>Lookalike comparison</x:v>
      </x:c>
      <x:c r="AB547" s="215" t="str">
        <x:v>Contrast / lookalike</x:v>
      </x:c>
      <x:c r="AC547" s="215" t="str">
        <x:v>High</x:v>
      </x:c>
      <x:c r="AD547" s="215" t="str">
        <x:v>Hand lens / macro</x:v>
      </x:c>
      <x:c r="AE547" s="215" t="str">
        <x:v>Moderate</x:v>
      </x:c>
      <x:c r="AF547" s="215" t="str">
        <x:v>Use only after review</x:v>
      </x:c>
      <x:c r="AG547" s="215" t="str">
        <x:v>1 — Human review now</x:v>
      </x:c>
      <x:c r="AH547" s="215" t="str">
        <x:v>Current master inventory</x:v>
      </x:c>
    </x:row>
    <x:row r="548" ht="42" customHeight="1">
      <x:c r="A548" s="215" t="str">
        <x:v>Geraniaceae</x:v>
      </x:c>
      <x:c r="B548" s="215" t="str">
        <x:v>GER-HABIT</x:v>
      </x:c>
      <x:c r="C548" s="215" t="str">
        <x:v>Family character</x:v>
      </x:c>
      <x:c r="D548" s="215" t="str">
        <x:v>Habit</x:v>
      </x:c>
      <x:c r="E548" s="215" t="str">
        <x:v>Annual or perennial herbs, less often subshrubs</x:v>
      </x:c>
      <x:c r="F548" s="215" t="str">
        <x:v>Strong</x:v>
      </x:c>
      <x:c r="G548" s="215" t="str">
        <x:v>2</x:v>
      </x:c>
      <x:c r="H548" s="215" t="str">
        <x:v>High</x:v>
      </x:c>
      <x:c r="I548" s="215" t="str">
        <x:v>Naked eye or hand lens</x:v>
      </x:c>
      <x:c r="J548" s="215" t="str">
        <x:v>Any active growth</x:v>
      </x:c>
      <x:c r="K548" s="215" t="str">
        <x:v>Most local family members are soft-stemmed herbs.</x:v>
      </x:c>
      <x:c r="L548" s="215" t="str">
        <x:v>The family includes succulent or woody forms outside the regional flora.</x:v>
      </x:c>
      <x:c r="M548" s="215" t="str">
        <x:v>Use habit only to enter the floral and fruit suite.</x:v>
      </x:c>
      <x:c r="N548" s="215" t="str">
        <x:v>Wild Geranium and Erodium-type herbs occur in Central Texas lawns, roadsides, prairies, and open woodlands; cultivated Pelargonium should not establish Hays nativity.</x:v>
      </x:c>
      <x:c r="O548" s="215" t="str">
        <x:v>Low</x:v>
      </x:c>
      <x:c r="P548" s="215" t="str">
        <x:v>No</x:v>
      </x:c>
      <x:c r="Q548" s="215" t="str"/>
      <x:c r="R548" s="215" t="str"/>
      <x:c r="S548" s="215" t="str">
        <x:v>APWEB-GERA; POWO-GERA; LBJ-HAYS</x:v>
      </x:c>
      <x:c r="T548" s="215" t="str">
        <x:v>https://www.mobot.org/MOBOT/research/APweb/orders/geranialesweb.htm</x:v>
      </x:c>
      <x:c r="U548" s="215" t="str">
        <x:v>https://powo.science.kew.org/taxon/urn:lsid:ipni.org:names:30001521-2/general-information</x:v>
      </x:c>
      <x:c r="V548" s="215" t="str">
        <x:v>https://powo.science.kew.org/taxon/urn:lsid:ipni.org:names:30001521-2/general-information</x:v>
      </x:c>
      <x:c r="W548"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48" s="215" t="str">
        <x:v>No — retain qualifiers and exceptions</x:v>
      </x:c>
      <x:c r="Y548" s="215" t="str">
        <x:v>Yes</x:v>
      </x:c>
      <x:c r="Z548" s="215" t="str">
        <x:v>Source-backed draft</x:v>
      </x:c>
      <x:c r="AA548" s="215" t="str">
        <x:v>Family pattern</x:v>
      </x:c>
      <x:c r="AB548" s="215" t="str">
        <x:v>Positive diagnostic</x:v>
      </x:c>
      <x:c r="AC548" s="215" t="str">
        <x:v>High</x:v>
      </x:c>
      <x:c r="AD548" s="215" t="str">
        <x:v>Hand lens / macro</x:v>
      </x:c>
      <x:c r="AE548" s="215" t="str">
        <x:v>Low</x:v>
      </x:c>
      <x:c r="AF548" s="215" t="str">
        <x:v>Field-ready draft</x:v>
      </x:c>
      <x:c r="AG548" s="215" t="str">
        <x:v>4 — Context / caution</x:v>
      </x:c>
      <x:c r="AH548" s="215" t="str">
        <x:v>Current master inventory</x:v>
      </x:c>
    </x:row>
    <x:row r="549" ht="42" customHeight="1">
      <x:c r="A549" s="215" t="str">
        <x:v>Geraniaceae</x:v>
      </x:c>
      <x:c r="B549" s="215" t="str">
        <x:v>GER-LEAVES</x:v>
      </x:c>
      <x:c r="C549" s="215" t="str">
        <x:v>Family character</x:v>
      </x:c>
      <x:c r="D549" s="215" t="str">
        <x:v>Leaves / stipules</x:v>
      </x:c>
      <x:c r="E549" s="215" t="str">
        <x:v>Leaves alternate or opposite, usually stipulate, commonly lobed or divided</x:v>
      </x:c>
      <x:c r="F549" s="215" t="str">
        <x:v>Strong</x:v>
      </x:c>
      <x:c r="G549" s="215" t="str">
        <x:v>3</x:v>
      </x:c>
      <x:c r="H549" s="215" t="str">
        <x:v>High</x:v>
      </x:c>
      <x:c r="I549" s="215" t="str">
        <x:v>Naked eye or hand lens</x:v>
      </x:c>
      <x:c r="J549" s="215" t="str">
        <x:v>Leafy shoots</x:v>
      </x:c>
      <x:c r="K549" s="215" t="str">
        <x:v>Lobed, veined leaves with small stipules are common in cranesbills and storksbills.</x:v>
      </x:c>
      <x:c r="L549" s="215" t="str">
        <x:v>Leaf division and arrangement vary; sterile plants overlap many families.</x:v>
      </x:c>
      <x:c r="M549" s="215" t="str">
        <x:v>Inspect several nodes and confirm with flowers or the beaked fruit.</x:v>
      </x:c>
      <x:c r="N549" s="215" t="str">
        <x:v>Wild Geranium and Erodium-type herbs occur in Central Texas lawns, roadsides, prairies, and open woodlands; cultivated Pelargonium should not establish Hays nativity.</x:v>
      </x:c>
      <x:c r="O549" s="215" t="str">
        <x:v>Low</x:v>
      </x:c>
      <x:c r="P549" s="215" t="str">
        <x:v>No</x:v>
      </x:c>
      <x:c r="Q549" s="215" t="str"/>
      <x:c r="R549" s="215" t="str">
        <x:v>GER-LK01; GER-LK02</x:v>
      </x:c>
      <x:c r="S549" s="215" t="str">
        <x:v>APWEB-GERA; POWO-GERA; LBJ-HAYS</x:v>
      </x:c>
      <x:c r="T549" s="215" t="str">
        <x:v>https://www.mobot.org/MOBOT/research/APweb/orders/geranialesweb.htm</x:v>
      </x:c>
      <x:c r="U549" s="215" t="str">
        <x:v>https://powo.science.kew.org/taxon/urn:lsid:ipni.org:names:30001521-2/general-information</x:v>
      </x:c>
      <x:c r="V549" s="215" t="str">
        <x:v>https://powo.science.kew.org/taxon/urn:lsid:ipni.org:names:30001521-2/general-information</x:v>
      </x:c>
      <x:c r="W549"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49" s="215" t="str">
        <x:v>No — retain qualifiers and exceptions</x:v>
      </x:c>
      <x:c r="Y549" s="215" t="str">
        <x:v>Yes</x:v>
      </x:c>
      <x:c r="Z549" s="215" t="str">
        <x:v>Source-backed draft</x:v>
      </x:c>
      <x:c r="AA549" s="215" t="str">
        <x:v>Family pattern</x:v>
      </x:c>
      <x:c r="AB549" s="215" t="str">
        <x:v>Positive diagnostic</x:v>
      </x:c>
      <x:c r="AC549" s="215" t="str">
        <x:v>High</x:v>
      </x:c>
      <x:c r="AD549" s="215" t="str">
        <x:v>Hand lens / macro</x:v>
      </x:c>
      <x:c r="AE549" s="215" t="str">
        <x:v>Low</x:v>
      </x:c>
      <x:c r="AF549" s="215" t="str">
        <x:v>Field-ready draft</x:v>
      </x:c>
      <x:c r="AG549" s="215" t="str">
        <x:v>3 — Reference support</x:v>
      </x:c>
      <x:c r="AH549" s="215" t="str">
        <x:v>Current master inventory</x:v>
      </x:c>
    </x:row>
    <x:row r="550" ht="42" customHeight="1">
      <x:c r="A550" s="215" t="str">
        <x:v>Geraniaceae</x:v>
      </x:c>
      <x:c r="B550" s="215" t="str">
        <x:v>GER-FLOWER</x:v>
      </x:c>
      <x:c r="C550" s="215" t="str">
        <x:v>Family character</x:v>
      </x:c>
      <x:c r="D550" s="215" t="str">
        <x:v>Flowers</x:v>
      </x:c>
      <x:c r="E550" s="215" t="str">
        <x:v>Flowers usually bisexual, 5-merous, radially symmetric to weakly bilateral</x:v>
      </x:c>
      <x:c r="F550" s="215" t="str">
        <x:v>Strong</x:v>
      </x:c>
      <x:c r="G550" s="215" t="str">
        <x:v>4</x:v>
      </x:c>
      <x:c r="H550" s="215" t="str">
        <x:v>High</x:v>
      </x:c>
      <x:c r="I550" s="215" t="str">
        <x:v>Naked eye or hand lens</x:v>
      </x:c>
      <x:c r="J550" s="215" t="str">
        <x:v>Fresh flowers</x:v>
      </x:c>
      <x:c r="K550" s="215" t="str">
        <x:v>Five sepals and five petals form the common family pattern.</x:v>
      </x:c>
      <x:c r="L550" s="215" t="str">
        <x:v>Pelargonium can be strongly bilateral and petals may fall.</x:v>
      </x:c>
      <x:c r="M550" s="215" t="str">
        <x:v>Use merosity with stamen number and fruit architecture.</x:v>
      </x:c>
      <x:c r="N550" s="215" t="str">
        <x:v>Wild Geranium and Erodium-type herbs occur in Central Texas lawns, roadsides, prairies, and open woodlands; cultivated Pelargonium should not establish Hays nativity.</x:v>
      </x:c>
      <x:c r="O550" s="215" t="str">
        <x:v>Low</x:v>
      </x:c>
      <x:c r="P550" s="215" t="str">
        <x:v>No</x:v>
      </x:c>
      <x:c r="Q550" s="215" t="str"/>
      <x:c r="R550" s="215" t="str"/>
      <x:c r="S550" s="215" t="str">
        <x:v>APWEB-GERA; POWO-GERA; LBJ-HAYS</x:v>
      </x:c>
      <x:c r="T550" s="215" t="str">
        <x:v>https://www.mobot.org/MOBOT/research/APweb/orders/geranialesweb.htm</x:v>
      </x:c>
      <x:c r="U550" s="215" t="str">
        <x:v>https://powo.science.kew.org/taxon/urn:lsid:ipni.org:names:30001521-2/general-information</x:v>
      </x:c>
      <x:c r="V550" s="215" t="str">
        <x:v>https://powo.science.kew.org/taxon/urn:lsid:ipni.org:names:30001521-2/general-information</x:v>
      </x:c>
      <x:c r="W550"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0" s="215" t="str">
        <x:v>No — retain qualifiers and exceptions</x:v>
      </x:c>
      <x:c r="Y550" s="215" t="str">
        <x:v>Yes</x:v>
      </x:c>
      <x:c r="Z550" s="215" t="str">
        <x:v>Source-backed draft</x:v>
      </x:c>
      <x:c r="AA550" s="215" t="str">
        <x:v>Family pattern</x:v>
      </x:c>
      <x:c r="AB550" s="215" t="str">
        <x:v>Positive diagnostic</x:v>
      </x:c>
      <x:c r="AC550" s="215" t="str">
        <x:v>High</x:v>
      </x:c>
      <x:c r="AD550" s="215" t="str">
        <x:v>Hand lens / macro</x:v>
      </x:c>
      <x:c r="AE550" s="215" t="str">
        <x:v>Low</x:v>
      </x:c>
      <x:c r="AF550" s="215" t="str">
        <x:v>Field-ready draft</x:v>
      </x:c>
      <x:c r="AG550" s="215" t="str">
        <x:v>2 — Field-photo priority</x:v>
      </x:c>
      <x:c r="AH550" s="215" t="str">
        <x:v>Current master inventory</x:v>
      </x:c>
    </x:row>
    <x:row r="551" ht="42" customHeight="1">
      <x:c r="A551" s="215" t="str">
        <x:v>Geraniaceae</x:v>
      </x:c>
      <x:c r="B551" s="215" t="str">
        <x:v>GER-SEPALS</x:v>
      </x:c>
      <x:c r="C551" s="215" t="str">
        <x:v>Family character</x:v>
      </x:c>
      <x:c r="D551" s="215" t="str">
        <x:v>Calyx</x:v>
      </x:c>
      <x:c r="E551" s="215" t="str">
        <x:v>Sepals 5, usually distinct and persistent; some have a terminal awn</x:v>
      </x:c>
      <x:c r="F551" s="215" t="str">
        <x:v>Moderate</x:v>
      </x:c>
      <x:c r="G551" s="215" t="str">
        <x:v>3</x:v>
      </x:c>
      <x:c r="H551" s="215" t="str">
        <x:v>High</x:v>
      </x:c>
      <x:c r="I551" s="215" t="str">
        <x:v>Naked eye or hand lens</x:v>
      </x:c>
      <x:c r="J551" s="215" t="str">
        <x:v>Flowers or young fruit</x:v>
      </x:c>
      <x:c r="K551" s="215" t="str">
        <x:v>The calyx often remains beneath the developing beaked fruit.</x:v>
      </x:c>
      <x:c r="L551" s="215" t="str">
        <x:v>Awns are not present in every genus and sepals can be obscured by maturity.</x:v>
      </x:c>
      <x:c r="M551" s="215" t="str">
        <x:v>Count intact sepals and note persistence.</x:v>
      </x:c>
      <x:c r="N551" s="215" t="str">
        <x:v>Wild Geranium and Erodium-type herbs occur in Central Texas lawns, roadsides, prairies, and open woodlands; cultivated Pelargonium should not establish Hays nativity.</x:v>
      </x:c>
      <x:c r="O551" s="215" t="str">
        <x:v>Low</x:v>
      </x:c>
      <x:c r="P551" s="215" t="str">
        <x:v>No</x:v>
      </x:c>
      <x:c r="Q551" s="215" t="str"/>
      <x:c r="R551" s="215" t="str"/>
      <x:c r="S551" s="215" t="str">
        <x:v>APWEB-GERA; POWO-GERA; LBJ-HAYS</x:v>
      </x:c>
      <x:c r="T551" s="215" t="str">
        <x:v>https://www.mobot.org/MOBOT/research/APweb/orders/geranialesweb.htm</x:v>
      </x:c>
      <x:c r="U551" s="215" t="str">
        <x:v>https://powo.science.kew.org/taxon/urn:lsid:ipni.org:names:30001521-2/general-information</x:v>
      </x:c>
      <x:c r="V551" s="215" t="str">
        <x:v>https://powo.science.kew.org/taxon/urn:lsid:ipni.org:names:30001521-2/general-information</x:v>
      </x:c>
      <x:c r="W551"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1" s="215" t="str">
        <x:v>No — retain qualifiers and exceptions</x:v>
      </x:c>
      <x:c r="Y551" s="215" t="str">
        <x:v>Yes</x:v>
      </x:c>
      <x:c r="Z551" s="215" t="str">
        <x:v>Source-backed draft</x:v>
      </x:c>
      <x:c r="AA551" s="215" t="str">
        <x:v>Family pattern</x:v>
      </x:c>
      <x:c r="AB551" s="215" t="str">
        <x:v>Supporting / route</x:v>
      </x:c>
      <x:c r="AC551" s="215" t="str">
        <x:v>High</x:v>
      </x:c>
      <x:c r="AD551" s="215" t="str">
        <x:v>Hand lens / macro</x:v>
      </x:c>
      <x:c r="AE551" s="215" t="str">
        <x:v>Low</x:v>
      </x:c>
      <x:c r="AF551" s="215" t="str">
        <x:v>Field-ready draft</x:v>
      </x:c>
      <x:c r="AG551" s="215" t="str">
        <x:v>3 — Reference support</x:v>
      </x:c>
      <x:c r="AH551" s="215" t="str">
        <x:v>Current master inventory</x:v>
      </x:c>
    </x:row>
    <x:row r="552" ht="42" customHeight="1">
      <x:c r="A552" s="215" t="str">
        <x:v>Geraniaceae</x:v>
      </x:c>
      <x:c r="B552" s="215" t="str">
        <x:v>GER-STAMENS</x:v>
      </x:c>
      <x:c r="C552" s="215" t="str">
        <x:v>Family character</x:v>
      </x:c>
      <x:c r="D552" s="215" t="str">
        <x:v>Stamens</x:v>
      </x:c>
      <x:c r="E552" s="215" t="str">
        <x:v>Stamens commonly 10 in two whorls, with some reduced to staminodes in certain genera</x:v>
      </x:c>
      <x:c r="F552" s="215" t="str">
        <x:v>Strong</x:v>
      </x:c>
      <x:c r="G552" s="215" t="str">
        <x:v>4</x:v>
      </x:c>
      <x:c r="H552" s="215" t="str">
        <x:v>High</x:v>
      </x:c>
      <x:c r="I552" s="215" t="str">
        <x:v>Hand lens</x:v>
      </x:c>
      <x:c r="J552" s="215" t="str">
        <x:v>Fresh intact flowers</x:v>
      </x:c>
      <x:c r="K552" s="215" t="str">
        <x:v>Ten positions around a five-parted flower support Geraniaceae.</x:v>
      </x:c>
      <x:c r="L552" s="215" t="str">
        <x:v>Fertile stamen number varies, especially in Erodium and Pelargonium lineages.</x:v>
      </x:c>
      <x:c r="M552" s="215" t="str">
        <x:v>Count both fertile anthers and staminodes; retain genus-level exceptions.</x:v>
      </x:c>
      <x:c r="N552" s="215" t="str">
        <x:v>Wild Geranium and Erodium-type herbs occur in Central Texas lawns, roadsides, prairies, and open woodlands; cultivated Pelargonium should not establish Hays nativity.</x:v>
      </x:c>
      <x:c r="O552" s="215" t="str">
        <x:v>Low</x:v>
      </x:c>
      <x:c r="P552" s="215" t="str">
        <x:v>No</x:v>
      </x:c>
      <x:c r="Q552" s="215" t="str"/>
      <x:c r="R552" s="215" t="str">
        <x:v>GER-LK01; GER-LK02</x:v>
      </x:c>
      <x:c r="S552" s="215" t="str">
        <x:v>APWEB-GERA; POWO-GERA; LBJ-HAYS</x:v>
      </x:c>
      <x:c r="T552" s="215" t="str">
        <x:v>https://www.mobot.org/MOBOT/research/APweb/orders/geranialesweb.htm</x:v>
      </x:c>
      <x:c r="U552" s="215" t="str">
        <x:v>https://powo.science.kew.org/taxon/urn:lsid:ipni.org:names:30001521-2/general-information</x:v>
      </x:c>
      <x:c r="V552" s="215" t="str">
        <x:v>https://powo.science.kew.org/taxon/urn:lsid:ipni.org:names:30001521-2/general-information</x:v>
      </x:c>
      <x:c r="W552"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2" s="215" t="str">
        <x:v>No — retain qualifiers and exceptions</x:v>
      </x:c>
      <x:c r="Y552" s="215" t="str">
        <x:v>Yes</x:v>
      </x:c>
      <x:c r="Z552" s="215" t="str">
        <x:v>Source-backed draft</x:v>
      </x:c>
      <x:c r="AA552" s="215" t="str">
        <x:v>Family pattern</x:v>
      </x:c>
      <x:c r="AB552" s="215" t="str">
        <x:v>Positive diagnostic</x:v>
      </x:c>
      <x:c r="AC552" s="215" t="str">
        <x:v>High</x:v>
      </x:c>
      <x:c r="AD552" s="215" t="str">
        <x:v>Hand lens / macro</x:v>
      </x:c>
      <x:c r="AE552" s="215" t="str">
        <x:v>Low</x:v>
      </x:c>
      <x:c r="AF552" s="215" t="str">
        <x:v>Field-ready draft</x:v>
      </x:c>
      <x:c r="AG552" s="215" t="str">
        <x:v>2 — Field-photo priority</x:v>
      </x:c>
      <x:c r="AH552" s="215" t="str">
        <x:v>Current master inventory</x:v>
      </x:c>
    </x:row>
    <x:row r="553" ht="42" customHeight="1">
      <x:c r="A553" s="215" t="str">
        <x:v>Geraniaceae</x:v>
      </x:c>
      <x:c r="B553" s="215" t="str">
        <x:v>GER-OVARY</x:v>
      </x:c>
      <x:c r="C553" s="215" t="str">
        <x:v>Family character</x:v>
      </x:c>
      <x:c r="D553" s="215" t="str">
        <x:v>Gynoecium</x:v>
      </x:c>
      <x:c r="E553" s="215" t="str">
        <x:v>Ovary superior, typically 5-locular and 5-carpellate around a central column</x:v>
      </x:c>
      <x:c r="F553" s="215" t="str">
        <x:v>Strong</x:v>
      </x:c>
      <x:c r="G553" s="215" t="str">
        <x:v>4</x:v>
      </x:c>
      <x:c r="H553" s="215" t="str">
        <x:v>High</x:v>
      </x:c>
      <x:c r="I553" s="215" t="str">
        <x:v>Hand lens or dissection</x:v>
      </x:c>
      <x:c r="J553" s="215" t="str">
        <x:v>Fresh flowers</x:v>
      </x:c>
      <x:c r="K553" s="215" t="str">
        <x:v>The ovary is divided into five units that later separate from a central beak.</x:v>
      </x:c>
      <x:c r="L553" s="215" t="str">
        <x:v>Internal locules require dissection before fruiting.</x:v>
      </x:c>
      <x:c r="M553" s="215" t="str">
        <x:v>Use the mature schizocarp when ovary structure is hidden.</x:v>
      </x:c>
      <x:c r="N553" s="215" t="str">
        <x:v>Wild Geranium and Erodium-type herbs occur in Central Texas lawns, roadsides, prairies, and open woodlands; cultivated Pelargonium should not establish Hays nativity.</x:v>
      </x:c>
      <x:c r="O553" s="215" t="str">
        <x:v>Low</x:v>
      </x:c>
      <x:c r="P553" s="215" t="str">
        <x:v>No</x:v>
      </x:c>
      <x:c r="Q553" s="215" t="str"/>
      <x:c r="R553" s="215" t="str"/>
      <x:c r="S553" s="215" t="str">
        <x:v>APWEB-GERA; POWO-GERA; LBJ-HAYS</x:v>
      </x:c>
      <x:c r="T553" s="215" t="str">
        <x:v>https://www.mobot.org/MOBOT/research/APweb/orders/geranialesweb.htm</x:v>
      </x:c>
      <x:c r="U553" s="215" t="str">
        <x:v>https://powo.science.kew.org/taxon/urn:lsid:ipni.org:names:30001521-2/general-information</x:v>
      </x:c>
      <x:c r="V553" s="215" t="str">
        <x:v>https://powo.science.kew.org/taxon/urn:lsid:ipni.org:names:30001521-2/general-information</x:v>
      </x:c>
      <x:c r="W553"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3" s="215" t="str">
        <x:v>No — retain qualifiers and exceptions</x:v>
      </x:c>
      <x:c r="Y553" s="215" t="str">
        <x:v>Yes</x:v>
      </x:c>
      <x:c r="Z553" s="215" t="str">
        <x:v>Source-backed draft</x:v>
      </x:c>
      <x:c r="AA553" s="215" t="str">
        <x:v>Family pattern</x:v>
      </x:c>
      <x:c r="AB553" s="215" t="str">
        <x:v>Positive diagnostic</x:v>
      </x:c>
      <x:c r="AC553" s="215" t="str">
        <x:v>High</x:v>
      </x:c>
      <x:c r="AD553" s="215" t="str">
        <x:v>Dissection</x:v>
      </x:c>
      <x:c r="AE553" s="215" t="str">
        <x:v>Low</x:v>
      </x:c>
      <x:c r="AF553" s="215" t="str">
        <x:v>Dissection / close study</x:v>
      </x:c>
      <x:c r="AG553" s="215" t="str">
        <x:v>3 — Reference support</x:v>
      </x:c>
      <x:c r="AH553" s="215" t="str">
        <x:v>Current master inventory</x:v>
      </x:c>
    </x:row>
    <x:row r="554" ht="42" customHeight="1">
      <x:c r="A554" s="215" t="str">
        <x:v>Geraniaceae</x:v>
      </x:c>
      <x:c r="B554" s="215" t="str">
        <x:v>GER-STYLE</x:v>
      </x:c>
      <x:c r="C554" s="215" t="str">
        <x:v>Family character</x:v>
      </x:c>
      <x:c r="D554" s="215" t="str">
        <x:v>Gynoecium</x:v>
      </x:c>
      <x:c r="E554" s="215" t="str">
        <x:v>Five style branches or stigmas associated with an elongating central column</x:v>
      </x:c>
      <x:c r="F554" s="215" t="str">
        <x:v>Strong</x:v>
      </x:c>
      <x:c r="G554" s="215" t="str">
        <x:v>4</x:v>
      </x:c>
      <x:c r="H554" s="215" t="str">
        <x:v>High</x:v>
      </x:c>
      <x:c r="I554" s="215" t="str">
        <x:v>Naked eye or hand lens</x:v>
      </x:c>
      <x:c r="J554" s="215" t="str">
        <x:v>Flowers through young fruit</x:v>
      </x:c>
      <x:c r="K554" s="215" t="str">
        <x:v>The styles contribute to the long beak above the fruitlets.</x:v>
      </x:c>
      <x:c r="L554" s="215" t="str">
        <x:v>Young flowers may not show the final elongation.</x:v>
      </x:c>
      <x:c r="M554" s="215" t="str">
        <x:v>Trace the style column into the developing fruit.</x:v>
      </x:c>
      <x:c r="N554" s="215" t="str">
        <x:v>Wild Geranium and Erodium-type herbs occur in Central Texas lawns, roadsides, prairies, and open woodlands; cultivated Pelargonium should not establish Hays nativity.</x:v>
      </x:c>
      <x:c r="O554" s="215" t="str">
        <x:v>Low</x:v>
      </x:c>
      <x:c r="P554" s="215" t="str">
        <x:v>No</x:v>
      </x:c>
      <x:c r="Q554" s="215" t="str"/>
      <x:c r="R554" s="215" t="str"/>
      <x:c r="S554" s="215" t="str">
        <x:v>APWEB-GERA; POWO-GERA; LBJ-HAYS</x:v>
      </x:c>
      <x:c r="T554" s="215" t="str">
        <x:v>https://www.mobot.org/MOBOT/research/APweb/orders/geranialesweb.htm</x:v>
      </x:c>
      <x:c r="U554" s="215" t="str">
        <x:v>https://powo.science.kew.org/taxon/urn:lsid:ipni.org:names:30001521-2/general-information</x:v>
      </x:c>
      <x:c r="V554" s="215" t="str">
        <x:v>https://powo.science.kew.org/taxon/urn:lsid:ipni.org:names:30001521-2/general-information</x:v>
      </x:c>
      <x:c r="W554"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4" s="215" t="str">
        <x:v>No — retain qualifiers and exceptions</x:v>
      </x:c>
      <x:c r="Y554" s="215" t="str">
        <x:v>Yes</x:v>
      </x:c>
      <x:c r="Z554" s="215" t="str">
        <x:v>Source-backed draft</x:v>
      </x:c>
      <x:c r="AA554" s="215" t="str">
        <x:v>Family pattern</x:v>
      </x:c>
      <x:c r="AB554" s="215" t="str">
        <x:v>Positive diagnostic</x:v>
      </x:c>
      <x:c r="AC554" s="215" t="str">
        <x:v>High</x:v>
      </x:c>
      <x:c r="AD554" s="215" t="str">
        <x:v>Hand lens / macro</x:v>
      </x:c>
      <x:c r="AE554" s="215" t="str">
        <x:v>Low</x:v>
      </x:c>
      <x:c r="AF554" s="215" t="str">
        <x:v>Field-ready draft</x:v>
      </x:c>
      <x:c r="AG554" s="215" t="str">
        <x:v>2 — Field-photo priority</x:v>
      </x:c>
      <x:c r="AH554" s="215" t="str">
        <x:v>Current master inventory</x:v>
      </x:c>
    </x:row>
    <x:row r="555" ht="42" customHeight="1">
      <x:c r="A555" s="215" t="str">
        <x:v>Geraniaceae</x:v>
      </x:c>
      <x:c r="B555" s="215" t="str">
        <x:v>GER-FRUIT</x:v>
      </x:c>
      <x:c r="C555" s="215" t="str">
        <x:v>Family character</x:v>
      </x:c>
      <x:c r="D555" s="215" t="str">
        <x:v>Fruit</x:v>
      </x:c>
      <x:c r="E555" s="215" t="str">
        <x:v>Fruit a beaked schizocarp splitting into usually 5 one-seeded mericarps</x:v>
      </x:c>
      <x:c r="F555" s="215" t="str">
        <x:v>Strong</x:v>
      </x:c>
      <x:c r="G555" s="215" t="str">
        <x:v>5</x:v>
      </x:c>
      <x:c r="H555" s="215" t="str">
        <x:v>High</x:v>
      </x:c>
      <x:c r="I555" s="215" t="str">
        <x:v>Naked eye or hand lens</x:v>
      </x:c>
      <x:c r="J555" s="215" t="str">
        <x:v>Mature fruit</x:v>
      </x:c>
      <x:c r="K555" s="215" t="str">
        <x:v>The long crane- or stork-bill fruit is the strongest family clue.</x:v>
      </x:c>
      <x:c r="L555" s="215" t="str">
        <x:v>Beaks coil, twist, or spring differently among genera; immature fruits may be short.</x:v>
      </x:c>
      <x:c r="M555" s="215" t="str">
        <x:v>Prioritize mature fruit and count mericarps.</x:v>
      </x:c>
      <x:c r="N555" s="215" t="str">
        <x:v>Wild Geranium and Erodium-type herbs occur in Central Texas lawns, roadsides, prairies, and open woodlands; cultivated Pelargonium should not establish Hays nativity.</x:v>
      </x:c>
      <x:c r="O555" s="215" t="str">
        <x:v>Low</x:v>
      </x:c>
      <x:c r="P555" s="215" t="str">
        <x:v>No</x:v>
      </x:c>
      <x:c r="Q555" s="215" t="str"/>
      <x:c r="R555" s="215" t="str">
        <x:v>GER-LK01; GER-LK02</x:v>
      </x:c>
      <x:c r="S555" s="215" t="str">
        <x:v>APWEB-GERA; POWO-GERA; LBJ-HAYS</x:v>
      </x:c>
      <x:c r="T555" s="215" t="str">
        <x:v>https://www.mobot.org/MOBOT/research/APweb/orders/geranialesweb.htm</x:v>
      </x:c>
      <x:c r="U555" s="215" t="str">
        <x:v>https://powo.science.kew.org/taxon/urn:lsid:ipni.org:names:30001521-2/general-information</x:v>
      </x:c>
      <x:c r="V555" s="215" t="str">
        <x:v>https://powo.science.kew.org/taxon/urn:lsid:ipni.org:names:30001521-2/general-information</x:v>
      </x:c>
      <x:c r="W555"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5" s="215" t="str">
        <x:v>No — retain qualifiers and exceptions</x:v>
      </x:c>
      <x:c r="Y555" s="215" t="str">
        <x:v>Yes</x:v>
      </x:c>
      <x:c r="Z555" s="215" t="str">
        <x:v>Source-backed draft</x:v>
      </x:c>
      <x:c r="AA555" s="215" t="str">
        <x:v>Family pattern</x:v>
      </x:c>
      <x:c r="AB555" s="215" t="str">
        <x:v>Positive diagnostic</x:v>
      </x:c>
      <x:c r="AC555" s="215" t="str">
        <x:v>High</x:v>
      </x:c>
      <x:c r="AD555" s="215" t="str">
        <x:v>Hand lens / macro</x:v>
      </x:c>
      <x:c r="AE555" s="215" t="str">
        <x:v>Low</x:v>
      </x:c>
      <x:c r="AF555" s="215" t="str">
        <x:v>Field-ready draft</x:v>
      </x:c>
      <x:c r="AG555" s="215" t="str">
        <x:v>2 — Field-photo priority</x:v>
      </x:c>
      <x:c r="AH555" s="215" t="str">
        <x:v>Current master inventory</x:v>
      </x:c>
    </x:row>
    <x:row r="556" ht="42" customHeight="1">
      <x:c r="A556" s="215" t="str">
        <x:v>Geraniaceae</x:v>
      </x:c>
      <x:c r="B556" s="215" t="str">
        <x:v>GER-SEEDS</x:v>
      </x:c>
      <x:c r="C556" s="215" t="str">
        <x:v>Family character</x:v>
      </x:c>
      <x:c r="D556" s="215" t="str">
        <x:v>Seeds / dispersal</x:v>
      </x:c>
      <x:c r="E556" s="215" t="str">
        <x:v>Each mericarp usually contains one seed and separates elastically or by hygroscopic awns</x:v>
      </x:c>
      <x:c r="F556" s="215" t="str">
        <x:v>Supporting</x:v>
      </x:c>
      <x:c r="G556" s="215" t="str">
        <x:v>2</x:v>
      </x:c>
      <x:c r="H556" s="215" t="str">
        <x:v>High</x:v>
      </x:c>
      <x:c r="I556" s="215" t="str">
        <x:v>Naked eye or hand lens</x:v>
      </x:c>
      <x:c r="J556" s="215" t="str">
        <x:v>Mature dry fruit</x:v>
      </x:c>
      <x:c r="K556" s="215" t="str">
        <x:v>The five fruitlets disperse separately from the central column.</x:v>
      </x:c>
      <x:c r="L556" s="215" t="str">
        <x:v>Dispersal mechanism is not equally visible in all genera.</x:v>
      </x:c>
      <x:c r="M556" s="215" t="str">
        <x:v>Use fruitlets as confirmation, not as a stand-alone vegetative test.</x:v>
      </x:c>
      <x:c r="N556" s="215" t="str">
        <x:v>Wild Geranium and Erodium-type herbs occur in Central Texas lawns, roadsides, prairies, and open woodlands; cultivated Pelargonium should not establish Hays nativity.</x:v>
      </x:c>
      <x:c r="O556" s="215" t="str">
        <x:v>Low</x:v>
      </x:c>
      <x:c r="P556" s="215" t="str">
        <x:v>No</x:v>
      </x:c>
      <x:c r="Q556" s="215" t="str"/>
      <x:c r="R556" s="215" t="str"/>
      <x:c r="S556" s="215" t="str">
        <x:v>APWEB-GERA; POWO-GERA; LBJ-HAYS</x:v>
      </x:c>
      <x:c r="T556" s="215" t="str">
        <x:v>https://www.mobot.org/MOBOT/research/APweb/orders/geranialesweb.htm</x:v>
      </x:c>
      <x:c r="U556" s="215" t="str">
        <x:v>https://powo.science.kew.org/taxon/urn:lsid:ipni.org:names:30001521-2/general-information</x:v>
      </x:c>
      <x:c r="V556" s="215" t="str">
        <x:v>https://powo.science.kew.org/taxon/urn:lsid:ipni.org:names:30001521-2/general-information</x:v>
      </x:c>
      <x:c r="W556"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6" s="215" t="str">
        <x:v>No — retain qualifiers and exceptions</x:v>
      </x:c>
      <x:c r="Y556" s="215" t="str">
        <x:v>Yes</x:v>
      </x:c>
      <x:c r="Z556" s="215" t="str">
        <x:v>Source-backed draft</x:v>
      </x:c>
      <x:c r="AA556" s="215" t="str">
        <x:v>Family pattern</x:v>
      </x:c>
      <x:c r="AB556" s="215" t="str">
        <x:v>Supporting / route</x:v>
      </x:c>
      <x:c r="AC556" s="215" t="str">
        <x:v>High</x:v>
      </x:c>
      <x:c r="AD556" s="215" t="str">
        <x:v>Hand lens / macro</x:v>
      </x:c>
      <x:c r="AE556" s="215" t="str">
        <x:v>Low</x:v>
      </x:c>
      <x:c r="AF556" s="215" t="str">
        <x:v>Field-ready draft</x:v>
      </x:c>
      <x:c r="AG556" s="215" t="str">
        <x:v>4 — Context / caution</x:v>
      </x:c>
      <x:c r="AH556" s="215" t="str">
        <x:v>Current master inventory</x:v>
      </x:c>
    </x:row>
    <x:row r="557" ht="42" customHeight="1">
      <x:c r="A557" s="215" t="str">
        <x:v>Geraniaceae</x:v>
      </x:c>
      <x:c r="B557" s="215" t="str">
        <x:v>GER-LK01</x:v>
      </x:c>
      <x:c r="C557" s="215" t="str">
        <x:v>Lookalike comparison</x:v>
      </x:c>
      <x:c r="D557" s="215" t="str">
        <x:v>Lookalike</x:v>
      </x:c>
      <x:c r="E557" s="215" t="str">
        <x:v>Versus Oxalidaceae: a long-beaked 5-parted schizocarp favors Geraniaceae; a non-beaked capsule and commonly trifoliolate shamrock leaves favor Oxalidaceae</x:v>
      </x:c>
      <x:c r="F557" s="215" t="str">
        <x:v>Lookalike</x:v>
      </x:c>
      <x:c r="G557" s="215" t="str">
        <x:v>5</x:v>
      </x:c>
      <x:c r="H557" s="215" t="str">
        <x:v>High</x:v>
      </x:c>
      <x:c r="I557" s="215" t="str">
        <x:v>Naked eye or hand lens</x:v>
      </x:c>
      <x:c r="J557" s="215" t="str">
        <x:v>Flowers and mature fruit</x:v>
      </x:c>
      <x:c r="K557" s="215" t="str">
        <x:v>Both can have five petals and ten stamens.</x:v>
      </x:c>
      <x:c r="L557" s="215" t="str">
        <x:v>Sterile or flowering-only plants require leaf and ovary details.</x:v>
      </x:c>
      <x:c r="M557" s="215" t="str">
        <x:v>Use mature fruit whenever possible; this supplies the reciprocal comparison for OXA-LK02.</x:v>
      </x:c>
      <x:c r="N557" s="215" t="str">
        <x:v>Wild Geranium and Erodium-type herbs occur in Central Texas lawns, roadsides, prairies, and open woodlands; cultivated Pelargonium should not establish Hays nativity.</x:v>
      </x:c>
      <x:c r="O557" s="215" t="str">
        <x:v>Low</x:v>
      </x:c>
      <x:c r="P557" s="215" t="str">
        <x:v>No</x:v>
      </x:c>
      <x:c r="Q557" s="215" t="str"/>
      <x:c r="R557" s="215" t="str">
        <x:v>GER-LEAVES; GER-STAMENS; GER-FRUIT</x:v>
      </x:c>
      <x:c r="S557" s="215" t="str">
        <x:v>APWEB-GERA; POWO-GERA; LBJ-HAYS</x:v>
      </x:c>
      <x:c r="T557" s="215" t="str">
        <x:v>https://www.mobot.org/MOBOT/research/APweb/orders/geranialesweb.htm</x:v>
      </x:c>
      <x:c r="U557" s="215" t="str">
        <x:v>https://powo.science.kew.org/taxon/urn:lsid:ipni.org:names:30001521-2/general-information</x:v>
      </x:c>
      <x:c r="V557" s="215" t="str">
        <x:v>https://powo.science.kew.org/taxon/urn:lsid:ipni.org:names:30001521-2/general-information</x:v>
      </x:c>
      <x:c r="W557"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7" s="215" t="str">
        <x:v>No — retain qualifiers and exceptions</x:v>
      </x:c>
      <x:c r="Y557" s="215" t="str">
        <x:v>Yes</x:v>
      </x:c>
      <x:c r="Z557" s="215" t="str">
        <x:v>Source-backed draft</x:v>
      </x:c>
      <x:c r="AA557" s="215" t="str">
        <x:v>Lookalike comparison</x:v>
      </x:c>
      <x:c r="AB557" s="215" t="str">
        <x:v>Contrast / lookalike</x:v>
      </x:c>
      <x:c r="AC557" s="215" t="str">
        <x:v>High</x:v>
      </x:c>
      <x:c r="AD557" s="215" t="str">
        <x:v>Hand lens / macro</x:v>
      </x:c>
      <x:c r="AE557" s="215" t="str">
        <x:v>Low</x:v>
      </x:c>
      <x:c r="AF557" s="215" t="str">
        <x:v>Field-ready draft</x:v>
      </x:c>
      <x:c r="AG557" s="215" t="str">
        <x:v>2 — Field-photo priority</x:v>
      </x:c>
      <x:c r="AH557" s="215" t="str">
        <x:v>Current master inventory</x:v>
      </x:c>
    </x:row>
    <x:row r="558" ht="42" customHeight="1">
      <x:c r="A558" s="215" t="str">
        <x:v>Geraniaceae</x:v>
      </x:c>
      <x:c r="B558" s="215" t="str">
        <x:v>GER-LK02</x:v>
      </x:c>
      <x:c r="C558" s="215" t="str">
        <x:v>Lookalike comparison</x:v>
      </x:c>
      <x:c r="D558" s="215" t="str">
        <x:v>Lookalike</x:v>
      </x:c>
      <x:c r="E558" s="215" t="str">
        <x:v>Versus Malvaceae: a beaked schizocarp and separate stamens favor Geraniaceae; a staminal column plus stellate hairs or mucilage favors many Malvaceae</x:v>
      </x:c>
      <x:c r="F558" s="215" t="str">
        <x:v>Lookalike</x:v>
      </x:c>
      <x:c r="G558" s="215" t="str">
        <x:v>5</x:v>
      </x:c>
      <x:c r="H558" s="215" t="str">
        <x:v>High</x:v>
      </x:c>
      <x:c r="I558" s="215" t="str">
        <x:v>Naked eye or hand lens</x:v>
      </x:c>
      <x:c r="J558" s="215" t="str">
        <x:v>Fresh flowers or mature fruit</x:v>
      </x:c>
      <x:c r="K558" s="215" t="str">
        <x:v>Both may be stipulate herbs with five petals and divided leaves.</x:v>
      </x:c>
      <x:c r="L558" s="215" t="str">
        <x:v>Some Malvaceae lack obvious stellate hairs and fruit forms vary.</x:v>
      </x:c>
      <x:c r="M558" s="215" t="str">
        <x:v>Inspect the stamen bases and mature fruit.</x:v>
      </x:c>
      <x:c r="N558" s="215" t="str">
        <x:v>Wild Geranium and Erodium-type herbs occur in Central Texas lawns, roadsides, prairies, and open woodlands; cultivated Pelargonium should not establish Hays nativity.</x:v>
      </x:c>
      <x:c r="O558" s="215" t="str">
        <x:v>Low</x:v>
      </x:c>
      <x:c r="P558" s="215" t="str">
        <x:v>No</x:v>
      </x:c>
      <x:c r="Q558" s="215" t="str"/>
      <x:c r="R558" s="215" t="str">
        <x:v>GER-LEAVES; GER-STAMENS; GER-FRUIT</x:v>
      </x:c>
      <x:c r="S558" s="215" t="str">
        <x:v>APWEB-GERA; POWO-GERA; LBJ-HAYS</x:v>
      </x:c>
      <x:c r="T558" s="215" t="str">
        <x:v>https://www.mobot.org/MOBOT/research/APweb/orders/geranialesweb.htm</x:v>
      </x:c>
      <x:c r="U558" s="215" t="str">
        <x:v>https://powo.science.kew.org/taxon/urn:lsid:ipni.org:names:30001521-2/general-information</x:v>
      </x:c>
      <x:c r="V558" s="215" t="str">
        <x:v>https://powo.science.kew.org/taxon/urn:lsid:ipni.org:names:30001521-2/general-information</x:v>
      </x:c>
      <x:c r="W558" s="215" t="str">
        <x:v>https://www.mobot.org/MOBOT/research/APweb/orders/geranialesweb.htm
https://powo.science.kew.org/taxon/urn:lsid:ipni.org:names:30001521-2/general-information
https://powo.science.kew.org/taxon/urn:lsid:ipni.org:names:30001521-2/general-information
https://www.wildflower.org/collections/collection.php?collection=hays</x:v>
      </x:c>
      <x:c r="X558" s="215" t="str">
        <x:v>No — retain qualifiers and exceptions</x:v>
      </x:c>
      <x:c r="Y558" s="215" t="str">
        <x:v>Yes</x:v>
      </x:c>
      <x:c r="Z558" s="215" t="str">
        <x:v>Source-backed draft</x:v>
      </x:c>
      <x:c r="AA558" s="215" t="str">
        <x:v>Lookalike comparison</x:v>
      </x:c>
      <x:c r="AB558" s="215" t="str">
        <x:v>Contrast / lookalike</x:v>
      </x:c>
      <x:c r="AC558" s="215" t="str">
        <x:v>High</x:v>
      </x:c>
      <x:c r="AD558" s="215" t="str">
        <x:v>Hand lens / macro</x:v>
      </x:c>
      <x:c r="AE558" s="215" t="str">
        <x:v>Low</x:v>
      </x:c>
      <x:c r="AF558" s="215" t="str">
        <x:v>Field-ready draft</x:v>
      </x:c>
      <x:c r="AG558" s="215" t="str">
        <x:v>2 — Field-photo priority</x:v>
      </x:c>
      <x:c r="AH558" s="215" t="str">
        <x:v>Current master inventory</x:v>
      </x:c>
    </x:row>
    <x:row r="559" ht="42" customHeight="1">
      <x:c r="A559" s="215" t="str">
        <x:v>Vitaceae</x:v>
      </x:c>
      <x:c r="B559" s="215" t="str">
        <x:v>VIT-HABIT</x:v>
      </x:c>
      <x:c r="C559" s="215" t="str">
        <x:v>Family character</x:v>
      </x:c>
      <x:c r="D559" s="215" t="str">
        <x:v>Habit</x:v>
      </x:c>
      <x:c r="E559" s="215" t="str">
        <x:v>Woody or herbaceous vines, sometimes shrubs, commonly climbing by tendrils</x:v>
      </x:c>
      <x:c r="F559" s="215" t="str">
        <x:v>Strong</x:v>
      </x:c>
      <x:c r="G559" s="215" t="str">
        <x:v>3</x:v>
      </x:c>
      <x:c r="H559" s="215" t="str">
        <x:v>High</x:v>
      </x:c>
      <x:c r="I559" s="215" t="str">
        <x:v>Naked eye or hand lens</x:v>
      </x:c>
      <x:c r="J559" s="215" t="str">
        <x:v>Any active growth</x:v>
      </x:c>
      <x:c r="K559" s="215" t="str">
        <x:v>A vine with true tendrils is the usual regional presentation.</x:v>
      </x:c>
      <x:c r="L559" s="215" t="str">
        <x:v>Some species sprawl or have reduced tendrils.</x:v>
      </x:c>
      <x:c r="M559" s="215" t="str">
        <x:v>Use habit together with node position and fruit.</x:v>
      </x:c>
      <x:c r="N559" s="215" t="str">
        <x:v>Native grapes and related vines are conspicuous in Hays riparian corridors, thickets, fence lines, and woodland edges.</x:v>
      </x:c>
      <x:c r="O559" s="215" t="str">
        <x:v>Low</x:v>
      </x:c>
      <x:c r="P559" s="215" t="str">
        <x:v>No</x:v>
      </x:c>
      <x:c r="Q559" s="215" t="str"/>
      <x:c r="R559" s="215" t="str"/>
      <x:c r="S559" s="215" t="str">
        <x:v>APWEB-VITA; FNA-VITA; POWO-VITA; LBJ-HAYS</x:v>
      </x:c>
      <x:c r="T559" s="215" t="str">
        <x:v>https://www.mobot.org/MOBOT/research/APweb/orders/vitalesweb.htm</x:v>
      </x:c>
      <x:c r="U559" s="215" t="str">
        <x:v>https://floranorthamerica.org/Vitaceae</x:v>
      </x:c>
      <x:c r="V559" s="215" t="str">
        <x:v>https://powo.science.kew.org/taxon/urn:lsid:ipni.org:names:30000067-2/general-information</x:v>
      </x:c>
      <x:c r="W559" s="215" t="str">
        <x:v>https://www.mobot.org/MOBOT/research/APweb/orders/vitalesweb.htm
https://floranorthamerica.org/Vitaceae
https://powo.science.kew.org/taxon/urn:lsid:ipni.org:names:30000067-2/general-information
https://www.wildflower.org/collections/collection.php?collection=hays</x:v>
      </x:c>
      <x:c r="X559" s="215" t="str">
        <x:v>No — retain qualifiers and exceptions</x:v>
      </x:c>
      <x:c r="Y559" s="215" t="str">
        <x:v>Yes</x:v>
      </x:c>
      <x:c r="Z559" s="215" t="str">
        <x:v>Source-backed draft</x:v>
      </x:c>
      <x:c r="AA559" s="215" t="str">
        <x:v>Family pattern</x:v>
      </x:c>
      <x:c r="AB559" s="215" t="str">
        <x:v>Positive diagnostic</x:v>
      </x:c>
      <x:c r="AC559" s="215" t="str">
        <x:v>High</x:v>
      </x:c>
      <x:c r="AD559" s="215" t="str">
        <x:v>Hand lens / macro</x:v>
      </x:c>
      <x:c r="AE559" s="215" t="str">
        <x:v>Low</x:v>
      </x:c>
      <x:c r="AF559" s="215" t="str">
        <x:v>Field-ready draft</x:v>
      </x:c>
      <x:c r="AG559" s="215" t="str">
        <x:v>3 — Reference support</x:v>
      </x:c>
      <x:c r="AH559" s="215" t="str">
        <x:v>Current master inventory</x:v>
      </x:c>
    </x:row>
    <x:row r="560" ht="42" customHeight="1">
      <x:c r="A560" s="215" t="str">
        <x:v>Vitaceae</x:v>
      </x:c>
      <x:c r="B560" s="215" t="str">
        <x:v>VIT-TENDRILS</x:v>
      </x:c>
      <x:c r="C560" s="215" t="str">
        <x:v>Family character</x:v>
      </x:c>
      <x:c r="D560" s="215" t="str">
        <x:v>Stems / tendrils</x:v>
      </x:c>
      <x:c r="E560" s="215" t="str">
        <x:v>Tendrils arise opposite leaves and may be simple, branched, or adhesive-tipped</x:v>
      </x:c>
      <x:c r="F560" s="215" t="str">
        <x:v>Strong</x:v>
      </x:c>
      <x:c r="G560" s="215" t="str">
        <x:v>5</x:v>
      </x:c>
      <x:c r="H560" s="215" t="str">
        <x:v>High</x:v>
      </x:c>
      <x:c r="I560" s="215" t="str">
        <x:v>Naked eye or hand lens</x:v>
      </x:c>
      <x:c r="J560" s="215" t="str">
        <x:v>Actively growing shoots</x:v>
      </x:c>
      <x:c r="K560" s="215" t="str">
        <x:v>Leaf-opposed tendrils are one of the best grape-family clues.</x:v>
      </x:c>
      <x:c r="L560" s="215" t="str">
        <x:v>Tendrils can be absent at some nodes or in some taxa.</x:v>
      </x:c>
      <x:c r="M560" s="215" t="str">
        <x:v>Follow several nodes and distinguish tendrils from axillary shoots.</x:v>
      </x:c>
      <x:c r="N560" s="215" t="str">
        <x:v>Native grapes and related vines are conspicuous in Hays riparian corridors, thickets, fence lines, and woodland edges.</x:v>
      </x:c>
      <x:c r="O560" s="215" t="str">
        <x:v>Low</x:v>
      </x:c>
      <x:c r="P560" s="215" t="str">
        <x:v>No</x:v>
      </x:c>
      <x:c r="Q560" s="215" t="str"/>
      <x:c r="R560" s="215" t="str">
        <x:v>VIT-LK01; VIT-LK02</x:v>
      </x:c>
      <x:c r="S560" s="215" t="str">
        <x:v>APWEB-VITA; FNA-VITA; POWO-VITA; LBJ-HAYS</x:v>
      </x:c>
      <x:c r="T560" s="215" t="str">
        <x:v>https://www.mobot.org/MOBOT/research/APweb/orders/vitalesweb.htm</x:v>
      </x:c>
      <x:c r="U560" s="215" t="str">
        <x:v>https://floranorthamerica.org/Vitaceae</x:v>
      </x:c>
      <x:c r="V560" s="215" t="str">
        <x:v>https://powo.science.kew.org/taxon/urn:lsid:ipni.org:names:30000067-2/general-information</x:v>
      </x:c>
      <x:c r="W560" s="215" t="str">
        <x:v>https://www.mobot.org/MOBOT/research/APweb/orders/vitalesweb.htm
https://floranorthamerica.org/Vitaceae
https://powo.science.kew.org/taxon/urn:lsid:ipni.org:names:30000067-2/general-information
https://www.wildflower.org/collections/collection.php?collection=hays</x:v>
      </x:c>
      <x:c r="X560" s="215" t="str">
        <x:v>No — retain qualifiers and exceptions</x:v>
      </x:c>
      <x:c r="Y560" s="215" t="str">
        <x:v>Yes</x:v>
      </x:c>
      <x:c r="Z560" s="215" t="str">
        <x:v>Source-backed draft</x:v>
      </x:c>
      <x:c r="AA560" s="215" t="str">
        <x:v>Family pattern</x:v>
      </x:c>
      <x:c r="AB560" s="215" t="str">
        <x:v>Positive diagnostic</x:v>
      </x:c>
      <x:c r="AC560" s="215" t="str">
        <x:v>High</x:v>
      </x:c>
      <x:c r="AD560" s="215" t="str">
        <x:v>Hand lens / macro</x:v>
      </x:c>
      <x:c r="AE560" s="215" t="str">
        <x:v>Low</x:v>
      </x:c>
      <x:c r="AF560" s="215" t="str">
        <x:v>Field-ready draft</x:v>
      </x:c>
      <x:c r="AG560" s="215" t="str">
        <x:v>2 — Field-photo priority</x:v>
      </x:c>
      <x:c r="AH560" s="215" t="str">
        <x:v>Current master inventory</x:v>
      </x:c>
    </x:row>
    <x:row r="561" ht="42" customHeight="1">
      <x:c r="A561" s="215" t="str">
        <x:v>Vitaceae</x:v>
      </x:c>
      <x:c r="B561" s="215" t="str">
        <x:v>VIT-LEAVES</x:v>
      </x:c>
      <x:c r="C561" s="215" t="str">
        <x:v>Family character</x:v>
      </x:c>
      <x:c r="D561" s="215" t="str">
        <x:v>Leaves / stipules</x:v>
      </x:c>
      <x:c r="E561" s="215" t="str">
        <x:v>Leaves alternate, usually stipulate, simple or compound, often palmately veined or lobed</x:v>
      </x:c>
      <x:c r="F561" s="215" t="str">
        <x:v>Strong</x:v>
      </x:c>
      <x:c r="G561" s="215" t="str">
        <x:v>3</x:v>
      </x:c>
      <x:c r="H561" s="215" t="str">
        <x:v>High</x:v>
      </x:c>
      <x:c r="I561" s="215" t="str">
        <x:v>Naked eye or hand lens</x:v>
      </x:c>
      <x:c r="J561" s="215" t="str">
        <x:v>Leafy shoots</x:v>
      </x:c>
      <x:c r="K561" s="215" t="str">
        <x:v>Grape-family foliage is variable but usually alternates along tendrilled stems.</x:v>
      </x:c>
      <x:c r="L561" s="215" t="str">
        <x:v>Leaf form alone is unreliable and stipules may fall.</x:v>
      </x:c>
      <x:c r="M561" s="215" t="str">
        <x:v>Use leaf arrangement only with tendril and inflorescence position.</x:v>
      </x:c>
      <x:c r="N561" s="215" t="str">
        <x:v>Native grapes and related vines are conspicuous in Hays riparian corridors, thickets, fence lines, and woodland edges.</x:v>
      </x:c>
      <x:c r="O561" s="215" t="str">
        <x:v>Low</x:v>
      </x:c>
      <x:c r="P561" s="215" t="str">
        <x:v>No</x:v>
      </x:c>
      <x:c r="Q561" s="215" t="str"/>
      <x:c r="R561" s="215" t="str"/>
      <x:c r="S561" s="215" t="str">
        <x:v>APWEB-VITA; FNA-VITA; POWO-VITA; LBJ-HAYS</x:v>
      </x:c>
      <x:c r="T561" s="215" t="str">
        <x:v>https://www.mobot.org/MOBOT/research/APweb/orders/vitalesweb.htm</x:v>
      </x:c>
      <x:c r="U561" s="215" t="str">
        <x:v>https://floranorthamerica.org/Vitaceae</x:v>
      </x:c>
      <x:c r="V561" s="215" t="str">
        <x:v>https://powo.science.kew.org/taxon/urn:lsid:ipni.org:names:30000067-2/general-information</x:v>
      </x:c>
      <x:c r="W561" s="215" t="str">
        <x:v>https://www.mobot.org/MOBOT/research/APweb/orders/vitalesweb.htm
https://floranorthamerica.org/Vitaceae
https://powo.science.kew.org/taxon/urn:lsid:ipni.org:names:30000067-2/general-information
https://www.wildflower.org/collections/collection.php?collection=hays</x:v>
      </x:c>
      <x:c r="X561" s="215" t="str">
        <x:v>No — retain qualifiers and exceptions</x:v>
      </x:c>
      <x:c r="Y561" s="215" t="str">
        <x:v>Yes</x:v>
      </x:c>
      <x:c r="Z561" s="215" t="str">
        <x:v>Source-backed draft</x:v>
      </x:c>
      <x:c r="AA561" s="215" t="str">
        <x:v>Family pattern</x:v>
      </x:c>
      <x:c r="AB561" s="215" t="str">
        <x:v>Positive diagnostic</x:v>
      </x:c>
      <x:c r="AC561" s="215" t="str">
        <x:v>High</x:v>
      </x:c>
      <x:c r="AD561" s="215" t="str">
        <x:v>Hand lens / macro</x:v>
      </x:c>
      <x:c r="AE561" s="215" t="str">
        <x:v>Low</x:v>
      </x:c>
      <x:c r="AF561" s="215" t="str">
        <x:v>Field-ready draft</x:v>
      </x:c>
      <x:c r="AG561" s="215" t="str">
        <x:v>3 — Reference support</x:v>
      </x:c>
      <x:c r="AH561" s="215" t="str">
        <x:v>Current master inventory</x:v>
      </x:c>
    </x:row>
    <x:row r="562" ht="42" customHeight="1">
      <x:c r="A562" s="215" t="str">
        <x:v>Vitaceae</x:v>
      </x:c>
      <x:c r="B562" s="215" t="str">
        <x:v>VIT-INFLO</x:v>
      </x:c>
      <x:c r="C562" s="215" t="str">
        <x:v>Family character</x:v>
      </x:c>
      <x:c r="D562" s="215" t="str">
        <x:v>Inflorescence</x:v>
      </x:c>
      <x:c r="E562" s="215" t="str">
        <x:v>Inflorescences commonly arise opposite leaves, like the tendrils</x:v>
      </x:c>
      <x:c r="F562" s="215" t="str">
        <x:v>Strong</x:v>
      </x:c>
      <x:c r="G562" s="215" t="str">
        <x:v>5</x:v>
      </x:c>
      <x:c r="H562" s="215" t="str">
        <x:v>High</x:v>
      </x:c>
      <x:c r="I562" s="215" t="str">
        <x:v>Naked eye or hand lens</x:v>
      </x:c>
      <x:c r="J562" s="215" t="str">
        <x:v>Flowering or fruiting shoots</x:v>
      </x:c>
      <x:c r="K562" s="215" t="str">
        <x:v>Flower clusters occupy the same characteristic nodal position as tendrils.</x:v>
      </x:c>
      <x:c r="L562" s="215" t="str">
        <x:v>Position can be obscured on crowded or damaged shoots.</x:v>
      </x:c>
      <x:c r="M562" s="215" t="str">
        <x:v>Trace the cluster stalk back to the node.</x:v>
      </x:c>
      <x:c r="N562" s="215" t="str">
        <x:v>Native grapes and related vines are conspicuous in Hays riparian corridors, thickets, fence lines, and woodland edges.</x:v>
      </x:c>
      <x:c r="O562" s="215" t="str">
        <x:v>Low</x:v>
      </x:c>
      <x:c r="P562" s="215" t="str">
        <x:v>No</x:v>
      </x:c>
      <x:c r="Q562" s="215" t="str"/>
      <x:c r="R562" s="215" t="str">
        <x:v>VIT-LK01</x:v>
      </x:c>
      <x:c r="S562" s="215" t="str">
        <x:v>APWEB-VITA; FNA-VITA; POWO-VITA; LBJ-HAYS</x:v>
      </x:c>
      <x:c r="T562" s="215" t="str">
        <x:v>https://www.mobot.org/MOBOT/research/APweb/orders/vitalesweb.htm</x:v>
      </x:c>
      <x:c r="U562" s="215" t="str">
        <x:v>https://floranorthamerica.org/Vitaceae</x:v>
      </x:c>
      <x:c r="V562" s="215" t="str">
        <x:v>https://powo.science.kew.org/taxon/urn:lsid:ipni.org:names:30000067-2/general-information</x:v>
      </x:c>
      <x:c r="W562" s="215" t="str">
        <x:v>https://www.mobot.org/MOBOT/research/APweb/orders/vitalesweb.htm
https://floranorthamerica.org/Vitaceae
https://powo.science.kew.org/taxon/urn:lsid:ipni.org:names:30000067-2/general-information
https://www.wildflower.org/collections/collection.php?collection=hays</x:v>
      </x:c>
      <x:c r="X562" s="215" t="str">
        <x:v>No — retain qualifiers and exceptions</x:v>
      </x:c>
      <x:c r="Y562" s="215" t="str">
        <x:v>Yes</x:v>
      </x:c>
      <x:c r="Z562" s="215" t="str">
        <x:v>Source-backed draft</x:v>
      </x:c>
      <x:c r="AA562" s="215" t="str">
        <x:v>Family pattern</x:v>
      </x:c>
      <x:c r="AB562" s="215" t="str">
        <x:v>Positive diagnostic</x:v>
      </x:c>
      <x:c r="AC562" s="215" t="str">
        <x:v>High</x:v>
      </x:c>
      <x:c r="AD562" s="215" t="str">
        <x:v>Hand lens / macro</x:v>
      </x:c>
      <x:c r="AE562" s="215" t="str">
        <x:v>Low</x:v>
      </x:c>
      <x:c r="AF562" s="215" t="str">
        <x:v>Field-ready draft</x:v>
      </x:c>
      <x:c r="AG562" s="215" t="str">
        <x:v>2 — Field-photo priority</x:v>
      </x:c>
      <x:c r="AH562" s="215" t="str">
        <x:v>Current master inventory</x:v>
      </x:c>
    </x:row>
    <x:row r="563" ht="42" customHeight="1">
      <x:c r="A563" s="215" t="str">
        <x:v>Vitaceae</x:v>
      </x:c>
      <x:c r="B563" s="215" t="str">
        <x:v>VIT-FLOWER</x:v>
      </x:c>
      <x:c r="C563" s="215" t="str">
        <x:v>Family character</x:v>
      </x:c>
      <x:c r="D563" s="215" t="str">
        <x:v>Flowers</x:v>
      </x:c>
      <x:c r="E563" s="215" t="str">
        <x:v>Flowers small, usually 4- or 5-merous, radial, bisexual or functionally unisexual</x:v>
      </x:c>
      <x:c r="F563" s="215" t="str">
        <x:v>Strong</x:v>
      </x:c>
      <x:c r="G563" s="215" t="str">
        <x:v>3</x:v>
      </x:c>
      <x:c r="H563" s="215" t="str">
        <x:v>High</x:v>
      </x:c>
      <x:c r="I563" s="215" t="str">
        <x:v>Hand lens</x:v>
      </x:c>
      <x:c r="J563" s="215" t="str">
        <x:v>Fresh flowers</x:v>
      </x:c>
      <x:c r="K563" s="215" t="str">
        <x:v>The flowers are tiny and regular rather than showy vine flowers.</x:v>
      </x:c>
      <x:c r="L563" s="215" t="str">
        <x:v>Sex expression and part number vary among genera.</x:v>
      </x:c>
      <x:c r="M563" s="215" t="str">
        <x:v>Count parts under a hand lens and combine with the disc.</x:v>
      </x:c>
      <x:c r="N563" s="215" t="str">
        <x:v>Native grapes and related vines are conspicuous in Hays riparian corridors, thickets, fence lines, and woodland edges.</x:v>
      </x:c>
      <x:c r="O563" s="215" t="str">
        <x:v>Low</x:v>
      </x:c>
      <x:c r="P563" s="215" t="str">
        <x:v>No</x:v>
      </x:c>
      <x:c r="Q563" s="215" t="str"/>
      <x:c r="R563" s="215" t="str"/>
      <x:c r="S563" s="215" t="str">
        <x:v>APWEB-VITA; FNA-VITA; POWO-VITA; LBJ-HAYS</x:v>
      </x:c>
      <x:c r="T563" s="215" t="str">
        <x:v>https://www.mobot.org/MOBOT/research/APweb/orders/vitalesweb.htm</x:v>
      </x:c>
      <x:c r="U563" s="215" t="str">
        <x:v>https://floranorthamerica.org/Vitaceae</x:v>
      </x:c>
      <x:c r="V563" s="215" t="str">
        <x:v>https://powo.science.kew.org/taxon/urn:lsid:ipni.org:names:30000067-2/general-information</x:v>
      </x:c>
      <x:c r="W563" s="215" t="str">
        <x:v>https://www.mobot.org/MOBOT/research/APweb/orders/vitalesweb.htm
https://floranorthamerica.org/Vitaceae
https://powo.science.kew.org/taxon/urn:lsid:ipni.org:names:30000067-2/general-information
https://www.wildflower.org/collections/collection.php?collection=hays</x:v>
      </x:c>
      <x:c r="X563" s="215" t="str">
        <x:v>No — retain qualifiers and exceptions</x:v>
      </x:c>
      <x:c r="Y563" s="215" t="str">
        <x:v>Yes</x:v>
      </x:c>
      <x:c r="Z563" s="215" t="str">
        <x:v>Source-backed draft</x:v>
      </x:c>
      <x:c r="AA563" s="215" t="str">
        <x:v>Family pattern</x:v>
      </x:c>
      <x:c r="AB563" s="215" t="str">
        <x:v>Positive diagnostic</x:v>
      </x:c>
      <x:c r="AC563" s="215" t="str">
        <x:v>High</x:v>
      </x:c>
      <x:c r="AD563" s="215" t="str">
        <x:v>Hand lens / macro</x:v>
      </x:c>
      <x:c r="AE563" s="215" t="str">
        <x:v>Low</x:v>
      </x:c>
      <x:c r="AF563" s="215" t="str">
        <x:v>Field-ready draft</x:v>
      </x:c>
      <x:c r="AG563" s="215" t="str">
        <x:v>3 — Reference support</x:v>
      </x:c>
      <x:c r="AH563" s="215" t="str">
        <x:v>Current master inventory</x:v>
      </x:c>
    </x:row>
    <x:row r="564" ht="42" customHeight="1">
      <x:c r="A564" s="215" t="str">
        <x:v>Vitaceae</x:v>
      </x:c>
      <x:c r="B564" s="215" t="str">
        <x:v>VIT-PETALS</x:v>
      </x:c>
      <x:c r="C564" s="215" t="str">
        <x:v>Family character with genus-level qualifier</x:v>
      </x:c>
      <x:c r="D564" s="215" t="str">
        <x:v>Corolla</x:v>
      </x:c>
      <x:c r="E564" s="215" t="str">
        <x:v>Petals separate or joined; in Vitis they detach together as a cap</x:v>
      </x:c>
      <x:c r="F564" s="215" t="str">
        <x:v>Strong</x:v>
      </x:c>
      <x:c r="G564" s="215" t="str">
        <x:v>3</x:v>
      </x:c>
      <x:c r="H564" s="215" t="str">
        <x:v>High</x:v>
      </x:c>
      <x:c r="I564" s="215" t="str">
        <x:v>Hand lens</x:v>
      </x:c>
      <x:c r="J564" s="215" t="str">
        <x:v>Fresh flowers at anthesis</x:v>
      </x:c>
      <x:c r="K564" s="215" t="str">
        <x:v>Wild grape flowers shed a small petal cap rather than opening into a broad corolla.</x:v>
      </x:c>
      <x:c r="L564" s="215" t="str">
        <x:v>The calyptra is diagnostic for Vitis, not universal across Vitaceae.</x:v>
      </x:c>
      <x:c r="M564" s="215" t="str">
        <x:v>Apply this as a genus-supporting character within the family suite.</x:v>
      </x:c>
      <x:c r="N564" s="215" t="str">
        <x:v>Native grapes and related vines are conspicuous in Hays riparian corridors, thickets, fence lines, and woodland edges.</x:v>
      </x:c>
      <x:c r="O564" s="215" t="str">
        <x:v>Low</x:v>
      </x:c>
      <x:c r="P564" s="215" t="str">
        <x:v>No</x:v>
      </x:c>
      <x:c r="Q564" s="215" t="str"/>
      <x:c r="R564" s="215" t="str"/>
      <x:c r="S564" s="215" t="str">
        <x:v>APWEB-VITA; FNA-VITA; POWO-VITA; LBJ-HAYS</x:v>
      </x:c>
      <x:c r="T564" s="215" t="str">
        <x:v>https://www.mobot.org/MOBOT/research/APweb/orders/vitalesweb.htm</x:v>
      </x:c>
      <x:c r="U564" s="215" t="str">
        <x:v>https://floranorthamerica.org/Vitaceae</x:v>
      </x:c>
      <x:c r="V564" s="215" t="str">
        <x:v>https://powo.science.kew.org/taxon/urn:lsid:ipni.org:names:30000067-2/general-information</x:v>
      </x:c>
      <x:c r="W564" s="215" t="str">
        <x:v>https://www.mobot.org/MOBOT/research/APweb/orders/vitalesweb.htm
https://floranorthamerica.org/Vitaceae
https://powo.science.kew.org/taxon/urn:lsid:ipni.org:names:30000067-2/general-information
https://www.wildflower.org/collections/collection.php?collection=hays</x:v>
      </x:c>
      <x:c r="X564" s="215" t="str">
        <x:v>No — retain qualifiers and exceptions</x:v>
      </x:c>
      <x:c r="Y564" s="215" t="str">
        <x:v>Yes</x:v>
      </x:c>
      <x:c r="Z564" s="215" t="str">
        <x:v>Source-backed draft</x:v>
      </x:c>
      <x:c r="AA564" s="215" t="str">
        <x:v>Local subgroup / route</x:v>
      </x:c>
      <x:c r="AB564" s="215" t="str">
        <x:v>Positive diagnostic</x:v>
      </x:c>
      <x:c r="AC564" s="215" t="str">
        <x:v>High</x:v>
      </x:c>
      <x:c r="AD564" s="215" t="str">
        <x:v>Hand lens / macro</x:v>
      </x:c>
      <x:c r="AE564" s="215" t="str">
        <x:v>Low</x:v>
      </x:c>
      <x:c r="AF564" s="215" t="str">
        <x:v>Field-ready draft</x:v>
      </x:c>
      <x:c r="AG564" s="215" t="str">
        <x:v>3 — Reference support</x:v>
      </x:c>
      <x:c r="AH564" s="215" t="str">
        <x:v>Current master inventory</x:v>
      </x:c>
    </x:row>
    <x:row r="565" ht="42" customHeight="1">
      <x:c r="A565" s="215" t="str">
        <x:v>Vitaceae</x:v>
      </x:c>
      <x:c r="B565" s="215" t="str">
        <x:v>VIT-DISC</x:v>
      </x:c>
      <x:c r="C565" s="215" t="str">
        <x:v>Family character</x:v>
      </x:c>
      <x:c r="D565" s="215" t="str">
        <x:v>Flowers / nectar disc</x:v>
      </x:c>
      <x:c r="E565" s="215" t="str">
        <x:v>A conspicuous nectar disc is present around the ovary, often with 4–5 lobes or glands</x:v>
      </x:c>
      <x:c r="F565" s="215" t="str">
        <x:v>Strong</x:v>
      </x:c>
      <x:c r="G565" s="215" t="str">
        <x:v>4</x:v>
      </x:c>
      <x:c r="H565" s="215" t="str">
        <x:v>High</x:v>
      </x:c>
      <x:c r="I565" s="215" t="str">
        <x:v>Hand lens</x:v>
      </x:c>
      <x:c r="J565" s="215" t="str">
        <x:v>Fresh flowers</x:v>
      </x:c>
      <x:c r="K565" s="215" t="str">
        <x:v>The floral center usually has a fleshy nectar-producing ring.</x:v>
      </x:c>
      <x:c r="L565" s="215" t="str">
        <x:v>Disc form varies and tiny flowers require magnification.</x:v>
      </x:c>
      <x:c r="M565" s="215" t="str">
        <x:v>Use disc shape with petal and stamen counts.</x:v>
      </x:c>
      <x:c r="N565" s="215" t="str">
        <x:v>Native grapes and related vines are conspicuous in Hays riparian corridors, thickets, fence lines, and woodland edges.</x:v>
      </x:c>
      <x:c r="O565" s="215" t="str">
        <x:v>Low</x:v>
      </x:c>
      <x:c r="P565" s="215" t="str">
        <x:v>No</x:v>
      </x:c>
      <x:c r="Q565" s="215" t="str"/>
      <x:c r="R565" s="215" t="str"/>
      <x:c r="S565" s="215" t="str">
        <x:v>APWEB-VITA; FNA-VITA; POWO-VITA; LBJ-HAYS</x:v>
      </x:c>
      <x:c r="T565" s="215" t="str">
        <x:v>https://www.mobot.org/MOBOT/research/APweb/orders/vitalesweb.htm</x:v>
      </x:c>
      <x:c r="U565" s="215" t="str">
        <x:v>https://floranorthamerica.org/Vitaceae</x:v>
      </x:c>
      <x:c r="V565" s="215" t="str">
        <x:v>https://powo.science.kew.org/taxon/urn:lsid:ipni.org:names:30000067-2/general-information</x:v>
      </x:c>
      <x:c r="W565" s="215" t="str">
        <x:v>https://www.mobot.org/MOBOT/research/APweb/orders/vitalesweb.htm
https://floranorthamerica.org/Vitaceae
https://powo.science.kew.org/taxon/urn:lsid:ipni.org:names:30000067-2/general-information
https://www.wildflower.org/collections/collection.php?collection=hays</x:v>
      </x:c>
      <x:c r="X565" s="215" t="str">
        <x:v>No — retain qualifiers and exceptions</x:v>
      </x:c>
      <x:c r="Y565" s="215" t="str">
        <x:v>Yes</x:v>
      </x:c>
      <x:c r="Z565" s="215" t="str">
        <x:v>Source-backed draft</x:v>
      </x:c>
      <x:c r="AA565" s="215" t="str">
        <x:v>Family pattern</x:v>
      </x:c>
      <x:c r="AB565" s="215" t="str">
        <x:v>Positive diagnostic</x:v>
      </x:c>
      <x:c r="AC565" s="215" t="str">
        <x:v>High</x:v>
      </x:c>
      <x:c r="AD565" s="215" t="str">
        <x:v>Hand lens / macro</x:v>
      </x:c>
      <x:c r="AE565" s="215" t="str">
        <x:v>Low</x:v>
      </x:c>
      <x:c r="AF565" s="215" t="str">
        <x:v>Field-ready draft</x:v>
      </x:c>
      <x:c r="AG565" s="215" t="str">
        <x:v>2 — Field-photo priority</x:v>
      </x:c>
      <x:c r="AH565" s="215" t="str">
        <x:v>Current master inventory</x:v>
      </x:c>
    </x:row>
    <x:row r="566" ht="42" customHeight="1">
      <x:c r="A566" s="215" t="str">
        <x:v>Vitaceae</x:v>
      </x:c>
      <x:c r="B566" s="215" t="str">
        <x:v>VIT-OVARY</x:v>
      </x:c>
      <x:c r="C566" s="215" t="str">
        <x:v>Family character</x:v>
      </x:c>
      <x:c r="D566" s="215" t="str">
        <x:v>Gynoecium</x:v>
      </x:c>
      <x:c r="E566" s="215" t="str">
        <x:v>Ovary superior, usually 2-locular with typically 2 ovules per locule</x:v>
      </x:c>
      <x:c r="F566" s="215" t="str">
        <x:v>Strong</x:v>
      </x:c>
      <x:c r="G566" s="215" t="str">
        <x:v>3</x:v>
      </x:c>
      <x:c r="H566" s="215" t="str">
        <x:v>High</x:v>
      </x:c>
      <x:c r="I566" s="215" t="str">
        <x:v>Hand lens or dissection</x:v>
      </x:c>
      <x:c r="J566" s="215" t="str">
        <x:v>Fresh flowers</x:v>
      </x:c>
      <x:c r="K566" s="215" t="str">
        <x:v>The berry begins from a small superior ovary with few ovules.</x:v>
      </x:c>
      <x:c r="L566" s="215" t="str">
        <x:v>Locules are not field-visible without dissection.</x:v>
      </x:c>
      <x:c r="M566" s="215" t="str">
        <x:v>Use mature seed number as a practical proxy.</x:v>
      </x:c>
      <x:c r="N566" s="215" t="str">
        <x:v>Native grapes and related vines are conspicuous in Hays riparian corridors, thickets, fence lines, and woodland edges.</x:v>
      </x:c>
      <x:c r="O566" s="215" t="str">
        <x:v>Low</x:v>
      </x:c>
      <x:c r="P566" s="215" t="str">
        <x:v>No</x:v>
      </x:c>
      <x:c r="Q566" s="215" t="str"/>
      <x:c r="R566" s="215" t="str"/>
      <x:c r="S566" s="215" t="str">
        <x:v>APWEB-VITA; FNA-VITA; POWO-VITA; LBJ-HAYS</x:v>
      </x:c>
      <x:c r="T566" s="215" t="str">
        <x:v>https://www.mobot.org/MOBOT/research/APweb/orders/vitalesweb.htm</x:v>
      </x:c>
      <x:c r="U566" s="215" t="str">
        <x:v>https://floranorthamerica.org/Vitaceae</x:v>
      </x:c>
      <x:c r="V566" s="215" t="str">
        <x:v>https://powo.science.kew.org/taxon/urn:lsid:ipni.org:names:30000067-2/general-information</x:v>
      </x:c>
      <x:c r="W566" s="215" t="str">
        <x:v>https://www.mobot.org/MOBOT/research/APweb/orders/vitalesweb.htm
https://floranorthamerica.org/Vitaceae
https://powo.science.kew.org/taxon/urn:lsid:ipni.org:names:30000067-2/general-information
https://www.wildflower.org/collections/collection.php?collection=hays</x:v>
      </x:c>
      <x:c r="X566" s="215" t="str">
        <x:v>No — retain qualifiers and exceptions</x:v>
      </x:c>
      <x:c r="Y566" s="215" t="str">
        <x:v>Yes</x:v>
      </x:c>
      <x:c r="Z566" s="215" t="str">
        <x:v>Source-backed draft</x:v>
      </x:c>
      <x:c r="AA566" s="215" t="str">
        <x:v>Family pattern</x:v>
      </x:c>
      <x:c r="AB566" s="215" t="str">
        <x:v>Positive diagnostic</x:v>
      </x:c>
      <x:c r="AC566" s="215" t="str">
        <x:v>High</x:v>
      </x:c>
      <x:c r="AD566" s="215" t="str">
        <x:v>Dissection</x:v>
      </x:c>
      <x:c r="AE566" s="215" t="str">
        <x:v>Low</x:v>
      </x:c>
      <x:c r="AF566" s="215" t="str">
        <x:v>Dissection / close study</x:v>
      </x:c>
      <x:c r="AG566" s="215" t="str">
        <x:v>3 — Reference support</x:v>
      </x:c>
      <x:c r="AH566" s="215" t="str">
        <x:v>Current master inventory</x:v>
      </x:c>
    </x:row>
    <x:row r="567" ht="42" customHeight="1">
      <x:c r="A567" s="215" t="str">
        <x:v>Vitaceae</x:v>
      </x:c>
      <x:c r="B567" s="215" t="str">
        <x:v>VIT-FRUIT</x:v>
      </x:c>
      <x:c r="C567" s="215" t="str">
        <x:v>Family character</x:v>
      </x:c>
      <x:c r="D567" s="215" t="str">
        <x:v>Fruit / seeds</x:v>
      </x:c>
      <x:c r="E567" s="215" t="str">
        <x:v>Fruit a berry, commonly with 1–4 hard, often pear-shaped seeds</x:v>
      </x:c>
      <x:c r="F567" s="215" t="str">
        <x:v>Strong</x:v>
      </x:c>
      <x:c r="G567" s="215" t="str">
        <x:v>5</x:v>
      </x:c>
      <x:c r="H567" s="215" t="str">
        <x:v>High</x:v>
      </x:c>
      <x:c r="I567" s="215" t="str">
        <x:v>Naked eye or hand lens</x:v>
      </x:c>
      <x:c r="J567" s="215" t="str">
        <x:v>Mature fruit</x:v>
      </x:c>
      <x:c r="K567" s="215" t="str">
        <x:v>A grape-like berry with a few hard seeds confirms the family on a tendrilled vine.</x:v>
      </x:c>
      <x:c r="L567" s="215" t="str">
        <x:v>Berry color and size vary; unrelated vines also bear berries.</x:v>
      </x:c>
      <x:c r="M567" s="215" t="str">
        <x:v>Use berry plus leaf-opposed tendrils or clusters.</x:v>
      </x:c>
      <x:c r="N567" s="215" t="str">
        <x:v>Native grapes and related vines are conspicuous in Hays riparian corridors, thickets, fence lines, and woodland edges.</x:v>
      </x:c>
      <x:c r="O567" s="215" t="str">
        <x:v>Low</x:v>
      </x:c>
      <x:c r="P567" s="215" t="str">
        <x:v>No</x:v>
      </x:c>
      <x:c r="Q567" s="215" t="str"/>
      <x:c r="R567" s="215" t="str">
        <x:v>VIT-LK01; VIT-LK02</x:v>
      </x:c>
      <x:c r="S567" s="215" t="str">
        <x:v>APWEB-VITA; FNA-VITA; POWO-VITA; LBJ-HAYS</x:v>
      </x:c>
      <x:c r="T567" s="215" t="str">
        <x:v>https://www.mobot.org/MOBOT/research/APweb/orders/vitalesweb.htm</x:v>
      </x:c>
      <x:c r="U567" s="215" t="str">
        <x:v>https://floranorthamerica.org/Vitaceae</x:v>
      </x:c>
      <x:c r="V567" s="215" t="str">
        <x:v>https://powo.science.kew.org/taxon/urn:lsid:ipni.org:names:30000067-2/general-information</x:v>
      </x:c>
      <x:c r="W567" s="215" t="str">
        <x:v>https://www.mobot.org/MOBOT/research/APweb/orders/vitalesweb.htm
https://floranorthamerica.org/Vitaceae
https://powo.science.kew.org/taxon/urn:lsid:ipni.org:names:30000067-2/general-information
https://www.wildflower.org/collections/collection.php?collection=hays</x:v>
      </x:c>
      <x:c r="X567" s="215" t="str">
        <x:v>No — retain qualifiers and exceptions</x:v>
      </x:c>
      <x:c r="Y567" s="215" t="str">
        <x:v>Yes</x:v>
      </x:c>
      <x:c r="Z567" s="215" t="str">
        <x:v>Source-backed draft</x:v>
      </x:c>
      <x:c r="AA567" s="215" t="str">
        <x:v>Family pattern</x:v>
      </x:c>
      <x:c r="AB567" s="215" t="str">
        <x:v>Positive diagnostic</x:v>
      </x:c>
      <x:c r="AC567" s="215" t="str">
        <x:v>High</x:v>
      </x:c>
      <x:c r="AD567" s="215" t="str">
        <x:v>Hand lens / macro</x:v>
      </x:c>
      <x:c r="AE567" s="215" t="str">
        <x:v>Low</x:v>
      </x:c>
      <x:c r="AF567" s="215" t="str">
        <x:v>Field-ready draft</x:v>
      </x:c>
      <x:c r="AG567" s="215" t="str">
        <x:v>2 — Field-photo priority</x:v>
      </x:c>
      <x:c r="AH567" s="215" t="str">
        <x:v>Current master inventory</x:v>
      </x:c>
    </x:row>
    <x:row r="568" ht="42" customHeight="1">
      <x:c r="A568" s="215" t="str">
        <x:v>Vitaceae</x:v>
      </x:c>
      <x:c r="B568" s="215" t="str">
        <x:v>VIT-LK01</x:v>
      </x:c>
      <x:c r="C568" s="215" t="str">
        <x:v>Lookalike comparison</x:v>
      </x:c>
      <x:c r="D568" s="215" t="str">
        <x:v>Lookalike</x:v>
      </x:c>
      <x:c r="E568" s="215" t="str">
        <x:v>Versus Rhamnaceae vines: leaf-opposed tendrils and berry clusters favor Vitaceae; thorns plus stamens opposite petals and a rhamnaceous disc favor Rhamnaceae</x:v>
      </x:c>
      <x:c r="F568" s="215" t="str">
        <x:v>Lookalike</x:v>
      </x:c>
      <x:c r="G568" s="215" t="str">
        <x:v>5</x:v>
      </x:c>
      <x:c r="H568" s="215" t="str">
        <x:v>High</x:v>
      </x:c>
      <x:c r="I568" s="215" t="str">
        <x:v>Naked eye or hand lens</x:v>
      </x:c>
      <x:c r="J568" s="215" t="str">
        <x:v>Leafy flowering material</x:v>
      </x:c>
      <x:c r="K568" s="215" t="str">
        <x:v>Both can be woody vines with small green flowers.</x:v>
      </x:c>
      <x:c r="L568" s="215" t="str">
        <x:v>Sterile vines require careful node inspection.</x:v>
      </x:c>
      <x:c r="M568" s="215" t="str">
        <x:v>Use tendril position first and floral stamen position second; this supplies the reciprocal comparison for RHA-LK02.</x:v>
      </x:c>
      <x:c r="N568" s="215" t="str">
        <x:v>Native grapes and related vines are conspicuous in Hays riparian corridors, thickets, fence lines, and woodland edges.</x:v>
      </x:c>
      <x:c r="O568" s="215" t="str">
        <x:v>Low</x:v>
      </x:c>
      <x:c r="P568" s="215" t="str">
        <x:v>No</x:v>
      </x:c>
      <x:c r="Q568" s="215" t="str"/>
      <x:c r="R568" s="215" t="str">
        <x:v>VIT-TENDRILS; VIT-INFLO; VIT-DISC</x:v>
      </x:c>
      <x:c r="S568" s="215" t="str">
        <x:v>APWEB-VITA; FNA-VITA; POWO-VITA; LBJ-HAYS</x:v>
      </x:c>
      <x:c r="T568" s="215" t="str">
        <x:v>https://www.mobot.org/MOBOT/research/APweb/orders/vitalesweb.htm</x:v>
      </x:c>
      <x:c r="U568" s="215" t="str">
        <x:v>https://floranorthamerica.org/Vitaceae</x:v>
      </x:c>
      <x:c r="V568" s="215" t="str">
        <x:v>https://powo.science.kew.org/taxon/urn:lsid:ipni.org:names:30000067-2/general-information</x:v>
      </x:c>
      <x:c r="W568" s="215" t="str">
        <x:v>https://www.mobot.org/MOBOT/research/APweb/orders/vitalesweb.htm
https://floranorthamerica.org/Vitaceae
https://powo.science.kew.org/taxon/urn:lsid:ipni.org:names:30000067-2/general-information
https://www.wildflower.org/collections/collection.php?collection=hays</x:v>
      </x:c>
      <x:c r="X568" s="215" t="str">
        <x:v>No — retain qualifiers and exceptions</x:v>
      </x:c>
      <x:c r="Y568" s="215" t="str">
        <x:v>Yes</x:v>
      </x:c>
      <x:c r="Z568" s="215" t="str">
        <x:v>Source-backed draft</x:v>
      </x:c>
      <x:c r="AA568" s="215" t="str">
        <x:v>Lookalike comparison</x:v>
      </x:c>
      <x:c r="AB568" s="215" t="str">
        <x:v>Contrast / lookalike</x:v>
      </x:c>
      <x:c r="AC568" s="215" t="str">
        <x:v>High</x:v>
      </x:c>
      <x:c r="AD568" s="215" t="str">
        <x:v>Hand lens / macro</x:v>
      </x:c>
      <x:c r="AE568" s="215" t="str">
        <x:v>Low</x:v>
      </x:c>
      <x:c r="AF568" s="215" t="str">
        <x:v>Field-ready draft</x:v>
      </x:c>
      <x:c r="AG568" s="215" t="str">
        <x:v>2 — Field-photo priority</x:v>
      </x:c>
      <x:c r="AH568" s="215" t="str">
        <x:v>Current master inventory</x:v>
      </x:c>
    </x:row>
    <x:row r="569" ht="42" customHeight="1">
      <x:c r="A569" s="215" t="str">
        <x:v>Vitaceae</x:v>
      </x:c>
      <x:c r="B569" s="215" t="str">
        <x:v>VIT-LK02</x:v>
      </x:c>
      <x:c r="C569" s="215" t="str">
        <x:v>Lookalike comparison</x:v>
      </x:c>
      <x:c r="D569" s="215" t="str">
        <x:v>Lookalike</x:v>
      </x:c>
      <x:c r="E569" s="215" t="str">
        <x:v>Versus Convolvulaceae: true tendrils and small clustered flowers favor Vitaceae; twining stems without tendrils and a large funnel corolla favor Convolvulaceae</x:v>
      </x:c>
      <x:c r="F569" s="215" t="str">
        <x:v>Lookalike</x:v>
      </x:c>
      <x:c r="G569" s="215" t="str">
        <x:v>5</x:v>
      </x:c>
      <x:c r="H569" s="215" t="str">
        <x:v>High</x:v>
      </x:c>
      <x:c r="I569" s="215" t="str">
        <x:v>Naked eye or hand lens</x:v>
      </x:c>
      <x:c r="J569" s="215" t="str">
        <x:v>Actively growing flowering shoots</x:v>
      </x:c>
      <x:c r="K569" s="215" t="str">
        <x:v>Both climb through thickets and can have cordate leaves.</x:v>
      </x:c>
      <x:c r="L569" s="215" t="str">
        <x:v>Nonflowering, tendril-poor shoots may remain uncertain.</x:v>
      </x:c>
      <x:c r="M569" s="215" t="str">
        <x:v>Verify whether the climbing organ is a tendril or the main stem.</x:v>
      </x:c>
      <x:c r="N569" s="215" t="str">
        <x:v>Native grapes and related vines are conspicuous in Hays riparian corridors, thickets, fence lines, and woodland edges.</x:v>
      </x:c>
      <x:c r="O569" s="215" t="str">
        <x:v>Low</x:v>
      </x:c>
      <x:c r="P569" s="215" t="str">
        <x:v>No</x:v>
      </x:c>
      <x:c r="Q569" s="215" t="str"/>
      <x:c r="R569" s="215" t="str">
        <x:v>VIT-HABIT; VIT-TENDRILS; VIT-FLOWER</x:v>
      </x:c>
      <x:c r="S569" s="215" t="str">
        <x:v>APWEB-VITA; FNA-VITA; POWO-VITA; LBJ-HAYS</x:v>
      </x:c>
      <x:c r="T569" s="215" t="str">
        <x:v>https://www.mobot.org/MOBOT/research/APweb/orders/vitalesweb.htm</x:v>
      </x:c>
      <x:c r="U569" s="215" t="str">
        <x:v>https://floranorthamerica.org/Vitaceae</x:v>
      </x:c>
      <x:c r="V569" s="215" t="str">
        <x:v>https://powo.science.kew.org/taxon/urn:lsid:ipni.org:names:30000067-2/general-information</x:v>
      </x:c>
      <x:c r="W569" s="215" t="str">
        <x:v>https://www.mobot.org/MOBOT/research/APweb/orders/vitalesweb.htm
https://floranorthamerica.org/Vitaceae
https://powo.science.kew.org/taxon/urn:lsid:ipni.org:names:30000067-2/general-information
https://www.wildflower.org/collections/collection.php?collection=hays</x:v>
      </x:c>
      <x:c r="X569" s="215" t="str">
        <x:v>No — retain qualifiers and exceptions</x:v>
      </x:c>
      <x:c r="Y569" s="215" t="str">
        <x:v>Yes</x:v>
      </x:c>
      <x:c r="Z569" s="215" t="str">
        <x:v>Source-backed draft</x:v>
      </x:c>
      <x:c r="AA569" s="215" t="str">
        <x:v>Lookalike comparison</x:v>
      </x:c>
      <x:c r="AB569" s="215" t="str">
        <x:v>Contrast / lookalike</x:v>
      </x:c>
      <x:c r="AC569" s="215" t="str">
        <x:v>High</x:v>
      </x:c>
      <x:c r="AD569" s="215" t="str">
        <x:v>Hand lens / macro</x:v>
      </x:c>
      <x:c r="AE569" s="215" t="str">
        <x:v>Low</x:v>
      </x:c>
      <x:c r="AF569" s="215" t="str">
        <x:v>Field-ready draft</x:v>
      </x:c>
      <x:c r="AG569" s="215" t="str">
        <x:v>2 — Field-photo priority</x:v>
      </x:c>
      <x:c r="AH569" s="215" t="str">
        <x:v>Current master inventory</x:v>
      </x:c>
    </x:row>
    <x:row r="570" ht="42" customHeight="1">
      <x:c r="A570" s="215" t="str">
        <x:v>Celastraceae</x:v>
      </x:c>
      <x:c r="B570" s="215" t="str">
        <x:v>CEL-HABIT</x:v>
      </x:c>
      <x:c r="C570" s="215" t="str">
        <x:v>Family character</x:v>
      </x:c>
      <x:c r="D570" s="215" t="str">
        <x:v>Habit</x:v>
      </x:c>
      <x:c r="E570" s="215" t="str">
        <x:v>Herbs, shrubs, trees, or vines; local woody forms are most field-relevant</x:v>
      </x:c>
      <x:c r="F570" s="215" t="str">
        <x:v>Strong</x:v>
      </x:c>
      <x:c r="G570" s="215" t="str">
        <x:v>1</x:v>
      </x:c>
      <x:c r="H570" s="215" t="str">
        <x:v>High</x:v>
      </x:c>
      <x:c r="I570" s="215" t="str">
        <x:v>Naked eye or hand lens</x:v>
      </x:c>
      <x:c r="J570" s="215" t="str">
        <x:v>Any material</x:v>
      </x:c>
      <x:c r="K570" s="215" t="str">
        <x:v>The family has no single habit, though staff-tree relatives are often woody.</x:v>
      </x:c>
      <x:c r="L570" s="215" t="str">
        <x:v>Broad family circumscription also includes unusual herbaceous lineages.</x:v>
      </x:c>
      <x:c r="M570" s="215" t="str">
        <x:v>Do not identify from habit alone.</x:v>
      </x:c>
      <x:c r="N570" s="215" t="str">
        <x:v>Staff-tree relatives are locally less obvious than grapes or walnuts, so reproductive characters and authoritative county records are especially important.</x:v>
      </x:c>
      <x:c r="O570" s="215" t="str">
        <x:v>Low</x:v>
      </x:c>
      <x:c r="P570" s="215" t="str">
        <x:v>No</x:v>
      </x:c>
      <x:c r="Q570" s="215" t="str"/>
      <x:c r="R570" s="215" t="str"/>
      <x:c r="S570" s="215" t="str">
        <x:v>APWEB-CELA; FNA-CELA; POWO-CELA; LBJ-HAYS</x:v>
      </x:c>
      <x:c r="T570" s="215" t="str">
        <x:v>https://www.mobot.org/MOBOT/research/APweb/orders/celastralesweb.htm</x:v>
      </x:c>
      <x:c r="U570" s="215" t="str">
        <x:v>https://floranorthamerica.org/Celastraceae</x:v>
      </x:c>
      <x:c r="V570" s="215" t="str">
        <x:v>https://powo.science.kew.org/taxon/urn:lsid:ipni.org:names:30000478-2/general-information</x:v>
      </x:c>
      <x:c r="W570" s="215" t="str">
        <x:v>https://www.mobot.org/MOBOT/research/APweb/orders/celastralesweb.htm
https://floranorthamerica.org/Celastraceae
https://powo.science.kew.org/taxon/urn:lsid:ipni.org:names:30000478-2/general-information
https://www.wildflower.org/collections/collection.php?collection=hays</x:v>
      </x:c>
      <x:c r="X570" s="215" t="str">
        <x:v>No — retain qualifiers and exceptions</x:v>
      </x:c>
      <x:c r="Y570" s="215" t="str">
        <x:v>Yes</x:v>
      </x:c>
      <x:c r="Z570" s="215" t="str">
        <x:v>Source-backed draft</x:v>
      </x:c>
      <x:c r="AA570" s="215" t="str">
        <x:v>Family pattern</x:v>
      </x:c>
      <x:c r="AB570" s="215" t="str">
        <x:v>Positive diagnostic</x:v>
      </x:c>
      <x:c r="AC570" s="215" t="str">
        <x:v>High</x:v>
      </x:c>
      <x:c r="AD570" s="215" t="str">
        <x:v>Hand lens / macro</x:v>
      </x:c>
      <x:c r="AE570" s="215" t="str">
        <x:v>Low</x:v>
      </x:c>
      <x:c r="AF570" s="215" t="str">
        <x:v>Field-ready draft</x:v>
      </x:c>
      <x:c r="AG570" s="215" t="str">
        <x:v>4 — Context / caution</x:v>
      </x:c>
      <x:c r="AH570" s="215" t="str">
        <x:v>Reference expansion</x:v>
      </x:c>
    </x:row>
    <x:row r="571" ht="42" customHeight="1">
      <x:c r="A571" s="215" t="str">
        <x:v>Celastraceae</x:v>
      </x:c>
      <x:c r="B571" s="215" t="str">
        <x:v>CEL-LEAVES</x:v>
      </x:c>
      <x:c r="C571" s="215" t="str">
        <x:v>Family character</x:v>
      </x:c>
      <x:c r="D571" s="215" t="str">
        <x:v>Leaves / stipules</x:v>
      </x:c>
      <x:c r="E571" s="215" t="str">
        <x:v>Leaves simple, alternate, opposite, whorled, or fascicled; stipules present or absent</x:v>
      </x:c>
      <x:c r="F571" s="215" t="str">
        <x:v>Caution</x:v>
      </x:c>
      <x:c r="G571" s="215" t="str">
        <x:v>1</x:v>
      </x:c>
      <x:c r="H571" s="215" t="str">
        <x:v>High</x:v>
      </x:c>
      <x:c r="I571" s="215" t="str">
        <x:v>Naked eye or hand lens</x:v>
      </x:c>
      <x:c r="J571" s="215" t="str">
        <x:v>Leafy shoots</x:v>
      </x:c>
      <x:c r="K571" s="215" t="str">
        <x:v>Leaf construction is simple but arrangement is highly variable.</x:v>
      </x:c>
      <x:c r="L571" s="215" t="str">
        <x:v>This is explicitly not a universal arrangement character.</x:v>
      </x:c>
      <x:c r="M571" s="215" t="str">
        <x:v>Use foliage only to support reproductive evidence.</x:v>
      </x:c>
      <x:c r="N571" s="215" t="str">
        <x:v>Staff-tree relatives are locally less obvious than grapes or walnuts, so reproductive characters and authoritative county records are especially important.</x:v>
      </x:c>
      <x:c r="O571" s="215" t="str">
        <x:v>Low</x:v>
      </x:c>
      <x:c r="P571" s="215" t="str">
        <x:v>No</x:v>
      </x:c>
      <x:c r="Q571" s="215" t="str"/>
      <x:c r="R571" s="215" t="str"/>
      <x:c r="S571" s="215" t="str">
        <x:v>APWEB-CELA; FNA-CELA; POWO-CELA; LBJ-HAYS</x:v>
      </x:c>
      <x:c r="T571" s="215" t="str">
        <x:v>https://www.mobot.org/MOBOT/research/APweb/orders/celastralesweb.htm</x:v>
      </x:c>
      <x:c r="U571" s="215" t="str">
        <x:v>https://floranorthamerica.org/Celastraceae</x:v>
      </x:c>
      <x:c r="V571" s="215" t="str">
        <x:v>https://powo.science.kew.org/taxon/urn:lsid:ipni.org:names:30000478-2/general-information</x:v>
      </x:c>
      <x:c r="W571" s="215" t="str">
        <x:v>https://www.mobot.org/MOBOT/research/APweb/orders/celastralesweb.htm
https://floranorthamerica.org/Celastraceae
https://powo.science.kew.org/taxon/urn:lsid:ipni.org:names:30000478-2/general-information
https://www.wildflower.org/collections/collection.php?collection=hays</x:v>
      </x:c>
      <x:c r="X571" s="215" t="str">
        <x:v>No — retain qualifiers and exceptions</x:v>
      </x:c>
      <x:c r="Y571" s="215" t="str">
        <x:v>Yes</x:v>
      </x:c>
      <x:c r="Z571" s="215" t="str">
        <x:v>Source-backed draft</x:v>
      </x:c>
      <x:c r="AA571" s="215" t="str">
        <x:v>Family pattern</x:v>
      </x:c>
      <x:c r="AB571" s="215" t="str">
        <x:v>Caution / negative rule</x:v>
      </x:c>
      <x:c r="AC571" s="215" t="str">
        <x:v>High</x:v>
      </x:c>
      <x:c r="AD571" s="215" t="str">
        <x:v>Hand lens / macro</x:v>
      </x:c>
      <x:c r="AE571" s="215" t="str">
        <x:v>Low</x:v>
      </x:c>
      <x:c r="AF571" s="215" t="str">
        <x:v>Field-ready draft</x:v>
      </x:c>
      <x:c r="AG571" s="215" t="str">
        <x:v>4 — Context / caution</x:v>
      </x:c>
      <x:c r="AH571" s="215" t="str">
        <x:v>Reference expansion</x:v>
      </x:c>
    </x:row>
    <x:row r="572" ht="42" customHeight="1">
      <x:c r="A572" s="215" t="str">
        <x:v>Celastraceae</x:v>
      </x:c>
      <x:c r="B572" s="215" t="str">
        <x:v>CEL-FLOWER</x:v>
      </x:c>
      <x:c r="C572" s="215" t="str">
        <x:v>Family character</x:v>
      </x:c>
      <x:c r="D572" s="215" t="str">
        <x:v>Flowers</x:v>
      </x:c>
      <x:c r="E572" s="215" t="str">
        <x:v>Flowers small, usually radial and 4- or 5-merous, bisexual or unisexual</x:v>
      </x:c>
      <x:c r="F572" s="215" t="str">
        <x:v>Strong</x:v>
      </x:c>
      <x:c r="G572" s="215" t="str">
        <x:v>3</x:v>
      </x:c>
      <x:c r="H572" s="215" t="str">
        <x:v>High</x:v>
      </x:c>
      <x:c r="I572" s="215" t="str">
        <x:v>Naked eye or hand lens</x:v>
      </x:c>
      <x:c r="J572" s="215" t="str">
        <x:v>Fresh flowers</x:v>
      </x:c>
      <x:c r="K572" s="215" t="str">
        <x:v>Small greenish or pale flowers commonly have four or five parts.</x:v>
      </x:c>
      <x:c r="L572" s="215" t="str">
        <x:v>Part number, sexuality, and symmetry vary in the broad family.</x:v>
      </x:c>
      <x:c r="M572" s="215" t="str">
        <x:v>Combine with the nectar disc and fruit.</x:v>
      </x:c>
      <x:c r="N572" s="215" t="str">
        <x:v>Staff-tree relatives are locally less obvious than grapes or walnuts, so reproductive characters and authoritative county records are especially important.</x:v>
      </x:c>
      <x:c r="O572" s="215" t="str">
        <x:v>Low</x:v>
      </x:c>
      <x:c r="P572" s="215" t="str">
        <x:v>No</x:v>
      </x:c>
      <x:c r="Q572" s="215" t="str"/>
      <x:c r="R572" s="215" t="str"/>
      <x:c r="S572" s="215" t="str">
        <x:v>APWEB-CELA; FNA-CELA; POWO-CELA; LBJ-HAYS</x:v>
      </x:c>
      <x:c r="T572" s="215" t="str">
        <x:v>https://www.mobot.org/MOBOT/research/APweb/orders/celastralesweb.htm</x:v>
      </x:c>
      <x:c r="U572" s="215" t="str">
        <x:v>https://floranorthamerica.org/Celastraceae</x:v>
      </x:c>
      <x:c r="V572" s="215" t="str">
        <x:v>https://powo.science.kew.org/taxon/urn:lsid:ipni.org:names:30000478-2/general-information</x:v>
      </x:c>
      <x:c r="W572" s="215" t="str">
        <x:v>https://www.mobot.org/MOBOT/research/APweb/orders/celastralesweb.htm
https://floranorthamerica.org/Celastraceae
https://powo.science.kew.org/taxon/urn:lsid:ipni.org:names:30000478-2/general-information
https://www.wildflower.org/collections/collection.php?collection=hays</x:v>
      </x:c>
      <x:c r="X572" s="215" t="str">
        <x:v>No — retain qualifiers and exceptions</x:v>
      </x:c>
      <x:c r="Y572" s="215" t="str">
        <x:v>Yes</x:v>
      </x:c>
      <x:c r="Z572" s="215" t="str">
        <x:v>Source-backed draft</x:v>
      </x:c>
      <x:c r="AA572" s="215" t="str">
        <x:v>Family pattern</x:v>
      </x:c>
      <x:c r="AB572" s="215" t="str">
        <x:v>Positive diagnostic</x:v>
      </x:c>
      <x:c r="AC572" s="215" t="str">
        <x:v>High</x:v>
      </x:c>
      <x:c r="AD572" s="215" t="str">
        <x:v>Hand lens / macro</x:v>
      </x:c>
      <x:c r="AE572" s="215" t="str">
        <x:v>Low</x:v>
      </x:c>
      <x:c r="AF572" s="215" t="str">
        <x:v>Field-ready draft</x:v>
      </x:c>
      <x:c r="AG572" s="215" t="str">
        <x:v>3 — Reference support</x:v>
      </x:c>
      <x:c r="AH572" s="215" t="str">
        <x:v>Reference expansion</x:v>
      </x:c>
    </x:row>
    <x:row r="573" ht="42" customHeight="1">
      <x:c r="A573" s="215" t="str">
        <x:v>Celastraceae</x:v>
      </x:c>
      <x:c r="B573" s="215" t="str">
        <x:v>CEL-DISC</x:v>
      </x:c>
      <x:c r="C573" s="215" t="str">
        <x:v>Family character</x:v>
      </x:c>
      <x:c r="D573" s="215" t="str">
        <x:v>Flowers / nectar disc</x:v>
      </x:c>
      <x:c r="E573" s="215" t="str">
        <x:v>Nectary disc commonly present and associated closely with the stamens and ovary</x:v>
      </x:c>
      <x:c r="F573" s="215" t="str">
        <x:v>Strong</x:v>
      </x:c>
      <x:c r="G573" s="215" t="str">
        <x:v>4</x:v>
      </x:c>
      <x:c r="H573" s="215" t="str">
        <x:v>High</x:v>
      </x:c>
      <x:c r="I573" s="215" t="str">
        <x:v>Hand lens</x:v>
      </x:c>
      <x:c r="J573" s="215" t="str">
        <x:v>Fresh flowers</x:v>
      </x:c>
      <x:c r="K573" s="215" t="str">
        <x:v>A fleshy floral disc is a frequent high-value clue.</x:v>
      </x:c>
      <x:c r="L573" s="215" t="str">
        <x:v>The disc can be reduced or absent in some lineages.</x:v>
      </x:c>
      <x:c r="M573" s="215" t="str">
        <x:v>Use only where clearly visible and retain broad-family exceptions.</x:v>
      </x:c>
      <x:c r="N573" s="215" t="str">
        <x:v>Staff-tree relatives are locally less obvious than grapes or walnuts, so reproductive characters and authoritative county records are especially important.</x:v>
      </x:c>
      <x:c r="O573" s="215" t="str">
        <x:v>Low</x:v>
      </x:c>
      <x:c r="P573" s="215" t="str">
        <x:v>No</x:v>
      </x:c>
      <x:c r="Q573" s="215" t="str"/>
      <x:c r="R573" s="215" t="str">
        <x:v>CEL-LK01; CEL-LK02</x:v>
      </x:c>
      <x:c r="S573" s="215" t="str">
        <x:v>APWEB-CELA; FNA-CELA; POWO-CELA; LBJ-HAYS</x:v>
      </x:c>
      <x:c r="T573" s="215" t="str">
        <x:v>https://www.mobot.org/MOBOT/research/APweb/orders/celastralesweb.htm</x:v>
      </x:c>
      <x:c r="U573" s="215" t="str">
        <x:v>https://floranorthamerica.org/Celastraceae</x:v>
      </x:c>
      <x:c r="V573" s="215" t="str">
        <x:v>https://powo.science.kew.org/taxon/urn:lsid:ipni.org:names:30000478-2/general-information</x:v>
      </x:c>
      <x:c r="W573" s="215" t="str">
        <x:v>https://www.mobot.org/MOBOT/research/APweb/orders/celastralesweb.htm
https://floranorthamerica.org/Celastraceae
https://powo.science.kew.org/taxon/urn:lsid:ipni.org:names:30000478-2/general-information
https://www.wildflower.org/collections/collection.php?collection=hays</x:v>
      </x:c>
      <x:c r="X573" s="215" t="str">
        <x:v>No — retain qualifiers and exceptions</x:v>
      </x:c>
      <x:c r="Y573" s="215" t="str">
        <x:v>Yes</x:v>
      </x:c>
      <x:c r="Z573" s="215" t="str">
        <x:v>Source-backed draft</x:v>
      </x:c>
      <x:c r="AA573" s="215" t="str">
        <x:v>Family pattern</x:v>
      </x:c>
      <x:c r="AB573" s="215" t="str">
        <x:v>Positive diagnostic</x:v>
      </x:c>
      <x:c r="AC573" s="215" t="str">
        <x:v>High</x:v>
      </x:c>
      <x:c r="AD573" s="215" t="str">
        <x:v>Hand lens / macro</x:v>
      </x:c>
      <x:c r="AE573" s="215" t="str">
        <x:v>Low</x:v>
      </x:c>
      <x:c r="AF573" s="215" t="str">
        <x:v>Field-ready draft</x:v>
      </x:c>
      <x:c r="AG573" s="215" t="str">
        <x:v>2 — Field-photo priority</x:v>
      </x:c>
      <x:c r="AH573" s="215" t="str">
        <x:v>Reference expansion</x:v>
      </x:c>
    </x:row>
    <x:row r="574" ht="42" customHeight="1">
      <x:c r="A574" s="215" t="str">
        <x:v>Celastraceae</x:v>
      </x:c>
      <x:c r="B574" s="215" t="str">
        <x:v>CEL-STAMENS</x:v>
      </x:c>
      <x:c r="C574" s="215" t="str">
        <x:v>Regional/practical family character</x:v>
      </x:c>
      <x:c r="D574" s="215" t="str">
        <x:v>Stamens</x:v>
      </x:c>
      <x:c r="E574" s="215" t="str">
        <x:v>Stamens commonly 4–5, free or attached to the disc; in many woody taxa they alternate with petals</x:v>
      </x:c>
      <x:c r="F574" s="215" t="str">
        <x:v>Strong</x:v>
      </x:c>
      <x:c r="G574" s="215" t="str">
        <x:v>4</x:v>
      </x:c>
      <x:c r="H574" s="215" t="str">
        <x:v>High</x:v>
      </x:c>
      <x:c r="I574" s="215" t="str">
        <x:v>Hand lens</x:v>
      </x:c>
      <x:c r="J574" s="215" t="str">
        <x:v>Fresh flowers</x:v>
      </x:c>
      <x:c r="K574" s="215" t="str">
        <x:v>Stamen position on or around the disc helps separate similar small flowers.</x:v>
      </x:c>
      <x:c r="L574" s="215" t="str">
        <x:v>The broad family includes different stamen positions and numbers.</x:v>
      </x:c>
      <x:c r="M574" s="215" t="str">
        <x:v>Apply the alternate-petal contrast to relevant woody local taxa, not universally.</x:v>
      </x:c>
      <x:c r="N574" s="215" t="str">
        <x:v>Staff-tree relatives are locally less obvious than grapes or walnuts, so reproductive characters and authoritative county records are especially important.</x:v>
      </x:c>
      <x:c r="O574" s="215" t="str">
        <x:v>Low</x:v>
      </x:c>
      <x:c r="P574" s="215" t="str">
        <x:v>No</x:v>
      </x:c>
      <x:c r="Q574" s="215" t="str"/>
      <x:c r="R574" s="215" t="str">
        <x:v>CEL-LK01</x:v>
      </x:c>
      <x:c r="S574" s="215" t="str">
        <x:v>APWEB-CELA; FNA-CELA; POWO-CELA; LBJ-HAYS</x:v>
      </x:c>
      <x:c r="T574" s="215" t="str">
        <x:v>https://www.mobot.org/MOBOT/research/APweb/orders/celastralesweb.htm</x:v>
      </x:c>
      <x:c r="U574" s="215" t="str">
        <x:v>https://floranorthamerica.org/Celastraceae</x:v>
      </x:c>
      <x:c r="V574" s="215" t="str">
        <x:v>https://powo.science.kew.org/taxon/urn:lsid:ipni.org:names:30000478-2/general-information</x:v>
      </x:c>
      <x:c r="W574" s="215" t="str">
        <x:v>https://www.mobot.org/MOBOT/research/APweb/orders/celastralesweb.htm
https://floranorthamerica.org/Celastraceae
https://powo.science.kew.org/taxon/urn:lsid:ipni.org:names:30000478-2/general-information
https://www.wildflower.org/collections/collection.php?collection=hays</x:v>
      </x:c>
      <x:c r="X574" s="215" t="str">
        <x:v>No — retain qualifiers and exceptions</x:v>
      </x:c>
      <x:c r="Y574" s="215" t="str">
        <x:v>Yes</x:v>
      </x:c>
      <x:c r="Z574" s="215" t="str">
        <x:v>Source-backed draft</x:v>
      </x:c>
      <x:c r="AA574" s="215" t="str">
        <x:v>Family pattern</x:v>
      </x:c>
      <x:c r="AB574" s="215" t="str">
        <x:v>Positive diagnostic</x:v>
      </x:c>
      <x:c r="AC574" s="215" t="str">
        <x:v>High</x:v>
      </x:c>
      <x:c r="AD574" s="215" t="str">
        <x:v>Hand lens / macro</x:v>
      </x:c>
      <x:c r="AE574" s="215" t="str">
        <x:v>Low</x:v>
      </x:c>
      <x:c r="AF574" s="215" t="str">
        <x:v>Field-ready draft</x:v>
      </x:c>
      <x:c r="AG574" s="215" t="str">
        <x:v>2 — Field-photo priority</x:v>
      </x:c>
      <x:c r="AH574" s="215" t="str">
        <x:v>Reference expansion</x:v>
      </x:c>
    </x:row>
    <x:row r="575" ht="42" customHeight="1">
      <x:c r="A575" s="215" t="str">
        <x:v>Celastraceae</x:v>
      </x:c>
      <x:c r="B575" s="215" t="str">
        <x:v>CEL-OVARY</x:v>
      </x:c>
      <x:c r="C575" s="215" t="str">
        <x:v>Family character</x:v>
      </x:c>
      <x:c r="D575" s="215" t="str">
        <x:v>Gynoecium</x:v>
      </x:c>
      <x:c r="E575" s="215" t="str">
        <x:v>Ovary superior to partly inferior, commonly 2–5-locular and often embedded in the disc</x:v>
      </x:c>
      <x:c r="F575" s="215" t="str">
        <x:v>Caution</x:v>
      </x:c>
      <x:c r="G575" s="215" t="str">
        <x:v>2</x:v>
      </x:c>
      <x:c r="H575" s="215" t="str">
        <x:v>High</x:v>
      </x:c>
      <x:c r="I575" s="215" t="str">
        <x:v>Hand lens or dissection</x:v>
      </x:c>
      <x:c r="J575" s="215" t="str">
        <x:v>Fresh flowers</x:v>
      </x:c>
      <x:c r="K575" s="215" t="str">
        <x:v>The ovary-disc relationship is useful but not fixed across all lineages.</x:v>
      </x:c>
      <x:c r="L575" s="215" t="str">
        <x:v>Broad Celastraceae contains major variation in ovary position and ovule number.</x:v>
      </x:c>
      <x:c r="M575" s="215" t="str">
        <x:v>Describe the observed genus rather than forcing one universal state.</x:v>
      </x:c>
      <x:c r="N575" s="215" t="str">
        <x:v>Staff-tree relatives are locally less obvious than grapes or walnuts, so reproductive characters and authoritative county records are especially important.</x:v>
      </x:c>
      <x:c r="O575" s="215" t="str">
        <x:v>Medium</x:v>
      </x:c>
      <x:c r="P575" s="215" t="str">
        <x:v>No</x:v>
      </x:c>
      <x:c r="Q575" s="215" t="str"/>
      <x:c r="R575" s="215" t="str"/>
      <x:c r="S575" s="215" t="str">
        <x:v>APWEB-CELA; FNA-CELA; POWO-CELA; LBJ-HAYS</x:v>
      </x:c>
      <x:c r="T575" s="215" t="str">
        <x:v>https://www.mobot.org/MOBOT/research/APweb/orders/celastralesweb.htm</x:v>
      </x:c>
      <x:c r="U575" s="215" t="str">
        <x:v>https://floranorthamerica.org/Celastraceae</x:v>
      </x:c>
      <x:c r="V575" s="215" t="str">
        <x:v>https://powo.science.kew.org/taxon/urn:lsid:ipni.org:names:30000478-2/general-information</x:v>
      </x:c>
      <x:c r="W575" s="215" t="str">
        <x:v>https://www.mobot.org/MOBOT/research/APweb/orders/celastralesweb.htm
https://floranorthamerica.org/Celastraceae
https://powo.science.kew.org/taxon/urn:lsid:ipni.org:names:30000478-2/general-information
https://www.wildflower.org/collections/collection.php?collection=hays</x:v>
      </x:c>
      <x:c r="X575" s="215" t="str">
        <x:v>No — retain qualifiers and exceptions</x:v>
      </x:c>
      <x:c r="Y575" s="215" t="str">
        <x:v>Yes</x:v>
      </x:c>
      <x:c r="Z575" s="215" t="str">
        <x:v>Source-backed draft</x:v>
      </x:c>
      <x:c r="AA575" s="215" t="str">
        <x:v>Family pattern</x:v>
      </x:c>
      <x:c r="AB575" s="215" t="str">
        <x:v>Caution / negative rule</x:v>
      </x:c>
      <x:c r="AC575" s="215" t="str">
        <x:v>High</x:v>
      </x:c>
      <x:c r="AD575" s="215" t="str">
        <x:v>Dissection</x:v>
      </x:c>
      <x:c r="AE575" s="215" t="str">
        <x:v>Moderate</x:v>
      </x:c>
      <x:c r="AF575" s="215" t="str">
        <x:v>Dissection / close study</x:v>
      </x:c>
      <x:c r="AG575" s="215" t="str">
        <x:v>4 — Context / caution</x:v>
      </x:c>
      <x:c r="AH575" s="215" t="str">
        <x:v>Reference expansion</x:v>
      </x:c>
    </x:row>
    <x:row r="576" ht="42" customHeight="1">
      <x:c r="A576" s="215" t="str">
        <x:v>Celastraceae</x:v>
      </x:c>
      <x:c r="B576" s="215" t="str">
        <x:v>CEL-FRUIT</x:v>
      </x:c>
      <x:c r="C576" s="215" t="str">
        <x:v>Family character</x:v>
      </x:c>
      <x:c r="D576" s="215" t="str">
        <x:v>Fruit</x:v>
      </x:c>
      <x:c r="E576" s="215" t="str">
        <x:v>Fruit a capsule, drupe, nutlike body, berry, or samara depending on lineage</x:v>
      </x:c>
      <x:c r="F576" s="215" t="str">
        <x:v>Strong</x:v>
      </x:c>
      <x:c r="G576" s="215" t="str">
        <x:v>3</x:v>
      </x:c>
      <x:c r="H576" s="215" t="str">
        <x:v>High</x:v>
      </x:c>
      <x:c r="I576" s="215" t="str">
        <x:v>Naked eye or hand lens</x:v>
      </x:c>
      <x:c r="J576" s="215" t="str">
        <x:v>Mature fruit</x:v>
      </x:c>
      <x:c r="K576" s="215" t="str">
        <x:v>Fruit type is diverse, but capsules exposing arillate seeds are conspicuous in several woody genera.</x:v>
      </x:c>
      <x:c r="L576" s="215" t="str">
        <x:v>No single fruit type identifies the family.</x:v>
      </x:c>
      <x:c r="M576" s="215" t="str">
        <x:v>Use fruit architecture to reach genus after disc characters establish the family.</x:v>
      </x:c>
      <x:c r="N576" s="215" t="str">
        <x:v>Staff-tree relatives are locally less obvious than grapes or walnuts, so reproductive characters and authoritative county records are especially important.</x:v>
      </x:c>
      <x:c r="O576" s="215" t="str">
        <x:v>Low</x:v>
      </x:c>
      <x:c r="P576" s="215" t="str">
        <x:v>No</x:v>
      </x:c>
      <x:c r="Q576" s="215" t="str"/>
      <x:c r="R576" s="215" t="str"/>
      <x:c r="S576" s="215" t="str">
        <x:v>APWEB-CELA; FNA-CELA; POWO-CELA; LBJ-HAYS</x:v>
      </x:c>
      <x:c r="T576" s="215" t="str">
        <x:v>https://www.mobot.org/MOBOT/research/APweb/orders/celastralesweb.htm</x:v>
      </x:c>
      <x:c r="U576" s="215" t="str">
        <x:v>https://floranorthamerica.org/Celastraceae</x:v>
      </x:c>
      <x:c r="V576" s="215" t="str">
        <x:v>https://powo.science.kew.org/taxon/urn:lsid:ipni.org:names:30000478-2/general-information</x:v>
      </x:c>
      <x:c r="W576" s="215" t="str">
        <x:v>https://www.mobot.org/MOBOT/research/APweb/orders/celastralesweb.htm
https://floranorthamerica.org/Celastraceae
https://powo.science.kew.org/taxon/urn:lsid:ipni.org:names:30000478-2/general-information
https://www.wildflower.org/collections/collection.php?collection=hays</x:v>
      </x:c>
      <x:c r="X576" s="215" t="str">
        <x:v>No — retain qualifiers and exceptions</x:v>
      </x:c>
      <x:c r="Y576" s="215" t="str">
        <x:v>Yes</x:v>
      </x:c>
      <x:c r="Z576" s="215" t="str">
        <x:v>Source-backed draft</x:v>
      </x:c>
      <x:c r="AA576" s="215" t="str">
        <x:v>Family pattern</x:v>
      </x:c>
      <x:c r="AB576" s="215" t="str">
        <x:v>Positive diagnostic</x:v>
      </x:c>
      <x:c r="AC576" s="215" t="str">
        <x:v>High</x:v>
      </x:c>
      <x:c r="AD576" s="215" t="str">
        <x:v>Hand lens / macro</x:v>
      </x:c>
      <x:c r="AE576" s="215" t="str">
        <x:v>Low</x:v>
      </x:c>
      <x:c r="AF576" s="215" t="str">
        <x:v>Field-ready draft</x:v>
      </x:c>
      <x:c r="AG576" s="215" t="str">
        <x:v>3 — Reference support</x:v>
      </x:c>
      <x:c r="AH576" s="215" t="str">
        <x:v>Reference expansion</x:v>
      </x:c>
    </x:row>
    <x:row r="577" ht="42" customHeight="1">
      <x:c r="A577" s="215" t="str">
        <x:v>Celastraceae</x:v>
      </x:c>
      <x:c r="B577" s="215" t="str">
        <x:v>CEL-ARIL</x:v>
      </x:c>
      <x:c r="C577" s="215" t="str">
        <x:v>Family character</x:v>
      </x:c>
      <x:c r="D577" s="215" t="str">
        <x:v>Seeds</x:v>
      </x:c>
      <x:c r="E577" s="215" t="str">
        <x:v>Seeds often winged or covered by a brightly colored fleshy aril</x:v>
      </x:c>
      <x:c r="F577" s="215" t="str">
        <x:v>Strong</x:v>
      </x:c>
      <x:c r="G577" s="215" t="str">
        <x:v>4</x:v>
      </x:c>
      <x:c r="H577" s="215" t="str">
        <x:v>High</x:v>
      </x:c>
      <x:c r="I577" s="215" t="str">
        <x:v>Naked eye or hand lens</x:v>
      </x:c>
      <x:c r="J577" s="215" t="str">
        <x:v>Mature open fruit</x:v>
      </x:c>
      <x:c r="K577" s="215" t="str">
        <x:v>Orange, red, or yellow arils exposed by a splitting capsule are a strong field clue.</x:v>
      </x:c>
      <x:c r="L577" s="215" t="str">
        <x:v>Arils are absent in some genera, and seed number varies greatly.</x:v>
      </x:c>
      <x:c r="M577" s="215" t="str">
        <x:v>Use arils as high-value positive evidence but allow absence.</x:v>
      </x:c>
      <x:c r="N577" s="215" t="str">
        <x:v>Staff-tree relatives are locally less obvious than grapes or walnuts, so reproductive characters and authoritative county records are especially important.</x:v>
      </x:c>
      <x:c r="O577" s="215" t="str">
        <x:v>Low</x:v>
      </x:c>
      <x:c r="P577" s="215" t="str">
        <x:v>No</x:v>
      </x:c>
      <x:c r="Q577" s="215" t="str"/>
      <x:c r="R577" s="215" t="str">
        <x:v>CEL-LK02</x:v>
      </x:c>
      <x:c r="S577" s="215" t="str">
        <x:v>APWEB-CELA; FNA-CELA; POWO-CELA; LBJ-HAYS</x:v>
      </x:c>
      <x:c r="T577" s="215" t="str">
        <x:v>https://www.mobot.org/MOBOT/research/APweb/orders/celastralesweb.htm</x:v>
      </x:c>
      <x:c r="U577" s="215" t="str">
        <x:v>https://floranorthamerica.org/Celastraceae</x:v>
      </x:c>
      <x:c r="V577" s="215" t="str">
        <x:v>https://powo.science.kew.org/taxon/urn:lsid:ipni.org:names:30000478-2/general-information</x:v>
      </x:c>
      <x:c r="W577" s="215" t="str">
        <x:v>https://www.mobot.org/MOBOT/research/APweb/orders/celastralesweb.htm
https://floranorthamerica.org/Celastraceae
https://powo.science.kew.org/taxon/urn:lsid:ipni.org:names:30000478-2/general-information
https://www.wildflower.org/collections/collection.php?collection=hays</x:v>
      </x:c>
      <x:c r="X577" s="215" t="str">
        <x:v>No — retain qualifiers and exceptions</x:v>
      </x:c>
      <x:c r="Y577" s="215" t="str">
        <x:v>Yes</x:v>
      </x:c>
      <x:c r="Z577" s="215" t="str">
        <x:v>Source-backed draft</x:v>
      </x:c>
      <x:c r="AA577" s="215" t="str">
        <x:v>Family pattern</x:v>
      </x:c>
      <x:c r="AB577" s="215" t="str">
        <x:v>Positive diagnostic</x:v>
      </x:c>
      <x:c r="AC577" s="215" t="str">
        <x:v>High</x:v>
      </x:c>
      <x:c r="AD577" s="215" t="str">
        <x:v>Hand lens / macro</x:v>
      </x:c>
      <x:c r="AE577" s="215" t="str">
        <x:v>Low</x:v>
      </x:c>
      <x:c r="AF577" s="215" t="str">
        <x:v>Field-ready draft</x:v>
      </x:c>
      <x:c r="AG577" s="215" t="str">
        <x:v>2 — Field-photo priority</x:v>
      </x:c>
      <x:c r="AH577" s="215" t="str">
        <x:v>Reference expansion</x:v>
      </x:c>
    </x:row>
    <x:row r="578" ht="42" customHeight="1">
      <x:c r="A578" s="215" t="str">
        <x:v>Celastraceae</x:v>
      </x:c>
      <x:c r="B578" s="215" t="str">
        <x:v>CEL-SEX</x:v>
      </x:c>
      <x:c r="C578" s="215" t="str">
        <x:v>Family character</x:v>
      </x:c>
      <x:c r="D578" s="215" t="str">
        <x:v>Flowers / reproductive system</x:v>
      </x:c>
      <x:c r="E578" s="215" t="str">
        <x:v>Flowers may be bisexual, unisexual, or mixed among plants</x:v>
      </x:c>
      <x:c r="F578" s="215" t="str">
        <x:v>Supporting</x:v>
      </x:c>
      <x:c r="G578" s="215" t="str">
        <x:v>1</x:v>
      </x:c>
      <x:c r="H578" s="215" t="str">
        <x:v>High</x:v>
      </x:c>
      <x:c r="I578" s="215" t="str">
        <x:v>Naked eye or hand lens</x:v>
      </x:c>
      <x:c r="J578" s="215" t="str">
        <x:v>Several flowering plants</x:v>
      </x:c>
      <x:c r="K578" s="215" t="str">
        <x:v>Sex expression varies even among woody members.</x:v>
      </x:c>
      <x:c r="L578" s="215" t="str">
        <x:v>A single plant may not display all flower types.</x:v>
      </x:c>
      <x:c r="M578" s="215" t="str">
        <x:v>Record observed sex rather than assuming a universal family state.</x:v>
      </x:c>
      <x:c r="N578" s="215" t="str">
        <x:v>Staff-tree relatives are locally less obvious than grapes or walnuts, so reproductive characters and authoritative county records are especially important.</x:v>
      </x:c>
      <x:c r="O578" s="215" t="str">
        <x:v>Low</x:v>
      </x:c>
      <x:c r="P578" s="215" t="str">
        <x:v>No</x:v>
      </x:c>
      <x:c r="Q578" s="215" t="str"/>
      <x:c r="R578" s="215" t="str"/>
      <x:c r="S578" s="215" t="str">
        <x:v>APWEB-CELA; FNA-CELA; POWO-CELA; LBJ-HAYS</x:v>
      </x:c>
      <x:c r="T578" s="215" t="str">
        <x:v>https://www.mobot.org/MOBOT/research/APweb/orders/celastralesweb.htm</x:v>
      </x:c>
      <x:c r="U578" s="215" t="str">
        <x:v>https://floranorthamerica.org/Celastraceae</x:v>
      </x:c>
      <x:c r="V578" s="215" t="str">
        <x:v>https://powo.science.kew.org/taxon/urn:lsid:ipni.org:names:30000478-2/general-information</x:v>
      </x:c>
      <x:c r="W578" s="215" t="str">
        <x:v>https://www.mobot.org/MOBOT/research/APweb/orders/celastralesweb.htm
https://floranorthamerica.org/Celastraceae
https://powo.science.kew.org/taxon/urn:lsid:ipni.org:names:30000478-2/general-information
https://www.wildflower.org/collections/collection.php?collection=hays</x:v>
      </x:c>
      <x:c r="X578" s="215" t="str">
        <x:v>No — retain qualifiers and exceptions</x:v>
      </x:c>
      <x:c r="Y578" s="215" t="str">
        <x:v>Yes</x:v>
      </x:c>
      <x:c r="Z578" s="215" t="str">
        <x:v>Source-backed draft</x:v>
      </x:c>
      <x:c r="AA578" s="215" t="str">
        <x:v>Family pattern</x:v>
      </x:c>
      <x:c r="AB578" s="215" t="str">
        <x:v>Supporting / route</x:v>
      </x:c>
      <x:c r="AC578" s="215" t="str">
        <x:v>High</x:v>
      </x:c>
      <x:c r="AD578" s="215" t="str">
        <x:v>Hand lens / macro</x:v>
      </x:c>
      <x:c r="AE578" s="215" t="str">
        <x:v>Low</x:v>
      </x:c>
      <x:c r="AF578" s="215" t="str">
        <x:v>Field-ready draft</x:v>
      </x:c>
      <x:c r="AG578" s="215" t="str">
        <x:v>4 — Context / caution</x:v>
      </x:c>
      <x:c r="AH578" s="215" t="str">
        <x:v>Reference expansion</x:v>
      </x:c>
    </x:row>
    <x:row r="579" ht="42" customHeight="1">
      <x:c r="A579" s="215" t="str">
        <x:v>Celastraceae</x:v>
      </x:c>
      <x:c r="B579" s="215" t="str">
        <x:v>CEL-LK01</x:v>
      </x:c>
      <x:c r="C579" s="215" t="str">
        <x:v>Lookalike comparison</x:v>
      </x:c>
      <x:c r="D579" s="215" t="str">
        <x:v>Lookalike</x:v>
      </x:c>
      <x:c r="E579" s="215" t="str">
        <x:v>Versus Rhamnaceae: stamens commonly alternating with petals on a disc favor woody Celastraceae; stamens opposite petals favor Rhamnaceae</x:v>
      </x:c>
      <x:c r="F579" s="215" t="str">
        <x:v>Lookalike</x:v>
      </x:c>
      <x:c r="G579" s="215" t="str">
        <x:v>5</x:v>
      </x:c>
      <x:c r="H579" s="215" t="str">
        <x:v>High</x:v>
      </x:c>
      <x:c r="I579" s="215" t="str">
        <x:v>Naked eye or hand lens</x:v>
      </x:c>
      <x:c r="J579" s="215" t="str">
        <x:v>Fresh flowers</x:v>
      </x:c>
      <x:c r="K579" s="215" t="str">
        <x:v>Both may be small-flowered woody plants with a conspicuous disc.</x:v>
      </x:c>
      <x:c r="L579" s="215" t="str">
        <x:v>Broad Celastraceae includes exceptions, so apply this to the relevant local woody lineages.</x:v>
      </x:c>
      <x:c r="M579" s="215" t="str">
        <x:v>Use intact flowers under magnification and then confirm fruit.</x:v>
      </x:c>
      <x:c r="N579" s="215" t="str">
        <x:v>Staff-tree relatives are locally less obvious than grapes or walnuts, so reproductive characters and authoritative county records are especially important.</x:v>
      </x:c>
      <x:c r="O579" s="215" t="str">
        <x:v>Low</x:v>
      </x:c>
      <x:c r="P579" s="215" t="str">
        <x:v>No</x:v>
      </x:c>
      <x:c r="Q579" s="215" t="str"/>
      <x:c r="R579" s="215" t="str">
        <x:v>CEL-DISC; CEL-STAMENS</x:v>
      </x:c>
      <x:c r="S579" s="215" t="str">
        <x:v>APWEB-CELA; FNA-CELA; POWO-CELA; LBJ-HAYS</x:v>
      </x:c>
      <x:c r="T579" s="215" t="str">
        <x:v>https://www.mobot.org/MOBOT/research/APweb/orders/celastralesweb.htm</x:v>
      </x:c>
      <x:c r="U579" s="215" t="str">
        <x:v>https://floranorthamerica.org/Celastraceae</x:v>
      </x:c>
      <x:c r="V579" s="215" t="str">
        <x:v>https://powo.science.kew.org/taxon/urn:lsid:ipni.org:names:30000478-2/general-information</x:v>
      </x:c>
      <x:c r="W579" s="215" t="str">
        <x:v>https://www.mobot.org/MOBOT/research/APweb/orders/celastralesweb.htm
https://floranorthamerica.org/Celastraceae
https://powo.science.kew.org/taxon/urn:lsid:ipni.org:names:30000478-2/general-information
https://www.wildflower.org/collections/collection.php?collection=hays</x:v>
      </x:c>
      <x:c r="X579" s="215" t="str">
        <x:v>No — retain qualifiers and exceptions</x:v>
      </x:c>
      <x:c r="Y579" s="215" t="str">
        <x:v>Yes</x:v>
      </x:c>
      <x:c r="Z579" s="215" t="str">
        <x:v>Source-backed draft</x:v>
      </x:c>
      <x:c r="AA579" s="215" t="str">
        <x:v>Lookalike comparison</x:v>
      </x:c>
      <x:c r="AB579" s="215" t="str">
        <x:v>Contrast / lookalike</x:v>
      </x:c>
      <x:c r="AC579" s="215" t="str">
        <x:v>High</x:v>
      </x:c>
      <x:c r="AD579" s="215" t="str">
        <x:v>Hand lens / macro</x:v>
      </x:c>
      <x:c r="AE579" s="215" t="str">
        <x:v>Low</x:v>
      </x:c>
      <x:c r="AF579" s="215" t="str">
        <x:v>Field-ready draft</x:v>
      </x:c>
      <x:c r="AG579" s="215" t="str">
        <x:v>2 — Field-photo priority</x:v>
      </x:c>
      <x:c r="AH579" s="215" t="str">
        <x:v>Reference expansion</x:v>
      </x:c>
    </x:row>
    <x:row r="580" ht="42" customHeight="1">
      <x:c r="A580" s="215" t="str">
        <x:v>Celastraceae</x:v>
      </x:c>
      <x:c r="B580" s="215" t="str">
        <x:v>CEL-LK02</x:v>
      </x:c>
      <x:c r="C580" s="215" t="str">
        <x:v>Lookalike comparison</x:v>
      </x:c>
      <x:c r="D580" s="215" t="str">
        <x:v>Lookalike</x:v>
      </x:c>
      <x:c r="E580" s="215" t="str">
        <x:v>Versus Sapindaceae: simple leaves and capsules exposing arillate seeds favor many Celastraceae; compound leaves and samaras, capsules, or berries favor many local Sapindaceae</x:v>
      </x:c>
      <x:c r="F580" s="215" t="str">
        <x:v>Lookalike</x:v>
      </x:c>
      <x:c r="G580" s="215" t="str">
        <x:v>5</x:v>
      </x:c>
      <x:c r="H580" s="215" t="str">
        <x:v>High</x:v>
      </x:c>
      <x:c r="I580" s="215" t="str">
        <x:v>Naked eye or hand lens</x:v>
      </x:c>
      <x:c r="J580" s="215" t="str">
        <x:v>Leafy flowering or fruiting material</x:v>
      </x:c>
      <x:c r="K580" s="215" t="str">
        <x:v>Both can have floral discs and colorful or winged seeds.</x:v>
      </x:c>
      <x:c r="L580" s="215" t="str">
        <x:v>Both families are diverse and the simplified contrast is not universal.</x:v>
      </x:c>
      <x:c r="M580" s="215" t="str">
        <x:v>Treat leaf division, disc position, and fruit construction as a weighted suite.</x:v>
      </x:c>
      <x:c r="N580" s="215" t="str">
        <x:v>Staff-tree relatives are locally less obvious than grapes or walnuts, so reproductive characters and authoritative county records are especially important.</x:v>
      </x:c>
      <x:c r="O580" s="215" t="str">
        <x:v>Low</x:v>
      </x:c>
      <x:c r="P580" s="215" t="str">
        <x:v>No</x:v>
      </x:c>
      <x:c r="Q580" s="215" t="str"/>
      <x:c r="R580" s="215" t="str">
        <x:v>CEL-LEAVES; CEL-DISC; CEL-FRUIT; CEL-ARIL</x:v>
      </x:c>
      <x:c r="S580" s="215" t="str">
        <x:v>APWEB-CELA; FNA-CELA; POWO-CELA; LBJ-HAYS</x:v>
      </x:c>
      <x:c r="T580" s="215" t="str">
        <x:v>https://www.mobot.org/MOBOT/research/APweb/orders/celastralesweb.htm</x:v>
      </x:c>
      <x:c r="U580" s="215" t="str">
        <x:v>https://floranorthamerica.org/Celastraceae</x:v>
      </x:c>
      <x:c r="V580" s="215" t="str">
        <x:v>https://powo.science.kew.org/taxon/urn:lsid:ipni.org:names:30000478-2/general-information</x:v>
      </x:c>
      <x:c r="W580" s="215" t="str">
        <x:v>https://www.mobot.org/MOBOT/research/APweb/orders/celastralesweb.htm
https://floranorthamerica.org/Celastraceae
https://powo.science.kew.org/taxon/urn:lsid:ipni.org:names:30000478-2/general-information
https://www.wildflower.org/collections/collection.php?collection=hays</x:v>
      </x:c>
      <x:c r="X580" s="215" t="str">
        <x:v>No — retain qualifiers and exceptions</x:v>
      </x:c>
      <x:c r="Y580" s="215" t="str">
        <x:v>Yes</x:v>
      </x:c>
      <x:c r="Z580" s="215" t="str">
        <x:v>Source-backed draft</x:v>
      </x:c>
      <x:c r="AA580" s="215" t="str">
        <x:v>Lookalike comparison</x:v>
      </x:c>
      <x:c r="AB580" s="215" t="str">
        <x:v>Contrast / lookalike</x:v>
      </x:c>
      <x:c r="AC580" s="215" t="str">
        <x:v>High</x:v>
      </x:c>
      <x:c r="AD580" s="215" t="str">
        <x:v>Hand lens / macro</x:v>
      </x:c>
      <x:c r="AE580" s="215" t="str">
        <x:v>Low</x:v>
      </x:c>
      <x:c r="AF580" s="215" t="str">
        <x:v>Field-ready draft</x:v>
      </x:c>
      <x:c r="AG580" s="215" t="str">
        <x:v>2 — Field-photo priority</x:v>
      </x:c>
      <x:c r="AH580" s="215" t="str">
        <x:v>Reference expansion</x:v>
      </x:c>
    </x:row>
    <x:row r="581" ht="42" customHeight="1">
      <x:c r="A581" s="215" t="str">
        <x:v>Juglandaceae</x:v>
      </x:c>
      <x:c r="B581" s="215" t="str">
        <x:v>JUG-HABIT</x:v>
      </x:c>
      <x:c r="C581" s="215" t="str">
        <x:v>Family character</x:v>
      </x:c>
      <x:c r="D581" s="215" t="str">
        <x:v>Habit</x:v>
      </x:c>
      <x:c r="E581" s="215" t="str">
        <x:v>Deciduous trees, rarely shrubs</x:v>
      </x:c>
      <x:c r="F581" s="215" t="str">
        <x:v>Strong</x:v>
      </x:c>
      <x:c r="G581" s="215" t="str">
        <x:v>2</x:v>
      </x:c>
      <x:c r="H581" s="215" t="str">
        <x:v>High</x:v>
      </x:c>
      <x:c r="I581" s="215" t="str">
        <x:v>Naked eye or hand lens</x:v>
      </x:c>
      <x:c r="J581" s="215" t="str">
        <x:v>Any leafy material</x:v>
      </x:c>
      <x:c r="K581" s="215" t="str">
        <x:v>Walnut-family plants in Hays are substantial woody plants.</x:v>
      </x:c>
      <x:c r="L581" s="215" t="str">
        <x:v>Habit overlaps many riparian and woodland trees.</x:v>
      </x:c>
      <x:c r="M581" s="215" t="str">
        <x:v>Use with aromatic compound leaves and reproductive structures.</x:v>
      </x:c>
      <x:c r="N581" s="215" t="str">
        <x:v>Pecan, hickory, and walnut relatives are ecologically important Hays trees, especially along creeks, floodplains, and deeper soils.</x:v>
      </x:c>
      <x:c r="O581" s="215" t="str">
        <x:v>Low</x:v>
      </x:c>
      <x:c r="P581" s="215" t="str">
        <x:v>No</x:v>
      </x:c>
      <x:c r="Q581" s="215" t="str"/>
      <x:c r="R581" s="215" t="str"/>
      <x:c r="S581" s="215" t="str">
        <x:v>APWEB-JUGL; FNA-JUGL; POWO-JUGL; LBJ-HAYS</x:v>
      </x:c>
      <x:c r="T581" s="215" t="str">
        <x:v>https://www.mobot.org/MOBOT/research/APweb/orders/fagalesweb.htm</x:v>
      </x:c>
      <x:c r="U581" s="215" t="str">
        <x:v>https://floranorthamerica.org/Juglandaceae</x:v>
      </x:c>
      <x:c r="V581" s="215" t="str">
        <x:v>https://powo.science.kew.org/taxon/urn:lsid:ipni.org:names:77126720-1/general-information</x:v>
      </x:c>
      <x:c r="W581" s="215" t="str">
        <x:v>https://www.mobot.org/MOBOT/research/APweb/orders/fagalesweb.htm
https://floranorthamerica.org/Juglandaceae
https://powo.science.kew.org/taxon/urn:lsid:ipni.org:names:77126720-1/general-information
https://www.wildflower.org/collections/collection.php?collection=hays</x:v>
      </x:c>
      <x:c r="X581" s="215" t="str">
        <x:v>No — retain qualifiers and exceptions</x:v>
      </x:c>
      <x:c r="Y581" s="215" t="str">
        <x:v>Yes</x:v>
      </x:c>
      <x:c r="Z581" s="215" t="str">
        <x:v>Source-backed draft</x:v>
      </x:c>
      <x:c r="AA581" s="215" t="str">
        <x:v>Family pattern</x:v>
      </x:c>
      <x:c r="AB581" s="215" t="str">
        <x:v>Positive diagnostic</x:v>
      </x:c>
      <x:c r="AC581" s="215" t="str">
        <x:v>High</x:v>
      </x:c>
      <x:c r="AD581" s="215" t="str">
        <x:v>Hand lens / macro</x:v>
      </x:c>
      <x:c r="AE581" s="215" t="str">
        <x:v>Low</x:v>
      </x:c>
      <x:c r="AF581" s="215" t="str">
        <x:v>Field-ready draft</x:v>
      </x:c>
      <x:c r="AG581" s="215" t="str">
        <x:v>4 — Context / caution</x:v>
      </x:c>
      <x:c r="AH581" s="215" t="str">
        <x:v>Current master inventory</x:v>
      </x:c>
    </x:row>
    <x:row r="582" ht="42" customHeight="1">
      <x:c r="A582" s="215" t="str">
        <x:v>Juglandaceae</x:v>
      </x:c>
      <x:c r="B582" s="215" t="str">
        <x:v>JUG-BUDS</x:v>
      </x:c>
      <x:c r="C582" s="215" t="str">
        <x:v>Family character</x:v>
      </x:c>
      <x:c r="D582" s="215" t="str">
        <x:v>Stems / buds</x:v>
      </x:c>
      <x:c r="E582" s="215" t="str">
        <x:v>Terminal buds typically larger than lateral buds</x:v>
      </x:c>
      <x:c r="F582" s="215" t="str">
        <x:v>Supporting</x:v>
      </x:c>
      <x:c r="G582" s="215" t="str">
        <x:v>2</x:v>
      </x:c>
      <x:c r="H582" s="215" t="str">
        <x:v>High</x:v>
      </x:c>
      <x:c r="I582" s="215" t="str">
        <x:v>Naked eye or hand lens</x:v>
      </x:c>
      <x:c r="J582" s="215" t="str">
        <x:v>Dormant or intact terminal shoots</x:v>
      </x:c>
      <x:c r="K582" s="215" t="str">
        <x:v>A prominent terminal bud supports Juglandaceae on dormant or leafy twigs.</x:v>
      </x:c>
      <x:c r="L582" s="215" t="str">
        <x:v>Bud size varies by genus and season.</x:v>
      </x:c>
      <x:c r="M582" s="215" t="str">
        <x:v>Compare terminal and lateral buds on the same shoot.</x:v>
      </x:c>
      <x:c r="N582" s="215" t="str">
        <x:v>Pecan, hickory, and walnut relatives are ecologically important Hays trees, especially along creeks, floodplains, and deeper soils.</x:v>
      </x:c>
      <x:c r="O582" s="215" t="str">
        <x:v>Low</x:v>
      </x:c>
      <x:c r="P582" s="215" t="str">
        <x:v>No</x:v>
      </x:c>
      <x:c r="Q582" s="215" t="str"/>
      <x:c r="R582" s="215" t="str"/>
      <x:c r="S582" s="215" t="str">
        <x:v>APWEB-JUGL; FNA-JUGL; POWO-JUGL; LBJ-HAYS</x:v>
      </x:c>
      <x:c r="T582" s="215" t="str">
        <x:v>https://www.mobot.org/MOBOT/research/APweb/orders/fagalesweb.htm</x:v>
      </x:c>
      <x:c r="U582" s="215" t="str">
        <x:v>https://floranorthamerica.org/Juglandaceae</x:v>
      </x:c>
      <x:c r="V582" s="215" t="str">
        <x:v>https://powo.science.kew.org/taxon/urn:lsid:ipni.org:names:77126720-1/general-information</x:v>
      </x:c>
      <x:c r="W582" s="215" t="str">
        <x:v>https://www.mobot.org/MOBOT/research/APweb/orders/fagalesweb.htm
https://floranorthamerica.org/Juglandaceae
https://powo.science.kew.org/taxon/urn:lsid:ipni.org:names:77126720-1/general-information
https://www.wildflower.org/collections/collection.php?collection=hays</x:v>
      </x:c>
      <x:c r="X582" s="215" t="str">
        <x:v>No — retain qualifiers and exceptions</x:v>
      </x:c>
      <x:c r="Y582" s="215" t="str">
        <x:v>Yes</x:v>
      </x:c>
      <x:c r="Z582" s="215" t="str">
        <x:v>Source-backed draft</x:v>
      </x:c>
      <x:c r="AA582" s="215" t="str">
        <x:v>Family pattern</x:v>
      </x:c>
      <x:c r="AB582" s="215" t="str">
        <x:v>Supporting / route</x:v>
      </x:c>
      <x:c r="AC582" s="215" t="str">
        <x:v>High</x:v>
      </x:c>
      <x:c r="AD582" s="215" t="str">
        <x:v>Hand lens / macro</x:v>
      </x:c>
      <x:c r="AE582" s="215" t="str">
        <x:v>Low</x:v>
      </x:c>
      <x:c r="AF582" s="215" t="str">
        <x:v>Field-ready draft</x:v>
      </x:c>
      <x:c r="AG582" s="215" t="str">
        <x:v>4 — Context / caution</x:v>
      </x:c>
      <x:c r="AH582" s="215" t="str">
        <x:v>Current master inventory</x:v>
      </x:c>
    </x:row>
    <x:row r="583" ht="42" customHeight="1">
      <x:c r="A583" s="215" t="str">
        <x:v>Juglandaceae</x:v>
      </x:c>
      <x:c r="B583" s="215" t="str">
        <x:v>JUG-LEAVES</x:v>
      </x:c>
      <x:c r="C583" s="215" t="str">
        <x:v>Family character</x:v>
      </x:c>
      <x:c r="D583" s="215" t="str">
        <x:v>Leaves / stipules</x:v>
      </x:c>
      <x:c r="E583" s="215" t="str">
        <x:v>Leaves alternate, aromatic, usually odd-pinnately compound, without stipules</x:v>
      </x:c>
      <x:c r="F583" s="215" t="str">
        <x:v>Strong</x:v>
      </x:c>
      <x:c r="G583" s="215" t="str">
        <x:v>5</x:v>
      </x:c>
      <x:c r="H583" s="215" t="str">
        <x:v>High</x:v>
      </x:c>
      <x:c r="I583" s="215" t="str">
        <x:v>Naked eye or hand lens</x:v>
      </x:c>
      <x:c r="J583" s="215" t="str">
        <x:v>Leafy shoots</x:v>
      </x:c>
      <x:c r="K583" s="215" t="str">
        <x:v>Crushed walnut or pecan foliage is aromatic and divided into multiple leaflets.</x:v>
      </x:c>
      <x:c r="L583" s="215" t="str">
        <x:v>Even-pinnate leaves and weak odor occur in some taxa; crushing should be minimal.</x:v>
      </x:c>
      <x:c r="M583" s="215" t="str">
        <x:v>Confirm leaflet arrangement and lack of stipules, then seek fruit.</x:v>
      </x:c>
      <x:c r="N583" s="215" t="str">
        <x:v>Pecan, hickory, and walnut relatives are ecologically important Hays trees, especially along creeks, floodplains, and deeper soils.</x:v>
      </x:c>
      <x:c r="O583" s="215" t="str">
        <x:v>Low</x:v>
      </x:c>
      <x:c r="P583" s="215" t="str">
        <x:v>No</x:v>
      </x:c>
      <x:c r="Q583" s="215" t="str"/>
      <x:c r="R583" s="215" t="str">
        <x:v>JUG-LK01; JUG-LK02</x:v>
      </x:c>
      <x:c r="S583" s="215" t="str">
        <x:v>APWEB-JUGL; FNA-JUGL; POWO-JUGL; LBJ-HAYS</x:v>
      </x:c>
      <x:c r="T583" s="215" t="str">
        <x:v>https://www.mobot.org/MOBOT/research/APweb/orders/fagalesweb.htm</x:v>
      </x:c>
      <x:c r="U583" s="215" t="str">
        <x:v>https://floranorthamerica.org/Juglandaceae</x:v>
      </x:c>
      <x:c r="V583" s="215" t="str">
        <x:v>https://powo.science.kew.org/taxon/urn:lsid:ipni.org:names:77126720-1/general-information</x:v>
      </x:c>
      <x:c r="W583" s="215" t="str">
        <x:v>https://www.mobot.org/MOBOT/research/APweb/orders/fagalesweb.htm
https://floranorthamerica.org/Juglandaceae
https://powo.science.kew.org/taxon/urn:lsid:ipni.org:names:77126720-1/general-information
https://www.wildflower.org/collections/collection.php?collection=hays</x:v>
      </x:c>
      <x:c r="X583" s="215" t="str">
        <x:v>No — retain qualifiers and exceptions</x:v>
      </x:c>
      <x:c r="Y583" s="215" t="str">
        <x:v>Yes</x:v>
      </x:c>
      <x:c r="Z583" s="215" t="str">
        <x:v>Source-backed draft</x:v>
      </x:c>
      <x:c r="AA583" s="215" t="str">
        <x:v>Family pattern</x:v>
      </x:c>
      <x:c r="AB583" s="215" t="str">
        <x:v>Positive diagnostic</x:v>
      </x:c>
      <x:c r="AC583" s="215" t="str">
        <x:v>High</x:v>
      </x:c>
      <x:c r="AD583" s="215" t="str">
        <x:v>Hand lens / macro</x:v>
      </x:c>
      <x:c r="AE583" s="215" t="str">
        <x:v>Low</x:v>
      </x:c>
      <x:c r="AF583" s="215" t="str">
        <x:v>Field-ready draft</x:v>
      </x:c>
      <x:c r="AG583" s="215" t="str">
        <x:v>2 — Field-photo priority</x:v>
      </x:c>
      <x:c r="AH583" s="215" t="str">
        <x:v>Current master inventory</x:v>
      </x:c>
    </x:row>
    <x:row r="584" ht="42" customHeight="1">
      <x:c r="A584" s="215" t="str">
        <x:v>Juglandaceae</x:v>
      </x:c>
      <x:c r="B584" s="215" t="str">
        <x:v>JUG-CATKINS</x:v>
      </x:c>
      <x:c r="C584" s="215" t="str">
        <x:v>Family character</x:v>
      </x:c>
      <x:c r="D584" s="215" t="str">
        <x:v>Inflorescence</x:v>
      </x:c>
      <x:c r="E584" s="215" t="str">
        <x:v>Staminate flowers in long pendulous catkins; pistillate flowers solitary or in short spikes</x:v>
      </x:c>
      <x:c r="F584" s="215" t="str">
        <x:v>Strong</x:v>
      </x:c>
      <x:c r="G584" s="215" t="str">
        <x:v>4</x:v>
      </x:c>
      <x:c r="H584" s="215" t="str">
        <x:v>High</x:v>
      </x:c>
      <x:c r="I584" s="215" t="str">
        <x:v>Naked eye or hand lens</x:v>
      </x:c>
      <x:c r="J584" s="215" t="str">
        <x:v>Spring flowering shoots</x:v>
      </x:c>
      <x:c r="K584" s="215" t="str">
        <x:v>The same tree bears dangling male catkins and small female clusters.</x:v>
      </x:c>
      <x:c r="L584" s="215" t="str">
        <x:v>Timing differs and one sex may not be visible simultaneously.</x:v>
      </x:c>
      <x:c r="M584" s="215" t="str">
        <x:v>Look on previous- and current-season growth as appropriate.</x:v>
      </x:c>
      <x:c r="N584" s="215" t="str">
        <x:v>Pecan, hickory, and walnut relatives are ecologically important Hays trees, especially along creeks, floodplains, and deeper soils.</x:v>
      </x:c>
      <x:c r="O584" s="215" t="str">
        <x:v>Low</x:v>
      </x:c>
      <x:c r="P584" s="215" t="str">
        <x:v>No</x:v>
      </x:c>
      <x:c r="Q584" s="215" t="str"/>
      <x:c r="R584" s="215" t="str"/>
      <x:c r="S584" s="215" t="str">
        <x:v>APWEB-JUGL; FNA-JUGL; POWO-JUGL; LBJ-HAYS</x:v>
      </x:c>
      <x:c r="T584" s="215" t="str">
        <x:v>https://www.mobot.org/MOBOT/research/APweb/orders/fagalesweb.htm</x:v>
      </x:c>
      <x:c r="U584" s="215" t="str">
        <x:v>https://floranorthamerica.org/Juglandaceae</x:v>
      </x:c>
      <x:c r="V584" s="215" t="str">
        <x:v>https://powo.science.kew.org/taxon/urn:lsid:ipni.org:names:77126720-1/general-information</x:v>
      </x:c>
      <x:c r="W584" s="215" t="str">
        <x:v>https://www.mobot.org/MOBOT/research/APweb/orders/fagalesweb.htm
https://floranorthamerica.org/Juglandaceae
https://powo.science.kew.org/taxon/urn:lsid:ipni.org:names:77126720-1/general-information
https://www.wildflower.org/collections/collection.php?collection=hays</x:v>
      </x:c>
      <x:c r="X584" s="215" t="str">
        <x:v>No — retain qualifiers and exceptions</x:v>
      </x:c>
      <x:c r="Y584" s="215" t="str">
        <x:v>Yes</x:v>
      </x:c>
      <x:c r="Z584" s="215" t="str">
        <x:v>Source-backed draft</x:v>
      </x:c>
      <x:c r="AA584" s="215" t="str">
        <x:v>Family pattern</x:v>
      </x:c>
      <x:c r="AB584" s="215" t="str">
        <x:v>Positive diagnostic</x:v>
      </x:c>
      <x:c r="AC584" s="215" t="str">
        <x:v>High</x:v>
      </x:c>
      <x:c r="AD584" s="215" t="str">
        <x:v>Hand lens / macro</x:v>
      </x:c>
      <x:c r="AE584" s="215" t="str">
        <x:v>Low</x:v>
      </x:c>
      <x:c r="AF584" s="215" t="str">
        <x:v>Field-ready draft</x:v>
      </x:c>
      <x:c r="AG584" s="215" t="str">
        <x:v>2 — Field-photo priority</x:v>
      </x:c>
      <x:c r="AH584" s="215" t="str">
        <x:v>Current master inventory</x:v>
      </x:c>
    </x:row>
    <x:row r="585" ht="42" customHeight="1">
      <x:c r="A585" s="215" t="str">
        <x:v>Juglandaceae</x:v>
      </x:c>
      <x:c r="B585" s="215" t="str">
        <x:v>JUG-FLOWER</x:v>
      </x:c>
      <x:c r="C585" s="215" t="str">
        <x:v>Family character</x:v>
      </x:c>
      <x:c r="D585" s="215" t="str">
        <x:v>Flowers</x:v>
      </x:c>
      <x:c r="E585" s="215" t="str">
        <x:v>Flowers unisexual on the same plant, petals absent, perianth reduced</x:v>
      </x:c>
      <x:c r="F585" s="215" t="str">
        <x:v>Strong</x:v>
      </x:c>
      <x:c r="G585" s="215" t="str">
        <x:v>3</x:v>
      </x:c>
      <x:c r="H585" s="215" t="str">
        <x:v>High</x:v>
      </x:c>
      <x:c r="I585" s="215" t="str">
        <x:v>Naked eye or hand lens</x:v>
      </x:c>
      <x:c r="J585" s="215" t="str">
        <x:v>Fresh flowers</x:v>
      </x:c>
      <x:c r="K585" s="215" t="str">
        <x:v>Showy petals are absent; wind-pollinated structures dominate.</x:v>
      </x:c>
      <x:c r="L585" s="215" t="str">
        <x:v>Reduced flowers overlap other catkin-bearing trees.</x:v>
      </x:c>
      <x:c r="M585" s="215" t="str">
        <x:v>Use compound leaves and husked nuts to confirm.</x:v>
      </x:c>
      <x:c r="N585" s="215" t="str">
        <x:v>Pecan, hickory, and walnut relatives are ecologically important Hays trees, especially along creeks, floodplains, and deeper soils.</x:v>
      </x:c>
      <x:c r="O585" s="215" t="str">
        <x:v>Low</x:v>
      </x:c>
      <x:c r="P585" s="215" t="str">
        <x:v>No</x:v>
      </x:c>
      <x:c r="Q585" s="215" t="str"/>
      <x:c r="R585" s="215" t="str"/>
      <x:c r="S585" s="215" t="str">
        <x:v>APWEB-JUGL; FNA-JUGL; POWO-JUGL; LBJ-HAYS</x:v>
      </x:c>
      <x:c r="T585" s="215" t="str">
        <x:v>https://www.mobot.org/MOBOT/research/APweb/orders/fagalesweb.htm</x:v>
      </x:c>
      <x:c r="U585" s="215" t="str">
        <x:v>https://floranorthamerica.org/Juglandaceae</x:v>
      </x:c>
      <x:c r="V585" s="215" t="str">
        <x:v>https://powo.science.kew.org/taxon/urn:lsid:ipni.org:names:77126720-1/general-information</x:v>
      </x:c>
      <x:c r="W585" s="215" t="str">
        <x:v>https://www.mobot.org/MOBOT/research/APweb/orders/fagalesweb.htm
https://floranorthamerica.org/Juglandaceae
https://powo.science.kew.org/taxon/urn:lsid:ipni.org:names:77126720-1/general-information
https://www.wildflower.org/collections/collection.php?collection=hays</x:v>
      </x:c>
      <x:c r="X585" s="215" t="str">
        <x:v>No — retain qualifiers and exceptions</x:v>
      </x:c>
      <x:c r="Y585" s="215" t="str">
        <x:v>Yes</x:v>
      </x:c>
      <x:c r="Z585" s="215" t="str">
        <x:v>Source-backed draft</x:v>
      </x:c>
      <x:c r="AA585" s="215" t="str">
        <x:v>Family pattern</x:v>
      </x:c>
      <x:c r="AB585" s="215" t="str">
        <x:v>Positive diagnostic</x:v>
      </x:c>
      <x:c r="AC585" s="215" t="str">
        <x:v>High</x:v>
      </x:c>
      <x:c r="AD585" s="215" t="str">
        <x:v>Hand lens / macro</x:v>
      </x:c>
      <x:c r="AE585" s="215" t="str">
        <x:v>Low</x:v>
      </x:c>
      <x:c r="AF585" s="215" t="str">
        <x:v>Field-ready draft</x:v>
      </x:c>
      <x:c r="AG585" s="215" t="str">
        <x:v>3 — Reference support</x:v>
      </x:c>
      <x:c r="AH585" s="215" t="str">
        <x:v>Current master inventory</x:v>
      </x:c>
    </x:row>
    <x:row r="586" ht="42" customHeight="1">
      <x:c r="A586" s="215" t="str">
        <x:v>Juglandaceae</x:v>
      </x:c>
      <x:c r="B586" s="215" t="str">
        <x:v>JUG-STAMENS</x:v>
      </x:c>
      <x:c r="C586" s="215" t="str">
        <x:v>Family character</x:v>
      </x:c>
      <x:c r="D586" s="215" t="str">
        <x:v>Stamens</x:v>
      </x:c>
      <x:c r="E586" s="215" t="str">
        <x:v>Staminate flowers bear several to many stamens, commonly 3–50 across the family</x:v>
      </x:c>
      <x:c r="F586" s="215" t="str">
        <x:v>Supporting</x:v>
      </x:c>
      <x:c r="G586" s="215" t="str">
        <x:v>1</x:v>
      </x:c>
      <x:c r="H586" s="215" t="str">
        <x:v>High</x:v>
      </x:c>
      <x:c r="I586" s="215" t="str">
        <x:v>Hand lens</x:v>
      </x:c>
      <x:c r="J586" s="215" t="str">
        <x:v>Fresh staminate catkins</x:v>
      </x:c>
      <x:c r="K586" s="215" t="str">
        <x:v>Male catkins contain numerous exposed pollen-producing anthers.</x:v>
      </x:c>
      <x:c r="L586" s="215" t="str">
        <x:v>Counts vary strongly between Carya and Juglans.</x:v>
      </x:c>
      <x:c r="M586" s="215" t="str">
        <x:v>Do not use a fixed stamen count above family level.</x:v>
      </x:c>
      <x:c r="N586" s="215" t="str">
        <x:v>Pecan, hickory, and walnut relatives are ecologically important Hays trees, especially along creeks, floodplains, and deeper soils.</x:v>
      </x:c>
      <x:c r="O586" s="215" t="str">
        <x:v>Low</x:v>
      </x:c>
      <x:c r="P586" s="215" t="str">
        <x:v>No</x:v>
      </x:c>
      <x:c r="Q586" s="215" t="str"/>
      <x:c r="R586" s="215" t="str"/>
      <x:c r="S586" s="215" t="str">
        <x:v>APWEB-JUGL; FNA-JUGL; POWO-JUGL; LBJ-HAYS</x:v>
      </x:c>
      <x:c r="T586" s="215" t="str">
        <x:v>https://www.mobot.org/MOBOT/research/APweb/orders/fagalesweb.htm</x:v>
      </x:c>
      <x:c r="U586" s="215" t="str">
        <x:v>https://floranorthamerica.org/Juglandaceae</x:v>
      </x:c>
      <x:c r="V586" s="215" t="str">
        <x:v>https://powo.science.kew.org/taxon/urn:lsid:ipni.org:names:77126720-1/general-information</x:v>
      </x:c>
      <x:c r="W586" s="215" t="str">
        <x:v>https://www.mobot.org/MOBOT/research/APweb/orders/fagalesweb.htm
https://floranorthamerica.org/Juglandaceae
https://powo.science.kew.org/taxon/urn:lsid:ipni.org:names:77126720-1/general-information
https://www.wildflower.org/collections/collection.php?collection=hays</x:v>
      </x:c>
      <x:c r="X586" s="215" t="str">
        <x:v>No — retain qualifiers and exceptions</x:v>
      </x:c>
      <x:c r="Y586" s="215" t="str">
        <x:v>Yes</x:v>
      </x:c>
      <x:c r="Z586" s="215" t="str">
        <x:v>Source-backed draft</x:v>
      </x:c>
      <x:c r="AA586" s="215" t="str">
        <x:v>Family pattern</x:v>
      </x:c>
      <x:c r="AB586" s="215" t="str">
        <x:v>Supporting / route</x:v>
      </x:c>
      <x:c r="AC586" s="215" t="str">
        <x:v>High</x:v>
      </x:c>
      <x:c r="AD586" s="215" t="str">
        <x:v>Hand lens / macro</x:v>
      </x:c>
      <x:c r="AE586" s="215" t="str">
        <x:v>Low</x:v>
      </x:c>
      <x:c r="AF586" s="215" t="str">
        <x:v>Field-ready draft</x:v>
      </x:c>
      <x:c r="AG586" s="215" t="str">
        <x:v>4 — Context / caution</x:v>
      </x:c>
      <x:c r="AH586" s="215" t="str">
        <x:v>Current master inventory</x:v>
      </x:c>
    </x:row>
    <x:row r="587" ht="42" customHeight="1">
      <x:c r="A587" s="215" t="str">
        <x:v>Juglandaceae</x:v>
      </x:c>
      <x:c r="B587" s="215" t="str">
        <x:v>JUG-OVARY</x:v>
      </x:c>
      <x:c r="C587" s="215" t="str">
        <x:v>Family character</x:v>
      </x:c>
      <x:c r="D587" s="215" t="str">
        <x:v>Gynoecium</x:v>
      </x:c>
      <x:c r="E587" s="215" t="str">
        <x:v>Ovary inferior, usually 2-carpellate, with one functional ovule and two stigmas</x:v>
      </x:c>
      <x:c r="F587" s="215" t="str">
        <x:v>Strong</x:v>
      </x:c>
      <x:c r="G587" s="215" t="str">
        <x:v>4</x:v>
      </x:c>
      <x:c r="H587" s="215" t="str">
        <x:v>High</x:v>
      </x:c>
      <x:c r="I587" s="215" t="str">
        <x:v>Hand lens or dissection</x:v>
      </x:c>
      <x:c r="J587" s="215" t="str">
        <x:v>Fresh pistillate flowers</x:v>
      </x:c>
      <x:c r="K587" s="215" t="str">
        <x:v>The female flower matures into a single-seeded nut beneath the perianth and involucre.</x:v>
      </x:c>
      <x:c r="L587" s="215" t="str">
        <x:v>Dissection is difficult and immature husks obscure insertion.</x:v>
      </x:c>
      <x:c r="M587" s="215" t="str">
        <x:v>Use mature fruit construction as the practical expression.</x:v>
      </x:c>
      <x:c r="N587" s="215" t="str">
        <x:v>Pecan, hickory, and walnut relatives are ecologically important Hays trees, especially along creeks, floodplains, and deeper soils.</x:v>
      </x:c>
      <x:c r="O587" s="215" t="str">
        <x:v>Low</x:v>
      </x:c>
      <x:c r="P587" s="215" t="str">
        <x:v>No</x:v>
      </x:c>
      <x:c r="Q587" s="215" t="str"/>
      <x:c r="R587" s="215" t="str"/>
      <x:c r="S587" s="215" t="str">
        <x:v>APWEB-JUGL; FNA-JUGL; POWO-JUGL; LBJ-HAYS</x:v>
      </x:c>
      <x:c r="T587" s="215" t="str">
        <x:v>https://www.mobot.org/MOBOT/research/APweb/orders/fagalesweb.htm</x:v>
      </x:c>
      <x:c r="U587" s="215" t="str">
        <x:v>https://floranorthamerica.org/Juglandaceae</x:v>
      </x:c>
      <x:c r="V587" s="215" t="str">
        <x:v>https://powo.science.kew.org/taxon/urn:lsid:ipni.org:names:77126720-1/general-information</x:v>
      </x:c>
      <x:c r="W587" s="215" t="str">
        <x:v>https://www.mobot.org/MOBOT/research/APweb/orders/fagalesweb.htm
https://floranorthamerica.org/Juglandaceae
https://powo.science.kew.org/taxon/urn:lsid:ipni.org:names:77126720-1/general-information
https://www.wildflower.org/collections/collection.php?collection=hays</x:v>
      </x:c>
      <x:c r="X587" s="215" t="str">
        <x:v>No — retain qualifiers and exceptions</x:v>
      </x:c>
      <x:c r="Y587" s="215" t="str">
        <x:v>Yes</x:v>
      </x:c>
      <x:c r="Z587" s="215" t="str">
        <x:v>Source-backed draft</x:v>
      </x:c>
      <x:c r="AA587" s="215" t="str">
        <x:v>Family pattern</x:v>
      </x:c>
      <x:c r="AB587" s="215" t="str">
        <x:v>Positive diagnostic</x:v>
      </x:c>
      <x:c r="AC587" s="215" t="str">
        <x:v>High</x:v>
      </x:c>
      <x:c r="AD587" s="215" t="str">
        <x:v>Dissection</x:v>
      </x:c>
      <x:c r="AE587" s="215" t="str">
        <x:v>Low</x:v>
      </x:c>
      <x:c r="AF587" s="215" t="str">
        <x:v>Dissection / close study</x:v>
      </x:c>
      <x:c r="AG587" s="215" t="str">
        <x:v>3 — Reference support</x:v>
      </x:c>
      <x:c r="AH587" s="215" t="str">
        <x:v>Current master inventory</x:v>
      </x:c>
    </x:row>
    <x:row r="588" ht="42" customHeight="1">
      <x:c r="A588" s="215" t="str">
        <x:v>Juglandaceae</x:v>
      </x:c>
      <x:c r="B588" s="215" t="str">
        <x:v>JUG-FRUIT</x:v>
      </x:c>
      <x:c r="C588" s="215" t="str">
        <x:v>Family character</x:v>
      </x:c>
      <x:c r="D588" s="215" t="str">
        <x:v>Fruit / involucre</x:v>
      </x:c>
      <x:c r="E588" s="215" t="str">
        <x:v>Fruit a large one-seeded nut enclosed by a fibrous-fleshy or hard husk derived partly from involucre and calyx</x:v>
      </x:c>
      <x:c r="F588" s="215" t="str">
        <x:v>Strong</x:v>
      </x:c>
      <x:c r="G588" s="215" t="str">
        <x:v>5</x:v>
      </x:c>
      <x:c r="H588" s="215" t="str">
        <x:v>High</x:v>
      </x:c>
      <x:c r="I588" s="215" t="str">
        <x:v>Naked eye or hand lens</x:v>
      </x:c>
      <x:c r="J588" s="215" t="str">
        <x:v>Mature fruit</x:v>
      </x:c>
      <x:c r="K588" s="215" t="str">
        <x:v>Pecans, hickories, and walnuts are true nuts surrounded by husks, not botanical drupes.</x:v>
      </x:c>
      <x:c r="L588" s="215" t="str">
        <x:v>Husks split in Carya but are commonly indehiscent in Juglans; fruit size varies.</x:v>
      </x:c>
      <x:c r="M588" s="215" t="str">
        <x:v>Use husk behavior and nut surface for genus-level follow-up.</x:v>
      </x:c>
      <x:c r="N588" s="215" t="str">
        <x:v>Pecan, hickory, and walnut relatives are ecologically important Hays trees, especially along creeks, floodplains, and deeper soils.</x:v>
      </x:c>
      <x:c r="O588" s="215" t="str">
        <x:v>Low</x:v>
      </x:c>
      <x:c r="P588" s="215" t="str">
        <x:v>No</x:v>
      </x:c>
      <x:c r="Q588" s="215" t="str"/>
      <x:c r="R588" s="215" t="str">
        <x:v>JUG-LK01; JUG-LK02</x:v>
      </x:c>
      <x:c r="S588" s="215" t="str">
        <x:v>APWEB-JUGL; FNA-JUGL; POWO-JUGL; LBJ-HAYS</x:v>
      </x:c>
      <x:c r="T588" s="215" t="str">
        <x:v>https://www.mobot.org/MOBOT/research/APweb/orders/fagalesweb.htm</x:v>
      </x:c>
      <x:c r="U588" s="215" t="str">
        <x:v>https://floranorthamerica.org/Juglandaceae</x:v>
      </x:c>
      <x:c r="V588" s="215" t="str">
        <x:v>https://powo.science.kew.org/taxon/urn:lsid:ipni.org:names:77126720-1/general-information</x:v>
      </x:c>
      <x:c r="W588" s="215" t="str">
        <x:v>https://www.mobot.org/MOBOT/research/APweb/orders/fagalesweb.htm
https://floranorthamerica.org/Juglandaceae
https://powo.science.kew.org/taxon/urn:lsid:ipni.org:names:77126720-1/general-information
https://www.wildflower.org/collections/collection.php?collection=hays</x:v>
      </x:c>
      <x:c r="X588" s="215" t="str">
        <x:v>No — retain qualifiers and exceptions</x:v>
      </x:c>
      <x:c r="Y588" s="215" t="str">
        <x:v>Yes</x:v>
      </x:c>
      <x:c r="Z588" s="215" t="str">
        <x:v>Source-backed draft</x:v>
      </x:c>
      <x:c r="AA588" s="215" t="str">
        <x:v>Family pattern</x:v>
      </x:c>
      <x:c r="AB588" s="215" t="str">
        <x:v>Positive diagnostic</x:v>
      </x:c>
      <x:c r="AC588" s="215" t="str">
        <x:v>High</x:v>
      </x:c>
      <x:c r="AD588" s="215" t="str">
        <x:v>Hand lens / macro</x:v>
      </x:c>
      <x:c r="AE588" s="215" t="str">
        <x:v>Low</x:v>
      </x:c>
      <x:c r="AF588" s="215" t="str">
        <x:v>Field-ready draft</x:v>
      </x:c>
      <x:c r="AG588" s="215" t="str">
        <x:v>2 — Field-photo priority</x:v>
      </x:c>
      <x:c r="AH588" s="215" t="str">
        <x:v>Current master inventory</x:v>
      </x:c>
    </x:row>
    <x:row r="589" ht="42" customHeight="1">
      <x:c r="A589" s="215" t="str">
        <x:v>Juglandaceae</x:v>
      </x:c>
      <x:c r="B589" s="215" t="str">
        <x:v>JUG-SEED</x:v>
      </x:c>
      <x:c r="C589" s="215" t="str">
        <x:v>Family character</x:v>
      </x:c>
      <x:c r="D589" s="215" t="str">
        <x:v>Seeds</x:v>
      </x:c>
      <x:c r="E589" s="215" t="str">
        <x:v>One seed with fleshy oily, deeply lobed cotyledons and little or no endosperm</x:v>
      </x:c>
      <x:c r="F589" s="215" t="str">
        <x:v>Supporting</x:v>
      </x:c>
      <x:c r="G589" s="215" t="str">
        <x:v>2</x:v>
      </x:c>
      <x:c r="H589" s="215" t="str">
        <x:v>High</x:v>
      </x:c>
      <x:c r="I589" s="215" t="str">
        <x:v>Naked eye or hand lens</x:v>
      </x:c>
      <x:c r="J589" s="215" t="str">
        <x:v>Mature opened nuts</x:v>
      </x:c>
      <x:c r="K589" s="215" t="str">
        <x:v>The edible kernel is mainly the embryo’s thick folded cotyledons.</x:v>
      </x:c>
      <x:c r="L589" s="215" t="str">
        <x:v>Seed characters require opening the hard nut.</x:v>
      </x:c>
      <x:c r="M589" s="215" t="str">
        <x:v>Use only as mature-fruit confirmation.</x:v>
      </x:c>
      <x:c r="N589" s="215" t="str">
        <x:v>Pecan, hickory, and walnut relatives are ecologically important Hays trees, especially along creeks, floodplains, and deeper soils.</x:v>
      </x:c>
      <x:c r="O589" s="215" t="str">
        <x:v>Low</x:v>
      </x:c>
      <x:c r="P589" s="215" t="str">
        <x:v>No</x:v>
      </x:c>
      <x:c r="Q589" s="215" t="str"/>
      <x:c r="R589" s="215" t="str"/>
      <x:c r="S589" s="215" t="str">
        <x:v>APWEB-JUGL; FNA-JUGL; POWO-JUGL; LBJ-HAYS</x:v>
      </x:c>
      <x:c r="T589" s="215" t="str">
        <x:v>https://www.mobot.org/MOBOT/research/APweb/orders/fagalesweb.htm</x:v>
      </x:c>
      <x:c r="U589" s="215" t="str">
        <x:v>https://floranorthamerica.org/Juglandaceae</x:v>
      </x:c>
      <x:c r="V589" s="215" t="str">
        <x:v>https://powo.science.kew.org/taxon/urn:lsid:ipni.org:names:77126720-1/general-information</x:v>
      </x:c>
      <x:c r="W589" s="215" t="str">
        <x:v>https://www.mobot.org/MOBOT/research/APweb/orders/fagalesweb.htm
https://floranorthamerica.org/Juglandaceae
https://powo.science.kew.org/taxon/urn:lsid:ipni.org:names:77126720-1/general-information
https://www.wildflower.org/collections/collection.php?collection=hays</x:v>
      </x:c>
      <x:c r="X589" s="215" t="str">
        <x:v>No — retain qualifiers and exceptions</x:v>
      </x:c>
      <x:c r="Y589" s="215" t="str">
        <x:v>Yes</x:v>
      </x:c>
      <x:c r="Z589" s="215" t="str">
        <x:v>Source-backed draft</x:v>
      </x:c>
      <x:c r="AA589" s="215" t="str">
        <x:v>Family pattern</x:v>
      </x:c>
      <x:c r="AB589" s="215" t="str">
        <x:v>Supporting / route</x:v>
      </x:c>
      <x:c r="AC589" s="215" t="str">
        <x:v>High</x:v>
      </x:c>
      <x:c r="AD589" s="215" t="str">
        <x:v>Hand lens / macro</x:v>
      </x:c>
      <x:c r="AE589" s="215" t="str">
        <x:v>Low</x:v>
      </x:c>
      <x:c r="AF589" s="215" t="str">
        <x:v>Field-ready draft</x:v>
      </x:c>
      <x:c r="AG589" s="215" t="str">
        <x:v>4 — Context / caution</x:v>
      </x:c>
      <x:c r="AH589" s="215" t="str">
        <x:v>Current master inventory</x:v>
      </x:c>
    </x:row>
    <x:row r="590" ht="42" customHeight="1">
      <x:c r="A590" s="215" t="str">
        <x:v>Juglandaceae</x:v>
      </x:c>
      <x:c r="B590" s="215" t="str">
        <x:v>JUG-LK01</x:v>
      </x:c>
      <x:c r="C590" s="215" t="str">
        <x:v>Lookalike comparison</x:v>
      </x:c>
      <x:c r="D590" s="215" t="str">
        <x:v>Lookalike</x:v>
      </x:c>
      <x:c r="E590" s="215" t="str">
        <x:v>Versus Sapindaceae: aromatic alternate pinnate leaves plus a husked nut favor Juglandaceae; opposite leaves or winged samaras and non-husked fruits favor common local Sapindaceae</x:v>
      </x:c>
      <x:c r="F590" s="215" t="str">
        <x:v>Lookalike</x:v>
      </x:c>
      <x:c r="G590" s="215" t="str">
        <x:v>5</x:v>
      </x:c>
      <x:c r="H590" s="215" t="str">
        <x:v>High</x:v>
      </x:c>
      <x:c r="I590" s="215" t="str">
        <x:v>Naked eye or hand lens</x:v>
      </x:c>
      <x:c r="J590" s="215" t="str">
        <x:v>Leafy fruiting material</x:v>
      </x:c>
      <x:c r="K590" s="215" t="str">
        <x:v>Compound leaves can cause sterile confusion.</x:v>
      </x:c>
      <x:c r="L590" s="215" t="str">
        <x:v>Sapindaceae leaf arrangement and fruit types are diverse.</x:v>
      </x:c>
      <x:c r="M590" s="215" t="str">
        <x:v>Use mature fruit first, leaf arrangement and odor second.</x:v>
      </x:c>
      <x:c r="N590" s="215" t="str">
        <x:v>Pecan, hickory, and walnut relatives are ecologically important Hays trees, especially along creeks, floodplains, and deeper soils.</x:v>
      </x:c>
      <x:c r="O590" s="215" t="str">
        <x:v>Low</x:v>
      </x:c>
      <x:c r="P590" s="215" t="str">
        <x:v>No</x:v>
      </x:c>
      <x:c r="Q590" s="215" t="str"/>
      <x:c r="R590" s="215" t="str">
        <x:v>JUG-LEAVES; JUG-FRUIT</x:v>
      </x:c>
      <x:c r="S590" s="215" t="str">
        <x:v>APWEB-JUGL; FNA-JUGL; POWO-JUGL; LBJ-HAYS</x:v>
      </x:c>
      <x:c r="T590" s="215" t="str">
        <x:v>https://www.mobot.org/MOBOT/research/APweb/orders/fagalesweb.htm</x:v>
      </x:c>
      <x:c r="U590" s="215" t="str">
        <x:v>https://floranorthamerica.org/Juglandaceae</x:v>
      </x:c>
      <x:c r="V590" s="215" t="str">
        <x:v>https://powo.science.kew.org/taxon/urn:lsid:ipni.org:names:77126720-1/general-information</x:v>
      </x:c>
      <x:c r="W590" s="215" t="str">
        <x:v>https://www.mobot.org/MOBOT/research/APweb/orders/fagalesweb.htm
https://floranorthamerica.org/Juglandaceae
https://powo.science.kew.org/taxon/urn:lsid:ipni.org:names:77126720-1/general-information
https://www.wildflower.org/collections/collection.php?collection=hays</x:v>
      </x:c>
      <x:c r="X590" s="215" t="str">
        <x:v>No — retain qualifiers and exceptions</x:v>
      </x:c>
      <x:c r="Y590" s="215" t="str">
        <x:v>Yes</x:v>
      </x:c>
      <x:c r="Z590" s="215" t="str">
        <x:v>Source-backed draft</x:v>
      </x:c>
      <x:c r="AA590" s="215" t="str">
        <x:v>Lookalike comparison</x:v>
      </x:c>
      <x:c r="AB590" s="215" t="str">
        <x:v>Contrast / lookalike</x:v>
      </x:c>
      <x:c r="AC590" s="215" t="str">
        <x:v>High</x:v>
      </x:c>
      <x:c r="AD590" s="215" t="str">
        <x:v>Hand lens / macro</x:v>
      </x:c>
      <x:c r="AE590" s="215" t="str">
        <x:v>Low</x:v>
      </x:c>
      <x:c r="AF590" s="215" t="str">
        <x:v>Field-ready draft</x:v>
      </x:c>
      <x:c r="AG590" s="215" t="str">
        <x:v>2 — Field-photo priority</x:v>
      </x:c>
      <x:c r="AH590" s="215" t="str">
        <x:v>Current master inventory</x:v>
      </x:c>
    </x:row>
    <x:row r="591" ht="42" customHeight="1">
      <x:c r="A591" s="215" t="str">
        <x:v>Juglandaceae</x:v>
      </x:c>
      <x:c r="B591" s="215" t="str">
        <x:v>JUG-LK02</x:v>
      </x:c>
      <x:c r="C591" s="215" t="str">
        <x:v>Lookalike comparison</x:v>
      </x:c>
      <x:c r="D591" s="215" t="str">
        <x:v>Lookalike</x:v>
      </x:c>
      <x:c r="E591" s="215" t="str">
        <x:v>Versus Betulaceae: aromatic pinnately compound leaves and large husked nuts favor Juglandaceae; simple leaves and small bracted nutlets favor Betulaceae</x:v>
      </x:c>
      <x:c r="F591" s="215" t="str">
        <x:v>Lookalike</x:v>
      </x:c>
      <x:c r="G591" s="215" t="str">
        <x:v>5</x:v>
      </x:c>
      <x:c r="H591" s="215" t="str">
        <x:v>High</x:v>
      </x:c>
      <x:c r="I591" s="215" t="str">
        <x:v>Naked eye or hand lens</x:v>
      </x:c>
      <x:c r="J591" s="215" t="str">
        <x:v>Leafy shoots or mature fruit</x:v>
      </x:c>
      <x:c r="K591" s="215" t="str">
        <x:v>Both are wind-pollinated catkin-bearing trees.</x:v>
      </x:c>
      <x:c r="L591" s="215" t="str">
        <x:v>Male catkins alone can be misleading.</x:v>
      </x:c>
      <x:c r="M591" s="215" t="str">
        <x:v>Use leaf division and mature female fruit structures.</x:v>
      </x:c>
      <x:c r="N591" s="215" t="str">
        <x:v>Pecan, hickory, and walnut relatives are ecologically important Hays trees, especially along creeks, floodplains, and deeper soils.</x:v>
      </x:c>
      <x:c r="O591" s="215" t="str">
        <x:v>Low</x:v>
      </x:c>
      <x:c r="P591" s="215" t="str">
        <x:v>No</x:v>
      </x:c>
      <x:c r="Q591" s="215" t="str"/>
      <x:c r="R591" s="215" t="str">
        <x:v>JUG-LEAVES; JUG-CATKINS; JUG-FRUIT</x:v>
      </x:c>
      <x:c r="S591" s="215" t="str">
        <x:v>APWEB-JUGL; FNA-JUGL; POWO-JUGL; LBJ-HAYS</x:v>
      </x:c>
      <x:c r="T591" s="215" t="str">
        <x:v>https://www.mobot.org/MOBOT/research/APweb/orders/fagalesweb.htm</x:v>
      </x:c>
      <x:c r="U591" s="215" t="str">
        <x:v>https://floranorthamerica.org/Juglandaceae</x:v>
      </x:c>
      <x:c r="V591" s="215" t="str">
        <x:v>https://powo.science.kew.org/taxon/urn:lsid:ipni.org:names:77126720-1/general-information</x:v>
      </x:c>
      <x:c r="W591" s="215" t="str">
        <x:v>https://www.mobot.org/MOBOT/research/APweb/orders/fagalesweb.htm
https://floranorthamerica.org/Juglandaceae
https://powo.science.kew.org/taxon/urn:lsid:ipni.org:names:77126720-1/general-information
https://www.wildflower.org/collections/collection.php?collection=hays</x:v>
      </x:c>
      <x:c r="X591" s="215" t="str">
        <x:v>No — retain qualifiers and exceptions</x:v>
      </x:c>
      <x:c r="Y591" s="215" t="str">
        <x:v>Yes</x:v>
      </x:c>
      <x:c r="Z591" s="215" t="str">
        <x:v>Source-backed draft</x:v>
      </x:c>
      <x:c r="AA591" s="215" t="str">
        <x:v>Lookalike comparison</x:v>
      </x:c>
      <x:c r="AB591" s="215" t="str">
        <x:v>Contrast / lookalike</x:v>
      </x:c>
      <x:c r="AC591" s="215" t="str">
        <x:v>High</x:v>
      </x:c>
      <x:c r="AD591" s="215" t="str">
        <x:v>Hand lens / macro</x:v>
      </x:c>
      <x:c r="AE591" s="215" t="str">
        <x:v>Low</x:v>
      </x:c>
      <x:c r="AF591" s="215" t="str">
        <x:v>Field-ready draft</x:v>
      </x:c>
      <x:c r="AG591" s="215" t="str">
        <x:v>2 — Field-photo priority</x:v>
      </x:c>
      <x:c r="AH591" s="215" t="str">
        <x:v>Current master inventory</x:v>
      </x:c>
    </x:row>
    <x:row r="592" ht="42" customHeight="1">
      <x:c r="A592" s="215" t="str">
        <x:v>Moraceae</x:v>
      </x:c>
      <x:c r="B592" s="215" t="str">
        <x:v>MOR-HABIT</x:v>
      </x:c>
      <x:c r="C592" s="215" t="str">
        <x:v>Family character</x:v>
      </x:c>
      <x:c r="D592" s="215" t="str">
        <x:v>Habit</x:v>
      </x:c>
      <x:c r="E592" s="215" t="str">
        <x:v>Trees, shrubs, herbs, or vines; regional representatives are chiefly woody</x:v>
      </x:c>
      <x:c r="F592" s="215" t="str">
        <x:v>Strong</x:v>
      </x:c>
      <x:c r="G592" s="215" t="str">
        <x:v>1</x:v>
      </x:c>
      <x:c r="H592" s="215" t="str">
        <x:v>High</x:v>
      </x:c>
      <x:c r="I592" s="215" t="str">
        <x:v>Naked eye or hand lens</x:v>
      </x:c>
      <x:c r="J592" s="215" t="str">
        <x:v>Any material</x:v>
      </x:c>
      <x:c r="K592" s="215" t="str">
        <x:v>Mulberry-family plants range widely in habit.</x:v>
      </x:c>
      <x:c r="L592" s="215" t="str">
        <x:v>The family is not universally woody.</x:v>
      </x:c>
      <x:c r="M592" s="215" t="str">
        <x:v>Use habit only as background to latex, flowers, and multiple fruits.</x:v>
      </x:c>
      <x:c r="N592" s="215" t="str">
        <x:v>Mulberries, bois d'arc, and fig relatives make latex, stipules, and multiple-fruit construction practical Central Texas characters.</x:v>
      </x:c>
      <x:c r="O592" s="215" t="str">
        <x:v>Low</x:v>
      </x:c>
      <x:c r="P592" s="215" t="str">
        <x:v>No</x:v>
      </x:c>
      <x:c r="Q592" s="215" t="str"/>
      <x:c r="R592" s="215" t="str"/>
      <x:c r="S592" s="215" t="str">
        <x:v>APWEB-MORA; FNA-MORA; POWO-MORA; LBJ-HAYS</x:v>
      </x:c>
      <x:c r="T592" s="215" t="str">
        <x:v>https://www.mobot.org/MOBOT/research/APweb/orders/rosalesweb.htm</x:v>
      </x:c>
      <x:c r="U592" s="215" t="str">
        <x:v>https://floranorthamerica.org/Moraceae</x:v>
      </x:c>
      <x:c r="V592" s="215" t="str">
        <x:v>https://powo.science.kew.org/taxon/urn:lsid:ipni.org:names:30000043-2/general-information</x:v>
      </x:c>
      <x:c r="W592" s="215" t="str">
        <x:v>https://www.mobot.org/MOBOT/research/APweb/orders/rosalesweb.htm
https://floranorthamerica.org/Moraceae
https://powo.science.kew.org/taxon/urn:lsid:ipni.org:names:30000043-2/general-information
https://www.wildflower.org/collections/collection.php?collection=hays</x:v>
      </x:c>
      <x:c r="X592" s="215" t="str">
        <x:v>No — retain qualifiers and exceptions</x:v>
      </x:c>
      <x:c r="Y592" s="215" t="str">
        <x:v>Yes</x:v>
      </x:c>
      <x:c r="Z592" s="215" t="str">
        <x:v>Source-backed draft</x:v>
      </x:c>
      <x:c r="AA592" s="215" t="str">
        <x:v>Family pattern</x:v>
      </x:c>
      <x:c r="AB592" s="215" t="str">
        <x:v>Positive diagnostic</x:v>
      </x:c>
      <x:c r="AC592" s="215" t="str">
        <x:v>High</x:v>
      </x:c>
      <x:c r="AD592" s="215" t="str">
        <x:v>Hand lens / macro</x:v>
      </x:c>
      <x:c r="AE592" s="215" t="str">
        <x:v>Low</x:v>
      </x:c>
      <x:c r="AF592" s="215" t="str">
        <x:v>Field-ready draft</x:v>
      </x:c>
      <x:c r="AG592" s="215" t="str">
        <x:v>4 — Context / caution</x:v>
      </x:c>
      <x:c r="AH592" s="215" t="str">
        <x:v>Current master inventory</x:v>
      </x:c>
    </x:row>
    <x:row r="593" ht="42" customHeight="1">
      <x:c r="A593" s="215" t="str">
        <x:v>Moraceae</x:v>
      </x:c>
      <x:c r="B593" s="215" t="str">
        <x:v>MOR-SAP</x:v>
      </x:c>
      <x:c r="C593" s="215" t="str">
        <x:v>Family character</x:v>
      </x:c>
      <x:c r="D593" s="215" t="str">
        <x:v>Stems / sap</x:v>
      </x:c>
      <x:c r="E593" s="215" t="str">
        <x:v>Milky latex frequently present</x:v>
      </x:c>
      <x:c r="F593" s="215" t="str">
        <x:v>Strong</x:v>
      </x:c>
      <x:c r="G593" s="215" t="str">
        <x:v>4</x:v>
      </x:c>
      <x:c r="H593" s="215" t="str">
        <x:v>High</x:v>
      </x:c>
      <x:c r="I593" s="215" t="str">
        <x:v>Naked eye or hand lens</x:v>
      </x:c>
      <x:c r="J593" s="215" t="str">
        <x:v>Fresh leafy shoots</x:v>
      </x:c>
      <x:c r="K593" s="215" t="str">
        <x:v>White sap from a broken petiole or twig is a strong clue in many members.</x:v>
      </x:c>
      <x:c r="L593" s="215" t="str">
        <x:v>Latex can be sparse or absent, and other families also have milky sap; avoid unnecessary damage.</x:v>
      </x:c>
      <x:c r="M593" s="215" t="str">
        <x:v>Use as supporting evidence with stipules and fruit construction.</x:v>
      </x:c>
      <x:c r="N593" s="215" t="str">
        <x:v>Mulberries, bois d'arc, and fig relatives make latex, stipules, and multiple-fruit construction practical Central Texas characters.</x:v>
      </x:c>
      <x:c r="O593" s="215" t="str">
        <x:v>Low</x:v>
      </x:c>
      <x:c r="P593" s="215" t="str">
        <x:v>No</x:v>
      </x:c>
      <x:c r="Q593" s="215" t="str"/>
      <x:c r="R593" s="215" t="str">
        <x:v>MOR-LK01; MOR-LK02</x:v>
      </x:c>
      <x:c r="S593" s="215" t="str">
        <x:v>APWEB-MORA; FNA-MORA; POWO-MORA; LBJ-HAYS</x:v>
      </x:c>
      <x:c r="T593" s="215" t="str">
        <x:v>https://www.mobot.org/MOBOT/research/APweb/orders/rosalesweb.htm</x:v>
      </x:c>
      <x:c r="U593" s="215" t="str">
        <x:v>https://floranorthamerica.org/Moraceae</x:v>
      </x:c>
      <x:c r="V593" s="215" t="str">
        <x:v>https://powo.science.kew.org/taxon/urn:lsid:ipni.org:names:30000043-2/general-information</x:v>
      </x:c>
      <x:c r="W593" s="215" t="str">
        <x:v>https://www.mobot.org/MOBOT/research/APweb/orders/rosalesweb.htm
https://floranorthamerica.org/Moraceae
https://powo.science.kew.org/taxon/urn:lsid:ipni.org:names:30000043-2/general-information
https://www.wildflower.org/collections/collection.php?collection=hays</x:v>
      </x:c>
      <x:c r="X593" s="215" t="str">
        <x:v>No — retain qualifiers and exceptions</x:v>
      </x:c>
      <x:c r="Y593" s="215" t="str">
        <x:v>Yes</x:v>
      </x:c>
      <x:c r="Z593" s="215" t="str">
        <x:v>Source-backed draft</x:v>
      </x:c>
      <x:c r="AA593" s="215" t="str">
        <x:v>Family pattern</x:v>
      </x:c>
      <x:c r="AB593" s="215" t="str">
        <x:v>Positive diagnostic</x:v>
      </x:c>
      <x:c r="AC593" s="215" t="str">
        <x:v>High</x:v>
      </x:c>
      <x:c r="AD593" s="215" t="str">
        <x:v>Hand lens / macro</x:v>
      </x:c>
      <x:c r="AE593" s="215" t="str">
        <x:v>Low</x:v>
      </x:c>
      <x:c r="AF593" s="215" t="str">
        <x:v>Field-ready draft</x:v>
      </x:c>
      <x:c r="AG593" s="215" t="str">
        <x:v>2 — Field-photo priority</x:v>
      </x:c>
      <x:c r="AH593" s="215" t="str">
        <x:v>Current master inventory</x:v>
      </x:c>
    </x:row>
    <x:row r="594" ht="42" customHeight="1">
      <x:c r="A594" s="215" t="str">
        <x:v>Moraceae</x:v>
      </x:c>
      <x:c r="B594" s="215" t="str">
        <x:v>MOR-LEAVES</x:v>
      </x:c>
      <x:c r="C594" s="215" t="str">
        <x:v>Family character</x:v>
      </x:c>
      <x:c r="D594" s="215" t="str">
        <x:v>Leaves / stipules</x:v>
      </x:c>
      <x:c r="E594" s="215" t="str">
        <x:v>Leaves usually alternate and simple, with stipules that may persist or fall; blades entire, toothed, or lobed</x:v>
      </x:c>
      <x:c r="F594" s="215" t="str">
        <x:v>Strong</x:v>
      </x:c>
      <x:c r="G594" s="215" t="str">
        <x:v>3</x:v>
      </x:c>
      <x:c r="H594" s="215" t="str">
        <x:v>High</x:v>
      </x:c>
      <x:c r="I594" s="215" t="str">
        <x:v>Naked eye or hand lens</x:v>
      </x:c>
      <x:c r="J594" s="215" t="str">
        <x:v>Leafy shoots</x:v>
      </x:c>
      <x:c r="K594" s="215" t="str">
        <x:v>Stipules often wrap the young shoot and leave ringlike or paired scars.</x:v>
      </x:c>
      <x:c r="L594" s="215" t="str">
        <x:v>Rare arrangements occur, and stipules may be gone.</x:v>
      </x:c>
      <x:c r="M594" s="215" t="str">
        <x:v>Inspect young nodes and several mature leaves.</x:v>
      </x:c>
      <x:c r="N594" s="215" t="str">
        <x:v>Mulberries, bois d'arc, and fig relatives make latex, stipules, and multiple-fruit construction practical Central Texas characters.</x:v>
      </x:c>
      <x:c r="O594" s="215" t="str">
        <x:v>Low</x:v>
      </x:c>
      <x:c r="P594" s="215" t="str">
        <x:v>No</x:v>
      </x:c>
      <x:c r="Q594" s="215" t="str"/>
      <x:c r="R594" s="215" t="str"/>
      <x:c r="S594" s="215" t="str">
        <x:v>APWEB-MORA; FNA-MORA; POWO-MORA; LBJ-HAYS</x:v>
      </x:c>
      <x:c r="T594" s="215" t="str">
        <x:v>https://www.mobot.org/MOBOT/research/APweb/orders/rosalesweb.htm</x:v>
      </x:c>
      <x:c r="U594" s="215" t="str">
        <x:v>https://floranorthamerica.org/Moraceae</x:v>
      </x:c>
      <x:c r="V594" s="215" t="str">
        <x:v>https://powo.science.kew.org/taxon/urn:lsid:ipni.org:names:30000043-2/general-information</x:v>
      </x:c>
      <x:c r="W594" s="215" t="str">
        <x:v>https://www.mobot.org/MOBOT/research/APweb/orders/rosalesweb.htm
https://floranorthamerica.org/Moraceae
https://powo.science.kew.org/taxon/urn:lsid:ipni.org:names:30000043-2/general-information
https://www.wildflower.org/collections/collection.php?collection=hays</x:v>
      </x:c>
      <x:c r="X594" s="215" t="str">
        <x:v>No — retain qualifiers and exceptions</x:v>
      </x:c>
      <x:c r="Y594" s="215" t="str">
        <x:v>Yes</x:v>
      </x:c>
      <x:c r="Z594" s="215" t="str">
        <x:v>Source-backed draft</x:v>
      </x:c>
      <x:c r="AA594" s="215" t="str">
        <x:v>Family pattern</x:v>
      </x:c>
      <x:c r="AB594" s="215" t="str">
        <x:v>Positive diagnostic</x:v>
      </x:c>
      <x:c r="AC594" s="215" t="str">
        <x:v>High</x:v>
      </x:c>
      <x:c r="AD594" s="215" t="str">
        <x:v>Hand lens / macro</x:v>
      </x:c>
      <x:c r="AE594" s="215" t="str">
        <x:v>Low</x:v>
      </x:c>
      <x:c r="AF594" s="215" t="str">
        <x:v>Field-ready draft</x:v>
      </x:c>
      <x:c r="AG594" s="215" t="str">
        <x:v>3 — Reference support</x:v>
      </x:c>
      <x:c r="AH594" s="215" t="str">
        <x:v>Current master inventory</x:v>
      </x:c>
    </x:row>
    <x:row r="595" ht="42" customHeight="1">
      <x:c r="A595" s="215" t="str">
        <x:v>Moraceae</x:v>
      </x:c>
      <x:c r="B595" s="215" t="str">
        <x:v>MOR-INFLO</x:v>
      </x:c>
      <x:c r="C595" s="215" t="str">
        <x:v>Family character</x:v>
      </x:c>
      <x:c r="D595" s="215" t="str">
        <x:v>Inflorescence</x:v>
      </x:c>
      <x:c r="E595" s="215" t="str">
        <x:v>Flowers crowded in racemes, heads, flattened receptacles, or enclosed syconia</x:v>
      </x:c>
      <x:c r="F595" s="215" t="str">
        <x:v>Strong</x:v>
      </x:c>
      <x:c r="G595" s="215" t="str">
        <x:v>4</x:v>
      </x:c>
      <x:c r="H595" s="215" t="str">
        <x:v>High</x:v>
      </x:c>
      <x:c r="I595" s="215" t="str">
        <x:v>Naked eye or hand lens</x:v>
      </x:c>
      <x:c r="J595" s="215" t="str">
        <x:v>Flowering or young fruit</x:v>
      </x:c>
      <x:c r="K595" s="215" t="str">
        <x:v>Many tiny flowers are packed into a structure that later becomes a multiple fruit.</x:v>
      </x:c>
      <x:c r="L595" s="215" t="str">
        <x:v>Inflorescence form differs sharply among mulberry, osage-orange, and fig lineages.</x:v>
      </x:c>
      <x:c r="M595" s="215" t="str">
        <x:v>Identify the cluster architecture before interpreting the fruit.</x:v>
      </x:c>
      <x:c r="N595" s="215" t="str">
        <x:v>Mulberries, bois d'arc, and fig relatives make latex, stipules, and multiple-fruit construction practical Central Texas characters.</x:v>
      </x:c>
      <x:c r="O595" s="215" t="str">
        <x:v>Low</x:v>
      </x:c>
      <x:c r="P595" s="215" t="str">
        <x:v>No</x:v>
      </x:c>
      <x:c r="Q595" s="215" t="str"/>
      <x:c r="R595" s="215" t="str"/>
      <x:c r="S595" s="215" t="str">
        <x:v>APWEB-MORA; FNA-MORA; POWO-MORA; LBJ-HAYS</x:v>
      </x:c>
      <x:c r="T595" s="215" t="str">
        <x:v>https://www.mobot.org/MOBOT/research/APweb/orders/rosalesweb.htm</x:v>
      </x:c>
      <x:c r="U595" s="215" t="str">
        <x:v>https://floranorthamerica.org/Moraceae</x:v>
      </x:c>
      <x:c r="V595" s="215" t="str">
        <x:v>https://powo.science.kew.org/taxon/urn:lsid:ipni.org:names:30000043-2/general-information</x:v>
      </x:c>
      <x:c r="W595" s="215" t="str">
        <x:v>https://www.mobot.org/MOBOT/research/APweb/orders/rosalesweb.htm
https://floranorthamerica.org/Moraceae
https://powo.science.kew.org/taxon/urn:lsid:ipni.org:names:30000043-2/general-information
https://www.wildflower.org/collections/collection.php?collection=hays</x:v>
      </x:c>
      <x:c r="X595" s="215" t="str">
        <x:v>No — retain qualifiers and exceptions</x:v>
      </x:c>
      <x:c r="Y595" s="215" t="str">
        <x:v>Yes</x:v>
      </x:c>
      <x:c r="Z595" s="215" t="str">
        <x:v>Source-backed draft</x:v>
      </x:c>
      <x:c r="AA595" s="215" t="str">
        <x:v>Family pattern</x:v>
      </x:c>
      <x:c r="AB595" s="215" t="str">
        <x:v>Positive diagnostic</x:v>
      </x:c>
      <x:c r="AC595" s="215" t="str">
        <x:v>High</x:v>
      </x:c>
      <x:c r="AD595" s="215" t="str">
        <x:v>Hand lens / macro</x:v>
      </x:c>
      <x:c r="AE595" s="215" t="str">
        <x:v>Low</x:v>
      </x:c>
      <x:c r="AF595" s="215" t="str">
        <x:v>Field-ready draft</x:v>
      </x:c>
      <x:c r="AG595" s="215" t="str">
        <x:v>2 — Field-photo priority</x:v>
      </x:c>
      <x:c r="AH595" s="215" t="str">
        <x:v>Current master inventory</x:v>
      </x:c>
    </x:row>
    <x:row r="596" ht="42" customHeight="1">
      <x:c r="A596" s="215" t="str">
        <x:v>Moraceae</x:v>
      </x:c>
      <x:c r="B596" s="215" t="str">
        <x:v>MOR-FLOWER</x:v>
      </x:c>
      <x:c r="C596" s="215" t="str">
        <x:v>Family character</x:v>
      </x:c>
      <x:c r="D596" s="215" t="str">
        <x:v>Flowers</x:v>
      </x:c>
      <x:c r="E596" s="215" t="str">
        <x:v>Flowers small and unisexual, on the same or different plants; petals absent</x:v>
      </x:c>
      <x:c r="F596" s="215" t="str">
        <x:v>Strong</x:v>
      </x:c>
      <x:c r="G596" s="215" t="str">
        <x:v>3</x:v>
      </x:c>
      <x:c r="H596" s="215" t="str">
        <x:v>High</x:v>
      </x:c>
      <x:c r="I596" s="215" t="str">
        <x:v>Hand lens</x:v>
      </x:c>
      <x:c r="J596" s="215" t="str">
        <x:v>Fresh inflorescences</x:v>
      </x:c>
      <x:c r="K596" s="215" t="str">
        <x:v>Individual flowers are inconspicuous and reduced.</x:v>
      </x:c>
      <x:c r="L596" s="215" t="str">
        <x:v>Sex arrangement and receptacle form vary.</x:v>
      </x:c>
      <x:c r="M596" s="215" t="str">
        <x:v>Use hand-lens flower details only with the cluster structure.</x:v>
      </x:c>
      <x:c r="N596" s="215" t="str">
        <x:v>Mulberries, bois d'arc, and fig relatives make latex, stipules, and multiple-fruit construction practical Central Texas characters.</x:v>
      </x:c>
      <x:c r="O596" s="215" t="str">
        <x:v>Low</x:v>
      </x:c>
      <x:c r="P596" s="215" t="str">
        <x:v>No</x:v>
      </x:c>
      <x:c r="Q596" s="215" t="str"/>
      <x:c r="R596" s="215" t="str"/>
      <x:c r="S596" s="215" t="str">
        <x:v>APWEB-MORA; FNA-MORA; POWO-MORA; LBJ-HAYS</x:v>
      </x:c>
      <x:c r="T596" s="215" t="str">
        <x:v>https://www.mobot.org/MOBOT/research/APweb/orders/rosalesweb.htm</x:v>
      </x:c>
      <x:c r="U596" s="215" t="str">
        <x:v>https://floranorthamerica.org/Moraceae</x:v>
      </x:c>
      <x:c r="V596" s="215" t="str">
        <x:v>https://powo.science.kew.org/taxon/urn:lsid:ipni.org:names:30000043-2/general-information</x:v>
      </x:c>
      <x:c r="W596" s="215" t="str">
        <x:v>https://www.mobot.org/MOBOT/research/APweb/orders/rosalesweb.htm
https://floranorthamerica.org/Moraceae
https://powo.science.kew.org/taxon/urn:lsid:ipni.org:names:30000043-2/general-information
https://www.wildflower.org/collections/collection.php?collection=hays</x:v>
      </x:c>
      <x:c r="X596" s="215" t="str">
        <x:v>No — retain qualifiers and exceptions</x:v>
      </x:c>
      <x:c r="Y596" s="215" t="str">
        <x:v>Yes</x:v>
      </x:c>
      <x:c r="Z596" s="215" t="str">
        <x:v>Source-backed draft</x:v>
      </x:c>
      <x:c r="AA596" s="215" t="str">
        <x:v>Family pattern</x:v>
      </x:c>
      <x:c r="AB596" s="215" t="str">
        <x:v>Positive diagnostic</x:v>
      </x:c>
      <x:c r="AC596" s="215" t="str">
        <x:v>High</x:v>
      </x:c>
      <x:c r="AD596" s="215" t="str">
        <x:v>Hand lens / macro</x:v>
      </x:c>
      <x:c r="AE596" s="215" t="str">
        <x:v>Low</x:v>
      </x:c>
      <x:c r="AF596" s="215" t="str">
        <x:v>Field-ready draft</x:v>
      </x:c>
      <x:c r="AG596" s="215" t="str">
        <x:v>3 — Reference support</x:v>
      </x:c>
      <x:c r="AH596" s="215" t="str">
        <x:v>Current master inventory</x:v>
      </x:c>
    </x:row>
    <x:row r="597" ht="42" customHeight="1">
      <x:c r="A597" s="215" t="str">
        <x:v>Moraceae</x:v>
      </x:c>
      <x:c r="B597" s="215" t="str">
        <x:v>MOR-STAMENS</x:v>
      </x:c>
      <x:c r="C597" s="215" t="str">
        <x:v>Family character</x:v>
      </x:c>
      <x:c r="D597" s="215" t="str">
        <x:v>Stamens</x:v>
      </x:c>
      <x:c r="E597" s="215" t="str">
        <x:v>Stamens usually equal in number to and opposite the sepals; filaments straight or inflexed</x:v>
      </x:c>
      <x:c r="F597" s="215" t="str">
        <x:v>Supporting</x:v>
      </x:c>
      <x:c r="G597" s="215" t="str">
        <x:v>2</x:v>
      </x:c>
      <x:c r="H597" s="215" t="str">
        <x:v>High</x:v>
      </x:c>
      <x:c r="I597" s="215" t="str">
        <x:v>Hand lens or dissection</x:v>
      </x:c>
      <x:c r="J597" s="215" t="str">
        <x:v>Fresh staminate flowers</x:v>
      </x:c>
      <x:c r="K597" s="215" t="str">
        <x:v>The stamen-perianth relationship supports Moraceae under magnification.</x:v>
      </x:c>
      <x:c r="L597" s="215" t="str">
        <x:v>Counts and filament posture vary by genus.</x:v>
      </x:c>
      <x:c r="M597" s="215" t="str">
        <x:v>Treat as a supporting microscopic character.</x:v>
      </x:c>
      <x:c r="N597" s="215" t="str">
        <x:v>Mulberries, bois d'arc, and fig relatives make latex, stipules, and multiple-fruit construction practical Central Texas characters.</x:v>
      </x:c>
      <x:c r="O597" s="215" t="str">
        <x:v>Low</x:v>
      </x:c>
      <x:c r="P597" s="215" t="str">
        <x:v>No</x:v>
      </x:c>
      <x:c r="Q597" s="215" t="str"/>
      <x:c r="R597" s="215" t="str"/>
      <x:c r="S597" s="215" t="str">
        <x:v>APWEB-MORA; FNA-MORA; POWO-MORA; LBJ-HAYS</x:v>
      </x:c>
      <x:c r="T597" s="215" t="str">
        <x:v>https://www.mobot.org/MOBOT/research/APweb/orders/rosalesweb.htm</x:v>
      </x:c>
      <x:c r="U597" s="215" t="str">
        <x:v>https://floranorthamerica.org/Moraceae</x:v>
      </x:c>
      <x:c r="V597" s="215" t="str">
        <x:v>https://powo.science.kew.org/taxon/urn:lsid:ipni.org:names:30000043-2/general-information</x:v>
      </x:c>
      <x:c r="W597" s="215" t="str">
        <x:v>https://www.mobot.org/MOBOT/research/APweb/orders/rosalesweb.htm
https://floranorthamerica.org/Moraceae
https://powo.science.kew.org/taxon/urn:lsid:ipni.org:names:30000043-2/general-information
https://www.wildflower.org/collections/collection.php?collection=hays</x:v>
      </x:c>
      <x:c r="X597" s="215" t="str">
        <x:v>No — retain qualifiers and exceptions</x:v>
      </x:c>
      <x:c r="Y597" s="215" t="str">
        <x:v>Yes</x:v>
      </x:c>
      <x:c r="Z597" s="215" t="str">
        <x:v>Source-backed draft</x:v>
      </x:c>
      <x:c r="AA597" s="215" t="str">
        <x:v>Family pattern</x:v>
      </x:c>
      <x:c r="AB597" s="215" t="str">
        <x:v>Supporting / route</x:v>
      </x:c>
      <x:c r="AC597" s="215" t="str">
        <x:v>High</x:v>
      </x:c>
      <x:c r="AD597" s="215" t="str">
        <x:v>Dissection</x:v>
      </x:c>
      <x:c r="AE597" s="215" t="str">
        <x:v>Low</x:v>
      </x:c>
      <x:c r="AF597" s="215" t="str">
        <x:v>Dissection / close study</x:v>
      </x:c>
      <x:c r="AG597" s="215" t="str">
        <x:v>4 — Context / caution</x:v>
      </x:c>
      <x:c r="AH597" s="215" t="str">
        <x:v>Current master inventory</x:v>
      </x:c>
    </x:row>
    <x:row r="598" ht="42" customHeight="1">
      <x:c r="A598" s="215" t="str">
        <x:v>Moraceae</x:v>
      </x:c>
      <x:c r="B598" s="215" t="str">
        <x:v>MOR-OVARY</x:v>
      </x:c>
      <x:c r="C598" s="215" t="str">
        <x:v>Family character</x:v>
      </x:c>
      <x:c r="D598" s="215" t="str">
        <x:v>Gynoecium</x:v>
      </x:c>
      <x:c r="E598" s="215" t="str">
        <x:v>Ovary superior or inferior, usually 1-locular with one ovule; one or two style branches</x:v>
      </x:c>
      <x:c r="F598" s="215" t="str">
        <x:v>Moderate</x:v>
      </x:c>
      <x:c r="G598" s="215" t="str">
        <x:v>3</x:v>
      </x:c>
      <x:c r="H598" s="215" t="str">
        <x:v>High</x:v>
      </x:c>
      <x:c r="I598" s="215" t="str">
        <x:v>Hand lens or dissection</x:v>
      </x:c>
      <x:c r="J598" s="215" t="str">
        <x:v>Fresh pistillate flowers</x:v>
      </x:c>
      <x:c r="K598" s="215" t="str">
        <x:v>Each tiny female flower normally forms one achene or drupelet.</x:v>
      </x:c>
      <x:c r="L598" s="215" t="str">
        <x:v>Ovary position varies, so it cannot be coded universally.</x:v>
      </x:c>
      <x:c r="M598" s="215" t="str">
        <x:v>Use the one-seeded unit within a multiple fruit.</x:v>
      </x:c>
      <x:c r="N598" s="215" t="str">
        <x:v>Mulberries, bois d'arc, and fig relatives make latex, stipules, and multiple-fruit construction practical Central Texas characters.</x:v>
      </x:c>
      <x:c r="O598" s="215" t="str">
        <x:v>Low</x:v>
      </x:c>
      <x:c r="P598" s="215" t="str">
        <x:v>No</x:v>
      </x:c>
      <x:c r="Q598" s="215" t="str"/>
      <x:c r="R598" s="215" t="str"/>
      <x:c r="S598" s="215" t="str">
        <x:v>APWEB-MORA; FNA-MORA; POWO-MORA; LBJ-HAYS</x:v>
      </x:c>
      <x:c r="T598" s="215" t="str">
        <x:v>https://www.mobot.org/MOBOT/research/APweb/orders/rosalesweb.htm</x:v>
      </x:c>
      <x:c r="U598" s="215" t="str">
        <x:v>https://floranorthamerica.org/Moraceae</x:v>
      </x:c>
      <x:c r="V598" s="215" t="str">
        <x:v>https://powo.science.kew.org/taxon/urn:lsid:ipni.org:names:30000043-2/general-information</x:v>
      </x:c>
      <x:c r="W598" s="215" t="str">
        <x:v>https://www.mobot.org/MOBOT/research/APweb/orders/rosalesweb.htm
https://floranorthamerica.org/Moraceae
https://powo.science.kew.org/taxon/urn:lsid:ipni.org:names:30000043-2/general-information
https://www.wildflower.org/collections/collection.php?collection=hays</x:v>
      </x:c>
      <x:c r="X598" s="215" t="str">
        <x:v>No — retain qualifiers and exceptions</x:v>
      </x:c>
      <x:c r="Y598" s="215" t="str">
        <x:v>Yes</x:v>
      </x:c>
      <x:c r="Z598" s="215" t="str">
        <x:v>Source-backed draft</x:v>
      </x:c>
      <x:c r="AA598" s="215" t="str">
        <x:v>Family pattern</x:v>
      </x:c>
      <x:c r="AB598" s="215" t="str">
        <x:v>Supporting / route</x:v>
      </x:c>
      <x:c r="AC598" s="215" t="str">
        <x:v>High</x:v>
      </x:c>
      <x:c r="AD598" s="215" t="str">
        <x:v>Dissection</x:v>
      </x:c>
      <x:c r="AE598" s="215" t="str">
        <x:v>Low</x:v>
      </x:c>
      <x:c r="AF598" s="215" t="str">
        <x:v>Dissection / close study</x:v>
      </x:c>
      <x:c r="AG598" s="215" t="str">
        <x:v>3 — Reference support</x:v>
      </x:c>
      <x:c r="AH598" s="215" t="str">
        <x:v>Current master inventory</x:v>
      </x:c>
    </x:row>
    <x:row r="599" ht="42" customHeight="1">
      <x:c r="A599" s="215" t="str">
        <x:v>Moraceae</x:v>
      </x:c>
      <x:c r="B599" s="215" t="str">
        <x:v>MOR-FRUIT</x:v>
      </x:c>
      <x:c r="C599" s="215" t="str">
        <x:v>Family character</x:v>
      </x:c>
      <x:c r="D599" s="215" t="str">
        <x:v>Fruit</x:v>
      </x:c>
      <x:c r="E599" s="215" t="str">
        <x:v>Fruit multiple: many achenes or drupelets united or enclosed by enlarged calyces or a common receptacle</x:v>
      </x:c>
      <x:c r="F599" s="215" t="str">
        <x:v>Strong</x:v>
      </x:c>
      <x:c r="G599" s="215" t="str">
        <x:v>5</x:v>
      </x:c>
      <x:c r="H599" s="215" t="str">
        <x:v>High</x:v>
      </x:c>
      <x:c r="I599" s="215" t="str">
        <x:v>Naked eye or hand lens</x:v>
      </x:c>
      <x:c r="J599" s="215" t="str">
        <x:v>Mature fruit</x:v>
      </x:c>
      <x:c r="K599" s="215" t="str">
        <x:v>A mulberry, osage-orange ball, or fig is built from many flowers, not one ovary.</x:v>
      </x:c>
      <x:c r="L599" s="215" t="str">
        <x:v>Multiple-fruit appearance varies drastically across genera.</x:v>
      </x:c>
      <x:c r="M599" s="215" t="str">
        <x:v>Look for repeated one-seeded units or the enclosing receptacle.</x:v>
      </x:c>
      <x:c r="N599" s="215" t="str">
        <x:v>Mulberries, bois d'arc, and fig relatives make latex, stipules, and multiple-fruit construction practical Central Texas characters.</x:v>
      </x:c>
      <x:c r="O599" s="215" t="str">
        <x:v>Low</x:v>
      </x:c>
      <x:c r="P599" s="215" t="str">
        <x:v>No</x:v>
      </x:c>
      <x:c r="Q599" s="215" t="str"/>
      <x:c r="R599" s="215" t="str">
        <x:v>MOR-LK01; MOR-LK02</x:v>
      </x:c>
      <x:c r="S599" s="215" t="str">
        <x:v>APWEB-MORA; FNA-MORA; POWO-MORA; LBJ-HAYS</x:v>
      </x:c>
      <x:c r="T599" s="215" t="str">
        <x:v>https://www.mobot.org/MOBOT/research/APweb/orders/rosalesweb.htm</x:v>
      </x:c>
      <x:c r="U599" s="215" t="str">
        <x:v>https://floranorthamerica.org/Moraceae</x:v>
      </x:c>
      <x:c r="V599" s="215" t="str">
        <x:v>https://powo.science.kew.org/taxon/urn:lsid:ipni.org:names:30000043-2/general-information</x:v>
      </x:c>
      <x:c r="W599" s="215" t="str">
        <x:v>https://www.mobot.org/MOBOT/research/APweb/orders/rosalesweb.htm
https://floranorthamerica.org/Moraceae
https://powo.science.kew.org/taxon/urn:lsid:ipni.org:names:30000043-2/general-information
https://www.wildflower.org/collections/collection.php?collection=hays</x:v>
      </x:c>
      <x:c r="X599" s="215" t="str">
        <x:v>No — retain qualifiers and exceptions</x:v>
      </x:c>
      <x:c r="Y599" s="215" t="str">
        <x:v>Yes</x:v>
      </x:c>
      <x:c r="Z599" s="215" t="str">
        <x:v>Source-backed draft</x:v>
      </x:c>
      <x:c r="AA599" s="215" t="str">
        <x:v>Family pattern</x:v>
      </x:c>
      <x:c r="AB599" s="215" t="str">
        <x:v>Positive diagnostic</x:v>
      </x:c>
      <x:c r="AC599" s="215" t="str">
        <x:v>High</x:v>
      </x:c>
      <x:c r="AD599" s="215" t="str">
        <x:v>Hand lens / macro</x:v>
      </x:c>
      <x:c r="AE599" s="215" t="str">
        <x:v>Low</x:v>
      </x:c>
      <x:c r="AF599" s="215" t="str">
        <x:v>Field-ready draft</x:v>
      </x:c>
      <x:c r="AG599" s="215" t="str">
        <x:v>2 — Field-photo priority</x:v>
      </x:c>
      <x:c r="AH599" s="215" t="str">
        <x:v>Current master inventory</x:v>
      </x:c>
    </x:row>
    <x:row r="600" ht="42" customHeight="1">
      <x:c r="A600" s="215" t="str">
        <x:v>Moraceae</x:v>
      </x:c>
      <x:c r="B600" s="215" t="str">
        <x:v>MOR-CYSTOLITH</x:v>
      </x:c>
      <x:c r="C600" s="215" t="str">
        <x:v>Family character</x:v>
      </x:c>
      <x:c r="D600" s="215" t="str">
        <x:v>Leaves / anatomy</x:v>
      </x:c>
      <x:c r="E600" s="215" t="str">
        <x:v>Cystolith mineral bodies often occur in epidermal cells</x:v>
      </x:c>
      <x:c r="F600" s="215" t="str">
        <x:v>Supporting</x:v>
      </x:c>
      <x:c r="G600" s="215" t="str">
        <x:v>1</x:v>
      </x:c>
      <x:c r="H600" s="215" t="str">
        <x:v>High</x:v>
      </x:c>
      <x:c r="I600" s="215" t="str">
        <x:v>High magnification</x:v>
      </x:c>
      <x:c r="J600" s="215" t="str">
        <x:v>Mature leaves</x:v>
      </x:c>
      <x:c r="K600" s="215" t="str">
        <x:v>Mineral deposits can create roughness or pale dots in some leaves.</x:v>
      </x:c>
      <x:c r="L600" s="215" t="str">
        <x:v>This usually requires magnification and is not universal or practical alone.</x:v>
      </x:c>
      <x:c r="M600" s="215" t="str">
        <x:v>Use only as laboratory or high-magnification support.</x:v>
      </x:c>
      <x:c r="N600" s="215" t="str">
        <x:v>Mulberries, bois d'arc, and fig relatives make latex, stipules, and multiple-fruit construction practical Central Texas characters.</x:v>
      </x:c>
      <x:c r="O600" s="215" t="str">
        <x:v>Low</x:v>
      </x:c>
      <x:c r="P600" s="215" t="str">
        <x:v>No</x:v>
      </x:c>
      <x:c r="Q600" s="215" t="str"/>
      <x:c r="R600" s="215" t="str"/>
      <x:c r="S600" s="215" t="str">
        <x:v>APWEB-MORA; FNA-MORA; POWO-MORA; LBJ-HAYS</x:v>
      </x:c>
      <x:c r="T600" s="215" t="str">
        <x:v>https://www.mobot.org/MOBOT/research/APweb/orders/rosalesweb.htm</x:v>
      </x:c>
      <x:c r="U600" s="215" t="str">
        <x:v>https://floranorthamerica.org/Moraceae</x:v>
      </x:c>
      <x:c r="V600" s="215" t="str">
        <x:v>https://powo.science.kew.org/taxon/urn:lsid:ipni.org:names:30000043-2/general-information</x:v>
      </x:c>
      <x:c r="W600" s="215" t="str">
        <x:v>https://www.mobot.org/MOBOT/research/APweb/orders/rosalesweb.htm
https://floranorthamerica.org/Moraceae
https://powo.science.kew.org/taxon/urn:lsid:ipni.org:names:30000043-2/general-information
https://www.wildflower.org/collections/collection.php?collection=hays</x:v>
      </x:c>
      <x:c r="X600" s="215" t="str">
        <x:v>No — retain qualifiers and exceptions</x:v>
      </x:c>
      <x:c r="Y600" s="215" t="str">
        <x:v>Yes</x:v>
      </x:c>
      <x:c r="Z600" s="215" t="str">
        <x:v>Source-backed draft</x:v>
      </x:c>
      <x:c r="AA600" s="215" t="str">
        <x:v>Family pattern</x:v>
      </x:c>
      <x:c r="AB600" s="215" t="str">
        <x:v>Supporting / route</x:v>
      </x:c>
      <x:c r="AC600" s="215" t="str">
        <x:v>High</x:v>
      </x:c>
      <x:c r="AD600" s="215" t="str">
        <x:v>Microscope</x:v>
      </x:c>
      <x:c r="AE600" s="215" t="str">
        <x:v>Low</x:v>
      </x:c>
      <x:c r="AF600" s="215" t="str">
        <x:v>Specialist / reference</x:v>
      </x:c>
      <x:c r="AG600" s="215" t="str">
        <x:v>4 — Context / caution</x:v>
      </x:c>
      <x:c r="AH600" s="215" t="str">
        <x:v>Current master inventory</x:v>
      </x:c>
    </x:row>
    <x:row r="601" ht="42" customHeight="1">
      <x:c r="A601" s="215" t="str">
        <x:v>Moraceae</x:v>
      </x:c>
      <x:c r="B601" s="215" t="str">
        <x:v>MOR-LK01</x:v>
      </x:c>
      <x:c r="C601" s="215" t="str">
        <x:v>Lookalike comparison</x:v>
      </x:c>
      <x:c r="D601" s="215" t="str">
        <x:v>Lookalike</x:v>
      </x:c>
      <x:c r="E601" s="215" t="str">
        <x:v>Versus Urticaceae: frequent milky sap and fleshy multiple fruits favor Moraceae; stinging hairs and dry achene clusters favor many Urticaceae</x:v>
      </x:c>
      <x:c r="F601" s="215" t="str">
        <x:v>Lookalike</x:v>
      </x:c>
      <x:c r="G601" s="215" t="str">
        <x:v>5</x:v>
      </x:c>
      <x:c r="H601" s="215" t="str">
        <x:v>High</x:v>
      </x:c>
      <x:c r="I601" s="215" t="str">
        <x:v>Naked eye or hand lens</x:v>
      </x:c>
      <x:c r="J601" s="215" t="str">
        <x:v>Leafy fruiting material</x:v>
      </x:c>
      <x:c r="K601" s="215" t="str">
        <x:v>The families are close relatives and share small flowers, stipules, and cystoliths.</x:v>
      </x:c>
      <x:c r="L601" s="215" t="str">
        <x:v>Not all nettles sting and not all Moraceae show obvious latex.</x:v>
      </x:c>
      <x:c r="M601" s="215" t="str">
        <x:v>Use fruit construction and hairs as a suite; retain for reciprocal review.</x:v>
      </x:c>
      <x:c r="N601" s="215" t="str">
        <x:v>Mulberries, bois d'arc, and fig relatives make latex, stipules, and multiple-fruit construction practical Central Texas characters.</x:v>
      </x:c>
      <x:c r="O601" s="215" t="str">
        <x:v>Medium</x:v>
      </x:c>
      <x:c r="P601" s="215" t="str">
        <x:v>Yes</x:v>
      </x:c>
      <x:c r="Q601" s="215" t="str">
        <x:v>Reciprocal Urticaceae family and lookalike rows are not yet in the working master.</x:v>
      </x:c>
      <x:c r="R601" s="215" t="str">
        <x:v>MOR-SAP; MOR-INFLO; MOR-FRUIT</x:v>
      </x:c>
      <x:c r="S601" s="215" t="str">
        <x:v>APWEB-MORA; FNA-MORA; POWO-MORA; LBJ-HAYS</x:v>
      </x:c>
      <x:c r="T601" s="215" t="str">
        <x:v>https://www.mobot.org/MOBOT/research/APweb/orders/rosalesweb.htm</x:v>
      </x:c>
      <x:c r="U601" s="215" t="str">
        <x:v>https://floranorthamerica.org/Moraceae</x:v>
      </x:c>
      <x:c r="V601" s="215" t="str">
        <x:v>https://powo.science.kew.org/taxon/urn:lsid:ipni.org:names:30000043-2/general-information</x:v>
      </x:c>
      <x:c r="W601" s="215" t="str">
        <x:v>https://www.mobot.org/MOBOT/research/APweb/orders/rosalesweb.htm
https://floranorthamerica.org/Moraceae
https://powo.science.kew.org/taxon/urn:lsid:ipni.org:names:30000043-2/general-information
https://www.wildflower.org/collections/collection.php?collection=hays</x:v>
      </x:c>
      <x:c r="X601" s="215" t="str">
        <x:v>No — retain qualifiers and exceptions</x:v>
      </x:c>
      <x:c r="Y601" s="215" t="str">
        <x:v>Yes</x:v>
      </x:c>
      <x:c r="Z601" s="215" t="str">
        <x:v>Human review required</x:v>
      </x:c>
      <x:c r="AA601" s="215" t="str">
        <x:v>Lookalike comparison</x:v>
      </x:c>
      <x:c r="AB601" s="215" t="str">
        <x:v>Contrast / lookalike</x:v>
      </x:c>
      <x:c r="AC601" s="215" t="str">
        <x:v>High</x:v>
      </x:c>
      <x:c r="AD601" s="215" t="str">
        <x:v>Hand lens / macro</x:v>
      </x:c>
      <x:c r="AE601" s="215" t="str">
        <x:v>Moderate</x:v>
      </x:c>
      <x:c r="AF601" s="215" t="str">
        <x:v>Use only after review</x:v>
      </x:c>
      <x:c r="AG601" s="215" t="str">
        <x:v>1 — Human review now</x:v>
      </x:c>
      <x:c r="AH601" s="215" t="str">
        <x:v>Current master inventory</x:v>
      </x:c>
    </x:row>
    <x:row r="602" ht="42" customHeight="1">
      <x:c r="A602" s="215" t="str">
        <x:v>Moraceae</x:v>
      </x:c>
      <x:c r="B602" s="215" t="str">
        <x:v>MOR-LK02</x:v>
      </x:c>
      <x:c r="C602" s="215" t="str">
        <x:v>Lookalike comparison</x:v>
      </x:c>
      <x:c r="D602" s="215" t="str">
        <x:v>Lookalike</x:v>
      </x:c>
      <x:c r="E602" s="215" t="str">
        <x:v>Versus modern Ulmaceae: milky sap and multiple fruits favor Moraceae; watery sap with individual samaras favors elms</x:v>
      </x:c>
      <x:c r="F602" s="215" t="str">
        <x:v>Lookalike</x:v>
      </x:c>
      <x:c r="G602" s="215" t="str">
        <x:v>5</x:v>
      </x:c>
      <x:c r="H602" s="215" t="str">
        <x:v>High</x:v>
      </x:c>
      <x:c r="I602" s="215" t="str">
        <x:v>Naked eye or hand lens</x:v>
      </x:c>
      <x:c r="J602" s="215" t="str">
        <x:v>Mature fruit</x:v>
      </x:c>
      <x:c r="K602" s="215" t="str">
        <x:v>Both are rosid trees with alternate stipulate simple leaves.</x:v>
      </x:c>
      <x:c r="L602" s="215" t="str">
        <x:v>Hackberries belong in Cannabaceae under modern taxonomy and should not be used to broaden Ulmaceae fruit states.</x:v>
      </x:c>
      <x:c r="M602" s="215" t="str">
        <x:v>Use sap cautiously and prioritize whether the fruit comes from one flower or an entire inflorescence.</x:v>
      </x:c>
      <x:c r="N602" s="215" t="str">
        <x:v>Mulberries, bois d'arc, and fig relatives make latex, stipules, and multiple-fruit construction practical Central Texas characters.</x:v>
      </x:c>
      <x:c r="O602" s="215" t="str">
        <x:v>Low</x:v>
      </x:c>
      <x:c r="P602" s="215" t="str">
        <x:v>No</x:v>
      </x:c>
      <x:c r="Q602" s="215" t="str"/>
      <x:c r="R602" s="215" t="str">
        <x:v>MOR-SAP; MOR-FRUIT</x:v>
      </x:c>
      <x:c r="S602" s="215" t="str">
        <x:v>APWEB-MORA; FNA-MORA; POWO-MORA; LBJ-HAYS</x:v>
      </x:c>
      <x:c r="T602" s="215" t="str">
        <x:v>https://www.mobot.org/MOBOT/research/APweb/orders/rosalesweb.htm</x:v>
      </x:c>
      <x:c r="U602" s="215" t="str">
        <x:v>https://floranorthamerica.org/Moraceae</x:v>
      </x:c>
      <x:c r="V602" s="215" t="str">
        <x:v>https://powo.science.kew.org/taxon/urn:lsid:ipni.org:names:30000043-2/general-information</x:v>
      </x:c>
      <x:c r="W602" s="215" t="str">
        <x:v>https://www.mobot.org/MOBOT/research/APweb/orders/rosalesweb.htm
https://floranorthamerica.org/Moraceae
https://powo.science.kew.org/taxon/urn:lsid:ipni.org:names:30000043-2/general-information
https://www.wildflower.org/collections/collection.php?collection=hays</x:v>
      </x:c>
      <x:c r="X602" s="215" t="str">
        <x:v>No — retain qualifiers and exceptions</x:v>
      </x:c>
      <x:c r="Y602" s="215" t="str">
        <x:v>Yes</x:v>
      </x:c>
      <x:c r="Z602" s="215" t="str">
        <x:v>Source-backed draft</x:v>
      </x:c>
      <x:c r="AA602" s="215" t="str">
        <x:v>Lookalike comparison</x:v>
      </x:c>
      <x:c r="AB602" s="215" t="str">
        <x:v>Contrast / lookalike</x:v>
      </x:c>
      <x:c r="AC602" s="215" t="str">
        <x:v>High</x:v>
      </x:c>
      <x:c r="AD602" s="215" t="str">
        <x:v>Hand lens / macro</x:v>
      </x:c>
      <x:c r="AE602" s="215" t="str">
        <x:v>Low</x:v>
      </x:c>
      <x:c r="AF602" s="215" t="str">
        <x:v>Field-ready draft</x:v>
      </x:c>
      <x:c r="AG602" s="215" t="str">
        <x:v>2 — Field-photo priority</x:v>
      </x:c>
      <x:c r="AH602" s="215" t="str">
        <x:v>Current master inventory</x:v>
      </x:c>
    </x:row>
    <x:row r="603" ht="42" customHeight="1">
      <x:c r="A603" s="215" t="str">
        <x:v>Ulmaceae</x:v>
      </x:c>
      <x:c r="B603" s="215" t="str">
        <x:v>ULM-HABIT</x:v>
      </x:c>
      <x:c r="C603" s="215" t="str">
        <x:v>Modern family character</x:v>
      </x:c>
      <x:c r="D603" s="215" t="str">
        <x:v>Habit</x:v>
      </x:c>
      <x:c r="E603" s="215" t="str">
        <x:v>Deciduous trees or shrubs with watery sap</x:v>
      </x:c>
      <x:c r="F603" s="215" t="str">
        <x:v>Strong</x:v>
      </x:c>
      <x:c r="G603" s="215" t="str">
        <x:v>2</x:v>
      </x:c>
      <x:c r="H603" s="215" t="str">
        <x:v>High</x:v>
      </x:c>
      <x:c r="I603" s="215" t="str">
        <x:v>Naked eye or hand lens</x:v>
      </x:c>
      <x:c r="J603" s="215" t="str">
        <x:v>Any leafy material</x:v>
      </x:c>
      <x:c r="K603" s="215" t="str">
        <x:v>Modern Ulmaceae in the regional flora is chiefly represented by elms.</x:v>
      </x:c>
      <x:c r="L603" s="215" t="str">
        <x:v>Older floras included hackberries, broadening the family appearance.</x:v>
      </x:c>
      <x:c r="M603" s="215" t="str">
        <x:v>Use with the explicit taxonomy scope row.</x:v>
      </x:c>
      <x:c r="N603" s="215" t="str">
        <x:v>Elms are common Hays woodland and riparian trees; hackberries require modern Cannabaceae treatment rather than the older broad Ulmaceae concept.</x:v>
      </x:c>
      <x:c r="O603" s="215" t="str">
        <x:v>Low</x:v>
      </x:c>
      <x:c r="P603" s="215" t="str">
        <x:v>No</x:v>
      </x:c>
      <x:c r="Q603" s="215" t="str"/>
      <x:c r="R603" s="215" t="str"/>
      <x:c r="S603" s="215" t="str">
        <x:v>APWEB-ULMA; FNA-ULMA; POWO-ULMA; LBJ-HAYS</x:v>
      </x:c>
      <x:c r="T603" s="215" t="str">
        <x:v>https://www.mobot.org/MOBOT/research/APweb/orders/rosalesweb.htm</x:v>
      </x:c>
      <x:c r="U603" s="215" t="str">
        <x:v>https://efloras.org/florataxon.aspx?flora_id=1&amp;taxon_id=10928</x:v>
      </x:c>
      <x:c r="V603" s="215" t="str">
        <x:v>https://powo.science.kew.org/taxon/urn:lsid:ipni.org:names:77126716-1/general-information</x:v>
      </x:c>
      <x:c r="W603" s="215" t="str">
        <x:v>https://www.mobot.org/MOBOT/research/APweb/orders/rosalesweb.htm
https://efloras.org/florataxon.aspx?flora_id=1&amp;taxon_id=10928
https://powo.science.kew.org/taxon/urn:lsid:ipni.org:names:77126716-1/general-information
https://www.wildflower.org/collections/collection.php?collection=hays</x:v>
      </x:c>
      <x:c r="X603" s="215" t="str">
        <x:v>No — retain qualifiers and exceptions</x:v>
      </x:c>
      <x:c r="Y603" s="215" t="str">
        <x:v>Yes</x:v>
      </x:c>
      <x:c r="Z603" s="215" t="str">
        <x:v>Source-backed draft</x:v>
      </x:c>
      <x:c r="AA603" s="215" t="str">
        <x:v>Family pattern</x:v>
      </x:c>
      <x:c r="AB603" s="215" t="str">
        <x:v>Positive diagnostic</x:v>
      </x:c>
      <x:c r="AC603" s="215" t="str">
        <x:v>High</x:v>
      </x:c>
      <x:c r="AD603" s="215" t="str">
        <x:v>Hand lens / macro</x:v>
      </x:c>
      <x:c r="AE603" s="215" t="str">
        <x:v>Low</x:v>
      </x:c>
      <x:c r="AF603" s="215" t="str">
        <x:v>Field-ready draft</x:v>
      </x:c>
      <x:c r="AG603" s="215" t="str">
        <x:v>4 — Context / caution</x:v>
      </x:c>
      <x:c r="AH603" s="215" t="str">
        <x:v>Current master inventory</x:v>
      </x:c>
    </x:row>
    <x:row r="604" ht="42" customHeight="1">
      <x:c r="A604" s="215" t="str">
        <x:v>Ulmaceae</x:v>
      </x:c>
      <x:c r="B604" s="215" t="str">
        <x:v>ULM-LEAVES</x:v>
      </x:c>
      <x:c r="C604" s="215" t="str">
        <x:v>Modern/regional family character</x:v>
      </x:c>
      <x:c r="D604" s="215" t="str">
        <x:v>Leaves / stipules</x:v>
      </x:c>
      <x:c r="E604" s="215" t="str">
        <x:v>Leaves alternate, often two-ranked, simple, stipulate, with a commonly oblique base and serrate margin</x:v>
      </x:c>
      <x:c r="F604" s="215" t="str">
        <x:v>Strong</x:v>
      </x:c>
      <x:c r="G604" s="215" t="str">
        <x:v>4</x:v>
      </x:c>
      <x:c r="H604" s="215" t="str">
        <x:v>High</x:v>
      </x:c>
      <x:c r="I604" s="215" t="str">
        <x:v>Naked eye or hand lens</x:v>
      </x:c>
      <x:c r="J604" s="215" t="str">
        <x:v>Leafy shoots</x:v>
      </x:c>
      <x:c r="K604" s="215" t="str">
        <x:v>An uneven leaf base and strong parallel side veins are classic elm clues.</x:v>
      </x:c>
      <x:c r="L604" s="215" t="str">
        <x:v>Obliqueness varies and stipules fall early; hackberry-like leaves require Cannabaceae consideration.</x:v>
      </x:c>
      <x:c r="M604" s="215" t="str">
        <x:v>Inspect several mature leaves and twig nodes.</x:v>
      </x:c>
      <x:c r="N604" s="215" t="str">
        <x:v>Elms are common Hays woodland and riparian trees; hackberries require modern Cannabaceae treatment rather than the older broad Ulmaceae concept.</x:v>
      </x:c>
      <x:c r="O604" s="215" t="str">
        <x:v>Low</x:v>
      </x:c>
      <x:c r="P604" s="215" t="str">
        <x:v>No</x:v>
      </x:c>
      <x:c r="Q604" s="215" t="str"/>
      <x:c r="R604" s="215" t="str">
        <x:v>ULM-LK01; ULM-LK02</x:v>
      </x:c>
      <x:c r="S604" s="215" t="str">
        <x:v>APWEB-ULMA; FNA-ULMA; POWO-ULMA; LBJ-HAYS</x:v>
      </x:c>
      <x:c r="T604" s="215" t="str">
        <x:v>https://www.mobot.org/MOBOT/research/APweb/orders/rosalesweb.htm</x:v>
      </x:c>
      <x:c r="U604" s="215" t="str">
        <x:v>https://efloras.org/florataxon.aspx?flora_id=1&amp;taxon_id=10928</x:v>
      </x:c>
      <x:c r="V604" s="215" t="str">
        <x:v>https://powo.science.kew.org/taxon/urn:lsid:ipni.org:names:77126716-1/general-information</x:v>
      </x:c>
      <x:c r="W604" s="215" t="str">
        <x:v>https://www.mobot.org/MOBOT/research/APweb/orders/rosalesweb.htm
https://efloras.org/florataxon.aspx?flora_id=1&amp;taxon_id=10928
https://powo.science.kew.org/taxon/urn:lsid:ipni.org:names:77126716-1/general-information
https://www.wildflower.org/collections/collection.php?collection=hays</x:v>
      </x:c>
      <x:c r="X604" s="215" t="str">
        <x:v>No — retain qualifiers and exceptions</x:v>
      </x:c>
      <x:c r="Y604" s="215" t="str">
        <x:v>Yes</x:v>
      </x:c>
      <x:c r="Z604" s="215" t="str">
        <x:v>Source-backed draft</x:v>
      </x:c>
      <x:c r="AA604" s="215" t="str">
        <x:v>Family pattern</x:v>
      </x:c>
      <x:c r="AB604" s="215" t="str">
        <x:v>Positive diagnostic</x:v>
      </x:c>
      <x:c r="AC604" s="215" t="str">
        <x:v>High</x:v>
      </x:c>
      <x:c r="AD604" s="215" t="str">
        <x:v>Hand lens / macro</x:v>
      </x:c>
      <x:c r="AE604" s="215" t="str">
        <x:v>Low</x:v>
      </x:c>
      <x:c r="AF604" s="215" t="str">
        <x:v>Field-ready draft</x:v>
      </x:c>
      <x:c r="AG604" s="215" t="str">
        <x:v>2 — Field-photo priority</x:v>
      </x:c>
      <x:c r="AH604" s="215" t="str">
        <x:v>Current master inventory</x:v>
      </x:c>
    </x:row>
    <x:row r="605" ht="42" customHeight="1">
      <x:c r="A605" s="215" t="str">
        <x:v>Ulmaceae</x:v>
      </x:c>
      <x:c r="B605" s="215" t="str">
        <x:v>ULM-FLOWER</x:v>
      </x:c>
      <x:c r="C605" s="215" t="str">
        <x:v>Modern/regional family character</x:v>
      </x:c>
      <x:c r="D605" s="215" t="str">
        <x:v>Flowers</x:v>
      </x:c>
      <x:c r="E605" s="215" t="str">
        <x:v>Flowers small, petals absent, with a persistent 4–9-lobed calyx; usually bisexual in Ulmus</x:v>
      </x:c>
      <x:c r="F605" s="215" t="str">
        <x:v>Strong</x:v>
      </x:c>
      <x:c r="G605" s="215" t="str">
        <x:v>3</x:v>
      </x:c>
      <x:c r="H605" s="215" t="str">
        <x:v>High</x:v>
      </x:c>
      <x:c r="I605" s="215" t="str">
        <x:v>Naked eye or hand lens</x:v>
      </x:c>
      <x:c r="J605" s="215" t="str">
        <x:v>Fresh flowers</x:v>
      </x:c>
      <x:c r="K605" s="215" t="str">
        <x:v>Elm flowers are reduced and wind-pollinated, often appearing before leaves.</x:v>
      </x:c>
      <x:c r="L605" s="215" t="str">
        <x:v>Flower sexuality and timing vary across the broader historical treatment.</x:v>
      </x:c>
      <x:c r="M605" s="215" t="str">
        <x:v>Use on intact seasonal material and retain modern scope.</x:v>
      </x:c>
      <x:c r="N605" s="215" t="str">
        <x:v>Elms are common Hays woodland and riparian trees; hackberries require modern Cannabaceae treatment rather than the older broad Ulmaceae concept.</x:v>
      </x:c>
      <x:c r="O605" s="215" t="str">
        <x:v>Low</x:v>
      </x:c>
      <x:c r="P605" s="215" t="str">
        <x:v>No</x:v>
      </x:c>
      <x:c r="Q605" s="215" t="str"/>
      <x:c r="R605" s="215" t="str"/>
      <x:c r="S605" s="215" t="str">
        <x:v>APWEB-ULMA; FNA-ULMA; POWO-ULMA; LBJ-HAYS</x:v>
      </x:c>
      <x:c r="T605" s="215" t="str">
        <x:v>https://www.mobot.org/MOBOT/research/APweb/orders/rosalesweb.htm</x:v>
      </x:c>
      <x:c r="U605" s="215" t="str">
        <x:v>https://efloras.org/florataxon.aspx?flora_id=1&amp;taxon_id=10928</x:v>
      </x:c>
      <x:c r="V605" s="215" t="str">
        <x:v>https://powo.science.kew.org/taxon/urn:lsid:ipni.org:names:77126716-1/general-information</x:v>
      </x:c>
      <x:c r="W605" s="215" t="str">
        <x:v>https://www.mobot.org/MOBOT/research/APweb/orders/rosalesweb.htm
https://efloras.org/florataxon.aspx?flora_id=1&amp;taxon_id=10928
https://powo.science.kew.org/taxon/urn:lsid:ipni.org:names:77126716-1/general-information
https://www.wildflower.org/collections/collection.php?collection=hays</x:v>
      </x:c>
      <x:c r="X605" s="215" t="str">
        <x:v>No — retain qualifiers and exceptions</x:v>
      </x:c>
      <x:c r="Y605" s="215" t="str">
        <x:v>Yes</x:v>
      </x:c>
      <x:c r="Z605" s="215" t="str">
        <x:v>Source-backed draft</x:v>
      </x:c>
      <x:c r="AA605" s="215" t="str">
        <x:v>Family pattern</x:v>
      </x:c>
      <x:c r="AB605" s="215" t="str">
        <x:v>Positive diagnostic</x:v>
      </x:c>
      <x:c r="AC605" s="215" t="str">
        <x:v>High</x:v>
      </x:c>
      <x:c r="AD605" s="215" t="str">
        <x:v>Hand lens / macro</x:v>
      </x:c>
      <x:c r="AE605" s="215" t="str">
        <x:v>Low</x:v>
      </x:c>
      <x:c r="AF605" s="215" t="str">
        <x:v>Field-ready draft</x:v>
      </x:c>
      <x:c r="AG605" s="215" t="str">
        <x:v>3 — Reference support</x:v>
      </x:c>
      <x:c r="AH605" s="215" t="str">
        <x:v>Current master inventory</x:v>
      </x:c>
    </x:row>
    <x:row r="606" ht="42" customHeight="1">
      <x:c r="A606" s="215" t="str">
        <x:v>Ulmaceae</x:v>
      </x:c>
      <x:c r="B606" s="215" t="str">
        <x:v>ULM-STAMENS</x:v>
      </x:c>
      <x:c r="C606" s="215" t="str">
        <x:v>Modern/regional family character</x:v>
      </x:c>
      <x:c r="D606" s="215" t="str">
        <x:v>Stamens</x:v>
      </x:c>
      <x:c r="E606" s="215" t="str">
        <x:v>Stamens usually equal in number to and opposite the calyx lobes</x:v>
      </x:c>
      <x:c r="F606" s="215" t="str">
        <x:v>Strong</x:v>
      </x:c>
      <x:c r="G606" s="215" t="str">
        <x:v>3</x:v>
      </x:c>
      <x:c r="H606" s="215" t="str">
        <x:v>High</x:v>
      </x:c>
      <x:c r="I606" s="215" t="str">
        <x:v>Hand lens</x:v>
      </x:c>
      <x:c r="J606" s="215" t="str">
        <x:v>Fresh flowers</x:v>
      </x:c>
      <x:c r="K606" s="215" t="str">
        <x:v>The stamens align with the reduced perianth segments.</x:v>
      </x:c>
      <x:c r="L606" s="215" t="str">
        <x:v>Counts vary with calyx lobe number.</x:v>
      </x:c>
      <x:c r="M606" s="215" t="str">
        <x:v>Count under magnification only as supporting evidence.</x:v>
      </x:c>
      <x:c r="N606" s="215" t="str">
        <x:v>Elms are common Hays woodland and riparian trees; hackberries require modern Cannabaceae treatment rather than the older broad Ulmaceae concept.</x:v>
      </x:c>
      <x:c r="O606" s="215" t="str">
        <x:v>Low</x:v>
      </x:c>
      <x:c r="P606" s="215" t="str">
        <x:v>No</x:v>
      </x:c>
      <x:c r="Q606" s="215" t="str"/>
      <x:c r="R606" s="215" t="str"/>
      <x:c r="S606" s="215" t="str">
        <x:v>APWEB-ULMA; FNA-ULMA; POWO-ULMA; LBJ-HAYS</x:v>
      </x:c>
      <x:c r="T606" s="215" t="str">
        <x:v>https://www.mobot.org/MOBOT/research/APweb/orders/rosalesweb.htm</x:v>
      </x:c>
      <x:c r="U606" s="215" t="str">
        <x:v>https://efloras.org/florataxon.aspx?flora_id=1&amp;taxon_id=10928</x:v>
      </x:c>
      <x:c r="V606" s="215" t="str">
        <x:v>https://powo.science.kew.org/taxon/urn:lsid:ipni.org:names:77126716-1/general-information</x:v>
      </x:c>
      <x:c r="W606" s="215" t="str">
        <x:v>https://www.mobot.org/MOBOT/research/APweb/orders/rosalesweb.htm
https://efloras.org/florataxon.aspx?flora_id=1&amp;taxon_id=10928
https://powo.science.kew.org/taxon/urn:lsid:ipni.org:names:77126716-1/general-information
https://www.wildflower.org/collections/collection.php?collection=hays</x:v>
      </x:c>
      <x:c r="X606" s="215" t="str">
        <x:v>No — retain qualifiers and exceptions</x:v>
      </x:c>
      <x:c r="Y606" s="215" t="str">
        <x:v>Yes</x:v>
      </x:c>
      <x:c r="Z606" s="215" t="str">
        <x:v>Source-backed draft</x:v>
      </x:c>
      <x:c r="AA606" s="215" t="str">
        <x:v>Family pattern</x:v>
      </x:c>
      <x:c r="AB606" s="215" t="str">
        <x:v>Positive diagnostic</x:v>
      </x:c>
      <x:c r="AC606" s="215" t="str">
        <x:v>High</x:v>
      </x:c>
      <x:c r="AD606" s="215" t="str">
        <x:v>Hand lens / macro</x:v>
      </x:c>
      <x:c r="AE606" s="215" t="str">
        <x:v>Low</x:v>
      </x:c>
      <x:c r="AF606" s="215" t="str">
        <x:v>Field-ready draft</x:v>
      </x:c>
      <x:c r="AG606" s="215" t="str">
        <x:v>3 — Reference support</x:v>
      </x:c>
      <x:c r="AH606" s="215" t="str">
        <x:v>Current master inventory</x:v>
      </x:c>
    </x:row>
    <x:row r="607" ht="42" customHeight="1">
      <x:c r="A607" s="215" t="str">
        <x:v>Ulmaceae</x:v>
      </x:c>
      <x:c r="B607" s="215" t="str">
        <x:v>ULM-OVARY</x:v>
      </x:c>
      <x:c r="C607" s="215" t="str">
        <x:v>Modern/regional family character</x:v>
      </x:c>
      <x:c r="D607" s="215" t="str">
        <x:v>Gynoecium</x:v>
      </x:c>
      <x:c r="E607" s="215" t="str">
        <x:v>Ovary superior, 1–2-locular, with one pendulous ovule per locule and two style branches</x:v>
      </x:c>
      <x:c r="F607" s="215" t="str">
        <x:v>Strong</x:v>
      </x:c>
      <x:c r="G607" s="215" t="str">
        <x:v>3</x:v>
      </x:c>
      <x:c r="H607" s="215" t="str">
        <x:v>High</x:v>
      </x:c>
      <x:c r="I607" s="215" t="str">
        <x:v>Hand lens or dissection</x:v>
      </x:c>
      <x:c r="J607" s="215" t="str">
        <x:v>Fresh flowers</x:v>
      </x:c>
      <x:c r="K607" s="215" t="str">
        <x:v>The tiny ovary develops into a one-seeded winged fruit in elms.</x:v>
      </x:c>
      <x:c r="L607" s="215" t="str">
        <x:v>Internal locules are not practical without dissection.</x:v>
      </x:c>
      <x:c r="M607" s="215" t="str">
        <x:v>Use mature samara and persistent style notch instead.</x:v>
      </x:c>
      <x:c r="N607" s="215" t="str">
        <x:v>Elms are common Hays woodland and riparian trees; hackberries require modern Cannabaceae treatment rather than the older broad Ulmaceae concept.</x:v>
      </x:c>
      <x:c r="O607" s="215" t="str">
        <x:v>Low</x:v>
      </x:c>
      <x:c r="P607" s="215" t="str">
        <x:v>No</x:v>
      </x:c>
      <x:c r="Q607" s="215" t="str"/>
      <x:c r="R607" s="215" t="str"/>
      <x:c r="S607" s="215" t="str">
        <x:v>APWEB-ULMA; FNA-ULMA; POWO-ULMA; LBJ-HAYS</x:v>
      </x:c>
      <x:c r="T607" s="215" t="str">
        <x:v>https://www.mobot.org/MOBOT/research/APweb/orders/rosalesweb.htm</x:v>
      </x:c>
      <x:c r="U607" s="215" t="str">
        <x:v>https://efloras.org/florataxon.aspx?flora_id=1&amp;taxon_id=10928</x:v>
      </x:c>
      <x:c r="V607" s="215" t="str">
        <x:v>https://powo.science.kew.org/taxon/urn:lsid:ipni.org:names:77126716-1/general-information</x:v>
      </x:c>
      <x:c r="W607" s="215" t="str">
        <x:v>https://www.mobot.org/MOBOT/research/APweb/orders/rosalesweb.htm
https://efloras.org/florataxon.aspx?flora_id=1&amp;taxon_id=10928
https://powo.science.kew.org/taxon/urn:lsid:ipni.org:names:77126716-1/general-information
https://www.wildflower.org/collections/collection.php?collection=hays</x:v>
      </x:c>
      <x:c r="X607" s="215" t="str">
        <x:v>No — retain qualifiers and exceptions</x:v>
      </x:c>
      <x:c r="Y607" s="215" t="str">
        <x:v>Yes</x:v>
      </x:c>
      <x:c r="Z607" s="215" t="str">
        <x:v>Source-backed draft</x:v>
      </x:c>
      <x:c r="AA607" s="215" t="str">
        <x:v>Family pattern</x:v>
      </x:c>
      <x:c r="AB607" s="215" t="str">
        <x:v>Positive diagnostic</x:v>
      </x:c>
      <x:c r="AC607" s="215" t="str">
        <x:v>High</x:v>
      </x:c>
      <x:c r="AD607" s="215" t="str">
        <x:v>Dissection</x:v>
      </x:c>
      <x:c r="AE607" s="215" t="str">
        <x:v>Low</x:v>
      </x:c>
      <x:c r="AF607" s="215" t="str">
        <x:v>Dissection / close study</x:v>
      </x:c>
      <x:c r="AG607" s="215" t="str">
        <x:v>3 — Reference support</x:v>
      </x:c>
      <x:c r="AH607" s="215" t="str">
        <x:v>Current master inventory</x:v>
      </x:c>
    </x:row>
    <x:row r="608" ht="42" customHeight="1">
      <x:c r="A608" s="215" t="str">
        <x:v>Ulmaceae</x:v>
      </x:c>
      <x:c r="B608" s="215" t="str">
        <x:v>ULM-FRUIT</x:v>
      </x:c>
      <x:c r="C608" s="215" t="str">
        <x:v>Modern/regional family character</x:v>
      </x:c>
      <x:c r="D608" s="215" t="str">
        <x:v>Fruit</x:v>
      </x:c>
      <x:c r="E608" s="215" t="str">
        <x:v>Fruit a one-seeded, flattened, membranously winged samara in regional Ulmus</x:v>
      </x:c>
      <x:c r="F608" s="215" t="str">
        <x:v>Strong</x:v>
      </x:c>
      <x:c r="G608" s="215" t="str">
        <x:v>5</x:v>
      </x:c>
      <x:c r="H608" s="215" t="str">
        <x:v>High</x:v>
      </x:c>
      <x:c r="I608" s="215" t="str">
        <x:v>Naked eye or hand lens</x:v>
      </x:c>
      <x:c r="J608" s="215" t="str">
        <x:v>Mature spring or fall fruit</x:v>
      </x:c>
      <x:c r="K608" s="215" t="str">
        <x:v>Elm fruits are papery discs or ovals with the seed enclosed by a wing.</x:v>
      </x:c>
      <x:c r="L608" s="215" t="str">
        <x:v>The historical broad family also included drupe-bearing Celtis, now generally Cannabaceae.</x:v>
      </x:c>
      <x:c r="M608" s="215" t="str">
        <x:v>Apply this state to modern Hays Ulmaceae/Ulmus, not obsolete broad Ulmaceae.</x:v>
      </x:c>
      <x:c r="N608" s="215" t="str">
        <x:v>Elms are common Hays woodland and riparian trees; hackberries require modern Cannabaceae treatment rather than the older broad Ulmaceae concept.</x:v>
      </x:c>
      <x:c r="O608" s="215" t="str">
        <x:v>Low</x:v>
      </x:c>
      <x:c r="P608" s="215" t="str">
        <x:v>No</x:v>
      </x:c>
      <x:c r="Q608" s="215" t="str"/>
      <x:c r="R608" s="215" t="str">
        <x:v>ULM-LK01; ULM-LK02</x:v>
      </x:c>
      <x:c r="S608" s="215" t="str">
        <x:v>APWEB-ULMA; FNA-ULMA; POWO-ULMA; LBJ-HAYS</x:v>
      </x:c>
      <x:c r="T608" s="215" t="str">
        <x:v>https://www.mobot.org/MOBOT/research/APweb/orders/rosalesweb.htm</x:v>
      </x:c>
      <x:c r="U608" s="215" t="str">
        <x:v>https://efloras.org/florataxon.aspx?flora_id=1&amp;taxon_id=10928</x:v>
      </x:c>
      <x:c r="V608" s="215" t="str">
        <x:v>https://powo.science.kew.org/taxon/urn:lsid:ipni.org:names:77126716-1/general-information</x:v>
      </x:c>
      <x:c r="W608" s="215" t="str">
        <x:v>https://www.mobot.org/MOBOT/research/APweb/orders/rosalesweb.htm
https://efloras.org/florataxon.aspx?flora_id=1&amp;taxon_id=10928
https://powo.science.kew.org/taxon/urn:lsid:ipni.org:names:77126716-1/general-information
https://www.wildflower.org/collections/collection.php?collection=hays</x:v>
      </x:c>
      <x:c r="X608" s="215" t="str">
        <x:v>No — retain qualifiers and exceptions</x:v>
      </x:c>
      <x:c r="Y608" s="215" t="str">
        <x:v>Yes</x:v>
      </x:c>
      <x:c r="Z608" s="215" t="str">
        <x:v>Source-backed draft</x:v>
      </x:c>
      <x:c r="AA608" s="215" t="str">
        <x:v>Family pattern</x:v>
      </x:c>
      <x:c r="AB608" s="215" t="str">
        <x:v>Positive diagnostic</x:v>
      </x:c>
      <x:c r="AC608" s="215" t="str">
        <x:v>High</x:v>
      </x:c>
      <x:c r="AD608" s="215" t="str">
        <x:v>Hand lens / macro</x:v>
      </x:c>
      <x:c r="AE608" s="215" t="str">
        <x:v>Low</x:v>
      </x:c>
      <x:c r="AF608" s="215" t="str">
        <x:v>Field-ready draft</x:v>
      </x:c>
      <x:c r="AG608" s="215" t="str">
        <x:v>2 — Field-photo priority</x:v>
      </x:c>
      <x:c r="AH608" s="215" t="str">
        <x:v>Current master inventory</x:v>
      </x:c>
    </x:row>
    <x:row r="609" ht="42" customHeight="1">
      <x:c r="A609" s="215" t="str">
        <x:v>Ulmaceae</x:v>
      </x:c>
      <x:c r="B609" s="215" t="str">
        <x:v>ULM-SEED</x:v>
      </x:c>
      <x:c r="C609" s="215" t="str">
        <x:v>Modern/regional family character</x:v>
      </x:c>
      <x:c r="D609" s="215" t="str">
        <x:v>Seeds</x:v>
      </x:c>
      <x:c r="E609" s="215" t="str">
        <x:v>One seed per samara, with little or no endosperm</x:v>
      </x:c>
      <x:c r="F609" s="215" t="str">
        <x:v>Supporting</x:v>
      </x:c>
      <x:c r="G609" s="215" t="str">
        <x:v>2</x:v>
      </x:c>
      <x:c r="H609" s="215" t="str">
        <x:v>High</x:v>
      </x:c>
      <x:c r="I609" s="215" t="str">
        <x:v>Naked eye or hand lens</x:v>
      </x:c>
      <x:c r="J609" s="215" t="str">
        <x:v>Mature fruit</x:v>
      </x:c>
      <x:c r="K609" s="215" t="str">
        <x:v>Each papery elm samara contains a single seed.</x:v>
      </x:c>
      <x:c r="L609" s="215" t="str">
        <x:v>Opening mature fruit may be required to confirm fill.</x:v>
      </x:c>
      <x:c r="M609" s="215" t="str">
        <x:v>Use only as fruit confirmation.</x:v>
      </x:c>
      <x:c r="N609" s="215" t="str">
        <x:v>Elms are common Hays woodland and riparian trees; hackberries require modern Cannabaceae treatment rather than the older broad Ulmaceae concept.</x:v>
      </x:c>
      <x:c r="O609" s="215" t="str">
        <x:v>Low</x:v>
      </x:c>
      <x:c r="P609" s="215" t="str">
        <x:v>No</x:v>
      </x:c>
      <x:c r="Q609" s="215" t="str"/>
      <x:c r="R609" s="215" t="str"/>
      <x:c r="S609" s="215" t="str">
        <x:v>APWEB-ULMA; FNA-ULMA; POWO-ULMA; LBJ-HAYS</x:v>
      </x:c>
      <x:c r="T609" s="215" t="str">
        <x:v>https://www.mobot.org/MOBOT/research/APweb/orders/rosalesweb.htm</x:v>
      </x:c>
      <x:c r="U609" s="215" t="str">
        <x:v>https://efloras.org/florataxon.aspx?flora_id=1&amp;taxon_id=10928</x:v>
      </x:c>
      <x:c r="V609" s="215" t="str">
        <x:v>https://powo.science.kew.org/taxon/urn:lsid:ipni.org:names:77126716-1/general-information</x:v>
      </x:c>
      <x:c r="W609" s="215" t="str">
        <x:v>https://www.mobot.org/MOBOT/research/APweb/orders/rosalesweb.htm
https://efloras.org/florataxon.aspx?flora_id=1&amp;taxon_id=10928
https://powo.science.kew.org/taxon/urn:lsid:ipni.org:names:77126716-1/general-information
https://www.wildflower.org/collections/collection.php?collection=hays</x:v>
      </x:c>
      <x:c r="X609" s="215" t="str">
        <x:v>No — retain qualifiers and exceptions</x:v>
      </x:c>
      <x:c r="Y609" s="215" t="str">
        <x:v>Yes</x:v>
      </x:c>
      <x:c r="Z609" s="215" t="str">
        <x:v>Source-backed draft</x:v>
      </x:c>
      <x:c r="AA609" s="215" t="str">
        <x:v>Family pattern</x:v>
      </x:c>
      <x:c r="AB609" s="215" t="str">
        <x:v>Supporting / route</x:v>
      </x:c>
      <x:c r="AC609" s="215" t="str">
        <x:v>High</x:v>
      </x:c>
      <x:c r="AD609" s="215" t="str">
        <x:v>Hand lens / macro</x:v>
      </x:c>
      <x:c r="AE609" s="215" t="str">
        <x:v>Low</x:v>
      </x:c>
      <x:c r="AF609" s="215" t="str">
        <x:v>Field-ready draft</x:v>
      </x:c>
      <x:c r="AG609" s="215" t="str">
        <x:v>4 — Context / caution</x:v>
      </x:c>
      <x:c r="AH609" s="215" t="str">
        <x:v>Current master inventory</x:v>
      </x:c>
    </x:row>
    <x:row r="610" ht="42" customHeight="1">
      <x:c r="A610" s="215" t="str">
        <x:v>Ulmaceae</x:v>
      </x:c>
      <x:c r="B610" s="215" t="str">
        <x:v>ULM-POLLINATION</x:v>
      </x:c>
      <x:c r="C610" s="215" t="str">
        <x:v>Modern/regional family character</x:v>
      </x:c>
      <x:c r="D610" s="215" t="str">
        <x:v>Pollination</x:v>
      </x:c>
      <x:c r="E610" s="215" t="str">
        <x:v>Flowers wind-pollinated, often presented before or apart from full leaf expansion</x:v>
      </x:c>
      <x:c r="F610" s="215" t="str">
        <x:v>Supporting</x:v>
      </x:c>
      <x:c r="G610" s="215" t="str">
        <x:v>1</x:v>
      </x:c>
      <x:c r="H610" s="215" t="str">
        <x:v>High</x:v>
      </x:c>
      <x:c r="I610" s="215" t="str">
        <x:v>Naked eye or hand lens</x:v>
      </x:c>
      <x:c r="J610" s="215" t="str">
        <x:v>Flowering branches</x:v>
      </x:c>
      <x:c r="K610" s="215" t="str">
        <x:v>Small exposed flowers and early samaras fit wind pollination.</x:v>
      </x:c>
      <x:c r="L610" s="215" t="str">
        <x:v>Season differs among elm species, including fall-flowering taxa.</x:v>
      </x:c>
      <x:c r="M610" s="215" t="str">
        <x:v>Use as ecological support, not a stand-alone character.</x:v>
      </x:c>
      <x:c r="N610" s="215" t="str">
        <x:v>Elms are common Hays woodland and riparian trees; hackberries require modern Cannabaceae treatment rather than the older broad Ulmaceae concept.</x:v>
      </x:c>
      <x:c r="O610" s="215" t="str">
        <x:v>Low</x:v>
      </x:c>
      <x:c r="P610" s="215" t="str">
        <x:v>No</x:v>
      </x:c>
      <x:c r="Q610" s="215" t="str"/>
      <x:c r="R610" s="215" t="str"/>
      <x:c r="S610" s="215" t="str">
        <x:v>APWEB-ULMA; FNA-ULMA; POWO-ULMA; LBJ-HAYS</x:v>
      </x:c>
      <x:c r="T610" s="215" t="str">
        <x:v>https://www.mobot.org/MOBOT/research/APweb/orders/rosalesweb.htm</x:v>
      </x:c>
      <x:c r="U610" s="215" t="str">
        <x:v>https://efloras.org/florataxon.aspx?flora_id=1&amp;taxon_id=10928</x:v>
      </x:c>
      <x:c r="V610" s="215" t="str">
        <x:v>https://powo.science.kew.org/taxon/urn:lsid:ipni.org:names:77126716-1/general-information</x:v>
      </x:c>
      <x:c r="W610" s="215" t="str">
        <x:v>https://www.mobot.org/MOBOT/research/APweb/orders/rosalesweb.htm
https://efloras.org/florataxon.aspx?flora_id=1&amp;taxon_id=10928
https://powo.science.kew.org/taxon/urn:lsid:ipni.org:names:77126716-1/general-information
https://www.wildflower.org/collections/collection.php?collection=hays</x:v>
      </x:c>
      <x:c r="X610" s="215" t="str">
        <x:v>No — retain qualifiers and exceptions</x:v>
      </x:c>
      <x:c r="Y610" s="215" t="str">
        <x:v>Yes</x:v>
      </x:c>
      <x:c r="Z610" s="215" t="str">
        <x:v>Source-backed draft</x:v>
      </x:c>
      <x:c r="AA610" s="215" t="str">
        <x:v>Family pattern</x:v>
      </x:c>
      <x:c r="AB610" s="215" t="str">
        <x:v>Supporting / route</x:v>
      </x:c>
      <x:c r="AC610" s="215" t="str">
        <x:v>High</x:v>
      </x:c>
      <x:c r="AD610" s="215" t="str">
        <x:v>Hand lens / macro</x:v>
      </x:c>
      <x:c r="AE610" s="215" t="str">
        <x:v>Low</x:v>
      </x:c>
      <x:c r="AF610" s="215" t="str">
        <x:v>Field-ready draft</x:v>
      </x:c>
      <x:c r="AG610" s="215" t="str">
        <x:v>4 — Context / caution</x:v>
      </x:c>
      <x:c r="AH610" s="215" t="str">
        <x:v>Current master inventory</x:v>
      </x:c>
    </x:row>
    <x:row r="611" ht="42" customHeight="1">
      <x:c r="A611" s="215" t="str">
        <x:v>Ulmaceae</x:v>
      </x:c>
      <x:c r="B611" s="215" t="str">
        <x:v>ULM-TAXON</x:v>
      </x:c>
      <x:c r="C611" s="215" t="str">
        <x:v>Taxonomy / source reconciliation</x:v>
      </x:c>
      <x:c r="D611" s="215" t="str">
        <x:v>Taxonomy / source reconciliation</x:v>
      </x:c>
      <x:c r="E611" s="215" t="str">
        <x:v>FNA's older broad Ulmaceae includes Celtis and Trema, while current POWO/APG-style taxonomy places them in Cannabaceae</x:v>
      </x:c>
      <x:c r="F611" s="215" t="str">
        <x:v>Caution</x:v>
      </x:c>
      <x:c r="G611" s="215" t="str">
        <x:v>0</x:v>
      </x:c>
      <x:c r="H611" s="215" t="str">
        <x:v>High</x:v>
      </x:c>
      <x:c r="I611" s="215" t="str">
        <x:v>Not field-visible</x:v>
      </x:c>
      <x:c r="J611" s="215" t="str">
        <x:v>Any material</x:v>
      </x:c>
      <x:c r="K611" s="215" t="str">
        <x:v>Hackberry drupes must not be coded as modern Ulmaceae family fruit evidence.</x:v>
      </x:c>
      <x:c r="L611" s="215" t="str">
        <x:v>Legacy sources and local lists may retain the older family boundary.</x:v>
      </x:c>
      <x:c r="M611" s="215" t="str">
        <x:v>Reconcile every carried Hays genus before declaring family-level universals.</x:v>
      </x:c>
      <x:c r="N611" s="215" t="str">
        <x:v>Elms are common Hays woodland and riparian trees; hackberries require modern Cannabaceae treatment rather than the older broad Ulmaceae concept.</x:v>
      </x:c>
      <x:c r="O611" s="215" t="str">
        <x:v>Medium</x:v>
      </x:c>
      <x:c r="P611" s="215" t="str">
        <x:v>Yes</x:v>
      </x:c>
      <x:c r="Q611" s="215" t="str">
        <x:v>The practical FNA treatment uses a broader historical Ulmaceae than current POWO; local genera must be reconciled with Cannabaceae.</x:v>
      </x:c>
      <x:c r="R611" s="215" t="str">
        <x:v>ULM-LK02</x:v>
      </x:c>
      <x:c r="S611" s="215" t="str">
        <x:v>APWEB-ULMA; FNA-ULMA; POWO-ULMA; LBJ-HAYS</x:v>
      </x:c>
      <x:c r="T611" s="215" t="str">
        <x:v>https://www.mobot.org/MOBOT/research/APweb/orders/rosalesweb.htm</x:v>
      </x:c>
      <x:c r="U611" s="215" t="str">
        <x:v>https://efloras.org/florataxon.aspx?flora_id=1&amp;taxon_id=10928</x:v>
      </x:c>
      <x:c r="V611" s="215" t="str">
        <x:v>https://powo.science.kew.org/taxon/urn:lsid:ipni.org:names:77126716-1/general-information</x:v>
      </x:c>
      <x:c r="W611" s="215" t="str">
        <x:v>https://www.mobot.org/MOBOT/research/APweb/orders/rosalesweb.htm
https://efloras.org/florataxon.aspx?flora_id=1&amp;taxon_id=10928
https://powo.science.kew.org/taxon/urn:lsid:ipni.org:names:77126716-1/general-information
https://www.wildflower.org/collections/collection.php?collection=hays</x:v>
      </x:c>
      <x:c r="X611" s="215" t="str">
        <x:v>No — retain qualifiers and exceptions</x:v>
      </x:c>
      <x:c r="Y611" s="215" t="str">
        <x:v>Yes</x:v>
      </x:c>
      <x:c r="Z611" s="215" t="str">
        <x:v>Human review required</x:v>
      </x:c>
      <x:c r="AA611" s="215" t="str">
        <x:v>Taxonomy</x:v>
      </x:c>
      <x:c r="AB611" s="215" t="str">
        <x:v>Caution / negative rule</x:v>
      </x:c>
      <x:c r="AC611" s="215" t="str">
        <x:v>High</x:v>
      </x:c>
      <x:c r="AD611" s="215" t="str">
        <x:v>Reference / method</x:v>
      </x:c>
      <x:c r="AE611" s="215" t="str">
        <x:v>Moderate</x:v>
      </x:c>
      <x:c r="AF611" s="215" t="str">
        <x:v>Use only after review</x:v>
      </x:c>
      <x:c r="AG611" s="215" t="str">
        <x:v>1 — Human review now</x:v>
      </x:c>
      <x:c r="AH611" s="215" t="str">
        <x:v>Current master inventory</x:v>
      </x:c>
    </x:row>
    <x:row r="612" ht="42" customHeight="1">
      <x:c r="A612" s="215" t="str">
        <x:v>Ulmaceae</x:v>
      </x:c>
      <x:c r="B612" s="215" t="str">
        <x:v>ULM-LK01</x:v>
      </x:c>
      <x:c r="C612" s="215" t="str">
        <x:v>Modern/regional lookalike comparison</x:v>
      </x:c>
      <x:c r="D612" s="215" t="str">
        <x:v>Lookalike</x:v>
      </x:c>
      <x:c r="E612" s="215" t="str">
        <x:v>Versus Moraceae: watery sap and individual papery samaras favor modern Ulmaceae; milky sap and multiple fruits favor Moraceae</x:v>
      </x:c>
      <x:c r="F612" s="215" t="str">
        <x:v>Lookalike</x:v>
      </x:c>
      <x:c r="G612" s="215" t="str">
        <x:v>5</x:v>
      </x:c>
      <x:c r="H612" s="215" t="str">
        <x:v>High</x:v>
      </x:c>
      <x:c r="I612" s="215" t="str">
        <x:v>Naked eye or hand lens</x:v>
      </x:c>
      <x:c r="J612" s="215" t="str">
        <x:v>Mature fruit</x:v>
      </x:c>
      <x:c r="K612" s="215" t="str">
        <x:v>Both can be alternate-leaved stipulate trees with toothed or lobed blades.</x:v>
      </x:c>
      <x:c r="L612" s="215" t="str">
        <x:v>Sap may be weak and fruit is seasonal.</x:v>
      </x:c>
      <x:c r="M612" s="215" t="str">
        <x:v>Prioritize mature fruit construction; this supplies the reciprocal comparison for MOR-LK02.</x:v>
      </x:c>
      <x:c r="N612" s="215" t="str">
        <x:v>Elms are common Hays woodland and riparian trees; hackberries require modern Cannabaceae treatment rather than the older broad Ulmaceae concept.</x:v>
      </x:c>
      <x:c r="O612" s="215" t="str">
        <x:v>Low</x:v>
      </x:c>
      <x:c r="P612" s="215" t="str">
        <x:v>No</x:v>
      </x:c>
      <x:c r="Q612" s="215" t="str"/>
      <x:c r="R612" s="215" t="str">
        <x:v>ULM-LEAVES; ULM-FRUIT</x:v>
      </x:c>
      <x:c r="S612" s="215" t="str">
        <x:v>APWEB-ULMA; FNA-ULMA; POWO-ULMA; LBJ-HAYS</x:v>
      </x:c>
      <x:c r="T612" s="215" t="str">
        <x:v>https://www.mobot.org/MOBOT/research/APweb/orders/rosalesweb.htm</x:v>
      </x:c>
      <x:c r="U612" s="215" t="str">
        <x:v>https://efloras.org/florataxon.aspx?flora_id=1&amp;taxon_id=10928</x:v>
      </x:c>
      <x:c r="V612" s="215" t="str">
        <x:v>https://powo.science.kew.org/taxon/urn:lsid:ipni.org:names:77126716-1/general-information</x:v>
      </x:c>
      <x:c r="W612" s="215" t="str">
        <x:v>https://www.mobot.org/MOBOT/research/APweb/orders/rosalesweb.htm
https://efloras.org/florataxon.aspx?flora_id=1&amp;taxon_id=10928
https://powo.science.kew.org/taxon/urn:lsid:ipni.org:names:77126716-1/general-information
https://www.wildflower.org/collections/collection.php?collection=hays</x:v>
      </x:c>
      <x:c r="X612" s="215" t="str">
        <x:v>No — retain qualifiers and exceptions</x:v>
      </x:c>
      <x:c r="Y612" s="215" t="str">
        <x:v>Yes</x:v>
      </x:c>
      <x:c r="Z612" s="215" t="str">
        <x:v>Source-backed draft</x:v>
      </x:c>
      <x:c r="AA612" s="215" t="str">
        <x:v>Lookalike comparison</x:v>
      </x:c>
      <x:c r="AB612" s="215" t="str">
        <x:v>Contrast / lookalike</x:v>
      </x:c>
      <x:c r="AC612" s="215" t="str">
        <x:v>High</x:v>
      </x:c>
      <x:c r="AD612" s="215" t="str">
        <x:v>Hand lens / macro</x:v>
      </x:c>
      <x:c r="AE612" s="215" t="str">
        <x:v>Low</x:v>
      </x:c>
      <x:c r="AF612" s="215" t="str">
        <x:v>Field-ready draft</x:v>
      </x:c>
      <x:c r="AG612" s="215" t="str">
        <x:v>2 — Field-photo priority</x:v>
      </x:c>
      <x:c r="AH612" s="215" t="str">
        <x:v>Current master inventory</x:v>
      </x:c>
    </x:row>
    <x:row r="613" ht="42" customHeight="1">
      <x:c r="A613" s="215" t="str">
        <x:v>Ulmaceae</x:v>
      </x:c>
      <x:c r="B613" s="215" t="str">
        <x:v>ULM-LK02</x:v>
      </x:c>
      <x:c r="C613" s="215" t="str">
        <x:v>Modern/regional lookalike comparison</x:v>
      </x:c>
      <x:c r="D613" s="215" t="str">
        <x:v>Lookalike</x:v>
      </x:c>
      <x:c r="E613" s="215" t="str">
        <x:v>Versus Cannabaceae hackberries: papery samaras favor modern Ulmaceae/Ulmus; fleshy one-seeded drupes favor Celtis in Cannabaceae</x:v>
      </x:c>
      <x:c r="F613" s="215" t="str">
        <x:v>Lookalike</x:v>
      </x:c>
      <x:c r="G613" s="215" t="str">
        <x:v>5</x:v>
      </x:c>
      <x:c r="H613" s="215" t="str">
        <x:v>High</x:v>
      </x:c>
      <x:c r="I613" s="215" t="str">
        <x:v>Naked eye or hand lens</x:v>
      </x:c>
      <x:c r="J613" s="215" t="str">
        <x:v>Mature fruit</x:v>
      </x:c>
      <x:c r="K613" s="215" t="str">
        <x:v>Oblique serrate leaves and small flowers make sterile material confusing.</x:v>
      </x:c>
      <x:c r="L613" s="215" t="str">
        <x:v>Cannabaceae lacks completed reciprocal family rows in the current master, and older floras place Celtis in Ulmaceae.</x:v>
      </x:c>
      <x:c r="M613" s="215" t="str">
        <x:v>Keep the comparison provisional until Cannabaceae receives first-pass coverage.</x:v>
      </x:c>
      <x:c r="N613" s="215" t="str">
        <x:v>Elms are common Hays woodland and riparian trees; hackberries require modern Cannabaceae treatment rather than the older broad Ulmaceae concept.</x:v>
      </x:c>
      <x:c r="O613" s="215" t="str">
        <x:v>Medium</x:v>
      </x:c>
      <x:c r="P613" s="215" t="str">
        <x:v>Yes</x:v>
      </x:c>
      <x:c r="Q613" s="215" t="str">
        <x:v>Reciprocal Cannabaceae coverage is absent, and older FNA family boundaries conflict with current POWO placement.</x:v>
      </x:c>
      <x:c r="R613" s="215" t="str">
        <x:v>ULM-LEAVES; ULM-FRUIT; ULM-TAXON</x:v>
      </x:c>
      <x:c r="S613" s="215" t="str">
        <x:v>APWEB-ULMA; FNA-ULMA; POWO-ULMA; LBJ-HAYS</x:v>
      </x:c>
      <x:c r="T613" s="215" t="str">
        <x:v>https://www.mobot.org/MOBOT/research/APweb/orders/rosalesweb.htm</x:v>
      </x:c>
      <x:c r="U613" s="215" t="str">
        <x:v>https://efloras.org/florataxon.aspx?flora_id=1&amp;taxon_id=10928</x:v>
      </x:c>
      <x:c r="V613" s="215" t="str">
        <x:v>https://powo.science.kew.org/taxon/urn:lsid:ipni.org:names:77126716-1/general-information</x:v>
      </x:c>
      <x:c r="W613" s="215" t="str">
        <x:v>https://www.mobot.org/MOBOT/research/APweb/orders/rosalesweb.htm
https://efloras.org/florataxon.aspx?flora_id=1&amp;taxon_id=10928
https://powo.science.kew.org/taxon/urn:lsid:ipni.org:names:77126716-1/general-information
https://www.wildflower.org/collections/collection.php?collection=hays</x:v>
      </x:c>
      <x:c r="X613" s="215" t="str">
        <x:v>No — retain qualifiers and exceptions</x:v>
      </x:c>
      <x:c r="Y613" s="215" t="str">
        <x:v>Yes</x:v>
      </x:c>
      <x:c r="Z613" s="215" t="str">
        <x:v>Human review required</x:v>
      </x:c>
      <x:c r="AA613" s="215" t="str">
        <x:v>Lookalike comparison</x:v>
      </x:c>
      <x:c r="AB613" s="215" t="str">
        <x:v>Contrast / lookalike</x:v>
      </x:c>
      <x:c r="AC613" s="215" t="str">
        <x:v>High</x:v>
      </x:c>
      <x:c r="AD613" s="215" t="str">
        <x:v>Hand lens / macro</x:v>
      </x:c>
      <x:c r="AE613" s="215" t="str">
        <x:v>Moderate</x:v>
      </x:c>
      <x:c r="AF613" s="215" t="str">
        <x:v>Use only after review</x:v>
      </x:c>
      <x:c r="AG613" s="215" t="str">
        <x:v>1 — Human review now</x:v>
      </x:c>
      <x:c r="AH613" s="215" t="str">
        <x:v>Current master inventory</x:v>
      </x:c>
    </x:row>
    <x:row r="614" ht="42" customHeight="1">
      <x:c r="A614" s="215" t="str">
        <x:v>Urticaceae</x:v>
      </x:c>
      <x:c r="B614" s="215" t="str">
        <x:v>URT-HABIT</x:v>
      </x:c>
      <x:c r="C614" s="215" t="str">
        <x:v>Family character</x:v>
      </x:c>
      <x:c r="D614" s="215" t="str">
        <x:v>Habit</x:v>
      </x:c>
      <x:c r="E614" s="215" t="str">
        <x:v>Annual or perennial herbs, less often small shrubs or woody plants</x:v>
      </x:c>
      <x:c r="F614" s="215" t="str">
        <x:v>Strong</x:v>
      </x:c>
      <x:c r="G614" s="215" t="str">
        <x:v>2</x:v>
      </x:c>
      <x:c r="H614" s="215" t="str">
        <x:v>High</x:v>
      </x:c>
      <x:c r="I614" s="215" t="str">
        <x:v>Naked eye or hand lens</x:v>
      </x:c>
      <x:c r="J614" s="215" t="str">
        <x:v>Any active growth</x:v>
      </x:c>
      <x:c r="K614" s="215" t="str">
        <x:v>Local nettle-family plants are usually herbs.</x:v>
      </x:c>
      <x:c r="L614" s="215" t="str">
        <x:v>The global family includes lianas and trees.</x:v>
      </x:c>
      <x:c r="M614" s="215" t="str">
        <x:v>Use habit only as the first filter.</x:v>
      </x:c>
      <x:c r="N614" s="215" t="str">
        <x:v>Nettles, pellitories, and related herbs are relevant in Hays riparian, shaded, disturbed, and moist microsites; never test stinging hairs by touch.</x:v>
      </x:c>
      <x:c r="O614" s="215" t="str">
        <x:v>Low</x:v>
      </x:c>
      <x:c r="P614" s="215" t="str">
        <x:v>No</x:v>
      </x:c>
      <x:c r="Q614" s="215" t="str"/>
      <x:c r="R614" s="215" t="str"/>
      <x:c r="S614" s="215" t="str">
        <x:v>APWEB-URTI; FNA-URTI; POWO-URTI; LBJ-HAYS</x:v>
      </x:c>
      <x:c r="T614" s="215" t="str">
        <x:v>https://www.mobot.org/MOBOT/research/APweb/orders/rosalesweb.htm</x:v>
      </x:c>
      <x:c r="U614" s="215" t="str">
        <x:v>https://floranorthamerica.org/Urticaceae</x:v>
      </x:c>
      <x:c r="V614" s="215" t="str">
        <x:v>https://powo.science.kew.org/taxon/urn:lsid:ipni.org:names:30000535-2/general-information</x:v>
      </x:c>
      <x:c r="W614" s="215" t="str">
        <x:v>https://www.mobot.org/MOBOT/research/APweb/orders/rosalesweb.htm
https://floranorthamerica.org/Urticaceae
https://powo.science.kew.org/taxon/urn:lsid:ipni.org:names:30000535-2/general-information
https://www.wildflower.org/collections/collection.php?collection=hays</x:v>
      </x:c>
      <x:c r="X614" s="215" t="str">
        <x:v>No — retain qualifiers and exceptions</x:v>
      </x:c>
      <x:c r="Y614" s="215" t="str">
        <x:v>Yes</x:v>
      </x:c>
      <x:c r="Z614" s="215" t="str">
        <x:v>Source-backed draft</x:v>
      </x:c>
      <x:c r="AA614" s="215" t="str">
        <x:v>Family pattern</x:v>
      </x:c>
      <x:c r="AB614" s="215" t="str">
        <x:v>Positive diagnostic</x:v>
      </x:c>
      <x:c r="AC614" s="215" t="str">
        <x:v>High</x:v>
      </x:c>
      <x:c r="AD614" s="215" t="str">
        <x:v>Hand lens / macro</x:v>
      </x:c>
      <x:c r="AE614" s="215" t="str">
        <x:v>Low</x:v>
      </x:c>
      <x:c r="AF614" s="215" t="str">
        <x:v>Field-ready draft</x:v>
      </x:c>
      <x:c r="AG614" s="215" t="str">
        <x:v>4 — Context / caution</x:v>
      </x:c>
      <x:c r="AH614" s="215" t="str">
        <x:v>Current master inventory</x:v>
      </x:c>
    </x:row>
    <x:row r="615" ht="42" customHeight="1">
      <x:c r="A615" s="215" t="str">
        <x:v>Urticaceae</x:v>
      </x:c>
      <x:c r="B615" s="215" t="str">
        <x:v>URT-HAIRS</x:v>
      </x:c>
      <x:c r="C615" s="215" t="str">
        <x:v>Family character</x:v>
      </x:c>
      <x:c r="D615" s="215" t="str">
        <x:v>Hairs</x:v>
      </x:c>
      <x:c r="E615" s="215" t="str">
        <x:v>Stinging hairs present in some genera, with a swollen base and stiff translucent tip; other family members lack them</x:v>
      </x:c>
      <x:c r="F615" s="215" t="str">
        <x:v>Strong</x:v>
      </x:c>
      <x:c r="G615" s="215" t="str">
        <x:v>4</x:v>
      </x:c>
      <x:c r="H615" s="215" t="str">
        <x:v>High</x:v>
      </x:c>
      <x:c r="I615" s="215" t="str">
        <x:v>Naked eye or hand lens</x:v>
      </x:c>
      <x:c r="J615" s="215" t="str">
        <x:v>Fresh stems and leaves</x:v>
      </x:c>
      <x:c r="K615" s="215" t="str">
        <x:v>True nettle hairs are brittle injection-like structures rather than ordinary soft pubescence.</x:v>
      </x:c>
      <x:c r="L615" s="215" t="str">
        <x:v>Stinging hairs are not universal and must never be tested by touch.</x:v>
      </x:c>
      <x:c r="M615" s="215" t="str">
        <x:v>Inspect visually or with magnification and retain absence as unknown.</x:v>
      </x:c>
      <x:c r="N615" s="215" t="str">
        <x:v>Nettles, pellitories, and related herbs are relevant in Hays riparian, shaded, disturbed, and moist microsites; never test stinging hairs by touch.</x:v>
      </x:c>
      <x:c r="O615" s="215" t="str">
        <x:v>Low</x:v>
      </x:c>
      <x:c r="P615" s="215" t="str">
        <x:v>No</x:v>
      </x:c>
      <x:c r="Q615" s="215" t="str"/>
      <x:c r="R615" s="215" t="str">
        <x:v>URT-LK01; URT-LK02</x:v>
      </x:c>
      <x:c r="S615" s="215" t="str">
        <x:v>APWEB-URTI; FNA-URTI; POWO-URTI; LBJ-HAYS</x:v>
      </x:c>
      <x:c r="T615" s="215" t="str">
        <x:v>https://www.mobot.org/MOBOT/research/APweb/orders/rosalesweb.htm</x:v>
      </x:c>
      <x:c r="U615" s="215" t="str">
        <x:v>https://floranorthamerica.org/Urticaceae</x:v>
      </x:c>
      <x:c r="V615" s="215" t="str">
        <x:v>https://powo.science.kew.org/taxon/urn:lsid:ipni.org:names:30000535-2/general-information</x:v>
      </x:c>
      <x:c r="W615" s="215" t="str">
        <x:v>https://www.mobot.org/MOBOT/research/APweb/orders/rosalesweb.htm
https://floranorthamerica.org/Urticaceae
https://powo.science.kew.org/taxon/urn:lsid:ipni.org:names:30000535-2/general-information
https://www.wildflower.org/collections/collection.php?collection=hays</x:v>
      </x:c>
      <x:c r="X615" s="215" t="str">
        <x:v>No — retain qualifiers and exceptions</x:v>
      </x:c>
      <x:c r="Y615" s="215" t="str">
        <x:v>Yes</x:v>
      </x:c>
      <x:c r="Z615" s="215" t="str">
        <x:v>Source-backed draft</x:v>
      </x:c>
      <x:c r="AA615" s="215" t="str">
        <x:v>Family pattern</x:v>
      </x:c>
      <x:c r="AB615" s="215" t="str">
        <x:v>Positive diagnostic</x:v>
      </x:c>
      <x:c r="AC615" s="215" t="str">
        <x:v>High</x:v>
      </x:c>
      <x:c r="AD615" s="215" t="str">
        <x:v>Hand lens / macro</x:v>
      </x:c>
      <x:c r="AE615" s="215" t="str">
        <x:v>Low</x:v>
      </x:c>
      <x:c r="AF615" s="215" t="str">
        <x:v>Field-ready draft</x:v>
      </x:c>
      <x:c r="AG615" s="215" t="str">
        <x:v>2 — Field-photo priority</x:v>
      </x:c>
      <x:c r="AH615" s="215" t="str">
        <x:v>Current master inventory</x:v>
      </x:c>
    </x:row>
    <x:row r="616" ht="42" customHeight="1">
      <x:c r="A616" s="215" t="str">
        <x:v>Urticaceae</x:v>
      </x:c>
      <x:c r="B616" s="215" t="str">
        <x:v>URT-LEAVES</x:v>
      </x:c>
      <x:c r="C616" s="215" t="str">
        <x:v>Family character</x:v>
      </x:c>
      <x:c r="D616" s="215" t="str">
        <x:v>Leaves / stipules</x:v>
      </x:c>
      <x:c r="E616" s="215" t="str">
        <x:v>Leaves simple, opposite or alternate; stipules present or absent; cystolith marks often visible</x:v>
      </x:c>
      <x:c r="F616" s="215" t="str">
        <x:v>Strong</x:v>
      </x:c>
      <x:c r="G616" s="215" t="str">
        <x:v>3</x:v>
      </x:c>
      <x:c r="H616" s="215" t="str">
        <x:v>High</x:v>
      </x:c>
      <x:c r="I616" s="215" t="str">
        <x:v>Naked eye or hand lens</x:v>
      </x:c>
      <x:c r="J616" s="215" t="str">
        <x:v>Mature leaves</x:v>
      </x:c>
      <x:c r="K616" s="215" t="str">
        <x:v>Nettle-family leaves frequently show pale linear or dotlike mineral patterns.</x:v>
      </x:c>
      <x:c r="L616" s="215" t="str">
        <x:v>Arrangement and stipules vary, and cystoliths may need magnification.</x:v>
      </x:c>
      <x:c r="M616" s="215" t="str">
        <x:v>Combine node, hair, and flower characters.</x:v>
      </x:c>
      <x:c r="N616" s="215" t="str">
        <x:v>Nettles, pellitories, and related herbs are relevant in Hays riparian, shaded, disturbed, and moist microsites; never test stinging hairs by touch.</x:v>
      </x:c>
      <x:c r="O616" s="215" t="str">
        <x:v>Low</x:v>
      </x:c>
      <x:c r="P616" s="215" t="str">
        <x:v>No</x:v>
      </x:c>
      <x:c r="Q616" s="215" t="str"/>
      <x:c r="R616" s="215" t="str"/>
      <x:c r="S616" s="215" t="str">
        <x:v>APWEB-URTI; FNA-URTI; POWO-URTI; LBJ-HAYS</x:v>
      </x:c>
      <x:c r="T616" s="215" t="str">
        <x:v>https://www.mobot.org/MOBOT/research/APweb/orders/rosalesweb.htm</x:v>
      </x:c>
      <x:c r="U616" s="215" t="str">
        <x:v>https://floranorthamerica.org/Urticaceae</x:v>
      </x:c>
      <x:c r="V616" s="215" t="str">
        <x:v>https://powo.science.kew.org/taxon/urn:lsid:ipni.org:names:30000535-2/general-information</x:v>
      </x:c>
      <x:c r="W616" s="215" t="str">
        <x:v>https://www.mobot.org/MOBOT/research/APweb/orders/rosalesweb.htm
https://floranorthamerica.org/Urticaceae
https://powo.science.kew.org/taxon/urn:lsid:ipni.org:names:30000535-2/general-information
https://www.wildflower.org/collections/collection.php?collection=hays</x:v>
      </x:c>
      <x:c r="X616" s="215" t="str">
        <x:v>No — retain qualifiers and exceptions</x:v>
      </x:c>
      <x:c r="Y616" s="215" t="str">
        <x:v>Yes</x:v>
      </x:c>
      <x:c r="Z616" s="215" t="str">
        <x:v>Source-backed draft</x:v>
      </x:c>
      <x:c r="AA616" s="215" t="str">
        <x:v>Family pattern</x:v>
      </x:c>
      <x:c r="AB616" s="215" t="str">
        <x:v>Positive diagnostic</x:v>
      </x:c>
      <x:c r="AC616" s="215" t="str">
        <x:v>High</x:v>
      </x:c>
      <x:c r="AD616" s="215" t="str">
        <x:v>Hand lens / macro</x:v>
      </x:c>
      <x:c r="AE616" s="215" t="str">
        <x:v>Low</x:v>
      </x:c>
      <x:c r="AF616" s="215" t="str">
        <x:v>Field-ready draft</x:v>
      </x:c>
      <x:c r="AG616" s="215" t="str">
        <x:v>3 — Reference support</x:v>
      </x:c>
      <x:c r="AH616" s="215" t="str">
        <x:v>Current master inventory</x:v>
      </x:c>
    </x:row>
    <x:row r="617" ht="42" customHeight="1">
      <x:c r="A617" s="215" t="str">
        <x:v>Urticaceae</x:v>
      </x:c>
      <x:c r="B617" s="215" t="str">
        <x:v>URT-CYSTOLITH</x:v>
      </x:c>
      <x:c r="C617" s="215" t="str">
        <x:v>Family character</x:v>
      </x:c>
      <x:c r="D617" s="215" t="str">
        <x:v>Leaf anatomy</x:v>
      </x:c>
      <x:c r="E617" s="215" t="str">
        <x:v>Calcium-carbonate cystoliths form linear or rounded epidermal marks</x:v>
      </x:c>
      <x:c r="F617" s="215" t="str">
        <x:v>Supporting</x:v>
      </x:c>
      <x:c r="G617" s="215" t="str">
        <x:v>2</x:v>
      </x:c>
      <x:c r="H617" s="215" t="str">
        <x:v>High</x:v>
      </x:c>
      <x:c r="I617" s="215" t="str">
        <x:v>Hand lens to high magnification</x:v>
      </x:c>
      <x:c r="J617" s="215" t="str">
        <x:v>Mature leaves</x:v>
      </x:c>
      <x:c r="K617" s="215" t="str">
        <x:v>Cystolith shape can separate genera and support family placement.</x:v>
      </x:c>
      <x:c r="L617" s="215" t="str">
        <x:v>Cystoliths also occur in Cannabaceae and Moraceae and are not always visible.</x:v>
      </x:c>
      <x:c r="M617" s="215" t="str">
        <x:v>Use as magnified support, never as a sole family character.</x:v>
      </x:c>
      <x:c r="N617" s="215" t="str">
        <x:v>Nettles, pellitories, and related herbs are relevant in Hays riparian, shaded, disturbed, and moist microsites; never test stinging hairs by touch.</x:v>
      </x:c>
      <x:c r="O617" s="215" t="str">
        <x:v>Low</x:v>
      </x:c>
      <x:c r="P617" s="215" t="str">
        <x:v>No</x:v>
      </x:c>
      <x:c r="Q617" s="215" t="str"/>
      <x:c r="R617" s="215" t="str"/>
      <x:c r="S617" s="215" t="str">
        <x:v>APWEB-URTI; FNA-URTI; POWO-URTI; LBJ-HAYS</x:v>
      </x:c>
      <x:c r="T617" s="215" t="str">
        <x:v>https://www.mobot.org/MOBOT/research/APweb/orders/rosalesweb.htm</x:v>
      </x:c>
      <x:c r="U617" s="215" t="str">
        <x:v>https://floranorthamerica.org/Urticaceae</x:v>
      </x:c>
      <x:c r="V617" s="215" t="str">
        <x:v>https://powo.science.kew.org/taxon/urn:lsid:ipni.org:names:30000535-2/general-information</x:v>
      </x:c>
      <x:c r="W617" s="215" t="str">
        <x:v>https://www.mobot.org/MOBOT/research/APweb/orders/rosalesweb.htm
https://floranorthamerica.org/Urticaceae
https://powo.science.kew.org/taxon/urn:lsid:ipni.org:names:30000535-2/general-information
https://www.wildflower.org/collections/collection.php?collection=hays</x:v>
      </x:c>
      <x:c r="X617" s="215" t="str">
        <x:v>No — retain qualifiers and exceptions</x:v>
      </x:c>
      <x:c r="Y617" s="215" t="str">
        <x:v>Yes</x:v>
      </x:c>
      <x:c r="Z617" s="215" t="str">
        <x:v>Source-backed draft</x:v>
      </x:c>
      <x:c r="AA617" s="215" t="str">
        <x:v>Family pattern</x:v>
      </x:c>
      <x:c r="AB617" s="215" t="str">
        <x:v>Supporting / route</x:v>
      </x:c>
      <x:c r="AC617" s="215" t="str">
        <x:v>High</x:v>
      </x:c>
      <x:c r="AD617" s="215" t="str">
        <x:v>Microscope</x:v>
      </x:c>
      <x:c r="AE617" s="215" t="str">
        <x:v>Low</x:v>
      </x:c>
      <x:c r="AF617" s="215" t="str">
        <x:v>Specialist / reference</x:v>
      </x:c>
      <x:c r="AG617" s="215" t="str">
        <x:v>4 — Context / caution</x:v>
      </x:c>
      <x:c r="AH617" s="215" t="str">
        <x:v>Current master inventory</x:v>
      </x:c>
    </x:row>
    <x:row r="618" ht="42" customHeight="1">
      <x:c r="A618" s="215" t="str">
        <x:v>Urticaceae</x:v>
      </x:c>
      <x:c r="B618" s="215" t="str">
        <x:v>URT-FLOWER</x:v>
      </x:c>
      <x:c r="C618" s="215" t="str">
        <x:v>Family character</x:v>
      </x:c>
      <x:c r="D618" s="215" t="str">
        <x:v>Flowers</x:v>
      </x:c>
      <x:c r="E618" s="215" t="str">
        <x:v>Flowers tiny, greenish, bisexual or unisexual, commonly with 4–5 tepals in staminate flowers</x:v>
      </x:c>
      <x:c r="F618" s="215" t="str">
        <x:v>Strong</x:v>
      </x:c>
      <x:c r="G618" s="215" t="str">
        <x:v>3</x:v>
      </x:c>
      <x:c r="H618" s="215" t="str">
        <x:v>High</x:v>
      </x:c>
      <x:c r="I618" s="215" t="str">
        <x:v>Naked eye or hand lens</x:v>
      </x:c>
      <x:c r="J618" s="215" t="str">
        <x:v>Fresh inflorescences</x:v>
      </x:c>
      <x:c r="K618" s="215" t="str">
        <x:v>The family lacks a showy corolla and often forms inconspicuous clusters.</x:v>
      </x:c>
      <x:c r="L618" s="215" t="str">
        <x:v>Sex and tepal number vary among genera.</x:v>
      </x:c>
      <x:c r="M618" s="215" t="str">
        <x:v>Use flower structure with fruit and hairs.</x:v>
      </x:c>
      <x:c r="N618" s="215" t="str">
        <x:v>Nettles, pellitories, and related herbs are relevant in Hays riparian, shaded, disturbed, and moist microsites; never test stinging hairs by touch.</x:v>
      </x:c>
      <x:c r="O618" s="215" t="str">
        <x:v>Low</x:v>
      </x:c>
      <x:c r="P618" s="215" t="str">
        <x:v>No</x:v>
      </x:c>
      <x:c r="Q618" s="215" t="str"/>
      <x:c r="R618" s="215" t="str"/>
      <x:c r="S618" s="215" t="str">
        <x:v>APWEB-URTI; FNA-URTI; POWO-URTI; LBJ-HAYS</x:v>
      </x:c>
      <x:c r="T618" s="215" t="str">
        <x:v>https://www.mobot.org/MOBOT/research/APweb/orders/rosalesweb.htm</x:v>
      </x:c>
      <x:c r="U618" s="215" t="str">
        <x:v>https://floranorthamerica.org/Urticaceae</x:v>
      </x:c>
      <x:c r="V618" s="215" t="str">
        <x:v>https://powo.science.kew.org/taxon/urn:lsid:ipni.org:names:30000535-2/general-information</x:v>
      </x:c>
      <x:c r="W618" s="215" t="str">
        <x:v>https://www.mobot.org/MOBOT/research/APweb/orders/rosalesweb.htm
https://floranorthamerica.org/Urticaceae
https://powo.science.kew.org/taxon/urn:lsid:ipni.org:names:30000535-2/general-information
https://www.wildflower.org/collections/collection.php?collection=hays</x:v>
      </x:c>
      <x:c r="X618" s="215" t="str">
        <x:v>No — retain qualifiers and exceptions</x:v>
      </x:c>
      <x:c r="Y618" s="215" t="str">
        <x:v>Yes</x:v>
      </x:c>
      <x:c r="Z618" s="215" t="str">
        <x:v>Source-backed draft</x:v>
      </x:c>
      <x:c r="AA618" s="215" t="str">
        <x:v>Family pattern</x:v>
      </x:c>
      <x:c r="AB618" s="215" t="str">
        <x:v>Positive diagnostic</x:v>
      </x:c>
      <x:c r="AC618" s="215" t="str">
        <x:v>High</x:v>
      </x:c>
      <x:c r="AD618" s="215" t="str">
        <x:v>Hand lens / macro</x:v>
      </x:c>
      <x:c r="AE618" s="215" t="str">
        <x:v>Low</x:v>
      </x:c>
      <x:c r="AF618" s="215" t="str">
        <x:v>Field-ready draft</x:v>
      </x:c>
      <x:c r="AG618" s="215" t="str">
        <x:v>3 — Reference support</x:v>
      </x:c>
      <x:c r="AH618" s="215" t="str">
        <x:v>Current master inventory</x:v>
      </x:c>
    </x:row>
    <x:row r="619" ht="42" customHeight="1">
      <x:c r="A619" s="215" t="str">
        <x:v>Urticaceae</x:v>
      </x:c>
      <x:c r="B619" s="215" t="str">
        <x:v>URT-STAMENS</x:v>
      </x:c>
      <x:c r="C619" s="215" t="str">
        <x:v>Family character</x:v>
      </x:c>
      <x:c r="D619" s="215" t="str">
        <x:v>Stamens / pollination</x:v>
      </x:c>
      <x:c r="E619" s="215" t="str">
        <x:v>Stamens usually equal tepals in number; filaments often inflexed in bud and spring outward to eject pollen</x:v>
      </x:c>
      <x:c r="F619" s="215" t="str">
        <x:v>Strong</x:v>
      </x:c>
      <x:c r="G619" s="215" t="str">
        <x:v>4</x:v>
      </x:c>
      <x:c r="H619" s="215" t="str">
        <x:v>High</x:v>
      </x:c>
      <x:c r="I619" s="215" t="str">
        <x:v>Hand lens</x:v>
      </x:c>
      <x:c r="J619" s="215" t="str">
        <x:v>Fresh staminate flowers</x:v>
      </x:c>
      <x:c r="K619" s="215" t="str">
        <x:v>Pollen may be released explosively when the tiny male flowers open.</x:v>
      </x:c>
      <x:c r="L619" s="215" t="str">
        <x:v>The spring mechanism is not equally obvious in every lineage.</x:v>
      </x:c>
      <x:c r="M619" s="215" t="str">
        <x:v>Observe open flowers under magnification; do not force closed flowers.</x:v>
      </x:c>
      <x:c r="N619" s="215" t="str">
        <x:v>Nettles, pellitories, and related herbs are relevant in Hays riparian, shaded, disturbed, and moist microsites; never test stinging hairs by touch.</x:v>
      </x:c>
      <x:c r="O619" s="215" t="str">
        <x:v>Low</x:v>
      </x:c>
      <x:c r="P619" s="215" t="str">
        <x:v>No</x:v>
      </x:c>
      <x:c r="Q619" s="215" t="str"/>
      <x:c r="R619" s="215" t="str"/>
      <x:c r="S619" s="215" t="str">
        <x:v>APWEB-URTI; FNA-URTI; POWO-URTI; LBJ-HAYS</x:v>
      </x:c>
      <x:c r="T619" s="215" t="str">
        <x:v>https://www.mobot.org/MOBOT/research/APweb/orders/rosalesweb.htm</x:v>
      </x:c>
      <x:c r="U619" s="215" t="str">
        <x:v>https://floranorthamerica.org/Urticaceae</x:v>
      </x:c>
      <x:c r="V619" s="215" t="str">
        <x:v>https://powo.science.kew.org/taxon/urn:lsid:ipni.org:names:30000535-2/general-information</x:v>
      </x:c>
      <x:c r="W619" s="215" t="str">
        <x:v>https://www.mobot.org/MOBOT/research/APweb/orders/rosalesweb.htm
https://floranorthamerica.org/Urticaceae
https://powo.science.kew.org/taxon/urn:lsid:ipni.org:names:30000535-2/general-information
https://www.wildflower.org/collections/collection.php?collection=hays</x:v>
      </x:c>
      <x:c r="X619" s="215" t="str">
        <x:v>No — retain qualifiers and exceptions</x:v>
      </x:c>
      <x:c r="Y619" s="215" t="str">
        <x:v>Yes</x:v>
      </x:c>
      <x:c r="Z619" s="215" t="str">
        <x:v>Source-backed draft</x:v>
      </x:c>
      <x:c r="AA619" s="215" t="str">
        <x:v>Family pattern</x:v>
      </x:c>
      <x:c r="AB619" s="215" t="str">
        <x:v>Positive diagnostic</x:v>
      </x:c>
      <x:c r="AC619" s="215" t="str">
        <x:v>High</x:v>
      </x:c>
      <x:c r="AD619" s="215" t="str">
        <x:v>Hand lens / macro</x:v>
      </x:c>
      <x:c r="AE619" s="215" t="str">
        <x:v>Low</x:v>
      </x:c>
      <x:c r="AF619" s="215" t="str">
        <x:v>Field-ready draft</x:v>
      </x:c>
      <x:c r="AG619" s="215" t="str">
        <x:v>2 — Field-photo priority</x:v>
      </x:c>
      <x:c r="AH619" s="215" t="str">
        <x:v>Current master inventory</x:v>
      </x:c>
    </x:row>
    <x:row r="620" ht="42" customHeight="1">
      <x:c r="A620" s="215" t="str">
        <x:v>Urticaceae</x:v>
      </x:c>
      <x:c r="B620" s="215" t="str">
        <x:v>URT-OVARY</x:v>
      </x:c>
      <x:c r="C620" s="215" t="str">
        <x:v>Family character</x:v>
      </x:c>
      <x:c r="D620" s="215" t="str">
        <x:v>Gynoecium</x:v>
      </x:c>
      <x:c r="E620" s="215" t="str">
        <x:v>Pistil 1, ovary 1-locular with one basal ovule and a linear or capitate stigma</x:v>
      </x:c>
      <x:c r="F620" s="215" t="str">
        <x:v>Strong</x:v>
      </x:c>
      <x:c r="G620" s="215" t="str">
        <x:v>4</x:v>
      </x:c>
      <x:c r="H620" s="215" t="str">
        <x:v>High</x:v>
      </x:c>
      <x:c r="I620" s="215" t="str">
        <x:v>Hand lens or dissection</x:v>
      </x:c>
      <x:c r="J620" s="215" t="str">
        <x:v>Fresh pistillate flowers</x:v>
      </x:c>
      <x:c r="K620" s="215" t="str">
        <x:v>Each female flower makes one small dry fruit.</x:v>
      </x:c>
      <x:c r="L620" s="215" t="str">
        <x:v>Internal structure is difficult before fruiting.</x:v>
      </x:c>
      <x:c r="M620" s="215" t="str">
        <x:v>Use the single achene as the practical expression.</x:v>
      </x:c>
      <x:c r="N620" s="215" t="str">
        <x:v>Nettles, pellitories, and related herbs are relevant in Hays riparian, shaded, disturbed, and moist microsites; never test stinging hairs by touch.</x:v>
      </x:c>
      <x:c r="O620" s="215" t="str">
        <x:v>Low</x:v>
      </x:c>
      <x:c r="P620" s="215" t="str">
        <x:v>No</x:v>
      </x:c>
      <x:c r="Q620" s="215" t="str"/>
      <x:c r="R620" s="215" t="str"/>
      <x:c r="S620" s="215" t="str">
        <x:v>APWEB-URTI; FNA-URTI; POWO-URTI; LBJ-HAYS</x:v>
      </x:c>
      <x:c r="T620" s="215" t="str">
        <x:v>https://www.mobot.org/MOBOT/research/APweb/orders/rosalesweb.htm</x:v>
      </x:c>
      <x:c r="U620" s="215" t="str">
        <x:v>https://floranorthamerica.org/Urticaceae</x:v>
      </x:c>
      <x:c r="V620" s="215" t="str">
        <x:v>https://powo.science.kew.org/taxon/urn:lsid:ipni.org:names:30000535-2/general-information</x:v>
      </x:c>
      <x:c r="W620" s="215" t="str">
        <x:v>https://www.mobot.org/MOBOT/research/APweb/orders/rosalesweb.htm
https://floranorthamerica.org/Urticaceae
https://powo.science.kew.org/taxon/urn:lsid:ipni.org:names:30000535-2/general-information
https://www.wildflower.org/collections/collection.php?collection=hays</x:v>
      </x:c>
      <x:c r="X620" s="215" t="str">
        <x:v>No — retain qualifiers and exceptions</x:v>
      </x:c>
      <x:c r="Y620" s="215" t="str">
        <x:v>Yes</x:v>
      </x:c>
      <x:c r="Z620" s="215" t="str">
        <x:v>Source-backed draft</x:v>
      </x:c>
      <x:c r="AA620" s="215" t="str">
        <x:v>Family pattern</x:v>
      </x:c>
      <x:c r="AB620" s="215" t="str">
        <x:v>Positive diagnostic</x:v>
      </x:c>
      <x:c r="AC620" s="215" t="str">
        <x:v>High</x:v>
      </x:c>
      <x:c r="AD620" s="215" t="str">
        <x:v>Dissection</x:v>
      </x:c>
      <x:c r="AE620" s="215" t="str">
        <x:v>Low</x:v>
      </x:c>
      <x:c r="AF620" s="215" t="str">
        <x:v>Dissection / close study</x:v>
      </x:c>
      <x:c r="AG620" s="215" t="str">
        <x:v>3 — Reference support</x:v>
      </x:c>
      <x:c r="AH620" s="215" t="str">
        <x:v>Current master inventory</x:v>
      </x:c>
    </x:row>
    <x:row r="621" ht="42" customHeight="1">
      <x:c r="A621" s="215" t="str">
        <x:v>Urticaceae</x:v>
      </x:c>
      <x:c r="B621" s="215" t="str">
        <x:v>URT-FRUIT</x:v>
      </x:c>
      <x:c r="C621" s="215" t="str">
        <x:v>Family character</x:v>
      </x:c>
      <x:c r="D621" s="215" t="str">
        <x:v>Fruit</x:v>
      </x:c>
      <x:c r="E621" s="215" t="str">
        <x:v>Fruit an achene, free or enclosed by persistent and sometimes enlarging perianth</x:v>
      </x:c>
      <x:c r="F621" s="215" t="str">
        <x:v>Strong</x:v>
      </x:c>
      <x:c r="G621" s="215" t="str">
        <x:v>5</x:v>
      </x:c>
      <x:c r="H621" s="215" t="str">
        <x:v>High</x:v>
      </x:c>
      <x:c r="I621" s="215" t="str">
        <x:v>Naked eye or hand lens</x:v>
      </x:c>
      <x:c r="J621" s="215" t="str">
        <x:v>Mature fruit</x:v>
      </x:c>
      <x:c r="K621" s="215" t="str">
        <x:v>Clusters break into many individual one-seeded dry fruits.</x:v>
      </x:c>
      <x:c r="L621" s="215" t="str">
        <x:v>Perianth enclosure varies among genera.</x:v>
      </x:c>
      <x:c r="M621" s="215" t="str">
        <x:v>Confirm one achene per flower rather than a multiple fleshy fruit.</x:v>
      </x:c>
      <x:c r="N621" s="215" t="str">
        <x:v>Nettles, pellitories, and related herbs are relevant in Hays riparian, shaded, disturbed, and moist microsites; never test stinging hairs by touch.</x:v>
      </x:c>
      <x:c r="O621" s="215" t="str">
        <x:v>Low</x:v>
      </x:c>
      <x:c r="P621" s="215" t="str">
        <x:v>No</x:v>
      </x:c>
      <x:c r="Q621" s="215" t="str"/>
      <x:c r="R621" s="215" t="str">
        <x:v>URT-LK01; URT-LK02</x:v>
      </x:c>
      <x:c r="S621" s="215" t="str">
        <x:v>APWEB-URTI; FNA-URTI; POWO-URTI; LBJ-HAYS</x:v>
      </x:c>
      <x:c r="T621" s="215" t="str">
        <x:v>https://www.mobot.org/MOBOT/research/APweb/orders/rosalesweb.htm</x:v>
      </x:c>
      <x:c r="U621" s="215" t="str">
        <x:v>https://floranorthamerica.org/Urticaceae</x:v>
      </x:c>
      <x:c r="V621" s="215" t="str">
        <x:v>https://powo.science.kew.org/taxon/urn:lsid:ipni.org:names:30000535-2/general-information</x:v>
      </x:c>
      <x:c r="W621" s="215" t="str">
        <x:v>https://www.mobot.org/MOBOT/research/APweb/orders/rosalesweb.htm
https://floranorthamerica.org/Urticaceae
https://powo.science.kew.org/taxon/urn:lsid:ipni.org:names:30000535-2/general-information
https://www.wildflower.org/collections/collection.php?collection=hays</x:v>
      </x:c>
      <x:c r="X621" s="215" t="str">
        <x:v>No — retain qualifiers and exceptions</x:v>
      </x:c>
      <x:c r="Y621" s="215" t="str">
        <x:v>Yes</x:v>
      </x:c>
      <x:c r="Z621" s="215" t="str">
        <x:v>Source-backed draft</x:v>
      </x:c>
      <x:c r="AA621" s="215" t="str">
        <x:v>Family pattern</x:v>
      </x:c>
      <x:c r="AB621" s="215" t="str">
        <x:v>Positive diagnostic</x:v>
      </x:c>
      <x:c r="AC621" s="215" t="str">
        <x:v>High</x:v>
      </x:c>
      <x:c r="AD621" s="215" t="str">
        <x:v>Hand lens / macro</x:v>
      </x:c>
      <x:c r="AE621" s="215" t="str">
        <x:v>Low</x:v>
      </x:c>
      <x:c r="AF621" s="215" t="str">
        <x:v>Field-ready draft</x:v>
      </x:c>
      <x:c r="AG621" s="215" t="str">
        <x:v>2 — Field-photo priority</x:v>
      </x:c>
      <x:c r="AH621" s="215" t="str">
        <x:v>Current master inventory</x:v>
      </x:c>
    </x:row>
    <x:row r="622" ht="42" customHeight="1">
      <x:c r="A622" s="215" t="str">
        <x:v>Urticaceae</x:v>
      </x:c>
      <x:c r="B622" s="215" t="str">
        <x:v>URT-SAP</x:v>
      </x:c>
      <x:c r="C622" s="215" t="str">
        <x:v>Family character</x:v>
      </x:c>
      <x:c r="D622" s="215" t="str">
        <x:v>Sap</x:v>
      </x:c>
      <x:c r="E622" s="215" t="str">
        <x:v>Sap generally watery rather than conspicuously milky in the practical regional comparison</x:v>
      </x:c>
      <x:c r="F622" s="215" t="str">
        <x:v>Supporting</x:v>
      </x:c>
      <x:c r="G622" s="215" t="str">
        <x:v>2</x:v>
      </x:c>
      <x:c r="H622" s="215" t="str">
        <x:v>High</x:v>
      </x:c>
      <x:c r="I622" s="215" t="str">
        <x:v>Naked eye or hand lens</x:v>
      </x:c>
      <x:c r="J622" s="215" t="str">
        <x:v>Fresh material</x:v>
      </x:c>
      <x:c r="K622" s="215" t="str">
        <x:v>Watery sap helps separate nettles from many mulberry-family plants.</x:v>
      </x:c>
      <x:c r="L622" s="215" t="str">
        <x:v>Sap is not a safe universal and cutting plants is unnecessary when fruit is present.</x:v>
      </x:c>
      <x:c r="M622" s="215" t="str">
        <x:v>Use cautiously and avoid contact with stinging taxa.</x:v>
      </x:c>
      <x:c r="N622" s="215" t="str">
        <x:v>Nettles, pellitories, and related herbs are relevant in Hays riparian, shaded, disturbed, and moist microsites; never test stinging hairs by touch.</x:v>
      </x:c>
      <x:c r="O622" s="215" t="str">
        <x:v>Low</x:v>
      </x:c>
      <x:c r="P622" s="215" t="str">
        <x:v>No</x:v>
      </x:c>
      <x:c r="Q622" s="215" t="str"/>
      <x:c r="R622" s="215" t="str"/>
      <x:c r="S622" s="215" t="str">
        <x:v>APWEB-URTI; FNA-URTI; POWO-URTI; LBJ-HAYS</x:v>
      </x:c>
      <x:c r="T622" s="215" t="str">
        <x:v>https://www.mobot.org/MOBOT/research/APweb/orders/rosalesweb.htm</x:v>
      </x:c>
      <x:c r="U622" s="215" t="str">
        <x:v>https://floranorthamerica.org/Urticaceae</x:v>
      </x:c>
      <x:c r="V622" s="215" t="str">
        <x:v>https://powo.science.kew.org/taxon/urn:lsid:ipni.org:names:30000535-2/general-information</x:v>
      </x:c>
      <x:c r="W622" s="215" t="str">
        <x:v>https://www.mobot.org/MOBOT/research/APweb/orders/rosalesweb.htm
https://floranorthamerica.org/Urticaceae
https://powo.science.kew.org/taxon/urn:lsid:ipni.org:names:30000535-2/general-information
https://www.wildflower.org/collections/collection.php?collection=hays</x:v>
      </x:c>
      <x:c r="X622" s="215" t="str">
        <x:v>No — retain qualifiers and exceptions</x:v>
      </x:c>
      <x:c r="Y622" s="215" t="str">
        <x:v>Yes</x:v>
      </x:c>
      <x:c r="Z622" s="215" t="str">
        <x:v>Source-backed draft</x:v>
      </x:c>
      <x:c r="AA622" s="215" t="str">
        <x:v>Family pattern</x:v>
      </x:c>
      <x:c r="AB622" s="215" t="str">
        <x:v>Supporting / route</x:v>
      </x:c>
      <x:c r="AC622" s="215" t="str">
        <x:v>High</x:v>
      </x:c>
      <x:c r="AD622" s="215" t="str">
        <x:v>Hand lens / macro</x:v>
      </x:c>
      <x:c r="AE622" s="215" t="str">
        <x:v>Low</x:v>
      </x:c>
      <x:c r="AF622" s="215" t="str">
        <x:v>Field-ready draft</x:v>
      </x:c>
      <x:c r="AG622" s="215" t="str">
        <x:v>4 — Context / caution</x:v>
      </x:c>
      <x:c r="AH622" s="215" t="str">
        <x:v>Current master inventory</x:v>
      </x:c>
    </x:row>
    <x:row r="623" ht="42" customHeight="1">
      <x:c r="A623" s="215" t="str">
        <x:v>Urticaceae</x:v>
      </x:c>
      <x:c r="B623" s="215" t="str">
        <x:v>URT-LK01</x:v>
      </x:c>
      <x:c r="C623" s="215" t="str">
        <x:v>Lookalike comparison</x:v>
      </x:c>
      <x:c r="D623" s="215" t="str">
        <x:v>Lookalike</x:v>
      </x:c>
      <x:c r="E623" s="215" t="str">
        <x:v>Versus Moraceae: dry achenes and often stinging hairs favor Urticaceae; milky sap and fleshy multiple fruits favor Moraceae</x:v>
      </x:c>
      <x:c r="F623" s="215" t="str">
        <x:v>Lookalike</x:v>
      </x:c>
      <x:c r="G623" s="215" t="str">
        <x:v>5</x:v>
      </x:c>
      <x:c r="H623" s="215" t="str">
        <x:v>High</x:v>
      </x:c>
      <x:c r="I623" s="215" t="str">
        <x:v>Naked eye or hand lens</x:v>
      </x:c>
      <x:c r="J623" s="215" t="str">
        <x:v>Leafy fruiting material</x:v>
      </x:c>
      <x:c r="K623" s="215" t="str">
        <x:v>The two families share stipules, cystoliths, and tiny unisexual flowers.</x:v>
      </x:c>
      <x:c r="L623" s="215" t="str">
        <x:v>Not all nettles sting and not all Moraceae exude obvious latex.</x:v>
      </x:c>
      <x:c r="M623" s="215" t="str">
        <x:v>Prioritize mature fruit construction; this supplies the reciprocal comparison for MOR-LK01.</x:v>
      </x:c>
      <x:c r="N623" s="215" t="str">
        <x:v>Nettles, pellitories, and related herbs are relevant in Hays riparian, shaded, disturbed, and moist microsites; never test stinging hairs by touch.</x:v>
      </x:c>
      <x:c r="O623" s="215" t="str">
        <x:v>Low</x:v>
      </x:c>
      <x:c r="P623" s="215" t="str">
        <x:v>No</x:v>
      </x:c>
      <x:c r="Q623" s="215" t="str"/>
      <x:c r="R623" s="215" t="str">
        <x:v>URT-HAIRS; URT-FRUIT; URT-SAP</x:v>
      </x:c>
      <x:c r="S623" s="215" t="str">
        <x:v>APWEB-URTI; FNA-URTI; POWO-URTI; LBJ-HAYS</x:v>
      </x:c>
      <x:c r="T623" s="215" t="str">
        <x:v>https://www.mobot.org/MOBOT/research/APweb/orders/rosalesweb.htm</x:v>
      </x:c>
      <x:c r="U623" s="215" t="str">
        <x:v>https://floranorthamerica.org/Urticaceae</x:v>
      </x:c>
      <x:c r="V623" s="215" t="str">
        <x:v>https://powo.science.kew.org/taxon/urn:lsid:ipni.org:names:30000535-2/general-information</x:v>
      </x:c>
      <x:c r="W623" s="215" t="str">
        <x:v>https://www.mobot.org/MOBOT/research/APweb/orders/rosalesweb.htm
https://floranorthamerica.org/Urticaceae
https://powo.science.kew.org/taxon/urn:lsid:ipni.org:names:30000535-2/general-information
https://www.wildflower.org/collections/collection.php?collection=hays</x:v>
      </x:c>
      <x:c r="X623" s="215" t="str">
        <x:v>No — retain qualifiers and exceptions</x:v>
      </x:c>
      <x:c r="Y623" s="215" t="str">
        <x:v>Yes</x:v>
      </x:c>
      <x:c r="Z623" s="215" t="str">
        <x:v>Source-backed draft</x:v>
      </x:c>
      <x:c r="AA623" s="215" t="str">
        <x:v>Lookalike comparison</x:v>
      </x:c>
      <x:c r="AB623" s="215" t="str">
        <x:v>Contrast / lookalike</x:v>
      </x:c>
      <x:c r="AC623" s="215" t="str">
        <x:v>High</x:v>
      </x:c>
      <x:c r="AD623" s="215" t="str">
        <x:v>Hand lens / macro</x:v>
      </x:c>
      <x:c r="AE623" s="215" t="str">
        <x:v>Low</x:v>
      </x:c>
      <x:c r="AF623" s="215" t="str">
        <x:v>Field-ready draft</x:v>
      </x:c>
      <x:c r="AG623" s="215" t="str">
        <x:v>2 — Field-photo priority</x:v>
      </x:c>
      <x:c r="AH623" s="215" t="str">
        <x:v>Current master inventory</x:v>
      </x:c>
    </x:row>
    <x:row r="624" ht="42" customHeight="1">
      <x:c r="A624" s="215" t="str">
        <x:v>Urticaceae</x:v>
      </x:c>
      <x:c r="B624" s="215" t="str">
        <x:v>URT-LK02</x:v>
      </x:c>
      <x:c r="C624" s="215" t="str">
        <x:v>Lookalike comparison</x:v>
      </x:c>
      <x:c r="D624" s="215" t="str">
        <x:v>Lookalike</x:v>
      </x:c>
      <x:c r="E624" s="215" t="str">
        <x:v>Versus Cannabaceae: stinging hairs or nettle-type achene clusters favor Urticaceae; hackberry drupes or hemp/hop bracteate fruits favor Cannabaceae</x:v>
      </x:c>
      <x:c r="F624" s="215" t="str">
        <x:v>Lookalike</x:v>
      </x:c>
      <x:c r="G624" s="215" t="str">
        <x:v>5</x:v>
      </x:c>
      <x:c r="H624" s="215" t="str">
        <x:v>High</x:v>
      </x:c>
      <x:c r="I624" s="215" t="str">
        <x:v>Naked eye or hand lens</x:v>
      </x:c>
      <x:c r="J624" s="215" t="str">
        <x:v>Mature fruit</x:v>
      </x:c>
      <x:c r="K624" s="215" t="str">
        <x:v>Both can show cystoliths, stipules, small flowers, and achenes.</x:v>
      </x:c>
      <x:c r="L624" s="215" t="str">
        <x:v>Modern Cannabaceae is broad and includes woody Celtis as well as herbs and vines.</x:v>
      </x:c>
      <x:c r="M624" s="215" t="str">
        <x:v>Use habit plus mature fruit and do not rely on cystoliths alone.</x:v>
      </x:c>
      <x:c r="N624" s="215" t="str">
        <x:v>Nettles, pellitories, and related herbs are relevant in Hays riparian, shaded, disturbed, and moist microsites; never test stinging hairs by touch.</x:v>
      </x:c>
      <x:c r="O624" s="215" t="str">
        <x:v>Low</x:v>
      </x:c>
      <x:c r="P624" s="215" t="str">
        <x:v>No</x:v>
      </x:c>
      <x:c r="Q624" s="215" t="str"/>
      <x:c r="R624" s="215" t="str">
        <x:v>URT-HAIRS; URT-CYSTOLITH; URT-FRUIT</x:v>
      </x:c>
      <x:c r="S624" s="215" t="str">
        <x:v>APWEB-URTI; FNA-URTI; POWO-URTI; LBJ-HAYS</x:v>
      </x:c>
      <x:c r="T624" s="215" t="str">
        <x:v>https://www.mobot.org/MOBOT/research/APweb/orders/rosalesweb.htm</x:v>
      </x:c>
      <x:c r="U624" s="215" t="str">
        <x:v>https://floranorthamerica.org/Urticaceae</x:v>
      </x:c>
      <x:c r="V624" s="215" t="str">
        <x:v>https://powo.science.kew.org/taxon/urn:lsid:ipni.org:names:30000535-2/general-information</x:v>
      </x:c>
      <x:c r="W624" s="215" t="str">
        <x:v>https://www.mobot.org/MOBOT/research/APweb/orders/rosalesweb.htm
https://floranorthamerica.org/Urticaceae
https://powo.science.kew.org/taxon/urn:lsid:ipni.org:names:30000535-2/general-information
https://www.wildflower.org/collections/collection.php?collection=hays</x:v>
      </x:c>
      <x:c r="X624" s="215" t="str">
        <x:v>No — retain qualifiers and exceptions</x:v>
      </x:c>
      <x:c r="Y624" s="215" t="str">
        <x:v>Yes</x:v>
      </x:c>
      <x:c r="Z624" s="215" t="str">
        <x:v>Source-backed draft</x:v>
      </x:c>
      <x:c r="AA624" s="215" t="str">
        <x:v>Lookalike comparison</x:v>
      </x:c>
      <x:c r="AB624" s="215" t="str">
        <x:v>Contrast / lookalike</x:v>
      </x:c>
      <x:c r="AC624" s="215" t="str">
        <x:v>High</x:v>
      </x:c>
      <x:c r="AD624" s="215" t="str">
        <x:v>Hand lens / macro</x:v>
      </x:c>
      <x:c r="AE624" s="215" t="str">
        <x:v>Low</x:v>
      </x:c>
      <x:c r="AF624" s="215" t="str">
        <x:v>Field-ready draft</x:v>
      </x:c>
      <x:c r="AG624" s="215" t="str">
        <x:v>2 — Field-photo priority</x:v>
      </x:c>
      <x:c r="AH624" s="215" t="str">
        <x:v>Current master inventory</x:v>
      </x:c>
    </x:row>
    <x:row r="625" ht="42" customHeight="1">
      <x:c r="A625" s="215" t="str">
        <x:v>Cannabaceae</x:v>
      </x:c>
      <x:c r="B625" s="215" t="str">
        <x:v>CAN-TAXON</x:v>
      </x:c>
      <x:c r="C625" s="215" t="str">
        <x:v>Taxonomy / source reconciliation</x:v>
      </x:c>
      <x:c r="D625" s="215" t="str">
        <x:v>Taxonomy / source reconciliation</x:v>
      </x:c>
      <x:c r="E625" s="215" t="str">
        <x:v>Current POWO Cannabaceae includes Celtis and relatives, while the older FNA treatment covers only Cannabis and Humulus</x:v>
      </x:c>
      <x:c r="F625" s="215" t="str">
        <x:v>Caution</x:v>
      </x:c>
      <x:c r="G625" s="215" t="str">
        <x:v>0</x:v>
      </x:c>
      <x:c r="H625" s="215" t="str">
        <x:v>High</x:v>
      </x:c>
      <x:c r="I625" s="215" t="str">
        <x:v>Not field-visible</x:v>
      </x:c>
      <x:c r="J625" s="215" t="str">
        <x:v>Any material</x:v>
      </x:c>
      <x:c r="K625" s="215" t="str">
        <x:v>Hackberries belong in modern Cannabaceae even though their drupes and woody habit are absent from FNA's narrow family description.</x:v>
      </x:c>
      <x:c r="L625" s="215" t="str">
        <x:v>Legacy floras may place Celtis in Ulmaceae, creating contradictory family characters.</x:v>
      </x:c>
      <x:c r="M625" s="215" t="str">
        <x:v>Scope every character to the lineage and reconcile Hays genera before universal use.</x:v>
      </x:c>
      <x:c r="N625" s="215" t="str">
        <x:v>Hackberries are common and ecologically important Hays trees; Cannabis and Humulus records must not be assumed native from cultivation or ruderal occurrence.</x:v>
      </x:c>
      <x:c r="O625" s="215" t="str">
        <x:v>Medium</x:v>
      </x:c>
      <x:c r="P625" s="215" t="str">
        <x:v>Yes</x:v>
      </x:c>
      <x:c r="Q625" s="215" t="str">
        <x:v>FNA uses narrow Cannabaceae and broad Ulmaceae, whereas current POWO places Celtis in broad Cannabaceae.</x:v>
      </x:c>
      <x:c r="R625" s="215" t="str">
        <x:v>CAN-LK01</x:v>
      </x:c>
      <x:c r="S625" s="215" t="str">
        <x:v>APWEB-CANN; FNA-CANN; POWO-CANN; LBJ-HAYS</x:v>
      </x:c>
      <x:c r="T625" s="215" t="str">
        <x:v>https://www.mobot.org/MOBOT/research/APweb/orders/rosalesweb.htm</x:v>
      </x:c>
      <x:c r="U625" s="215" t="str">
        <x:v>https://floranorthamerica.org/Cannabaceae</x:v>
      </x:c>
      <x:c r="V625" s="215" t="str">
        <x:v>https://powo.science.kew.org/taxon/urn:lsid:ipni.org:names:77126717-1/general-information</x:v>
      </x:c>
      <x:c r="W625" s="215" t="str">
        <x:v>https://www.mobot.org/MOBOT/research/APweb/orders/rosalesweb.htm
https://floranorthamerica.org/Cannabaceae
https://powo.science.kew.org/taxon/urn:lsid:ipni.org:names:77126717-1/general-information
https://www.wildflower.org/collections/collection.php?collection=hays</x:v>
      </x:c>
      <x:c r="X625" s="215" t="str">
        <x:v>No — retain qualifiers and exceptions</x:v>
      </x:c>
      <x:c r="Y625" s="215" t="str">
        <x:v>Yes</x:v>
      </x:c>
      <x:c r="Z625" s="215" t="str">
        <x:v>Human review required</x:v>
      </x:c>
      <x:c r="AA625" s="215" t="str">
        <x:v>Taxonomy</x:v>
      </x:c>
      <x:c r="AB625" s="215" t="str">
        <x:v>Caution / negative rule</x:v>
      </x:c>
      <x:c r="AC625" s="215" t="str">
        <x:v>High</x:v>
      </x:c>
      <x:c r="AD625" s="215" t="str">
        <x:v>Reference / method</x:v>
      </x:c>
      <x:c r="AE625" s="215" t="str">
        <x:v>Moderate</x:v>
      </x:c>
      <x:c r="AF625" s="215" t="str">
        <x:v>Use only after review</x:v>
      </x:c>
      <x:c r="AG625" s="215" t="str">
        <x:v>1 — Human review now</x:v>
      </x:c>
      <x:c r="AH625" s="215" t="str">
        <x:v>Current master inventory</x:v>
      </x:c>
    </x:row>
    <x:row r="626" ht="42" customHeight="1">
      <x:c r="A626" s="215" t="str">
        <x:v>Cannabaceae</x:v>
      </x:c>
      <x:c r="B626" s="215" t="str">
        <x:v>CAN-HABIT</x:v>
      </x:c>
      <x:c r="C626" s="215" t="str">
        <x:v>Modern broad-family character</x:v>
      </x:c>
      <x:c r="D626" s="215" t="str">
        <x:v>Habit</x:v>
      </x:c>
      <x:c r="E626" s="215" t="str">
        <x:v>Herbs, twining vines, shrubs, or trees under the modern broad family</x:v>
      </x:c>
      <x:c r="F626" s="215" t="str">
        <x:v>Strong</x:v>
      </x:c>
      <x:c r="G626" s="215" t="str">
        <x:v>1</x:v>
      </x:c>
      <x:c r="H626" s="215" t="str">
        <x:v>High</x:v>
      </x:c>
      <x:c r="I626" s="215" t="str">
        <x:v>Naked eye or hand lens</x:v>
      </x:c>
      <x:c r="J626" s="215" t="str">
        <x:v>Any material</x:v>
      </x:c>
      <x:c r="K626" s="215" t="str">
        <x:v>Modern Cannabaceae spans hemp/hops and hackberries.</x:v>
      </x:c>
      <x:c r="L626" s="215" t="str">
        <x:v>No single habit is family-wide.</x:v>
      </x:c>
      <x:c r="M626" s="215" t="str">
        <x:v>Start by identifying the local lineage, then use its reproductive suite.</x:v>
      </x:c>
      <x:c r="N626" s="215" t="str">
        <x:v>Hackberries are common and ecologically important Hays trees; Cannabis and Humulus records must not be assumed native from cultivation or ruderal occurrence.</x:v>
      </x:c>
      <x:c r="O626" s="215" t="str">
        <x:v>Low</x:v>
      </x:c>
      <x:c r="P626" s="215" t="str">
        <x:v>No</x:v>
      </x:c>
      <x:c r="Q626" s="215" t="str"/>
      <x:c r="R626" s="215" t="str"/>
      <x:c r="S626" s="215" t="str">
        <x:v>APWEB-CANN; FNA-CANN; POWO-CANN; LBJ-HAYS</x:v>
      </x:c>
      <x:c r="T626" s="215" t="str">
        <x:v>https://www.mobot.org/MOBOT/research/APweb/orders/rosalesweb.htm</x:v>
      </x:c>
      <x:c r="U626" s="215" t="str">
        <x:v>https://floranorthamerica.org/Cannabaceae</x:v>
      </x:c>
      <x:c r="V626" s="215" t="str">
        <x:v>https://powo.science.kew.org/taxon/urn:lsid:ipni.org:names:77126717-1/general-information</x:v>
      </x:c>
      <x:c r="W626" s="215" t="str">
        <x:v>https://www.mobot.org/MOBOT/research/APweb/orders/rosalesweb.htm
https://floranorthamerica.org/Cannabaceae
https://powo.science.kew.org/taxon/urn:lsid:ipni.org:names:77126717-1/general-information
https://www.wildflower.org/collections/collection.php?collection=hays</x:v>
      </x:c>
      <x:c r="X626" s="215" t="str">
        <x:v>No — retain qualifiers and exceptions</x:v>
      </x:c>
      <x:c r="Y626" s="215" t="str">
        <x:v>Yes</x:v>
      </x:c>
      <x:c r="Z626" s="215" t="str">
        <x:v>Source-backed draft</x:v>
      </x:c>
      <x:c r="AA626" s="215" t="str">
        <x:v>Family pattern</x:v>
      </x:c>
      <x:c r="AB626" s="215" t="str">
        <x:v>Positive diagnostic</x:v>
      </x:c>
      <x:c r="AC626" s="215" t="str">
        <x:v>High</x:v>
      </x:c>
      <x:c r="AD626" s="215" t="str">
        <x:v>Hand lens / macro</x:v>
      </x:c>
      <x:c r="AE626" s="215" t="str">
        <x:v>Low</x:v>
      </x:c>
      <x:c r="AF626" s="215" t="str">
        <x:v>Field-ready draft</x:v>
      </x:c>
      <x:c r="AG626" s="215" t="str">
        <x:v>4 — Context / caution</x:v>
      </x:c>
      <x:c r="AH626" s="215" t="str">
        <x:v>Current master inventory</x:v>
      </x:c>
    </x:row>
    <x:row r="627" ht="42" customHeight="1">
      <x:c r="A627" s="215" t="str">
        <x:v>Cannabaceae</x:v>
      </x:c>
      <x:c r="B627" s="215" t="str">
        <x:v>CAN-LEAVES</x:v>
      </x:c>
      <x:c r="C627" s="215" t="str">
        <x:v>Modern broad-family character</x:v>
      </x:c>
      <x:c r="D627" s="215" t="str">
        <x:v>Leaves / stipules</x:v>
      </x:c>
      <x:c r="E627" s="215" t="str">
        <x:v>Leaves alternate or opposite, simple, lobed, or palmately compound, commonly serrate and stipulate</x:v>
      </x:c>
      <x:c r="F627" s="215" t="str">
        <x:v>Strong</x:v>
      </x:c>
      <x:c r="G627" s="215" t="str">
        <x:v>2</x:v>
      </x:c>
      <x:c r="H627" s="215" t="str">
        <x:v>High</x:v>
      </x:c>
      <x:c r="I627" s="215" t="str">
        <x:v>Naked eye or hand lens</x:v>
      </x:c>
      <x:c r="J627" s="215" t="str">
        <x:v>Leafy shoots</x:v>
      </x:c>
      <x:c r="K627" s="215" t="str">
        <x:v>Hackberry leaves and hemp/hop leaves look different but share serration and stipules within the broad family.</x:v>
      </x:c>
      <x:c r="L627" s="215" t="str">
        <x:v>Arrangement and division are too variable for a universal field rule.</x:v>
      </x:c>
      <x:c r="M627" s="215" t="str">
        <x:v>Use leaf form only with habit, flowers, and fruit.</x:v>
      </x:c>
      <x:c r="N627" s="215" t="str">
        <x:v>Hackberries are common and ecologically important Hays trees; Cannabis and Humulus records must not be assumed native from cultivation or ruderal occurrence.</x:v>
      </x:c>
      <x:c r="O627" s="215" t="str">
        <x:v>Low</x:v>
      </x:c>
      <x:c r="P627" s="215" t="str">
        <x:v>No</x:v>
      </x:c>
      <x:c r="Q627" s="215" t="str"/>
      <x:c r="R627" s="215" t="str">
        <x:v>CAN-LK01; CAN-LK02</x:v>
      </x:c>
      <x:c r="S627" s="215" t="str">
        <x:v>APWEB-CANN; FNA-CANN; POWO-CANN; LBJ-HAYS</x:v>
      </x:c>
      <x:c r="T627" s="215" t="str">
        <x:v>https://www.mobot.org/MOBOT/research/APweb/orders/rosalesweb.htm</x:v>
      </x:c>
      <x:c r="U627" s="215" t="str">
        <x:v>https://floranorthamerica.org/Cannabaceae</x:v>
      </x:c>
      <x:c r="V627" s="215" t="str">
        <x:v>https://powo.science.kew.org/taxon/urn:lsid:ipni.org:names:77126717-1/general-information</x:v>
      </x:c>
      <x:c r="W627" s="215" t="str">
        <x:v>https://www.mobot.org/MOBOT/research/APweb/orders/rosalesweb.htm
https://floranorthamerica.org/Cannabaceae
https://powo.science.kew.org/taxon/urn:lsid:ipni.org:names:77126717-1/general-information
https://www.wildflower.org/collections/collection.php?collection=hays</x:v>
      </x:c>
      <x:c r="X627" s="215" t="str">
        <x:v>No — retain qualifiers and exceptions</x:v>
      </x:c>
      <x:c r="Y627" s="215" t="str">
        <x:v>Yes</x:v>
      </x:c>
      <x:c r="Z627" s="215" t="str">
        <x:v>Source-backed draft</x:v>
      </x:c>
      <x:c r="AA627" s="215" t="str">
        <x:v>Family pattern</x:v>
      </x:c>
      <x:c r="AB627" s="215" t="str">
        <x:v>Positive diagnostic</x:v>
      </x:c>
      <x:c r="AC627" s="215" t="str">
        <x:v>High</x:v>
      </x:c>
      <x:c r="AD627" s="215" t="str">
        <x:v>Hand lens / macro</x:v>
      </x:c>
      <x:c r="AE627" s="215" t="str">
        <x:v>Low</x:v>
      </x:c>
      <x:c r="AF627" s="215" t="str">
        <x:v>Field-ready draft</x:v>
      </x:c>
      <x:c r="AG627" s="215" t="str">
        <x:v>4 — Context / caution</x:v>
      </x:c>
      <x:c r="AH627" s="215" t="str">
        <x:v>Current master inventory</x:v>
      </x:c>
    </x:row>
    <x:row r="628" ht="42" customHeight="1">
      <x:c r="A628" s="215" t="str">
        <x:v>Cannabaceae</x:v>
      </x:c>
      <x:c r="B628" s="215" t="str">
        <x:v>CAN-CYSTOLITH</x:v>
      </x:c>
      <x:c r="C628" s="215" t="str">
        <x:v>Modern broad-family character</x:v>
      </x:c>
      <x:c r="D628" s="215" t="str">
        <x:v>Leaf anatomy</x:v>
      </x:c>
      <x:c r="E628" s="215" t="str">
        <x:v>Cystoliths commonly present in hairs or epidermal cells</x:v>
      </x:c>
      <x:c r="F628" s="215" t="str">
        <x:v>Supporting</x:v>
      </x:c>
      <x:c r="G628" s="215" t="str">
        <x:v>1</x:v>
      </x:c>
      <x:c r="H628" s="215" t="str">
        <x:v>High</x:v>
      </x:c>
      <x:c r="I628" s="215" t="str">
        <x:v>Hand lens to high magnification</x:v>
      </x:c>
      <x:c r="J628" s="215" t="str">
        <x:v>Mature leaves</x:v>
      </x:c>
      <x:c r="K628" s="215" t="str">
        <x:v>Mineral bodies can support placement within the rosid nettle alliance.</x:v>
      </x:c>
      <x:c r="L628" s="215" t="str">
        <x:v>They overlap Urticaceae and Moraceae and may require microscopy.</x:v>
      </x:c>
      <x:c r="M628" s="215" t="str">
        <x:v>Use as supporting evidence only.</x:v>
      </x:c>
      <x:c r="N628" s="215" t="str">
        <x:v>Hackberries are common and ecologically important Hays trees; Cannabis and Humulus records must not be assumed native from cultivation or ruderal occurrence.</x:v>
      </x:c>
      <x:c r="O628" s="215" t="str">
        <x:v>Low</x:v>
      </x:c>
      <x:c r="P628" s="215" t="str">
        <x:v>No</x:v>
      </x:c>
      <x:c r="Q628" s="215" t="str"/>
      <x:c r="R628" s="215" t="str"/>
      <x:c r="S628" s="215" t="str">
        <x:v>APWEB-CANN; FNA-CANN; POWO-CANN; LBJ-HAYS</x:v>
      </x:c>
      <x:c r="T628" s="215" t="str">
        <x:v>https://www.mobot.org/MOBOT/research/APweb/orders/rosalesweb.htm</x:v>
      </x:c>
      <x:c r="U628" s="215" t="str">
        <x:v>https://floranorthamerica.org/Cannabaceae</x:v>
      </x:c>
      <x:c r="V628" s="215" t="str">
        <x:v>https://powo.science.kew.org/taxon/urn:lsid:ipni.org:names:77126717-1/general-information</x:v>
      </x:c>
      <x:c r="W628" s="215" t="str">
        <x:v>https://www.mobot.org/MOBOT/research/APweb/orders/rosalesweb.htm
https://floranorthamerica.org/Cannabaceae
https://powo.science.kew.org/taxon/urn:lsid:ipni.org:names:77126717-1/general-information
https://www.wildflower.org/collections/collection.php?collection=hays</x:v>
      </x:c>
      <x:c r="X628" s="215" t="str">
        <x:v>No — retain qualifiers and exceptions</x:v>
      </x:c>
      <x:c r="Y628" s="215" t="str">
        <x:v>Yes</x:v>
      </x:c>
      <x:c r="Z628" s="215" t="str">
        <x:v>Source-backed draft</x:v>
      </x:c>
      <x:c r="AA628" s="215" t="str">
        <x:v>Family pattern</x:v>
      </x:c>
      <x:c r="AB628" s="215" t="str">
        <x:v>Supporting / route</x:v>
      </x:c>
      <x:c r="AC628" s="215" t="str">
        <x:v>High</x:v>
      </x:c>
      <x:c r="AD628" s="215" t="str">
        <x:v>Microscope</x:v>
      </x:c>
      <x:c r="AE628" s="215" t="str">
        <x:v>Low</x:v>
      </x:c>
      <x:c r="AF628" s="215" t="str">
        <x:v>Specialist / reference</x:v>
      </x:c>
      <x:c r="AG628" s="215" t="str">
        <x:v>4 — Context / caution</x:v>
      </x:c>
      <x:c r="AH628" s="215" t="str">
        <x:v>Current master inventory</x:v>
      </x:c>
    </x:row>
    <x:row r="629" ht="42" customHeight="1">
      <x:c r="A629" s="215" t="str">
        <x:v>Cannabaceae</x:v>
      </x:c>
      <x:c r="B629" s="215" t="str">
        <x:v>CAN-FLOWER</x:v>
      </x:c>
      <x:c r="C629" s="215" t="str">
        <x:v>Modern broad-family character</x:v>
      </x:c>
      <x:c r="D629" s="215" t="str">
        <x:v>Flowers</x:v>
      </x:c>
      <x:c r="E629" s="215" t="str">
        <x:v>Flowers small, usually unisexual, with a reduced green perianth; plants monoecious or dioecious</x:v>
      </x:c>
      <x:c r="F629" s="215" t="str">
        <x:v>Strong</x:v>
      </x:c>
      <x:c r="G629" s="215" t="str">
        <x:v>3</x:v>
      </x:c>
      <x:c r="H629" s="215" t="str">
        <x:v>High</x:v>
      </x:c>
      <x:c r="I629" s="215" t="str">
        <x:v>Naked eye or hand lens</x:v>
      </x:c>
      <x:c r="J629" s="215" t="str">
        <x:v>Fresh flowers</x:v>
      </x:c>
      <x:c r="K629" s="215" t="str">
        <x:v>Showy petals are absent and sexes may occur on separate plants.</x:v>
      </x:c>
      <x:c r="L629" s="215" t="str">
        <x:v>Flower structure differs between Celtis and Cannabis/Humulus lineages.</x:v>
      </x:c>
      <x:c r="M629" s="215" t="str">
        <x:v>Record the observed genus or growth form before applying floral details.</x:v>
      </x:c>
      <x:c r="N629" s="215" t="str">
        <x:v>Hackberries are common and ecologically important Hays trees; Cannabis and Humulus records must not be assumed native from cultivation or ruderal occurrence.</x:v>
      </x:c>
      <x:c r="O629" s="215" t="str">
        <x:v>Low</x:v>
      </x:c>
      <x:c r="P629" s="215" t="str">
        <x:v>No</x:v>
      </x:c>
      <x:c r="Q629" s="215" t="str"/>
      <x:c r="R629" s="215" t="str"/>
      <x:c r="S629" s="215" t="str">
        <x:v>APWEB-CANN; FNA-CANN; POWO-CANN; LBJ-HAYS</x:v>
      </x:c>
      <x:c r="T629" s="215" t="str">
        <x:v>https://www.mobot.org/MOBOT/research/APweb/orders/rosalesweb.htm</x:v>
      </x:c>
      <x:c r="U629" s="215" t="str">
        <x:v>https://floranorthamerica.org/Cannabaceae</x:v>
      </x:c>
      <x:c r="V629" s="215" t="str">
        <x:v>https://powo.science.kew.org/taxon/urn:lsid:ipni.org:names:77126717-1/general-information</x:v>
      </x:c>
      <x:c r="W629" s="215" t="str">
        <x:v>https://www.mobot.org/MOBOT/research/APweb/orders/rosalesweb.htm
https://floranorthamerica.org/Cannabaceae
https://powo.science.kew.org/taxon/urn:lsid:ipni.org:names:77126717-1/general-information
https://www.wildflower.org/collections/collection.php?collection=hays</x:v>
      </x:c>
      <x:c r="X629" s="215" t="str">
        <x:v>No — retain qualifiers and exceptions</x:v>
      </x:c>
      <x:c r="Y629" s="215" t="str">
        <x:v>Yes</x:v>
      </x:c>
      <x:c r="Z629" s="215" t="str">
        <x:v>Source-backed draft</x:v>
      </x:c>
      <x:c r="AA629" s="215" t="str">
        <x:v>Family pattern</x:v>
      </x:c>
      <x:c r="AB629" s="215" t="str">
        <x:v>Positive diagnostic</x:v>
      </x:c>
      <x:c r="AC629" s="215" t="str">
        <x:v>High</x:v>
      </x:c>
      <x:c r="AD629" s="215" t="str">
        <x:v>Hand lens / macro</x:v>
      </x:c>
      <x:c r="AE629" s="215" t="str">
        <x:v>Low</x:v>
      </x:c>
      <x:c r="AF629" s="215" t="str">
        <x:v>Field-ready draft</x:v>
      </x:c>
      <x:c r="AG629" s="215" t="str">
        <x:v>3 — Reference support</x:v>
      </x:c>
      <x:c r="AH629" s="215" t="str">
        <x:v>Current master inventory</x:v>
      </x:c>
    </x:row>
    <x:row r="630" ht="42" customHeight="1">
      <x:c r="A630" s="215" t="str">
        <x:v>Cannabaceae</x:v>
      </x:c>
      <x:c r="B630" s="215" t="str">
        <x:v>CAN-STAMENS</x:v>
      </x:c>
      <x:c r="C630" s="215" t="str">
        <x:v>Modern broad-family character</x:v>
      </x:c>
      <x:c r="D630" s="215" t="str">
        <x:v>Stamens</x:v>
      </x:c>
      <x:c r="E630" s="215" t="str">
        <x:v>Staminate flowers commonly have 4–5 stamens opposite the tepals</x:v>
      </x:c>
      <x:c r="F630" s="215" t="str">
        <x:v>Strong</x:v>
      </x:c>
      <x:c r="G630" s="215" t="str">
        <x:v>3</x:v>
      </x:c>
      <x:c r="H630" s="215" t="str">
        <x:v>High</x:v>
      </x:c>
      <x:c r="I630" s="215" t="str">
        <x:v>Hand lens</x:v>
      </x:c>
      <x:c r="J630" s="215" t="str">
        <x:v>Fresh staminate flowers</x:v>
      </x:c>
      <x:c r="K630" s="215" t="str">
        <x:v>Small male flowers expose a short ring of stamens.</x:v>
      </x:c>
      <x:c r="L630" s="215" t="str">
        <x:v>Counts vary within the broad family and flowers are tiny.</x:v>
      </x:c>
      <x:c r="M630" s="215" t="str">
        <x:v>Use under magnification as supporting evidence.</x:v>
      </x:c>
      <x:c r="N630" s="215" t="str">
        <x:v>Hackberries are common and ecologically important Hays trees; Cannabis and Humulus records must not be assumed native from cultivation or ruderal occurrence.</x:v>
      </x:c>
      <x:c r="O630" s="215" t="str">
        <x:v>Low</x:v>
      </x:c>
      <x:c r="P630" s="215" t="str">
        <x:v>No</x:v>
      </x:c>
      <x:c r="Q630" s="215" t="str"/>
      <x:c r="R630" s="215" t="str"/>
      <x:c r="S630" s="215" t="str">
        <x:v>APWEB-CANN; FNA-CANN; POWO-CANN; LBJ-HAYS</x:v>
      </x:c>
      <x:c r="T630" s="215" t="str">
        <x:v>https://www.mobot.org/MOBOT/research/APweb/orders/rosalesweb.htm</x:v>
      </x:c>
      <x:c r="U630" s="215" t="str">
        <x:v>https://floranorthamerica.org/Cannabaceae</x:v>
      </x:c>
      <x:c r="V630" s="215" t="str">
        <x:v>https://powo.science.kew.org/taxon/urn:lsid:ipni.org:names:77126717-1/general-information</x:v>
      </x:c>
      <x:c r="W630" s="215" t="str">
        <x:v>https://www.mobot.org/MOBOT/research/APweb/orders/rosalesweb.htm
https://floranorthamerica.org/Cannabaceae
https://powo.science.kew.org/taxon/urn:lsid:ipni.org:names:77126717-1/general-information
https://www.wildflower.org/collections/collection.php?collection=hays</x:v>
      </x:c>
      <x:c r="X630" s="215" t="str">
        <x:v>No — retain qualifiers and exceptions</x:v>
      </x:c>
      <x:c r="Y630" s="215" t="str">
        <x:v>Yes</x:v>
      </x:c>
      <x:c r="Z630" s="215" t="str">
        <x:v>Source-backed draft</x:v>
      </x:c>
      <x:c r="AA630" s="215" t="str">
        <x:v>Family pattern</x:v>
      </x:c>
      <x:c r="AB630" s="215" t="str">
        <x:v>Positive diagnostic</x:v>
      </x:c>
      <x:c r="AC630" s="215" t="str">
        <x:v>High</x:v>
      </x:c>
      <x:c r="AD630" s="215" t="str">
        <x:v>Hand lens / macro</x:v>
      </x:c>
      <x:c r="AE630" s="215" t="str">
        <x:v>Low</x:v>
      </x:c>
      <x:c r="AF630" s="215" t="str">
        <x:v>Field-ready draft</x:v>
      </x:c>
      <x:c r="AG630" s="215" t="str">
        <x:v>3 — Reference support</x:v>
      </x:c>
      <x:c r="AH630" s="215" t="str">
        <x:v>Current master inventory</x:v>
      </x:c>
    </x:row>
    <x:row r="631" ht="42" customHeight="1">
      <x:c r="A631" s="215" t="str">
        <x:v>Cannabaceae</x:v>
      </x:c>
      <x:c r="B631" s="215" t="str">
        <x:v>CAN-OVARY</x:v>
      </x:c>
      <x:c r="C631" s="215" t="str">
        <x:v>Modern broad-family character</x:v>
      </x:c>
      <x:c r="D631" s="215" t="str">
        <x:v>Gynoecium</x:v>
      </x:c>
      <x:c r="E631" s="215" t="str">
        <x:v>Ovary superior, usually 1-locular with one ovule; two style or stigma branches common</x:v>
      </x:c>
      <x:c r="F631" s="215" t="str">
        <x:v>Strong</x:v>
      </x:c>
      <x:c r="G631" s="215" t="str">
        <x:v>4</x:v>
      </x:c>
      <x:c r="H631" s="215" t="str">
        <x:v>High</x:v>
      </x:c>
      <x:c r="I631" s="215" t="str">
        <x:v>Hand lens or dissection</x:v>
      </x:c>
      <x:c r="J631" s="215" t="str">
        <x:v>Fresh pistillate flowers</x:v>
      </x:c>
      <x:c r="K631" s="215" t="str">
        <x:v>Each female flower normally makes one one-seeded fruit.</x:v>
      </x:c>
      <x:c r="L631" s="215" t="str">
        <x:v>Details are hard to see before fruiting and vary in stigma length.</x:v>
      </x:c>
      <x:c r="M631" s="215" t="str">
        <x:v>Use mature fruit type to separate lineages.</x:v>
      </x:c>
      <x:c r="N631" s="215" t="str">
        <x:v>Hackberries are common and ecologically important Hays trees; Cannabis and Humulus records must not be assumed native from cultivation or ruderal occurrence.</x:v>
      </x:c>
      <x:c r="O631" s="215" t="str">
        <x:v>Low</x:v>
      </x:c>
      <x:c r="P631" s="215" t="str">
        <x:v>No</x:v>
      </x:c>
      <x:c r="Q631" s="215" t="str"/>
      <x:c r="R631" s="215" t="str"/>
      <x:c r="S631" s="215" t="str">
        <x:v>APWEB-CANN; FNA-CANN; POWO-CANN; LBJ-HAYS</x:v>
      </x:c>
      <x:c r="T631" s="215" t="str">
        <x:v>https://www.mobot.org/MOBOT/research/APweb/orders/rosalesweb.htm</x:v>
      </x:c>
      <x:c r="U631" s="215" t="str">
        <x:v>https://floranorthamerica.org/Cannabaceae</x:v>
      </x:c>
      <x:c r="V631" s="215" t="str">
        <x:v>https://powo.science.kew.org/taxon/urn:lsid:ipni.org:names:77126717-1/general-information</x:v>
      </x:c>
      <x:c r="W631" s="215" t="str">
        <x:v>https://www.mobot.org/MOBOT/research/APweb/orders/rosalesweb.htm
https://floranorthamerica.org/Cannabaceae
https://powo.science.kew.org/taxon/urn:lsid:ipni.org:names:77126717-1/general-information
https://www.wildflower.org/collections/collection.php?collection=hays</x:v>
      </x:c>
      <x:c r="X631" s="215" t="str">
        <x:v>No — retain qualifiers and exceptions</x:v>
      </x:c>
      <x:c r="Y631" s="215" t="str">
        <x:v>Yes</x:v>
      </x:c>
      <x:c r="Z631" s="215" t="str">
        <x:v>Source-backed draft</x:v>
      </x:c>
      <x:c r="AA631" s="215" t="str">
        <x:v>Family pattern</x:v>
      </x:c>
      <x:c r="AB631" s="215" t="str">
        <x:v>Positive diagnostic</x:v>
      </x:c>
      <x:c r="AC631" s="215" t="str">
        <x:v>High</x:v>
      </x:c>
      <x:c r="AD631" s="215" t="str">
        <x:v>Dissection</x:v>
      </x:c>
      <x:c r="AE631" s="215" t="str">
        <x:v>Low</x:v>
      </x:c>
      <x:c r="AF631" s="215" t="str">
        <x:v>Dissection / close study</x:v>
      </x:c>
      <x:c r="AG631" s="215" t="str">
        <x:v>3 — Reference support</x:v>
      </x:c>
      <x:c r="AH631" s="215" t="str">
        <x:v>Current master inventory</x:v>
      </x:c>
    </x:row>
    <x:row r="632" ht="42" customHeight="1">
      <x:c r="A632" s="215" t="str">
        <x:v>Cannabaceae</x:v>
      </x:c>
      <x:c r="B632" s="215" t="str">
        <x:v>CAN-FRUIT</x:v>
      </x:c>
      <x:c r="C632" s="215" t="str">
        <x:v>Modern broad-family character</x:v>
      </x:c>
      <x:c r="D632" s="215" t="str">
        <x:v>Fruit</x:v>
      </x:c>
      <x:c r="E632" s="215" t="str">
        <x:v>Fruit one-seeded: an achene in Cannabis/Humulus lineages or a fleshy drupe in Celtis lineages</x:v>
      </x:c>
      <x:c r="F632" s="215" t="str">
        <x:v>Strong</x:v>
      </x:c>
      <x:c r="G632" s="215" t="str">
        <x:v>5</x:v>
      </x:c>
      <x:c r="H632" s="215" t="str">
        <x:v>High</x:v>
      </x:c>
      <x:c r="I632" s="215" t="str">
        <x:v>Naked eye or hand lens</x:v>
      </x:c>
      <x:c r="J632" s="215" t="str">
        <x:v>Mature fruit</x:v>
      </x:c>
      <x:c r="K632" s="215" t="str">
        <x:v>Modern Cannabaceae contains both hemp/hop dry fruits and hackberry drupes.</x:v>
      </x:c>
      <x:c r="L632" s="215" t="str">
        <x:v>This variation reflects the broadened family and must not be flattened.</x:v>
      </x:c>
      <x:c r="M632" s="215" t="str">
        <x:v>Use fruit to identify the lineage, then apply lineage-specific characters.</x:v>
      </x:c>
      <x:c r="N632" s="215" t="str">
        <x:v>Hackberries are common and ecologically important Hays trees; Cannabis and Humulus records must not be assumed native from cultivation or ruderal occurrence.</x:v>
      </x:c>
      <x:c r="O632" s="215" t="str">
        <x:v>Low</x:v>
      </x:c>
      <x:c r="P632" s="215" t="str">
        <x:v>No</x:v>
      </x:c>
      <x:c r="Q632" s="215" t="str"/>
      <x:c r="R632" s="215" t="str">
        <x:v>CAN-LK01; CAN-LK02</x:v>
      </x:c>
      <x:c r="S632" s="215" t="str">
        <x:v>APWEB-CANN; FNA-CANN; POWO-CANN; LBJ-HAYS</x:v>
      </x:c>
      <x:c r="T632" s="215" t="str">
        <x:v>https://www.mobot.org/MOBOT/research/APweb/orders/rosalesweb.htm</x:v>
      </x:c>
      <x:c r="U632" s="215" t="str">
        <x:v>https://floranorthamerica.org/Cannabaceae</x:v>
      </x:c>
      <x:c r="V632" s="215" t="str">
        <x:v>https://powo.science.kew.org/taxon/urn:lsid:ipni.org:names:77126717-1/general-information</x:v>
      </x:c>
      <x:c r="W632" s="215" t="str">
        <x:v>https://www.mobot.org/MOBOT/research/APweb/orders/rosalesweb.htm
https://floranorthamerica.org/Cannabaceae
https://powo.science.kew.org/taxon/urn:lsid:ipni.org:names:77126717-1/general-information
https://www.wildflower.org/collections/collection.php?collection=hays</x:v>
      </x:c>
      <x:c r="X632" s="215" t="str">
        <x:v>No — retain qualifiers and exceptions</x:v>
      </x:c>
      <x:c r="Y632" s="215" t="str">
        <x:v>Yes</x:v>
      </x:c>
      <x:c r="Z632" s="215" t="str">
        <x:v>Source-backed draft</x:v>
      </x:c>
      <x:c r="AA632" s="215" t="str">
        <x:v>Family pattern</x:v>
      </x:c>
      <x:c r="AB632" s="215" t="str">
        <x:v>Positive diagnostic</x:v>
      </x:c>
      <x:c r="AC632" s="215" t="str">
        <x:v>High</x:v>
      </x:c>
      <x:c r="AD632" s="215" t="str">
        <x:v>Hand lens / macro</x:v>
      </x:c>
      <x:c r="AE632" s="215" t="str">
        <x:v>Low</x:v>
      </x:c>
      <x:c r="AF632" s="215" t="str">
        <x:v>Field-ready draft</x:v>
      </x:c>
      <x:c r="AG632" s="215" t="str">
        <x:v>2 — Field-photo priority</x:v>
      </x:c>
      <x:c r="AH632" s="215" t="str">
        <x:v>Current master inventory</x:v>
      </x:c>
    </x:row>
    <x:row r="633" ht="42" customHeight="1">
      <x:c r="A633" s="215" t="str">
        <x:v>Cannabaceae</x:v>
      </x:c>
      <x:c r="B633" s="215" t="str">
        <x:v>CAN-POLLEN</x:v>
      </x:c>
      <x:c r="C633" s="215" t="str">
        <x:v>Modern broad-family character</x:v>
      </x:c>
      <x:c r="D633" s="215" t="str">
        <x:v>Pollination</x:v>
      </x:c>
      <x:c r="E633" s="215" t="str">
        <x:v>Flowers commonly wind-pollinated, especially in hemp, hops, and hackberry lineages</x:v>
      </x:c>
      <x:c r="F633" s="215" t="str">
        <x:v>Supporting</x:v>
      </x:c>
      <x:c r="G633" s="215" t="str">
        <x:v>1</x:v>
      </x:c>
      <x:c r="H633" s="215" t="str">
        <x:v>High</x:v>
      </x:c>
      <x:c r="I633" s="215" t="str">
        <x:v>Naked eye or hand lens</x:v>
      </x:c>
      <x:c r="J633" s="215" t="str">
        <x:v>Anthesis</x:v>
      </x:c>
      <x:c r="K633" s="215" t="str">
        <x:v>Reduced flowers release or receive airborne pollen.</x:v>
      </x:c>
      <x:c r="L633" s="215" t="str">
        <x:v>Pollination biology is not a stand-alone identification character.</x:v>
      </x:c>
      <x:c r="M633" s="215" t="str">
        <x:v>Use as ecological support only.</x:v>
      </x:c>
      <x:c r="N633" s="215" t="str">
        <x:v>Hackberries are common and ecologically important Hays trees; Cannabis and Humulus records must not be assumed native from cultivation or ruderal occurrence.</x:v>
      </x:c>
      <x:c r="O633" s="215" t="str">
        <x:v>Low</x:v>
      </x:c>
      <x:c r="P633" s="215" t="str">
        <x:v>No</x:v>
      </x:c>
      <x:c r="Q633" s="215" t="str"/>
      <x:c r="R633" s="215" t="str"/>
      <x:c r="S633" s="215" t="str">
        <x:v>APWEB-CANN; FNA-CANN; POWO-CANN; LBJ-HAYS</x:v>
      </x:c>
      <x:c r="T633" s="215" t="str">
        <x:v>https://www.mobot.org/MOBOT/research/APweb/orders/rosalesweb.htm</x:v>
      </x:c>
      <x:c r="U633" s="215" t="str">
        <x:v>https://floranorthamerica.org/Cannabaceae</x:v>
      </x:c>
      <x:c r="V633" s="215" t="str">
        <x:v>https://powo.science.kew.org/taxon/urn:lsid:ipni.org:names:77126717-1/general-information</x:v>
      </x:c>
      <x:c r="W633" s="215" t="str">
        <x:v>https://www.mobot.org/MOBOT/research/APweb/orders/rosalesweb.htm
https://floranorthamerica.org/Cannabaceae
https://powo.science.kew.org/taxon/urn:lsid:ipni.org:names:77126717-1/general-information
https://www.wildflower.org/collections/collection.php?collection=hays</x:v>
      </x:c>
      <x:c r="X633" s="215" t="str">
        <x:v>No — retain qualifiers and exceptions</x:v>
      </x:c>
      <x:c r="Y633" s="215" t="str">
        <x:v>Yes</x:v>
      </x:c>
      <x:c r="Z633" s="215" t="str">
        <x:v>Source-backed draft</x:v>
      </x:c>
      <x:c r="AA633" s="215" t="str">
        <x:v>Family pattern</x:v>
      </x:c>
      <x:c r="AB633" s="215" t="str">
        <x:v>Supporting / route</x:v>
      </x:c>
      <x:c r="AC633" s="215" t="str">
        <x:v>High</x:v>
      </x:c>
      <x:c r="AD633" s="215" t="str">
        <x:v>Hand lens / macro</x:v>
      </x:c>
      <x:c r="AE633" s="215" t="str">
        <x:v>Low</x:v>
      </x:c>
      <x:c r="AF633" s="215" t="str">
        <x:v>Field-ready draft</x:v>
      </x:c>
      <x:c r="AG633" s="215" t="str">
        <x:v>4 — Context / caution</x:v>
      </x:c>
      <x:c r="AH633" s="215" t="str">
        <x:v>Current master inventory</x:v>
      </x:c>
    </x:row>
    <x:row r="634" ht="42" customHeight="1">
      <x:c r="A634" s="215" t="str">
        <x:v>Cannabaceae</x:v>
      </x:c>
      <x:c r="B634" s="215" t="str">
        <x:v>CAN-LK01</x:v>
      </x:c>
      <x:c r="C634" s="215" t="str">
        <x:v>Modern taxonomy lookalike comparison</x:v>
      </x:c>
      <x:c r="D634" s="215" t="str">
        <x:v>Lookalike</x:v>
      </x:c>
      <x:c r="E634" s="215" t="str">
        <x:v>Versus modern Ulmaceae: fleshy one-seeded hackberry drupes favor Cannabaceae/Celtis; flattened papery samaras favor Ulmaceae/Ulmus</x:v>
      </x:c>
      <x:c r="F634" s="215" t="str">
        <x:v>Lookalike</x:v>
      </x:c>
      <x:c r="G634" s="215" t="str">
        <x:v>5</x:v>
      </x:c>
      <x:c r="H634" s="215" t="str">
        <x:v>High</x:v>
      </x:c>
      <x:c r="I634" s="215" t="str">
        <x:v>Naked eye or hand lens</x:v>
      </x:c>
      <x:c r="J634" s="215" t="str">
        <x:v>Mature fruit</x:v>
      </x:c>
      <x:c r="K634" s="215" t="str">
        <x:v>Oblique serrate leaves and reduced flowers overlap strongly.</x:v>
      </x:c>
      <x:c r="L634" s="215" t="str">
        <x:v>Older FNA treatments place Celtis in Ulmaceae, so taxonomy must be checked.</x:v>
      </x:c>
      <x:c r="M634" s="215" t="str">
        <x:v>Use mature fruit and current family circumscription; this supplies the reciprocal comparison for ULM-LK02.</x:v>
      </x:c>
      <x:c r="N634" s="215" t="str">
        <x:v>Hackberries are common and ecologically important Hays trees; Cannabis and Humulus records must not be assumed native from cultivation or ruderal occurrence.</x:v>
      </x:c>
      <x:c r="O634" s="215" t="str">
        <x:v>Low</x:v>
      </x:c>
      <x:c r="P634" s="215" t="str">
        <x:v>No</x:v>
      </x:c>
      <x:c r="Q634" s="215" t="str"/>
      <x:c r="R634" s="215" t="str">
        <x:v>CAN-TAXON; CAN-LEAVES; CAN-FRUIT</x:v>
      </x:c>
      <x:c r="S634" s="215" t="str">
        <x:v>APWEB-CANN; FNA-CANN; POWO-CANN; LBJ-HAYS</x:v>
      </x:c>
      <x:c r="T634" s="215" t="str">
        <x:v>https://www.mobot.org/MOBOT/research/APweb/orders/rosalesweb.htm</x:v>
      </x:c>
      <x:c r="U634" s="215" t="str">
        <x:v>https://floranorthamerica.org/Cannabaceae</x:v>
      </x:c>
      <x:c r="V634" s="215" t="str">
        <x:v>https://powo.science.kew.org/taxon/urn:lsid:ipni.org:names:77126717-1/general-information</x:v>
      </x:c>
      <x:c r="W634" s="215" t="str">
        <x:v>https://www.mobot.org/MOBOT/research/APweb/orders/rosalesweb.htm
https://floranorthamerica.org/Cannabaceae
https://powo.science.kew.org/taxon/urn:lsid:ipni.org:names:77126717-1/general-information
https://www.wildflower.org/collections/collection.php?collection=hays</x:v>
      </x:c>
      <x:c r="X634" s="215" t="str">
        <x:v>No — retain qualifiers and exceptions</x:v>
      </x:c>
      <x:c r="Y634" s="215" t="str">
        <x:v>Yes</x:v>
      </x:c>
      <x:c r="Z634" s="215" t="str">
        <x:v>Source-backed draft</x:v>
      </x:c>
      <x:c r="AA634" s="215" t="str">
        <x:v>Lookalike comparison</x:v>
      </x:c>
      <x:c r="AB634" s="215" t="str">
        <x:v>Contrast / lookalike</x:v>
      </x:c>
      <x:c r="AC634" s="215" t="str">
        <x:v>High</x:v>
      </x:c>
      <x:c r="AD634" s="215" t="str">
        <x:v>Hand lens / macro</x:v>
      </x:c>
      <x:c r="AE634" s="215" t="str">
        <x:v>Low</x:v>
      </x:c>
      <x:c r="AF634" s="215" t="str">
        <x:v>Field-ready draft</x:v>
      </x:c>
      <x:c r="AG634" s="215" t="str">
        <x:v>2 — Field-photo priority</x:v>
      </x:c>
      <x:c r="AH634" s="215" t="str">
        <x:v>Current master inventory</x:v>
      </x:c>
    </x:row>
    <x:row r="635" ht="42" customHeight="1">
      <x:c r="A635" s="215" t="str">
        <x:v>Cannabaceae</x:v>
      </x:c>
      <x:c r="B635" s="215" t="str">
        <x:v>CAN-LK02</x:v>
      </x:c>
      <x:c r="C635" s="215" t="str">
        <x:v>Modern taxonomy lookalike comparison</x:v>
      </x:c>
      <x:c r="D635" s="215" t="str">
        <x:v>Lookalike</x:v>
      </x:c>
      <x:c r="E635" s="215" t="str">
        <x:v>Versus Urticaceae: hackberry drupes or hemp/hop bracteate fruits favor Cannabaceae; stinging hairs and nettle-type achene clusters favor Urticaceae</x:v>
      </x:c>
      <x:c r="F635" s="215" t="str">
        <x:v>Lookalike</x:v>
      </x:c>
      <x:c r="G635" s="215" t="str">
        <x:v>5</x:v>
      </x:c>
      <x:c r="H635" s="215" t="str">
        <x:v>High</x:v>
      </x:c>
      <x:c r="I635" s="215" t="str">
        <x:v>Naked eye or hand lens</x:v>
      </x:c>
      <x:c r="J635" s="215" t="str">
        <x:v>Mature fruit</x:v>
      </x:c>
      <x:c r="K635" s="215" t="str">
        <x:v>Cystoliths and tiny unisexual flowers overlap.</x:v>
      </x:c>
      <x:c r="L635" s="215" t="str">
        <x:v>Not all Urticaceae sting, and dry Cannabis/Humulus fruits require lineage context.</x:v>
      </x:c>
      <x:c r="M635" s="215" t="str">
        <x:v>Use habit and mature fruit rather than cystoliths alone.</x:v>
      </x:c>
      <x:c r="N635" s="215" t="str">
        <x:v>Hackberries are common and ecologically important Hays trees; Cannabis and Humulus records must not be assumed native from cultivation or ruderal occurrence.</x:v>
      </x:c>
      <x:c r="O635" s="215" t="str">
        <x:v>Low</x:v>
      </x:c>
      <x:c r="P635" s="215" t="str">
        <x:v>No</x:v>
      </x:c>
      <x:c r="Q635" s="215" t="str"/>
      <x:c r="R635" s="215" t="str">
        <x:v>CAN-HABIT; CAN-CYSTOLITH; CAN-FRUIT</x:v>
      </x:c>
      <x:c r="S635" s="215" t="str">
        <x:v>APWEB-CANN; FNA-CANN; POWO-CANN; LBJ-HAYS</x:v>
      </x:c>
      <x:c r="T635" s="215" t="str">
        <x:v>https://www.mobot.org/MOBOT/research/APweb/orders/rosalesweb.htm</x:v>
      </x:c>
      <x:c r="U635" s="215" t="str">
        <x:v>https://floranorthamerica.org/Cannabaceae</x:v>
      </x:c>
      <x:c r="V635" s="215" t="str">
        <x:v>https://powo.science.kew.org/taxon/urn:lsid:ipni.org:names:77126717-1/general-information</x:v>
      </x:c>
      <x:c r="W635" s="215" t="str">
        <x:v>https://www.mobot.org/MOBOT/research/APweb/orders/rosalesweb.htm
https://floranorthamerica.org/Cannabaceae
https://powo.science.kew.org/taxon/urn:lsid:ipni.org:names:77126717-1/general-information
https://www.wildflower.org/collections/collection.php?collection=hays</x:v>
      </x:c>
      <x:c r="X635" s="215" t="str">
        <x:v>No — retain qualifiers and exceptions</x:v>
      </x:c>
      <x:c r="Y635" s="215" t="str">
        <x:v>Yes</x:v>
      </x:c>
      <x:c r="Z635" s="215" t="str">
        <x:v>Source-backed draft</x:v>
      </x:c>
      <x:c r="AA635" s="215" t="str">
        <x:v>Lookalike comparison</x:v>
      </x:c>
      <x:c r="AB635" s="215" t="str">
        <x:v>Contrast / lookalike</x:v>
      </x:c>
      <x:c r="AC635" s="215" t="str">
        <x:v>High</x:v>
      </x:c>
      <x:c r="AD635" s="215" t="str">
        <x:v>Hand lens / macro</x:v>
      </x:c>
      <x:c r="AE635" s="215" t="str">
        <x:v>Low</x:v>
      </x:c>
      <x:c r="AF635" s="215" t="str">
        <x:v>Field-ready draft</x:v>
      </x:c>
      <x:c r="AG635" s="215" t="str">
        <x:v>2 — Field-photo priority</x:v>
      </x:c>
      <x:c r="AH635" s="215" t="str">
        <x:v>Current master inventory</x:v>
      </x:c>
    </x:row>
    <x:row r="636" ht="42" customHeight="1">
      <x:c r="A636" s="215" t="str">
        <x:v>Cucurbitaceae</x:v>
      </x:c>
      <x:c r="B636" s="215" t="str">
        <x:v>CUC-HABIT</x:v>
      </x:c>
      <x:c r="C636" s="215" t="str">
        <x:v>Family character</x:v>
      </x:c>
      <x:c r="D636" s="215" t="str">
        <x:v>Habit / tendrils</x:v>
      </x:c>
      <x:c r="E636" s="215" t="str">
        <x:v>Usually trailing or climbing vines with simple or branched tendrils</x:v>
      </x:c>
      <x:c r="F636" s="215" t="str">
        <x:v>Strong</x:v>
      </x:c>
      <x:c r="G636" s="215" t="str">
        <x:v>4</x:v>
      </x:c>
      <x:c r="H636" s="215" t="str">
        <x:v>High</x:v>
      </x:c>
      <x:c r="I636" s="215" t="str">
        <x:v>Naked eye or hand lens</x:v>
      </x:c>
      <x:c r="J636" s="215" t="str">
        <x:v>Active growth</x:v>
      </x:c>
      <x:c r="K636" s="215" t="str">
        <x:v>A rough vine bearing coiled tendrils is the usual regional form.</x:v>
      </x:c>
      <x:c r="L636" s="215" t="str">
        <x:v>Some members are shrublike or lack obvious tendrils.</x:v>
      </x:c>
      <x:c r="M636" s="215" t="str">
        <x:v>Use with alternate leaves and unisexual flowers.</x:v>
      </x:c>
      <x:c r="N636" s="215" t="str">
        <x:v>Wild gourds and cucumber-family vines occur in Hays fields, thickets, roadsides, and rocky openings; cultivated cucurbits do not prove wild family records.</x:v>
      </x:c>
      <x:c r="O636" s="215" t="str">
        <x:v>Low</x:v>
      </x:c>
      <x:c r="P636" s="215" t="str">
        <x:v>No</x:v>
      </x:c>
      <x:c r="Q636" s="215" t="str"/>
      <x:c r="R636" s="215" t="str">
        <x:v>CUC-LK01; CUC-LK02</x:v>
      </x:c>
      <x:c r="S636" s="215" t="str">
        <x:v>APWEB-CUCU; FNA-CUCU; POWO-CUCU; LBJ-HAYS</x:v>
      </x:c>
      <x:c r="T636" s="215" t="str">
        <x:v>https://www.mobot.org/MOBOT/research/APweb/orders/cucurbitalesweb.htm</x:v>
      </x:c>
      <x:c r="U636" s="215" t="str">
        <x:v>https://floranorthamerica.org/Cucurbitaceae</x:v>
      </x:c>
      <x:c r="V636" s="215" t="str">
        <x:v>https://powo.science.kew.org/taxon/urn:lsid:ipni.org:names:30000781-2/general-information</x:v>
      </x:c>
      <x:c r="W636" s="215" t="str">
        <x:v>https://www.mobot.org/MOBOT/research/APweb/orders/cucurbitalesweb.htm
https://floranorthamerica.org/Cucurbitaceae
https://powo.science.kew.org/taxon/urn:lsid:ipni.org:names:30000781-2/general-information
https://www.wildflower.org/collections/collection.php?collection=hays</x:v>
      </x:c>
      <x:c r="X636" s="215" t="str">
        <x:v>No — retain qualifiers and exceptions</x:v>
      </x:c>
      <x:c r="Y636" s="215" t="str">
        <x:v>Yes</x:v>
      </x:c>
      <x:c r="Z636" s="215" t="str">
        <x:v>Source-backed draft</x:v>
      </x:c>
      <x:c r="AA636" s="215" t="str">
        <x:v>Family pattern</x:v>
      </x:c>
      <x:c r="AB636" s="215" t="str">
        <x:v>Positive diagnostic</x:v>
      </x:c>
      <x:c r="AC636" s="215" t="str">
        <x:v>High</x:v>
      </x:c>
      <x:c r="AD636" s="215" t="str">
        <x:v>Hand lens / macro</x:v>
      </x:c>
      <x:c r="AE636" s="215" t="str">
        <x:v>Low</x:v>
      </x:c>
      <x:c r="AF636" s="215" t="str">
        <x:v>Field-ready draft</x:v>
      </x:c>
      <x:c r="AG636" s="215" t="str">
        <x:v>2 — Field-photo priority</x:v>
      </x:c>
      <x:c r="AH636" s="215" t="str">
        <x:v>Current master inventory</x:v>
      </x:c>
    </x:row>
    <x:row r="637" ht="42" customHeight="1">
      <x:c r="A637" s="215" t="str">
        <x:v>Cucurbitaceae</x:v>
      </x:c>
      <x:c r="B637" s="215" t="str">
        <x:v>CUC-LEAVES</x:v>
      </x:c>
      <x:c r="C637" s="215" t="str">
        <x:v>Family character</x:v>
      </x:c>
      <x:c r="D637" s="215" t="str">
        <x:v>Leaves / stipules</x:v>
      </x:c>
      <x:c r="E637" s="215" t="str">
        <x:v>Leaves alternate, usually simple and palmately lobed or veined, without stipules</x:v>
      </x:c>
      <x:c r="F637" s="215" t="str">
        <x:v>Strong</x:v>
      </x:c>
      <x:c r="G637" s="215" t="str">
        <x:v>4</x:v>
      </x:c>
      <x:c r="H637" s="215" t="str">
        <x:v>High</x:v>
      </x:c>
      <x:c r="I637" s="215" t="str">
        <x:v>Naked eye or hand lens</x:v>
      </x:c>
      <x:c r="J637" s="215" t="str">
        <x:v>Leafy shoots</x:v>
      </x:c>
      <x:c r="K637" s="215" t="str">
        <x:v>Gourd vines typically carry one broad leaf at each node and no stipules.</x:v>
      </x:c>
      <x:c r="L637" s="215" t="str">
        <x:v>Compound leaves occur in a few genera and lobing varies.</x:v>
      </x:c>
      <x:c r="M637" s="215" t="str">
        <x:v>Inspect several nodes and confirm tendril position.</x:v>
      </x:c>
      <x:c r="N637" s="215" t="str">
        <x:v>Wild gourds and cucumber-family vines occur in Hays fields, thickets, roadsides, and rocky openings; cultivated cucurbits do not prove wild family records.</x:v>
      </x:c>
      <x:c r="O637" s="215" t="str">
        <x:v>Low</x:v>
      </x:c>
      <x:c r="P637" s="215" t="str">
        <x:v>No</x:v>
      </x:c>
      <x:c r="Q637" s="215" t="str"/>
      <x:c r="R637" s="215" t="str"/>
      <x:c r="S637" s="215" t="str">
        <x:v>APWEB-CUCU; FNA-CUCU; POWO-CUCU; LBJ-HAYS</x:v>
      </x:c>
      <x:c r="T637" s="215" t="str">
        <x:v>https://www.mobot.org/MOBOT/research/APweb/orders/cucurbitalesweb.htm</x:v>
      </x:c>
      <x:c r="U637" s="215" t="str">
        <x:v>https://floranorthamerica.org/Cucurbitaceae</x:v>
      </x:c>
      <x:c r="V637" s="215" t="str">
        <x:v>https://powo.science.kew.org/taxon/urn:lsid:ipni.org:names:30000781-2/general-information</x:v>
      </x:c>
      <x:c r="W637" s="215" t="str">
        <x:v>https://www.mobot.org/MOBOT/research/APweb/orders/cucurbitalesweb.htm
https://floranorthamerica.org/Cucurbitaceae
https://powo.science.kew.org/taxon/urn:lsid:ipni.org:names:30000781-2/general-information
https://www.wildflower.org/collections/collection.php?collection=hays</x:v>
      </x:c>
      <x:c r="X637" s="215" t="str">
        <x:v>No — retain qualifiers and exceptions</x:v>
      </x:c>
      <x:c r="Y637" s="215" t="str">
        <x:v>Yes</x:v>
      </x:c>
      <x:c r="Z637" s="215" t="str">
        <x:v>Source-backed draft</x:v>
      </x:c>
      <x:c r="AA637" s="215" t="str">
        <x:v>Family pattern</x:v>
      </x:c>
      <x:c r="AB637" s="215" t="str">
        <x:v>Positive diagnostic</x:v>
      </x:c>
      <x:c r="AC637" s="215" t="str">
        <x:v>High</x:v>
      </x:c>
      <x:c r="AD637" s="215" t="str">
        <x:v>Hand lens / macro</x:v>
      </x:c>
      <x:c r="AE637" s="215" t="str">
        <x:v>Low</x:v>
      </x:c>
      <x:c r="AF637" s="215" t="str">
        <x:v>Field-ready draft</x:v>
      </x:c>
      <x:c r="AG637" s="215" t="str">
        <x:v>2 — Field-photo priority</x:v>
      </x:c>
      <x:c r="AH637" s="215" t="str">
        <x:v>Current master inventory</x:v>
      </x:c>
    </x:row>
    <x:row r="638" ht="42" customHeight="1">
      <x:c r="A638" s="215" t="str">
        <x:v>Cucurbitaceae</x:v>
      </x:c>
      <x:c r="B638" s="215" t="str">
        <x:v>CUC-FLOWER</x:v>
      </x:c>
      <x:c r="C638" s="215" t="str">
        <x:v>Family character</x:v>
      </x:c>
      <x:c r="D638" s="215" t="str">
        <x:v>Flowers</x:v>
      </x:c>
      <x:c r="E638" s="215" t="str">
        <x:v>Flowers usually unisexual, 5-merous, with yellow, orange, white, or greenish corollas</x:v>
      </x:c>
      <x:c r="F638" s="215" t="str">
        <x:v>Strong</x:v>
      </x:c>
      <x:c r="G638" s="215" t="str">
        <x:v>4</x:v>
      </x:c>
      <x:c r="H638" s="215" t="str">
        <x:v>High</x:v>
      </x:c>
      <x:c r="I638" s="215" t="str">
        <x:v>Naked eye or hand lens</x:v>
      </x:c>
      <x:c r="J638" s="215" t="str">
        <x:v>Fresh flowers</x:v>
      </x:c>
      <x:c r="K638" s="215" t="str">
        <x:v>Male and female flowers often occur separately on the same vine or on different plants.</x:v>
      </x:c>
      <x:c r="L638" s="215" t="str">
        <x:v>Bisexual or mixed systems occur rarely.</x:v>
      </x:c>
      <x:c r="M638" s="215" t="str">
        <x:v>Determine flower sex and look for the ovary below female flowers.</x:v>
      </x:c>
      <x:c r="N638" s="215" t="str">
        <x:v>Wild gourds and cucumber-family vines occur in Hays fields, thickets, roadsides, and rocky openings; cultivated cucurbits do not prove wild family records.</x:v>
      </x:c>
      <x:c r="O638" s="215" t="str">
        <x:v>Low</x:v>
      </x:c>
      <x:c r="P638" s="215" t="str">
        <x:v>No</x:v>
      </x:c>
      <x:c r="Q638" s="215" t="str"/>
      <x:c r="R638" s="215" t="str"/>
      <x:c r="S638" s="215" t="str">
        <x:v>APWEB-CUCU; FNA-CUCU; POWO-CUCU; LBJ-HAYS</x:v>
      </x:c>
      <x:c r="T638" s="215" t="str">
        <x:v>https://www.mobot.org/MOBOT/research/APweb/orders/cucurbitalesweb.htm</x:v>
      </x:c>
      <x:c r="U638" s="215" t="str">
        <x:v>https://floranorthamerica.org/Cucurbitaceae</x:v>
      </x:c>
      <x:c r="V638" s="215" t="str">
        <x:v>https://powo.science.kew.org/taxon/urn:lsid:ipni.org:names:30000781-2/general-information</x:v>
      </x:c>
      <x:c r="W638" s="215" t="str">
        <x:v>https://www.mobot.org/MOBOT/research/APweb/orders/cucurbitalesweb.htm
https://floranorthamerica.org/Cucurbitaceae
https://powo.science.kew.org/taxon/urn:lsid:ipni.org:names:30000781-2/general-information
https://www.wildflower.org/collections/collection.php?collection=hays</x:v>
      </x:c>
      <x:c r="X638" s="215" t="str">
        <x:v>No — retain qualifiers and exceptions</x:v>
      </x:c>
      <x:c r="Y638" s="215" t="str">
        <x:v>Yes</x:v>
      </x:c>
      <x:c r="Z638" s="215" t="str">
        <x:v>Source-backed draft</x:v>
      </x:c>
      <x:c r="AA638" s="215" t="str">
        <x:v>Family pattern</x:v>
      </x:c>
      <x:c r="AB638" s="215" t="str">
        <x:v>Positive diagnostic</x:v>
      </x:c>
      <x:c r="AC638" s="215" t="str">
        <x:v>High</x:v>
      </x:c>
      <x:c r="AD638" s="215" t="str">
        <x:v>Hand lens / macro</x:v>
      </x:c>
      <x:c r="AE638" s="215" t="str">
        <x:v>Low</x:v>
      </x:c>
      <x:c r="AF638" s="215" t="str">
        <x:v>Field-ready draft</x:v>
      </x:c>
      <x:c r="AG638" s="215" t="str">
        <x:v>2 — Field-photo priority</x:v>
      </x:c>
      <x:c r="AH638" s="215" t="str">
        <x:v>Current master inventory</x:v>
      </x:c>
    </x:row>
    <x:row r="639" ht="42" customHeight="1">
      <x:c r="A639" s="215" t="str">
        <x:v>Cucurbitaceae</x:v>
      </x:c>
      <x:c r="B639" s="215" t="str">
        <x:v>CUC-HYPANTH</x:v>
      </x:c>
      <x:c r="C639" s="215" t="str">
        <x:v>Family character</x:v>
      </x:c>
      <x:c r="D639" s="215" t="str">
        <x:v>Flowers / hypanthium</x:v>
      </x:c>
      <x:c r="E639" s="215" t="str">
        <x:v>Sepals and petals commonly fused basally into a hypanthium above the ovary</x:v>
      </x:c>
      <x:c r="F639" s="215" t="str">
        <x:v>Strong</x:v>
      </x:c>
      <x:c r="G639" s="215" t="str">
        <x:v>4</x:v>
      </x:c>
      <x:c r="H639" s="215" t="str">
        <x:v>High</x:v>
      </x:c>
      <x:c r="I639" s="215" t="str">
        <x:v>Naked eye or hand lens</x:v>
      </x:c>
      <x:c r="J639" s="215" t="str">
        <x:v>Fresh pistillate flowers</x:v>
      </x:c>
      <x:c r="K639" s="215" t="str">
        <x:v>The flower parts form a cup or tube on top of the developing fruit.</x:v>
      </x:c>
      <x:c r="L639" s="215" t="str">
        <x:v>Hypanthium depth and corolla fusion vary.</x:v>
      </x:c>
      <x:c r="M639" s="215" t="str">
        <x:v>Use insertion position to confirm an inferior ovary.</x:v>
      </x:c>
      <x:c r="N639" s="215" t="str">
        <x:v>Wild gourds and cucumber-family vines occur in Hays fields, thickets, roadsides, and rocky openings; cultivated cucurbits do not prove wild family records.</x:v>
      </x:c>
      <x:c r="O639" s="215" t="str">
        <x:v>Low</x:v>
      </x:c>
      <x:c r="P639" s="215" t="str">
        <x:v>No</x:v>
      </x:c>
      <x:c r="Q639" s="215" t="str"/>
      <x:c r="R639" s="215" t="str"/>
      <x:c r="S639" s="215" t="str">
        <x:v>APWEB-CUCU; FNA-CUCU; POWO-CUCU; LBJ-HAYS</x:v>
      </x:c>
      <x:c r="T639" s="215" t="str">
        <x:v>https://www.mobot.org/MOBOT/research/APweb/orders/cucurbitalesweb.htm</x:v>
      </x:c>
      <x:c r="U639" s="215" t="str">
        <x:v>https://floranorthamerica.org/Cucurbitaceae</x:v>
      </x:c>
      <x:c r="V639" s="215" t="str">
        <x:v>https://powo.science.kew.org/taxon/urn:lsid:ipni.org:names:30000781-2/general-information</x:v>
      </x:c>
      <x:c r="W639" s="215" t="str">
        <x:v>https://www.mobot.org/MOBOT/research/APweb/orders/cucurbitalesweb.htm
https://floranorthamerica.org/Cucurbitaceae
https://powo.science.kew.org/taxon/urn:lsid:ipni.org:names:30000781-2/general-information
https://www.wildflower.org/collections/collection.php?collection=hays</x:v>
      </x:c>
      <x:c r="X639" s="215" t="str">
        <x:v>No — retain qualifiers and exceptions</x:v>
      </x:c>
      <x:c r="Y639" s="215" t="str">
        <x:v>Yes</x:v>
      </x:c>
      <x:c r="Z639" s="215" t="str">
        <x:v>Source-backed draft</x:v>
      </x:c>
      <x:c r="AA639" s="215" t="str">
        <x:v>Family pattern</x:v>
      </x:c>
      <x:c r="AB639" s="215" t="str">
        <x:v>Positive diagnostic</x:v>
      </x:c>
      <x:c r="AC639" s="215" t="str">
        <x:v>High</x:v>
      </x:c>
      <x:c r="AD639" s="215" t="str">
        <x:v>Hand lens / macro</x:v>
      </x:c>
      <x:c r="AE639" s="215" t="str">
        <x:v>Low</x:v>
      </x:c>
      <x:c r="AF639" s="215" t="str">
        <x:v>Field-ready draft</x:v>
      </x:c>
      <x:c r="AG639" s="215" t="str">
        <x:v>2 — Field-photo priority</x:v>
      </x:c>
      <x:c r="AH639" s="215" t="str">
        <x:v>Current master inventory</x:v>
      </x:c>
    </x:row>
    <x:row r="640" ht="42" customHeight="1">
      <x:c r="A640" s="215" t="str">
        <x:v>Cucurbitaceae</x:v>
      </x:c>
      <x:c r="B640" s="215" t="str">
        <x:v>CUC-STAMENS</x:v>
      </x:c>
      <x:c r="C640" s="215" t="str">
        <x:v>Family character</x:v>
      </x:c>
      <x:c r="D640" s="215" t="str">
        <x:v>Stamens</x:v>
      </x:c>
      <x:c r="E640" s="215" t="str">
        <x:v>Stamens structurally 3–5 but commonly fused or paired so they appear as 1–3 complex stamens</x:v>
      </x:c>
      <x:c r="F640" s="215" t="str">
        <x:v>Strong</x:v>
      </x:c>
      <x:c r="G640" s="215" t="str">
        <x:v>4</x:v>
      </x:c>
      <x:c r="H640" s="215" t="str">
        <x:v>High</x:v>
      </x:c>
      <x:c r="I640" s="215" t="str">
        <x:v>Hand lens</x:v>
      </x:c>
      <x:c r="J640" s="215" t="str">
        <x:v>Fresh staminate flowers</x:v>
      </x:c>
      <x:c r="K640" s="215" t="str">
        <x:v>Gourd-family anthers often look twisted or grouped rather than like five separate stamens.</x:v>
      </x:c>
      <x:c r="L640" s="215" t="str">
        <x:v>Fusion patterns vary by genus and require intact male flowers.</x:v>
      </x:c>
      <x:c r="M640" s="215" t="str">
        <x:v>Count anther units cautiously under magnification.</x:v>
      </x:c>
      <x:c r="N640" s="215" t="str">
        <x:v>Wild gourds and cucumber-family vines occur in Hays fields, thickets, roadsides, and rocky openings; cultivated cucurbits do not prove wild family records.</x:v>
      </x:c>
      <x:c r="O640" s="215" t="str">
        <x:v>Low</x:v>
      </x:c>
      <x:c r="P640" s="215" t="str">
        <x:v>No</x:v>
      </x:c>
      <x:c r="Q640" s="215" t="str"/>
      <x:c r="R640" s="215" t="str"/>
      <x:c r="S640" s="215" t="str">
        <x:v>APWEB-CUCU; FNA-CUCU; POWO-CUCU; LBJ-HAYS</x:v>
      </x:c>
      <x:c r="T640" s="215" t="str">
        <x:v>https://www.mobot.org/MOBOT/research/APweb/orders/cucurbitalesweb.htm</x:v>
      </x:c>
      <x:c r="U640" s="215" t="str">
        <x:v>https://floranorthamerica.org/Cucurbitaceae</x:v>
      </x:c>
      <x:c r="V640" s="215" t="str">
        <x:v>https://powo.science.kew.org/taxon/urn:lsid:ipni.org:names:30000781-2/general-information</x:v>
      </x:c>
      <x:c r="W640" s="215" t="str">
        <x:v>https://www.mobot.org/MOBOT/research/APweb/orders/cucurbitalesweb.htm
https://floranorthamerica.org/Cucurbitaceae
https://powo.science.kew.org/taxon/urn:lsid:ipni.org:names:30000781-2/general-information
https://www.wildflower.org/collections/collection.php?collection=hays</x:v>
      </x:c>
      <x:c r="X640" s="215" t="str">
        <x:v>No — retain qualifiers and exceptions</x:v>
      </x:c>
      <x:c r="Y640" s="215" t="str">
        <x:v>Yes</x:v>
      </x:c>
      <x:c r="Z640" s="215" t="str">
        <x:v>Source-backed draft</x:v>
      </x:c>
      <x:c r="AA640" s="215" t="str">
        <x:v>Family pattern</x:v>
      </x:c>
      <x:c r="AB640" s="215" t="str">
        <x:v>Positive diagnostic</x:v>
      </x:c>
      <x:c r="AC640" s="215" t="str">
        <x:v>High</x:v>
      </x:c>
      <x:c r="AD640" s="215" t="str">
        <x:v>Hand lens / macro</x:v>
      </x:c>
      <x:c r="AE640" s="215" t="str">
        <x:v>Low</x:v>
      </x:c>
      <x:c r="AF640" s="215" t="str">
        <x:v>Field-ready draft</x:v>
      </x:c>
      <x:c r="AG640" s="215" t="str">
        <x:v>2 — Field-photo priority</x:v>
      </x:c>
      <x:c r="AH640" s="215" t="str">
        <x:v>Current master inventory</x:v>
      </x:c>
    </x:row>
    <x:row r="641" ht="42" customHeight="1">
      <x:c r="A641" s="215" t="str">
        <x:v>Cucurbitaceae</x:v>
      </x:c>
      <x:c r="B641" s="215" t="str">
        <x:v>CUC-OVARY</x:v>
      </x:c>
      <x:c r="C641" s="215" t="str">
        <x:v>Family character</x:v>
      </x:c>
      <x:c r="D641" s="215" t="str">
        <x:v>Gynoecium</x:v>
      </x:c>
      <x:c r="E641" s="215" t="str">
        <x:v>Ovary inferior, commonly 3-carpellate with parietal placentation and many ovules</x:v>
      </x:c>
      <x:c r="F641" s="215" t="str">
        <x:v>Strong</x:v>
      </x:c>
      <x:c r="G641" s="215" t="str">
        <x:v>5</x:v>
      </x:c>
      <x:c r="H641" s="215" t="str">
        <x:v>High</x:v>
      </x:c>
      <x:c r="I641" s="215" t="str">
        <x:v>Naked eye or hand lens</x:v>
      </x:c>
      <x:c r="J641" s="215" t="str">
        <x:v>Fresh pistillate flowers</x:v>
      </x:c>
      <x:c r="K641" s="215" t="str">
        <x:v>The young gourd sits below the petals in a female flower.</x:v>
      </x:c>
      <x:c r="L641" s="215" t="str">
        <x:v>Some genera have fewer ovules or unusual locule appearances.</x:v>
      </x:c>
      <x:c r="M641" s="215" t="str">
        <x:v>This is a high-value separator from many other tendrilled vines.</x:v>
      </x:c>
      <x:c r="N641" s="215" t="str">
        <x:v>Wild gourds and cucumber-family vines occur in Hays fields, thickets, roadsides, and rocky openings; cultivated cucurbits do not prove wild family records.</x:v>
      </x:c>
      <x:c r="O641" s="215" t="str">
        <x:v>Low</x:v>
      </x:c>
      <x:c r="P641" s="215" t="str">
        <x:v>No</x:v>
      </x:c>
      <x:c r="Q641" s="215" t="str"/>
      <x:c r="R641" s="215" t="str">
        <x:v>CUC-LK01; CUC-LK02</x:v>
      </x:c>
      <x:c r="S641" s="215" t="str">
        <x:v>APWEB-CUCU; FNA-CUCU; POWO-CUCU; LBJ-HAYS</x:v>
      </x:c>
      <x:c r="T641" s="215" t="str">
        <x:v>https://www.mobot.org/MOBOT/research/APweb/orders/cucurbitalesweb.htm</x:v>
      </x:c>
      <x:c r="U641" s="215" t="str">
        <x:v>https://floranorthamerica.org/Cucurbitaceae</x:v>
      </x:c>
      <x:c r="V641" s="215" t="str">
        <x:v>https://powo.science.kew.org/taxon/urn:lsid:ipni.org:names:30000781-2/general-information</x:v>
      </x:c>
      <x:c r="W641" s="215" t="str">
        <x:v>https://www.mobot.org/MOBOT/research/APweb/orders/cucurbitalesweb.htm
https://floranorthamerica.org/Cucurbitaceae
https://powo.science.kew.org/taxon/urn:lsid:ipni.org:names:30000781-2/general-information
https://www.wildflower.org/collections/collection.php?collection=hays</x:v>
      </x:c>
      <x:c r="X641" s="215" t="str">
        <x:v>No — retain qualifiers and exceptions</x:v>
      </x:c>
      <x:c r="Y641" s="215" t="str">
        <x:v>Yes</x:v>
      </x:c>
      <x:c r="Z641" s="215" t="str">
        <x:v>Source-backed draft</x:v>
      </x:c>
      <x:c r="AA641" s="215" t="str">
        <x:v>Family pattern</x:v>
      </x:c>
      <x:c r="AB641" s="215" t="str">
        <x:v>Positive diagnostic</x:v>
      </x:c>
      <x:c r="AC641" s="215" t="str">
        <x:v>High</x:v>
      </x:c>
      <x:c r="AD641" s="215" t="str">
        <x:v>Hand lens / macro</x:v>
      </x:c>
      <x:c r="AE641" s="215" t="str">
        <x:v>Low</x:v>
      </x:c>
      <x:c r="AF641" s="215" t="str">
        <x:v>Field-ready draft</x:v>
      </x:c>
      <x:c r="AG641" s="215" t="str">
        <x:v>2 — Field-photo priority</x:v>
      </x:c>
      <x:c r="AH641" s="215" t="str">
        <x:v>Current master inventory</x:v>
      </x:c>
    </x:row>
    <x:row r="642" ht="42" customHeight="1">
      <x:c r="A642" s="215" t="str">
        <x:v>Cucurbitaceae</x:v>
      </x:c>
      <x:c r="B642" s="215" t="str">
        <x:v>CUC-FRUIT</x:v>
      </x:c>
      <x:c r="C642" s="215" t="str">
        <x:v>Family character</x:v>
      </x:c>
      <x:c r="D642" s="215" t="str">
        <x:v>Fruit</x:v>
      </x:c>
      <x:c r="E642" s="215" t="str">
        <x:v>Fruit usually a pepo: a berry with a firm or hardened outer wall; occasionally capsular or berrylike</x:v>
      </x:c>
      <x:c r="F642" s="215" t="str">
        <x:v>Strong</x:v>
      </x:c>
      <x:c r="G642" s="215" t="str">
        <x:v>5</x:v>
      </x:c>
      <x:c r="H642" s="215" t="str">
        <x:v>High</x:v>
      </x:c>
      <x:c r="I642" s="215" t="str">
        <x:v>Naked eye or hand lens</x:v>
      </x:c>
      <x:c r="J642" s="215" t="str">
        <x:v>Mature fruit</x:v>
      </x:c>
      <x:c r="K642" s="215" t="str">
        <x:v>The mature fruit is a gourd, melon, cucumber, or related hard-walled berry.</x:v>
      </x:c>
      <x:c r="L642" s="215" t="str">
        <x:v>Fruit texture, dehiscence, and armature vary greatly.</x:v>
      </x:c>
      <x:c r="M642" s="215" t="str">
        <x:v>Use pepo construction with vine and flower characters.</x:v>
      </x:c>
      <x:c r="N642" s="215" t="str">
        <x:v>Wild gourds and cucumber-family vines occur in Hays fields, thickets, roadsides, and rocky openings; cultivated cucurbits do not prove wild family records.</x:v>
      </x:c>
      <x:c r="O642" s="215" t="str">
        <x:v>Low</x:v>
      </x:c>
      <x:c r="P642" s="215" t="str">
        <x:v>No</x:v>
      </x:c>
      <x:c r="Q642" s="215" t="str"/>
      <x:c r="R642" s="215" t="str"/>
      <x:c r="S642" s="215" t="str">
        <x:v>APWEB-CUCU; FNA-CUCU; POWO-CUCU; LBJ-HAYS</x:v>
      </x:c>
      <x:c r="T642" s="215" t="str">
        <x:v>https://www.mobot.org/MOBOT/research/APweb/orders/cucurbitalesweb.htm</x:v>
      </x:c>
      <x:c r="U642" s="215" t="str">
        <x:v>https://floranorthamerica.org/Cucurbitaceae</x:v>
      </x:c>
      <x:c r="V642" s="215" t="str">
        <x:v>https://powo.science.kew.org/taxon/urn:lsid:ipni.org:names:30000781-2/general-information</x:v>
      </x:c>
      <x:c r="W642" s="215" t="str">
        <x:v>https://www.mobot.org/MOBOT/research/APweb/orders/cucurbitalesweb.htm
https://floranorthamerica.org/Cucurbitaceae
https://powo.science.kew.org/taxon/urn:lsid:ipni.org:names:30000781-2/general-information
https://www.wildflower.org/collections/collection.php?collection=hays</x:v>
      </x:c>
      <x:c r="X642" s="215" t="str">
        <x:v>No — retain qualifiers and exceptions</x:v>
      </x:c>
      <x:c r="Y642" s="215" t="str">
        <x:v>Yes</x:v>
      </x:c>
      <x:c r="Z642" s="215" t="str">
        <x:v>Source-backed draft</x:v>
      </x:c>
      <x:c r="AA642" s="215" t="str">
        <x:v>Family pattern</x:v>
      </x:c>
      <x:c r="AB642" s="215" t="str">
        <x:v>Positive diagnostic</x:v>
      </x:c>
      <x:c r="AC642" s="215" t="str">
        <x:v>High</x:v>
      </x:c>
      <x:c r="AD642" s="215" t="str">
        <x:v>Hand lens / macro</x:v>
      </x:c>
      <x:c r="AE642" s="215" t="str">
        <x:v>Low</x:v>
      </x:c>
      <x:c r="AF642" s="215" t="str">
        <x:v>Field-ready draft</x:v>
      </x:c>
      <x:c r="AG642" s="215" t="str">
        <x:v>2 — Field-photo priority</x:v>
      </x:c>
      <x:c r="AH642" s="215" t="str">
        <x:v>Current master inventory</x:v>
      </x:c>
    </x:row>
    <x:row r="643" ht="42" customHeight="1">
      <x:c r="A643" s="215" t="str">
        <x:v>Cucurbitaceae</x:v>
      </x:c>
      <x:c r="B643" s="215" t="str">
        <x:v>CUC-SEEDS</x:v>
      </x:c>
      <x:c r="C643" s="215" t="str">
        <x:v>Family character</x:v>
      </x:c>
      <x:c r="D643" s="215" t="str">
        <x:v>Seeds</x:v>
      </x:c>
      <x:c r="E643" s="215" t="str">
        <x:v>Seeds usually numerous, flattened, and without endosperm</x:v>
      </x:c>
      <x:c r="F643" s="215" t="str">
        <x:v>Strong</x:v>
      </x:c>
      <x:c r="G643" s="215" t="str">
        <x:v>3</x:v>
      </x:c>
      <x:c r="H643" s="215" t="str">
        <x:v>High</x:v>
      </x:c>
      <x:c r="I643" s="215" t="str">
        <x:v>Naked eye or hand lens</x:v>
      </x:c>
      <x:c r="J643" s="215" t="str">
        <x:v>Mature opened fruit</x:v>
      </x:c>
      <x:c r="K643" s="215" t="str">
        <x:v>Cut fruits reveal many flat seeds surrounding a fleshy or fibrous interior.</x:v>
      </x:c>
      <x:c r="L643" s="215" t="str">
        <x:v>Some seeds are winged or arillate and seed number varies.</x:v>
      </x:c>
      <x:c r="M643" s="215" t="str">
        <x:v>Use as mature-fruit confirmation.</x:v>
      </x:c>
      <x:c r="N643" s="215" t="str">
        <x:v>Wild gourds and cucumber-family vines occur in Hays fields, thickets, roadsides, and rocky openings; cultivated cucurbits do not prove wild family records.</x:v>
      </x:c>
      <x:c r="O643" s="215" t="str">
        <x:v>Low</x:v>
      </x:c>
      <x:c r="P643" s="215" t="str">
        <x:v>No</x:v>
      </x:c>
      <x:c r="Q643" s="215" t="str"/>
      <x:c r="R643" s="215" t="str"/>
      <x:c r="S643" s="215" t="str">
        <x:v>APWEB-CUCU; FNA-CUCU; POWO-CUCU; LBJ-HAYS</x:v>
      </x:c>
      <x:c r="T643" s="215" t="str">
        <x:v>https://www.mobot.org/MOBOT/research/APweb/orders/cucurbitalesweb.htm</x:v>
      </x:c>
      <x:c r="U643" s="215" t="str">
        <x:v>https://floranorthamerica.org/Cucurbitaceae</x:v>
      </x:c>
      <x:c r="V643" s="215" t="str">
        <x:v>https://powo.science.kew.org/taxon/urn:lsid:ipni.org:names:30000781-2/general-information</x:v>
      </x:c>
      <x:c r="W643" s="215" t="str">
        <x:v>https://www.mobot.org/MOBOT/research/APweb/orders/cucurbitalesweb.htm
https://floranorthamerica.org/Cucurbitaceae
https://powo.science.kew.org/taxon/urn:lsid:ipni.org:names:30000781-2/general-information
https://www.wildflower.org/collections/collection.php?collection=hays</x:v>
      </x:c>
      <x:c r="X643" s="215" t="str">
        <x:v>No — retain qualifiers and exceptions</x:v>
      </x:c>
      <x:c r="Y643" s="215" t="str">
        <x:v>Yes</x:v>
      </x:c>
      <x:c r="Z643" s="215" t="str">
        <x:v>Source-backed draft</x:v>
      </x:c>
      <x:c r="AA643" s="215" t="str">
        <x:v>Family pattern</x:v>
      </x:c>
      <x:c r="AB643" s="215" t="str">
        <x:v>Positive diagnostic</x:v>
      </x:c>
      <x:c r="AC643" s="215" t="str">
        <x:v>High</x:v>
      </x:c>
      <x:c r="AD643" s="215" t="str">
        <x:v>Hand lens / macro</x:v>
      </x:c>
      <x:c r="AE643" s="215" t="str">
        <x:v>Low</x:v>
      </x:c>
      <x:c r="AF643" s="215" t="str">
        <x:v>Field-ready draft</x:v>
      </x:c>
      <x:c r="AG643" s="215" t="str">
        <x:v>3 — Reference support</x:v>
      </x:c>
      <x:c r="AH643" s="215" t="str">
        <x:v>Current master inventory</x:v>
      </x:c>
    </x:row>
    <x:row r="644" ht="42" customHeight="1">
      <x:c r="A644" s="215" t="str">
        <x:v>Cucurbitaceae</x:v>
      </x:c>
      <x:c r="B644" s="215" t="str">
        <x:v>CUC-SEX</x:v>
      </x:c>
      <x:c r="C644" s="215" t="str">
        <x:v>Family character</x:v>
      </x:c>
      <x:c r="D644" s="215" t="str">
        <x:v>Reproductive system</x:v>
      </x:c>
      <x:c r="E644" s="215" t="str">
        <x:v>Plants commonly monoecious or dioecious; male and female flowers differ visibly</x:v>
      </x:c>
      <x:c r="F644" s="215" t="str">
        <x:v>Supporting</x:v>
      </x:c>
      <x:c r="G644" s="215" t="str">
        <x:v>2</x:v>
      </x:c>
      <x:c r="H644" s="215" t="str">
        <x:v>High</x:v>
      </x:c>
      <x:c r="I644" s="215" t="str">
        <x:v>Naked eye or hand lens</x:v>
      </x:c>
      <x:c r="J644" s="215" t="str">
        <x:v>Multiple fresh flowers</x:v>
      </x:c>
      <x:c r="K644" s="215" t="str">
        <x:v>A vine may bear pollen flowers and fruit-bearing flowers separately.</x:v>
      </x:c>
      <x:c r="L644" s="215" t="str">
        <x:v>Sex expression can vary by species, cultivar, or population.</x:v>
      </x:c>
      <x:c r="M644" s="215" t="str">
        <x:v>Inspect several flowers before deciding a plant lacks one sex.</x:v>
      </x:c>
      <x:c r="N644" s="215" t="str">
        <x:v>Wild gourds and cucumber-family vines occur in Hays fields, thickets, roadsides, and rocky openings; cultivated cucurbits do not prove wild family records.</x:v>
      </x:c>
      <x:c r="O644" s="215" t="str">
        <x:v>Low</x:v>
      </x:c>
      <x:c r="P644" s="215" t="str">
        <x:v>No</x:v>
      </x:c>
      <x:c r="Q644" s="215" t="str"/>
      <x:c r="R644" s="215" t="str"/>
      <x:c r="S644" s="215" t="str">
        <x:v>APWEB-CUCU; FNA-CUCU; POWO-CUCU; LBJ-HAYS</x:v>
      </x:c>
      <x:c r="T644" s="215" t="str">
        <x:v>https://www.mobot.org/MOBOT/research/APweb/orders/cucurbitalesweb.htm</x:v>
      </x:c>
      <x:c r="U644" s="215" t="str">
        <x:v>https://floranorthamerica.org/Cucurbitaceae</x:v>
      </x:c>
      <x:c r="V644" s="215" t="str">
        <x:v>https://powo.science.kew.org/taxon/urn:lsid:ipni.org:names:30000781-2/general-information</x:v>
      </x:c>
      <x:c r="W644" s="215" t="str">
        <x:v>https://www.mobot.org/MOBOT/research/APweb/orders/cucurbitalesweb.htm
https://floranorthamerica.org/Cucurbitaceae
https://powo.science.kew.org/taxon/urn:lsid:ipni.org:names:30000781-2/general-information
https://www.wildflower.org/collections/collection.php?collection=hays</x:v>
      </x:c>
      <x:c r="X644" s="215" t="str">
        <x:v>No — retain qualifiers and exceptions</x:v>
      </x:c>
      <x:c r="Y644" s="215" t="str">
        <x:v>Yes</x:v>
      </x:c>
      <x:c r="Z644" s="215" t="str">
        <x:v>Source-backed draft</x:v>
      </x:c>
      <x:c r="AA644" s="215" t="str">
        <x:v>Family pattern</x:v>
      </x:c>
      <x:c r="AB644" s="215" t="str">
        <x:v>Supporting / route</x:v>
      </x:c>
      <x:c r="AC644" s="215" t="str">
        <x:v>High</x:v>
      </x:c>
      <x:c r="AD644" s="215" t="str">
        <x:v>Hand lens / macro</x:v>
      </x:c>
      <x:c r="AE644" s="215" t="str">
        <x:v>Low</x:v>
      </x:c>
      <x:c r="AF644" s="215" t="str">
        <x:v>Field-ready draft</x:v>
      </x:c>
      <x:c r="AG644" s="215" t="str">
        <x:v>4 — Context / caution</x:v>
      </x:c>
      <x:c r="AH644" s="215" t="str">
        <x:v>Current master inventory</x:v>
      </x:c>
    </x:row>
    <x:row r="645" ht="42" customHeight="1">
      <x:c r="A645" s="215" t="str">
        <x:v>Cucurbitaceae</x:v>
      </x:c>
      <x:c r="B645" s="215" t="str">
        <x:v>CUC-LK01</x:v>
      </x:c>
      <x:c r="C645" s="215" t="str">
        <x:v>Lookalike comparison</x:v>
      </x:c>
      <x:c r="D645" s="215" t="str">
        <x:v>Lookalike</x:v>
      </x:c>
      <x:c r="E645" s="215" t="str">
        <x:v>Versus Vitaceae: inferior ovaries, unisexual 5-parted flowers, and pepos favor Cucurbitaceae; leaf-opposed tendrils or clusters and grape berries favor Vitaceae</x:v>
      </x:c>
      <x:c r="F645" s="215" t="str">
        <x:v>Lookalike</x:v>
      </x:c>
      <x:c r="G645" s="215" t="str">
        <x:v>5</x:v>
      </x:c>
      <x:c r="H645" s="215" t="str">
        <x:v>High</x:v>
      </x:c>
      <x:c r="I645" s="215" t="str">
        <x:v>Naked eye or hand lens</x:v>
      </x:c>
      <x:c r="J645" s="215" t="str">
        <x:v>Flowers or mature fruit</x:v>
      </x:c>
      <x:c r="K645" s="215" t="str">
        <x:v>Both are tendrilled vines with broad leaves.</x:v>
      </x:c>
      <x:c r="L645" s="215" t="str">
        <x:v>Sterile vines can remain ambiguous.</x:v>
      </x:c>
      <x:c r="M645" s="215" t="str">
        <x:v>Use female flower insertion and mature fruit.</x:v>
      </x:c>
      <x:c r="N645" s="215" t="str">
        <x:v>Wild gourds and cucumber-family vines occur in Hays fields, thickets, roadsides, and rocky openings; cultivated cucurbits do not prove wild family records.</x:v>
      </x:c>
      <x:c r="O645" s="215" t="str">
        <x:v>Low</x:v>
      </x:c>
      <x:c r="P645" s="215" t="str">
        <x:v>No</x:v>
      </x:c>
      <x:c r="Q645" s="215" t="str"/>
      <x:c r="R645" s="215" t="str">
        <x:v>CUC-HABIT; CUC-OVARY; CUC-FRUIT</x:v>
      </x:c>
      <x:c r="S645" s="215" t="str">
        <x:v>APWEB-CUCU; FNA-CUCU; POWO-CUCU; LBJ-HAYS</x:v>
      </x:c>
      <x:c r="T645" s="215" t="str">
        <x:v>https://www.mobot.org/MOBOT/research/APweb/orders/cucurbitalesweb.htm</x:v>
      </x:c>
      <x:c r="U645" s="215" t="str">
        <x:v>https://floranorthamerica.org/Cucurbitaceae</x:v>
      </x:c>
      <x:c r="V645" s="215" t="str">
        <x:v>https://powo.science.kew.org/taxon/urn:lsid:ipni.org:names:30000781-2/general-information</x:v>
      </x:c>
      <x:c r="W645" s="215" t="str">
        <x:v>https://www.mobot.org/MOBOT/research/APweb/orders/cucurbitalesweb.htm
https://floranorthamerica.org/Cucurbitaceae
https://powo.science.kew.org/taxon/urn:lsid:ipni.org:names:30000781-2/general-information
https://www.wildflower.org/collections/collection.php?collection=hays</x:v>
      </x:c>
      <x:c r="X645" s="215" t="str">
        <x:v>No — retain qualifiers and exceptions</x:v>
      </x:c>
      <x:c r="Y645" s="215" t="str">
        <x:v>Yes</x:v>
      </x:c>
      <x:c r="Z645" s="215" t="str">
        <x:v>Source-backed draft</x:v>
      </x:c>
      <x:c r="AA645" s="215" t="str">
        <x:v>Lookalike comparison</x:v>
      </x:c>
      <x:c r="AB645" s="215" t="str">
        <x:v>Contrast / lookalike</x:v>
      </x:c>
      <x:c r="AC645" s="215" t="str">
        <x:v>High</x:v>
      </x:c>
      <x:c r="AD645" s="215" t="str">
        <x:v>Hand lens / macro</x:v>
      </x:c>
      <x:c r="AE645" s="215" t="str">
        <x:v>Low</x:v>
      </x:c>
      <x:c r="AF645" s="215" t="str">
        <x:v>Field-ready draft</x:v>
      </x:c>
      <x:c r="AG645" s="215" t="str">
        <x:v>2 — Field-photo priority</x:v>
      </x:c>
      <x:c r="AH645" s="215" t="str">
        <x:v>Current master inventory</x:v>
      </x:c>
    </x:row>
    <x:row r="646" ht="42" customHeight="1">
      <x:c r="A646" s="215" t="str">
        <x:v>Cucurbitaceae</x:v>
      </x:c>
      <x:c r="B646" s="215" t="str">
        <x:v>CUC-LK02</x:v>
      </x:c>
      <x:c r="C646" s="215" t="str">
        <x:v>Lookalike comparison</x:v>
      </x:c>
      <x:c r="D646" s="215" t="str">
        <x:v>Lookalike</x:v>
      </x:c>
      <x:c r="E646" s="215" t="str">
        <x:v>Versus Convolvulaceae: tendrils, unisexual flowers, and an inferior ovary favor Cucurbitaceae; twining stems without tendrils and bisexual funnel flowers favor Convolvulaceae</x:v>
      </x:c>
      <x:c r="F646" s="215" t="str">
        <x:v>Lookalike</x:v>
      </x:c>
      <x:c r="G646" s="215" t="str">
        <x:v>5</x:v>
      </x:c>
      <x:c r="H646" s="215" t="str">
        <x:v>High</x:v>
      </x:c>
      <x:c r="I646" s="215" t="str">
        <x:v>Naked eye or hand lens</x:v>
      </x:c>
      <x:c r="J646" s="215" t="str">
        <x:v>Active flowering shoots</x:v>
      </x:c>
      <x:c r="K646" s="215" t="str">
        <x:v>Both can form sprawling vines with broad leaves.</x:v>
      </x:c>
      <x:c r="L646" s="215" t="str">
        <x:v>Tendrils can be reduced and corollas may both appear funnel-shaped.</x:v>
      </x:c>
      <x:c r="M646" s="215" t="str">
        <x:v>Trace the climbing organ and examine a female flower.</x:v>
      </x:c>
      <x:c r="N646" s="215" t="str">
        <x:v>Wild gourds and cucumber-family vines occur in Hays fields, thickets, roadsides, and rocky openings; cultivated cucurbits do not prove wild family records.</x:v>
      </x:c>
      <x:c r="O646" s="215" t="str">
        <x:v>Low</x:v>
      </x:c>
      <x:c r="P646" s="215" t="str">
        <x:v>No</x:v>
      </x:c>
      <x:c r="Q646" s="215" t="str"/>
      <x:c r="R646" s="215" t="str">
        <x:v>CUC-HABIT; CUC-FLOWER; CUC-OVARY</x:v>
      </x:c>
      <x:c r="S646" s="215" t="str">
        <x:v>APWEB-CUCU; FNA-CUCU; POWO-CUCU; LBJ-HAYS</x:v>
      </x:c>
      <x:c r="T646" s="215" t="str">
        <x:v>https://www.mobot.org/MOBOT/research/APweb/orders/cucurbitalesweb.htm</x:v>
      </x:c>
      <x:c r="U646" s="215" t="str">
        <x:v>https://floranorthamerica.org/Cucurbitaceae</x:v>
      </x:c>
      <x:c r="V646" s="215" t="str">
        <x:v>https://powo.science.kew.org/taxon/urn:lsid:ipni.org:names:30000781-2/general-information</x:v>
      </x:c>
      <x:c r="W646" s="215" t="str">
        <x:v>https://www.mobot.org/MOBOT/research/APweb/orders/cucurbitalesweb.htm
https://floranorthamerica.org/Cucurbitaceae
https://powo.science.kew.org/taxon/urn:lsid:ipni.org:names:30000781-2/general-information
https://www.wildflower.org/collections/collection.php?collection=hays</x:v>
      </x:c>
      <x:c r="X646" s="215" t="str">
        <x:v>No — retain qualifiers and exceptions</x:v>
      </x:c>
      <x:c r="Y646" s="215" t="str">
        <x:v>Yes</x:v>
      </x:c>
      <x:c r="Z646" s="215" t="str">
        <x:v>Source-backed draft</x:v>
      </x:c>
      <x:c r="AA646" s="215" t="str">
        <x:v>Lookalike comparison</x:v>
      </x:c>
      <x:c r="AB646" s="215" t="str">
        <x:v>Contrast / lookalike</x:v>
      </x:c>
      <x:c r="AC646" s="215" t="str">
        <x:v>High</x:v>
      </x:c>
      <x:c r="AD646" s="215" t="str">
        <x:v>Hand lens / macro</x:v>
      </x:c>
      <x:c r="AE646" s="215" t="str">
        <x:v>Low</x:v>
      </x:c>
      <x:c r="AF646" s="215" t="str">
        <x:v>Field-ready draft</x:v>
      </x:c>
      <x:c r="AG646" s="215" t="str">
        <x:v>2 — Field-photo priority</x:v>
      </x:c>
      <x:c r="AH646" s="215" t="str">
        <x:v>Current master inventory</x:v>
      </x:c>
    </x:row>
    <x:row r="647" ht="42" customHeight="1">
      <x:c r="A647" s="215" t="str">
        <x:v>Bignoniaceae</x:v>
      </x:c>
      <x:c r="B647" s="215" t="str">
        <x:v>BIG-HABIT</x:v>
      </x:c>
      <x:c r="C647" s="215" t="str">
        <x:v>Family character</x:v>
      </x:c>
      <x:c r="D647" s="215" t="str">
        <x:v>Habit</x:v>
      </x:c>
      <x:c r="E647" s="215" t="str">
        <x:v>Mostly trees, shrubs, or woody vines; rarely herbs</x:v>
      </x:c>
      <x:c r="F647" s="215" t="str">
        <x:v>Strong</x:v>
      </x:c>
      <x:c r="G647" s="215" t="str">
        <x:v>2</x:v>
      </x:c>
      <x:c r="H647" s="215" t="str">
        <x:v>High</x:v>
      </x:c>
      <x:c r="I647" s="215" t="str">
        <x:v>Naked eye or hand lens</x:v>
      </x:c>
      <x:c r="J647" s="215" t="str">
        <x:v>Any material</x:v>
      </x:c>
      <x:c r="K647" s="215" t="str">
        <x:v>The family is predominantly woody in Central Texas.</x:v>
      </x:c>
      <x:c r="L647" s="215" t="str">
        <x:v>Habit alone overlaps many Lamiales families.</x:v>
      </x:c>
      <x:c r="M647" s="215" t="str">
        <x:v>Use with leaves, trumpet flowers, and capsule fruit.</x:v>
      </x:c>
      <x:c r="N647" s="215" t="str">
        <x:v>Crossvine, trumpet-creeper relatives, catalpa-type trees, and other trumpet-flowered woody plants make this family practical in Central Texas.</x:v>
      </x:c>
      <x:c r="O647" s="215" t="str">
        <x:v>Low</x:v>
      </x:c>
      <x:c r="P647" s="215" t="str">
        <x:v>No</x:v>
      </x:c>
      <x:c r="Q647" s="215" t="str"/>
      <x:c r="R647" s="215" t="str"/>
      <x:c r="S647" s="215" t="str">
        <x:v>APWEB-BIGN; POWO-BIGN; LBJ-HAYS</x:v>
      </x:c>
      <x:c r="T647" s="215" t="str">
        <x:v>https://www.mobot.org/MOBOT/research/APweb/orders/lamialesweb.htm</x:v>
      </x:c>
      <x:c r="U647" s="215" t="str">
        <x:v>https://powo.science.kew.org/taxon/urn:lsid:ipni.org:names:30000204-2/general-information</x:v>
      </x:c>
      <x:c r="V647" s="215" t="str">
        <x:v>https://powo.science.kew.org/taxon/urn:lsid:ipni.org:names:30000204-2/general-information</x:v>
      </x:c>
      <x:c r="W647"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47" s="215" t="str">
        <x:v>No — retain qualifiers and exceptions</x:v>
      </x:c>
      <x:c r="Y647" s="215" t="str">
        <x:v>Yes</x:v>
      </x:c>
      <x:c r="Z647" s="215" t="str">
        <x:v>Source-backed draft</x:v>
      </x:c>
      <x:c r="AA647" s="215" t="str">
        <x:v>Family pattern</x:v>
      </x:c>
      <x:c r="AB647" s="215" t="str">
        <x:v>Positive diagnostic</x:v>
      </x:c>
      <x:c r="AC647" s="215" t="str">
        <x:v>High</x:v>
      </x:c>
      <x:c r="AD647" s="215" t="str">
        <x:v>Hand lens / macro</x:v>
      </x:c>
      <x:c r="AE647" s="215" t="str">
        <x:v>Low</x:v>
      </x:c>
      <x:c r="AF647" s="215" t="str">
        <x:v>Field-ready draft</x:v>
      </x:c>
      <x:c r="AG647" s="215" t="str">
        <x:v>4 — Context / caution</x:v>
      </x:c>
      <x:c r="AH647" s="215" t="str">
        <x:v>Current master inventory</x:v>
      </x:c>
    </x:row>
    <x:row r="648" ht="42" customHeight="1">
      <x:c r="A648" s="215" t="str">
        <x:v>Bignoniaceae</x:v>
      </x:c>
      <x:c r="B648" s="215" t="str">
        <x:v>BIG-LEAVES</x:v>
      </x:c>
      <x:c r="C648" s="215" t="str">
        <x:v>Family character</x:v>
      </x:c>
      <x:c r="D648" s="215" t="str">
        <x:v>Leaves / stipules</x:v>
      </x:c>
      <x:c r="E648" s="215" t="str">
        <x:v>Leaves usually opposite and compound, without true stipules; vines may replace a terminal leaflet with a tendril</x:v>
      </x:c>
      <x:c r="F648" s="215" t="str">
        <x:v>Strong</x:v>
      </x:c>
      <x:c r="G648" s="215" t="str">
        <x:v>4</x:v>
      </x:c>
      <x:c r="H648" s="215" t="str">
        <x:v>High</x:v>
      </x:c>
      <x:c r="I648" s="215" t="str">
        <x:v>Naked eye or hand lens</x:v>
      </x:c>
      <x:c r="J648" s="215" t="str">
        <x:v>Leafy shoots</x:v>
      </x:c>
      <x:c r="K648" s="215" t="str">
        <x:v>Opposite compound leaves are a strong regional clue.</x:v>
      </x:c>
      <x:c r="L648" s="215" t="str">
        <x:v>Simple or whorled leaves occur, and bud scales can mimic stipules.</x:v>
      </x:c>
      <x:c r="M648" s="215" t="str">
        <x:v>Check multiple nodes and flowering material.</x:v>
      </x:c>
      <x:c r="N648" s="215" t="str">
        <x:v>Crossvine, trumpet-creeper relatives, catalpa-type trees, and other trumpet-flowered woody plants make this family practical in Central Texas.</x:v>
      </x:c>
      <x:c r="O648" s="215" t="str">
        <x:v>Low</x:v>
      </x:c>
      <x:c r="P648" s="215" t="str">
        <x:v>No</x:v>
      </x:c>
      <x:c r="Q648" s="215" t="str"/>
      <x:c r="R648" s="215" t="str">
        <x:v>BIG-LK01; BIG-LK02</x:v>
      </x:c>
      <x:c r="S648" s="215" t="str">
        <x:v>APWEB-BIGN; POWO-BIGN; LBJ-HAYS</x:v>
      </x:c>
      <x:c r="T648" s="215" t="str">
        <x:v>https://www.mobot.org/MOBOT/research/APweb/orders/lamialesweb.htm</x:v>
      </x:c>
      <x:c r="U648" s="215" t="str">
        <x:v>https://powo.science.kew.org/taxon/urn:lsid:ipni.org:names:30000204-2/general-information</x:v>
      </x:c>
      <x:c r="V648" s="215" t="str">
        <x:v>https://powo.science.kew.org/taxon/urn:lsid:ipni.org:names:30000204-2/general-information</x:v>
      </x:c>
      <x:c r="W648"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48" s="215" t="str">
        <x:v>No — retain qualifiers and exceptions</x:v>
      </x:c>
      <x:c r="Y648" s="215" t="str">
        <x:v>Yes</x:v>
      </x:c>
      <x:c r="Z648" s="215" t="str">
        <x:v>Source-backed draft</x:v>
      </x:c>
      <x:c r="AA648" s="215" t="str">
        <x:v>Family pattern</x:v>
      </x:c>
      <x:c r="AB648" s="215" t="str">
        <x:v>Positive diagnostic</x:v>
      </x:c>
      <x:c r="AC648" s="215" t="str">
        <x:v>High</x:v>
      </x:c>
      <x:c r="AD648" s="215" t="str">
        <x:v>Hand lens / macro</x:v>
      </x:c>
      <x:c r="AE648" s="215" t="str">
        <x:v>Low</x:v>
      </x:c>
      <x:c r="AF648" s="215" t="str">
        <x:v>Field-ready draft</x:v>
      </x:c>
      <x:c r="AG648" s="215" t="str">
        <x:v>2 — Field-photo priority</x:v>
      </x:c>
      <x:c r="AH648" s="215" t="str">
        <x:v>Current master inventory</x:v>
      </x:c>
    </x:row>
    <x:row r="649" ht="42" customHeight="1">
      <x:c r="A649" s="215" t="str">
        <x:v>Bignoniaceae</x:v>
      </x:c>
      <x:c r="B649" s="215" t="str">
        <x:v>BIG-COROLLA</x:v>
      </x:c>
      <x:c r="C649" s="215" t="str">
        <x:v>Family character</x:v>
      </x:c>
      <x:c r="D649" s="215" t="str">
        <x:v>Flowers</x:v>
      </x:c>
      <x:c r="E649" s="215" t="str">
        <x:v>Corolla of 5 fused petals, usually large, tubular or bell-shaped, and bilaterally symmetric</x:v>
      </x:c>
      <x:c r="F649" s="215" t="str">
        <x:v>Strong</x:v>
      </x:c>
      <x:c r="G649" s="215" t="str">
        <x:v>5</x:v>
      </x:c>
      <x:c r="H649" s="215" t="str">
        <x:v>High</x:v>
      </x:c>
      <x:c r="I649" s="215" t="str">
        <x:v>Naked eye or hand lens</x:v>
      </x:c>
      <x:c r="J649" s="215" t="str">
        <x:v>Fresh flowers</x:v>
      </x:c>
      <x:c r="K649" s="215" t="str">
        <x:v>The familiar trumpet flower is the clearest family signal.</x:v>
      </x:c>
      <x:c r="L649" s="215" t="str">
        <x:v>Some flowers are smaller or less bilateral.</x:v>
      </x:c>
      <x:c r="M649" s="215" t="str">
        <x:v>Use corolla form with didynamous stamens.</x:v>
      </x:c>
      <x:c r="N649" s="215" t="str">
        <x:v>Crossvine, trumpet-creeper relatives, catalpa-type trees, and other trumpet-flowered woody plants make this family practical in Central Texas.</x:v>
      </x:c>
      <x:c r="O649" s="215" t="str">
        <x:v>Low</x:v>
      </x:c>
      <x:c r="P649" s="215" t="str">
        <x:v>No</x:v>
      </x:c>
      <x:c r="Q649" s="215" t="str"/>
      <x:c r="R649" s="215" t="str"/>
      <x:c r="S649" s="215" t="str">
        <x:v>APWEB-BIGN; POWO-BIGN; LBJ-HAYS</x:v>
      </x:c>
      <x:c r="T649" s="215" t="str">
        <x:v>https://www.mobot.org/MOBOT/research/APweb/orders/lamialesweb.htm</x:v>
      </x:c>
      <x:c r="U649" s="215" t="str">
        <x:v>https://powo.science.kew.org/taxon/urn:lsid:ipni.org:names:30000204-2/general-information</x:v>
      </x:c>
      <x:c r="V649" s="215" t="str">
        <x:v>https://powo.science.kew.org/taxon/urn:lsid:ipni.org:names:30000204-2/general-information</x:v>
      </x:c>
      <x:c r="W649"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49" s="215" t="str">
        <x:v>No — retain qualifiers and exceptions</x:v>
      </x:c>
      <x:c r="Y649" s="215" t="str">
        <x:v>Yes</x:v>
      </x:c>
      <x:c r="Z649" s="215" t="str">
        <x:v>Source-backed draft</x:v>
      </x:c>
      <x:c r="AA649" s="215" t="str">
        <x:v>Family pattern</x:v>
      </x:c>
      <x:c r="AB649" s="215" t="str">
        <x:v>Positive diagnostic</x:v>
      </x:c>
      <x:c r="AC649" s="215" t="str">
        <x:v>High</x:v>
      </x:c>
      <x:c r="AD649" s="215" t="str">
        <x:v>Hand lens / macro</x:v>
      </x:c>
      <x:c r="AE649" s="215" t="str">
        <x:v>Low</x:v>
      </x:c>
      <x:c r="AF649" s="215" t="str">
        <x:v>Field-ready draft</x:v>
      </x:c>
      <x:c r="AG649" s="215" t="str">
        <x:v>2 — Field-photo priority</x:v>
      </x:c>
      <x:c r="AH649" s="215" t="str">
        <x:v>Current master inventory</x:v>
      </x:c>
    </x:row>
    <x:row r="650" ht="42" customHeight="1">
      <x:c r="A650" s="215" t="str">
        <x:v>Bignoniaceae</x:v>
      </x:c>
      <x:c r="B650" s="215" t="str">
        <x:v>BIG-CALYX</x:v>
      </x:c>
      <x:c r="C650" s="215" t="str">
        <x:v>Family character</x:v>
      </x:c>
      <x:c r="D650" s="215" t="str">
        <x:v>Calyx</x:v>
      </x:c>
      <x:c r="E650" s="215" t="str">
        <x:v>Calyx usually 5-lobed or truncate and fused into a cup or tube</x:v>
      </x:c>
      <x:c r="F650" s="215" t="str">
        <x:v>Strong</x:v>
      </x:c>
      <x:c r="G650" s="215" t="str">
        <x:v>3</x:v>
      </x:c>
      <x:c r="H650" s="215" t="str">
        <x:v>High</x:v>
      </x:c>
      <x:c r="I650" s="215" t="str">
        <x:v>Naked eye or hand lens</x:v>
      </x:c>
      <x:c r="J650" s="215" t="str">
        <x:v>Flowers or young fruit</x:v>
      </x:c>
      <x:c r="K650" s="215" t="str">
        <x:v>A fused calyx surrounds the base of the trumpet corolla.</x:v>
      </x:c>
      <x:c r="L650" s="215" t="str">
        <x:v>Calyx shape and lobe number vary.</x:v>
      </x:c>
      <x:c r="M650" s="215" t="str">
        <x:v>Use as support, especially after corolla fall.</x:v>
      </x:c>
      <x:c r="N650" s="215" t="str">
        <x:v>Crossvine, trumpet-creeper relatives, catalpa-type trees, and other trumpet-flowered woody plants make this family practical in Central Texas.</x:v>
      </x:c>
      <x:c r="O650" s="215" t="str">
        <x:v>Low</x:v>
      </x:c>
      <x:c r="P650" s="215" t="str">
        <x:v>No</x:v>
      </x:c>
      <x:c r="Q650" s="215" t="str"/>
      <x:c r="R650" s="215" t="str"/>
      <x:c r="S650" s="215" t="str">
        <x:v>APWEB-BIGN; POWO-BIGN; LBJ-HAYS</x:v>
      </x:c>
      <x:c r="T650" s="215" t="str">
        <x:v>https://www.mobot.org/MOBOT/research/APweb/orders/lamialesweb.htm</x:v>
      </x:c>
      <x:c r="U650" s="215" t="str">
        <x:v>https://powo.science.kew.org/taxon/urn:lsid:ipni.org:names:30000204-2/general-information</x:v>
      </x:c>
      <x:c r="V650" s="215" t="str">
        <x:v>https://powo.science.kew.org/taxon/urn:lsid:ipni.org:names:30000204-2/general-information</x:v>
      </x:c>
      <x:c r="W650"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50" s="215" t="str">
        <x:v>No — retain qualifiers and exceptions</x:v>
      </x:c>
      <x:c r="Y650" s="215" t="str">
        <x:v>Yes</x:v>
      </x:c>
      <x:c r="Z650" s="215" t="str">
        <x:v>Source-backed draft</x:v>
      </x:c>
      <x:c r="AA650" s="215" t="str">
        <x:v>Family pattern</x:v>
      </x:c>
      <x:c r="AB650" s="215" t="str">
        <x:v>Positive diagnostic</x:v>
      </x:c>
      <x:c r="AC650" s="215" t="str">
        <x:v>High</x:v>
      </x:c>
      <x:c r="AD650" s="215" t="str">
        <x:v>Hand lens / macro</x:v>
      </x:c>
      <x:c r="AE650" s="215" t="str">
        <x:v>Low</x:v>
      </x:c>
      <x:c r="AF650" s="215" t="str">
        <x:v>Field-ready draft</x:v>
      </x:c>
      <x:c r="AG650" s="215" t="str">
        <x:v>3 — Reference support</x:v>
      </x:c>
      <x:c r="AH650" s="215" t="str">
        <x:v>Current master inventory</x:v>
      </x:c>
    </x:row>
    <x:row r="651" ht="42" customHeight="1">
      <x:c r="A651" s="215" t="str">
        <x:v>Bignoniaceae</x:v>
      </x:c>
      <x:c r="B651" s="215" t="str">
        <x:v>BIG-STAMENS</x:v>
      </x:c>
      <x:c r="C651" s="215" t="str">
        <x:v>Family character</x:v>
      </x:c>
      <x:c r="D651" s="215" t="str">
        <x:v>Stamens</x:v>
      </x:c>
      <x:c r="E651" s="215" t="str">
        <x:v>Usually 4 fertile didynamous stamens, two long and two short, plus a reduced fifth staminode</x:v>
      </x:c>
      <x:c r="F651" s="215" t="str">
        <x:v>Strong</x:v>
      </x:c>
      <x:c r="G651" s="215" t="str">
        <x:v>5</x:v>
      </x:c>
      <x:c r="H651" s="215" t="str">
        <x:v>High</x:v>
      </x:c>
      <x:c r="I651" s="215" t="str">
        <x:v>Hand lens</x:v>
      </x:c>
      <x:c r="J651" s="215" t="str">
        <x:v>Fresh intact flowers</x:v>
      </x:c>
      <x:c r="K651" s="215" t="str">
        <x:v>Four unequal stamens inside a trumpet flower strongly support Bignoniaceae.</x:v>
      </x:c>
      <x:c r="L651" s="215" t="str">
        <x:v>Some lineages have 2 or 5 fertile stamens.</x:v>
      </x:c>
      <x:c r="M651" s="215" t="str">
        <x:v>Count intact flowers and retain exceptions.</x:v>
      </x:c>
      <x:c r="N651" s="215" t="str">
        <x:v>Crossvine, trumpet-creeper relatives, catalpa-type trees, and other trumpet-flowered woody plants make this family practical in Central Texas.</x:v>
      </x:c>
      <x:c r="O651" s="215" t="str">
        <x:v>Low</x:v>
      </x:c>
      <x:c r="P651" s="215" t="str">
        <x:v>No</x:v>
      </x:c>
      <x:c r="Q651" s="215" t="str"/>
      <x:c r="R651" s="215" t="str">
        <x:v>BIG-LK01; BIG-LK02</x:v>
      </x:c>
      <x:c r="S651" s="215" t="str">
        <x:v>APWEB-BIGN; POWO-BIGN; LBJ-HAYS</x:v>
      </x:c>
      <x:c r="T651" s="215" t="str">
        <x:v>https://www.mobot.org/MOBOT/research/APweb/orders/lamialesweb.htm</x:v>
      </x:c>
      <x:c r="U651" s="215" t="str">
        <x:v>https://powo.science.kew.org/taxon/urn:lsid:ipni.org:names:30000204-2/general-information</x:v>
      </x:c>
      <x:c r="V651" s="215" t="str">
        <x:v>https://powo.science.kew.org/taxon/urn:lsid:ipni.org:names:30000204-2/general-information</x:v>
      </x:c>
      <x:c r="W651"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51" s="215" t="str">
        <x:v>No — retain qualifiers and exceptions</x:v>
      </x:c>
      <x:c r="Y651" s="215" t="str">
        <x:v>Yes</x:v>
      </x:c>
      <x:c r="Z651" s="215" t="str">
        <x:v>Source-backed draft</x:v>
      </x:c>
      <x:c r="AA651" s="215" t="str">
        <x:v>Family pattern</x:v>
      </x:c>
      <x:c r="AB651" s="215" t="str">
        <x:v>Positive diagnostic</x:v>
      </x:c>
      <x:c r="AC651" s="215" t="str">
        <x:v>High</x:v>
      </x:c>
      <x:c r="AD651" s="215" t="str">
        <x:v>Hand lens / macro</x:v>
      </x:c>
      <x:c r="AE651" s="215" t="str">
        <x:v>Low</x:v>
      </x:c>
      <x:c r="AF651" s="215" t="str">
        <x:v>Field-ready draft</x:v>
      </x:c>
      <x:c r="AG651" s="215" t="str">
        <x:v>2 — Field-photo priority</x:v>
      </x:c>
      <x:c r="AH651" s="215" t="str">
        <x:v>Current master inventory</x:v>
      </x:c>
    </x:row>
    <x:row r="652" ht="42" customHeight="1">
      <x:c r="A652" s="215" t="str">
        <x:v>Bignoniaceae</x:v>
      </x:c>
      <x:c r="B652" s="215" t="str">
        <x:v>BIG-OVARY</x:v>
      </x:c>
      <x:c r="C652" s="215" t="str">
        <x:v>Family character</x:v>
      </x:c>
      <x:c r="D652" s="215" t="str">
        <x:v>Gynoecium / disc</x:v>
      </x:c>
      <x:c r="E652" s="215" t="str">
        <x:v>Ovary superior, usually 2-locular with many ovules, commonly surrounded by a nectar disc</x:v>
      </x:c>
      <x:c r="F652" s="215" t="str">
        <x:v>Strong</x:v>
      </x:c>
      <x:c r="G652" s="215" t="str">
        <x:v>4</x:v>
      </x:c>
      <x:c r="H652" s="215" t="str">
        <x:v>High</x:v>
      </x:c>
      <x:c r="I652" s="215" t="str">
        <x:v>Hand lens or dissection</x:v>
      </x:c>
      <x:c r="J652" s="215" t="str">
        <x:v>Fresh flowers</x:v>
      </x:c>
      <x:c r="K652" s="215" t="str">
        <x:v>The fruit begins above the other floral parts and contains many developing seeds.</x:v>
      </x:c>
      <x:c r="L652" s="215" t="str">
        <x:v>Locule number and disc visibility vary.</x:v>
      </x:c>
      <x:c r="M652" s="215" t="str">
        <x:v>Use with fruit and seed architecture.</x:v>
      </x:c>
      <x:c r="N652" s="215" t="str">
        <x:v>Crossvine, trumpet-creeper relatives, catalpa-type trees, and other trumpet-flowered woody plants make this family practical in Central Texas.</x:v>
      </x:c>
      <x:c r="O652" s="215" t="str">
        <x:v>Low</x:v>
      </x:c>
      <x:c r="P652" s="215" t="str">
        <x:v>No</x:v>
      </x:c>
      <x:c r="Q652" s="215" t="str"/>
      <x:c r="R652" s="215" t="str"/>
      <x:c r="S652" s="215" t="str">
        <x:v>APWEB-BIGN; POWO-BIGN; LBJ-HAYS</x:v>
      </x:c>
      <x:c r="T652" s="215" t="str">
        <x:v>https://www.mobot.org/MOBOT/research/APweb/orders/lamialesweb.htm</x:v>
      </x:c>
      <x:c r="U652" s="215" t="str">
        <x:v>https://powo.science.kew.org/taxon/urn:lsid:ipni.org:names:30000204-2/general-information</x:v>
      </x:c>
      <x:c r="V652" s="215" t="str">
        <x:v>https://powo.science.kew.org/taxon/urn:lsid:ipni.org:names:30000204-2/general-information</x:v>
      </x:c>
      <x:c r="W652"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52" s="215" t="str">
        <x:v>No — retain qualifiers and exceptions</x:v>
      </x:c>
      <x:c r="Y652" s="215" t="str">
        <x:v>Yes</x:v>
      </x:c>
      <x:c r="Z652" s="215" t="str">
        <x:v>Source-backed draft</x:v>
      </x:c>
      <x:c r="AA652" s="215" t="str">
        <x:v>Family pattern</x:v>
      </x:c>
      <x:c r="AB652" s="215" t="str">
        <x:v>Positive diagnostic</x:v>
      </x:c>
      <x:c r="AC652" s="215" t="str">
        <x:v>High</x:v>
      </x:c>
      <x:c r="AD652" s="215" t="str">
        <x:v>Dissection</x:v>
      </x:c>
      <x:c r="AE652" s="215" t="str">
        <x:v>Low</x:v>
      </x:c>
      <x:c r="AF652" s="215" t="str">
        <x:v>Dissection / close study</x:v>
      </x:c>
      <x:c r="AG652" s="215" t="str">
        <x:v>3 — Reference support</x:v>
      </x:c>
      <x:c r="AH652" s="215" t="str">
        <x:v>Current master inventory</x:v>
      </x:c>
    </x:row>
    <x:row r="653" ht="42" customHeight="1">
      <x:c r="A653" s="215" t="str">
        <x:v>Bignoniaceae</x:v>
      </x:c>
      <x:c r="B653" s="215" t="str">
        <x:v>BIG-STIGMA</x:v>
      </x:c>
      <x:c r="C653" s="215" t="str">
        <x:v>Family character</x:v>
      </x:c>
      <x:c r="D653" s="215" t="str">
        <x:v>Gynoecium</x:v>
      </x:c>
      <x:c r="E653" s="215" t="str">
        <x:v>Stigma commonly 2-lobed and sometimes touch-sensitive</x:v>
      </x:c>
      <x:c r="F653" s="215" t="str">
        <x:v>Supporting</x:v>
      </x:c>
      <x:c r="G653" s="215" t="str">
        <x:v>2</x:v>
      </x:c>
      <x:c r="H653" s="215" t="str">
        <x:v>High</x:v>
      </x:c>
      <x:c r="I653" s="215" t="str">
        <x:v>Hand lens</x:v>
      </x:c>
      <x:c r="J653" s="215" t="str">
        <x:v>Fresh open flowers</x:v>
      </x:c>
      <x:c r="K653" s="215" t="str">
        <x:v>The two stigma lobes may close after contact.</x:v>
      </x:c>
      <x:c r="L653" s="215" t="str">
        <x:v>Sensitivity is not universal and should not be tested repeatedly.</x:v>
      </x:c>
      <x:c r="M653" s="215" t="str">
        <x:v>Use only as supporting observation.</x:v>
      </x:c>
      <x:c r="N653" s="215" t="str">
        <x:v>Crossvine, trumpet-creeper relatives, catalpa-type trees, and other trumpet-flowered woody plants make this family practical in Central Texas.</x:v>
      </x:c>
      <x:c r="O653" s="215" t="str">
        <x:v>Low</x:v>
      </x:c>
      <x:c r="P653" s="215" t="str">
        <x:v>No</x:v>
      </x:c>
      <x:c r="Q653" s="215" t="str"/>
      <x:c r="R653" s="215" t="str"/>
      <x:c r="S653" s="215" t="str">
        <x:v>APWEB-BIGN; POWO-BIGN; LBJ-HAYS</x:v>
      </x:c>
      <x:c r="T653" s="215" t="str">
        <x:v>https://www.mobot.org/MOBOT/research/APweb/orders/lamialesweb.htm</x:v>
      </x:c>
      <x:c r="U653" s="215" t="str">
        <x:v>https://powo.science.kew.org/taxon/urn:lsid:ipni.org:names:30000204-2/general-information</x:v>
      </x:c>
      <x:c r="V653" s="215" t="str">
        <x:v>https://powo.science.kew.org/taxon/urn:lsid:ipni.org:names:30000204-2/general-information</x:v>
      </x:c>
      <x:c r="W653"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53" s="215" t="str">
        <x:v>No — retain qualifiers and exceptions</x:v>
      </x:c>
      <x:c r="Y653" s="215" t="str">
        <x:v>Yes</x:v>
      </x:c>
      <x:c r="Z653" s="215" t="str">
        <x:v>Source-backed draft</x:v>
      </x:c>
      <x:c r="AA653" s="215" t="str">
        <x:v>Family pattern</x:v>
      </x:c>
      <x:c r="AB653" s="215" t="str">
        <x:v>Supporting / route</x:v>
      </x:c>
      <x:c r="AC653" s="215" t="str">
        <x:v>High</x:v>
      </x:c>
      <x:c r="AD653" s="215" t="str">
        <x:v>Hand lens / macro</x:v>
      </x:c>
      <x:c r="AE653" s="215" t="str">
        <x:v>Low</x:v>
      </x:c>
      <x:c r="AF653" s="215" t="str">
        <x:v>Field-ready draft</x:v>
      </x:c>
      <x:c r="AG653" s="215" t="str">
        <x:v>4 — Context / caution</x:v>
      </x:c>
      <x:c r="AH653" s="215" t="str">
        <x:v>Current master inventory</x:v>
      </x:c>
    </x:row>
    <x:row r="654" ht="42" customHeight="1">
      <x:c r="A654" s="215" t="str">
        <x:v>Bignoniaceae</x:v>
      </x:c>
      <x:c r="B654" s="215" t="str">
        <x:v>BIG-FRUIT</x:v>
      </x:c>
      <x:c r="C654" s="215" t="str">
        <x:v>Family character</x:v>
      </x:c>
      <x:c r="D654" s="215" t="str">
        <x:v>Fruit</x:v>
      </x:c>
      <x:c r="E654" s="215" t="str">
        <x:v>Fruit usually an elongated or flattened 2-valved capsule</x:v>
      </x:c>
      <x:c r="F654" s="215" t="str">
        <x:v>Strong</x:v>
      </x:c>
      <x:c r="G654" s="215" t="str">
        <x:v>5</x:v>
      </x:c>
      <x:c r="H654" s="215" t="str">
        <x:v>High</x:v>
      </x:c>
      <x:c r="I654" s="215" t="str">
        <x:v>Naked eye or hand lens</x:v>
      </x:c>
      <x:c r="J654" s="215" t="str">
        <x:v>Mature fruit</x:v>
      </x:c>
      <x:c r="K654" s="215" t="str">
        <x:v>Mature fruits often resemble long pods but split to expose many seeds.</x:v>
      </x:c>
      <x:c r="L654" s="215" t="str">
        <x:v>A few tropical lineages have fleshy indehiscent fruits.</x:v>
      </x:c>
      <x:c r="M654" s="215" t="str">
        <x:v>In Hays material, verify capsule valves before calling it a legume.</x:v>
      </x:c>
      <x:c r="N654" s="215" t="str">
        <x:v>Crossvine, trumpet-creeper relatives, catalpa-type trees, and other trumpet-flowered woody plants make this family practical in Central Texas.</x:v>
      </x:c>
      <x:c r="O654" s="215" t="str">
        <x:v>Low</x:v>
      </x:c>
      <x:c r="P654" s="215" t="str">
        <x:v>No</x:v>
      </x:c>
      <x:c r="Q654" s="215" t="str"/>
      <x:c r="R654" s="215" t="str">
        <x:v>BIG-LK01; BIG-LK02</x:v>
      </x:c>
      <x:c r="S654" s="215" t="str">
        <x:v>APWEB-BIGN; POWO-BIGN; LBJ-HAYS</x:v>
      </x:c>
      <x:c r="T654" s="215" t="str">
        <x:v>https://www.mobot.org/MOBOT/research/APweb/orders/lamialesweb.htm</x:v>
      </x:c>
      <x:c r="U654" s="215" t="str">
        <x:v>https://powo.science.kew.org/taxon/urn:lsid:ipni.org:names:30000204-2/general-information</x:v>
      </x:c>
      <x:c r="V654" s="215" t="str">
        <x:v>https://powo.science.kew.org/taxon/urn:lsid:ipni.org:names:30000204-2/general-information</x:v>
      </x:c>
      <x:c r="W654"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54" s="215" t="str">
        <x:v>No — retain qualifiers and exceptions</x:v>
      </x:c>
      <x:c r="Y654" s="215" t="str">
        <x:v>Yes</x:v>
      </x:c>
      <x:c r="Z654" s="215" t="str">
        <x:v>Source-backed draft</x:v>
      </x:c>
      <x:c r="AA654" s="215" t="str">
        <x:v>Family pattern</x:v>
      </x:c>
      <x:c r="AB654" s="215" t="str">
        <x:v>Positive diagnostic</x:v>
      </x:c>
      <x:c r="AC654" s="215" t="str">
        <x:v>High</x:v>
      </x:c>
      <x:c r="AD654" s="215" t="str">
        <x:v>Hand lens / macro</x:v>
      </x:c>
      <x:c r="AE654" s="215" t="str">
        <x:v>Low</x:v>
      </x:c>
      <x:c r="AF654" s="215" t="str">
        <x:v>Field-ready draft</x:v>
      </x:c>
      <x:c r="AG654" s="215" t="str">
        <x:v>2 — Field-photo priority</x:v>
      </x:c>
      <x:c r="AH654" s="215" t="str">
        <x:v>Current master inventory</x:v>
      </x:c>
    </x:row>
    <x:row r="655" ht="42" customHeight="1">
      <x:c r="A655" s="215" t="str">
        <x:v>Bignoniaceae</x:v>
      </x:c>
      <x:c r="B655" s="215" t="str">
        <x:v>BIG-SEEDS</x:v>
      </x:c>
      <x:c r="C655" s="215" t="str">
        <x:v>Family character</x:v>
      </x:c>
      <x:c r="D655" s="215" t="str">
        <x:v>Seeds</x:v>
      </x:c>
      <x:c r="E655" s="215" t="str">
        <x:v>Seeds usually numerous, flat, and broadly winged</x:v>
      </x:c>
      <x:c r="F655" s="215" t="str">
        <x:v>Strong</x:v>
      </x:c>
      <x:c r="G655" s="215" t="str">
        <x:v>5</x:v>
      </x:c>
      <x:c r="H655" s="215" t="str">
        <x:v>High</x:v>
      </x:c>
      <x:c r="I655" s="215" t="str">
        <x:v>Naked eye or hand lens</x:v>
      </x:c>
      <x:c r="J655" s="215" t="str">
        <x:v>Mature open capsules</x:v>
      </x:c>
      <x:c r="K655" s="215" t="str">
        <x:v>Opening capsules release papery winged seeds adapted to wind dispersal.</x:v>
      </x:c>
      <x:c r="L655" s="215" t="str">
        <x:v>Seeds are unwinged in fleshy-fruited exceptions.</x:v>
      </x:c>
      <x:c r="M655" s="215" t="str">
        <x:v>Use with a 2-valved capsule for strong confirmation.</x:v>
      </x:c>
      <x:c r="N655" s="215" t="str">
        <x:v>Crossvine, trumpet-creeper relatives, catalpa-type trees, and other trumpet-flowered woody plants make this family practical in Central Texas.</x:v>
      </x:c>
      <x:c r="O655" s="215" t="str">
        <x:v>Low</x:v>
      </x:c>
      <x:c r="P655" s="215" t="str">
        <x:v>No</x:v>
      </x:c>
      <x:c r="Q655" s="215" t="str"/>
      <x:c r="R655" s="215" t="str"/>
      <x:c r="S655" s="215" t="str">
        <x:v>APWEB-BIGN; POWO-BIGN; LBJ-HAYS</x:v>
      </x:c>
      <x:c r="T655" s="215" t="str">
        <x:v>https://www.mobot.org/MOBOT/research/APweb/orders/lamialesweb.htm</x:v>
      </x:c>
      <x:c r="U655" s="215" t="str">
        <x:v>https://powo.science.kew.org/taxon/urn:lsid:ipni.org:names:30000204-2/general-information</x:v>
      </x:c>
      <x:c r="V655" s="215" t="str">
        <x:v>https://powo.science.kew.org/taxon/urn:lsid:ipni.org:names:30000204-2/general-information</x:v>
      </x:c>
      <x:c r="W655"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55" s="215" t="str">
        <x:v>No — retain qualifiers and exceptions</x:v>
      </x:c>
      <x:c r="Y655" s="215" t="str">
        <x:v>Yes</x:v>
      </x:c>
      <x:c r="Z655" s="215" t="str">
        <x:v>Source-backed draft</x:v>
      </x:c>
      <x:c r="AA655" s="215" t="str">
        <x:v>Family pattern</x:v>
      </x:c>
      <x:c r="AB655" s="215" t="str">
        <x:v>Positive diagnostic</x:v>
      </x:c>
      <x:c r="AC655" s="215" t="str">
        <x:v>High</x:v>
      </x:c>
      <x:c r="AD655" s="215" t="str">
        <x:v>Hand lens / macro</x:v>
      </x:c>
      <x:c r="AE655" s="215" t="str">
        <x:v>Low</x:v>
      </x:c>
      <x:c r="AF655" s="215" t="str">
        <x:v>Field-ready draft</x:v>
      </x:c>
      <x:c r="AG655" s="215" t="str">
        <x:v>2 — Field-photo priority</x:v>
      </x:c>
      <x:c r="AH655" s="215" t="str">
        <x:v>Current master inventory</x:v>
      </x:c>
    </x:row>
    <x:row r="656" ht="42" customHeight="1">
      <x:c r="A656" s="215" t="str">
        <x:v>Bignoniaceae</x:v>
      </x:c>
      <x:c r="B656" s="215" t="str">
        <x:v>BIG-LK01</x:v>
      </x:c>
      <x:c r="C656" s="215" t="str">
        <x:v>Lookalike comparison</x:v>
      </x:c>
      <x:c r="D656" s="215" t="str">
        <x:v>Lookalike</x:v>
      </x:c>
      <x:c r="E656" s="215" t="str">
        <x:v>Versus Lamiaceae: woody habit, compound leaves, and a many-seeded capsule favor Bignoniaceae; aromatic square stems and four nutlets favor many Lamiaceae</x:v>
      </x:c>
      <x:c r="F656" s="215" t="str">
        <x:v>Lookalike</x:v>
      </x:c>
      <x:c r="G656" s="215" t="str">
        <x:v>5</x:v>
      </x:c>
      <x:c r="H656" s="215" t="str">
        <x:v>High</x:v>
      </x:c>
      <x:c r="I656" s="215" t="str">
        <x:v>Naked eye or hand lens</x:v>
      </x:c>
      <x:c r="J656" s="215" t="str">
        <x:v>Flowers or mature fruit</x:v>
      </x:c>
      <x:c r="K656" s="215" t="str">
        <x:v>Both can have opposite leaves and bilabiate corollas with four stamens.</x:v>
      </x:c>
      <x:c r="L656" s="215" t="str">
        <x:v>Woody Lamiaceae and simple-leaved Bignoniaceae require fruit evidence.</x:v>
      </x:c>
      <x:c r="M656" s="215" t="str">
        <x:v>Use mature fruit and seed number.</x:v>
      </x:c>
      <x:c r="N656" s="215" t="str">
        <x:v>Crossvine, trumpet-creeper relatives, catalpa-type trees, and other trumpet-flowered woody plants make this family practical in Central Texas.</x:v>
      </x:c>
      <x:c r="O656" s="215" t="str">
        <x:v>Low</x:v>
      </x:c>
      <x:c r="P656" s="215" t="str">
        <x:v>No</x:v>
      </x:c>
      <x:c r="Q656" s="215" t="str"/>
      <x:c r="R656" s="215" t="str">
        <x:v>BIG-LEAVES; BIG-STAMENS; BIG-FRUIT</x:v>
      </x:c>
      <x:c r="S656" s="215" t="str">
        <x:v>APWEB-BIGN; POWO-BIGN; LBJ-HAYS</x:v>
      </x:c>
      <x:c r="T656" s="215" t="str">
        <x:v>https://www.mobot.org/MOBOT/research/APweb/orders/lamialesweb.htm</x:v>
      </x:c>
      <x:c r="U656" s="215" t="str">
        <x:v>https://powo.science.kew.org/taxon/urn:lsid:ipni.org:names:30000204-2/general-information</x:v>
      </x:c>
      <x:c r="V656" s="215" t="str">
        <x:v>https://powo.science.kew.org/taxon/urn:lsid:ipni.org:names:30000204-2/general-information</x:v>
      </x:c>
      <x:c r="W656"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56" s="215" t="str">
        <x:v>No — retain qualifiers and exceptions</x:v>
      </x:c>
      <x:c r="Y656" s="215" t="str">
        <x:v>Yes</x:v>
      </x:c>
      <x:c r="Z656" s="215" t="str">
        <x:v>Source-backed draft</x:v>
      </x:c>
      <x:c r="AA656" s="215" t="str">
        <x:v>Lookalike comparison</x:v>
      </x:c>
      <x:c r="AB656" s="215" t="str">
        <x:v>Contrast / lookalike</x:v>
      </x:c>
      <x:c r="AC656" s="215" t="str">
        <x:v>High</x:v>
      </x:c>
      <x:c r="AD656" s="215" t="str">
        <x:v>Hand lens / macro</x:v>
      </x:c>
      <x:c r="AE656" s="215" t="str">
        <x:v>Low</x:v>
      </x:c>
      <x:c r="AF656" s="215" t="str">
        <x:v>Field-ready draft</x:v>
      </x:c>
      <x:c r="AG656" s="215" t="str">
        <x:v>2 — Field-photo priority</x:v>
      </x:c>
      <x:c r="AH656" s="215" t="str">
        <x:v>Current master inventory</x:v>
      </x:c>
    </x:row>
    <x:row r="657" ht="42" customHeight="1">
      <x:c r="A657" s="215" t="str">
        <x:v>Bignoniaceae</x:v>
      </x:c>
      <x:c r="B657" s="215" t="str">
        <x:v>BIG-LK02</x:v>
      </x:c>
      <x:c r="C657" s="215" t="str">
        <x:v>Lookalike comparison</x:v>
      </x:c>
      <x:c r="D657" s="215" t="str">
        <x:v>Lookalike</x:v>
      </x:c>
      <x:c r="E657" s="215" t="str">
        <x:v>Versus Apocynaceae: four didynamous stamens and a wing-seeded capsule favor Bignoniaceae; five stamens, latex, and paired follicles favor many Apocynaceae</x:v>
      </x:c>
      <x:c r="F657" s="215" t="str">
        <x:v>Lookalike</x:v>
      </x:c>
      <x:c r="G657" s="215" t="str">
        <x:v>5</x:v>
      </x:c>
      <x:c r="H657" s="215" t="str">
        <x:v>High</x:v>
      </x:c>
      <x:c r="I657" s="215" t="str">
        <x:v>Naked eye or hand lens</x:v>
      </x:c>
      <x:c r="J657" s="215" t="str">
        <x:v>Fresh flowers or mature fruit</x:v>
      </x:c>
      <x:c r="K657" s="215" t="str">
        <x:v>Both can be woody vines with large tubular flowers.</x:v>
      </x:c>
      <x:c r="L657" s="215" t="str">
        <x:v>Apocynaceae fruits and latex vary, and not all Bignoniaceae seeds are available.</x:v>
      </x:c>
      <x:c r="M657" s="215" t="str">
        <x:v>Count stamens and examine mature fruit.</x:v>
      </x:c>
      <x:c r="N657" s="215" t="str">
        <x:v>Crossvine, trumpet-creeper relatives, catalpa-type trees, and other trumpet-flowered woody plants make this family practical in Central Texas.</x:v>
      </x:c>
      <x:c r="O657" s="215" t="str">
        <x:v>Low</x:v>
      </x:c>
      <x:c r="P657" s="215" t="str">
        <x:v>No</x:v>
      </x:c>
      <x:c r="Q657" s="215" t="str"/>
      <x:c r="R657" s="215" t="str">
        <x:v>BIG-COROLLA; BIG-STAMENS; BIG-FRUIT; BIG-SEEDS</x:v>
      </x:c>
      <x:c r="S657" s="215" t="str">
        <x:v>APWEB-BIGN; POWO-BIGN; LBJ-HAYS</x:v>
      </x:c>
      <x:c r="T657" s="215" t="str">
        <x:v>https://www.mobot.org/MOBOT/research/APweb/orders/lamialesweb.htm</x:v>
      </x:c>
      <x:c r="U657" s="215" t="str">
        <x:v>https://powo.science.kew.org/taxon/urn:lsid:ipni.org:names:30000204-2/general-information</x:v>
      </x:c>
      <x:c r="V657" s="215" t="str">
        <x:v>https://powo.science.kew.org/taxon/urn:lsid:ipni.org:names:30000204-2/general-information</x:v>
      </x:c>
      <x:c r="W657" s="215" t="str">
        <x:v>https://www.mobot.org/MOBOT/research/APweb/orders/lamialesweb.htm
https://powo.science.kew.org/taxon/urn:lsid:ipni.org:names:30000204-2/general-information
https://powo.science.kew.org/taxon/urn:lsid:ipni.org:names:30000204-2/general-information
https://www.wildflower.org/collections/collection.php?collection=hays</x:v>
      </x:c>
      <x:c r="X657" s="215" t="str">
        <x:v>No — retain qualifiers and exceptions</x:v>
      </x:c>
      <x:c r="Y657" s="215" t="str">
        <x:v>Yes</x:v>
      </x:c>
      <x:c r="Z657" s="215" t="str">
        <x:v>Source-backed draft</x:v>
      </x:c>
      <x:c r="AA657" s="215" t="str">
        <x:v>Lookalike comparison</x:v>
      </x:c>
      <x:c r="AB657" s="215" t="str">
        <x:v>Contrast / lookalike</x:v>
      </x:c>
      <x:c r="AC657" s="215" t="str">
        <x:v>High</x:v>
      </x:c>
      <x:c r="AD657" s="215" t="str">
        <x:v>Hand lens / macro</x:v>
      </x:c>
      <x:c r="AE657" s="215" t="str">
        <x:v>Low</x:v>
      </x:c>
      <x:c r="AF657" s="215" t="str">
        <x:v>Field-ready draft</x:v>
      </x:c>
      <x:c r="AG657" s="215" t="str">
        <x:v>2 — Field-photo priority</x:v>
      </x:c>
      <x:c r="AH657" s="215" t="str">
        <x:v>Current master inventory</x:v>
      </x:c>
    </x:row>
    <x:row r="658" ht="42" customHeight="1">
      <x:c r="A658" s="215" t="str">
        <x:v>Violaceae</x:v>
      </x:c>
      <x:c r="B658" s="215" t="str">
        <x:v>VIO-HABIT</x:v>
      </x:c>
      <x:c r="C658" s="215" t="str">
        <x:v>Regional family character</x:v>
      </x:c>
      <x:c r="D658" s="215" t="str">
        <x:v>Habit</x:v>
      </x:c>
      <x:c r="E658" s="215" t="str">
        <x:v>Annual or perennial herbs, less often shrubs or woody plants</x:v>
      </x:c>
      <x:c r="F658" s="215" t="str">
        <x:v>Strong</x:v>
      </x:c>
      <x:c r="G658" s="215" t="str">
        <x:v>2</x:v>
      </x:c>
      <x:c r="H658" s="215" t="str">
        <x:v>High</x:v>
      </x:c>
      <x:c r="I658" s="215" t="str">
        <x:v>Naked eye or hand lens</x:v>
      </x:c>
      <x:c r="J658" s="215" t="str">
        <x:v>Any active growth</x:v>
      </x:c>
      <x:c r="K658" s="215" t="str">
        <x:v>Local violets are usually low herbs.</x:v>
      </x:c>
      <x:c r="L658" s="215" t="str">
        <x:v>The global family includes woody forms.</x:v>
      </x:c>
      <x:c r="M658" s="215" t="str">
        <x:v>Use habit only within the regional flora.</x:v>
      </x:c>
      <x:c r="N658" s="215" t="str">
        <x:v>Native violets occur in Central Texas lawns, seeps, woodland openings, and shaded soils, often with flowers and fruit at different times.</x:v>
      </x:c>
      <x:c r="O658" s="215" t="str">
        <x:v>Low</x:v>
      </x:c>
      <x:c r="P658" s="215" t="str">
        <x:v>No</x:v>
      </x:c>
      <x:c r="Q658" s="215" t="str"/>
      <x:c r="R658" s="215" t="str"/>
      <x:c r="S658" s="215" t="str">
        <x:v>APWEB-VIOL; FNA-VIOL; POWO-VIOL; LBJ-HAYS</x:v>
      </x:c>
      <x:c r="T658" s="215" t="str">
        <x:v>https://www.mobot.org/MOBOT/research/APweb/orders/malpighialesweb.htm</x:v>
      </x:c>
      <x:c r="U658" s="215" t="str">
        <x:v>https://floranorthamerica.org/Violaceae</x:v>
      </x:c>
      <x:c r="V658" s="215" t="str">
        <x:v>https://powo.science.kew.org/taxon/urn:lsid:ipni.org:names:30000541-2/general-information</x:v>
      </x:c>
      <x:c r="W658" s="215" t="str">
        <x:v>https://www.mobot.org/MOBOT/research/APweb/orders/malpighialesweb.htm
https://floranorthamerica.org/Violaceae
https://powo.science.kew.org/taxon/urn:lsid:ipni.org:names:30000541-2/general-information
https://www.wildflower.org/collections/collection.php?collection=hays</x:v>
      </x:c>
      <x:c r="X658" s="215" t="str">
        <x:v>No — retain qualifiers and exceptions</x:v>
      </x:c>
      <x:c r="Y658" s="215" t="str">
        <x:v>Yes</x:v>
      </x:c>
      <x:c r="Z658" s="215" t="str">
        <x:v>Source-backed draft</x:v>
      </x:c>
      <x:c r="AA658" s="215" t="str">
        <x:v>Family pattern</x:v>
      </x:c>
      <x:c r="AB658" s="215" t="str">
        <x:v>Positive diagnostic</x:v>
      </x:c>
      <x:c r="AC658" s="215" t="str">
        <x:v>High</x:v>
      </x:c>
      <x:c r="AD658" s="215" t="str">
        <x:v>Hand lens / macro</x:v>
      </x:c>
      <x:c r="AE658" s="215" t="str">
        <x:v>Low</x:v>
      </x:c>
      <x:c r="AF658" s="215" t="str">
        <x:v>Field-ready draft</x:v>
      </x:c>
      <x:c r="AG658" s="215" t="str">
        <x:v>4 — Context / caution</x:v>
      </x:c>
      <x:c r="AH658" s="215" t="str">
        <x:v>Current master inventory</x:v>
      </x:c>
    </x:row>
    <x:row r="659" ht="42" customHeight="1">
      <x:c r="A659" s="215" t="str">
        <x:v>Violaceae</x:v>
      </x:c>
      <x:c r="B659" s="215" t="str">
        <x:v>VIO-LEAVES</x:v>
      </x:c>
      <x:c r="C659" s="215" t="str">
        <x:v>Family character</x:v>
      </x:c>
      <x:c r="D659" s="215" t="str">
        <x:v>Leaves / stipules</x:v>
      </x:c>
      <x:c r="E659" s="215" t="str">
        <x:v>Leaves simple, alternate or basal, usually stipulate; blades entire, toothed, or divided</x:v>
      </x:c>
      <x:c r="F659" s="215" t="str">
        <x:v>Strong</x:v>
      </x:c>
      <x:c r="G659" s="215" t="str">
        <x:v>3</x:v>
      </x:c>
      <x:c r="H659" s="215" t="str">
        <x:v>High</x:v>
      </x:c>
      <x:c r="I659" s="215" t="str">
        <x:v>Naked eye or hand lens</x:v>
      </x:c>
      <x:c r="J659" s="215" t="str">
        <x:v>Leafy shoots</x:v>
      </x:c>
      <x:c r="K659" s="215" t="str">
        <x:v>Violets often form basal rosettes or alternate leafy stems with obvious stipules.</x:v>
      </x:c>
      <x:c r="L659" s="215" t="str">
        <x:v>Leaf form is highly variable and sterile rosettes overlap other herbs.</x:v>
      </x:c>
      <x:c r="M659" s="215" t="str">
        <x:v>Confirm with flower or capsule.</x:v>
      </x:c>
      <x:c r="N659" s="215" t="str">
        <x:v>Native violets occur in Central Texas lawns, seeps, woodland openings, and shaded soils, often with flowers and fruit at different times.</x:v>
      </x:c>
      <x:c r="O659" s="215" t="str">
        <x:v>Low</x:v>
      </x:c>
      <x:c r="P659" s="215" t="str">
        <x:v>No</x:v>
      </x:c>
      <x:c r="Q659" s="215" t="str"/>
      <x:c r="R659" s="215" t="str"/>
      <x:c r="S659" s="215" t="str">
        <x:v>APWEB-VIOL; FNA-VIOL; POWO-VIOL; LBJ-HAYS</x:v>
      </x:c>
      <x:c r="T659" s="215" t="str">
        <x:v>https://www.mobot.org/MOBOT/research/APweb/orders/malpighialesweb.htm</x:v>
      </x:c>
      <x:c r="U659" s="215" t="str">
        <x:v>https://floranorthamerica.org/Violaceae</x:v>
      </x:c>
      <x:c r="V659" s="215" t="str">
        <x:v>https://powo.science.kew.org/taxon/urn:lsid:ipni.org:names:30000541-2/general-information</x:v>
      </x:c>
      <x:c r="W659" s="215" t="str">
        <x:v>https://www.mobot.org/MOBOT/research/APweb/orders/malpighialesweb.htm
https://floranorthamerica.org/Violaceae
https://powo.science.kew.org/taxon/urn:lsid:ipni.org:names:30000541-2/general-information
https://www.wildflower.org/collections/collection.php?collection=hays</x:v>
      </x:c>
      <x:c r="X659" s="215" t="str">
        <x:v>No — retain qualifiers and exceptions</x:v>
      </x:c>
      <x:c r="Y659" s="215" t="str">
        <x:v>Yes</x:v>
      </x:c>
      <x:c r="Z659" s="215" t="str">
        <x:v>Source-backed draft</x:v>
      </x:c>
      <x:c r="AA659" s="215" t="str">
        <x:v>Family pattern</x:v>
      </x:c>
      <x:c r="AB659" s="215" t="str">
        <x:v>Positive diagnostic</x:v>
      </x:c>
      <x:c r="AC659" s="215" t="str">
        <x:v>High</x:v>
      </x:c>
      <x:c r="AD659" s="215" t="str">
        <x:v>Hand lens / macro</x:v>
      </x:c>
      <x:c r="AE659" s="215" t="str">
        <x:v>Low</x:v>
      </x:c>
      <x:c r="AF659" s="215" t="str">
        <x:v>Field-ready draft</x:v>
      </x:c>
      <x:c r="AG659" s="215" t="str">
        <x:v>3 — Reference support</x:v>
      </x:c>
      <x:c r="AH659" s="215" t="str">
        <x:v>Current master inventory</x:v>
      </x:c>
    </x:row>
    <x:row r="660" ht="42" customHeight="1">
      <x:c r="A660" s="215" t="str">
        <x:v>Violaceae</x:v>
      </x:c>
      <x:c r="B660" s="215" t="str">
        <x:v>VIO-FLOWER</x:v>
      </x:c>
      <x:c r="C660" s="215" t="str">
        <x:v>Family character</x:v>
      </x:c>
      <x:c r="D660" s="215" t="str">
        <x:v>Flowers</x:v>
      </x:c>
      <x:c r="E660" s="215" t="str">
        <x:v>Flowers usually bisexual and bilaterally symmetric with 5 sepals and 5 unequal petals</x:v>
      </x:c>
      <x:c r="F660" s="215" t="str">
        <x:v>Strong</x:v>
      </x:c>
      <x:c r="G660" s="215" t="str">
        <x:v>5</x:v>
      </x:c>
      <x:c r="H660" s="215" t="str">
        <x:v>High</x:v>
      </x:c>
      <x:c r="I660" s="215" t="str">
        <x:v>Naked eye or hand lens</x:v>
      </x:c>
      <x:c r="J660" s="215" t="str">
        <x:v>Fresh showy flowers</x:v>
      </x:c>
      <x:c r="K660" s="215" t="str">
        <x:v>The flower has a clear top and bottom rather than radial symmetry.</x:v>
      </x:c>
      <x:c r="L660" s="215" t="str">
        <x:v>Small cleistogamous flowers look very different.</x:v>
      </x:c>
      <x:c r="M660" s="215" t="str">
        <x:v>Apply to showy chasmogamous flowers only.</x:v>
      </x:c>
      <x:c r="N660" s="215" t="str">
        <x:v>Native violets occur in Central Texas lawns, seeps, woodland openings, and shaded soils, often with flowers and fruit at different times.</x:v>
      </x:c>
      <x:c r="O660" s="215" t="str">
        <x:v>Low</x:v>
      </x:c>
      <x:c r="P660" s="215" t="str">
        <x:v>No</x:v>
      </x:c>
      <x:c r="Q660" s="215" t="str"/>
      <x:c r="R660" s="215" t="str">
        <x:v>VIO-LK01; VIO-LK02</x:v>
      </x:c>
      <x:c r="S660" s="215" t="str">
        <x:v>APWEB-VIOL; FNA-VIOL; POWO-VIOL; LBJ-HAYS</x:v>
      </x:c>
      <x:c r="T660" s="215" t="str">
        <x:v>https://www.mobot.org/MOBOT/research/APweb/orders/malpighialesweb.htm</x:v>
      </x:c>
      <x:c r="U660" s="215" t="str">
        <x:v>https://floranorthamerica.org/Violaceae</x:v>
      </x:c>
      <x:c r="V660" s="215" t="str">
        <x:v>https://powo.science.kew.org/taxon/urn:lsid:ipni.org:names:30000541-2/general-information</x:v>
      </x:c>
      <x:c r="W660" s="215" t="str">
        <x:v>https://www.mobot.org/MOBOT/research/APweb/orders/malpighialesweb.htm
https://floranorthamerica.org/Violaceae
https://powo.science.kew.org/taxon/urn:lsid:ipni.org:names:30000541-2/general-information
https://www.wildflower.org/collections/collection.php?collection=hays</x:v>
      </x:c>
      <x:c r="X660" s="215" t="str">
        <x:v>No — retain qualifiers and exceptions</x:v>
      </x:c>
      <x:c r="Y660" s="215" t="str">
        <x:v>Yes</x:v>
      </x:c>
      <x:c r="Z660" s="215" t="str">
        <x:v>Source-backed draft</x:v>
      </x:c>
      <x:c r="AA660" s="215" t="str">
        <x:v>Family pattern</x:v>
      </x:c>
      <x:c r="AB660" s="215" t="str">
        <x:v>Positive diagnostic</x:v>
      </x:c>
      <x:c r="AC660" s="215" t="str">
        <x:v>High</x:v>
      </x:c>
      <x:c r="AD660" s="215" t="str">
        <x:v>Hand lens / macro</x:v>
      </x:c>
      <x:c r="AE660" s="215" t="str">
        <x:v>Low</x:v>
      </x:c>
      <x:c r="AF660" s="215" t="str">
        <x:v>Field-ready draft</x:v>
      </x:c>
      <x:c r="AG660" s="215" t="str">
        <x:v>2 — Field-photo priority</x:v>
      </x:c>
      <x:c r="AH660" s="215" t="str">
        <x:v>Current master inventory</x:v>
      </x:c>
    </x:row>
    <x:row r="661" ht="42" customHeight="1">
      <x:c r="A661" s="215" t="str">
        <x:v>Violaceae</x:v>
      </x:c>
      <x:c r="B661" s="215" t="str">
        <x:v>VIO-SPUR</x:v>
      </x:c>
      <x:c r="C661" s="215" t="str">
        <x:v>Family character</x:v>
      </x:c>
      <x:c r="D661" s="215" t="str">
        <x:v>Corolla</x:v>
      </x:c>
      <x:c r="E661" s="215" t="str">
        <x:v>Lowest petal commonly enlarged and spurred or pouched at the base</x:v>
      </x:c>
      <x:c r="F661" s="215" t="str">
        <x:v>Strong</x:v>
      </x:c>
      <x:c r="G661" s="215" t="str">
        <x:v>5</x:v>
      </x:c>
      <x:c r="H661" s="215" t="str">
        <x:v>High</x:v>
      </x:c>
      <x:c r="I661" s="215" t="str">
        <x:v>Naked eye or hand lens</x:v>
      </x:c>
      <x:c r="J661" s="215" t="str">
        <x:v>Fresh flowers</x:v>
      </x:c>
      <x:c r="K661" s="215" t="str">
        <x:v>The lower petal forms a nectar spur behind the flower.</x:v>
      </x:c>
      <x:c r="L661" s="215" t="str">
        <x:v>Spur size varies and may be short or absent in some family lineages.</x:v>
      </x:c>
      <x:c r="M661" s="215" t="str">
        <x:v>Use with five stamens and a 3-valved capsule.</x:v>
      </x:c>
      <x:c r="N661" s="215" t="str">
        <x:v>Native violets occur in Central Texas lawns, seeps, woodland openings, and shaded soils, often with flowers and fruit at different times.</x:v>
      </x:c>
      <x:c r="O661" s="215" t="str">
        <x:v>Low</x:v>
      </x:c>
      <x:c r="P661" s="215" t="str">
        <x:v>No</x:v>
      </x:c>
      <x:c r="Q661" s="215" t="str"/>
      <x:c r="R661" s="215" t="str"/>
      <x:c r="S661" s="215" t="str">
        <x:v>APWEB-VIOL; FNA-VIOL; POWO-VIOL; LBJ-HAYS</x:v>
      </x:c>
      <x:c r="T661" s="215" t="str">
        <x:v>https://www.mobot.org/MOBOT/research/APweb/orders/malpighialesweb.htm</x:v>
      </x:c>
      <x:c r="U661" s="215" t="str">
        <x:v>https://floranorthamerica.org/Violaceae</x:v>
      </x:c>
      <x:c r="V661" s="215" t="str">
        <x:v>https://powo.science.kew.org/taxon/urn:lsid:ipni.org:names:30000541-2/general-information</x:v>
      </x:c>
      <x:c r="W661" s="215" t="str">
        <x:v>https://www.mobot.org/MOBOT/research/APweb/orders/malpighialesweb.htm
https://floranorthamerica.org/Violaceae
https://powo.science.kew.org/taxon/urn:lsid:ipni.org:names:30000541-2/general-information
https://www.wildflower.org/collections/collection.php?collection=hays</x:v>
      </x:c>
      <x:c r="X661" s="215" t="str">
        <x:v>No — retain qualifiers and exceptions</x:v>
      </x:c>
      <x:c r="Y661" s="215" t="str">
        <x:v>Yes</x:v>
      </x:c>
      <x:c r="Z661" s="215" t="str">
        <x:v>Source-backed draft</x:v>
      </x:c>
      <x:c r="AA661" s="215" t="str">
        <x:v>Family pattern</x:v>
      </x:c>
      <x:c r="AB661" s="215" t="str">
        <x:v>Positive diagnostic</x:v>
      </x:c>
      <x:c r="AC661" s="215" t="str">
        <x:v>High</x:v>
      </x:c>
      <x:c r="AD661" s="215" t="str">
        <x:v>Hand lens / macro</x:v>
      </x:c>
      <x:c r="AE661" s="215" t="str">
        <x:v>Low</x:v>
      </x:c>
      <x:c r="AF661" s="215" t="str">
        <x:v>Field-ready draft</x:v>
      </x:c>
      <x:c r="AG661" s="215" t="str">
        <x:v>2 — Field-photo priority</x:v>
      </x:c>
      <x:c r="AH661" s="215" t="str">
        <x:v>Current master inventory</x:v>
      </x:c>
    </x:row>
    <x:row r="662" ht="42" customHeight="1">
      <x:c r="A662" s="215" t="str">
        <x:v>Violaceae</x:v>
      </x:c>
      <x:c r="B662" s="215" t="str">
        <x:v>VIO-STAMENS</x:v>
      </x:c>
      <x:c r="C662" s="215" t="str">
        <x:v>Family character</x:v>
      </x:c>
      <x:c r="D662" s="215" t="str">
        <x:v>Stamens</x:v>
      </x:c>
      <x:c r="E662" s="215" t="str">
        <x:v>Five stamens with anthers closely surrounding the style; connective appendages and nectar spurs may be present</x:v>
      </x:c>
      <x:c r="F662" s="215" t="str">
        <x:v>Strong</x:v>
      </x:c>
      <x:c r="G662" s="215" t="str">
        <x:v>4</x:v>
      </x:c>
      <x:c r="H662" s="215" t="str">
        <x:v>High</x:v>
      </x:c>
      <x:c r="I662" s="215" t="str">
        <x:v>Hand lens</x:v>
      </x:c>
      <x:c r="J662" s="215" t="str">
        <x:v>Fresh intact flowers</x:v>
      </x:c>
      <x:c r="K662" s="215" t="str">
        <x:v>The anthers form a tight cone around the flower center.</x:v>
      </x:c>
      <x:c r="L662" s="215" t="str">
        <x:v>Details require magnification and differ among genera.</x:v>
      </x:c>
      <x:c r="M662" s="215" t="str">
        <x:v>Count five anthers and inspect their enclosure of the style.</x:v>
      </x:c>
      <x:c r="N662" s="215" t="str">
        <x:v>Native violets occur in Central Texas lawns, seeps, woodland openings, and shaded soils, often with flowers and fruit at different times.</x:v>
      </x:c>
      <x:c r="O662" s="215" t="str">
        <x:v>Low</x:v>
      </x:c>
      <x:c r="P662" s="215" t="str">
        <x:v>No</x:v>
      </x:c>
      <x:c r="Q662" s="215" t="str"/>
      <x:c r="R662" s="215" t="str"/>
      <x:c r="S662" s="215" t="str">
        <x:v>APWEB-VIOL; FNA-VIOL; POWO-VIOL; LBJ-HAYS</x:v>
      </x:c>
      <x:c r="T662" s="215" t="str">
        <x:v>https://www.mobot.org/MOBOT/research/APweb/orders/malpighialesweb.htm</x:v>
      </x:c>
      <x:c r="U662" s="215" t="str">
        <x:v>https://floranorthamerica.org/Violaceae</x:v>
      </x:c>
      <x:c r="V662" s="215" t="str">
        <x:v>https://powo.science.kew.org/taxon/urn:lsid:ipni.org:names:30000541-2/general-information</x:v>
      </x:c>
      <x:c r="W662" s="215" t="str">
        <x:v>https://www.mobot.org/MOBOT/research/APweb/orders/malpighialesweb.htm
https://floranorthamerica.org/Violaceae
https://powo.science.kew.org/taxon/urn:lsid:ipni.org:names:30000541-2/general-information
https://www.wildflower.org/collections/collection.php?collection=hays</x:v>
      </x:c>
      <x:c r="X662" s="215" t="str">
        <x:v>No — retain qualifiers and exceptions</x:v>
      </x:c>
      <x:c r="Y662" s="215" t="str">
        <x:v>Yes</x:v>
      </x:c>
      <x:c r="Z662" s="215" t="str">
        <x:v>Source-backed draft</x:v>
      </x:c>
      <x:c r="AA662" s="215" t="str">
        <x:v>Family pattern</x:v>
      </x:c>
      <x:c r="AB662" s="215" t="str">
        <x:v>Positive diagnostic</x:v>
      </x:c>
      <x:c r="AC662" s="215" t="str">
        <x:v>High</x:v>
      </x:c>
      <x:c r="AD662" s="215" t="str">
        <x:v>Hand lens / macro</x:v>
      </x:c>
      <x:c r="AE662" s="215" t="str">
        <x:v>Low</x:v>
      </x:c>
      <x:c r="AF662" s="215" t="str">
        <x:v>Field-ready draft</x:v>
      </x:c>
      <x:c r="AG662" s="215" t="str">
        <x:v>2 — Field-photo priority</x:v>
      </x:c>
      <x:c r="AH662" s="215" t="str">
        <x:v>Current master inventory</x:v>
      </x:c>
    </x:row>
    <x:row r="663" ht="42" customHeight="1">
      <x:c r="A663" s="215" t="str">
        <x:v>Violaceae</x:v>
      </x:c>
      <x:c r="B663" s="215" t="str">
        <x:v>VIO-OVARY</x:v>
      </x:c>
      <x:c r="C663" s="215" t="str">
        <x:v>Family character</x:v>
      </x:c>
      <x:c r="D663" s="215" t="str">
        <x:v>Gynoecium</x:v>
      </x:c>
      <x:c r="E663" s="215" t="str">
        <x:v>Ovary superior, 3-carpellate but 1-locular, with parietal placentation</x:v>
      </x:c>
      <x:c r="F663" s="215" t="str">
        <x:v>Strong</x:v>
      </x:c>
      <x:c r="G663" s="215" t="str">
        <x:v>4</x:v>
      </x:c>
      <x:c r="H663" s="215" t="str">
        <x:v>High</x:v>
      </x:c>
      <x:c r="I663" s="215" t="str">
        <x:v>Hand lens or dissection</x:v>
      </x:c>
      <x:c r="J663" s="215" t="str">
        <x:v>Flowers or young fruit</x:v>
      </x:c>
      <x:c r="K663" s="215" t="str">
        <x:v>Seeds attach to three lines along the ovary wall.</x:v>
      </x:c>
      <x:c r="L663" s="215" t="str">
        <x:v>Internal placentation is easiest to see in an opening capsule.</x:v>
      </x:c>
      <x:c r="M663" s="215" t="str">
        <x:v>Use mature 3-valved fruit as the practical expression.</x:v>
      </x:c>
      <x:c r="N663" s="215" t="str">
        <x:v>Native violets occur in Central Texas lawns, seeps, woodland openings, and shaded soils, often with flowers and fruit at different times.</x:v>
      </x:c>
      <x:c r="O663" s="215" t="str">
        <x:v>Low</x:v>
      </x:c>
      <x:c r="P663" s="215" t="str">
        <x:v>No</x:v>
      </x:c>
      <x:c r="Q663" s="215" t="str"/>
      <x:c r="R663" s="215" t="str"/>
      <x:c r="S663" s="215" t="str">
        <x:v>APWEB-VIOL; FNA-VIOL; POWO-VIOL; LBJ-HAYS</x:v>
      </x:c>
      <x:c r="T663" s="215" t="str">
        <x:v>https://www.mobot.org/MOBOT/research/APweb/orders/malpighialesweb.htm</x:v>
      </x:c>
      <x:c r="U663" s="215" t="str">
        <x:v>https://floranorthamerica.org/Violaceae</x:v>
      </x:c>
      <x:c r="V663" s="215" t="str">
        <x:v>https://powo.science.kew.org/taxon/urn:lsid:ipni.org:names:30000541-2/general-information</x:v>
      </x:c>
      <x:c r="W663" s="215" t="str">
        <x:v>https://www.mobot.org/MOBOT/research/APweb/orders/malpighialesweb.htm
https://floranorthamerica.org/Violaceae
https://powo.science.kew.org/taxon/urn:lsid:ipni.org:names:30000541-2/general-information
https://www.wildflower.org/collections/collection.php?collection=hays</x:v>
      </x:c>
      <x:c r="X663" s="215" t="str">
        <x:v>No — retain qualifiers and exceptions</x:v>
      </x:c>
      <x:c r="Y663" s="215" t="str">
        <x:v>Yes</x:v>
      </x:c>
      <x:c r="Z663" s="215" t="str">
        <x:v>Source-backed draft</x:v>
      </x:c>
      <x:c r="AA663" s="215" t="str">
        <x:v>Family pattern</x:v>
      </x:c>
      <x:c r="AB663" s="215" t="str">
        <x:v>Positive diagnostic</x:v>
      </x:c>
      <x:c r="AC663" s="215" t="str">
        <x:v>High</x:v>
      </x:c>
      <x:c r="AD663" s="215" t="str">
        <x:v>Dissection</x:v>
      </x:c>
      <x:c r="AE663" s="215" t="str">
        <x:v>Low</x:v>
      </x:c>
      <x:c r="AF663" s="215" t="str">
        <x:v>Dissection / close study</x:v>
      </x:c>
      <x:c r="AG663" s="215" t="str">
        <x:v>3 — Reference support</x:v>
      </x:c>
      <x:c r="AH663" s="215" t="str">
        <x:v>Current master inventory</x:v>
      </x:c>
    </x:row>
    <x:row r="664" ht="42" customHeight="1">
      <x:c r="A664" s="215" t="str">
        <x:v>Violaceae</x:v>
      </x:c>
      <x:c r="B664" s="215" t="str">
        <x:v>VIO-FRUIT</x:v>
      </x:c>
      <x:c r="C664" s="215" t="str">
        <x:v>Regional family character</x:v>
      </x:c>
      <x:c r="D664" s="215" t="str">
        <x:v>Fruit</x:v>
      </x:c>
      <x:c r="E664" s="215" t="str">
        <x:v>Fruit usually a capsule opening into 3 valves</x:v>
      </x:c>
      <x:c r="F664" s="215" t="str">
        <x:v>Strong</x:v>
      </x:c>
      <x:c r="G664" s="215" t="str">
        <x:v>5</x:v>
      </x:c>
      <x:c r="H664" s="215" t="str">
        <x:v>High</x:v>
      </x:c>
      <x:c r="I664" s="215" t="str">
        <x:v>Naked eye or hand lens</x:v>
      </x:c>
      <x:c r="J664" s="215" t="str">
        <x:v>Mature fruit</x:v>
      </x:c>
      <x:c r="K664" s="215" t="str">
        <x:v>Violet capsules split into three boatlike sections.</x:v>
      </x:c>
      <x:c r="L664" s="215" t="str">
        <x:v>Some tropical family members have other fruit types.</x:v>
      </x:c>
      <x:c r="M664" s="215" t="str">
        <x:v>For local Viola, three valves are a strong confirmation.</x:v>
      </x:c>
      <x:c r="N664" s="215" t="str">
        <x:v>Native violets occur in Central Texas lawns, seeps, woodland openings, and shaded soils, often with flowers and fruit at different times.</x:v>
      </x:c>
      <x:c r="O664" s="215" t="str">
        <x:v>Low</x:v>
      </x:c>
      <x:c r="P664" s="215" t="str">
        <x:v>No</x:v>
      </x:c>
      <x:c r="Q664" s="215" t="str"/>
      <x:c r="R664" s="215" t="str">
        <x:v>VIO-LK01; VIO-LK02</x:v>
      </x:c>
      <x:c r="S664" s="215" t="str">
        <x:v>APWEB-VIOL; FNA-VIOL; POWO-VIOL; LBJ-HAYS</x:v>
      </x:c>
      <x:c r="T664" s="215" t="str">
        <x:v>https://www.mobot.org/MOBOT/research/APweb/orders/malpighialesweb.htm</x:v>
      </x:c>
      <x:c r="U664" s="215" t="str">
        <x:v>https://floranorthamerica.org/Violaceae</x:v>
      </x:c>
      <x:c r="V664" s="215" t="str">
        <x:v>https://powo.science.kew.org/taxon/urn:lsid:ipni.org:names:30000541-2/general-information</x:v>
      </x:c>
      <x:c r="W664" s="215" t="str">
        <x:v>https://www.mobot.org/MOBOT/research/APweb/orders/malpighialesweb.htm
https://floranorthamerica.org/Violaceae
https://powo.science.kew.org/taxon/urn:lsid:ipni.org:names:30000541-2/general-information
https://www.wildflower.org/collections/collection.php?collection=hays</x:v>
      </x:c>
      <x:c r="X664" s="215" t="str">
        <x:v>No — retain qualifiers and exceptions</x:v>
      </x:c>
      <x:c r="Y664" s="215" t="str">
        <x:v>Yes</x:v>
      </x:c>
      <x:c r="Z664" s="215" t="str">
        <x:v>Source-backed draft</x:v>
      </x:c>
      <x:c r="AA664" s="215" t="str">
        <x:v>Family pattern</x:v>
      </x:c>
      <x:c r="AB664" s="215" t="str">
        <x:v>Positive diagnostic</x:v>
      </x:c>
      <x:c r="AC664" s="215" t="str">
        <x:v>High</x:v>
      </x:c>
      <x:c r="AD664" s="215" t="str">
        <x:v>Hand lens / macro</x:v>
      </x:c>
      <x:c r="AE664" s="215" t="str">
        <x:v>Low</x:v>
      </x:c>
      <x:c r="AF664" s="215" t="str">
        <x:v>Field-ready draft</x:v>
      </x:c>
      <x:c r="AG664" s="215" t="str">
        <x:v>2 — Field-photo priority</x:v>
      </x:c>
      <x:c r="AH664" s="215" t="str">
        <x:v>Current master inventory</x:v>
      </x:c>
    </x:row>
    <x:row r="665" ht="42" customHeight="1">
      <x:c r="A665" s="215" t="str">
        <x:v>Violaceae</x:v>
      </x:c>
      <x:c r="B665" s="215" t="str">
        <x:v>VIO-SEEDS</x:v>
      </x:c>
      <x:c r="C665" s="215" t="str">
        <x:v>Family character</x:v>
      </x:c>
      <x:c r="D665" s="215" t="str">
        <x:v>Seeds / dispersal</x:v>
      </x:c>
      <x:c r="E665" s="215" t="str">
        <x:v>Seeds often forcibly expelled as drying capsule valves squeeze inward; elaiosomes may attract ants</x:v>
      </x:c>
      <x:c r="F665" s="215" t="str">
        <x:v>Supporting</x:v>
      </x:c>
      <x:c r="G665" s="215" t="str">
        <x:v>2</x:v>
      </x:c>
      <x:c r="H665" s="215" t="str">
        <x:v>High</x:v>
      </x:c>
      <x:c r="I665" s="215" t="str">
        <x:v>Naked eye or hand lens</x:v>
      </x:c>
      <x:c r="J665" s="215" t="str">
        <x:v>Mature drying fruit</x:v>
      </x:c>
      <x:c r="K665" s="215" t="str">
        <x:v>Violet fruits can scatter seeds away from the parent and ants may move them farther.</x:v>
      </x:c>
      <x:c r="L665" s="215" t="str">
        <x:v>Ballistic dispersal and elaiosomes vary by species and maturity.</x:v>
      </x:c>
      <x:c r="M665" s="215" t="str">
        <x:v>Use as ecological support after capsule identification.</x:v>
      </x:c>
      <x:c r="N665" s="215" t="str">
        <x:v>Native violets occur in Central Texas lawns, seeps, woodland openings, and shaded soils, often with flowers and fruit at different times.</x:v>
      </x:c>
      <x:c r="O665" s="215" t="str">
        <x:v>Low</x:v>
      </x:c>
      <x:c r="P665" s="215" t="str">
        <x:v>No</x:v>
      </x:c>
      <x:c r="Q665" s="215" t="str"/>
      <x:c r="R665" s="215" t="str"/>
      <x:c r="S665" s="215" t="str">
        <x:v>APWEB-VIOL; FNA-VIOL; POWO-VIOL; LBJ-HAYS</x:v>
      </x:c>
      <x:c r="T665" s="215" t="str">
        <x:v>https://www.mobot.org/MOBOT/research/APweb/orders/malpighialesweb.htm</x:v>
      </x:c>
      <x:c r="U665" s="215" t="str">
        <x:v>https://floranorthamerica.org/Violaceae</x:v>
      </x:c>
      <x:c r="V665" s="215" t="str">
        <x:v>https://powo.science.kew.org/taxon/urn:lsid:ipni.org:names:30000541-2/general-information</x:v>
      </x:c>
      <x:c r="W665" s="215" t="str">
        <x:v>https://www.mobot.org/MOBOT/research/APweb/orders/malpighialesweb.htm
https://floranorthamerica.org/Violaceae
https://powo.science.kew.org/taxon/urn:lsid:ipni.org:names:30000541-2/general-information
https://www.wildflower.org/collections/collection.php?collection=hays</x:v>
      </x:c>
      <x:c r="X665" s="215" t="str">
        <x:v>No — retain qualifiers and exceptions</x:v>
      </x:c>
      <x:c r="Y665" s="215" t="str">
        <x:v>Yes</x:v>
      </x:c>
      <x:c r="Z665" s="215" t="str">
        <x:v>Source-backed draft</x:v>
      </x:c>
      <x:c r="AA665" s="215" t="str">
        <x:v>Family pattern</x:v>
      </x:c>
      <x:c r="AB665" s="215" t="str">
        <x:v>Supporting / route</x:v>
      </x:c>
      <x:c r="AC665" s="215" t="str">
        <x:v>High</x:v>
      </x:c>
      <x:c r="AD665" s="215" t="str">
        <x:v>Hand lens / macro</x:v>
      </x:c>
      <x:c r="AE665" s="215" t="str">
        <x:v>Low</x:v>
      </x:c>
      <x:c r="AF665" s="215" t="str">
        <x:v>Field-ready draft</x:v>
      </x:c>
      <x:c r="AG665" s="215" t="str">
        <x:v>4 — Context / caution</x:v>
      </x:c>
      <x:c r="AH665" s="215" t="str">
        <x:v>Current master inventory</x:v>
      </x:c>
    </x:row>
    <x:row r="666" ht="42" customHeight="1">
      <x:c r="A666" s="215" t="str">
        <x:v>Violaceae</x:v>
      </x:c>
      <x:c r="B666" s="215" t="str">
        <x:v>VIO-CLEIST</x:v>
      </x:c>
      <x:c r="C666" s="215" t="str">
        <x:v>Regional/genus-weighted character</x:v>
      </x:c>
      <x:c r="D666" s="215" t="str">
        <x:v>Flowers</x:v>
      </x:c>
      <x:c r="E666" s="215" t="str">
        <x:v>Cleistogamous self-pollinating flowers commonly occur in Viola and may produce fruit without showy petals</x:v>
      </x:c>
      <x:c r="F666" s="215" t="str">
        <x:v>Supporting</x:v>
      </x:c>
      <x:c r="G666" s="215" t="str">
        <x:v>2</x:v>
      </x:c>
      <x:c r="H666" s="215" t="str">
        <x:v>High</x:v>
      </x:c>
      <x:c r="I666" s="215" t="str">
        <x:v>Naked eye or hand lens</x:v>
      </x:c>
      <x:c r="J666" s="215" t="str">
        <x:v>Post-showy flowering season</x:v>
      </x:c>
      <x:c r="K666" s="215" t="str">
        <x:v>A violet can set capsules even when no normal flower is visible.</x:v>
      </x:c>
      <x:c r="L666" s="215" t="str">
        <x:v>This is primarily a Viola character, not universal across all Violaceae.</x:v>
      </x:c>
      <x:c r="M666" s="215" t="str">
        <x:v>Do not reject a sterile-looking violet when hidden reduced flowers are present.</x:v>
      </x:c>
      <x:c r="N666" s="215" t="str">
        <x:v>Native violets occur in Central Texas lawns, seeps, woodland openings, and shaded soils, often with flowers and fruit at different times.</x:v>
      </x:c>
      <x:c r="O666" s="215" t="str">
        <x:v>Low</x:v>
      </x:c>
      <x:c r="P666" s="215" t="str">
        <x:v>No</x:v>
      </x:c>
      <x:c r="Q666" s="215" t="str"/>
      <x:c r="R666" s="215" t="str"/>
      <x:c r="S666" s="215" t="str">
        <x:v>APWEB-VIOL; FNA-VIOL; POWO-VIOL; LBJ-HAYS</x:v>
      </x:c>
      <x:c r="T666" s="215" t="str">
        <x:v>https://www.mobot.org/MOBOT/research/APweb/orders/malpighialesweb.htm</x:v>
      </x:c>
      <x:c r="U666" s="215" t="str">
        <x:v>https://floranorthamerica.org/Violaceae</x:v>
      </x:c>
      <x:c r="V666" s="215" t="str">
        <x:v>https://powo.science.kew.org/taxon/urn:lsid:ipni.org:names:30000541-2/general-information</x:v>
      </x:c>
      <x:c r="W666" s="215" t="str">
        <x:v>https://www.mobot.org/MOBOT/research/APweb/orders/malpighialesweb.htm
https://floranorthamerica.org/Violaceae
https://powo.science.kew.org/taxon/urn:lsid:ipni.org:names:30000541-2/general-information
https://www.wildflower.org/collections/collection.php?collection=hays</x:v>
      </x:c>
      <x:c r="X666" s="215" t="str">
        <x:v>No — retain qualifiers and exceptions</x:v>
      </x:c>
      <x:c r="Y666" s="215" t="str">
        <x:v>Yes</x:v>
      </x:c>
      <x:c r="Z666" s="215" t="str">
        <x:v>Source-backed draft</x:v>
      </x:c>
      <x:c r="AA666" s="215" t="str">
        <x:v>Local subgroup / route</x:v>
      </x:c>
      <x:c r="AB666" s="215" t="str">
        <x:v>Supporting / route</x:v>
      </x:c>
      <x:c r="AC666" s="215" t="str">
        <x:v>High</x:v>
      </x:c>
      <x:c r="AD666" s="215" t="str">
        <x:v>Hand lens / macro</x:v>
      </x:c>
      <x:c r="AE666" s="215" t="str">
        <x:v>Low</x:v>
      </x:c>
      <x:c r="AF666" s="215" t="str">
        <x:v>Field-ready draft</x:v>
      </x:c>
      <x:c r="AG666" s="215" t="str">
        <x:v>4 — Context / caution</x:v>
      </x:c>
      <x:c r="AH666" s="215" t="str">
        <x:v>Current master inventory</x:v>
      </x:c>
    </x:row>
    <x:row r="667" ht="42" customHeight="1">
      <x:c r="A667" s="215" t="str">
        <x:v>Violaceae</x:v>
      </x:c>
      <x:c r="B667" s="215" t="str">
        <x:v>VIO-LK01</x:v>
      </x:c>
      <x:c r="C667" s="215" t="str">
        <x:v>Lookalike comparison</x:v>
      </x:c>
      <x:c r="D667" s="215" t="str">
        <x:v>Lookalike</x:v>
      </x:c>
      <x:c r="E667" s="215" t="str">
        <x:v>Versus Fabaceae: a spurred lower petal, five stamens, and a 3-valved capsule favor Violaceae; banner-wing-keel petals and a legume favor Fabaceae</x:v>
      </x:c>
      <x:c r="F667" s="215" t="str">
        <x:v>Lookalike</x:v>
      </x:c>
      <x:c r="G667" s="215" t="str">
        <x:v>5</x:v>
      </x:c>
      <x:c r="H667" s="215" t="str">
        <x:v>High</x:v>
      </x:c>
      <x:c r="I667" s="215" t="str">
        <x:v>Naked eye or hand lens</x:v>
      </x:c>
      <x:c r="J667" s="215" t="str">
        <x:v>Flowers or mature fruit</x:v>
      </x:c>
      <x:c r="K667" s="215" t="str">
        <x:v>Both can have strongly bilateral flowers.</x:v>
      </x:c>
      <x:c r="L667" s="215" t="str">
        <x:v>Tiny flowers or immature fruit can obscure architecture.</x:v>
      </x:c>
      <x:c r="M667" s="215" t="str">
        <x:v>Count stamens and examine the mature fruit.</x:v>
      </x:c>
      <x:c r="N667" s="215" t="str">
        <x:v>Native violets occur in Central Texas lawns, seeps, woodland openings, and shaded soils, often with flowers and fruit at different times.</x:v>
      </x:c>
      <x:c r="O667" s="215" t="str">
        <x:v>Low</x:v>
      </x:c>
      <x:c r="P667" s="215" t="str">
        <x:v>No</x:v>
      </x:c>
      <x:c r="Q667" s="215" t="str"/>
      <x:c r="R667" s="215" t="str">
        <x:v>VIO-FLOWER; VIO-SPUR; VIO-STAMENS; VIO-FRUIT</x:v>
      </x:c>
      <x:c r="S667" s="215" t="str">
        <x:v>APWEB-VIOL; FNA-VIOL; POWO-VIOL; LBJ-HAYS</x:v>
      </x:c>
      <x:c r="T667" s="215" t="str">
        <x:v>https://www.mobot.org/MOBOT/research/APweb/orders/malpighialesweb.htm</x:v>
      </x:c>
      <x:c r="U667" s="215" t="str">
        <x:v>https://floranorthamerica.org/Violaceae</x:v>
      </x:c>
      <x:c r="V667" s="215" t="str">
        <x:v>https://powo.science.kew.org/taxon/urn:lsid:ipni.org:names:30000541-2/general-information</x:v>
      </x:c>
      <x:c r="W667" s="215" t="str">
        <x:v>https://www.mobot.org/MOBOT/research/APweb/orders/malpighialesweb.htm
https://floranorthamerica.org/Violaceae
https://powo.science.kew.org/taxon/urn:lsid:ipni.org:names:30000541-2/general-information
https://www.wildflower.org/collections/collection.php?collection=hays</x:v>
      </x:c>
      <x:c r="X667" s="215" t="str">
        <x:v>No — retain qualifiers and exceptions</x:v>
      </x:c>
      <x:c r="Y667" s="215" t="str">
        <x:v>Yes</x:v>
      </x:c>
      <x:c r="Z667" s="215" t="str">
        <x:v>Source-backed draft</x:v>
      </x:c>
      <x:c r="AA667" s="215" t="str">
        <x:v>Lookalike comparison</x:v>
      </x:c>
      <x:c r="AB667" s="215" t="str">
        <x:v>Contrast / lookalike</x:v>
      </x:c>
      <x:c r="AC667" s="215" t="str">
        <x:v>High</x:v>
      </x:c>
      <x:c r="AD667" s="215" t="str">
        <x:v>Hand lens / macro</x:v>
      </x:c>
      <x:c r="AE667" s="215" t="str">
        <x:v>Low</x:v>
      </x:c>
      <x:c r="AF667" s="215" t="str">
        <x:v>Field-ready draft</x:v>
      </x:c>
      <x:c r="AG667" s="215" t="str">
        <x:v>2 — Field-photo priority</x:v>
      </x:c>
      <x:c r="AH667" s="215" t="str">
        <x:v>Current master inventory</x:v>
      </x:c>
    </x:row>
    <x:row r="668" ht="42" customHeight="1">
      <x:c r="A668" s="215" t="str">
        <x:v>Violaceae</x:v>
      </x:c>
      <x:c r="B668" s="215" t="str">
        <x:v>VIO-LK02</x:v>
      </x:c>
      <x:c r="C668" s="215" t="str">
        <x:v>Lookalike comparison</x:v>
      </x:c>
      <x:c r="D668" s="215" t="str">
        <x:v>Lookalike</x:v>
      </x:c>
      <x:c r="E668" s="215" t="str">
        <x:v>Versus Ranunculaceae: five stamens tightly surrounding one style and a 3-valved capsule favor Violaceae; numerous free stamens and separate carpels favor many Ranunculaceae</x:v>
      </x:c>
      <x:c r="F668" s="215" t="str">
        <x:v>Lookalike</x:v>
      </x:c>
      <x:c r="G668" s="215" t="str">
        <x:v>5</x:v>
      </x:c>
      <x:c r="H668" s="215" t="str">
        <x:v>High</x:v>
      </x:c>
      <x:c r="I668" s="215" t="str">
        <x:v>Naked eye or hand lens</x:v>
      </x:c>
      <x:c r="J668" s="215" t="str">
        <x:v>Fresh flowers or mature fruit</x:v>
      </x:c>
      <x:c r="K668" s="215" t="str">
        <x:v>Spurred petals and divided leaves can create superficial similarity.</x:v>
      </x:c>
      <x:c r="L668" s="215" t="str">
        <x:v>Ranunculaceae is diverse and flowers may lose parts.</x:v>
      </x:c>
      <x:c r="M668" s="215" t="str">
        <x:v>Use stamen number and ovary/fruit construction.</x:v>
      </x:c>
      <x:c r="N668" s="215" t="str">
        <x:v>Native violets occur in Central Texas lawns, seeps, woodland openings, and shaded soils, often with flowers and fruit at different times.</x:v>
      </x:c>
      <x:c r="O668" s="215" t="str">
        <x:v>Low</x:v>
      </x:c>
      <x:c r="P668" s="215" t="str">
        <x:v>No</x:v>
      </x:c>
      <x:c r="Q668" s="215" t="str"/>
      <x:c r="R668" s="215" t="str">
        <x:v>VIO-SPUR; VIO-STAMENS; VIO-OVARY; VIO-FRUIT</x:v>
      </x:c>
      <x:c r="S668" s="215" t="str">
        <x:v>APWEB-VIOL; FNA-VIOL; POWO-VIOL; LBJ-HAYS</x:v>
      </x:c>
      <x:c r="T668" s="215" t="str">
        <x:v>https://www.mobot.org/MOBOT/research/APweb/orders/malpighialesweb.htm</x:v>
      </x:c>
      <x:c r="U668" s="215" t="str">
        <x:v>https://floranorthamerica.org/Violaceae</x:v>
      </x:c>
      <x:c r="V668" s="215" t="str">
        <x:v>https://powo.science.kew.org/taxon/urn:lsid:ipni.org:names:30000541-2/general-information</x:v>
      </x:c>
      <x:c r="W668" s="215" t="str">
        <x:v>https://www.mobot.org/MOBOT/research/APweb/orders/malpighialesweb.htm
https://floranorthamerica.org/Violaceae
https://powo.science.kew.org/taxon/urn:lsid:ipni.org:names:30000541-2/general-information
https://www.wildflower.org/collections/collection.php?collection=hays</x:v>
      </x:c>
      <x:c r="X668" s="215" t="str">
        <x:v>No — retain qualifiers and exceptions</x:v>
      </x:c>
      <x:c r="Y668" s="215" t="str">
        <x:v>Yes</x:v>
      </x:c>
      <x:c r="Z668" s="215" t="str">
        <x:v>Source-backed draft</x:v>
      </x:c>
      <x:c r="AA668" s="215" t="str">
        <x:v>Lookalike comparison</x:v>
      </x:c>
      <x:c r="AB668" s="215" t="str">
        <x:v>Contrast / lookalike</x:v>
      </x:c>
      <x:c r="AC668" s="215" t="str">
        <x:v>High</x:v>
      </x:c>
      <x:c r="AD668" s="215" t="str">
        <x:v>Hand lens / macro</x:v>
      </x:c>
      <x:c r="AE668" s="215" t="str">
        <x:v>Low</x:v>
      </x:c>
      <x:c r="AF668" s="215" t="str">
        <x:v>Field-ready draft</x:v>
      </x:c>
      <x:c r="AG668" s="215" t="str">
        <x:v>2 — Field-photo priority</x:v>
      </x:c>
      <x:c r="AH668" s="215" t="str">
        <x:v>Current master inventory</x:v>
      </x:c>
    </x:row>
    <x:row r="669" ht="42" customHeight="1">
      <x:c r="A669" s="215" t="str">
        <x:v>Ericaceae</x:v>
      </x:c>
      <x:c r="B669" s="215" t="str">
        <x:v>ERI-HABIT</x:v>
      </x:c>
      <x:c r="C669" s="215" t="str">
        <x:v>Family character</x:v>
      </x:c>
      <x:c r="D669" s="215" t="str">
        <x:v>Habit</x:v>
      </x:c>
      <x:c r="E669" s="215" t="str">
        <x:v>Mostly shrubs, subshrubs, or small trees; some herbs are fully or partly mycoheterotrophic</x:v>
      </x:c>
      <x:c r="F669" s="215" t="str">
        <x:v>Strong</x:v>
      </x:c>
      <x:c r="G669" s="215" t="str">
        <x:v>2</x:v>
      </x:c>
      <x:c r="H669" s="215" t="str">
        <x:v>High</x:v>
      </x:c>
      <x:c r="I669" s="215" t="str">
        <x:v>Naked eye or hand lens</x:v>
      </x:c>
      <x:c r="J669" s="215" t="str">
        <x:v>Any material</x:v>
      </x:c>
      <x:c r="K669" s="215" t="str">
        <x:v>Heath-family plants range from woody shrubs to leafless fungal-dependent herbs.</x:v>
      </x:c>
      <x:c r="L669" s="215" t="str">
        <x:v>The broad modern family includes former Monotropaceae and Pyrolaceae.</x:v>
      </x:c>
      <x:c r="M669" s="215" t="str">
        <x:v>Identify the lineage before applying habit-specific characters.</x:v>
      </x:c>
      <x:c r="N669" s="215" t="str">
        <x:v>Ericaceae appears species-poor and localized in the Hays inventory; exact county genera and records need explicit reconciliation before local claims are generalized.</x:v>
      </x:c>
      <x:c r="O669" s="215" t="str">
        <x:v>Low</x:v>
      </x:c>
      <x:c r="P669" s="215" t="str">
        <x:v>No</x:v>
      </x:c>
      <x:c r="Q669" s="215" t="str"/>
      <x:c r="R669" s="215" t="str"/>
      <x:c r="S669" s="215" t="str">
        <x:v>APWEB-ERIC; FNA-ERIC; POWO-ERIC; LBJ-HAYS</x:v>
      </x:c>
      <x:c r="T669" s="215" t="str">
        <x:v>https://www.mobot.org/MOBOT/research/APweb/orders/ericalesweb.htm</x:v>
      </x:c>
      <x:c r="U669" s="215" t="str">
        <x:v>https://floranorthamerica.org/Ericaceae</x:v>
      </x:c>
      <x:c r="V669" s="215" t="str">
        <x:v>https://powo.science.kew.org/taxon/urn:lsid:ipni.org:names:30000402-2/general-information</x:v>
      </x:c>
      <x:c r="W669" s="215" t="str">
        <x:v>https://www.mobot.org/MOBOT/research/APweb/orders/ericalesweb.htm
https://floranorthamerica.org/Ericaceae
https://powo.science.kew.org/taxon/urn:lsid:ipni.org:names:30000402-2/general-information
https://www.wildflower.org/collections/collection.php?collection=hays</x:v>
      </x:c>
      <x:c r="X669" s="215" t="str">
        <x:v>No — retain qualifiers and exceptions</x:v>
      </x:c>
      <x:c r="Y669" s="215" t="str">
        <x:v>Yes</x:v>
      </x:c>
      <x:c r="Z669" s="215" t="str">
        <x:v>Source-backed draft</x:v>
      </x:c>
      <x:c r="AA669" s="215" t="str">
        <x:v>Family pattern</x:v>
      </x:c>
      <x:c r="AB669" s="215" t="str">
        <x:v>Positive diagnostic</x:v>
      </x:c>
      <x:c r="AC669" s="215" t="str">
        <x:v>High</x:v>
      </x:c>
      <x:c r="AD669" s="215" t="str">
        <x:v>Hand lens / macro</x:v>
      </x:c>
      <x:c r="AE669" s="215" t="str">
        <x:v>Low</x:v>
      </x:c>
      <x:c r="AF669" s="215" t="str">
        <x:v>Field-ready draft</x:v>
      </x:c>
      <x:c r="AG669" s="215" t="str">
        <x:v>4 — Context / caution</x:v>
      </x:c>
      <x:c r="AH669" s="215" t="str">
        <x:v>Current master inventory</x:v>
      </x:c>
    </x:row>
    <x:row r="670" ht="42" customHeight="1">
      <x:c r="A670" s="215" t="str">
        <x:v>Ericaceae</x:v>
      </x:c>
      <x:c r="B670" s="215" t="str">
        <x:v>ERI-LEAVES</x:v>
      </x:c>
      <x:c r="C670" s="215" t="str">
        <x:v>Family character</x:v>
      </x:c>
      <x:c r="D670" s="215" t="str">
        <x:v>Leaves / stipules</x:v>
      </x:c>
      <x:c r="E670" s="215" t="str">
        <x:v>Leaves usually simple and without stipules, often alternate, evergreen, leathery, or small</x:v>
      </x:c>
      <x:c r="F670" s="215" t="str">
        <x:v>Strong</x:v>
      </x:c>
      <x:c r="G670" s="215" t="str">
        <x:v>3</x:v>
      </x:c>
      <x:c r="H670" s="215" t="str">
        <x:v>High</x:v>
      </x:c>
      <x:c r="I670" s="215" t="str">
        <x:v>Naked eye or hand lens</x:v>
      </x:c>
      <x:c r="J670" s="215" t="str">
        <x:v>Leafy shoots</x:v>
      </x:c>
      <x:c r="K670" s="215" t="str">
        <x:v>Many heaths have tough exstipulate leaves adapted to nutrient-poor sites.</x:v>
      </x:c>
      <x:c r="L670" s="215" t="str">
        <x:v>Leafless mycoheterotrophs and broader leaves are important exceptions.</x:v>
      </x:c>
      <x:c r="M670" s="215" t="str">
        <x:v>Use leaves only with flowers and anthers.</x:v>
      </x:c>
      <x:c r="N670" s="215" t="str">
        <x:v>Ericaceae appears species-poor and localized in the Hays inventory; exact county genera and records need explicit reconciliation before local claims are generalized.</x:v>
      </x:c>
      <x:c r="O670" s="215" t="str">
        <x:v>Low</x:v>
      </x:c>
      <x:c r="P670" s="215" t="str">
        <x:v>No</x:v>
      </x:c>
      <x:c r="Q670" s="215" t="str"/>
      <x:c r="R670" s="215" t="str"/>
      <x:c r="S670" s="215" t="str">
        <x:v>APWEB-ERIC; FNA-ERIC; POWO-ERIC; LBJ-HAYS</x:v>
      </x:c>
      <x:c r="T670" s="215" t="str">
        <x:v>https://www.mobot.org/MOBOT/research/APweb/orders/ericalesweb.htm</x:v>
      </x:c>
      <x:c r="U670" s="215" t="str">
        <x:v>https://floranorthamerica.org/Ericaceae</x:v>
      </x:c>
      <x:c r="V670" s="215" t="str">
        <x:v>https://powo.science.kew.org/taxon/urn:lsid:ipni.org:names:30000402-2/general-information</x:v>
      </x:c>
      <x:c r="W670" s="215" t="str">
        <x:v>https://www.mobot.org/MOBOT/research/APweb/orders/ericalesweb.htm
https://floranorthamerica.org/Ericaceae
https://powo.science.kew.org/taxon/urn:lsid:ipni.org:names:30000402-2/general-information
https://www.wildflower.org/collections/collection.php?collection=hays</x:v>
      </x:c>
      <x:c r="X670" s="215" t="str">
        <x:v>No — retain qualifiers and exceptions</x:v>
      </x:c>
      <x:c r="Y670" s="215" t="str">
        <x:v>Yes</x:v>
      </x:c>
      <x:c r="Z670" s="215" t="str">
        <x:v>Source-backed draft</x:v>
      </x:c>
      <x:c r="AA670" s="215" t="str">
        <x:v>Family pattern</x:v>
      </x:c>
      <x:c r="AB670" s="215" t="str">
        <x:v>Positive diagnostic</x:v>
      </x:c>
      <x:c r="AC670" s="215" t="str">
        <x:v>High</x:v>
      </x:c>
      <x:c r="AD670" s="215" t="str">
        <x:v>Hand lens / macro</x:v>
      </x:c>
      <x:c r="AE670" s="215" t="str">
        <x:v>Low</x:v>
      </x:c>
      <x:c r="AF670" s="215" t="str">
        <x:v>Field-ready draft</x:v>
      </x:c>
      <x:c r="AG670" s="215" t="str">
        <x:v>3 — Reference support</x:v>
      </x:c>
      <x:c r="AH670" s="215" t="str">
        <x:v>Current master inventory</x:v>
      </x:c>
    </x:row>
    <x:row r="671" ht="42" customHeight="1">
      <x:c r="A671" s="215" t="str">
        <x:v>Ericaceae</x:v>
      </x:c>
      <x:c r="B671" s="215" t="str">
        <x:v>ERI-MYCORRHIZA</x:v>
      </x:c>
      <x:c r="C671" s="215" t="str">
        <x:v>Family character</x:v>
      </x:c>
      <x:c r="D671" s="215" t="str">
        <x:v>Roots / ecology</x:v>
      </x:c>
      <x:c r="E671" s="215" t="str">
        <x:v>Strong mycorrhizal associations are characteristic; some lineages obtain much or all carbon through fungi</x:v>
      </x:c>
      <x:c r="F671" s="215" t="str">
        <x:v>Supporting</x:v>
      </x:c>
      <x:c r="G671" s="215" t="str">
        <x:v>0</x:v>
      </x:c>
      <x:c r="H671" s="215" t="str">
        <x:v>High</x:v>
      </x:c>
      <x:c r="I671" s="215" t="str">
        <x:v>Not field-visible</x:v>
      </x:c>
      <x:c r="J671" s="215" t="str">
        <x:v>Any material</x:v>
      </x:c>
      <x:c r="K671" s="215" t="str">
        <x:v>Fungal partnerships help the family occupy nutrient-poor soils.</x:v>
      </x:c>
      <x:c r="L671" s="215" t="str">
        <x:v>This is rarely visible in the field and must not justify excavation.</x:v>
      </x:c>
      <x:c r="M671" s="215" t="str">
        <x:v>Treat as ecological context, not a direct identification test.</x:v>
      </x:c>
      <x:c r="N671" s="215" t="str">
        <x:v>Ericaceae appears species-poor and localized in the Hays inventory; exact county genera and records need explicit reconciliation before local claims are generalized.</x:v>
      </x:c>
      <x:c r="O671" s="215" t="str">
        <x:v>Low</x:v>
      </x:c>
      <x:c r="P671" s="215" t="str">
        <x:v>No</x:v>
      </x:c>
      <x:c r="Q671" s="215" t="str"/>
      <x:c r="R671" s="215" t="str"/>
      <x:c r="S671" s="215" t="str">
        <x:v>APWEB-ERIC; FNA-ERIC; POWO-ERIC; LBJ-HAYS</x:v>
      </x:c>
      <x:c r="T671" s="215" t="str">
        <x:v>https://www.mobot.org/MOBOT/research/APweb/orders/ericalesweb.htm</x:v>
      </x:c>
      <x:c r="U671" s="215" t="str">
        <x:v>https://floranorthamerica.org/Ericaceae</x:v>
      </x:c>
      <x:c r="V671" s="215" t="str">
        <x:v>https://powo.science.kew.org/taxon/urn:lsid:ipni.org:names:30000402-2/general-information</x:v>
      </x:c>
      <x:c r="W671" s="215" t="str">
        <x:v>https://www.mobot.org/MOBOT/research/APweb/orders/ericalesweb.htm
https://floranorthamerica.org/Ericaceae
https://powo.science.kew.org/taxon/urn:lsid:ipni.org:names:30000402-2/general-information
https://www.wildflower.org/collections/collection.php?collection=hays</x:v>
      </x:c>
      <x:c r="X671" s="215" t="str">
        <x:v>No — retain qualifiers and exceptions</x:v>
      </x:c>
      <x:c r="Y671" s="215" t="str">
        <x:v>Yes</x:v>
      </x:c>
      <x:c r="Z671" s="215" t="str">
        <x:v>Source-backed draft</x:v>
      </x:c>
      <x:c r="AA671" s="215" t="str">
        <x:v>Family pattern</x:v>
      </x:c>
      <x:c r="AB671" s="215" t="str">
        <x:v>Supporting / route</x:v>
      </x:c>
      <x:c r="AC671" s="215" t="str">
        <x:v>High</x:v>
      </x:c>
      <x:c r="AD671" s="215" t="str">
        <x:v>Reference / method</x:v>
      </x:c>
      <x:c r="AE671" s="215" t="str">
        <x:v>Low</x:v>
      </x:c>
      <x:c r="AF671" s="215" t="str">
        <x:v>Specialist / reference</x:v>
      </x:c>
      <x:c r="AG671" s="215" t="str">
        <x:v>4 — Context / caution</x:v>
      </x:c>
      <x:c r="AH671" s="215" t="str">
        <x:v>Current master inventory</x:v>
      </x:c>
    </x:row>
    <x:row r="672" ht="42" customHeight="1">
      <x:c r="A672" s="215" t="str">
        <x:v>Ericaceae</x:v>
      </x:c>
      <x:c r="B672" s="215" t="str">
        <x:v>ERI-COROLLA</x:v>
      </x:c>
      <x:c r="C672" s="215" t="str">
        <x:v>Family character</x:v>
      </x:c>
      <x:c r="D672" s="215" t="str">
        <x:v>Flowers</x:v>
      </x:c>
      <x:c r="E672" s="215" t="str">
        <x:v>Corolla usually 4- or 5-lobed with fused petals, often urn-, bell-, or tube-shaped</x:v>
      </x:c>
      <x:c r="F672" s="215" t="str">
        <x:v>Strong</x:v>
      </x:c>
      <x:c r="G672" s="215" t="str">
        <x:v>4</x:v>
      </x:c>
      <x:c r="H672" s="215" t="str">
        <x:v>High</x:v>
      </x:c>
      <x:c r="I672" s="215" t="str">
        <x:v>Naked eye or hand lens</x:v>
      </x:c>
      <x:c r="J672" s="215" t="str">
        <x:v>Fresh flowers</x:v>
      </x:c>
      <x:c r="K672" s="215" t="str">
        <x:v>Many heath flowers look like small bells or urns.</x:v>
      </x:c>
      <x:c r="L672" s="215" t="str">
        <x:v>Petals may be separate or reduced in some lineages, and symmetry can be weakly bilateral.</x:v>
      </x:c>
      <x:c r="M672" s="215" t="str">
        <x:v>Use with anther opening and stamen count.</x:v>
      </x:c>
      <x:c r="N672" s="215" t="str">
        <x:v>Ericaceae appears species-poor and localized in the Hays inventory; exact county genera and records need explicit reconciliation before local claims are generalized.</x:v>
      </x:c>
      <x:c r="O672" s="215" t="str">
        <x:v>Low</x:v>
      </x:c>
      <x:c r="P672" s="215" t="str">
        <x:v>No</x:v>
      </x:c>
      <x:c r="Q672" s="215" t="str"/>
      <x:c r="R672" s="215" t="str">
        <x:v>ERI-LK01; ERI-LK02</x:v>
      </x:c>
      <x:c r="S672" s="215" t="str">
        <x:v>APWEB-ERIC; FNA-ERIC; POWO-ERIC; LBJ-HAYS</x:v>
      </x:c>
      <x:c r="T672" s="215" t="str">
        <x:v>https://www.mobot.org/MOBOT/research/APweb/orders/ericalesweb.htm</x:v>
      </x:c>
      <x:c r="U672" s="215" t="str">
        <x:v>https://floranorthamerica.org/Ericaceae</x:v>
      </x:c>
      <x:c r="V672" s="215" t="str">
        <x:v>https://powo.science.kew.org/taxon/urn:lsid:ipni.org:names:30000402-2/general-information</x:v>
      </x:c>
      <x:c r="W672" s="215" t="str">
        <x:v>https://www.mobot.org/MOBOT/research/APweb/orders/ericalesweb.htm
https://floranorthamerica.org/Ericaceae
https://powo.science.kew.org/taxon/urn:lsid:ipni.org:names:30000402-2/general-information
https://www.wildflower.org/collections/collection.php?collection=hays</x:v>
      </x:c>
      <x:c r="X672" s="215" t="str">
        <x:v>No — retain qualifiers and exceptions</x:v>
      </x:c>
      <x:c r="Y672" s="215" t="str">
        <x:v>Yes</x:v>
      </x:c>
      <x:c r="Z672" s="215" t="str">
        <x:v>Source-backed draft</x:v>
      </x:c>
      <x:c r="AA672" s="215" t="str">
        <x:v>Family pattern</x:v>
      </x:c>
      <x:c r="AB672" s="215" t="str">
        <x:v>Positive diagnostic</x:v>
      </x:c>
      <x:c r="AC672" s="215" t="str">
        <x:v>High</x:v>
      </x:c>
      <x:c r="AD672" s="215" t="str">
        <x:v>Hand lens / macro</x:v>
      </x:c>
      <x:c r="AE672" s="215" t="str">
        <x:v>Low</x:v>
      </x:c>
      <x:c r="AF672" s="215" t="str">
        <x:v>Field-ready draft</x:v>
      </x:c>
      <x:c r="AG672" s="215" t="str">
        <x:v>2 — Field-photo priority</x:v>
      </x:c>
      <x:c r="AH672" s="215" t="str">
        <x:v>Current master inventory</x:v>
      </x:c>
    </x:row>
    <x:row r="673" ht="42" customHeight="1">
      <x:c r="A673" s="215" t="str">
        <x:v>Ericaceae</x:v>
      </x:c>
      <x:c r="B673" s="215" t="str">
        <x:v>ERI-STAMENS</x:v>
      </x:c>
      <x:c r="C673" s="215" t="str">
        <x:v>Family character</x:v>
      </x:c>
      <x:c r="D673" s="215" t="str">
        <x:v>Stamens</x:v>
      </x:c>
      <x:c r="E673" s="215" t="str">
        <x:v>Stamens commonly twice the number of corolla lobes, often 8 or 10</x:v>
      </x:c>
      <x:c r="F673" s="215" t="str">
        <x:v>Strong</x:v>
      </x:c>
      <x:c r="G673" s="215" t="str">
        <x:v>4</x:v>
      </x:c>
      <x:c r="H673" s="215" t="str">
        <x:v>High</x:v>
      </x:c>
      <x:c r="I673" s="215" t="str">
        <x:v>Hand lens</x:v>
      </x:c>
      <x:c r="J673" s="215" t="str">
        <x:v>Fresh intact flowers</x:v>
      </x:c>
      <x:c r="K673" s="215" t="str">
        <x:v>A five-lobed flower with ten stamens strongly supports Ericaceae.</x:v>
      </x:c>
      <x:c r="L673" s="215" t="str">
        <x:v>Wind-pollinated or reduced lineages may have fewer stamens.</x:v>
      </x:c>
      <x:c r="M673" s="215" t="str">
        <x:v>Count intact anthers and retain exceptions.</x:v>
      </x:c>
      <x:c r="N673" s="215" t="str">
        <x:v>Ericaceae appears species-poor and localized in the Hays inventory; exact county genera and records need explicit reconciliation before local claims are generalized.</x:v>
      </x:c>
      <x:c r="O673" s="215" t="str">
        <x:v>Low</x:v>
      </x:c>
      <x:c r="P673" s="215" t="str">
        <x:v>No</x:v>
      </x:c>
      <x:c r="Q673" s="215" t="str"/>
      <x:c r="R673" s="215" t="str">
        <x:v>ERI-LK01; ERI-LK02</x:v>
      </x:c>
      <x:c r="S673" s="215" t="str">
        <x:v>APWEB-ERIC; FNA-ERIC; POWO-ERIC; LBJ-HAYS</x:v>
      </x:c>
      <x:c r="T673" s="215" t="str">
        <x:v>https://www.mobot.org/MOBOT/research/APweb/orders/ericalesweb.htm</x:v>
      </x:c>
      <x:c r="U673" s="215" t="str">
        <x:v>https://floranorthamerica.org/Ericaceae</x:v>
      </x:c>
      <x:c r="V673" s="215" t="str">
        <x:v>https://powo.science.kew.org/taxon/urn:lsid:ipni.org:names:30000402-2/general-information</x:v>
      </x:c>
      <x:c r="W673" s="215" t="str">
        <x:v>https://www.mobot.org/MOBOT/research/APweb/orders/ericalesweb.htm
https://floranorthamerica.org/Ericaceae
https://powo.science.kew.org/taxon/urn:lsid:ipni.org:names:30000402-2/general-information
https://www.wildflower.org/collections/collection.php?collection=hays</x:v>
      </x:c>
      <x:c r="X673" s="215" t="str">
        <x:v>No — retain qualifiers and exceptions</x:v>
      </x:c>
      <x:c r="Y673" s="215" t="str">
        <x:v>Yes</x:v>
      </x:c>
      <x:c r="Z673" s="215" t="str">
        <x:v>Source-backed draft</x:v>
      </x:c>
      <x:c r="AA673" s="215" t="str">
        <x:v>Family pattern</x:v>
      </x:c>
      <x:c r="AB673" s="215" t="str">
        <x:v>Positive diagnostic</x:v>
      </x:c>
      <x:c r="AC673" s="215" t="str">
        <x:v>High</x:v>
      </x:c>
      <x:c r="AD673" s="215" t="str">
        <x:v>Hand lens / macro</x:v>
      </x:c>
      <x:c r="AE673" s="215" t="str">
        <x:v>Low</x:v>
      </x:c>
      <x:c r="AF673" s="215" t="str">
        <x:v>Field-ready draft</x:v>
      </x:c>
      <x:c r="AG673" s="215" t="str">
        <x:v>2 — Field-photo priority</x:v>
      </x:c>
      <x:c r="AH673" s="215" t="str">
        <x:v>Current master inventory</x:v>
      </x:c>
    </x:row>
    <x:row r="674" ht="42" customHeight="1">
      <x:c r="A674" s="215" t="str">
        <x:v>Ericaceae</x:v>
      </x:c>
      <x:c r="B674" s="215" t="str">
        <x:v>ERI-ANTHERS</x:v>
      </x:c>
      <x:c r="C674" s="215" t="str">
        <x:v>Family character</x:v>
      </x:c>
      <x:c r="D674" s="215" t="str">
        <x:v>Anthers</x:v>
      </x:c>
      <x:c r="E674" s="215" t="str">
        <x:v>Anthers commonly invert during development and open by apical pores, often with awns or tubules</x:v>
      </x:c>
      <x:c r="F674" s="215" t="str">
        <x:v>Strong</x:v>
      </x:c>
      <x:c r="G674" s="215" t="str">
        <x:v>5</x:v>
      </x:c>
      <x:c r="H674" s="215" t="str">
        <x:v>High</x:v>
      </x:c>
      <x:c r="I674" s="215" t="str">
        <x:v>Hand lens</x:v>
      </x:c>
      <x:c r="J674" s="215" t="str">
        <x:v>Fresh flowers</x:v>
      </x:c>
      <x:c r="K674" s="215" t="str">
        <x:v>Pollen exits through small holes at the anther tips rather than long slits.</x:v>
      </x:c>
      <x:c r="L674" s="215" t="str">
        <x:v>Not every lineage has obvious pores or appendages.</x:v>
      </x:c>
      <x:c r="M674" s="215" t="str">
        <x:v>This is among the strongest floral characters when visible.</x:v>
      </x:c>
      <x:c r="N674" s="215" t="str">
        <x:v>Ericaceae appears species-poor and localized in the Hays inventory; exact county genera and records need explicit reconciliation before local claims are generalized.</x:v>
      </x:c>
      <x:c r="O674" s="215" t="str">
        <x:v>Low</x:v>
      </x:c>
      <x:c r="P674" s="215" t="str">
        <x:v>No</x:v>
      </x:c>
      <x:c r="Q674" s="215" t="str"/>
      <x:c r="R674" s="215" t="str"/>
      <x:c r="S674" s="215" t="str">
        <x:v>APWEB-ERIC; FNA-ERIC; POWO-ERIC; LBJ-HAYS</x:v>
      </x:c>
      <x:c r="T674" s="215" t="str">
        <x:v>https://www.mobot.org/MOBOT/research/APweb/orders/ericalesweb.htm</x:v>
      </x:c>
      <x:c r="U674" s="215" t="str">
        <x:v>https://floranorthamerica.org/Ericaceae</x:v>
      </x:c>
      <x:c r="V674" s="215" t="str">
        <x:v>https://powo.science.kew.org/taxon/urn:lsid:ipni.org:names:30000402-2/general-information</x:v>
      </x:c>
      <x:c r="W674" s="215" t="str">
        <x:v>https://www.mobot.org/MOBOT/research/APweb/orders/ericalesweb.htm
https://floranorthamerica.org/Ericaceae
https://powo.science.kew.org/taxon/urn:lsid:ipni.org:names:30000402-2/general-information
https://www.wildflower.org/collections/collection.php?collection=hays</x:v>
      </x:c>
      <x:c r="X674" s="215" t="str">
        <x:v>No — retain qualifiers and exceptions</x:v>
      </x:c>
      <x:c r="Y674" s="215" t="str">
        <x:v>Yes</x:v>
      </x:c>
      <x:c r="Z674" s="215" t="str">
        <x:v>Source-backed draft</x:v>
      </x:c>
      <x:c r="AA674" s="215" t="str">
        <x:v>Family pattern</x:v>
      </x:c>
      <x:c r="AB674" s="215" t="str">
        <x:v>Positive diagnostic</x:v>
      </x:c>
      <x:c r="AC674" s="215" t="str">
        <x:v>High</x:v>
      </x:c>
      <x:c r="AD674" s="215" t="str">
        <x:v>Hand lens / macro</x:v>
      </x:c>
      <x:c r="AE674" s="215" t="str">
        <x:v>Low</x:v>
      </x:c>
      <x:c r="AF674" s="215" t="str">
        <x:v>Field-ready draft</x:v>
      </x:c>
      <x:c r="AG674" s="215" t="str">
        <x:v>2 — Field-photo priority</x:v>
      </x:c>
      <x:c r="AH674" s="215" t="str">
        <x:v>Current master inventory</x:v>
      </x:c>
    </x:row>
    <x:row r="675" ht="42" customHeight="1">
      <x:c r="A675" s="215" t="str">
        <x:v>Ericaceae</x:v>
      </x:c>
      <x:c r="B675" s="215" t="str">
        <x:v>ERI-OVARY</x:v>
      </x:c>
      <x:c r="C675" s="215" t="str">
        <x:v>Family character</x:v>
      </x:c>
      <x:c r="D675" s="215" t="str">
        <x:v>Gynoecium</x:v>
      </x:c>
      <x:c r="E675" s="215" t="str">
        <x:v>Ovary superior to inferior, commonly 4–5-locular with axile or deeply intruded parietal placentation</x:v>
      </x:c>
      <x:c r="F675" s="215" t="str">
        <x:v>Caution</x:v>
      </x:c>
      <x:c r="G675" s="215" t="str">
        <x:v>2</x:v>
      </x:c>
      <x:c r="H675" s="215" t="str">
        <x:v>High</x:v>
      </x:c>
      <x:c r="I675" s="215" t="str">
        <x:v>Hand lens or dissection</x:v>
      </x:c>
      <x:c r="J675" s="215" t="str">
        <x:v>Fresh flowers</x:v>
      </x:c>
      <x:c r="K675" s="215" t="str">
        <x:v>Ovary position varies across subfamilies and helps reach genus.</x:v>
      </x:c>
      <x:c r="L675" s="215" t="str">
        <x:v>It cannot be coded as universally superior or inferior.</x:v>
      </x:c>
      <x:c r="M675" s="215" t="str">
        <x:v>Record the local lineage and combine with fruit type.</x:v>
      </x:c>
      <x:c r="N675" s="215" t="str">
        <x:v>Ericaceae appears species-poor and localized in the Hays inventory; exact county genera and records need explicit reconciliation before local claims are generalized.</x:v>
      </x:c>
      <x:c r="O675" s="215" t="str">
        <x:v>Medium</x:v>
      </x:c>
      <x:c r="P675" s="215" t="str">
        <x:v>No</x:v>
      </x:c>
      <x:c r="Q675" s="215" t="str"/>
      <x:c r="R675" s="215" t="str"/>
      <x:c r="S675" s="215" t="str">
        <x:v>APWEB-ERIC; FNA-ERIC; POWO-ERIC; LBJ-HAYS</x:v>
      </x:c>
      <x:c r="T675" s="215" t="str">
        <x:v>https://www.mobot.org/MOBOT/research/APweb/orders/ericalesweb.htm</x:v>
      </x:c>
      <x:c r="U675" s="215" t="str">
        <x:v>https://floranorthamerica.org/Ericaceae</x:v>
      </x:c>
      <x:c r="V675" s="215" t="str">
        <x:v>https://powo.science.kew.org/taxon/urn:lsid:ipni.org:names:30000402-2/general-information</x:v>
      </x:c>
      <x:c r="W675" s="215" t="str">
        <x:v>https://www.mobot.org/MOBOT/research/APweb/orders/ericalesweb.htm
https://floranorthamerica.org/Ericaceae
https://powo.science.kew.org/taxon/urn:lsid:ipni.org:names:30000402-2/general-information
https://www.wildflower.org/collections/collection.php?collection=hays</x:v>
      </x:c>
      <x:c r="X675" s="215" t="str">
        <x:v>No — retain qualifiers and exceptions</x:v>
      </x:c>
      <x:c r="Y675" s="215" t="str">
        <x:v>Yes</x:v>
      </x:c>
      <x:c r="Z675" s="215" t="str">
        <x:v>Source-backed draft</x:v>
      </x:c>
      <x:c r="AA675" s="215" t="str">
        <x:v>Family pattern</x:v>
      </x:c>
      <x:c r="AB675" s="215" t="str">
        <x:v>Caution / negative rule</x:v>
      </x:c>
      <x:c r="AC675" s="215" t="str">
        <x:v>High</x:v>
      </x:c>
      <x:c r="AD675" s="215" t="str">
        <x:v>Dissection</x:v>
      </x:c>
      <x:c r="AE675" s="215" t="str">
        <x:v>Moderate</x:v>
      </x:c>
      <x:c r="AF675" s="215" t="str">
        <x:v>Dissection / close study</x:v>
      </x:c>
      <x:c r="AG675" s="215" t="str">
        <x:v>4 — Context / caution</x:v>
      </x:c>
      <x:c r="AH675" s="215" t="str">
        <x:v>Current master inventory</x:v>
      </x:c>
    </x:row>
    <x:row r="676" ht="42" customHeight="1">
      <x:c r="A676" s="215" t="str">
        <x:v>Ericaceae</x:v>
      </x:c>
      <x:c r="B676" s="215" t="str">
        <x:v>ERI-FRUIT</x:v>
      </x:c>
      <x:c r="C676" s="215" t="str">
        <x:v>Family character</x:v>
      </x:c>
      <x:c r="D676" s="215" t="str">
        <x:v>Fruit</x:v>
      </x:c>
      <x:c r="E676" s="215" t="str">
        <x:v>Fruit a capsule, berry, or drupe depending on lineage</x:v>
      </x:c>
      <x:c r="F676" s="215" t="str">
        <x:v>Strong</x:v>
      </x:c>
      <x:c r="G676" s="215" t="str">
        <x:v>3</x:v>
      </x:c>
      <x:c r="H676" s="215" t="str">
        <x:v>High</x:v>
      </x:c>
      <x:c r="I676" s="215" t="str">
        <x:v>Naked eye or hand lens</x:v>
      </x:c>
      <x:c r="J676" s="215" t="str">
        <x:v>Mature fruit</x:v>
      </x:c>
      <x:c r="K676" s="215" t="str">
        <x:v>Blueberries and dry-capsuled heaths belong to the same broad family.</x:v>
      </x:c>
      <x:c r="L676" s="215" t="str">
        <x:v>Fruit type is lineage-specific, not family-universal.</x:v>
      </x:c>
      <x:c r="M676" s="215" t="str">
        <x:v>Use fruit to refine the genus after anther characters establish the family.</x:v>
      </x:c>
      <x:c r="N676" s="215" t="str">
        <x:v>Ericaceae appears species-poor and localized in the Hays inventory; exact county genera and records need explicit reconciliation before local claims are generalized.</x:v>
      </x:c>
      <x:c r="O676" s="215" t="str">
        <x:v>Low</x:v>
      </x:c>
      <x:c r="P676" s="215" t="str">
        <x:v>No</x:v>
      </x:c>
      <x:c r="Q676" s="215" t="str"/>
      <x:c r="R676" s="215" t="str"/>
      <x:c r="S676" s="215" t="str">
        <x:v>APWEB-ERIC; FNA-ERIC; POWO-ERIC; LBJ-HAYS</x:v>
      </x:c>
      <x:c r="T676" s="215" t="str">
        <x:v>https://www.mobot.org/MOBOT/research/APweb/orders/ericalesweb.htm</x:v>
      </x:c>
      <x:c r="U676" s="215" t="str">
        <x:v>https://floranorthamerica.org/Ericaceae</x:v>
      </x:c>
      <x:c r="V676" s="215" t="str">
        <x:v>https://powo.science.kew.org/taxon/urn:lsid:ipni.org:names:30000402-2/general-information</x:v>
      </x:c>
      <x:c r="W676" s="215" t="str">
        <x:v>https://www.mobot.org/MOBOT/research/APweb/orders/ericalesweb.htm
https://floranorthamerica.org/Ericaceae
https://powo.science.kew.org/taxon/urn:lsid:ipni.org:names:30000402-2/general-information
https://www.wildflower.org/collections/collection.php?collection=hays</x:v>
      </x:c>
      <x:c r="X676" s="215" t="str">
        <x:v>No — retain qualifiers and exceptions</x:v>
      </x:c>
      <x:c r="Y676" s="215" t="str">
        <x:v>Yes</x:v>
      </x:c>
      <x:c r="Z676" s="215" t="str">
        <x:v>Source-backed draft</x:v>
      </x:c>
      <x:c r="AA676" s="215" t="str">
        <x:v>Family pattern</x:v>
      </x:c>
      <x:c r="AB676" s="215" t="str">
        <x:v>Positive diagnostic</x:v>
      </x:c>
      <x:c r="AC676" s="215" t="str">
        <x:v>High</x:v>
      </x:c>
      <x:c r="AD676" s="215" t="str">
        <x:v>Hand lens / macro</x:v>
      </x:c>
      <x:c r="AE676" s="215" t="str">
        <x:v>Low</x:v>
      </x:c>
      <x:c r="AF676" s="215" t="str">
        <x:v>Field-ready draft</x:v>
      </x:c>
      <x:c r="AG676" s="215" t="str">
        <x:v>3 — Reference support</x:v>
      </x:c>
      <x:c r="AH676" s="215" t="str">
        <x:v>Current master inventory</x:v>
      </x:c>
    </x:row>
    <x:row r="677" ht="42" customHeight="1">
      <x:c r="A677" s="215" t="str">
        <x:v>Ericaceae</x:v>
      </x:c>
      <x:c r="B677" s="215" t="str">
        <x:v>ERI-POLLEN</x:v>
      </x:c>
      <x:c r="C677" s="215" t="str">
        <x:v>Family character</x:v>
      </x:c>
      <x:c r="D677" s="215" t="str">
        <x:v>Pollen</x:v>
      </x:c>
      <x:c r="E677" s="215" t="str">
        <x:v>Pollen grains commonly shed in tetrads and may be linked by viscin threads</x:v>
      </x:c>
      <x:c r="F677" s="215" t="str">
        <x:v>Supporting</x:v>
      </x:c>
      <x:c r="G677" s="215" t="str">
        <x:v>1</x:v>
      </x:c>
      <x:c r="H677" s="215" t="str">
        <x:v>High</x:v>
      </x:c>
      <x:c r="I677" s="215" t="str">
        <x:v>Microscope</x:v>
      </x:c>
      <x:c r="J677" s="215" t="str">
        <x:v>Fresh anthers</x:v>
      </x:c>
      <x:c r="K677" s="215" t="str">
        <x:v>Pollen often travels in groups of four rather than single grains.</x:v>
      </x:c>
      <x:c r="L677" s="215" t="str">
        <x:v>This requires microscopy and is not universal.</x:v>
      </x:c>
      <x:c r="M677" s="215" t="str">
        <x:v>Use only as laboratory confirmation.</x:v>
      </x:c>
      <x:c r="N677" s="215" t="str">
        <x:v>Ericaceae appears species-poor and localized in the Hays inventory; exact county genera and records need explicit reconciliation before local claims are generalized.</x:v>
      </x:c>
      <x:c r="O677" s="215" t="str">
        <x:v>Low</x:v>
      </x:c>
      <x:c r="P677" s="215" t="str">
        <x:v>No</x:v>
      </x:c>
      <x:c r="Q677" s="215" t="str"/>
      <x:c r="R677" s="215" t="str"/>
      <x:c r="S677" s="215" t="str">
        <x:v>APWEB-ERIC; FNA-ERIC; POWO-ERIC; LBJ-HAYS</x:v>
      </x:c>
      <x:c r="T677" s="215" t="str">
        <x:v>https://www.mobot.org/MOBOT/research/APweb/orders/ericalesweb.htm</x:v>
      </x:c>
      <x:c r="U677" s="215" t="str">
        <x:v>https://floranorthamerica.org/Ericaceae</x:v>
      </x:c>
      <x:c r="V677" s="215" t="str">
        <x:v>https://powo.science.kew.org/taxon/urn:lsid:ipni.org:names:30000402-2/general-information</x:v>
      </x:c>
      <x:c r="W677" s="215" t="str">
        <x:v>https://www.mobot.org/MOBOT/research/APweb/orders/ericalesweb.htm
https://floranorthamerica.org/Ericaceae
https://powo.science.kew.org/taxon/urn:lsid:ipni.org:names:30000402-2/general-information
https://www.wildflower.org/collections/collection.php?collection=hays</x:v>
      </x:c>
      <x:c r="X677" s="215" t="str">
        <x:v>No — retain qualifiers and exceptions</x:v>
      </x:c>
      <x:c r="Y677" s="215" t="str">
        <x:v>Yes</x:v>
      </x:c>
      <x:c r="Z677" s="215" t="str">
        <x:v>Source-backed draft</x:v>
      </x:c>
      <x:c r="AA677" s="215" t="str">
        <x:v>Family pattern</x:v>
      </x:c>
      <x:c r="AB677" s="215" t="str">
        <x:v>Supporting / route</x:v>
      </x:c>
      <x:c r="AC677" s="215" t="str">
        <x:v>High</x:v>
      </x:c>
      <x:c r="AD677" s="215" t="str">
        <x:v>Microscope</x:v>
      </x:c>
      <x:c r="AE677" s="215" t="str">
        <x:v>Low</x:v>
      </x:c>
      <x:c r="AF677" s="215" t="str">
        <x:v>Specialist / reference</x:v>
      </x:c>
      <x:c r="AG677" s="215" t="str">
        <x:v>4 — Context / caution</x:v>
      </x:c>
      <x:c r="AH677" s="215" t="str">
        <x:v>Current master inventory</x:v>
      </x:c>
    </x:row>
    <x:row r="678" ht="42" customHeight="1">
      <x:c r="A678" s="215" t="str">
        <x:v>Ericaceae</x:v>
      </x:c>
      <x:c r="B678" s="215" t="str">
        <x:v>ERI-LOCAL</x:v>
      </x:c>
      <x:c r="C678" s="215" t="str">
        <x:v>Local inventory reconciliation</x:v>
      </x:c>
      <x:c r="D678" s="215" t="str">
        <x:v>Local occurrence / inventory</x:v>
      </x:c>
      <x:c r="E678" s="215" t="str">
        <x:v>Exact Ericaceae genera demonstrably present in Hays County remain to be reconciled against the carried inventory and county vouchers</x:v>
      </x:c>
      <x:c r="F678" s="215" t="str">
        <x:v>Caution</x:v>
      </x:c>
      <x:c r="G678" s="215" t="str">
        <x:v>0</x:v>
      </x:c>
      <x:c r="H678" s="215" t="str">
        <x:v>High</x:v>
      </x:c>
      <x:c r="I678" s="215" t="str">
        <x:v>Not field-visible</x:v>
      </x:c>
      <x:c r="J678" s="215" t="str">
        <x:v>Any material</x:v>
      </x:c>
      <x:c r="K678" s="215" t="str">
        <x:v>Regional family occurrence does not by itself prove each heath-family lineage in Hays.</x:v>
      </x:c>
      <x:c r="L678" s="215" t="str">
        <x:v>The LBJ Hays endpoint remains difficult to audit automatically and Ericaceae is locally sparse.</x:v>
      </x:c>
      <x:c r="M678" s="215" t="str">
        <x:v>Keep family characters but require genus-level county confirmation before deployment as Hays-specific evidence.</x:v>
      </x:c>
      <x:c r="N678" s="215" t="str">
        <x:v>Ericaceae appears species-poor and localized in the Hays inventory; exact county genera and records need explicit reconciliation before local claims are generalized.</x:v>
      </x:c>
      <x:c r="O678" s="215" t="str">
        <x:v>Medium</x:v>
      </x:c>
      <x:c r="P678" s="215" t="str">
        <x:v>Yes</x:v>
      </x:c>
      <x:c r="Q678" s="215" t="str">
        <x:v>Exact Hays County Ericaceae genera and voucher basis require authoritative inventory reconciliation.</x:v>
      </x:c>
      <x:c r="R678" s="215" t="str"/>
      <x:c r="S678" s="215" t="str">
        <x:v>APWEB-ERIC; FNA-ERIC; POWO-ERIC; LBJ-HAYS</x:v>
      </x:c>
      <x:c r="T678" s="215" t="str">
        <x:v>https://www.mobot.org/MOBOT/research/APweb/orders/ericalesweb.htm</x:v>
      </x:c>
      <x:c r="U678" s="215" t="str">
        <x:v>https://floranorthamerica.org/Ericaceae</x:v>
      </x:c>
      <x:c r="V678" s="215" t="str">
        <x:v>https://powo.science.kew.org/taxon/urn:lsid:ipni.org:names:30000402-2/general-information</x:v>
      </x:c>
      <x:c r="W678" s="215" t="str">
        <x:v>https://www.mobot.org/MOBOT/research/APweb/orders/ericalesweb.htm
https://floranorthamerica.org/Ericaceae
https://powo.science.kew.org/taxon/urn:lsid:ipni.org:names:30000402-2/general-information
https://www.wildflower.org/collections/collection.php?collection=hays</x:v>
      </x:c>
      <x:c r="X678" s="215" t="str">
        <x:v>No — retain qualifiers and exceptions</x:v>
      </x:c>
      <x:c r="Y678" s="215" t="str">
        <x:v>Yes</x:v>
      </x:c>
      <x:c r="Z678" s="215" t="str">
        <x:v>Human review required</x:v>
      </x:c>
      <x:c r="AA678" s="215" t="str">
        <x:v>Other qualified pattern</x:v>
      </x:c>
      <x:c r="AB678" s="215" t="str">
        <x:v>Caution / negative rule</x:v>
      </x:c>
      <x:c r="AC678" s="215" t="str">
        <x:v>High</x:v>
      </x:c>
      <x:c r="AD678" s="215" t="str">
        <x:v>Reference / method</x:v>
      </x:c>
      <x:c r="AE678" s="215" t="str">
        <x:v>Moderate</x:v>
      </x:c>
      <x:c r="AF678" s="215" t="str">
        <x:v>Use only after review</x:v>
      </x:c>
      <x:c r="AG678" s="215" t="str">
        <x:v>1 — Human review now</x:v>
      </x:c>
      <x:c r="AH678" s="215" t="str">
        <x:v>Current master inventory</x:v>
      </x:c>
    </x:row>
    <x:row r="679" ht="42" customHeight="1">
      <x:c r="A679" s="215" t="str">
        <x:v>Ericaceae</x:v>
      </x:c>
      <x:c r="B679" s="215" t="str">
        <x:v>ERI-LK01</x:v>
      </x:c>
      <x:c r="C679" s="215" t="str">
        <x:v>Lookalike comparison</x:v>
      </x:c>
      <x:c r="D679" s="215" t="str">
        <x:v>Lookalike</x:v>
      </x:c>
      <x:c r="E679" s="215" t="str">
        <x:v>Versus Primulaceae: 8–10 often poricidal stamens favor Ericaceae; five stamens opposite the corolla lobes favor many Primulaceae</x:v>
      </x:c>
      <x:c r="F679" s="215" t="str">
        <x:v>Lookalike</x:v>
      </x:c>
      <x:c r="G679" s="215" t="str">
        <x:v>5</x:v>
      </x:c>
      <x:c r="H679" s="215" t="str">
        <x:v>High</x:v>
      </x:c>
      <x:c r="I679" s="215" t="str">
        <x:v>Naked eye or hand lens</x:v>
      </x:c>
      <x:c r="J679" s="215" t="str">
        <x:v>Fresh flowers</x:v>
      </x:c>
      <x:c r="K679" s="215" t="str">
        <x:v>Both can have fused bell- or wheel-shaped corollas.</x:v>
      </x:c>
      <x:c r="L679" s="215" t="str">
        <x:v>Broad Ericaceae and Primulaceae contain exceptions.</x:v>
      </x:c>
      <x:c r="M679" s="215" t="str">
        <x:v>Count stamens and inspect how anthers open.</x:v>
      </x:c>
      <x:c r="N679" s="215" t="str">
        <x:v>Ericaceae appears species-poor and localized in the Hays inventory; exact county genera and records need explicit reconciliation before local claims are generalized.</x:v>
      </x:c>
      <x:c r="O679" s="215" t="str">
        <x:v>Low</x:v>
      </x:c>
      <x:c r="P679" s="215" t="str">
        <x:v>No</x:v>
      </x:c>
      <x:c r="Q679" s="215" t="str"/>
      <x:c r="R679" s="215" t="str">
        <x:v>ERI-COROLLA; ERI-STAMENS; ERI-ANTHERS</x:v>
      </x:c>
      <x:c r="S679" s="215" t="str">
        <x:v>APWEB-ERIC; FNA-ERIC; POWO-ERIC; LBJ-HAYS</x:v>
      </x:c>
      <x:c r="T679" s="215" t="str">
        <x:v>https://www.mobot.org/MOBOT/research/APweb/orders/ericalesweb.htm</x:v>
      </x:c>
      <x:c r="U679" s="215" t="str">
        <x:v>https://floranorthamerica.org/Ericaceae</x:v>
      </x:c>
      <x:c r="V679" s="215" t="str">
        <x:v>https://powo.science.kew.org/taxon/urn:lsid:ipni.org:names:30000402-2/general-information</x:v>
      </x:c>
      <x:c r="W679" s="215" t="str">
        <x:v>https://www.mobot.org/MOBOT/research/APweb/orders/ericalesweb.htm
https://floranorthamerica.org/Ericaceae
https://powo.science.kew.org/taxon/urn:lsid:ipni.org:names:30000402-2/general-information
https://www.wildflower.org/collections/collection.php?collection=hays</x:v>
      </x:c>
      <x:c r="X679" s="215" t="str">
        <x:v>No — retain qualifiers and exceptions</x:v>
      </x:c>
      <x:c r="Y679" s="215" t="str">
        <x:v>Yes</x:v>
      </x:c>
      <x:c r="Z679" s="215" t="str">
        <x:v>Source-backed draft</x:v>
      </x:c>
      <x:c r="AA679" s="215" t="str">
        <x:v>Lookalike comparison</x:v>
      </x:c>
      <x:c r="AB679" s="215" t="str">
        <x:v>Contrast / lookalike</x:v>
      </x:c>
      <x:c r="AC679" s="215" t="str">
        <x:v>High</x:v>
      </x:c>
      <x:c r="AD679" s="215" t="str">
        <x:v>Hand lens / macro</x:v>
      </x:c>
      <x:c r="AE679" s="215" t="str">
        <x:v>Low</x:v>
      </x:c>
      <x:c r="AF679" s="215" t="str">
        <x:v>Field-ready draft</x:v>
      </x:c>
      <x:c r="AG679" s="215" t="str">
        <x:v>2 — Field-photo priority</x:v>
      </x:c>
      <x:c r="AH679" s="215" t="str">
        <x:v>Current master inventory</x:v>
      </x:c>
    </x:row>
    <x:row r="680" ht="42" customHeight="1">
      <x:c r="A680" s="215" t="str">
        <x:v>Ericaceae</x:v>
      </x:c>
      <x:c r="B680" s="215" t="str">
        <x:v>ERI-LK02</x:v>
      </x:c>
      <x:c r="C680" s="215" t="str">
        <x:v>Lookalike comparison</x:v>
      </x:c>
      <x:c r="D680" s="215" t="str">
        <x:v>Lookalike</x:v>
      </x:c>
      <x:c r="E680" s="215" t="str">
        <x:v>Versus Solanaceae: 8–10 often poricidal stamens and exstipulate woody habit favor many Ericaceae; five stamens alternating with corolla lobes favor Solanaceae</x:v>
      </x:c>
      <x:c r="F680" s="215" t="str">
        <x:v>Lookalike</x:v>
      </x:c>
      <x:c r="G680" s="215" t="str">
        <x:v>5</x:v>
      </x:c>
      <x:c r="H680" s="215" t="str">
        <x:v>High</x:v>
      </x:c>
      <x:c r="I680" s="215" t="str">
        <x:v>Naked eye or hand lens</x:v>
      </x:c>
      <x:c r="J680" s="215" t="str">
        <x:v>Fresh flowers</x:v>
      </x:c>
      <x:c r="K680" s="215" t="str">
        <x:v>Both may have fused corollas, berries, and poricidal anthers in some genera.</x:v>
      </x:c>
      <x:c r="L680" s="215" t="str">
        <x:v>Poricidal anthers also occur in Solanum, so stamen number and habit must be combined.</x:v>
      </x:c>
      <x:c r="M680" s="215" t="str">
        <x:v>Use a weighted flower-and-habit suite, never pores alone.</x:v>
      </x:c>
      <x:c r="N680" s="215" t="str">
        <x:v>Ericaceae appears species-poor and localized in the Hays inventory; exact county genera and records need explicit reconciliation before local claims are generalized.</x:v>
      </x:c>
      <x:c r="O680" s="215" t="str">
        <x:v>Low</x:v>
      </x:c>
      <x:c r="P680" s="215" t="str">
        <x:v>No</x:v>
      </x:c>
      <x:c r="Q680" s="215" t="str"/>
      <x:c r="R680" s="215" t="str">
        <x:v>ERI-HABIT; ERI-COROLLA; ERI-STAMENS; ERI-ANTHERS</x:v>
      </x:c>
      <x:c r="S680" s="215" t="str">
        <x:v>APWEB-ERIC; FNA-ERIC; POWO-ERIC; LBJ-HAYS</x:v>
      </x:c>
      <x:c r="T680" s="215" t="str">
        <x:v>https://www.mobot.org/MOBOT/research/APweb/orders/ericalesweb.htm</x:v>
      </x:c>
      <x:c r="U680" s="215" t="str">
        <x:v>https://floranorthamerica.org/Ericaceae</x:v>
      </x:c>
      <x:c r="V680" s="215" t="str">
        <x:v>https://powo.science.kew.org/taxon/urn:lsid:ipni.org:names:30000402-2/general-information</x:v>
      </x:c>
      <x:c r="W680" s="215" t="str">
        <x:v>https://www.mobot.org/MOBOT/research/APweb/orders/ericalesweb.htm
https://floranorthamerica.org/Ericaceae
https://powo.science.kew.org/taxon/urn:lsid:ipni.org:names:30000402-2/general-information
https://www.wildflower.org/collections/collection.php?collection=hays</x:v>
      </x:c>
      <x:c r="X680" s="215" t="str">
        <x:v>No — retain qualifiers and exceptions</x:v>
      </x:c>
      <x:c r="Y680" s="215" t="str">
        <x:v>Yes</x:v>
      </x:c>
      <x:c r="Z680" s="215" t="str">
        <x:v>Source-backed draft</x:v>
      </x:c>
      <x:c r="AA680" s="215" t="str">
        <x:v>Lookalike comparison</x:v>
      </x:c>
      <x:c r="AB680" s="215" t="str">
        <x:v>Contrast / lookalike</x:v>
      </x:c>
      <x:c r="AC680" s="215" t="str">
        <x:v>High</x:v>
      </x:c>
      <x:c r="AD680" s="215" t="str">
        <x:v>Hand lens / macro</x:v>
      </x:c>
      <x:c r="AE680" s="215" t="str">
        <x:v>Low</x:v>
      </x:c>
      <x:c r="AF680" s="215" t="str">
        <x:v>Field-ready draft</x:v>
      </x:c>
      <x:c r="AG680" s="215" t="str">
        <x:v>2 — Field-photo priority</x:v>
      </x:c>
      <x:c r="AH680" s="215" t="str">
        <x:v>Current master inventory</x:v>
      </x:c>
    </x:row>
    <x:row r="681" ht="42" customHeight="1">
      <x:c r="A681" s="215" t="str">
        <x:v>Cupressaceae</x:v>
      </x:c>
      <x:c r="B681" s="215" t="str">
        <x:v>CUP-HABIT</x:v>
      </x:c>
      <x:c r="C681" s="215" t="str">
        <x:v>Family character</x:v>
      </x:c>
      <x:c r="D681" s="215" t="str">
        <x:v>Habit</x:v>
      </x:c>
      <x:c r="E681" s="215" t="str">
        <x:v>Resinous, aromatic trees or shrubs, usually evergreen</x:v>
      </x:c>
      <x:c r="F681" s="215" t="str">
        <x:v>Strong</x:v>
      </x:c>
      <x:c r="G681" s="215" t="str">
        <x:v>2</x:v>
      </x:c>
      <x:c r="H681" s="215" t="str">
        <x:v>High</x:v>
      </x:c>
      <x:c r="I681" s="215" t="str">
        <x:v>Naked eye</x:v>
      </x:c>
      <x:c r="J681" s="215" t="str">
        <x:v>Any material</x:v>
      </x:c>
      <x:c r="K681" s="215" t="str">
        <x:v>The local family is woody and commonly smells resinous when naturally bruised.</x:v>
      </x:c>
      <x:c r="L681" s="215" t="str">
        <x:v>Taxodium is deciduous and odor strength varies.</x:v>
      </x:c>
      <x:c r="M681" s="215" t="str">
        <x:v>Use woody conifer habit only as an opening filter.</x:v>
      </x:c>
      <x:c r="N681" s="215" t="str">
        <x:v>Ashe juniper and related cypress-family trees are conspicuous components of Hays County limestone uplands and wooded slopes.</x:v>
      </x:c>
      <x:c r="O681" s="215" t="str">
        <x:v>Low</x:v>
      </x:c>
      <x:c r="P681" s="215" t="str">
        <x:v>No</x:v>
      </x:c>
      <x:c r="Q681" s="215" t="str"/>
      <x:c r="R681" s="215" t="str"/>
      <x:c r="S681" s="215" t="str">
        <x:v>APWEB-CUPR; FNA-CUPR; POWO-CUPR; LBJ-HAYS</x:v>
      </x:c>
      <x:c r="T681" s="215" t="str">
        <x:v>https://www.mobot.org/MOBOT/research/APweb/orders/cupressalesweb.html</x:v>
      </x:c>
      <x:c r="U681" s="215" t="str">
        <x:v>https://floranorthamerica.org/Cupressaceae</x:v>
      </x:c>
      <x:c r="V681" s="215" t="str">
        <x:v>https://powo.science.kew.org/taxon/urn:lsid:ipni.org:names:77126767-1/general-information</x:v>
      </x:c>
      <x:c r="W681" s="215" t="str">
        <x:v>https://www.mobot.org/MOBOT/research/APweb/orders/cupressalesweb.html
https://floranorthamerica.org/Cupressaceae
https://powo.science.kew.org/taxon/urn:lsid:ipni.org:names:77126767-1/general-information
https://www.wildflower.org/collections/collection.php?collection=hays</x:v>
      </x:c>
      <x:c r="X681" s="215" t="str">
        <x:v>No — retain qualifiers and exceptions</x:v>
      </x:c>
      <x:c r="Y681" s="215" t="str">
        <x:v>Yes</x:v>
      </x:c>
      <x:c r="Z681" s="215" t="str">
        <x:v>Source-backed draft</x:v>
      </x:c>
      <x:c r="AA681" s="215" t="str">
        <x:v>Family pattern</x:v>
      </x:c>
      <x:c r="AB681" s="215" t="str">
        <x:v>Positive diagnostic</x:v>
      </x:c>
      <x:c r="AC681" s="215" t="str">
        <x:v>High</x:v>
      </x:c>
      <x:c r="AD681" s="215" t="str">
        <x:v>Naked eye / field</x:v>
      </x:c>
      <x:c r="AE681" s="215" t="str">
        <x:v>Low</x:v>
      </x:c>
      <x:c r="AF681" s="215" t="str">
        <x:v>Field-ready draft</x:v>
      </x:c>
      <x:c r="AG681" s="215" t="str">
        <x:v>4 — Context / caution</x:v>
      </x:c>
      <x:c r="AH681" s="215" t="str">
        <x:v>Current master inventory</x:v>
      </x:c>
    </x:row>
    <x:row r="682" ht="42" customHeight="1">
      <x:c r="A682" s="215" t="str">
        <x:v>Cupressaceae</x:v>
      </x:c>
      <x:c r="B682" s="215" t="str">
        <x:v>CUP-BARK</x:v>
      </x:c>
      <x:c r="C682" s="215" t="str">
        <x:v>Family character</x:v>
      </x:c>
      <x:c r="D682" s="215" t="str">
        <x:v>Stem / bark</x:v>
      </x:c>
      <x:c r="E682" s="215" t="str">
        <x:v>Bark commonly fibrous, furrowed, shredding, or exfoliating in strips or plates</x:v>
      </x:c>
      <x:c r="F682" s="215" t="str">
        <x:v>Supporting</x:v>
      </x:c>
      <x:c r="G682" s="215" t="str">
        <x:v>2</x:v>
      </x:c>
      <x:c r="H682" s="215" t="str">
        <x:v>High</x:v>
      </x:c>
      <x:c r="I682" s="215" t="str">
        <x:v>Naked eye</x:v>
      </x:c>
      <x:c r="J682" s="215" t="str">
        <x:v>Mature stems</x:v>
      </x:c>
      <x:c r="K682" s="215" t="str">
        <x:v>Stringy bark supports a cypress-family identification.</x:v>
      </x:c>
      <x:c r="L682" s="215" t="str">
        <x:v>Young bark and some species are smooth or plate-like.</x:v>
      </x:c>
      <x:c r="M682" s="215" t="str">
        <x:v>Combine bark with foliage and cones.</x:v>
      </x:c>
      <x:c r="N682" s="215" t="str">
        <x:v>Ashe juniper and related cypress-family trees are conspicuous components of Hays County limestone uplands and wooded slopes.</x:v>
      </x:c>
      <x:c r="O682" s="215" t="str">
        <x:v>Low</x:v>
      </x:c>
      <x:c r="P682" s="215" t="str">
        <x:v>No</x:v>
      </x:c>
      <x:c r="Q682" s="215" t="str"/>
      <x:c r="R682" s="215" t="str"/>
      <x:c r="S682" s="215" t="str">
        <x:v>APWEB-CUPR; FNA-CUPR; POWO-CUPR; LBJ-HAYS</x:v>
      </x:c>
      <x:c r="T682" s="215" t="str">
        <x:v>https://www.mobot.org/MOBOT/research/APweb/orders/cupressalesweb.html</x:v>
      </x:c>
      <x:c r="U682" s="215" t="str">
        <x:v>https://floranorthamerica.org/Cupressaceae</x:v>
      </x:c>
      <x:c r="V682" s="215" t="str">
        <x:v>https://powo.science.kew.org/taxon/urn:lsid:ipni.org:names:77126767-1/general-information</x:v>
      </x:c>
      <x:c r="W682" s="215" t="str">
        <x:v>https://www.mobot.org/MOBOT/research/APweb/orders/cupressalesweb.html
https://floranorthamerica.org/Cupressaceae
https://powo.science.kew.org/taxon/urn:lsid:ipni.org:names:77126767-1/general-information
https://www.wildflower.org/collections/collection.php?collection=hays</x:v>
      </x:c>
      <x:c r="X682" s="215" t="str">
        <x:v>No — retain qualifiers and exceptions</x:v>
      </x:c>
      <x:c r="Y682" s="215" t="str">
        <x:v>Yes</x:v>
      </x:c>
      <x:c r="Z682" s="215" t="str">
        <x:v>Source-backed draft</x:v>
      </x:c>
      <x:c r="AA682" s="215" t="str">
        <x:v>Family pattern</x:v>
      </x:c>
      <x:c r="AB682" s="215" t="str">
        <x:v>Supporting / route</x:v>
      </x:c>
      <x:c r="AC682" s="215" t="str">
        <x:v>High</x:v>
      </x:c>
      <x:c r="AD682" s="215" t="str">
        <x:v>Naked eye / field</x:v>
      </x:c>
      <x:c r="AE682" s="215" t="str">
        <x:v>Low</x:v>
      </x:c>
      <x:c r="AF682" s="215" t="str">
        <x:v>Field-ready draft</x:v>
      </x:c>
      <x:c r="AG682" s="215" t="str">
        <x:v>4 — Context / caution</x:v>
      </x:c>
      <x:c r="AH682" s="215" t="str">
        <x:v>Current master inventory</x:v>
      </x:c>
    </x:row>
    <x:row r="683" ht="42" customHeight="1">
      <x:c r="A683" s="215" t="str">
        <x:v>Cupressaceae</x:v>
      </x:c>
      <x:c r="B683" s="215" t="str">
        <x:v>CUP-LEAVES</x:v>
      </x:c>
      <x:c r="C683" s="215" t="str">
        <x:v>Family character</x:v>
      </x:c>
      <x:c r="D683" s="215" t="str">
        <x:v>Leaves</x:v>
      </x:c>
      <x:c r="E683" s="215" t="str">
        <x:v>Leaves simple and 1-veined, usually scale-like, opposite in four ranks or whorled; some lineages have alternate linear leaves</x:v>
      </x:c>
      <x:c r="F683" s="215" t="str">
        <x:v>Strong</x:v>
      </x:c>
      <x:c r="G683" s="215" t="str">
        <x:v>4</x:v>
      </x:c>
      <x:c r="H683" s="215" t="str">
        <x:v>High</x:v>
      </x:c>
      <x:c r="I683" s="215" t="str">
        <x:v>Naked eye or hand lens</x:v>
      </x:c>
      <x:c r="J683" s="215" t="str">
        <x:v>Mature leafy shoots</x:v>
      </x:c>
      <x:c r="K683" s="215" t="str">
        <x:v>Adult juniper-type foliage often forms tight overlapping scales.</x:v>
      </x:c>
      <x:c r="L683" s="215" t="str">
        <x:v>Arrangement varies across the broad family and Taxodium has linear deciduous leaves.</x:v>
      </x:c>
      <x:c r="M683" s="215" t="str">
        <x:v>Record arrangement and shoot form; do not demand scale leaves.</x:v>
      </x:c>
      <x:c r="N683" s="215" t="str">
        <x:v>Ashe juniper and related cypress-family trees are conspicuous components of Hays County limestone uplands and wooded slopes.</x:v>
      </x:c>
      <x:c r="O683" s="215" t="str">
        <x:v>Low</x:v>
      </x:c>
      <x:c r="P683" s="215" t="str">
        <x:v>No</x:v>
      </x:c>
      <x:c r="Q683" s="215" t="str"/>
      <x:c r="R683" s="215" t="str">
        <x:v>CUP-LK01; CUP-LK02</x:v>
      </x:c>
      <x:c r="S683" s="215" t="str">
        <x:v>APWEB-CUPR; FNA-CUPR; POWO-CUPR; LBJ-HAYS</x:v>
      </x:c>
      <x:c r="T683" s="215" t="str">
        <x:v>https://www.mobot.org/MOBOT/research/APweb/orders/cupressalesweb.html</x:v>
      </x:c>
      <x:c r="U683" s="215" t="str">
        <x:v>https://floranorthamerica.org/Cupressaceae</x:v>
      </x:c>
      <x:c r="V683" s="215" t="str">
        <x:v>https://powo.science.kew.org/taxon/urn:lsid:ipni.org:names:77126767-1/general-information</x:v>
      </x:c>
      <x:c r="W683" s="215" t="str">
        <x:v>https://www.mobot.org/MOBOT/research/APweb/orders/cupressalesweb.html
https://floranorthamerica.org/Cupressaceae
https://powo.science.kew.org/taxon/urn:lsid:ipni.org:names:77126767-1/general-information
https://www.wildflower.org/collections/collection.php?collection=hays</x:v>
      </x:c>
      <x:c r="X683" s="215" t="str">
        <x:v>No — retain qualifiers and exceptions</x:v>
      </x:c>
      <x:c r="Y683" s="215" t="str">
        <x:v>Yes</x:v>
      </x:c>
      <x:c r="Z683" s="215" t="str">
        <x:v>Source-backed draft</x:v>
      </x:c>
      <x:c r="AA683" s="215" t="str">
        <x:v>Family pattern</x:v>
      </x:c>
      <x:c r="AB683" s="215" t="str">
        <x:v>Positive diagnostic</x:v>
      </x:c>
      <x:c r="AC683" s="215" t="str">
        <x:v>High</x:v>
      </x:c>
      <x:c r="AD683" s="215" t="str">
        <x:v>Hand lens / macro</x:v>
      </x:c>
      <x:c r="AE683" s="215" t="str">
        <x:v>Low</x:v>
      </x:c>
      <x:c r="AF683" s="215" t="str">
        <x:v>Field-ready draft</x:v>
      </x:c>
      <x:c r="AG683" s="215" t="str">
        <x:v>2 — Field-photo priority</x:v>
      </x:c>
      <x:c r="AH683" s="215" t="str">
        <x:v>Current master inventory</x:v>
      </x:c>
    </x:row>
    <x:row r="684" ht="42" customHeight="1">
      <x:c r="A684" s="215" t="str">
        <x:v>Cupressaceae</x:v>
      </x:c>
      <x:c r="B684" s="215" t="str">
        <x:v>CUP-JUVENILE</x:v>
      </x:c>
      <x:c r="C684" s="215" t="str">
        <x:v>Family character</x:v>
      </x:c>
      <x:c r="D684" s="215" t="str">
        <x:v>Leaves / development</x:v>
      </x:c>
      <x:c r="E684" s="215" t="str">
        <x:v>Juvenile foliage often linear, flattened, and spreading, differing from adult scale foliage</x:v>
      </x:c>
      <x:c r="F684" s="215" t="str">
        <x:v>Strong</x:v>
      </x:c>
      <x:c r="G684" s="215" t="str">
        <x:v>3</x:v>
      </x:c>
      <x:c r="H684" s="215" t="str">
        <x:v>High</x:v>
      </x:c>
      <x:c r="I684" s="215" t="str">
        <x:v>Naked eye or hand lens</x:v>
      </x:c>
      <x:c r="J684" s="215" t="str">
        <x:v>Juvenile and adult shoots</x:v>
      </x:c>
      <x:c r="K684" s="215" t="str">
        <x:v>One plant can carry needle-like juvenile leaves and scale-like adult leaves.</x:v>
      </x:c>
      <x:c r="L684" s="215" t="str">
        <x:v>Seedlings and vigorous shoots may be impossible to place below family from foliage alone.</x:v>
      </x:c>
      <x:c r="M684" s="215" t="str">
        <x:v>Treat foliage stage as a qualifier, not a contradiction.</x:v>
      </x:c>
      <x:c r="N684" s="215" t="str">
        <x:v>Ashe juniper and related cypress-family trees are conspicuous components of Hays County limestone uplands and wooded slopes.</x:v>
      </x:c>
      <x:c r="O684" s="215" t="str">
        <x:v>Low</x:v>
      </x:c>
      <x:c r="P684" s="215" t="str">
        <x:v>No</x:v>
      </x:c>
      <x:c r="Q684" s="215" t="str"/>
      <x:c r="R684" s="215" t="str"/>
      <x:c r="S684" s="215" t="str">
        <x:v>APWEB-CUPR; FNA-CUPR; POWO-CUPR; LBJ-HAYS</x:v>
      </x:c>
      <x:c r="T684" s="215" t="str">
        <x:v>https://www.mobot.org/MOBOT/research/APweb/orders/cupressalesweb.html</x:v>
      </x:c>
      <x:c r="U684" s="215" t="str">
        <x:v>https://floranorthamerica.org/Cupressaceae</x:v>
      </x:c>
      <x:c r="V684" s="215" t="str">
        <x:v>https://powo.science.kew.org/taxon/urn:lsid:ipni.org:names:77126767-1/general-information</x:v>
      </x:c>
      <x:c r="W684" s="215" t="str">
        <x:v>https://www.mobot.org/MOBOT/research/APweb/orders/cupressalesweb.html
https://floranorthamerica.org/Cupressaceae
https://powo.science.kew.org/taxon/urn:lsid:ipni.org:names:77126767-1/general-information
https://www.wildflower.org/collections/collection.php?collection=hays</x:v>
      </x:c>
      <x:c r="X684" s="215" t="str">
        <x:v>No — retain qualifiers and exceptions</x:v>
      </x:c>
      <x:c r="Y684" s="215" t="str">
        <x:v>Yes</x:v>
      </x:c>
      <x:c r="Z684" s="215" t="str">
        <x:v>Source-backed draft</x:v>
      </x:c>
      <x:c r="AA684" s="215" t="str">
        <x:v>Family pattern</x:v>
      </x:c>
      <x:c r="AB684" s="215" t="str">
        <x:v>Positive diagnostic</x:v>
      </x:c>
      <x:c r="AC684" s="215" t="str">
        <x:v>High</x:v>
      </x:c>
      <x:c r="AD684" s="215" t="str">
        <x:v>Hand lens / macro</x:v>
      </x:c>
      <x:c r="AE684" s="215" t="str">
        <x:v>Low</x:v>
      </x:c>
      <x:c r="AF684" s="215" t="str">
        <x:v>Field-ready draft</x:v>
      </x:c>
      <x:c r="AG684" s="215" t="str">
        <x:v>3 — Reference support</x:v>
      </x:c>
      <x:c r="AH684" s="215" t="str">
        <x:v>Current master inventory</x:v>
      </x:c>
    </x:row>
    <x:row r="685" ht="42" customHeight="1">
      <x:c r="A685" s="215" t="str">
        <x:v>Cupressaceae</x:v>
      </x:c>
      <x:c r="B685" s="215" t="str">
        <x:v>CUP-POLLEN</x:v>
      </x:c>
      <x:c r="C685" s="215" t="str">
        <x:v>Family character</x:v>
      </x:c>
      <x:c r="D685" s="215" t="str">
        <x:v>Pollen cones</x:v>
      </x:c>
      <x:c r="E685" s="215" t="str">
        <x:v>Pollen cones small, usually solitary and terminal; pollen spherical and unwinged</x:v>
      </x:c>
      <x:c r="F685" s="215" t="str">
        <x:v>Strong</x:v>
      </x:c>
      <x:c r="G685" s="215" t="str">
        <x:v>3</x:v>
      </x:c>
      <x:c r="H685" s="215" t="str">
        <x:v>High</x:v>
      </x:c>
      <x:c r="I685" s="215" t="str">
        <x:v>Hand lens</x:v>
      </x:c>
      <x:c r="J685" s="215" t="str">
        <x:v>Pollen season</x:v>
      </x:c>
      <x:c r="K685" s="215" t="str">
        <x:v>Male cones lack the paired air sacs typical of pine pollen.</x:v>
      </x:c>
      <x:c r="L685" s="215" t="str">
        <x:v>Taxodium pollen cones are commonly arranged in terminal panicles.</x:v>
      </x:c>
      <x:c r="M685" s="215" t="str">
        <x:v>Use pollen-cone placement with seed cones.</x:v>
      </x:c>
      <x:c r="N685" s="215" t="str">
        <x:v>Ashe juniper and related cypress-family trees are conspicuous components of Hays County limestone uplands and wooded slopes.</x:v>
      </x:c>
      <x:c r="O685" s="215" t="str">
        <x:v>Low</x:v>
      </x:c>
      <x:c r="P685" s="215" t="str">
        <x:v>No</x:v>
      </x:c>
      <x:c r="Q685" s="215" t="str"/>
      <x:c r="R685" s="215" t="str">
        <x:v>CUP-LK01</x:v>
      </x:c>
      <x:c r="S685" s="215" t="str">
        <x:v>APWEB-CUPR; FNA-CUPR; POWO-CUPR; LBJ-HAYS</x:v>
      </x:c>
      <x:c r="T685" s="215" t="str">
        <x:v>https://www.mobot.org/MOBOT/research/APweb/orders/cupressalesweb.html</x:v>
      </x:c>
      <x:c r="U685" s="215" t="str">
        <x:v>https://floranorthamerica.org/Cupressaceae</x:v>
      </x:c>
      <x:c r="V685" s="215" t="str">
        <x:v>https://powo.science.kew.org/taxon/urn:lsid:ipni.org:names:77126767-1/general-information</x:v>
      </x:c>
      <x:c r="W685" s="215" t="str">
        <x:v>https://www.mobot.org/MOBOT/research/APweb/orders/cupressalesweb.html
https://floranorthamerica.org/Cupressaceae
https://powo.science.kew.org/taxon/urn:lsid:ipni.org:names:77126767-1/general-information
https://www.wildflower.org/collections/collection.php?collection=hays</x:v>
      </x:c>
      <x:c r="X685" s="215" t="str">
        <x:v>No — retain qualifiers and exceptions</x:v>
      </x:c>
      <x:c r="Y685" s="215" t="str">
        <x:v>Yes</x:v>
      </x:c>
      <x:c r="Z685" s="215" t="str">
        <x:v>Source-backed draft</x:v>
      </x:c>
      <x:c r="AA685" s="215" t="str">
        <x:v>Family pattern</x:v>
      </x:c>
      <x:c r="AB685" s="215" t="str">
        <x:v>Positive diagnostic</x:v>
      </x:c>
      <x:c r="AC685" s="215" t="str">
        <x:v>High</x:v>
      </x:c>
      <x:c r="AD685" s="215" t="str">
        <x:v>Hand lens / macro</x:v>
      </x:c>
      <x:c r="AE685" s="215" t="str">
        <x:v>Low</x:v>
      </x:c>
      <x:c r="AF685" s="215" t="str">
        <x:v>Field-ready draft</x:v>
      </x:c>
      <x:c r="AG685" s="215" t="str">
        <x:v>3 — Reference support</x:v>
      </x:c>
      <x:c r="AH685" s="215" t="str">
        <x:v>Current master inventory</x:v>
      </x:c>
    </x:row>
    <x:row r="686" ht="42" customHeight="1">
      <x:c r="A686" s="215" t="str">
        <x:v>Cupressaceae</x:v>
      </x:c>
      <x:c r="B686" s="215" t="str">
        <x:v>CUP-CONE</x:v>
      </x:c>
      <x:c r="C686" s="215" t="str">
        <x:v>Family character</x:v>
      </x:c>
      <x:c r="D686" s="215" t="str">
        <x:v>Seed cones</x:v>
      </x:c>
      <x:c r="E686" s="215" t="str">
        <x:v>Seed cones solitary and compound, with overlapping or abutting scales that become woody or fleshy</x:v>
      </x:c>
      <x:c r="F686" s="215" t="str">
        <x:v>Strong</x:v>
      </x:c>
      <x:c r="G686" s="215" t="str">
        <x:v>5</x:v>
      </x:c>
      <x:c r="H686" s="215" t="str">
        <x:v>High</x:v>
      </x:c>
      <x:c r="I686" s="215" t="str">
        <x:v>Naked eye or hand lens</x:v>
      </x:c>
      <x:c r="J686" s="215" t="str">
        <x:v>Mature cones</x:v>
      </x:c>
      <x:c r="K686" s="215" t="str">
        <x:v>Cypress-family cones range from woody balls to fleshy juniper berries.</x:v>
      </x:c>
      <x:c r="L686" s="215" t="str">
        <x:v>Fleshy Juniperus cones look berry-like but remain modified cones.</x:v>
      </x:c>
      <x:c r="M686" s="215" t="str">
        <x:v>Confirm scale construction rather than judging texture alone.</x:v>
      </x:c>
      <x:c r="N686" s="215" t="str">
        <x:v>Ashe juniper and related cypress-family trees are conspicuous components of Hays County limestone uplands and wooded slopes.</x:v>
      </x:c>
      <x:c r="O686" s="215" t="str">
        <x:v>Low</x:v>
      </x:c>
      <x:c r="P686" s="215" t="str">
        <x:v>No</x:v>
      </x:c>
      <x:c r="Q686" s="215" t="str"/>
      <x:c r="R686" s="215" t="str">
        <x:v>CUP-LK01; CUP-LK02</x:v>
      </x:c>
      <x:c r="S686" s="215" t="str">
        <x:v>APWEB-CUPR; FNA-CUPR; POWO-CUPR; LBJ-HAYS</x:v>
      </x:c>
      <x:c r="T686" s="215" t="str">
        <x:v>https://www.mobot.org/MOBOT/research/APweb/orders/cupressalesweb.html</x:v>
      </x:c>
      <x:c r="U686" s="215" t="str">
        <x:v>https://floranorthamerica.org/Cupressaceae</x:v>
      </x:c>
      <x:c r="V686" s="215" t="str">
        <x:v>https://powo.science.kew.org/taxon/urn:lsid:ipni.org:names:77126767-1/general-information</x:v>
      </x:c>
      <x:c r="W686" s="215" t="str">
        <x:v>https://www.mobot.org/MOBOT/research/APweb/orders/cupressalesweb.html
https://floranorthamerica.org/Cupressaceae
https://powo.science.kew.org/taxon/urn:lsid:ipni.org:names:77126767-1/general-information
https://www.wildflower.org/collections/collection.php?collection=hays</x:v>
      </x:c>
      <x:c r="X686" s="215" t="str">
        <x:v>No — retain qualifiers and exceptions</x:v>
      </x:c>
      <x:c r="Y686" s="215" t="str">
        <x:v>Yes</x:v>
      </x:c>
      <x:c r="Z686" s="215" t="str">
        <x:v>Source-backed draft</x:v>
      </x:c>
      <x:c r="AA686" s="215" t="str">
        <x:v>Family pattern</x:v>
      </x:c>
      <x:c r="AB686" s="215" t="str">
        <x:v>Positive diagnostic</x:v>
      </x:c>
      <x:c r="AC686" s="215" t="str">
        <x:v>High</x:v>
      </x:c>
      <x:c r="AD686" s="215" t="str">
        <x:v>Hand lens / macro</x:v>
      </x:c>
      <x:c r="AE686" s="215" t="str">
        <x:v>Low</x:v>
      </x:c>
      <x:c r="AF686" s="215" t="str">
        <x:v>Field-ready draft</x:v>
      </x:c>
      <x:c r="AG686" s="215" t="str">
        <x:v>2 — Field-photo priority</x:v>
      </x:c>
      <x:c r="AH686" s="215" t="str">
        <x:v>Current master inventory</x:v>
      </x:c>
    </x:row>
    <x:row r="687" ht="42" customHeight="1">
      <x:c r="A687" s="215" t="str">
        <x:v>Cupressaceae</x:v>
      </x:c>
      <x:c r="B687" s="215" t="str">
        <x:v>CUP-SCALE</x:v>
      </x:c>
      <x:c r="C687" s="215" t="str">
        <x:v>Family character</x:v>
      </x:c>
      <x:c r="D687" s="215" t="str">
        <x:v>Cone scale / ovules</x:v>
      </x:c>
      <x:c r="E687" s="215" t="str">
        <x:v>Ovuliferous scale and subtending bract intimately fused; each scale-bract complex bears 1–20 initially erect ovules</x:v>
      </x:c>
      <x:c r="F687" s="215" t="str">
        <x:v>Strong</x:v>
      </x:c>
      <x:c r="G687" s="215" t="str">
        <x:v>5</x:v>
      </x:c>
      <x:c r="H687" s="215" t="str">
        <x:v>High</x:v>
      </x:c>
      <x:c r="I687" s="215" t="str">
        <x:v>Hand lens or dissection</x:v>
      </x:c>
      <x:c r="J687" s="215" t="str">
        <x:v>Developing or mature cones</x:v>
      </x:c>
      <x:c r="K687" s="215" t="str">
        <x:v>The mature cone scale is a fused unit, a key family feature.</x:v>
      </x:c>
      <x:c r="L687" s="215" t="str">
        <x:v>Ovule number and mature scale form vary greatly.</x:v>
      </x:c>
      <x:c r="M687" s="215" t="str">
        <x:v>Use intact cones; internal ovules may be unavailable out of season.</x:v>
      </x:c>
      <x:c r="N687" s="215" t="str">
        <x:v>Ashe juniper and related cypress-family trees are conspicuous components of Hays County limestone uplands and wooded slopes.</x:v>
      </x:c>
      <x:c r="O687" s="215" t="str">
        <x:v>Low</x:v>
      </x:c>
      <x:c r="P687" s="215" t="str">
        <x:v>No</x:v>
      </x:c>
      <x:c r="Q687" s="215" t="str"/>
      <x:c r="R687" s="215" t="str"/>
      <x:c r="S687" s="215" t="str">
        <x:v>APWEB-CUPR; FNA-CUPR; POWO-CUPR; LBJ-HAYS</x:v>
      </x:c>
      <x:c r="T687" s="215" t="str">
        <x:v>https://www.mobot.org/MOBOT/research/APweb/orders/cupressalesweb.html</x:v>
      </x:c>
      <x:c r="U687" s="215" t="str">
        <x:v>https://floranorthamerica.org/Cupressaceae</x:v>
      </x:c>
      <x:c r="V687" s="215" t="str">
        <x:v>https://powo.science.kew.org/taxon/urn:lsid:ipni.org:names:77126767-1/general-information</x:v>
      </x:c>
      <x:c r="W687" s="215" t="str">
        <x:v>https://www.mobot.org/MOBOT/research/APweb/orders/cupressalesweb.html
https://floranorthamerica.org/Cupressaceae
https://powo.science.kew.org/taxon/urn:lsid:ipni.org:names:77126767-1/general-information
https://www.wildflower.org/collections/collection.php?collection=hays</x:v>
      </x:c>
      <x:c r="X687" s="215" t="str">
        <x:v>No — retain qualifiers and exceptions</x:v>
      </x:c>
      <x:c r="Y687" s="215" t="str">
        <x:v>Yes</x:v>
      </x:c>
      <x:c r="Z687" s="215" t="str">
        <x:v>Source-backed draft</x:v>
      </x:c>
      <x:c r="AA687" s="215" t="str">
        <x:v>Family pattern</x:v>
      </x:c>
      <x:c r="AB687" s="215" t="str">
        <x:v>Positive diagnostic</x:v>
      </x:c>
      <x:c r="AC687" s="215" t="str">
        <x:v>High</x:v>
      </x:c>
      <x:c r="AD687" s="215" t="str">
        <x:v>Dissection</x:v>
      </x:c>
      <x:c r="AE687" s="215" t="str">
        <x:v>Low</x:v>
      </x:c>
      <x:c r="AF687" s="215" t="str">
        <x:v>Dissection / close study</x:v>
      </x:c>
      <x:c r="AG687" s="215" t="str">
        <x:v>3 — Reference support</x:v>
      </x:c>
      <x:c r="AH687" s="215" t="str">
        <x:v>Current master inventory</x:v>
      </x:c>
    </x:row>
    <x:row r="688" ht="42" customHeight="1">
      <x:c r="A688" s="215" t="str">
        <x:v>Cupressaceae</x:v>
      </x:c>
      <x:c r="B688" s="215" t="str">
        <x:v>CUP-SEED</x:v>
      </x:c>
      <x:c r="C688" s="215" t="str">
        <x:v>Family character</x:v>
      </x:c>
      <x:c r="D688" s="215" t="str">
        <x:v>Seeds</x:v>
      </x:c>
      <x:c r="E688" s="215" t="str">
        <x:v>Seeds 1–20 per cone scale, wingless or with 2–3 wings; aril absent</x:v>
      </x:c>
      <x:c r="F688" s="215" t="str">
        <x:v>Strong</x:v>
      </x:c>
      <x:c r="G688" s="215" t="str">
        <x:v>3</x:v>
      </x:c>
      <x:c r="H688" s="215" t="str">
        <x:v>High</x:v>
      </x:c>
      <x:c r="I688" s="215" t="str">
        <x:v>Hand lens</x:v>
      </x:c>
      <x:c r="J688" s="215" t="str">
        <x:v>Mature open cones</x:v>
      </x:c>
      <x:c r="K688" s="215" t="str">
        <x:v>Seeds may be winged, but they do not sit in the red cup-like aril of yews.</x:v>
      </x:c>
      <x:c r="L688" s="215" t="str">
        <x:v>Juniper seeds are enclosed by fleshy cone scales and are usually not visible until opened.</x:v>
      </x:c>
      <x:c r="M688" s="215" t="str">
        <x:v>Use mature seed presentation to separate close conifer families.</x:v>
      </x:c>
      <x:c r="N688" s="215" t="str">
        <x:v>Ashe juniper and related cypress-family trees are conspicuous components of Hays County limestone uplands and wooded slopes.</x:v>
      </x:c>
      <x:c r="O688" s="215" t="str">
        <x:v>Low</x:v>
      </x:c>
      <x:c r="P688" s="215" t="str">
        <x:v>No</x:v>
      </x:c>
      <x:c r="Q688" s="215" t="str"/>
      <x:c r="R688" s="215" t="str">
        <x:v>CUP-LK02</x:v>
      </x:c>
      <x:c r="S688" s="215" t="str">
        <x:v>APWEB-CUPR; FNA-CUPR; POWO-CUPR; LBJ-HAYS</x:v>
      </x:c>
      <x:c r="T688" s="215" t="str">
        <x:v>https://www.mobot.org/MOBOT/research/APweb/orders/cupressalesweb.html</x:v>
      </x:c>
      <x:c r="U688" s="215" t="str">
        <x:v>https://floranorthamerica.org/Cupressaceae</x:v>
      </x:c>
      <x:c r="V688" s="215" t="str">
        <x:v>https://powo.science.kew.org/taxon/urn:lsid:ipni.org:names:77126767-1/general-information</x:v>
      </x:c>
      <x:c r="W688" s="215" t="str">
        <x:v>https://www.mobot.org/MOBOT/research/APweb/orders/cupressalesweb.html
https://floranorthamerica.org/Cupressaceae
https://powo.science.kew.org/taxon/urn:lsid:ipni.org:names:77126767-1/general-information
https://www.wildflower.org/collections/collection.php?collection=hays</x:v>
      </x:c>
      <x:c r="X688" s="215" t="str">
        <x:v>No — retain qualifiers and exceptions</x:v>
      </x:c>
      <x:c r="Y688" s="215" t="str">
        <x:v>Yes</x:v>
      </x:c>
      <x:c r="Z688" s="215" t="str">
        <x:v>Source-backed draft</x:v>
      </x:c>
      <x:c r="AA688" s="215" t="str">
        <x:v>Family pattern</x:v>
      </x:c>
      <x:c r="AB688" s="215" t="str">
        <x:v>Positive diagnostic</x:v>
      </x:c>
      <x:c r="AC688" s="215" t="str">
        <x:v>High</x:v>
      </x:c>
      <x:c r="AD688" s="215" t="str">
        <x:v>Hand lens / macro</x:v>
      </x:c>
      <x:c r="AE688" s="215" t="str">
        <x:v>Low</x:v>
      </x:c>
      <x:c r="AF688" s="215" t="str">
        <x:v>Field-ready draft</x:v>
      </x:c>
      <x:c r="AG688" s="215" t="str">
        <x:v>3 — Reference support</x:v>
      </x:c>
      <x:c r="AH688" s="215" t="str">
        <x:v>Current master inventory</x:v>
      </x:c>
    </x:row>
    <x:row r="689" ht="42" customHeight="1">
      <x:c r="A689" s="215" t="str">
        <x:v>Cupressaceae</x:v>
      </x:c>
      <x:c r="B689" s="215" t="str">
        <x:v>CUP-LOCAL</x:v>
      </x:c>
      <x:c r="C689" s="215" t="str">
        <x:v>Local inventory reconciliation</x:v>
      </x:c>
      <x:c r="D689" s="215" t="str">
        <x:v>Local occurrence / ecology</x:v>
      </x:c>
      <x:c r="E689" s="215" t="str">
        <x:v>Ashe juniper provides a strong Hays County anchor for Cupressaceae on calcareous uplands</x:v>
      </x:c>
      <x:c r="F689" s="215" t="str">
        <x:v>Strong</x:v>
      </x:c>
      <x:c r="G689" s="215" t="str">
        <x:v>0</x:v>
      </x:c>
      <x:c r="H689" s="215" t="str">
        <x:v>High</x:v>
      </x:c>
      <x:c r="I689" s="215" t="str">
        <x:v>Naked eye</x:v>
      </x:c>
      <x:c r="J689" s="215" t="str">
        <x:v>Any season</x:v>
      </x:c>
      <x:c r="K689" s="215" t="str">
        <x:v>This family is a major local woody lineage rather than a marginal regional record.</x:v>
      </x:c>
      <x:c r="L689" s="215" t="str">
        <x:v>Cultivated cypresses and arborvitae should not be counted as wild county evidence.</x:v>
      </x:c>
      <x:c r="M689" s="215" t="str">
        <x:v>Keep wild Juniperus evidence separate from planted conifers.</x:v>
      </x:c>
      <x:c r="N689" s="215" t="str">
        <x:v>Ashe juniper and related cypress-family trees are conspicuous components of Hays County limestone uplands and wooded slopes.</x:v>
      </x:c>
      <x:c r="O689" s="215" t="str">
        <x:v>Low</x:v>
      </x:c>
      <x:c r="P689" s="215" t="str">
        <x:v>No</x:v>
      </x:c>
      <x:c r="Q689" s="215" t="str"/>
      <x:c r="R689" s="215" t="str"/>
      <x:c r="S689" s="215" t="str">
        <x:v>APWEB-CUPR; FNA-CUPR; POWO-CUPR; LBJ-HAYS</x:v>
      </x:c>
      <x:c r="T689" s="215" t="str">
        <x:v>https://www.mobot.org/MOBOT/research/APweb/orders/cupressalesweb.html</x:v>
      </x:c>
      <x:c r="U689" s="215" t="str">
        <x:v>https://floranorthamerica.org/Cupressaceae</x:v>
      </x:c>
      <x:c r="V689" s="215" t="str">
        <x:v>https://powo.science.kew.org/taxon/urn:lsid:ipni.org:names:77126767-1/general-information</x:v>
      </x:c>
      <x:c r="W689" s="215" t="str">
        <x:v>https://www.mobot.org/MOBOT/research/APweb/orders/cupressalesweb.html
https://floranorthamerica.org/Cupressaceae
https://powo.science.kew.org/taxon/urn:lsid:ipni.org:names:77126767-1/general-information
https://www.wildflower.org/collections/collection.php?collection=hays</x:v>
      </x:c>
      <x:c r="X689" s="215" t="str">
        <x:v>No — retain qualifiers and exceptions</x:v>
      </x:c>
      <x:c r="Y689" s="215" t="str">
        <x:v>Yes</x:v>
      </x:c>
      <x:c r="Z689" s="215" t="str">
        <x:v>Source-backed draft</x:v>
      </x:c>
      <x:c r="AA689" s="215" t="str">
        <x:v>Other qualified pattern</x:v>
      </x:c>
      <x:c r="AB689" s="215" t="str">
        <x:v>Positive diagnostic</x:v>
      </x:c>
      <x:c r="AC689" s="215" t="str">
        <x:v>High</x:v>
      </x:c>
      <x:c r="AD689" s="215" t="str">
        <x:v>Naked eye / field</x:v>
      </x:c>
      <x:c r="AE689" s="215" t="str">
        <x:v>Low</x:v>
      </x:c>
      <x:c r="AF689" s="215" t="str">
        <x:v>Field-ready draft</x:v>
      </x:c>
      <x:c r="AG689" s="215" t="str">
        <x:v>4 — Context / caution</x:v>
      </x:c>
      <x:c r="AH689" s="215" t="str">
        <x:v>Current master inventory</x:v>
      </x:c>
    </x:row>
    <x:row r="690" ht="42" customHeight="1">
      <x:c r="A690" s="215" t="str">
        <x:v>Cupressaceae</x:v>
      </x:c>
      <x:c r="B690" s="215" t="str">
        <x:v>CUP-LK01</x:v>
      </x:c>
      <x:c r="C690" s="215" t="str">
        <x:v>Lookalike comparison</x:v>
      </x:c>
      <x:c r="D690" s="215" t="str">
        <x:v>Lookalike</x:v>
      </x:c>
      <x:c r="E690" s="215" t="str">
        <x:v>Versus Pinaceae: opposite or whorled scale leaves and fused cone-scale complexes favor Cupressaceae; fascicled needles and separate woody cone scales favor Pinaceae</x:v>
      </x:c>
      <x:c r="F690" s="215" t="str">
        <x:v>Lookalike</x:v>
      </x:c>
      <x:c r="G690" s="215" t="str">
        <x:v>5</x:v>
      </x:c>
      <x:c r="H690" s="215" t="str">
        <x:v>High</x:v>
      </x:c>
      <x:c r="I690" s="215" t="str">
        <x:v>Naked eye or hand lens</x:v>
      </x:c>
      <x:c r="J690" s="215" t="str">
        <x:v>Mature foliage and cones</x:v>
      </x:c>
      <x:c r="K690" s="215" t="str">
        <x:v>Junipers are not pines even when juvenile leaves look needle-like.</x:v>
      </x:c>
      <x:c r="L690" s="215" t="str">
        <x:v>Taxodium foliage can resemble other deciduous conifers.</x:v>
      </x:c>
      <x:c r="M690" s="215" t="str">
        <x:v>Prioritize leaf arrangement and mature cone construction.</x:v>
      </x:c>
      <x:c r="N690" s="215" t="str">
        <x:v>Ashe juniper and related cypress-family trees are conspicuous components of Hays County limestone uplands and wooded slopes.</x:v>
      </x:c>
      <x:c r="O690" s="215" t="str">
        <x:v>Low</x:v>
      </x:c>
      <x:c r="P690" s="215" t="str">
        <x:v>No</x:v>
      </x:c>
      <x:c r="Q690" s="215" t="str"/>
      <x:c r="R690" s="215" t="str">
        <x:v>CUP-LEAVES; CUP-POLLEN; CUP-CONE</x:v>
      </x:c>
      <x:c r="S690" s="215" t="str">
        <x:v>APWEB-CUPR; FNA-CUPR; POWO-CUPR; LBJ-HAYS</x:v>
      </x:c>
      <x:c r="T690" s="215" t="str">
        <x:v>https://www.mobot.org/MOBOT/research/APweb/orders/cupressalesweb.html</x:v>
      </x:c>
      <x:c r="U690" s="215" t="str">
        <x:v>https://floranorthamerica.org/Cupressaceae</x:v>
      </x:c>
      <x:c r="V690" s="215" t="str">
        <x:v>https://powo.science.kew.org/taxon/urn:lsid:ipni.org:names:77126767-1/general-information</x:v>
      </x:c>
      <x:c r="W690" s="215" t="str">
        <x:v>https://www.mobot.org/MOBOT/research/APweb/orders/cupressalesweb.html
https://floranorthamerica.org/Cupressaceae
https://powo.science.kew.org/taxon/urn:lsid:ipni.org:names:77126767-1/general-information
https://www.wildflower.org/collections/collection.php?collection=hays</x:v>
      </x:c>
      <x:c r="X690" s="215" t="str">
        <x:v>No — retain qualifiers and exceptions</x:v>
      </x:c>
      <x:c r="Y690" s="215" t="str">
        <x:v>Yes</x:v>
      </x:c>
      <x:c r="Z690" s="215" t="str">
        <x:v>Source-backed draft</x:v>
      </x:c>
      <x:c r="AA690" s="215" t="str">
        <x:v>Lookalike comparison</x:v>
      </x:c>
      <x:c r="AB690" s="215" t="str">
        <x:v>Contrast / lookalike</x:v>
      </x:c>
      <x:c r="AC690" s="215" t="str">
        <x:v>High</x:v>
      </x:c>
      <x:c r="AD690" s="215" t="str">
        <x:v>Hand lens / macro</x:v>
      </x:c>
      <x:c r="AE690" s="215" t="str">
        <x:v>Low</x:v>
      </x:c>
      <x:c r="AF690" s="215" t="str">
        <x:v>Field-ready draft</x:v>
      </x:c>
      <x:c r="AG690" s="215" t="str">
        <x:v>2 — Field-photo priority</x:v>
      </x:c>
      <x:c r="AH690" s="215" t="str">
        <x:v>Current master inventory</x:v>
      </x:c>
    </x:row>
    <x:row r="691" ht="42" customHeight="1">
      <x:c r="A691" s="215" t="str">
        <x:v>Cupressaceae</x:v>
      </x:c>
      <x:c r="B691" s="215" t="str">
        <x:v>CUP-LK02</x:v>
      </x:c>
      <x:c r="C691" s="215" t="str">
        <x:v>Lookalike comparison</x:v>
      </x:c>
      <x:c r="D691" s="215" t="str">
        <x:v>Lookalike</x:v>
      </x:c>
      <x:c r="E691" s="215" t="str">
        <x:v>Versus Taxaceae: a multi-scaled woody or fleshy cone favors Cupressaceae; a single exposed seed partly surrounded by a fleshy aril favors Taxaceae</x:v>
      </x:c>
      <x:c r="F691" s="215" t="str">
        <x:v>Lookalike</x:v>
      </x:c>
      <x:c r="G691" s="215" t="str">
        <x:v>5</x:v>
      </x:c>
      <x:c r="H691" s="215" t="str">
        <x:v>High</x:v>
      </x:c>
      <x:c r="I691" s="215" t="str">
        <x:v>Naked eye or hand lens</x:v>
      </x:c>
      <x:c r="J691" s="215" t="str">
        <x:v>Mature seed structures</x:v>
      </x:c>
      <x:c r="K691" s="215" t="str">
        <x:v>Juniper berries contain several fused cone scales, unlike a yew aril.</x:v>
      </x:c>
      <x:c r="L691" s="215" t="str">
        <x:v>Immature reproductive structures can be misleading.</x:v>
      </x:c>
      <x:c r="M691" s="215" t="str">
        <x:v>Use mature seed structures, not foliage alone.</x:v>
      </x:c>
      <x:c r="N691" s="215" t="str">
        <x:v>Ashe juniper and related cypress-family trees are conspicuous components of Hays County limestone uplands and wooded slopes.</x:v>
      </x:c>
      <x:c r="O691" s="215" t="str">
        <x:v>Low</x:v>
      </x:c>
      <x:c r="P691" s="215" t="str">
        <x:v>No</x:v>
      </x:c>
      <x:c r="Q691" s="215" t="str"/>
      <x:c r="R691" s="215" t="str">
        <x:v>CUP-LEAVES; CUP-CONE; CUP-SEED</x:v>
      </x:c>
      <x:c r="S691" s="215" t="str">
        <x:v>APWEB-CUPR; FNA-CUPR; POWO-CUPR; LBJ-HAYS</x:v>
      </x:c>
      <x:c r="T691" s="215" t="str">
        <x:v>https://www.mobot.org/MOBOT/research/APweb/orders/cupressalesweb.html</x:v>
      </x:c>
      <x:c r="U691" s="215" t="str">
        <x:v>https://floranorthamerica.org/Cupressaceae</x:v>
      </x:c>
      <x:c r="V691" s="215" t="str">
        <x:v>https://powo.science.kew.org/taxon/urn:lsid:ipni.org:names:77126767-1/general-information</x:v>
      </x:c>
      <x:c r="W691" s="215" t="str">
        <x:v>https://www.mobot.org/MOBOT/research/APweb/orders/cupressalesweb.html
https://floranorthamerica.org/Cupressaceae
https://powo.science.kew.org/taxon/urn:lsid:ipni.org:names:77126767-1/general-information
https://www.wildflower.org/collections/collection.php?collection=hays</x:v>
      </x:c>
      <x:c r="X691" s="215" t="str">
        <x:v>No — retain qualifiers and exceptions</x:v>
      </x:c>
      <x:c r="Y691" s="215" t="str">
        <x:v>Yes</x:v>
      </x:c>
      <x:c r="Z691" s="215" t="str">
        <x:v>Source-backed draft</x:v>
      </x:c>
      <x:c r="AA691" s="215" t="str">
        <x:v>Lookalike comparison</x:v>
      </x:c>
      <x:c r="AB691" s="215" t="str">
        <x:v>Contrast / lookalike</x:v>
      </x:c>
      <x:c r="AC691" s="215" t="str">
        <x:v>High</x:v>
      </x:c>
      <x:c r="AD691" s="215" t="str">
        <x:v>Hand lens / macro</x:v>
      </x:c>
      <x:c r="AE691" s="215" t="str">
        <x:v>Low</x:v>
      </x:c>
      <x:c r="AF691" s="215" t="str">
        <x:v>Field-ready draft</x:v>
      </x:c>
      <x:c r="AG691" s="215" t="str">
        <x:v>2 — Field-photo priority</x:v>
      </x:c>
      <x:c r="AH691" s="215" t="str">
        <x:v>Current master inventory</x:v>
      </x:c>
    </x:row>
    <x:row r="692" ht="42" customHeight="1">
      <x:c r="A692" s="215" t="str">
        <x:v>Araceae</x:v>
      </x:c>
      <x:c r="B692" s="215" t="str">
        <x:v>ARA-HABIT</x:v>
      </x:c>
      <x:c r="C692" s="215" t="str">
        <x:v>Family character</x:v>
      </x:c>
      <x:c r="D692" s="215" t="str">
        <x:v>Habit</x:v>
      </x:c>
      <x:c r="E692" s="215" t="str">
        <x:v>Mostly perennial terrestrial, wetland, emergent, floating, epiphytic, or climbing herbs</x:v>
      </x:c>
      <x:c r="F692" s="215" t="str">
        <x:v>Strong</x:v>
      </x:c>
      <x:c r="G692" s="215" t="str">
        <x:v>2</x:v>
      </x:c>
      <x:c r="H692" s="215" t="str">
        <x:v>High</x:v>
      </x:c>
      <x:c r="I692" s="215" t="str">
        <x:v>Naked eye</x:v>
      </x:c>
      <x:c r="J692" s="215" t="str">
        <x:v>Active growth</x:v>
      </x:c>
      <x:c r="K692" s="215" t="str">
        <x:v>Aroids are herbaceous and often tied to moist habitats or storage organs.</x:v>
      </x:c>
      <x:c r="L692" s="215" t="str">
        <x:v>The modern family includes tiny free-floating duckweeds that depart radically from the usual aroid form.</x:v>
      </x:c>
      <x:c r="M692" s="215" t="str">
        <x:v>Split conventional aroids from Lemnoideae before applying field characters.</x:v>
      </x:c>
      <x:c r="N692" s="215" t="str">
        <x:v>Aroids and duckweed-lineage plants are regionally relevant in Hays wetlands, seeps, ponds, and shaded riparian microsites; exact county genera should be voucher-checked.</x:v>
      </x:c>
      <x:c r="O692" s="215" t="str">
        <x:v>Medium</x:v>
      </x:c>
      <x:c r="P692" s="215" t="str">
        <x:v>No</x:v>
      </x:c>
      <x:c r="Q692" s="215" t="str"/>
      <x:c r="R692" s="215" t="str">
        <x:v>ARA-LK01; ARA-LK02</x:v>
      </x:c>
      <x:c r="S692" s="215" t="str">
        <x:v>APWEB-ARAC; FNA-ARAC; POWO-ARAC; LBJ-HAYS</x:v>
      </x:c>
      <x:c r="T692" s="215" t="str">
        <x:v>https://www.mobot.org/MOBOT/research/APweb/orders/alismatalesweb.htm</x:v>
      </x:c>
      <x:c r="U692" s="215" t="str">
        <x:v>https://floranorthamerica.org/Araceae</x:v>
      </x:c>
      <x:c r="V692" s="215" t="str">
        <x:v>https://powo.science.kew.org/taxon/urn:lsid:ipni.org:names:30000216-2/general-information</x:v>
      </x:c>
      <x:c r="W692" s="215" t="str">
        <x:v>https://www.mobot.org/MOBOT/research/APweb/orders/alismatalesweb.htm
https://floranorthamerica.org/Araceae
https://powo.science.kew.org/taxon/urn:lsid:ipni.org:names:30000216-2/general-information
https://www.wildflower.org/collections/collection.php?collection=hays</x:v>
      </x:c>
      <x:c r="X692" s="215" t="str">
        <x:v>No — retain qualifiers and exceptions</x:v>
      </x:c>
      <x:c r="Y692" s="215" t="str">
        <x:v>Yes</x:v>
      </x:c>
      <x:c r="Z692" s="215" t="str">
        <x:v>Source-backed draft</x:v>
      </x:c>
      <x:c r="AA692" s="215" t="str">
        <x:v>Family pattern</x:v>
      </x:c>
      <x:c r="AB692" s="215" t="str">
        <x:v>Positive diagnostic</x:v>
      </x:c>
      <x:c r="AC692" s="215" t="str">
        <x:v>High</x:v>
      </x:c>
      <x:c r="AD692" s="215" t="str">
        <x:v>Naked eye / field</x:v>
      </x:c>
      <x:c r="AE692" s="215" t="str">
        <x:v>Moderate</x:v>
      </x:c>
      <x:c r="AF692" s="215" t="str">
        <x:v>Field-ready draft</x:v>
      </x:c>
      <x:c r="AG692" s="215" t="str">
        <x:v>4 — Context / caution</x:v>
      </x:c>
      <x:c r="AH692" s="215" t="str">
        <x:v>Current master inventory</x:v>
      </x:c>
    </x:row>
    <x:row r="693" ht="42" customHeight="1">
      <x:c r="A693" s="215" t="str">
        <x:v>Araceae</x:v>
      </x:c>
      <x:c r="B693" s="215" t="str">
        <x:v>ARA-STORAGE</x:v>
      </x:c>
      <x:c r="C693" s="215" t="str">
        <x:v>Family character</x:v>
      </x:c>
      <x:c r="D693" s="215" t="str">
        <x:v>Stem / storage organs</x:v>
      </x:c>
      <x:c r="E693" s="215" t="str">
        <x:v>Rhizomes, corms, or stolons commonly present; petiole bases often sheath the stem</x:v>
      </x:c>
      <x:c r="F693" s="215" t="str">
        <x:v>Strong</x:v>
      </x:c>
      <x:c r="G693" s="215" t="str">
        <x:v>3</x:v>
      </x:c>
      <x:c r="H693" s="215" t="str">
        <x:v>High</x:v>
      </x:c>
      <x:c r="I693" s="215" t="str">
        <x:v>Naked eye</x:v>
      </x:c>
      <x:c r="J693" s="215" t="str">
        <x:v>Complete plant when ethically available</x:v>
      </x:c>
      <x:c r="K693" s="215" t="str">
        <x:v>Many aroids arise from a thick underground or creeping axis.</x:v>
      </x:c>
      <x:c r="L693" s="215" t="str">
        <x:v>Tiny floating Lemnoideae and some climbers do not show the conventional storage-organ habit.</x:v>
      </x:c>
      <x:c r="M693" s="215" t="str">
        <x:v>Use only visible structures; do not excavate protected plants.</x:v>
      </x:c>
      <x:c r="N693" s="215" t="str">
        <x:v>Aroids and duckweed-lineage plants are regionally relevant in Hays wetlands, seeps, ponds, and shaded riparian microsites; exact county genera should be voucher-checked.</x:v>
      </x:c>
      <x:c r="O693" s="215" t="str">
        <x:v>Low</x:v>
      </x:c>
      <x:c r="P693" s="215" t="str">
        <x:v>No</x:v>
      </x:c>
      <x:c r="Q693" s="215" t="str"/>
      <x:c r="R693" s="215" t="str"/>
      <x:c r="S693" s="215" t="str">
        <x:v>APWEB-ARAC; FNA-ARAC; POWO-ARAC; LBJ-HAYS</x:v>
      </x:c>
      <x:c r="T693" s="215" t="str">
        <x:v>https://www.mobot.org/MOBOT/research/APweb/orders/alismatalesweb.htm</x:v>
      </x:c>
      <x:c r="U693" s="215" t="str">
        <x:v>https://floranorthamerica.org/Araceae</x:v>
      </x:c>
      <x:c r="V693" s="215" t="str">
        <x:v>https://powo.science.kew.org/taxon/urn:lsid:ipni.org:names:30000216-2/general-information</x:v>
      </x:c>
      <x:c r="W693" s="215" t="str">
        <x:v>https://www.mobot.org/MOBOT/research/APweb/orders/alismatalesweb.htm
https://floranorthamerica.org/Araceae
https://powo.science.kew.org/taxon/urn:lsid:ipni.org:names:30000216-2/general-information
https://www.wildflower.org/collections/collection.php?collection=hays</x:v>
      </x:c>
      <x:c r="X693" s="215" t="str">
        <x:v>No — retain qualifiers and exceptions</x:v>
      </x:c>
      <x:c r="Y693" s="215" t="str">
        <x:v>Yes</x:v>
      </x:c>
      <x:c r="Z693" s="215" t="str">
        <x:v>Source-backed draft</x:v>
      </x:c>
      <x:c r="AA693" s="215" t="str">
        <x:v>Family pattern</x:v>
      </x:c>
      <x:c r="AB693" s="215" t="str">
        <x:v>Positive diagnostic</x:v>
      </x:c>
      <x:c r="AC693" s="215" t="str">
        <x:v>High</x:v>
      </x:c>
      <x:c r="AD693" s="215" t="str">
        <x:v>Naked eye / field</x:v>
      </x:c>
      <x:c r="AE693" s="215" t="str">
        <x:v>Low</x:v>
      </x:c>
      <x:c r="AF693" s="215" t="str">
        <x:v>Field-ready draft</x:v>
      </x:c>
      <x:c r="AG693" s="215" t="str">
        <x:v>3 — Reference support</x:v>
      </x:c>
      <x:c r="AH693" s="215" t="str">
        <x:v>Current master inventory</x:v>
      </x:c>
    </x:row>
    <x:row r="694" ht="42" customHeight="1">
      <x:c r="A694" s="215" t="str">
        <x:v>Araceae</x:v>
      </x:c>
      <x:c r="B694" s="215" t="str">
        <x:v>ARA-LEAVES</x:v>
      </x:c>
      <x:c r="C694" s="215" t="str">
        <x:v>Family character</x:v>
      </x:c>
      <x:c r="D694" s="215" t="str">
        <x:v>Leaves</x:v>
      </x:c>
      <x:c r="E694" s="215" t="str">
        <x:v>Leaves alternate or clustered, petiolate with sheathing bases; blades simple or compound with parallel, pinnate-netted, or palmate-netted venation</x:v>
      </x:c>
      <x:c r="F694" s="215" t="str">
        <x:v>Strong</x:v>
      </x:c>
      <x:c r="G694" s="215" t="str">
        <x:v>3</x:v>
      </x:c>
      <x:c r="H694" s="215" t="str">
        <x:v>High</x:v>
      </x:c>
      <x:c r="I694" s="215" t="str">
        <x:v>Naked eye</x:v>
      </x:c>
      <x:c r="J694" s="215" t="str">
        <x:v>Mature leaves</x:v>
      </x:c>
      <x:c r="K694" s="215" t="str">
        <x:v>Leaf shape varies widely, but the sheathing petiole base is useful.</x:v>
      </x:c>
      <x:c r="L694" s="215" t="str">
        <x:v>Duckweeds are extremely reduced; leaf venation alone is not diagnostic.</x:v>
      </x:c>
      <x:c r="M694" s="215" t="str">
        <x:v>Combine leaf base with inflorescence.</x:v>
      </x:c>
      <x:c r="N694" s="215" t="str">
        <x:v>Aroids and duckweed-lineage plants are regionally relevant in Hays wetlands, seeps, ponds, and shaded riparian microsites; exact county genera should be voucher-checked.</x:v>
      </x:c>
      <x:c r="O694" s="215" t="str">
        <x:v>Low</x:v>
      </x:c>
      <x:c r="P694" s="215" t="str">
        <x:v>No</x:v>
      </x:c>
      <x:c r="Q694" s="215" t="str"/>
      <x:c r="R694" s="215" t="str"/>
      <x:c r="S694" s="215" t="str">
        <x:v>APWEB-ARAC; FNA-ARAC; POWO-ARAC; LBJ-HAYS</x:v>
      </x:c>
      <x:c r="T694" s="215" t="str">
        <x:v>https://www.mobot.org/MOBOT/research/APweb/orders/alismatalesweb.htm</x:v>
      </x:c>
      <x:c r="U694" s="215" t="str">
        <x:v>https://floranorthamerica.org/Araceae</x:v>
      </x:c>
      <x:c r="V694" s="215" t="str">
        <x:v>https://powo.science.kew.org/taxon/urn:lsid:ipni.org:names:30000216-2/general-information</x:v>
      </x:c>
      <x:c r="W694" s="215" t="str">
        <x:v>https://www.mobot.org/MOBOT/research/APweb/orders/alismatalesweb.htm
https://floranorthamerica.org/Araceae
https://powo.science.kew.org/taxon/urn:lsid:ipni.org:names:30000216-2/general-information
https://www.wildflower.org/collections/collection.php?collection=hays</x:v>
      </x:c>
      <x:c r="X694" s="215" t="str">
        <x:v>No — retain qualifiers and exceptions</x:v>
      </x:c>
      <x:c r="Y694" s="215" t="str">
        <x:v>Yes</x:v>
      </x:c>
      <x:c r="Z694" s="215" t="str">
        <x:v>Source-backed draft</x:v>
      </x:c>
      <x:c r="AA694" s="215" t="str">
        <x:v>Family pattern</x:v>
      </x:c>
      <x:c r="AB694" s="215" t="str">
        <x:v>Positive diagnostic</x:v>
      </x:c>
      <x:c r="AC694" s="215" t="str">
        <x:v>High</x:v>
      </x:c>
      <x:c r="AD694" s="215" t="str">
        <x:v>Naked eye / field</x:v>
      </x:c>
      <x:c r="AE694" s="215" t="str">
        <x:v>Low</x:v>
      </x:c>
      <x:c r="AF694" s="215" t="str">
        <x:v>Field-ready draft</x:v>
      </x:c>
      <x:c r="AG694" s="215" t="str">
        <x:v>3 — Reference support</x:v>
      </x:c>
      <x:c r="AH694" s="215" t="str">
        <x:v>Current master inventory</x:v>
      </x:c>
    </x:row>
    <x:row r="695" ht="42" customHeight="1">
      <x:c r="A695" s="215" t="str">
        <x:v>Araceae</x:v>
      </x:c>
      <x:c r="B695" s="215" t="str">
        <x:v>ARA-SPADIX</x:v>
      </x:c>
      <x:c r="C695" s="215" t="str">
        <x:v>Family character</x:v>
      </x:c>
      <x:c r="D695" s="215" t="str">
        <x:v>Inflorescence</x:v>
      </x:c>
      <x:c r="E695" s="215" t="str">
        <x:v>Flowers usually sessile and densely grouped on a fleshy unbranched spadix</x:v>
      </x:c>
      <x:c r="F695" s="215" t="str">
        <x:v>Strong</x:v>
      </x:c>
      <x:c r="G695" s="215" t="str">
        <x:v>5</x:v>
      </x:c>
      <x:c r="H695" s="215" t="str">
        <x:v>High</x:v>
      </x:c>
      <x:c r="I695" s="215" t="str">
        <x:v>Naked eye or hand lens</x:v>
      </x:c>
      <x:c r="J695" s="215" t="str">
        <x:v>Fresh inflorescence</x:v>
      </x:c>
      <x:c r="K695" s="215" t="str">
        <x:v>The flower cluster is a fleshy club or cylinder rather than a normal branched spike.</x:v>
      </x:c>
      <x:c r="L695" s="215" t="str">
        <x:v>Spadix structure is extremely reduced in Lemnoideae and unusual in some basal genera.</x:v>
      </x:c>
      <x:c r="M695" s="215" t="str">
        <x:v>This is the strongest conventional aroid field character.</x:v>
      </x:c>
      <x:c r="N695" s="215" t="str">
        <x:v>Aroids and duckweed-lineage plants are regionally relevant in Hays wetlands, seeps, ponds, and shaded riparian microsites; exact county genera should be voucher-checked.</x:v>
      </x:c>
      <x:c r="O695" s="215" t="str">
        <x:v>Low</x:v>
      </x:c>
      <x:c r="P695" s="215" t="str">
        <x:v>No</x:v>
      </x:c>
      <x:c r="Q695" s="215" t="str"/>
      <x:c r="R695" s="215" t="str">
        <x:v>ARA-LK01; ARA-LK02</x:v>
      </x:c>
      <x:c r="S695" s="215" t="str">
        <x:v>APWEB-ARAC; FNA-ARAC; POWO-ARAC; LBJ-HAYS</x:v>
      </x:c>
      <x:c r="T695" s="215" t="str">
        <x:v>https://www.mobot.org/MOBOT/research/APweb/orders/alismatalesweb.htm</x:v>
      </x:c>
      <x:c r="U695" s="215" t="str">
        <x:v>https://floranorthamerica.org/Araceae</x:v>
      </x:c>
      <x:c r="V695" s="215" t="str">
        <x:v>https://powo.science.kew.org/taxon/urn:lsid:ipni.org:names:30000216-2/general-information</x:v>
      </x:c>
      <x:c r="W695" s="215" t="str">
        <x:v>https://www.mobot.org/MOBOT/research/APweb/orders/alismatalesweb.htm
https://floranorthamerica.org/Araceae
https://powo.science.kew.org/taxon/urn:lsid:ipni.org:names:30000216-2/general-information
https://www.wildflower.org/collections/collection.php?collection=hays</x:v>
      </x:c>
      <x:c r="X695" s="215" t="str">
        <x:v>No — retain qualifiers and exceptions</x:v>
      </x:c>
      <x:c r="Y695" s="215" t="str">
        <x:v>Yes</x:v>
      </x:c>
      <x:c r="Z695" s="215" t="str">
        <x:v>Source-backed draft</x:v>
      </x:c>
      <x:c r="AA695" s="215" t="str">
        <x:v>Family pattern</x:v>
      </x:c>
      <x:c r="AB695" s="215" t="str">
        <x:v>Positive diagnostic</x:v>
      </x:c>
      <x:c r="AC695" s="215" t="str">
        <x:v>High</x:v>
      </x:c>
      <x:c r="AD695" s="215" t="str">
        <x:v>Hand lens / macro</x:v>
      </x:c>
      <x:c r="AE695" s="215" t="str">
        <x:v>Low</x:v>
      </x:c>
      <x:c r="AF695" s="215" t="str">
        <x:v>Field-ready draft</x:v>
      </x:c>
      <x:c r="AG695" s="215" t="str">
        <x:v>2 — Field-photo priority</x:v>
      </x:c>
      <x:c r="AH695" s="215" t="str">
        <x:v>Current master inventory</x:v>
      </x:c>
    </x:row>
    <x:row r="696" ht="42" customHeight="1">
      <x:c r="A696" s="215" t="str">
        <x:v>Araceae</x:v>
      </x:c>
      <x:c r="B696" s="215" t="str">
        <x:v>ARA-SPATHE</x:v>
      </x:c>
      <x:c r="C696" s="215" t="str">
        <x:v>Family character</x:v>
      </x:c>
      <x:c r="D696" s="215" t="str">
        <x:v>Inflorescence bract</x:v>
      </x:c>
      <x:c r="E696" s="215" t="str">
        <x:v>Spadix usually subtended or partly surrounded by a spathe that may be colored, green, persistent, or deciduous</x:v>
      </x:c>
      <x:c r="F696" s="215" t="str">
        <x:v>Strong</x:v>
      </x:c>
      <x:c r="G696" s="215" t="str">
        <x:v>5</x:v>
      </x:c>
      <x:c r="H696" s="215" t="str">
        <x:v>High</x:v>
      </x:c>
      <x:c r="I696" s="215" t="str">
        <x:v>Naked eye</x:v>
      </x:c>
      <x:c r="J696" s="215" t="str">
        <x:v>Fresh inflorescence</x:v>
      </x:c>
      <x:c r="K696" s="215" t="str">
        <x:v>A single specialized bract wraps or backs the fleshy flower axis.</x:v>
      </x:c>
      <x:c r="L696" s="215" t="str">
        <x:v>True spathes are absent in Orontium and reduced or modified in some lineages.</x:v>
      </x:c>
      <x:c r="M696" s="215" t="str">
        <x:v>Do not reject Araceae solely because the spathe is absent.</x:v>
      </x:c>
      <x:c r="N696" s="215" t="str">
        <x:v>Aroids and duckweed-lineage plants are regionally relevant in Hays wetlands, seeps, ponds, and shaded riparian microsites; exact county genera should be voucher-checked.</x:v>
      </x:c>
      <x:c r="O696" s="215" t="str">
        <x:v>Low</x:v>
      </x:c>
      <x:c r="P696" s="215" t="str">
        <x:v>No</x:v>
      </x:c>
      <x:c r="Q696" s="215" t="str"/>
      <x:c r="R696" s="215" t="str">
        <x:v>ARA-LK01; ARA-LK02</x:v>
      </x:c>
      <x:c r="S696" s="215" t="str">
        <x:v>APWEB-ARAC; FNA-ARAC; POWO-ARAC; LBJ-HAYS</x:v>
      </x:c>
      <x:c r="T696" s="215" t="str">
        <x:v>https://www.mobot.org/MOBOT/research/APweb/orders/alismatalesweb.htm</x:v>
      </x:c>
      <x:c r="U696" s="215" t="str">
        <x:v>https://floranorthamerica.org/Araceae</x:v>
      </x:c>
      <x:c r="V696" s="215" t="str">
        <x:v>https://powo.science.kew.org/taxon/urn:lsid:ipni.org:names:30000216-2/general-information</x:v>
      </x:c>
      <x:c r="W696" s="215" t="str">
        <x:v>https://www.mobot.org/MOBOT/research/APweb/orders/alismatalesweb.htm
https://floranorthamerica.org/Araceae
https://powo.science.kew.org/taxon/urn:lsid:ipni.org:names:30000216-2/general-information
https://www.wildflower.org/collections/collection.php?collection=hays</x:v>
      </x:c>
      <x:c r="X696" s="215" t="str">
        <x:v>No — retain qualifiers and exceptions</x:v>
      </x:c>
      <x:c r="Y696" s="215" t="str">
        <x:v>Yes</x:v>
      </x:c>
      <x:c r="Z696" s="215" t="str">
        <x:v>Source-backed draft</x:v>
      </x:c>
      <x:c r="AA696" s="215" t="str">
        <x:v>Family pattern</x:v>
      </x:c>
      <x:c r="AB696" s="215" t="str">
        <x:v>Positive diagnostic</x:v>
      </x:c>
      <x:c r="AC696" s="215" t="str">
        <x:v>High</x:v>
      </x:c>
      <x:c r="AD696" s="215" t="str">
        <x:v>Naked eye / field</x:v>
      </x:c>
      <x:c r="AE696" s="215" t="str">
        <x:v>Low</x:v>
      </x:c>
      <x:c r="AF696" s="215" t="str">
        <x:v>Field-ready draft</x:v>
      </x:c>
      <x:c r="AG696" s="215" t="str">
        <x:v>2 — Field-photo priority</x:v>
      </x:c>
      <x:c r="AH696" s="215" t="str">
        <x:v>Current master inventory</x:v>
      </x:c>
    </x:row>
    <x:row r="697" ht="42" customHeight="1">
      <x:c r="A697" s="215" t="str">
        <x:v>Araceae</x:v>
      </x:c>
      <x:c r="B697" s="215" t="str">
        <x:v>ARA-FLOWER</x:v>
      </x:c>
      <x:c r="C697" s="215" t="str">
        <x:v>Family character</x:v>
      </x:c>
      <x:c r="D697" s="215" t="str">
        <x:v>Flowers</x:v>
      </x:c>
      <x:c r="E697" s="215" t="str">
        <x:v>Flowers tiny, bisexual or unisexual; perianth present or absent; unisexual spadices often place staminate flowers above pistillate flowers</x:v>
      </x:c>
      <x:c r="F697" s="215" t="str">
        <x:v>Strong</x:v>
      </x:c>
      <x:c r="G697" s="215" t="str">
        <x:v>4</x:v>
      </x:c>
      <x:c r="H697" s="215" t="str">
        <x:v>High</x:v>
      </x:c>
      <x:c r="I697" s="215" t="str">
        <x:v>Hand lens</x:v>
      </x:c>
      <x:c r="J697" s="215" t="str">
        <x:v>Fresh intact spadix</x:v>
      </x:c>
      <x:c r="K697" s="215" t="str">
        <x:v>Individual flowers are minute and often lack showy petals.</x:v>
      </x:c>
      <x:c r="L697" s="215" t="str">
        <x:v>Sex arrangement and perianth vary among subfamilies.</x:v>
      </x:c>
      <x:c r="M697" s="215" t="str">
        <x:v>Inspect zones on the spadix rather than expecting one flower form.</x:v>
      </x:c>
      <x:c r="N697" s="215" t="str">
        <x:v>Aroids and duckweed-lineage plants are regionally relevant in Hays wetlands, seeps, ponds, and shaded riparian microsites; exact county genera should be voucher-checked.</x:v>
      </x:c>
      <x:c r="O697" s="215" t="str">
        <x:v>Low</x:v>
      </x:c>
      <x:c r="P697" s="215" t="str">
        <x:v>No</x:v>
      </x:c>
      <x:c r="Q697" s="215" t="str"/>
      <x:c r="R697" s="215" t="str"/>
      <x:c r="S697" s="215" t="str">
        <x:v>APWEB-ARAC; FNA-ARAC; POWO-ARAC; LBJ-HAYS</x:v>
      </x:c>
      <x:c r="T697" s="215" t="str">
        <x:v>https://www.mobot.org/MOBOT/research/APweb/orders/alismatalesweb.htm</x:v>
      </x:c>
      <x:c r="U697" s="215" t="str">
        <x:v>https://floranorthamerica.org/Araceae</x:v>
      </x:c>
      <x:c r="V697" s="215" t="str">
        <x:v>https://powo.science.kew.org/taxon/urn:lsid:ipni.org:names:30000216-2/general-information</x:v>
      </x:c>
      <x:c r="W697" s="215" t="str">
        <x:v>https://www.mobot.org/MOBOT/research/APweb/orders/alismatalesweb.htm
https://floranorthamerica.org/Araceae
https://powo.science.kew.org/taxon/urn:lsid:ipni.org:names:30000216-2/general-information
https://www.wildflower.org/collections/collection.php?collection=hays</x:v>
      </x:c>
      <x:c r="X697" s="215" t="str">
        <x:v>No — retain qualifiers and exceptions</x:v>
      </x:c>
      <x:c r="Y697" s="215" t="str">
        <x:v>Yes</x:v>
      </x:c>
      <x:c r="Z697" s="215" t="str">
        <x:v>Source-backed draft</x:v>
      </x:c>
      <x:c r="AA697" s="215" t="str">
        <x:v>Family pattern</x:v>
      </x:c>
      <x:c r="AB697" s="215" t="str">
        <x:v>Positive diagnostic</x:v>
      </x:c>
      <x:c r="AC697" s="215" t="str">
        <x:v>High</x:v>
      </x:c>
      <x:c r="AD697" s="215" t="str">
        <x:v>Hand lens / macro</x:v>
      </x:c>
      <x:c r="AE697" s="215" t="str">
        <x:v>Low</x:v>
      </x:c>
      <x:c r="AF697" s="215" t="str">
        <x:v>Field-ready draft</x:v>
      </x:c>
      <x:c r="AG697" s="215" t="str">
        <x:v>2 — Field-photo priority</x:v>
      </x:c>
      <x:c r="AH697" s="215" t="str">
        <x:v>Current master inventory</x:v>
      </x:c>
    </x:row>
    <x:row r="698" ht="42" customHeight="1">
      <x:c r="A698" s="215" t="str">
        <x:v>Araceae</x:v>
      </x:c>
      <x:c r="B698" s="215" t="str">
        <x:v>ARA-OVARY</x:v>
      </x:c>
      <x:c r="C698" s="215" t="str">
        <x:v>Family character</x:v>
      </x:c>
      <x:c r="D698" s="215" t="str">
        <x:v>Gynoecium</x:v>
      </x:c>
      <x:c r="E698" s="215" t="str">
        <x:v>Ovary single, sessile or embedded in the spadix, commonly 1–3-locular with one style</x:v>
      </x:c>
      <x:c r="F698" s="215" t="str">
        <x:v>Strong</x:v>
      </x:c>
      <x:c r="G698" s="215" t="str">
        <x:v>3</x:v>
      </x:c>
      <x:c r="H698" s="215" t="str">
        <x:v>High</x:v>
      </x:c>
      <x:c r="I698" s="215" t="str">
        <x:v>Hand lens or dissection</x:v>
      </x:c>
      <x:c r="J698" s="215" t="str">
        <x:v>Fresh pistillate flowers</x:v>
      </x:c>
      <x:c r="K698" s="215" t="str">
        <x:v>Each pistillate flower becomes an individual berry.</x:v>
      </x:c>
      <x:c r="L698" s="215" t="str">
        <x:v>Locule and ovule counts vary widely.</x:v>
      </x:c>
      <x:c r="M698" s="215" t="str">
        <x:v>Use fruit development as the practical expression.</x:v>
      </x:c>
      <x:c r="N698" s="215" t="str">
        <x:v>Aroids and duckweed-lineage plants are regionally relevant in Hays wetlands, seeps, ponds, and shaded riparian microsites; exact county genera should be voucher-checked.</x:v>
      </x:c>
      <x:c r="O698" s="215" t="str">
        <x:v>Low</x:v>
      </x:c>
      <x:c r="P698" s="215" t="str">
        <x:v>No</x:v>
      </x:c>
      <x:c r="Q698" s="215" t="str"/>
      <x:c r="R698" s="215" t="str"/>
      <x:c r="S698" s="215" t="str">
        <x:v>APWEB-ARAC; FNA-ARAC; POWO-ARAC; LBJ-HAYS</x:v>
      </x:c>
      <x:c r="T698" s="215" t="str">
        <x:v>https://www.mobot.org/MOBOT/research/APweb/orders/alismatalesweb.htm</x:v>
      </x:c>
      <x:c r="U698" s="215" t="str">
        <x:v>https://floranorthamerica.org/Araceae</x:v>
      </x:c>
      <x:c r="V698" s="215" t="str">
        <x:v>https://powo.science.kew.org/taxon/urn:lsid:ipni.org:names:30000216-2/general-information</x:v>
      </x:c>
      <x:c r="W698" s="215" t="str">
        <x:v>https://www.mobot.org/MOBOT/research/APweb/orders/alismatalesweb.htm
https://floranorthamerica.org/Araceae
https://powo.science.kew.org/taxon/urn:lsid:ipni.org:names:30000216-2/general-information
https://www.wildflower.org/collections/collection.php?collection=hays</x:v>
      </x:c>
      <x:c r="X698" s="215" t="str">
        <x:v>No — retain qualifiers and exceptions</x:v>
      </x:c>
      <x:c r="Y698" s="215" t="str">
        <x:v>Yes</x:v>
      </x:c>
      <x:c r="Z698" s="215" t="str">
        <x:v>Source-backed draft</x:v>
      </x:c>
      <x:c r="AA698" s="215" t="str">
        <x:v>Family pattern</x:v>
      </x:c>
      <x:c r="AB698" s="215" t="str">
        <x:v>Positive diagnostic</x:v>
      </x:c>
      <x:c r="AC698" s="215" t="str">
        <x:v>High</x:v>
      </x:c>
      <x:c r="AD698" s="215" t="str">
        <x:v>Dissection</x:v>
      </x:c>
      <x:c r="AE698" s="215" t="str">
        <x:v>Low</x:v>
      </x:c>
      <x:c r="AF698" s="215" t="str">
        <x:v>Dissection / close study</x:v>
      </x:c>
      <x:c r="AG698" s="215" t="str">
        <x:v>3 — Reference support</x:v>
      </x:c>
      <x:c r="AH698" s="215" t="str">
        <x:v>Current master inventory</x:v>
      </x:c>
    </x:row>
    <x:row r="699" ht="42" customHeight="1">
      <x:c r="A699" s="215" t="str">
        <x:v>Araceae</x:v>
      </x:c>
      <x:c r="B699" s="215" t="str">
        <x:v>ARA-FRUIT</x:v>
      </x:c>
      <x:c r="C699" s="215" t="str">
        <x:v>Family character</x:v>
      </x:c>
      <x:c r="D699" s="215" t="str">
        <x:v>Fruit</x:v>
      </x:c>
      <x:c r="E699" s="215" t="str">
        <x:v>Fruits usually berries, distinct or sometimes fused, with one to many seeds</x:v>
      </x:c>
      <x:c r="F699" s="215" t="str">
        <x:v>Strong</x:v>
      </x:c>
      <x:c r="G699" s="215" t="str">
        <x:v>4</x:v>
      </x:c>
      <x:c r="H699" s="215" t="str">
        <x:v>High</x:v>
      </x:c>
      <x:c r="I699" s="215" t="str">
        <x:v>Naked eye or hand lens</x:v>
      </x:c>
      <x:c r="J699" s="215" t="str">
        <x:v>Mature infructescence</x:v>
      </x:c>
      <x:c r="K699" s="215" t="str">
        <x:v>A mature spadix often becomes a cluster of berries.</x:v>
      </x:c>
      <x:c r="L699" s="215" t="str">
        <x:v>Floating Lemnoideae produce very reduced fruits.</x:v>
      </x:c>
      <x:c r="M699" s="215" t="str">
        <x:v>Pair fruit with the spadix/spathe architecture.</x:v>
      </x:c>
      <x:c r="N699" s="215" t="str">
        <x:v>Aroids and duckweed-lineage plants are regionally relevant in Hays wetlands, seeps, ponds, and shaded riparian microsites; exact county genera should be voucher-checked.</x:v>
      </x:c>
      <x:c r="O699" s="215" t="str">
        <x:v>Low</x:v>
      </x:c>
      <x:c r="P699" s="215" t="str">
        <x:v>No</x:v>
      </x:c>
      <x:c r="Q699" s="215" t="str"/>
      <x:c r="R699" s="215" t="str">
        <x:v>ARA-LK01</x:v>
      </x:c>
      <x:c r="S699" s="215" t="str">
        <x:v>APWEB-ARAC; FNA-ARAC; POWO-ARAC; LBJ-HAYS</x:v>
      </x:c>
      <x:c r="T699" s="215" t="str">
        <x:v>https://www.mobot.org/MOBOT/research/APweb/orders/alismatalesweb.htm</x:v>
      </x:c>
      <x:c r="U699" s="215" t="str">
        <x:v>https://floranorthamerica.org/Araceae</x:v>
      </x:c>
      <x:c r="V699" s="215" t="str">
        <x:v>https://powo.science.kew.org/taxon/urn:lsid:ipni.org:names:30000216-2/general-information</x:v>
      </x:c>
      <x:c r="W699" s="215" t="str">
        <x:v>https://www.mobot.org/MOBOT/research/APweb/orders/alismatalesweb.htm
https://floranorthamerica.org/Araceae
https://powo.science.kew.org/taxon/urn:lsid:ipni.org:names:30000216-2/general-information
https://www.wildflower.org/collections/collection.php?collection=hays</x:v>
      </x:c>
      <x:c r="X699" s="215" t="str">
        <x:v>No — retain qualifiers and exceptions</x:v>
      </x:c>
      <x:c r="Y699" s="215" t="str">
        <x:v>Yes</x:v>
      </x:c>
      <x:c r="Z699" s="215" t="str">
        <x:v>Source-backed draft</x:v>
      </x:c>
      <x:c r="AA699" s="215" t="str">
        <x:v>Family pattern</x:v>
      </x:c>
      <x:c r="AB699" s="215" t="str">
        <x:v>Positive diagnostic</x:v>
      </x:c>
      <x:c r="AC699" s="215" t="str">
        <x:v>High</x:v>
      </x:c>
      <x:c r="AD699" s="215" t="str">
        <x:v>Hand lens / macro</x:v>
      </x:c>
      <x:c r="AE699" s="215" t="str">
        <x:v>Low</x:v>
      </x:c>
      <x:c r="AF699" s="215" t="str">
        <x:v>Field-ready draft</x:v>
      </x:c>
      <x:c r="AG699" s="215" t="str">
        <x:v>2 — Field-photo priority</x:v>
      </x:c>
      <x:c r="AH699" s="215" t="str">
        <x:v>Current master inventory</x:v>
      </x:c>
    </x:row>
    <x:row r="700" ht="42" customHeight="1">
      <x:c r="A700" s="215" t="str">
        <x:v>Araceae</x:v>
      </x:c>
      <x:c r="B700" s="215" t="str">
        <x:v>ARA-RAPHIDES</x:v>
      </x:c>
      <x:c r="C700" s="215" t="str">
        <x:v>Family character</x:v>
      </x:c>
      <x:c r="D700" s="215" t="str">
        <x:v>Crystals / safety</x:v>
      </x:c>
      <x:c r="E700" s="215" t="str">
        <x:v>Calcium-oxalate raphides occur widely and raw tissues of many genera can be intensely irritating</x:v>
      </x:c>
      <x:c r="F700" s="215" t="str">
        <x:v>Supporting</x:v>
      </x:c>
      <x:c r="G700" s="215" t="str">
        <x:v>1</x:v>
      </x:c>
      <x:c r="H700" s="215" t="str">
        <x:v>High</x:v>
      </x:c>
      <x:c r="I700" s="215" t="str">
        <x:v>Not safely field-tested</x:v>
      </x:c>
      <x:c r="J700" s="215" t="str">
        <x:v>Any fresh tissue</x:v>
      </x:c>
      <x:c r="K700" s="215" t="str">
        <x:v>Do not taste or deliberately rub unknown aroid tissue.</x:v>
      </x:c>
      <x:c r="L700" s="215" t="str">
        <x:v>Irritation also involves enzymes or other compounds and is not a family identification test.</x:v>
      </x:c>
      <x:c r="M700" s="215" t="str">
        <x:v>Treat as a safety note, never a touch or taste character.</x:v>
      </x:c>
      <x:c r="N700" s="215" t="str">
        <x:v>Aroids and duckweed-lineage plants are regionally relevant in Hays wetlands, seeps, ponds, and shaded riparian microsites; exact county genera should be voucher-checked.</x:v>
      </x:c>
      <x:c r="O700" s="215" t="str">
        <x:v>Low</x:v>
      </x:c>
      <x:c r="P700" s="215" t="str">
        <x:v>No</x:v>
      </x:c>
      <x:c r="Q700" s="215" t="str"/>
      <x:c r="R700" s="215" t="str"/>
      <x:c r="S700" s="215" t="str">
        <x:v>APWEB-ARAC; FNA-ARAC; POWO-ARAC; LBJ-HAYS</x:v>
      </x:c>
      <x:c r="T700" s="215" t="str">
        <x:v>https://www.mobot.org/MOBOT/research/APweb/orders/alismatalesweb.htm</x:v>
      </x:c>
      <x:c r="U700" s="215" t="str">
        <x:v>https://floranorthamerica.org/Araceae</x:v>
      </x:c>
      <x:c r="V700" s="215" t="str">
        <x:v>https://powo.science.kew.org/taxon/urn:lsid:ipni.org:names:30000216-2/general-information</x:v>
      </x:c>
      <x:c r="W700" s="215" t="str">
        <x:v>https://www.mobot.org/MOBOT/research/APweb/orders/alismatalesweb.htm
https://floranorthamerica.org/Araceae
https://powo.science.kew.org/taxon/urn:lsid:ipni.org:names:30000216-2/general-information
https://www.wildflower.org/collections/collection.php?collection=hays</x:v>
      </x:c>
      <x:c r="X700" s="215" t="str">
        <x:v>No — retain qualifiers and exceptions</x:v>
      </x:c>
      <x:c r="Y700" s="215" t="str">
        <x:v>Yes</x:v>
      </x:c>
      <x:c r="Z700" s="215" t="str">
        <x:v>Source-backed draft</x:v>
      </x:c>
      <x:c r="AA700" s="215" t="str">
        <x:v>Family pattern</x:v>
      </x:c>
      <x:c r="AB700" s="215" t="str">
        <x:v>Supporting / route</x:v>
      </x:c>
      <x:c r="AC700" s="215" t="str">
        <x:v>High</x:v>
      </x:c>
      <x:c r="AD700" s="215" t="str">
        <x:v>Unsafe / avoid</x:v>
      </x:c>
      <x:c r="AE700" s="215" t="str">
        <x:v>Low</x:v>
      </x:c>
      <x:c r="AF700" s="215" t="str">
        <x:v>Do not perform</x:v>
      </x:c>
      <x:c r="AG700" s="215" t="str">
        <x:v>4 — Context / caution</x:v>
      </x:c>
      <x:c r="AH700" s="215" t="str">
        <x:v>Current master inventory</x:v>
      </x:c>
    </x:row>
    <x:row r="701" ht="42" customHeight="1">
      <x:c r="A701" s="215" t="str">
        <x:v>Araceae</x:v>
      </x:c>
      <x:c r="B701" s="215" t="str">
        <x:v>ARA-LK01</x:v>
      </x:c>
      <x:c r="C701" s="215" t="str">
        <x:v>Lookalike comparison</x:v>
      </x:c>
      <x:c r="D701" s="215" t="str">
        <x:v>Lookalike</x:v>
      </x:c>
      <x:c r="E701" s="215" t="str">
        <x:v>Versus Typhaceae: an unbranched fleshy spadix with one associated spathe favors Araceae; dense cylindrical heads without a true spathe and with linear marsh leaves favor Typhaceae</x:v>
      </x:c>
      <x:c r="F701" s="215" t="str">
        <x:v>Lookalike</x:v>
      </x:c>
      <x:c r="G701" s="215" t="str">
        <x:v>5</x:v>
      </x:c>
      <x:c r="H701" s="215" t="str">
        <x:v>High</x:v>
      </x:c>
      <x:c r="I701" s="215" t="str">
        <x:v>Naked eye</x:v>
      </x:c>
      <x:c r="J701" s="215" t="str">
        <x:v>Flowering or fruiting material</x:v>
      </x:c>
      <x:c r="K701" s="215" t="str">
        <x:v>Cattail heads can look spadix-like from a distance.</x:v>
      </x:c>
      <x:c r="L701" s="215" t="str">
        <x:v>Highly reduced floating aroids require a different comparison set.</x:v>
      </x:c>
      <x:c r="M701" s="215" t="str">
        <x:v>Check the subtending bract and individual flower organization.</x:v>
      </x:c>
      <x:c r="N701" s="215" t="str">
        <x:v>Aroids and duckweed-lineage plants are regionally relevant in Hays wetlands, seeps, ponds, and shaded riparian microsites; exact county genera should be voucher-checked.</x:v>
      </x:c>
      <x:c r="O701" s="215" t="str">
        <x:v>Low</x:v>
      </x:c>
      <x:c r="P701" s="215" t="str">
        <x:v>No</x:v>
      </x:c>
      <x:c r="Q701" s="215" t="str"/>
      <x:c r="R701" s="215" t="str">
        <x:v>ARA-SPADIX; ARA-SPATHE; ARA-FRUIT</x:v>
      </x:c>
      <x:c r="S701" s="215" t="str">
        <x:v>APWEB-ARAC; FNA-ARAC; POWO-ARAC; LBJ-HAYS</x:v>
      </x:c>
      <x:c r="T701" s="215" t="str">
        <x:v>https://www.mobot.org/MOBOT/research/APweb/orders/alismatalesweb.htm</x:v>
      </x:c>
      <x:c r="U701" s="215" t="str">
        <x:v>https://floranorthamerica.org/Araceae</x:v>
      </x:c>
      <x:c r="V701" s="215" t="str">
        <x:v>https://powo.science.kew.org/taxon/urn:lsid:ipni.org:names:30000216-2/general-information</x:v>
      </x:c>
      <x:c r="W701" s="215" t="str">
        <x:v>https://www.mobot.org/MOBOT/research/APweb/orders/alismatalesweb.htm
https://floranorthamerica.org/Araceae
https://powo.science.kew.org/taxon/urn:lsid:ipni.org:names:30000216-2/general-information
https://www.wildflower.org/collections/collection.php?collection=hays</x:v>
      </x:c>
      <x:c r="X701" s="215" t="str">
        <x:v>No — retain qualifiers and exceptions</x:v>
      </x:c>
      <x:c r="Y701" s="215" t="str">
        <x:v>Yes</x:v>
      </x:c>
      <x:c r="Z701" s="215" t="str">
        <x:v>Source-backed draft</x:v>
      </x:c>
      <x:c r="AA701" s="215" t="str">
        <x:v>Lookalike comparison</x:v>
      </x:c>
      <x:c r="AB701" s="215" t="str">
        <x:v>Contrast / lookalike</x:v>
      </x:c>
      <x:c r="AC701" s="215" t="str">
        <x:v>High</x:v>
      </x:c>
      <x:c r="AD701" s="215" t="str">
        <x:v>Naked eye / field</x:v>
      </x:c>
      <x:c r="AE701" s="215" t="str">
        <x:v>Low</x:v>
      </x:c>
      <x:c r="AF701" s="215" t="str">
        <x:v>Field-ready draft</x:v>
      </x:c>
      <x:c r="AG701" s="215" t="str">
        <x:v>2 — Field-photo priority</x:v>
      </x:c>
      <x:c r="AH701" s="215" t="str">
        <x:v>Current master inventory</x:v>
      </x:c>
    </x:row>
    <x:row r="702" ht="42" customHeight="1">
      <x:c r="A702" s="215" t="str">
        <x:v>Araceae</x:v>
      </x:c>
      <x:c r="B702" s="215" t="str">
        <x:v>ARA-LK02</x:v>
      </x:c>
      <x:c r="C702" s="215" t="str">
        <x:v>Lookalike comparison</x:v>
      </x:c>
      <x:c r="D702" s="215" t="str">
        <x:v>Lookalike</x:v>
      </x:c>
      <x:c r="E702" s="215" t="str">
        <x:v>Versus Acoraceae: a conventional aroid usually has a distinct spathe and berry cluster; Acorus has swordlike aromatic leaves and a lateral-looking spadix with a leaflike continuation</x:v>
      </x:c>
      <x:c r="F702" s="215" t="str">
        <x:v>Lookalike</x:v>
      </x:c>
      <x:c r="G702" s="215" t="str">
        <x:v>5</x:v>
      </x:c>
      <x:c r="H702" s="215" t="str">
        <x:v>High</x:v>
      </x:c>
      <x:c r="I702" s="215" t="str">
        <x:v>Naked eye or hand lens</x:v>
      </x:c>
      <x:c r="J702" s="215" t="str">
        <x:v>Flowering material</x:v>
      </x:c>
      <x:c r="K702" s="215" t="str">
        <x:v>Acorus was historically included in Araceae but is now a separate family.</x:v>
      </x:c>
      <x:c r="L702" s="215" t="str">
        <x:v>Some basal aroids also have less showy spathes.</x:v>
      </x:c>
      <x:c r="M702" s="215" t="str">
        <x:v>Use the whole inflorescence and current taxonomy.</x:v>
      </x:c>
      <x:c r="N702" s="215" t="str">
        <x:v>Aroids and duckweed-lineage plants are regionally relevant in Hays wetlands, seeps, ponds, and shaded riparian microsites; exact county genera should be voucher-checked.</x:v>
      </x:c>
      <x:c r="O702" s="215" t="str">
        <x:v>Medium</x:v>
      </x:c>
      <x:c r="P702" s="215" t="str">
        <x:v>Yes</x:v>
      </x:c>
      <x:c r="Q702" s="215" t="str">
        <x:v>Exact Hays County Araceae genera and the role of modern Lemnoideae require voucher-level reconciliation.</x:v>
      </x:c>
      <x:c r="R702" s="215" t="str">
        <x:v>ARA-LEAVES; ARA-SPADIX; ARA-SPATHE</x:v>
      </x:c>
      <x:c r="S702" s="215" t="str">
        <x:v>APWEB-ARAC; FNA-ARAC; POWO-ARAC; LBJ-HAYS</x:v>
      </x:c>
      <x:c r="T702" s="215" t="str">
        <x:v>https://www.mobot.org/MOBOT/research/APweb/orders/alismatalesweb.htm</x:v>
      </x:c>
      <x:c r="U702" s="215" t="str">
        <x:v>https://floranorthamerica.org/Araceae</x:v>
      </x:c>
      <x:c r="V702" s="215" t="str">
        <x:v>https://powo.science.kew.org/taxon/urn:lsid:ipni.org:names:30000216-2/general-information</x:v>
      </x:c>
      <x:c r="W702" s="215" t="str">
        <x:v>https://www.mobot.org/MOBOT/research/APweb/orders/alismatalesweb.htm
https://floranorthamerica.org/Araceae
https://powo.science.kew.org/taxon/urn:lsid:ipni.org:names:30000216-2/general-information
https://www.wildflower.org/collections/collection.php?collection=hays</x:v>
      </x:c>
      <x:c r="X702" s="215" t="str">
        <x:v>No — retain qualifiers and exceptions</x:v>
      </x:c>
      <x:c r="Y702" s="215" t="str">
        <x:v>Yes</x:v>
      </x:c>
      <x:c r="Z702" s="215" t="str">
        <x:v>Human review required</x:v>
      </x:c>
      <x:c r="AA702" s="215" t="str">
        <x:v>Lookalike comparison</x:v>
      </x:c>
      <x:c r="AB702" s="215" t="str">
        <x:v>Contrast / lookalike</x:v>
      </x:c>
      <x:c r="AC702" s="215" t="str">
        <x:v>High</x:v>
      </x:c>
      <x:c r="AD702" s="215" t="str">
        <x:v>Hand lens / macro</x:v>
      </x:c>
      <x:c r="AE702" s="215" t="str">
        <x:v>Moderate</x:v>
      </x:c>
      <x:c r="AF702" s="215" t="str">
        <x:v>Use only after review</x:v>
      </x:c>
      <x:c r="AG702" s="215" t="str">
        <x:v>1 — Human review now</x:v>
      </x:c>
      <x:c r="AH702" s="215" t="str">
        <x:v>Current master inventory</x:v>
      </x:c>
    </x:row>
    <x:row r="703" ht="42" customHeight="1">
      <x:c r="A703" s="215" t="str">
        <x:v>Crassulaceae</x:v>
      </x:c>
      <x:c r="B703" s="215" t="str">
        <x:v>CRA-HABIT</x:v>
      </x:c>
      <x:c r="C703" s="215" t="str">
        <x:v>Family character</x:v>
      </x:c>
      <x:c r="D703" s="215" t="str">
        <x:v>Habit</x:v>
      </x:c>
      <x:c r="E703" s="215" t="str">
        <x:v>Succulent annual or perennial herbs, occasionally soft-stemmed shrubs</x:v>
      </x:c>
      <x:c r="F703" s="215" t="str">
        <x:v>Strong</x:v>
      </x:c>
      <x:c r="G703" s="215" t="str">
        <x:v>3</x:v>
      </x:c>
      <x:c r="H703" s="215" t="str">
        <x:v>High</x:v>
      </x:c>
      <x:c r="I703" s="215" t="str">
        <x:v>Naked eye</x:v>
      </x:c>
      <x:c r="J703" s="215" t="str">
        <x:v>Active growth</x:v>
      </x:c>
      <x:c r="K703" s="215" t="str">
        <x:v>Most family members store water in fleshy shoots or leaves.</x:v>
      </x:c>
      <x:c r="L703" s="215" t="str">
        <x:v>Degree of succulence varies and some annuals are small.</x:v>
      </x:c>
      <x:c r="M703" s="215" t="str">
        <x:v>Use habit with the floral follicle suite.</x:v>
      </x:c>
      <x:c r="N703" s="215" t="str">
        <x:v>Native stonecrops occur on thin soils, rock outcrops, and shallow limestone or granitic microsites in the Central Texas target zone.</x:v>
      </x:c>
      <x:c r="O703" s="215" t="str">
        <x:v>Low</x:v>
      </x:c>
      <x:c r="P703" s="215" t="str">
        <x:v>No</x:v>
      </x:c>
      <x:c r="Q703" s="215" t="str"/>
      <x:c r="R703" s="215" t="str">
        <x:v>CRA-LK01; CRA-LK02</x:v>
      </x:c>
      <x:c r="S703" s="215" t="str">
        <x:v>APWEB-CRAS; FNA-CRAS; POWO-CRAS; LBJ-HAYS</x:v>
      </x:c>
      <x:c r="T703" s="215" t="str">
        <x:v>https://www.mobot.org/MOBOT/research/APweb/orders/saxifragalesweb.htm</x:v>
      </x:c>
      <x:c r="U703" s="215" t="str">
        <x:v>https://floranorthamerica.org/Crassulaceae</x:v>
      </x:c>
      <x:c r="V703" s="215" t="str">
        <x:v>https://powo.science.kew.org/taxon/urn:lsid:ipni.org:names:30000887-2/general-information</x:v>
      </x:c>
      <x:c r="W703" s="215" t="str">
        <x:v>https://www.mobot.org/MOBOT/research/APweb/orders/saxifragalesweb.htm
https://floranorthamerica.org/Crassulaceae
https://powo.science.kew.org/taxon/urn:lsid:ipni.org:names:30000887-2/general-information
https://www.wildflower.org/collections/collection.php?collection=hays</x:v>
      </x:c>
      <x:c r="X703" s="215" t="str">
        <x:v>No — retain qualifiers and exceptions</x:v>
      </x:c>
      <x:c r="Y703" s="215" t="str">
        <x:v>Yes</x:v>
      </x:c>
      <x:c r="Z703" s="215" t="str">
        <x:v>Source-backed draft</x:v>
      </x:c>
      <x:c r="AA703" s="215" t="str">
        <x:v>Family pattern</x:v>
      </x:c>
      <x:c r="AB703" s="215" t="str">
        <x:v>Positive diagnostic</x:v>
      </x:c>
      <x:c r="AC703" s="215" t="str">
        <x:v>High</x:v>
      </x:c>
      <x:c r="AD703" s="215" t="str">
        <x:v>Naked eye / field</x:v>
      </x:c>
      <x:c r="AE703" s="215" t="str">
        <x:v>Low</x:v>
      </x:c>
      <x:c r="AF703" s="215" t="str">
        <x:v>Field-ready draft</x:v>
      </x:c>
      <x:c r="AG703" s="215" t="str">
        <x:v>3 — Reference support</x:v>
      </x:c>
      <x:c r="AH703" s="215" t="str">
        <x:v>Current master inventory</x:v>
      </x:c>
    </x:row>
    <x:row r="704" ht="42" customHeight="1">
      <x:c r="A704" s="215" t="str">
        <x:v>Crassulaceae</x:v>
      </x:c>
      <x:c r="B704" s="215" t="str">
        <x:v>CRA-CAM</x:v>
      </x:c>
      <x:c r="C704" s="215" t="str">
        <x:v>Family character</x:v>
      </x:c>
      <x:c r="D704" s="215" t="str">
        <x:v>Physiology</x:v>
      </x:c>
      <x:c r="E704" s="215" t="str">
        <x:v>Crassulacean acid metabolism is common but may be obligate, facultative, or weakly expressed</x:v>
      </x:c>
      <x:c r="F704" s="215" t="str">
        <x:v>Supporting</x:v>
      </x:c>
      <x:c r="G704" s="215" t="str">
        <x:v>0</x:v>
      </x:c>
      <x:c r="H704" s="215" t="str">
        <x:v>High</x:v>
      </x:c>
      <x:c r="I704" s="215" t="str">
        <x:v>Not field-visible</x:v>
      </x:c>
      <x:c r="J704" s="215" t="str">
        <x:v>Any material</x:v>
      </x:c>
      <x:c r="K704" s="215" t="str">
        <x:v>Water-saving night-time carbon fixation is common in the family.</x:v>
      </x:c>
      <x:c r="L704" s="215" t="str">
        <x:v>CAM cannot be inferred reliably from appearance and is not universal in expression.</x:v>
      </x:c>
      <x:c r="M704" s="215" t="str">
        <x:v>Retain as ecological context, not a field test.</x:v>
      </x:c>
      <x:c r="N704" s="215" t="str">
        <x:v>Native stonecrops occur on thin soils, rock outcrops, and shallow limestone or granitic microsites in the Central Texas target zone.</x:v>
      </x:c>
      <x:c r="O704" s="215" t="str">
        <x:v>Medium</x:v>
      </x:c>
      <x:c r="P704" s="215" t="str">
        <x:v>No</x:v>
      </x:c>
      <x:c r="Q704" s="215" t="str"/>
      <x:c r="R704" s="215" t="str"/>
      <x:c r="S704" s="215" t="str">
        <x:v>APWEB-CRAS; FNA-CRAS; POWO-CRAS; LBJ-HAYS</x:v>
      </x:c>
      <x:c r="T704" s="215" t="str">
        <x:v>https://www.mobot.org/MOBOT/research/APweb/orders/saxifragalesweb.htm</x:v>
      </x:c>
      <x:c r="U704" s="215" t="str">
        <x:v>https://floranorthamerica.org/Crassulaceae</x:v>
      </x:c>
      <x:c r="V704" s="215" t="str">
        <x:v>https://powo.science.kew.org/taxon/urn:lsid:ipni.org:names:30000887-2/general-information</x:v>
      </x:c>
      <x:c r="W704" s="215" t="str">
        <x:v>https://www.mobot.org/MOBOT/research/APweb/orders/saxifragalesweb.htm
https://floranorthamerica.org/Crassulaceae
https://powo.science.kew.org/taxon/urn:lsid:ipni.org:names:30000887-2/general-information
https://www.wildflower.org/collections/collection.php?collection=hays</x:v>
      </x:c>
      <x:c r="X704" s="215" t="str">
        <x:v>No — retain qualifiers and exceptions</x:v>
      </x:c>
      <x:c r="Y704" s="215" t="str">
        <x:v>Yes</x:v>
      </x:c>
      <x:c r="Z704" s="215" t="str">
        <x:v>Source-backed draft</x:v>
      </x:c>
      <x:c r="AA704" s="215" t="str">
        <x:v>Family pattern</x:v>
      </x:c>
      <x:c r="AB704" s="215" t="str">
        <x:v>Supporting / route</x:v>
      </x:c>
      <x:c r="AC704" s="215" t="str">
        <x:v>High</x:v>
      </x:c>
      <x:c r="AD704" s="215" t="str">
        <x:v>Reference / method</x:v>
      </x:c>
      <x:c r="AE704" s="215" t="str">
        <x:v>Moderate</x:v>
      </x:c>
      <x:c r="AF704" s="215" t="str">
        <x:v>Specialist / reference</x:v>
      </x:c>
      <x:c r="AG704" s="215" t="str">
        <x:v>4 — Context / caution</x:v>
      </x:c>
      <x:c r="AH704" s="215" t="str">
        <x:v>Current master inventory</x:v>
      </x:c>
    </x:row>
    <x:row r="705" ht="42" customHeight="1">
      <x:c r="A705" s="215" t="str">
        <x:v>Crassulaceae</x:v>
      </x:c>
      <x:c r="B705" s="215" t="str">
        <x:v>CRA-LEAVES</x:v>
      </x:c>
      <x:c r="C705" s="215" t="str">
        <x:v>Family character</x:v>
      </x:c>
      <x:c r="D705" s="215" t="str">
        <x:v>Leaves / stipules</x:v>
      </x:c>
      <x:c r="E705" s="215" t="str">
        <x:v>Leaves simple, usually fleshy and exstipulate, alternate or opposite, sometimes in basal rosettes</x:v>
      </x:c>
      <x:c r="F705" s="215" t="str">
        <x:v>Strong</x:v>
      </x:c>
      <x:c r="G705" s="215" t="str">
        <x:v>4</x:v>
      </x:c>
      <x:c r="H705" s="215" t="str">
        <x:v>High</x:v>
      </x:c>
      <x:c r="I705" s="215" t="str">
        <x:v>Naked eye</x:v>
      </x:c>
      <x:c r="J705" s="215" t="str">
        <x:v>Mature leafy shoots</x:v>
      </x:c>
      <x:c r="K705" s="215" t="str">
        <x:v>Fleshy leaves without stipules strongly support stonecrops when paired with flowers.</x:v>
      </x:c>
      <x:c r="L705" s="215" t="str">
        <x:v>Some leaves are thin, toothed, lobed, or compound in cultivated lineages.</x:v>
      </x:c>
      <x:c r="M705" s="215" t="str">
        <x:v>Record arrangement and succulence without making either universal.</x:v>
      </x:c>
      <x:c r="N705" s="215" t="str">
        <x:v>Native stonecrops occur on thin soils, rock outcrops, and shallow limestone or granitic microsites in the Central Texas target zone.</x:v>
      </x:c>
      <x:c r="O705" s="215" t="str">
        <x:v>Low</x:v>
      </x:c>
      <x:c r="P705" s="215" t="str">
        <x:v>No</x:v>
      </x:c>
      <x:c r="Q705" s="215" t="str"/>
      <x:c r="R705" s="215" t="str">
        <x:v>CRA-LK01; CRA-LK02</x:v>
      </x:c>
      <x:c r="S705" s="215" t="str">
        <x:v>APWEB-CRAS; FNA-CRAS; POWO-CRAS; LBJ-HAYS</x:v>
      </x:c>
      <x:c r="T705" s="215" t="str">
        <x:v>https://www.mobot.org/MOBOT/research/APweb/orders/saxifragalesweb.htm</x:v>
      </x:c>
      <x:c r="U705" s="215" t="str">
        <x:v>https://floranorthamerica.org/Crassulaceae</x:v>
      </x:c>
      <x:c r="V705" s="215" t="str">
        <x:v>https://powo.science.kew.org/taxon/urn:lsid:ipni.org:names:30000887-2/general-information</x:v>
      </x:c>
      <x:c r="W705" s="215" t="str">
        <x:v>https://www.mobot.org/MOBOT/research/APweb/orders/saxifragalesweb.htm
https://floranorthamerica.org/Crassulaceae
https://powo.science.kew.org/taxon/urn:lsid:ipni.org:names:30000887-2/general-information
https://www.wildflower.org/collections/collection.php?collection=hays</x:v>
      </x:c>
      <x:c r="X705" s="215" t="str">
        <x:v>No — retain qualifiers and exceptions</x:v>
      </x:c>
      <x:c r="Y705" s="215" t="str">
        <x:v>Yes</x:v>
      </x:c>
      <x:c r="Z705" s="215" t="str">
        <x:v>Source-backed draft</x:v>
      </x:c>
      <x:c r="AA705" s="215" t="str">
        <x:v>Family pattern</x:v>
      </x:c>
      <x:c r="AB705" s="215" t="str">
        <x:v>Positive diagnostic</x:v>
      </x:c>
      <x:c r="AC705" s="215" t="str">
        <x:v>High</x:v>
      </x:c>
      <x:c r="AD705" s="215" t="str">
        <x:v>Naked eye / field</x:v>
      </x:c>
      <x:c r="AE705" s="215" t="str">
        <x:v>Low</x:v>
      </x:c>
      <x:c r="AF705" s="215" t="str">
        <x:v>Field-ready draft</x:v>
      </x:c>
      <x:c r="AG705" s="215" t="str">
        <x:v>2 — Field-photo priority</x:v>
      </x:c>
      <x:c r="AH705" s="215" t="str">
        <x:v>Current master inventory</x:v>
      </x:c>
    </x:row>
    <x:row r="706" ht="42" customHeight="1">
      <x:c r="A706" s="215" t="str">
        <x:v>Crassulaceae</x:v>
      </x:c>
      <x:c r="B706" s="215" t="str">
        <x:v>CRA-INFLO</x:v>
      </x:c>
      <x:c r="C706" s="215" t="str">
        <x:v>Family character</x:v>
      </x:c>
      <x:c r="D706" s="215" t="str">
        <x:v>Inflorescence</x:v>
      </x:c>
      <x:c r="E706" s="215" t="str">
        <x:v>Inflorescences commonly terminal and cymose, sometimes racemose, spicate, or reduced to solitary flowers</x:v>
      </x:c>
      <x:c r="F706" s="215" t="str">
        <x:v>Strong</x:v>
      </x:c>
      <x:c r="G706" s="215" t="str">
        <x:v>3</x:v>
      </x:c>
      <x:c r="H706" s="215" t="str">
        <x:v>High</x:v>
      </x:c>
      <x:c r="I706" s="215" t="str">
        <x:v>Naked eye</x:v>
      </x:c>
      <x:c r="J706" s="215" t="str">
        <x:v>Flowering material</x:v>
      </x:c>
      <x:c r="K706" s="215" t="str">
        <x:v>Flower clusters often branch in a flat or rounded cyme.</x:v>
      </x:c>
      <x:c r="L706" s="215" t="str">
        <x:v>Architecture is variable.</x:v>
      </x:c>
      <x:c r="M706" s="215" t="str">
        <x:v>Use as supporting structure only.</x:v>
      </x:c>
      <x:c r="N706" s="215" t="str">
        <x:v>Native stonecrops occur on thin soils, rock outcrops, and shallow limestone or granitic microsites in the Central Texas target zone.</x:v>
      </x:c>
      <x:c r="O706" s="215" t="str">
        <x:v>Low</x:v>
      </x:c>
      <x:c r="P706" s="215" t="str">
        <x:v>No</x:v>
      </x:c>
      <x:c r="Q706" s="215" t="str"/>
      <x:c r="R706" s="215" t="str"/>
      <x:c r="S706" s="215" t="str">
        <x:v>APWEB-CRAS; FNA-CRAS; POWO-CRAS; LBJ-HAYS</x:v>
      </x:c>
      <x:c r="T706" s="215" t="str">
        <x:v>https://www.mobot.org/MOBOT/research/APweb/orders/saxifragalesweb.htm</x:v>
      </x:c>
      <x:c r="U706" s="215" t="str">
        <x:v>https://floranorthamerica.org/Crassulaceae</x:v>
      </x:c>
      <x:c r="V706" s="215" t="str">
        <x:v>https://powo.science.kew.org/taxon/urn:lsid:ipni.org:names:30000887-2/general-information</x:v>
      </x:c>
      <x:c r="W706" s="215" t="str">
        <x:v>https://www.mobot.org/MOBOT/research/APweb/orders/saxifragalesweb.htm
https://floranorthamerica.org/Crassulaceae
https://powo.science.kew.org/taxon/urn:lsid:ipni.org:names:30000887-2/general-information
https://www.wildflower.org/collections/collection.php?collection=hays</x:v>
      </x:c>
      <x:c r="X706" s="215" t="str">
        <x:v>No — retain qualifiers and exceptions</x:v>
      </x:c>
      <x:c r="Y706" s="215" t="str">
        <x:v>Yes</x:v>
      </x:c>
      <x:c r="Z706" s="215" t="str">
        <x:v>Source-backed draft</x:v>
      </x:c>
      <x:c r="AA706" s="215" t="str">
        <x:v>Family pattern</x:v>
      </x:c>
      <x:c r="AB706" s="215" t="str">
        <x:v>Positive diagnostic</x:v>
      </x:c>
      <x:c r="AC706" s="215" t="str">
        <x:v>High</x:v>
      </x:c>
      <x:c r="AD706" s="215" t="str">
        <x:v>Naked eye / field</x:v>
      </x:c>
      <x:c r="AE706" s="215" t="str">
        <x:v>Low</x:v>
      </x:c>
      <x:c r="AF706" s="215" t="str">
        <x:v>Field-ready draft</x:v>
      </x:c>
      <x:c r="AG706" s="215" t="str">
        <x:v>3 — Reference support</x:v>
      </x:c>
      <x:c r="AH706" s="215" t="str">
        <x:v>Current master inventory</x:v>
      </x:c>
    </x:row>
    <x:row r="707" ht="42" customHeight="1">
      <x:c r="A707" s="215" t="str">
        <x:v>Crassulaceae</x:v>
      </x:c>
      <x:c r="B707" s="215" t="str">
        <x:v>CRA-FLOWER</x:v>
      </x:c>
      <x:c r="C707" s="215" t="str">
        <x:v>Family character</x:v>
      </x:c>
      <x:c r="D707" s="215" t="str">
        <x:v>Flowers</x:v>
      </x:c>
      <x:c r="E707" s="215" t="str">
        <x:v>Flowers usually bisexual, radially symmetric, and commonly 4- or 5-merous</x:v>
      </x:c>
      <x:c r="F707" s="215" t="str">
        <x:v>Strong</x:v>
      </x:c>
      <x:c r="G707" s="215" t="str">
        <x:v>4</x:v>
      </x:c>
      <x:c r="H707" s="215" t="str">
        <x:v>High</x:v>
      </x:c>
      <x:c r="I707" s="215" t="str">
        <x:v>Naked eye or hand lens</x:v>
      </x:c>
      <x:c r="J707" s="215" t="str">
        <x:v>Fresh flowers</x:v>
      </x:c>
      <x:c r="K707" s="215" t="str">
        <x:v>Sepals, petals, stamens, and carpels often repeat the same basic number.</x:v>
      </x:c>
      <x:c r="L707" s="215" t="str">
        <x:v>Merism can vary and petals may be fused or separate.</x:v>
      </x:c>
      <x:c r="M707" s="215" t="str">
        <x:v>Count several intact flowers.</x:v>
      </x:c>
      <x:c r="N707" s="215" t="str">
        <x:v>Native stonecrops occur on thin soils, rock outcrops, and shallow limestone or granitic microsites in the Central Texas target zone.</x:v>
      </x:c>
      <x:c r="O707" s="215" t="str">
        <x:v>Low</x:v>
      </x:c>
      <x:c r="P707" s="215" t="str">
        <x:v>No</x:v>
      </x:c>
      <x:c r="Q707" s="215" t="str"/>
      <x:c r="R707" s="215" t="str">
        <x:v>CRA-LK01; CRA-LK02</x:v>
      </x:c>
      <x:c r="S707" s="215" t="str">
        <x:v>APWEB-CRAS; FNA-CRAS; POWO-CRAS; LBJ-HAYS</x:v>
      </x:c>
      <x:c r="T707" s="215" t="str">
        <x:v>https://www.mobot.org/MOBOT/research/APweb/orders/saxifragalesweb.htm</x:v>
      </x:c>
      <x:c r="U707" s="215" t="str">
        <x:v>https://floranorthamerica.org/Crassulaceae</x:v>
      </x:c>
      <x:c r="V707" s="215" t="str">
        <x:v>https://powo.science.kew.org/taxon/urn:lsid:ipni.org:names:30000887-2/general-information</x:v>
      </x:c>
      <x:c r="W707" s="215" t="str">
        <x:v>https://www.mobot.org/MOBOT/research/APweb/orders/saxifragalesweb.htm
https://floranorthamerica.org/Crassulaceae
https://powo.science.kew.org/taxon/urn:lsid:ipni.org:names:30000887-2/general-information
https://www.wildflower.org/collections/collection.php?collection=hays</x:v>
      </x:c>
      <x:c r="X707" s="215" t="str">
        <x:v>No — retain qualifiers and exceptions</x:v>
      </x:c>
      <x:c r="Y707" s="215" t="str">
        <x:v>Yes</x:v>
      </x:c>
      <x:c r="Z707" s="215" t="str">
        <x:v>Source-backed draft</x:v>
      </x:c>
      <x:c r="AA707" s="215" t="str">
        <x:v>Family pattern</x:v>
      </x:c>
      <x:c r="AB707" s="215" t="str">
        <x:v>Positive diagnostic</x:v>
      </x:c>
      <x:c r="AC707" s="215" t="str">
        <x:v>High</x:v>
      </x:c>
      <x:c r="AD707" s="215" t="str">
        <x:v>Hand lens / macro</x:v>
      </x:c>
      <x:c r="AE707" s="215" t="str">
        <x:v>Low</x:v>
      </x:c>
      <x:c r="AF707" s="215" t="str">
        <x:v>Field-ready draft</x:v>
      </x:c>
      <x:c r="AG707" s="215" t="str">
        <x:v>2 — Field-photo priority</x:v>
      </x:c>
      <x:c r="AH707" s="215" t="str">
        <x:v>Current master inventory</x:v>
      </x:c>
    </x:row>
    <x:row r="708" ht="42" customHeight="1">
      <x:c r="A708" s="215" t="str">
        <x:v>Crassulaceae</x:v>
      </x:c>
      <x:c r="B708" s="215" t="str">
        <x:v>CRA-STAMENS</x:v>
      </x:c>
      <x:c r="C708" s="215" t="str">
        <x:v>Family character</x:v>
      </x:c>
      <x:c r="D708" s="215" t="str">
        <x:v>Stamens</x:v>
      </x:c>
      <x:c r="E708" s="215" t="str">
        <x:v>Stamens commonly equal to or twice the number of petals and often occur in two whorls</x:v>
      </x:c>
      <x:c r="F708" s="215" t="str">
        <x:v>Strong</x:v>
      </x:c>
      <x:c r="G708" s="215" t="str">
        <x:v>4</x:v>
      </x:c>
      <x:c r="H708" s="215" t="str">
        <x:v>High</x:v>
      </x:c>
      <x:c r="I708" s="215" t="str">
        <x:v>Hand lens</x:v>
      </x:c>
      <x:c r="J708" s="215" t="str">
        <x:v>Fresh flowers</x:v>
      </x:c>
      <x:c r="K708" s="215" t="str">
        <x:v>Five petals with five or ten stamens is a common pattern.</x:v>
      </x:c>
      <x:c r="L708" s="215" t="str">
        <x:v>Stamen number and fusion vary among genera.</x:v>
      </x:c>
      <x:c r="M708" s="215" t="str">
        <x:v>Use with free carpels and nectary scales.</x:v>
      </x:c>
      <x:c r="N708" s="215" t="str">
        <x:v>Native stonecrops occur on thin soils, rock outcrops, and shallow limestone or granitic microsites in the Central Texas target zone.</x:v>
      </x:c>
      <x:c r="O708" s="215" t="str">
        <x:v>Low</x:v>
      </x:c>
      <x:c r="P708" s="215" t="str">
        <x:v>No</x:v>
      </x:c>
      <x:c r="Q708" s="215" t="str"/>
      <x:c r="R708" s="215" t="str"/>
      <x:c r="S708" s="215" t="str">
        <x:v>APWEB-CRAS; FNA-CRAS; POWO-CRAS; LBJ-HAYS</x:v>
      </x:c>
      <x:c r="T708" s="215" t="str">
        <x:v>https://www.mobot.org/MOBOT/research/APweb/orders/saxifragalesweb.htm</x:v>
      </x:c>
      <x:c r="U708" s="215" t="str">
        <x:v>https://floranorthamerica.org/Crassulaceae</x:v>
      </x:c>
      <x:c r="V708" s="215" t="str">
        <x:v>https://powo.science.kew.org/taxon/urn:lsid:ipni.org:names:30000887-2/general-information</x:v>
      </x:c>
      <x:c r="W708" s="215" t="str">
        <x:v>https://www.mobot.org/MOBOT/research/APweb/orders/saxifragalesweb.htm
https://floranorthamerica.org/Crassulaceae
https://powo.science.kew.org/taxon/urn:lsid:ipni.org:names:30000887-2/general-information
https://www.wildflower.org/collections/collection.php?collection=hays</x:v>
      </x:c>
      <x:c r="X708" s="215" t="str">
        <x:v>No — retain qualifiers and exceptions</x:v>
      </x:c>
      <x:c r="Y708" s="215" t="str">
        <x:v>Yes</x:v>
      </x:c>
      <x:c r="Z708" s="215" t="str">
        <x:v>Source-backed draft</x:v>
      </x:c>
      <x:c r="AA708" s="215" t="str">
        <x:v>Family pattern</x:v>
      </x:c>
      <x:c r="AB708" s="215" t="str">
        <x:v>Positive diagnostic</x:v>
      </x:c>
      <x:c r="AC708" s="215" t="str">
        <x:v>High</x:v>
      </x:c>
      <x:c r="AD708" s="215" t="str">
        <x:v>Hand lens / macro</x:v>
      </x:c>
      <x:c r="AE708" s="215" t="str">
        <x:v>Low</x:v>
      </x:c>
      <x:c r="AF708" s="215" t="str">
        <x:v>Field-ready draft</x:v>
      </x:c>
      <x:c r="AG708" s="215" t="str">
        <x:v>2 — Field-photo priority</x:v>
      </x:c>
      <x:c r="AH708" s="215" t="str">
        <x:v>Current master inventory</x:v>
      </x:c>
    </x:row>
    <x:row r="709" ht="42" customHeight="1">
      <x:c r="A709" s="215" t="str">
        <x:v>Crassulaceae</x:v>
      </x:c>
      <x:c r="B709" s="215" t="str">
        <x:v>CRA-NECTARY</x:v>
      </x:c>
      <x:c r="C709" s="215" t="str">
        <x:v>Family character</x:v>
      </x:c>
      <x:c r="D709" s="215" t="str">
        <x:v>Nectaries</x:v>
      </x:c>
      <x:c r="E709" s="215" t="str">
        <x:v>A scale-like nectary commonly occurs at or near the base of each carpel</x:v>
      </x:c>
      <x:c r="F709" s="215" t="str">
        <x:v>Strong</x:v>
      </x:c>
      <x:c r="G709" s="215" t="str">
        <x:v>5</x:v>
      </x:c>
      <x:c r="H709" s="215" t="str">
        <x:v>High</x:v>
      </x:c>
      <x:c r="I709" s="215" t="str">
        <x:v>Hand lens or dissection</x:v>
      </x:c>
      <x:c r="J709" s="215" t="str">
        <x:v>Fresh flowers</x:v>
      </x:c>
      <x:c r="K709" s="215" t="str">
        <x:v>Each ovary segment often has its own tiny nectar scale.</x:v>
      </x:c>
      <x:c r="L709" s="215" t="str">
        <x:v>Nectaries may be inconspicuous or hard to see in dried material.</x:v>
      </x:c>
      <x:c r="M709" s="215" t="str">
        <x:v>This is a high-value close-up character.</x:v>
      </x:c>
      <x:c r="N709" s="215" t="str">
        <x:v>Native stonecrops occur on thin soils, rock outcrops, and shallow limestone or granitic microsites in the Central Texas target zone.</x:v>
      </x:c>
      <x:c r="O709" s="215" t="str">
        <x:v>Low</x:v>
      </x:c>
      <x:c r="P709" s="215" t="str">
        <x:v>No</x:v>
      </x:c>
      <x:c r="Q709" s="215" t="str"/>
      <x:c r="R709" s="215" t="str">
        <x:v>CRA-LK01</x:v>
      </x:c>
      <x:c r="S709" s="215" t="str">
        <x:v>APWEB-CRAS; FNA-CRAS; POWO-CRAS; LBJ-HAYS</x:v>
      </x:c>
      <x:c r="T709" s="215" t="str">
        <x:v>https://www.mobot.org/MOBOT/research/APweb/orders/saxifragalesweb.htm</x:v>
      </x:c>
      <x:c r="U709" s="215" t="str">
        <x:v>https://floranorthamerica.org/Crassulaceae</x:v>
      </x:c>
      <x:c r="V709" s="215" t="str">
        <x:v>https://powo.science.kew.org/taxon/urn:lsid:ipni.org:names:30000887-2/general-information</x:v>
      </x:c>
      <x:c r="W709" s="215" t="str">
        <x:v>https://www.mobot.org/MOBOT/research/APweb/orders/saxifragalesweb.htm
https://floranorthamerica.org/Crassulaceae
https://powo.science.kew.org/taxon/urn:lsid:ipni.org:names:30000887-2/general-information
https://www.wildflower.org/collections/collection.php?collection=hays</x:v>
      </x:c>
      <x:c r="X709" s="215" t="str">
        <x:v>No — retain qualifiers and exceptions</x:v>
      </x:c>
      <x:c r="Y709" s="215" t="str">
        <x:v>Yes</x:v>
      </x:c>
      <x:c r="Z709" s="215" t="str">
        <x:v>Source-backed draft</x:v>
      </x:c>
      <x:c r="AA709" s="215" t="str">
        <x:v>Family pattern</x:v>
      </x:c>
      <x:c r="AB709" s="215" t="str">
        <x:v>Positive diagnostic</x:v>
      </x:c>
      <x:c r="AC709" s="215" t="str">
        <x:v>High</x:v>
      </x:c>
      <x:c r="AD709" s="215" t="str">
        <x:v>Dissection</x:v>
      </x:c>
      <x:c r="AE709" s="215" t="str">
        <x:v>Low</x:v>
      </x:c>
      <x:c r="AF709" s="215" t="str">
        <x:v>Dissection / close study</x:v>
      </x:c>
      <x:c r="AG709" s="215" t="str">
        <x:v>3 — Reference support</x:v>
      </x:c>
      <x:c r="AH709" s="215" t="str">
        <x:v>Current master inventory</x:v>
      </x:c>
    </x:row>
    <x:row r="710" ht="42" customHeight="1">
      <x:c r="A710" s="215" t="str">
        <x:v>Crassulaceae</x:v>
      </x:c>
      <x:c r="B710" s="215" t="str">
        <x:v>CRA-OVARY</x:v>
      </x:c>
      <x:c r="C710" s="215" t="str">
        <x:v>Family character</x:v>
      </x:c>
      <x:c r="D710" s="215" t="str">
        <x:v>Gynoecium</x:v>
      </x:c>
      <x:c r="E710" s="215" t="str">
        <x:v>Ovary superior; carpels usually equal sepals in number and distinct or only partly united, each with many ovules</x:v>
      </x:c>
      <x:c r="F710" s="215" t="str">
        <x:v>Strong</x:v>
      </x:c>
      <x:c r="G710" s="215" t="str">
        <x:v>5</x:v>
      </x:c>
      <x:c r="H710" s="215" t="str">
        <x:v>High</x:v>
      </x:c>
      <x:c r="I710" s="215" t="str">
        <x:v>Hand lens or dissection</x:v>
      </x:c>
      <x:c r="J710" s="215" t="str">
        <x:v>Fresh flowers or young fruit</x:v>
      </x:c>
      <x:c r="K710" s="215" t="str">
        <x:v>The flower contains a ring of separate pointed ovaries rather than one solid ovary.</x:v>
      </x:c>
      <x:c r="L710" s="215" t="str">
        <x:v>Carpels can be partly fused and counts vary.</x:v>
      </x:c>
      <x:c r="M710" s="215" t="str">
        <x:v>Confirm with developing fruit when dissection is impractical.</x:v>
      </x:c>
      <x:c r="N710" s="215" t="str">
        <x:v>Native stonecrops occur on thin soils, rock outcrops, and shallow limestone or granitic microsites in the Central Texas target zone.</x:v>
      </x:c>
      <x:c r="O710" s="215" t="str">
        <x:v>Low</x:v>
      </x:c>
      <x:c r="P710" s="215" t="str">
        <x:v>No</x:v>
      </x:c>
      <x:c r="Q710" s="215" t="str"/>
      <x:c r="R710" s="215" t="str">
        <x:v>CRA-LK01; CRA-LK02</x:v>
      </x:c>
      <x:c r="S710" s="215" t="str">
        <x:v>APWEB-CRAS; FNA-CRAS; POWO-CRAS; LBJ-HAYS</x:v>
      </x:c>
      <x:c r="T710" s="215" t="str">
        <x:v>https://www.mobot.org/MOBOT/research/APweb/orders/saxifragalesweb.htm</x:v>
      </x:c>
      <x:c r="U710" s="215" t="str">
        <x:v>https://floranorthamerica.org/Crassulaceae</x:v>
      </x:c>
      <x:c r="V710" s="215" t="str">
        <x:v>https://powo.science.kew.org/taxon/urn:lsid:ipni.org:names:30000887-2/general-information</x:v>
      </x:c>
      <x:c r="W710" s="215" t="str">
        <x:v>https://www.mobot.org/MOBOT/research/APweb/orders/saxifragalesweb.htm
https://floranorthamerica.org/Crassulaceae
https://powo.science.kew.org/taxon/urn:lsid:ipni.org:names:30000887-2/general-information
https://www.wildflower.org/collections/collection.php?collection=hays</x:v>
      </x:c>
      <x:c r="X710" s="215" t="str">
        <x:v>No — retain qualifiers and exceptions</x:v>
      </x:c>
      <x:c r="Y710" s="215" t="str">
        <x:v>Yes</x:v>
      </x:c>
      <x:c r="Z710" s="215" t="str">
        <x:v>Source-backed draft</x:v>
      </x:c>
      <x:c r="AA710" s="215" t="str">
        <x:v>Family pattern</x:v>
      </x:c>
      <x:c r="AB710" s="215" t="str">
        <x:v>Positive diagnostic</x:v>
      </x:c>
      <x:c r="AC710" s="215" t="str">
        <x:v>High</x:v>
      </x:c>
      <x:c r="AD710" s="215" t="str">
        <x:v>Dissection</x:v>
      </x:c>
      <x:c r="AE710" s="215" t="str">
        <x:v>Low</x:v>
      </x:c>
      <x:c r="AF710" s="215" t="str">
        <x:v>Dissection / close study</x:v>
      </x:c>
      <x:c r="AG710" s="215" t="str">
        <x:v>3 — Reference support</x:v>
      </x:c>
      <x:c r="AH710" s="215" t="str">
        <x:v>Current master inventory</x:v>
      </x:c>
    </x:row>
    <x:row r="711" ht="42" customHeight="1">
      <x:c r="A711" s="215" t="str">
        <x:v>Crassulaceae</x:v>
      </x:c>
      <x:c r="B711" s="215" t="str">
        <x:v>CRA-FRUIT</x:v>
      </x:c>
      <x:c r="C711" s="215" t="str">
        <x:v>Family character</x:v>
      </x:c>
      <x:c r="D711" s="215" t="str">
        <x:v>Fruit / seeds</x:v>
      </x:c>
      <x:c r="E711" s="215" t="str">
        <x:v>Fruit usually a cluster of follicles opening along one side; seeds numerous and small</x:v>
      </x:c>
      <x:c r="F711" s="215" t="str">
        <x:v>Strong</x:v>
      </x:c>
      <x:c r="G711" s="215" t="str">
        <x:v>5</x:v>
      </x:c>
      <x:c r="H711" s="215" t="str">
        <x:v>High</x:v>
      </x:c>
      <x:c r="I711" s="215" t="str">
        <x:v>Naked eye or hand lens</x:v>
      </x:c>
      <x:c r="J711" s="215" t="str">
        <x:v>Mature dry fruit</x:v>
      </x:c>
      <x:c r="K711" s="215" t="str">
        <x:v>Several dry pods open together from one flower.</x:v>
      </x:c>
      <x:c r="L711" s="215" t="str">
        <x:v>Some lineages have fewer seeds or different degrees of carpel fusion.</x:v>
      </x:c>
      <x:c r="M711" s="215" t="str">
        <x:v>Mature follicles are among the best family characters.</x:v>
      </x:c>
      <x:c r="N711" s="215" t="str">
        <x:v>Native stonecrops occur on thin soils, rock outcrops, and shallow limestone or granitic microsites in the Central Texas target zone.</x:v>
      </x:c>
      <x:c r="O711" s="215" t="str">
        <x:v>Low</x:v>
      </x:c>
      <x:c r="P711" s="215" t="str">
        <x:v>No</x:v>
      </x:c>
      <x:c r="Q711" s="215" t="str"/>
      <x:c r="R711" s="215" t="str">
        <x:v>CRA-LK01; CRA-LK02</x:v>
      </x:c>
      <x:c r="S711" s="215" t="str">
        <x:v>APWEB-CRAS; FNA-CRAS; POWO-CRAS; LBJ-HAYS</x:v>
      </x:c>
      <x:c r="T711" s="215" t="str">
        <x:v>https://www.mobot.org/MOBOT/research/APweb/orders/saxifragalesweb.htm</x:v>
      </x:c>
      <x:c r="U711" s="215" t="str">
        <x:v>https://floranorthamerica.org/Crassulaceae</x:v>
      </x:c>
      <x:c r="V711" s="215" t="str">
        <x:v>https://powo.science.kew.org/taxon/urn:lsid:ipni.org:names:30000887-2/general-information</x:v>
      </x:c>
      <x:c r="W711" s="215" t="str">
        <x:v>https://www.mobot.org/MOBOT/research/APweb/orders/saxifragalesweb.htm
https://floranorthamerica.org/Crassulaceae
https://powo.science.kew.org/taxon/urn:lsid:ipni.org:names:30000887-2/general-information
https://www.wildflower.org/collections/collection.php?collection=hays</x:v>
      </x:c>
      <x:c r="X711" s="215" t="str">
        <x:v>No — retain qualifiers and exceptions</x:v>
      </x:c>
      <x:c r="Y711" s="215" t="str">
        <x:v>Yes</x:v>
      </x:c>
      <x:c r="Z711" s="215" t="str">
        <x:v>Source-backed draft</x:v>
      </x:c>
      <x:c r="AA711" s="215" t="str">
        <x:v>Family pattern</x:v>
      </x:c>
      <x:c r="AB711" s="215" t="str">
        <x:v>Positive diagnostic</x:v>
      </x:c>
      <x:c r="AC711" s="215" t="str">
        <x:v>High</x:v>
      </x:c>
      <x:c r="AD711" s="215" t="str">
        <x:v>Hand lens / macro</x:v>
      </x:c>
      <x:c r="AE711" s="215" t="str">
        <x:v>Low</x:v>
      </x:c>
      <x:c r="AF711" s="215" t="str">
        <x:v>Field-ready draft</x:v>
      </x:c>
      <x:c r="AG711" s="215" t="str">
        <x:v>2 — Field-photo priority</x:v>
      </x:c>
      <x:c r="AH711" s="215" t="str">
        <x:v>Current master inventory</x:v>
      </x:c>
    </x:row>
    <x:row r="712" ht="42" customHeight="1">
      <x:c r="A712" s="215" t="str">
        <x:v>Crassulaceae</x:v>
      </x:c>
      <x:c r="B712" s="215" t="str">
        <x:v>CRA-LK01</x:v>
      </x:c>
      <x:c r="C712" s="215" t="str">
        <x:v>Lookalike comparison</x:v>
      </x:c>
      <x:c r="D712" s="215" t="str">
        <x:v>Lookalike</x:v>
      </x:c>
      <x:c r="E712" s="215" t="str">
        <x:v>Versus Saxifragaceae: succulent exstipulate leaves plus several superior free follicles and one nectary scale per carpel favor Crassulaceae; a commonly inferior or partly inferior 2-carpellate ovary favors Saxifragaceae</x:v>
      </x:c>
      <x:c r="F712" s="215" t="str">
        <x:v>Lookalike</x:v>
      </x:c>
      <x:c r="G712" s="215" t="str">
        <x:v>5</x:v>
      </x:c>
      <x:c r="H712" s="215" t="str">
        <x:v>High</x:v>
      </x:c>
      <x:c r="I712" s="215" t="str">
        <x:v>Naked eye or hand lens</x:v>
      </x:c>
      <x:c r="J712" s="215" t="str">
        <x:v>Flowering or fruiting material</x:v>
      </x:c>
      <x:c r="K712" s="215" t="str">
        <x:v>Both families can have 5-merous flowers and follicular capsules.</x:v>
      </x:c>
      <x:c r="L712" s="215" t="str">
        <x:v>Ovary position and carpel number vary in Saxifragaceae.</x:v>
      </x:c>
      <x:c r="M712" s="215" t="str">
        <x:v>Prioritize gynoecium and nectary scales over habit alone.</x:v>
      </x:c>
      <x:c r="N712" s="215" t="str">
        <x:v>Native stonecrops occur on thin soils, rock outcrops, and shallow limestone or granitic microsites in the Central Texas target zone.</x:v>
      </x:c>
      <x:c r="O712" s="215" t="str">
        <x:v>Low</x:v>
      </x:c>
      <x:c r="P712" s="215" t="str">
        <x:v>No</x:v>
      </x:c>
      <x:c r="Q712" s="215" t="str"/>
      <x:c r="R712" s="215" t="str">
        <x:v>CRA-LEAVES; CRA-NECTARY; CRA-OVARY; CRA-FRUIT</x:v>
      </x:c>
      <x:c r="S712" s="215" t="str">
        <x:v>APWEB-CRAS; FNA-CRAS; POWO-CRAS; LBJ-HAYS</x:v>
      </x:c>
      <x:c r="T712" s="215" t="str">
        <x:v>https://www.mobot.org/MOBOT/research/APweb/orders/saxifragalesweb.htm</x:v>
      </x:c>
      <x:c r="U712" s="215" t="str">
        <x:v>https://floranorthamerica.org/Crassulaceae</x:v>
      </x:c>
      <x:c r="V712" s="215" t="str">
        <x:v>https://powo.science.kew.org/taxon/urn:lsid:ipni.org:names:30000887-2/general-information</x:v>
      </x:c>
      <x:c r="W712" s="215" t="str">
        <x:v>https://www.mobot.org/MOBOT/research/APweb/orders/saxifragalesweb.htm
https://floranorthamerica.org/Crassulaceae
https://powo.science.kew.org/taxon/urn:lsid:ipni.org:names:30000887-2/general-information
https://www.wildflower.org/collections/collection.php?collection=hays</x:v>
      </x:c>
      <x:c r="X712" s="215" t="str">
        <x:v>No — retain qualifiers and exceptions</x:v>
      </x:c>
      <x:c r="Y712" s="215" t="str">
        <x:v>Yes</x:v>
      </x:c>
      <x:c r="Z712" s="215" t="str">
        <x:v>Source-backed draft</x:v>
      </x:c>
      <x:c r="AA712" s="215" t="str">
        <x:v>Lookalike comparison</x:v>
      </x:c>
      <x:c r="AB712" s="215" t="str">
        <x:v>Contrast / lookalike</x:v>
      </x:c>
      <x:c r="AC712" s="215" t="str">
        <x:v>High</x:v>
      </x:c>
      <x:c r="AD712" s="215" t="str">
        <x:v>Hand lens / macro</x:v>
      </x:c>
      <x:c r="AE712" s="215" t="str">
        <x:v>Low</x:v>
      </x:c>
      <x:c r="AF712" s="215" t="str">
        <x:v>Field-ready draft</x:v>
      </x:c>
      <x:c r="AG712" s="215" t="str">
        <x:v>2 — Field-photo priority</x:v>
      </x:c>
      <x:c r="AH712" s="215" t="str">
        <x:v>Current master inventory</x:v>
      </x:c>
    </x:row>
    <x:row r="713" ht="42" customHeight="1">
      <x:c r="A713" s="215" t="str">
        <x:v>Crassulaceae</x:v>
      </x:c>
      <x:c r="B713" s="215" t="str">
        <x:v>CRA-LK02</x:v>
      </x:c>
      <x:c r="C713" s="215" t="str">
        <x:v>Lookalike comparison</x:v>
      </x:c>
      <x:c r="D713" s="215" t="str">
        <x:v>Lookalike</x:v>
      </x:c>
      <x:c r="E713" s="215" t="str">
        <x:v>Versus Portulacaceae: several separate follicles favor Crassulaceae; a single ovary producing a circumscissile capsule favors Portulaca</x:v>
      </x:c>
      <x:c r="F713" s="215" t="str">
        <x:v>Lookalike</x:v>
      </x:c>
      <x:c r="G713" s="215" t="str">
        <x:v>5</x:v>
      </x:c>
      <x:c r="H713" s="215" t="str">
        <x:v>High</x:v>
      </x:c>
      <x:c r="I713" s="215" t="str">
        <x:v>Naked eye or hand lens</x:v>
      </x:c>
      <x:c r="J713" s="215" t="str">
        <x:v>Mature fruit</x:v>
      </x:c>
      <x:c r="K713" s="215" t="str">
        <x:v>Both can be small succulent herbs with bright 4–5-parted flowers.</x:v>
      </x:c>
      <x:c r="L713" s="215" t="str">
        <x:v>Vegetative plants may remain ambiguous.</x:v>
      </x:c>
      <x:c r="M713" s="215" t="str">
        <x:v>Use mature fruit construction.</x:v>
      </x:c>
      <x:c r="N713" s="215" t="str">
        <x:v>Native stonecrops occur on thin soils, rock outcrops, and shallow limestone or granitic microsites in the Central Texas target zone.</x:v>
      </x:c>
      <x:c r="O713" s="215" t="str">
        <x:v>Low</x:v>
      </x:c>
      <x:c r="P713" s="215" t="str">
        <x:v>No</x:v>
      </x:c>
      <x:c r="Q713" s="215" t="str"/>
      <x:c r="R713" s="215" t="str">
        <x:v>CRA-HABIT; CRA-FLOWER; CRA-OVARY; CRA-FRUIT</x:v>
      </x:c>
      <x:c r="S713" s="215" t="str">
        <x:v>APWEB-CRAS; FNA-CRAS; POWO-CRAS; LBJ-HAYS</x:v>
      </x:c>
      <x:c r="T713" s="215" t="str">
        <x:v>https://www.mobot.org/MOBOT/research/APweb/orders/saxifragalesweb.htm</x:v>
      </x:c>
      <x:c r="U713" s="215" t="str">
        <x:v>https://floranorthamerica.org/Crassulaceae</x:v>
      </x:c>
      <x:c r="V713" s="215" t="str">
        <x:v>https://powo.science.kew.org/taxon/urn:lsid:ipni.org:names:30000887-2/general-information</x:v>
      </x:c>
      <x:c r="W713" s="215" t="str">
        <x:v>https://www.mobot.org/MOBOT/research/APweb/orders/saxifragalesweb.htm
https://floranorthamerica.org/Crassulaceae
https://powo.science.kew.org/taxon/urn:lsid:ipni.org:names:30000887-2/general-information
https://www.wildflower.org/collections/collection.php?collection=hays</x:v>
      </x:c>
      <x:c r="X713" s="215" t="str">
        <x:v>No — retain qualifiers and exceptions</x:v>
      </x:c>
      <x:c r="Y713" s="215" t="str">
        <x:v>Yes</x:v>
      </x:c>
      <x:c r="Z713" s="215" t="str">
        <x:v>Source-backed draft</x:v>
      </x:c>
      <x:c r="AA713" s="215" t="str">
        <x:v>Lookalike comparison</x:v>
      </x:c>
      <x:c r="AB713" s="215" t="str">
        <x:v>Contrast / lookalike</x:v>
      </x:c>
      <x:c r="AC713" s="215" t="str">
        <x:v>High</x:v>
      </x:c>
      <x:c r="AD713" s="215" t="str">
        <x:v>Hand lens / macro</x:v>
      </x:c>
      <x:c r="AE713" s="215" t="str">
        <x:v>Low</x:v>
      </x:c>
      <x:c r="AF713" s="215" t="str">
        <x:v>Field-ready draft</x:v>
      </x:c>
      <x:c r="AG713" s="215" t="str">
        <x:v>2 — Field-photo priority</x:v>
      </x:c>
      <x:c r="AH713" s="215" t="str">
        <x:v>Current master inventory</x:v>
      </x:c>
    </x:row>
    <x:row r="714" ht="42" customHeight="1">
      <x:c r="A714" s="215" t="str">
        <x:v>Passifloraceae</x:v>
      </x:c>
      <x:c r="B714" s="215" t="str">
        <x:v>PAS-HABIT</x:v>
      </x:c>
      <x:c r="C714" s="215" t="str">
        <x:v>Family character</x:v>
      </x:c>
      <x:c r="D714" s="215" t="str">
        <x:v>Habit</x:v>
      </x:c>
      <x:c r="E714" s="215" t="str">
        <x:v>Herbs, shrubs, or trees; local Passiflora are usually tendril-bearing vines</x:v>
      </x:c>
      <x:c r="F714" s="215" t="str">
        <x:v>Strong</x:v>
      </x:c>
      <x:c r="G714" s="215" t="str">
        <x:v>3</x:v>
      </x:c>
      <x:c r="H714" s="215" t="str">
        <x:v>High</x:v>
      </x:c>
      <x:c r="I714" s="215" t="str">
        <x:v>Naked eye</x:v>
      </x:c>
      <x:c r="J714" s="215" t="str">
        <x:v>Active growth</x:v>
      </x:c>
      <x:c r="K714" s="215" t="str">
        <x:v>Central Texas passionflowers are climbing herbs or vines.</x:v>
      </x:c>
      <x:c r="L714" s="215" t="str">
        <x:v>The broad family includes nonclimbing shrubs and trees, including former Turneraceae.</x:v>
      </x:c>
      <x:c r="M714" s="215" t="str">
        <x:v>Use local vine habit with floral evidence, not as a global universal.</x:v>
      </x:c>
      <x:c r="N714" s="215" t="str">
        <x:v>Native Passiflora vines occur in Hays and adjacent Central Texas in thickets, woodland edges, fencerows, and disturbed openings.</x:v>
      </x:c>
      <x:c r="O714" s="215" t="str">
        <x:v>Low</x:v>
      </x:c>
      <x:c r="P714" s="215" t="str">
        <x:v>No</x:v>
      </x:c>
      <x:c r="Q714" s="215" t="str"/>
      <x:c r="R714" s="215" t="str">
        <x:v>PAS-LK01; PAS-LK02</x:v>
      </x:c>
      <x:c r="S714" s="215" t="str">
        <x:v>APWEB-PASS; FNA-PASS; POWO-PASS; LBJ-HAYS</x:v>
      </x:c>
      <x:c r="T714" s="215" t="str">
        <x:v>https://www.mobot.org/MOBOT/research/APweb/orders/malpighialesweb.htm</x:v>
      </x:c>
      <x:c r="U714" s="215" t="str">
        <x:v>https://floranorthamerica.org/Passifloraceae</x:v>
      </x:c>
      <x:c r="V714" s="215" t="str">
        <x:v>https://powo.science.kew.org/taxon/urn:lsid:ipni.org:names:30003386-2/general-information</x:v>
      </x:c>
      <x:c r="W714" s="215" t="str">
        <x:v>https://www.mobot.org/MOBOT/research/APweb/orders/malpighialesweb.htm
https://floranorthamerica.org/Passifloraceae
https://powo.science.kew.org/taxon/urn:lsid:ipni.org:names:30003386-2/general-information
https://www.wildflower.org/collections/collection.php?collection=hays</x:v>
      </x:c>
      <x:c r="X714" s="215" t="str">
        <x:v>No — retain qualifiers and exceptions</x:v>
      </x:c>
      <x:c r="Y714" s="215" t="str">
        <x:v>Yes</x:v>
      </x:c>
      <x:c r="Z714" s="215" t="str">
        <x:v>Source-backed draft</x:v>
      </x:c>
      <x:c r="AA714" s="215" t="str">
        <x:v>Family pattern</x:v>
      </x:c>
      <x:c r="AB714" s="215" t="str">
        <x:v>Positive diagnostic</x:v>
      </x:c>
      <x:c r="AC714" s="215" t="str">
        <x:v>High</x:v>
      </x:c>
      <x:c r="AD714" s="215" t="str">
        <x:v>Naked eye / field</x:v>
      </x:c>
      <x:c r="AE714" s="215" t="str">
        <x:v>Low</x:v>
      </x:c>
      <x:c r="AF714" s="215" t="str">
        <x:v>Field-ready draft</x:v>
      </x:c>
      <x:c r="AG714" s="215" t="str">
        <x:v>3 — Reference support</x:v>
      </x:c>
      <x:c r="AH714" s="215" t="str">
        <x:v>Current master inventory</x:v>
      </x:c>
    </x:row>
    <x:row r="715" ht="42" customHeight="1">
      <x:c r="A715" s="215" t="str">
        <x:v>Passifloraceae</x:v>
      </x:c>
      <x:c r="B715" s="215" t="str">
        <x:v>PAS-TENDRILS</x:v>
      </x:c>
      <x:c r="C715" s="215" t="str">
        <x:v>Family character</x:v>
      </x:c>
      <x:c r="D715" s="215" t="str">
        <x:v>Stems / tendrils</x:v>
      </x:c>
      <x:c r="E715" s="215" t="str">
        <x:v>Passiflora commonly bears solitary axillary tendrils derived from the inflorescence system</x:v>
      </x:c>
      <x:c r="F715" s="215" t="str">
        <x:v>Strong</x:v>
      </x:c>
      <x:c r="G715" s="215" t="str">
        <x:v>4</x:v>
      </x:c>
      <x:c r="H715" s="215" t="str">
        <x:v>High</x:v>
      </x:c>
      <x:c r="I715" s="215" t="str">
        <x:v>Naked eye</x:v>
      </x:c>
      <x:c r="J715" s="215" t="str">
        <x:v>Vegetative shoots</x:v>
      </x:c>
      <x:c r="K715" s="215" t="str">
        <x:v>A tendril usually arises beside the leaf at a node.</x:v>
      </x:c>
      <x:c r="L715" s="215" t="str">
        <x:v>Tendrils are absent from many non-Passiflora family members and may be missing on short shoots.</x:v>
      </x:c>
      <x:c r="M715" s="215" t="str">
        <x:v>Combine node structure with flowers or fruit.</x:v>
      </x:c>
      <x:c r="N715" s="215" t="str">
        <x:v>Native Passiflora vines occur in Hays and adjacent Central Texas in thickets, woodland edges, fencerows, and disturbed openings.</x:v>
      </x:c>
      <x:c r="O715" s="215" t="str">
        <x:v>Low</x:v>
      </x:c>
      <x:c r="P715" s="215" t="str">
        <x:v>No</x:v>
      </x:c>
      <x:c r="Q715" s="215" t="str"/>
      <x:c r="R715" s="215" t="str">
        <x:v>PAS-LK01; PAS-LK02</x:v>
      </x:c>
      <x:c r="S715" s="215" t="str">
        <x:v>APWEB-PASS; FNA-PASS; POWO-PASS; LBJ-HAYS</x:v>
      </x:c>
      <x:c r="T715" s="215" t="str">
        <x:v>https://www.mobot.org/MOBOT/research/APweb/orders/malpighialesweb.htm</x:v>
      </x:c>
      <x:c r="U715" s="215" t="str">
        <x:v>https://floranorthamerica.org/Passifloraceae</x:v>
      </x:c>
      <x:c r="V715" s="215" t="str">
        <x:v>https://powo.science.kew.org/taxon/urn:lsid:ipni.org:names:30003386-2/general-information</x:v>
      </x:c>
      <x:c r="W715" s="215" t="str">
        <x:v>https://www.mobot.org/MOBOT/research/APweb/orders/malpighialesweb.htm
https://floranorthamerica.org/Passifloraceae
https://powo.science.kew.org/taxon/urn:lsid:ipni.org:names:30003386-2/general-information
https://www.wildflower.org/collections/collection.php?collection=hays</x:v>
      </x:c>
      <x:c r="X715" s="215" t="str">
        <x:v>No — retain qualifiers and exceptions</x:v>
      </x:c>
      <x:c r="Y715" s="215" t="str">
        <x:v>Yes</x:v>
      </x:c>
      <x:c r="Z715" s="215" t="str">
        <x:v>Source-backed draft</x:v>
      </x:c>
      <x:c r="AA715" s="215" t="str">
        <x:v>Family pattern</x:v>
      </x:c>
      <x:c r="AB715" s="215" t="str">
        <x:v>Positive diagnostic</x:v>
      </x:c>
      <x:c r="AC715" s="215" t="str">
        <x:v>High</x:v>
      </x:c>
      <x:c r="AD715" s="215" t="str">
        <x:v>Naked eye / field</x:v>
      </x:c>
      <x:c r="AE715" s="215" t="str">
        <x:v>Low</x:v>
      </x:c>
      <x:c r="AF715" s="215" t="str">
        <x:v>Field-ready draft</x:v>
      </x:c>
      <x:c r="AG715" s="215" t="str">
        <x:v>2 — Field-photo priority</x:v>
      </x:c>
      <x:c r="AH715" s="215" t="str">
        <x:v>Current master inventory</x:v>
      </x:c>
    </x:row>
    <x:row r="716" ht="42" customHeight="1">
      <x:c r="A716" s="215" t="str">
        <x:v>Passifloraceae</x:v>
      </x:c>
      <x:c r="B716" s="215" t="str">
        <x:v>PAS-LEAVES</x:v>
      </x:c>
      <x:c r="C716" s="215" t="str">
        <x:v>Family character</x:v>
      </x:c>
      <x:c r="D716" s="215" t="str">
        <x:v>Leaves / stipules</x:v>
      </x:c>
      <x:c r="E716" s="215" t="str">
        <x:v>Leaves alternate, simple or lobed, commonly stipulate; petiole or blade glands may be present</x:v>
      </x:c>
      <x:c r="F716" s="215" t="str">
        <x:v>Strong</x:v>
      </x:c>
      <x:c r="G716" s="215" t="str">
        <x:v>3</x:v>
      </x:c>
      <x:c r="H716" s="215" t="str">
        <x:v>High</x:v>
      </x:c>
      <x:c r="I716" s="215" t="str">
        <x:v>Naked eye or hand lens</x:v>
      </x:c>
      <x:c r="J716" s="215" t="str">
        <x:v>Mature leaves</x:v>
      </x:c>
      <x:c r="K716" s="215" t="str">
        <x:v>Passionflower leaves often have conspicuous lobes and paired stipules.</x:v>
      </x:c>
      <x:c r="L716" s="215" t="str">
        <x:v>Leaf shape is highly variable even within a genus.</x:v>
      </x:c>
      <x:c r="M716" s="215" t="str">
        <x:v>Use glands and node structure, not lobe count alone.</x:v>
      </x:c>
      <x:c r="N716" s="215" t="str">
        <x:v>Native Passiflora vines occur in Hays and adjacent Central Texas in thickets, woodland edges, fencerows, and disturbed openings.</x:v>
      </x:c>
      <x:c r="O716" s="215" t="str">
        <x:v>Low</x:v>
      </x:c>
      <x:c r="P716" s="215" t="str">
        <x:v>No</x:v>
      </x:c>
      <x:c r="Q716" s="215" t="str"/>
      <x:c r="R716" s="215" t="str"/>
      <x:c r="S716" s="215" t="str">
        <x:v>APWEB-PASS; FNA-PASS; POWO-PASS; LBJ-HAYS</x:v>
      </x:c>
      <x:c r="T716" s="215" t="str">
        <x:v>https://www.mobot.org/MOBOT/research/APweb/orders/malpighialesweb.htm</x:v>
      </x:c>
      <x:c r="U716" s="215" t="str">
        <x:v>https://floranorthamerica.org/Passifloraceae</x:v>
      </x:c>
      <x:c r="V716" s="215" t="str">
        <x:v>https://powo.science.kew.org/taxon/urn:lsid:ipni.org:names:30003386-2/general-information</x:v>
      </x:c>
      <x:c r="W716" s="215" t="str">
        <x:v>https://www.mobot.org/MOBOT/research/APweb/orders/malpighialesweb.htm
https://floranorthamerica.org/Passifloraceae
https://powo.science.kew.org/taxon/urn:lsid:ipni.org:names:30003386-2/general-information
https://www.wildflower.org/collections/collection.php?collection=hays</x:v>
      </x:c>
      <x:c r="X716" s="215" t="str">
        <x:v>No — retain qualifiers and exceptions</x:v>
      </x:c>
      <x:c r="Y716" s="215" t="str">
        <x:v>Yes</x:v>
      </x:c>
      <x:c r="Z716" s="215" t="str">
        <x:v>Source-backed draft</x:v>
      </x:c>
      <x:c r="AA716" s="215" t="str">
        <x:v>Family pattern</x:v>
      </x:c>
      <x:c r="AB716" s="215" t="str">
        <x:v>Positive diagnostic</x:v>
      </x:c>
      <x:c r="AC716" s="215" t="str">
        <x:v>High</x:v>
      </x:c>
      <x:c r="AD716" s="215" t="str">
        <x:v>Hand lens / macro</x:v>
      </x:c>
      <x:c r="AE716" s="215" t="str">
        <x:v>Low</x:v>
      </x:c>
      <x:c r="AF716" s="215" t="str">
        <x:v>Field-ready draft</x:v>
      </x:c>
      <x:c r="AG716" s="215" t="str">
        <x:v>3 — Reference support</x:v>
      </x:c>
      <x:c r="AH716" s="215" t="str">
        <x:v>Current master inventory</x:v>
      </x:c>
    </x:row>
    <x:row r="717" ht="42" customHeight="1">
      <x:c r="A717" s="215" t="str">
        <x:v>Passifloraceae</x:v>
      </x:c>
      <x:c r="B717" s="215" t="str">
        <x:v>PAS-GLANDS</x:v>
      </x:c>
      <x:c r="C717" s="215" t="str">
        <x:v>Family character</x:v>
      </x:c>
      <x:c r="D717" s="215" t="str">
        <x:v>Extrafloral nectaries</x:v>
      </x:c>
      <x:c r="E717" s="215" t="str">
        <x:v>Glandular nectaries commonly occur on petioles, leaf blades, bracts, or stipules</x:v>
      </x:c>
      <x:c r="F717" s="215" t="str">
        <x:v>Strong</x:v>
      </x:c>
      <x:c r="G717" s="215" t="str">
        <x:v>4</x:v>
      </x:c>
      <x:c r="H717" s="215" t="str">
        <x:v>High</x:v>
      </x:c>
      <x:c r="I717" s="215" t="str">
        <x:v>Naked eye or hand lens</x:v>
      </x:c>
      <x:c r="J717" s="215" t="str">
        <x:v>Fresh leafy shoots</x:v>
      </x:c>
      <x:c r="K717" s="215" t="str">
        <x:v>Small raised glands near the leaf can be a strong Passiflora clue.</x:v>
      </x:c>
      <x:c r="L717" s="215" t="str">
        <x:v>Gland position and presence vary; insect damage can mimic glands.</x:v>
      </x:c>
      <x:c r="M717" s="215" t="str">
        <x:v>Inspect several nodes and link to flowers.</x:v>
      </x:c>
      <x:c r="N717" s="215" t="str">
        <x:v>Native Passiflora vines occur in Hays and adjacent Central Texas in thickets, woodland edges, fencerows, and disturbed openings.</x:v>
      </x:c>
      <x:c r="O717" s="215" t="str">
        <x:v>Low</x:v>
      </x:c>
      <x:c r="P717" s="215" t="str">
        <x:v>No</x:v>
      </x:c>
      <x:c r="Q717" s="215" t="str"/>
      <x:c r="R717" s="215" t="str">
        <x:v>PAS-LK02</x:v>
      </x:c>
      <x:c r="S717" s="215" t="str">
        <x:v>APWEB-PASS; FNA-PASS; POWO-PASS; LBJ-HAYS</x:v>
      </x:c>
      <x:c r="T717" s="215" t="str">
        <x:v>https://www.mobot.org/MOBOT/research/APweb/orders/malpighialesweb.htm</x:v>
      </x:c>
      <x:c r="U717" s="215" t="str">
        <x:v>https://floranorthamerica.org/Passifloraceae</x:v>
      </x:c>
      <x:c r="V717" s="215" t="str">
        <x:v>https://powo.science.kew.org/taxon/urn:lsid:ipni.org:names:30003386-2/general-information</x:v>
      </x:c>
      <x:c r="W717" s="215" t="str">
        <x:v>https://www.mobot.org/MOBOT/research/APweb/orders/malpighialesweb.htm
https://floranorthamerica.org/Passifloraceae
https://powo.science.kew.org/taxon/urn:lsid:ipni.org:names:30003386-2/general-information
https://www.wildflower.org/collections/collection.php?collection=hays</x:v>
      </x:c>
      <x:c r="X717" s="215" t="str">
        <x:v>No — retain qualifiers and exceptions</x:v>
      </x:c>
      <x:c r="Y717" s="215" t="str">
        <x:v>Yes</x:v>
      </x:c>
      <x:c r="Z717" s="215" t="str">
        <x:v>Source-backed draft</x:v>
      </x:c>
      <x:c r="AA717" s="215" t="str">
        <x:v>Family pattern</x:v>
      </x:c>
      <x:c r="AB717" s="215" t="str">
        <x:v>Positive diagnostic</x:v>
      </x:c>
      <x:c r="AC717" s="215" t="str">
        <x:v>High</x:v>
      </x:c>
      <x:c r="AD717" s="215" t="str">
        <x:v>Hand lens / macro</x:v>
      </x:c>
      <x:c r="AE717" s="215" t="str">
        <x:v>Low</x:v>
      </x:c>
      <x:c r="AF717" s="215" t="str">
        <x:v>Field-ready draft</x:v>
      </x:c>
      <x:c r="AG717" s="215" t="str">
        <x:v>2 — Field-photo priority</x:v>
      </x:c>
      <x:c r="AH717" s="215" t="str">
        <x:v>Current master inventory</x:v>
      </x:c>
    </x:row>
    <x:row r="718" ht="42" customHeight="1">
      <x:c r="A718" s="215" t="str">
        <x:v>Passifloraceae</x:v>
      </x:c>
      <x:c r="B718" s="215" t="str">
        <x:v>PAS-FLOWER</x:v>
      </x:c>
      <x:c r="C718" s="215" t="str">
        <x:v>Family character</x:v>
      </x:c>
      <x:c r="D718" s="215" t="str">
        <x:v>Flowers</x:v>
      </x:c>
      <x:c r="E718" s="215" t="str">
        <x:v>Flowers usually bisexual, radially symmetric, commonly 5-merous, with sepals and petals surrounding a complex center</x:v>
      </x:c>
      <x:c r="F718" s="215" t="str">
        <x:v>Strong</x:v>
      </x:c>
      <x:c r="G718" s="215" t="str">
        <x:v>4</x:v>
      </x:c>
      <x:c r="H718" s="215" t="str">
        <x:v>High</x:v>
      </x:c>
      <x:c r="I718" s="215" t="str">
        <x:v>Naked eye</x:v>
      </x:c>
      <x:c r="J718" s="215" t="str">
        <x:v>Fresh flowers</x:v>
      </x:c>
      <x:c r="K718" s="215" t="str">
        <x:v>The flower has five main parts in each outer whorl and a distinctive central structure.</x:v>
      </x:c>
      <x:c r="L718" s="215" t="str">
        <x:v>Petals can be absent in some species and the broad family is morphologically diverse.</x:v>
      </x:c>
      <x:c r="M718" s="215" t="str">
        <x:v>Use the corona and reproductive column for confirmation.</x:v>
      </x:c>
      <x:c r="N718" s="215" t="str">
        <x:v>Native Passiflora vines occur in Hays and adjacent Central Texas in thickets, woodland edges, fencerows, and disturbed openings.</x:v>
      </x:c>
      <x:c r="O718" s="215" t="str">
        <x:v>Low</x:v>
      </x:c>
      <x:c r="P718" s="215" t="str">
        <x:v>No</x:v>
      </x:c>
      <x:c r="Q718" s="215" t="str"/>
      <x:c r="R718" s="215" t="str">
        <x:v>PAS-LK01; PAS-LK02</x:v>
      </x:c>
      <x:c r="S718" s="215" t="str">
        <x:v>APWEB-PASS; FNA-PASS; POWO-PASS; LBJ-HAYS</x:v>
      </x:c>
      <x:c r="T718" s="215" t="str">
        <x:v>https://www.mobot.org/MOBOT/research/APweb/orders/malpighialesweb.htm</x:v>
      </x:c>
      <x:c r="U718" s="215" t="str">
        <x:v>https://floranorthamerica.org/Passifloraceae</x:v>
      </x:c>
      <x:c r="V718" s="215" t="str">
        <x:v>https://powo.science.kew.org/taxon/urn:lsid:ipni.org:names:30003386-2/general-information</x:v>
      </x:c>
      <x:c r="W718" s="215" t="str">
        <x:v>https://www.mobot.org/MOBOT/research/APweb/orders/malpighialesweb.htm
https://floranorthamerica.org/Passifloraceae
https://powo.science.kew.org/taxon/urn:lsid:ipni.org:names:30003386-2/general-information
https://www.wildflower.org/collections/collection.php?collection=hays</x:v>
      </x:c>
      <x:c r="X718" s="215" t="str">
        <x:v>No — retain qualifiers and exceptions</x:v>
      </x:c>
      <x:c r="Y718" s="215" t="str">
        <x:v>Yes</x:v>
      </x:c>
      <x:c r="Z718" s="215" t="str">
        <x:v>Source-backed draft</x:v>
      </x:c>
      <x:c r="AA718" s="215" t="str">
        <x:v>Family pattern</x:v>
      </x:c>
      <x:c r="AB718" s="215" t="str">
        <x:v>Positive diagnostic</x:v>
      </x:c>
      <x:c r="AC718" s="215" t="str">
        <x:v>High</x:v>
      </x:c>
      <x:c r="AD718" s="215" t="str">
        <x:v>Naked eye / field</x:v>
      </x:c>
      <x:c r="AE718" s="215" t="str">
        <x:v>Low</x:v>
      </x:c>
      <x:c r="AF718" s="215" t="str">
        <x:v>Field-ready draft</x:v>
      </x:c>
      <x:c r="AG718" s="215" t="str">
        <x:v>2 — Field-photo priority</x:v>
      </x:c>
      <x:c r="AH718" s="215" t="str">
        <x:v>Current master inventory</x:v>
      </x:c>
    </x:row>
    <x:row r="719" ht="42" customHeight="1">
      <x:c r="A719" s="215" t="str">
        <x:v>Passifloraceae</x:v>
      </x:c>
      <x:c r="B719" s="215" t="str">
        <x:v>PAS-CORONA</x:v>
      </x:c>
      <x:c r="C719" s="215" t="str">
        <x:v>Family character</x:v>
      </x:c>
      <x:c r="D719" s="215" t="str">
        <x:v>Corona</x:v>
      </x:c>
      <x:c r="E719" s="215" t="str">
        <x:v>One or more rings of filaments, scales, or membranes form a conspicuous corona between the perianth and stamens in Passiflora</x:v>
      </x:c>
      <x:c r="F719" s="215" t="str">
        <x:v>Strong</x:v>
      </x:c>
      <x:c r="G719" s="215" t="str">
        <x:v>5</x:v>
      </x:c>
      <x:c r="H719" s="215" t="str">
        <x:v>High</x:v>
      </x:c>
      <x:c r="I719" s="215" t="str">
        <x:v>Naked eye or hand lens</x:v>
      </x:c>
      <x:c r="J719" s="215" t="str">
        <x:v>Fresh flowers</x:v>
      </x:c>
      <x:c r="K719" s="215" t="str">
        <x:v>The showy fringe inside the petals is the classic passionflower feature.</x:v>
      </x:c>
      <x:c r="L719" s="215" t="str">
        <x:v>Corona form ranges from prominent filaments to reduced structures in the broad family.</x:v>
      </x:c>
      <x:c r="M719" s="215" t="str">
        <x:v>Treat a well-developed Passiflora corona as high-value evidence.</x:v>
      </x:c>
      <x:c r="N719" s="215" t="str">
        <x:v>Native Passiflora vines occur in Hays and adjacent Central Texas in thickets, woodland edges, fencerows, and disturbed openings.</x:v>
      </x:c>
      <x:c r="O719" s="215" t="str">
        <x:v>Low</x:v>
      </x:c>
      <x:c r="P719" s="215" t="str">
        <x:v>No</x:v>
      </x:c>
      <x:c r="Q719" s="215" t="str"/>
      <x:c r="R719" s="215" t="str">
        <x:v>PAS-LK01</x:v>
      </x:c>
      <x:c r="S719" s="215" t="str">
        <x:v>APWEB-PASS; FNA-PASS; POWO-PASS; LBJ-HAYS</x:v>
      </x:c>
      <x:c r="T719" s="215" t="str">
        <x:v>https://www.mobot.org/MOBOT/research/APweb/orders/malpighialesweb.htm</x:v>
      </x:c>
      <x:c r="U719" s="215" t="str">
        <x:v>https://floranorthamerica.org/Passifloraceae</x:v>
      </x:c>
      <x:c r="V719" s="215" t="str">
        <x:v>https://powo.science.kew.org/taxon/urn:lsid:ipni.org:names:30003386-2/general-information</x:v>
      </x:c>
      <x:c r="W719" s="215" t="str">
        <x:v>https://www.mobot.org/MOBOT/research/APweb/orders/malpighialesweb.htm
https://floranorthamerica.org/Passifloraceae
https://powo.science.kew.org/taxon/urn:lsid:ipni.org:names:30003386-2/general-information
https://www.wildflower.org/collections/collection.php?collection=hays</x:v>
      </x:c>
      <x:c r="X719" s="215" t="str">
        <x:v>No — retain qualifiers and exceptions</x:v>
      </x:c>
      <x:c r="Y719" s="215" t="str">
        <x:v>Yes</x:v>
      </x:c>
      <x:c r="Z719" s="215" t="str">
        <x:v>Source-backed draft</x:v>
      </x:c>
      <x:c r="AA719" s="215" t="str">
        <x:v>Family pattern</x:v>
      </x:c>
      <x:c r="AB719" s="215" t="str">
        <x:v>Positive diagnostic</x:v>
      </x:c>
      <x:c r="AC719" s="215" t="str">
        <x:v>High</x:v>
      </x:c>
      <x:c r="AD719" s="215" t="str">
        <x:v>Hand lens / macro</x:v>
      </x:c>
      <x:c r="AE719" s="215" t="str">
        <x:v>Low</x:v>
      </x:c>
      <x:c r="AF719" s="215" t="str">
        <x:v>Field-ready draft</x:v>
      </x:c>
      <x:c r="AG719" s="215" t="str">
        <x:v>2 — Field-photo priority</x:v>
      </x:c>
      <x:c r="AH719" s="215" t="str">
        <x:v>Current master inventory</x:v>
      </x:c>
    </x:row>
    <x:row r="720" ht="42" customHeight="1">
      <x:c r="A720" s="215" t="str">
        <x:v>Passifloraceae</x:v>
      </x:c>
      <x:c r="B720" s="215" t="str">
        <x:v>PAS-COLUMN</x:v>
      </x:c>
      <x:c r="C720" s="215" t="str">
        <x:v>Family character</x:v>
      </x:c>
      <x:c r="D720" s="215" t="str">
        <x:v>Androecium / gynoecium</x:v>
      </x:c>
      <x:c r="E720" s="215" t="str">
        <x:v>Stamens and ovary are elevated on an androgynophore in Passiflora; commonly five stamens surround a 3-carpellate ovary</x:v>
      </x:c>
      <x:c r="F720" s="215" t="str">
        <x:v>Strong</x:v>
      </x:c>
      <x:c r="G720" s="215" t="str">
        <x:v>5</x:v>
      </x:c>
      <x:c r="H720" s="215" t="str">
        <x:v>High</x:v>
      </x:c>
      <x:c r="I720" s="215" t="str">
        <x:v>Naked eye or hand lens</x:v>
      </x:c>
      <x:c r="J720" s="215" t="str">
        <x:v>Fresh flowers</x:v>
      </x:c>
      <x:c r="K720" s="215" t="str">
        <x:v>The stamens and ovary sit together on a raised central stalk.</x:v>
      </x:c>
      <x:c r="L720" s="215" t="str">
        <x:v>The broad family includes lineages without the same conspicuous column.</x:v>
      </x:c>
      <x:c r="M720" s="215" t="str">
        <x:v>Use with corona and tendrils for local material.</x:v>
      </x:c>
      <x:c r="N720" s="215" t="str">
        <x:v>Native Passiflora vines occur in Hays and adjacent Central Texas in thickets, woodland edges, fencerows, and disturbed openings.</x:v>
      </x:c>
      <x:c r="O720" s="215" t="str">
        <x:v>Low</x:v>
      </x:c>
      <x:c r="P720" s="215" t="str">
        <x:v>No</x:v>
      </x:c>
      <x:c r="Q720" s="215" t="str"/>
      <x:c r="R720" s="215" t="str">
        <x:v>PAS-LK01; PAS-LK02</x:v>
      </x:c>
      <x:c r="S720" s="215" t="str">
        <x:v>APWEB-PASS; FNA-PASS; POWO-PASS; LBJ-HAYS</x:v>
      </x:c>
      <x:c r="T720" s="215" t="str">
        <x:v>https://www.mobot.org/MOBOT/research/APweb/orders/malpighialesweb.htm</x:v>
      </x:c>
      <x:c r="U720" s="215" t="str">
        <x:v>https://floranorthamerica.org/Passifloraceae</x:v>
      </x:c>
      <x:c r="V720" s="215" t="str">
        <x:v>https://powo.science.kew.org/taxon/urn:lsid:ipni.org:names:30003386-2/general-information</x:v>
      </x:c>
      <x:c r="W720" s="215" t="str">
        <x:v>https://www.mobot.org/MOBOT/research/APweb/orders/malpighialesweb.htm
https://floranorthamerica.org/Passifloraceae
https://powo.science.kew.org/taxon/urn:lsid:ipni.org:names:30003386-2/general-information
https://www.wildflower.org/collections/collection.php?collection=hays</x:v>
      </x:c>
      <x:c r="X720" s="215" t="str">
        <x:v>No — retain qualifiers and exceptions</x:v>
      </x:c>
      <x:c r="Y720" s="215" t="str">
        <x:v>Yes</x:v>
      </x:c>
      <x:c r="Z720" s="215" t="str">
        <x:v>Source-backed draft</x:v>
      </x:c>
      <x:c r="AA720" s="215" t="str">
        <x:v>Family pattern</x:v>
      </x:c>
      <x:c r="AB720" s="215" t="str">
        <x:v>Positive diagnostic</x:v>
      </x:c>
      <x:c r="AC720" s="215" t="str">
        <x:v>High</x:v>
      </x:c>
      <x:c r="AD720" s="215" t="str">
        <x:v>Hand lens / macro</x:v>
      </x:c>
      <x:c r="AE720" s="215" t="str">
        <x:v>Low</x:v>
      </x:c>
      <x:c r="AF720" s="215" t="str">
        <x:v>Field-ready draft</x:v>
      </x:c>
      <x:c r="AG720" s="215" t="str">
        <x:v>2 — Field-photo priority</x:v>
      </x:c>
      <x:c r="AH720" s="215" t="str">
        <x:v>Current master inventory</x:v>
      </x:c>
    </x:row>
    <x:row r="721" ht="42" customHeight="1">
      <x:c r="A721" s="215" t="str">
        <x:v>Passifloraceae</x:v>
      </x:c>
      <x:c r="B721" s="215" t="str">
        <x:v>PAS-OVARY</x:v>
      </x:c>
      <x:c r="C721" s="215" t="str">
        <x:v>Family character</x:v>
      </x:c>
      <x:c r="D721" s="215" t="str">
        <x:v>Gynoecium</x:v>
      </x:c>
      <x:c r="E721" s="215" t="str">
        <x:v>Ovary superior, commonly 3-carpellate and 1-locular with parietal placentation in Passiflora</x:v>
      </x:c>
      <x:c r="F721" s="215" t="str">
        <x:v>Strong</x:v>
      </x:c>
      <x:c r="G721" s="215" t="str">
        <x:v>4</x:v>
      </x:c>
      <x:c r="H721" s="215" t="str">
        <x:v>High</x:v>
      </x:c>
      <x:c r="I721" s="215" t="str">
        <x:v>Hand lens or dissection</x:v>
      </x:c>
      <x:c r="J721" s="215" t="str">
        <x:v>Fresh flowers or young fruit</x:v>
      </x:c>
      <x:c r="K721" s="215" t="str">
        <x:v>Ovules attach to the outer walls of a single chamber.</x:v>
      </x:c>
      <x:c r="L721" s="215" t="str">
        <x:v>Carpel number and placentation vary across the expanded family.</x:v>
      </x:c>
      <x:c r="M721" s="215" t="str">
        <x:v>Confirm through fruit and current genus placement.</x:v>
      </x:c>
      <x:c r="N721" s="215" t="str">
        <x:v>Native Passiflora vines occur in Hays and adjacent Central Texas in thickets, woodland edges, fencerows, and disturbed openings.</x:v>
      </x:c>
      <x:c r="O721" s="215" t="str">
        <x:v>Low</x:v>
      </x:c>
      <x:c r="P721" s="215" t="str">
        <x:v>No</x:v>
      </x:c>
      <x:c r="Q721" s="215" t="str"/>
      <x:c r="R721" s="215" t="str"/>
      <x:c r="S721" s="215" t="str">
        <x:v>APWEB-PASS; FNA-PASS; POWO-PASS; LBJ-HAYS</x:v>
      </x:c>
      <x:c r="T721" s="215" t="str">
        <x:v>https://www.mobot.org/MOBOT/research/APweb/orders/malpighialesweb.htm</x:v>
      </x:c>
      <x:c r="U721" s="215" t="str">
        <x:v>https://floranorthamerica.org/Passifloraceae</x:v>
      </x:c>
      <x:c r="V721" s="215" t="str">
        <x:v>https://powo.science.kew.org/taxon/urn:lsid:ipni.org:names:30003386-2/general-information</x:v>
      </x:c>
      <x:c r="W721" s="215" t="str">
        <x:v>https://www.mobot.org/MOBOT/research/APweb/orders/malpighialesweb.htm
https://floranorthamerica.org/Passifloraceae
https://powo.science.kew.org/taxon/urn:lsid:ipni.org:names:30003386-2/general-information
https://www.wildflower.org/collections/collection.php?collection=hays</x:v>
      </x:c>
      <x:c r="X721" s="215" t="str">
        <x:v>No — retain qualifiers and exceptions</x:v>
      </x:c>
      <x:c r="Y721" s="215" t="str">
        <x:v>Yes</x:v>
      </x:c>
      <x:c r="Z721" s="215" t="str">
        <x:v>Source-backed draft</x:v>
      </x:c>
      <x:c r="AA721" s="215" t="str">
        <x:v>Family pattern</x:v>
      </x:c>
      <x:c r="AB721" s="215" t="str">
        <x:v>Positive diagnostic</x:v>
      </x:c>
      <x:c r="AC721" s="215" t="str">
        <x:v>High</x:v>
      </x:c>
      <x:c r="AD721" s="215" t="str">
        <x:v>Dissection</x:v>
      </x:c>
      <x:c r="AE721" s="215" t="str">
        <x:v>Low</x:v>
      </x:c>
      <x:c r="AF721" s="215" t="str">
        <x:v>Dissection / close study</x:v>
      </x:c>
      <x:c r="AG721" s="215" t="str">
        <x:v>3 — Reference support</x:v>
      </x:c>
      <x:c r="AH721" s="215" t="str">
        <x:v>Current master inventory</x:v>
      </x:c>
    </x:row>
    <x:row r="722" ht="42" customHeight="1">
      <x:c r="A722" s="215" t="str">
        <x:v>Passifloraceae</x:v>
      </x:c>
      <x:c r="B722" s="215" t="str">
        <x:v>PAS-FRUIT</x:v>
      </x:c>
      <x:c r="C722" s="215" t="str">
        <x:v>Family character</x:v>
      </x:c>
      <x:c r="D722" s="215" t="str">
        <x:v>Fruit / seeds</x:v>
      </x:c>
      <x:c r="E722" s="215" t="str">
        <x:v>Fruit commonly a berry in Passiflora, with many seeds surrounded by fleshy arils</x:v>
      </x:c>
      <x:c r="F722" s="215" t="str">
        <x:v>Strong</x:v>
      </x:c>
      <x:c r="G722" s="215" t="str">
        <x:v>4</x:v>
      </x:c>
      <x:c r="H722" s="215" t="str">
        <x:v>High</x:v>
      </x:c>
      <x:c r="I722" s="215" t="str">
        <x:v>Naked eye</x:v>
      </x:c>
      <x:c r="J722" s="215" t="str">
        <x:v>Mature fruit</x:v>
      </x:c>
      <x:c r="K722" s="215" t="str">
        <x:v>Passionfruits contain many individually arillate seeds.</x:v>
      </x:c>
      <x:c r="L722" s="215" t="str">
        <x:v>Other Passifloraceae lineages may have capsules rather than berries.</x:v>
      </x:c>
      <x:c r="M722" s="215" t="str">
        <x:v>Use fruit only after recognizing the local Passiflora suite.</x:v>
      </x:c>
      <x:c r="N722" s="215" t="str">
        <x:v>Native Passiflora vines occur in Hays and adjacent Central Texas in thickets, woodland edges, fencerows, and disturbed openings.</x:v>
      </x:c>
      <x:c r="O722" s="215" t="str">
        <x:v>Low</x:v>
      </x:c>
      <x:c r="P722" s="215" t="str">
        <x:v>No</x:v>
      </x:c>
      <x:c r="Q722" s="215" t="str"/>
      <x:c r="R722" s="215" t="str">
        <x:v>PAS-LK01; PAS-LK02</x:v>
      </x:c>
      <x:c r="S722" s="215" t="str">
        <x:v>APWEB-PASS; FNA-PASS; POWO-PASS; LBJ-HAYS</x:v>
      </x:c>
      <x:c r="T722" s="215" t="str">
        <x:v>https://www.mobot.org/MOBOT/research/APweb/orders/malpighialesweb.htm</x:v>
      </x:c>
      <x:c r="U722" s="215" t="str">
        <x:v>https://floranorthamerica.org/Passifloraceae</x:v>
      </x:c>
      <x:c r="V722" s="215" t="str">
        <x:v>https://powo.science.kew.org/taxon/urn:lsid:ipni.org:names:30003386-2/general-information</x:v>
      </x:c>
      <x:c r="W722" s="215" t="str">
        <x:v>https://www.mobot.org/MOBOT/research/APweb/orders/malpighialesweb.htm
https://floranorthamerica.org/Passifloraceae
https://powo.science.kew.org/taxon/urn:lsid:ipni.org:names:30003386-2/general-information
https://www.wildflower.org/collections/collection.php?collection=hays</x:v>
      </x:c>
      <x:c r="X722" s="215" t="str">
        <x:v>No — retain qualifiers and exceptions</x:v>
      </x:c>
      <x:c r="Y722" s="215" t="str">
        <x:v>Yes</x:v>
      </x:c>
      <x:c r="Z722" s="215" t="str">
        <x:v>Source-backed draft</x:v>
      </x:c>
      <x:c r="AA722" s="215" t="str">
        <x:v>Family pattern</x:v>
      </x:c>
      <x:c r="AB722" s="215" t="str">
        <x:v>Positive diagnostic</x:v>
      </x:c>
      <x:c r="AC722" s="215" t="str">
        <x:v>High</x:v>
      </x:c>
      <x:c r="AD722" s="215" t="str">
        <x:v>Naked eye / field</x:v>
      </x:c>
      <x:c r="AE722" s="215" t="str">
        <x:v>Low</x:v>
      </x:c>
      <x:c r="AF722" s="215" t="str">
        <x:v>Field-ready draft</x:v>
      </x:c>
      <x:c r="AG722" s="215" t="str">
        <x:v>2 — Field-photo priority</x:v>
      </x:c>
      <x:c r="AH722" s="215" t="str">
        <x:v>Current master inventory</x:v>
      </x:c>
    </x:row>
    <x:row r="723" ht="42" customHeight="1">
      <x:c r="A723" s="215" t="str">
        <x:v>Passifloraceae</x:v>
      </x:c>
      <x:c r="B723" s="215" t="str">
        <x:v>PAS-LK01</x:v>
      </x:c>
      <x:c r="C723" s="215" t="str">
        <x:v>Lookalike comparison</x:v>
      </x:c>
      <x:c r="D723" s="215" t="str">
        <x:v>Lookalike</x:v>
      </x:c>
      <x:c r="E723" s="215" t="str">
        <x:v>Versus Cucurbitaceae: axillary tendrils plus a showy corona and superior ovary favor Passiflora; unisexual flowers and an inferior ovary producing a pepo favor Cucurbitaceae</x:v>
      </x:c>
      <x:c r="F723" s="215" t="str">
        <x:v>Lookalike</x:v>
      </x:c>
      <x:c r="G723" s="215" t="str">
        <x:v>5</x:v>
      </x:c>
      <x:c r="H723" s="215" t="str">
        <x:v>High</x:v>
      </x:c>
      <x:c r="I723" s="215" t="str">
        <x:v>Naked eye or hand lens</x:v>
      </x:c>
      <x:c r="J723" s="215" t="str">
        <x:v>Flowering or fruiting material</x:v>
      </x:c>
      <x:c r="K723" s="215" t="str">
        <x:v>Both are often herbaceous vines with tendrils and lobed leaves.</x:v>
      </x:c>
      <x:c r="L723" s="215" t="str">
        <x:v>Without flowers, node glands and tendril position may only be suggestive.</x:v>
      </x:c>
      <x:c r="M723" s="215" t="str">
        <x:v>Prioritize ovary position, sex, corona, and mature fruit.</x:v>
      </x:c>
      <x:c r="N723" s="215" t="str">
        <x:v>Native Passiflora vines occur in Hays and adjacent Central Texas in thickets, woodland edges, fencerows, and disturbed openings.</x:v>
      </x:c>
      <x:c r="O723" s="215" t="str">
        <x:v>Low</x:v>
      </x:c>
      <x:c r="P723" s="215" t="str">
        <x:v>No</x:v>
      </x:c>
      <x:c r="Q723" s="215" t="str"/>
      <x:c r="R723" s="215" t="str">
        <x:v>PAS-TENDRILS; PAS-FLOWER; PAS-CORONA; PAS-OVARY; PAS-FRUIT</x:v>
      </x:c>
      <x:c r="S723" s="215" t="str">
        <x:v>APWEB-PASS; FNA-PASS; POWO-PASS; LBJ-HAYS</x:v>
      </x:c>
      <x:c r="T723" s="215" t="str">
        <x:v>https://www.mobot.org/MOBOT/research/APweb/orders/malpighialesweb.htm</x:v>
      </x:c>
      <x:c r="U723" s="215" t="str">
        <x:v>https://floranorthamerica.org/Passifloraceae</x:v>
      </x:c>
      <x:c r="V723" s="215" t="str">
        <x:v>https://powo.science.kew.org/taxon/urn:lsid:ipni.org:names:30003386-2/general-information</x:v>
      </x:c>
      <x:c r="W723" s="215" t="str">
        <x:v>https://www.mobot.org/MOBOT/research/APweb/orders/malpighialesweb.htm
https://floranorthamerica.org/Passifloraceae
https://powo.science.kew.org/taxon/urn:lsid:ipni.org:names:30003386-2/general-information
https://www.wildflower.org/collections/collection.php?collection=hays</x:v>
      </x:c>
      <x:c r="X723" s="215" t="str">
        <x:v>No — retain qualifiers and exceptions</x:v>
      </x:c>
      <x:c r="Y723" s="215" t="str">
        <x:v>Yes</x:v>
      </x:c>
      <x:c r="Z723" s="215" t="str">
        <x:v>Source-backed draft</x:v>
      </x:c>
      <x:c r="AA723" s="215" t="str">
        <x:v>Lookalike comparison</x:v>
      </x:c>
      <x:c r="AB723" s="215" t="str">
        <x:v>Contrast / lookalike</x:v>
      </x:c>
      <x:c r="AC723" s="215" t="str">
        <x:v>High</x:v>
      </x:c>
      <x:c r="AD723" s="215" t="str">
        <x:v>Hand lens / macro</x:v>
      </x:c>
      <x:c r="AE723" s="215" t="str">
        <x:v>Low</x:v>
      </x:c>
      <x:c r="AF723" s="215" t="str">
        <x:v>Field-ready draft</x:v>
      </x:c>
      <x:c r="AG723" s="215" t="str">
        <x:v>2 — Field-photo priority</x:v>
      </x:c>
      <x:c r="AH723" s="215" t="str">
        <x:v>Current master inventory</x:v>
      </x:c>
    </x:row>
    <x:row r="724" ht="42" customHeight="1">
      <x:c r="A724" s="215" t="str">
        <x:v>Passifloraceae</x:v>
      </x:c>
      <x:c r="B724" s="215" t="str">
        <x:v>PAS-LK02</x:v>
      </x:c>
      <x:c r="C724" s="215" t="str">
        <x:v>Lookalike comparison</x:v>
      </x:c>
      <x:c r="D724" s="215" t="str">
        <x:v>Lookalike</x:v>
      </x:c>
      <x:c r="E724" s="215" t="str">
        <x:v>Versus Vitaceae: a corona and raised central reproductive column favor Passiflora; branched tendrils opposite leaves and clustered small flowers that become grapes favor Vitaceae</x:v>
      </x:c>
      <x:c r="F724" s="215" t="str">
        <x:v>Lookalike</x:v>
      </x:c>
      <x:c r="G724" s="215" t="str">
        <x:v>5</x:v>
      </x:c>
      <x:c r="H724" s="215" t="str">
        <x:v>High</x:v>
      </x:c>
      <x:c r="I724" s="215" t="str">
        <x:v>Naked eye or hand lens</x:v>
      </x:c>
      <x:c r="J724" s="215" t="str">
        <x:v>Flowering or fruiting material</x:v>
      </x:c>
      <x:c r="K724" s="215" t="str">
        <x:v>Both are tendril-bearing vines with alternate leaves.</x:v>
      </x:c>
      <x:c r="L724" s="215" t="str">
        <x:v>Sterile vines can remain uncertain.</x:v>
      </x:c>
      <x:c r="M724" s="215" t="str">
        <x:v>Use tendril position plus floral center and fruit.</x:v>
      </x:c>
      <x:c r="N724" s="215" t="str">
        <x:v>Native Passiflora vines occur in Hays and adjacent Central Texas in thickets, woodland edges, fencerows, and disturbed openings.</x:v>
      </x:c>
      <x:c r="O724" s="215" t="str">
        <x:v>Low</x:v>
      </x:c>
      <x:c r="P724" s="215" t="str">
        <x:v>No</x:v>
      </x:c>
      <x:c r="Q724" s="215" t="str"/>
      <x:c r="R724" s="215" t="str">
        <x:v>PAS-TENDRILS; PAS-GLANDS; PAS-CORONA; PAS-COLUMN; PAS-FRUIT</x:v>
      </x:c>
      <x:c r="S724" s="215" t="str">
        <x:v>APWEB-PASS; FNA-PASS; POWO-PASS; LBJ-HAYS</x:v>
      </x:c>
      <x:c r="T724" s="215" t="str">
        <x:v>https://www.mobot.org/MOBOT/research/APweb/orders/malpighialesweb.htm</x:v>
      </x:c>
      <x:c r="U724" s="215" t="str">
        <x:v>https://floranorthamerica.org/Passifloraceae</x:v>
      </x:c>
      <x:c r="V724" s="215" t="str">
        <x:v>https://powo.science.kew.org/taxon/urn:lsid:ipni.org:names:30003386-2/general-information</x:v>
      </x:c>
      <x:c r="W724" s="215" t="str">
        <x:v>https://www.mobot.org/MOBOT/research/APweb/orders/malpighialesweb.htm
https://floranorthamerica.org/Passifloraceae
https://powo.science.kew.org/taxon/urn:lsid:ipni.org:names:30003386-2/general-information
https://www.wildflower.org/collections/collection.php?collection=hays</x:v>
      </x:c>
      <x:c r="X724" s="215" t="str">
        <x:v>No — retain qualifiers and exceptions</x:v>
      </x:c>
      <x:c r="Y724" s="215" t="str">
        <x:v>Yes</x:v>
      </x:c>
      <x:c r="Z724" s="215" t="str">
        <x:v>Source-backed draft</x:v>
      </x:c>
      <x:c r="AA724" s="215" t="str">
        <x:v>Lookalike comparison</x:v>
      </x:c>
      <x:c r="AB724" s="215" t="str">
        <x:v>Contrast / lookalike</x:v>
      </x:c>
      <x:c r="AC724" s="215" t="str">
        <x:v>High</x:v>
      </x:c>
      <x:c r="AD724" s="215" t="str">
        <x:v>Hand lens / macro</x:v>
      </x:c>
      <x:c r="AE724" s="215" t="str">
        <x:v>Low</x:v>
      </x:c>
      <x:c r="AF724" s="215" t="str">
        <x:v>Field-ready draft</x:v>
      </x:c>
      <x:c r="AG724" s="215" t="str">
        <x:v>2 — Field-photo priority</x:v>
      </x:c>
      <x:c r="AH724" s="215" t="str">
        <x:v>Current master inventory</x:v>
      </x:c>
    </x:row>
    <x:row r="725" ht="42" customHeight="1">
      <x:c r="A725" s="215" t="str">
        <x:v>Loasaceae</x:v>
      </x:c>
      <x:c r="B725" s="215" t="str">
        <x:v>LOA-HABIT</x:v>
      </x:c>
      <x:c r="C725" s="215" t="str">
        <x:v>Family character</x:v>
      </x:c>
      <x:c r="D725" s="215" t="str">
        <x:v>Habit</x:v>
      </x:c>
      <x:c r="E725" s="215" t="str">
        <x:v>Annual, biennial, or perennial herbs, subshrubs, shrubs, or rarely trees; surfaces usually rough</x:v>
      </x:c>
      <x:c r="F725" s="215" t="str">
        <x:v>Strong</x:v>
      </x:c>
      <x:c r="G725" s="215" t="str">
        <x:v>3</x:v>
      </x:c>
      <x:c r="H725" s="215" t="str">
        <x:v>High</x:v>
      </x:c>
      <x:c r="I725" s="215" t="str">
        <x:v>Naked eye</x:v>
      </x:c>
      <x:c r="J725" s="215" t="str">
        <x:v>Active growth</x:v>
      </x:c>
      <x:c r="K725" s="215" t="str">
        <x:v>Local stickleaf relatives are generally rough-textured herbs.</x:v>
      </x:c>
      <x:c r="L725" s="215" t="str">
        <x:v>The global family includes woody and evergreen forms.</x:v>
      </x:c>
      <x:c r="M725" s="215" t="str">
        <x:v>Use texture with hair type and flowers.</x:v>
      </x:c>
      <x:c r="N725" s="215" t="str">
        <x:v>Mentzelia-type stickleaf plants are regionally plausible on dry, rocky, sandy, or disturbed sites; exact Hays taxa and vouchers require reconciliation.</x:v>
      </x:c>
      <x:c r="O725" s="215" t="str">
        <x:v>Low</x:v>
      </x:c>
      <x:c r="P725" s="215" t="str">
        <x:v>No</x:v>
      </x:c>
      <x:c r="Q725" s="215" t="str"/>
      <x:c r="R725" s="215" t="str">
        <x:v>LOA-LK01; LOA-LK02</x:v>
      </x:c>
      <x:c r="S725" s="215" t="str">
        <x:v>APWEB-LOAS; FNA-LOAS; POWO-LOAS; LBJ-HAYS</x:v>
      </x:c>
      <x:c r="T725" s="215" t="str">
        <x:v>https://www.mobot.org/MOBOT/research/APweb/orders/cornalesweb.htm</x:v>
      </x:c>
      <x:c r="U725" s="215" t="str">
        <x:v>https://www.efloras.org/florataxon.aspx?flora_id=1&amp;taxon_id=10513</x:v>
      </x:c>
      <x:c r="V725" s="215" t="str">
        <x:v>https://powo.science.kew.org/taxon/urn:lsid:ipni.org:names:30000160-2/general-information</x:v>
      </x:c>
      <x:c r="W725" s="215" t="str">
        <x:v>https://www.mobot.org/MOBOT/research/APweb/orders/cornalesweb.htm
https://www.efloras.org/florataxon.aspx?flora_id=1&amp;taxon_id=10513
https://powo.science.kew.org/taxon/urn:lsid:ipni.org:names:30000160-2/general-information
https://www.wildflower.org/collections/collection.php?collection=hays</x:v>
      </x:c>
      <x:c r="X725" s="215" t="str">
        <x:v>No — retain qualifiers and exceptions</x:v>
      </x:c>
      <x:c r="Y725" s="215" t="str">
        <x:v>Yes</x:v>
      </x:c>
      <x:c r="Z725" s="215" t="str">
        <x:v>Source-backed draft</x:v>
      </x:c>
      <x:c r="AA725" s="215" t="str">
        <x:v>Family pattern</x:v>
      </x:c>
      <x:c r="AB725" s="215" t="str">
        <x:v>Positive diagnostic</x:v>
      </x:c>
      <x:c r="AC725" s="215" t="str">
        <x:v>High</x:v>
      </x:c>
      <x:c r="AD725" s="215" t="str">
        <x:v>Naked eye / field</x:v>
      </x:c>
      <x:c r="AE725" s="215" t="str">
        <x:v>Low</x:v>
      </x:c>
      <x:c r="AF725" s="215" t="str">
        <x:v>Field-ready draft</x:v>
      </x:c>
      <x:c r="AG725" s="215" t="str">
        <x:v>3 — Reference support</x:v>
      </x:c>
      <x:c r="AH725" s="215" t="str">
        <x:v>Current master inventory</x:v>
      </x:c>
    </x:row>
    <x:row r="726" ht="42" customHeight="1">
      <x:c r="A726" s="215" t="str">
        <x:v>Loasaceae</x:v>
      </x:c>
      <x:c r="B726" s="215" t="str">
        <x:v>LOA-HAIRS</x:v>
      </x:c>
      <x:c r="C726" s="215" t="str">
        <x:v>Family character</x:v>
      </x:c>
      <x:c r="D726" s="215" t="str">
        <x:v>Hairs</x:v>
      </x:c>
      <x:c r="E726" s="215" t="str">
        <x:v>Indumentum may combine unbranched rough or barbed hairs, dendritic hairs, and stinging hairs</x:v>
      </x:c>
      <x:c r="F726" s="215" t="str">
        <x:v>Strong</x:v>
      </x:c>
      <x:c r="G726" s="215" t="str">
        <x:v>5</x:v>
      </x:c>
      <x:c r="H726" s="215" t="str">
        <x:v>High</x:v>
      </x:c>
      <x:c r="I726" s="215" t="str">
        <x:v>Hand lens; avoid touch</x:v>
      </x:c>
      <x:c r="J726" s="215" t="str">
        <x:v>Fresh stems and leaves</x:v>
      </x:c>
      <x:c r="K726" s="215" t="str">
        <x:v>Barbed stickleaf hairs can catch clothing and skin; some lineages sting.</x:v>
      </x:c>
      <x:c r="L726" s="215" t="str">
        <x:v>Hair complements vary and must never be tested by rubbing bare skin.</x:v>
      </x:c>
      <x:c r="M726" s="215" t="str">
        <x:v>Inspect visually with magnification and handle cautiously.</x:v>
      </x:c>
      <x:c r="N726" s="215" t="str">
        <x:v>Mentzelia-type stickleaf plants are regionally plausible on dry, rocky, sandy, or disturbed sites; exact Hays taxa and vouchers require reconciliation.</x:v>
      </x:c>
      <x:c r="O726" s="215" t="str">
        <x:v>Low</x:v>
      </x:c>
      <x:c r="P726" s="215" t="str">
        <x:v>No</x:v>
      </x:c>
      <x:c r="Q726" s="215" t="str"/>
      <x:c r="R726" s="215" t="str">
        <x:v>LOA-LK01; LOA-LK02</x:v>
      </x:c>
      <x:c r="S726" s="215" t="str">
        <x:v>APWEB-LOAS; FNA-LOAS; POWO-LOAS; LBJ-HAYS</x:v>
      </x:c>
      <x:c r="T726" s="215" t="str">
        <x:v>https://www.mobot.org/MOBOT/research/APweb/orders/cornalesweb.htm</x:v>
      </x:c>
      <x:c r="U726" s="215" t="str">
        <x:v>https://www.efloras.org/florataxon.aspx?flora_id=1&amp;taxon_id=10513</x:v>
      </x:c>
      <x:c r="V726" s="215" t="str">
        <x:v>https://powo.science.kew.org/taxon/urn:lsid:ipni.org:names:30000160-2/general-information</x:v>
      </x:c>
      <x:c r="W726" s="215" t="str">
        <x:v>https://www.mobot.org/MOBOT/research/APweb/orders/cornalesweb.htm
https://www.efloras.org/florataxon.aspx?flora_id=1&amp;taxon_id=10513
https://powo.science.kew.org/taxon/urn:lsid:ipni.org:names:30000160-2/general-information
https://www.wildflower.org/collections/collection.php?collection=hays</x:v>
      </x:c>
      <x:c r="X726" s="215" t="str">
        <x:v>No — retain qualifiers and exceptions</x:v>
      </x:c>
      <x:c r="Y726" s="215" t="str">
        <x:v>Yes</x:v>
      </x:c>
      <x:c r="Z726" s="215" t="str">
        <x:v>Source-backed draft</x:v>
      </x:c>
      <x:c r="AA726" s="215" t="str">
        <x:v>Family pattern</x:v>
      </x:c>
      <x:c r="AB726" s="215" t="str">
        <x:v>Positive diagnostic</x:v>
      </x:c>
      <x:c r="AC726" s="215" t="str">
        <x:v>High</x:v>
      </x:c>
      <x:c r="AD726" s="215" t="str">
        <x:v>Special handling</x:v>
      </x:c>
      <x:c r="AE726" s="215" t="str">
        <x:v>Low</x:v>
      </x:c>
      <x:c r="AF726" s="215" t="str">
        <x:v>Field-ready draft</x:v>
      </x:c>
      <x:c r="AG726" s="215" t="str">
        <x:v>3 — Reference support</x:v>
      </x:c>
      <x:c r="AH726" s="215" t="str">
        <x:v>Current master inventory</x:v>
      </x:c>
    </x:row>
    <x:row r="727" ht="42" customHeight="1">
      <x:c r="A727" s="215" t="str">
        <x:v>Loasaceae</x:v>
      </x:c>
      <x:c r="B727" s="215" t="str">
        <x:v>LOA-LEAVES</x:v>
      </x:c>
      <x:c r="C727" s="215" t="str">
        <x:v>Family character</x:v>
      </x:c>
      <x:c r="D727" s="215" t="str">
        <x:v>Leaves / stipules</x:v>
      </x:c>
      <x:c r="E727" s="215" t="str">
        <x:v>Leaves usually alternate, simple, exstipulate, and entire to deeply lobed or toothed</x:v>
      </x:c>
      <x:c r="F727" s="215" t="str">
        <x:v>Strong</x:v>
      </x:c>
      <x:c r="G727" s="215" t="str">
        <x:v>3</x:v>
      </x:c>
      <x:c r="H727" s="215" t="str">
        <x:v>High</x:v>
      </x:c>
      <x:c r="I727" s="215" t="str">
        <x:v>Naked eye</x:v>
      </x:c>
      <x:c r="J727" s="215" t="str">
        <x:v>Mature leaves</x:v>
      </x:c>
      <x:c r="K727" s="215" t="str">
        <x:v>Rough alternate leaves without stipules fit many Mentzelia-type plants.</x:v>
      </x:c>
      <x:c r="L727" s="215" t="str">
        <x:v>Opposite leaves occur in some nonlocal lineages and margins are variable.</x:v>
      </x:c>
      <x:c r="M727" s="215" t="str">
        <x:v>Combine node and hair evidence.</x:v>
      </x:c>
      <x:c r="N727" s="215" t="str">
        <x:v>Mentzelia-type stickleaf plants are regionally plausible on dry, rocky, sandy, or disturbed sites; exact Hays taxa and vouchers require reconciliation.</x:v>
      </x:c>
      <x:c r="O727" s="215" t="str">
        <x:v>Low</x:v>
      </x:c>
      <x:c r="P727" s="215" t="str">
        <x:v>No</x:v>
      </x:c>
      <x:c r="Q727" s="215" t="str"/>
      <x:c r="R727" s="215" t="str"/>
      <x:c r="S727" s="215" t="str">
        <x:v>APWEB-LOAS; FNA-LOAS; POWO-LOAS; LBJ-HAYS</x:v>
      </x:c>
      <x:c r="T727" s="215" t="str">
        <x:v>https://www.mobot.org/MOBOT/research/APweb/orders/cornalesweb.htm</x:v>
      </x:c>
      <x:c r="U727" s="215" t="str">
        <x:v>https://www.efloras.org/florataxon.aspx?flora_id=1&amp;taxon_id=10513</x:v>
      </x:c>
      <x:c r="V727" s="215" t="str">
        <x:v>https://powo.science.kew.org/taxon/urn:lsid:ipni.org:names:30000160-2/general-information</x:v>
      </x:c>
      <x:c r="W727" s="215" t="str">
        <x:v>https://www.mobot.org/MOBOT/research/APweb/orders/cornalesweb.htm
https://www.efloras.org/florataxon.aspx?flora_id=1&amp;taxon_id=10513
https://powo.science.kew.org/taxon/urn:lsid:ipni.org:names:30000160-2/general-information
https://www.wildflower.org/collections/collection.php?collection=hays</x:v>
      </x:c>
      <x:c r="X727" s="215" t="str">
        <x:v>No — retain qualifiers and exceptions</x:v>
      </x:c>
      <x:c r="Y727" s="215" t="str">
        <x:v>Yes</x:v>
      </x:c>
      <x:c r="Z727" s="215" t="str">
        <x:v>Source-backed draft</x:v>
      </x:c>
      <x:c r="AA727" s="215" t="str">
        <x:v>Family pattern</x:v>
      </x:c>
      <x:c r="AB727" s="215" t="str">
        <x:v>Positive diagnostic</x:v>
      </x:c>
      <x:c r="AC727" s="215" t="str">
        <x:v>High</x:v>
      </x:c>
      <x:c r="AD727" s="215" t="str">
        <x:v>Naked eye / field</x:v>
      </x:c>
      <x:c r="AE727" s="215" t="str">
        <x:v>Low</x:v>
      </x:c>
      <x:c r="AF727" s="215" t="str">
        <x:v>Field-ready draft</x:v>
      </x:c>
      <x:c r="AG727" s="215" t="str">
        <x:v>3 — Reference support</x:v>
      </x:c>
      <x:c r="AH727" s="215" t="str">
        <x:v>Current master inventory</x:v>
      </x:c>
    </x:row>
    <x:row r="728" ht="42" customHeight="1">
      <x:c r="A728" s="215" t="str">
        <x:v>Loasaceae</x:v>
      </x:c>
      <x:c r="B728" s="215" t="str">
        <x:v>LOA-FLOWER</x:v>
      </x:c>
      <x:c r="C728" s="215" t="str">
        <x:v>Family character</x:v>
      </x:c>
      <x:c r="D728" s="215" t="str">
        <x:v>Flowers</x:v>
      </x:c>
      <x:c r="E728" s="215" t="str">
        <x:v>Flowers bisexual and usually radially symmetric, commonly with 5 persistent sepals and 5 petals</x:v>
      </x:c>
      <x:c r="F728" s="215" t="str">
        <x:v>Strong</x:v>
      </x:c>
      <x:c r="G728" s="215" t="str">
        <x:v>4</x:v>
      </x:c>
      <x:c r="H728" s="215" t="str">
        <x:v>High</x:v>
      </x:c>
      <x:c r="I728" s="215" t="str">
        <x:v>Naked eye or hand lens</x:v>
      </x:c>
      <x:c r="J728" s="215" t="str">
        <x:v>Fresh flowers</x:v>
      </x:c>
      <x:c r="K728" s="215" t="str">
        <x:v>Starry 5-parted flowers arise above a rough plant.</x:v>
      </x:c>
      <x:c r="L728" s="215" t="str">
        <x:v>Merism can vary and petals may be connate basally.</x:v>
      </x:c>
      <x:c r="M728" s="215" t="str">
        <x:v>Use the stamens and inferior ovary for confirmation.</x:v>
      </x:c>
      <x:c r="N728" s="215" t="str">
        <x:v>Mentzelia-type stickleaf plants are regionally plausible on dry, rocky, sandy, or disturbed sites; exact Hays taxa and vouchers require reconciliation.</x:v>
      </x:c>
      <x:c r="O728" s="215" t="str">
        <x:v>Low</x:v>
      </x:c>
      <x:c r="P728" s="215" t="str">
        <x:v>No</x:v>
      </x:c>
      <x:c r="Q728" s="215" t="str"/>
      <x:c r="R728" s="215" t="str">
        <x:v>LOA-LK01; LOA-LK02</x:v>
      </x:c>
      <x:c r="S728" s="215" t="str">
        <x:v>APWEB-LOAS; FNA-LOAS; POWO-LOAS; LBJ-HAYS</x:v>
      </x:c>
      <x:c r="T728" s="215" t="str">
        <x:v>https://www.mobot.org/MOBOT/research/APweb/orders/cornalesweb.htm</x:v>
      </x:c>
      <x:c r="U728" s="215" t="str">
        <x:v>https://www.efloras.org/florataxon.aspx?flora_id=1&amp;taxon_id=10513</x:v>
      </x:c>
      <x:c r="V728" s="215" t="str">
        <x:v>https://powo.science.kew.org/taxon/urn:lsid:ipni.org:names:30000160-2/general-information</x:v>
      </x:c>
      <x:c r="W728" s="215" t="str">
        <x:v>https://www.mobot.org/MOBOT/research/APweb/orders/cornalesweb.htm
https://www.efloras.org/florataxon.aspx?flora_id=1&amp;taxon_id=10513
https://powo.science.kew.org/taxon/urn:lsid:ipni.org:names:30000160-2/general-information
https://www.wildflower.org/collections/collection.php?collection=hays</x:v>
      </x:c>
      <x:c r="X728" s="215" t="str">
        <x:v>No — retain qualifiers and exceptions</x:v>
      </x:c>
      <x:c r="Y728" s="215" t="str">
        <x:v>Yes</x:v>
      </x:c>
      <x:c r="Z728" s="215" t="str">
        <x:v>Source-backed draft</x:v>
      </x:c>
      <x:c r="AA728" s="215" t="str">
        <x:v>Family pattern</x:v>
      </x:c>
      <x:c r="AB728" s="215" t="str">
        <x:v>Positive diagnostic</x:v>
      </x:c>
      <x:c r="AC728" s="215" t="str">
        <x:v>High</x:v>
      </x:c>
      <x:c r="AD728" s="215" t="str">
        <x:v>Hand lens / macro</x:v>
      </x:c>
      <x:c r="AE728" s="215" t="str">
        <x:v>Low</x:v>
      </x:c>
      <x:c r="AF728" s="215" t="str">
        <x:v>Field-ready draft</x:v>
      </x:c>
      <x:c r="AG728" s="215" t="str">
        <x:v>2 — Field-photo priority</x:v>
      </x:c>
      <x:c r="AH728" s="215" t="str">
        <x:v>Current master inventory</x:v>
      </x:c>
    </x:row>
    <x:row r="729" ht="42" customHeight="1">
      <x:c r="A729" s="215" t="str">
        <x:v>Loasaceae</x:v>
      </x:c>
      <x:c r="B729" s="215" t="str">
        <x:v>LOA-STAMENS</x:v>
      </x:c>
      <x:c r="C729" s="215" t="str">
        <x:v>Family character</x:v>
      </x:c>
      <x:c r="D729" s="215" t="str">
        <x:v>Stamens</x:v>
      </x:c>
      <x:c r="E729" s="215" t="str">
        <x:v>Stamens 5 to 50 or more, often numerous in Mentzelia and related lineages</x:v>
      </x:c>
      <x:c r="F729" s="215" t="str">
        <x:v>Strong</x:v>
      </x:c>
      <x:c r="G729" s="215" t="str">
        <x:v>4</x:v>
      </x:c>
      <x:c r="H729" s="215" t="str">
        <x:v>High</x:v>
      </x:c>
      <x:c r="I729" s="215" t="str">
        <x:v>Naked eye or hand lens</x:v>
      </x:c>
      <x:c r="J729" s="215" t="str">
        <x:v>Fresh flowers</x:v>
      </x:c>
      <x:c r="K729" s="215" t="str">
        <x:v>Many local stickleaf flowers have a conspicuous mass of stamens.</x:v>
      </x:c>
      <x:c r="L729" s="215" t="str">
        <x:v>Some genera have only five or eight stamens.</x:v>
      </x:c>
      <x:c r="M729" s="215" t="str">
        <x:v>Count broadly and retain genus-level exceptions.</x:v>
      </x:c>
      <x:c r="N729" s="215" t="str">
        <x:v>Mentzelia-type stickleaf plants are regionally plausible on dry, rocky, sandy, or disturbed sites; exact Hays taxa and vouchers require reconciliation.</x:v>
      </x:c>
      <x:c r="O729" s="215" t="str">
        <x:v>Low</x:v>
      </x:c>
      <x:c r="P729" s="215" t="str">
        <x:v>No</x:v>
      </x:c>
      <x:c r="Q729" s="215" t="str"/>
      <x:c r="R729" s="215" t="str">
        <x:v>LOA-LK01</x:v>
      </x:c>
      <x:c r="S729" s="215" t="str">
        <x:v>APWEB-LOAS; FNA-LOAS; POWO-LOAS; LBJ-HAYS</x:v>
      </x:c>
      <x:c r="T729" s="215" t="str">
        <x:v>https://www.mobot.org/MOBOT/research/APweb/orders/cornalesweb.htm</x:v>
      </x:c>
      <x:c r="U729" s="215" t="str">
        <x:v>https://www.efloras.org/florataxon.aspx?flora_id=1&amp;taxon_id=10513</x:v>
      </x:c>
      <x:c r="V729" s="215" t="str">
        <x:v>https://powo.science.kew.org/taxon/urn:lsid:ipni.org:names:30000160-2/general-information</x:v>
      </x:c>
      <x:c r="W729" s="215" t="str">
        <x:v>https://www.mobot.org/MOBOT/research/APweb/orders/cornalesweb.htm
https://www.efloras.org/florataxon.aspx?flora_id=1&amp;taxon_id=10513
https://powo.science.kew.org/taxon/urn:lsid:ipni.org:names:30000160-2/general-information
https://www.wildflower.org/collections/collection.php?collection=hays</x:v>
      </x:c>
      <x:c r="X729" s="215" t="str">
        <x:v>No — retain qualifiers and exceptions</x:v>
      </x:c>
      <x:c r="Y729" s="215" t="str">
        <x:v>Yes</x:v>
      </x:c>
      <x:c r="Z729" s="215" t="str">
        <x:v>Source-backed draft</x:v>
      </x:c>
      <x:c r="AA729" s="215" t="str">
        <x:v>Family pattern</x:v>
      </x:c>
      <x:c r="AB729" s="215" t="str">
        <x:v>Positive diagnostic</x:v>
      </x:c>
      <x:c r="AC729" s="215" t="str">
        <x:v>High</x:v>
      </x:c>
      <x:c r="AD729" s="215" t="str">
        <x:v>Hand lens / macro</x:v>
      </x:c>
      <x:c r="AE729" s="215" t="str">
        <x:v>Low</x:v>
      </x:c>
      <x:c r="AF729" s="215" t="str">
        <x:v>Field-ready draft</x:v>
      </x:c>
      <x:c r="AG729" s="215" t="str">
        <x:v>2 — Field-photo priority</x:v>
      </x:c>
      <x:c r="AH729" s="215" t="str">
        <x:v>Current master inventory</x:v>
      </x:c>
    </x:row>
    <x:row r="730" ht="42" customHeight="1">
      <x:c r="A730" s="215" t="str">
        <x:v>Loasaceae</x:v>
      </x:c>
      <x:c r="B730" s="215" t="str">
        <x:v>LOA-FILAMENTS</x:v>
      </x:c>
      <x:c r="C730" s="215" t="str">
        <x:v>Family character</x:v>
      </x:c>
      <x:c r="D730" s="215" t="str">
        <x:v>Stamen filaments</x:v>
      </x:c>
      <x:c r="E730" s="215" t="str">
        <x:v>Outermost stamens may have broadened, flattened, or petal-like filaments distinct from inner filiform stamens</x:v>
      </x:c>
      <x:c r="F730" s="215" t="str">
        <x:v>Strong</x:v>
      </x:c>
      <x:c r="G730" s="215" t="str">
        <x:v>4</x:v>
      </x:c>
      <x:c r="H730" s="215" t="str">
        <x:v>High</x:v>
      </x:c>
      <x:c r="I730" s="215" t="str">
        <x:v>Hand lens</x:v>
      </x:c>
      <x:c r="J730" s="215" t="str">
        <x:v>Fresh flowers</x:v>
      </x:c>
      <x:c r="K730" s="215" t="str">
        <x:v>Some apparent extra petals are actually modified sterile or fertile stamens.</x:v>
      </x:c>
      <x:c r="L730" s="215" t="str">
        <x:v>Not all Loasaceae have strongly differentiated filaments.</x:v>
      </x:c>
      <x:c r="M730" s="215" t="str">
        <x:v>Use as a close-up genus and family support character.</x:v>
      </x:c>
      <x:c r="N730" s="215" t="str">
        <x:v>Mentzelia-type stickleaf plants are regionally plausible on dry, rocky, sandy, or disturbed sites; exact Hays taxa and vouchers require reconciliation.</x:v>
      </x:c>
      <x:c r="O730" s="215" t="str">
        <x:v>Low</x:v>
      </x:c>
      <x:c r="P730" s="215" t="str">
        <x:v>No</x:v>
      </x:c>
      <x:c r="Q730" s="215" t="str"/>
      <x:c r="R730" s="215" t="str"/>
      <x:c r="S730" s="215" t="str">
        <x:v>APWEB-LOAS; FNA-LOAS; POWO-LOAS; LBJ-HAYS</x:v>
      </x:c>
      <x:c r="T730" s="215" t="str">
        <x:v>https://www.mobot.org/MOBOT/research/APweb/orders/cornalesweb.htm</x:v>
      </x:c>
      <x:c r="U730" s="215" t="str">
        <x:v>https://www.efloras.org/florataxon.aspx?flora_id=1&amp;taxon_id=10513</x:v>
      </x:c>
      <x:c r="V730" s="215" t="str">
        <x:v>https://powo.science.kew.org/taxon/urn:lsid:ipni.org:names:30000160-2/general-information</x:v>
      </x:c>
      <x:c r="W730" s="215" t="str">
        <x:v>https://www.mobot.org/MOBOT/research/APweb/orders/cornalesweb.htm
https://www.efloras.org/florataxon.aspx?flora_id=1&amp;taxon_id=10513
https://powo.science.kew.org/taxon/urn:lsid:ipni.org:names:30000160-2/general-information
https://www.wildflower.org/collections/collection.php?collection=hays</x:v>
      </x:c>
      <x:c r="X730" s="215" t="str">
        <x:v>No — retain qualifiers and exceptions</x:v>
      </x:c>
      <x:c r="Y730" s="215" t="str">
        <x:v>Yes</x:v>
      </x:c>
      <x:c r="Z730" s="215" t="str">
        <x:v>Source-backed draft</x:v>
      </x:c>
      <x:c r="AA730" s="215" t="str">
        <x:v>Family pattern</x:v>
      </x:c>
      <x:c r="AB730" s="215" t="str">
        <x:v>Positive diagnostic</x:v>
      </x:c>
      <x:c r="AC730" s="215" t="str">
        <x:v>High</x:v>
      </x:c>
      <x:c r="AD730" s="215" t="str">
        <x:v>Hand lens / macro</x:v>
      </x:c>
      <x:c r="AE730" s="215" t="str">
        <x:v>Low</x:v>
      </x:c>
      <x:c r="AF730" s="215" t="str">
        <x:v>Field-ready draft</x:v>
      </x:c>
      <x:c r="AG730" s="215" t="str">
        <x:v>2 — Field-photo priority</x:v>
      </x:c>
      <x:c r="AH730" s="215" t="str">
        <x:v>Current master inventory</x:v>
      </x:c>
    </x:row>
    <x:row r="731" ht="42" customHeight="1">
      <x:c r="A731" s="215" t="str">
        <x:v>Loasaceae</x:v>
      </x:c>
      <x:c r="B731" s="215" t="str">
        <x:v>LOA-OVARY</x:v>
      </x:c>
      <x:c r="C731" s="215" t="str">
        <x:v>Family character</x:v>
      </x:c>
      <x:c r="D731" s="215" t="str">
        <x:v>Gynoecium</x:v>
      </x:c>
      <x:c r="E731" s="215" t="str">
        <x:v>Ovary usually inferior or partly inferior, commonly 3–5-carpellate with one style and a lobed stigma</x:v>
      </x:c>
      <x:c r="F731" s="215" t="str">
        <x:v>Strong</x:v>
      </x:c>
      <x:c r="G731" s="215" t="str">
        <x:v>4</x:v>
      </x:c>
      <x:c r="H731" s="215" t="str">
        <x:v>High</x:v>
      </x:c>
      <x:c r="I731" s="215" t="str">
        <x:v>Hand lens or dissection</x:v>
      </x:c>
      <x:c r="J731" s="215" t="str">
        <x:v>Fresh flowers or young fruit</x:v>
      </x:c>
      <x:c r="K731" s="215" t="str">
        <x:v>The floral cup is attached around or above the ovary.</x:v>
      </x:c>
      <x:c r="L731" s="215" t="str">
        <x:v>Ovary adnation and carpel number vary across subfamilies.</x:v>
      </x:c>
      <x:c r="M731" s="215" t="str">
        <x:v>Confirm by following the ovary into fruit.</x:v>
      </x:c>
      <x:c r="N731" s="215" t="str">
        <x:v>Mentzelia-type stickleaf plants are regionally plausible on dry, rocky, sandy, or disturbed sites; exact Hays taxa and vouchers require reconciliation.</x:v>
      </x:c>
      <x:c r="O731" s="215" t="str">
        <x:v>Low</x:v>
      </x:c>
      <x:c r="P731" s="215" t="str">
        <x:v>No</x:v>
      </x:c>
      <x:c r="Q731" s="215" t="str"/>
      <x:c r="R731" s="215" t="str">
        <x:v>LOA-LK01</x:v>
      </x:c>
      <x:c r="S731" s="215" t="str">
        <x:v>APWEB-LOAS; FNA-LOAS; POWO-LOAS; LBJ-HAYS</x:v>
      </x:c>
      <x:c r="T731" s="215" t="str">
        <x:v>https://www.mobot.org/MOBOT/research/APweb/orders/cornalesweb.htm</x:v>
      </x:c>
      <x:c r="U731" s="215" t="str">
        <x:v>https://www.efloras.org/florataxon.aspx?flora_id=1&amp;taxon_id=10513</x:v>
      </x:c>
      <x:c r="V731" s="215" t="str">
        <x:v>https://powo.science.kew.org/taxon/urn:lsid:ipni.org:names:30000160-2/general-information</x:v>
      </x:c>
      <x:c r="W731" s="215" t="str">
        <x:v>https://www.mobot.org/MOBOT/research/APweb/orders/cornalesweb.htm
https://www.efloras.org/florataxon.aspx?flora_id=1&amp;taxon_id=10513
https://powo.science.kew.org/taxon/urn:lsid:ipni.org:names:30000160-2/general-information
https://www.wildflower.org/collections/collection.php?collection=hays</x:v>
      </x:c>
      <x:c r="X731" s="215" t="str">
        <x:v>No — retain qualifiers and exceptions</x:v>
      </x:c>
      <x:c r="Y731" s="215" t="str">
        <x:v>Yes</x:v>
      </x:c>
      <x:c r="Z731" s="215" t="str">
        <x:v>Source-backed draft</x:v>
      </x:c>
      <x:c r="AA731" s="215" t="str">
        <x:v>Family pattern</x:v>
      </x:c>
      <x:c r="AB731" s="215" t="str">
        <x:v>Positive diagnostic</x:v>
      </x:c>
      <x:c r="AC731" s="215" t="str">
        <x:v>High</x:v>
      </x:c>
      <x:c r="AD731" s="215" t="str">
        <x:v>Dissection</x:v>
      </x:c>
      <x:c r="AE731" s="215" t="str">
        <x:v>Low</x:v>
      </x:c>
      <x:c r="AF731" s="215" t="str">
        <x:v>Dissection / close study</x:v>
      </x:c>
      <x:c r="AG731" s="215" t="str">
        <x:v>3 — Reference support</x:v>
      </x:c>
      <x:c r="AH731" s="215" t="str">
        <x:v>Current master inventory</x:v>
      </x:c>
    </x:row>
    <x:row r="732" ht="42" customHeight="1">
      <x:c r="A732" s="215" t="str">
        <x:v>Loasaceae</x:v>
      </x:c>
      <x:c r="B732" s="215" t="str">
        <x:v>LOA-FRUIT</x:v>
      </x:c>
      <x:c r="C732" s="215" t="str">
        <x:v>Family character</x:v>
      </x:c>
      <x:c r="D732" s="215" t="str">
        <x:v>Fruit / seeds</x:v>
      </x:c>
      <x:c r="E732" s="215" t="str">
        <x:v>Fruit usually a capsule opening by apical valves, less often a one-seeded cypsela; sepals or the whole perianth often persist</x:v>
      </x:c>
      <x:c r="F732" s="215" t="str">
        <x:v>Strong</x:v>
      </x:c>
      <x:c r="G732" s="215" t="str">
        <x:v>5</x:v>
      </x:c>
      <x:c r="H732" s="215" t="str">
        <x:v>High</x:v>
      </x:c>
      <x:c r="I732" s="215" t="str">
        <x:v>Naked eye or hand lens</x:v>
      </x:c>
      <x:c r="J732" s="215" t="str">
        <x:v>Mature fruit</x:v>
      </x:c>
      <x:c r="K732" s="215" t="str">
        <x:v>A rough plant produces a dry capsule capped by persistent floral parts.</x:v>
      </x:c>
      <x:c r="L732" s="215" t="str">
        <x:v>Fruit type differs sharply in Gronovioideae.</x:v>
      </x:c>
      <x:c r="M732" s="215" t="str">
        <x:v>Use mature fruit with hair architecture.</x:v>
      </x:c>
      <x:c r="N732" s="215" t="str">
        <x:v>Mentzelia-type stickleaf plants are regionally plausible on dry, rocky, sandy, or disturbed sites; exact Hays taxa and vouchers require reconciliation.</x:v>
      </x:c>
      <x:c r="O732" s="215" t="str">
        <x:v>Low</x:v>
      </x:c>
      <x:c r="P732" s="215" t="str">
        <x:v>No</x:v>
      </x:c>
      <x:c r="Q732" s="215" t="str"/>
      <x:c r="R732" s="215" t="str">
        <x:v>LOA-LK01; LOA-LK02</x:v>
      </x:c>
      <x:c r="S732" s="215" t="str">
        <x:v>APWEB-LOAS; FNA-LOAS; POWO-LOAS; LBJ-HAYS</x:v>
      </x:c>
      <x:c r="T732" s="215" t="str">
        <x:v>https://www.mobot.org/MOBOT/research/APweb/orders/cornalesweb.htm</x:v>
      </x:c>
      <x:c r="U732" s="215" t="str">
        <x:v>https://www.efloras.org/florataxon.aspx?flora_id=1&amp;taxon_id=10513</x:v>
      </x:c>
      <x:c r="V732" s="215" t="str">
        <x:v>https://powo.science.kew.org/taxon/urn:lsid:ipni.org:names:30000160-2/general-information</x:v>
      </x:c>
      <x:c r="W732" s="215" t="str">
        <x:v>https://www.mobot.org/MOBOT/research/APweb/orders/cornalesweb.htm
https://www.efloras.org/florataxon.aspx?flora_id=1&amp;taxon_id=10513
https://powo.science.kew.org/taxon/urn:lsid:ipni.org:names:30000160-2/general-information
https://www.wildflower.org/collections/collection.php?collection=hays</x:v>
      </x:c>
      <x:c r="X732" s="215" t="str">
        <x:v>No — retain qualifiers and exceptions</x:v>
      </x:c>
      <x:c r="Y732" s="215" t="str">
        <x:v>Yes</x:v>
      </x:c>
      <x:c r="Z732" s="215" t="str">
        <x:v>Source-backed draft</x:v>
      </x:c>
      <x:c r="AA732" s="215" t="str">
        <x:v>Family pattern</x:v>
      </x:c>
      <x:c r="AB732" s="215" t="str">
        <x:v>Positive diagnostic</x:v>
      </x:c>
      <x:c r="AC732" s="215" t="str">
        <x:v>High</x:v>
      </x:c>
      <x:c r="AD732" s="215" t="str">
        <x:v>Hand lens / macro</x:v>
      </x:c>
      <x:c r="AE732" s="215" t="str">
        <x:v>Low</x:v>
      </x:c>
      <x:c r="AF732" s="215" t="str">
        <x:v>Field-ready draft</x:v>
      </x:c>
      <x:c r="AG732" s="215" t="str">
        <x:v>2 — Field-photo priority</x:v>
      </x:c>
      <x:c r="AH732" s="215" t="str">
        <x:v>Current master inventory</x:v>
      </x:c>
    </x:row>
    <x:row r="733" ht="42" customHeight="1">
      <x:c r="A733" s="215" t="str">
        <x:v>Loasaceae</x:v>
      </x:c>
      <x:c r="B733" s="215" t="str">
        <x:v>LOA-LOCAL</x:v>
      </x:c>
      <x:c r="C733" s="215" t="str">
        <x:v>Local inventory reconciliation</x:v>
      </x:c>
      <x:c r="D733" s="215" t="str">
        <x:v>Local occurrence / inventory</x:v>
      </x:c>
      <x:c r="E733" s="215" t="str">
        <x:v>Exact Mentzelia or other Loasaceae taxa demonstrably present in Hays County remain to be reconciled against authoritative county vouchers</x:v>
      </x:c>
      <x:c r="F733" s="215" t="str">
        <x:v>Caution</x:v>
      </x:c>
      <x:c r="G733" s="215" t="str">
        <x:v>0</x:v>
      </x:c>
      <x:c r="H733" s="215" t="str">
        <x:v>High</x:v>
      </x:c>
      <x:c r="I733" s="215" t="str">
        <x:v>Not field-visible</x:v>
      </x:c>
      <x:c r="J733" s="215" t="str">
        <x:v>Any material</x:v>
      </x:c>
      <x:c r="K733" s="215" t="str">
        <x:v>Regional plausibility does not substitute for a Hays voucher.</x:v>
      </x:c>
      <x:c r="L733" s="215" t="str">
        <x:v>The family is well represented farther west and locally suitable habitats occur, but the county basis is not yet machine-auditable.</x:v>
      </x:c>
      <x:c r="M733" s="215" t="str">
        <x:v>Retain family characters while requiring explicit Hays occurrence confirmation.</x:v>
      </x:c>
      <x:c r="N733" s="215" t="str">
        <x:v>Mentzelia-type stickleaf plants are regionally plausible on dry, rocky, sandy, or disturbed sites; exact Hays taxa and vouchers require reconciliation.</x:v>
      </x:c>
      <x:c r="O733" s="215" t="str">
        <x:v>Medium</x:v>
      </x:c>
      <x:c r="P733" s="215" t="str">
        <x:v>Yes</x:v>
      </x:c>
      <x:c r="Q733" s="215" t="str">
        <x:v>Exact Hays County Loasaceae taxa and voucher basis require authoritative inventory reconciliation.</x:v>
      </x:c>
      <x:c r="R733" s="215" t="str"/>
      <x:c r="S733" s="215" t="str">
        <x:v>APWEB-LOAS; FNA-LOAS; POWO-LOAS; LBJ-HAYS</x:v>
      </x:c>
      <x:c r="T733" s="215" t="str">
        <x:v>https://www.mobot.org/MOBOT/research/APweb/orders/cornalesweb.htm</x:v>
      </x:c>
      <x:c r="U733" s="215" t="str">
        <x:v>https://www.efloras.org/florataxon.aspx?flora_id=1&amp;taxon_id=10513</x:v>
      </x:c>
      <x:c r="V733" s="215" t="str">
        <x:v>https://powo.science.kew.org/taxon/urn:lsid:ipni.org:names:30000160-2/general-information</x:v>
      </x:c>
      <x:c r="W733" s="215" t="str">
        <x:v>https://www.mobot.org/MOBOT/research/APweb/orders/cornalesweb.htm
https://www.efloras.org/florataxon.aspx?flora_id=1&amp;taxon_id=10513
https://powo.science.kew.org/taxon/urn:lsid:ipni.org:names:30000160-2/general-information
https://www.wildflower.org/collections/collection.php?collection=hays</x:v>
      </x:c>
      <x:c r="X733" s="215" t="str">
        <x:v>No — retain qualifiers and exceptions</x:v>
      </x:c>
      <x:c r="Y733" s="215" t="str">
        <x:v>Yes</x:v>
      </x:c>
      <x:c r="Z733" s="215" t="str">
        <x:v>Human review required</x:v>
      </x:c>
      <x:c r="AA733" s="215" t="str">
        <x:v>Other qualified pattern</x:v>
      </x:c>
      <x:c r="AB733" s="215" t="str">
        <x:v>Caution / negative rule</x:v>
      </x:c>
      <x:c r="AC733" s="215" t="str">
        <x:v>High</x:v>
      </x:c>
      <x:c r="AD733" s="215" t="str">
        <x:v>Reference / method</x:v>
      </x:c>
      <x:c r="AE733" s="215" t="str">
        <x:v>Moderate</x:v>
      </x:c>
      <x:c r="AF733" s="215" t="str">
        <x:v>Use only after review</x:v>
      </x:c>
      <x:c r="AG733" s="215" t="str">
        <x:v>1 — Human review now</x:v>
      </x:c>
      <x:c r="AH733" s="215" t="str">
        <x:v>Current master inventory</x:v>
      </x:c>
    </x:row>
    <x:row r="734" ht="42" customHeight="1">
      <x:c r="A734" s="215" t="str">
        <x:v>Loasaceae</x:v>
      </x:c>
      <x:c r="B734" s="215" t="str">
        <x:v>LOA-LK01</x:v>
      </x:c>
      <x:c r="C734" s="215" t="str">
        <x:v>Lookalike comparison</x:v>
      </x:c>
      <x:c r="D734" s="215" t="str">
        <x:v>Lookalike</x:v>
      </x:c>
      <x:c r="E734" s="215" t="str">
        <x:v>Versus Hydrangeaceae: herbaceous plants with barbed or stinging hairs and often numerous differentiated stamens favor Loasaceae; woody plants with opposite leaves and showy sterile marginal flowers favor many Hydrangeaceae</x:v>
      </x:c>
      <x:c r="F734" s="215" t="str">
        <x:v>Lookalike</x:v>
      </x:c>
      <x:c r="G734" s="215" t="str">
        <x:v>5</x:v>
      </x:c>
      <x:c r="H734" s="215" t="str">
        <x:v>High</x:v>
      </x:c>
      <x:c r="I734" s="215" t="str">
        <x:v>Naked eye or hand lens</x:v>
      </x:c>
      <x:c r="J734" s="215" t="str">
        <x:v>Flowering or fruiting material</x:v>
      </x:c>
      <x:c r="K734" s="215" t="str">
        <x:v>The families are close relatives and share inferior ovaries and capsular fruits.</x:v>
      </x:c>
      <x:c r="L734" s="215" t="str">
        <x:v>Hydrangeaceae includes herbs and Loasaceae includes woody forms globally.</x:v>
      </x:c>
      <x:c r="M734" s="215" t="str">
        <x:v>Prioritize hair architecture and local habit, then floral details.</x:v>
      </x:c>
      <x:c r="N734" s="215" t="str">
        <x:v>Mentzelia-type stickleaf plants are regionally plausible on dry, rocky, sandy, or disturbed sites; exact Hays taxa and vouchers require reconciliation.</x:v>
      </x:c>
      <x:c r="O734" s="215" t="str">
        <x:v>Low</x:v>
      </x:c>
      <x:c r="P734" s="215" t="str">
        <x:v>No</x:v>
      </x:c>
      <x:c r="Q734" s="215" t="str"/>
      <x:c r="R734" s="215" t="str">
        <x:v>LOA-HAIRS; LOA-STAMENS; LOA-OVARY; LOA-FRUIT</x:v>
      </x:c>
      <x:c r="S734" s="215" t="str">
        <x:v>APWEB-LOAS; FNA-LOAS; POWO-LOAS; LBJ-HAYS</x:v>
      </x:c>
      <x:c r="T734" s="215" t="str">
        <x:v>https://www.mobot.org/MOBOT/research/APweb/orders/cornalesweb.htm</x:v>
      </x:c>
      <x:c r="U734" s="215" t="str">
        <x:v>https://www.efloras.org/florataxon.aspx?flora_id=1&amp;taxon_id=10513</x:v>
      </x:c>
      <x:c r="V734" s="215" t="str">
        <x:v>https://powo.science.kew.org/taxon/urn:lsid:ipni.org:names:30000160-2/general-information</x:v>
      </x:c>
      <x:c r="W734" s="215" t="str">
        <x:v>https://www.mobot.org/MOBOT/research/APweb/orders/cornalesweb.htm
https://www.efloras.org/florataxon.aspx?flora_id=1&amp;taxon_id=10513
https://powo.science.kew.org/taxon/urn:lsid:ipni.org:names:30000160-2/general-information
https://www.wildflower.org/collections/collection.php?collection=hays</x:v>
      </x:c>
      <x:c r="X734" s="215" t="str">
        <x:v>No — retain qualifiers and exceptions</x:v>
      </x:c>
      <x:c r="Y734" s="215" t="str">
        <x:v>Yes</x:v>
      </x:c>
      <x:c r="Z734" s="215" t="str">
        <x:v>Source-backed draft</x:v>
      </x:c>
      <x:c r="AA734" s="215" t="str">
        <x:v>Lookalike comparison</x:v>
      </x:c>
      <x:c r="AB734" s="215" t="str">
        <x:v>Contrast / lookalike</x:v>
      </x:c>
      <x:c r="AC734" s="215" t="str">
        <x:v>High</x:v>
      </x:c>
      <x:c r="AD734" s="215" t="str">
        <x:v>Hand lens / macro</x:v>
      </x:c>
      <x:c r="AE734" s="215" t="str">
        <x:v>Low</x:v>
      </x:c>
      <x:c r="AF734" s="215" t="str">
        <x:v>Field-ready draft</x:v>
      </x:c>
      <x:c r="AG734" s="215" t="str">
        <x:v>2 — Field-photo priority</x:v>
      </x:c>
      <x:c r="AH734" s="215" t="str">
        <x:v>Current master inventory</x:v>
      </x:c>
    </x:row>
    <x:row r="735" ht="42" customHeight="1">
      <x:c r="A735" s="215" t="str">
        <x:v>Loasaceae</x:v>
      </x:c>
      <x:c r="B735" s="215" t="str">
        <x:v>LOA-LK02</x:v>
      </x:c>
      <x:c r="C735" s="215" t="str">
        <x:v>Lookalike comparison</x:v>
      </x:c>
      <x:c r="D735" s="215" t="str">
        <x:v>Lookalike</x:v>
      </x:c>
      <x:c r="E735" s="215" t="str">
        <x:v>Versus Boraginaceae: barbed stickleaf hairs plus a 3–5-carpellate inferior ovary and capsule favor Loasaceae; scorpioid cymes and a deeply 4-lobed superior ovary producing four nutlets favor many Boraginaceae</x:v>
      </x:c>
      <x:c r="F735" s="215" t="str">
        <x:v>Lookalike</x:v>
      </x:c>
      <x:c r="G735" s="215" t="str">
        <x:v>5</x:v>
      </x:c>
      <x:c r="H735" s="215" t="str">
        <x:v>High</x:v>
      </x:c>
      <x:c r="I735" s="215" t="str">
        <x:v>Naked eye or hand lens</x:v>
      </x:c>
      <x:c r="J735" s="215" t="str">
        <x:v>Flowering or fruiting material</x:v>
      </x:c>
      <x:c r="K735" s="215" t="str">
        <x:v>Both can be very rough, bristly herbs.</x:v>
      </x:c>
      <x:c r="L735" s="215" t="str">
        <x:v>Boraginaceae fruit and ovary characters vary under broad family concepts.</x:v>
      </x:c>
      <x:c r="M735" s="215" t="str">
        <x:v>Use ovary position and mature fruit rather than roughness alone.</x:v>
      </x:c>
      <x:c r="N735" s="215" t="str">
        <x:v>Mentzelia-type stickleaf plants are regionally plausible on dry, rocky, sandy, or disturbed sites; exact Hays taxa and vouchers require reconciliation.</x:v>
      </x:c>
      <x:c r="O735" s="215" t="str">
        <x:v>Low</x:v>
      </x:c>
      <x:c r="P735" s="215" t="str">
        <x:v>No</x:v>
      </x:c>
      <x:c r="Q735" s="215" t="str"/>
      <x:c r="R735" s="215" t="str">
        <x:v>LOA-HAIRS; LOA-FLOWER; LOA-OVARY; LOA-FRUIT</x:v>
      </x:c>
      <x:c r="S735" s="215" t="str">
        <x:v>APWEB-LOAS; FNA-LOAS; POWO-LOAS; LBJ-HAYS</x:v>
      </x:c>
      <x:c r="T735" s="215" t="str">
        <x:v>https://www.mobot.org/MOBOT/research/APweb/orders/cornalesweb.htm</x:v>
      </x:c>
      <x:c r="U735" s="215" t="str">
        <x:v>https://www.efloras.org/florataxon.aspx?flora_id=1&amp;taxon_id=10513</x:v>
      </x:c>
      <x:c r="V735" s="215" t="str">
        <x:v>https://powo.science.kew.org/taxon/urn:lsid:ipni.org:names:30000160-2/general-information</x:v>
      </x:c>
      <x:c r="W735" s="215" t="str">
        <x:v>https://www.mobot.org/MOBOT/research/APweb/orders/cornalesweb.htm
https://www.efloras.org/florataxon.aspx?flora_id=1&amp;taxon_id=10513
https://powo.science.kew.org/taxon/urn:lsid:ipni.org:names:30000160-2/general-information
https://www.wildflower.org/collections/collection.php?collection=hays</x:v>
      </x:c>
      <x:c r="X735" s="215" t="str">
        <x:v>No — retain qualifiers and exceptions</x:v>
      </x:c>
      <x:c r="Y735" s="215" t="str">
        <x:v>Yes</x:v>
      </x:c>
      <x:c r="Z735" s="215" t="str">
        <x:v>Source-backed draft</x:v>
      </x:c>
      <x:c r="AA735" s="215" t="str">
        <x:v>Lookalike comparison</x:v>
      </x:c>
      <x:c r="AB735" s="215" t="str">
        <x:v>Contrast / lookalike</x:v>
      </x:c>
      <x:c r="AC735" s="215" t="str">
        <x:v>High</x:v>
      </x:c>
      <x:c r="AD735" s="215" t="str">
        <x:v>Hand lens / macro</x:v>
      </x:c>
      <x:c r="AE735" s="215" t="str">
        <x:v>Low</x:v>
      </x:c>
      <x:c r="AF735" s="215" t="str">
        <x:v>Field-ready draft</x:v>
      </x:c>
      <x:c r="AG735" s="215" t="str">
        <x:v>2 — Field-photo priority</x:v>
      </x:c>
      <x:c r="AH735" s="215" t="str">
        <x:v>Current master inventory</x:v>
      </x:c>
    </x:row>
    <x:row r="736" ht="42" customHeight="1">
      <x:c r="A736" s="215" t="str">
        <x:v>Portulacaceae</x:v>
      </x:c>
      <x:c r="B736" s="215" t="str">
        <x:v>POR-HABIT</x:v>
      </x:c>
      <x:c r="C736" s="215" t="str">
        <x:v>Family character</x:v>
      </x:c>
      <x:c r="D736" s="215" t="str">
        <x:v>Habit</x:v>
      </x:c>
      <x:c r="E736" s="215" t="str">
        <x:v>Succulent annual or perennial herbs, occasionally subshrubs, often prostrate or spreading</x:v>
      </x:c>
      <x:c r="F736" s="215" t="str">
        <x:v>Strong</x:v>
      </x:c>
      <x:c r="G736" s="215" t="str">
        <x:v>3</x:v>
      </x:c>
      <x:c r="H736" s="215" t="str">
        <x:v>High</x:v>
      </x:c>
      <x:c r="I736" s="215" t="str">
        <x:v>Naked eye</x:v>
      </x:c>
      <x:c r="J736" s="215" t="str">
        <x:v>Active growth</x:v>
      </x:c>
      <x:c r="K736" s="215" t="str">
        <x:v>Purslanes are fleshy herbs adapted to open or seasonally dry ground.</x:v>
      </x:c>
      <x:c r="L736" s="215" t="str">
        <x:v>Succulence and posture vary.</x:v>
      </x:c>
      <x:c r="M736" s="215" t="str">
        <x:v>Use with the two-part outer floral covering and capsule.</x:v>
      </x:c>
      <x:c r="N736" s="215" t="str">
        <x:v>Native and introduced Portulaca occur in Hays and surrounding Central Texas on open, rocky, sandy, and disturbed ground.</x:v>
      </x:c>
      <x:c r="O736" s="215" t="str">
        <x:v>Low</x:v>
      </x:c>
      <x:c r="P736" s="215" t="str">
        <x:v>No</x:v>
      </x:c>
      <x:c r="Q736" s="215" t="str"/>
      <x:c r="R736" s="215" t="str">
        <x:v>POR-LK01; POR-LK02</x:v>
      </x:c>
      <x:c r="S736" s="215" t="str">
        <x:v>APWEB-PORT; FNA-PORT; POWO-PORT; LBJ-HAYS</x:v>
      </x:c>
      <x:c r="T736" s="215" t="str">
        <x:v>https://www.mobot.org/MOBOT/research/APweb/orders/caryophyllalesweb.htm</x:v>
      </x:c>
      <x:c r="U736" s="215" t="str">
        <x:v>https://floranorthamerica.org/Portulacaceae</x:v>
      </x:c>
      <x:c r="V736" s="215" t="str">
        <x:v>https://powo.science.kew.org/taxon/urn:lsid:ipni.org:names:30000177-2/general-information</x:v>
      </x:c>
      <x:c r="W736" s="215" t="str">
        <x:v>https://www.mobot.org/MOBOT/research/APweb/orders/caryophyllalesweb.htm
https://floranorthamerica.org/Portulacaceae
https://powo.science.kew.org/taxon/urn:lsid:ipni.org:names:30000177-2/general-information
https://www.wildflower.org/collections/collection.php?collection=hays</x:v>
      </x:c>
      <x:c r="X736" s="215" t="str">
        <x:v>No — retain qualifiers and exceptions</x:v>
      </x:c>
      <x:c r="Y736" s="215" t="str">
        <x:v>Yes</x:v>
      </x:c>
      <x:c r="Z736" s="215" t="str">
        <x:v>Source-backed draft</x:v>
      </x:c>
      <x:c r="AA736" s="215" t="str">
        <x:v>Family pattern</x:v>
      </x:c>
      <x:c r="AB736" s="215" t="str">
        <x:v>Positive diagnostic</x:v>
      </x:c>
      <x:c r="AC736" s="215" t="str">
        <x:v>High</x:v>
      </x:c>
      <x:c r="AD736" s="215" t="str">
        <x:v>Naked eye / field</x:v>
      </x:c>
      <x:c r="AE736" s="215" t="str">
        <x:v>Low</x:v>
      </x:c>
      <x:c r="AF736" s="215" t="str">
        <x:v>Field-ready draft</x:v>
      </x:c>
      <x:c r="AG736" s="215" t="str">
        <x:v>3 — Reference support</x:v>
      </x:c>
      <x:c r="AH736" s="215" t="str">
        <x:v>Current master inventory</x:v>
      </x:c>
    </x:row>
    <x:row r="737" ht="42" customHeight="1">
      <x:c r="A737" s="215" t="str">
        <x:v>Portulacaceae</x:v>
      </x:c>
      <x:c r="B737" s="215" t="str">
        <x:v>POR-LEAVES</x:v>
      </x:c>
      <x:c r="C737" s="215" t="str">
        <x:v>Family character</x:v>
      </x:c>
      <x:c r="D737" s="215" t="str">
        <x:v>Leaves / stipules</x:v>
      </x:c>
      <x:c r="E737" s="215" t="str">
        <x:v>Leaves simple, entire, fleshy, alternate, opposite, or clustered; stipules absent but axillary hairs may be present</x:v>
      </x:c>
      <x:c r="F737" s="215" t="str">
        <x:v>Strong</x:v>
      </x:c>
      <x:c r="G737" s="215" t="str">
        <x:v>4</x:v>
      </x:c>
      <x:c r="H737" s="215" t="str">
        <x:v>High</x:v>
      </x:c>
      <x:c r="I737" s="215" t="str">
        <x:v>Naked eye or hand lens</x:v>
      </x:c>
      <x:c r="J737" s="215" t="str">
        <x:v>Mature leafy shoots</x:v>
      </x:c>
      <x:c r="K737" s="215" t="str">
        <x:v>Smooth entire succulent leaves fit Portulaca, sometimes with a tuft of hairs at the node.</x:v>
      </x:c>
      <x:c r="L737" s="215" t="str">
        <x:v>Arrangement and hair presence vary among species.</x:v>
      </x:c>
      <x:c r="M737" s="215" t="str">
        <x:v>Combine node structure with flowers and fruit.</x:v>
      </x:c>
      <x:c r="N737" s="215" t="str">
        <x:v>Native and introduced Portulaca occur in Hays and surrounding Central Texas on open, rocky, sandy, and disturbed ground.</x:v>
      </x:c>
      <x:c r="O737" s="215" t="str">
        <x:v>Low</x:v>
      </x:c>
      <x:c r="P737" s="215" t="str">
        <x:v>No</x:v>
      </x:c>
      <x:c r="Q737" s="215" t="str"/>
      <x:c r="R737" s="215" t="str">
        <x:v>POR-LK01; POR-LK02</x:v>
      </x:c>
      <x:c r="S737" s="215" t="str">
        <x:v>APWEB-PORT; FNA-PORT; POWO-PORT; LBJ-HAYS</x:v>
      </x:c>
      <x:c r="T737" s="215" t="str">
        <x:v>https://www.mobot.org/MOBOT/research/APweb/orders/caryophyllalesweb.htm</x:v>
      </x:c>
      <x:c r="U737" s="215" t="str">
        <x:v>https://floranorthamerica.org/Portulacaceae</x:v>
      </x:c>
      <x:c r="V737" s="215" t="str">
        <x:v>https://powo.science.kew.org/taxon/urn:lsid:ipni.org:names:30000177-2/general-information</x:v>
      </x:c>
      <x:c r="W737" s="215" t="str">
        <x:v>https://www.mobot.org/MOBOT/research/APweb/orders/caryophyllalesweb.htm
https://floranorthamerica.org/Portulacaceae
https://powo.science.kew.org/taxon/urn:lsid:ipni.org:names:30000177-2/general-information
https://www.wildflower.org/collections/collection.php?collection=hays</x:v>
      </x:c>
      <x:c r="X737" s="215" t="str">
        <x:v>No — retain qualifiers and exceptions</x:v>
      </x:c>
      <x:c r="Y737" s="215" t="str">
        <x:v>Yes</x:v>
      </x:c>
      <x:c r="Z737" s="215" t="str">
        <x:v>Source-backed draft</x:v>
      </x:c>
      <x:c r="AA737" s="215" t="str">
        <x:v>Family pattern</x:v>
      </x:c>
      <x:c r="AB737" s="215" t="str">
        <x:v>Positive diagnostic</x:v>
      </x:c>
      <x:c r="AC737" s="215" t="str">
        <x:v>High</x:v>
      </x:c>
      <x:c r="AD737" s="215" t="str">
        <x:v>Hand lens / macro</x:v>
      </x:c>
      <x:c r="AE737" s="215" t="str">
        <x:v>Low</x:v>
      </x:c>
      <x:c r="AF737" s="215" t="str">
        <x:v>Field-ready draft</x:v>
      </x:c>
      <x:c r="AG737" s="215" t="str">
        <x:v>2 — Field-photo priority</x:v>
      </x:c>
      <x:c r="AH737" s="215" t="str">
        <x:v>Current master inventory</x:v>
      </x:c>
    </x:row>
    <x:row r="738" ht="42" customHeight="1">
      <x:c r="A738" s="215" t="str">
        <x:v>Portulacaceae</x:v>
      </x:c>
      <x:c r="B738" s="215" t="str">
        <x:v>POR-HAIRS</x:v>
      </x:c>
      <x:c r="C738" s="215" t="str">
        <x:v>Family character</x:v>
      </x:c>
      <x:c r="D738" s="215" t="str">
        <x:v>Axillary hairs</x:v>
      </x:c>
      <x:c r="E738" s="215" t="str">
        <x:v>Tufts of hairs may occur in leaf axils, ranging from sparse to conspicuous</x:v>
      </x:c>
      <x:c r="F738" s="215" t="str">
        <x:v>Supporting</x:v>
      </x:c>
      <x:c r="G738" s="215" t="str">
        <x:v>3</x:v>
      </x:c>
      <x:c r="H738" s="215" t="str">
        <x:v>High</x:v>
      </x:c>
      <x:c r="I738" s="215" t="str">
        <x:v>Hand lens</x:v>
      </x:c>
      <x:c r="J738" s="215" t="str">
        <x:v>Fresh nodes</x:v>
      </x:c>
      <x:c r="K738" s="215" t="str">
        <x:v>Hairy nodes can strongly support some purslanes.</x:v>
      </x:c>
      <x:c r="L738" s="215" t="str">
        <x:v>Many species are glabrous or only sparsely hairy.</x:v>
      </x:c>
      <x:c r="M738" s="215" t="str">
        <x:v>Absence must remain unknown, not negative.</x:v>
      </x:c>
      <x:c r="N738" s="215" t="str">
        <x:v>Native and introduced Portulaca occur in Hays and surrounding Central Texas on open, rocky, sandy, and disturbed ground.</x:v>
      </x:c>
      <x:c r="O738" s="215" t="str">
        <x:v>Low</x:v>
      </x:c>
      <x:c r="P738" s="215" t="str">
        <x:v>No</x:v>
      </x:c>
      <x:c r="Q738" s="215" t="str"/>
      <x:c r="R738" s="215" t="str"/>
      <x:c r="S738" s="215" t="str">
        <x:v>APWEB-PORT; FNA-PORT; POWO-PORT; LBJ-HAYS</x:v>
      </x:c>
      <x:c r="T738" s="215" t="str">
        <x:v>https://www.mobot.org/MOBOT/research/APweb/orders/caryophyllalesweb.htm</x:v>
      </x:c>
      <x:c r="U738" s="215" t="str">
        <x:v>https://floranorthamerica.org/Portulacaceae</x:v>
      </x:c>
      <x:c r="V738" s="215" t="str">
        <x:v>https://powo.science.kew.org/taxon/urn:lsid:ipni.org:names:30000177-2/general-information</x:v>
      </x:c>
      <x:c r="W738" s="215" t="str">
        <x:v>https://www.mobot.org/MOBOT/research/APweb/orders/caryophyllalesweb.htm
https://floranorthamerica.org/Portulacaceae
https://powo.science.kew.org/taxon/urn:lsid:ipni.org:names:30000177-2/general-information
https://www.wildflower.org/collections/collection.php?collection=hays</x:v>
      </x:c>
      <x:c r="X738" s="215" t="str">
        <x:v>No — retain qualifiers and exceptions</x:v>
      </x:c>
      <x:c r="Y738" s="215" t="str">
        <x:v>Yes</x:v>
      </x:c>
      <x:c r="Z738" s="215" t="str">
        <x:v>Source-backed draft</x:v>
      </x:c>
      <x:c r="AA738" s="215" t="str">
        <x:v>Family pattern</x:v>
      </x:c>
      <x:c r="AB738" s="215" t="str">
        <x:v>Supporting / route</x:v>
      </x:c>
      <x:c r="AC738" s="215" t="str">
        <x:v>High</x:v>
      </x:c>
      <x:c r="AD738" s="215" t="str">
        <x:v>Hand lens / macro</x:v>
      </x:c>
      <x:c r="AE738" s="215" t="str">
        <x:v>Low</x:v>
      </x:c>
      <x:c r="AF738" s="215" t="str">
        <x:v>Field-ready draft</x:v>
      </x:c>
      <x:c r="AG738" s="215" t="str">
        <x:v>3 — Reference support</x:v>
      </x:c>
      <x:c r="AH738" s="215" t="str">
        <x:v>Current master inventory</x:v>
      </x:c>
    </x:row>
    <x:row r="739" ht="42" customHeight="1">
      <x:c r="A739" s="215" t="str">
        <x:v>Portulacaceae</x:v>
      </x:c>
      <x:c r="B739" s="215" t="str">
        <x:v>POR-FLOWER</x:v>
      </x:c>
      <x:c r="C739" s="215" t="str">
        <x:v>Family character</x:v>
      </x:c>
      <x:c r="D739" s="215" t="str">
        <x:v>Flowers</x:v>
      </x:c>
      <x:c r="E739" s="215" t="str">
        <x:v>Flowers bisexual, radially symmetric, often short-lived and opening in bright light</x:v>
      </x:c>
      <x:c r="F739" s="215" t="str">
        <x:v>Strong</x:v>
      </x:c>
      <x:c r="G739" s="215" t="str">
        <x:v>3</x:v>
      </x:c>
      <x:c r="H739" s="215" t="str">
        <x:v>High</x:v>
      </x:c>
      <x:c r="I739" s="215" t="str">
        <x:v>Naked eye</x:v>
      </x:c>
      <x:c r="J739" s="215" t="str">
        <x:v>Fresh open flowers</x:v>
      </x:c>
      <x:c r="K739" s="215" t="str">
        <x:v>Purslane flowers may close quickly when light or moisture changes.</x:v>
      </x:c>
      <x:c r="L739" s="215" t="str">
        <x:v>Opening behavior is weather-dependent and not universal.</x:v>
      </x:c>
      <x:c r="M739" s="215" t="str">
        <x:v>Use structure, not opening time, for identification.</x:v>
      </x:c>
      <x:c r="N739" s="215" t="str">
        <x:v>Native and introduced Portulaca occur in Hays and surrounding Central Texas on open, rocky, sandy, and disturbed ground.</x:v>
      </x:c>
      <x:c r="O739" s="215" t="str">
        <x:v>Low</x:v>
      </x:c>
      <x:c r="P739" s="215" t="str">
        <x:v>No</x:v>
      </x:c>
      <x:c r="Q739" s="215" t="str"/>
      <x:c r="R739" s="215" t="str">
        <x:v>POR-LK01; POR-LK02</x:v>
      </x:c>
      <x:c r="S739" s="215" t="str">
        <x:v>APWEB-PORT; FNA-PORT; POWO-PORT; LBJ-HAYS</x:v>
      </x:c>
      <x:c r="T739" s="215" t="str">
        <x:v>https://www.mobot.org/MOBOT/research/APweb/orders/caryophyllalesweb.htm</x:v>
      </x:c>
      <x:c r="U739" s="215" t="str">
        <x:v>https://floranorthamerica.org/Portulacaceae</x:v>
      </x:c>
      <x:c r="V739" s="215" t="str">
        <x:v>https://powo.science.kew.org/taxon/urn:lsid:ipni.org:names:30000177-2/general-information</x:v>
      </x:c>
      <x:c r="W739" s="215" t="str">
        <x:v>https://www.mobot.org/MOBOT/research/APweb/orders/caryophyllalesweb.htm
https://floranorthamerica.org/Portulacaceae
https://powo.science.kew.org/taxon/urn:lsid:ipni.org:names:30000177-2/general-information
https://www.wildflower.org/collections/collection.php?collection=hays</x:v>
      </x:c>
      <x:c r="X739" s="215" t="str">
        <x:v>No — retain qualifiers and exceptions</x:v>
      </x:c>
      <x:c r="Y739" s="215" t="str">
        <x:v>Yes</x:v>
      </x:c>
      <x:c r="Z739" s="215" t="str">
        <x:v>Source-backed draft</x:v>
      </x:c>
      <x:c r="AA739" s="215" t="str">
        <x:v>Family pattern</x:v>
      </x:c>
      <x:c r="AB739" s="215" t="str">
        <x:v>Positive diagnostic</x:v>
      </x:c>
      <x:c r="AC739" s="215" t="str">
        <x:v>High</x:v>
      </x:c>
      <x:c r="AD739" s="215" t="str">
        <x:v>Naked eye / field</x:v>
      </x:c>
      <x:c r="AE739" s="215" t="str">
        <x:v>Low</x:v>
      </x:c>
      <x:c r="AF739" s="215" t="str">
        <x:v>Field-ready draft</x:v>
      </x:c>
      <x:c r="AG739" s="215" t="str">
        <x:v>3 — Reference support</x:v>
      </x:c>
      <x:c r="AH739" s="215" t="str">
        <x:v>Current master inventory</x:v>
      </x:c>
    </x:row>
    <x:row r="740" ht="42" customHeight="1">
      <x:c r="A740" s="215" t="str">
        <x:v>Portulacaceae</x:v>
      </x:c>
      <x:c r="B740" s="215" t="str">
        <x:v>POR-PERIANTH</x:v>
      </x:c>
      <x:c r="C740" s="215" t="str">
        <x:v>Family character</x:v>
      </x:c>
      <x:c r="D740" s="215" t="str">
        <x:v>Flowers / perianth</x:v>
      </x:c>
      <x:c r="E740" s="215" t="str">
        <x:v>Two outer sepal-like structures surround 4–6, commonly 5, brightly colored petals</x:v>
      </x:c>
      <x:c r="F740" s="215" t="str">
        <x:v>Strong</x:v>
      </x:c>
      <x:c r="G740" s="215" t="str">
        <x:v>5</x:v>
      </x:c>
      <x:c r="H740" s="215" t="str">
        <x:v>High</x:v>
      </x:c>
      <x:c r="I740" s="215" t="str">
        <x:v>Naked eye or hand lens</x:v>
      </x:c>
      <x:c r="J740" s="215" t="str">
        <x:v>Fresh flowers</x:v>
      </x:c>
      <x:c r="K740" s="215" t="str">
        <x:v>The flower usually has two green outer pieces and five colored petals.</x:v>
      </x:c>
      <x:c r="L740" s="215" t="str">
        <x:v>Interpretation as sepals versus bracteoles is morphologically debated, and counts vary.</x:v>
      </x:c>
      <x:c r="M740" s="215" t="str">
        <x:v>Record visible parts without overclaiming homology.</x:v>
      </x:c>
      <x:c r="N740" s="215" t="str">
        <x:v>Native and introduced Portulaca occur in Hays and surrounding Central Texas on open, rocky, sandy, and disturbed ground.</x:v>
      </x:c>
      <x:c r="O740" s="215" t="str">
        <x:v>Low</x:v>
      </x:c>
      <x:c r="P740" s="215" t="str">
        <x:v>No</x:v>
      </x:c>
      <x:c r="Q740" s="215" t="str"/>
      <x:c r="R740" s="215" t="str">
        <x:v>POR-LK01; POR-LK02</x:v>
      </x:c>
      <x:c r="S740" s="215" t="str">
        <x:v>APWEB-PORT; FNA-PORT; POWO-PORT; LBJ-HAYS</x:v>
      </x:c>
      <x:c r="T740" s="215" t="str">
        <x:v>https://www.mobot.org/MOBOT/research/APweb/orders/caryophyllalesweb.htm</x:v>
      </x:c>
      <x:c r="U740" s="215" t="str">
        <x:v>https://floranorthamerica.org/Portulacaceae</x:v>
      </x:c>
      <x:c r="V740" s="215" t="str">
        <x:v>https://powo.science.kew.org/taxon/urn:lsid:ipni.org:names:30000177-2/general-information</x:v>
      </x:c>
      <x:c r="W740" s="215" t="str">
        <x:v>https://www.mobot.org/MOBOT/research/APweb/orders/caryophyllalesweb.htm
https://floranorthamerica.org/Portulacaceae
https://powo.science.kew.org/taxon/urn:lsid:ipni.org:names:30000177-2/general-information
https://www.wildflower.org/collections/collection.php?collection=hays</x:v>
      </x:c>
      <x:c r="X740" s="215" t="str">
        <x:v>No — retain qualifiers and exceptions</x:v>
      </x:c>
      <x:c r="Y740" s="215" t="str">
        <x:v>Yes</x:v>
      </x:c>
      <x:c r="Z740" s="215" t="str">
        <x:v>Source-backed draft</x:v>
      </x:c>
      <x:c r="AA740" s="215" t="str">
        <x:v>Family pattern</x:v>
      </x:c>
      <x:c r="AB740" s="215" t="str">
        <x:v>Positive diagnostic</x:v>
      </x:c>
      <x:c r="AC740" s="215" t="str">
        <x:v>High</x:v>
      </x:c>
      <x:c r="AD740" s="215" t="str">
        <x:v>Hand lens / macro</x:v>
      </x:c>
      <x:c r="AE740" s="215" t="str">
        <x:v>Low</x:v>
      </x:c>
      <x:c r="AF740" s="215" t="str">
        <x:v>Field-ready draft</x:v>
      </x:c>
      <x:c r="AG740" s="215" t="str">
        <x:v>2 — Field-photo priority</x:v>
      </x:c>
      <x:c r="AH740" s="215" t="str">
        <x:v>Current master inventory</x:v>
      </x:c>
    </x:row>
    <x:row r="741" ht="42" customHeight="1">
      <x:c r="A741" s="215" t="str">
        <x:v>Portulacaceae</x:v>
      </x:c>
      <x:c r="B741" s="215" t="str">
        <x:v>POR-STAMENS</x:v>
      </x:c>
      <x:c r="C741" s="215" t="str">
        <x:v>Family character</x:v>
      </x:c>
      <x:c r="D741" s="215" t="str">
        <x:v>Stamens</x:v>
      </x:c>
      <x:c r="E741" s="215" t="str">
        <x:v>Stamens may be 4 to numerous, often sensitive to touch in open flowers</x:v>
      </x:c>
      <x:c r="F741" s="215" t="str">
        <x:v>Strong</x:v>
      </x:c>
      <x:c r="G741" s="215" t="str">
        <x:v>3</x:v>
      </x:c>
      <x:c r="H741" s="215" t="str">
        <x:v>High</x:v>
      </x:c>
      <x:c r="I741" s="215" t="str">
        <x:v>Naked eye or hand lens</x:v>
      </x:c>
      <x:c r="J741" s="215" t="str">
        <x:v>Fresh open flowers</x:v>
      </x:c>
      <x:c r="K741" s="215" t="str">
        <x:v>The flower center can contain many stamens.</x:v>
      </x:c>
      <x:c r="L741" s="215" t="str">
        <x:v>Stamen number varies widely and movement is not a safe diagnostic test.</x:v>
      </x:c>
      <x:c r="M741" s="215" t="str">
        <x:v>Count visually without touching.</x:v>
      </x:c>
      <x:c r="N741" s="215" t="str">
        <x:v>Native and introduced Portulaca occur in Hays and surrounding Central Texas on open, rocky, sandy, and disturbed ground.</x:v>
      </x:c>
      <x:c r="O741" s="215" t="str">
        <x:v>Low</x:v>
      </x:c>
      <x:c r="P741" s="215" t="str">
        <x:v>No</x:v>
      </x:c>
      <x:c r="Q741" s="215" t="str"/>
      <x:c r="R741" s="215" t="str"/>
      <x:c r="S741" s="215" t="str">
        <x:v>APWEB-PORT; FNA-PORT; POWO-PORT; LBJ-HAYS</x:v>
      </x:c>
      <x:c r="T741" s="215" t="str">
        <x:v>https://www.mobot.org/MOBOT/research/APweb/orders/caryophyllalesweb.htm</x:v>
      </x:c>
      <x:c r="U741" s="215" t="str">
        <x:v>https://floranorthamerica.org/Portulacaceae</x:v>
      </x:c>
      <x:c r="V741" s="215" t="str">
        <x:v>https://powo.science.kew.org/taxon/urn:lsid:ipni.org:names:30000177-2/general-information</x:v>
      </x:c>
      <x:c r="W741" s="215" t="str">
        <x:v>https://www.mobot.org/MOBOT/research/APweb/orders/caryophyllalesweb.htm
https://floranorthamerica.org/Portulacaceae
https://powo.science.kew.org/taxon/urn:lsid:ipni.org:names:30000177-2/general-information
https://www.wildflower.org/collections/collection.php?collection=hays</x:v>
      </x:c>
      <x:c r="X741" s="215" t="str">
        <x:v>No — retain qualifiers and exceptions</x:v>
      </x:c>
      <x:c r="Y741" s="215" t="str">
        <x:v>Yes</x:v>
      </x:c>
      <x:c r="Z741" s="215" t="str">
        <x:v>Source-backed draft</x:v>
      </x:c>
      <x:c r="AA741" s="215" t="str">
        <x:v>Family pattern</x:v>
      </x:c>
      <x:c r="AB741" s="215" t="str">
        <x:v>Positive diagnostic</x:v>
      </x:c>
      <x:c r="AC741" s="215" t="str">
        <x:v>High</x:v>
      </x:c>
      <x:c r="AD741" s="215" t="str">
        <x:v>Hand lens / macro</x:v>
      </x:c>
      <x:c r="AE741" s="215" t="str">
        <x:v>Low</x:v>
      </x:c>
      <x:c r="AF741" s="215" t="str">
        <x:v>Field-ready draft</x:v>
      </x:c>
      <x:c r="AG741" s="215" t="str">
        <x:v>3 — Reference support</x:v>
      </x:c>
      <x:c r="AH741" s="215" t="str">
        <x:v>Current master inventory</x:v>
      </x:c>
    </x:row>
    <x:row r="742" ht="42" customHeight="1">
      <x:c r="A742" s="215" t="str">
        <x:v>Portulacaceae</x:v>
      </x:c>
      <x:c r="B742" s="215" t="str">
        <x:v>POR-OVARY</x:v>
      </x:c>
      <x:c r="C742" s="215" t="str">
        <x:v>Family character</x:v>
      </x:c>
      <x:c r="D742" s="215" t="str">
        <x:v>Gynoecium</x:v>
      </x:c>
      <x:c r="E742" s="215" t="str">
        <x:v>Ovary superior to partly inferior, 1-locular with free-central to basal placentation and one style divided distally</x:v>
      </x:c>
      <x:c r="F742" s="215" t="str">
        <x:v>Strong</x:v>
      </x:c>
      <x:c r="G742" s="215" t="str">
        <x:v>4</x:v>
      </x:c>
      <x:c r="H742" s="215" t="str">
        <x:v>High</x:v>
      </x:c>
      <x:c r="I742" s="215" t="str">
        <x:v>Hand lens or dissection</x:v>
      </x:c>
      <x:c r="J742" s="215" t="str">
        <x:v>Fresh flowers or young fruit</x:v>
      </x:c>
      <x:c r="K742" s="215" t="str">
        <x:v>Many ovules sit on a central column inside one chamber.</x:v>
      </x:c>
      <x:c r="L742" s="215" t="str">
        <x:v>Ovary position and style branch number vary.</x:v>
      </x:c>
      <x:c r="M742" s="215" t="str">
        <x:v>Use fruit dehiscence as the easier field expression.</x:v>
      </x:c>
      <x:c r="N742" s="215" t="str">
        <x:v>Native and introduced Portulaca occur in Hays and surrounding Central Texas on open, rocky, sandy, and disturbed ground.</x:v>
      </x:c>
      <x:c r="O742" s="215" t="str">
        <x:v>Low</x:v>
      </x:c>
      <x:c r="P742" s="215" t="str">
        <x:v>No</x:v>
      </x:c>
      <x:c r="Q742" s="215" t="str"/>
      <x:c r="R742" s="215" t="str"/>
      <x:c r="S742" s="215" t="str">
        <x:v>APWEB-PORT; FNA-PORT; POWO-PORT; LBJ-HAYS</x:v>
      </x:c>
      <x:c r="T742" s="215" t="str">
        <x:v>https://www.mobot.org/MOBOT/research/APweb/orders/caryophyllalesweb.htm</x:v>
      </x:c>
      <x:c r="U742" s="215" t="str">
        <x:v>https://floranorthamerica.org/Portulacaceae</x:v>
      </x:c>
      <x:c r="V742" s="215" t="str">
        <x:v>https://powo.science.kew.org/taxon/urn:lsid:ipni.org:names:30000177-2/general-information</x:v>
      </x:c>
      <x:c r="W742" s="215" t="str">
        <x:v>https://www.mobot.org/MOBOT/research/APweb/orders/caryophyllalesweb.htm
https://floranorthamerica.org/Portulacaceae
https://powo.science.kew.org/taxon/urn:lsid:ipni.org:names:30000177-2/general-information
https://www.wildflower.org/collections/collection.php?collection=hays</x:v>
      </x:c>
      <x:c r="X742" s="215" t="str">
        <x:v>No — retain qualifiers and exceptions</x:v>
      </x:c>
      <x:c r="Y742" s="215" t="str">
        <x:v>Yes</x:v>
      </x:c>
      <x:c r="Z742" s="215" t="str">
        <x:v>Source-backed draft</x:v>
      </x:c>
      <x:c r="AA742" s="215" t="str">
        <x:v>Family pattern</x:v>
      </x:c>
      <x:c r="AB742" s="215" t="str">
        <x:v>Positive diagnostic</x:v>
      </x:c>
      <x:c r="AC742" s="215" t="str">
        <x:v>High</x:v>
      </x:c>
      <x:c r="AD742" s="215" t="str">
        <x:v>Dissection</x:v>
      </x:c>
      <x:c r="AE742" s="215" t="str">
        <x:v>Low</x:v>
      </x:c>
      <x:c r="AF742" s="215" t="str">
        <x:v>Dissection / close study</x:v>
      </x:c>
      <x:c r="AG742" s="215" t="str">
        <x:v>3 — Reference support</x:v>
      </x:c>
      <x:c r="AH742" s="215" t="str">
        <x:v>Current master inventory</x:v>
      </x:c>
    </x:row>
    <x:row r="743" ht="42" customHeight="1">
      <x:c r="A743" s="215" t="str">
        <x:v>Portulacaceae</x:v>
      </x:c>
      <x:c r="B743" s="215" t="str">
        <x:v>POR-FRUIT</x:v>
      </x:c>
      <x:c r="C743" s="215" t="str">
        <x:v>Family character</x:v>
      </x:c>
      <x:c r="D743" s="215" t="str">
        <x:v>Fruit / seeds</x:v>
      </x:c>
      <x:c r="E743" s="215" t="str">
        <x:v>Fruit a many-seeded capsule, characteristically opening circumscissile in Portulaca; seeds small and often sculptured</x:v>
      </x:c>
      <x:c r="F743" s="215" t="str">
        <x:v>Strong</x:v>
      </x:c>
      <x:c r="G743" s="215" t="str">
        <x:v>5</x:v>
      </x:c>
      <x:c r="H743" s="215" t="str">
        <x:v>High</x:v>
      </x:c>
      <x:c r="I743" s="215" t="str">
        <x:v>Naked eye or hand lens</x:v>
      </x:c>
      <x:c r="J743" s="215" t="str">
        <x:v>Mature fruit</x:v>
      </x:c>
      <x:c r="K743" s="215" t="str">
        <x:v>The capsule opens around its middle like a lid.</x:v>
      </x:c>
      <x:c r="L743" s="215" t="str">
        <x:v>Immature capsules do not show the opening line; seed sculpture needs magnification.</x:v>
      </x:c>
      <x:c r="M743" s="215" t="str">
        <x:v>This is the strongest practical Portulaca character.</x:v>
      </x:c>
      <x:c r="N743" s="215" t="str">
        <x:v>Native and introduced Portulaca occur in Hays and surrounding Central Texas on open, rocky, sandy, and disturbed ground.</x:v>
      </x:c>
      <x:c r="O743" s="215" t="str">
        <x:v>Low</x:v>
      </x:c>
      <x:c r="P743" s="215" t="str">
        <x:v>No</x:v>
      </x:c>
      <x:c r="Q743" s="215" t="str"/>
      <x:c r="R743" s="215" t="str">
        <x:v>POR-LK01; POR-LK02</x:v>
      </x:c>
      <x:c r="S743" s="215" t="str">
        <x:v>APWEB-PORT; FNA-PORT; POWO-PORT; LBJ-HAYS</x:v>
      </x:c>
      <x:c r="T743" s="215" t="str">
        <x:v>https://www.mobot.org/MOBOT/research/APweb/orders/caryophyllalesweb.htm</x:v>
      </x:c>
      <x:c r="U743" s="215" t="str">
        <x:v>https://floranorthamerica.org/Portulacaceae</x:v>
      </x:c>
      <x:c r="V743" s="215" t="str">
        <x:v>https://powo.science.kew.org/taxon/urn:lsid:ipni.org:names:30000177-2/general-information</x:v>
      </x:c>
      <x:c r="W743" s="215" t="str">
        <x:v>https://www.mobot.org/MOBOT/research/APweb/orders/caryophyllalesweb.htm
https://floranorthamerica.org/Portulacaceae
https://powo.science.kew.org/taxon/urn:lsid:ipni.org:names:30000177-2/general-information
https://www.wildflower.org/collections/collection.php?collection=hays</x:v>
      </x:c>
      <x:c r="X743" s="215" t="str">
        <x:v>No — retain qualifiers and exceptions</x:v>
      </x:c>
      <x:c r="Y743" s="215" t="str">
        <x:v>Yes</x:v>
      </x:c>
      <x:c r="Z743" s="215" t="str">
        <x:v>Source-backed draft</x:v>
      </x:c>
      <x:c r="AA743" s="215" t="str">
        <x:v>Family pattern</x:v>
      </x:c>
      <x:c r="AB743" s="215" t="str">
        <x:v>Positive diagnostic</x:v>
      </x:c>
      <x:c r="AC743" s="215" t="str">
        <x:v>High</x:v>
      </x:c>
      <x:c r="AD743" s="215" t="str">
        <x:v>Hand lens / macro</x:v>
      </x:c>
      <x:c r="AE743" s="215" t="str">
        <x:v>Low</x:v>
      </x:c>
      <x:c r="AF743" s="215" t="str">
        <x:v>Field-ready draft</x:v>
      </x:c>
      <x:c r="AG743" s="215" t="str">
        <x:v>2 — Field-photo priority</x:v>
      </x:c>
      <x:c r="AH743" s="215" t="str">
        <x:v>Current master inventory</x:v>
      </x:c>
    </x:row>
    <x:row r="744" ht="42" customHeight="1">
      <x:c r="A744" s="215" t="str">
        <x:v>Portulacaceae</x:v>
      </x:c>
      <x:c r="B744" s="215" t="str">
        <x:v>POR-TAXON</x:v>
      </x:c>
      <x:c r="C744" s="215" t="str">
        <x:v>Taxonomic scope</x:v>
      </x:c>
      <x:c r="D744" s="215" t="str">
        <x:v>Taxonomy / family boundary</x:v>
      </x:c>
      <x:c r="E744" s="215" t="str">
        <x:v>Modern Portulacaceae is narrow and centered on Portulaca; many genera in older broad Portulacaceae are now Montiaceae, Talinaceae, or Anacampserotaceae</x:v>
      </x:c>
      <x:c r="F744" s="215" t="str">
        <x:v>Caution</x:v>
      </x:c>
      <x:c r="G744" s="215" t="str">
        <x:v>0</x:v>
      </x:c>
      <x:c r="H744" s="215" t="str">
        <x:v>High</x:v>
      </x:c>
      <x:c r="I744" s="215" t="str">
        <x:v>Not field-visible</x:v>
      </x:c>
      <x:c r="J744" s="215" t="str">
        <x:v>Any material</x:v>
      </x:c>
      <x:c r="K744" s="215" t="str">
        <x:v>Old floras may use Portulacaceae for plants no longer placed there.</x:v>
      </x:c>
      <x:c r="L744" s="215" t="str">
        <x:v>The FNA treatment follows a broader legacy boundary than current APweb and POWO concepts.</x:v>
      </x:c>
      <x:c r="M744" s="215" t="str">
        <x:v>Apply core rows to Portulaca and reconcile non-Portulaca names before family assignment.</x:v>
      </x:c>
      <x:c r="N744" s="215" t="str">
        <x:v>Native and introduced Portulaca occur in Hays and surrounding Central Texas on open, rocky, sandy, and disturbed ground.</x:v>
      </x:c>
      <x:c r="O744" s="215" t="str">
        <x:v>Medium</x:v>
      </x:c>
      <x:c r="P744" s="215" t="str">
        <x:v>No</x:v>
      </x:c>
      <x:c r="Q744" s="215" t="str"/>
      <x:c r="R744" s="215" t="str"/>
      <x:c r="S744" s="215" t="str">
        <x:v>APWEB-PORT; FNA-PORT; POWO-PORT; LBJ-HAYS</x:v>
      </x:c>
      <x:c r="T744" s="215" t="str">
        <x:v>https://www.mobot.org/MOBOT/research/APweb/orders/caryophyllalesweb.htm</x:v>
      </x:c>
      <x:c r="U744" s="215" t="str">
        <x:v>https://floranorthamerica.org/Portulacaceae</x:v>
      </x:c>
      <x:c r="V744" s="215" t="str">
        <x:v>https://powo.science.kew.org/taxon/urn:lsid:ipni.org:names:30000177-2/general-information</x:v>
      </x:c>
      <x:c r="W744" s="215" t="str">
        <x:v>https://www.mobot.org/MOBOT/research/APweb/orders/caryophyllalesweb.htm
https://floranorthamerica.org/Portulacaceae
https://powo.science.kew.org/taxon/urn:lsid:ipni.org:names:30000177-2/general-information
https://www.wildflower.org/collections/collection.php?collection=hays</x:v>
      </x:c>
      <x:c r="X744" s="215" t="str">
        <x:v>No — retain qualifiers and exceptions</x:v>
      </x:c>
      <x:c r="Y744" s="215" t="str">
        <x:v>Yes</x:v>
      </x:c>
      <x:c r="Z744" s="215" t="str">
        <x:v>Source-backed draft</x:v>
      </x:c>
      <x:c r="AA744" s="215" t="str">
        <x:v>Taxonomy</x:v>
      </x:c>
      <x:c r="AB744" s="215" t="str">
        <x:v>Caution / negative rule</x:v>
      </x:c>
      <x:c r="AC744" s="215" t="str">
        <x:v>High</x:v>
      </x:c>
      <x:c r="AD744" s="215" t="str">
        <x:v>Reference / method</x:v>
      </x:c>
      <x:c r="AE744" s="215" t="str">
        <x:v>Moderate</x:v>
      </x:c>
      <x:c r="AF744" s="215" t="str">
        <x:v>Specialist / reference</x:v>
      </x:c>
      <x:c r="AG744" s="215" t="str">
        <x:v>4 — Context / caution</x:v>
      </x:c>
      <x:c r="AH744" s="215" t="str">
        <x:v>Current master inventory</x:v>
      </x:c>
    </x:row>
    <x:row r="745" ht="42" customHeight="1">
      <x:c r="A745" s="215" t="str">
        <x:v>Portulacaceae</x:v>
      </x:c>
      <x:c r="B745" s="215" t="str">
        <x:v>POR-LK01</x:v>
      </x:c>
      <x:c r="C745" s="215" t="str">
        <x:v>Lookalike comparison</x:v>
      </x:c>
      <x:c r="D745" s="215" t="str">
        <x:v>Lookalike</x:v>
      </x:c>
      <x:c r="E745" s="215" t="str">
        <x:v>Versus Cactaceae: ordinary leafy succulent stems and a circumscissile capsule favor Portulaca; areoles with spines or glochids and an inferior ovary producing a berry favor Cactaceae</x:v>
      </x:c>
      <x:c r="F745" s="215" t="str">
        <x:v>Lookalike</x:v>
      </x:c>
      <x:c r="G745" s="215" t="str">
        <x:v>5</x:v>
      </x:c>
      <x:c r="H745" s="215" t="str">
        <x:v>High</x:v>
      </x:c>
      <x:c r="I745" s="215" t="str">
        <x:v>Naked eye or hand lens</x:v>
      </x:c>
      <x:c r="J745" s="215" t="str">
        <x:v>Flowering or fruiting material</x:v>
      </x:c>
      <x:c r="K745" s="215" t="str">
        <x:v>Both can be low succulents with many stamens and bright flowers.</x:v>
      </x:c>
      <x:c r="L745" s="215" t="str">
        <x:v>Some cacti have leaves and some Portulaca nodes are hairy.</x:v>
      </x:c>
      <x:c r="M745" s="215" t="str">
        <x:v>Prioritize areoles, ovary position, and mature fruit.</x:v>
      </x:c>
      <x:c r="N745" s="215" t="str">
        <x:v>Native and introduced Portulaca occur in Hays and surrounding Central Texas on open, rocky, sandy, and disturbed ground.</x:v>
      </x:c>
      <x:c r="O745" s="215" t="str">
        <x:v>Low</x:v>
      </x:c>
      <x:c r="P745" s="215" t="str">
        <x:v>No</x:v>
      </x:c>
      <x:c r="Q745" s="215" t="str"/>
      <x:c r="R745" s="215" t="str">
        <x:v>POR-HABIT; POR-LEAVES; POR-PERIANTH; POR-OVARY; POR-FRUIT</x:v>
      </x:c>
      <x:c r="S745" s="215" t="str">
        <x:v>APWEB-PORT; FNA-PORT; POWO-PORT; LBJ-HAYS</x:v>
      </x:c>
      <x:c r="T745" s="215" t="str">
        <x:v>https://www.mobot.org/MOBOT/research/APweb/orders/caryophyllalesweb.htm</x:v>
      </x:c>
      <x:c r="U745" s="215" t="str">
        <x:v>https://floranorthamerica.org/Portulacaceae</x:v>
      </x:c>
      <x:c r="V745" s="215" t="str">
        <x:v>https://powo.science.kew.org/taxon/urn:lsid:ipni.org:names:30000177-2/general-information</x:v>
      </x:c>
      <x:c r="W745" s="215" t="str">
        <x:v>https://www.mobot.org/MOBOT/research/APweb/orders/caryophyllalesweb.htm
https://floranorthamerica.org/Portulacaceae
https://powo.science.kew.org/taxon/urn:lsid:ipni.org:names:30000177-2/general-information
https://www.wildflower.org/collections/collection.php?collection=hays</x:v>
      </x:c>
      <x:c r="X745" s="215" t="str">
        <x:v>No — retain qualifiers and exceptions</x:v>
      </x:c>
      <x:c r="Y745" s="215" t="str">
        <x:v>Yes</x:v>
      </x:c>
      <x:c r="Z745" s="215" t="str">
        <x:v>Source-backed draft</x:v>
      </x:c>
      <x:c r="AA745" s="215" t="str">
        <x:v>Lookalike comparison</x:v>
      </x:c>
      <x:c r="AB745" s="215" t="str">
        <x:v>Contrast / lookalike</x:v>
      </x:c>
      <x:c r="AC745" s="215" t="str">
        <x:v>High</x:v>
      </x:c>
      <x:c r="AD745" s="215" t="str">
        <x:v>Hand lens / macro</x:v>
      </x:c>
      <x:c r="AE745" s="215" t="str">
        <x:v>Low</x:v>
      </x:c>
      <x:c r="AF745" s="215" t="str">
        <x:v>Field-ready draft</x:v>
      </x:c>
      <x:c r="AG745" s="215" t="str">
        <x:v>2 — Field-photo priority</x:v>
      </x:c>
      <x:c r="AH745" s="215" t="str">
        <x:v>Current master inventory</x:v>
      </x:c>
    </x:row>
    <x:row r="746" ht="42" customHeight="1">
      <x:c r="A746" s="215" t="str">
        <x:v>Portulacaceae</x:v>
      </x:c>
      <x:c r="B746" s="215" t="str">
        <x:v>POR-LK02</x:v>
      </x:c>
      <x:c r="C746" s="215" t="str">
        <x:v>Lookalike comparison</x:v>
      </x:c>
      <x:c r="D746" s="215" t="str">
        <x:v>Lookalike</x:v>
      </x:c>
      <x:c r="E746" s="215" t="str">
        <x:v>Versus Crassulaceae: a single circumscissile capsule favors Portulaca; several separate follicles with one nectary scale per carpel favor Crassulaceae</x:v>
      </x:c>
      <x:c r="F746" s="215" t="str">
        <x:v>Lookalike</x:v>
      </x:c>
      <x:c r="G746" s="215" t="str">
        <x:v>5</x:v>
      </x:c>
      <x:c r="H746" s="215" t="str">
        <x:v>High</x:v>
      </x:c>
      <x:c r="I746" s="215" t="str">
        <x:v>Naked eye or hand lens</x:v>
      </x:c>
      <x:c r="J746" s="215" t="str">
        <x:v>Mature flowers and fruit</x:v>
      </x:c>
      <x:c r="K746" s="215" t="str">
        <x:v>Both are often small succulent herbs with radially symmetric flowers.</x:v>
      </x:c>
      <x:c r="L746" s="215" t="str">
        <x:v>Sterile plants may remain unresolved.</x:v>
      </x:c>
      <x:c r="M746" s="215" t="str">
        <x:v>Use carpel construction and mature fruit.</x:v>
      </x:c>
      <x:c r="N746" s="215" t="str">
        <x:v>Native and introduced Portulaca occur in Hays and surrounding Central Texas on open, rocky, sandy, and disturbed ground.</x:v>
      </x:c>
      <x:c r="O746" s="215" t="str">
        <x:v>Low</x:v>
      </x:c>
      <x:c r="P746" s="215" t="str">
        <x:v>No</x:v>
      </x:c>
      <x:c r="Q746" s="215" t="str"/>
      <x:c r="R746" s="215" t="str">
        <x:v>POR-LEAVES; POR-PERIANTH; POR-OVARY; POR-FRUIT</x:v>
      </x:c>
      <x:c r="S746" s="215" t="str">
        <x:v>APWEB-PORT; FNA-PORT; POWO-PORT; LBJ-HAYS</x:v>
      </x:c>
      <x:c r="T746" s="215" t="str">
        <x:v>https://www.mobot.org/MOBOT/research/APweb/orders/caryophyllalesweb.htm</x:v>
      </x:c>
      <x:c r="U746" s="215" t="str">
        <x:v>https://floranorthamerica.org/Portulacaceae</x:v>
      </x:c>
      <x:c r="V746" s="215" t="str">
        <x:v>https://powo.science.kew.org/taxon/urn:lsid:ipni.org:names:30000177-2/general-information</x:v>
      </x:c>
      <x:c r="W746" s="215" t="str">
        <x:v>https://www.mobot.org/MOBOT/research/APweb/orders/caryophyllalesweb.htm
https://floranorthamerica.org/Portulacaceae
https://powo.science.kew.org/taxon/urn:lsid:ipni.org:names:30000177-2/general-information
https://www.wildflower.org/collections/collection.php?collection=hays</x:v>
      </x:c>
      <x:c r="X746" s="215" t="str">
        <x:v>No — retain qualifiers and exceptions</x:v>
      </x:c>
      <x:c r="Y746" s="215" t="str">
        <x:v>Yes</x:v>
      </x:c>
      <x:c r="Z746" s="215" t="str">
        <x:v>Source-backed draft</x:v>
      </x:c>
      <x:c r="AA746" s="215" t="str">
        <x:v>Lookalike comparison</x:v>
      </x:c>
      <x:c r="AB746" s="215" t="str">
        <x:v>Contrast / lookalike</x:v>
      </x:c>
      <x:c r="AC746" s="215" t="str">
        <x:v>High</x:v>
      </x:c>
      <x:c r="AD746" s="215" t="str">
        <x:v>Hand lens / macro</x:v>
      </x:c>
      <x:c r="AE746" s="215" t="str">
        <x:v>Low</x:v>
      </x:c>
      <x:c r="AF746" s="215" t="str">
        <x:v>Field-ready draft</x:v>
      </x:c>
      <x:c r="AG746" s="215" t="str">
        <x:v>2 — Field-photo priority</x:v>
      </x:c>
      <x:c r="AH746" s="215" t="str">
        <x:v>Current master inventory</x:v>
      </x:c>
    </x:row>
  </x:sheetData>
  <x:mergeCells>
    <x:mergeCell ref="A1:AH1"/>
    <x:mergeCell ref="A2:AH2"/>
  </x:mergeCells>
  <x:conditionalFormatting sqref="P5:P746">
    <x:cfRule type="containsText" dxfId="19" priority="1" operator="containsText" text="Yes"/>
  </x:conditionalFormatting>
  <x:conditionalFormatting sqref="AG5:AG746">
    <x:cfRule type="containsText" dxfId="20" priority="2" operator="containsText" text="1 —"/>
    <x:cfRule type="containsText" dxfId="21" priority="3" operator="containsText" text="2 —"/>
  </x:conditionalFormatting>
  <x:conditionalFormatting sqref="AH5:AH746">
    <x:cfRule type="containsText" dxfId="22" priority="4" operator="containsText" text="Reference"/>
  </x:conditionalFormatting>
  <x:pageMargins left="0.7" right="0.7" top="0.75" bottom="0.75" header="0.3" footer="0.3"/>
  <x:tableParts count="1">
    <x:tablePart xmlns:r="http://schemas.openxmlformats.org/officeDocument/2006/relationships" r:id="R6871c2ab4e834eea"/>
  </x:tableParts>
</x:worksheet>
</file>